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4\"/>
    </mc:Choice>
  </mc:AlternateContent>
  <bookViews>
    <workbookView xWindow="0" yWindow="0" windowWidth="13065" windowHeight="4785" tabRatio="1000" activeTab="6"/>
  </bookViews>
  <sheets>
    <sheet name="Lista_CUIT" sheetId="8" r:id="rId1"/>
    <sheet name="Ene-24" sheetId="2" r:id="rId2"/>
    <sheet name="Feb-24" sheetId="10" r:id="rId3"/>
    <sheet name="Mar-24" sheetId="11" r:id="rId4"/>
    <sheet name="Abr-24" sheetId="12" r:id="rId5"/>
    <sheet name="May-24" sheetId="16" r:id="rId6"/>
    <sheet name="Jun-24" sheetId="13" r:id="rId7"/>
    <sheet name="Jul-24" sheetId="15" r:id="rId8"/>
    <sheet name="Ago-24" sheetId="18" r:id="rId9"/>
    <sheet name="Sep-24" sheetId="19" r:id="rId10"/>
    <sheet name="Oct-24" sheetId="23" r:id="rId11"/>
    <sheet name="Nov-24" sheetId="21" r:id="rId12"/>
    <sheet name="Dic-24" sheetId="20" r:id="rId13"/>
    <sheet name="Asto-Cpras" sheetId="3" r:id="rId14"/>
    <sheet name="Asto-Vtas" sheetId="4" r:id="rId15"/>
    <sheet name="Hoja1" sheetId="22" r:id="rId1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3" l="1"/>
  <c r="I24" i="13"/>
  <c r="P24" i="13" s="1"/>
  <c r="Q24" i="13"/>
  <c r="R24" i="13"/>
  <c r="G23" i="13"/>
  <c r="I23" i="13"/>
  <c r="P23" i="13" s="1"/>
  <c r="Q23" i="13"/>
  <c r="R23" i="13"/>
  <c r="G22" i="13"/>
  <c r="I22" i="13"/>
  <c r="P22" i="13"/>
  <c r="Q22" i="13"/>
  <c r="R22" i="13"/>
  <c r="G21" i="13"/>
  <c r="I21" i="13"/>
  <c r="P21" i="13" s="1"/>
  <c r="Q21" i="13"/>
  <c r="R21" i="13"/>
  <c r="G20" i="13"/>
  <c r="I20" i="13"/>
  <c r="P20" i="13"/>
  <c r="Q20" i="13"/>
  <c r="R20" i="13"/>
  <c r="G34" i="13"/>
  <c r="I34" i="13"/>
  <c r="P34" i="13" s="1"/>
  <c r="Q34" i="13"/>
  <c r="R34" i="13"/>
  <c r="G53" i="13"/>
  <c r="I53" i="13"/>
  <c r="P53" i="13" s="1"/>
  <c r="Q53" i="13"/>
  <c r="R53" i="13"/>
  <c r="G19" i="13" l="1"/>
  <c r="I19" i="13"/>
  <c r="P19" i="13" s="1"/>
  <c r="Q19" i="13"/>
  <c r="R19" i="13"/>
  <c r="G103" i="13"/>
  <c r="I103" i="13"/>
  <c r="P103" i="13" s="1"/>
  <c r="Q103" i="13"/>
  <c r="R103" i="13"/>
  <c r="I69" i="13"/>
  <c r="I38" i="13"/>
  <c r="I39" i="13"/>
  <c r="I17" i="13"/>
  <c r="I40" i="13"/>
  <c r="I18" i="13"/>
  <c r="I80" i="13"/>
  <c r="I81" i="13"/>
  <c r="I82" i="13"/>
  <c r="I83" i="13"/>
  <c r="I25" i="13"/>
  <c r="I84" i="13"/>
  <c r="I85" i="13"/>
  <c r="I41" i="13"/>
  <c r="I62" i="13"/>
  <c r="I86" i="13"/>
  <c r="I63" i="13"/>
  <c r="I64" i="13"/>
  <c r="I70" i="13"/>
  <c r="I87" i="13"/>
  <c r="I42" i="13"/>
  <c r="I43" i="13"/>
  <c r="I88" i="13"/>
  <c r="I44" i="13"/>
  <c r="I89" i="13"/>
  <c r="I110" i="13"/>
  <c r="I90" i="13"/>
  <c r="I91" i="13"/>
  <c r="I9" i="13"/>
  <c r="I111" i="13"/>
  <c r="I26" i="13"/>
  <c r="I45" i="13"/>
  <c r="I65" i="13"/>
  <c r="I92" i="13"/>
  <c r="I93" i="13"/>
  <c r="I94" i="13"/>
  <c r="I95" i="13"/>
  <c r="I96" i="13"/>
  <c r="I55" i="13"/>
  <c r="I97" i="13"/>
  <c r="I54" i="13"/>
  <c r="I51" i="13"/>
  <c r="I98" i="13"/>
  <c r="I107" i="13"/>
  <c r="I99" i="13"/>
  <c r="I46" i="13"/>
  <c r="I33" i="13"/>
  <c r="I100" i="13"/>
  <c r="I101" i="13"/>
  <c r="I47" i="13"/>
  <c r="I66" i="13"/>
  <c r="I52" i="13"/>
  <c r="I48" i="13"/>
  <c r="I67" i="13"/>
  <c r="I29" i="13"/>
  <c r="I68" i="13"/>
  <c r="I49" i="13"/>
  <c r="I50" i="13"/>
  <c r="I102" i="13"/>
  <c r="I15" i="13"/>
  <c r="I27" i="13"/>
  <c r="I28" i="13"/>
  <c r="I56" i="13"/>
  <c r="I57" i="13"/>
  <c r="I71" i="13"/>
  <c r="I30" i="13"/>
  <c r="I58" i="13"/>
  <c r="I11" i="13"/>
  <c r="I12" i="13"/>
  <c r="I59" i="13"/>
  <c r="I60" i="13"/>
  <c r="I35" i="13"/>
  <c r="I104" i="13"/>
  <c r="I61" i="13"/>
  <c r="I73" i="13"/>
  <c r="I36" i="13"/>
  <c r="I74" i="13"/>
  <c r="I75" i="13"/>
  <c r="I13" i="13"/>
  <c r="I14" i="13"/>
  <c r="I76" i="13"/>
  <c r="I77" i="13"/>
  <c r="I32" i="13"/>
  <c r="I106" i="13"/>
  <c r="I105" i="13"/>
  <c r="I78" i="13"/>
  <c r="I79" i="13"/>
  <c r="I37" i="13"/>
  <c r="I16" i="13"/>
  <c r="J139" i="15" l="1"/>
  <c r="J138" i="15"/>
  <c r="J137" i="15"/>
  <c r="J136" i="15"/>
  <c r="J135" i="15"/>
  <c r="J155" i="15"/>
  <c r="H117" i="16" l="1"/>
  <c r="J117" i="16"/>
  <c r="K117" i="16"/>
  <c r="L117" i="16"/>
  <c r="M117" i="16"/>
  <c r="N117" i="16"/>
  <c r="O117" i="16"/>
  <c r="I106" i="16"/>
  <c r="I77" i="16"/>
  <c r="I78" i="16"/>
  <c r="I58" i="16"/>
  <c r="I52" i="16"/>
  <c r="I102" i="16"/>
  <c r="I47" i="16"/>
  <c r="I42" i="16"/>
  <c r="I60" i="16"/>
  <c r="I66" i="16"/>
  <c r="I109" i="16"/>
  <c r="I63" i="16"/>
  <c r="I33" i="16"/>
  <c r="I111" i="16"/>
  <c r="I25" i="16"/>
  <c r="I104" i="16"/>
  <c r="I99" i="16"/>
  <c r="I86" i="16"/>
  <c r="I91" i="16"/>
  <c r="I103" i="16"/>
  <c r="I39" i="16"/>
  <c r="I31" i="16"/>
  <c r="I115" i="16"/>
  <c r="I61" i="16"/>
  <c r="I105" i="16"/>
  <c r="I114" i="16"/>
  <c r="I79" i="16"/>
  <c r="I92" i="16"/>
  <c r="I13" i="16"/>
  <c r="I64" i="16"/>
  <c r="I26" i="16"/>
  <c r="I65" i="16"/>
  <c r="I41" i="16"/>
  <c r="I23" i="16"/>
  <c r="I107" i="16"/>
  <c r="I110" i="16"/>
  <c r="I68" i="16"/>
  <c r="P68" i="16" s="1"/>
  <c r="I69" i="16"/>
  <c r="P69" i="16" s="1"/>
  <c r="I45" i="16"/>
  <c r="P45" i="16" s="1"/>
  <c r="I93" i="16"/>
  <c r="P93" i="16" s="1"/>
  <c r="I28" i="16"/>
  <c r="P28" i="16" s="1"/>
  <c r="I71" i="16"/>
  <c r="I19" i="16"/>
  <c r="I101" i="16"/>
  <c r="P101" i="16" s="1"/>
  <c r="I80" i="16"/>
  <c r="P80" i="16" s="1"/>
  <c r="I113" i="16"/>
  <c r="P113" i="16" s="1"/>
  <c r="I34" i="16"/>
  <c r="P34" i="16" s="1"/>
  <c r="I94" i="16"/>
  <c r="I51" i="16"/>
  <c r="P51" i="16" s="1"/>
  <c r="I95" i="16"/>
  <c r="I96" i="16"/>
  <c r="I44" i="16"/>
  <c r="I97" i="16"/>
  <c r="I88" i="16"/>
  <c r="I70" i="16"/>
  <c r="I98" i="16"/>
  <c r="I14" i="16"/>
  <c r="I15" i="16"/>
  <c r="I20" i="16"/>
  <c r="I49" i="16"/>
  <c r="I21" i="16"/>
  <c r="I16" i="16"/>
  <c r="I22" i="16"/>
  <c r="I17" i="16"/>
  <c r="I50" i="16"/>
  <c r="I27" i="16"/>
  <c r="I57" i="16"/>
  <c r="I74" i="16"/>
  <c r="I59" i="16"/>
  <c r="I11" i="16"/>
  <c r="I83" i="16"/>
  <c r="I82" i="16"/>
  <c r="I75" i="16"/>
  <c r="I72" i="16"/>
  <c r="I12" i="16"/>
  <c r="I36" i="16"/>
  <c r="I62" i="16"/>
  <c r="I24" i="16"/>
  <c r="I30" i="16"/>
  <c r="I84" i="16"/>
  <c r="I89" i="16"/>
  <c r="I90" i="16"/>
  <c r="I43" i="16"/>
  <c r="I46" i="16"/>
  <c r="I67" i="16"/>
  <c r="I35" i="16"/>
  <c r="I9" i="16"/>
  <c r="I76" i="16"/>
  <c r="I38" i="16"/>
  <c r="I85" i="16"/>
  <c r="I81" i="16"/>
  <c r="I29" i="16"/>
  <c r="I32" i="16"/>
  <c r="I73" i="16"/>
  <c r="I48" i="16"/>
  <c r="I40" i="16"/>
  <c r="I18" i="16"/>
  <c r="I53" i="16"/>
  <c r="I108" i="16"/>
  <c r="I54" i="16"/>
  <c r="I10" i="16"/>
  <c r="G107" i="16"/>
  <c r="G110" i="16"/>
  <c r="G68" i="16"/>
  <c r="G69" i="16"/>
  <c r="G45" i="16"/>
  <c r="G93" i="16"/>
  <c r="G28" i="16"/>
  <c r="G71" i="16"/>
  <c r="G19" i="16"/>
  <c r="G101" i="16"/>
  <c r="G80" i="16"/>
  <c r="G113" i="16"/>
  <c r="G34" i="16"/>
  <c r="G94" i="16"/>
  <c r="G51" i="16"/>
  <c r="G95" i="16"/>
  <c r="G96" i="16"/>
  <c r="P110" i="16"/>
  <c r="P94" i="16"/>
  <c r="P107" i="16"/>
  <c r="P71" i="16"/>
  <c r="P19" i="16"/>
  <c r="P95" i="16"/>
  <c r="P96" i="16"/>
  <c r="Q107" i="16"/>
  <c r="Q110" i="16"/>
  <c r="Q68" i="16"/>
  <c r="Q69" i="16"/>
  <c r="Q45" i="16"/>
  <c r="Q93" i="16"/>
  <c r="Q28" i="16"/>
  <c r="Q71" i="16"/>
  <c r="Q19" i="16"/>
  <c r="Q101" i="16"/>
  <c r="Q80" i="16"/>
  <c r="Q113" i="16"/>
  <c r="Q34" i="16"/>
  <c r="Q94" i="16"/>
  <c r="Q51" i="16"/>
  <c r="Q95" i="16"/>
  <c r="Q96" i="16"/>
  <c r="R107" i="16"/>
  <c r="R110" i="16"/>
  <c r="R68" i="16"/>
  <c r="R69" i="16"/>
  <c r="R45" i="16"/>
  <c r="R93" i="16"/>
  <c r="R28" i="16"/>
  <c r="R71" i="16"/>
  <c r="R19" i="16"/>
  <c r="R101" i="16"/>
  <c r="R80" i="16"/>
  <c r="R113" i="16"/>
  <c r="R34" i="16"/>
  <c r="R94" i="16"/>
  <c r="R51" i="16"/>
  <c r="R95" i="16"/>
  <c r="R9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I117" i="16" l="1"/>
  <c r="H120" i="11"/>
  <c r="I143" i="21" l="1"/>
  <c r="G62" i="21" l="1"/>
  <c r="G23" i="21" l="1"/>
  <c r="G87" i="21"/>
  <c r="G22" i="21"/>
  <c r="G88" i="21"/>
  <c r="G90" i="21"/>
  <c r="G91" i="21"/>
  <c r="G92" i="21"/>
  <c r="G9" i="21"/>
  <c r="G10" i="21"/>
  <c r="G12" i="21"/>
  <c r="G13" i="21"/>
  <c r="G14" i="21"/>
  <c r="G15" i="21"/>
  <c r="G21" i="21"/>
  <c r="G76" i="21"/>
  <c r="G94" i="21"/>
  <c r="G24" i="21"/>
  <c r="G25" i="21"/>
  <c r="G77" i="21"/>
  <c r="G11" i="21"/>
  <c r="G16" i="21"/>
  <c r="G17" i="21"/>
  <c r="G18" i="21"/>
  <c r="G93" i="21"/>
  <c r="G19" i="21"/>
  <c r="G20" i="21"/>
  <c r="G26" i="21"/>
  <c r="G27" i="21"/>
  <c r="G28" i="21"/>
  <c r="G29" i="21"/>
  <c r="G30" i="21"/>
  <c r="G31" i="21"/>
  <c r="G32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3" i="21"/>
  <c r="G64" i="21"/>
  <c r="G65" i="21"/>
  <c r="G66" i="21"/>
  <c r="G67" i="21"/>
  <c r="G68" i="21"/>
  <c r="G69" i="21"/>
  <c r="G70" i="21"/>
  <c r="G71" i="21"/>
  <c r="G72" i="21"/>
  <c r="G33" i="21"/>
  <c r="G34" i="21"/>
  <c r="G35" i="21"/>
  <c r="G36" i="21"/>
  <c r="G37" i="21"/>
  <c r="G38" i="21"/>
  <c r="G41" i="21"/>
  <c r="G39" i="21"/>
  <c r="G42" i="21"/>
  <c r="G43" i="21"/>
  <c r="G44" i="21"/>
  <c r="G40" i="21"/>
  <c r="G45" i="21"/>
  <c r="G46" i="21"/>
  <c r="G47" i="21"/>
  <c r="G78" i="21"/>
  <c r="G79" i="21"/>
  <c r="G80" i="21"/>
  <c r="G81" i="21"/>
  <c r="G73" i="21"/>
  <c r="G74" i="21"/>
  <c r="G82" i="21"/>
  <c r="G83" i="21"/>
  <c r="G84" i="21"/>
  <c r="G75" i="21"/>
  <c r="G85" i="21"/>
  <c r="G86" i="21"/>
  <c r="G89" i="21"/>
  <c r="G95" i="21"/>
  <c r="G96" i="21"/>
  <c r="G97" i="21"/>
  <c r="G98" i="21"/>
  <c r="G99" i="21"/>
  <c r="Q23" i="21"/>
  <c r="Q21" i="21"/>
  <c r="Q76" i="21"/>
  <c r="Q94" i="21"/>
  <c r="Q24" i="21"/>
  <c r="Q25" i="21"/>
  <c r="Q77" i="21"/>
  <c r="Q11" i="21"/>
  <c r="Q90" i="21"/>
  <c r="G40" i="19"/>
  <c r="G67" i="19"/>
  <c r="G12" i="19"/>
  <c r="G68" i="19"/>
  <c r="G69" i="19"/>
  <c r="G34" i="19"/>
  <c r="G35" i="19"/>
  <c r="G123" i="19"/>
  <c r="G10" i="19"/>
  <c r="G86" i="19"/>
  <c r="G103" i="19"/>
  <c r="G41" i="19"/>
  <c r="G104" i="19"/>
  <c r="G105" i="19"/>
  <c r="G38" i="19"/>
  <c r="G124" i="19"/>
  <c r="G39" i="19"/>
  <c r="G106" i="19"/>
  <c r="G125" i="19"/>
  <c r="G122" i="19"/>
  <c r="G107" i="19"/>
  <c r="G126" i="19"/>
  <c r="G108" i="19"/>
  <c r="G109" i="19"/>
  <c r="G33" i="19"/>
  <c r="G70" i="19"/>
  <c r="G42" i="19"/>
  <c r="G43" i="19"/>
  <c r="G26" i="19"/>
  <c r="G27" i="19"/>
  <c r="G28" i="19"/>
  <c r="G110" i="19"/>
  <c r="G44" i="19"/>
  <c r="G71" i="19"/>
  <c r="G120" i="19"/>
  <c r="G72" i="19"/>
  <c r="G121" i="19"/>
  <c r="G45" i="19"/>
  <c r="G73" i="19"/>
  <c r="G46" i="19"/>
  <c r="G74" i="19"/>
  <c r="G75" i="19"/>
  <c r="G111" i="19"/>
  <c r="G47" i="19"/>
  <c r="G13" i="19"/>
  <c r="G112" i="19"/>
  <c r="G113" i="19"/>
  <c r="G114" i="19"/>
  <c r="G115" i="19"/>
  <c r="G48" i="19"/>
  <c r="G128" i="19"/>
  <c r="G49" i="19"/>
  <c r="G76" i="19"/>
  <c r="G50" i="19"/>
  <c r="G77" i="19"/>
  <c r="G78" i="19"/>
  <c r="G79" i="19"/>
  <c r="G80" i="19"/>
  <c r="G51" i="19"/>
  <c r="G52" i="19"/>
  <c r="G53" i="19"/>
  <c r="G54" i="19"/>
  <c r="G88" i="19"/>
  <c r="G55" i="19"/>
  <c r="G116" i="19"/>
  <c r="G117" i="19"/>
  <c r="G29" i="19"/>
  <c r="G9" i="19"/>
  <c r="G81" i="19"/>
  <c r="G82" i="19"/>
  <c r="G83" i="19"/>
  <c r="G129" i="19"/>
  <c r="G37" i="19"/>
  <c r="G96" i="19"/>
  <c r="G97" i="19"/>
  <c r="G56" i="19"/>
  <c r="G57" i="19"/>
  <c r="G58" i="19"/>
  <c r="G127" i="19"/>
  <c r="G36" i="19"/>
  <c r="G89" i="19"/>
  <c r="G90" i="19"/>
  <c r="G91" i="19"/>
  <c r="G98" i="19"/>
  <c r="G99" i="19"/>
  <c r="G100" i="19"/>
  <c r="G101" i="19"/>
  <c r="G102" i="19"/>
  <c r="G59" i="19"/>
  <c r="G60" i="19"/>
  <c r="G61" i="19"/>
  <c r="G62" i="19"/>
  <c r="G63" i="19"/>
  <c r="G30" i="19"/>
  <c r="G130" i="19"/>
  <c r="G131" i="19"/>
  <c r="G132" i="19"/>
  <c r="G92" i="19"/>
  <c r="G93" i="19"/>
  <c r="G94" i="19"/>
  <c r="G95" i="19"/>
  <c r="G31" i="19"/>
  <c r="G32" i="19"/>
  <c r="G14" i="19"/>
  <c r="G15" i="19"/>
  <c r="G16" i="19"/>
  <c r="G17" i="19"/>
  <c r="G84" i="19"/>
  <c r="G118" i="19"/>
  <c r="G85" i="19"/>
  <c r="G119" i="19"/>
  <c r="G18" i="19"/>
  <c r="G87" i="19"/>
  <c r="G64" i="19"/>
  <c r="G19" i="19"/>
  <c r="G65" i="19"/>
  <c r="G20" i="19"/>
  <c r="G21" i="19"/>
  <c r="G22" i="19"/>
  <c r="G66" i="19"/>
  <c r="G23" i="19"/>
  <c r="G24" i="19"/>
  <c r="G25" i="19"/>
  <c r="G11" i="19"/>
  <c r="Q43" i="19" l="1"/>
  <c r="Q71" i="19"/>
  <c r="Q12" i="19"/>
  <c r="Q68" i="19"/>
  <c r="Q69" i="19"/>
  <c r="Q34" i="19"/>
  <c r="Q35" i="19"/>
  <c r="Q123" i="19"/>
  <c r="Q10" i="19"/>
  <c r="Q86" i="19"/>
  <c r="Q103" i="19"/>
  <c r="Q41" i="19"/>
  <c r="Q104" i="19"/>
  <c r="Q105" i="19"/>
  <c r="Q38" i="19"/>
  <c r="Q124" i="19"/>
  <c r="Q39" i="19"/>
  <c r="Q106" i="19"/>
  <c r="Q125" i="19"/>
  <c r="Q122" i="19"/>
  <c r="Q107" i="19"/>
  <c r="Q126" i="19"/>
  <c r="Q108" i="19"/>
  <c r="Q109" i="19"/>
  <c r="Q33" i="19"/>
  <c r="Q70" i="19"/>
  <c r="Q42" i="19"/>
  <c r="Q26" i="19"/>
  <c r="Q27" i="19"/>
  <c r="Q28" i="19"/>
  <c r="Q110" i="19"/>
  <c r="Q44" i="19"/>
  <c r="Q120" i="19"/>
  <c r="Q72" i="19"/>
  <c r="Q121" i="19"/>
  <c r="Q45" i="19"/>
  <c r="Q73" i="19"/>
  <c r="Q46" i="19"/>
  <c r="Q74" i="19"/>
  <c r="J125" i="12" l="1"/>
  <c r="K102" i="12"/>
  <c r="K60" i="12"/>
  <c r="K73" i="12"/>
  <c r="I118" i="12"/>
  <c r="G54" i="12"/>
  <c r="I54" i="12"/>
  <c r="P54" i="12" s="1"/>
  <c r="Q54" i="12"/>
  <c r="R54" i="12"/>
  <c r="G55" i="12"/>
  <c r="I55" i="12"/>
  <c r="P55" i="12" s="1"/>
  <c r="Q55" i="12"/>
  <c r="R55" i="12"/>
  <c r="G15" i="12"/>
  <c r="I15" i="12"/>
  <c r="P15" i="12" s="1"/>
  <c r="Q15" i="12"/>
  <c r="R15" i="12"/>
  <c r="G56" i="12"/>
  <c r="I56" i="12"/>
  <c r="Q56" i="12"/>
  <c r="R56" i="12"/>
  <c r="G23" i="12"/>
  <c r="I23" i="12"/>
  <c r="P23" i="12" s="1"/>
  <c r="Q23" i="12"/>
  <c r="R23" i="12"/>
  <c r="G16" i="12"/>
  <c r="I16" i="12"/>
  <c r="P16" i="12" s="1"/>
  <c r="Q16" i="12"/>
  <c r="R16" i="12"/>
  <c r="G19" i="12"/>
  <c r="I19" i="12"/>
  <c r="P19" i="12" s="1"/>
  <c r="Q19" i="12"/>
  <c r="R19" i="12"/>
  <c r="G20" i="12"/>
  <c r="I20" i="12"/>
  <c r="P20" i="12" s="1"/>
  <c r="Q20" i="12"/>
  <c r="R20" i="12"/>
  <c r="G21" i="12"/>
  <c r="I21" i="12"/>
  <c r="P21" i="12" s="1"/>
  <c r="Q21" i="12"/>
  <c r="R21" i="12"/>
  <c r="G22" i="12"/>
  <c r="I22" i="12"/>
  <c r="Q22" i="12"/>
  <c r="R22" i="12"/>
  <c r="G115" i="12"/>
  <c r="I115" i="12"/>
  <c r="P115" i="12" s="1"/>
  <c r="Q115" i="12"/>
  <c r="R115" i="12"/>
  <c r="G26" i="12"/>
  <c r="I26" i="12"/>
  <c r="P26" i="12" s="1"/>
  <c r="Q26" i="12"/>
  <c r="R26" i="12"/>
  <c r="G116" i="12"/>
  <c r="I116" i="12"/>
  <c r="P116" i="12" s="1"/>
  <c r="Q116" i="12"/>
  <c r="R116" i="12"/>
  <c r="G117" i="12"/>
  <c r="I117" i="12"/>
  <c r="Q117" i="12"/>
  <c r="R117" i="12"/>
  <c r="G38" i="12"/>
  <c r="I38" i="12"/>
  <c r="P38" i="12" s="1"/>
  <c r="Q38" i="12"/>
  <c r="R38" i="12"/>
  <c r="G39" i="12"/>
  <c r="I39" i="12"/>
  <c r="P39" i="12" s="1"/>
  <c r="Q39" i="12"/>
  <c r="R39" i="12"/>
  <c r="P117" i="12" l="1"/>
  <c r="P22" i="12"/>
  <c r="P56" i="12"/>
  <c r="O18" i="20" l="1"/>
  <c r="G18" i="20"/>
  <c r="I18" i="20"/>
  <c r="P18" i="20" s="1"/>
  <c r="Q18" i="20"/>
  <c r="R18" i="20"/>
  <c r="O17" i="20"/>
  <c r="H49" i="20"/>
  <c r="G49" i="20" l="1"/>
  <c r="I49" i="20"/>
  <c r="P49" i="20" s="1"/>
  <c r="Q49" i="20"/>
  <c r="R49" i="20"/>
  <c r="G17" i="20"/>
  <c r="I17" i="20"/>
  <c r="P17" i="20" s="1"/>
  <c r="Q17" i="20"/>
  <c r="R17" i="20"/>
  <c r="G19" i="20"/>
  <c r="I19" i="20"/>
  <c r="P19" i="20" s="1"/>
  <c r="Q19" i="20"/>
  <c r="R19" i="20"/>
  <c r="H126" i="20" l="1"/>
  <c r="H127" i="20"/>
  <c r="H128" i="20"/>
  <c r="I19" i="22"/>
  <c r="J19" i="22"/>
  <c r="G19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3" i="22"/>
  <c r="C19" i="22"/>
  <c r="D19" i="22"/>
  <c r="A19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2" i="22"/>
  <c r="O14" i="20"/>
  <c r="O56" i="20"/>
  <c r="O55" i="20"/>
  <c r="O54" i="20"/>
  <c r="O52" i="20"/>
  <c r="K51" i="20"/>
  <c r="K88" i="20"/>
  <c r="J116" i="20"/>
  <c r="K77" i="20"/>
  <c r="I9" i="20"/>
  <c r="J115" i="20"/>
  <c r="J119" i="20" s="1"/>
  <c r="G63" i="20"/>
  <c r="I63" i="20"/>
  <c r="Q63" i="20"/>
  <c r="R63" i="20"/>
  <c r="G64" i="20"/>
  <c r="I64" i="20"/>
  <c r="P64" i="20" s="1"/>
  <c r="Q64" i="20"/>
  <c r="R64" i="20"/>
  <c r="G118" i="20"/>
  <c r="I118" i="20"/>
  <c r="Q118" i="20"/>
  <c r="R118" i="20"/>
  <c r="G98" i="20"/>
  <c r="I98" i="20"/>
  <c r="P98" i="20" s="1"/>
  <c r="Q98" i="20"/>
  <c r="R98" i="20"/>
  <c r="G99" i="20"/>
  <c r="I99" i="20"/>
  <c r="Q99" i="20"/>
  <c r="R99" i="20"/>
  <c r="G11" i="20"/>
  <c r="I11" i="20"/>
  <c r="P11" i="20" s="1"/>
  <c r="Q11" i="20"/>
  <c r="R11" i="20"/>
  <c r="G13" i="20"/>
  <c r="I13" i="20"/>
  <c r="P13" i="20" s="1"/>
  <c r="Q13" i="20"/>
  <c r="R13" i="20"/>
  <c r="G48" i="20"/>
  <c r="I48" i="20"/>
  <c r="P48" i="20" s="1"/>
  <c r="Q48" i="20"/>
  <c r="R48" i="20"/>
  <c r="G91" i="20"/>
  <c r="I91" i="20"/>
  <c r="Q91" i="20"/>
  <c r="R91" i="20"/>
  <c r="G29" i="20"/>
  <c r="I29" i="20"/>
  <c r="P29" i="20" s="1"/>
  <c r="Q29" i="20"/>
  <c r="R29" i="20"/>
  <c r="G33" i="20"/>
  <c r="I33" i="20"/>
  <c r="Q33" i="20"/>
  <c r="R33" i="20"/>
  <c r="G92" i="20"/>
  <c r="I92" i="20"/>
  <c r="P92" i="20"/>
  <c r="Q92" i="20"/>
  <c r="R92" i="20"/>
  <c r="G41" i="20"/>
  <c r="I41" i="20"/>
  <c r="Q41" i="20"/>
  <c r="R41" i="20"/>
  <c r="G42" i="20"/>
  <c r="I42" i="20"/>
  <c r="P42" i="20" s="1"/>
  <c r="Q42" i="20"/>
  <c r="R42" i="20"/>
  <c r="G56" i="20"/>
  <c r="I56" i="20"/>
  <c r="Q56" i="20"/>
  <c r="R56" i="20"/>
  <c r="G43" i="20"/>
  <c r="I43" i="20"/>
  <c r="Q43" i="20"/>
  <c r="R43" i="20"/>
  <c r="G44" i="20"/>
  <c r="I44" i="20"/>
  <c r="Q44" i="20"/>
  <c r="R44" i="20"/>
  <c r="G45" i="20"/>
  <c r="I45" i="20"/>
  <c r="P45" i="20" s="1"/>
  <c r="Q45" i="20"/>
  <c r="R45" i="20"/>
  <c r="G14" i="20"/>
  <c r="I14" i="20"/>
  <c r="P14" i="20" s="1"/>
  <c r="Q14" i="20"/>
  <c r="R14" i="20"/>
  <c r="G15" i="20"/>
  <c r="I15" i="20"/>
  <c r="Q15" i="20"/>
  <c r="R15" i="20"/>
  <c r="G16" i="20"/>
  <c r="I16" i="20"/>
  <c r="Q16" i="20"/>
  <c r="R16" i="20"/>
  <c r="G46" i="20"/>
  <c r="I46" i="20"/>
  <c r="P46" i="20" s="1"/>
  <c r="Q46" i="20"/>
  <c r="R46" i="20"/>
  <c r="G47" i="20"/>
  <c r="I47" i="20"/>
  <c r="P47" i="20" s="1"/>
  <c r="Q47" i="20"/>
  <c r="R47" i="20"/>
  <c r="G93" i="20"/>
  <c r="I93" i="20"/>
  <c r="P93" i="20" s="1"/>
  <c r="Q93" i="20"/>
  <c r="R93" i="20"/>
  <c r="G94" i="20"/>
  <c r="I94" i="20"/>
  <c r="Q94" i="20"/>
  <c r="R94" i="20"/>
  <c r="G95" i="20"/>
  <c r="I95" i="20"/>
  <c r="P95" i="20" s="1"/>
  <c r="Q95" i="20"/>
  <c r="R95" i="20"/>
  <c r="G110" i="20"/>
  <c r="I110" i="20"/>
  <c r="P110" i="20" s="1"/>
  <c r="Q110" i="20"/>
  <c r="R110" i="20"/>
  <c r="H19" i="22" l="1"/>
  <c r="B19" i="22"/>
  <c r="K119" i="20"/>
  <c r="P41" i="20"/>
  <c r="P94" i="20"/>
  <c r="P91" i="20"/>
  <c r="P16" i="20"/>
  <c r="P15" i="20"/>
  <c r="P99" i="20"/>
  <c r="P63" i="20"/>
  <c r="P44" i="20"/>
  <c r="P43" i="20"/>
  <c r="P118" i="20"/>
  <c r="P56" i="20"/>
  <c r="P33" i="20"/>
  <c r="I57" i="20"/>
  <c r="I28" i="20"/>
  <c r="I71" i="20"/>
  <c r="I96" i="20"/>
  <c r="I72" i="20"/>
  <c r="I30" i="20"/>
  <c r="I73" i="20"/>
  <c r="I114" i="20"/>
  <c r="I74" i="20"/>
  <c r="I112" i="20"/>
  <c r="I102" i="20"/>
  <c r="I75" i="20"/>
  <c r="I76" i="20"/>
  <c r="I34" i="20"/>
  <c r="I21" i="20"/>
  <c r="I65" i="20"/>
  <c r="I22" i="20"/>
  <c r="I35" i="20"/>
  <c r="I52" i="20"/>
  <c r="I113" i="20"/>
  <c r="I10" i="20"/>
  <c r="I103" i="20"/>
  <c r="I23" i="20"/>
  <c r="I60" i="20"/>
  <c r="I78" i="20"/>
  <c r="I79" i="20"/>
  <c r="I111" i="20"/>
  <c r="I36" i="20"/>
  <c r="I37" i="20"/>
  <c r="I100" i="20"/>
  <c r="I31" i="20"/>
  <c r="I66" i="20"/>
  <c r="I24" i="20"/>
  <c r="I50" i="20"/>
  <c r="I12" i="20"/>
  <c r="I104" i="20"/>
  <c r="I38" i="20"/>
  <c r="I80" i="20"/>
  <c r="I81" i="20"/>
  <c r="I82" i="20"/>
  <c r="I53" i="20"/>
  <c r="I61" i="20"/>
  <c r="I58" i="20"/>
  <c r="I54" i="20"/>
  <c r="I62" i="20"/>
  <c r="I39" i="20"/>
  <c r="I67" i="20"/>
  <c r="I83" i="20"/>
  <c r="I20" i="20"/>
  <c r="I117" i="20"/>
  <c r="I84" i="20"/>
  <c r="I85" i="20"/>
  <c r="I97" i="20"/>
  <c r="I25" i="20"/>
  <c r="I86" i="20"/>
  <c r="I105" i="20"/>
  <c r="I106" i="20"/>
  <c r="I107" i="20"/>
  <c r="I26" i="20"/>
  <c r="I87" i="20"/>
  <c r="I108" i="20"/>
  <c r="I101" i="20"/>
  <c r="I27" i="20"/>
  <c r="I40" i="20"/>
  <c r="I55" i="20"/>
  <c r="I89" i="20"/>
  <c r="I32" i="20"/>
  <c r="I90" i="20"/>
  <c r="I109" i="20"/>
  <c r="I108" i="21" l="1"/>
  <c r="J99" i="21"/>
  <c r="K24" i="21"/>
  <c r="K59" i="21"/>
  <c r="J96" i="21"/>
  <c r="J95" i="21"/>
  <c r="H136" i="21" l="1"/>
  <c r="H142" i="21"/>
  <c r="H120" i="21"/>
  <c r="H121" i="21"/>
  <c r="H122" i="21"/>
  <c r="J136" i="21"/>
  <c r="J142" i="21"/>
  <c r="J120" i="21"/>
  <c r="J121" i="21"/>
  <c r="J122" i="21"/>
  <c r="K136" i="21"/>
  <c r="K142" i="21"/>
  <c r="K120" i="21"/>
  <c r="K121" i="21"/>
  <c r="K122" i="21"/>
  <c r="I71" i="21"/>
  <c r="I19" i="21"/>
  <c r="I39" i="21"/>
  <c r="I49" i="21"/>
  <c r="I50" i="21"/>
  <c r="I51" i="21"/>
  <c r="I89" i="21"/>
  <c r="I9" i="21"/>
  <c r="I93" i="21"/>
  <c r="I52" i="21"/>
  <c r="I53" i="21"/>
  <c r="I54" i="21"/>
  <c r="I42" i="21"/>
  <c r="I43" i="21"/>
  <c r="I21" i="21"/>
  <c r="I55" i="21"/>
  <c r="I78" i="21"/>
  <c r="I91" i="21"/>
  <c r="I79" i="21"/>
  <c r="I34" i="21"/>
  <c r="I56" i="21"/>
  <c r="I80" i="21"/>
  <c r="I81" i="21"/>
  <c r="I26" i="21"/>
  <c r="I87" i="21"/>
  <c r="I76" i="21"/>
  <c r="I73" i="21"/>
  <c r="I57" i="21"/>
  <c r="I74" i="21"/>
  <c r="I10" i="21"/>
  <c r="I58" i="21"/>
  <c r="I22" i="21"/>
  <c r="I82" i="21"/>
  <c r="I27" i="21"/>
  <c r="I28" i="21"/>
  <c r="I60" i="21"/>
  <c r="I61" i="21"/>
  <c r="I16" i="21"/>
  <c r="I35" i="21"/>
  <c r="I44" i="21"/>
  <c r="I36" i="21"/>
  <c r="I62" i="21"/>
  <c r="I94" i="21"/>
  <c r="I40" i="21"/>
  <c r="I45" i="21"/>
  <c r="I86" i="21"/>
  <c r="I63" i="21"/>
  <c r="I64" i="21"/>
  <c r="I29" i="21"/>
  <c r="I65" i="21"/>
  <c r="I97" i="21"/>
  <c r="I17" i="21"/>
  <c r="I66" i="21"/>
  <c r="I98" i="21"/>
  <c r="I88" i="21"/>
  <c r="I67" i="21"/>
  <c r="I83" i="21"/>
  <c r="I84" i="21"/>
  <c r="I46" i="21"/>
  <c r="I37" i="21"/>
  <c r="I25" i="21"/>
  <c r="I90" i="21"/>
  <c r="I75" i="21"/>
  <c r="I68" i="21"/>
  <c r="I77" i="21"/>
  <c r="I69" i="21"/>
  <c r="I70" i="21"/>
  <c r="I85" i="21"/>
  <c r="I20" i="21"/>
  <c r="I18" i="21"/>
  <c r="I11" i="21"/>
  <c r="I30" i="21"/>
  <c r="I38" i="21"/>
  <c r="I31" i="21"/>
  <c r="I32" i="21"/>
  <c r="I47" i="21"/>
  <c r="I12" i="21"/>
  <c r="I13" i="21"/>
  <c r="I33" i="21"/>
  <c r="I14" i="21"/>
  <c r="I15" i="21"/>
  <c r="I72" i="21"/>
  <c r="I92" i="21"/>
  <c r="K70" i="23" l="1"/>
  <c r="K80" i="23"/>
  <c r="I41" i="23"/>
  <c r="P41" i="23" s="1"/>
  <c r="K40" i="23"/>
  <c r="P40" i="23" s="1"/>
  <c r="G187" i="23"/>
  <c r="G186" i="23"/>
  <c r="G185" i="23"/>
  <c r="G184" i="23"/>
  <c r="G183" i="23"/>
  <c r="M173" i="23"/>
  <c r="K173" i="23"/>
  <c r="J173" i="23"/>
  <c r="I173" i="23"/>
  <c r="H173" i="23"/>
  <c r="L172" i="23"/>
  <c r="L171" i="23"/>
  <c r="L170" i="23"/>
  <c r="L169" i="23"/>
  <c r="L168" i="23"/>
  <c r="L167" i="23"/>
  <c r="G167" i="23"/>
  <c r="M162" i="23"/>
  <c r="K162" i="23"/>
  <c r="J162" i="23"/>
  <c r="H162" i="23"/>
  <c r="I161" i="23"/>
  <c r="L161" i="23" s="1"/>
  <c r="G161" i="23"/>
  <c r="I160" i="23"/>
  <c r="L160" i="23" s="1"/>
  <c r="G160" i="23"/>
  <c r="I159" i="23"/>
  <c r="L159" i="23" s="1"/>
  <c r="G159" i="23"/>
  <c r="I158" i="23"/>
  <c r="L158" i="23" s="1"/>
  <c r="G158" i="23"/>
  <c r="I157" i="23"/>
  <c r="L157" i="23" s="1"/>
  <c r="G157" i="23"/>
  <c r="I156" i="23"/>
  <c r="L156" i="23" s="1"/>
  <c r="G156" i="23"/>
  <c r="I155" i="23"/>
  <c r="L155" i="23" s="1"/>
  <c r="G155" i="23"/>
  <c r="I154" i="23"/>
  <c r="L154" i="23" s="1"/>
  <c r="G154" i="23"/>
  <c r="I153" i="23"/>
  <c r="L153" i="23" s="1"/>
  <c r="G153" i="23"/>
  <c r="I143" i="23"/>
  <c r="K135" i="23"/>
  <c r="J135" i="23"/>
  <c r="H135" i="23"/>
  <c r="K134" i="23"/>
  <c r="J134" i="23"/>
  <c r="H134" i="23"/>
  <c r="K133" i="23"/>
  <c r="J133" i="23"/>
  <c r="H133" i="23"/>
  <c r="K128" i="23"/>
  <c r="J128" i="23"/>
  <c r="H128" i="23"/>
  <c r="K142" i="23"/>
  <c r="J142" i="23"/>
  <c r="H142" i="23"/>
  <c r="K132" i="23"/>
  <c r="J132" i="23"/>
  <c r="H132" i="23"/>
  <c r="K131" i="23"/>
  <c r="J131" i="23"/>
  <c r="H131" i="23"/>
  <c r="K130" i="23"/>
  <c r="J130" i="23"/>
  <c r="H130" i="23"/>
  <c r="K129" i="23"/>
  <c r="J129" i="23"/>
  <c r="H129" i="23"/>
  <c r="K127" i="23"/>
  <c r="J127" i="23"/>
  <c r="H127" i="23"/>
  <c r="K138" i="23"/>
  <c r="J138" i="23"/>
  <c r="H138" i="23"/>
  <c r="K141" i="23"/>
  <c r="J141" i="23"/>
  <c r="H141" i="23"/>
  <c r="K137" i="23"/>
  <c r="J137" i="23"/>
  <c r="H137" i="23"/>
  <c r="K140" i="23"/>
  <c r="J140" i="23"/>
  <c r="H140" i="23"/>
  <c r="K126" i="23"/>
  <c r="J126" i="23"/>
  <c r="H126" i="23"/>
  <c r="K139" i="23"/>
  <c r="J139" i="23"/>
  <c r="H139" i="23"/>
  <c r="K136" i="23"/>
  <c r="J136" i="23"/>
  <c r="H136" i="23"/>
  <c r="K124" i="23"/>
  <c r="J124" i="23"/>
  <c r="H124" i="23"/>
  <c r="K125" i="23"/>
  <c r="J125" i="23"/>
  <c r="H125" i="23"/>
  <c r="L118" i="23"/>
  <c r="K118" i="23"/>
  <c r="J118" i="23"/>
  <c r="I118" i="23"/>
  <c r="G118" i="23"/>
  <c r="H117" i="23"/>
  <c r="H116" i="23"/>
  <c r="H115" i="23"/>
  <c r="N108" i="23"/>
  <c r="M108" i="23"/>
  <c r="L108" i="23"/>
  <c r="H108" i="23"/>
  <c r="R10" i="23"/>
  <c r="Q10" i="23"/>
  <c r="I10" i="23"/>
  <c r="P10" i="23" s="1"/>
  <c r="G10" i="23"/>
  <c r="R9" i="23"/>
  <c r="Q9" i="23"/>
  <c r="I9" i="23"/>
  <c r="P9" i="23" s="1"/>
  <c r="G9" i="23"/>
  <c r="R22" i="23"/>
  <c r="Q22" i="23"/>
  <c r="I22" i="23"/>
  <c r="P22" i="23" s="1"/>
  <c r="G22" i="23"/>
  <c r="R83" i="23"/>
  <c r="Q83" i="23"/>
  <c r="I83" i="23"/>
  <c r="P83" i="23" s="1"/>
  <c r="G83" i="23"/>
  <c r="R101" i="23"/>
  <c r="Q101" i="23"/>
  <c r="I101" i="23"/>
  <c r="P101" i="23" s="1"/>
  <c r="G101" i="23"/>
  <c r="R98" i="23"/>
  <c r="Q98" i="23"/>
  <c r="I98" i="23"/>
  <c r="P98" i="23" s="1"/>
  <c r="G98" i="23"/>
  <c r="R45" i="23"/>
  <c r="Q45" i="23"/>
  <c r="I45" i="23"/>
  <c r="P45" i="23" s="1"/>
  <c r="G45" i="23"/>
  <c r="R56" i="23"/>
  <c r="Q56" i="23"/>
  <c r="I56" i="23"/>
  <c r="P56" i="23" s="1"/>
  <c r="G56" i="23"/>
  <c r="R57" i="23"/>
  <c r="Q57" i="23"/>
  <c r="I57" i="23"/>
  <c r="P57" i="23" s="1"/>
  <c r="G57" i="23"/>
  <c r="R92" i="23"/>
  <c r="Q92" i="23"/>
  <c r="I92" i="23"/>
  <c r="P92" i="23" s="1"/>
  <c r="G92" i="23"/>
  <c r="R47" i="23"/>
  <c r="Q47" i="23"/>
  <c r="I47" i="23"/>
  <c r="P47" i="23" s="1"/>
  <c r="G47" i="23"/>
  <c r="R27" i="23"/>
  <c r="Q27" i="23"/>
  <c r="I27" i="23"/>
  <c r="P27" i="23" s="1"/>
  <c r="G27" i="23"/>
  <c r="R82" i="23"/>
  <c r="Q82" i="23"/>
  <c r="I82" i="23"/>
  <c r="P82" i="23" s="1"/>
  <c r="G82" i="23"/>
  <c r="R46" i="23"/>
  <c r="Q46" i="23"/>
  <c r="I46" i="23"/>
  <c r="P46" i="23" s="1"/>
  <c r="G46" i="23"/>
  <c r="R44" i="23"/>
  <c r="Q44" i="23"/>
  <c r="I44" i="23"/>
  <c r="P44" i="23" s="1"/>
  <c r="G44" i="23"/>
  <c r="R26" i="23"/>
  <c r="Q26" i="23"/>
  <c r="I26" i="23"/>
  <c r="P26" i="23" s="1"/>
  <c r="G26" i="23"/>
  <c r="R80" i="23"/>
  <c r="Q80" i="23"/>
  <c r="P80" i="23"/>
  <c r="G80" i="23"/>
  <c r="R81" i="23"/>
  <c r="Q81" i="23"/>
  <c r="I81" i="23"/>
  <c r="P81" i="23" s="1"/>
  <c r="G81" i="23"/>
  <c r="R25" i="23"/>
  <c r="Q25" i="23"/>
  <c r="O25" i="23"/>
  <c r="I25" i="23"/>
  <c r="G25" i="23"/>
  <c r="R23" i="23"/>
  <c r="Q23" i="23"/>
  <c r="K23" i="23"/>
  <c r="G23" i="23"/>
  <c r="R24" i="23"/>
  <c r="Q24" i="23"/>
  <c r="O24" i="23"/>
  <c r="I24" i="23"/>
  <c r="G24" i="23"/>
  <c r="R32" i="23"/>
  <c r="Q32" i="23"/>
  <c r="I32" i="23"/>
  <c r="P32" i="23" s="1"/>
  <c r="G32" i="23"/>
  <c r="R91" i="23"/>
  <c r="Q91" i="23"/>
  <c r="I91" i="23"/>
  <c r="P91" i="23" s="1"/>
  <c r="G91" i="23"/>
  <c r="R79" i="23"/>
  <c r="Q79" i="23"/>
  <c r="I79" i="23"/>
  <c r="P79" i="23" s="1"/>
  <c r="G79" i="23"/>
  <c r="R43" i="23"/>
  <c r="Q43" i="23"/>
  <c r="I43" i="23"/>
  <c r="P43" i="23" s="1"/>
  <c r="G43" i="23"/>
  <c r="R42" i="23"/>
  <c r="Q42" i="23"/>
  <c r="I42" i="23"/>
  <c r="P42" i="23" s="1"/>
  <c r="G42" i="23"/>
  <c r="R41" i="23"/>
  <c r="Q41" i="23"/>
  <c r="G41" i="23"/>
  <c r="R40" i="23"/>
  <c r="Q40" i="23"/>
  <c r="G40" i="23"/>
  <c r="R49" i="23"/>
  <c r="Q49" i="23"/>
  <c r="I49" i="23"/>
  <c r="P49" i="23" s="1"/>
  <c r="G49" i="23"/>
  <c r="R39" i="23"/>
  <c r="Q39" i="23"/>
  <c r="I39" i="23"/>
  <c r="P39" i="23" s="1"/>
  <c r="G39" i="23"/>
  <c r="R77" i="23"/>
  <c r="Q77" i="23"/>
  <c r="I77" i="23"/>
  <c r="P77" i="23" s="1"/>
  <c r="G77" i="23"/>
  <c r="R90" i="23"/>
  <c r="Q90" i="23"/>
  <c r="I90" i="23"/>
  <c r="P90" i="23" s="1"/>
  <c r="G90" i="23"/>
  <c r="R78" i="23"/>
  <c r="Q78" i="23"/>
  <c r="I78" i="23"/>
  <c r="P78" i="23" s="1"/>
  <c r="G78" i="23"/>
  <c r="R103" i="23"/>
  <c r="Q103" i="23"/>
  <c r="I103" i="23"/>
  <c r="P103" i="23" s="1"/>
  <c r="G103" i="23"/>
  <c r="R95" i="23"/>
  <c r="Q95" i="23"/>
  <c r="I95" i="23"/>
  <c r="P95" i="23" s="1"/>
  <c r="G95" i="23"/>
  <c r="R93" i="23"/>
  <c r="Q93" i="23"/>
  <c r="I93" i="23"/>
  <c r="P93" i="23" s="1"/>
  <c r="G93" i="23"/>
  <c r="R63" i="23"/>
  <c r="Q63" i="23"/>
  <c r="I63" i="23"/>
  <c r="P63" i="23" s="1"/>
  <c r="G63" i="23"/>
  <c r="R55" i="23"/>
  <c r="Q55" i="23"/>
  <c r="I55" i="23"/>
  <c r="P55" i="23" s="1"/>
  <c r="G55" i="23"/>
  <c r="R38" i="23"/>
  <c r="Q38" i="23"/>
  <c r="I38" i="23"/>
  <c r="P38" i="23" s="1"/>
  <c r="G38" i="23"/>
  <c r="R107" i="23"/>
  <c r="Q107" i="23"/>
  <c r="I107" i="23"/>
  <c r="P107" i="23" s="1"/>
  <c r="G107" i="23"/>
  <c r="R29" i="23"/>
  <c r="Q29" i="23"/>
  <c r="I29" i="23"/>
  <c r="P29" i="23" s="1"/>
  <c r="G29" i="23"/>
  <c r="R20" i="23"/>
  <c r="Q20" i="23"/>
  <c r="O20" i="23"/>
  <c r="I20" i="23"/>
  <c r="G20" i="23"/>
  <c r="R21" i="23"/>
  <c r="Q21" i="23"/>
  <c r="O21" i="23"/>
  <c r="I21" i="23"/>
  <c r="G21" i="23"/>
  <c r="R99" i="23"/>
  <c r="Q99" i="23"/>
  <c r="I99" i="23"/>
  <c r="P99" i="23" s="1"/>
  <c r="G99" i="23"/>
  <c r="R76" i="23"/>
  <c r="Q76" i="23"/>
  <c r="I76" i="23"/>
  <c r="P76" i="23" s="1"/>
  <c r="G76" i="23"/>
  <c r="R30" i="23"/>
  <c r="Q30" i="23"/>
  <c r="I30" i="23"/>
  <c r="P30" i="23" s="1"/>
  <c r="G30" i="23"/>
  <c r="R102" i="23"/>
  <c r="Q102" i="23"/>
  <c r="I102" i="23"/>
  <c r="P102" i="23" s="1"/>
  <c r="G102" i="23"/>
  <c r="R62" i="23"/>
  <c r="Q62" i="23"/>
  <c r="I62" i="23"/>
  <c r="P62" i="23" s="1"/>
  <c r="G62" i="23"/>
  <c r="R106" i="23"/>
  <c r="Q106" i="23"/>
  <c r="I106" i="23"/>
  <c r="P106" i="23" s="1"/>
  <c r="G106" i="23"/>
  <c r="R28" i="23"/>
  <c r="Q28" i="23"/>
  <c r="I28" i="23"/>
  <c r="P28" i="23" s="1"/>
  <c r="G28" i="23"/>
  <c r="R89" i="23"/>
  <c r="Q89" i="23"/>
  <c r="I89" i="23"/>
  <c r="P89" i="23" s="1"/>
  <c r="G89" i="23"/>
  <c r="R54" i="23"/>
  <c r="Q54" i="23"/>
  <c r="I54" i="23"/>
  <c r="P54" i="23" s="1"/>
  <c r="G54" i="23"/>
  <c r="R88" i="23"/>
  <c r="Q88" i="23"/>
  <c r="I88" i="23"/>
  <c r="P88" i="23" s="1"/>
  <c r="G88" i="23"/>
  <c r="R87" i="23"/>
  <c r="Q87" i="23"/>
  <c r="I87" i="23"/>
  <c r="P87" i="23" s="1"/>
  <c r="G87" i="23"/>
  <c r="R19" i="23"/>
  <c r="Q19" i="23"/>
  <c r="O19" i="23"/>
  <c r="I19" i="23"/>
  <c r="G19" i="23"/>
  <c r="R61" i="23"/>
  <c r="Q61" i="23"/>
  <c r="I61" i="23"/>
  <c r="P61" i="23" s="1"/>
  <c r="G61" i="23"/>
  <c r="R97" i="23"/>
  <c r="Q97" i="23"/>
  <c r="I97" i="23"/>
  <c r="P97" i="23" s="1"/>
  <c r="G97" i="23"/>
  <c r="R13" i="23"/>
  <c r="Q13" i="23"/>
  <c r="I13" i="23"/>
  <c r="P13" i="23" s="1"/>
  <c r="G13" i="23"/>
  <c r="R37" i="23"/>
  <c r="Q37" i="23"/>
  <c r="I37" i="23"/>
  <c r="P37" i="23" s="1"/>
  <c r="G37" i="23"/>
  <c r="R53" i="23"/>
  <c r="Q53" i="23"/>
  <c r="I53" i="23"/>
  <c r="P53" i="23" s="1"/>
  <c r="G53" i="23"/>
  <c r="R60" i="23"/>
  <c r="Q60" i="23"/>
  <c r="I60" i="23"/>
  <c r="P60" i="23" s="1"/>
  <c r="G60" i="23"/>
  <c r="R75" i="23"/>
  <c r="Q75" i="23"/>
  <c r="I75" i="23"/>
  <c r="P75" i="23" s="1"/>
  <c r="G75" i="23"/>
  <c r="R18" i="23"/>
  <c r="Q18" i="23"/>
  <c r="O18" i="23"/>
  <c r="I18" i="23"/>
  <c r="G18" i="23"/>
  <c r="R36" i="23"/>
  <c r="Q36" i="23"/>
  <c r="I36" i="23"/>
  <c r="P36" i="23" s="1"/>
  <c r="G36" i="23"/>
  <c r="R50" i="23"/>
  <c r="Q50" i="23"/>
  <c r="I50" i="23"/>
  <c r="P50" i="23" s="1"/>
  <c r="G50" i="23"/>
  <c r="R74" i="23"/>
  <c r="Q74" i="23"/>
  <c r="I74" i="23"/>
  <c r="P74" i="23" s="1"/>
  <c r="G74" i="23"/>
  <c r="R35" i="23"/>
  <c r="Q35" i="23"/>
  <c r="I35" i="23"/>
  <c r="P35" i="23" s="1"/>
  <c r="G35" i="23"/>
  <c r="R73" i="23"/>
  <c r="Q73" i="23"/>
  <c r="I73" i="23"/>
  <c r="P73" i="23" s="1"/>
  <c r="G73" i="23"/>
  <c r="R17" i="23"/>
  <c r="Q17" i="23"/>
  <c r="O17" i="23"/>
  <c r="I17" i="23"/>
  <c r="G17" i="23"/>
  <c r="R48" i="23"/>
  <c r="Q48" i="23"/>
  <c r="I48" i="23"/>
  <c r="P48" i="23" s="1"/>
  <c r="G48" i="23"/>
  <c r="R105" i="23"/>
  <c r="Q105" i="23"/>
  <c r="J105" i="23"/>
  <c r="P105" i="23" s="1"/>
  <c r="G105" i="23"/>
  <c r="R86" i="23"/>
  <c r="Q86" i="23"/>
  <c r="I86" i="23"/>
  <c r="P86" i="23" s="1"/>
  <c r="G86" i="23"/>
  <c r="R34" i="23"/>
  <c r="Q34" i="23"/>
  <c r="I34" i="23"/>
  <c r="P34" i="23" s="1"/>
  <c r="G34" i="23"/>
  <c r="R59" i="23"/>
  <c r="Q59" i="23"/>
  <c r="I59" i="23"/>
  <c r="P59" i="23" s="1"/>
  <c r="G59" i="23"/>
  <c r="R70" i="23"/>
  <c r="Q70" i="23"/>
  <c r="P70" i="23"/>
  <c r="G70" i="23"/>
  <c r="R52" i="23"/>
  <c r="Q52" i="23"/>
  <c r="I52" i="23"/>
  <c r="P52" i="23" s="1"/>
  <c r="G52" i="23"/>
  <c r="R33" i="23"/>
  <c r="Q33" i="23"/>
  <c r="I33" i="23"/>
  <c r="P33" i="23" s="1"/>
  <c r="G33" i="23"/>
  <c r="R71" i="23"/>
  <c r="Q71" i="23"/>
  <c r="I71" i="23"/>
  <c r="P71" i="23" s="1"/>
  <c r="G71" i="23"/>
  <c r="R72" i="23"/>
  <c r="Q72" i="23"/>
  <c r="I72" i="23"/>
  <c r="P72" i="23" s="1"/>
  <c r="G72" i="23"/>
  <c r="R85" i="23"/>
  <c r="Q85" i="23"/>
  <c r="I85" i="23"/>
  <c r="P85" i="23" s="1"/>
  <c r="G85" i="23"/>
  <c r="R64" i="23"/>
  <c r="Q64" i="23"/>
  <c r="I64" i="23"/>
  <c r="P64" i="23" s="1"/>
  <c r="G64" i="23"/>
  <c r="R12" i="23"/>
  <c r="Q12" i="23"/>
  <c r="I12" i="23"/>
  <c r="P12" i="23" s="1"/>
  <c r="G12" i="23"/>
  <c r="R67" i="23"/>
  <c r="Q67" i="23"/>
  <c r="I67" i="23"/>
  <c r="P67" i="23" s="1"/>
  <c r="G67" i="23"/>
  <c r="R94" i="23"/>
  <c r="Q94" i="23"/>
  <c r="I94" i="23"/>
  <c r="P94" i="23" s="1"/>
  <c r="G94" i="23"/>
  <c r="R69" i="23"/>
  <c r="Q69" i="23"/>
  <c r="I69" i="23"/>
  <c r="P69" i="23" s="1"/>
  <c r="G69" i="23"/>
  <c r="R68" i="23"/>
  <c r="Q68" i="23"/>
  <c r="I68" i="23"/>
  <c r="P68" i="23" s="1"/>
  <c r="G68" i="23"/>
  <c r="R16" i="23"/>
  <c r="Q16" i="23"/>
  <c r="O16" i="23"/>
  <c r="I16" i="23"/>
  <c r="G16" i="23"/>
  <c r="R96" i="23"/>
  <c r="Q96" i="23"/>
  <c r="I96" i="23"/>
  <c r="P96" i="23" s="1"/>
  <c r="G96" i="23"/>
  <c r="R66" i="23"/>
  <c r="Q66" i="23"/>
  <c r="I66" i="23"/>
  <c r="P66" i="23" s="1"/>
  <c r="G66" i="23"/>
  <c r="R84" i="23"/>
  <c r="Q84" i="23"/>
  <c r="I84" i="23"/>
  <c r="P84" i="23" s="1"/>
  <c r="G84" i="23"/>
  <c r="R11" i="23"/>
  <c r="Q11" i="23"/>
  <c r="I11" i="23"/>
  <c r="P11" i="23" s="1"/>
  <c r="G11" i="23"/>
  <c r="R100" i="23"/>
  <c r="Q100" i="23"/>
  <c r="I100" i="23"/>
  <c r="P100" i="23" s="1"/>
  <c r="G100" i="23"/>
  <c r="R58" i="23"/>
  <c r="Q58" i="23"/>
  <c r="I58" i="23"/>
  <c r="P58" i="23" s="1"/>
  <c r="G58" i="23"/>
  <c r="R51" i="23"/>
  <c r="Q51" i="23"/>
  <c r="I51" i="23"/>
  <c r="P51" i="23" s="1"/>
  <c r="G51" i="23"/>
  <c r="R104" i="23"/>
  <c r="Q104" i="23"/>
  <c r="J104" i="23"/>
  <c r="G104" i="23"/>
  <c r="R15" i="23"/>
  <c r="Q15" i="23"/>
  <c r="I15" i="23"/>
  <c r="P15" i="23" s="1"/>
  <c r="G15" i="23"/>
  <c r="R65" i="23"/>
  <c r="Q65" i="23"/>
  <c r="I65" i="23"/>
  <c r="P65" i="23" s="1"/>
  <c r="G65" i="23"/>
  <c r="R14" i="23"/>
  <c r="Q14" i="23"/>
  <c r="I14" i="23"/>
  <c r="P14" i="23" s="1"/>
  <c r="G14" i="23"/>
  <c r="R31" i="23"/>
  <c r="Q31" i="23"/>
  <c r="I31" i="23"/>
  <c r="P31" i="23" s="1"/>
  <c r="G31" i="23"/>
  <c r="J4" i="23"/>
  <c r="N1" i="23"/>
  <c r="K149" i="23" s="1"/>
  <c r="G1" i="23"/>
  <c r="B4" i="23" l="1"/>
  <c r="P20" i="23"/>
  <c r="P18" i="23"/>
  <c r="P24" i="23"/>
  <c r="L173" i="23"/>
  <c r="P16" i="23"/>
  <c r="P25" i="23"/>
  <c r="L162" i="23"/>
  <c r="P21" i="23"/>
  <c r="H118" i="23"/>
  <c r="P19" i="23"/>
  <c r="P17" i="23"/>
  <c r="I108" i="23"/>
  <c r="K108" i="23"/>
  <c r="P23" i="23"/>
  <c r="P104" i="23"/>
  <c r="J108" i="23"/>
  <c r="O108" i="23"/>
  <c r="I162" i="23"/>
  <c r="M4" i="23" s="1"/>
  <c r="P108" i="23" l="1"/>
  <c r="G4" i="23"/>
  <c r="P4" i="23" s="1"/>
  <c r="I23" i="19" l="1"/>
  <c r="P23" i="19" s="1"/>
  <c r="I24" i="19"/>
  <c r="P24" i="19" s="1"/>
  <c r="Q23" i="19"/>
  <c r="Q24" i="19"/>
  <c r="R23" i="19"/>
  <c r="R24" i="19"/>
  <c r="I65" i="19"/>
  <c r="P65" i="19" s="1"/>
  <c r="I20" i="19"/>
  <c r="P20" i="19" s="1"/>
  <c r="I21" i="19"/>
  <c r="P21" i="19" s="1"/>
  <c r="Q65" i="19"/>
  <c r="Q20" i="19"/>
  <c r="Q21" i="19"/>
  <c r="R65" i="19"/>
  <c r="R20" i="19"/>
  <c r="R21" i="19"/>
  <c r="I22" i="19"/>
  <c r="P22" i="19" s="1"/>
  <c r="I66" i="19"/>
  <c r="P66" i="19" s="1"/>
  <c r="Q22" i="19"/>
  <c r="Q66" i="19"/>
  <c r="R22" i="19"/>
  <c r="R66" i="19"/>
  <c r="I64" i="19"/>
  <c r="P64" i="19" s="1"/>
  <c r="I19" i="19"/>
  <c r="P19" i="19" s="1"/>
  <c r="Q64" i="19"/>
  <c r="Q19" i="19"/>
  <c r="R64" i="19"/>
  <c r="R19" i="19"/>
  <c r="I25" i="19"/>
  <c r="P25" i="19" s="1"/>
  <c r="Q25" i="19"/>
  <c r="R25" i="19"/>
  <c r="I11" i="19"/>
  <c r="P11" i="19" s="1"/>
  <c r="Q11" i="19"/>
  <c r="R11" i="19"/>
  <c r="I18" i="19"/>
  <c r="P18" i="19" s="1"/>
  <c r="I84" i="19"/>
  <c r="P84" i="19" s="1"/>
  <c r="Q84" i="19"/>
  <c r="R84" i="19"/>
  <c r="I118" i="19"/>
  <c r="P118" i="19" s="1"/>
  <c r="Q118" i="19"/>
  <c r="R118" i="19"/>
  <c r="I85" i="19"/>
  <c r="P85" i="19" s="1"/>
  <c r="Q85" i="19"/>
  <c r="R85" i="19"/>
  <c r="I119" i="19"/>
  <c r="P119" i="19" s="1"/>
  <c r="Q119" i="19"/>
  <c r="R119" i="19"/>
  <c r="Q18" i="19"/>
  <c r="R18" i="19"/>
  <c r="I87" i="19"/>
  <c r="P87" i="19" s="1"/>
  <c r="Q87" i="19"/>
  <c r="R87" i="19"/>
  <c r="J131" i="19"/>
  <c r="P131" i="19" s="1"/>
  <c r="J130" i="19"/>
  <c r="J129" i="19"/>
  <c r="K47" i="19"/>
  <c r="K133" i="19" s="1"/>
  <c r="I40" i="19"/>
  <c r="I67" i="19"/>
  <c r="I12" i="19"/>
  <c r="I68" i="19"/>
  <c r="I69" i="19"/>
  <c r="I34" i="19"/>
  <c r="I35" i="19"/>
  <c r="I123" i="19"/>
  <c r="I10" i="19"/>
  <c r="I86" i="19"/>
  <c r="I103" i="19"/>
  <c r="I41" i="19"/>
  <c r="I104" i="19"/>
  <c r="I105" i="19"/>
  <c r="I38" i="19"/>
  <c r="I124" i="19"/>
  <c r="I39" i="19"/>
  <c r="I106" i="19"/>
  <c r="I125" i="19"/>
  <c r="I122" i="19"/>
  <c r="I107" i="19"/>
  <c r="I126" i="19"/>
  <c r="I108" i="19"/>
  <c r="I109" i="19"/>
  <c r="I33" i="19"/>
  <c r="I70" i="19"/>
  <c r="I42" i="19"/>
  <c r="I43" i="19"/>
  <c r="I26" i="19"/>
  <c r="I27" i="19"/>
  <c r="I28" i="19"/>
  <c r="I110" i="19"/>
  <c r="I44" i="19"/>
  <c r="I71" i="19"/>
  <c r="I120" i="19"/>
  <c r="I72" i="19"/>
  <c r="I121" i="19"/>
  <c r="I45" i="19"/>
  <c r="I46" i="19"/>
  <c r="I74" i="19"/>
  <c r="I75" i="19"/>
  <c r="I111" i="19"/>
  <c r="I13" i="19"/>
  <c r="I112" i="19"/>
  <c r="I113" i="19"/>
  <c r="I114" i="19"/>
  <c r="I115" i="19"/>
  <c r="I48" i="19"/>
  <c r="I128" i="19"/>
  <c r="I49" i="19"/>
  <c r="I76" i="19"/>
  <c r="I50" i="19"/>
  <c r="I77" i="19"/>
  <c r="I78" i="19"/>
  <c r="I79" i="19"/>
  <c r="I80" i="19"/>
  <c r="I51" i="19"/>
  <c r="I52" i="19"/>
  <c r="I53" i="19"/>
  <c r="I54" i="19"/>
  <c r="I88" i="19"/>
  <c r="I55" i="19"/>
  <c r="I116" i="19"/>
  <c r="I117" i="19"/>
  <c r="I29" i="19"/>
  <c r="I9" i="19"/>
  <c r="I81" i="19"/>
  <c r="I82" i="19"/>
  <c r="I83" i="19"/>
  <c r="I37" i="19"/>
  <c r="I96" i="19"/>
  <c r="I97" i="19"/>
  <c r="I56" i="19"/>
  <c r="I57" i="19"/>
  <c r="I58" i="19"/>
  <c r="I127" i="19"/>
  <c r="I36" i="19"/>
  <c r="I89" i="19"/>
  <c r="I90" i="19"/>
  <c r="I91" i="19"/>
  <c r="I98" i="19"/>
  <c r="I99" i="19"/>
  <c r="I100" i="19"/>
  <c r="I101" i="19"/>
  <c r="I102" i="19"/>
  <c r="I59" i="19"/>
  <c r="I60" i="19"/>
  <c r="I61" i="19"/>
  <c r="I62" i="19"/>
  <c r="P62" i="19" s="1"/>
  <c r="I63" i="19"/>
  <c r="P63" i="19" s="1"/>
  <c r="I30" i="19"/>
  <c r="P30" i="19" s="1"/>
  <c r="I132" i="19"/>
  <c r="P132" i="19" s="1"/>
  <c r="I92" i="19"/>
  <c r="P92" i="19" s="1"/>
  <c r="I93" i="19"/>
  <c r="I94" i="19"/>
  <c r="P94" i="19" s="1"/>
  <c r="I95" i="19"/>
  <c r="P95" i="19" s="1"/>
  <c r="I31" i="19"/>
  <c r="P31" i="19" s="1"/>
  <c r="I32" i="19"/>
  <c r="I14" i="19"/>
  <c r="P14" i="19" s="1"/>
  <c r="I15" i="19"/>
  <c r="P15" i="19" s="1"/>
  <c r="I16" i="19"/>
  <c r="P16" i="19" s="1"/>
  <c r="I17" i="19"/>
  <c r="Q61" i="19"/>
  <c r="Q62" i="19"/>
  <c r="Q63" i="19"/>
  <c r="Q30" i="19"/>
  <c r="Q130" i="19"/>
  <c r="Q131" i="19"/>
  <c r="Q132" i="19"/>
  <c r="Q92" i="19"/>
  <c r="Q93" i="19"/>
  <c r="Q94" i="19"/>
  <c r="Q95" i="19"/>
  <c r="Q31" i="19"/>
  <c r="Q32" i="19"/>
  <c r="Q14" i="19"/>
  <c r="Q15" i="19"/>
  <c r="Q16" i="19"/>
  <c r="Q17" i="19"/>
  <c r="R61" i="19"/>
  <c r="R62" i="19"/>
  <c r="R63" i="19"/>
  <c r="R30" i="19"/>
  <c r="R130" i="19"/>
  <c r="R131" i="19"/>
  <c r="R132" i="19"/>
  <c r="R92" i="19"/>
  <c r="R93" i="19"/>
  <c r="R94" i="19"/>
  <c r="R95" i="19"/>
  <c r="R31" i="19"/>
  <c r="R32" i="19"/>
  <c r="R14" i="19"/>
  <c r="R15" i="19"/>
  <c r="R16" i="19"/>
  <c r="R17" i="19"/>
  <c r="J133" i="19" l="1"/>
  <c r="I133" i="19"/>
  <c r="P17" i="19"/>
  <c r="P32" i="19"/>
  <c r="P93" i="19"/>
  <c r="P130" i="19"/>
  <c r="P61" i="19"/>
  <c r="H142" i="19"/>
  <c r="J117" i="18" l="1"/>
  <c r="J121" i="18"/>
  <c r="K65" i="18"/>
  <c r="K64" i="18"/>
  <c r="J118" i="18"/>
  <c r="H116" i="18"/>
  <c r="I116" i="18" s="1"/>
  <c r="H96" i="18"/>
  <c r="I96" i="18" s="1"/>
  <c r="H26" i="18"/>
  <c r="H93" i="18"/>
  <c r="I93" i="18" s="1"/>
  <c r="G25" i="18"/>
  <c r="I25" i="18"/>
  <c r="Q25" i="18"/>
  <c r="R25" i="18"/>
  <c r="I54" i="18"/>
  <c r="I13" i="18"/>
  <c r="I55" i="18"/>
  <c r="I30" i="18"/>
  <c r="I102" i="18"/>
  <c r="I103" i="18"/>
  <c r="I10" i="18"/>
  <c r="I56" i="18"/>
  <c r="I57" i="18"/>
  <c r="I58" i="18"/>
  <c r="I59" i="18"/>
  <c r="I85" i="18"/>
  <c r="I60" i="18"/>
  <c r="I34" i="18"/>
  <c r="I94" i="18"/>
  <c r="I95" i="18"/>
  <c r="I61" i="18"/>
  <c r="I62" i="18"/>
  <c r="I104" i="18"/>
  <c r="I9" i="18"/>
  <c r="I26" i="18"/>
  <c r="I17" i="18"/>
  <c r="I105" i="18"/>
  <c r="I86" i="18"/>
  <c r="I63" i="18"/>
  <c r="I35" i="18"/>
  <c r="I36" i="18"/>
  <c r="I37" i="18"/>
  <c r="I101" i="18"/>
  <c r="I115" i="18"/>
  <c r="I38" i="18"/>
  <c r="I39" i="18"/>
  <c r="I66" i="18"/>
  <c r="I67" i="18"/>
  <c r="I22" i="18"/>
  <c r="I68" i="18"/>
  <c r="I106" i="18"/>
  <c r="I87" i="18"/>
  <c r="I12" i="18"/>
  <c r="I27" i="18"/>
  <c r="I88" i="18"/>
  <c r="I107" i="18"/>
  <c r="I41" i="18"/>
  <c r="I89" i="18"/>
  <c r="I119" i="18"/>
  <c r="I42" i="18"/>
  <c r="I69" i="18"/>
  <c r="I70" i="18"/>
  <c r="I97" i="18"/>
  <c r="I98" i="18"/>
  <c r="I108" i="18"/>
  <c r="I53" i="18"/>
  <c r="I71" i="18"/>
  <c r="I43" i="18"/>
  <c r="I72" i="18"/>
  <c r="I120" i="18"/>
  <c r="I73" i="18"/>
  <c r="I44" i="18"/>
  <c r="I90" i="18"/>
  <c r="I109" i="18"/>
  <c r="I28" i="18"/>
  <c r="I74" i="18"/>
  <c r="I110" i="18"/>
  <c r="I75" i="18"/>
  <c r="I51" i="18"/>
  <c r="I52" i="18"/>
  <c r="I45" i="18"/>
  <c r="I76" i="18"/>
  <c r="I84" i="18"/>
  <c r="I77" i="18"/>
  <c r="I11" i="18"/>
  <c r="I114" i="18"/>
  <c r="I78" i="18"/>
  <c r="I46" i="18"/>
  <c r="I47" i="18"/>
  <c r="I91" i="18"/>
  <c r="I21" i="18"/>
  <c r="I79" i="18"/>
  <c r="I111" i="18"/>
  <c r="I99" i="18"/>
  <c r="I31" i="18"/>
  <c r="I32" i="18"/>
  <c r="I112" i="18"/>
  <c r="I80" i="18"/>
  <c r="I113" i="18"/>
  <c r="I29" i="18"/>
  <c r="I48" i="18"/>
  <c r="I49" i="18"/>
  <c r="I92" i="18"/>
  <c r="I100" i="18"/>
  <c r="I50" i="18"/>
  <c r="I83" i="18"/>
  <c r="I40" i="18"/>
  <c r="I33" i="18"/>
  <c r="I14" i="18"/>
  <c r="I15" i="18"/>
  <c r="I16" i="18"/>
  <c r="I18" i="18"/>
  <c r="I19" i="18"/>
  <c r="I81" i="18"/>
  <c r="I20" i="18"/>
  <c r="I82" i="18"/>
  <c r="I23" i="18"/>
  <c r="H122" i="18" l="1"/>
  <c r="P25" i="18"/>
  <c r="J117" i="15"/>
  <c r="I125" i="15"/>
  <c r="I126" i="15"/>
  <c r="I127" i="15"/>
  <c r="O81" i="15"/>
  <c r="O79" i="15"/>
  <c r="O77" i="15"/>
  <c r="J112" i="15"/>
  <c r="O111" i="15"/>
  <c r="K137" i="15"/>
  <c r="J160" i="15"/>
  <c r="K160" i="15"/>
  <c r="J161" i="15"/>
  <c r="K161" i="15"/>
  <c r="J143" i="15"/>
  <c r="K143" i="15"/>
  <c r="H110" i="15" l="1"/>
  <c r="I88" i="15"/>
  <c r="K89" i="15"/>
  <c r="K90" i="15"/>
  <c r="H161" i="15"/>
  <c r="H143" i="15"/>
  <c r="I91" i="15"/>
  <c r="I33" i="15"/>
  <c r="I30" i="15"/>
  <c r="I56" i="15"/>
  <c r="I57" i="15"/>
  <c r="I92" i="15"/>
  <c r="I17" i="15"/>
  <c r="I82" i="15"/>
  <c r="I75" i="15"/>
  <c r="I36" i="15"/>
  <c r="I35" i="15"/>
  <c r="I68" i="15"/>
  <c r="I93" i="15"/>
  <c r="I94" i="15"/>
  <c r="I110" i="15"/>
  <c r="I31" i="15"/>
  <c r="I12" i="15"/>
  <c r="I95" i="15"/>
  <c r="I13" i="15"/>
  <c r="I37" i="15"/>
  <c r="I83" i="15"/>
  <c r="I96" i="15"/>
  <c r="I10" i="15"/>
  <c r="I38" i="15"/>
  <c r="I76" i="15"/>
  <c r="I14" i="15"/>
  <c r="I97" i="15"/>
  <c r="I98" i="15"/>
  <c r="I69" i="15"/>
  <c r="I39" i="15"/>
  <c r="I40" i="15"/>
  <c r="I99" i="15"/>
  <c r="I42" i="15"/>
  <c r="I41" i="15"/>
  <c r="I58" i="15"/>
  <c r="I77" i="15"/>
  <c r="I100" i="15"/>
  <c r="I59" i="15"/>
  <c r="I60" i="15"/>
  <c r="I61" i="15"/>
  <c r="I62" i="15"/>
  <c r="I44" i="15"/>
  <c r="I43" i="15"/>
  <c r="I101" i="15"/>
  <c r="I84" i="15"/>
  <c r="I45" i="15"/>
  <c r="I113" i="15"/>
  <c r="I78" i="15"/>
  <c r="I46" i="15"/>
  <c r="I47" i="15"/>
  <c r="I48" i="15"/>
  <c r="I116" i="15"/>
  <c r="I50" i="15"/>
  <c r="I114" i="15"/>
  <c r="I115" i="15"/>
  <c r="I26" i="15"/>
  <c r="I85" i="15"/>
  <c r="I63" i="15"/>
  <c r="I51" i="15"/>
  <c r="I27" i="15"/>
  <c r="I49" i="15"/>
  <c r="I64" i="15"/>
  <c r="I107" i="15"/>
  <c r="I29" i="15"/>
  <c r="I102" i="15"/>
  <c r="I79" i="15"/>
  <c r="I52" i="15"/>
  <c r="I103" i="15"/>
  <c r="I108" i="15"/>
  <c r="I104" i="15"/>
  <c r="I105" i="15"/>
  <c r="I109" i="15"/>
  <c r="I65" i="15"/>
  <c r="I80" i="15"/>
  <c r="I32" i="15"/>
  <c r="I53" i="15"/>
  <c r="I34" i="15"/>
  <c r="I106" i="15"/>
  <c r="I66" i="15"/>
  <c r="I86" i="15"/>
  <c r="I54" i="15"/>
  <c r="I67" i="15"/>
  <c r="I55" i="15"/>
  <c r="I87" i="15"/>
  <c r="I81" i="15"/>
  <c r="I28" i="15"/>
  <c r="I71" i="15"/>
  <c r="I72" i="15"/>
  <c r="I73" i="15"/>
  <c r="I74" i="15"/>
  <c r="I15" i="15"/>
  <c r="I16" i="15"/>
  <c r="I18" i="15"/>
  <c r="I19" i="15"/>
  <c r="I20" i="15"/>
  <c r="I21" i="15"/>
  <c r="I22" i="15"/>
  <c r="I23" i="15"/>
  <c r="I24" i="15"/>
  <c r="I25" i="15"/>
  <c r="I70" i="15"/>
  <c r="I9" i="15"/>
  <c r="I11" i="15"/>
  <c r="I118" i="15" l="1"/>
  <c r="I14" i="12"/>
  <c r="I34" i="12"/>
  <c r="I78" i="12"/>
  <c r="I79" i="12"/>
  <c r="I63" i="12"/>
  <c r="I80" i="12"/>
  <c r="I11" i="12"/>
  <c r="I64" i="12"/>
  <c r="I12" i="12"/>
  <c r="I81" i="12"/>
  <c r="I65" i="12"/>
  <c r="I82" i="12"/>
  <c r="I83" i="12"/>
  <c r="I66" i="12"/>
  <c r="I59" i="12"/>
  <c r="I28" i="12"/>
  <c r="I85" i="12"/>
  <c r="I86" i="12"/>
  <c r="I87" i="12"/>
  <c r="I88" i="12"/>
  <c r="I17" i="12"/>
  <c r="I40" i="12"/>
  <c r="I89" i="12"/>
  <c r="I90" i="12"/>
  <c r="I120" i="12"/>
  <c r="I9" i="12"/>
  <c r="I91" i="12"/>
  <c r="I31" i="12"/>
  <c r="I33" i="12"/>
  <c r="I92" i="12"/>
  <c r="I41" i="12"/>
  <c r="I42" i="12"/>
  <c r="I18" i="12"/>
  <c r="I13" i="12"/>
  <c r="I43" i="12"/>
  <c r="I44" i="12"/>
  <c r="I93" i="12"/>
  <c r="I94" i="12"/>
  <c r="I67" i="12"/>
  <c r="I68" i="12"/>
  <c r="I45" i="12"/>
  <c r="I69" i="12"/>
  <c r="I95" i="12"/>
  <c r="I96" i="12"/>
  <c r="I97" i="12"/>
  <c r="I70" i="12"/>
  <c r="I98" i="12"/>
  <c r="I29" i="12"/>
  <c r="I61" i="12"/>
  <c r="I57" i="12"/>
  <c r="I123" i="12"/>
  <c r="I99" i="12"/>
  <c r="I100" i="12"/>
  <c r="I101" i="12"/>
  <c r="I74" i="12"/>
  <c r="I124" i="12"/>
  <c r="I46" i="12"/>
  <c r="I30" i="12"/>
  <c r="I47" i="12"/>
  <c r="I103" i="12"/>
  <c r="I119" i="12"/>
  <c r="I48" i="12"/>
  <c r="I49" i="12"/>
  <c r="I104" i="12"/>
  <c r="I24" i="12"/>
  <c r="I71" i="12"/>
  <c r="I72" i="12"/>
  <c r="I105" i="12"/>
  <c r="I106" i="12"/>
  <c r="I107" i="12"/>
  <c r="I50" i="12"/>
  <c r="I32" i="12"/>
  <c r="I108" i="12"/>
  <c r="I109" i="12"/>
  <c r="I110" i="12"/>
  <c r="I25" i="12"/>
  <c r="I51" i="12"/>
  <c r="I111" i="12"/>
  <c r="I112" i="12"/>
  <c r="I36" i="12"/>
  <c r="I62" i="12"/>
  <c r="I35" i="12"/>
  <c r="I37" i="12"/>
  <c r="I113" i="12"/>
  <c r="I114" i="12"/>
  <c r="I52" i="12"/>
  <c r="I53" i="12"/>
  <c r="H135" i="12"/>
  <c r="G128" i="11" l="1"/>
  <c r="G127" i="11"/>
  <c r="H130" i="11"/>
  <c r="M130" i="11" s="1"/>
  <c r="G59" i="11"/>
  <c r="I59" i="11"/>
  <c r="P59" i="11" s="1"/>
  <c r="Q59" i="11"/>
  <c r="R59" i="11"/>
  <c r="G24" i="11"/>
  <c r="I24" i="11"/>
  <c r="P24" i="11" s="1"/>
  <c r="Q24" i="11"/>
  <c r="R24" i="11"/>
  <c r="I10" i="11"/>
  <c r="I25" i="11"/>
  <c r="I36" i="11"/>
  <c r="I43" i="11"/>
  <c r="I66" i="11"/>
  <c r="I68" i="11"/>
  <c r="I80" i="11"/>
  <c r="I76" i="11"/>
  <c r="I35" i="11"/>
  <c r="I79" i="11"/>
  <c r="I93" i="11"/>
  <c r="I82" i="11"/>
  <c r="I104" i="11"/>
  <c r="I44" i="11"/>
  <c r="I69" i="11"/>
  <c r="I77" i="11"/>
  <c r="I14" i="11"/>
  <c r="I26" i="11"/>
  <c r="I83" i="11"/>
  <c r="I91" i="11"/>
  <c r="I18" i="11"/>
  <c r="I101" i="11"/>
  <c r="I11" i="11"/>
  <c r="I55" i="11"/>
  <c r="I89" i="11"/>
  <c r="I9" i="11"/>
  <c r="I12" i="11"/>
  <c r="I13" i="11"/>
  <c r="I81" i="11"/>
  <c r="I107" i="11"/>
  <c r="I54" i="11"/>
  <c r="I84" i="11"/>
  <c r="I100" i="11"/>
  <c r="I52" i="11"/>
  <c r="I106" i="11"/>
  <c r="I28" i="11"/>
  <c r="I31" i="11"/>
  <c r="I46" i="11"/>
  <c r="I62" i="11"/>
  <c r="I17" i="11"/>
  <c r="I40" i="11"/>
  <c r="I113" i="11"/>
  <c r="I50" i="11"/>
  <c r="I72" i="11"/>
  <c r="I102" i="11"/>
  <c r="I86" i="11"/>
  <c r="I21" i="11"/>
  <c r="I85" i="11"/>
  <c r="I87" i="11"/>
  <c r="I75" i="11"/>
  <c r="I57" i="11"/>
  <c r="I70" i="11"/>
  <c r="I71" i="11"/>
  <c r="I45" i="11"/>
  <c r="I33" i="11"/>
  <c r="I96" i="11"/>
  <c r="I67" i="11"/>
  <c r="I65" i="11"/>
  <c r="I41" i="11"/>
  <c r="I42" i="11"/>
  <c r="I48" i="11"/>
  <c r="I74" i="11"/>
  <c r="I99" i="11"/>
  <c r="I27" i="11"/>
  <c r="I53" i="11"/>
  <c r="I108" i="11"/>
  <c r="I78" i="11"/>
  <c r="I94" i="11"/>
  <c r="I114" i="11"/>
  <c r="I88" i="11"/>
  <c r="I16" i="11"/>
  <c r="I92" i="11"/>
  <c r="I103" i="11"/>
  <c r="I29" i="11"/>
  <c r="I105" i="11"/>
  <c r="I56" i="11"/>
  <c r="I90" i="11"/>
  <c r="I109" i="11"/>
  <c r="I116" i="11"/>
  <c r="I64" i="11"/>
  <c r="I111" i="11"/>
  <c r="I73" i="11"/>
  <c r="I34" i="11"/>
  <c r="I98" i="11"/>
  <c r="I95" i="11"/>
  <c r="I51" i="11"/>
  <c r="I32" i="11"/>
  <c r="I97" i="11"/>
  <c r="I22" i="11"/>
  <c r="I23" i="11"/>
  <c r="I49" i="11"/>
  <c r="I110" i="11"/>
  <c r="I119" i="11"/>
  <c r="I58" i="11"/>
  <c r="I38" i="11"/>
  <c r="I37" i="11"/>
  <c r="I47" i="11"/>
  <c r="I112" i="11"/>
  <c r="I30" i="11"/>
  <c r="I39" i="11"/>
  <c r="I20" i="11"/>
  <c r="G141" i="10"/>
  <c r="H141" i="10" s="1"/>
  <c r="K141" i="10"/>
  <c r="J141" i="10"/>
  <c r="G138" i="10"/>
  <c r="H138" i="10" s="1"/>
  <c r="H139" i="10"/>
  <c r="H140" i="10"/>
  <c r="H142" i="10"/>
  <c r="G66" i="10"/>
  <c r="G25" i="10"/>
  <c r="G26" i="10"/>
  <c r="I66" i="10"/>
  <c r="P66" i="10" s="1"/>
  <c r="I25" i="10"/>
  <c r="P25" i="10" s="1"/>
  <c r="I26" i="10"/>
  <c r="P26" i="10" s="1"/>
  <c r="Q66" i="10"/>
  <c r="Q25" i="10"/>
  <c r="Q26" i="10"/>
  <c r="R66" i="10"/>
  <c r="R25" i="10"/>
  <c r="R26" i="10"/>
  <c r="G10" i="10"/>
  <c r="I10" i="10"/>
  <c r="P10" i="10" s="1"/>
  <c r="Q10" i="10"/>
  <c r="R10" i="10"/>
  <c r="G9" i="10"/>
  <c r="I9" i="10"/>
  <c r="P9" i="10" s="1"/>
  <c r="Q9" i="10"/>
  <c r="R9" i="10"/>
  <c r="G27" i="10"/>
  <c r="I27" i="10"/>
  <c r="P27" i="10" s="1"/>
  <c r="Q27" i="10"/>
  <c r="R27" i="10"/>
  <c r="G24" i="10"/>
  <c r="I24" i="10"/>
  <c r="P24" i="10" s="1"/>
  <c r="Q24" i="10"/>
  <c r="R24" i="10"/>
  <c r="O126" i="10"/>
  <c r="G73" i="10" l="1"/>
  <c r="G65" i="10"/>
  <c r="I73" i="10"/>
  <c r="P73" i="10" s="1"/>
  <c r="I65" i="10"/>
  <c r="P65" i="10" s="1"/>
  <c r="Q73" i="10"/>
  <c r="Q65" i="10"/>
  <c r="R73" i="10"/>
  <c r="R65" i="10"/>
  <c r="I193" i="10"/>
  <c r="I124" i="10"/>
  <c r="I64" i="10"/>
  <c r="I105" i="10"/>
  <c r="I123" i="10"/>
  <c r="I106" i="10"/>
  <c r="I23" i="10"/>
  <c r="I83" i="10"/>
  <c r="I84" i="10"/>
  <c r="I77" i="10"/>
  <c r="I63" i="10"/>
  <c r="I44" i="10"/>
  <c r="I102" i="10"/>
  <c r="I57" i="10"/>
  <c r="I39" i="10"/>
  <c r="I58" i="10"/>
  <c r="I40" i="10"/>
  <c r="I22" i="10"/>
  <c r="I96" i="10"/>
  <c r="I59" i="10"/>
  <c r="I60" i="10"/>
  <c r="I61" i="10"/>
  <c r="I28" i="10"/>
  <c r="I72" i="10"/>
  <c r="I122" i="10"/>
  <c r="I103" i="10"/>
  <c r="I104" i="10"/>
  <c r="I42" i="10"/>
  <c r="I29" i="10"/>
  <c r="I91" i="10"/>
  <c r="I85" i="10"/>
  <c r="I67" i="10"/>
  <c r="I125" i="10"/>
  <c r="I13" i="10"/>
  <c r="I45" i="10"/>
  <c r="I43" i="10"/>
  <c r="I11" i="10"/>
  <c r="I79" i="10"/>
  <c r="I46" i="10"/>
  <c r="I111" i="10"/>
  <c r="I14" i="10"/>
  <c r="I30" i="10"/>
  <c r="I16" i="10"/>
  <c r="I17" i="10"/>
  <c r="I112" i="10"/>
  <c r="I93" i="10"/>
  <c r="I47" i="10"/>
  <c r="I97" i="10"/>
  <c r="I98" i="10"/>
  <c r="I31" i="10"/>
  <c r="I32" i="10"/>
  <c r="I113" i="10"/>
  <c r="I33" i="10"/>
  <c r="I34" i="10"/>
  <c r="I49" i="10"/>
  <c r="I50" i="10"/>
  <c r="I114" i="10"/>
  <c r="I115" i="10"/>
  <c r="I51" i="10"/>
  <c r="I116" i="10"/>
  <c r="I35" i="10"/>
  <c r="I36" i="10"/>
  <c r="I80" i="10"/>
  <c r="I99" i="10"/>
  <c r="I37" i="10"/>
  <c r="I52" i="10"/>
  <c r="I117" i="10"/>
  <c r="I18" i="10"/>
  <c r="I118" i="10"/>
  <c r="I94" i="10"/>
  <c r="I81" i="10"/>
  <c r="I19" i="10"/>
  <c r="I75" i="10"/>
  <c r="I15" i="10"/>
  <c r="I68" i="10"/>
  <c r="I69" i="10"/>
  <c r="I38" i="10"/>
  <c r="I128" i="10"/>
  <c r="I95" i="10"/>
  <c r="I82" i="10"/>
  <c r="I53" i="10"/>
  <c r="I54" i="10"/>
  <c r="I20" i="10"/>
  <c r="I55" i="10"/>
  <c r="I100" i="10"/>
  <c r="I129" i="10"/>
  <c r="I70" i="10"/>
  <c r="I101" i="10"/>
  <c r="I119" i="10"/>
  <c r="I71" i="10"/>
  <c r="I21" i="10"/>
  <c r="I56" i="10"/>
  <c r="I120" i="10"/>
  <c r="I121" i="10"/>
  <c r="I109" i="10"/>
  <c r="I41" i="10"/>
  <c r="I87" i="10"/>
  <c r="I12" i="10"/>
  <c r="I74" i="10"/>
  <c r="I88" i="10"/>
  <c r="I89" i="10"/>
  <c r="I110" i="10"/>
  <c r="I76" i="10"/>
  <c r="I78" i="10"/>
  <c r="I90" i="10"/>
  <c r="I107" i="10"/>
  <c r="G122" i="2" l="1"/>
  <c r="G121" i="2"/>
  <c r="G17" i="2"/>
  <c r="I17" i="2"/>
  <c r="P17" i="2" s="1"/>
  <c r="Q17" i="2"/>
  <c r="R17" i="2"/>
  <c r="G27" i="2"/>
  <c r="I27" i="2"/>
  <c r="P27" i="2" s="1"/>
  <c r="Q27" i="2"/>
  <c r="R27" i="2"/>
  <c r="G23" i="2"/>
  <c r="I23" i="2"/>
  <c r="P23" i="2" s="1"/>
  <c r="Q23" i="2"/>
  <c r="R23" i="2"/>
  <c r="O109" i="2"/>
  <c r="G16" i="2"/>
  <c r="I16" i="2"/>
  <c r="P16" i="2" s="1"/>
  <c r="Q16" i="2"/>
  <c r="R16" i="2"/>
  <c r="G41" i="2"/>
  <c r="I41" i="2"/>
  <c r="Q41" i="2"/>
  <c r="R41" i="2"/>
  <c r="G75" i="2"/>
  <c r="I75" i="2"/>
  <c r="P75" i="2" s="1"/>
  <c r="Q75" i="2"/>
  <c r="R75" i="2"/>
  <c r="G69" i="2"/>
  <c r="Q69" i="2"/>
  <c r="R69" i="2"/>
  <c r="I47" i="2"/>
  <c r="I34" i="2"/>
  <c r="I15" i="2"/>
  <c r="I19" i="2"/>
  <c r="I73" i="2"/>
  <c r="I43" i="2"/>
  <c r="I29" i="2"/>
  <c r="I50" i="2"/>
  <c r="I24" i="2"/>
  <c r="I61" i="2"/>
  <c r="I103" i="2"/>
  <c r="I62" i="2"/>
  <c r="I26" i="2"/>
  <c r="I85" i="2"/>
  <c r="I63" i="2"/>
  <c r="I64" i="2"/>
  <c r="I25" i="2"/>
  <c r="I83" i="2"/>
  <c r="I89" i="2"/>
  <c r="I65" i="2"/>
  <c r="I66" i="2"/>
  <c r="I37" i="2"/>
  <c r="I67" i="2"/>
  <c r="I104" i="2"/>
  <c r="I68" i="2"/>
  <c r="I105" i="2"/>
  <c r="I46" i="2"/>
  <c r="I56" i="2"/>
  <c r="I13" i="2"/>
  <c r="I40" i="2"/>
  <c r="P69" i="2" l="1"/>
  <c r="P41" i="2"/>
  <c r="G115" i="20"/>
  <c r="P115" i="20"/>
  <c r="Q115" i="20"/>
  <c r="R115" i="20"/>
  <c r="G68" i="20"/>
  <c r="I68" i="20"/>
  <c r="Q68" i="20"/>
  <c r="R68" i="20"/>
  <c r="P68" i="20" l="1"/>
  <c r="J129" i="20"/>
  <c r="H150" i="20"/>
  <c r="H140" i="20"/>
  <c r="H139" i="20"/>
  <c r="J150" i="20"/>
  <c r="J140" i="20"/>
  <c r="J139" i="20"/>
  <c r="K150" i="20"/>
  <c r="K140" i="20"/>
  <c r="K139" i="20"/>
  <c r="H151" i="20"/>
  <c r="H135" i="20"/>
  <c r="H154" i="20"/>
  <c r="J151" i="20"/>
  <c r="J135" i="20"/>
  <c r="J154" i="20"/>
  <c r="K151" i="20"/>
  <c r="K135" i="20"/>
  <c r="K154" i="20"/>
  <c r="H141" i="20"/>
  <c r="H137" i="20"/>
  <c r="H142" i="20"/>
  <c r="J141" i="20"/>
  <c r="J137" i="20"/>
  <c r="J142" i="20"/>
  <c r="K141" i="20"/>
  <c r="K137" i="20"/>
  <c r="K142" i="20"/>
  <c r="H138" i="20"/>
  <c r="H155" i="20"/>
  <c r="H143" i="20"/>
  <c r="J138" i="20"/>
  <c r="J155" i="20"/>
  <c r="J143" i="20"/>
  <c r="K138" i="20"/>
  <c r="K155" i="20"/>
  <c r="K143" i="20"/>
  <c r="H136" i="20"/>
  <c r="H144" i="20"/>
  <c r="H156" i="20"/>
  <c r="J136" i="20"/>
  <c r="J144" i="20"/>
  <c r="J156" i="20"/>
  <c r="K136" i="20"/>
  <c r="K144" i="20"/>
  <c r="K156" i="20"/>
  <c r="H145" i="20"/>
  <c r="H146" i="20"/>
  <c r="H147" i="20"/>
  <c r="J145" i="20"/>
  <c r="J146" i="20"/>
  <c r="J147" i="20"/>
  <c r="K145" i="20"/>
  <c r="K146" i="20"/>
  <c r="K147" i="20"/>
  <c r="H148" i="20"/>
  <c r="H149" i="20"/>
  <c r="H152" i="20"/>
  <c r="J148" i="20"/>
  <c r="J149" i="20"/>
  <c r="J152" i="20"/>
  <c r="K148" i="20"/>
  <c r="K149" i="20"/>
  <c r="K152" i="20"/>
  <c r="G69" i="20"/>
  <c r="G75" i="20"/>
  <c r="G70" i="20"/>
  <c r="G57" i="20"/>
  <c r="G28" i="20"/>
  <c r="G71" i="20"/>
  <c r="G96" i="20"/>
  <c r="G30" i="20"/>
  <c r="G9" i="20"/>
  <c r="G73" i="20"/>
  <c r="I69" i="20"/>
  <c r="P69" i="20" s="1"/>
  <c r="P75" i="20"/>
  <c r="I70" i="20"/>
  <c r="P70" i="20" s="1"/>
  <c r="P57" i="20"/>
  <c r="P28" i="20"/>
  <c r="P71" i="20"/>
  <c r="P96" i="20"/>
  <c r="P30" i="20"/>
  <c r="P9" i="20"/>
  <c r="P73" i="20"/>
  <c r="Q69" i="20"/>
  <c r="Q75" i="20"/>
  <c r="Q70" i="20"/>
  <c r="Q57" i="20"/>
  <c r="Q28" i="20"/>
  <c r="Q71" i="20"/>
  <c r="Q96" i="20"/>
  <c r="Q30" i="20"/>
  <c r="Q9" i="20"/>
  <c r="Q73" i="20"/>
  <c r="R69" i="20"/>
  <c r="R75" i="20"/>
  <c r="R70" i="20"/>
  <c r="R57" i="20"/>
  <c r="R28" i="20"/>
  <c r="R71" i="20"/>
  <c r="R96" i="20"/>
  <c r="R30" i="20"/>
  <c r="R9" i="20"/>
  <c r="R73" i="20"/>
  <c r="G51" i="20"/>
  <c r="G114" i="20"/>
  <c r="G74" i="20"/>
  <c r="G112" i="20"/>
  <c r="G76" i="20"/>
  <c r="G34" i="20"/>
  <c r="G21" i="20"/>
  <c r="G22" i="20"/>
  <c r="G77" i="20"/>
  <c r="G35" i="20"/>
  <c r="G65" i="20"/>
  <c r="P51" i="20"/>
  <c r="P114" i="20"/>
  <c r="P74" i="20"/>
  <c r="P112" i="20"/>
  <c r="P76" i="20"/>
  <c r="P34" i="20"/>
  <c r="P21" i="20"/>
  <c r="P22" i="20"/>
  <c r="P77" i="20"/>
  <c r="P35" i="20"/>
  <c r="P65" i="20"/>
  <c r="Q51" i="20"/>
  <c r="Q114" i="20"/>
  <c r="Q74" i="20"/>
  <c r="Q112" i="20"/>
  <c r="Q76" i="20"/>
  <c r="Q34" i="20"/>
  <c r="Q21" i="20"/>
  <c r="Q22" i="20"/>
  <c r="Q77" i="20"/>
  <c r="Q35" i="20"/>
  <c r="Q65" i="20"/>
  <c r="R51" i="20"/>
  <c r="R114" i="20"/>
  <c r="R74" i="20"/>
  <c r="R112" i="20"/>
  <c r="R76" i="20"/>
  <c r="R34" i="20"/>
  <c r="R21" i="20"/>
  <c r="R22" i="20"/>
  <c r="R77" i="20"/>
  <c r="R35" i="20"/>
  <c r="R65" i="20"/>
  <c r="G52" i="20"/>
  <c r="G113" i="20"/>
  <c r="G103" i="20"/>
  <c r="G116" i="20"/>
  <c r="G23" i="20"/>
  <c r="G60" i="20"/>
  <c r="G78" i="20"/>
  <c r="G79" i="20"/>
  <c r="G111" i="20"/>
  <c r="G36" i="20"/>
  <c r="G37" i="20"/>
  <c r="P52" i="20"/>
  <c r="P113" i="20"/>
  <c r="P103" i="20"/>
  <c r="P116" i="20"/>
  <c r="P23" i="20"/>
  <c r="P60" i="20"/>
  <c r="P78" i="20"/>
  <c r="P79" i="20"/>
  <c r="P111" i="20"/>
  <c r="P36" i="20"/>
  <c r="P37" i="20"/>
  <c r="Q52" i="20"/>
  <c r="Q113" i="20"/>
  <c r="Q103" i="20"/>
  <c r="Q116" i="20"/>
  <c r="Q23" i="20"/>
  <c r="Q60" i="20"/>
  <c r="Q78" i="20"/>
  <c r="Q79" i="20"/>
  <c r="Q111" i="20"/>
  <c r="Q36" i="20"/>
  <c r="Q37" i="20"/>
  <c r="R52" i="20"/>
  <c r="R113" i="20"/>
  <c r="R103" i="20"/>
  <c r="R116" i="20"/>
  <c r="R23" i="20"/>
  <c r="R60" i="20"/>
  <c r="R78" i="20"/>
  <c r="R79" i="20"/>
  <c r="R111" i="20"/>
  <c r="R36" i="20"/>
  <c r="R37" i="20"/>
  <c r="G31" i="20"/>
  <c r="G12" i="20"/>
  <c r="G104" i="20"/>
  <c r="G66" i="20"/>
  <c r="G38" i="20"/>
  <c r="G24" i="20"/>
  <c r="G50" i="20"/>
  <c r="G81" i="20"/>
  <c r="G80" i="20"/>
  <c r="G53" i="20"/>
  <c r="G61" i="20"/>
  <c r="P31" i="20"/>
  <c r="P12" i="20"/>
  <c r="P104" i="20"/>
  <c r="P66" i="20"/>
  <c r="P38" i="20"/>
  <c r="P24" i="20"/>
  <c r="P50" i="20"/>
  <c r="P81" i="20"/>
  <c r="P80" i="20"/>
  <c r="P53" i="20"/>
  <c r="P61" i="20"/>
  <c r="Q31" i="20"/>
  <c r="Q12" i="20"/>
  <c r="Q104" i="20"/>
  <c r="Q66" i="20"/>
  <c r="Q38" i="20"/>
  <c r="Q24" i="20"/>
  <c r="Q50" i="20"/>
  <c r="Q81" i="20"/>
  <c r="Q80" i="20"/>
  <c r="Q53" i="20"/>
  <c r="Q61" i="20"/>
  <c r="R31" i="20"/>
  <c r="R12" i="20"/>
  <c r="R104" i="20"/>
  <c r="R66" i="20"/>
  <c r="R38" i="20"/>
  <c r="R24" i="20"/>
  <c r="R50" i="20"/>
  <c r="R81" i="20"/>
  <c r="R80" i="20"/>
  <c r="R53" i="20"/>
  <c r="R61" i="20"/>
  <c r="G54" i="20"/>
  <c r="G58" i="20"/>
  <c r="G62" i="20"/>
  <c r="G67" i="20"/>
  <c r="G83" i="20"/>
  <c r="G39" i="20"/>
  <c r="G20" i="20"/>
  <c r="G117" i="20"/>
  <c r="G84" i="20"/>
  <c r="G85" i="20"/>
  <c r="G97" i="20"/>
  <c r="P54" i="20"/>
  <c r="P58" i="20"/>
  <c r="P62" i="20"/>
  <c r="P67" i="20"/>
  <c r="P83" i="20"/>
  <c r="P39" i="20"/>
  <c r="P20" i="20"/>
  <c r="P117" i="20"/>
  <c r="P84" i="20"/>
  <c r="P85" i="20"/>
  <c r="P97" i="20"/>
  <c r="Q54" i="20"/>
  <c r="Q58" i="20"/>
  <c r="Q62" i="20"/>
  <c r="Q67" i="20"/>
  <c r="Q83" i="20"/>
  <c r="Q39" i="20"/>
  <c r="Q20" i="20"/>
  <c r="Q117" i="20"/>
  <c r="Q84" i="20"/>
  <c r="Q85" i="20"/>
  <c r="Q97" i="20"/>
  <c r="R54" i="20"/>
  <c r="R58" i="20"/>
  <c r="R62" i="20"/>
  <c r="R67" i="20"/>
  <c r="R83" i="20"/>
  <c r="R39" i="20"/>
  <c r="R20" i="20"/>
  <c r="R117" i="20"/>
  <c r="R84" i="20"/>
  <c r="R85" i="20"/>
  <c r="R97" i="20"/>
  <c r="G25" i="20"/>
  <c r="G86" i="20"/>
  <c r="G105" i="20"/>
  <c r="G106" i="20"/>
  <c r="G107" i="20"/>
  <c r="G26" i="20"/>
  <c r="G87" i="20"/>
  <c r="G108" i="20"/>
  <c r="G101" i="20"/>
  <c r="G27" i="20"/>
  <c r="G89" i="20"/>
  <c r="P25" i="20"/>
  <c r="P105" i="20"/>
  <c r="P106" i="20"/>
  <c r="P107" i="20"/>
  <c r="P26" i="20"/>
  <c r="P87" i="20"/>
  <c r="P108" i="20"/>
  <c r="P101" i="20"/>
  <c r="P27" i="20"/>
  <c r="P89" i="20"/>
  <c r="P86" i="20"/>
  <c r="Q25" i="20"/>
  <c r="Q86" i="20"/>
  <c r="Q105" i="20"/>
  <c r="Q106" i="20"/>
  <c r="Q107" i="20"/>
  <c r="Q26" i="20"/>
  <c r="Q87" i="20"/>
  <c r="Q108" i="20"/>
  <c r="Q101" i="20"/>
  <c r="Q27" i="20"/>
  <c r="Q89" i="20"/>
  <c r="R25" i="20"/>
  <c r="R86" i="20"/>
  <c r="R105" i="20"/>
  <c r="R106" i="20"/>
  <c r="R107" i="20"/>
  <c r="R26" i="20"/>
  <c r="R87" i="20"/>
  <c r="R108" i="20"/>
  <c r="R101" i="20"/>
  <c r="R27" i="20"/>
  <c r="R89" i="20"/>
  <c r="G32" i="20"/>
  <c r="G40" i="20"/>
  <c r="G90" i="20"/>
  <c r="G88" i="20"/>
  <c r="G109" i="20"/>
  <c r="G102" i="20"/>
  <c r="G10" i="20"/>
  <c r="G82" i="20"/>
  <c r="G100" i="20"/>
  <c r="P32" i="20"/>
  <c r="P40" i="20"/>
  <c r="P90" i="20"/>
  <c r="P88" i="20"/>
  <c r="P109" i="20"/>
  <c r="P102" i="20"/>
  <c r="P10" i="20"/>
  <c r="P82" i="20"/>
  <c r="P100" i="20"/>
  <c r="Q32" i="20"/>
  <c r="Q40" i="20"/>
  <c r="Q90" i="20"/>
  <c r="Q88" i="20"/>
  <c r="Q109" i="20"/>
  <c r="Q102" i="20"/>
  <c r="Q10" i="20"/>
  <c r="Q82" i="20"/>
  <c r="Q100" i="20"/>
  <c r="R32" i="20"/>
  <c r="R40" i="20"/>
  <c r="R90" i="20"/>
  <c r="R88" i="20"/>
  <c r="R109" i="20"/>
  <c r="R102" i="20"/>
  <c r="R10" i="20"/>
  <c r="R82" i="20"/>
  <c r="R100" i="20"/>
  <c r="G55" i="20"/>
  <c r="P55" i="20"/>
  <c r="Q55" i="20"/>
  <c r="R55" i="20"/>
  <c r="I48" i="21"/>
  <c r="P48" i="21" s="1"/>
  <c r="Q48" i="21"/>
  <c r="R48" i="21"/>
  <c r="I110" i="21" l="1"/>
  <c r="I107" i="21"/>
  <c r="I111" i="21"/>
  <c r="I41" i="21"/>
  <c r="P41" i="21" s="1"/>
  <c r="Q41" i="21"/>
  <c r="R41" i="21"/>
  <c r="P88" i="21"/>
  <c r="Q88" i="21"/>
  <c r="R88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G149" i="21"/>
  <c r="G150" i="21"/>
  <c r="G151" i="21"/>
  <c r="G152" i="21"/>
  <c r="I149" i="21"/>
  <c r="I150" i="21"/>
  <c r="L150" i="21" s="1"/>
  <c r="I151" i="21"/>
  <c r="L151" i="21" s="1"/>
  <c r="I152" i="21"/>
  <c r="L152" i="21" s="1"/>
  <c r="L149" i="21"/>
  <c r="G160" i="21"/>
  <c r="G161" i="21"/>
  <c r="G162" i="21"/>
  <c r="L160" i="21"/>
  <c r="L161" i="21"/>
  <c r="L162" i="21"/>
  <c r="G163" i="21"/>
  <c r="G164" i="21"/>
  <c r="G165" i="21"/>
  <c r="G166" i="21"/>
  <c r="G167" i="21"/>
  <c r="L163" i="21"/>
  <c r="L164" i="21"/>
  <c r="L165" i="21"/>
  <c r="L166" i="21"/>
  <c r="L167" i="21"/>
  <c r="G168" i="21"/>
  <c r="G169" i="21"/>
  <c r="G170" i="21"/>
  <c r="G171" i="21"/>
  <c r="G172" i="21"/>
  <c r="L168" i="21"/>
  <c r="L169" i="21"/>
  <c r="L170" i="21"/>
  <c r="L171" i="21"/>
  <c r="L172" i="21"/>
  <c r="G173" i="21"/>
  <c r="G174" i="21"/>
  <c r="G175" i="21"/>
  <c r="G176" i="21"/>
  <c r="G177" i="21"/>
  <c r="L173" i="21"/>
  <c r="L174" i="21"/>
  <c r="L175" i="21"/>
  <c r="L176" i="21"/>
  <c r="L177" i="21"/>
  <c r="H137" i="21"/>
  <c r="H129" i="21"/>
  <c r="H123" i="21"/>
  <c r="H128" i="21"/>
  <c r="H124" i="21"/>
  <c r="H130" i="21"/>
  <c r="J137" i="21"/>
  <c r="J129" i="21"/>
  <c r="J123" i="21"/>
  <c r="J128" i="21"/>
  <c r="J124" i="21"/>
  <c r="J130" i="21"/>
  <c r="K137" i="21"/>
  <c r="K129" i="21"/>
  <c r="K123" i="21"/>
  <c r="K128" i="21"/>
  <c r="K124" i="21"/>
  <c r="K130" i="21"/>
  <c r="H140" i="21"/>
  <c r="H118" i="21"/>
  <c r="H131" i="21"/>
  <c r="H141" i="21"/>
  <c r="H132" i="21"/>
  <c r="J140" i="21"/>
  <c r="J118" i="21"/>
  <c r="J131" i="21"/>
  <c r="J141" i="21"/>
  <c r="J132" i="21"/>
  <c r="K140" i="21"/>
  <c r="K118" i="21"/>
  <c r="K131" i="21"/>
  <c r="K141" i="21"/>
  <c r="K132" i="21"/>
  <c r="H125" i="21"/>
  <c r="H127" i="21"/>
  <c r="H119" i="21"/>
  <c r="J125" i="21"/>
  <c r="J127" i="21"/>
  <c r="J119" i="21"/>
  <c r="K125" i="21"/>
  <c r="K127" i="21"/>
  <c r="K119" i="21"/>
  <c r="H133" i="21"/>
  <c r="H126" i="21"/>
  <c r="H138" i="21"/>
  <c r="J133" i="21"/>
  <c r="J126" i="21"/>
  <c r="J138" i="21"/>
  <c r="K133" i="21"/>
  <c r="K126" i="21"/>
  <c r="K138" i="21"/>
  <c r="P62" i="21"/>
  <c r="P65" i="21"/>
  <c r="P99" i="21"/>
  <c r="Q62" i="21"/>
  <c r="Q65" i="21"/>
  <c r="Q99" i="21"/>
  <c r="R62" i="21"/>
  <c r="R65" i="21"/>
  <c r="R99" i="21"/>
  <c r="P82" i="21"/>
  <c r="P89" i="21"/>
  <c r="P9" i="21"/>
  <c r="P39" i="21"/>
  <c r="P51" i="21"/>
  <c r="P50" i="21"/>
  <c r="P52" i="21"/>
  <c r="I23" i="21"/>
  <c r="P23" i="21" s="1"/>
  <c r="P49" i="21"/>
  <c r="P78" i="21"/>
  <c r="P43" i="21"/>
  <c r="P53" i="21"/>
  <c r="P21" i="21"/>
  <c r="P42" i="21"/>
  <c r="P55" i="21"/>
  <c r="P54" i="21"/>
  <c r="P87" i="21"/>
  <c r="P96" i="21"/>
  <c r="P34" i="21"/>
  <c r="P80" i="21"/>
  <c r="P91" i="21"/>
  <c r="P81" i="21"/>
  <c r="P79" i="21"/>
  <c r="P26" i="21"/>
  <c r="P76" i="21"/>
  <c r="P56" i="21"/>
  <c r="P57" i="21"/>
  <c r="P74" i="21"/>
  <c r="Q82" i="21"/>
  <c r="Q89" i="21"/>
  <c r="Q9" i="21"/>
  <c r="Q39" i="21"/>
  <c r="Q51" i="21"/>
  <c r="Q50" i="21"/>
  <c r="Q52" i="21"/>
  <c r="Q49" i="21"/>
  <c r="Q78" i="21"/>
  <c r="Q43" i="21"/>
  <c r="Q53" i="21"/>
  <c r="Q42" i="21"/>
  <c r="Q55" i="21"/>
  <c r="Q54" i="21"/>
  <c r="Q87" i="21"/>
  <c r="Q96" i="21"/>
  <c r="Q34" i="21"/>
  <c r="Q80" i="21"/>
  <c r="Q91" i="21"/>
  <c r="Q81" i="21"/>
  <c r="Q79" i="21"/>
  <c r="Q26" i="21"/>
  <c r="Q56" i="21"/>
  <c r="Q57" i="21"/>
  <c r="Q74" i="21"/>
  <c r="R82" i="21"/>
  <c r="R89" i="21"/>
  <c r="R9" i="21"/>
  <c r="R39" i="21"/>
  <c r="R51" i="21"/>
  <c r="R50" i="21"/>
  <c r="R52" i="21"/>
  <c r="R23" i="21"/>
  <c r="R49" i="21"/>
  <c r="R78" i="21"/>
  <c r="R43" i="21"/>
  <c r="R53" i="21"/>
  <c r="R21" i="21"/>
  <c r="R42" i="21"/>
  <c r="R55" i="21"/>
  <c r="R54" i="21"/>
  <c r="R87" i="21"/>
  <c r="R96" i="21"/>
  <c r="R34" i="21"/>
  <c r="R80" i="21"/>
  <c r="R91" i="21"/>
  <c r="R81" i="21"/>
  <c r="R79" i="21"/>
  <c r="R26" i="21"/>
  <c r="R76" i="21"/>
  <c r="R56" i="21"/>
  <c r="R57" i="21"/>
  <c r="R74" i="21"/>
  <c r="P69" i="21"/>
  <c r="P11" i="21"/>
  <c r="P32" i="21"/>
  <c r="P31" i="21"/>
  <c r="P38" i="21"/>
  <c r="P13" i="21"/>
  <c r="P12" i="21"/>
  <c r="P47" i="21"/>
  <c r="P15" i="21"/>
  <c r="P14" i="21"/>
  <c r="P71" i="21"/>
  <c r="P30" i="21"/>
  <c r="Q69" i="21"/>
  <c r="Q30" i="21"/>
  <c r="Q32" i="21"/>
  <c r="Q31" i="21"/>
  <c r="Q38" i="21"/>
  <c r="Q13" i="21"/>
  <c r="Q12" i="21"/>
  <c r="Q47" i="21"/>
  <c r="Q15" i="21"/>
  <c r="Q14" i="21"/>
  <c r="Q71" i="21"/>
  <c r="R69" i="21"/>
  <c r="R11" i="21"/>
  <c r="R30" i="21"/>
  <c r="R32" i="21"/>
  <c r="R31" i="21"/>
  <c r="R38" i="21"/>
  <c r="R13" i="21"/>
  <c r="R12" i="21"/>
  <c r="R47" i="21"/>
  <c r="R15" i="21"/>
  <c r="R14" i="21"/>
  <c r="R71" i="21"/>
  <c r="P19" i="21"/>
  <c r="P95" i="21"/>
  <c r="P73" i="21"/>
  <c r="P10" i="21"/>
  <c r="P22" i="21"/>
  <c r="P58" i="21"/>
  <c r="Q19" i="21"/>
  <c r="Q95" i="21"/>
  <c r="Q73" i="21"/>
  <c r="Q10" i="21"/>
  <c r="Q58" i="21"/>
  <c r="Q22" i="21"/>
  <c r="R19" i="21"/>
  <c r="R95" i="21"/>
  <c r="R73" i="21"/>
  <c r="R10" i="21"/>
  <c r="R58" i="21"/>
  <c r="R22" i="21"/>
  <c r="P27" i="21"/>
  <c r="P16" i="21"/>
  <c r="P35" i="21"/>
  <c r="P60" i="21"/>
  <c r="P61" i="21"/>
  <c r="P28" i="21"/>
  <c r="Q28" i="21"/>
  <c r="Q27" i="21"/>
  <c r="Q16" i="21"/>
  <c r="Q35" i="21"/>
  <c r="Q60" i="21"/>
  <c r="Q61" i="21"/>
  <c r="R28" i="21"/>
  <c r="R27" i="21"/>
  <c r="R16" i="21"/>
  <c r="R35" i="21"/>
  <c r="R60" i="21"/>
  <c r="R61" i="21"/>
  <c r="P44" i="21"/>
  <c r="P36" i="21"/>
  <c r="P97" i="21"/>
  <c r="P63" i="21"/>
  <c r="P94" i="21"/>
  <c r="P59" i="21"/>
  <c r="Q44" i="21"/>
  <c r="Q36" i="21"/>
  <c r="Q59" i="21"/>
  <c r="Q97" i="21"/>
  <c r="Q63" i="21"/>
  <c r="R44" i="21"/>
  <c r="R36" i="21"/>
  <c r="R94" i="21"/>
  <c r="R59" i="21"/>
  <c r="R97" i="21"/>
  <c r="R63" i="21"/>
  <c r="P29" i="21"/>
  <c r="P86" i="21"/>
  <c r="P17" i="21"/>
  <c r="P66" i="21"/>
  <c r="P98" i="21"/>
  <c r="P64" i="21"/>
  <c r="Q29" i="21"/>
  <c r="Q86" i="21"/>
  <c r="Q17" i="21"/>
  <c r="Q66" i="21"/>
  <c r="Q98" i="21"/>
  <c r="Q64" i="21"/>
  <c r="R29" i="21"/>
  <c r="R86" i="21"/>
  <c r="R17" i="21"/>
  <c r="R66" i="21"/>
  <c r="R98" i="21"/>
  <c r="R64" i="21"/>
  <c r="P45" i="21"/>
  <c r="P67" i="21"/>
  <c r="P84" i="21"/>
  <c r="P24" i="21"/>
  <c r="P40" i="21"/>
  <c r="P83" i="21"/>
  <c r="Q45" i="21"/>
  <c r="Q40" i="21"/>
  <c r="Q67" i="21"/>
  <c r="Q83" i="21"/>
  <c r="Q84" i="21"/>
  <c r="R24" i="21"/>
  <c r="R45" i="21"/>
  <c r="R40" i="21"/>
  <c r="R67" i="21"/>
  <c r="R83" i="21"/>
  <c r="R84" i="21"/>
  <c r="P25" i="21"/>
  <c r="P90" i="21"/>
  <c r="P37" i="21"/>
  <c r="P46" i="21"/>
  <c r="P75" i="21"/>
  <c r="P68" i="21"/>
  <c r="Q37" i="21"/>
  <c r="Q46" i="21"/>
  <c r="Q75" i="21"/>
  <c r="Q68" i="21"/>
  <c r="R25" i="21"/>
  <c r="R90" i="21"/>
  <c r="R37" i="21"/>
  <c r="R46" i="21"/>
  <c r="R75" i="21"/>
  <c r="R68" i="21"/>
  <c r="P77" i="21"/>
  <c r="P20" i="21"/>
  <c r="P18" i="21"/>
  <c r="P85" i="21"/>
  <c r="P70" i="21"/>
  <c r="P72" i="21"/>
  <c r="Q20" i="21"/>
  <c r="Q18" i="21"/>
  <c r="Q85" i="21"/>
  <c r="Q70" i="21"/>
  <c r="Q72" i="21"/>
  <c r="R77" i="21"/>
  <c r="R20" i="21"/>
  <c r="R18" i="21"/>
  <c r="R85" i="21"/>
  <c r="R70" i="21"/>
  <c r="R72" i="21"/>
  <c r="G52" i="18"/>
  <c r="P52" i="18"/>
  <c r="Q52" i="18"/>
  <c r="R52" i="18"/>
  <c r="M142" i="19" l="1"/>
  <c r="H143" i="19"/>
  <c r="M143" i="19" s="1"/>
  <c r="H140" i="19" l="1"/>
  <c r="M140" i="19" s="1"/>
  <c r="H141" i="19"/>
  <c r="M141" i="19" s="1"/>
  <c r="H156" i="19"/>
  <c r="J156" i="19"/>
  <c r="K156" i="19"/>
  <c r="H161" i="19"/>
  <c r="H169" i="19"/>
  <c r="J161" i="19"/>
  <c r="J169" i="19"/>
  <c r="K161" i="19"/>
  <c r="K169" i="19"/>
  <c r="H168" i="19"/>
  <c r="H153" i="19"/>
  <c r="H167" i="19"/>
  <c r="H163" i="19"/>
  <c r="H159" i="19"/>
  <c r="H165" i="19"/>
  <c r="H162" i="19"/>
  <c r="J168" i="19"/>
  <c r="J153" i="19"/>
  <c r="J167" i="19"/>
  <c r="J163" i="19"/>
  <c r="J159" i="19"/>
  <c r="J165" i="19"/>
  <c r="J162" i="19"/>
  <c r="K168" i="19"/>
  <c r="K153" i="19"/>
  <c r="K167" i="19"/>
  <c r="K163" i="19"/>
  <c r="K159" i="19"/>
  <c r="K165" i="19"/>
  <c r="K162" i="19"/>
  <c r="H164" i="19"/>
  <c r="H166" i="19"/>
  <c r="H150" i="19"/>
  <c r="H157" i="19"/>
  <c r="H154" i="19"/>
  <c r="H155" i="19"/>
  <c r="J164" i="19"/>
  <c r="J166" i="19"/>
  <c r="J150" i="19"/>
  <c r="J157" i="19"/>
  <c r="J154" i="19"/>
  <c r="J155" i="19"/>
  <c r="K164" i="19"/>
  <c r="K166" i="19"/>
  <c r="K150" i="19"/>
  <c r="K157" i="19"/>
  <c r="K154" i="19"/>
  <c r="K155" i="19"/>
  <c r="H152" i="19"/>
  <c r="H151" i="19"/>
  <c r="H160" i="19"/>
  <c r="J152" i="19"/>
  <c r="J151" i="19"/>
  <c r="J160" i="19"/>
  <c r="K152" i="19"/>
  <c r="K151" i="19"/>
  <c r="K160" i="19"/>
  <c r="P33" i="19"/>
  <c r="P59" i="19"/>
  <c r="P44" i="19"/>
  <c r="P40" i="19"/>
  <c r="P35" i="19"/>
  <c r="P126" i="19"/>
  <c r="P77" i="19"/>
  <c r="P78" i="19"/>
  <c r="P79" i="19"/>
  <c r="P80" i="19"/>
  <c r="P51" i="19"/>
  <c r="P52" i="19"/>
  <c r="P54" i="19"/>
  <c r="P88" i="19"/>
  <c r="P108" i="19"/>
  <c r="P111" i="19"/>
  <c r="P47" i="19"/>
  <c r="P97" i="19"/>
  <c r="P57" i="19"/>
  <c r="P58" i="19"/>
  <c r="P43" i="19"/>
  <c r="P36" i="19"/>
  <c r="P89" i="19"/>
  <c r="P81" i="19"/>
  <c r="P67" i="19"/>
  <c r="P109" i="19"/>
  <c r="P90" i="19"/>
  <c r="P13" i="19"/>
  <c r="P91" i="19"/>
  <c r="P82" i="19"/>
  <c r="P55" i="19"/>
  <c r="P99" i="19"/>
  <c r="P115" i="19"/>
  <c r="P12" i="19"/>
  <c r="P116" i="19"/>
  <c r="P68" i="19"/>
  <c r="P117" i="19"/>
  <c r="P124" i="19"/>
  <c r="P71" i="19"/>
  <c r="P120" i="19"/>
  <c r="P72" i="19"/>
  <c r="P121" i="19"/>
  <c r="P83" i="19"/>
  <c r="Q59" i="19"/>
  <c r="Q40" i="19"/>
  <c r="Q77" i="19"/>
  <c r="Q78" i="19"/>
  <c r="Q79" i="19"/>
  <c r="Q80" i="19"/>
  <c r="Q51" i="19"/>
  <c r="Q52" i="19"/>
  <c r="Q54" i="19"/>
  <c r="Q88" i="19"/>
  <c r="Q111" i="19"/>
  <c r="Q47" i="19"/>
  <c r="Q97" i="19"/>
  <c r="Q57" i="19"/>
  <c r="Q58" i="19"/>
  <c r="Q36" i="19"/>
  <c r="Q89" i="19"/>
  <c r="Q81" i="19"/>
  <c r="Q67" i="19"/>
  <c r="Q90" i="19"/>
  <c r="Q13" i="19"/>
  <c r="Q91" i="19"/>
  <c r="Q82" i="19"/>
  <c r="Q55" i="19"/>
  <c r="Q99" i="19"/>
  <c r="Q115" i="19"/>
  <c r="Q116" i="19"/>
  <c r="Q117" i="19"/>
  <c r="Q83" i="19"/>
  <c r="R33" i="19"/>
  <c r="R59" i="19"/>
  <c r="R44" i="19"/>
  <c r="R40" i="19"/>
  <c r="R35" i="19"/>
  <c r="R126" i="19"/>
  <c r="R77" i="19"/>
  <c r="R78" i="19"/>
  <c r="R79" i="19"/>
  <c r="R80" i="19"/>
  <c r="R51" i="19"/>
  <c r="R52" i="19"/>
  <c r="R54" i="19"/>
  <c r="R88" i="19"/>
  <c r="R108" i="19"/>
  <c r="R111" i="19"/>
  <c r="R47" i="19"/>
  <c r="R97" i="19"/>
  <c r="R57" i="19"/>
  <c r="R58" i="19"/>
  <c r="R43" i="19"/>
  <c r="R36" i="19"/>
  <c r="R89" i="19"/>
  <c r="R81" i="19"/>
  <c r="R67" i="19"/>
  <c r="R109" i="19"/>
  <c r="R90" i="19"/>
  <c r="R13" i="19"/>
  <c r="R91" i="19"/>
  <c r="R82" i="19"/>
  <c r="R55" i="19"/>
  <c r="R99" i="19"/>
  <c r="R115" i="19"/>
  <c r="R12" i="19"/>
  <c r="R116" i="19"/>
  <c r="R68" i="19"/>
  <c r="R117" i="19"/>
  <c r="R124" i="19"/>
  <c r="R71" i="19"/>
  <c r="R120" i="19"/>
  <c r="R72" i="19"/>
  <c r="R121" i="19"/>
  <c r="R83" i="19"/>
  <c r="P45" i="19"/>
  <c r="P70" i="19"/>
  <c r="P112" i="19"/>
  <c r="P123" i="19"/>
  <c r="P56" i="19"/>
  <c r="P26" i="19"/>
  <c r="P10" i="19"/>
  <c r="P73" i="19"/>
  <c r="P39" i="19"/>
  <c r="P106" i="19"/>
  <c r="P29" i="19"/>
  <c r="P129" i="19"/>
  <c r="P42" i="19"/>
  <c r="P48" i="19"/>
  <c r="P86" i="19"/>
  <c r="P38" i="19"/>
  <c r="P125" i="19"/>
  <c r="P103" i="19"/>
  <c r="P41" i="19"/>
  <c r="P128" i="19"/>
  <c r="P49" i="19"/>
  <c r="P27" i="19"/>
  <c r="P9" i="19"/>
  <c r="P74" i="19"/>
  <c r="P127" i="19"/>
  <c r="P69" i="19"/>
  <c r="P104" i="19"/>
  <c r="P34" i="19"/>
  <c r="P105" i="19"/>
  <c r="P122" i="19"/>
  <c r="P107" i="19"/>
  <c r="P28" i="19"/>
  <c r="P110" i="19"/>
  <c r="P46" i="19"/>
  <c r="P75" i="19"/>
  <c r="P113" i="19"/>
  <c r="P114" i="19"/>
  <c r="P76" i="19"/>
  <c r="P50" i="19"/>
  <c r="P53" i="19"/>
  <c r="P37" i="19"/>
  <c r="P96" i="19"/>
  <c r="Q112" i="19"/>
  <c r="Q56" i="19"/>
  <c r="Q29" i="19"/>
  <c r="Q129" i="19"/>
  <c r="Q48" i="19"/>
  <c r="Q128" i="19"/>
  <c r="Q49" i="19"/>
  <c r="Q9" i="19"/>
  <c r="Q127" i="19"/>
  <c r="Q75" i="19"/>
  <c r="Q113" i="19"/>
  <c r="Q114" i="19"/>
  <c r="Q76" i="19"/>
  <c r="Q50" i="19"/>
  <c r="Q53" i="19"/>
  <c r="Q37" i="19"/>
  <c r="Q96" i="19"/>
  <c r="R45" i="19"/>
  <c r="R70" i="19"/>
  <c r="R112" i="19"/>
  <c r="R123" i="19"/>
  <c r="R56" i="19"/>
  <c r="R26" i="19"/>
  <c r="R10" i="19"/>
  <c r="R73" i="19"/>
  <c r="R39" i="19"/>
  <c r="R106" i="19"/>
  <c r="R29" i="19"/>
  <c r="R129" i="19"/>
  <c r="R42" i="19"/>
  <c r="R48" i="19"/>
  <c r="R86" i="19"/>
  <c r="R38" i="19"/>
  <c r="R125" i="19"/>
  <c r="R103" i="19"/>
  <c r="R41" i="19"/>
  <c r="R128" i="19"/>
  <c r="R49" i="19"/>
  <c r="R27" i="19"/>
  <c r="R9" i="19"/>
  <c r="R74" i="19"/>
  <c r="R127" i="19"/>
  <c r="R69" i="19"/>
  <c r="R104" i="19"/>
  <c r="R34" i="19"/>
  <c r="R105" i="19"/>
  <c r="R122" i="19"/>
  <c r="R107" i="19"/>
  <c r="R28" i="19"/>
  <c r="R110" i="19"/>
  <c r="R46" i="19"/>
  <c r="R75" i="19"/>
  <c r="R113" i="19"/>
  <c r="R114" i="19"/>
  <c r="R76" i="19"/>
  <c r="R50" i="19"/>
  <c r="R53" i="19"/>
  <c r="R37" i="19"/>
  <c r="R96" i="19"/>
  <c r="P101" i="19"/>
  <c r="P102" i="19"/>
  <c r="P60" i="19"/>
  <c r="Q101" i="19"/>
  <c r="Q102" i="19"/>
  <c r="Q60" i="19"/>
  <c r="R101" i="19"/>
  <c r="R102" i="19"/>
  <c r="R60" i="19"/>
  <c r="H129" i="18" l="1"/>
  <c r="H131" i="18"/>
  <c r="H130" i="18"/>
  <c r="G100" i="18"/>
  <c r="P100" i="18"/>
  <c r="Q100" i="18"/>
  <c r="R100" i="18"/>
  <c r="P58" i="18"/>
  <c r="G109" i="18"/>
  <c r="P109" i="18"/>
  <c r="Q109" i="18"/>
  <c r="R109" i="18"/>
  <c r="G27" i="18"/>
  <c r="P27" i="18"/>
  <c r="Q27" i="18"/>
  <c r="R27" i="18"/>
  <c r="G64" i="18"/>
  <c r="P64" i="18"/>
  <c r="Q64" i="18"/>
  <c r="R64" i="18"/>
  <c r="G54" i="18"/>
  <c r="P54" i="18"/>
  <c r="Q54" i="18"/>
  <c r="R54" i="18"/>
  <c r="G11" i="18"/>
  <c r="P11" i="18"/>
  <c r="Q11" i="18"/>
  <c r="R11" i="18"/>
  <c r="G13" i="18"/>
  <c r="P13" i="18"/>
  <c r="Q13" i="18"/>
  <c r="R13" i="18"/>
  <c r="G40" i="18"/>
  <c r="P40" i="18"/>
  <c r="Q40" i="18"/>
  <c r="R40" i="18"/>
  <c r="G86" i="18"/>
  <c r="P86" i="18"/>
  <c r="Q86" i="18"/>
  <c r="R86" i="18"/>
  <c r="G121" i="18"/>
  <c r="P121" i="18"/>
  <c r="Q121" i="18"/>
  <c r="R121" i="18"/>
  <c r="G50" i="18"/>
  <c r="P50" i="18"/>
  <c r="Q50" i="18"/>
  <c r="R50" i="18"/>
  <c r="G14" i="18"/>
  <c r="G33" i="18"/>
  <c r="G18" i="18"/>
  <c r="G15" i="18"/>
  <c r="G16" i="18"/>
  <c r="G81" i="18"/>
  <c r="G82" i="18"/>
  <c r="G23" i="18"/>
  <c r="G24" i="18"/>
  <c r="G19" i="18"/>
  <c r="G20" i="18"/>
  <c r="G85" i="18"/>
  <c r="G71" i="18"/>
  <c r="G32" i="18"/>
  <c r="P81" i="18"/>
  <c r="P23" i="18"/>
  <c r="I24" i="18"/>
  <c r="P20" i="18"/>
  <c r="P85" i="18"/>
  <c r="P71" i="18"/>
  <c r="P32" i="18"/>
  <c r="P14" i="18"/>
  <c r="P33" i="18"/>
  <c r="P18" i="18"/>
  <c r="P15" i="18"/>
  <c r="P16" i="18"/>
  <c r="P82" i="18"/>
  <c r="P19" i="18"/>
  <c r="Q14" i="18"/>
  <c r="Q33" i="18"/>
  <c r="Q18" i="18"/>
  <c r="Q15" i="18"/>
  <c r="Q16" i="18"/>
  <c r="Q81" i="18"/>
  <c r="Q82" i="18"/>
  <c r="Q23" i="18"/>
  <c r="Q24" i="18"/>
  <c r="Q19" i="18"/>
  <c r="Q20" i="18"/>
  <c r="Q85" i="18"/>
  <c r="Q71" i="18"/>
  <c r="Q32" i="18"/>
  <c r="R14" i="18"/>
  <c r="R33" i="18"/>
  <c r="R18" i="18"/>
  <c r="R15" i="18"/>
  <c r="R16" i="18"/>
  <c r="R81" i="18"/>
  <c r="R82" i="18"/>
  <c r="R23" i="18"/>
  <c r="R24" i="18"/>
  <c r="R19" i="18"/>
  <c r="R20" i="18"/>
  <c r="R85" i="18"/>
  <c r="R71" i="18"/>
  <c r="R32" i="18"/>
  <c r="G118" i="18"/>
  <c r="G36" i="18"/>
  <c r="G35" i="18"/>
  <c r="G65" i="18"/>
  <c r="G37" i="18"/>
  <c r="G22" i="18"/>
  <c r="G115" i="18"/>
  <c r="G66" i="18"/>
  <c r="G39" i="18"/>
  <c r="G38" i="18"/>
  <c r="G67" i="18"/>
  <c r="G101" i="18"/>
  <c r="P36" i="18"/>
  <c r="P35" i="18"/>
  <c r="P65" i="18"/>
  <c r="P37" i="18"/>
  <c r="P22" i="18"/>
  <c r="P115" i="18"/>
  <c r="P66" i="18"/>
  <c r="P39" i="18"/>
  <c r="P38" i="18"/>
  <c r="P101" i="18"/>
  <c r="P118" i="18"/>
  <c r="P67" i="18"/>
  <c r="Q118" i="18"/>
  <c r="Q36" i="18"/>
  <c r="Q35" i="18"/>
  <c r="Q65" i="18"/>
  <c r="Q37" i="18"/>
  <c r="Q22" i="18"/>
  <c r="Q115" i="18"/>
  <c r="Q66" i="18"/>
  <c r="Q39" i="18"/>
  <c r="Q38" i="18"/>
  <c r="Q67" i="18"/>
  <c r="Q101" i="18"/>
  <c r="R118" i="18"/>
  <c r="R36" i="18"/>
  <c r="R35" i="18"/>
  <c r="R65" i="18"/>
  <c r="R37" i="18"/>
  <c r="R22" i="18"/>
  <c r="R115" i="18"/>
  <c r="R66" i="18"/>
  <c r="R39" i="18"/>
  <c r="R38" i="18"/>
  <c r="R67" i="18"/>
  <c r="R101" i="18"/>
  <c r="G12" i="18"/>
  <c r="G107" i="18"/>
  <c r="G88" i="18"/>
  <c r="G106" i="18"/>
  <c r="G87" i="18"/>
  <c r="G68" i="18"/>
  <c r="G41" i="18"/>
  <c r="G89" i="18"/>
  <c r="G96" i="18"/>
  <c r="G119" i="18"/>
  <c r="G42" i="18"/>
  <c r="G69" i="18"/>
  <c r="P88" i="18"/>
  <c r="P106" i="18"/>
  <c r="P87" i="18"/>
  <c r="P68" i="18"/>
  <c r="P41" i="18"/>
  <c r="P89" i="18"/>
  <c r="P96" i="18"/>
  <c r="P119" i="18"/>
  <c r="P42" i="18"/>
  <c r="P69" i="18"/>
  <c r="P12" i="18"/>
  <c r="P107" i="18"/>
  <c r="Q12" i="18"/>
  <c r="Q107" i="18"/>
  <c r="Q88" i="18"/>
  <c r="Q106" i="18"/>
  <c r="Q87" i="18"/>
  <c r="Q68" i="18"/>
  <c r="Q41" i="18"/>
  <c r="Q89" i="18"/>
  <c r="Q96" i="18"/>
  <c r="Q119" i="18"/>
  <c r="Q42" i="18"/>
  <c r="Q69" i="18"/>
  <c r="R12" i="18"/>
  <c r="R107" i="18"/>
  <c r="R88" i="18"/>
  <c r="R106" i="18"/>
  <c r="R87" i="18"/>
  <c r="R68" i="18"/>
  <c r="R41" i="18"/>
  <c r="R89" i="18"/>
  <c r="R96" i="18"/>
  <c r="R119" i="18"/>
  <c r="R42" i="18"/>
  <c r="R69" i="18"/>
  <c r="G97" i="18"/>
  <c r="G70" i="18"/>
  <c r="G53" i="18"/>
  <c r="G108" i="18"/>
  <c r="G98" i="18"/>
  <c r="G44" i="18"/>
  <c r="G120" i="18"/>
  <c r="G73" i="18"/>
  <c r="G90" i="18"/>
  <c r="G72" i="18"/>
  <c r="G28" i="18"/>
  <c r="G43" i="18"/>
  <c r="P98" i="18"/>
  <c r="P44" i="18"/>
  <c r="P120" i="18"/>
  <c r="P73" i="18"/>
  <c r="P90" i="18"/>
  <c r="P72" i="18"/>
  <c r="P28" i="18"/>
  <c r="P43" i="18"/>
  <c r="P97" i="18"/>
  <c r="P70" i="18"/>
  <c r="P53" i="18"/>
  <c r="P108" i="18"/>
  <c r="Q97" i="18"/>
  <c r="Q70" i="18"/>
  <c r="Q53" i="18"/>
  <c r="Q108" i="18"/>
  <c r="Q98" i="18"/>
  <c r="Q44" i="18"/>
  <c r="Q120" i="18"/>
  <c r="Q73" i="18"/>
  <c r="Q90" i="18"/>
  <c r="Q72" i="18"/>
  <c r="Q28" i="18"/>
  <c r="Q43" i="18"/>
  <c r="R97" i="18"/>
  <c r="R70" i="18"/>
  <c r="R53" i="18"/>
  <c r="R108" i="18"/>
  <c r="R98" i="18"/>
  <c r="R44" i="18"/>
  <c r="R120" i="18"/>
  <c r="R73" i="18"/>
  <c r="R90" i="18"/>
  <c r="R72" i="18"/>
  <c r="R28" i="18"/>
  <c r="R43" i="18"/>
  <c r="H162" i="18"/>
  <c r="H144" i="18"/>
  <c r="H159" i="18"/>
  <c r="H160" i="18"/>
  <c r="H166" i="18"/>
  <c r="H167" i="18"/>
  <c r="H163" i="18"/>
  <c r="H148" i="18"/>
  <c r="H145" i="18"/>
  <c r="H149" i="18"/>
  <c r="J162" i="18"/>
  <c r="J144" i="18"/>
  <c r="J159" i="18"/>
  <c r="J160" i="18"/>
  <c r="J166" i="18"/>
  <c r="J167" i="18"/>
  <c r="J163" i="18"/>
  <c r="J148" i="18"/>
  <c r="J145" i="18"/>
  <c r="J149" i="18"/>
  <c r="K162" i="18"/>
  <c r="K144" i="18"/>
  <c r="K159" i="18"/>
  <c r="K160" i="18"/>
  <c r="K166" i="18"/>
  <c r="K167" i="18"/>
  <c r="K163" i="18"/>
  <c r="K148" i="18"/>
  <c r="K145" i="18"/>
  <c r="K149" i="18"/>
  <c r="H158" i="18"/>
  <c r="H161" i="18"/>
  <c r="H156" i="18"/>
  <c r="J158" i="18"/>
  <c r="J161" i="18"/>
  <c r="J156" i="18"/>
  <c r="K158" i="18"/>
  <c r="K161" i="18"/>
  <c r="K156" i="18"/>
  <c r="H141" i="18"/>
  <c r="H150" i="18"/>
  <c r="H151" i="18"/>
  <c r="J141" i="18"/>
  <c r="J150" i="18"/>
  <c r="J151" i="18"/>
  <c r="K141" i="18"/>
  <c r="K150" i="18"/>
  <c r="K151" i="18"/>
  <c r="H142" i="18"/>
  <c r="H152" i="18"/>
  <c r="H143" i="18"/>
  <c r="J142" i="18"/>
  <c r="J152" i="18"/>
  <c r="J143" i="18"/>
  <c r="K142" i="18"/>
  <c r="K152" i="18"/>
  <c r="K143" i="18"/>
  <c r="H157" i="18"/>
  <c r="H153" i="18"/>
  <c r="H154" i="18"/>
  <c r="J157" i="18"/>
  <c r="J153" i="18"/>
  <c r="J154" i="18"/>
  <c r="K157" i="18"/>
  <c r="K153" i="18"/>
  <c r="K154" i="18"/>
  <c r="H155" i="18"/>
  <c r="H164" i="18"/>
  <c r="H165" i="18"/>
  <c r="J155" i="18"/>
  <c r="J164" i="18"/>
  <c r="J165" i="18"/>
  <c r="K155" i="18"/>
  <c r="K164" i="18"/>
  <c r="K165" i="18"/>
  <c r="H146" i="18"/>
  <c r="H138" i="18"/>
  <c r="H139" i="18"/>
  <c r="J146" i="18"/>
  <c r="J138" i="18"/>
  <c r="J139" i="18"/>
  <c r="K146" i="18"/>
  <c r="K138" i="18"/>
  <c r="K139" i="18"/>
  <c r="G55" i="18"/>
  <c r="G58" i="18"/>
  <c r="G57" i="18"/>
  <c r="G30" i="18"/>
  <c r="G56" i="18"/>
  <c r="G10" i="18"/>
  <c r="G103" i="18"/>
  <c r="P55" i="18"/>
  <c r="P57" i="18"/>
  <c r="P30" i="18"/>
  <c r="P56" i="18"/>
  <c r="P10" i="18"/>
  <c r="P103" i="18"/>
  <c r="Q55" i="18"/>
  <c r="Q58" i="18"/>
  <c r="Q57" i="18"/>
  <c r="Q30" i="18"/>
  <c r="Q56" i="18"/>
  <c r="Q10" i="18"/>
  <c r="Q103" i="18"/>
  <c r="R55" i="18"/>
  <c r="R58" i="18"/>
  <c r="R57" i="18"/>
  <c r="R30" i="18"/>
  <c r="R56" i="18"/>
  <c r="R10" i="18"/>
  <c r="R103" i="18"/>
  <c r="G59" i="18"/>
  <c r="G117" i="18"/>
  <c r="G93" i="18"/>
  <c r="G95" i="18"/>
  <c r="G61" i="18"/>
  <c r="G62" i="18"/>
  <c r="G26" i="18"/>
  <c r="P59" i="18"/>
  <c r="P117" i="18"/>
  <c r="P93" i="18"/>
  <c r="P95" i="18"/>
  <c r="P61" i="18"/>
  <c r="P62" i="18"/>
  <c r="P26" i="18"/>
  <c r="Q59" i="18"/>
  <c r="Q117" i="18"/>
  <c r="Q93" i="18"/>
  <c r="Q95" i="18"/>
  <c r="Q61" i="18"/>
  <c r="Q62" i="18"/>
  <c r="Q26" i="18"/>
  <c r="R59" i="18"/>
  <c r="R117" i="18"/>
  <c r="R93" i="18"/>
  <c r="R95" i="18"/>
  <c r="R61" i="18"/>
  <c r="R62" i="18"/>
  <c r="R26" i="18"/>
  <c r="G9" i="18"/>
  <c r="G94" i="18"/>
  <c r="G104" i="18"/>
  <c r="G60" i="18"/>
  <c r="G116" i="18"/>
  <c r="G34" i="18"/>
  <c r="G17" i="18"/>
  <c r="P9" i="18"/>
  <c r="P94" i="18"/>
  <c r="P104" i="18"/>
  <c r="P60" i="18"/>
  <c r="P116" i="18"/>
  <c r="P34" i="18"/>
  <c r="P17" i="18"/>
  <c r="Q9" i="18"/>
  <c r="Q94" i="18"/>
  <c r="Q104" i="18"/>
  <c r="Q60" i="18"/>
  <c r="Q116" i="18"/>
  <c r="Q34" i="18"/>
  <c r="Q17" i="18"/>
  <c r="R9" i="18"/>
  <c r="R94" i="18"/>
  <c r="R104" i="18"/>
  <c r="R60" i="18"/>
  <c r="R116" i="18"/>
  <c r="R34" i="18"/>
  <c r="R17" i="18"/>
  <c r="G63" i="18"/>
  <c r="G105" i="18"/>
  <c r="G74" i="18"/>
  <c r="G75" i="18"/>
  <c r="G51" i="18"/>
  <c r="G110" i="18"/>
  <c r="G84" i="18"/>
  <c r="P63" i="18"/>
  <c r="P105" i="18"/>
  <c r="P74" i="18"/>
  <c r="P75" i="18"/>
  <c r="P51" i="18"/>
  <c r="P110" i="18"/>
  <c r="P84" i="18"/>
  <c r="Q63" i="18"/>
  <c r="Q105" i="18"/>
  <c r="Q74" i="18"/>
  <c r="Q75" i="18"/>
  <c r="Q51" i="18"/>
  <c r="Q110" i="18"/>
  <c r="Q84" i="18"/>
  <c r="R63" i="18"/>
  <c r="R105" i="18"/>
  <c r="R74" i="18"/>
  <c r="R75" i="18"/>
  <c r="R51" i="18"/>
  <c r="R110" i="18"/>
  <c r="R84" i="18"/>
  <c r="G45" i="18"/>
  <c r="G76" i="18"/>
  <c r="G77" i="18"/>
  <c r="G114" i="18"/>
  <c r="G78" i="18"/>
  <c r="G46" i="18"/>
  <c r="G47" i="18"/>
  <c r="P45" i="18"/>
  <c r="P76" i="18"/>
  <c r="P77" i="18"/>
  <c r="P114" i="18"/>
  <c r="P78" i="18"/>
  <c r="P46" i="18"/>
  <c r="P47" i="18"/>
  <c r="Q45" i="18"/>
  <c r="Q76" i="18"/>
  <c r="Q77" i="18"/>
  <c r="Q114" i="18"/>
  <c r="Q78" i="18"/>
  <c r="Q46" i="18"/>
  <c r="Q47" i="18"/>
  <c r="R45" i="18"/>
  <c r="R76" i="18"/>
  <c r="R77" i="18"/>
  <c r="R114" i="18"/>
  <c r="R78" i="18"/>
  <c r="R46" i="18"/>
  <c r="R47" i="18"/>
  <c r="G21" i="18"/>
  <c r="G91" i="18"/>
  <c r="G79" i="18"/>
  <c r="G31" i="18"/>
  <c r="G111" i="18"/>
  <c r="G99" i="18"/>
  <c r="G29" i="18"/>
  <c r="P21" i="18"/>
  <c r="P91" i="18"/>
  <c r="P79" i="18"/>
  <c r="P31" i="18"/>
  <c r="P111" i="18"/>
  <c r="P99" i="18"/>
  <c r="P29" i="18"/>
  <c r="Q21" i="18"/>
  <c r="Q91" i="18"/>
  <c r="Q79" i="18"/>
  <c r="Q31" i="18"/>
  <c r="Q111" i="18"/>
  <c r="Q99" i="18"/>
  <c r="Q29" i="18"/>
  <c r="R21" i="18"/>
  <c r="R91" i="18"/>
  <c r="R79" i="18"/>
  <c r="R31" i="18"/>
  <c r="R111" i="18"/>
  <c r="R99" i="18"/>
  <c r="R29" i="18"/>
  <c r="P24" i="18" l="1"/>
  <c r="I122" i="18"/>
  <c r="G71" i="15"/>
  <c r="P71" i="15"/>
  <c r="Q71" i="15"/>
  <c r="R71" i="15"/>
  <c r="H158" i="15"/>
  <c r="H153" i="15"/>
  <c r="H165" i="15"/>
  <c r="H135" i="15"/>
  <c r="H159" i="15"/>
  <c r="H166" i="15"/>
  <c r="H141" i="15"/>
  <c r="H142" i="15"/>
  <c r="H154" i="15"/>
  <c r="H156" i="15"/>
  <c r="H157" i="15"/>
  <c r="H162" i="15"/>
  <c r="H139" i="15"/>
  <c r="H163" i="15"/>
  <c r="H138" i="15"/>
  <c r="J158" i="15"/>
  <c r="J153" i="15"/>
  <c r="J165" i="15"/>
  <c r="J159" i="15"/>
  <c r="J166" i="15"/>
  <c r="J141" i="15"/>
  <c r="J142" i="15"/>
  <c r="J154" i="15"/>
  <c r="J156" i="15"/>
  <c r="J157" i="15"/>
  <c r="J162" i="15"/>
  <c r="J163" i="15"/>
  <c r="K158" i="15"/>
  <c r="K153" i="15"/>
  <c r="K165" i="15"/>
  <c r="K135" i="15"/>
  <c r="K159" i="15"/>
  <c r="K166" i="15"/>
  <c r="K141" i="15"/>
  <c r="K142" i="15"/>
  <c r="K154" i="15"/>
  <c r="K156" i="15"/>
  <c r="K157" i="15"/>
  <c r="K162" i="15"/>
  <c r="K139" i="15"/>
  <c r="K163" i="15"/>
  <c r="K138" i="15"/>
  <c r="H144" i="15"/>
  <c r="H140" i="15"/>
  <c r="H164" i="15"/>
  <c r="H134" i="15"/>
  <c r="H145" i="15"/>
  <c r="H146" i="15"/>
  <c r="H147" i="15"/>
  <c r="J144" i="15"/>
  <c r="J140" i="15"/>
  <c r="J164" i="15"/>
  <c r="J134" i="15"/>
  <c r="J145" i="15"/>
  <c r="J146" i="15"/>
  <c r="J147" i="15"/>
  <c r="K144" i="15"/>
  <c r="K140" i="15"/>
  <c r="K164" i="15"/>
  <c r="K134" i="15"/>
  <c r="K145" i="15"/>
  <c r="K146" i="15"/>
  <c r="K147" i="15"/>
  <c r="H136" i="15"/>
  <c r="H148" i="15"/>
  <c r="H149" i="15"/>
  <c r="H150" i="15"/>
  <c r="H151" i="15"/>
  <c r="H152" i="15"/>
  <c r="H167" i="15"/>
  <c r="J148" i="15"/>
  <c r="J149" i="15"/>
  <c r="J150" i="15"/>
  <c r="J151" i="15"/>
  <c r="J152" i="15"/>
  <c r="J167" i="15"/>
  <c r="K136" i="15"/>
  <c r="K148" i="15"/>
  <c r="K149" i="15"/>
  <c r="K150" i="15"/>
  <c r="K151" i="15"/>
  <c r="K152" i="15"/>
  <c r="K167" i="15"/>
  <c r="H168" i="15"/>
  <c r="H169" i="15"/>
  <c r="H155" i="15"/>
  <c r="H137" i="15"/>
  <c r="H160" i="15"/>
  <c r="J168" i="15"/>
  <c r="J169" i="15"/>
  <c r="K168" i="15"/>
  <c r="K169" i="15"/>
  <c r="K155" i="15"/>
  <c r="G91" i="15" l="1"/>
  <c r="G111" i="15"/>
  <c r="G33" i="15"/>
  <c r="G30" i="15"/>
  <c r="G56" i="15"/>
  <c r="G57" i="15"/>
  <c r="G92" i="15"/>
  <c r="G17" i="15"/>
  <c r="G82" i="15"/>
  <c r="G75" i="15"/>
  <c r="G36" i="15"/>
  <c r="G35" i="15"/>
  <c r="G88" i="15"/>
  <c r="G89" i="15"/>
  <c r="G90" i="15"/>
  <c r="G68" i="15"/>
  <c r="G93" i="15"/>
  <c r="G94" i="15"/>
  <c r="G110" i="15"/>
  <c r="G31" i="15"/>
  <c r="G12" i="15"/>
  <c r="G95" i="15"/>
  <c r="G13" i="15"/>
  <c r="G37" i="15"/>
  <c r="G83" i="15"/>
  <c r="G96" i="15"/>
  <c r="G10" i="15"/>
  <c r="G38" i="15"/>
  <c r="G76" i="15"/>
  <c r="G112" i="15"/>
  <c r="G14" i="15"/>
  <c r="G97" i="15"/>
  <c r="G98" i="15"/>
  <c r="G69" i="15"/>
  <c r="G39" i="15"/>
  <c r="G40" i="15"/>
  <c r="G42" i="15"/>
  <c r="G58" i="15"/>
  <c r="G77" i="15"/>
  <c r="P91" i="15"/>
  <c r="P111" i="15"/>
  <c r="P33" i="15"/>
  <c r="P30" i="15"/>
  <c r="P56" i="15"/>
  <c r="P57" i="15"/>
  <c r="P92" i="15"/>
  <c r="P17" i="15"/>
  <c r="P82" i="15"/>
  <c r="P75" i="15"/>
  <c r="P36" i="15"/>
  <c r="P35" i="15"/>
  <c r="P88" i="15"/>
  <c r="P89" i="15"/>
  <c r="P90" i="15"/>
  <c r="P93" i="15"/>
  <c r="P94" i="15"/>
  <c r="P110" i="15"/>
  <c r="P31" i="15"/>
  <c r="P12" i="15"/>
  <c r="P95" i="15"/>
  <c r="P13" i="15"/>
  <c r="P37" i="15"/>
  <c r="P83" i="15"/>
  <c r="P10" i="15"/>
  <c r="P38" i="15"/>
  <c r="P76" i="15"/>
  <c r="P14" i="15"/>
  <c r="P97" i="15"/>
  <c r="P98" i="15"/>
  <c r="P69" i="15"/>
  <c r="P39" i="15"/>
  <c r="P40" i="15"/>
  <c r="P42" i="15"/>
  <c r="P41" i="15"/>
  <c r="P58" i="15"/>
  <c r="P77" i="15"/>
  <c r="P68" i="15"/>
  <c r="P96" i="15"/>
  <c r="P112" i="15"/>
  <c r="Q91" i="15"/>
  <c r="Q111" i="15"/>
  <c r="Q33" i="15"/>
  <c r="Q30" i="15"/>
  <c r="Q56" i="15"/>
  <c r="Q57" i="15"/>
  <c r="Q92" i="15"/>
  <c r="Q17" i="15"/>
  <c r="Q82" i="15"/>
  <c r="Q75" i="15"/>
  <c r="Q36" i="15"/>
  <c r="Q35" i="15"/>
  <c r="Q88" i="15"/>
  <c r="Q89" i="15"/>
  <c r="Q90" i="15"/>
  <c r="Q68" i="15"/>
  <c r="Q93" i="15"/>
  <c r="Q94" i="15"/>
  <c r="Q110" i="15"/>
  <c r="Q31" i="15"/>
  <c r="Q12" i="15"/>
  <c r="Q95" i="15"/>
  <c r="Q13" i="15"/>
  <c r="Q37" i="15"/>
  <c r="Q83" i="15"/>
  <c r="Q96" i="15"/>
  <c r="Q10" i="15"/>
  <c r="Q38" i="15"/>
  <c r="Q76" i="15"/>
  <c r="Q112" i="15"/>
  <c r="Q14" i="15"/>
  <c r="Q97" i="15"/>
  <c r="Q98" i="15"/>
  <c r="Q69" i="15"/>
  <c r="Q39" i="15"/>
  <c r="Q40" i="15"/>
  <c r="Q42" i="15"/>
  <c r="Q41" i="15"/>
  <c r="Q58" i="15"/>
  <c r="Q77" i="15"/>
  <c r="R91" i="15"/>
  <c r="R111" i="15"/>
  <c r="R33" i="15"/>
  <c r="R30" i="15"/>
  <c r="R56" i="15"/>
  <c r="R57" i="15"/>
  <c r="R92" i="15"/>
  <c r="R17" i="15"/>
  <c r="R82" i="15"/>
  <c r="R75" i="15"/>
  <c r="R36" i="15"/>
  <c r="R35" i="15"/>
  <c r="R88" i="15"/>
  <c r="R89" i="15"/>
  <c r="R90" i="15"/>
  <c r="R68" i="15"/>
  <c r="R93" i="15"/>
  <c r="R94" i="15"/>
  <c r="R110" i="15"/>
  <c r="R31" i="15"/>
  <c r="R12" i="15"/>
  <c r="R95" i="15"/>
  <c r="R13" i="15"/>
  <c r="R37" i="15"/>
  <c r="R83" i="15"/>
  <c r="R96" i="15"/>
  <c r="R10" i="15"/>
  <c r="R38" i="15"/>
  <c r="R76" i="15"/>
  <c r="R112" i="15"/>
  <c r="R14" i="15"/>
  <c r="R97" i="15"/>
  <c r="R98" i="15"/>
  <c r="R69" i="15"/>
  <c r="R39" i="15"/>
  <c r="R40" i="15"/>
  <c r="R42" i="15"/>
  <c r="R41" i="15"/>
  <c r="R58" i="15"/>
  <c r="R77" i="15"/>
  <c r="G100" i="15"/>
  <c r="G59" i="15"/>
  <c r="G60" i="15"/>
  <c r="G61" i="15"/>
  <c r="G62" i="15"/>
  <c r="G44" i="15"/>
  <c r="G43" i="15"/>
  <c r="G101" i="15"/>
  <c r="G84" i="15"/>
  <c r="G45" i="15"/>
  <c r="G113" i="15"/>
  <c r="G46" i="15"/>
  <c r="G47" i="15"/>
  <c r="G48" i="15"/>
  <c r="G116" i="15"/>
  <c r="G50" i="15"/>
  <c r="G114" i="15"/>
  <c r="G115" i="15"/>
  <c r="G26" i="15"/>
  <c r="G63" i="15"/>
  <c r="G51" i="15"/>
  <c r="G27" i="15"/>
  <c r="G49" i="15"/>
  <c r="G64" i="15"/>
  <c r="G107" i="15"/>
  <c r="G29" i="15"/>
  <c r="G102" i="15"/>
  <c r="G79" i="15"/>
  <c r="G52" i="15"/>
  <c r="G103" i="15"/>
  <c r="G108" i="15"/>
  <c r="G104" i="15"/>
  <c r="G105" i="15"/>
  <c r="G109" i="15"/>
  <c r="G80" i="15"/>
  <c r="G32" i="15"/>
  <c r="G53" i="15"/>
  <c r="G106" i="15"/>
  <c r="G66" i="15"/>
  <c r="G86" i="15"/>
  <c r="P62" i="15"/>
  <c r="P44" i="15"/>
  <c r="P43" i="15"/>
  <c r="P101" i="15"/>
  <c r="P45" i="15"/>
  <c r="P113" i="15"/>
  <c r="P46" i="15"/>
  <c r="P47" i="15"/>
  <c r="P48" i="15"/>
  <c r="P116" i="15"/>
  <c r="P50" i="15"/>
  <c r="P114" i="15"/>
  <c r="P115" i="15"/>
  <c r="P26" i="15"/>
  <c r="P63" i="15"/>
  <c r="P51" i="15"/>
  <c r="P27" i="15"/>
  <c r="P49" i="15"/>
  <c r="P64" i="15"/>
  <c r="P107" i="15"/>
  <c r="P29" i="15"/>
  <c r="P102" i="15"/>
  <c r="P79" i="15"/>
  <c r="P52" i="15"/>
  <c r="P103" i="15"/>
  <c r="P108" i="15"/>
  <c r="P104" i="15"/>
  <c r="P105" i="15"/>
  <c r="P109" i="15"/>
  <c r="P80" i="15"/>
  <c r="P32" i="15"/>
  <c r="P53" i="15"/>
  <c r="P106" i="15"/>
  <c r="P66" i="15"/>
  <c r="P86" i="15"/>
  <c r="P100" i="15"/>
  <c r="P59" i="15"/>
  <c r="P60" i="15"/>
  <c r="P61" i="15"/>
  <c r="P84" i="15"/>
  <c r="Q100" i="15"/>
  <c r="Q59" i="15"/>
  <c r="Q60" i="15"/>
  <c r="Q61" i="15"/>
  <c r="Q62" i="15"/>
  <c r="Q44" i="15"/>
  <c r="Q43" i="15"/>
  <c r="Q101" i="15"/>
  <c r="Q84" i="15"/>
  <c r="Q45" i="15"/>
  <c r="Q113" i="15"/>
  <c r="Q46" i="15"/>
  <c r="Q47" i="15"/>
  <c r="Q48" i="15"/>
  <c r="Q116" i="15"/>
  <c r="Q50" i="15"/>
  <c r="Q114" i="15"/>
  <c r="Q115" i="15"/>
  <c r="Q26" i="15"/>
  <c r="Q63" i="15"/>
  <c r="Q51" i="15"/>
  <c r="Q27" i="15"/>
  <c r="Q49" i="15"/>
  <c r="Q64" i="15"/>
  <c r="Q107" i="15"/>
  <c r="Q29" i="15"/>
  <c r="Q102" i="15"/>
  <c r="Q79" i="15"/>
  <c r="Q52" i="15"/>
  <c r="Q103" i="15"/>
  <c r="Q108" i="15"/>
  <c r="Q104" i="15"/>
  <c r="Q105" i="15"/>
  <c r="Q109" i="15"/>
  <c r="Q80" i="15"/>
  <c r="Q32" i="15"/>
  <c r="Q53" i="15"/>
  <c r="Q106" i="15"/>
  <c r="Q66" i="15"/>
  <c r="Q86" i="15"/>
  <c r="R100" i="15"/>
  <c r="R59" i="15"/>
  <c r="R60" i="15"/>
  <c r="R61" i="15"/>
  <c r="R62" i="15"/>
  <c r="R44" i="15"/>
  <c r="R43" i="15"/>
  <c r="R101" i="15"/>
  <c r="R84" i="15"/>
  <c r="R45" i="15"/>
  <c r="R113" i="15"/>
  <c r="R46" i="15"/>
  <c r="R47" i="15"/>
  <c r="R48" i="15"/>
  <c r="R116" i="15"/>
  <c r="R50" i="15"/>
  <c r="R114" i="15"/>
  <c r="R115" i="15"/>
  <c r="R26" i="15"/>
  <c r="R63" i="15"/>
  <c r="R51" i="15"/>
  <c r="R27" i="15"/>
  <c r="R49" i="15"/>
  <c r="R64" i="15"/>
  <c r="R107" i="15"/>
  <c r="R29" i="15"/>
  <c r="R102" i="15"/>
  <c r="R79" i="15"/>
  <c r="R52" i="15"/>
  <c r="R103" i="15"/>
  <c r="R108" i="15"/>
  <c r="R104" i="15"/>
  <c r="R105" i="15"/>
  <c r="R109" i="15"/>
  <c r="R80" i="15"/>
  <c r="R32" i="15"/>
  <c r="R53" i="15"/>
  <c r="R106" i="15"/>
  <c r="R66" i="15"/>
  <c r="R86" i="15"/>
  <c r="G54" i="15"/>
  <c r="G117" i="15"/>
  <c r="G67" i="15"/>
  <c r="G55" i="15"/>
  <c r="G87" i="15"/>
  <c r="G73" i="15"/>
  <c r="G74" i="15"/>
  <c r="G15" i="15"/>
  <c r="G16" i="15"/>
  <c r="G18" i="15"/>
  <c r="G19" i="15"/>
  <c r="G20" i="15"/>
  <c r="G22" i="15"/>
  <c r="G23" i="15"/>
  <c r="G24" i="15"/>
  <c r="G25" i="15"/>
  <c r="G70" i="15"/>
  <c r="G9" i="15"/>
  <c r="G81" i="15"/>
  <c r="G85" i="15"/>
  <c r="G28" i="15"/>
  <c r="G99" i="15"/>
  <c r="G78" i="15"/>
  <c r="G65" i="15"/>
  <c r="G34" i="15"/>
  <c r="G21" i="15"/>
  <c r="G72" i="15"/>
  <c r="P54" i="15"/>
  <c r="P117" i="15"/>
  <c r="P67" i="15"/>
  <c r="P87" i="15"/>
  <c r="P73" i="15"/>
  <c r="P74" i="15"/>
  <c r="P15" i="15"/>
  <c r="P16" i="15"/>
  <c r="P18" i="15"/>
  <c r="P19" i="15"/>
  <c r="P20" i="15"/>
  <c r="P22" i="15"/>
  <c r="P23" i="15"/>
  <c r="P24" i="15"/>
  <c r="P25" i="15"/>
  <c r="P70" i="15"/>
  <c r="P9" i="15"/>
  <c r="P81" i="15"/>
  <c r="P85" i="15"/>
  <c r="P28" i="15"/>
  <c r="P78" i="15"/>
  <c r="P65" i="15"/>
  <c r="P34" i="15"/>
  <c r="P21" i="15"/>
  <c r="P72" i="15"/>
  <c r="P55" i="15"/>
  <c r="P99" i="15"/>
  <c r="Q54" i="15"/>
  <c r="Q117" i="15"/>
  <c r="Q67" i="15"/>
  <c r="Q55" i="15"/>
  <c r="Q87" i="15"/>
  <c r="Q73" i="15"/>
  <c r="Q74" i="15"/>
  <c r="Q15" i="15"/>
  <c r="Q16" i="15"/>
  <c r="Q18" i="15"/>
  <c r="Q19" i="15"/>
  <c r="Q20" i="15"/>
  <c r="Q22" i="15"/>
  <c r="Q23" i="15"/>
  <c r="Q24" i="15"/>
  <c r="Q25" i="15"/>
  <c r="Q70" i="15"/>
  <c r="Q9" i="15"/>
  <c r="Q81" i="15"/>
  <c r="Q85" i="15"/>
  <c r="Q28" i="15"/>
  <c r="Q99" i="15"/>
  <c r="Q78" i="15"/>
  <c r="Q65" i="15"/>
  <c r="Q34" i="15"/>
  <c r="Q21" i="15"/>
  <c r="Q72" i="15"/>
  <c r="R54" i="15"/>
  <c r="R117" i="15"/>
  <c r="R67" i="15"/>
  <c r="R55" i="15"/>
  <c r="R87" i="15"/>
  <c r="R73" i="15"/>
  <c r="R74" i="15"/>
  <c r="R15" i="15"/>
  <c r="R16" i="15"/>
  <c r="R18" i="15"/>
  <c r="R19" i="15"/>
  <c r="R20" i="15"/>
  <c r="R22" i="15"/>
  <c r="R23" i="15"/>
  <c r="R24" i="15"/>
  <c r="R25" i="15"/>
  <c r="R70" i="15"/>
  <c r="R9" i="15"/>
  <c r="R81" i="15"/>
  <c r="R85" i="15"/>
  <c r="R28" i="15"/>
  <c r="R99" i="15"/>
  <c r="R78" i="15"/>
  <c r="R65" i="15"/>
  <c r="R34" i="15"/>
  <c r="R21" i="15"/>
  <c r="R72" i="15"/>
  <c r="G11" i="15"/>
  <c r="P11" i="15"/>
  <c r="Q11" i="15"/>
  <c r="R11" i="15"/>
  <c r="H125" i="13" l="1"/>
  <c r="G178" i="13" l="1"/>
  <c r="G179" i="13"/>
  <c r="G180" i="13"/>
  <c r="G181" i="13"/>
  <c r="I178" i="13"/>
  <c r="L178" i="13" s="1"/>
  <c r="I179" i="13"/>
  <c r="L179" i="13" s="1"/>
  <c r="I180" i="13"/>
  <c r="L180" i="13" s="1"/>
  <c r="I181" i="13"/>
  <c r="L181" i="13" s="1"/>
  <c r="H141" i="13"/>
  <c r="H136" i="13"/>
  <c r="H145" i="13"/>
  <c r="H146" i="13"/>
  <c r="H132" i="13"/>
  <c r="H134" i="13"/>
  <c r="H149" i="13"/>
  <c r="H162" i="13"/>
  <c r="H163" i="13"/>
  <c r="H150" i="13"/>
  <c r="H142" i="13"/>
  <c r="H164" i="13"/>
  <c r="H143" i="13"/>
  <c r="H153" i="13"/>
  <c r="H154" i="13"/>
  <c r="H155" i="13"/>
  <c r="H156" i="13"/>
  <c r="J141" i="13"/>
  <c r="J136" i="13"/>
  <c r="J145" i="13"/>
  <c r="J146" i="13"/>
  <c r="J132" i="13"/>
  <c r="J134" i="13"/>
  <c r="J149" i="13"/>
  <c r="J162" i="13"/>
  <c r="J163" i="13"/>
  <c r="J150" i="13"/>
  <c r="J142" i="13"/>
  <c r="J164" i="13"/>
  <c r="J143" i="13"/>
  <c r="J153" i="13"/>
  <c r="J154" i="13"/>
  <c r="J155" i="13"/>
  <c r="J156" i="13"/>
  <c r="K141" i="13"/>
  <c r="K136" i="13"/>
  <c r="K145" i="13"/>
  <c r="K146" i="13"/>
  <c r="K132" i="13"/>
  <c r="K134" i="13"/>
  <c r="K149" i="13"/>
  <c r="K162" i="13"/>
  <c r="K163" i="13"/>
  <c r="K150" i="13"/>
  <c r="K142" i="13"/>
  <c r="K164" i="13"/>
  <c r="K143" i="13"/>
  <c r="K153" i="13"/>
  <c r="K154" i="13"/>
  <c r="K155" i="13"/>
  <c r="K156" i="13"/>
  <c r="H157" i="13"/>
  <c r="H158" i="13"/>
  <c r="H148" i="13"/>
  <c r="H159" i="13"/>
  <c r="H135" i="13"/>
  <c r="H144" i="13"/>
  <c r="H165" i="13"/>
  <c r="H166" i="13"/>
  <c r="H140" i="13"/>
  <c r="H133" i="13"/>
  <c r="J157" i="13"/>
  <c r="J158" i="13"/>
  <c r="J148" i="13"/>
  <c r="J159" i="13"/>
  <c r="J135" i="13"/>
  <c r="J144" i="13"/>
  <c r="J165" i="13"/>
  <c r="J166" i="13"/>
  <c r="J140" i="13"/>
  <c r="J133" i="13"/>
  <c r="K157" i="13"/>
  <c r="K158" i="13"/>
  <c r="K148" i="13"/>
  <c r="K159" i="13"/>
  <c r="K135" i="13"/>
  <c r="K144" i="13"/>
  <c r="K165" i="13"/>
  <c r="K166" i="13"/>
  <c r="K140" i="13"/>
  <c r="K133" i="13"/>
  <c r="H137" i="13"/>
  <c r="H138" i="13"/>
  <c r="H139" i="13"/>
  <c r="H151" i="13"/>
  <c r="H152" i="13"/>
  <c r="J137" i="13"/>
  <c r="J138" i="13"/>
  <c r="J139" i="13"/>
  <c r="J151" i="13"/>
  <c r="J152" i="13"/>
  <c r="K137" i="13"/>
  <c r="K138" i="13"/>
  <c r="K139" i="13"/>
  <c r="K151" i="13"/>
  <c r="K152" i="13"/>
  <c r="H160" i="13"/>
  <c r="H161" i="13"/>
  <c r="H147" i="13"/>
  <c r="J160" i="13"/>
  <c r="J161" i="13"/>
  <c r="J147" i="13"/>
  <c r="K160" i="13"/>
  <c r="K161" i="13"/>
  <c r="K147" i="13"/>
  <c r="G12" i="13" l="1"/>
  <c r="G59" i="13"/>
  <c r="G60" i="13"/>
  <c r="G31" i="13"/>
  <c r="G35" i="13"/>
  <c r="G104" i="13"/>
  <c r="G61" i="13"/>
  <c r="G73" i="13"/>
  <c r="G36" i="13"/>
  <c r="G74" i="13"/>
  <c r="G75" i="13"/>
  <c r="G13" i="13"/>
  <c r="G14" i="13"/>
  <c r="G76" i="13"/>
  <c r="G77" i="13"/>
  <c r="G32" i="13"/>
  <c r="G109" i="13"/>
  <c r="G106" i="13"/>
  <c r="G105" i="13"/>
  <c r="G78" i="13"/>
  <c r="P12" i="13"/>
  <c r="P59" i="13"/>
  <c r="P60" i="13"/>
  <c r="P31" i="13"/>
  <c r="P73" i="13"/>
  <c r="P36" i="13"/>
  <c r="P74" i="13"/>
  <c r="P75" i="13"/>
  <c r="P13" i="13"/>
  <c r="P14" i="13"/>
  <c r="P76" i="13"/>
  <c r="P77" i="13"/>
  <c r="P32" i="13"/>
  <c r="P109" i="13"/>
  <c r="P106" i="13"/>
  <c r="P105" i="13"/>
  <c r="P78" i="13"/>
  <c r="P35" i="13"/>
  <c r="P104" i="13"/>
  <c r="P61" i="13"/>
  <c r="Q12" i="13"/>
  <c r="Q59" i="13"/>
  <c r="Q60" i="13"/>
  <c r="Q31" i="13"/>
  <c r="Q35" i="13"/>
  <c r="Q104" i="13"/>
  <c r="Q61" i="13"/>
  <c r="Q73" i="13"/>
  <c r="Q36" i="13"/>
  <c r="Q74" i="13"/>
  <c r="Q75" i="13"/>
  <c r="Q13" i="13"/>
  <c r="Q14" i="13"/>
  <c r="Q76" i="13"/>
  <c r="Q77" i="13"/>
  <c r="Q32" i="13"/>
  <c r="Q109" i="13"/>
  <c r="Q106" i="13"/>
  <c r="Q105" i="13"/>
  <c r="Q78" i="13"/>
  <c r="R12" i="13"/>
  <c r="R59" i="13"/>
  <c r="R60" i="13"/>
  <c r="R31" i="13"/>
  <c r="R35" i="13"/>
  <c r="R104" i="13"/>
  <c r="R61" i="13"/>
  <c r="R73" i="13"/>
  <c r="R36" i="13"/>
  <c r="R74" i="13"/>
  <c r="R75" i="13"/>
  <c r="R13" i="13"/>
  <c r="R14" i="13"/>
  <c r="R76" i="13"/>
  <c r="R77" i="13"/>
  <c r="R32" i="13"/>
  <c r="R109" i="13"/>
  <c r="R106" i="13"/>
  <c r="R105" i="13"/>
  <c r="R78" i="13"/>
  <c r="G79" i="13"/>
  <c r="G37" i="13"/>
  <c r="G16" i="13"/>
  <c r="G69" i="13"/>
  <c r="G38" i="13"/>
  <c r="G39" i="13"/>
  <c r="G17" i="13"/>
  <c r="G40" i="13"/>
  <c r="G18" i="13"/>
  <c r="G81" i="13"/>
  <c r="G82" i="13"/>
  <c r="G83" i="13"/>
  <c r="G25" i="13"/>
  <c r="G84" i="13"/>
  <c r="G85" i="13"/>
  <c r="G41" i="13"/>
  <c r="G62" i="13"/>
  <c r="G86" i="13"/>
  <c r="G63" i="13"/>
  <c r="G64" i="13"/>
  <c r="P79" i="13"/>
  <c r="P37" i="13"/>
  <c r="P16" i="13"/>
  <c r="P38" i="13"/>
  <c r="P39" i="13"/>
  <c r="P17" i="13"/>
  <c r="P40" i="13"/>
  <c r="P18" i="13"/>
  <c r="P81" i="13"/>
  <c r="P82" i="13"/>
  <c r="P83" i="13"/>
  <c r="P25" i="13"/>
  <c r="P84" i="13"/>
  <c r="P85" i="13"/>
  <c r="P41" i="13"/>
  <c r="P62" i="13"/>
  <c r="P86" i="13"/>
  <c r="P63" i="13"/>
  <c r="P64" i="13"/>
  <c r="P69" i="13"/>
  <c r="Q79" i="13"/>
  <c r="Q37" i="13"/>
  <c r="Q16" i="13"/>
  <c r="Q69" i="13"/>
  <c r="Q38" i="13"/>
  <c r="Q39" i="13"/>
  <c r="Q17" i="13"/>
  <c r="Q40" i="13"/>
  <c r="Q18" i="13"/>
  <c r="Q81" i="13"/>
  <c r="Q82" i="13"/>
  <c r="Q83" i="13"/>
  <c r="Q25" i="13"/>
  <c r="Q84" i="13"/>
  <c r="Q85" i="13"/>
  <c r="Q41" i="13"/>
  <c r="Q62" i="13"/>
  <c r="Q86" i="13"/>
  <c r="Q63" i="13"/>
  <c r="Q64" i="13"/>
  <c r="R79" i="13"/>
  <c r="R37" i="13"/>
  <c r="R16" i="13"/>
  <c r="R69" i="13"/>
  <c r="R38" i="13"/>
  <c r="R39" i="13"/>
  <c r="R17" i="13"/>
  <c r="R40" i="13"/>
  <c r="R18" i="13"/>
  <c r="R81" i="13"/>
  <c r="R82" i="13"/>
  <c r="R83" i="13"/>
  <c r="R25" i="13"/>
  <c r="R84" i="13"/>
  <c r="R85" i="13"/>
  <c r="R41" i="13"/>
  <c r="R62" i="13"/>
  <c r="R86" i="13"/>
  <c r="R63" i="13"/>
  <c r="R64" i="13"/>
  <c r="G70" i="13"/>
  <c r="G42" i="13"/>
  <c r="G43" i="13"/>
  <c r="G88" i="13"/>
  <c r="G44" i="13"/>
  <c r="G89" i="13"/>
  <c r="G110" i="13"/>
  <c r="G90" i="13"/>
  <c r="G91" i="13"/>
  <c r="G9" i="13"/>
  <c r="G26" i="13"/>
  <c r="G45" i="13"/>
  <c r="G65" i="13"/>
  <c r="G92" i="13"/>
  <c r="G93" i="13"/>
  <c r="G94" i="13"/>
  <c r="G95" i="13"/>
  <c r="G96" i="13"/>
  <c r="G55" i="13"/>
  <c r="G54" i="13"/>
  <c r="P70" i="13"/>
  <c r="P42" i="13"/>
  <c r="P43" i="13"/>
  <c r="P88" i="13"/>
  <c r="P44" i="13"/>
  <c r="P89" i="13"/>
  <c r="P110" i="13"/>
  <c r="P90" i="13"/>
  <c r="P91" i="13"/>
  <c r="P9" i="13"/>
  <c r="P26" i="13"/>
  <c r="P65" i="13"/>
  <c r="P92" i="13"/>
  <c r="P93" i="13"/>
  <c r="P94" i="13"/>
  <c r="P95" i="13"/>
  <c r="P96" i="13"/>
  <c r="P55" i="13"/>
  <c r="P54" i="13"/>
  <c r="P45" i="13"/>
  <c r="Q70" i="13"/>
  <c r="Q42" i="13"/>
  <c r="Q43" i="13"/>
  <c r="Q88" i="13"/>
  <c r="Q44" i="13"/>
  <c r="Q89" i="13"/>
  <c r="Q110" i="13"/>
  <c r="Q90" i="13"/>
  <c r="Q91" i="13"/>
  <c r="Q9" i="13"/>
  <c r="Q26" i="13"/>
  <c r="Q45" i="13"/>
  <c r="Q65" i="13"/>
  <c r="Q92" i="13"/>
  <c r="Q93" i="13"/>
  <c r="Q94" i="13"/>
  <c r="Q95" i="13"/>
  <c r="Q96" i="13"/>
  <c r="Q55" i="13"/>
  <c r="Q54" i="13"/>
  <c r="R70" i="13"/>
  <c r="R42" i="13"/>
  <c r="R43" i="13"/>
  <c r="R88" i="13"/>
  <c r="R44" i="13"/>
  <c r="R89" i="13"/>
  <c r="R110" i="13"/>
  <c r="R90" i="13"/>
  <c r="R91" i="13"/>
  <c r="R9" i="13"/>
  <c r="R26" i="13"/>
  <c r="R45" i="13"/>
  <c r="R65" i="13"/>
  <c r="R92" i="13"/>
  <c r="R93" i="13"/>
  <c r="R94" i="13"/>
  <c r="R95" i="13"/>
  <c r="R96" i="13"/>
  <c r="R55" i="13"/>
  <c r="R54" i="13"/>
  <c r="G51" i="13"/>
  <c r="G98" i="13"/>
  <c r="G107" i="13"/>
  <c r="G99" i="13"/>
  <c r="G46" i="13"/>
  <c r="G33" i="13"/>
  <c r="G100" i="13"/>
  <c r="G101" i="13"/>
  <c r="G47" i="13"/>
  <c r="G66" i="13"/>
  <c r="G52" i="13"/>
  <c r="G48" i="13"/>
  <c r="G67" i="13"/>
  <c r="G68" i="13"/>
  <c r="G49" i="13"/>
  <c r="G50" i="13"/>
  <c r="G112" i="13"/>
  <c r="G29" i="13"/>
  <c r="G87" i="13"/>
  <c r="G111" i="13"/>
  <c r="P51" i="13"/>
  <c r="P107" i="13"/>
  <c r="P99" i="13"/>
  <c r="P46" i="13"/>
  <c r="P33" i="13"/>
  <c r="P100" i="13"/>
  <c r="P101" i="13"/>
  <c r="P47" i="13"/>
  <c r="P48" i="13"/>
  <c r="P67" i="13"/>
  <c r="P68" i="13"/>
  <c r="P50" i="13"/>
  <c r="P112" i="13"/>
  <c r="P29" i="13"/>
  <c r="P87" i="13"/>
  <c r="P111" i="13"/>
  <c r="P98" i="13"/>
  <c r="P66" i="13"/>
  <c r="P52" i="13"/>
  <c r="P49" i="13"/>
  <c r="Q51" i="13"/>
  <c r="Q98" i="13"/>
  <c r="Q107" i="13"/>
  <c r="Q99" i="13"/>
  <c r="Q46" i="13"/>
  <c r="Q33" i="13"/>
  <c r="Q100" i="13"/>
  <c r="Q101" i="13"/>
  <c r="Q47" i="13"/>
  <c r="Q66" i="13"/>
  <c r="Q52" i="13"/>
  <c r="Q48" i="13"/>
  <c r="Q67" i="13"/>
  <c r="Q68" i="13"/>
  <c r="Q49" i="13"/>
  <c r="Q50" i="13"/>
  <c r="Q112" i="13"/>
  <c r="Q29" i="13"/>
  <c r="Q87" i="13"/>
  <c r="Q111" i="13"/>
  <c r="R51" i="13"/>
  <c r="R98" i="13"/>
  <c r="R107" i="13"/>
  <c r="R99" i="13"/>
  <c r="R46" i="13"/>
  <c r="R33" i="13"/>
  <c r="R100" i="13"/>
  <c r="R101" i="13"/>
  <c r="R47" i="13"/>
  <c r="R66" i="13"/>
  <c r="R52" i="13"/>
  <c r="R48" i="13"/>
  <c r="R67" i="13"/>
  <c r="R68" i="13"/>
  <c r="R49" i="13"/>
  <c r="R50" i="13"/>
  <c r="R112" i="13"/>
  <c r="R29" i="13"/>
  <c r="R87" i="13"/>
  <c r="R111" i="13"/>
  <c r="G80" i="13"/>
  <c r="G97" i="13"/>
  <c r="G10" i="13"/>
  <c r="G102" i="13"/>
  <c r="P80" i="13"/>
  <c r="P97" i="13"/>
  <c r="I10" i="13"/>
  <c r="P10" i="13" s="1"/>
  <c r="P102" i="13"/>
  <c r="Q80" i="13"/>
  <c r="Q97" i="13"/>
  <c r="Q10" i="13"/>
  <c r="Q102" i="13"/>
  <c r="R80" i="13"/>
  <c r="R97" i="13"/>
  <c r="R10" i="13"/>
  <c r="R102" i="13"/>
  <c r="G28" i="13"/>
  <c r="G56" i="13"/>
  <c r="G57" i="13"/>
  <c r="G71" i="13"/>
  <c r="G72" i="13"/>
  <c r="P28" i="13"/>
  <c r="P56" i="13"/>
  <c r="P57" i="13"/>
  <c r="P71" i="13"/>
  <c r="P72" i="13"/>
  <c r="Q28" i="13"/>
  <c r="Q56" i="13"/>
  <c r="Q57" i="13"/>
  <c r="Q71" i="13"/>
  <c r="Q72" i="13"/>
  <c r="R28" i="13"/>
  <c r="R56" i="13"/>
  <c r="R57" i="13"/>
  <c r="R71" i="13"/>
  <c r="R72" i="13"/>
  <c r="G30" i="13"/>
  <c r="G58" i="13"/>
  <c r="G11" i="13"/>
  <c r="P30" i="13"/>
  <c r="P58" i="13"/>
  <c r="P11" i="13"/>
  <c r="Q30" i="13"/>
  <c r="Q58" i="13"/>
  <c r="Q11" i="13"/>
  <c r="R30" i="13"/>
  <c r="R58" i="13"/>
  <c r="R11" i="13"/>
  <c r="H164" i="16" l="1"/>
  <c r="J164" i="16"/>
  <c r="K164" i="16"/>
  <c r="H162" i="16"/>
  <c r="J162" i="16"/>
  <c r="K162" i="16"/>
  <c r="H161" i="16"/>
  <c r="J161" i="16"/>
  <c r="K161" i="16"/>
  <c r="H163" i="16"/>
  <c r="J163" i="16"/>
  <c r="K163" i="16"/>
  <c r="G25" i="16" l="1"/>
  <c r="G111" i="16"/>
  <c r="G60" i="16"/>
  <c r="P25" i="16"/>
  <c r="P111" i="16"/>
  <c r="P60" i="16"/>
  <c r="Q25" i="16"/>
  <c r="Q111" i="16"/>
  <c r="Q60" i="16"/>
  <c r="R25" i="16"/>
  <c r="R111" i="16"/>
  <c r="R60" i="16"/>
  <c r="G90" i="16"/>
  <c r="G64" i="16"/>
  <c r="P90" i="16"/>
  <c r="P64" i="16"/>
  <c r="Q90" i="16"/>
  <c r="Q64" i="16"/>
  <c r="R90" i="16"/>
  <c r="R64" i="16"/>
  <c r="G104" i="16"/>
  <c r="G37" i="16"/>
  <c r="P104" i="16"/>
  <c r="P37" i="16"/>
  <c r="Q104" i="16"/>
  <c r="Q37" i="16"/>
  <c r="R104" i="16"/>
  <c r="R37" i="16"/>
  <c r="G99" i="16"/>
  <c r="G86" i="16"/>
  <c r="G89" i="16"/>
  <c r="P99" i="16"/>
  <c r="P86" i="16"/>
  <c r="P89" i="16"/>
  <c r="Q99" i="16"/>
  <c r="Q86" i="16"/>
  <c r="Q89" i="16"/>
  <c r="R99" i="16"/>
  <c r="R86" i="16"/>
  <c r="R89" i="16"/>
  <c r="G85" i="16"/>
  <c r="P85" i="16"/>
  <c r="Q85" i="16"/>
  <c r="R85" i="16"/>
  <c r="G30" i="16"/>
  <c r="P30" i="16"/>
  <c r="Q30" i="16"/>
  <c r="R30" i="16"/>
  <c r="I239" i="16"/>
  <c r="I240" i="16"/>
  <c r="L240" i="16" s="1"/>
  <c r="I241" i="16"/>
  <c r="L241" i="16" s="1"/>
  <c r="I242" i="16"/>
  <c r="L242" i="16" s="1"/>
  <c r="I243" i="16"/>
  <c r="L243" i="16" s="1"/>
  <c r="I244" i="16"/>
  <c r="L244" i="16" s="1"/>
  <c r="I245" i="16"/>
  <c r="L245" i="16" s="1"/>
  <c r="I246" i="16"/>
  <c r="L246" i="16" s="1"/>
  <c r="I247" i="16"/>
  <c r="L247" i="16" s="1"/>
  <c r="I248" i="16"/>
  <c r="L248" i="16" s="1"/>
  <c r="I249" i="16"/>
  <c r="L249" i="16" s="1"/>
  <c r="I250" i="16"/>
  <c r="L250" i="16" s="1"/>
  <c r="I251" i="16"/>
  <c r="L251" i="16" s="1"/>
  <c r="I252" i="16"/>
  <c r="L252" i="16" s="1"/>
  <c r="I253" i="16"/>
  <c r="L253" i="16" s="1"/>
  <c r="I254" i="16"/>
  <c r="L254" i="16" s="1"/>
  <c r="I255" i="16"/>
  <c r="L255" i="16" s="1"/>
  <c r="I256" i="16"/>
  <c r="L256" i="16" s="1"/>
  <c r="I257" i="16"/>
  <c r="L257" i="16" s="1"/>
  <c r="I258" i="16"/>
  <c r="L258" i="16" s="1"/>
  <c r="I259" i="16"/>
  <c r="L259" i="16" s="1"/>
  <c r="I260" i="16"/>
  <c r="L260" i="16" s="1"/>
  <c r="I261" i="16"/>
  <c r="L261" i="16" s="1"/>
  <c r="I262" i="16"/>
  <c r="L262" i="16" s="1"/>
  <c r="I263" i="16"/>
  <c r="L263" i="16" s="1"/>
  <c r="I264" i="16"/>
  <c r="L264" i="16" s="1"/>
  <c r="I265" i="16"/>
  <c r="L265" i="16" s="1"/>
  <c r="I266" i="16"/>
  <c r="L266" i="16" s="1"/>
  <c r="I267" i="16"/>
  <c r="L267" i="16" s="1"/>
  <c r="I268" i="16"/>
  <c r="L268" i="16" s="1"/>
  <c r="I269" i="16"/>
  <c r="L269" i="16" s="1"/>
  <c r="I270" i="16"/>
  <c r="L270" i="16" s="1"/>
  <c r="I271" i="16"/>
  <c r="L271" i="16" s="1"/>
  <c r="I272" i="16"/>
  <c r="L272" i="16" s="1"/>
  <c r="I273" i="16"/>
  <c r="L273" i="16" s="1"/>
  <c r="I274" i="16"/>
  <c r="L274" i="16" s="1"/>
  <c r="I275" i="16"/>
  <c r="L275" i="16" s="1"/>
  <c r="I276" i="16"/>
  <c r="L276" i="16" s="1"/>
  <c r="I277" i="16"/>
  <c r="L277" i="16" s="1"/>
  <c r="I278" i="16"/>
  <c r="L278" i="16" s="1"/>
  <c r="I279" i="16"/>
  <c r="L279" i="16" s="1"/>
  <c r="I280" i="16"/>
  <c r="L280" i="16" s="1"/>
  <c r="I281" i="16"/>
  <c r="L281" i="16" s="1"/>
  <c r="I282" i="16"/>
  <c r="L282" i="16" s="1"/>
  <c r="I283" i="16"/>
  <c r="L283" i="16" s="1"/>
  <c r="I284" i="16"/>
  <c r="L284" i="16" s="1"/>
  <c r="I285" i="16"/>
  <c r="L285" i="16" s="1"/>
  <c r="I286" i="16"/>
  <c r="L286" i="16" s="1"/>
  <c r="I287" i="16"/>
  <c r="L287" i="16" s="1"/>
  <c r="I288" i="16"/>
  <c r="L288" i="16" s="1"/>
  <c r="I289" i="16"/>
  <c r="L289" i="16" s="1"/>
  <c r="I290" i="16"/>
  <c r="L290" i="16" s="1"/>
  <c r="I291" i="16"/>
  <c r="L291" i="16" s="1"/>
  <c r="I292" i="16"/>
  <c r="L292" i="16" s="1"/>
  <c r="I293" i="16"/>
  <c r="L293" i="16" s="1"/>
  <c r="I294" i="16"/>
  <c r="L294" i="16" s="1"/>
  <c r="I295" i="16"/>
  <c r="L295" i="16" s="1"/>
  <c r="I296" i="16"/>
  <c r="L296" i="16" s="1"/>
  <c r="I297" i="16"/>
  <c r="L297" i="16" s="1"/>
  <c r="I298" i="16"/>
  <c r="L298" i="16" s="1"/>
  <c r="I299" i="16"/>
  <c r="L299" i="16" s="1"/>
  <c r="I300" i="16"/>
  <c r="L300" i="16" s="1"/>
  <c r="I301" i="16"/>
  <c r="L301" i="16" s="1"/>
  <c r="I302" i="16"/>
  <c r="L302" i="16" s="1"/>
  <c r="I303" i="16"/>
  <c r="L303" i="16" s="1"/>
  <c r="I304" i="16"/>
  <c r="L304" i="16" s="1"/>
  <c r="I305" i="16"/>
  <c r="L305" i="16" s="1"/>
  <c r="I306" i="16"/>
  <c r="L306" i="16" s="1"/>
  <c r="I307" i="16"/>
  <c r="L307" i="16" s="1"/>
  <c r="I308" i="16"/>
  <c r="L308" i="16" s="1"/>
  <c r="I309" i="16"/>
  <c r="L309" i="16" s="1"/>
  <c r="I310" i="16"/>
  <c r="L310" i="16" s="1"/>
  <c r="I311" i="16"/>
  <c r="L311" i="16" s="1"/>
  <c r="I312" i="16"/>
  <c r="L312" i="16" s="1"/>
  <c r="I313" i="16"/>
  <c r="L313" i="16" s="1"/>
  <c r="I314" i="16"/>
  <c r="L314" i="16" s="1"/>
  <c r="I315" i="16"/>
  <c r="L315" i="16" s="1"/>
  <c r="I316" i="16"/>
  <c r="L316" i="16" s="1"/>
  <c r="I317" i="16"/>
  <c r="L317" i="16" s="1"/>
  <c r="I318" i="16"/>
  <c r="L318" i="16" s="1"/>
  <c r="I319" i="16"/>
  <c r="L319" i="16" s="1"/>
  <c r="I320" i="16"/>
  <c r="L320" i="16" s="1"/>
  <c r="I321" i="16"/>
  <c r="L321" i="16" s="1"/>
  <c r="I322" i="16"/>
  <c r="L322" i="16" s="1"/>
  <c r="I323" i="16"/>
  <c r="L323" i="16" s="1"/>
  <c r="I324" i="16"/>
  <c r="L324" i="16" s="1"/>
  <c r="I325" i="16"/>
  <c r="L325" i="16" s="1"/>
  <c r="I326" i="16"/>
  <c r="L326" i="16" s="1"/>
  <c r="I327" i="16"/>
  <c r="L327" i="16" s="1"/>
  <c r="I328" i="16"/>
  <c r="L328" i="16" s="1"/>
  <c r="I329" i="16"/>
  <c r="L329" i="16" s="1"/>
  <c r="I330" i="16"/>
  <c r="L330" i="16" s="1"/>
  <c r="I331" i="16"/>
  <c r="L331" i="16" s="1"/>
  <c r="I332" i="16"/>
  <c r="L332" i="16" s="1"/>
  <c r="I333" i="16"/>
  <c r="L333" i="16" s="1"/>
  <c r="I334" i="16"/>
  <c r="L334" i="16" s="1"/>
  <c r="I335" i="16"/>
  <c r="L335" i="16" s="1"/>
  <c r="I336" i="16"/>
  <c r="L336" i="16" s="1"/>
  <c r="I337" i="16"/>
  <c r="L337" i="16" s="1"/>
  <c r="I338" i="16"/>
  <c r="L338" i="16" s="1"/>
  <c r="I339" i="16"/>
  <c r="L339" i="16" s="1"/>
  <c r="I340" i="16"/>
  <c r="L340" i="16" s="1"/>
  <c r="I341" i="16"/>
  <c r="L341" i="16" s="1"/>
  <c r="I342" i="16"/>
  <c r="L342" i="16" s="1"/>
  <c r="I343" i="16"/>
  <c r="L343" i="16" s="1"/>
  <c r="I344" i="16"/>
  <c r="L344" i="16" s="1"/>
  <c r="I345" i="16"/>
  <c r="L345" i="16" s="1"/>
  <c r="I346" i="16"/>
  <c r="L346" i="16" s="1"/>
  <c r="I347" i="16"/>
  <c r="L347" i="16" s="1"/>
  <c r="I348" i="16"/>
  <c r="L348" i="16" s="1"/>
  <c r="I349" i="16"/>
  <c r="L349" i="16" s="1"/>
  <c r="I350" i="16"/>
  <c r="L350" i="16" s="1"/>
  <c r="I351" i="16"/>
  <c r="L351" i="16" s="1"/>
  <c r="I352" i="16"/>
  <c r="L352" i="16" s="1"/>
  <c r="I353" i="16"/>
  <c r="L353" i="16" s="1"/>
  <c r="I354" i="16"/>
  <c r="L354" i="16" s="1"/>
  <c r="I355" i="16"/>
  <c r="L355" i="16" s="1"/>
  <c r="I356" i="16"/>
  <c r="L356" i="16" s="1"/>
  <c r="I357" i="16"/>
  <c r="L357" i="16" s="1"/>
  <c r="I358" i="16"/>
  <c r="L358" i="16" s="1"/>
  <c r="I359" i="16"/>
  <c r="L359" i="16" s="1"/>
  <c r="I360" i="16"/>
  <c r="L360" i="16" s="1"/>
  <c r="I361" i="16"/>
  <c r="I362" i="16"/>
  <c r="I363" i="16"/>
  <c r="I364" i="16"/>
  <c r="I365" i="16"/>
  <c r="I366" i="16"/>
  <c r="L366" i="16" s="1"/>
  <c r="I367" i="16"/>
  <c r="L367" i="16" s="1"/>
  <c r="I368" i="16"/>
  <c r="L368" i="16" s="1"/>
  <c r="I369" i="16"/>
  <c r="L369" i="16" s="1"/>
  <c r="I370" i="16"/>
  <c r="L370" i="16" s="1"/>
  <c r="I371" i="16"/>
  <c r="L371" i="16" s="1"/>
  <c r="I372" i="16"/>
  <c r="L372" i="16" s="1"/>
  <c r="I373" i="16"/>
  <c r="L373" i="16" s="1"/>
  <c r="I374" i="16"/>
  <c r="L374" i="16" s="1"/>
  <c r="I375" i="16"/>
  <c r="L375" i="16" s="1"/>
  <c r="I376" i="16"/>
  <c r="L376" i="16" s="1"/>
  <c r="I377" i="16"/>
  <c r="L377" i="16" s="1"/>
  <c r="I378" i="16"/>
  <c r="L378" i="16" s="1"/>
  <c r="I379" i="16"/>
  <c r="L379" i="16" s="1"/>
  <c r="I380" i="16"/>
  <c r="L380" i="16" s="1"/>
  <c r="I381" i="16"/>
  <c r="L381" i="16" s="1"/>
  <c r="I382" i="16"/>
  <c r="L382" i="16" s="1"/>
  <c r="I383" i="16"/>
  <c r="L383" i="16" s="1"/>
  <c r="I384" i="16"/>
  <c r="L384" i="16" s="1"/>
  <c r="I385" i="16"/>
  <c r="L385" i="16" s="1"/>
  <c r="I386" i="16"/>
  <c r="L386" i="16" s="1"/>
  <c r="I387" i="16"/>
  <c r="L387" i="16" s="1"/>
  <c r="I388" i="16"/>
  <c r="L388" i="16" s="1"/>
  <c r="I389" i="16"/>
  <c r="L389" i="16" s="1"/>
  <c r="I390" i="16"/>
  <c r="L390" i="16" s="1"/>
  <c r="I391" i="16"/>
  <c r="L391" i="16" s="1"/>
  <c r="I392" i="16"/>
  <c r="L392" i="16" s="1"/>
  <c r="I393" i="16"/>
  <c r="L393" i="16" s="1"/>
  <c r="I394" i="16"/>
  <c r="L394" i="16" s="1"/>
  <c r="I395" i="16"/>
  <c r="L395" i="16" s="1"/>
  <c r="I396" i="16"/>
  <c r="L396" i="16" s="1"/>
  <c r="I397" i="16"/>
  <c r="L397" i="16" s="1"/>
  <c r="I398" i="16"/>
  <c r="L398" i="16" s="1"/>
  <c r="I399" i="16"/>
  <c r="L399" i="16" s="1"/>
  <c r="I400" i="16"/>
  <c r="L400" i="16" s="1"/>
  <c r="I401" i="16"/>
  <c r="L401" i="16" s="1"/>
  <c r="I402" i="16"/>
  <c r="L402" i="16" s="1"/>
  <c r="I403" i="16"/>
  <c r="L403" i="16" s="1"/>
  <c r="I404" i="16"/>
  <c r="L404" i="16" s="1"/>
  <c r="I405" i="16"/>
  <c r="L405" i="16" s="1"/>
  <c r="I406" i="16"/>
  <c r="L406" i="16" s="1"/>
  <c r="I407" i="16"/>
  <c r="L407" i="16" s="1"/>
  <c r="I408" i="16"/>
  <c r="L408" i="16" s="1"/>
  <c r="I409" i="16"/>
  <c r="L409" i="16" s="1"/>
  <c r="I410" i="16"/>
  <c r="L410" i="16" s="1"/>
  <c r="I411" i="16"/>
  <c r="L411" i="16" s="1"/>
  <c r="I412" i="16"/>
  <c r="L412" i="16" s="1"/>
  <c r="I413" i="16"/>
  <c r="L413" i="16" s="1"/>
  <c r="I414" i="16"/>
  <c r="L414" i="16" s="1"/>
  <c r="I415" i="16"/>
  <c r="L415" i="16" s="1"/>
  <c r="I416" i="16"/>
  <c r="L416" i="16" s="1"/>
  <c r="I417" i="16"/>
  <c r="L417" i="16" s="1"/>
  <c r="I418" i="16"/>
  <c r="L418" i="16" s="1"/>
  <c r="I419" i="16"/>
  <c r="L419" i="16" s="1"/>
  <c r="I420" i="16"/>
  <c r="L420" i="16" s="1"/>
  <c r="I421" i="16"/>
  <c r="L421" i="16" s="1"/>
  <c r="I422" i="16"/>
  <c r="L422" i="16" s="1"/>
  <c r="I423" i="16"/>
  <c r="L423" i="16" s="1"/>
  <c r="I424" i="16"/>
  <c r="L424" i="16" s="1"/>
  <c r="I425" i="16"/>
  <c r="L425" i="16" s="1"/>
  <c r="I426" i="16"/>
  <c r="L426" i="16" s="1"/>
  <c r="I427" i="16"/>
  <c r="L427" i="16" s="1"/>
  <c r="I428" i="16"/>
  <c r="L428" i="16" s="1"/>
  <c r="I429" i="16"/>
  <c r="L429" i="16" s="1"/>
  <c r="I430" i="16"/>
  <c r="L430" i="16" s="1"/>
  <c r="I431" i="16"/>
  <c r="L431" i="16" s="1"/>
  <c r="I432" i="16"/>
  <c r="L432" i="16" s="1"/>
  <c r="I433" i="16"/>
  <c r="L433" i="16" s="1"/>
  <c r="I434" i="16"/>
  <c r="L434" i="16" s="1"/>
  <c r="I435" i="16"/>
  <c r="L435" i="16" s="1"/>
  <c r="I436" i="16"/>
  <c r="L436" i="16" s="1"/>
  <c r="I437" i="16"/>
  <c r="L437" i="16" s="1"/>
  <c r="I438" i="16"/>
  <c r="L438" i="16" s="1"/>
  <c r="I439" i="16"/>
  <c r="L439" i="16" s="1"/>
  <c r="I440" i="16"/>
  <c r="L440" i="16" s="1"/>
  <c r="I441" i="16"/>
  <c r="L441" i="16" s="1"/>
  <c r="I442" i="16"/>
  <c r="L442" i="16" s="1"/>
  <c r="I443" i="16"/>
  <c r="L443" i="16" s="1"/>
  <c r="I444" i="16"/>
  <c r="L444" i="16" s="1"/>
  <c r="I445" i="16"/>
  <c r="L445" i="16" s="1"/>
  <c r="I446" i="16"/>
  <c r="L446" i="16" s="1"/>
  <c r="I447" i="16"/>
  <c r="L447" i="16" s="1"/>
  <c r="I448" i="16"/>
  <c r="L448" i="16" s="1"/>
  <c r="I449" i="16"/>
  <c r="L449" i="16" s="1"/>
  <c r="I450" i="16"/>
  <c r="L450" i="16" s="1"/>
  <c r="I451" i="16"/>
  <c r="L451" i="16" s="1"/>
  <c r="I452" i="16"/>
  <c r="L452" i="16" s="1"/>
  <c r="I453" i="16"/>
  <c r="L453" i="16" s="1"/>
  <c r="I454" i="16"/>
  <c r="L454" i="16" s="1"/>
  <c r="I455" i="16"/>
  <c r="L455" i="16" s="1"/>
  <c r="I456" i="16"/>
  <c r="L456" i="16" s="1"/>
  <c r="I457" i="16"/>
  <c r="L457" i="16" s="1"/>
  <c r="I458" i="16"/>
  <c r="L458" i="16" s="1"/>
  <c r="I459" i="16"/>
  <c r="L459" i="16" s="1"/>
  <c r="I460" i="16"/>
  <c r="L460" i="16" s="1"/>
  <c r="I461" i="16"/>
  <c r="L461" i="16" s="1"/>
  <c r="I462" i="16"/>
  <c r="L462" i="16" s="1"/>
  <c r="I463" i="16"/>
  <c r="L463" i="16" s="1"/>
  <c r="I464" i="16"/>
  <c r="L464" i="16" s="1"/>
  <c r="I465" i="16"/>
  <c r="L465" i="16" s="1"/>
  <c r="I466" i="16"/>
  <c r="L466" i="16" s="1"/>
  <c r="I467" i="16"/>
  <c r="L467" i="16" s="1"/>
  <c r="I468" i="16"/>
  <c r="L468" i="16" s="1"/>
  <c r="I469" i="16"/>
  <c r="L469" i="16" s="1"/>
  <c r="I470" i="16"/>
  <c r="L470" i="16" s="1"/>
  <c r="I471" i="16"/>
  <c r="L471" i="16" s="1"/>
  <c r="I472" i="16"/>
  <c r="L472" i="16" s="1"/>
  <c r="I473" i="16"/>
  <c r="L473" i="16" s="1"/>
  <c r="I474" i="16"/>
  <c r="L474" i="16" s="1"/>
  <c r="I475" i="16"/>
  <c r="L475" i="16" s="1"/>
  <c r="I476" i="16"/>
  <c r="L476" i="16" s="1"/>
  <c r="I477" i="16"/>
  <c r="L477" i="16" s="1"/>
  <c r="I478" i="16"/>
  <c r="L478" i="16" s="1"/>
  <c r="I479" i="16"/>
  <c r="L479" i="16" s="1"/>
  <c r="I480" i="16"/>
  <c r="L480" i="16" s="1"/>
  <c r="I481" i="16"/>
  <c r="L481" i="16" s="1"/>
  <c r="I482" i="16"/>
  <c r="L482" i="16" s="1"/>
  <c r="I483" i="16"/>
  <c r="L483" i="16" s="1"/>
  <c r="I484" i="16"/>
  <c r="L484" i="16" s="1"/>
  <c r="I485" i="16"/>
  <c r="L485" i="16" s="1"/>
  <c r="I486" i="16"/>
  <c r="L486" i="16" s="1"/>
  <c r="I487" i="16"/>
  <c r="L487" i="16" s="1"/>
  <c r="I488" i="16"/>
  <c r="L488" i="16" s="1"/>
  <c r="I489" i="16"/>
  <c r="L489" i="16" s="1"/>
  <c r="I490" i="16"/>
  <c r="L490" i="16" s="1"/>
  <c r="I491" i="16"/>
  <c r="L491" i="16" s="1"/>
  <c r="I492" i="16"/>
  <c r="L492" i="16" s="1"/>
  <c r="I493" i="16"/>
  <c r="L493" i="16" s="1"/>
  <c r="I494" i="16"/>
  <c r="L494" i="16" s="1"/>
  <c r="I495" i="16"/>
  <c r="L495" i="16" s="1"/>
  <c r="I496" i="16"/>
  <c r="L496" i="16" s="1"/>
  <c r="I497" i="16"/>
  <c r="L497" i="16" s="1"/>
  <c r="I498" i="16"/>
  <c r="L498" i="16" s="1"/>
  <c r="I499" i="16"/>
  <c r="L499" i="16" s="1"/>
  <c r="I500" i="16"/>
  <c r="L500" i="16" s="1"/>
  <c r="I501" i="16"/>
  <c r="L501" i="16" s="1"/>
  <c r="I502" i="16"/>
  <c r="L502" i="16" s="1"/>
  <c r="I503" i="16"/>
  <c r="L503" i="16" s="1"/>
  <c r="I504" i="16"/>
  <c r="L504" i="16" s="1"/>
  <c r="I505" i="16"/>
  <c r="L505" i="16" s="1"/>
  <c r="I506" i="16"/>
  <c r="L506" i="16" s="1"/>
  <c r="I507" i="16"/>
  <c r="L507" i="16" s="1"/>
  <c r="I508" i="16"/>
  <c r="L508" i="16" s="1"/>
  <c r="I509" i="16"/>
  <c r="L509" i="16" s="1"/>
  <c r="I510" i="16"/>
  <c r="L510" i="16" s="1"/>
  <c r="I511" i="16"/>
  <c r="L511" i="16" s="1"/>
  <c r="I512" i="16"/>
  <c r="L512" i="16" s="1"/>
  <c r="I513" i="16"/>
  <c r="L513" i="16" s="1"/>
  <c r="I514" i="16"/>
  <c r="L514" i="16" s="1"/>
  <c r="I515" i="16"/>
  <c r="L515" i="16" s="1"/>
  <c r="I516" i="16"/>
  <c r="L516" i="16" s="1"/>
  <c r="I517" i="16"/>
  <c r="L517" i="16" s="1"/>
  <c r="I518" i="16"/>
  <c r="L518" i="16" s="1"/>
  <c r="I519" i="16"/>
  <c r="L519" i="16" s="1"/>
  <c r="I520" i="16"/>
  <c r="L520" i="16" s="1"/>
  <c r="I521" i="16"/>
  <c r="L521" i="16" s="1"/>
  <c r="I522" i="16"/>
  <c r="L522" i="16" s="1"/>
  <c r="I523" i="16"/>
  <c r="L523" i="16" s="1"/>
  <c r="I524" i="16"/>
  <c r="L524" i="16" s="1"/>
  <c r="I525" i="16"/>
  <c r="L525" i="16" s="1"/>
  <c r="I526" i="16"/>
  <c r="L526" i="16" s="1"/>
  <c r="I527" i="16"/>
  <c r="L527" i="16" s="1"/>
  <c r="I528" i="16"/>
  <c r="L528" i="16" s="1"/>
  <c r="I529" i="16"/>
  <c r="L529" i="16" s="1"/>
  <c r="I530" i="16"/>
  <c r="L530" i="16" s="1"/>
  <c r="I531" i="16"/>
  <c r="L531" i="16" s="1"/>
  <c r="I532" i="16"/>
  <c r="L532" i="16" s="1"/>
  <c r="I533" i="16"/>
  <c r="L533" i="16" s="1"/>
  <c r="I534" i="16"/>
  <c r="L534" i="16" s="1"/>
  <c r="I535" i="16"/>
  <c r="L535" i="16" s="1"/>
  <c r="I536" i="16"/>
  <c r="L536" i="16" s="1"/>
  <c r="I537" i="16"/>
  <c r="L537" i="16" s="1"/>
  <c r="I538" i="16"/>
  <c r="L538" i="16" s="1"/>
  <c r="I539" i="16"/>
  <c r="L539" i="16" s="1"/>
  <c r="I540" i="16"/>
  <c r="L540" i="16" s="1"/>
  <c r="I541" i="16"/>
  <c r="L541" i="16" s="1"/>
  <c r="I542" i="16"/>
  <c r="L542" i="16" s="1"/>
  <c r="I543" i="16"/>
  <c r="L543" i="16" s="1"/>
  <c r="I544" i="16"/>
  <c r="L544" i="16" s="1"/>
  <c r="I545" i="16"/>
  <c r="L545" i="16" s="1"/>
  <c r="I546" i="16"/>
  <c r="L546" i="16" s="1"/>
  <c r="I547" i="16"/>
  <c r="L547" i="16" s="1"/>
  <c r="I548" i="16"/>
  <c r="L548" i="16" s="1"/>
  <c r="I549" i="16"/>
  <c r="L549" i="16" s="1"/>
  <c r="I550" i="16"/>
  <c r="L550" i="16" s="1"/>
  <c r="I551" i="16"/>
  <c r="L551" i="16" s="1"/>
  <c r="I552" i="16"/>
  <c r="L552" i="16" s="1"/>
  <c r="I553" i="16"/>
  <c r="L553" i="16" s="1"/>
  <c r="I554" i="16"/>
  <c r="L554" i="16" s="1"/>
  <c r="I555" i="16"/>
  <c r="L555" i="16" s="1"/>
  <c r="I556" i="16"/>
  <c r="L556" i="16" s="1"/>
  <c r="I557" i="16"/>
  <c r="L557" i="16" s="1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G503" i="16"/>
  <c r="G504" i="16"/>
  <c r="G505" i="16"/>
  <c r="G506" i="16"/>
  <c r="G507" i="16"/>
  <c r="G508" i="16"/>
  <c r="G509" i="16"/>
  <c r="G510" i="16"/>
  <c r="G511" i="16"/>
  <c r="G512" i="16"/>
  <c r="G513" i="16"/>
  <c r="G514" i="16"/>
  <c r="G515" i="16"/>
  <c r="G516" i="16"/>
  <c r="G517" i="16"/>
  <c r="G518" i="16"/>
  <c r="G519" i="16"/>
  <c r="G520" i="16"/>
  <c r="G521" i="16"/>
  <c r="G522" i="16"/>
  <c r="G523" i="16"/>
  <c r="G524" i="16"/>
  <c r="G525" i="16"/>
  <c r="G526" i="16"/>
  <c r="G527" i="16"/>
  <c r="G528" i="16"/>
  <c r="G529" i="16"/>
  <c r="G530" i="16"/>
  <c r="G531" i="16"/>
  <c r="G532" i="16"/>
  <c r="G533" i="16"/>
  <c r="G534" i="16"/>
  <c r="G535" i="16"/>
  <c r="G536" i="16"/>
  <c r="G537" i="16"/>
  <c r="G538" i="16"/>
  <c r="G539" i="16"/>
  <c r="G540" i="16"/>
  <c r="G541" i="16"/>
  <c r="G542" i="16"/>
  <c r="G543" i="16"/>
  <c r="G544" i="16"/>
  <c r="G545" i="16"/>
  <c r="G546" i="16"/>
  <c r="G547" i="16"/>
  <c r="G548" i="16"/>
  <c r="G549" i="16"/>
  <c r="G550" i="16"/>
  <c r="G551" i="16"/>
  <c r="G552" i="16"/>
  <c r="G553" i="16"/>
  <c r="G554" i="16"/>
  <c r="G555" i="16"/>
  <c r="G556" i="16"/>
  <c r="G557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42" i="16"/>
  <c r="G243" i="16"/>
  <c r="G244" i="16"/>
  <c r="G245" i="16"/>
  <c r="G246" i="16"/>
  <c r="G247" i="16"/>
  <c r="G248" i="16"/>
  <c r="G249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I175" i="16"/>
  <c r="L175" i="16" s="1"/>
  <c r="I176" i="16"/>
  <c r="I177" i="16"/>
  <c r="L177" i="16" s="1"/>
  <c r="I178" i="16"/>
  <c r="L178" i="16" s="1"/>
  <c r="I179" i="16"/>
  <c r="L179" i="16" s="1"/>
  <c r="I180" i="16"/>
  <c r="L180" i="16" s="1"/>
  <c r="I181" i="16"/>
  <c r="L181" i="16" s="1"/>
  <c r="I182" i="16"/>
  <c r="L182" i="16" s="1"/>
  <c r="I183" i="16"/>
  <c r="L183" i="16" s="1"/>
  <c r="I184" i="16"/>
  <c r="L184" i="16" s="1"/>
  <c r="I185" i="16"/>
  <c r="L185" i="16" s="1"/>
  <c r="I186" i="16"/>
  <c r="L186" i="16" s="1"/>
  <c r="I187" i="16"/>
  <c r="L187" i="16" s="1"/>
  <c r="I188" i="16"/>
  <c r="L188" i="16" s="1"/>
  <c r="I189" i="16"/>
  <c r="L189" i="16" s="1"/>
  <c r="I190" i="16"/>
  <c r="L190" i="16" s="1"/>
  <c r="I191" i="16"/>
  <c r="L191" i="16" s="1"/>
  <c r="L176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I192" i="16"/>
  <c r="L192" i="16" s="1"/>
  <c r="I193" i="16"/>
  <c r="I194" i="16"/>
  <c r="L194" i="16" s="1"/>
  <c r="I195" i="16"/>
  <c r="L195" i="16" s="1"/>
  <c r="I196" i="16"/>
  <c r="L196" i="16" s="1"/>
  <c r="I197" i="16"/>
  <c r="L197" i="16" s="1"/>
  <c r="I198" i="16"/>
  <c r="L198" i="16" s="1"/>
  <c r="I199" i="16"/>
  <c r="L199" i="16" s="1"/>
  <c r="I200" i="16"/>
  <c r="L200" i="16" s="1"/>
  <c r="I201" i="16"/>
  <c r="L201" i="16" s="1"/>
  <c r="I202" i="16"/>
  <c r="L202" i="16" s="1"/>
  <c r="I203" i="16"/>
  <c r="L203" i="16" s="1"/>
  <c r="I204" i="16"/>
  <c r="L204" i="16" s="1"/>
  <c r="I205" i="16"/>
  <c r="L205" i="16" s="1"/>
  <c r="I206" i="16"/>
  <c r="L206" i="16" s="1"/>
  <c r="I207" i="16"/>
  <c r="L207" i="16" s="1"/>
  <c r="I208" i="16"/>
  <c r="L208" i="16" s="1"/>
  <c r="L19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240" i="16"/>
  <c r="G241" i="16"/>
  <c r="G323" i="16"/>
  <c r="G354" i="16"/>
  <c r="G355" i="16"/>
  <c r="G356" i="16"/>
  <c r="G357" i="16"/>
  <c r="G358" i="16"/>
  <c r="G359" i="16"/>
  <c r="G360" i="16"/>
  <c r="G219" i="16"/>
  <c r="G220" i="16"/>
  <c r="G221" i="16"/>
  <c r="G222" i="16"/>
  <c r="G223" i="16"/>
  <c r="G224" i="16"/>
  <c r="G225" i="16"/>
  <c r="G226" i="16"/>
  <c r="G227" i="16"/>
  <c r="G228" i="16"/>
  <c r="G229" i="16"/>
  <c r="I219" i="16"/>
  <c r="L219" i="16" s="1"/>
  <c r="I220" i="16"/>
  <c r="L220" i="16" s="1"/>
  <c r="I221" i="16"/>
  <c r="L221" i="16" s="1"/>
  <c r="I222" i="16"/>
  <c r="L222" i="16" s="1"/>
  <c r="I223" i="16"/>
  <c r="L223" i="16" s="1"/>
  <c r="I224" i="16"/>
  <c r="L224" i="16" s="1"/>
  <c r="I225" i="16"/>
  <c r="L225" i="16" s="1"/>
  <c r="I226" i="16"/>
  <c r="L226" i="16" s="1"/>
  <c r="I227" i="16"/>
  <c r="L227" i="16" s="1"/>
  <c r="I228" i="16"/>
  <c r="L228" i="16" s="1"/>
  <c r="I229" i="16"/>
  <c r="L229" i="16" s="1"/>
  <c r="G230" i="16"/>
  <c r="G231" i="16"/>
  <c r="G232" i="16"/>
  <c r="I230" i="16"/>
  <c r="L230" i="16" s="1"/>
  <c r="I231" i="16"/>
  <c r="L231" i="16" s="1"/>
  <c r="I232" i="16"/>
  <c r="L232" i="16" s="1"/>
  <c r="G217" i="16"/>
  <c r="G218" i="16"/>
  <c r="I217" i="16"/>
  <c r="L217" i="16" s="1"/>
  <c r="I218" i="16"/>
  <c r="L218" i="16" s="1"/>
  <c r="G174" i="16"/>
  <c r="G209" i="16"/>
  <c r="G210" i="16"/>
  <c r="G211" i="16"/>
  <c r="G212" i="16"/>
  <c r="G213" i="16"/>
  <c r="G214" i="16"/>
  <c r="I174" i="16"/>
  <c r="L174" i="16" s="1"/>
  <c r="I209" i="16"/>
  <c r="L209" i="16" s="1"/>
  <c r="I210" i="16"/>
  <c r="L210" i="16" s="1"/>
  <c r="I211" i="16"/>
  <c r="L211" i="16" s="1"/>
  <c r="I212" i="16"/>
  <c r="L212" i="16" s="1"/>
  <c r="I213" i="16"/>
  <c r="L213" i="16" s="1"/>
  <c r="I214" i="16"/>
  <c r="L214" i="16" s="1"/>
  <c r="G215" i="16"/>
  <c r="G216" i="16"/>
  <c r="I215" i="16"/>
  <c r="L215" i="16" s="1"/>
  <c r="I216" i="16"/>
  <c r="L216" i="16" s="1"/>
  <c r="G22" i="16" l="1"/>
  <c r="P22" i="16"/>
  <c r="Q22" i="16"/>
  <c r="R22" i="16"/>
  <c r="H144" i="16"/>
  <c r="J144" i="16"/>
  <c r="K144" i="16"/>
  <c r="H140" i="16"/>
  <c r="H139" i="16"/>
  <c r="H141" i="16"/>
  <c r="H142" i="16"/>
  <c r="H133" i="16"/>
  <c r="H138" i="16"/>
  <c r="J140" i="16"/>
  <c r="J139" i="16"/>
  <c r="J141" i="16"/>
  <c r="J142" i="16"/>
  <c r="J133" i="16"/>
  <c r="J138" i="16"/>
  <c r="K140" i="16"/>
  <c r="K139" i="16"/>
  <c r="K141" i="16"/>
  <c r="K142" i="16"/>
  <c r="K133" i="16"/>
  <c r="K138" i="16"/>
  <c r="H137" i="16"/>
  <c r="H136" i="16"/>
  <c r="H135" i="16"/>
  <c r="H134" i="16"/>
  <c r="J137" i="16"/>
  <c r="J136" i="16"/>
  <c r="J135" i="16"/>
  <c r="J134" i="16"/>
  <c r="K137" i="16"/>
  <c r="K136" i="16"/>
  <c r="K135" i="16"/>
  <c r="K134" i="16"/>
  <c r="H145" i="16"/>
  <c r="J145" i="16"/>
  <c r="K145" i="16"/>
  <c r="G53" i="16"/>
  <c r="G50" i="16"/>
  <c r="G17" i="16"/>
  <c r="G16" i="16"/>
  <c r="P53" i="16"/>
  <c r="P50" i="16"/>
  <c r="P17" i="16"/>
  <c r="P16" i="16"/>
  <c r="Q53" i="16"/>
  <c r="Q50" i="16"/>
  <c r="Q17" i="16"/>
  <c r="Q16" i="16"/>
  <c r="R53" i="16"/>
  <c r="R50" i="16"/>
  <c r="R17" i="16"/>
  <c r="R16" i="16"/>
  <c r="G61" i="16"/>
  <c r="G97" i="16"/>
  <c r="G70" i="16"/>
  <c r="G98" i="16"/>
  <c r="G55" i="16"/>
  <c r="G31" i="16"/>
  <c r="G115" i="16"/>
  <c r="G105" i="16"/>
  <c r="G114" i="16"/>
  <c r="G92" i="16"/>
  <c r="G41" i="16"/>
  <c r="G87" i="16"/>
  <c r="G23" i="16"/>
  <c r="G44" i="16"/>
  <c r="G56" i="16"/>
  <c r="G49" i="16"/>
  <c r="G21" i="16"/>
  <c r="G67" i="16"/>
  <c r="G100" i="16"/>
  <c r="G38" i="16"/>
  <c r="P61" i="16"/>
  <c r="P97" i="16"/>
  <c r="P70" i="16"/>
  <c r="P98" i="16"/>
  <c r="P55" i="16"/>
  <c r="P31" i="16"/>
  <c r="P115" i="16"/>
  <c r="P105" i="16"/>
  <c r="P114" i="16"/>
  <c r="P92" i="16"/>
  <c r="P41" i="16"/>
  <c r="P87" i="16"/>
  <c r="P23" i="16"/>
  <c r="P44" i="16"/>
  <c r="P56" i="16"/>
  <c r="P49" i="16"/>
  <c r="P21" i="16"/>
  <c r="P67" i="16"/>
  <c r="P100" i="16"/>
  <c r="P38" i="16"/>
  <c r="Q61" i="16"/>
  <c r="Q97" i="16"/>
  <c r="Q70" i="16"/>
  <c r="Q98" i="16"/>
  <c r="Q55" i="16"/>
  <c r="Q31" i="16"/>
  <c r="Q115" i="16"/>
  <c r="Q105" i="16"/>
  <c r="Q114" i="16"/>
  <c r="Q92" i="16"/>
  <c r="Q41" i="16"/>
  <c r="Q87" i="16"/>
  <c r="Q23" i="16"/>
  <c r="Q44" i="16"/>
  <c r="Q56" i="16"/>
  <c r="Q49" i="16"/>
  <c r="Q21" i="16"/>
  <c r="Q67" i="16"/>
  <c r="Q100" i="16"/>
  <c r="Q38" i="16"/>
  <c r="R61" i="16"/>
  <c r="R97" i="16"/>
  <c r="R70" i="16"/>
  <c r="R98" i="16"/>
  <c r="R55" i="16"/>
  <c r="R31" i="16"/>
  <c r="R115" i="16"/>
  <c r="R105" i="16"/>
  <c r="R114" i="16"/>
  <c r="R92" i="16"/>
  <c r="R41" i="16"/>
  <c r="R87" i="16"/>
  <c r="R23" i="16"/>
  <c r="R44" i="16"/>
  <c r="R56" i="16"/>
  <c r="R49" i="16"/>
  <c r="R21" i="16"/>
  <c r="R67" i="16"/>
  <c r="R100" i="16"/>
  <c r="R38" i="16"/>
  <c r="G10" i="16"/>
  <c r="G88" i="16"/>
  <c r="G39" i="16"/>
  <c r="G24" i="16"/>
  <c r="G36" i="16"/>
  <c r="G35" i="16"/>
  <c r="G91" i="16"/>
  <c r="G103" i="16"/>
  <c r="G26" i="16"/>
  <c r="G65" i="16"/>
  <c r="G20" i="16"/>
  <c r="G14" i="16"/>
  <c r="G15" i="16"/>
  <c r="G116" i="16"/>
  <c r="P88" i="16"/>
  <c r="P39" i="16"/>
  <c r="P24" i="16"/>
  <c r="P36" i="16"/>
  <c r="P35" i="16"/>
  <c r="P26" i="16"/>
  <c r="P65" i="16"/>
  <c r="P20" i="16"/>
  <c r="P14" i="16"/>
  <c r="P15" i="16"/>
  <c r="P116" i="16"/>
  <c r="P10" i="16"/>
  <c r="P91" i="16"/>
  <c r="P103" i="16"/>
  <c r="Q10" i="16"/>
  <c r="Q88" i="16"/>
  <c r="Q39" i="16"/>
  <c r="Q24" i="16"/>
  <c r="Q36" i="16"/>
  <c r="Q35" i="16"/>
  <c r="Q91" i="16"/>
  <c r="Q103" i="16"/>
  <c r="Q26" i="16"/>
  <c r="Q65" i="16"/>
  <c r="Q20" i="16"/>
  <c r="Q14" i="16"/>
  <c r="Q15" i="16"/>
  <c r="Q116" i="16"/>
  <c r="R10" i="16"/>
  <c r="R88" i="16"/>
  <c r="R39" i="16"/>
  <c r="R24" i="16"/>
  <c r="R36" i="16"/>
  <c r="R35" i="16"/>
  <c r="R91" i="16"/>
  <c r="R103" i="16"/>
  <c r="R26" i="16"/>
  <c r="R65" i="16"/>
  <c r="R20" i="16"/>
  <c r="R14" i="16"/>
  <c r="R15" i="16"/>
  <c r="R116" i="16"/>
  <c r="G74" i="16"/>
  <c r="G9" i="16"/>
  <c r="G76" i="16"/>
  <c r="G112" i="16"/>
  <c r="G13" i="16"/>
  <c r="G109" i="16"/>
  <c r="G82" i="16"/>
  <c r="P74" i="16"/>
  <c r="P9" i="16"/>
  <c r="P76" i="16"/>
  <c r="P112" i="16"/>
  <c r="P13" i="16"/>
  <c r="P109" i="16"/>
  <c r="P82" i="16"/>
  <c r="Q74" i="16"/>
  <c r="Q9" i="16"/>
  <c r="Q76" i="16"/>
  <c r="Q112" i="16"/>
  <c r="Q13" i="16"/>
  <c r="Q109" i="16"/>
  <c r="Q82" i="16"/>
  <c r="R74" i="16"/>
  <c r="R9" i="16"/>
  <c r="R76" i="16"/>
  <c r="R112" i="16"/>
  <c r="R13" i="16"/>
  <c r="R109" i="16"/>
  <c r="R82" i="16"/>
  <c r="G75" i="16"/>
  <c r="G72" i="16"/>
  <c r="G12" i="16"/>
  <c r="G62" i="16"/>
  <c r="G42" i="16"/>
  <c r="G102" i="16"/>
  <c r="P75" i="16"/>
  <c r="P72" i="16"/>
  <c r="P12" i="16"/>
  <c r="P62" i="16"/>
  <c r="P42" i="16"/>
  <c r="P102" i="16"/>
  <c r="Q75" i="16"/>
  <c r="Q72" i="16"/>
  <c r="Q12" i="16"/>
  <c r="Q62" i="16"/>
  <c r="Q42" i="16"/>
  <c r="Q102" i="16"/>
  <c r="R75" i="16"/>
  <c r="R72" i="16"/>
  <c r="R12" i="16"/>
  <c r="R62" i="16"/>
  <c r="R42" i="16"/>
  <c r="R102" i="16"/>
  <c r="G77" i="16"/>
  <c r="G58" i="16"/>
  <c r="G106" i="16"/>
  <c r="G47" i="16"/>
  <c r="G84" i="16"/>
  <c r="G43" i="16"/>
  <c r="G66" i="16"/>
  <c r="P77" i="16"/>
  <c r="P58" i="16"/>
  <c r="P106" i="16"/>
  <c r="P47" i="16"/>
  <c r="P84" i="16"/>
  <c r="P43" i="16"/>
  <c r="P66" i="16"/>
  <c r="Q77" i="16"/>
  <c r="Q58" i="16"/>
  <c r="Q106" i="16"/>
  <c r="Q47" i="16"/>
  <c r="Q84" i="16"/>
  <c r="Q43" i="16"/>
  <c r="Q66" i="16"/>
  <c r="R77" i="16"/>
  <c r="R58" i="16"/>
  <c r="R106" i="16"/>
  <c r="R47" i="16"/>
  <c r="R84" i="16"/>
  <c r="R43" i="16"/>
  <c r="R66" i="16"/>
  <c r="G27" i="16"/>
  <c r="G57" i="16"/>
  <c r="G59" i="16"/>
  <c r="G11" i="16"/>
  <c r="G83" i="16"/>
  <c r="G108" i="16"/>
  <c r="G81" i="16"/>
  <c r="P27" i="16"/>
  <c r="P57" i="16"/>
  <c r="P59" i="16"/>
  <c r="P11" i="16"/>
  <c r="P83" i="16"/>
  <c r="P108" i="16"/>
  <c r="P81" i="16"/>
  <c r="Q27" i="16"/>
  <c r="Q57" i="16"/>
  <c r="Q59" i="16"/>
  <c r="Q11" i="16"/>
  <c r="Q83" i="16"/>
  <c r="Q108" i="16"/>
  <c r="Q81" i="16"/>
  <c r="R27" i="16"/>
  <c r="R57" i="16"/>
  <c r="R59" i="16"/>
  <c r="R11" i="16"/>
  <c r="R83" i="16"/>
  <c r="R108" i="16"/>
  <c r="R81" i="16"/>
  <c r="G48" i="16"/>
  <c r="P48" i="16"/>
  <c r="Q48" i="16"/>
  <c r="R48" i="16"/>
  <c r="G18" i="16"/>
  <c r="P18" i="16"/>
  <c r="Q18" i="16"/>
  <c r="R18" i="16"/>
  <c r="G29" i="16"/>
  <c r="P29" i="16"/>
  <c r="Q29" i="16"/>
  <c r="R29" i="16"/>
  <c r="G32" i="16"/>
  <c r="P32" i="16"/>
  <c r="Q32" i="16"/>
  <c r="R32" i="16"/>
  <c r="G73" i="16"/>
  <c r="P73" i="16"/>
  <c r="Q73" i="16"/>
  <c r="R73" i="16"/>
  <c r="G210" i="19" l="1"/>
  <c r="J126" i="12" l="1"/>
  <c r="K126" i="12"/>
  <c r="G122" i="12" l="1"/>
  <c r="P122" i="12"/>
  <c r="Q122" i="12"/>
  <c r="R122" i="12"/>
  <c r="P30" i="12"/>
  <c r="G86" i="12"/>
  <c r="P86" i="12"/>
  <c r="Q86" i="12"/>
  <c r="R86" i="12"/>
  <c r="G30" i="12"/>
  <c r="Q30" i="12"/>
  <c r="R30" i="12"/>
  <c r="G77" i="12"/>
  <c r="I77" i="12"/>
  <c r="P77" i="12" s="1"/>
  <c r="Q77" i="12"/>
  <c r="R77" i="12"/>
  <c r="G14" i="12"/>
  <c r="P14" i="12"/>
  <c r="Q14" i="12"/>
  <c r="R14" i="12"/>
  <c r="G60" i="12"/>
  <c r="P60" i="12"/>
  <c r="Q60" i="12"/>
  <c r="R60" i="12"/>
  <c r="G10" i="12"/>
  <c r="I10" i="12"/>
  <c r="P10" i="12" s="1"/>
  <c r="Q10" i="12"/>
  <c r="R10" i="12"/>
  <c r="G121" i="12"/>
  <c r="Q121" i="12"/>
  <c r="R121" i="12"/>
  <c r="G75" i="12"/>
  <c r="I75" i="12"/>
  <c r="P75" i="12" s="1"/>
  <c r="Q75" i="12"/>
  <c r="R75" i="12"/>
  <c r="G27" i="12"/>
  <c r="I27" i="12"/>
  <c r="P27" i="12" s="1"/>
  <c r="Q27" i="12"/>
  <c r="R27" i="12"/>
  <c r="P121" i="12" l="1"/>
  <c r="G58" i="12"/>
  <c r="I58" i="12"/>
  <c r="P58" i="12" s="1"/>
  <c r="Q58" i="12"/>
  <c r="R58" i="12"/>
  <c r="G76" i="12"/>
  <c r="I76" i="12"/>
  <c r="P76" i="12" s="1"/>
  <c r="Q76" i="12"/>
  <c r="R76" i="12"/>
  <c r="G84" i="12"/>
  <c r="I84" i="12"/>
  <c r="P84" i="12" s="1"/>
  <c r="Q84" i="12"/>
  <c r="R84" i="12"/>
  <c r="I264" i="12"/>
  <c r="I265" i="12"/>
  <c r="I266" i="12"/>
  <c r="I267" i="12"/>
  <c r="I268" i="12"/>
  <c r="I269" i="12"/>
  <c r="I270" i="12"/>
  <c r="L270" i="12" s="1"/>
  <c r="I271" i="12"/>
  <c r="L271" i="12" s="1"/>
  <c r="I272" i="12"/>
  <c r="L272" i="12" s="1"/>
  <c r="I273" i="12"/>
  <c r="L273" i="12" s="1"/>
  <c r="I274" i="12"/>
  <c r="L274" i="12" s="1"/>
  <c r="I275" i="12"/>
  <c r="L275" i="12" s="1"/>
  <c r="I276" i="12"/>
  <c r="L276" i="12" s="1"/>
  <c r="I277" i="12"/>
  <c r="I278" i="12"/>
  <c r="L278" i="12" s="1"/>
  <c r="I279" i="12"/>
  <c r="L279" i="12" s="1"/>
  <c r="I280" i="12"/>
  <c r="L280" i="12" s="1"/>
  <c r="I281" i="12"/>
  <c r="I282" i="12"/>
  <c r="L282" i="12" s="1"/>
  <c r="I283" i="12"/>
  <c r="L283" i="12" s="1"/>
  <c r="I284" i="12"/>
  <c r="L284" i="12" s="1"/>
  <c r="I285" i="12"/>
  <c r="L285" i="12" s="1"/>
  <c r="I286" i="12"/>
  <c r="L286" i="12" s="1"/>
  <c r="I287" i="12"/>
  <c r="L287" i="12" s="1"/>
  <c r="I288" i="12"/>
  <c r="I289" i="12"/>
  <c r="L289" i="12" s="1"/>
  <c r="I290" i="12"/>
  <c r="L290" i="12" s="1"/>
  <c r="I291" i="12"/>
  <c r="L291" i="12" s="1"/>
  <c r="I292" i="12"/>
  <c r="I293" i="12"/>
  <c r="I294" i="12"/>
  <c r="L294" i="12" s="1"/>
  <c r="I295" i="12"/>
  <c r="L295" i="12" s="1"/>
  <c r="I296" i="12"/>
  <c r="I297" i="12"/>
  <c r="L297" i="12" s="1"/>
  <c r="I298" i="12"/>
  <c r="L298" i="12" s="1"/>
  <c r="I299" i="12"/>
  <c r="L299" i="12" s="1"/>
  <c r="I300" i="12"/>
  <c r="I301" i="12"/>
  <c r="I302" i="12"/>
  <c r="L302" i="12" s="1"/>
  <c r="I303" i="12"/>
  <c r="L303" i="12" s="1"/>
  <c r="I304" i="12"/>
  <c r="I305" i="12"/>
  <c r="I306" i="12"/>
  <c r="L306" i="12" s="1"/>
  <c r="I307" i="12"/>
  <c r="L307" i="12" s="1"/>
  <c r="I308" i="12"/>
  <c r="I309" i="12"/>
  <c r="L309" i="12" s="1"/>
  <c r="I310" i="12"/>
  <c r="L310" i="12" s="1"/>
  <c r="I311" i="12"/>
  <c r="L311" i="12" s="1"/>
  <c r="I312" i="12"/>
  <c r="L312" i="12" s="1"/>
  <c r="I313" i="12"/>
  <c r="I314" i="12"/>
  <c r="L314" i="12" s="1"/>
  <c r="I315" i="12"/>
  <c r="L315" i="12" s="1"/>
  <c r="I316" i="12"/>
  <c r="L316" i="12" s="1"/>
  <c r="I317" i="12"/>
  <c r="I318" i="12"/>
  <c r="L318" i="12" s="1"/>
  <c r="I319" i="12"/>
  <c r="L319" i="12" s="1"/>
  <c r="I320" i="12"/>
  <c r="L320" i="12" s="1"/>
  <c r="I321" i="12"/>
  <c r="L321" i="12" s="1"/>
  <c r="I322" i="12"/>
  <c r="L322" i="12" s="1"/>
  <c r="I323" i="12"/>
  <c r="L323" i="12" s="1"/>
  <c r="I324" i="12"/>
  <c r="L324" i="12" s="1"/>
  <c r="I325" i="12"/>
  <c r="I326" i="12"/>
  <c r="L326" i="12" s="1"/>
  <c r="I327" i="12"/>
  <c r="L327" i="12" s="1"/>
  <c r="I328" i="12"/>
  <c r="I329" i="12"/>
  <c r="I330" i="12"/>
  <c r="L330" i="12" s="1"/>
  <c r="I331" i="12"/>
  <c r="L331" i="12" s="1"/>
  <c r="I332" i="12"/>
  <c r="I333" i="12"/>
  <c r="L333" i="12" s="1"/>
  <c r="I334" i="12"/>
  <c r="L334" i="12" s="1"/>
  <c r="I335" i="12"/>
  <c r="L335" i="12" s="1"/>
  <c r="I336" i="12"/>
  <c r="I337" i="12"/>
  <c r="I338" i="12"/>
  <c r="L338" i="12" s="1"/>
  <c r="I339" i="12"/>
  <c r="L339" i="12" s="1"/>
  <c r="I340" i="12"/>
  <c r="I341" i="12"/>
  <c r="I342" i="12"/>
  <c r="L342" i="12" s="1"/>
  <c r="I343" i="12"/>
  <c r="L343" i="12" s="1"/>
  <c r="I344" i="12"/>
  <c r="L344" i="12" s="1"/>
  <c r="I345" i="12"/>
  <c r="L345" i="12" s="1"/>
  <c r="I346" i="12"/>
  <c r="L346" i="12" s="1"/>
  <c r="I347" i="12"/>
  <c r="L347" i="12" s="1"/>
  <c r="I348" i="12"/>
  <c r="L348" i="12" s="1"/>
  <c r="I349" i="12"/>
  <c r="I350" i="12"/>
  <c r="L350" i="12" s="1"/>
  <c r="I351" i="12"/>
  <c r="L351" i="12" s="1"/>
  <c r="I352" i="12"/>
  <c r="L352" i="12" s="1"/>
  <c r="I353" i="12"/>
  <c r="I354" i="12"/>
  <c r="L354" i="12" s="1"/>
  <c r="I355" i="12"/>
  <c r="L355" i="12" s="1"/>
  <c r="I356" i="12"/>
  <c r="L356" i="12" s="1"/>
  <c r="I357" i="12"/>
  <c r="L357" i="12" s="1"/>
  <c r="I358" i="12"/>
  <c r="L358" i="12" s="1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L407" i="12" s="1"/>
  <c r="I408" i="12"/>
  <c r="L408" i="12" s="1"/>
  <c r="I409" i="12"/>
  <c r="I410" i="12"/>
  <c r="L410" i="12" s="1"/>
  <c r="I411" i="12"/>
  <c r="I412" i="12"/>
  <c r="I413" i="12"/>
  <c r="I414" i="12"/>
  <c r="L414" i="12" s="1"/>
  <c r="I415" i="12"/>
  <c r="L415" i="12" s="1"/>
  <c r="I416" i="12"/>
  <c r="L416" i="12" s="1"/>
  <c r="I417" i="12"/>
  <c r="L417" i="12" s="1"/>
  <c r="I418" i="12"/>
  <c r="L418" i="12" s="1"/>
  <c r="I419" i="12"/>
  <c r="I420" i="12"/>
  <c r="I421" i="12"/>
  <c r="I422" i="12"/>
  <c r="L422" i="12" s="1"/>
  <c r="I423" i="12"/>
  <c r="I424" i="12"/>
  <c r="L424" i="12" s="1"/>
  <c r="I425" i="12"/>
  <c r="I426" i="12"/>
  <c r="L426" i="12" s="1"/>
  <c r="I427" i="12"/>
  <c r="L427" i="12" s="1"/>
  <c r="I428" i="12"/>
  <c r="I429" i="12"/>
  <c r="L429" i="12" s="1"/>
  <c r="I430" i="12"/>
  <c r="L430" i="12" s="1"/>
  <c r="I431" i="12"/>
  <c r="I432" i="12"/>
  <c r="L432" i="12" s="1"/>
  <c r="I433" i="12"/>
  <c r="I434" i="12"/>
  <c r="L434" i="12" s="1"/>
  <c r="I435" i="12"/>
  <c r="I436" i="12"/>
  <c r="I437" i="12"/>
  <c r="I438" i="12"/>
  <c r="L438" i="12" s="1"/>
  <c r="I439" i="12"/>
  <c r="L439" i="12" s="1"/>
  <c r="I440" i="12"/>
  <c r="L440" i="12" s="1"/>
  <c r="I441" i="12"/>
  <c r="I442" i="12"/>
  <c r="L442" i="12" s="1"/>
  <c r="I443" i="12"/>
  <c r="I444" i="12"/>
  <c r="I445" i="12"/>
  <c r="I446" i="12"/>
  <c r="L446" i="12" s="1"/>
  <c r="I447" i="12"/>
  <c r="I448" i="12"/>
  <c r="L448" i="12" s="1"/>
  <c r="I449" i="12"/>
  <c r="L449" i="12" s="1"/>
  <c r="I450" i="12"/>
  <c r="L450" i="12" s="1"/>
  <c r="I451" i="12"/>
  <c r="L451" i="12" s="1"/>
  <c r="I452" i="12"/>
  <c r="I453" i="12"/>
  <c r="L453" i="12" s="1"/>
  <c r="I454" i="12"/>
  <c r="L454" i="12" s="1"/>
  <c r="I455" i="12"/>
  <c r="I456" i="12"/>
  <c r="L456" i="12" s="1"/>
  <c r="I457" i="12"/>
  <c r="I458" i="12"/>
  <c r="L458" i="12" s="1"/>
  <c r="I459" i="12"/>
  <c r="I460" i="12"/>
  <c r="I461" i="12"/>
  <c r="I462" i="12"/>
  <c r="L462" i="12" s="1"/>
  <c r="I463" i="12"/>
  <c r="I464" i="12"/>
  <c r="L464" i="12" s="1"/>
  <c r="I465" i="12"/>
  <c r="L465" i="12" s="1"/>
  <c r="I466" i="12"/>
  <c r="L466" i="12" s="1"/>
  <c r="I467" i="12"/>
  <c r="I468" i="12"/>
  <c r="I469" i="12"/>
  <c r="I470" i="12"/>
  <c r="L470" i="12" s="1"/>
  <c r="I471" i="12"/>
  <c r="I472" i="12"/>
  <c r="L472" i="12" s="1"/>
  <c r="I473" i="12"/>
  <c r="I474" i="12"/>
  <c r="L474" i="12" s="1"/>
  <c r="I475" i="12"/>
  <c r="L475" i="12" s="1"/>
  <c r="I476" i="12"/>
  <c r="I477" i="12"/>
  <c r="L477" i="12" s="1"/>
  <c r="I478" i="12"/>
  <c r="L478" i="12" s="1"/>
  <c r="I479" i="12"/>
  <c r="I480" i="12"/>
  <c r="L480" i="12" s="1"/>
  <c r="I481" i="12"/>
  <c r="I482" i="12"/>
  <c r="L482" i="12" s="1"/>
  <c r="I483" i="12"/>
  <c r="I484" i="12"/>
  <c r="I485" i="12"/>
  <c r="I486" i="12"/>
  <c r="L486" i="12" s="1"/>
  <c r="I487" i="12"/>
  <c r="L487" i="12" s="1"/>
  <c r="I488" i="12"/>
  <c r="L488" i="12" s="1"/>
  <c r="I489" i="12"/>
  <c r="L489" i="12" s="1"/>
  <c r="I490" i="12"/>
  <c r="L490" i="12" s="1"/>
  <c r="I491" i="12"/>
  <c r="I492" i="12"/>
  <c r="I493" i="12"/>
  <c r="I494" i="12"/>
  <c r="L494" i="12" s="1"/>
  <c r="I495" i="12"/>
  <c r="I496" i="12"/>
  <c r="L496" i="12" s="1"/>
  <c r="I497" i="12"/>
  <c r="I498" i="12"/>
  <c r="L498" i="12" s="1"/>
  <c r="I499" i="12"/>
  <c r="I500" i="12"/>
  <c r="I501" i="12"/>
  <c r="I502" i="12"/>
  <c r="L502" i="12" s="1"/>
  <c r="I503" i="12"/>
  <c r="I504" i="12"/>
  <c r="L504" i="12" s="1"/>
  <c r="I505" i="12"/>
  <c r="I506" i="12"/>
  <c r="L506" i="12" s="1"/>
  <c r="I507" i="12"/>
  <c r="I508" i="12"/>
  <c r="I509" i="12"/>
  <c r="I510" i="12"/>
  <c r="L510" i="12" s="1"/>
  <c r="I511" i="12"/>
  <c r="L511" i="12" s="1"/>
  <c r="I512" i="12"/>
  <c r="L512" i="12" s="1"/>
  <c r="I513" i="12"/>
  <c r="L513" i="12" s="1"/>
  <c r="I514" i="12"/>
  <c r="L514" i="12" s="1"/>
  <c r="I515" i="12"/>
  <c r="I516" i="12"/>
  <c r="I517" i="12"/>
  <c r="I518" i="12"/>
  <c r="L518" i="12" s="1"/>
  <c r="I519" i="12"/>
  <c r="I520" i="12"/>
  <c r="L520" i="12" s="1"/>
  <c r="I521" i="12"/>
  <c r="I522" i="12"/>
  <c r="L522" i="12" s="1"/>
  <c r="I523" i="12"/>
  <c r="L523" i="12" s="1"/>
  <c r="I524" i="12"/>
  <c r="I525" i="12"/>
  <c r="L525" i="12" s="1"/>
  <c r="I526" i="12"/>
  <c r="L526" i="12" s="1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9" i="12"/>
  <c r="L411" i="12"/>
  <c r="L412" i="12"/>
  <c r="L413" i="12"/>
  <c r="L419" i="12"/>
  <c r="L420" i="12"/>
  <c r="L421" i="12"/>
  <c r="L423" i="12"/>
  <c r="L425" i="12"/>
  <c r="L428" i="12"/>
  <c r="L431" i="12"/>
  <c r="L433" i="12"/>
  <c r="L435" i="12"/>
  <c r="L436" i="12"/>
  <c r="L437" i="12"/>
  <c r="L441" i="12"/>
  <c r="L443" i="12"/>
  <c r="L444" i="12"/>
  <c r="L445" i="12"/>
  <c r="L447" i="12"/>
  <c r="L452" i="12"/>
  <c r="L455" i="12"/>
  <c r="L457" i="12"/>
  <c r="L459" i="12"/>
  <c r="L460" i="12"/>
  <c r="L461" i="12"/>
  <c r="L463" i="12"/>
  <c r="L467" i="12"/>
  <c r="L468" i="12"/>
  <c r="L469" i="12"/>
  <c r="L471" i="12"/>
  <c r="L473" i="12"/>
  <c r="L476" i="12"/>
  <c r="L479" i="12"/>
  <c r="L481" i="12"/>
  <c r="L483" i="12"/>
  <c r="L484" i="12"/>
  <c r="L485" i="12"/>
  <c r="L491" i="12"/>
  <c r="L492" i="12"/>
  <c r="L493" i="12"/>
  <c r="L495" i="12"/>
  <c r="L497" i="12"/>
  <c r="L499" i="12"/>
  <c r="L500" i="12"/>
  <c r="L501" i="12"/>
  <c r="L503" i="12"/>
  <c r="L505" i="12"/>
  <c r="L507" i="12"/>
  <c r="L508" i="12"/>
  <c r="L509" i="12"/>
  <c r="L515" i="12"/>
  <c r="L516" i="12"/>
  <c r="L517" i="12"/>
  <c r="L519" i="12"/>
  <c r="L521" i="12"/>
  <c r="L524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L269" i="12"/>
  <c r="L277" i="12"/>
  <c r="L281" i="12"/>
  <c r="L288" i="12"/>
  <c r="L292" i="12"/>
  <c r="L293" i="12"/>
  <c r="G358" i="12"/>
  <c r="G357" i="12"/>
  <c r="G356" i="12"/>
  <c r="G355" i="12"/>
  <c r="G354" i="12"/>
  <c r="G353" i="12"/>
  <c r="L353" i="12"/>
  <c r="G352" i="12"/>
  <c r="G351" i="12"/>
  <c r="G350" i="12"/>
  <c r="G349" i="12"/>
  <c r="L349" i="12"/>
  <c r="G348" i="12"/>
  <c r="G347" i="12"/>
  <c r="G346" i="12"/>
  <c r="G345" i="12"/>
  <c r="G344" i="12"/>
  <c r="G343" i="12"/>
  <c r="G342" i="12"/>
  <c r="G341" i="12"/>
  <c r="L341" i="12"/>
  <c r="G340" i="12"/>
  <c r="L340" i="12"/>
  <c r="G339" i="12"/>
  <c r="G338" i="12"/>
  <c r="G337" i="12"/>
  <c r="L337" i="12"/>
  <c r="G336" i="12"/>
  <c r="L336" i="12"/>
  <c r="G335" i="12"/>
  <c r="G334" i="12"/>
  <c r="G333" i="12"/>
  <c r="G332" i="12"/>
  <c r="L332" i="12"/>
  <c r="G331" i="12"/>
  <c r="G330" i="12"/>
  <c r="G329" i="12"/>
  <c r="L329" i="12"/>
  <c r="G328" i="12"/>
  <c r="L328" i="12"/>
  <c r="G327" i="12"/>
  <c r="G326" i="12"/>
  <c r="G325" i="12"/>
  <c r="L325" i="12"/>
  <c r="G324" i="12"/>
  <c r="G323" i="12"/>
  <c r="G322" i="12"/>
  <c r="G321" i="12"/>
  <c r="G320" i="12"/>
  <c r="G319" i="12"/>
  <c r="G318" i="12"/>
  <c r="G317" i="12"/>
  <c r="L317" i="12"/>
  <c r="G316" i="12"/>
  <c r="G315" i="12"/>
  <c r="G314" i="12"/>
  <c r="G313" i="12"/>
  <c r="L313" i="12"/>
  <c r="G312" i="12"/>
  <c r="G311" i="12"/>
  <c r="G310" i="12"/>
  <c r="G309" i="12"/>
  <c r="G308" i="12"/>
  <c r="L308" i="12"/>
  <c r="G307" i="12"/>
  <c r="G306" i="12"/>
  <c r="G305" i="12"/>
  <c r="L305" i="12"/>
  <c r="G304" i="12"/>
  <c r="L304" i="12"/>
  <c r="G303" i="12"/>
  <c r="G302" i="12"/>
  <c r="G301" i="12"/>
  <c r="L301" i="12"/>
  <c r="G300" i="12"/>
  <c r="L300" i="12"/>
  <c r="G299" i="12"/>
  <c r="G298" i="12"/>
  <c r="G297" i="12"/>
  <c r="G260" i="12"/>
  <c r="I260" i="12"/>
  <c r="L260" i="12" s="1"/>
  <c r="G259" i="12"/>
  <c r="I259" i="12"/>
  <c r="L259" i="12" s="1"/>
  <c r="G258" i="12"/>
  <c r="I258" i="12"/>
  <c r="L258" i="12" s="1"/>
  <c r="G257" i="12"/>
  <c r="I257" i="12"/>
  <c r="L257" i="12" s="1"/>
  <c r="G256" i="12"/>
  <c r="I256" i="12"/>
  <c r="L256" i="12" s="1"/>
  <c r="G255" i="12"/>
  <c r="I255" i="12"/>
  <c r="L255" i="12" s="1"/>
  <c r="G254" i="12"/>
  <c r="I254" i="12"/>
  <c r="L254" i="12" s="1"/>
  <c r="G253" i="12"/>
  <c r="I253" i="12"/>
  <c r="L253" i="12" s="1"/>
  <c r="G252" i="12"/>
  <c r="I252" i="12"/>
  <c r="L252" i="12" s="1"/>
  <c r="G251" i="12"/>
  <c r="I251" i="12"/>
  <c r="L251" i="12" s="1"/>
  <c r="G250" i="12"/>
  <c r="I250" i="12"/>
  <c r="L250" i="12" s="1"/>
  <c r="G249" i="12"/>
  <c r="I249" i="12"/>
  <c r="L249" i="12" s="1"/>
  <c r="G248" i="12"/>
  <c r="I248" i="12"/>
  <c r="L248" i="12" s="1"/>
  <c r="G247" i="12"/>
  <c r="I247" i="12"/>
  <c r="L247" i="12" s="1"/>
  <c r="G246" i="12"/>
  <c r="I246" i="12"/>
  <c r="L246" i="12" s="1"/>
  <c r="G245" i="12"/>
  <c r="I245" i="12"/>
  <c r="L245" i="12" s="1"/>
  <c r="G244" i="12"/>
  <c r="I244" i="12"/>
  <c r="L244" i="12" s="1"/>
  <c r="G243" i="12"/>
  <c r="I243" i="12"/>
  <c r="L243" i="12" s="1"/>
  <c r="G242" i="12"/>
  <c r="I242" i="12"/>
  <c r="L242" i="12" s="1"/>
  <c r="G241" i="12"/>
  <c r="I241" i="12"/>
  <c r="L241" i="12" s="1"/>
  <c r="G240" i="12"/>
  <c r="I240" i="12"/>
  <c r="L240" i="12" s="1"/>
  <c r="G239" i="12"/>
  <c r="I239" i="12"/>
  <c r="L239" i="12" s="1"/>
  <c r="G238" i="12"/>
  <c r="I238" i="12"/>
  <c r="L238" i="12" s="1"/>
  <c r="G237" i="12"/>
  <c r="I237" i="12"/>
  <c r="L237" i="12" s="1"/>
  <c r="G236" i="12"/>
  <c r="I236" i="12"/>
  <c r="L236" i="12" s="1"/>
  <c r="G235" i="12"/>
  <c r="I235" i="12"/>
  <c r="L235" i="12" s="1"/>
  <c r="G234" i="12"/>
  <c r="I234" i="12"/>
  <c r="L234" i="12" s="1"/>
  <c r="G233" i="12"/>
  <c r="I233" i="12"/>
  <c r="L233" i="12" s="1"/>
  <c r="G232" i="12"/>
  <c r="I232" i="12"/>
  <c r="L232" i="12" s="1"/>
  <c r="G231" i="12"/>
  <c r="I231" i="12"/>
  <c r="L231" i="12" s="1"/>
  <c r="G230" i="12"/>
  <c r="I230" i="12"/>
  <c r="L230" i="12" s="1"/>
  <c r="G229" i="12"/>
  <c r="I229" i="12"/>
  <c r="L229" i="12" s="1"/>
  <c r="G228" i="12"/>
  <c r="I228" i="12"/>
  <c r="L228" i="12" s="1"/>
  <c r="G227" i="12"/>
  <c r="I227" i="12"/>
  <c r="L227" i="12" s="1"/>
  <c r="G226" i="12"/>
  <c r="I226" i="12"/>
  <c r="L226" i="12" s="1"/>
  <c r="G225" i="12"/>
  <c r="I225" i="12"/>
  <c r="L225" i="12" s="1"/>
  <c r="G224" i="12"/>
  <c r="I224" i="12"/>
  <c r="L224" i="12" s="1"/>
  <c r="G223" i="12"/>
  <c r="I223" i="12"/>
  <c r="L223" i="12" s="1"/>
  <c r="G222" i="12"/>
  <c r="I222" i="12"/>
  <c r="L222" i="12" s="1"/>
  <c r="G221" i="12"/>
  <c r="I221" i="12"/>
  <c r="L221" i="12" s="1"/>
  <c r="G220" i="12"/>
  <c r="I220" i="12"/>
  <c r="L220" i="12" s="1"/>
  <c r="G219" i="12"/>
  <c r="I219" i="12"/>
  <c r="L219" i="12" s="1"/>
  <c r="G218" i="12"/>
  <c r="I218" i="12"/>
  <c r="L218" i="12" s="1"/>
  <c r="G217" i="12"/>
  <c r="I217" i="12"/>
  <c r="L217" i="12" s="1"/>
  <c r="G216" i="12"/>
  <c r="I216" i="12"/>
  <c r="L216" i="12" s="1"/>
  <c r="G215" i="12"/>
  <c r="I215" i="12"/>
  <c r="L215" i="12" s="1"/>
  <c r="G214" i="12"/>
  <c r="I214" i="12"/>
  <c r="L214" i="12" s="1"/>
  <c r="G213" i="12"/>
  <c r="I213" i="12"/>
  <c r="L213" i="12" s="1"/>
  <c r="G212" i="12"/>
  <c r="I212" i="12"/>
  <c r="L212" i="12" s="1"/>
  <c r="G211" i="12"/>
  <c r="I211" i="12"/>
  <c r="L211" i="12" s="1"/>
  <c r="G210" i="12"/>
  <c r="I210" i="12"/>
  <c r="L210" i="12" s="1"/>
  <c r="G209" i="12"/>
  <c r="I209" i="12"/>
  <c r="L209" i="12" s="1"/>
  <c r="G208" i="12"/>
  <c r="I208" i="12"/>
  <c r="L208" i="12" s="1"/>
  <c r="G207" i="12"/>
  <c r="I207" i="12"/>
  <c r="L207" i="12" s="1"/>
  <c r="H133" i="12"/>
  <c r="H134" i="12"/>
  <c r="G106" i="12" l="1"/>
  <c r="P106" i="12"/>
  <c r="Q106" i="12"/>
  <c r="R106" i="12"/>
  <c r="G69" i="12"/>
  <c r="P69" i="12"/>
  <c r="Q69" i="12"/>
  <c r="R69" i="12"/>
  <c r="G123" i="12"/>
  <c r="P123" i="12"/>
  <c r="Q123" i="12"/>
  <c r="R123" i="12"/>
  <c r="G109" i="12"/>
  <c r="P109" i="12"/>
  <c r="Q109" i="12"/>
  <c r="R109" i="12"/>
  <c r="G81" i="12"/>
  <c r="P81" i="12"/>
  <c r="Q81" i="12"/>
  <c r="R81" i="12"/>
  <c r="G87" i="12"/>
  <c r="P87" i="12"/>
  <c r="Q87" i="12"/>
  <c r="R87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H142" i="12"/>
  <c r="H143" i="12"/>
  <c r="H184" i="12"/>
  <c r="J142" i="12"/>
  <c r="J143" i="12"/>
  <c r="J184" i="12"/>
  <c r="K142" i="12"/>
  <c r="K143" i="12"/>
  <c r="K184" i="12"/>
  <c r="H185" i="12"/>
  <c r="H186" i="12"/>
  <c r="J185" i="12"/>
  <c r="J186" i="12"/>
  <c r="K185" i="12"/>
  <c r="K186" i="12"/>
  <c r="G47" i="12"/>
  <c r="P47" i="12"/>
  <c r="Q47" i="12"/>
  <c r="R47" i="12"/>
  <c r="G59" i="12"/>
  <c r="G83" i="12"/>
  <c r="G85" i="12"/>
  <c r="G64" i="12"/>
  <c r="G73" i="12"/>
  <c r="G11" i="12"/>
  <c r="G79" i="12"/>
  <c r="G28" i="12"/>
  <c r="G66" i="12"/>
  <c r="G80" i="12"/>
  <c r="G63" i="12"/>
  <c r="G88" i="12"/>
  <c r="G17" i="12"/>
  <c r="G40" i="12"/>
  <c r="G90" i="12"/>
  <c r="G89" i="12"/>
  <c r="G120" i="12"/>
  <c r="P59" i="12"/>
  <c r="P85" i="12"/>
  <c r="P64" i="12"/>
  <c r="P73" i="12"/>
  <c r="P11" i="12"/>
  <c r="P79" i="12"/>
  <c r="P28" i="12"/>
  <c r="P66" i="12"/>
  <c r="P80" i="12"/>
  <c r="P63" i="12"/>
  <c r="P88" i="12"/>
  <c r="P17" i="12"/>
  <c r="P40" i="12"/>
  <c r="P90" i="12"/>
  <c r="P89" i="12"/>
  <c r="P120" i="12"/>
  <c r="P83" i="12"/>
  <c r="Q59" i="12"/>
  <c r="Q83" i="12"/>
  <c r="Q85" i="12"/>
  <c r="Q64" i="12"/>
  <c r="Q73" i="12"/>
  <c r="Q11" i="12"/>
  <c r="Q79" i="12"/>
  <c r="Q28" i="12"/>
  <c r="Q66" i="12"/>
  <c r="Q80" i="12"/>
  <c r="Q63" i="12"/>
  <c r="Q88" i="12"/>
  <c r="Q17" i="12"/>
  <c r="Q40" i="12"/>
  <c r="Q90" i="12"/>
  <c r="Q89" i="12"/>
  <c r="Q120" i="12"/>
  <c r="R59" i="12"/>
  <c r="R83" i="12"/>
  <c r="R85" i="12"/>
  <c r="R64" i="12"/>
  <c r="R73" i="12"/>
  <c r="R11" i="12"/>
  <c r="R79" i="12"/>
  <c r="R28" i="12"/>
  <c r="R66" i="12"/>
  <c r="R80" i="12"/>
  <c r="R63" i="12"/>
  <c r="R88" i="12"/>
  <c r="R17" i="12"/>
  <c r="R40" i="12"/>
  <c r="R90" i="12"/>
  <c r="R89" i="12"/>
  <c r="R120" i="12"/>
  <c r="G9" i="12"/>
  <c r="G91" i="12"/>
  <c r="G33" i="12"/>
  <c r="G31" i="12"/>
  <c r="G92" i="12"/>
  <c r="G13" i="12"/>
  <c r="G18" i="12"/>
  <c r="G42" i="12"/>
  <c r="G41" i="12"/>
  <c r="G93" i="12"/>
  <c r="G94" i="12"/>
  <c r="G67" i="12"/>
  <c r="G68" i="12"/>
  <c r="G43" i="12"/>
  <c r="G44" i="12"/>
  <c r="G96" i="12"/>
  <c r="G45" i="12"/>
  <c r="P9" i="12"/>
  <c r="P91" i="12"/>
  <c r="P33" i="12"/>
  <c r="P31" i="12"/>
  <c r="P92" i="12"/>
  <c r="P13" i="12"/>
  <c r="P18" i="12"/>
  <c r="P42" i="12"/>
  <c r="P41" i="12"/>
  <c r="P93" i="12"/>
  <c r="P94" i="12"/>
  <c r="P67" i="12"/>
  <c r="P68" i="12"/>
  <c r="P43" i="12"/>
  <c r="P44" i="12"/>
  <c r="P96" i="12"/>
  <c r="P45" i="12"/>
  <c r="Q9" i="12"/>
  <c r="Q91" i="12"/>
  <c r="Q33" i="12"/>
  <c r="Q31" i="12"/>
  <c r="Q92" i="12"/>
  <c r="Q13" i="12"/>
  <c r="Q18" i="12"/>
  <c r="Q42" i="12"/>
  <c r="Q41" i="12"/>
  <c r="Q93" i="12"/>
  <c r="Q94" i="12"/>
  <c r="Q67" i="12"/>
  <c r="Q68" i="12"/>
  <c r="Q43" i="12"/>
  <c r="Q44" i="12"/>
  <c r="Q96" i="12"/>
  <c r="Q45" i="12"/>
  <c r="R9" i="12"/>
  <c r="R91" i="12"/>
  <c r="R33" i="12"/>
  <c r="R31" i="12"/>
  <c r="R92" i="12"/>
  <c r="R13" i="12"/>
  <c r="R18" i="12"/>
  <c r="R42" i="12"/>
  <c r="R41" i="12"/>
  <c r="R93" i="12"/>
  <c r="R94" i="12"/>
  <c r="R67" i="12"/>
  <c r="R68" i="12"/>
  <c r="R43" i="12"/>
  <c r="R44" i="12"/>
  <c r="R96" i="12"/>
  <c r="R45" i="12"/>
  <c r="G65" i="12"/>
  <c r="G12" i="12"/>
  <c r="G82" i="12"/>
  <c r="G95" i="12"/>
  <c r="G29" i="12"/>
  <c r="G98" i="12"/>
  <c r="G70" i="12"/>
  <c r="G57" i="12"/>
  <c r="G61" i="12"/>
  <c r="G99" i="12"/>
  <c r="G101" i="12"/>
  <c r="G100" i="12"/>
  <c r="G124" i="12"/>
  <c r="G102" i="12"/>
  <c r="G74" i="12"/>
  <c r="G46" i="12"/>
  <c r="P65" i="12"/>
  <c r="P12" i="12"/>
  <c r="P95" i="12"/>
  <c r="P29" i="12"/>
  <c r="P70" i="12"/>
  <c r="P57" i="12"/>
  <c r="P61" i="12"/>
  <c r="P99" i="12"/>
  <c r="P101" i="12"/>
  <c r="P100" i="12"/>
  <c r="P124" i="12"/>
  <c r="P102" i="12"/>
  <c r="P74" i="12"/>
  <c r="P46" i="12"/>
  <c r="P82" i="12"/>
  <c r="P98" i="12"/>
  <c r="Q65" i="12"/>
  <c r="Q12" i="12"/>
  <c r="Q82" i="12"/>
  <c r="Q95" i="12"/>
  <c r="Q29" i="12"/>
  <c r="Q98" i="12"/>
  <c r="Q70" i="12"/>
  <c r="Q57" i="12"/>
  <c r="Q61" i="12"/>
  <c r="Q99" i="12"/>
  <c r="Q101" i="12"/>
  <c r="Q100" i="12"/>
  <c r="Q124" i="12"/>
  <c r="Q102" i="12"/>
  <c r="Q74" i="12"/>
  <c r="Q46" i="12"/>
  <c r="R65" i="12"/>
  <c r="R12" i="12"/>
  <c r="R82" i="12"/>
  <c r="R95" i="12"/>
  <c r="R29" i="12"/>
  <c r="R98" i="12"/>
  <c r="R70" i="12"/>
  <c r="R57" i="12"/>
  <c r="R61" i="12"/>
  <c r="R99" i="12"/>
  <c r="R101" i="12"/>
  <c r="R100" i="12"/>
  <c r="R124" i="12"/>
  <c r="R102" i="12"/>
  <c r="R74" i="12"/>
  <c r="R46" i="12"/>
  <c r="G72" i="12"/>
  <c r="G50" i="12"/>
  <c r="G107" i="12"/>
  <c r="G108" i="12"/>
  <c r="G32" i="12"/>
  <c r="G110" i="12"/>
  <c r="G111" i="12"/>
  <c r="G112" i="12"/>
  <c r="G51" i="12"/>
  <c r="G25" i="12"/>
  <c r="G35" i="12"/>
  <c r="G113" i="12"/>
  <c r="G114" i="12"/>
  <c r="P72" i="12"/>
  <c r="P107" i="12"/>
  <c r="P108" i="12"/>
  <c r="P32" i="12"/>
  <c r="P110" i="12"/>
  <c r="P111" i="12"/>
  <c r="P112" i="12"/>
  <c r="P51" i="12"/>
  <c r="P25" i="12"/>
  <c r="P35" i="12"/>
  <c r="P113" i="12"/>
  <c r="P114" i="12"/>
  <c r="P50" i="12"/>
  <c r="Q72" i="12"/>
  <c r="Q50" i="12"/>
  <c r="Q107" i="12"/>
  <c r="Q108" i="12"/>
  <c r="Q32" i="12"/>
  <c r="Q110" i="12"/>
  <c r="Q111" i="12"/>
  <c r="Q112" i="12"/>
  <c r="Q51" i="12"/>
  <c r="Q25" i="12"/>
  <c r="Q35" i="12"/>
  <c r="Q113" i="12"/>
  <c r="Q114" i="12"/>
  <c r="R72" i="12"/>
  <c r="R50" i="12"/>
  <c r="R107" i="12"/>
  <c r="R108" i="12"/>
  <c r="R32" i="12"/>
  <c r="R110" i="12"/>
  <c r="R111" i="12"/>
  <c r="R112" i="12"/>
  <c r="R51" i="12"/>
  <c r="R25" i="12"/>
  <c r="R35" i="12"/>
  <c r="R113" i="12"/>
  <c r="R114" i="12"/>
  <c r="G119" i="12"/>
  <c r="P119" i="12"/>
  <c r="Q119" i="12"/>
  <c r="R119" i="12"/>
  <c r="G97" i="12"/>
  <c r="P97" i="12"/>
  <c r="Q97" i="12"/>
  <c r="R97" i="12"/>
  <c r="G53" i="12"/>
  <c r="P53" i="12"/>
  <c r="Q53" i="12"/>
  <c r="R53" i="12"/>
  <c r="G52" i="12"/>
  <c r="P52" i="12"/>
  <c r="Q52" i="12"/>
  <c r="R52" i="12"/>
  <c r="G125" i="12"/>
  <c r="P125" i="12"/>
  <c r="Q125" i="12"/>
  <c r="R125" i="12"/>
  <c r="G62" i="12"/>
  <c r="P62" i="12"/>
  <c r="Q62" i="12"/>
  <c r="R62" i="12"/>
  <c r="G36" i="12"/>
  <c r="P36" i="12"/>
  <c r="Q36" i="12"/>
  <c r="R36" i="12"/>
  <c r="G37" i="12"/>
  <c r="P37" i="12"/>
  <c r="Q37" i="12"/>
  <c r="R37" i="12"/>
  <c r="G105" i="12"/>
  <c r="P105" i="12"/>
  <c r="Q105" i="12"/>
  <c r="R105" i="12"/>
  <c r="G24" i="12"/>
  <c r="P24" i="12"/>
  <c r="Q24" i="12"/>
  <c r="R24" i="12"/>
  <c r="G37" i="11" l="1"/>
  <c r="P37" i="11"/>
  <c r="Q37" i="11"/>
  <c r="R37" i="11"/>
  <c r="H127" i="11"/>
  <c r="M127" i="11" s="1"/>
  <c r="H128" i="11"/>
  <c r="M128" i="11" s="1"/>
  <c r="H129" i="11"/>
  <c r="M129" i="11" s="1"/>
  <c r="G108" i="11"/>
  <c r="P108" i="11"/>
  <c r="Q108" i="11"/>
  <c r="R108" i="11"/>
  <c r="G53" i="11"/>
  <c r="P53" i="11"/>
  <c r="Q53" i="11"/>
  <c r="R53" i="11"/>
  <c r="G27" i="11"/>
  <c r="P27" i="11"/>
  <c r="Q27" i="11"/>
  <c r="R27" i="11"/>
  <c r="G61" i="11"/>
  <c r="P61" i="11"/>
  <c r="Q61" i="11"/>
  <c r="R61" i="11"/>
  <c r="G90" i="11"/>
  <c r="P90" i="11"/>
  <c r="Q90" i="11"/>
  <c r="R90" i="11"/>
  <c r="G56" i="11"/>
  <c r="P56" i="11"/>
  <c r="Q56" i="11"/>
  <c r="R56" i="11"/>
  <c r="G105" i="11"/>
  <c r="P105" i="11"/>
  <c r="Q105" i="11"/>
  <c r="R105" i="11"/>
  <c r="G29" i="11"/>
  <c r="P29" i="11"/>
  <c r="Q29" i="11"/>
  <c r="R29" i="11"/>
  <c r="H137" i="11"/>
  <c r="H140" i="11"/>
  <c r="J137" i="11"/>
  <c r="J140" i="11"/>
  <c r="K137" i="11"/>
  <c r="K140" i="11"/>
  <c r="H141" i="11"/>
  <c r="H144" i="11"/>
  <c r="J141" i="11"/>
  <c r="J144" i="11"/>
  <c r="K141" i="11"/>
  <c r="K144" i="11"/>
  <c r="H145" i="11"/>
  <c r="H151" i="11"/>
  <c r="J145" i="11"/>
  <c r="J151" i="11"/>
  <c r="K145" i="11"/>
  <c r="K151" i="11"/>
  <c r="H152" i="11"/>
  <c r="H165" i="11"/>
  <c r="J152" i="11"/>
  <c r="J165" i="11"/>
  <c r="K152" i="11"/>
  <c r="K165" i="11"/>
  <c r="H166" i="11"/>
  <c r="H167" i="11"/>
  <c r="J166" i="11"/>
  <c r="J167" i="11"/>
  <c r="K166" i="11"/>
  <c r="K167" i="11"/>
  <c r="H169" i="11"/>
  <c r="H143" i="11"/>
  <c r="J169" i="11"/>
  <c r="J143" i="11"/>
  <c r="K169" i="11"/>
  <c r="K143" i="11"/>
  <c r="H153" i="11"/>
  <c r="H170" i="11"/>
  <c r="J153" i="11"/>
  <c r="J170" i="11"/>
  <c r="K153" i="11"/>
  <c r="K170" i="11"/>
  <c r="H171" i="11"/>
  <c r="J171" i="11"/>
  <c r="K171" i="11"/>
  <c r="G103" i="11"/>
  <c r="P103" i="11"/>
  <c r="Q103" i="11"/>
  <c r="R103" i="11"/>
  <c r="G41" i="11"/>
  <c r="P41" i="11"/>
  <c r="Q41" i="11"/>
  <c r="R41" i="11"/>
  <c r="G65" i="11"/>
  <c r="P65" i="11"/>
  <c r="Q65" i="11"/>
  <c r="R65" i="11"/>
  <c r="G60" i="11"/>
  <c r="I60" i="11"/>
  <c r="P60" i="11" s="1"/>
  <c r="Q60" i="11"/>
  <c r="R60" i="11"/>
  <c r="G19" i="11"/>
  <c r="I19" i="11"/>
  <c r="P19" i="11" s="1"/>
  <c r="Q19" i="11"/>
  <c r="R19" i="11"/>
  <c r="G39" i="11"/>
  <c r="P39" i="11"/>
  <c r="Q39" i="11"/>
  <c r="R39" i="11"/>
  <c r="G30" i="11"/>
  <c r="P30" i="11"/>
  <c r="Q30" i="11"/>
  <c r="R30" i="11"/>
  <c r="G110" i="11"/>
  <c r="P110" i="11"/>
  <c r="Q110" i="11"/>
  <c r="R110" i="11"/>
  <c r="G23" i="11"/>
  <c r="P23" i="11"/>
  <c r="Q23" i="11"/>
  <c r="R23" i="11"/>
  <c r="G22" i="11"/>
  <c r="P22" i="11"/>
  <c r="Q22" i="11"/>
  <c r="R22" i="11"/>
  <c r="G73" i="11"/>
  <c r="P73" i="11"/>
  <c r="Q73" i="11"/>
  <c r="R73" i="11"/>
  <c r="G111" i="11"/>
  <c r="P111" i="11"/>
  <c r="Q111" i="11"/>
  <c r="R111" i="11"/>
  <c r="G116" i="11"/>
  <c r="P116" i="11"/>
  <c r="Q116" i="11"/>
  <c r="R116" i="11"/>
  <c r="G94" i="11"/>
  <c r="P94" i="11"/>
  <c r="Q94" i="11"/>
  <c r="R94" i="11"/>
  <c r="G99" i="11"/>
  <c r="P99" i="11"/>
  <c r="Q99" i="11"/>
  <c r="R99" i="11"/>
  <c r="G96" i="11"/>
  <c r="P96" i="11"/>
  <c r="Q96" i="11"/>
  <c r="R96" i="11"/>
  <c r="G33" i="11"/>
  <c r="P33" i="11"/>
  <c r="Q33" i="11"/>
  <c r="R33" i="11"/>
  <c r="G71" i="11"/>
  <c r="P71" i="11"/>
  <c r="Q71" i="11"/>
  <c r="R71" i="11"/>
  <c r="G86" i="11"/>
  <c r="P86" i="11"/>
  <c r="Q86" i="11"/>
  <c r="R86" i="11"/>
  <c r="G72" i="11"/>
  <c r="P72" i="11"/>
  <c r="Q72" i="11"/>
  <c r="R72" i="11"/>
  <c r="G28" i="11"/>
  <c r="P28" i="11"/>
  <c r="Q28" i="11"/>
  <c r="R28" i="11"/>
  <c r="G106" i="11"/>
  <c r="P106" i="11"/>
  <c r="Q106" i="11"/>
  <c r="R106" i="11"/>
  <c r="G40" i="11"/>
  <c r="P40" i="11"/>
  <c r="Q40" i="11"/>
  <c r="R40" i="11"/>
  <c r="G31" i="11"/>
  <c r="P31" i="11"/>
  <c r="Q31" i="11"/>
  <c r="R31" i="11"/>
  <c r="G100" i="11"/>
  <c r="P100" i="11"/>
  <c r="Q100" i="11"/>
  <c r="R100" i="11"/>
  <c r="G18" i="11"/>
  <c r="P18" i="11"/>
  <c r="Q18" i="11"/>
  <c r="R18" i="11"/>
  <c r="G69" i="11"/>
  <c r="P69" i="11"/>
  <c r="Q69" i="11"/>
  <c r="R69" i="11"/>
  <c r="G44" i="11"/>
  <c r="P44" i="11"/>
  <c r="Q44" i="11"/>
  <c r="R44" i="11"/>
  <c r="H136" i="11"/>
  <c r="H138" i="11"/>
  <c r="H139" i="11"/>
  <c r="H142" i="11"/>
  <c r="J136" i="11"/>
  <c r="J138" i="11"/>
  <c r="J139" i="11"/>
  <c r="J142" i="11"/>
  <c r="K136" i="11"/>
  <c r="K138" i="11"/>
  <c r="K139" i="11"/>
  <c r="K142" i="11"/>
  <c r="H146" i="11"/>
  <c r="H147" i="11"/>
  <c r="H148" i="11"/>
  <c r="H149" i="11"/>
  <c r="J146" i="11"/>
  <c r="J147" i="11"/>
  <c r="J148" i="11"/>
  <c r="J149" i="11"/>
  <c r="K146" i="11"/>
  <c r="K147" i="11"/>
  <c r="K148" i="11"/>
  <c r="K149" i="11"/>
  <c r="H150" i="11"/>
  <c r="H154" i="11"/>
  <c r="H155" i="11"/>
  <c r="H156" i="11"/>
  <c r="J150" i="11"/>
  <c r="J154" i="11"/>
  <c r="J155" i="11"/>
  <c r="J156" i="11"/>
  <c r="K150" i="11"/>
  <c r="K154" i="11"/>
  <c r="K155" i="11"/>
  <c r="K156" i="11"/>
  <c r="H157" i="11"/>
  <c r="H158" i="11"/>
  <c r="H159" i="11"/>
  <c r="H160" i="11"/>
  <c r="J157" i="11"/>
  <c r="J158" i="11"/>
  <c r="J159" i="11"/>
  <c r="J160" i="11"/>
  <c r="K157" i="11"/>
  <c r="K158" i="11"/>
  <c r="K159" i="11"/>
  <c r="K160" i="11"/>
  <c r="H161" i="11"/>
  <c r="H162" i="11"/>
  <c r="H163" i="11"/>
  <c r="H164" i="11"/>
  <c r="J161" i="11"/>
  <c r="J162" i="11"/>
  <c r="J163" i="11"/>
  <c r="J164" i="11"/>
  <c r="K161" i="11"/>
  <c r="K162" i="11"/>
  <c r="K163" i="11"/>
  <c r="K164" i="11"/>
  <c r="H168" i="11"/>
  <c r="J168" i="11"/>
  <c r="K168" i="11"/>
  <c r="G117" i="11"/>
  <c r="G36" i="11"/>
  <c r="G76" i="11"/>
  <c r="G93" i="11"/>
  <c r="G104" i="11"/>
  <c r="G79" i="11"/>
  <c r="P117" i="11"/>
  <c r="P36" i="11"/>
  <c r="P76" i="11"/>
  <c r="P93" i="11"/>
  <c r="P104" i="11"/>
  <c r="P79" i="11"/>
  <c r="Q117" i="11"/>
  <c r="Q36" i="11"/>
  <c r="Q76" i="11"/>
  <c r="Q93" i="11"/>
  <c r="Q104" i="11"/>
  <c r="Q79" i="11"/>
  <c r="R117" i="11"/>
  <c r="R36" i="11"/>
  <c r="R76" i="11"/>
  <c r="R93" i="11"/>
  <c r="R104" i="11"/>
  <c r="R79" i="11"/>
  <c r="P64" i="11"/>
  <c r="P17" i="11"/>
  <c r="P54" i="11"/>
  <c r="P26" i="11"/>
  <c r="G17" i="11"/>
  <c r="G113" i="11"/>
  <c r="G102" i="11"/>
  <c r="G85" i="11"/>
  <c r="G21" i="11"/>
  <c r="G87" i="11"/>
  <c r="G57" i="11"/>
  <c r="G70" i="11"/>
  <c r="G75" i="11"/>
  <c r="G45" i="11"/>
  <c r="G67" i="11"/>
  <c r="G48" i="11"/>
  <c r="P113" i="11"/>
  <c r="P102" i="11"/>
  <c r="P50" i="11"/>
  <c r="P85" i="11"/>
  <c r="P21" i="11"/>
  <c r="P87" i="11"/>
  <c r="P57" i="11"/>
  <c r="P75" i="11"/>
  <c r="P45" i="11"/>
  <c r="P67" i="11"/>
  <c r="Q17" i="11"/>
  <c r="Q113" i="11"/>
  <c r="Q102" i="11"/>
  <c r="Q50" i="11"/>
  <c r="Q85" i="11"/>
  <c r="Q21" i="11"/>
  <c r="Q87" i="11"/>
  <c r="Q57" i="11"/>
  <c r="Q70" i="11"/>
  <c r="Q75" i="11"/>
  <c r="Q45" i="11"/>
  <c r="Q67" i="11"/>
  <c r="Q48" i="11"/>
  <c r="R17" i="11"/>
  <c r="R113" i="11"/>
  <c r="R102" i="11"/>
  <c r="R50" i="11"/>
  <c r="R85" i="11"/>
  <c r="R21" i="11"/>
  <c r="R87" i="11"/>
  <c r="R57" i="11"/>
  <c r="R70" i="11"/>
  <c r="R75" i="11"/>
  <c r="R45" i="11"/>
  <c r="R67" i="11"/>
  <c r="R48" i="11"/>
  <c r="G74" i="11"/>
  <c r="G42" i="11"/>
  <c r="G16" i="11"/>
  <c r="G78" i="11"/>
  <c r="G92" i="11"/>
  <c r="G114" i="11"/>
  <c r="G88" i="11"/>
  <c r="G63" i="11"/>
  <c r="G109" i="11"/>
  <c r="G64" i="11"/>
  <c r="G98" i="11"/>
  <c r="G34" i="11"/>
  <c r="G95" i="11"/>
  <c r="P74" i="11"/>
  <c r="P42" i="11"/>
  <c r="P92" i="11"/>
  <c r="P114" i="11"/>
  <c r="P109" i="11"/>
  <c r="P95" i="11"/>
  <c r="Q74" i="11"/>
  <c r="Q42" i="11"/>
  <c r="Q16" i="11"/>
  <c r="Q78" i="11"/>
  <c r="Q92" i="11"/>
  <c r="Q114" i="11"/>
  <c r="Q88" i="11"/>
  <c r="Q63" i="11"/>
  <c r="Q109" i="11"/>
  <c r="Q64" i="11"/>
  <c r="Q98" i="11"/>
  <c r="Q34" i="11"/>
  <c r="Q95" i="11"/>
  <c r="R74" i="11"/>
  <c r="R42" i="11"/>
  <c r="R16" i="11"/>
  <c r="R78" i="11"/>
  <c r="R92" i="11"/>
  <c r="R114" i="11"/>
  <c r="R88" i="11"/>
  <c r="R63" i="11"/>
  <c r="R109" i="11"/>
  <c r="R64" i="11"/>
  <c r="R98" i="11"/>
  <c r="R34" i="11"/>
  <c r="R95" i="11"/>
  <c r="G89" i="11"/>
  <c r="G101" i="11"/>
  <c r="G11" i="11"/>
  <c r="G55" i="11"/>
  <c r="G107" i="11"/>
  <c r="G12" i="11"/>
  <c r="G81" i="11"/>
  <c r="G13" i="11"/>
  <c r="G54" i="11"/>
  <c r="G84" i="11"/>
  <c r="G52" i="11"/>
  <c r="G115" i="11"/>
  <c r="G46" i="11"/>
  <c r="P89" i="11"/>
  <c r="P101" i="11"/>
  <c r="P11" i="11"/>
  <c r="P107" i="11"/>
  <c r="P81" i="11"/>
  <c r="P13" i="11"/>
  <c r="P84" i="11"/>
  <c r="P52" i="11"/>
  <c r="P115" i="11"/>
  <c r="P46" i="11"/>
  <c r="Q89" i="11"/>
  <c r="Q101" i="11"/>
  <c r="Q11" i="11"/>
  <c r="Q55" i="11"/>
  <c r="Q107" i="11"/>
  <c r="Q12" i="11"/>
  <c r="Q81" i="11"/>
  <c r="Q13" i="11"/>
  <c r="Q54" i="11"/>
  <c r="Q84" i="11"/>
  <c r="Q52" i="11"/>
  <c r="Q115" i="11"/>
  <c r="Q46" i="11"/>
  <c r="R89" i="11"/>
  <c r="R101" i="11"/>
  <c r="R11" i="11"/>
  <c r="R55" i="11"/>
  <c r="R107" i="11"/>
  <c r="R12" i="11"/>
  <c r="R81" i="11"/>
  <c r="R13" i="11"/>
  <c r="R54" i="11"/>
  <c r="R84" i="11"/>
  <c r="R52" i="11"/>
  <c r="R115" i="11"/>
  <c r="R46" i="11"/>
  <c r="G35" i="11"/>
  <c r="G80" i="11"/>
  <c r="G82" i="11"/>
  <c r="P35" i="11"/>
  <c r="P82" i="11"/>
  <c r="Q35" i="11"/>
  <c r="Q80" i="11"/>
  <c r="Q82" i="11"/>
  <c r="R35" i="11"/>
  <c r="R80" i="11"/>
  <c r="R82" i="11"/>
  <c r="G77" i="11"/>
  <c r="G14" i="11"/>
  <c r="G26" i="11"/>
  <c r="P77" i="11"/>
  <c r="P14" i="11"/>
  <c r="Q77" i="11"/>
  <c r="Q14" i="11"/>
  <c r="Q26" i="11"/>
  <c r="R77" i="11"/>
  <c r="R14" i="11"/>
  <c r="R26" i="11"/>
  <c r="G83" i="11"/>
  <c r="G91" i="11"/>
  <c r="G9" i="11"/>
  <c r="G62" i="11"/>
  <c r="P83" i="11"/>
  <c r="P91" i="11"/>
  <c r="P9" i="11"/>
  <c r="P62" i="11"/>
  <c r="Q83" i="11"/>
  <c r="Q91" i="11"/>
  <c r="Q9" i="11"/>
  <c r="Q62" i="11"/>
  <c r="R83" i="11"/>
  <c r="R91" i="11"/>
  <c r="R9" i="11"/>
  <c r="R62" i="11"/>
  <c r="G51" i="11"/>
  <c r="G32" i="11"/>
  <c r="G97" i="11"/>
  <c r="P51" i="11"/>
  <c r="P32" i="11"/>
  <c r="Q51" i="11"/>
  <c r="Q32" i="11"/>
  <c r="Q97" i="11"/>
  <c r="R51" i="11"/>
  <c r="R32" i="11"/>
  <c r="R97" i="11"/>
  <c r="G119" i="11"/>
  <c r="G58" i="11"/>
  <c r="G49" i="11"/>
  <c r="P119" i="11"/>
  <c r="Q119" i="11"/>
  <c r="Q58" i="11"/>
  <c r="Q49" i="11"/>
  <c r="R119" i="11"/>
  <c r="R58" i="11"/>
  <c r="R49" i="11"/>
  <c r="G38" i="11"/>
  <c r="G47" i="11"/>
  <c r="G112" i="11"/>
  <c r="G118" i="11"/>
  <c r="P38" i="11"/>
  <c r="P47" i="11"/>
  <c r="Q38" i="11"/>
  <c r="Q47" i="11"/>
  <c r="Q112" i="11"/>
  <c r="Q118" i="11"/>
  <c r="R38" i="11"/>
  <c r="R47" i="11"/>
  <c r="R112" i="11"/>
  <c r="R118" i="11"/>
  <c r="G15" i="11"/>
  <c r="P15" i="11"/>
  <c r="Q15" i="11"/>
  <c r="R15" i="11"/>
  <c r="G50" i="11" l="1"/>
  <c r="G41" i="15"/>
  <c r="P112" i="11"/>
  <c r="P58" i="11"/>
  <c r="P97" i="11"/>
  <c r="P55" i="11"/>
  <c r="P118" i="11"/>
  <c r="P49" i="11"/>
  <c r="P80" i="11"/>
  <c r="P34" i="11"/>
  <c r="P63" i="11"/>
  <c r="P78" i="11"/>
  <c r="P12" i="11"/>
  <c r="P98" i="11"/>
  <c r="P88" i="11"/>
  <c r="P16" i="11"/>
  <c r="P48" i="11"/>
  <c r="P70" i="11"/>
  <c r="G108" i="10" l="1"/>
  <c r="I108" i="10"/>
  <c r="P108" i="10" s="1"/>
  <c r="G501" i="10" l="1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23" i="10"/>
  <c r="P23" i="10"/>
  <c r="Q23" i="10"/>
  <c r="R23" i="10"/>
  <c r="I245" i="10" l="1"/>
  <c r="L245" i="10" s="1"/>
  <c r="I246" i="10"/>
  <c r="I247" i="10"/>
  <c r="I248" i="10"/>
  <c r="I249" i="10"/>
  <c r="I250" i="10"/>
  <c r="I251" i="10"/>
  <c r="L251" i="10" s="1"/>
  <c r="I252" i="10"/>
  <c r="L252" i="10" s="1"/>
  <c r="I253" i="10"/>
  <c r="L253" i="10" s="1"/>
  <c r="I254" i="10"/>
  <c r="L254" i="10" s="1"/>
  <c r="I255" i="10"/>
  <c r="L255" i="10" s="1"/>
  <c r="I256" i="10"/>
  <c r="L256" i="10" s="1"/>
  <c r="I257" i="10"/>
  <c r="L257" i="10" s="1"/>
  <c r="I258" i="10"/>
  <c r="L258" i="10" s="1"/>
  <c r="I259" i="10"/>
  <c r="I260" i="10"/>
  <c r="L260" i="10" s="1"/>
  <c r="I261" i="10"/>
  <c r="L261" i="10" s="1"/>
  <c r="I262" i="10"/>
  <c r="L262" i="10" s="1"/>
  <c r="I263" i="10"/>
  <c r="L263" i="10" s="1"/>
  <c r="I264" i="10"/>
  <c r="L264" i="10" s="1"/>
  <c r="I265" i="10"/>
  <c r="L265" i="10" s="1"/>
  <c r="I266" i="10"/>
  <c r="L266" i="10" s="1"/>
  <c r="I267" i="10"/>
  <c r="L267" i="10" s="1"/>
  <c r="I268" i="10"/>
  <c r="L268" i="10" s="1"/>
  <c r="I269" i="10"/>
  <c r="L269" i="10" s="1"/>
  <c r="I270" i="10"/>
  <c r="L270" i="10" s="1"/>
  <c r="I271" i="10"/>
  <c r="I272" i="10"/>
  <c r="L272" i="10" s="1"/>
  <c r="I273" i="10"/>
  <c r="L273" i="10" s="1"/>
  <c r="I274" i="10"/>
  <c r="L274" i="10" s="1"/>
  <c r="I275" i="10"/>
  <c r="L275" i="10" s="1"/>
  <c r="I276" i="10"/>
  <c r="L276" i="10" s="1"/>
  <c r="I277" i="10"/>
  <c r="L277" i="10" s="1"/>
  <c r="I278" i="10"/>
  <c r="L278" i="10" s="1"/>
  <c r="I279" i="10"/>
  <c r="L279" i="10" s="1"/>
  <c r="I280" i="10"/>
  <c r="L280" i="10" s="1"/>
  <c r="I281" i="10"/>
  <c r="I282" i="10"/>
  <c r="L282" i="10" s="1"/>
  <c r="I283" i="10"/>
  <c r="I284" i="10"/>
  <c r="L284" i="10" s="1"/>
  <c r="I285" i="10"/>
  <c r="L285" i="10" s="1"/>
  <c r="I286" i="10"/>
  <c r="L286" i="10" s="1"/>
  <c r="I287" i="10"/>
  <c r="L287" i="10" s="1"/>
  <c r="I288" i="10"/>
  <c r="L288" i="10" s="1"/>
  <c r="I289" i="10"/>
  <c r="L289" i="10" s="1"/>
  <c r="I290" i="10"/>
  <c r="L290" i="10" s="1"/>
  <c r="I291" i="10"/>
  <c r="L291" i="10" s="1"/>
  <c r="I292" i="10"/>
  <c r="L292" i="10" s="1"/>
  <c r="I293" i="10"/>
  <c r="L293" i="10" s="1"/>
  <c r="I294" i="10"/>
  <c r="L294" i="10" s="1"/>
  <c r="I295" i="10"/>
  <c r="I296" i="10"/>
  <c r="L296" i="10" s="1"/>
  <c r="I297" i="10"/>
  <c r="L297" i="10" s="1"/>
  <c r="I298" i="10"/>
  <c r="L298" i="10" s="1"/>
  <c r="I299" i="10"/>
  <c r="L299" i="10" s="1"/>
  <c r="I300" i="10"/>
  <c r="L300" i="10" s="1"/>
  <c r="I301" i="10"/>
  <c r="L301" i="10" s="1"/>
  <c r="I302" i="10"/>
  <c r="L302" i="10" s="1"/>
  <c r="I303" i="10"/>
  <c r="L303" i="10" s="1"/>
  <c r="I304" i="10"/>
  <c r="L304" i="10" s="1"/>
  <c r="I305" i="10"/>
  <c r="L305" i="10" s="1"/>
  <c r="I306" i="10"/>
  <c r="L306" i="10" s="1"/>
  <c r="I307" i="10"/>
  <c r="L307" i="10" s="1"/>
  <c r="I308" i="10"/>
  <c r="L308" i="10" s="1"/>
  <c r="I309" i="10"/>
  <c r="L309" i="10" s="1"/>
  <c r="I310" i="10"/>
  <c r="L310" i="10" s="1"/>
  <c r="I311" i="10"/>
  <c r="I312" i="10"/>
  <c r="L312" i="10" s="1"/>
  <c r="I313" i="10"/>
  <c r="L313" i="10" s="1"/>
  <c r="I314" i="10"/>
  <c r="L314" i="10" s="1"/>
  <c r="I315" i="10"/>
  <c r="L315" i="10" s="1"/>
  <c r="I316" i="10"/>
  <c r="L316" i="10" s="1"/>
  <c r="I317" i="10"/>
  <c r="L317" i="10" s="1"/>
  <c r="I318" i="10"/>
  <c r="L318" i="10" s="1"/>
  <c r="I319" i="10"/>
  <c r="L319" i="10" s="1"/>
  <c r="I320" i="10"/>
  <c r="L320" i="10" s="1"/>
  <c r="I321" i="10"/>
  <c r="L321" i="10" s="1"/>
  <c r="I322" i="10"/>
  <c r="L322" i="10" s="1"/>
  <c r="I323" i="10"/>
  <c r="I324" i="10"/>
  <c r="L324" i="10" s="1"/>
  <c r="I325" i="10"/>
  <c r="L325" i="10" s="1"/>
  <c r="I326" i="10"/>
  <c r="L326" i="10" s="1"/>
  <c r="I327" i="10"/>
  <c r="L327" i="10" s="1"/>
  <c r="I328" i="10"/>
  <c r="L328" i="10" s="1"/>
  <c r="I329" i="10"/>
  <c r="L329" i="10" s="1"/>
  <c r="I330" i="10"/>
  <c r="L330" i="10" s="1"/>
  <c r="I331" i="10"/>
  <c r="I332" i="10"/>
  <c r="L332" i="10" s="1"/>
  <c r="I333" i="10"/>
  <c r="L333" i="10" s="1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L368" i="10" s="1"/>
  <c r="I369" i="10"/>
  <c r="L369" i="10" s="1"/>
  <c r="I370" i="10"/>
  <c r="L370" i="10" s="1"/>
  <c r="I371" i="10"/>
  <c r="I372" i="10"/>
  <c r="L372" i="10" s="1"/>
  <c r="I373" i="10"/>
  <c r="L373" i="10" s="1"/>
  <c r="I374" i="10"/>
  <c r="L374" i="10" s="1"/>
  <c r="I375" i="10"/>
  <c r="L375" i="10" s="1"/>
  <c r="I376" i="10"/>
  <c r="L376" i="10" s="1"/>
  <c r="I377" i="10"/>
  <c r="I378" i="10"/>
  <c r="L378" i="10" s="1"/>
  <c r="I379" i="10"/>
  <c r="L379" i="10" s="1"/>
  <c r="I380" i="10"/>
  <c r="L380" i="10" s="1"/>
  <c r="I381" i="10"/>
  <c r="L381" i="10" s="1"/>
  <c r="I382" i="10"/>
  <c r="L382" i="10" s="1"/>
  <c r="I383" i="10"/>
  <c r="I384" i="10"/>
  <c r="L384" i="10" s="1"/>
  <c r="I385" i="10"/>
  <c r="I386" i="10"/>
  <c r="L386" i="10" s="1"/>
  <c r="I387" i="10"/>
  <c r="L387" i="10" s="1"/>
  <c r="I388" i="10"/>
  <c r="L388" i="10" s="1"/>
  <c r="I389" i="10"/>
  <c r="I390" i="10"/>
  <c r="L390" i="10" s="1"/>
  <c r="I391" i="10"/>
  <c r="L391" i="10" s="1"/>
  <c r="I392" i="10"/>
  <c r="L392" i="10" s="1"/>
  <c r="I393" i="10"/>
  <c r="L393" i="10" s="1"/>
  <c r="I394" i="10"/>
  <c r="L394" i="10" s="1"/>
  <c r="I395" i="10"/>
  <c r="I396" i="10"/>
  <c r="L396" i="10" s="1"/>
  <c r="I397" i="10"/>
  <c r="L397" i="10" s="1"/>
  <c r="I398" i="10"/>
  <c r="L398" i="10" s="1"/>
  <c r="I399" i="10"/>
  <c r="L399" i="10" s="1"/>
  <c r="I400" i="10"/>
  <c r="L400" i="10" s="1"/>
  <c r="I401" i="10"/>
  <c r="I402" i="10"/>
  <c r="L402" i="10" s="1"/>
  <c r="I403" i="10"/>
  <c r="L403" i="10" s="1"/>
  <c r="I404" i="10"/>
  <c r="L404" i="10" s="1"/>
  <c r="I405" i="10"/>
  <c r="I406" i="10"/>
  <c r="L406" i="10" s="1"/>
  <c r="I407" i="10"/>
  <c r="I408" i="10"/>
  <c r="L408" i="10" s="1"/>
  <c r="I409" i="10"/>
  <c r="I410" i="10"/>
  <c r="I411" i="10"/>
  <c r="L411" i="10" s="1"/>
  <c r="I412" i="10"/>
  <c r="L412" i="10" s="1"/>
  <c r="I413" i="10"/>
  <c r="I414" i="10"/>
  <c r="I415" i="10"/>
  <c r="L415" i="10" s="1"/>
  <c r="I416" i="10"/>
  <c r="L416" i="10" s="1"/>
  <c r="I417" i="10"/>
  <c r="L417" i="10" s="1"/>
  <c r="I418" i="10"/>
  <c r="L418" i="10" s="1"/>
  <c r="I419" i="10"/>
  <c r="L419" i="10" s="1"/>
  <c r="I420" i="10"/>
  <c r="L420" i="10" s="1"/>
  <c r="I421" i="10"/>
  <c r="I422" i="10"/>
  <c r="L422" i="10" s="1"/>
  <c r="I423" i="10"/>
  <c r="L423" i="10" s="1"/>
  <c r="I424" i="10"/>
  <c r="L424" i="10" s="1"/>
  <c r="I425" i="10"/>
  <c r="I426" i="10"/>
  <c r="L426" i="10" s="1"/>
  <c r="I427" i="10"/>
  <c r="I428" i="10"/>
  <c r="L428" i="10" s="1"/>
  <c r="I429" i="10"/>
  <c r="L429" i="10" s="1"/>
  <c r="I430" i="10"/>
  <c r="L430" i="10" s="1"/>
  <c r="I431" i="10"/>
  <c r="L431" i="10" s="1"/>
  <c r="I432" i="10"/>
  <c r="L432" i="10" s="1"/>
  <c r="I433" i="10"/>
  <c r="L433" i="10" s="1"/>
  <c r="I434" i="10"/>
  <c r="L434" i="10" s="1"/>
  <c r="I435" i="10"/>
  <c r="L435" i="10" s="1"/>
  <c r="I436" i="10"/>
  <c r="L436" i="10" s="1"/>
  <c r="I437" i="10"/>
  <c r="I438" i="10"/>
  <c r="L438" i="10" s="1"/>
  <c r="I439" i="10"/>
  <c r="L439" i="10" s="1"/>
  <c r="I440" i="10"/>
  <c r="L440" i="10" s="1"/>
  <c r="I441" i="10"/>
  <c r="L441" i="10" s="1"/>
  <c r="I442" i="10"/>
  <c r="L442" i="10" s="1"/>
  <c r="I443" i="10"/>
  <c r="L443" i="10" s="1"/>
  <c r="I444" i="10"/>
  <c r="L444" i="10" s="1"/>
  <c r="I445" i="10"/>
  <c r="L445" i="10" s="1"/>
  <c r="I446" i="10"/>
  <c r="L446" i="10" s="1"/>
  <c r="I447" i="10"/>
  <c r="L447" i="10" s="1"/>
  <c r="I448" i="10"/>
  <c r="L448" i="10" s="1"/>
  <c r="I449" i="10"/>
  <c r="I450" i="10"/>
  <c r="L450" i="10" s="1"/>
  <c r="I451" i="10"/>
  <c r="I452" i="10"/>
  <c r="L452" i="10" s="1"/>
  <c r="I453" i="10"/>
  <c r="L453" i="10" s="1"/>
  <c r="I454" i="10"/>
  <c r="L454" i="10" s="1"/>
  <c r="I455" i="10"/>
  <c r="L455" i="10" s="1"/>
  <c r="I456" i="10"/>
  <c r="L456" i="10" s="1"/>
  <c r="I457" i="10"/>
  <c r="L457" i="10" s="1"/>
  <c r="I458" i="10"/>
  <c r="L458" i="10" s="1"/>
  <c r="I459" i="10"/>
  <c r="L459" i="10" s="1"/>
  <c r="I460" i="10"/>
  <c r="L460" i="10" s="1"/>
  <c r="I461" i="10"/>
  <c r="I462" i="10"/>
  <c r="L462" i="10" s="1"/>
  <c r="I463" i="10"/>
  <c r="I464" i="10"/>
  <c r="L464" i="10" s="1"/>
  <c r="I465" i="10"/>
  <c r="L465" i="10" s="1"/>
  <c r="I466" i="10"/>
  <c r="L466" i="10" s="1"/>
  <c r="I467" i="10"/>
  <c r="L467" i="10" s="1"/>
  <c r="I468" i="10"/>
  <c r="L468" i="10" s="1"/>
  <c r="I469" i="10"/>
  <c r="I470" i="10"/>
  <c r="L470" i="10" s="1"/>
  <c r="I471" i="10"/>
  <c r="L471" i="10" s="1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71" i="10"/>
  <c r="L377" i="10"/>
  <c r="L383" i="10"/>
  <c r="L385" i="10"/>
  <c r="L389" i="10"/>
  <c r="L395" i="10"/>
  <c r="L401" i="10"/>
  <c r="L405" i="10"/>
  <c r="L407" i="10"/>
  <c r="L409" i="10"/>
  <c r="L410" i="10"/>
  <c r="L413" i="10"/>
  <c r="L414" i="10"/>
  <c r="L421" i="10"/>
  <c r="L425" i="10"/>
  <c r="L427" i="10"/>
  <c r="L437" i="10"/>
  <c r="L449" i="10"/>
  <c r="L451" i="10"/>
  <c r="L461" i="10"/>
  <c r="L463" i="10"/>
  <c r="L469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L259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L271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L281" i="10"/>
  <c r="L283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L295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L311" i="10"/>
  <c r="G333" i="10"/>
  <c r="G332" i="10"/>
  <c r="G331" i="10"/>
  <c r="L331" i="10"/>
  <c r="G330" i="10"/>
  <c r="G329" i="10"/>
  <c r="G328" i="10"/>
  <c r="G327" i="10"/>
  <c r="G326" i="10"/>
  <c r="G325" i="10"/>
  <c r="G324" i="10"/>
  <c r="G323" i="10"/>
  <c r="L323" i="10"/>
  <c r="G322" i="10"/>
  <c r="G321" i="10"/>
  <c r="G320" i="10"/>
  <c r="G319" i="10"/>
  <c r="G318" i="10"/>
  <c r="G317" i="10"/>
  <c r="G316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I200" i="10"/>
  <c r="L200" i="10" s="1"/>
  <c r="I201" i="10"/>
  <c r="L201" i="10" s="1"/>
  <c r="I202" i="10"/>
  <c r="L202" i="10" s="1"/>
  <c r="I203" i="10"/>
  <c r="L203" i="10" s="1"/>
  <c r="I204" i="10"/>
  <c r="L204" i="10" s="1"/>
  <c r="I205" i="10"/>
  <c r="L205" i="10" s="1"/>
  <c r="I206" i="10"/>
  <c r="L206" i="10" s="1"/>
  <c r="I207" i="10"/>
  <c r="L207" i="10" s="1"/>
  <c r="I208" i="10"/>
  <c r="L208" i="10" s="1"/>
  <c r="I209" i="10"/>
  <c r="L209" i="10" s="1"/>
  <c r="I210" i="10"/>
  <c r="L210" i="10" s="1"/>
  <c r="I211" i="10"/>
  <c r="L211" i="10" s="1"/>
  <c r="I212" i="10"/>
  <c r="L212" i="10" s="1"/>
  <c r="I213" i="10"/>
  <c r="L213" i="10" s="1"/>
  <c r="I214" i="10"/>
  <c r="L214" i="10" s="1"/>
  <c r="I215" i="10"/>
  <c r="L215" i="10" s="1"/>
  <c r="I216" i="10"/>
  <c r="L216" i="10" s="1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I217" i="10"/>
  <c r="L217" i="10" s="1"/>
  <c r="I218" i="10"/>
  <c r="L218" i="10" s="1"/>
  <c r="I219" i="10"/>
  <c r="L219" i="10" s="1"/>
  <c r="I220" i="10"/>
  <c r="L220" i="10" s="1"/>
  <c r="I221" i="10"/>
  <c r="L221" i="10" s="1"/>
  <c r="I222" i="10"/>
  <c r="L222" i="10" s="1"/>
  <c r="I223" i="10"/>
  <c r="L223" i="10" s="1"/>
  <c r="I224" i="10"/>
  <c r="L224" i="10" s="1"/>
  <c r="I225" i="10"/>
  <c r="L225" i="10" s="1"/>
  <c r="I226" i="10"/>
  <c r="L226" i="10" s="1"/>
  <c r="I227" i="10"/>
  <c r="L227" i="10" s="1"/>
  <c r="I228" i="10"/>
  <c r="L228" i="10" s="1"/>
  <c r="I229" i="10"/>
  <c r="L229" i="10" s="1"/>
  <c r="I230" i="10"/>
  <c r="L230" i="10" s="1"/>
  <c r="I231" i="10"/>
  <c r="L231" i="10" s="1"/>
  <c r="I232" i="10"/>
  <c r="L232" i="10" s="1"/>
  <c r="I233" i="10"/>
  <c r="L233" i="10" s="1"/>
  <c r="G241" i="10"/>
  <c r="I241" i="10"/>
  <c r="L241" i="10" s="1"/>
  <c r="G240" i="10"/>
  <c r="I240" i="10"/>
  <c r="L240" i="10" s="1"/>
  <c r="G239" i="10"/>
  <c r="I239" i="10"/>
  <c r="L239" i="10" s="1"/>
  <c r="G238" i="10"/>
  <c r="I238" i="10"/>
  <c r="L238" i="10" s="1"/>
  <c r="G237" i="10"/>
  <c r="I237" i="10"/>
  <c r="L237" i="10" s="1"/>
  <c r="G236" i="10"/>
  <c r="I236" i="10"/>
  <c r="L236" i="10" s="1"/>
  <c r="G235" i="10"/>
  <c r="I235" i="10"/>
  <c r="L235" i="10" s="1"/>
  <c r="G234" i="10"/>
  <c r="I234" i="10"/>
  <c r="L234" i="10" s="1"/>
  <c r="G199" i="10"/>
  <c r="I199" i="10"/>
  <c r="L199" i="10" s="1"/>
  <c r="H177" i="10" l="1"/>
  <c r="H179" i="10"/>
  <c r="H171" i="10"/>
  <c r="H153" i="10"/>
  <c r="H154" i="10"/>
  <c r="H155" i="10"/>
  <c r="J177" i="10"/>
  <c r="J179" i="10"/>
  <c r="J171" i="10"/>
  <c r="J153" i="10"/>
  <c r="J154" i="10"/>
  <c r="J155" i="10"/>
  <c r="K177" i="10"/>
  <c r="K179" i="10"/>
  <c r="K171" i="10"/>
  <c r="K153" i="10"/>
  <c r="K154" i="10"/>
  <c r="K155" i="10"/>
  <c r="H156" i="10"/>
  <c r="H157" i="10"/>
  <c r="H172" i="10"/>
  <c r="H162" i="10"/>
  <c r="H161" i="10"/>
  <c r="H176" i="10"/>
  <c r="H160" i="10"/>
  <c r="H159" i="10"/>
  <c r="H174" i="10"/>
  <c r="H150" i="10"/>
  <c r="H163" i="10"/>
  <c r="J156" i="10"/>
  <c r="J157" i="10"/>
  <c r="J172" i="10"/>
  <c r="J162" i="10"/>
  <c r="J161" i="10"/>
  <c r="J176" i="10"/>
  <c r="J160" i="10"/>
  <c r="J159" i="10"/>
  <c r="J174" i="10"/>
  <c r="J150" i="10"/>
  <c r="J163" i="10"/>
  <c r="K156" i="10"/>
  <c r="K157" i="10"/>
  <c r="K172" i="10"/>
  <c r="K162" i="10"/>
  <c r="K161" i="10"/>
  <c r="K176" i="10"/>
  <c r="K160" i="10"/>
  <c r="K159" i="10"/>
  <c r="K174" i="10"/>
  <c r="K150" i="10"/>
  <c r="K163" i="10"/>
  <c r="H149" i="10"/>
  <c r="H151" i="10"/>
  <c r="H164" i="10"/>
  <c r="H165" i="10"/>
  <c r="H167" i="10"/>
  <c r="H166" i="10"/>
  <c r="H173" i="10"/>
  <c r="H168" i="10"/>
  <c r="H169" i="10"/>
  <c r="H178" i="10"/>
  <c r="J149" i="10"/>
  <c r="J151" i="10"/>
  <c r="J164" i="10"/>
  <c r="J165" i="10"/>
  <c r="J167" i="10"/>
  <c r="J166" i="10"/>
  <c r="J173" i="10"/>
  <c r="J168" i="10"/>
  <c r="J169" i="10"/>
  <c r="J178" i="10"/>
  <c r="K149" i="10"/>
  <c r="K151" i="10"/>
  <c r="K164" i="10"/>
  <c r="K165" i="10"/>
  <c r="K167" i="10"/>
  <c r="K166" i="10"/>
  <c r="K173" i="10"/>
  <c r="K168" i="10"/>
  <c r="K169" i="10"/>
  <c r="K178" i="10"/>
  <c r="H175" i="10"/>
  <c r="H170" i="10"/>
  <c r="H158" i="10"/>
  <c r="H152" i="10"/>
  <c r="J175" i="10"/>
  <c r="J170" i="10"/>
  <c r="J158" i="10"/>
  <c r="J152" i="10"/>
  <c r="K175" i="10"/>
  <c r="K170" i="10"/>
  <c r="K158" i="10"/>
  <c r="K152" i="10"/>
  <c r="G129" i="10"/>
  <c r="P129" i="10"/>
  <c r="Q129" i="10"/>
  <c r="R129" i="10"/>
  <c r="G14" i="10"/>
  <c r="P14" i="10"/>
  <c r="Q14" i="10"/>
  <c r="R14" i="10"/>
  <c r="G84" i="10"/>
  <c r="P84" i="10"/>
  <c r="Q84" i="10"/>
  <c r="R84" i="10"/>
  <c r="G44" i="10"/>
  <c r="P44" i="10"/>
  <c r="Q44" i="10"/>
  <c r="R44" i="10"/>
  <c r="G98" i="10"/>
  <c r="P98" i="10"/>
  <c r="Q98" i="10"/>
  <c r="R98" i="10"/>
  <c r="G48" i="10"/>
  <c r="P48" i="10"/>
  <c r="Q48" i="10"/>
  <c r="R48" i="10"/>
  <c r="G87" i="10"/>
  <c r="P87" i="10"/>
  <c r="Q87" i="10"/>
  <c r="R87" i="10"/>
  <c r="G12" i="10"/>
  <c r="P12" i="10"/>
  <c r="Q12" i="10"/>
  <c r="R12" i="10"/>
  <c r="G80" i="10"/>
  <c r="P80" i="10"/>
  <c r="Q80" i="10"/>
  <c r="R80" i="10"/>
  <c r="G115" i="10"/>
  <c r="P115" i="10"/>
  <c r="Q115" i="10"/>
  <c r="R115" i="10"/>
  <c r="G92" i="10"/>
  <c r="P92" i="10"/>
  <c r="Q92" i="10"/>
  <c r="R92" i="10"/>
  <c r="G46" i="10"/>
  <c r="P46" i="10"/>
  <c r="Q46" i="10"/>
  <c r="R46" i="10"/>
  <c r="G91" i="10"/>
  <c r="G29" i="10"/>
  <c r="G89" i="10"/>
  <c r="G126" i="10"/>
  <c r="G86" i="10"/>
  <c r="G110" i="10"/>
  <c r="G88" i="10"/>
  <c r="G109" i="10"/>
  <c r="G41" i="10"/>
  <c r="G107" i="10"/>
  <c r="G76" i="10"/>
  <c r="G78" i="10"/>
  <c r="G125" i="10"/>
  <c r="G85" i="10"/>
  <c r="G79" i="10"/>
  <c r="G11" i="10"/>
  <c r="G43" i="10"/>
  <c r="G13" i="10"/>
  <c r="G67" i="10"/>
  <c r="G45" i="10"/>
  <c r="P91" i="10"/>
  <c r="P29" i="10"/>
  <c r="P89" i="10"/>
  <c r="P126" i="10"/>
  <c r="P86" i="10"/>
  <c r="P110" i="10"/>
  <c r="P88" i="10"/>
  <c r="P109" i="10"/>
  <c r="P41" i="10"/>
  <c r="P107" i="10"/>
  <c r="P76" i="10"/>
  <c r="P78" i="10"/>
  <c r="P125" i="10"/>
  <c r="P85" i="10"/>
  <c r="P79" i="10"/>
  <c r="P11" i="10"/>
  <c r="P43" i="10"/>
  <c r="P13" i="10"/>
  <c r="P67" i="10"/>
  <c r="P45" i="10"/>
  <c r="Q91" i="10"/>
  <c r="Q29" i="10"/>
  <c r="Q108" i="10"/>
  <c r="Q89" i="10"/>
  <c r="Q126" i="10"/>
  <c r="Q86" i="10"/>
  <c r="Q110" i="10"/>
  <c r="Q88" i="10"/>
  <c r="Q109" i="10"/>
  <c r="Q41" i="10"/>
  <c r="Q107" i="10"/>
  <c r="Q76" i="10"/>
  <c r="Q78" i="10"/>
  <c r="Q125" i="10"/>
  <c r="Q85" i="10"/>
  <c r="Q79" i="10"/>
  <c r="Q11" i="10"/>
  <c r="Q43" i="10"/>
  <c r="Q13" i="10"/>
  <c r="Q67" i="10"/>
  <c r="Q45" i="10"/>
  <c r="R91" i="10"/>
  <c r="R29" i="10"/>
  <c r="R108" i="10"/>
  <c r="R89" i="10"/>
  <c r="R126" i="10"/>
  <c r="R86" i="10"/>
  <c r="R110" i="10"/>
  <c r="R88" i="10"/>
  <c r="R109" i="10"/>
  <c r="R41" i="10"/>
  <c r="R107" i="10"/>
  <c r="R76" i="10"/>
  <c r="R78" i="10"/>
  <c r="R125" i="10"/>
  <c r="R85" i="10"/>
  <c r="R79" i="10"/>
  <c r="R11" i="10"/>
  <c r="R43" i="10"/>
  <c r="R13" i="10"/>
  <c r="R67" i="10"/>
  <c r="R45" i="10"/>
  <c r="G111" i="10"/>
  <c r="G112" i="10"/>
  <c r="G30" i="10"/>
  <c r="G17" i="10"/>
  <c r="G16" i="10"/>
  <c r="G93" i="10"/>
  <c r="G127" i="10"/>
  <c r="G97" i="10"/>
  <c r="G47" i="10"/>
  <c r="G50" i="10"/>
  <c r="G49" i="10"/>
  <c r="G33" i="10"/>
  <c r="P111" i="10"/>
  <c r="P112" i="10"/>
  <c r="P30" i="10"/>
  <c r="P17" i="10"/>
  <c r="P16" i="10"/>
  <c r="P93" i="10"/>
  <c r="P127" i="10"/>
  <c r="P97" i="10"/>
  <c r="P47" i="10"/>
  <c r="P50" i="10"/>
  <c r="P49" i="10"/>
  <c r="P33" i="10"/>
  <c r="Q111" i="10"/>
  <c r="Q112" i="10"/>
  <c r="Q30" i="10"/>
  <c r="Q17" i="10"/>
  <c r="Q16" i="10"/>
  <c r="Q93" i="10"/>
  <c r="Q127" i="10"/>
  <c r="Q97" i="10"/>
  <c r="Q47" i="10"/>
  <c r="Q50" i="10"/>
  <c r="Q49" i="10"/>
  <c r="Q33" i="10"/>
  <c r="R111" i="10"/>
  <c r="R112" i="10"/>
  <c r="R30" i="10"/>
  <c r="R17" i="10"/>
  <c r="R16" i="10"/>
  <c r="R93" i="10"/>
  <c r="R127" i="10"/>
  <c r="R97" i="10"/>
  <c r="R47" i="10"/>
  <c r="R50" i="10"/>
  <c r="R49" i="10"/>
  <c r="R33" i="10"/>
  <c r="G31" i="10"/>
  <c r="G34" i="10"/>
  <c r="G114" i="10"/>
  <c r="G113" i="10"/>
  <c r="G32" i="10"/>
  <c r="G35" i="10"/>
  <c r="G116" i="10"/>
  <c r="G51" i="10"/>
  <c r="G36" i="10"/>
  <c r="G52" i="10"/>
  <c r="G37" i="10"/>
  <c r="G99" i="10"/>
  <c r="P31" i="10"/>
  <c r="P34" i="10"/>
  <c r="P114" i="10"/>
  <c r="P113" i="10"/>
  <c r="P32" i="10"/>
  <c r="P35" i="10"/>
  <c r="P116" i="10"/>
  <c r="P51" i="10"/>
  <c r="P37" i="10"/>
  <c r="P99" i="10"/>
  <c r="P36" i="10"/>
  <c r="P52" i="10"/>
  <c r="Q31" i="10"/>
  <c r="Q34" i="10"/>
  <c r="Q114" i="10"/>
  <c r="Q113" i="10"/>
  <c r="Q32" i="10"/>
  <c r="Q35" i="10"/>
  <c r="Q116" i="10"/>
  <c r="Q51" i="10"/>
  <c r="Q36" i="10"/>
  <c r="Q52" i="10"/>
  <c r="Q37" i="10"/>
  <c r="Q99" i="10"/>
  <c r="R31" i="10"/>
  <c r="R34" i="10"/>
  <c r="R114" i="10"/>
  <c r="R113" i="10"/>
  <c r="R32" i="10"/>
  <c r="R35" i="10"/>
  <c r="R116" i="10"/>
  <c r="R51" i="10"/>
  <c r="R36" i="10"/>
  <c r="R52" i="10"/>
  <c r="R37" i="10"/>
  <c r="R99" i="10"/>
  <c r="G117" i="10"/>
  <c r="G18" i="10"/>
  <c r="G118" i="10"/>
  <c r="G15" i="10"/>
  <c r="G68" i="10"/>
  <c r="G75" i="10"/>
  <c r="G69" i="10"/>
  <c r="G19" i="10"/>
  <c r="G81" i="10"/>
  <c r="G94" i="10"/>
  <c r="G38" i="10"/>
  <c r="G53" i="10"/>
  <c r="P117" i="10"/>
  <c r="P18" i="10"/>
  <c r="P118" i="10"/>
  <c r="P15" i="10"/>
  <c r="P68" i="10"/>
  <c r="P75" i="10"/>
  <c r="P69" i="10"/>
  <c r="P19" i="10"/>
  <c r="P81" i="10"/>
  <c r="P94" i="10"/>
  <c r="P38" i="10"/>
  <c r="P53" i="10"/>
  <c r="Q117" i="10"/>
  <c r="Q18" i="10"/>
  <c r="Q118" i="10"/>
  <c r="Q15" i="10"/>
  <c r="Q68" i="10"/>
  <c r="Q75" i="10"/>
  <c r="Q69" i="10"/>
  <c r="Q19" i="10"/>
  <c r="Q81" i="10"/>
  <c r="Q94" i="10"/>
  <c r="Q38" i="10"/>
  <c r="Q53" i="10"/>
  <c r="R117" i="10"/>
  <c r="R18" i="10"/>
  <c r="R118" i="10"/>
  <c r="R15" i="10"/>
  <c r="R68" i="10"/>
  <c r="R75" i="10"/>
  <c r="R69" i="10"/>
  <c r="R19" i="10"/>
  <c r="R81" i="10"/>
  <c r="R94" i="10"/>
  <c r="R38" i="10"/>
  <c r="R53" i="10"/>
  <c r="G82" i="10"/>
  <c r="G20" i="10"/>
  <c r="G54" i="10"/>
  <c r="G128" i="10"/>
  <c r="G95" i="10"/>
  <c r="G55" i="10"/>
  <c r="G100" i="10"/>
  <c r="G119" i="10"/>
  <c r="G101" i="10"/>
  <c r="G70" i="10"/>
  <c r="G71" i="10"/>
  <c r="G21" i="10"/>
  <c r="P82" i="10"/>
  <c r="P20" i="10"/>
  <c r="P54" i="10"/>
  <c r="P128" i="10"/>
  <c r="P95" i="10"/>
  <c r="P55" i="10"/>
  <c r="P100" i="10"/>
  <c r="P119" i="10"/>
  <c r="P70" i="10"/>
  <c r="P71" i="10"/>
  <c r="P21" i="10"/>
  <c r="P101" i="10"/>
  <c r="Q82" i="10"/>
  <c r="Q20" i="10"/>
  <c r="Q54" i="10"/>
  <c r="Q128" i="10"/>
  <c r="Q95" i="10"/>
  <c r="Q55" i="10"/>
  <c r="Q100" i="10"/>
  <c r="Q119" i="10"/>
  <c r="Q101" i="10"/>
  <c r="Q70" i="10"/>
  <c r="Q71" i="10"/>
  <c r="Q21" i="10"/>
  <c r="R82" i="10"/>
  <c r="R20" i="10"/>
  <c r="R54" i="10"/>
  <c r="R128" i="10"/>
  <c r="R95" i="10"/>
  <c r="R55" i="10"/>
  <c r="R100" i="10"/>
  <c r="R119" i="10"/>
  <c r="R101" i="10"/>
  <c r="R70" i="10"/>
  <c r="R71" i="10"/>
  <c r="R21" i="10"/>
  <c r="G56" i="10"/>
  <c r="G58" i="10"/>
  <c r="G40" i="10"/>
  <c r="G39" i="10"/>
  <c r="G120" i="10"/>
  <c r="G121" i="10"/>
  <c r="G102" i="10"/>
  <c r="G57" i="10"/>
  <c r="G60" i="10"/>
  <c r="G96" i="10"/>
  <c r="G22" i="10"/>
  <c r="G59" i="10"/>
  <c r="P40" i="10"/>
  <c r="P39" i="10"/>
  <c r="P120" i="10"/>
  <c r="P121" i="10"/>
  <c r="P102" i="10"/>
  <c r="P57" i="10"/>
  <c r="P60" i="10"/>
  <c r="P96" i="10"/>
  <c r="P22" i="10"/>
  <c r="P59" i="10"/>
  <c r="P56" i="10"/>
  <c r="P58" i="10"/>
  <c r="Q56" i="10"/>
  <c r="Q58" i="10"/>
  <c r="Q40" i="10"/>
  <c r="Q39" i="10"/>
  <c r="Q120" i="10"/>
  <c r="Q121" i="10"/>
  <c r="Q102" i="10"/>
  <c r="Q57" i="10"/>
  <c r="Q60" i="10"/>
  <c r="Q96" i="10"/>
  <c r="Q22" i="10"/>
  <c r="Q59" i="10"/>
  <c r="R56" i="10"/>
  <c r="R58" i="10"/>
  <c r="R40" i="10"/>
  <c r="R39" i="10"/>
  <c r="R120" i="10"/>
  <c r="R121" i="10"/>
  <c r="R102" i="10"/>
  <c r="R57" i="10"/>
  <c r="R60" i="10"/>
  <c r="R96" i="10"/>
  <c r="R22" i="10"/>
  <c r="R59" i="10"/>
  <c r="G130" i="10"/>
  <c r="P130" i="10"/>
  <c r="Q130" i="10"/>
  <c r="R130" i="10"/>
  <c r="G83" i="10"/>
  <c r="P83" i="10"/>
  <c r="Q83" i="10"/>
  <c r="R83" i="10"/>
  <c r="G64" i="10"/>
  <c r="P64" i="10"/>
  <c r="Q64" i="10"/>
  <c r="R64" i="10"/>
  <c r="G106" i="10"/>
  <c r="P106" i="10"/>
  <c r="Q106" i="10"/>
  <c r="R106" i="10"/>
  <c r="G124" i="10"/>
  <c r="P124" i="10"/>
  <c r="Q124" i="10"/>
  <c r="R124" i="10"/>
  <c r="G63" i="10"/>
  <c r="P63" i="10"/>
  <c r="Q63" i="10"/>
  <c r="R63" i="10"/>
  <c r="G77" i="10"/>
  <c r="P77" i="10"/>
  <c r="Q77" i="10"/>
  <c r="R77" i="10"/>
  <c r="G122" i="10"/>
  <c r="P122" i="10"/>
  <c r="Q122" i="10"/>
  <c r="R122" i="10"/>
  <c r="G105" i="10"/>
  <c r="P105" i="10"/>
  <c r="Q105" i="10"/>
  <c r="R105" i="10"/>
  <c r="G123" i="10"/>
  <c r="P123" i="10"/>
  <c r="Q123" i="10"/>
  <c r="R123" i="10"/>
  <c r="G104" i="10"/>
  <c r="P104" i="10"/>
  <c r="Q104" i="10"/>
  <c r="R104" i="10"/>
  <c r="H121" i="2" l="1"/>
  <c r="H122" i="2"/>
  <c r="H123" i="2"/>
  <c r="G74" i="2" l="1"/>
  <c r="I74" i="2"/>
  <c r="P74" i="2" s="1"/>
  <c r="Q74" i="2"/>
  <c r="R74" i="2"/>
  <c r="H158" i="2" l="1"/>
  <c r="H136" i="2"/>
  <c r="H134" i="2"/>
  <c r="H147" i="2"/>
  <c r="H148" i="2"/>
  <c r="H151" i="2"/>
  <c r="J158" i="2"/>
  <c r="J136" i="2"/>
  <c r="J134" i="2"/>
  <c r="J147" i="2"/>
  <c r="J148" i="2"/>
  <c r="J151" i="2"/>
  <c r="K158" i="2"/>
  <c r="K136" i="2"/>
  <c r="K134" i="2"/>
  <c r="K147" i="2"/>
  <c r="K148" i="2"/>
  <c r="K151" i="2"/>
  <c r="H152" i="2"/>
  <c r="H141" i="2"/>
  <c r="H142" i="2"/>
  <c r="H153" i="2"/>
  <c r="H154" i="2"/>
  <c r="H155" i="2"/>
  <c r="J152" i="2"/>
  <c r="J141" i="2"/>
  <c r="J142" i="2"/>
  <c r="J153" i="2"/>
  <c r="J154" i="2"/>
  <c r="J155" i="2"/>
  <c r="K152" i="2"/>
  <c r="K141" i="2"/>
  <c r="K142" i="2"/>
  <c r="K153" i="2"/>
  <c r="K154" i="2"/>
  <c r="K155" i="2"/>
  <c r="P67" i="2"/>
  <c r="G20" i="2"/>
  <c r="G107" i="2"/>
  <c r="G65" i="2"/>
  <c r="G94" i="2"/>
  <c r="G44" i="2"/>
  <c r="I20" i="2"/>
  <c r="P20" i="2" s="1"/>
  <c r="I107" i="2"/>
  <c r="P107" i="2" s="1"/>
  <c r="P65" i="2"/>
  <c r="I94" i="2"/>
  <c r="P94" i="2" s="1"/>
  <c r="P44" i="2"/>
  <c r="Q20" i="2"/>
  <c r="Q107" i="2"/>
  <c r="Q65" i="2"/>
  <c r="Q94" i="2"/>
  <c r="Q44" i="2"/>
  <c r="R20" i="2"/>
  <c r="R107" i="2"/>
  <c r="R65" i="2"/>
  <c r="R94" i="2"/>
  <c r="R44" i="2"/>
  <c r="G105" i="2"/>
  <c r="P105" i="2"/>
  <c r="Q105" i="2"/>
  <c r="R105" i="2"/>
  <c r="G67" i="2"/>
  <c r="Q67" i="2"/>
  <c r="R67" i="2"/>
  <c r="G76" i="2"/>
  <c r="I76" i="2"/>
  <c r="P76" i="2" s="1"/>
  <c r="Q76" i="2"/>
  <c r="R76" i="2"/>
  <c r="G15" i="2"/>
  <c r="P15" i="2"/>
  <c r="Q15" i="2"/>
  <c r="R15" i="2"/>
  <c r="G38" i="2"/>
  <c r="I38" i="2"/>
  <c r="P38" i="2" s="1"/>
  <c r="Q38" i="2"/>
  <c r="R38" i="2"/>
  <c r="G47" i="2"/>
  <c r="P47" i="2"/>
  <c r="Q47" i="2"/>
  <c r="R47" i="2"/>
  <c r="G91" i="2"/>
  <c r="I91" i="2"/>
  <c r="P91" i="2" s="1"/>
  <c r="Q91" i="2"/>
  <c r="R91" i="2"/>
  <c r="G111" i="2"/>
  <c r="P111" i="2"/>
  <c r="Q111" i="2"/>
  <c r="R111" i="2"/>
  <c r="G71" i="2"/>
  <c r="I71" i="2"/>
  <c r="P71" i="2" s="1"/>
  <c r="Q71" i="2"/>
  <c r="R71" i="2"/>
  <c r="G106" i="2"/>
  <c r="I106" i="2"/>
  <c r="P106" i="2" s="1"/>
  <c r="Q106" i="2"/>
  <c r="R106" i="2"/>
  <c r="G72" i="2"/>
  <c r="I72" i="2"/>
  <c r="P72" i="2" s="1"/>
  <c r="Q72" i="2"/>
  <c r="R72" i="2"/>
  <c r="G51" i="2"/>
  <c r="I51" i="2"/>
  <c r="P51" i="2" s="1"/>
  <c r="Q51" i="2"/>
  <c r="R51" i="2"/>
  <c r="G68" i="2"/>
  <c r="P68" i="2"/>
  <c r="Q68" i="2"/>
  <c r="R68" i="2"/>
  <c r="G45" i="2"/>
  <c r="I45" i="2"/>
  <c r="P45" i="2" s="1"/>
  <c r="Q45" i="2"/>
  <c r="R45" i="2"/>
  <c r="G48" i="2"/>
  <c r="I48" i="2"/>
  <c r="P48" i="2" s="1"/>
  <c r="Q48" i="2"/>
  <c r="R48" i="2"/>
  <c r="H156" i="2"/>
  <c r="H130" i="2"/>
  <c r="H131" i="2"/>
  <c r="H137" i="2"/>
  <c r="H138" i="2"/>
  <c r="H139" i="2"/>
  <c r="H132" i="2"/>
  <c r="H149" i="2"/>
  <c r="H133" i="2"/>
  <c r="J156" i="2"/>
  <c r="J130" i="2"/>
  <c r="J131" i="2"/>
  <c r="J137" i="2"/>
  <c r="J138" i="2"/>
  <c r="J139" i="2"/>
  <c r="J132" i="2"/>
  <c r="J149" i="2"/>
  <c r="J133" i="2"/>
  <c r="K156" i="2"/>
  <c r="K130" i="2"/>
  <c r="K131" i="2"/>
  <c r="K137" i="2"/>
  <c r="K138" i="2"/>
  <c r="K139" i="2"/>
  <c r="K132" i="2"/>
  <c r="K149" i="2"/>
  <c r="K133" i="2"/>
  <c r="H143" i="2"/>
  <c r="H144" i="2"/>
  <c r="H140" i="2"/>
  <c r="H157" i="2"/>
  <c r="H146" i="2"/>
  <c r="H145" i="2"/>
  <c r="J143" i="2"/>
  <c r="J144" i="2"/>
  <c r="J140" i="2"/>
  <c r="J157" i="2"/>
  <c r="J146" i="2"/>
  <c r="J145" i="2"/>
  <c r="K143" i="2"/>
  <c r="K144" i="2"/>
  <c r="K140" i="2"/>
  <c r="K157" i="2"/>
  <c r="K146" i="2"/>
  <c r="K145" i="2"/>
  <c r="H150" i="2"/>
  <c r="J150" i="2"/>
  <c r="K150" i="2"/>
  <c r="H135" i="2"/>
  <c r="J135" i="2"/>
  <c r="K135" i="2"/>
  <c r="G54" i="2"/>
  <c r="I54" i="2"/>
  <c r="P54" i="2" s="1"/>
  <c r="Q54" i="2"/>
  <c r="R54" i="2"/>
  <c r="G93" i="2"/>
  <c r="I93" i="2"/>
  <c r="P93" i="2" s="1"/>
  <c r="Q93" i="2"/>
  <c r="R93" i="2"/>
  <c r="G84" i="2"/>
  <c r="I84" i="2"/>
  <c r="P84" i="2" s="1"/>
  <c r="Q84" i="2"/>
  <c r="R84" i="2"/>
  <c r="G25" i="2"/>
  <c r="P25" i="2"/>
  <c r="Q25" i="2"/>
  <c r="R25" i="2"/>
  <c r="G49" i="2"/>
  <c r="I49" i="2"/>
  <c r="P49" i="2" s="1"/>
  <c r="Q49" i="2"/>
  <c r="R49" i="2"/>
  <c r="G14" i="2"/>
  <c r="I14" i="2"/>
  <c r="P14" i="2" s="1"/>
  <c r="Q14" i="2"/>
  <c r="R14" i="2"/>
  <c r="G97" i="2"/>
  <c r="I97" i="2"/>
  <c r="P97" i="2" s="1"/>
  <c r="Q97" i="2"/>
  <c r="R97" i="2"/>
  <c r="G70" i="2"/>
  <c r="P70" i="2"/>
  <c r="Q70" i="2"/>
  <c r="R70" i="2"/>
  <c r="G28" i="2"/>
  <c r="I28" i="2"/>
  <c r="P28" i="2" s="1"/>
  <c r="Q28" i="2"/>
  <c r="R28" i="2"/>
  <c r="G89" i="2"/>
  <c r="P89" i="2"/>
  <c r="Q89" i="2"/>
  <c r="R89" i="2"/>
  <c r="G19" i="2"/>
  <c r="P19" i="2"/>
  <c r="Q19" i="2"/>
  <c r="R19" i="2"/>
  <c r="G46" i="2"/>
  <c r="P46" i="2"/>
  <c r="Q46" i="2"/>
  <c r="R46" i="2"/>
  <c r="G10" i="2"/>
  <c r="I10" i="2"/>
  <c r="P10" i="2" s="1"/>
  <c r="Q10" i="2"/>
  <c r="R10" i="2"/>
  <c r="G24" i="2"/>
  <c r="P24" i="2"/>
  <c r="Q24" i="2"/>
  <c r="R24" i="2"/>
  <c r="G21" i="2"/>
  <c r="I21" i="2"/>
  <c r="P21" i="2" s="1"/>
  <c r="Q21" i="2"/>
  <c r="R21" i="2"/>
  <c r="G32" i="2"/>
  <c r="I32" i="2"/>
  <c r="P32" i="2" s="1"/>
  <c r="Q32" i="2"/>
  <c r="R32" i="2"/>
  <c r="G113" i="2"/>
  <c r="I113" i="2"/>
  <c r="P113" i="2" s="1"/>
  <c r="Q113" i="2"/>
  <c r="R113" i="2"/>
  <c r="G64" i="2"/>
  <c r="P64" i="2"/>
  <c r="Q64" i="2"/>
  <c r="R64" i="2"/>
  <c r="G110" i="2"/>
  <c r="I110" i="2"/>
  <c r="P110" i="2" s="1"/>
  <c r="Q110" i="2"/>
  <c r="R110" i="2"/>
  <c r="G30" i="2"/>
  <c r="I30" i="2"/>
  <c r="P30" i="2" s="1"/>
  <c r="Q30" i="2"/>
  <c r="R30" i="2"/>
  <c r="G37" i="2"/>
  <c r="P37" i="2"/>
  <c r="Q37" i="2"/>
  <c r="R37" i="2"/>
  <c r="G109" i="2"/>
  <c r="P109" i="2"/>
  <c r="Q109" i="2"/>
  <c r="R109" i="2"/>
  <c r="G104" i="2"/>
  <c r="P104" i="2"/>
  <c r="Q104" i="2"/>
  <c r="R104" i="2"/>
  <c r="G73" i="2"/>
  <c r="P73" i="2"/>
  <c r="Q73" i="2"/>
  <c r="R73" i="2"/>
  <c r="G108" i="2"/>
  <c r="I108" i="2"/>
  <c r="P108" i="2" s="1"/>
  <c r="Q108" i="2"/>
  <c r="R108" i="2"/>
  <c r="G63" i="2"/>
  <c r="P63" i="2"/>
  <c r="Q63" i="2"/>
  <c r="R63" i="2"/>
  <c r="G85" i="2"/>
  <c r="P85" i="2"/>
  <c r="Q85" i="2"/>
  <c r="R85" i="2"/>
  <c r="G77" i="2"/>
  <c r="I77" i="2"/>
  <c r="P77" i="2" s="1"/>
  <c r="Q77" i="2"/>
  <c r="R77" i="2"/>
  <c r="G102" i="2"/>
  <c r="I102" i="2"/>
  <c r="P102" i="2" s="1"/>
  <c r="Q102" i="2"/>
  <c r="R102" i="2"/>
  <c r="G31" i="2"/>
  <c r="I31" i="2"/>
  <c r="P31" i="2" s="1"/>
  <c r="Q31" i="2"/>
  <c r="R31" i="2"/>
  <c r="G78" i="2"/>
  <c r="I78" i="2"/>
  <c r="P78" i="2" s="1"/>
  <c r="Q78" i="2"/>
  <c r="R78" i="2"/>
  <c r="G50" i="2"/>
  <c r="P50" i="2"/>
  <c r="Q50" i="2"/>
  <c r="R50" i="2"/>
  <c r="G96" i="2"/>
  <c r="I96" i="2"/>
  <c r="P96" i="2" s="1"/>
  <c r="Q96" i="2"/>
  <c r="R96" i="2"/>
  <c r="G11" i="2"/>
  <c r="I11" i="2"/>
  <c r="P11" i="2" s="1"/>
  <c r="Q11" i="2"/>
  <c r="R11" i="2"/>
  <c r="G33" i="2"/>
  <c r="I33" i="2"/>
  <c r="P33" i="2" s="1"/>
  <c r="Q33" i="2"/>
  <c r="R33" i="2"/>
  <c r="G90" i="2"/>
  <c r="P90" i="2"/>
  <c r="Q90" i="2"/>
  <c r="R90" i="2"/>
  <c r="G29" i="2"/>
  <c r="P29" i="2"/>
  <c r="Q29" i="2"/>
  <c r="R29" i="2"/>
  <c r="G18" i="2"/>
  <c r="I18" i="2"/>
  <c r="P18" i="2" s="1"/>
  <c r="Q18" i="2"/>
  <c r="R18" i="2"/>
  <c r="G95" i="2"/>
  <c r="I95" i="2"/>
  <c r="P95" i="2" s="1"/>
  <c r="Q95" i="2"/>
  <c r="R95" i="2"/>
  <c r="G100" i="2"/>
  <c r="I100" i="2"/>
  <c r="P100" i="2" s="1"/>
  <c r="Q100" i="2"/>
  <c r="R100" i="2"/>
  <c r="G26" i="2"/>
  <c r="P26" i="2"/>
  <c r="Q26" i="2"/>
  <c r="R26" i="2"/>
  <c r="G55" i="2"/>
  <c r="P55" i="2"/>
  <c r="Q55" i="2"/>
  <c r="R55" i="2"/>
  <c r="G81" i="2"/>
  <c r="I81" i="2"/>
  <c r="P81" i="2" s="1"/>
  <c r="Q81" i="2"/>
  <c r="R81" i="2"/>
  <c r="G79" i="2"/>
  <c r="I79" i="2"/>
  <c r="P79" i="2" s="1"/>
  <c r="Q79" i="2"/>
  <c r="R79" i="2"/>
  <c r="G59" i="2"/>
  <c r="I59" i="2"/>
  <c r="P59" i="2" s="1"/>
  <c r="Q59" i="2"/>
  <c r="R59" i="2"/>
  <c r="G36" i="2"/>
  <c r="I36" i="2"/>
  <c r="P36" i="2" s="1"/>
  <c r="Q36" i="2"/>
  <c r="R36" i="2"/>
  <c r="G60" i="2"/>
  <c r="P60" i="2"/>
  <c r="Q60" i="2"/>
  <c r="R60" i="2"/>
  <c r="G101" i="2"/>
  <c r="I101" i="2"/>
  <c r="P101" i="2" s="1"/>
  <c r="Q101" i="2"/>
  <c r="R101" i="2"/>
  <c r="G86" i="2"/>
  <c r="I86" i="2"/>
  <c r="P86" i="2" s="1"/>
  <c r="Q86" i="2"/>
  <c r="R86" i="2"/>
  <c r="G88" i="2"/>
  <c r="P88" i="2"/>
  <c r="Q88" i="2"/>
  <c r="R88" i="2"/>
  <c r="G80" i="2"/>
  <c r="I80" i="2"/>
  <c r="P80" i="2" s="1"/>
  <c r="Q80" i="2"/>
  <c r="R80" i="2"/>
  <c r="G52" i="2"/>
  <c r="P52" i="2"/>
  <c r="Q52" i="2"/>
  <c r="R52" i="2"/>
  <c r="G9" i="2"/>
  <c r="I9" i="2"/>
  <c r="P9" i="2" s="1"/>
  <c r="Q9" i="2"/>
  <c r="R9" i="2"/>
  <c r="G99" i="2"/>
  <c r="I99" i="2"/>
  <c r="P99" i="2" s="1"/>
  <c r="Q99" i="2"/>
  <c r="R99" i="2"/>
  <c r="G34" i="2"/>
  <c r="P34" i="2"/>
  <c r="Q34" i="2"/>
  <c r="R34" i="2"/>
  <c r="G83" i="2"/>
  <c r="P83" i="2"/>
  <c r="Q83" i="2"/>
  <c r="R83" i="2"/>
  <c r="G40" i="2"/>
  <c r="P40" i="2"/>
  <c r="Q40" i="2"/>
  <c r="R40" i="2"/>
  <c r="G39" i="2"/>
  <c r="P39" i="2"/>
  <c r="Q39" i="2"/>
  <c r="R39" i="2"/>
  <c r="G13" i="2"/>
  <c r="P13" i="2"/>
  <c r="Q13" i="2"/>
  <c r="R13" i="2"/>
  <c r="G87" i="2"/>
  <c r="I87" i="2"/>
  <c r="P87" i="2" s="1"/>
  <c r="Q87" i="2"/>
  <c r="R87" i="2"/>
  <c r="G56" i="2"/>
  <c r="P56" i="2"/>
  <c r="Q56" i="2"/>
  <c r="R56" i="2"/>
  <c r="G103" i="2"/>
  <c r="P103" i="2"/>
  <c r="Q103" i="2"/>
  <c r="R103" i="2"/>
  <c r="G22" i="2"/>
  <c r="I22" i="2"/>
  <c r="P22" i="2" s="1"/>
  <c r="Q22" i="2"/>
  <c r="R22" i="2"/>
  <c r="G57" i="2"/>
  <c r="I57" i="2"/>
  <c r="P57" i="2" s="1"/>
  <c r="Q57" i="2"/>
  <c r="R57" i="2"/>
  <c r="G42" i="2"/>
  <c r="I42" i="2"/>
  <c r="P42" i="2" s="1"/>
  <c r="Q42" i="2"/>
  <c r="R42" i="2"/>
  <c r="G62" i="2"/>
  <c r="P62" i="2"/>
  <c r="Q62" i="2"/>
  <c r="R62" i="2"/>
  <c r="G112" i="2"/>
  <c r="P112" i="2"/>
  <c r="Q112" i="2"/>
  <c r="R112" i="2"/>
  <c r="G43" i="2"/>
  <c r="P43" i="2"/>
  <c r="Q43" i="2"/>
  <c r="R43" i="2"/>
  <c r="G82" i="2"/>
  <c r="I82" i="2"/>
  <c r="P82" i="2" s="1"/>
  <c r="Q82" i="2"/>
  <c r="R82" i="2"/>
  <c r="G198" i="20" l="1"/>
  <c r="G199" i="20"/>
  <c r="G200" i="20"/>
  <c r="G201" i="20"/>
  <c r="G202" i="20"/>
  <c r="G395" i="21"/>
  <c r="G396" i="21"/>
  <c r="G397" i="21"/>
  <c r="G398" i="21"/>
  <c r="G399" i="21"/>
  <c r="G211" i="19"/>
  <c r="G212" i="19"/>
  <c r="G213" i="19"/>
  <c r="G214" i="19"/>
  <c r="G208" i="18"/>
  <c r="G209" i="18"/>
  <c r="G210" i="18"/>
  <c r="G211" i="18"/>
  <c r="G212" i="18"/>
  <c r="G208" i="15"/>
  <c r="G209" i="15"/>
  <c r="G210" i="15"/>
  <c r="G211" i="15"/>
  <c r="G212" i="15"/>
  <c r="G205" i="13"/>
  <c r="G206" i="13"/>
  <c r="G207" i="13"/>
  <c r="G208" i="13"/>
  <c r="G209" i="13"/>
  <c r="G561" i="16"/>
  <c r="G562" i="16"/>
  <c r="G563" i="16"/>
  <c r="G564" i="16"/>
  <c r="G565" i="16"/>
  <c r="G530" i="12"/>
  <c r="G531" i="12"/>
  <c r="G532" i="12"/>
  <c r="G533" i="12"/>
  <c r="G534" i="12"/>
  <c r="G214" i="11"/>
  <c r="G215" i="11"/>
  <c r="G216" i="11"/>
  <c r="G217" i="11"/>
  <c r="G213" i="11"/>
  <c r="G204" i="2"/>
  <c r="G205" i="2"/>
  <c r="G206" i="2"/>
  <c r="G207" i="2"/>
  <c r="G203" i="2"/>
  <c r="G479" i="10"/>
  <c r="G476" i="10"/>
  <c r="G477" i="10"/>
  <c r="G478" i="10"/>
  <c r="G475" i="10"/>
  <c r="G246" i="10"/>
  <c r="G247" i="10"/>
  <c r="G248" i="10"/>
  <c r="G249" i="10"/>
  <c r="G250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B18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164" i="20" s="1"/>
  <c r="N1" i="21"/>
  <c r="K144" i="21" s="1"/>
  <c r="N1" i="19"/>
  <c r="K176" i="19" s="1"/>
  <c r="N1" i="18"/>
  <c r="K174" i="18" s="1"/>
  <c r="N1" i="15"/>
  <c r="K174" i="15" s="1"/>
  <c r="N1" i="13"/>
  <c r="K173" i="13" s="1"/>
  <c r="N1" i="16"/>
  <c r="K170" i="16" s="1"/>
  <c r="N1" i="12"/>
  <c r="K194" i="12" s="1"/>
  <c r="N1" i="11"/>
  <c r="K179" i="11" s="1"/>
  <c r="G1" i="20"/>
  <c r="G1" i="21"/>
  <c r="G1" i="19"/>
  <c r="G1" i="18"/>
  <c r="G1" i="15"/>
  <c r="G1" i="13"/>
  <c r="G1" i="16"/>
  <c r="G1" i="12"/>
  <c r="G1" i="11"/>
  <c r="G1" i="10"/>
  <c r="M392" i="21"/>
  <c r="K392" i="21"/>
  <c r="J392" i="21"/>
  <c r="I392" i="21"/>
  <c r="H392" i="21"/>
  <c r="L182" i="21"/>
  <c r="L181" i="21"/>
  <c r="L180" i="21"/>
  <c r="L179" i="21"/>
  <c r="L178" i="21"/>
  <c r="L159" i="21"/>
  <c r="G159" i="21"/>
  <c r="M154" i="21"/>
  <c r="K154" i="21"/>
  <c r="J154" i="21"/>
  <c r="H154" i="21"/>
  <c r="I153" i="21"/>
  <c r="L153" i="21" s="1"/>
  <c r="G153" i="21"/>
  <c r="I148" i="21"/>
  <c r="G148" i="21"/>
  <c r="K135" i="21"/>
  <c r="J135" i="21"/>
  <c r="H135" i="21"/>
  <c r="K134" i="21"/>
  <c r="J134" i="21"/>
  <c r="H134" i="21"/>
  <c r="K139" i="21"/>
  <c r="J139" i="21"/>
  <c r="H139" i="21"/>
  <c r="M112" i="21"/>
  <c r="K112" i="21"/>
  <c r="J112" i="21"/>
  <c r="I112" i="21"/>
  <c r="H112" i="21"/>
  <c r="O100" i="21"/>
  <c r="N100" i="21"/>
  <c r="M100" i="21"/>
  <c r="L100" i="21"/>
  <c r="K100" i="21"/>
  <c r="J100" i="21"/>
  <c r="H100" i="21"/>
  <c r="R92" i="21"/>
  <c r="Q92" i="21"/>
  <c r="P92" i="21"/>
  <c r="R33" i="21"/>
  <c r="Q33" i="21"/>
  <c r="P33" i="21"/>
  <c r="R93" i="21"/>
  <c r="Q93" i="21"/>
  <c r="P93" i="21"/>
  <c r="M188" i="20"/>
  <c r="K188" i="20"/>
  <c r="J188" i="20"/>
  <c r="I188" i="20"/>
  <c r="H188" i="20"/>
  <c r="L187" i="20"/>
  <c r="L186" i="20"/>
  <c r="L185" i="20"/>
  <c r="L184" i="20"/>
  <c r="L183" i="20"/>
  <c r="L182" i="20"/>
  <c r="G182" i="20"/>
  <c r="M177" i="20"/>
  <c r="K177" i="20"/>
  <c r="J177" i="20"/>
  <c r="H177" i="20"/>
  <c r="I176" i="20"/>
  <c r="L176" i="20" s="1"/>
  <c r="G176" i="20"/>
  <c r="I175" i="20"/>
  <c r="L175" i="20" s="1"/>
  <c r="G175" i="20"/>
  <c r="I174" i="20"/>
  <c r="L174" i="20" s="1"/>
  <c r="G174" i="20"/>
  <c r="I173" i="20"/>
  <c r="L173" i="20" s="1"/>
  <c r="G173" i="20"/>
  <c r="I172" i="20"/>
  <c r="L172" i="20" s="1"/>
  <c r="G172" i="20"/>
  <c r="I171" i="20"/>
  <c r="L171" i="20" s="1"/>
  <c r="G171" i="20"/>
  <c r="I170" i="20"/>
  <c r="L170" i="20" s="1"/>
  <c r="G170" i="20"/>
  <c r="I169" i="20"/>
  <c r="L169" i="20" s="1"/>
  <c r="G169" i="20"/>
  <c r="I168" i="20"/>
  <c r="G168" i="20"/>
  <c r="I159" i="20"/>
  <c r="K158" i="20"/>
  <c r="J158" i="20"/>
  <c r="H158" i="20"/>
  <c r="K157" i="20"/>
  <c r="J157" i="20"/>
  <c r="H157" i="20"/>
  <c r="K153" i="20"/>
  <c r="J153" i="20"/>
  <c r="H153" i="20"/>
  <c r="L129" i="20"/>
  <c r="K129" i="20"/>
  <c r="I129" i="20"/>
  <c r="G129" i="20"/>
  <c r="O119" i="20"/>
  <c r="N119" i="20"/>
  <c r="M119" i="20"/>
  <c r="L119" i="20"/>
  <c r="H119" i="20"/>
  <c r="R59" i="20"/>
  <c r="Q59" i="20"/>
  <c r="I59" i="20"/>
  <c r="I119" i="20" s="1"/>
  <c r="G59" i="20"/>
  <c r="R72" i="20"/>
  <c r="Q72" i="20"/>
  <c r="G72" i="20"/>
  <c r="M200" i="19"/>
  <c r="K200" i="19"/>
  <c r="J200" i="19"/>
  <c r="I200" i="19"/>
  <c r="H200" i="19"/>
  <c r="L199" i="19"/>
  <c r="L198" i="19"/>
  <c r="L197" i="19"/>
  <c r="L196" i="19"/>
  <c r="L195" i="19"/>
  <c r="L194" i="19"/>
  <c r="G194" i="19"/>
  <c r="M189" i="19"/>
  <c r="K189" i="19"/>
  <c r="J189" i="19"/>
  <c r="H189" i="19"/>
  <c r="I188" i="19"/>
  <c r="L188" i="19" s="1"/>
  <c r="G188" i="19"/>
  <c r="I187" i="19"/>
  <c r="L187" i="19" s="1"/>
  <c r="G187" i="19"/>
  <c r="I186" i="19"/>
  <c r="L186" i="19" s="1"/>
  <c r="G186" i="19"/>
  <c r="I185" i="19"/>
  <c r="L185" i="19" s="1"/>
  <c r="G185" i="19"/>
  <c r="I184" i="19"/>
  <c r="L184" i="19" s="1"/>
  <c r="G184" i="19"/>
  <c r="I183" i="19"/>
  <c r="L183" i="19" s="1"/>
  <c r="G183" i="19"/>
  <c r="I182" i="19"/>
  <c r="L182" i="19" s="1"/>
  <c r="G182" i="19"/>
  <c r="I181" i="19"/>
  <c r="L181" i="19" s="1"/>
  <c r="G181" i="19"/>
  <c r="I180" i="19"/>
  <c r="L180" i="19" s="1"/>
  <c r="G180" i="19"/>
  <c r="I170" i="19"/>
  <c r="K158" i="19"/>
  <c r="J158" i="19"/>
  <c r="H158" i="19"/>
  <c r="L144" i="19"/>
  <c r="K144" i="19"/>
  <c r="J144" i="19"/>
  <c r="I144" i="19"/>
  <c r="H144" i="19"/>
  <c r="G144" i="19"/>
  <c r="O133" i="19"/>
  <c r="N133" i="19"/>
  <c r="M133" i="19"/>
  <c r="L133" i="19"/>
  <c r="H133" i="19"/>
  <c r="R98" i="19"/>
  <c r="Q98" i="19"/>
  <c r="P98" i="19"/>
  <c r="R100" i="19"/>
  <c r="Q100" i="19"/>
  <c r="P100" i="19"/>
  <c r="M198" i="18"/>
  <c r="K198" i="18"/>
  <c r="J198" i="18"/>
  <c r="I198" i="18"/>
  <c r="H198" i="18"/>
  <c r="L197" i="18"/>
  <c r="L196" i="18"/>
  <c r="L195" i="18"/>
  <c r="L194" i="18"/>
  <c r="L193" i="18"/>
  <c r="L192" i="18"/>
  <c r="G192" i="18"/>
  <c r="M187" i="18"/>
  <c r="K187" i="18"/>
  <c r="J187" i="18"/>
  <c r="H187" i="18"/>
  <c r="I186" i="18"/>
  <c r="L186" i="18" s="1"/>
  <c r="G186" i="18"/>
  <c r="I185" i="18"/>
  <c r="L185" i="18" s="1"/>
  <c r="G185" i="18"/>
  <c r="I184" i="18"/>
  <c r="L184" i="18" s="1"/>
  <c r="G184" i="18"/>
  <c r="I183" i="18"/>
  <c r="L183" i="18" s="1"/>
  <c r="G183" i="18"/>
  <c r="I182" i="18"/>
  <c r="L182" i="18" s="1"/>
  <c r="G182" i="18"/>
  <c r="I181" i="18"/>
  <c r="L181" i="18" s="1"/>
  <c r="G181" i="18"/>
  <c r="I180" i="18"/>
  <c r="L180" i="18" s="1"/>
  <c r="G180" i="18"/>
  <c r="I179" i="18"/>
  <c r="L179" i="18" s="1"/>
  <c r="G179" i="18"/>
  <c r="I178" i="18"/>
  <c r="G178" i="18"/>
  <c r="I168" i="18"/>
  <c r="K140" i="18"/>
  <c r="J140" i="18"/>
  <c r="H140" i="18"/>
  <c r="K147" i="18"/>
  <c r="J147" i="18"/>
  <c r="H147" i="18"/>
  <c r="L132" i="18"/>
  <c r="K132" i="18"/>
  <c r="J132" i="18"/>
  <c r="I132" i="18"/>
  <c r="H132" i="18"/>
  <c r="G132" i="18"/>
  <c r="O122" i="18"/>
  <c r="N122" i="18"/>
  <c r="M122" i="18"/>
  <c r="L122" i="18"/>
  <c r="K122" i="18"/>
  <c r="J122" i="18"/>
  <c r="R83" i="18"/>
  <c r="Q83" i="18"/>
  <c r="P83" i="18"/>
  <c r="G83" i="18"/>
  <c r="R49" i="18"/>
  <c r="Q49" i="18"/>
  <c r="P49" i="18"/>
  <c r="G49" i="18"/>
  <c r="R92" i="18"/>
  <c r="Q92" i="18"/>
  <c r="P92" i="18"/>
  <c r="G92" i="18"/>
  <c r="R80" i="18"/>
  <c r="Q80" i="18"/>
  <c r="P80" i="18"/>
  <c r="G80" i="18"/>
  <c r="R113" i="18"/>
  <c r="Q113" i="18"/>
  <c r="P113" i="18"/>
  <c r="G113" i="18"/>
  <c r="R112" i="18"/>
  <c r="Q112" i="18"/>
  <c r="P112" i="18"/>
  <c r="G112" i="18"/>
  <c r="R48" i="18"/>
  <c r="Q48" i="18"/>
  <c r="P48" i="18"/>
  <c r="G48" i="18"/>
  <c r="R102" i="18"/>
  <c r="Q102" i="18"/>
  <c r="P102" i="18"/>
  <c r="G102" i="18"/>
  <c r="M558" i="16"/>
  <c r="K558" i="16"/>
  <c r="J558" i="16"/>
  <c r="I558" i="16"/>
  <c r="H558" i="16"/>
  <c r="L365" i="16"/>
  <c r="L364" i="16"/>
  <c r="L363" i="16"/>
  <c r="L362" i="16"/>
  <c r="L361" i="16"/>
  <c r="L239" i="16"/>
  <c r="G239" i="16"/>
  <c r="M234" i="16"/>
  <c r="K234" i="16"/>
  <c r="J234" i="16"/>
  <c r="H234" i="16"/>
  <c r="I233" i="16"/>
  <c r="L233" i="16" s="1"/>
  <c r="G233" i="16"/>
  <c r="I165" i="16"/>
  <c r="K146" i="16"/>
  <c r="J146" i="16"/>
  <c r="H146" i="16"/>
  <c r="K143" i="16"/>
  <c r="J143" i="16"/>
  <c r="H143" i="16"/>
  <c r="L127" i="16"/>
  <c r="K127" i="16"/>
  <c r="J127" i="16"/>
  <c r="I127" i="16"/>
  <c r="H127" i="16"/>
  <c r="G127" i="16"/>
  <c r="R52" i="16"/>
  <c r="Q52" i="16"/>
  <c r="P52" i="16"/>
  <c r="G52" i="16"/>
  <c r="R54" i="16"/>
  <c r="Q54" i="16"/>
  <c r="P54" i="16"/>
  <c r="G54" i="16"/>
  <c r="R40" i="16"/>
  <c r="Q40" i="16"/>
  <c r="P40" i="16"/>
  <c r="G40" i="16"/>
  <c r="R46" i="16"/>
  <c r="Q46" i="16"/>
  <c r="P46" i="16"/>
  <c r="G46" i="16"/>
  <c r="R78" i="16"/>
  <c r="Q78" i="16"/>
  <c r="P78" i="16"/>
  <c r="G78" i="16"/>
  <c r="R33" i="16"/>
  <c r="Q33" i="16"/>
  <c r="P33" i="16"/>
  <c r="G33" i="16"/>
  <c r="R63" i="16"/>
  <c r="Q63" i="16"/>
  <c r="P63" i="16"/>
  <c r="G63" i="16"/>
  <c r="R79" i="16"/>
  <c r="Q79" i="16"/>
  <c r="G79" i="16"/>
  <c r="M198" i="15"/>
  <c r="K198" i="15"/>
  <c r="J198" i="15"/>
  <c r="I198" i="15"/>
  <c r="H198" i="15"/>
  <c r="L197" i="15"/>
  <c r="L196" i="15"/>
  <c r="L195" i="15"/>
  <c r="L194" i="15"/>
  <c r="L193" i="15"/>
  <c r="L192" i="15"/>
  <c r="G192" i="15"/>
  <c r="M187" i="15"/>
  <c r="K187" i="15"/>
  <c r="J187" i="15"/>
  <c r="H187" i="15"/>
  <c r="I186" i="15"/>
  <c r="L186" i="15" s="1"/>
  <c r="G186" i="15"/>
  <c r="I185" i="15"/>
  <c r="L185" i="15" s="1"/>
  <c r="G185" i="15"/>
  <c r="I184" i="15"/>
  <c r="L184" i="15" s="1"/>
  <c r="G184" i="15"/>
  <c r="I183" i="15"/>
  <c r="L183" i="15" s="1"/>
  <c r="G183" i="15"/>
  <c r="I182" i="15"/>
  <c r="L182" i="15" s="1"/>
  <c r="G182" i="15"/>
  <c r="I181" i="15"/>
  <c r="L181" i="15" s="1"/>
  <c r="G181" i="15"/>
  <c r="I180" i="15"/>
  <c r="L180" i="15" s="1"/>
  <c r="G180" i="15"/>
  <c r="I179" i="15"/>
  <c r="L179" i="15" s="1"/>
  <c r="G179" i="15"/>
  <c r="I178" i="15"/>
  <c r="G178" i="15"/>
  <c r="I170" i="15"/>
  <c r="M128" i="15"/>
  <c r="L128" i="15"/>
  <c r="K128" i="15"/>
  <c r="J128" i="15"/>
  <c r="I128" i="15"/>
  <c r="H128" i="15"/>
  <c r="O118" i="15"/>
  <c r="N118" i="15"/>
  <c r="M118" i="15"/>
  <c r="L118" i="15"/>
  <c r="K118" i="15"/>
  <c r="J118" i="15"/>
  <c r="H118" i="15"/>
  <c r="M195" i="13"/>
  <c r="K195" i="13"/>
  <c r="J195" i="13"/>
  <c r="I195" i="13"/>
  <c r="H195" i="13"/>
  <c r="L194" i="13"/>
  <c r="L193" i="13"/>
  <c r="L192" i="13"/>
  <c r="L191" i="13"/>
  <c r="L190" i="13"/>
  <c r="L189" i="13"/>
  <c r="G189" i="13"/>
  <c r="M184" i="13"/>
  <c r="K184" i="13"/>
  <c r="J184" i="13"/>
  <c r="H184" i="13"/>
  <c r="I183" i="13"/>
  <c r="L183" i="13" s="1"/>
  <c r="G183" i="13"/>
  <c r="I182" i="13"/>
  <c r="L182" i="13" s="1"/>
  <c r="G182" i="13"/>
  <c r="I177" i="13"/>
  <c r="G177" i="13"/>
  <c r="I167" i="13"/>
  <c r="L126" i="13"/>
  <c r="K126" i="13"/>
  <c r="J126" i="13"/>
  <c r="G126" i="13"/>
  <c r="O113" i="13"/>
  <c r="N113" i="13"/>
  <c r="M113" i="13"/>
  <c r="L113" i="13"/>
  <c r="K113" i="13"/>
  <c r="J113" i="13"/>
  <c r="H113" i="13"/>
  <c r="R27" i="13"/>
  <c r="Q27" i="13"/>
  <c r="P27" i="13"/>
  <c r="G27" i="13"/>
  <c r="R15" i="13"/>
  <c r="Q15" i="13"/>
  <c r="P15" i="13"/>
  <c r="G15" i="13"/>
  <c r="R108" i="13"/>
  <c r="Q108" i="13"/>
  <c r="P108" i="13"/>
  <c r="G108" i="13"/>
  <c r="M527" i="12"/>
  <c r="K527" i="12"/>
  <c r="J527" i="12"/>
  <c r="I527" i="12"/>
  <c r="H527" i="12"/>
  <c r="L296" i="12"/>
  <c r="L268" i="12"/>
  <c r="L267" i="12"/>
  <c r="L266" i="12"/>
  <c r="L265" i="12"/>
  <c r="L264" i="12"/>
  <c r="G264" i="12"/>
  <c r="M261" i="12"/>
  <c r="K261" i="12"/>
  <c r="J261" i="12"/>
  <c r="H261" i="12"/>
  <c r="I206" i="12"/>
  <c r="L206" i="12" s="1"/>
  <c r="G206" i="12"/>
  <c r="I205" i="12"/>
  <c r="L205" i="12" s="1"/>
  <c r="G205" i="12"/>
  <c r="I204" i="12"/>
  <c r="L204" i="12" s="1"/>
  <c r="G204" i="12"/>
  <c r="I203" i="12"/>
  <c r="L203" i="12" s="1"/>
  <c r="G203" i="12"/>
  <c r="I202" i="12"/>
  <c r="L202" i="12" s="1"/>
  <c r="G202" i="12"/>
  <c r="I201" i="12"/>
  <c r="L201" i="12" s="1"/>
  <c r="G201" i="12"/>
  <c r="I200" i="12"/>
  <c r="L200" i="12" s="1"/>
  <c r="G200" i="12"/>
  <c r="I199" i="12"/>
  <c r="L199" i="12" s="1"/>
  <c r="G199" i="12"/>
  <c r="I198" i="12"/>
  <c r="G198" i="12"/>
  <c r="I188" i="12"/>
  <c r="K187" i="12"/>
  <c r="J187" i="12"/>
  <c r="H187" i="12"/>
  <c r="K141" i="12"/>
  <c r="J141" i="12"/>
  <c r="H141" i="12"/>
  <c r="L136" i="12"/>
  <c r="K136" i="12"/>
  <c r="J136" i="12"/>
  <c r="I136" i="12"/>
  <c r="H136" i="12"/>
  <c r="G136" i="12"/>
  <c r="O126" i="12"/>
  <c r="N126" i="12"/>
  <c r="M126" i="12"/>
  <c r="L126" i="12"/>
  <c r="H126" i="12"/>
  <c r="R48" i="12"/>
  <c r="Q48" i="12"/>
  <c r="P48" i="12"/>
  <c r="G48" i="12"/>
  <c r="R104" i="12"/>
  <c r="Q104" i="12"/>
  <c r="P104" i="12"/>
  <c r="G104" i="12"/>
  <c r="R49" i="12"/>
  <c r="Q49" i="12"/>
  <c r="P49" i="12"/>
  <c r="G49" i="12"/>
  <c r="R103" i="12"/>
  <c r="Q103" i="12"/>
  <c r="P103" i="12"/>
  <c r="G103" i="12"/>
  <c r="R71" i="12"/>
  <c r="Q71" i="12"/>
  <c r="P71" i="12"/>
  <c r="G71" i="12"/>
  <c r="R118" i="12"/>
  <c r="Q118" i="12"/>
  <c r="P118" i="12"/>
  <c r="G118" i="12"/>
  <c r="R78" i="12"/>
  <c r="Q78" i="12"/>
  <c r="G78" i="12"/>
  <c r="R34" i="12"/>
  <c r="Q34" i="12"/>
  <c r="P34" i="12"/>
  <c r="G34" i="12"/>
  <c r="M203" i="11"/>
  <c r="K203" i="11"/>
  <c r="J203" i="11"/>
  <c r="I203" i="11"/>
  <c r="H203" i="11"/>
  <c r="L202" i="11"/>
  <c r="L201" i="11"/>
  <c r="L200" i="11"/>
  <c r="L199" i="11"/>
  <c r="L198" i="11"/>
  <c r="L197" i="11"/>
  <c r="G197" i="11"/>
  <c r="M192" i="11"/>
  <c r="K192" i="11"/>
  <c r="J192" i="11"/>
  <c r="H192" i="11"/>
  <c r="I191" i="11"/>
  <c r="L191" i="11" s="1"/>
  <c r="G191" i="11"/>
  <c r="I190" i="11"/>
  <c r="L190" i="11" s="1"/>
  <c r="G190" i="11"/>
  <c r="I189" i="11"/>
  <c r="L189" i="11" s="1"/>
  <c r="G189" i="11"/>
  <c r="I188" i="11"/>
  <c r="L188" i="11" s="1"/>
  <c r="G188" i="11"/>
  <c r="I187" i="11"/>
  <c r="L187" i="11" s="1"/>
  <c r="G187" i="11"/>
  <c r="I186" i="11"/>
  <c r="L186" i="11" s="1"/>
  <c r="G186" i="11"/>
  <c r="I185" i="11"/>
  <c r="L185" i="11" s="1"/>
  <c r="G185" i="11"/>
  <c r="I184" i="11"/>
  <c r="L184" i="11" s="1"/>
  <c r="G184" i="11"/>
  <c r="I183" i="11"/>
  <c r="G183" i="11"/>
  <c r="I173" i="11"/>
  <c r="K172" i="11"/>
  <c r="J172" i="11"/>
  <c r="H172" i="11"/>
  <c r="L131" i="11"/>
  <c r="K131" i="11"/>
  <c r="J131" i="11"/>
  <c r="I131" i="11"/>
  <c r="H131" i="11"/>
  <c r="G131" i="11"/>
  <c r="O120" i="11"/>
  <c r="N120" i="11"/>
  <c r="M120" i="11"/>
  <c r="L120" i="11"/>
  <c r="K120" i="11"/>
  <c r="J120" i="11"/>
  <c r="R43" i="11"/>
  <c r="Q43" i="11"/>
  <c r="P43" i="11"/>
  <c r="G43" i="11"/>
  <c r="R20" i="11"/>
  <c r="Q20" i="11"/>
  <c r="P20" i="11"/>
  <c r="G20" i="11"/>
  <c r="R68" i="11"/>
  <c r="Q68" i="11"/>
  <c r="P68" i="11"/>
  <c r="G68" i="11"/>
  <c r="R66" i="11"/>
  <c r="Q66" i="11"/>
  <c r="P66" i="11"/>
  <c r="G66" i="11"/>
  <c r="R25" i="11"/>
  <c r="Q25" i="11"/>
  <c r="P25" i="11"/>
  <c r="G25" i="11"/>
  <c r="R10" i="11"/>
  <c r="Q10" i="11"/>
  <c r="G10" i="11"/>
  <c r="N1" i="10"/>
  <c r="K186" i="10" s="1"/>
  <c r="M472" i="10"/>
  <c r="K472" i="10"/>
  <c r="J472" i="10"/>
  <c r="I472" i="10"/>
  <c r="H472" i="10"/>
  <c r="L250" i="10"/>
  <c r="L249" i="10"/>
  <c r="L248" i="10"/>
  <c r="L247" i="10"/>
  <c r="L246" i="10"/>
  <c r="G245" i="10"/>
  <c r="M242" i="10"/>
  <c r="K242" i="10"/>
  <c r="J242" i="10"/>
  <c r="H242" i="10"/>
  <c r="I198" i="10"/>
  <c r="L198" i="10" s="1"/>
  <c r="G198" i="10"/>
  <c r="I197" i="10"/>
  <c r="L197" i="10" s="1"/>
  <c r="G197" i="10"/>
  <c r="I196" i="10"/>
  <c r="L196" i="10" s="1"/>
  <c r="G196" i="10"/>
  <c r="I195" i="10"/>
  <c r="L195" i="10" s="1"/>
  <c r="G195" i="10"/>
  <c r="I194" i="10"/>
  <c r="L194" i="10" s="1"/>
  <c r="G194" i="10"/>
  <c r="L193" i="10"/>
  <c r="G193" i="10"/>
  <c r="I192" i="10"/>
  <c r="L192" i="10" s="1"/>
  <c r="G192" i="10"/>
  <c r="I191" i="10"/>
  <c r="L191" i="10" s="1"/>
  <c r="G191" i="10"/>
  <c r="I190" i="10"/>
  <c r="G190" i="10"/>
  <c r="I180" i="10"/>
  <c r="L143" i="10"/>
  <c r="K143" i="10"/>
  <c r="J143" i="10"/>
  <c r="I143" i="10"/>
  <c r="H143" i="10"/>
  <c r="G143" i="10"/>
  <c r="O131" i="10"/>
  <c r="N131" i="10"/>
  <c r="M131" i="10"/>
  <c r="L131" i="10"/>
  <c r="K131" i="10"/>
  <c r="J131" i="10"/>
  <c r="H131" i="10"/>
  <c r="R103" i="10"/>
  <c r="Q103" i="10"/>
  <c r="P103" i="10"/>
  <c r="G103" i="10"/>
  <c r="R42" i="10"/>
  <c r="Q42" i="10"/>
  <c r="P42" i="10"/>
  <c r="G42" i="10"/>
  <c r="R72" i="10"/>
  <c r="Q72" i="10"/>
  <c r="P72" i="10"/>
  <c r="G72" i="10"/>
  <c r="R61" i="10"/>
  <c r="Q61" i="10"/>
  <c r="P61" i="10"/>
  <c r="G61" i="10"/>
  <c r="R62" i="10"/>
  <c r="Q62" i="10"/>
  <c r="P62" i="10"/>
  <c r="G62" i="10"/>
  <c r="R28" i="10"/>
  <c r="Q28" i="10"/>
  <c r="P28" i="10"/>
  <c r="G28" i="10"/>
  <c r="R90" i="10"/>
  <c r="Q90" i="10"/>
  <c r="P90" i="10"/>
  <c r="G90" i="10"/>
  <c r="R74" i="10"/>
  <c r="Q74" i="10"/>
  <c r="P74" i="10"/>
  <c r="G74" i="10"/>
  <c r="I173" i="2"/>
  <c r="L173" i="2" s="1"/>
  <c r="I174" i="2"/>
  <c r="L174" i="2" s="1"/>
  <c r="I175" i="2"/>
  <c r="L175" i="2" s="1"/>
  <c r="I176" i="2"/>
  <c r="L176" i="2" s="1"/>
  <c r="I177" i="2"/>
  <c r="L177" i="2" s="1"/>
  <c r="I178" i="2"/>
  <c r="L178" i="2" s="1"/>
  <c r="I179" i="2"/>
  <c r="L179" i="2" s="1"/>
  <c r="I180" i="2"/>
  <c r="L180" i="2" s="1"/>
  <c r="I181" i="2"/>
  <c r="L181" i="2" s="1"/>
  <c r="G180" i="2"/>
  <c r="G181" i="2"/>
  <c r="G175" i="2"/>
  <c r="G176" i="2"/>
  <c r="G177" i="2"/>
  <c r="G178" i="2"/>
  <c r="G179" i="2"/>
  <c r="G174" i="2"/>
  <c r="K160" i="2"/>
  <c r="K161" i="2"/>
  <c r="K162" i="2"/>
  <c r="J160" i="2"/>
  <c r="J161" i="2"/>
  <c r="J162" i="2"/>
  <c r="H160" i="2"/>
  <c r="H161" i="2"/>
  <c r="H162" i="2"/>
  <c r="L189" i="2"/>
  <c r="L190" i="2"/>
  <c r="L192" i="2"/>
  <c r="L188" i="2"/>
  <c r="L191" i="2"/>
  <c r="G187" i="2"/>
  <c r="L187" i="2"/>
  <c r="G58" i="2"/>
  <c r="I58" i="2"/>
  <c r="P58" i="2" s="1"/>
  <c r="Q58" i="2"/>
  <c r="R58" i="2"/>
  <c r="G92" i="2"/>
  <c r="I92" i="2"/>
  <c r="P92" i="2" s="1"/>
  <c r="Q92" i="2"/>
  <c r="R92" i="2"/>
  <c r="G12" i="2"/>
  <c r="I12" i="2"/>
  <c r="P12" i="2" s="1"/>
  <c r="Q12" i="2"/>
  <c r="R12" i="2"/>
  <c r="I35" i="2"/>
  <c r="P35" i="2" s="1"/>
  <c r="P61" i="2"/>
  <c r="I53" i="2"/>
  <c r="P53" i="2" s="1"/>
  <c r="I98" i="2"/>
  <c r="P98" i="2" s="1"/>
  <c r="I163" i="2"/>
  <c r="K124" i="2"/>
  <c r="J124" i="2"/>
  <c r="I124" i="2"/>
  <c r="H124" i="2"/>
  <c r="G124" i="2"/>
  <c r="L124" i="2"/>
  <c r="K193" i="2"/>
  <c r="J193" i="2"/>
  <c r="I193" i="2"/>
  <c r="H193" i="2"/>
  <c r="M193" i="2"/>
  <c r="K169" i="2"/>
  <c r="K182" i="2"/>
  <c r="J182" i="2"/>
  <c r="H182" i="2"/>
  <c r="M182" i="2"/>
  <c r="G173" i="2"/>
  <c r="K159" i="2"/>
  <c r="R35" i="2"/>
  <c r="R66" i="2"/>
  <c r="R61" i="2"/>
  <c r="R53" i="2"/>
  <c r="R98" i="2"/>
  <c r="J159" i="2"/>
  <c r="H159" i="2"/>
  <c r="G98" i="2"/>
  <c r="Q98" i="2"/>
  <c r="G53" i="2"/>
  <c r="Q53" i="2"/>
  <c r="G61" i="2"/>
  <c r="Q61" i="2"/>
  <c r="O114" i="2"/>
  <c r="N114" i="2"/>
  <c r="M114" i="2"/>
  <c r="L114" i="2"/>
  <c r="K114" i="2"/>
  <c r="J114" i="2"/>
  <c r="H114" i="2"/>
  <c r="Q35" i="2"/>
  <c r="Q66" i="2"/>
  <c r="P66" i="2"/>
  <c r="P131" i="10" l="1"/>
  <c r="P59" i="20"/>
  <c r="J4" i="15"/>
  <c r="B4" i="18"/>
  <c r="J4" i="20"/>
  <c r="B4" i="13"/>
  <c r="J4" i="13"/>
  <c r="I177" i="20"/>
  <c r="M4" i="20" s="1"/>
  <c r="I154" i="21"/>
  <c r="M4" i="21" s="1"/>
  <c r="B4" i="16"/>
  <c r="J4" i="16"/>
  <c r="P78" i="12"/>
  <c r="P126" i="12" s="1"/>
  <c r="I126" i="12"/>
  <c r="G4" i="12" s="1"/>
  <c r="J4" i="18"/>
  <c r="B4" i="19"/>
  <c r="J4" i="19"/>
  <c r="B4" i="21"/>
  <c r="J4" i="21"/>
  <c r="I242" i="10"/>
  <c r="M4" i="10" s="1"/>
  <c r="J4" i="11"/>
  <c r="B4" i="12"/>
  <c r="J4" i="12"/>
  <c r="L203" i="11"/>
  <c r="B4" i="11"/>
  <c r="I192" i="11"/>
  <c r="M4" i="11" s="1"/>
  <c r="B4" i="20"/>
  <c r="B4" i="10"/>
  <c r="I125" i="2"/>
  <c r="J4" i="10"/>
  <c r="B4" i="15"/>
  <c r="I187" i="18"/>
  <c r="M4" i="18" s="1"/>
  <c r="L392" i="21"/>
  <c r="B4" i="2"/>
  <c r="G18" i="4"/>
  <c r="L18" i="4"/>
  <c r="I120" i="11"/>
  <c r="G4" i="11" s="1"/>
  <c r="G4" i="19"/>
  <c r="G4" i="4"/>
  <c r="B25" i="4"/>
  <c r="P10" i="11"/>
  <c r="P120" i="11" s="1"/>
  <c r="I261" i="12"/>
  <c r="M4" i="12" s="1"/>
  <c r="I234" i="16"/>
  <c r="M4" i="16" s="1"/>
  <c r="P72" i="20"/>
  <c r="L4" i="4"/>
  <c r="G25" i="4"/>
  <c r="L527" i="12"/>
  <c r="L198" i="18"/>
  <c r="L200" i="19"/>
  <c r="B11" i="4"/>
  <c r="L25" i="4"/>
  <c r="I189" i="19"/>
  <c r="M4" i="19" s="1"/>
  <c r="I187" i="15"/>
  <c r="M4" i="15" s="1"/>
  <c r="G4" i="16"/>
  <c r="L558" i="16"/>
  <c r="G11" i="4"/>
  <c r="G4" i="15"/>
  <c r="P79" i="16"/>
  <c r="P117" i="16" s="1"/>
  <c r="L11" i="4"/>
  <c r="I184" i="13"/>
  <c r="M4" i="13" s="1"/>
  <c r="P118" i="15"/>
  <c r="L198" i="15"/>
  <c r="P133" i="19"/>
  <c r="L189" i="19"/>
  <c r="L195" i="13"/>
  <c r="L188" i="20"/>
  <c r="L472" i="10"/>
  <c r="P100" i="21"/>
  <c r="L148" i="21"/>
  <c r="L154" i="21" s="1"/>
  <c r="I100" i="21"/>
  <c r="G4" i="21" s="1"/>
  <c r="L168" i="20"/>
  <c r="L177" i="20" s="1"/>
  <c r="P122" i="18"/>
  <c r="L178" i="18"/>
  <c r="L187" i="18" s="1"/>
  <c r="G4" i="18"/>
  <c r="L234" i="16"/>
  <c r="L178" i="15"/>
  <c r="L187" i="15" s="1"/>
  <c r="P113" i="13"/>
  <c r="L177" i="13"/>
  <c r="L184" i="13" s="1"/>
  <c r="I113" i="13"/>
  <c r="L198" i="12"/>
  <c r="L261" i="12" s="1"/>
  <c r="L183" i="11"/>
  <c r="L192" i="11" s="1"/>
  <c r="L190" i="10"/>
  <c r="L242" i="10" s="1"/>
  <c r="I131" i="10"/>
  <c r="G4" i="10" s="1"/>
  <c r="I182" i="2"/>
  <c r="M4" i="2" s="1"/>
  <c r="I114" i="2"/>
  <c r="J4" i="2"/>
  <c r="L193" i="2"/>
  <c r="L182" i="2"/>
  <c r="P114" i="2"/>
  <c r="P119" i="20" l="1"/>
  <c r="P4" i="10"/>
  <c r="P4" i="21"/>
  <c r="P4" i="18"/>
  <c r="P4" i="16"/>
  <c r="P4" i="11"/>
  <c r="G4" i="2"/>
  <c r="P4" i="2" s="1"/>
  <c r="P4" i="15"/>
  <c r="P4" i="19"/>
  <c r="P4" i="12"/>
  <c r="G35" i="2"/>
  <c r="G66" i="2"/>
  <c r="I126" i="13"/>
  <c r="H126" i="13"/>
  <c r="G4" i="13" l="1"/>
  <c r="P4" i="13" s="1"/>
  <c r="L112" i="21"/>
  <c r="H129" i="20"/>
  <c r="G4" i="20" s="1"/>
  <c r="P4" i="20" s="1"/>
</calcChain>
</file>

<file path=xl/sharedStrings.xml><?xml version="1.0" encoding="utf-8"?>
<sst xmlns="http://schemas.openxmlformats.org/spreadsheetml/2006/main" count="5285" uniqueCount="2476">
  <si>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</si>
  <si>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</si>
  <si>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</si>
  <si>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</si>
  <si>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</si>
  <si>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</si>
  <si>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</si>
  <si>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</si>
  <si>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</si>
  <si>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</si>
  <si>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</si>
  <si>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</si>
  <si>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</si>
  <si>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</si>
  <si>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</si>
  <si>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</si>
  <si>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</si>
  <si>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</si>
  <si>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</si>
  <si>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</si>
  <si>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</si>
  <si>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</si>
  <si>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</si>
  <si>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</si>
  <si>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</si>
  <si>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</si>
  <si>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</si>
  <si>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</si>
  <si>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</si>
  <si>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</si>
  <si>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</si>
  <si>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</si>
  <si>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</si>
  <si>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</si>
  <si>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</si>
  <si>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</si>
  <si>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</si>
  <si>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</si>
  <si>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</si>
  <si>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</si>
  <si>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</si>
  <si>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</si>
  <si>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</si>
  <si>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</si>
  <si>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</si>
  <si>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</si>
  <si>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</si>
  <si>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</si>
  <si>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</si>
  <si>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</si>
  <si>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</si>
  <si>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</si>
  <si>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</si>
  <si>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</si>
  <si>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</si>
  <si>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</si>
  <si>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</si>
  <si>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</si>
  <si>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</si>
  <si>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</si>
  <si>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</si>
  <si>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</si>
  <si>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</si>
  <si>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</si>
  <si>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</si>
  <si>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</si>
  <si>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</si>
  <si>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</si>
  <si>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</si>
  <si>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</si>
  <si>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</si>
  <si>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</si>
  <si>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</si>
  <si>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</si>
  <si>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</si>
  <si>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</si>
  <si>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</si>
  <si>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</si>
  <si>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</si>
  <si>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</si>
  <si>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</si>
  <si>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</si>
  <si>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</si>
  <si>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ALKO SRL</t>
  </si>
  <si>
    <t>Mercaderia</t>
  </si>
  <si>
    <t>Combustibe</t>
  </si>
  <si>
    <t>Extracto</t>
  </si>
  <si>
    <t>Otros</t>
  </si>
  <si>
    <t>CENCOSUD S.A.</t>
  </si>
  <si>
    <t>COCA COLA FEMSA DE BS AS SA</t>
  </si>
  <si>
    <t>Alquiler</t>
  </si>
  <si>
    <t>COTO CICSA</t>
  </si>
  <si>
    <t>DEHEZA SAICF E I</t>
  </si>
  <si>
    <t>Telefonia</t>
  </si>
  <si>
    <t>ESTUDIO BOTINDARI</t>
  </si>
  <si>
    <t>GABRIEL GONZALEZ SAGASETA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</si>
  <si>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</si>
  <si>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</si>
  <si>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</si>
  <si>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</si>
  <si>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</si>
  <si>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</si>
  <si>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</si>
  <si>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</si>
  <si>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</si>
  <si>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</si>
  <si>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</si>
  <si>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</si>
  <si>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</si>
  <si>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</si>
  <si>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</si>
  <si>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</si>
  <si>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</si>
  <si>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</si>
  <si>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</si>
  <si>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</si>
  <si>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</si>
  <si>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</si>
  <si>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</si>
  <si>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</si>
  <si>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</si>
  <si>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ABIUSO MARTHA</t>
  </si>
  <si>
    <t>AGUA Y SANEAMIENTOS ARG SA</t>
  </si>
  <si>
    <t>ALANAR S.R.L.</t>
  </si>
  <si>
    <t xml:space="preserve">ALEJANDRO DARIO LOPEZ 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</si>
  <si>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</si>
  <si>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</si>
  <si>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</si>
  <si>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</si>
  <si>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</si>
  <si>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</si>
  <si>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</si>
  <si>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</si>
  <si>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</si>
  <si>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</si>
  <si>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</si>
  <si>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</si>
  <si>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</si>
  <si>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</si>
  <si>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</si>
  <si>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</si>
  <si>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</si>
  <si>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</si>
  <si>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</si>
  <si>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</si>
  <si>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</si>
  <si>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</si>
  <si>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</si>
  <si>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</si>
  <si>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</si>
  <si>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</si>
  <si>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</si>
  <si>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</si>
  <si>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</si>
  <si>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</si>
  <si>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</si>
  <si>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</si>
  <si>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</si>
  <si>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</si>
  <si>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</si>
  <si>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</si>
  <si>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</si>
  <si>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</si>
  <si>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</si>
  <si>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AUTOSERVICIO DIARCO SA</t>
  </si>
  <si>
    <t>AUTOSTADT S.A.</t>
  </si>
  <si>
    <t>AUTOSTRASSE S.A.</t>
  </si>
  <si>
    <t>AVANCE-MAG</t>
  </si>
  <si>
    <t>AVILA MARTIN LEONARDO</t>
  </si>
  <si>
    <t>AXION ENERGY ARG SA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</si>
  <si>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</si>
  <si>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</si>
  <si>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</si>
  <si>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</si>
  <si>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</si>
  <si>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</si>
  <si>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</si>
  <si>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</si>
  <si>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</si>
  <si>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</si>
  <si>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</si>
  <si>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</si>
  <si>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</si>
  <si>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</si>
  <si>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</si>
  <si>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</si>
  <si>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</si>
  <si>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</si>
  <si>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</si>
  <si>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 xml:space="preserve">BOECHI JUAN </t>
  </si>
  <si>
    <t>BOSAN SA</t>
  </si>
  <si>
    <t>BOTINDARI JUAN IGNACIO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</si>
  <si>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</si>
  <si>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</si>
  <si>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</si>
  <si>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</si>
  <si>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</si>
  <si>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</si>
  <si>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</si>
  <si>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</si>
  <si>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</si>
  <si>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</si>
  <si>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</si>
  <si>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</si>
  <si>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</si>
  <si>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</si>
  <si>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</si>
  <si>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</si>
  <si>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</si>
  <si>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</si>
  <si>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</si>
  <si>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</si>
  <si>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</si>
  <si>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</si>
  <si>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</si>
  <si>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</si>
  <si>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</si>
  <si>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</si>
  <si>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</si>
  <si>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</si>
  <si>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</si>
  <si>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</si>
  <si>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</si>
  <si>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</si>
  <si>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</si>
  <si>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</si>
  <si>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</si>
  <si>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</si>
  <si>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</si>
  <si>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COHUI SA</t>
  </si>
  <si>
    <t>COLAFRANCESCO RICARDO DANIEL</t>
  </si>
  <si>
    <t>COLTEX SRL</t>
  </si>
  <si>
    <t>COMERCIAL ALPACA SA</t>
  </si>
  <si>
    <t>Comercial e Industrial SRL</t>
  </si>
  <si>
    <t>COMPAÑÍA AMERICANA DE LAPICES S.R.L.</t>
  </si>
  <si>
    <t>COMPUMUNDO</t>
  </si>
  <si>
    <t>CONSORCIO BTOME MITRE 2466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</si>
  <si>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</si>
  <si>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</si>
  <si>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</si>
  <si>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</si>
  <si>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</si>
  <si>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</si>
  <si>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</si>
  <si>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</si>
  <si>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</si>
  <si>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CORTELLA ANA MARIA</t>
  </si>
  <si>
    <t>CPDD SRL</t>
  </si>
  <si>
    <t>CRYSLAN SA</t>
  </si>
  <si>
    <t>CSKY S.A</t>
  </si>
  <si>
    <t>CUELLAR OMAR EDGARDO</t>
  </si>
  <si>
    <t>CUEROSUR</t>
  </si>
  <si>
    <t>D ACCORD SA</t>
  </si>
  <si>
    <t>DALAMY S.A</t>
  </si>
  <si>
    <t>DAMIANOVICH JORGE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</si>
  <si>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</si>
  <si>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</si>
  <si>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</si>
  <si>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</si>
  <si>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</si>
  <si>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</si>
  <si>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</si>
  <si>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</si>
  <si>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</si>
  <si>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</si>
  <si>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</si>
  <si>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</si>
  <si>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</si>
  <si>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</si>
  <si>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</si>
  <si>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</si>
  <si>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</si>
  <si>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</si>
  <si>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</si>
  <si>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</si>
  <si>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</si>
  <si>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</si>
  <si>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</si>
  <si>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</si>
  <si>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</si>
  <si>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</si>
  <si>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</si>
  <si>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</si>
  <si>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</si>
  <si>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</si>
  <si>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</si>
  <si>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</si>
  <si>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</si>
  <si>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</si>
  <si>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</si>
  <si>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</si>
  <si>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</si>
  <si>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</si>
  <si>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</si>
  <si>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</si>
  <si>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</si>
  <si>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</si>
  <si>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</si>
  <si>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</si>
  <si>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</si>
  <si>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EMPRESA DISTRIBUIDORA SUR S.A.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</si>
  <si>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</si>
  <si>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</si>
  <si>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</si>
  <si>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</si>
  <si>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</si>
  <si>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</si>
  <si>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</si>
  <si>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</si>
  <si>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</si>
  <si>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</si>
  <si>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</si>
  <si>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</si>
  <si>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</si>
  <si>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ESTEBAN URRESTI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</si>
  <si>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</si>
  <si>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</si>
  <si>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</si>
  <si>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</si>
  <si>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</si>
  <si>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FAGAS SA</t>
  </si>
  <si>
    <t>FALABELLA S.A.</t>
  </si>
  <si>
    <t>FAVICUR ICSA</t>
  </si>
  <si>
    <t>FEDERAC. PATRONAL SEG. SA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</si>
  <si>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</si>
  <si>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</si>
  <si>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</si>
  <si>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</si>
  <si>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</si>
  <si>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</si>
  <si>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</si>
  <si>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</si>
  <si>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FERRT.INDUS.ONCE SRL</t>
  </si>
  <si>
    <t>FERRUM SA</t>
  </si>
  <si>
    <t>FHAVILL SA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</si>
  <si>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</si>
  <si>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</si>
  <si>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</si>
  <si>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</si>
  <si>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</si>
  <si>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</si>
  <si>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</si>
  <si>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</si>
  <si>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</si>
  <si>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</si>
  <si>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</si>
  <si>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</si>
  <si>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GAED S.H.</t>
  </si>
  <si>
    <t>GALANDER SA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</si>
  <si>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</si>
  <si>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</si>
  <si>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</si>
  <si>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</si>
  <si>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</si>
  <si>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</si>
  <si>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</si>
  <si>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</si>
  <si>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</si>
  <si>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</si>
  <si>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</si>
  <si>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</si>
  <si>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</si>
  <si>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</si>
  <si>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</si>
  <si>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</si>
  <si>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</si>
  <si>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</si>
  <si>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</si>
  <si>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</si>
  <si>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</si>
  <si>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</si>
  <si>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</si>
  <si>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</si>
  <si>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</si>
  <si>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</si>
  <si>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</si>
  <si>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</si>
  <si>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</si>
  <si>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</si>
  <si>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</si>
  <si>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</si>
  <si>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</si>
  <si>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</si>
  <si>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</si>
  <si>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</si>
  <si>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</si>
  <si>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</si>
  <si>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</si>
  <si>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</si>
  <si>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</si>
  <si>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</si>
  <si>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</si>
  <si>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</si>
  <si>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</si>
  <si>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</si>
  <si>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</si>
  <si>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</si>
  <si>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</si>
  <si>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</si>
  <si>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</si>
  <si>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</si>
  <si>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</si>
  <si>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</si>
  <si>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</si>
  <si>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</si>
  <si>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</si>
  <si>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</si>
  <si>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</si>
  <si>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</si>
  <si>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</si>
  <si>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</si>
  <si>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</si>
  <si>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</si>
  <si>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INTENSE LIFE SA</t>
  </si>
  <si>
    <t>INV. MINORISTA SA</t>
  </si>
  <si>
    <t xml:space="preserve">IRAOLA Y CIA SA </t>
  </si>
  <si>
    <t>IRIME SRL</t>
  </si>
  <si>
    <t>ITALSUR S.A.</t>
  </si>
  <si>
    <t xml:space="preserve">ITAR AMOBLAMIENTOS SRL </t>
  </si>
  <si>
    <t>JANET W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</si>
  <si>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</si>
  <si>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</si>
  <si>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</si>
  <si>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</si>
  <si>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</si>
  <si>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</si>
  <si>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</si>
  <si>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</si>
  <si>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</si>
  <si>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</si>
  <si>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</si>
  <si>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</si>
  <si>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</si>
  <si>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</si>
  <si>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</si>
  <si>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</si>
  <si>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</si>
  <si>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LA CAMIONERA MENDOCINA SRL</t>
  </si>
  <si>
    <t>LA INDUSTRIAL ELECT. SA</t>
  </si>
  <si>
    <t>LA MERIDIONAL SEG. SA</t>
  </si>
  <si>
    <t xml:space="preserve">LAFONT SRL 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</si>
  <si>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</si>
  <si>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</si>
  <si>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</si>
  <si>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</si>
  <si>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</si>
  <si>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</si>
  <si>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</si>
  <si>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</si>
  <si>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</si>
  <si>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</si>
  <si>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</si>
  <si>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</si>
  <si>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</si>
  <si>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</si>
  <si>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</si>
  <si>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</si>
  <si>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</si>
  <si>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</si>
  <si>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</si>
  <si>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</si>
  <si>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</si>
  <si>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</si>
  <si>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</si>
  <si>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</si>
  <si>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</si>
  <si>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</si>
  <si>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</si>
  <si>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</si>
  <si>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</si>
  <si>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</si>
  <si>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</si>
  <si>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</si>
  <si>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</si>
  <si>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</si>
  <si>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</si>
  <si>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</si>
  <si>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</si>
  <si>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</si>
  <si>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</si>
  <si>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MAYCAR S.A</t>
  </si>
  <si>
    <t>MB Papeles SRL</t>
  </si>
  <si>
    <t>MBP PROVEEDORES INDUSTRIALES</t>
  </si>
  <si>
    <t>MD CARGAS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</si>
  <si>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</si>
  <si>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</si>
  <si>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</si>
  <si>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</si>
  <si>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</si>
  <si>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</si>
  <si>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</si>
  <si>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</si>
  <si>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</si>
  <si>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</si>
  <si>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</si>
  <si>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</si>
  <si>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</si>
  <si>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</si>
  <si>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</si>
  <si>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</si>
  <si>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</si>
  <si>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</si>
  <si>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</si>
  <si>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</si>
  <si>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</si>
  <si>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</si>
  <si>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</si>
  <si>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</si>
  <si>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</si>
  <si>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</si>
  <si>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</si>
  <si>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</si>
  <si>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MONTENEGRO LUCIO FANDOR</t>
  </si>
  <si>
    <t xml:space="preserve">MORON GOMA A </t>
  </si>
  <si>
    <t>MOTORVILLE SA</t>
  </si>
  <si>
    <t>MR ALTER CORPORATION SRL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</si>
  <si>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</si>
  <si>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</si>
  <si>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</si>
  <si>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</si>
  <si>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</si>
  <si>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</si>
  <si>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</si>
  <si>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</si>
  <si>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</si>
  <si>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</si>
  <si>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</si>
  <si>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</si>
  <si>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</si>
  <si>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</si>
  <si>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</si>
  <si>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</si>
  <si>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</si>
  <si>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</si>
  <si>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</si>
  <si>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</si>
  <si>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</si>
  <si>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</si>
  <si>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</si>
  <si>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</si>
  <si>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</si>
  <si>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</si>
  <si>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</si>
  <si>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</si>
  <si>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</si>
  <si>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</si>
  <si>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</si>
  <si>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</si>
  <si>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</si>
  <si>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</si>
  <si>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</si>
  <si>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</si>
  <si>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</si>
  <si>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</si>
  <si>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</si>
  <si>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</si>
  <si>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</si>
  <si>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 xml:space="preserve">OLGUIN CAMILA LIDIA </t>
  </si>
  <si>
    <t>OLIVARES HNOS SA</t>
  </si>
  <si>
    <t>OMINT ART SA</t>
  </si>
  <si>
    <t>OMINT SA</t>
  </si>
  <si>
    <t>ONS SRL</t>
  </si>
  <si>
    <t>ORBIS MERTIG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</si>
  <si>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</si>
  <si>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</si>
  <si>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</si>
  <si>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</si>
  <si>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</si>
  <si>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</si>
  <si>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OSPADEP</t>
  </si>
  <si>
    <t xml:space="preserve">OTERO NORTE SRL </t>
  </si>
  <si>
    <t>OUTLANDISH SRL</t>
  </si>
  <si>
    <t>OYOLI SA</t>
  </si>
  <si>
    <t>PABLO DANIEL SPADAVACCHIA</t>
  </si>
  <si>
    <t>PAESANO CARLOS CHAVEZ RUBEN SH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</si>
  <si>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</si>
  <si>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</si>
  <si>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</si>
  <si>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</si>
  <si>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</si>
  <si>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</si>
  <si>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</si>
  <si>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</si>
  <si>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</si>
  <si>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</si>
  <si>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</si>
  <si>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</si>
  <si>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</si>
  <si>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</si>
  <si>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PIETRUSZKA ALBERTO</t>
  </si>
  <si>
    <t>PILKINGTON AUTOMOTIVE SA</t>
  </si>
  <si>
    <t xml:space="preserve">PINDELEC SA </t>
  </si>
  <si>
    <t>PINTO LEONEL EMILIANO</t>
  </si>
  <si>
    <t xml:space="preserve">PINTURERIA REX </t>
  </si>
  <si>
    <t>PINTURERIAS SAGITARIO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</si>
  <si>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</si>
  <si>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</si>
  <si>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</si>
  <si>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</si>
  <si>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</si>
  <si>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</si>
  <si>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</si>
  <si>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</si>
  <si>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</si>
  <si>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</si>
  <si>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</si>
  <si>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</si>
  <si>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</si>
  <si>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</si>
  <si>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 xml:space="preserve">PYFER SA </t>
  </si>
  <si>
    <t>QUAGLIA EDIT LUJAN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</si>
  <si>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</si>
  <si>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</si>
  <si>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</si>
  <si>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</si>
  <si>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</si>
  <si>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</si>
  <si>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</si>
  <si>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</si>
  <si>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</si>
  <si>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</si>
  <si>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</si>
  <si>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</si>
  <si>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</si>
  <si>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</si>
  <si>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</si>
  <si>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</si>
  <si>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</si>
  <si>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</si>
  <si>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</si>
  <si>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</si>
  <si>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</si>
  <si>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</si>
  <si>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</si>
  <si>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</si>
  <si>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</si>
  <si>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</si>
  <si>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</si>
  <si>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</si>
  <si>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</si>
  <si>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</si>
  <si>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</si>
  <si>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</si>
  <si>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</si>
  <si>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</si>
  <si>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</si>
  <si>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</si>
  <si>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</si>
  <si>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</si>
  <si>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</si>
  <si>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</si>
  <si>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</si>
  <si>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</si>
  <si>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</si>
  <si>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</si>
  <si>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</si>
  <si>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</si>
  <si>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</si>
  <si>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</si>
  <si>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</si>
  <si>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</si>
  <si>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</si>
  <si>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</si>
  <si>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</si>
  <si>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</si>
  <si>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</si>
  <si>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</si>
  <si>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</si>
  <si>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</si>
  <si>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</si>
  <si>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</si>
  <si>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</si>
  <si>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</si>
  <si>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</si>
  <si>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</si>
  <si>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</si>
  <si>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</si>
  <si>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</si>
  <si>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</si>
  <si>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</si>
  <si>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</si>
  <si>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</si>
  <si>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</si>
  <si>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</si>
  <si>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</si>
  <si>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</si>
  <si>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</si>
  <si>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</si>
  <si>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</si>
  <si>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</si>
  <si>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</si>
  <si>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</si>
  <si>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</si>
  <si>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</si>
  <si>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</si>
  <si>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</si>
  <si>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</si>
  <si>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</si>
  <si>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</si>
  <si>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</si>
  <si>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</si>
  <si>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</si>
  <si>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</si>
  <si>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</si>
  <si>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</si>
  <si>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</si>
  <si>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</si>
  <si>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</si>
  <si>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</si>
  <si>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</si>
  <si>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</si>
  <si>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</si>
  <si>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</si>
  <si>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</si>
  <si>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</si>
  <si>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TEKNOVENTILACION SRL</t>
  </si>
  <si>
    <t>TELMEX ARGENTINA S.A.</t>
  </si>
  <si>
    <t>TERMINACIONES GRAFICAS SA</t>
  </si>
  <si>
    <t>TEXTIL ESPARTILLO SA.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</si>
  <si>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</si>
  <si>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</si>
  <si>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</si>
  <si>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</si>
  <si>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</si>
  <si>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</si>
  <si>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</si>
  <si>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</si>
  <si>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</si>
  <si>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</si>
  <si>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</si>
  <si>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</si>
  <si>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</si>
  <si>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</si>
  <si>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</si>
  <si>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</si>
  <si>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</si>
  <si>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</si>
  <si>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</si>
  <si>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</si>
  <si>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</si>
  <si>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</si>
  <si>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</si>
  <si>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</si>
  <si>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</si>
  <si>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</si>
  <si>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</si>
  <si>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</si>
  <si>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</si>
  <si>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</si>
  <si>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</si>
  <si>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</si>
  <si>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</si>
  <si>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</si>
  <si>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</si>
  <si>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</si>
  <si>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</si>
  <si>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</si>
  <si>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</si>
  <si>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</si>
  <si>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</si>
  <si>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</si>
  <si>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</si>
  <si>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</si>
  <si>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</si>
  <si>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</si>
  <si>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</si>
  <si>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</si>
  <si>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</si>
  <si>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</si>
  <si>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</si>
  <si>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</si>
  <si>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</si>
  <si>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</si>
  <si>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</si>
  <si>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</si>
  <si>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</si>
  <si>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</si>
  <si>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</si>
  <si>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</si>
  <si>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ORTOPEDIA GEMINIS S.A.</t>
  </si>
  <si>
    <t>EDUEARDO FRANCISCO NARDOMARINO</t>
  </si>
  <si>
    <t>FLETE</t>
  </si>
  <si>
    <t>AGOSTINO, ANA CAROLINA</t>
  </si>
  <si>
    <t>SERVICIOS</t>
  </si>
  <si>
    <t>AGÜERO, PATRICIA ALEJANDRA</t>
  </si>
  <si>
    <t>AGUERRIDO NAZARENO ISMAEL</t>
  </si>
  <si>
    <t>Aguiar Elvira</t>
  </si>
  <si>
    <t>Aguilar Omar Adolfo</t>
  </si>
  <si>
    <t>Aguirre Diego</t>
  </si>
  <si>
    <t>Aguirre Rodrigo</t>
  </si>
  <si>
    <t>AGUIRRE SERGIO SEBASTIAN</t>
  </si>
  <si>
    <t>AISEMBERG FREDY</t>
  </si>
  <si>
    <t xml:space="preserve">ALAN COLLECTION SA </t>
  </si>
  <si>
    <t>ALARCON CAPRA, KARINA ANDREA</t>
  </si>
  <si>
    <t>ALBAJARI DIEGO MARCOS</t>
  </si>
  <si>
    <t>ALBAMIE SA</t>
  </si>
  <si>
    <t>CLIENTE</t>
  </si>
  <si>
    <t>ALBANESE, ARTURO ANTONIO</t>
  </si>
  <si>
    <t>Aldazabal Martin Claudio</t>
  </si>
  <si>
    <t>ALDO SODANO</t>
  </si>
  <si>
    <t>ALEJANDRA SIFFREDI TORRES SANMARCO</t>
  </si>
  <si>
    <t>ALEJANDRO DANIEL TORRES</t>
  </si>
  <si>
    <t>ALEJANDRO, ULISES ISAAC</t>
  </si>
  <si>
    <t>ALEXANDER FLEMING SA</t>
  </si>
  <si>
    <t>Mantenimiento</t>
  </si>
  <si>
    <t>Alfano Alberico Alejandro</t>
  </si>
  <si>
    <t>Alfar Construcciones SA</t>
  </si>
  <si>
    <t>Alicia Lemma</t>
  </si>
  <si>
    <t>ALLARIO, MARTIN EMANUEL</t>
  </si>
  <si>
    <t>ALO FER S.A.</t>
  </si>
  <si>
    <t>ALONSO CLAUDIA MARCELA</t>
  </si>
  <si>
    <t>ALONSO DE LARA JOSE LUIS</t>
  </si>
  <si>
    <t>ALONSO FERNANDO LUIS</t>
  </si>
  <si>
    <t>ALSINA MARCELO DANIEL SH</t>
  </si>
  <si>
    <t>ALTO CALABRIA S.R.L.</t>
  </si>
  <si>
    <t>ALVAREZ CAROLINA</t>
  </si>
  <si>
    <t>Alvarez Danisa Tatiana</t>
  </si>
  <si>
    <t>ALVAREZ FIGUEIRA, JHONATAN EMANUEL</t>
  </si>
  <si>
    <t>ALVAREZ HERRERA ROSA DE LOURDES</t>
  </si>
  <si>
    <t>ALVAREZ PIMIENTO DAVID</t>
  </si>
  <si>
    <t>Amalia Mazón Torrijos</t>
  </si>
  <si>
    <t>AMENDOLARO MARIA</t>
  </si>
  <si>
    <t>AMERELLI MIRTA SUSANA</t>
  </si>
  <si>
    <t>AMERICAN EXPRESS ARG SA</t>
  </si>
  <si>
    <t>EXTRACTO</t>
  </si>
  <si>
    <t xml:space="preserve">AMERICO PIANELLI </t>
  </si>
  <si>
    <t>AMOROS, MONICA DELIA</t>
  </si>
  <si>
    <t>Amparo Salud S.R.L.</t>
  </si>
  <si>
    <t>ANA NOGA</t>
  </si>
  <si>
    <t>Andrade Mesquita Jose</t>
  </si>
  <si>
    <t>ANDREES PAPAZIAN Y A.PAPAZIAN SH</t>
  </si>
  <si>
    <t>ANDRES RAMON GALEANO</t>
  </si>
  <si>
    <t>Angelini, Maria Concepcion</t>
  </si>
  <si>
    <t xml:space="preserve">ANITA ZULMA PACHECO </t>
  </si>
  <si>
    <t>Apresa Asistencia Y Prestaciones De Salud Sa</t>
  </si>
  <si>
    <t>AQUINO EDUARDO Y RODRIGUEZ FRANCISCO SOCIEDAD DE HECHO</t>
  </si>
  <si>
    <t xml:space="preserve">ARANA, MARCELLA OFELIA </t>
  </si>
  <si>
    <t>ARCE BARBARA NOEMI</t>
  </si>
  <si>
    <t>ARCUSIN BERTA</t>
  </si>
  <si>
    <t>ARGENDIVE S.R.L.</t>
  </si>
  <si>
    <t>Arraztoa, Lili Perla</t>
  </si>
  <si>
    <t>ARRIGO RAUL AGUSTIN</t>
  </si>
  <si>
    <t>Arroyo Sosa Sandra Rocio</t>
  </si>
  <si>
    <t>ARTYLUZ SRL</t>
  </si>
  <si>
    <t>Asoc. Mutual Personal Bco. Pcia de Rio Negro</t>
  </si>
  <si>
    <t>ASOCIACION DE OBRAS SOCIALES DE TRELEW</t>
  </si>
  <si>
    <t>Asociacion Empleados Del Ipross Asempi</t>
  </si>
  <si>
    <t>ASOCIACION MUTUAL SANCOR SALUD</t>
  </si>
  <si>
    <t>30-59035479-8</t>
  </si>
  <si>
    <t>ASTRO DE ARGENTINA S.A.</t>
  </si>
  <si>
    <t>30-69097351-7</t>
  </si>
  <si>
    <t>ATENCION AMBULATORIA S.A.</t>
  </si>
  <si>
    <t>Atencion Ambulatoria Sa</t>
  </si>
  <si>
    <t>ATHAND S.R.L.</t>
  </si>
  <si>
    <t>ATLANTICO AZUL SA</t>
  </si>
  <si>
    <t>AUTOMATIZACIONES D R G S A</t>
  </si>
  <si>
    <t>Autonavi Srl</t>
  </si>
  <si>
    <t>PEAJE</t>
  </si>
  <si>
    <t>AUTOPISTAS DE BUENOS AIRES (AUBASA) SA</t>
  </si>
  <si>
    <t> 30607371799</t>
  </si>
  <si>
    <t>AVILA MURIEL AYELEN MILAGROS</t>
  </si>
  <si>
    <t>AYALA MAURICIO JUAN JOSE</t>
  </si>
  <si>
    <t>Ayarragaray Maria Marta</t>
  </si>
  <si>
    <t>AYUDAS TECNICAS SRL</t>
  </si>
  <si>
    <t>AYZAGUER FRANCISCO</t>
  </si>
  <si>
    <t>AZIBI SA</t>
  </si>
  <si>
    <t>AZINTER S.A.</t>
  </si>
  <si>
    <t>Badano Maria Gabriela</t>
  </si>
  <si>
    <t xml:space="preserve">Badeni Mariana Elena </t>
  </si>
  <si>
    <t>Badmadjian Roberto Carlos</t>
  </si>
  <si>
    <t>BAEZ, LUIS ATILIO</t>
  </si>
  <si>
    <t>BAIRES CARTELES SA</t>
  </si>
  <si>
    <t>BAIRES ROCKS SRL</t>
  </si>
  <si>
    <t>Balague Macarena Sol</t>
  </si>
  <si>
    <t>Balbuena Enzo</t>
  </si>
  <si>
    <t>Baldo Ruben Oscar</t>
  </si>
  <si>
    <t>BALIZANO, AUGUSTO EUGENIO</t>
  </si>
  <si>
    <t>BANCO ALICIA SRL</t>
  </si>
  <si>
    <t>BANCO CREDICOOP COOPERATIVO LTDO</t>
  </si>
  <si>
    <t xml:space="preserve">BANCO PATAGONIA SOCIEDAD ANONIMA </t>
  </si>
  <si>
    <t>BARBARO SOCIEDAD COLECTIVA</t>
  </si>
  <si>
    <t>BARQUIN MARIA ANTONIA</t>
  </si>
  <si>
    <t xml:space="preserve">BARREDA JORGE OSVALDO </t>
  </si>
  <si>
    <t>Barrera, Ricardo Dario</t>
  </si>
  <si>
    <t>BARROCA, BARBARA BELEN</t>
  </si>
  <si>
    <t>BASTIDAS XIOMARA</t>
  </si>
  <si>
    <t>BEATRIZ STICCO</t>
  </si>
  <si>
    <t>BEATRIZ WARRAND</t>
  </si>
  <si>
    <t>BELIZAN, RENE</t>
  </si>
  <si>
    <t>BELLA RODOLFO GUSTAVO</t>
  </si>
  <si>
    <t>BELLAVIA EDUARDO ENRIQUE</t>
  </si>
  <si>
    <t>gastos varios</t>
  </si>
  <si>
    <t>BELLAVIGNA, CLAUDIO ERNESTO</t>
  </si>
  <si>
    <t>BELTRAMONE, JOVITA</t>
  </si>
  <si>
    <t>BELTRAN ALEJANDRA</t>
  </si>
  <si>
    <t xml:space="preserve">BENITEZ JUAN JOSE </t>
  </si>
  <si>
    <t>BENNUN FERNANDO RUBEN</t>
  </si>
  <si>
    <t>BERENSTEIN DANIEL ADRIAN</t>
  </si>
  <si>
    <t>BEZEM, ANA CLARA</t>
  </si>
  <si>
    <t>BIALECKI SARA</t>
  </si>
  <si>
    <t>BIGBOX S.A.</t>
  </si>
  <si>
    <t>BILLALO GABRIEL</t>
  </si>
  <si>
    <t>BIODINAMICA ASIST E INSUMOS</t>
  </si>
  <si>
    <t>BIOMAX INSUMOS MEDICOS SA</t>
  </si>
  <si>
    <t xml:space="preserve">BLANCO MIRIAN SUSANA </t>
  </si>
  <si>
    <t>Blasco Mariano Luis</t>
  </si>
  <si>
    <t>Blotto Silvana</t>
  </si>
  <si>
    <t>BOERIS ELENA Vizcaino  DE</t>
  </si>
  <si>
    <t>Bohorquez Vivas, Sandra Janneth</t>
  </si>
  <si>
    <t>Bonaventura Teresa Antonia Elisa</t>
  </si>
  <si>
    <t xml:space="preserve">BOND FERANDO </t>
  </si>
  <si>
    <t>BORGARO PATRICIA ANALIA</t>
  </si>
  <si>
    <t>Bortnik Rosa</t>
  </si>
  <si>
    <t xml:space="preserve">BOSSERO, MARIA CRISTINA </t>
  </si>
  <si>
    <t>Bossi, Silvia Felisa</t>
  </si>
  <si>
    <t>BOTAFRIA BRASERIE SRL</t>
  </si>
  <si>
    <t>BOTINDARI JUAN CARLOS</t>
  </si>
  <si>
    <t>HONORARIOS</t>
  </si>
  <si>
    <t>Bottoni Marta</t>
  </si>
  <si>
    <t>BOUREAU QUALITAS SRL</t>
  </si>
  <si>
    <t>BOUZA, HEBE LIA L.DE</t>
  </si>
  <si>
    <t>Bouza, Raul Rodolfo</t>
  </si>
  <si>
    <t>Bover Amalia Marina</t>
  </si>
  <si>
    <t>BRACHETTA SEBASTIAN NICOLAS</t>
  </si>
  <si>
    <t>Bravo Marta Viviana</t>
  </si>
  <si>
    <t>Brescia Zavala Carla Mercedes</t>
  </si>
  <si>
    <t>BRIÑON DANIELA</t>
  </si>
  <si>
    <t>BRITEZ ORTIZ MARIA LUISA</t>
  </si>
  <si>
    <t>BRITOS, MAURO EMANUEL</t>
  </si>
  <si>
    <t>Brittan Jorge Pascual</t>
  </si>
  <si>
    <t>BUCCIERI AGUSTIN DARIO</t>
  </si>
  <si>
    <t>BULDAIN CECILIA</t>
  </si>
  <si>
    <t>BULLA MARIA DELIA</t>
  </si>
  <si>
    <t>CABRERA SCALLY MARIA INES</t>
  </si>
  <si>
    <t>CABRERA, ALDO RENE</t>
  </si>
  <si>
    <t>Caceres Gabriela Laura</t>
  </si>
  <si>
    <t>CAIME PEREYRA LEONEL ELIAS</t>
  </si>
  <si>
    <t xml:space="preserve">CALZADA VICTOR HUGO </t>
  </si>
  <si>
    <t xml:space="preserve">CAMACHO MELINA </t>
  </si>
  <si>
    <t>CAMPO, VALERIA  ROXANA</t>
  </si>
  <si>
    <t xml:space="preserve">CAMPOS JUANA </t>
  </si>
  <si>
    <t>CANCINO PAMELA RITA</t>
  </si>
  <si>
    <t>CANEO JUAN</t>
  </si>
  <si>
    <t>CANOSA MARIA CRISTINA</t>
  </si>
  <si>
    <t>CAPORASO ANTONIO JOSE</t>
  </si>
  <si>
    <t>Capriotti, Maria Alejandra</t>
  </si>
  <si>
    <t>Carames Jorge</t>
  </si>
  <si>
    <t>CARAMES, PATRICIO HERNAN</t>
  </si>
  <si>
    <t>CARBONELLI VERACRUZ MAGALI</t>
  </si>
  <si>
    <t>CARDEMIL RAFAEL ALFREDO</t>
  </si>
  <si>
    <t>CARDONE CARMEN CRISTINA</t>
  </si>
  <si>
    <t>Cardozo Rodrigo</t>
  </si>
  <si>
    <t>Caretta Carlos Alberto</t>
  </si>
  <si>
    <t>CARFLEX SRL</t>
  </si>
  <si>
    <t>Carina Serra</t>
  </si>
  <si>
    <t xml:space="preserve">CARLUZZO JOSE </t>
  </si>
  <si>
    <t>CARON MARIA FERNANDA</t>
  </si>
  <si>
    <t>CARUSO ANALIA</t>
  </si>
  <si>
    <t>CARUSO LUCIA</t>
  </si>
  <si>
    <t>CARUSO NICOLAS JOEL</t>
  </si>
  <si>
    <t>CASA ABE SA</t>
  </si>
  <si>
    <t>CASA SUEDY SA</t>
  </si>
  <si>
    <t>Casella Antonieta</t>
  </si>
  <si>
    <t>CASTAÑO, DANIEL MARTIN</t>
  </si>
  <si>
    <t>Castillo Angela Rosario</t>
  </si>
  <si>
    <t xml:space="preserve">Casto Roberto Ruiz </t>
  </si>
  <si>
    <t>CASTRO MARIA SEGUNDA</t>
  </si>
  <si>
    <t>CASTRO TORNERIA SRL</t>
  </si>
  <si>
    <t>CASTRO, CARLOS DANIEL</t>
  </si>
  <si>
    <t>CASTROMAN JUAN ALBERTO</t>
  </si>
  <si>
    <t>Ceballos Silvia</t>
  </si>
  <si>
    <t>CEDRO, JUAN MANUEL</t>
  </si>
  <si>
    <t>CELLAI, SILVIA ANDREA</t>
  </si>
  <si>
    <t>Ceramicas Argentinas Publicitarias Sa</t>
  </si>
  <si>
    <t>CEREALES DON NINO SA</t>
  </si>
  <si>
    <t>Cerrajeros Srl</t>
  </si>
  <si>
    <t>Cerrutti Ceferino Carlos</t>
  </si>
  <si>
    <t>CERVIÑO, OSCAR ALBERTO</t>
  </si>
  <si>
    <t>CHAMOSA JOSE MARIA</t>
  </si>
  <si>
    <t>CHAVEZ LINA</t>
  </si>
  <si>
    <t>CHAVEZ RIZZITANO GABRIELA MARCELA</t>
  </si>
  <si>
    <t>Chiarenza Lenardo MARTIN</t>
  </si>
  <si>
    <t>Chiari Maria Enriqueta del Socorro</t>
  </si>
  <si>
    <t>CHIOCCHIO, MAXIMILIANO</t>
  </si>
  <si>
    <t>Chirino Jose</t>
  </si>
  <si>
    <t>CHITCHIAN SA</t>
  </si>
  <si>
    <t>CHMOIS MARCELO ALEJANDRO</t>
  </si>
  <si>
    <t>CHUN ZEBALLOS JOSE</t>
  </si>
  <si>
    <t>Ciacera Juan Jose</t>
  </si>
  <si>
    <t>Ciccarossi Cecilia Ines</t>
  </si>
  <si>
    <t>CICERCHIA, CARLA</t>
  </si>
  <si>
    <t>CIERRER, ABROJO &amp; HERRAJES SRL</t>
  </si>
  <si>
    <t>Cinicola, Pascual Alfonso</t>
  </si>
  <si>
    <t>Cirisan Maria Adela</t>
  </si>
  <si>
    <t>CLAUDIA GRACIELA VINAGRE</t>
  </si>
  <si>
    <t>CLAUDIA LARICCHIUTA</t>
  </si>
  <si>
    <t>COBELAS Juan Roberto</t>
  </si>
  <si>
    <t>Colaizzo Maria Laura</t>
  </si>
  <si>
    <t>Collazo Beatriz Josefa</t>
  </si>
  <si>
    <t>COLLAZO MAURO GABRIEL</t>
  </si>
  <si>
    <t>COLLET SUSANA</t>
  </si>
  <si>
    <t>COLMAN LIDIA FLORENCIA</t>
  </si>
  <si>
    <t>COMPLEJO TALA DEL MONTE SA</t>
  </si>
  <si>
    <t>CONGRESO INSUMOS SA</t>
  </si>
  <si>
    <t>CONSORCIO BARTOLME MITRE 2466</t>
  </si>
  <si>
    <t>CONTI FERNANDO MARCELO</t>
  </si>
  <si>
    <t>CONTROL TECNICO DE VEH. SA</t>
  </si>
  <si>
    <t>Control Y Acceso S.R.L.</t>
  </si>
  <si>
    <t>COORDINACION ECOLOGICA AREA METROPOLITANA SOCIEDAD DEL ESTADO</t>
  </si>
  <si>
    <t>Corniolo, Juan Javier</t>
  </si>
  <si>
    <t>CORONEL DAMIAN PABLO</t>
  </si>
  <si>
    <t>CORRAO HECTOR RUBEN</t>
  </si>
  <si>
    <t>CORREDORES VIALES SOCIEDAD ANONIMA</t>
  </si>
  <si>
    <t>CORRENTI, RICARDO FRANCISCO</t>
  </si>
  <si>
    <t>CORREO ANDREANI SA</t>
  </si>
  <si>
    <t>VARIOS</t>
  </si>
  <si>
    <t>CORREO OFICIAL DE LA REPUBLICA ARGENTINA SOCIEDAD ANONIMA</t>
  </si>
  <si>
    <t>CORRIENTES 3002 SRL</t>
  </si>
  <si>
    <t>Corte Suprema De Justicia Obra Social Del Poder Judicial</t>
  </si>
  <si>
    <t>CORTES Julio Cesar</t>
  </si>
  <si>
    <t>CPS COMUNICACIONES SA</t>
  </si>
  <si>
    <t>Creciendo Juntos S.A.</t>
  </si>
  <si>
    <t>CRISTELLA JUAN CARLOS</t>
  </si>
  <si>
    <t>CRISTIAN GOLDENHORN</t>
  </si>
  <si>
    <t xml:space="preserve">CRUZ PATAGONICA S.R.L. </t>
  </si>
  <si>
    <t>Cyref</t>
  </si>
  <si>
    <t>D &amp; R MEDICAL DEPOT SOCIEDAD ANONIMA</t>
  </si>
  <si>
    <t xml:space="preserve">DA SILVA OLIVEIRA MARIA DAS GRACIAS </t>
  </si>
  <si>
    <t>DAHL ROCHA CLARA</t>
  </si>
  <si>
    <t>DANDREIZ MARIA BELEN</t>
  </si>
  <si>
    <t>DANIEL ARMANDO GORONDO</t>
  </si>
  <si>
    <t>DANIEL BERON</t>
  </si>
  <si>
    <t>DANIEL YAGI</t>
  </si>
  <si>
    <t>Daniela Etulain</t>
  </si>
  <si>
    <t xml:space="preserve">DAP WORLD </t>
  </si>
  <si>
    <t>DATI MODERNELL JOSE LUIS</t>
  </si>
  <si>
    <t>Davico Hernán Carlos</t>
  </si>
  <si>
    <t>Dccion. Adm. De La Subs. De Salud Pcia. De Neuquen</t>
  </si>
  <si>
    <t>DDV SRL</t>
  </si>
  <si>
    <t>De la Torre Carina</t>
  </si>
  <si>
    <t>DE LAS CARRERAS ALFREDO ALBERTO MANUEL</t>
  </si>
  <si>
    <t>De Matteis Karina</t>
  </si>
  <si>
    <t>DE OFFICE SRL</t>
  </si>
  <si>
    <t>De Ruggiero, Beatriz</t>
  </si>
  <si>
    <t>DEL GESSO FRANCO JESUS</t>
  </si>
  <si>
    <t>DEL MARMOL, MABEL ELSA</t>
  </si>
  <si>
    <t>DEL VECCHIO JUAN JOSE</t>
  </si>
  <si>
    <t>DELICIAS MITRE</t>
  </si>
  <si>
    <t>Dell Orto Silvia Cristina</t>
  </si>
  <si>
    <t>DEMARIA AUGUSTO CARLOS</t>
  </si>
  <si>
    <t>DEMARO, NOEMI</t>
  </si>
  <si>
    <t>DENEGRI EVANGELINA SOLEDAD</t>
  </si>
  <si>
    <t>Desalvo Miguel Angel</t>
  </si>
  <si>
    <t>DESPEGAR.COM.AR SA</t>
  </si>
  <si>
    <t>DEVOTO ALBERTO ANGEL</t>
  </si>
  <si>
    <t>DI FIORE VLADIMIR SEBASTIAN</t>
  </si>
  <si>
    <t>Di Virgilio Carina Lucia</t>
  </si>
  <si>
    <t>Diaz Colodrero Maria Isabel</t>
  </si>
  <si>
    <t>Diaz de Wilson Angelica</t>
  </si>
  <si>
    <t>DIAZ JORGE ALBERTO</t>
  </si>
  <si>
    <t>DIAZ MARIA DOLORES</t>
  </si>
  <si>
    <t>DIEGO MARTIN RIOS</t>
  </si>
  <si>
    <t>DINAMO SRL</t>
  </si>
  <si>
    <t>DIRECCION NACIONAL DEL SERVICIO PENITENCIARIO FEDERAL</t>
  </si>
  <si>
    <t>Disanto Orfilia Estela</t>
  </si>
  <si>
    <t>DISTRIBUIDORA LARREA SA</t>
  </si>
  <si>
    <t>DJEREDJIAN DINO</t>
  </si>
  <si>
    <t>Dobisky Aida</t>
  </si>
  <si>
    <t>Dora Rizzutto</t>
  </si>
  <si>
    <t>Dorligh Lorena</t>
  </si>
  <si>
    <t>DORREMOCEA SUSANA</t>
  </si>
  <si>
    <t>DORTONA, RUBEN FERNANDO</t>
  </si>
  <si>
    <t>DRUETTA ANDREA MARIEL</t>
  </si>
  <si>
    <t>DUARTE FABIAN RODOLFO</t>
  </si>
  <si>
    <t>DUBRETIC/PABLO A</t>
  </si>
  <si>
    <t>DUECK, LETICIA</t>
  </si>
  <si>
    <t>E.ALVAREZ Y HERNES G SH</t>
  </si>
  <si>
    <t>Edb Logistica</t>
  </si>
  <si>
    <t>Edgardo Betraki Obeid</t>
  </si>
  <si>
    <t>EDUARDO ALBERTO SAMEL</t>
  </si>
  <si>
    <t>EDUARDO EXEQUIEL ESSAYAG</t>
  </si>
  <si>
    <t>EDUARDO FRANCISCO NARDOMARINO</t>
  </si>
  <si>
    <t>Eduardo Garcia Bosch</t>
  </si>
  <si>
    <t>Eduardo Pereda y Hnas. Agropecuaria Sociedad Anónima</t>
  </si>
  <si>
    <t>El Centro De Microondas S.A</t>
  </si>
  <si>
    <t>EL JUMILIANO SA</t>
  </si>
  <si>
    <t>EL RINCON DE PIEDRA D.. SRL</t>
  </si>
  <si>
    <t>ELECTRICIDAD AREV S R L</t>
  </si>
  <si>
    <t>ELENORA PELIZA</t>
  </si>
  <si>
    <t>ELIDA MABEL CASTELLI</t>
  </si>
  <si>
    <t>EMILSE ROMEO</t>
  </si>
  <si>
    <t>Gtos Sistemas</t>
  </si>
  <si>
    <t>ENCINA AVELINO</t>
  </si>
  <si>
    <t>ENRIQUE LUIS SAGGESE</t>
  </si>
  <si>
    <t>ENRIQUE MARTIN ROSSI SA</t>
  </si>
  <si>
    <t>ENRIQUETA MARIA DEL SOCORRO MAJO</t>
  </si>
  <si>
    <t>Ensalud S.A</t>
  </si>
  <si>
    <t>30-70711845-4</t>
  </si>
  <si>
    <t>ENSALUD SA</t>
  </si>
  <si>
    <t>Eremita Dora</t>
  </si>
  <si>
    <t>ERLICH DANIEL</t>
  </si>
  <si>
    <t>ERNESTO SCARONE</t>
  </si>
  <si>
    <t>EROLES RUBEN</t>
  </si>
  <si>
    <t>Errasquin, Ana Maria</t>
  </si>
  <si>
    <t>Escudero, Armando Rodolfo</t>
  </si>
  <si>
    <t xml:space="preserve">ESELEVSKY GRINBERG BERTA </t>
  </si>
  <si>
    <t>ESPAÑA MARQUEZ, MONICA</t>
  </si>
  <si>
    <t>ESPINOLA LORENA</t>
  </si>
  <si>
    <t>ESTACION DE SERVICIO</t>
  </si>
  <si>
    <t>ESTACION DE SERVICIO ALC SRL</t>
  </si>
  <si>
    <t>ESTACION LIMA SA</t>
  </si>
  <si>
    <t>ETHEL CARMEN REY DE MARSENGO</t>
  </si>
  <si>
    <t>EXPOJARDIN CANNING SRL</t>
  </si>
  <si>
    <t>EXPRESO BISONTE S R L</t>
  </si>
  <si>
    <t>Eyesun Srl</t>
  </si>
  <si>
    <t>F&amp;F Color S.R.L.</t>
  </si>
  <si>
    <t>FABORT SRL</t>
  </si>
  <si>
    <t>Falbo Maria Luz</t>
  </si>
  <si>
    <t>Falco Matilde Teresa</t>
  </si>
  <si>
    <t>FALK SZEVA CYPA</t>
  </si>
  <si>
    <t>FARIÑA, SILVIA GRACIELA</t>
  </si>
  <si>
    <t>FARMACITY SA</t>
  </si>
  <si>
    <t>FEDAGAS SA</t>
  </si>
  <si>
    <t>FEDERACION ARG. DE EMPLEADOS DE COMERCIO</t>
  </si>
  <si>
    <t>FEDERICO PABLO FEOLA</t>
  </si>
  <si>
    <t>FELGUEROSO, CAMILA</t>
  </si>
  <si>
    <t>FERNANDEZ ALLENDE MERCEDES JAZMIN</t>
  </si>
  <si>
    <t>Fernandez Barbara</t>
  </si>
  <si>
    <t>FERNANDEZ CRISTIAN</t>
  </si>
  <si>
    <t>FERNANDEZ FLORENCIA SOL</t>
  </si>
  <si>
    <t>Fernandez Gabriela Veronica</t>
  </si>
  <si>
    <t>Fernandez Juana Maria</t>
  </si>
  <si>
    <t>Fernandez Manuela</t>
  </si>
  <si>
    <t>FERNANDEZ MAURO</t>
  </si>
  <si>
    <t>fernandez Vera, Juan Manuel</t>
  </si>
  <si>
    <t>Fernandez, Guillermo Julio</t>
  </si>
  <si>
    <t>FERNANDEZ, MICAELA DENISE</t>
  </si>
  <si>
    <t>Fernandez, Silvina Alejandra</t>
  </si>
  <si>
    <t>FERNANDO VALDEBENITO</t>
  </si>
  <si>
    <t>Ferrando Gonzalo Cesar</t>
  </si>
  <si>
    <t>FERRARO ELSA</t>
  </si>
  <si>
    <t>FERRAZIN CAROLINA ELEONORA INES</t>
  </si>
  <si>
    <t>FERRERO PEDRO JAVIER</t>
  </si>
  <si>
    <t>FERRETERIA CENTRAL SRL</t>
  </si>
  <si>
    <t>FERRETERIA INDUSTRIAL ONCE SRL</t>
  </si>
  <si>
    <t>FERREYRA, DANIEL HORACIO</t>
  </si>
  <si>
    <t>Ferro Beatriz</t>
  </si>
  <si>
    <t>FERRO, BEATRIZ ANGELA</t>
  </si>
  <si>
    <t>Feuer Daniel</t>
  </si>
  <si>
    <t>Fidel Marone Martin</t>
  </si>
  <si>
    <t>Fiorella Rispo</t>
  </si>
  <si>
    <t>FIRSTECH SA</t>
  </si>
  <si>
    <t>FLEGO LAURA GRACIELA</t>
  </si>
  <si>
    <t>FLORENTIN, CINTIA YANINA</t>
  </si>
  <si>
    <t>FLORES FERNANDEZ, FERNANDO ANIBAL</t>
  </si>
  <si>
    <t>FLORES, MARIA ESTER</t>
  </si>
  <si>
    <t>FLUSS SA</t>
  </si>
  <si>
    <t>FONT NINE LUIS EDUARDO</t>
  </si>
  <si>
    <t>FONTANAROSA GASTON HERNAN</t>
  </si>
  <si>
    <t>FONTANELLA SILVANA GABRIELA</t>
  </si>
  <si>
    <t>Fontenla Nuñez Silvina</t>
  </si>
  <si>
    <t>FOPPIANO, ANA MARIA</t>
  </si>
  <si>
    <t>FRANCO GISELA VANESA</t>
  </si>
  <si>
    <t>FRANFELIRENU S.R.L</t>
  </si>
  <si>
    <t>Franzanti, Lia Julia</t>
  </si>
  <si>
    <t>30-71065725-0</t>
  </si>
  <si>
    <t>FRATERNA COOP DE PROVISION</t>
  </si>
  <si>
    <t>FRATERNA COOPERRATIVA DE PROVISION DE SERVICIOS LIMITADA</t>
  </si>
  <si>
    <t>FRICHER MARIA ALEJANDRA</t>
  </si>
  <si>
    <t>Frontaloni Oreste</t>
  </si>
  <si>
    <t>FUENTES GRACIELA BEATRIZ</t>
  </si>
  <si>
    <t>FUNDACION EMPRESARIA MADERERA</t>
  </si>
  <si>
    <t>30-70804992-8</t>
  </si>
  <si>
    <t>FUNDACION I.Q. DEL CALLAO</t>
  </si>
  <si>
    <t>Fundacion Instituto Quirurgico Del Callao</t>
  </si>
  <si>
    <t>FUNDACION UNIVERSIDAD DE SAN ANDRES</t>
  </si>
  <si>
    <t>FUNES  RICARDO JORGE</t>
  </si>
  <si>
    <t>FUNES ANTONIO</t>
  </si>
  <si>
    <t>FURLANETTO MARTIN</t>
  </si>
  <si>
    <t>FURLANETTO VICTOR</t>
  </si>
  <si>
    <t>FUSARO MARIA DEL CARMEN</t>
  </si>
  <si>
    <t>FUTURO SRL</t>
  </si>
  <si>
    <t>OTROS</t>
  </si>
  <si>
    <t>GABRIELA VANINA GALLO</t>
  </si>
  <si>
    <t>GAETE MONICA ELIZABETH</t>
  </si>
  <si>
    <t>GALE GABRIELA</t>
  </si>
  <si>
    <t>GALEANO, ANA MARIA</t>
  </si>
  <si>
    <t>GALENO ARGENTINA SA</t>
  </si>
  <si>
    <t>30-52242816-3</t>
  </si>
  <si>
    <t>GALENO ART SA</t>
  </si>
  <si>
    <t>GALENO CASTRO MELINA VALENTINA</t>
  </si>
  <si>
    <t>GALIANO MARIA LIDIA</t>
  </si>
  <si>
    <t xml:space="preserve">GALLI ANDREA NATALIA </t>
  </si>
  <si>
    <t>GALLI GRACIELA SILVIA</t>
  </si>
  <si>
    <t>GAMALECTRIC S.A.</t>
  </si>
  <si>
    <t>Gambande, Sergio Enrique</t>
  </si>
  <si>
    <t>GARBARINO SAICeI</t>
  </si>
  <si>
    <t>GARCIA BATALLAN LAUTARO</t>
  </si>
  <si>
    <t xml:space="preserve">GARCIA DARIO GABRIEL </t>
  </si>
  <si>
    <t>GARCIA FERNANDEZ, ARIEL</t>
  </si>
  <si>
    <t>Garcia Heber Dante</t>
  </si>
  <si>
    <t xml:space="preserve">GARCIA MARIA FLORENCIA </t>
  </si>
  <si>
    <t>GARCIA MONICA CRISTINA</t>
  </si>
  <si>
    <t>García, Rosa Martes</t>
  </si>
  <si>
    <t>Garracino Mariana</t>
  </si>
  <si>
    <t>GASPAR BERNARDI E HIJOS SA</t>
  </si>
  <si>
    <t>Gaston Garcia</t>
  </si>
  <si>
    <t>GEN SRL</t>
  </si>
  <si>
    <t>GENDARMERIA NACIONAL</t>
  </si>
  <si>
    <t>Gerardi Rodolfo Ruben</t>
  </si>
  <si>
    <t>Gerardo Juan Carlos</t>
  </si>
  <si>
    <t>Gil Julio</t>
  </si>
  <si>
    <t>GIMENEZ SONIA GLADYS</t>
  </si>
  <si>
    <t>GIMENEZ, ALDO EUDORO</t>
  </si>
  <si>
    <t>GITMED INSUMOS MEDICOS SRL</t>
  </si>
  <si>
    <t>GIULIETTI LUIS ALBERTO</t>
  </si>
  <si>
    <t>GLOBAL BUSINESS SRL</t>
  </si>
  <si>
    <t>GLORIA BEATRIZ MORENO RICCO</t>
  </si>
  <si>
    <t>Gomez Cesar Luis</t>
  </si>
  <si>
    <t>GOMEZ HECTOR EDUARDO</t>
  </si>
  <si>
    <t>gastos Varios</t>
  </si>
  <si>
    <t>GOMEZ, MARIA ESTER</t>
  </si>
  <si>
    <t>GONZALEZ ALFREDO SEBASTIAN</t>
  </si>
  <si>
    <t>GONZALEZ CARLOS RAUL</t>
  </si>
  <si>
    <t>Gonzalez Dorila</t>
  </si>
  <si>
    <t>Gonzalez Gaydou Mateo</t>
  </si>
  <si>
    <t>Gonzalez Jose Alberto</t>
  </si>
  <si>
    <t>Gonzalez Julia Elena</t>
  </si>
  <si>
    <t xml:space="preserve">GONZALEZ LAURA BEATRIZ </t>
  </si>
  <si>
    <t>Gonzalez Paula Alejandra</t>
  </si>
  <si>
    <t>GONZALEZ SAGASETA GABRIEL</t>
  </si>
  <si>
    <t>GONZALEZ SIBIARDO OSCAR Y VM</t>
  </si>
  <si>
    <t>Gonzalez Silvia</t>
  </si>
  <si>
    <t>GONZALEZ, PAULA ALEJANDRA</t>
  </si>
  <si>
    <t>Gourovich Gabriel</t>
  </si>
  <si>
    <t xml:space="preserve">GOWLAND, RAFAEL </t>
  </si>
  <si>
    <t>GRACIA, EMANUEL FELIPE</t>
  </si>
  <si>
    <t>GRACIELA BERNUNZIO</t>
  </si>
  <si>
    <t>GRACIELA NORMA GUIET</t>
  </si>
  <si>
    <t>GRAFF NATALY GISELLE</t>
  </si>
  <si>
    <t>GRAHAM LUIS</t>
  </si>
  <si>
    <t>GRAN VIEW SRL</t>
  </si>
  <si>
    <t>Grandi Vera</t>
  </si>
  <si>
    <t>Grau Baena, Guadalupe</t>
  </si>
  <si>
    <t>Green Ventura Miguel</t>
  </si>
  <si>
    <t>GRIDEL WALTER DIEGO</t>
  </si>
  <si>
    <t>Groppa Sara</t>
  </si>
  <si>
    <t>GRUPO NORTE SRL</t>
  </si>
  <si>
    <t>GRUPO RBM SRL</t>
  </si>
  <si>
    <t>GUALDONI, MARIA DEL PILAR PATRICIA</t>
  </si>
  <si>
    <t>GUARDIOLA, RUBEN OSCAR</t>
  </si>
  <si>
    <t>GUAYMAS, TIBURCIO HERNAN</t>
  </si>
  <si>
    <t>GUELLER Isidoro</t>
  </si>
  <si>
    <t>GUILLAN SANDRA SILVIA</t>
  </si>
  <si>
    <t>GUIMARANS, MIRTA LUISA</t>
  </si>
  <si>
    <t>GUSTAVO ANTONIO CANO AVILA</t>
  </si>
  <si>
    <t>GUTIERREZ MARTINA</t>
  </si>
  <si>
    <t>GUZMAN VALENTINA ABRIL</t>
  </si>
  <si>
    <t>HABLENDEAUNO S.A</t>
  </si>
  <si>
    <t xml:space="preserve">CONSULTORIA </t>
  </si>
  <si>
    <t>Hansen Wilhelm Gabriel Alejandro</t>
  </si>
  <si>
    <t>HASSON, RAFAEL ALFREDO</t>
  </si>
  <si>
    <t>HAYDEE DE ROSSI</t>
  </si>
  <si>
    <t>HAYDEE ELVIRA VIVA</t>
  </si>
  <si>
    <t>HAYDEE PIZZONI</t>
  </si>
  <si>
    <t>30-71053801-4</t>
  </si>
  <si>
    <t>HC HOMECARE INT DOM SA</t>
  </si>
  <si>
    <t>Hc Homecare Internacion Domiciliaria S.A.</t>
  </si>
  <si>
    <t>HEREDIA CARLOS ALBERTO</t>
  </si>
  <si>
    <t>HERLICZCK MARIA</t>
  </si>
  <si>
    <t>Herman Patrica</t>
  </si>
  <si>
    <t>HERMIDA ADRIANA MARCELA</t>
  </si>
  <si>
    <t>Hernandez Martin</t>
  </si>
  <si>
    <t>HERNANDEZ RIVERO ADRIAN</t>
  </si>
  <si>
    <t>HERRERA CORINA</t>
  </si>
  <si>
    <t>HERRERA GUILLERMO SEBASTIAN</t>
  </si>
  <si>
    <t>HERRERA ROSARIO AZUCENA</t>
  </si>
  <si>
    <t>HERRERA SERGIO DANIEL ALBERTO</t>
  </si>
  <si>
    <t>HERRERO CHRISTIAN GUSTAVO</t>
  </si>
  <si>
    <t xml:space="preserve">HIGA MARCELA SANDRA </t>
  </si>
  <si>
    <t>HINCK SA</t>
  </si>
  <si>
    <t>HIPER ON LINE SRL</t>
  </si>
  <si>
    <t>HUBERMAN, GUILLERMO</t>
  </si>
  <si>
    <t>HUMMEL ESTELA INES</t>
  </si>
  <si>
    <t>IALLONARDO SERGIO</t>
  </si>
  <si>
    <t>IBARRA ALFREDO CEFERINO</t>
  </si>
  <si>
    <t>Iglesia Evangelica Luterana Unida</t>
  </si>
  <si>
    <t>IGLESIAS GRACIELA MATILDE</t>
  </si>
  <si>
    <t>IGOL YANINA MARA</t>
  </si>
  <si>
    <t>ILLANES, VIVIANA ELIZABETH</t>
  </si>
  <si>
    <t>IMPIERI, PIÑEIIRO, R  Y A SA</t>
  </si>
  <si>
    <t>INC SA</t>
  </si>
  <si>
    <t>INCAT SRL</t>
  </si>
  <si>
    <t>INNBYTE SA</t>
  </si>
  <si>
    <t>Inojosa Ruben Daniel</t>
  </si>
  <si>
    <t>INST. CARDIOVASCULAR BSAS SA</t>
  </si>
  <si>
    <t>INSTALACIONES COMERCIALES TISERA S.A.</t>
  </si>
  <si>
    <t>INSTITUTO SUDAMERICANO PARA LA ENSEÑANZA DE LA COMUNICACIÓN</t>
  </si>
  <si>
    <t>INTENSE LIFE S.A.</t>
  </si>
  <si>
    <t>INTERMED S.R.L.</t>
  </si>
  <si>
    <t>Iovino Fabiana Marcela</t>
  </si>
  <si>
    <t>IPROSS</t>
  </si>
  <si>
    <t>IRENE DE VICENZI</t>
  </si>
  <si>
    <t xml:space="preserve">IRIARTE, DANIEL ALCIDES </t>
  </si>
  <si>
    <t>Irigoyen Virginia</t>
  </si>
  <si>
    <t>IRLA DARIO GABRIEL</t>
  </si>
  <si>
    <t>IT BROKERS S.A.</t>
  </si>
  <si>
    <t>ITALOMED PRODUCTOS SRL</t>
  </si>
  <si>
    <t>ITPROUSER SA</t>
  </si>
  <si>
    <t>ITURAN DE ARGENTINA S A</t>
  </si>
  <si>
    <t>Iturralde Ines</t>
  </si>
  <si>
    <t>IVON GEMA GOMEZ</t>
  </si>
  <si>
    <t>IZIBI S.A.</t>
  </si>
  <si>
    <t xml:space="preserve">IZZO ADRIANA </t>
  </si>
  <si>
    <t>J Y F TOYS SRL</t>
  </si>
  <si>
    <t>Jaia Mushka Iojebed Segal</t>
  </si>
  <si>
    <t>JAIME BRUSKI</t>
  </si>
  <si>
    <t>JAPAS MARIA LAURA</t>
  </si>
  <si>
    <t>JARSE SA</t>
  </si>
  <si>
    <t>JCR TRAINING SRL</t>
  </si>
  <si>
    <t>JHOANNA SAID</t>
  </si>
  <si>
    <t>Joana Cristina Caporale Navarro</t>
  </si>
  <si>
    <t>JOHANSEN/DANIEL</t>
  </si>
  <si>
    <t>Jones, Margarita Elena</t>
  </si>
  <si>
    <t xml:space="preserve">JORGE FRANCISCO  CORTEZ </t>
  </si>
  <si>
    <t>JORGE JABIER OBARRIO</t>
  </si>
  <si>
    <t>JOSE ALBERTO BERARDI</t>
  </si>
  <si>
    <t>José Antonio Ferrea</t>
  </si>
  <si>
    <t>JOSE ANTONIO MEMBRIVES</t>
  </si>
  <si>
    <t>Jose Hakim</t>
  </si>
  <si>
    <t>JOSE MIGUEL JALIFE</t>
  </si>
  <si>
    <t>JUAN PABLO MINVIELLE</t>
  </si>
  <si>
    <t>JURI NORA</t>
  </si>
  <si>
    <t>Juri, Jorge</t>
  </si>
  <si>
    <t>Kaplan Maria Ines</t>
  </si>
  <si>
    <t>KENNEL SEBASTIAN</t>
  </si>
  <si>
    <t>KIRSCHNER PAULA ELIZABETH</t>
  </si>
  <si>
    <t>KLAINER ABEL JAVIER</t>
  </si>
  <si>
    <t>KLEVETA NORMA ELIZABETH</t>
  </si>
  <si>
    <t>KNOPOFF, SUSANA HAYDEE</t>
  </si>
  <si>
    <t>KOGAN LEWIT WINSTON DANIEL</t>
  </si>
  <si>
    <t>Kozlowski Susana</t>
  </si>
  <si>
    <t>KRUGER BRUNA</t>
  </si>
  <si>
    <t>Ku, Yong Chae</t>
  </si>
  <si>
    <t>KUCZER LYDIA</t>
  </si>
  <si>
    <t>LA CASA DE LAS LIJAS</t>
  </si>
  <si>
    <t>LA CASA DEL CELULOIDE SRL</t>
  </si>
  <si>
    <t>LABORATORIOS DIRAL SRL</t>
  </si>
  <si>
    <t>LACCO MARIA FLORENCIA</t>
  </si>
  <si>
    <t>Ladron de Guevara Rodrigo</t>
  </si>
  <si>
    <t>LANDOLINO FRANK</t>
  </si>
  <si>
    <t>LANDRO FERNANDO GABRIEL</t>
  </si>
  <si>
    <t>Larichiutta Claudia</t>
  </si>
  <si>
    <t>LATI NISIM URIEL</t>
  </si>
  <si>
    <t>Lattuada Carlos</t>
  </si>
  <si>
    <t>Lavigne Juan</t>
  </si>
  <si>
    <t>Lavigne, Celestino Armando</t>
  </si>
  <si>
    <t>LED - ZEP MENSAJERIA EMPRESARIAL</t>
  </si>
  <si>
    <t>Legorburu Araoz, Jaime Alejandro</t>
  </si>
  <si>
    <t>Leon Fernanda Graciela</t>
  </si>
  <si>
    <t>LEON MILGROM Y CIA SAECEI</t>
  </si>
  <si>
    <t>LEPELLERE, MARIO</t>
  </si>
  <si>
    <t>LESCANO ANGELA TERESA</t>
  </si>
  <si>
    <t>LETICIA TERESA BARBARITA LAZARTE</t>
  </si>
  <si>
    <t>LEVY GRACIELA</t>
  </si>
  <si>
    <t>LILIANA LAGORIO</t>
  </si>
  <si>
    <t>FERREIRS LILISNS INES</t>
  </si>
  <si>
    <t>LIN FANG</t>
  </si>
  <si>
    <t>LINKEDSTORE ARGENTINA SRL</t>
  </si>
  <si>
    <t xml:space="preserve">LIUZZO CARMEN </t>
  </si>
  <si>
    <t xml:space="preserve">LIZARRAGA RAUL HERNESTO </t>
  </si>
  <si>
    <t>LLANES NORBERTO</t>
  </si>
  <si>
    <t>LODEIRO RODRIGUEZ JORGE ROSARIO</t>
  </si>
  <si>
    <t>LOGIN DOOR SA</t>
  </si>
  <si>
    <t>Lombardia, Javier Alejandro</t>
  </si>
  <si>
    <t>LOPEZ AMALFARA EVANGELINA</t>
  </si>
  <si>
    <t>LOPEZ AMALFARA Manuel</t>
  </si>
  <si>
    <t>LOPEZ DE CAMPOS NELIDA</t>
  </si>
  <si>
    <t xml:space="preserve">LOPEZ MANUEL </t>
  </si>
  <si>
    <t>Lopez Martin</t>
  </si>
  <si>
    <t>Lorena Pozo</t>
  </si>
  <si>
    <t>LORENZO CARLOS ALBERTO</t>
  </si>
  <si>
    <t>Lorenzo Olivia</t>
  </si>
  <si>
    <t>Loretani Norma</t>
  </si>
  <si>
    <t>Loza Maria Evangelina</t>
  </si>
  <si>
    <t xml:space="preserve">Lubary Ricardo Jose Ramon </t>
  </si>
  <si>
    <t>Lucena Jorge</t>
  </si>
  <si>
    <t xml:space="preserve">LUCERO, NOEMI BEATRIZ </t>
  </si>
  <si>
    <t>Luisa Gladis Blanco</t>
  </si>
  <si>
    <t>LUNA BONITA SRL</t>
  </si>
  <si>
    <t>Luna Mariela</t>
  </si>
  <si>
    <t>LUND ADELA</t>
  </si>
  <si>
    <t>Luz Reyero</t>
  </si>
  <si>
    <t>Mabel STECHER</t>
  </si>
  <si>
    <t>Mabel VILLA</t>
  </si>
  <si>
    <t>MACHADO ELIANA NOEMI</t>
  </si>
  <si>
    <t>TOMA DE MEDIDAS</t>
  </si>
  <si>
    <t>MADRID MARIA DEL CARMEN</t>
  </si>
  <si>
    <t>MAGALLAN SRL</t>
  </si>
  <si>
    <t>MAGNO JUAN LEOPOLDO</t>
  </si>
  <si>
    <t xml:space="preserve">MAGYAR LADISLAO CABALLERO </t>
  </si>
  <si>
    <t>MAIDANA ANGEL EDUARDO</t>
  </si>
  <si>
    <t>MAIORANA OSCAR ALBERTO</t>
  </si>
  <si>
    <t>MAJUL ALEJANDRO</t>
  </si>
  <si>
    <t>MALDONADO LIDIA ESTELA</t>
  </si>
  <si>
    <t>Malizia Marcelo Gustavo</t>
  </si>
  <si>
    <t>Mammana Mario Prospero</t>
  </si>
  <si>
    <t>MANGIN, BIBIANA</t>
  </si>
  <si>
    <t>Maqueira Francisco Manuel</t>
  </si>
  <si>
    <t>MAQUEIRA GUILLERMO GABRIEL</t>
  </si>
  <si>
    <t xml:space="preserve">MARCELA INSFRAN </t>
  </si>
  <si>
    <t>Marcela Monella</t>
  </si>
  <si>
    <t>MARCELO Y GUSTAVO MILMAR S.R.L.</t>
  </si>
  <si>
    <t>MARIA AGUSTINA PEREYRA</t>
  </si>
  <si>
    <t>MARIA ARIAS</t>
  </si>
  <si>
    <t>MARIA CECILIA DE MARSICO</t>
  </si>
  <si>
    <t>MARIA EUGENIA BELOSSI</t>
  </si>
  <si>
    <t>MARIA LAURA GONZALEZ ROULET</t>
  </si>
  <si>
    <t>MARIA LAUSA TESEI</t>
  </si>
  <si>
    <t>MARIA NATALIA OLIVIERI</t>
  </si>
  <si>
    <t>MARIA PETCOFF</t>
  </si>
  <si>
    <t>MARIANA MONTUELLO</t>
  </si>
  <si>
    <t>MARROCCO MARIA SILVIA</t>
  </si>
  <si>
    <t>Marsal Maria Alicia</t>
  </si>
  <si>
    <t>MARTA LESCANO</t>
  </si>
  <si>
    <t>MARTA ROSA CRISTIANSEN</t>
  </si>
  <si>
    <t>Martibez  Ivana Beatriz</t>
  </si>
  <si>
    <t>Martin Gregoria</t>
  </si>
  <si>
    <t xml:space="preserve">MARTIN LOZADA </t>
  </si>
  <si>
    <t>MARTINEZ CASTRO BARBARA DANIELA</t>
  </si>
  <si>
    <t>Martinez de Pezzoni Elida</t>
  </si>
  <si>
    <t>MARTINEZ GONZALEZ, ANA BELEN</t>
  </si>
  <si>
    <t>MARTINEZ, FELIPE ANDRES</t>
  </si>
  <si>
    <t>Martinez, Juan Augusto</t>
  </si>
  <si>
    <t>MARTINEZ, LAURA SILVINA</t>
  </si>
  <si>
    <t>MARTINEZ, NORMA ISABEL</t>
  </si>
  <si>
    <t>MARTOS JOSE CARLOS</t>
  </si>
  <si>
    <t>Masini Daniel Federico</t>
  </si>
  <si>
    <t>MASLOWSKI JOSE LUIS</t>
  </si>
  <si>
    <t>MASSARA VICTORIA</t>
  </si>
  <si>
    <t>MATHOV ENRIQUE JOSE</t>
  </si>
  <si>
    <t>MATTEAZZI DYHENART CLAUDIA</t>
  </si>
  <si>
    <t>MAVISUR SA</t>
  </si>
  <si>
    <t>MAXICONTAINER SRL</t>
  </si>
  <si>
    <t>Maya Liliana</t>
  </si>
  <si>
    <t>Maza Lorenzo Gabriel</t>
  </si>
  <si>
    <t>MEDICAL IMPROVEMENTS SRL</t>
  </si>
  <si>
    <t>MEDICUS SA</t>
  </si>
  <si>
    <t>MEDINA, MARIANA LUDMILA</t>
  </si>
  <si>
    <t>Medincare Argentina S.A.</t>
  </si>
  <si>
    <t>MEDZWECKI JACOBO ARMANDO</t>
  </si>
  <si>
    <t>MENA ORTEGA, ALEXI CRISTIAN</t>
  </si>
  <si>
    <t>MENDOZA PATRICIA CRISTINA</t>
  </si>
  <si>
    <t>Menendez Enrique</t>
  </si>
  <si>
    <t>Menteguiaga Lucia Estela</t>
  </si>
  <si>
    <t>PLATAFORMA ONLINE</t>
  </si>
  <si>
    <t>MERCADO TOTAL SAS</t>
  </si>
  <si>
    <t>MÉRIDA VARGAS, ELVIA PAMELA</t>
  </si>
  <si>
    <t>MERILLO NOEMI ESTER</t>
  </si>
  <si>
    <t>MERLO ESTEBAN JOSE</t>
  </si>
  <si>
    <t>MESA FIGUEROA DELFINA JARA</t>
  </si>
  <si>
    <t>MEYAR S.A.</t>
  </si>
  <si>
    <t>MGR IMPLANTES SA</t>
  </si>
  <si>
    <t>MIGUEL ANGEL VILLALBA</t>
  </si>
  <si>
    <t>MIRANDA LUIS ALBERTO</t>
  </si>
  <si>
    <t>Mirta Romero</t>
  </si>
  <si>
    <t>Mizrahi Emilio</t>
  </si>
  <si>
    <t>MODOLO CRISTIAN ARIEL</t>
  </si>
  <si>
    <t>MOLINA MIRTA GRACIELA</t>
  </si>
  <si>
    <t>MOLINO MARIANO GASTON</t>
  </si>
  <si>
    <t>MOLIVAUT SA</t>
  </si>
  <si>
    <t>Mollo Vicente Francisco</t>
  </si>
  <si>
    <t>Monge Sara</t>
  </si>
  <si>
    <t>MONZON BEATRIZ ESTER</t>
  </si>
  <si>
    <t>MORA NILDA BEATRIZ</t>
  </si>
  <si>
    <t>MORALES SANDRA</t>
  </si>
  <si>
    <t>Moreno, Mariana Roxana Del Jesus</t>
  </si>
  <si>
    <t>MORILLA HORACIO ALBERTO</t>
  </si>
  <si>
    <t>MORINI EMILIANO</t>
  </si>
  <si>
    <t>Moriondo, Adriana Ines</t>
  </si>
  <si>
    <t>Mosescu Esteban Andres Eduardo</t>
  </si>
  <si>
    <t>MOSQUERA ANDREA MARCELA</t>
  </si>
  <si>
    <t>Motos Air</t>
  </si>
  <si>
    <t>MOYA BACHINO Francisco</t>
  </si>
  <si>
    <t>MOYANO ADRIANA VALERIA</t>
  </si>
  <si>
    <t xml:space="preserve">MOYANO, EMILIA </t>
  </si>
  <si>
    <t>MPM GROUP SA</t>
  </si>
  <si>
    <t>MULTICREA SA</t>
  </si>
  <si>
    <t>Mulville Cynthia Alicia</t>
  </si>
  <si>
    <t xml:space="preserve">Muñoz Juan Martin </t>
  </si>
  <si>
    <t>Murua Jose Maximiliano</t>
  </si>
  <si>
    <t>MUTTIS ALEJANDRA MARCELA</t>
  </si>
  <si>
    <t>MUZIO GUILLERMO JOSE</t>
  </si>
  <si>
    <t>NADAL ROBERTO</t>
  </si>
  <si>
    <t>NADIA TARANTINO</t>
  </si>
  <si>
    <t>Nahir Berasategui</t>
  </si>
  <si>
    <t>Naiman Carlos</t>
  </si>
  <si>
    <t>Najus Anibal Ruben</t>
  </si>
  <si>
    <t>NANTARAT PEED</t>
  </si>
  <si>
    <t xml:space="preserve">NARDOMARINO EDUARDO FRANCISCO </t>
  </si>
  <si>
    <t>NARVAEZ RODRIGUEZ DAMIAN</t>
  </si>
  <si>
    <t>NARVAEZ RODRIGUEZ DAMIAN ORLANDO</t>
  </si>
  <si>
    <t>NARVAY EDUARDO HUGO</t>
  </si>
  <si>
    <t>NAVARRO CECILIA</t>
  </si>
  <si>
    <t>NAVARRO, LEANDRO DANIEL CARLOS</t>
  </si>
  <si>
    <t>NAVIA RAMON</t>
  </si>
  <si>
    <t>NELIDA ESTHER POGGIO</t>
  </si>
  <si>
    <t>Nelly Haydée Olivito</t>
  </si>
  <si>
    <t>NEMIROVSKY HECTOR</t>
  </si>
  <si>
    <t>NEPOTE LEANDRO MARTIN</t>
  </si>
  <si>
    <t>Nervi Viviana</t>
  </si>
  <si>
    <t xml:space="preserve">NESCI EMILIANO GABRIEL </t>
  </si>
  <si>
    <t>NGSHOP SRL</t>
  </si>
  <si>
    <t>NICA SA</t>
  </si>
  <si>
    <t>Nicastro Yolanda</t>
  </si>
  <si>
    <t>Nieves, Gaston</t>
  </si>
  <si>
    <t>Nobili Eduardo Jose</t>
  </si>
  <si>
    <t>NT SYSTEM WORK</t>
  </si>
  <si>
    <t>NUÑERA JARA EDGAR MOISES</t>
  </si>
  <si>
    <t>NUÑEZ FERNANDO MANUEL</t>
  </si>
  <si>
    <t>Nuñez Ricardo</t>
  </si>
  <si>
    <t>O.C.A.</t>
  </si>
  <si>
    <t>OBENAUS MARIANA ISABEL</t>
  </si>
  <si>
    <t>Obligado Maria Luz</t>
  </si>
  <si>
    <t>Obra Social De Actores</t>
  </si>
  <si>
    <t>OBRA SOCIAL DE LA ACTIVIDAD DE SEGUROS, REASEGUROS, CAPITALIZACION Y AHORRO Y PRESTAMO  PARA LA VIVIENDA</t>
  </si>
  <si>
    <t>30-50005352-2</t>
  </si>
  <si>
    <t>OBRA SOCIAL DEL PERSONAL DE LAS TELECOMUNICACIONES DE LA REP. ARGENTINA</t>
  </si>
  <si>
    <t>OBRA SOCIAL UNION PERSONAL DE LA UNION DEL PERSONAL CIVIL D</t>
  </si>
  <si>
    <t>OCAMPO, EDUARDO</t>
  </si>
  <si>
    <t xml:space="preserve">OCHOA GARCIA DORA ELENA </t>
  </si>
  <si>
    <t>OCHOA GRACIELA</t>
  </si>
  <si>
    <t>OIL A &amp; G S.R.L.</t>
  </si>
  <si>
    <t>OLGA PRATOLONGO</t>
  </si>
  <si>
    <t>OLIVA GLADYS MABEL</t>
  </si>
  <si>
    <t>OLIVEROS HECTOR</t>
  </si>
  <si>
    <t>Olstein Carlos</t>
  </si>
  <si>
    <t>Omar Quintana</t>
  </si>
  <si>
    <t>O'NEILL PUB SRL</t>
  </si>
  <si>
    <t>Comida Personal</t>
  </si>
  <si>
    <t>Onofrio Adriana Silvia</t>
  </si>
  <si>
    <t>Onsari Maria Mercedes</t>
  </si>
  <si>
    <t>OROZ ALEJANDRA EDITH</t>
  </si>
  <si>
    <t>ORQUERA JUAN RAMON</t>
  </si>
  <si>
    <t>ORTIZ CARLOS ARMANDO</t>
  </si>
  <si>
    <t>ORTOPEDIA CASA ESCALADA SRL</t>
  </si>
  <si>
    <t xml:space="preserve">ORTOPEDIA CUENCA S. R. L </t>
  </si>
  <si>
    <t>ORTOPEDICOS ALFOLATEX SA</t>
  </si>
  <si>
    <t>OSBRA SOCIAL SUPERCO</t>
  </si>
  <si>
    <t>OSCAR OCAMPOS</t>
  </si>
  <si>
    <t>OSMATA</t>
  </si>
  <si>
    <t>OSPLAD</t>
  </si>
  <si>
    <t>30-60871639-0</t>
  </si>
  <si>
    <t>OSTEL</t>
  </si>
  <si>
    <t>OSTIG</t>
  </si>
  <si>
    <t>OSUNA LUIS MIGUEL</t>
  </si>
  <si>
    <t>OTTO BOCK ARG SA</t>
  </si>
  <si>
    <t>PABLO ROBERTO MURUA POU</t>
  </si>
  <si>
    <t>PABLO URSINO</t>
  </si>
  <si>
    <t>PAEZ VALENTINO HUGO</t>
  </si>
  <si>
    <t>Palacios Morena</t>
  </si>
  <si>
    <t>Pallero, Victor Raul</t>
  </si>
  <si>
    <t>PALLINI, CRISTINA BEATRIZ</t>
  </si>
  <si>
    <t>PALLONE JORGE</t>
  </si>
  <si>
    <t>PALOMO JUAN CARLOS</t>
  </si>
  <si>
    <t>Pancotti Liliana Rosa</t>
  </si>
  <si>
    <t>PANTYMED SA</t>
  </si>
  <si>
    <t>PAOLINI, EUGENIO</t>
  </si>
  <si>
    <t>PAPARIGAPALOS ANDREA</t>
  </si>
  <si>
    <t>PAPELERA GEOPEL SRL</t>
  </si>
  <si>
    <t>PARADIS NILDA MABEL</t>
  </si>
  <si>
    <t>PAREDES GABRIEL MARIANO</t>
  </si>
  <si>
    <t>PARNA SA</t>
  </si>
  <si>
    <t>PARODI, SEBASTIAN CARLOS</t>
  </si>
  <si>
    <t>PASCUA SA</t>
  </si>
  <si>
    <t>PASCUAL MARIA VIRGINIA</t>
  </si>
  <si>
    <t>PASION DISTRIBUCIONES SRL</t>
  </si>
  <si>
    <t>REGALOS EMPRESARIALES-EVENTO</t>
  </si>
  <si>
    <t>Pasolli, Luis Alberto</t>
  </si>
  <si>
    <t>PASTOR ROSALES ROSA NOEMI</t>
  </si>
  <si>
    <t xml:space="preserve">PATIÑO NICOLAS VENTURA </t>
  </si>
  <si>
    <t>PATRICIA GONGORA</t>
  </si>
  <si>
    <t>Patron Sebastian</t>
  </si>
  <si>
    <t xml:space="preserve">PAZ EVA CLEMENTINA </t>
  </si>
  <si>
    <t>PELLEGRINO SERGIO OMAR</t>
  </si>
  <si>
    <t>Perdiguera, Jorge</t>
  </si>
  <si>
    <t>PEREDA, EDUARDO</t>
  </si>
  <si>
    <t>PEREYRA ELIZABET ANA</t>
  </si>
  <si>
    <t>Pereyra Maria Ester</t>
  </si>
  <si>
    <t>PEREYRA, ANA MARIA</t>
  </si>
  <si>
    <t>Perez Delia</t>
  </si>
  <si>
    <t>PEREZ FRANCO ADRIAN</t>
  </si>
  <si>
    <t>PERLA MATILDE ISART</t>
  </si>
  <si>
    <t>PETROCELLI EMILIO BRAULO</t>
  </si>
  <si>
    <t>PIAGGIO PAULA ANDREA</t>
  </si>
  <si>
    <t>PICOLEMAR SA</t>
  </si>
  <si>
    <t>PIERRI ALEXIS ARIEL</t>
  </si>
  <si>
    <t>PINAMAR SRL</t>
  </si>
  <si>
    <t>PINO SUB SA</t>
  </si>
  <si>
    <t>Pintos, Fernando Jose</t>
  </si>
  <si>
    <t>PIÑOL ELIZABETH ANDREA</t>
  </si>
  <si>
    <t>PIRIZ CARLA ELIZABETH</t>
  </si>
  <si>
    <t>Pirovano Pablo Horacio</t>
  </si>
  <si>
    <t>PISANO ELSA</t>
  </si>
  <si>
    <t>PISANTE ANA RUTH</t>
  </si>
  <si>
    <t>PIVA MICAELA</t>
  </si>
  <si>
    <t>TALLER</t>
  </si>
  <si>
    <t>Plotek Guillermo Hernan</t>
  </si>
  <si>
    <t xml:space="preserve">PODESTA OSCAR JUAN </t>
  </si>
  <si>
    <t>Polanco Victor</t>
  </si>
  <si>
    <t>POSNET SOCIEDAD DE RESPONSABILIDAD LIMITADA</t>
  </si>
  <si>
    <t>POTENZA LIDIA</t>
  </si>
  <si>
    <t>PRADO MARISOL</t>
  </si>
  <si>
    <t>PRESTOR SAS</t>
  </si>
  <si>
    <t>PRIETO CRISTIAN ARIEL</t>
  </si>
  <si>
    <t>PRIETO JULIO RAUL Y BJS</t>
  </si>
  <si>
    <t>PROSEGUR ACTIVA ARG SA</t>
  </si>
  <si>
    <t>PROSPERI OSCAR RUBEN</t>
  </si>
  <si>
    <t>PROYECTO 665 SRL</t>
  </si>
  <si>
    <t>Pujol Alberto Joaquin</t>
  </si>
  <si>
    <t>PUJOL GRACIELA</t>
  </si>
  <si>
    <t xml:space="preserve">QUINCOCES JUANA </t>
  </si>
  <si>
    <t>QUINTANA SOLEDAD</t>
  </si>
  <si>
    <t xml:space="preserve">QUIRO MED S A C I F </t>
  </si>
  <si>
    <t>R. N. LEDESMA</t>
  </si>
  <si>
    <t>RAMBAUD DIEGO GABRIEL</t>
  </si>
  <si>
    <t>RAMIREZ DANIEL HUGO</t>
  </si>
  <si>
    <t>Ramirez Ricardo</t>
  </si>
  <si>
    <t>RAMON OSCAR FUIGUEROA</t>
  </si>
  <si>
    <t>Ramos Adriana Monica</t>
  </si>
  <si>
    <t>RAMOS ROCIO SAMANTA</t>
  </si>
  <si>
    <t>Rapetti Ada Fuente de</t>
  </si>
  <si>
    <t>RAQUEL TURAÑONA</t>
  </si>
  <si>
    <t>RAVIOLO ANGELA RITA</t>
  </si>
  <si>
    <t xml:space="preserve">REFOJO GERMAN ORLANDO </t>
  </si>
  <si>
    <t>REHAVITA SA</t>
  </si>
  <si>
    <t>RELIEF CENTER SRL</t>
  </si>
  <si>
    <t>RENT AR SRL</t>
  </si>
  <si>
    <t>Resano Manuel Antonio</t>
  </si>
  <si>
    <t>Residencia La Horqueta S A</t>
  </si>
  <si>
    <t>Reyes, Vilma Carmen</t>
  </si>
  <si>
    <t>RICCIUTI JOSEFINA</t>
  </si>
  <si>
    <t>Rios, Eduardo Adolfo</t>
  </si>
  <si>
    <t>Rivero Graciela Analia</t>
  </si>
  <si>
    <t>RIZZO HORACIO GUSTAVO</t>
  </si>
  <si>
    <t>Roberto Gustavo Cesar Hernan</t>
  </si>
  <si>
    <t>ROC CHIVILCOY TRANSP Y L SA</t>
  </si>
  <si>
    <t>ROCIMEX SRL</t>
  </si>
  <si>
    <t>RODOLFO SCHULZE</t>
  </si>
  <si>
    <t>Rodrigo Chillemi</t>
  </si>
  <si>
    <t>RODRIGUEZ ANDRES</t>
  </si>
  <si>
    <t>RODRIGUEZ Esteban Osvaldo</t>
  </si>
  <si>
    <t>RODRIGUEZ FERNANDO ARIEL</t>
  </si>
  <si>
    <t>Rodriguez Jorge</t>
  </si>
  <si>
    <t>Rodriguez Maria Elena</t>
  </si>
  <si>
    <t xml:space="preserve">RODRIGUEZ MERCEDES INES </t>
  </si>
  <si>
    <t>RODRIGUEZ VICTORIANA</t>
  </si>
  <si>
    <t>RODRIGUEZ YAMILA ANDREA</t>
  </si>
  <si>
    <t>RODRIGUEZ, HUGO A</t>
  </si>
  <si>
    <t>Rojas Hermogenes</t>
  </si>
  <si>
    <t>ROJO Y AMARILLO SRL</t>
  </si>
  <si>
    <t>Roldan Silvia</t>
  </si>
  <si>
    <t>ROMANO, CONCEPCION</t>
  </si>
  <si>
    <t>ROMERO ALEJANDRO JAVIER</t>
  </si>
  <si>
    <t>Romero Felipe</t>
  </si>
  <si>
    <t>Romero Leonardo</t>
  </si>
  <si>
    <t>Romero Miguel Ariel</t>
  </si>
  <si>
    <t>Romero Miguel Roque</t>
  </si>
  <si>
    <t>Romiglio Maximiliano</t>
  </si>
  <si>
    <t>ROMINA PAOLA ANZOR RODRIGUEZ</t>
  </si>
  <si>
    <t>ROSALEZ GUILLERMO OSVALDO</t>
  </si>
  <si>
    <t>ROSANO MAMANI JULIA</t>
  </si>
  <si>
    <t>ROSENSTEIN EDUARDO OSCAR</t>
  </si>
  <si>
    <t>Rosselli Cristian Mario</t>
  </si>
  <si>
    <t>ROSSINI HECTOR EMILIANO</t>
  </si>
  <si>
    <t>Rothlisberger Raul Jesus</t>
  </si>
  <si>
    <t xml:space="preserve">RUBENBACH Adriana </t>
  </si>
  <si>
    <t>RUBENJUVE SRL</t>
  </si>
  <si>
    <t>Rubin Liba</t>
  </si>
  <si>
    <t>RUBIO BLANCA SANTA</t>
  </si>
  <si>
    <t>RUBRICOM SA</t>
  </si>
  <si>
    <t>Ruffa Rosa</t>
  </si>
  <si>
    <t>RUIZ  ANA IRENE</t>
  </si>
  <si>
    <t>RUSCIO NORBERTO VICENTE</t>
  </si>
  <si>
    <t>SAAVEDRA SILVIA GABRIELA</t>
  </si>
  <si>
    <t>SABBAGH PABLO ALEJANDRO</t>
  </si>
  <si>
    <t>SAENZ, MAGDALENA</t>
  </si>
  <si>
    <t>SAFRANCHIK SILVIA MERCEDES</t>
  </si>
  <si>
    <t>Said Marcos</t>
  </si>
  <si>
    <t>Said, Marcos</t>
  </si>
  <si>
    <t>SALTO NICOLAS</t>
  </si>
  <si>
    <t>SALVETTI, LIDIA SARA</t>
  </si>
  <si>
    <t>Samora, Federico Pablo</t>
  </si>
  <si>
    <t>San Miguel Juan Carlos</t>
  </si>
  <si>
    <t>SAN MIGUEL Maria Marta</t>
  </si>
  <si>
    <t>SAN PEDRO ADRIANA</t>
  </si>
  <si>
    <t>SANCHEZ HILDA INES DE</t>
  </si>
  <si>
    <t>Sancovici Berta</t>
  </si>
  <si>
    <t>SANDRI RICARDO ALBERTO</t>
  </si>
  <si>
    <t>SANGUINETTI MARIA</t>
  </si>
  <si>
    <t>SANTA FE COMERCIAL S.R.L.</t>
  </si>
  <si>
    <t>Sanz Irma Edith</t>
  </si>
  <si>
    <t>SAPUNA MARIAN KARINA</t>
  </si>
  <si>
    <t>SARA MARIA LOZA</t>
  </si>
  <si>
    <t xml:space="preserve">SARA STRASBERG </t>
  </si>
  <si>
    <t>SAVINO NATALIA SILVIA</t>
  </si>
  <si>
    <t>SAVINO, ANA PATRICIA</t>
  </si>
  <si>
    <t>SAVIOLI AIDA ELSA</t>
  </si>
  <si>
    <t>SCALISE A. FALANGA C SH</t>
  </si>
  <si>
    <t>Schelgel, Luis Alberto</t>
  </si>
  <si>
    <t>Schlatter VERONICA</t>
  </si>
  <si>
    <t>SCHNEIDER OSCAR</t>
  </si>
  <si>
    <t>SCHUR ROBERTO</t>
  </si>
  <si>
    <t>Schweikofsky, Ezequiel Alejandro</t>
  </si>
  <si>
    <t>Sciemaria Javier Hernan</t>
  </si>
  <si>
    <t>SCUTARI, ALEJANDRO ANGEL</t>
  </si>
  <si>
    <t xml:space="preserve">SEDANO S R L </t>
  </si>
  <si>
    <t>SEISEME SA</t>
  </si>
  <si>
    <t>SERVICIOS DEL DESIERTO SA</t>
  </si>
  <si>
    <t>Servín Hipólita</t>
  </si>
  <si>
    <t>SERVINORTE S A</t>
  </si>
  <si>
    <t>SILVIA ANA ONOFRIO</t>
  </si>
  <si>
    <t>Silvia Claudia Geijo</t>
  </si>
  <si>
    <t>SILVIA VICTORIA ARENA</t>
  </si>
  <si>
    <t>SINDICATO DE EMPLEADOS DE COMERCIO DE PUERTO SAN JULIAN</t>
  </si>
  <si>
    <t>Socrate Edgar</t>
  </si>
  <si>
    <t>SOFIA LAURA GIL</t>
  </si>
  <si>
    <t>Solano Rivera Vicente</t>
  </si>
  <si>
    <t>SOLANS SEBASTIAN DARIO</t>
  </si>
  <si>
    <t>SOLER DANIEL A.RICARDO SH</t>
  </si>
  <si>
    <t>Solesas Tamara Agrelo</t>
  </si>
  <si>
    <t>SOLMAY SRL</t>
  </si>
  <si>
    <t>SOLUCIONES EN HERRAMIENTAS COOPERATIVA DE TRABAJO LIMITADA</t>
  </si>
  <si>
    <t>SOLUCIONES ORTOPEDICAS</t>
  </si>
  <si>
    <t>Solveyra Emilia</t>
  </si>
  <si>
    <t>SOMOS ENERGIA SA</t>
  </si>
  <si>
    <t>SORUCO, DIANA YAEL</t>
  </si>
  <si>
    <t>SOSA CRISTIAN EDGARDO</t>
  </si>
  <si>
    <t>Sosa Maria Cecilia</t>
  </si>
  <si>
    <t>Soto Andrea</t>
  </si>
  <si>
    <t>South Management S A</t>
  </si>
  <si>
    <t>SPROVIERO, SILVIA PATRICIA</t>
  </si>
  <si>
    <t>SRAGOWICH PABLO MIJAEL</t>
  </si>
  <si>
    <t>30-57779728-1</t>
  </si>
  <si>
    <t>STAHLHOFER DANIEL OMAR</t>
  </si>
  <si>
    <t>Stancato Claudia Alejandra</t>
  </si>
  <si>
    <t>Stang Maria Cristina Esmeralda</t>
  </si>
  <si>
    <t>STEEMAN Martina Ana Soledad</t>
  </si>
  <si>
    <t>Steimez Ana Noemi</t>
  </si>
  <si>
    <t>STEPANIK, PAUL FRANCISCO</t>
  </si>
  <si>
    <t>Strasberg Sara</t>
  </si>
  <si>
    <t>STUTZ VERONICA</t>
  </si>
  <si>
    <t>Suburu Monica</t>
  </si>
  <si>
    <t>Sued Sandra Edith</t>
  </si>
  <si>
    <t>SUMMER COLOR</t>
  </si>
  <si>
    <t>SUPERVIELLE SANTIAGO</t>
  </si>
  <si>
    <t>SUR CARBURANTES SA</t>
  </si>
  <si>
    <t>SUSANA RAQUEL BAJDACZ</t>
  </si>
  <si>
    <t>HONORARIOS LEGALES</t>
  </si>
  <si>
    <t>Swaczu Maria Cristina</t>
  </si>
  <si>
    <t>TAPIA ARENAS, VICTOR HUGO</t>
  </si>
  <si>
    <t>TASSONE BRUNO DANIEL</t>
  </si>
  <si>
    <t>TCHEICHVILI, NINO PIKRIA</t>
  </si>
  <si>
    <t>TECNIPRAX SRL</t>
  </si>
  <si>
    <t>TECNOBIOLOGY</t>
  </si>
  <si>
    <t xml:space="preserve">MASCARAS PROTECCION </t>
  </si>
  <si>
    <t>TECNORTH SA</t>
  </si>
  <si>
    <t>TELECOM ARGENTINA SA</t>
  </si>
  <si>
    <t>TELEFONICA ARG SA</t>
  </si>
  <si>
    <t>TELEFONICA MOVILES ARG SA</t>
  </si>
  <si>
    <t>TEME SARA SIRIA</t>
  </si>
  <si>
    <t>Terzet S A</t>
  </si>
  <si>
    <t>TESIR SRL</t>
  </si>
  <si>
    <t>Teubal David</t>
  </si>
  <si>
    <t>Tomafa S.R.L.</t>
  </si>
  <si>
    <t>Torregrosa Pedro</t>
  </si>
  <si>
    <t>TORRES ACOSTA ROXANA MARILLI</t>
  </si>
  <si>
    <t>TORRES MARÍA</t>
  </si>
  <si>
    <t>TRAFE SUDAMERICANA SA</t>
  </si>
  <si>
    <t>TRANSPORTES BIN PACK SA</t>
  </si>
  <si>
    <t>TRANSPORTES LA SERVILLANITA</t>
  </si>
  <si>
    <t xml:space="preserve">TRENTIN, SERGIO FABIAN </t>
  </si>
  <si>
    <t>TRIMOVE SA</t>
  </si>
  <si>
    <t>TRINIDAD INSUMOS SRL</t>
  </si>
  <si>
    <t>TRIVEÑO ROMA RAMON</t>
  </si>
  <si>
    <t>Trotti Ana</t>
  </si>
  <si>
    <t>TRUST SRL</t>
  </si>
  <si>
    <t>Tucat Roberto Gaston</t>
  </si>
  <si>
    <t>30-70798618-9</t>
  </si>
  <si>
    <t>UTEDYC</t>
  </si>
  <si>
    <t>UTHURRALT JOSE ARISTOBULO</t>
  </si>
  <si>
    <t>V&amp;G FOREIGN TRADE S.R.L.</t>
  </si>
  <si>
    <t>VAGGI JORGE AUGUSTO</t>
  </si>
  <si>
    <t>VAGGI, ROSANA</t>
  </si>
  <si>
    <t>VALDEZ, JORGE JAVIER</t>
  </si>
  <si>
    <t>VALENTI JUAN CARLOS</t>
  </si>
  <si>
    <t>VALENTINI MARCELA</t>
  </si>
  <si>
    <t>VALLE, IRMA NOEMI</t>
  </si>
  <si>
    <t>VANESA TELECHEA</t>
  </si>
  <si>
    <t>VARELA EDUARDO DANILE</t>
  </si>
  <si>
    <t>Vasquez Rivas, Cresencio</t>
  </si>
  <si>
    <t>Vazquez Daniel Martin</t>
  </si>
  <si>
    <t>VAZQUEZ MAURO GASTON</t>
  </si>
  <si>
    <t xml:space="preserve">Vecchio Francisco </t>
  </si>
  <si>
    <t>Vecchione, Edith</t>
  </si>
  <si>
    <t>Vega Ernesto</t>
  </si>
  <si>
    <t>Vela Maria Ines</t>
  </si>
  <si>
    <t>VELARDE CARLOS A</t>
  </si>
  <si>
    <t>Velazquez Rita Elva</t>
  </si>
  <si>
    <t>Veltri Adriana Mabel</t>
  </si>
  <si>
    <t>VENTIMIGLIA COTOS FLORENCIA</t>
  </si>
  <si>
    <t>VERGARA COMBUSTIBLES SRL</t>
  </si>
  <si>
    <t>VIALGA SA</t>
  </si>
  <si>
    <t>VICTOR MASSON TRANSPORTES CRUZ DEL SUR S A</t>
  </si>
  <si>
    <t>VIDAL CESAR</t>
  </si>
  <si>
    <t>Vidal Norberto</t>
  </si>
  <si>
    <t>VIENTOS ARGENTINOS SRL</t>
  </si>
  <si>
    <t>Vignati Eduardo Alberto Y Rossetti Pablo Manuel Sociedad De Hecho</t>
  </si>
  <si>
    <t>VILASECA CRISTIAN</t>
  </si>
  <si>
    <t>Villafañe Jose Carlos</t>
  </si>
  <si>
    <t>Villafañe Nelida Ana</t>
  </si>
  <si>
    <t>VILLALBA AVALOS DANTE ALBERTO</t>
  </si>
  <si>
    <t>VILLANUEVA RICARDO GABRIEL</t>
  </si>
  <si>
    <t>VILLASANTI, MARCELA</t>
  </si>
  <si>
    <t>Viñales Hilda</t>
  </si>
  <si>
    <t>VITALO ADRIANA NOEMI</t>
  </si>
  <si>
    <t>Vittone Silvana</t>
  </si>
  <si>
    <t>VIVALLO CISTERNA, KARINA ANDREA</t>
  </si>
  <si>
    <t>Volpe Daniel Gustavo</t>
  </si>
  <si>
    <t>VTV SUD SA</t>
  </si>
  <si>
    <t>HERRERA CARLOS MARTIN</t>
  </si>
  <si>
    <t>MA JUN</t>
  </si>
  <si>
    <t>GUTIERREZ BRITO GERARDO PABLO</t>
  </si>
  <si>
    <t xml:space="preserve">GARCIA JUAN IGNACIO </t>
  </si>
  <si>
    <t>PASQUALICH ELVIO ALDO</t>
  </si>
  <si>
    <t>TECHCOM SRL</t>
  </si>
  <si>
    <t>OLIVA JUAN PABLO</t>
  </si>
  <si>
    <t>LOGISTICA PATRICIOS  SA</t>
  </si>
  <si>
    <t>SAN ALBERTO BALCARCE SRL</t>
  </si>
  <si>
    <t>Maxer S R L</t>
  </si>
  <si>
    <t xml:space="preserve"> GUSTAVO GABRIEL DENARO</t>
  </si>
  <si>
    <t>Echaide Jose Carlos</t>
  </si>
  <si>
    <t>Corina Luccardi</t>
  </si>
  <si>
    <t>Juan Matias Gomez Andersen</t>
  </si>
  <si>
    <t>Magni Gladys Edit</t>
  </si>
  <si>
    <t>GROSSO, ESTELA MARIA</t>
  </si>
  <si>
    <t>MARIELA CASTAGNINO</t>
  </si>
  <si>
    <t>ALBERTO GRIMALDI</t>
  </si>
  <si>
    <t>CYNTHIA ELIANA VARANO</t>
  </si>
  <si>
    <t>ROMEO, NELIDA ZULMA</t>
  </si>
  <si>
    <t>DELMIRA JOSEFINA FELICE</t>
  </si>
  <si>
    <t>LIFSZYC, SILVANA NOEMI</t>
  </si>
  <si>
    <t>Guerello Fabián Ángel</t>
  </si>
  <si>
    <t>LEIS, MAGALI</t>
  </si>
  <si>
    <t>MAN, SEBASTIAN</t>
  </si>
  <si>
    <t>Indiana Corna</t>
  </si>
  <si>
    <t>SILVA CLAUDIA LORENA</t>
  </si>
  <si>
    <t>SEDEX ARGENTINA SA</t>
  </si>
  <si>
    <t>Lydia Norma Marceno</t>
  </si>
  <si>
    <t>FERREYRA, ZULMA ELENA</t>
  </si>
  <si>
    <t>LIPOVICH RICARDO JAVIER</t>
  </si>
  <si>
    <t xml:space="preserve">CABALLERO, URSULA </t>
  </si>
  <si>
    <t>LUZZANI MATIAS FEDERICO</t>
  </si>
  <si>
    <t>JHOYSI, AHUANARI EVANGELISTA</t>
  </si>
  <si>
    <t>SAVALA, BRAIAN</t>
  </si>
  <si>
    <t>PEREZ, GUILLERMO LUIS</t>
  </si>
  <si>
    <t>MENDOZA, SANDRA ELIZABETH</t>
  </si>
  <si>
    <t>CIPRIANI JULIA</t>
  </si>
  <si>
    <t>KILSTEIN, BENJAMIN ALBERTO</t>
  </si>
  <si>
    <t>LIMA, MELISA DANIELA</t>
  </si>
  <si>
    <t>SALVADOR NATALIO DE GENNARO</t>
  </si>
  <si>
    <t>VIDAL, MARCELA BEATRIZ</t>
  </si>
  <si>
    <t>PAULA EDITH CENICEROS</t>
  </si>
  <si>
    <t xml:space="preserve">BERENGUER, LEONOR LUCIA </t>
  </si>
  <si>
    <t>BALDASSARRE, ALBERTO HECTOR</t>
  </si>
  <si>
    <t>MARA TATIANA PONTAROLLO TSCHOPP</t>
  </si>
  <si>
    <t>SUSANA MARÍA GOLINOWSKI</t>
  </si>
  <si>
    <t>BUSTOS, JUAN MANUEL</t>
  </si>
  <si>
    <t>MIGUEL, EDUARDO ADRIAN</t>
  </si>
  <si>
    <t>RAMIREZ, JAVIER EDUARDO</t>
  </si>
  <si>
    <t>Jorge Alberto Matoso</t>
  </si>
  <si>
    <t>PLYT, SARA ETEL</t>
  </si>
  <si>
    <t>PEREZ PRADO, MARIA ALEJANDRA</t>
  </si>
  <si>
    <t>HUGO ALFREDO PELLET</t>
  </si>
  <si>
    <t>PASCUCCI, ALBERTO ADALINO</t>
  </si>
  <si>
    <t>ANZOR, WALTER ABDON</t>
  </si>
  <si>
    <t>BARBEITO ANA MARIA</t>
  </si>
  <si>
    <t xml:space="preserve"> RIOS, ISMAEL RAMON LEO</t>
  </si>
  <si>
    <t>SOKOLOVICZ, SARA</t>
  </si>
  <si>
    <t>MATIENZO, MABEL</t>
  </si>
  <si>
    <t>DEL RÍO, SOFÍA</t>
  </si>
  <si>
    <t>FAN, LU</t>
  </si>
  <si>
    <t xml:space="preserve">Francisco Cosentino </t>
  </si>
  <si>
    <t>VOLPI, ALBERTO JAVIER</t>
  </si>
  <si>
    <t>Paula Casafuz Parada</t>
  </si>
  <si>
    <t xml:space="preserve">CANO, DIEGO ARMANDO </t>
  </si>
  <si>
    <t>ALG INDUMENTARIAS SRL</t>
  </si>
  <si>
    <t>COLARUSSO JUAN FRANCISCO</t>
  </si>
  <si>
    <t>GABRIEL ALEJANDRO SEGAL</t>
  </si>
  <si>
    <t>MAXIMA REFRIGERACION SRL</t>
  </si>
  <si>
    <t>POZZO MIGUEL ROBERTO</t>
  </si>
  <si>
    <t>BLASCO MARIA GUADALUPE</t>
  </si>
  <si>
    <t>VAZQUEZ RICARDO OSCAR</t>
  </si>
  <si>
    <t>PINEDA ESTEBAN BERNABE</t>
  </si>
  <si>
    <t>PANATEL SOCIEDAD ANONIMA</t>
  </si>
  <si>
    <t>SERVICIOS DE ALOJAMIENTO EN HOTELES</t>
  </si>
  <si>
    <t>SOSA CRISTIAN HERNAN</t>
  </si>
  <si>
    <t>VIEL AUTOMOTORES S A C I F I</t>
  </si>
  <si>
    <t>CARMAS SA</t>
  </si>
  <si>
    <t>OLIVA RODRIGUEZ GUADALUPE</t>
  </si>
  <si>
    <t xml:space="preserve">HONORARIOS </t>
  </si>
  <si>
    <t>PRELAT JORGE EMILIO</t>
  </si>
  <si>
    <t>GONZALEZ CRISTIAN RICARDO</t>
  </si>
  <si>
    <t>FARFAN, RAMÓN</t>
  </si>
  <si>
    <t>LINKIEWICZ VICENTA IRENE</t>
  </si>
  <si>
    <t>Obra Social Del Personal De Imprentas Diarios Y Afines</t>
  </si>
  <si>
    <t>Asociacion Mutual Sancor Salud</t>
  </si>
  <si>
    <t>RAPETTI, ADA FUENTES DE</t>
  </si>
  <si>
    <t>MARIA ELENA RODRIGUEZ</t>
  </si>
  <si>
    <t>SALAO ROSA BEATRIZ</t>
  </si>
  <si>
    <t>ADRIANA ANA MARÍA MARCUZZO</t>
  </si>
  <si>
    <t>LOPEZ, MARIA VALERIA</t>
  </si>
  <si>
    <t>LOTO, GISELLE BELEN</t>
  </si>
  <si>
    <t>JIMENA BEATRIZ TELLO</t>
  </si>
  <si>
    <t>BURAK, MANUEL JORGE</t>
  </si>
  <si>
    <t>Comisario, Leoncio</t>
  </si>
  <si>
    <t>DOMINGUEZ, GUILLERMO ADRIAN</t>
  </si>
  <si>
    <t>MARTINEZ MONZON, ONESIMO SERGIO PAULO</t>
  </si>
  <si>
    <t>UZCATEGUI QUIROZ JESUS GERMAN</t>
  </si>
  <si>
    <t>Salas, Maria Ethel</t>
  </si>
  <si>
    <t>LEICACH, JORGE HUGO</t>
  </si>
  <si>
    <t>MARIANA VIEYTES</t>
  </si>
  <si>
    <t>Guillermo Nicolás Mankiewicz</t>
  </si>
  <si>
    <t>OBREGÓN, ROSA AMELIA</t>
  </si>
  <si>
    <t>RIOS, VILMA BEATRIZ</t>
  </si>
  <si>
    <t>VAICIKAUSKAS, GUSTAVO</t>
  </si>
  <si>
    <t>BUNCHICOFF, MARIA</t>
  </si>
  <si>
    <t>RIZZO, GLADYS BEATRIZ</t>
  </si>
  <si>
    <t>GONZALEZ, EDOVIGES DEL CARMEN</t>
  </si>
  <si>
    <t>PAOLA SOLEDAD PUPICH</t>
  </si>
  <si>
    <t>BRUGNA, MIRTA PATRICIA</t>
  </si>
  <si>
    <t>MARIANA MENDONCA</t>
  </si>
  <si>
    <t>COMERCIALIZADORA DE BEBIDAS SRL</t>
  </si>
  <si>
    <t>SHIGA MOTORS SA</t>
  </si>
  <si>
    <t>TASCAR SRL</t>
  </si>
  <si>
    <t>flete</t>
  </si>
  <si>
    <t>LIEFRINK Y MARX SA</t>
  </si>
  <si>
    <t>EL TROMPETA SA</t>
  </si>
  <si>
    <t>REGET-M3 S.R.L.</t>
  </si>
  <si>
    <t>FIRST LABEL S.R.L.</t>
  </si>
  <si>
    <t>CASTILLO S A C I F I A</t>
  </si>
  <si>
    <t>APPLUS SANTA MARIA DEL BUEN AYRE SA</t>
  </si>
  <si>
    <t>LIGIER SA</t>
  </si>
  <si>
    <t>NARDOMARINO EZEQUIEL EDUARDO</t>
  </si>
  <si>
    <t>NALDO LOMBARDI S A</t>
  </si>
  <si>
    <t>GMRA S. A.</t>
  </si>
  <si>
    <t>TELEC SRL</t>
  </si>
  <si>
    <t>MATMAX S.R.L.</t>
  </si>
  <si>
    <t>HIRSCH CARLA</t>
  </si>
  <si>
    <t>AGROAUSTRAL SRL</t>
  </si>
  <si>
    <t>SALINAS VERONICA</t>
  </si>
  <si>
    <t>VALDES LUCIA CATALINA</t>
  </si>
  <si>
    <t>Edin Fabio Rosales</t>
  </si>
  <si>
    <t>GERONIMO, JUAN CARLOS</t>
  </si>
  <si>
    <t>PIRARO, SALVADOR</t>
  </si>
  <si>
    <t>ROQUE DEMETRIO OYOLA</t>
  </si>
  <si>
    <t>KOHAN, RUTH SUSANA</t>
  </si>
  <si>
    <t>MORGAN, SANTIAGO</t>
  </si>
  <si>
    <t>VULTAGGIO, GUSTAVO JAVIER</t>
  </si>
  <si>
    <t>PENSO, MARTA INES</t>
  </si>
  <si>
    <t>LOLY GARCIA, SERGIO LUIS</t>
  </si>
  <si>
    <t>CALDERONI, MÓNICA</t>
  </si>
  <si>
    <t>BORDON, NATALIA ALEJANDRA</t>
  </si>
  <si>
    <t>SCHMID, MARIANA MIRTA</t>
  </si>
  <si>
    <t>RAMIREZ, MONICA ISABEL</t>
  </si>
  <si>
    <t>CABELLO LETICIA JESICA</t>
  </si>
  <si>
    <t>JOSE LUIS ARANA SRL</t>
  </si>
  <si>
    <t>ORTOPEDIA GRAL. GÜEMES</t>
  </si>
  <si>
    <t>ORTOPEDIA Y CIRUGIA MODELO</t>
  </si>
  <si>
    <t>Del Valle Elevadores S.R.L.</t>
  </si>
  <si>
    <t>Mayer, Julian</t>
  </si>
  <si>
    <t>MARIA LUISA TESCIONE</t>
  </si>
  <si>
    <t xml:space="preserve">FLORENCIA INES VOLPE </t>
  </si>
  <si>
    <t>PAGANOTTO, MARCELO OSCAR</t>
  </si>
  <si>
    <t>MARÍA CAROLINA ULLOA</t>
  </si>
  <si>
    <t>MONTI, MARIA PAULA</t>
  </si>
  <si>
    <t>DARU, VICTOR DANIEL</t>
  </si>
  <si>
    <t>GALECKI, TADEO</t>
  </si>
  <si>
    <t>GHERLANZ, ANDREA VIVIANA</t>
  </si>
  <si>
    <t>CORZO, MARIA EVA</t>
  </si>
  <si>
    <t>DARIO DE LA ROSA</t>
  </si>
  <si>
    <t>BRENNAN, MARIA IRENE</t>
  </si>
  <si>
    <t>ACCAVALLO, MARIA DE LOS ANGELES</t>
  </si>
  <si>
    <t>GLORIA FULLGRAFF</t>
  </si>
  <si>
    <t>VARALLA, HÉCTOR SANTIAGO</t>
  </si>
  <si>
    <t>SIMONE, CLAUDIA MARINA</t>
  </si>
  <si>
    <t>GARCIA COZZI, JORGE NORBERTO</t>
  </si>
  <si>
    <t>NINE, JULIO CESAR</t>
  </si>
  <si>
    <t>STURTZ, MARGARITA ALEJANDRA</t>
  </si>
  <si>
    <t>MOYA, MONICA ISABEL</t>
  </si>
  <si>
    <t>Obra Social De Talleristas A Domicilio</t>
  </si>
  <si>
    <t>DURAN, CARMEN</t>
  </si>
  <si>
    <t>FARINA, MARIA JIMENA</t>
  </si>
  <si>
    <t>RODRIGUEZ JOSE MARIA</t>
  </si>
  <si>
    <t>RUIZ MELGAREJO, MONICA ELIZABETH</t>
  </si>
  <si>
    <t>FERNANDEZ HECK MATIAS NICOLAS</t>
  </si>
  <si>
    <t>OCA LOG  SA</t>
  </si>
  <si>
    <t>NOYA BEATRIZ SUSANA</t>
  </si>
  <si>
    <t>COMINI PABLO RUBEN</t>
  </si>
  <si>
    <t>EYPAPEL SAS</t>
  </si>
  <si>
    <t>VZH SRL</t>
  </si>
  <si>
    <t>LUIS A MARTORANI Y CIA SA</t>
  </si>
  <si>
    <t>DEXTRUM SRL</t>
  </si>
  <si>
    <t>PEREYRA CASADO VALERIA DAIANA</t>
  </si>
  <si>
    <t>Valencia Campos, Teresa</t>
  </si>
  <si>
    <t>Autosuchin  S.R.L.</t>
  </si>
  <si>
    <t>TCHOKLA SAYEGH NICOLE</t>
  </si>
  <si>
    <t>PACHAME ADRIANA ALEJANDRA</t>
  </si>
  <si>
    <t>MANGGINI PABLO Y MANGGINI ULISES SOC. DE HECHO.</t>
  </si>
  <si>
    <t>POLYTECH S A</t>
  </si>
  <si>
    <t>DM TECHNOLOGY</t>
  </si>
  <si>
    <t>MONITOR ARTISTICA SA</t>
  </si>
  <si>
    <t>TURSARKISIAN MISISIAN VERONICA GEMA</t>
  </si>
  <si>
    <t>PRETI ELISEO ROBERTO</t>
  </si>
  <si>
    <t>APICELLA VANESA DANIELA</t>
  </si>
  <si>
    <t>SEGALINI SA</t>
  </si>
  <si>
    <t>MULTIPLACAS SA</t>
  </si>
  <si>
    <t>ALVAREZ BETINA  EVELIN</t>
  </si>
  <si>
    <t>Obra Social Del Personal De Direccion De Perfumeria  E W Hope</t>
  </si>
  <si>
    <t>BOLLERO JUAN CARLOS</t>
  </si>
  <si>
    <t>SANTAMARIA MARTA NOEMI</t>
  </si>
  <si>
    <t>ELECTROYHOGAR.COM</t>
  </si>
  <si>
    <t>ELECTRONICS SOLUTIONS SA</t>
  </si>
  <si>
    <t>DISTRI AIRES SRL</t>
  </si>
  <si>
    <t>HARD BOX SRL</t>
  </si>
  <si>
    <t>PROSEGUR SA</t>
  </si>
  <si>
    <t>DIAGNOSTIC MEDIC SA</t>
  </si>
  <si>
    <t>RPM MOVILES SRL</t>
  </si>
  <si>
    <t>MALGAREJO NICOLAS EMILIO</t>
  </si>
  <si>
    <t>SERVICIOS LUARCA SA</t>
  </si>
  <si>
    <t>Obra Social Del Personal De La Industria Del Plastico</t>
  </si>
  <si>
    <t>RUIZ, VERONICA SOFIA</t>
  </si>
  <si>
    <t>BARATTINI, CESAR RUBEN</t>
  </si>
  <si>
    <t>PALMA, EDUARDO JORGE</t>
  </si>
  <si>
    <t>FERRARI, SEBASTIAN</t>
  </si>
  <si>
    <t>KURINGHIAN,JUAN</t>
  </si>
  <si>
    <t>PARRENO,IANFRANCO</t>
  </si>
  <si>
    <t>LEON AGUERO JIMENA</t>
  </si>
  <si>
    <t>Estancia Laguna Vitel S.A.</t>
  </si>
  <si>
    <t>Obra Social Del Personal De Sociedades  De Autores Y Afines</t>
  </si>
  <si>
    <t>GENDELMAN,MAURICIO</t>
  </si>
  <si>
    <t>MAZAS, NORBERTO EDUARDO</t>
  </si>
  <si>
    <t>Benitez Facundo Manuel</t>
  </si>
  <si>
    <t>AYELEN ROCIO ZELARRAYAN</t>
  </si>
  <si>
    <t xml:space="preserve"> DA SILVA, JOSE LUI</t>
  </si>
  <si>
    <t>GODOY, RAMON ARMANDO</t>
  </si>
  <si>
    <t>DAMARFU SA</t>
  </si>
  <si>
    <t>CAMARA  DE GRABADORES DE AUTOPARTES DE VEHICULOS AUTOMOTORES Y MOTOVEHICULOS</t>
  </si>
  <si>
    <t>GONZALEZ CARRERA JORGE ESTEBAN</t>
  </si>
  <si>
    <t>ORTOPEDIA Y CIRUGIA DELGADO</t>
  </si>
  <si>
    <t>MARTINEZ ALEJANDRA ELIZABETH</t>
  </si>
  <si>
    <t>EL UNIVERSO DEL CONTROL REMOTO S.R.L.</t>
  </si>
  <si>
    <t>PINTURAS ONLINE S.A</t>
  </si>
  <si>
    <t>LIBRERIA EL COLEGIO AVELLANEDA S.R.L.</t>
  </si>
  <si>
    <t>SEDESA S.A.</t>
  </si>
  <si>
    <t>LA COLONIA SA</t>
  </si>
  <si>
    <t>RIVERO NEGRETTI, YULIETH ANDREINA</t>
  </si>
  <si>
    <t>MIELNIK, ANA LUISA</t>
  </si>
  <si>
    <t>GONZALEZ RAUL JORGE</t>
  </si>
  <si>
    <t>SAITO GOÑI, YRMA MICHICO</t>
  </si>
  <si>
    <t>UTHURRALT, CECILIA</t>
  </si>
  <si>
    <t>GALLIVERTTI, PATRICIA NOEMI</t>
  </si>
  <si>
    <t>ANDREOTTI, CECILIA</t>
  </si>
  <si>
    <t>PATEIRO COSTA, JULIA MIRTHA</t>
  </si>
  <si>
    <t>AHIBE, MARÍA JUDIT</t>
  </si>
  <si>
    <t xml:space="preserve">DONADINI, MARIANA INES </t>
  </si>
  <si>
    <t>AGUIRRE FELIX RAFAEL</t>
  </si>
  <si>
    <t>CUDERO, SILVINA</t>
  </si>
  <si>
    <t>PELIZZARI, MICAELA BIBIANA</t>
  </si>
  <si>
    <t>ROMERO, JOAN MANUEL</t>
  </si>
  <si>
    <t>GOMEZ, RUBEN BENJAMIN</t>
  </si>
  <si>
    <t>MARTA ESPINOLA</t>
  </si>
  <si>
    <t>RIOS, LAURA MARCELA</t>
  </si>
  <si>
    <t>Contanza, Maria Gabriela</t>
  </si>
  <si>
    <t>KUPFERMINC, AGNES M. DE</t>
  </si>
  <si>
    <t xml:space="preserve">MOREIRAS, MARIA DEL CARMEN </t>
  </si>
  <si>
    <t>TORRES FAINSCHTEIN, PABLO DAVID</t>
  </si>
  <si>
    <t>FOTI, FACUNDO ARIEL</t>
  </si>
  <si>
    <t>MAISLER, LAZARO MANUEL</t>
  </si>
  <si>
    <t>CAMPOBASSO, MARIANA LAURA</t>
  </si>
  <si>
    <t>BERTOLINI MEZA ÁNGEL DANIEL</t>
  </si>
  <si>
    <t>SANTIAGO,LOMBARDI</t>
  </si>
  <si>
    <t>VERENZUELA VERONICA</t>
  </si>
  <si>
    <t>Olguin Avila, Walter Mauricio</t>
  </si>
  <si>
    <t>Foucault S.A.</t>
  </si>
  <si>
    <t>VICENTIN MILENA ANDREA</t>
  </si>
  <si>
    <t>LOPEZ JORGE ALBERTO</t>
  </si>
  <si>
    <t>SERVICIOS ARM SA</t>
  </si>
  <si>
    <t>NEUMATICOS GARCIA CANO SRL</t>
  </si>
  <si>
    <t>FRANCESE GONZALO ROMAN</t>
  </si>
  <si>
    <t>MEDICINA PREPAGA HOMINIS SA</t>
  </si>
  <si>
    <t>BRANCH S.R.L.</t>
  </si>
  <si>
    <t>OLGUIN GISELLE ANAHI</t>
  </si>
  <si>
    <t>MLND SRL</t>
  </si>
  <si>
    <t>ORTOPEDIA BERNAT SRL</t>
  </si>
  <si>
    <t>SALAZAR CALLE VICTOR</t>
  </si>
  <si>
    <t>SEANTEC SA</t>
  </si>
  <si>
    <t>Gb Gabytex S.R.L.</t>
  </si>
  <si>
    <t>GERMAN LEONEL REIZ</t>
  </si>
  <si>
    <t>CARI MILTON ABRAHAM</t>
  </si>
  <si>
    <t>FIGUEREDO, ESTELA MABEL</t>
  </si>
  <si>
    <t>TAHUIL, CARLOS MARIA</t>
  </si>
  <si>
    <t>FRANCISCO JOSE SANTORO</t>
  </si>
  <si>
    <t>FERNANDEZ, SILVIA HORTENCIA</t>
  </si>
  <si>
    <t>RUSSO, MELANY</t>
  </si>
  <si>
    <t>SANZIO, INMACULADA CONCEPCION</t>
  </si>
  <si>
    <t>TRIUNFO, ROMINA VALERIA</t>
  </si>
  <si>
    <t>GIUGGIARO, LUIS ALBERTO</t>
  </si>
  <si>
    <t>LUCANTIS, MARINA</t>
  </si>
  <si>
    <t>MINERVINI, MARIA DEL CARMEN LILIANA</t>
  </si>
  <si>
    <t>QUINTEROS ROMINA SOLEDAD</t>
  </si>
  <si>
    <t>CORONEL BENILDA</t>
  </si>
  <si>
    <t>DIAZ, DORA DALMIRA</t>
  </si>
  <si>
    <t>DELGADO, MATIAS HORACIO</t>
  </si>
  <si>
    <t>Gutierrez Emilia</t>
  </si>
  <si>
    <t>LYKO, RICARDO GABRIEL</t>
  </si>
  <si>
    <t>FERNANDEZ ABLATICO, CARLOS JAVIER</t>
  </si>
  <si>
    <t xml:space="preserve">GUELACHE , ELISA ANDREA </t>
  </si>
  <si>
    <t>GONZALEZ, TEODORA</t>
  </si>
  <si>
    <t>FOGLIA, ANTONIO MANUEL</t>
  </si>
  <si>
    <t>ANTIVERO, LUISA</t>
  </si>
  <si>
    <t>ESPOSITO, MARIELA FERNANDA</t>
  </si>
  <si>
    <t>COLINAS, DANIEL</t>
  </si>
  <si>
    <t>GARCIA PAZ JIMENA</t>
  </si>
  <si>
    <t>GUPARO S.R.L.</t>
  </si>
  <si>
    <t>ABUGAUCH MARIA DE LOS ANGELES</t>
  </si>
  <si>
    <t>CENTRO ORTOPEDICO SAN LUIS</t>
  </si>
  <si>
    <t>TAPITEL SA</t>
  </si>
  <si>
    <t>DELSUR AUTOS SA</t>
  </si>
  <si>
    <t>SEVILLA SERGIO HORACIO</t>
  </si>
  <si>
    <t>ABUGAUCH VICTOR HUGO</t>
  </si>
  <si>
    <t>EXPRESO FORMOSA SRL</t>
  </si>
  <si>
    <t>FARMACIA DE MEDRANO SCS</t>
  </si>
  <si>
    <t>ORTOPEDIA SOLER SRL</t>
  </si>
  <si>
    <t>LA BRUNA MARIA VIRGINIA</t>
  </si>
  <si>
    <t>Rasjido, Mercedes Victorina</t>
  </si>
  <si>
    <t>Grupo Cvm S.R.L.</t>
  </si>
  <si>
    <t>REDNET  SRL</t>
  </si>
  <si>
    <t>PORTEÑA SRL</t>
  </si>
  <si>
    <t>AGEN S.A.</t>
  </si>
  <si>
    <t>NICOLAS TOBIAS SEQUEIRA Y MARIA GABRIELA RATTNER SOCIEDAD DE LA SECCION IV LGS</t>
  </si>
  <si>
    <t>RADIO SPICA S.A.</t>
  </si>
  <si>
    <t>OSTEO IMPLANTS S.R.L.</t>
  </si>
  <si>
    <t>BONVA SA</t>
  </si>
  <si>
    <t>SOTOMAYOR CISNEROS CAROLINA</t>
  </si>
  <si>
    <t>IMIG WALTER DAMIAN</t>
  </si>
  <si>
    <t>VICTOR M. GILABERT SH</t>
  </si>
  <si>
    <t>FAIL ABRAHAM</t>
  </si>
  <si>
    <t>PROFETI NOEMI GISELE</t>
  </si>
  <si>
    <t>FARMARINA SRL</t>
  </si>
  <si>
    <t>PASCUET ALBERTO JORGE</t>
  </si>
  <si>
    <t>SORENSEN S R L</t>
  </si>
  <si>
    <t>LEHRMAN JORGE EDUARDO</t>
  </si>
  <si>
    <t>OBRA SOCIAL DE LA FEDERACION ARGENTINA DEL TRABAJADOR DE LAS UNIVERSIDADES NACIONALES</t>
  </si>
  <si>
    <t>GILES JUAN MANUEL</t>
  </si>
  <si>
    <t>CEVEN SA</t>
  </si>
  <si>
    <t>LUBRICANTES RUTA DE P e H SRL</t>
  </si>
  <si>
    <t>SAMPEDRO SILVIA HERMINIA</t>
  </si>
  <si>
    <t>TOTAL COMPRAS NETAS</t>
  </si>
  <si>
    <t>CREDICOOP</t>
  </si>
  <si>
    <t>PATAGONIA</t>
  </si>
  <si>
    <t>TOTAL:</t>
  </si>
  <si>
    <t>&gt; ya esta sumado al total</t>
  </si>
  <si>
    <t>TRANSPORTES E.G. S.R.L.</t>
  </si>
  <si>
    <t>RAMASKO JORGE FERNANDO</t>
  </si>
  <si>
    <t>GOMATODO S.R.L.</t>
  </si>
  <si>
    <t>ZAMORA EDUARDO HERALDO</t>
  </si>
  <si>
    <t>COLOMBO JAVIER MATIAS</t>
  </si>
  <si>
    <t>GIAMPAOLETTI  S A</t>
  </si>
  <si>
    <t>REVICAR S.A.</t>
  </si>
  <si>
    <t>PORTUMAT  S.R.L.</t>
  </si>
  <si>
    <t>SERVICIOS PERSONALES</t>
  </si>
  <si>
    <t>BUENOS AIRES</t>
  </si>
  <si>
    <t>NOUBAR PARNAKIAN S A</t>
  </si>
  <si>
    <t>SS METAL MECANICA SRL</t>
  </si>
  <si>
    <t>LIROLA FABIAN ALEJANDRO</t>
  </si>
  <si>
    <t>COMERCIALIZADORA MORRES SA</t>
  </si>
  <si>
    <t>DIMEO LUCIANO</t>
  </si>
  <si>
    <t>SCHIANO MORIELLO LUIS ANDRES</t>
  </si>
  <si>
    <t>MADERERA LLAVALLOL SA</t>
  </si>
  <si>
    <t>ESPOSITO FRANCISCO ANT Y OT SH</t>
  </si>
  <si>
    <t>CENTURION JACQUELINE ESTEFANIA</t>
  </si>
  <si>
    <t>31/03/2023</t>
  </si>
  <si>
    <t>DISDEC</t>
  </si>
  <si>
    <t>DISTRIBUIDORA DGO S.R.L.</t>
  </si>
  <si>
    <t>PORTAL INSUMOS S R L</t>
  </si>
  <si>
    <t>SURDO HERNAN OMAR</t>
  </si>
  <si>
    <t>ALONZO SANTANDER MARLENE</t>
  </si>
  <si>
    <t>ROSARIO LOGISTICA S.A.</t>
  </si>
  <si>
    <t>EXPRESO RIVADAVIA S R L</t>
  </si>
  <si>
    <t>BALINERO SRL</t>
  </si>
  <si>
    <t>LOGISTICA DE LA COSTA SA</t>
  </si>
  <si>
    <t>ALVAREZ CONTRERAS REYNALDO</t>
  </si>
  <si>
    <t>EXPRESO TROLE SRL</t>
  </si>
  <si>
    <t>PAMPIN MARIANO OSCAR</t>
  </si>
  <si>
    <t>OMNICHANNEL S.A.</t>
  </si>
  <si>
    <t>La Manola Moda Srl</t>
  </si>
  <si>
    <t>INTEGRAL PACK EXPRESS S.A.</t>
  </si>
  <si>
    <t>DEBELIUCH TOMAS IVAN</t>
  </si>
  <si>
    <t>SM COMBUSTIBLES S.R.L.</t>
  </si>
  <si>
    <t>QUIROZ ALEMAN LUCAS DANIEL</t>
  </si>
  <si>
    <t>CAMINOS DEL RIO URUGUAY S A DE CONSTRUCCIONES Y CONCESIONES VIALES</t>
  </si>
  <si>
    <t>MERAS HNOS S.A.</t>
  </si>
  <si>
    <t>MIÑO GUSTAVO SEBASTIAN</t>
  </si>
  <si>
    <t>FREUND GABRIELA</t>
  </si>
  <si>
    <t>BELLINI FILIPPINI ALBERTO MARCOS</t>
  </si>
  <si>
    <t>AFONSO BOAVENTURA RUBEN</t>
  </si>
  <si>
    <t>ELECTRO ILUMINATE S.R.L.</t>
  </si>
  <si>
    <t>MAZAFFRE DANIEL ALBERTO</t>
  </si>
  <si>
    <t>DI PARDO EMIGDIO MAXIMILIANO</t>
  </si>
  <si>
    <t>NUNEZ MATIAS YOEL</t>
  </si>
  <si>
    <t>DI FEO MARTIN EZEQUIEL</t>
  </si>
  <si>
    <t>BRITOS MARIA GABRIELA</t>
  </si>
  <si>
    <t>TRANSPORTES IMAZ S R L</t>
  </si>
  <si>
    <t>BIANCHI CRISTIAN MAXIMILIANO</t>
  </si>
  <si>
    <t>RAGO DIEGO ORLANDO</t>
  </si>
  <si>
    <t>3PI S.A.S.</t>
  </si>
  <si>
    <t>MG FARMACEUTICA SA</t>
  </si>
  <si>
    <t>TRANSPORTES ÑANDUBAY</t>
  </si>
  <si>
    <t>COSTA JOSE ANIBAL</t>
  </si>
  <si>
    <t>GOTTIG DIEGO GASTON LUJAN</t>
  </si>
  <si>
    <t>MERCERIA ZAFFINO SA</t>
  </si>
  <si>
    <t>ARMORAUT SA</t>
  </si>
  <si>
    <t>CHAVES MATIAS EZEQUIEL</t>
  </si>
  <si>
    <t>MIGOYA MORIONDO MARIA INES</t>
  </si>
  <si>
    <t>ARANA NICOLAS</t>
  </si>
  <si>
    <t>LATI SALOMON ARIEL</t>
  </si>
  <si>
    <t>VASTA LUCILA</t>
  </si>
  <si>
    <t>WARNES  TELAS  SA</t>
  </si>
  <si>
    <t>GASOLEO SA</t>
  </si>
  <si>
    <t>ALCOCER MARIO DANIEL</t>
  </si>
  <si>
    <t>TEAM MALDONADO HNOS S.A.</t>
  </si>
  <si>
    <t>QUIROGA HERNAN EZEQUIEL</t>
  </si>
  <si>
    <t>PUSHKENA TEXTIL S.A.</t>
  </si>
  <si>
    <t>NAUTICA BELLI S.R.L.</t>
  </si>
  <si>
    <t>CASA MAKAROVSKY S A C I I F</t>
  </si>
  <si>
    <t>QUARATINO HUGO JOSE</t>
  </si>
  <si>
    <t>SC PILAR S.A.</t>
  </si>
  <si>
    <t>EGESAC SOCIEDAD ANONIM</t>
  </si>
  <si>
    <t>PRICEWATERHOUSECOOPERS SERVICE DELIVERY CENTER (ARGENTINA) S.R.L.</t>
  </si>
  <si>
    <t>COD 81</t>
  </si>
  <si>
    <t>PH SERVICIOS Y GESTIONES SOCIEDAD ANONIMA</t>
  </si>
  <si>
    <t>S.F. PANDA IMPORTACION Y EXPORTACION S.R.L.</t>
  </si>
  <si>
    <t>CPT INTEGRAL SA</t>
  </si>
  <si>
    <t>POTA AMOBLAMIENTOS S.R.L.</t>
  </si>
  <si>
    <t>NOLASCO ALAN MANUEL</t>
  </si>
  <si>
    <t>FEDERACION ARGENTINA DE ENTIDADES EMPRESARIAS DEL AUTOTRANSPORTE DE CARGAS FADEEAC</t>
  </si>
  <si>
    <t>MUNDOPEL SRL</t>
  </si>
  <si>
    <t>ABOUD PABLO DANIEL</t>
  </si>
  <si>
    <t>PATAGONIA SHOWROOM S.A.</t>
  </si>
  <si>
    <t>BIDCOM SRL</t>
  </si>
  <si>
    <t>REHAB S.R.L.</t>
  </si>
  <si>
    <t>ROCCA SUR S.R.L</t>
  </si>
  <si>
    <t>JPL S.R.L.</t>
  </si>
  <si>
    <t>PROSPERI SERGIO GERARDO</t>
  </si>
  <si>
    <t>ALCAZAR MARGARITA ROSA</t>
  </si>
  <si>
    <t>Fgc Fuels Marketing SA</t>
  </si>
  <si>
    <t>APERTILE CARLOS ALEJANDRO</t>
  </si>
  <si>
    <t>CENTURION MARCO ANTONIO</t>
  </si>
  <si>
    <t>MARANSI S.A.</t>
  </si>
  <si>
    <t>TRANSPORTES EL POLLY SOCIEDAD ANONIMA</t>
  </si>
  <si>
    <t>OSCAR DIOJTAR S A</t>
  </si>
  <si>
    <t>MOURELLE DE BUCETA IRMA  - BUCETA SEBASTIAN Y BUCETA VERONICA S H</t>
  </si>
  <si>
    <t>CACHO SUSPENSION S A</t>
  </si>
  <si>
    <t>PICA GERARDO</t>
  </si>
  <si>
    <t>CEBA LEANDRO RODOLFO</t>
  </si>
  <si>
    <t>PRESMAR SOCIEDAD ANONIMA</t>
  </si>
  <si>
    <t>GAX S.A.</t>
  </si>
  <si>
    <t>MEDEOT OSVALDO LUCIO</t>
  </si>
  <si>
    <t>DULCE LUGAR</t>
  </si>
  <si>
    <t>cod 81</t>
  </si>
  <si>
    <t>VIPETROL S.A</t>
  </si>
  <si>
    <t>CREDICOOP CABAL</t>
  </si>
  <si>
    <t>CREDICOOP MAESRTRO</t>
  </si>
  <si>
    <t>CREDICOOP MASTER</t>
  </si>
  <si>
    <t>OVIEDO JIMENEZ TIZIANO LIONEL</t>
  </si>
  <si>
    <t>NUÑEZ GONZALEZ JORGE ESTEBAN</t>
  </si>
  <si>
    <t>TAVO'S S.A</t>
  </si>
  <si>
    <t>GIFT CARD ARGENTINA S.A.</t>
  </si>
  <si>
    <t>MS GLOBAL LINK S.A.</t>
  </si>
  <si>
    <t>ATECUB S.A.</t>
  </si>
  <si>
    <t>CAMEJO GRACIELA</t>
  </si>
  <si>
    <t>UZUMAKI S.A.S.</t>
  </si>
  <si>
    <t>INFLABLES WORLD S.A.</t>
  </si>
  <si>
    <t>LIN YUMEI</t>
  </si>
  <si>
    <t>DONATO ALFREDO ENRIQUE Y PENSEL FRANCISCO JAVIER SOCIEDAD DE HECHO</t>
  </si>
  <si>
    <t>JADS S.A.</t>
  </si>
  <si>
    <t>BUS PACK S.A.</t>
  </si>
  <si>
    <t>ALGETEC S.R.L.</t>
  </si>
  <si>
    <t>UNENS S R L</t>
  </si>
  <si>
    <t>IACONO JUAN</t>
  </si>
  <si>
    <t>TACACHO ROLANDO GABRIEL</t>
  </si>
  <si>
    <t>RODRIGUEZ KEYLA JAEL</t>
  </si>
  <si>
    <t>GARCIA LETTIERI EDUARDO ALBERTO</t>
  </si>
  <si>
    <t>GARCIA ARCE FRANCISCO</t>
  </si>
  <si>
    <t>ARCE RAQUEL INES</t>
  </si>
  <si>
    <t>MIGOYA MORIONDO SOFIA</t>
  </si>
  <si>
    <t>SALAS MARCELO ALEJANDRO</t>
  </si>
  <si>
    <t>CHANCO VILLAVICENCIO ERNESTO ANTONIO</t>
  </si>
  <si>
    <t>BARD MARISA SILVIA</t>
  </si>
  <si>
    <t>LURASCHI HUMBERTO JOSE </t>
  </si>
  <si>
    <t>BANCO PATAGONIA</t>
  </si>
  <si>
    <t>DABRA SOCIEDAD ANONIMA</t>
  </si>
  <si>
    <t>HERRAMIENTAS DEL SUR S.A.</t>
  </si>
  <si>
    <t>PURTECH S.R.L.</t>
  </si>
  <si>
    <t>EDUARDO E MOSTTO LUIS O MOSTTO DANIEL A MOSTTO Y JULIO H MOSTTO</t>
  </si>
  <si>
    <t>UNIPASE S.A.</t>
  </si>
  <si>
    <t>GUTIERREZ CUSSI ARMANDO</t>
  </si>
  <si>
    <t>AGUGAS S.A.</t>
  </si>
  <si>
    <t>TRANSPORTES UNION S. A.</t>
  </si>
  <si>
    <t>ESPADA FARALDO MARGARITA MERCEDES</t>
  </si>
  <si>
    <t>ANTIMO VALERIA EDITH</t>
  </si>
  <si>
    <t>VECCHI MARIA FERNANDA</t>
  </si>
  <si>
    <t>VAZQUEZ CAMILA</t>
  </si>
  <si>
    <t>Credicoop</t>
  </si>
  <si>
    <t>Patagonia</t>
  </si>
  <si>
    <t>VERISURE ARGENTINA MONITOREO DE ALARMAS SA</t>
  </si>
  <si>
    <t>SCHEJTER LILA ELISA</t>
  </si>
  <si>
    <t>MANZINI MARTA GRACIELA</t>
  </si>
  <si>
    <t>CHIARA FLORENCIA</t>
  </si>
  <si>
    <t>HECKER LAURA NOEMI</t>
  </si>
  <si>
    <t>JUNIN 0 SRL</t>
  </si>
  <si>
    <t>ANDREANI AGUSTINA SUSANA</t>
  </si>
  <si>
    <t>LA JUNIOR S.R.L.</t>
  </si>
  <si>
    <t>PAIS HECTOR GUILLERMO</t>
  </si>
  <si>
    <t>PISOS BODEN S.A.</t>
  </si>
  <si>
    <t>RODRIGUEZ HERMANOS TRANSPORTES S.A.</t>
  </si>
  <si>
    <t>GRANADOS HNOS. S.R.L.</t>
  </si>
  <si>
    <t>MONSEÑOR Z S.A.</t>
  </si>
  <si>
    <t>UBDA S.A.</t>
  </si>
  <si>
    <t>DADAGLIO HNOS S A I C F I A</t>
  </si>
  <si>
    <t>FREDES LUCAS FEDERICO</t>
  </si>
  <si>
    <t>Gasto Alojamiento</t>
  </si>
  <si>
    <t>GARCIA CANO JUAN CARLOS</t>
  </si>
  <si>
    <t>Servicio Transporte</t>
  </si>
  <si>
    <t>LOPEZ MATIAS</t>
  </si>
  <si>
    <t>EXPRESO BICENTENARIO S.R.L</t>
  </si>
  <si>
    <t>SALEME CARAM</t>
  </si>
  <si>
    <t>1-547715636</t>
  </si>
  <si>
    <t>MASTERCARD</t>
  </si>
  <si>
    <t>1-547696325</t>
  </si>
  <si>
    <t>MASTER DEBITO</t>
  </si>
  <si>
    <t>CABAL</t>
  </si>
  <si>
    <t xml:space="preserve">IVA </t>
  </si>
  <si>
    <t>PERV CABCA</t>
  </si>
  <si>
    <t>SOLUCIONES TECNOLOGICAS INTEGRALES SRL</t>
  </si>
  <si>
    <t>LA UNION SRL</t>
  </si>
  <si>
    <t>CARLOS ALBERTO QUIRINO</t>
  </si>
  <si>
    <t>CARMAS COMPOSITES S.R.L.</t>
  </si>
  <si>
    <t>Productos Ortopedicos</t>
  </si>
  <si>
    <t>mueble y utiles</t>
  </si>
  <si>
    <t>GNC MONTE GRANDE S.R.L.</t>
  </si>
  <si>
    <t>HIERROS TORRENT S.A.</t>
  </si>
  <si>
    <t>GUERRY JOSE ADOLFO</t>
  </si>
  <si>
    <t>PARADELA LUCAS MARIANO</t>
  </si>
  <si>
    <t>GRUPO ORTOPEDIA MODELO 5028</t>
  </si>
  <si>
    <t>PASTORIZA ALEJANDRO JAVIER</t>
  </si>
  <si>
    <t>GASTOS ADMINISTRATIVOS</t>
  </si>
  <si>
    <t>LABORATORIOS SLR</t>
  </si>
  <si>
    <t>Licencia Marca</t>
  </si>
  <si>
    <t>PROD ORTOP P/ALQ</t>
  </si>
  <si>
    <t>ROPA TRABAJO</t>
  </si>
  <si>
    <t>HONORARIOS TECNICOS</t>
  </si>
  <si>
    <t>GESTION COBRANZAS</t>
  </si>
  <si>
    <t>MEDIDAS</t>
  </si>
  <si>
    <t>Gastos Escribania</t>
  </si>
  <si>
    <t>GASTOS COMERCIALIZACION</t>
  </si>
  <si>
    <t>Recupero P. Ortopedicos</t>
  </si>
  <si>
    <t>PATENTES</t>
  </si>
  <si>
    <t>GASTOS CONTABLES</t>
  </si>
  <si>
    <t>Catering</t>
  </si>
  <si>
    <t>ALQUILERES PAGADOS</t>
  </si>
  <si>
    <t>EXPENSAS PAGADAS</t>
  </si>
  <si>
    <t>Servicios Gas-Luz-Agua-Internet</t>
  </si>
  <si>
    <t>Gastos comercializacion</t>
  </si>
  <si>
    <t>Ropa Trabajo</t>
  </si>
  <si>
    <t>MUSSO LUIS ADRIAN</t>
  </si>
  <si>
    <t>CONTABILIUM SA</t>
  </si>
  <si>
    <t>SOUSA ALDERETE ALEJANDRA MABEL</t>
  </si>
  <si>
    <t>BLAUGRANA EVENTOS S.R.L.</t>
  </si>
  <si>
    <t>IMPORTACIONES BRANDON S.R.L.</t>
  </si>
  <si>
    <t>SMART IT SOLUTIONS S.R.L</t>
  </si>
  <si>
    <t>BIENESTAR Y SOLUCIONES S.R.L.</t>
  </si>
  <si>
    <t>BUGALLO FACUNDO</t>
  </si>
  <si>
    <t>CATERING</t>
  </si>
  <si>
    <t>HORIZONTE TRANSPORTES S R L</t>
  </si>
  <si>
    <t>LIPROT S.R.L.</t>
  </si>
  <si>
    <t>ALUFRAME S.R.L</t>
  </si>
  <si>
    <t>VELEZ ALEJANDRO MARCELO</t>
  </si>
  <si>
    <t>BARNATAN MARCOS ARIEL</t>
  </si>
  <si>
    <t>ZG MULTITEC SRL</t>
  </si>
  <si>
    <t>Proveedor</t>
  </si>
  <si>
    <t>ARABIA FABIANA</t>
  </si>
  <si>
    <t>ASTORGA JORGE DANIEL</t>
  </si>
  <si>
    <t>RIVERO GABRIELA ROCIO</t>
  </si>
  <si>
    <t>Gasto Tecnico</t>
  </si>
  <si>
    <t>RODRIGUEZ PATRICIO SALVADOR</t>
  </si>
  <si>
    <t>VANONI OBANDO ROMY PRISCILLA</t>
  </si>
  <si>
    <t>Servicio Enseñanza</t>
  </si>
  <si>
    <t>BOCCACCI MARIA FLORENCIA</t>
  </si>
  <si>
    <t>ZELUCASH SA</t>
  </si>
  <si>
    <t>Productos OrtopedicosS</t>
  </si>
  <si>
    <t>Productos Ortopedicoss</t>
  </si>
  <si>
    <t>MANTENIMIENTO</t>
  </si>
  <si>
    <t>WOW TOTAL PRINT S.A</t>
  </si>
  <si>
    <t>WHITE SALUD S.R.L.</t>
  </si>
  <si>
    <t>GONZALEZ ALFREDO HUGO</t>
  </si>
  <si>
    <t>01/05/2024</t>
  </si>
  <si>
    <t>02/05/2024</t>
  </si>
  <si>
    <t>06/05/2024</t>
  </si>
  <si>
    <t>07/05/2024</t>
  </si>
  <si>
    <t>08/05/2024</t>
  </si>
  <si>
    <t>13/05/2024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</si>
  <si>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</si>
  <si>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</si>
  <si>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</si>
  <si>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</si>
  <si>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</si>
  <si>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</si>
  <si>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</si>
  <si>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27/05/2024</t>
  </si>
  <si>
    <t>28/05/2024</t>
  </si>
  <si>
    <t>29/05/2024</t>
  </si>
  <si>
    <t>31/05/2024</t>
  </si>
  <si>
    <t>MIRABAL ARIEL ADRIAN</t>
  </si>
  <si>
    <t>ALVAGON S.R.L</t>
  </si>
  <si>
    <t>HZ ELECTRICIDAD SRL</t>
  </si>
  <si>
    <t>CURBA INTEGRAL S. R. L.</t>
  </si>
  <si>
    <t>ACQUISTI GLADYS NOEMI</t>
  </si>
  <si>
    <t>CENTRAL BAZAR S.A.</t>
  </si>
  <si>
    <t>D A C DISTRIBUIDORA ARGENTINA DE CHAPAS S A C I</t>
  </si>
  <si>
    <t>S-MART HARDWARE CREATIVE SOLUTIONS S.R.L.</t>
  </si>
  <si>
    <t>RIVERA MARCELO RAUL</t>
  </si>
  <si>
    <t>SICANIA SA</t>
  </si>
  <si>
    <t>CATYCAN S.A.</t>
  </si>
  <si>
    <t>PRINTEMPS S.R.L.</t>
  </si>
  <si>
    <t>RODADO</t>
  </si>
  <si>
    <t>Servicio Seguridad</t>
  </si>
  <si>
    <t>Honorarios Tecnicos</t>
  </si>
  <si>
    <t>02/09/2024</t>
  </si>
  <si>
    <t>09/09/2024</t>
  </si>
  <si>
    <t>10/09/2024</t>
  </si>
  <si>
    <t>11/09/2024</t>
  </si>
  <si>
    <t>15/09/2024</t>
  </si>
  <si>
    <t>17/09/2024</t>
  </si>
  <si>
    <t>18/09/2024</t>
  </si>
  <si>
    <t>19/09/2024</t>
  </si>
  <si>
    <t>20/09/2024</t>
  </si>
  <si>
    <t>21/09/2024</t>
  </si>
  <si>
    <t>23/09/2024</t>
  </si>
  <si>
    <t>27/09/2024</t>
  </si>
  <si>
    <t>18/06/2024</t>
  </si>
  <si>
    <t>28/06/2024</t>
  </si>
  <si>
    <t>BANCO PATAGONIA SOCIEDAD ANONIMA</t>
  </si>
  <si>
    <t>FAST MAIL SRL</t>
  </si>
  <si>
    <t>representaciones tecnologicas sa</t>
  </si>
  <si>
    <t>GSC DELI</t>
  </si>
  <si>
    <t>CASA MANITO SA CIF</t>
  </si>
  <si>
    <t>SAUER IGNACIO JOSE</t>
  </si>
  <si>
    <t>BAJDA SRL</t>
  </si>
  <si>
    <t>MATERIA PIXEL S.A.</t>
  </si>
  <si>
    <t>DE CAI S.R.L.</t>
  </si>
  <si>
    <t>GASCO CONDE SILVIA MONICA</t>
  </si>
  <si>
    <t>LANDRO FRANCISCO RICARDO</t>
  </si>
  <si>
    <t xml:space="preserve">CIGNONI ALEJANDRA FABIANA </t>
  </si>
  <si>
    <t>COWES JAVIER NESTOR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</si>
</sst>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&quot;$&quot;\ #,##0.00;&quot;$&quot;\ \-#,##0.00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dd\-mm\-yy;@"/>
    <numFmt numFmtId="169" formatCode="000"/>
    <numFmt numFmtId="170" formatCode="0000"/>
    <numFmt numFmtId="171" formatCode="00000000"/>
    <numFmt numFmtId="172" formatCode="##\-########\-#"/>
    <numFmt numFmtId="173" formatCode="[$-C0A]mmmm\-yy;@"/>
    <numFmt numFmtId="174" formatCode="[$$-2C0A]\ #,##0.00;\-[$$-2C0A]\ #,##0.00"/>
    <numFmt numFmtId="175" formatCode="_-[$$-2C0A]\ * #,##0.00_-;\-[$$-2C0A]\ * #,##0.00_-;_-[$$-2C0A]\ * &quot;-&quot;??_-;_-@_-"/>
    <numFmt numFmtId="176" formatCode="#,##0.000"/>
    <numFmt numFmtId="177" formatCode="0.000"/>
    <numFmt numFmtId="178" formatCode="#,##0.00_ ;[Red]\-#,##0.00\ "/>
    <numFmt numFmtId="179" formatCode="dd/mm/yy;@"/>
    <numFmt numFmtId="180" formatCode="#,##0.0;[Red]\-#,##0.0"/>
    <numFmt numFmtId="181" formatCode="d/mm/yyyy"/>
    <numFmt numFmtId="182" formatCode="#,##0.00;[Red]\-#,##0.00"/>
  </numFmts>
  <fonts count="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0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7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43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</cellStyleXfs>
  <cellXfs count="689">
    <xf numFmtId="0" fontId="0" fillId="0" borderId="0" xfId="0"/>
    <xf numFmtId="172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6" fontId="21" fillId="8" borderId="18" xfId="6" applyNumberFormat="1" applyFont="1" applyFill="1" applyBorder="1" applyAlignment="1">
      <alignment horizontal="center"/>
    </xf>
    <xf numFmtId="176" fontId="21" fillId="8" borderId="2" xfId="6" applyNumberFormat="1" applyFont="1" applyFill="1" applyBorder="1" applyAlignment="1">
      <alignment horizontal="center"/>
    </xf>
    <xf numFmtId="176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6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7" fontId="20" fillId="0" borderId="7" xfId="9" applyFont="1" applyBorder="1" applyAlignment="1">
      <alignment horizontal="center"/>
    </xf>
    <xf numFmtId="167" fontId="20" fillId="0" borderId="11" xfId="9" applyFont="1" applyBorder="1" applyAlignment="1">
      <alignment horizontal="center"/>
    </xf>
    <xf numFmtId="167" fontId="20" fillId="0" borderId="1" xfId="9" applyFont="1" applyBorder="1" applyAlignment="1">
      <alignment horizontal="center"/>
    </xf>
    <xf numFmtId="177" fontId="25" fillId="0" borderId="0" xfId="6" applyNumberFormat="1" applyFont="1"/>
    <xf numFmtId="0" fontId="25" fillId="16" borderId="0" xfId="6" applyFont="1" applyFill="1" applyAlignment="1">
      <alignment horizontal="center"/>
    </xf>
    <xf numFmtId="177" fontId="26" fillId="8" borderId="1" xfId="6" applyNumberFormat="1" applyFont="1" applyFill="1" applyBorder="1" applyAlignment="1">
      <alignment horizontal="left"/>
    </xf>
    <xf numFmtId="177" fontId="26" fillId="8" borderId="17" xfId="6" applyNumberFormat="1" applyFont="1" applyFill="1" applyBorder="1" applyAlignment="1">
      <alignment horizontal="left"/>
    </xf>
    <xf numFmtId="177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7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8" fontId="6" fillId="0" borderId="0" xfId="3" applyNumberFormat="1" applyFont="1" applyAlignment="1">
      <alignment horizontal="center" vertical="center"/>
    </xf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8" fontId="10" fillId="0" borderId="1" xfId="3" applyNumberFormat="1" applyFont="1" applyBorder="1"/>
    <xf numFmtId="178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8" fontId="10" fillId="0" borderId="28" xfId="0" applyNumberFormat="1" applyFont="1" applyBorder="1"/>
    <xf numFmtId="178" fontId="13" fillId="0" borderId="28" xfId="0" applyNumberFormat="1" applyFont="1" applyBorder="1" applyAlignment="1">
      <alignment horizontal="right"/>
    </xf>
    <xf numFmtId="178" fontId="6" fillId="0" borderId="28" xfId="0" applyNumberFormat="1" applyFont="1" applyBorder="1" applyAlignment="1">
      <alignment horizontal="right" vertical="center"/>
    </xf>
    <xf numFmtId="178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8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2" fontId="6" fillId="0" borderId="1" xfId="3" applyNumberFormat="1" applyFont="1" applyBorder="1" applyAlignment="1">
      <alignment horizontal="center"/>
    </xf>
    <xf numFmtId="178" fontId="6" fillId="0" borderId="1" xfId="3" applyNumberFormat="1" applyFont="1" applyBorder="1"/>
    <xf numFmtId="178" fontId="6" fillId="0" borderId="1" xfId="3" applyNumberFormat="1" applyFont="1" applyBorder="1" applyAlignment="1">
      <alignment horizontal="right"/>
    </xf>
    <xf numFmtId="168" fontId="6" fillId="0" borderId="27" xfId="3" applyNumberFormat="1" applyFont="1" applyBorder="1" applyAlignment="1">
      <alignment horizontal="center"/>
    </xf>
    <xf numFmtId="169" fontId="6" fillId="0" borderId="28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8" fontId="6" fillId="0" borderId="28" xfId="3" applyNumberFormat="1" applyFont="1" applyBorder="1"/>
    <xf numFmtId="178" fontId="6" fillId="0" borderId="28" xfId="3" applyNumberFormat="1" applyFont="1" applyBorder="1" applyAlignment="1">
      <alignment horizontal="right"/>
    </xf>
    <xf numFmtId="168" fontId="6" fillId="0" borderId="9" xfId="3" applyNumberFormat="1" applyFont="1" applyBorder="1" applyAlignment="1">
      <alignment horizontal="center"/>
    </xf>
    <xf numFmtId="169" fontId="6" fillId="0" borderId="1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8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2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7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1" fontId="44" fillId="0" borderId="0" xfId="3" applyNumberFormat="1" applyFont="1" applyAlignment="1">
      <alignment horizontal="center"/>
    </xf>
    <xf numFmtId="172" fontId="44" fillId="0" borderId="0" xfId="3" applyNumberFormat="1" applyFont="1" applyAlignment="1">
      <alignment horizont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179" fontId="44" fillId="0" borderId="0" xfId="3" applyNumberFormat="1" applyFont="1" applyAlignment="1">
      <alignment horizontal="center"/>
    </xf>
    <xf numFmtId="171" fontId="42" fillId="0" borderId="0" xfId="3" applyNumberFormat="1" applyFont="1" applyAlignment="1">
      <alignment horizontal="center" vertical="center"/>
    </xf>
    <xf numFmtId="4" fontId="0" fillId="0" borderId="0" xfId="0" applyNumberFormat="1"/>
    <xf numFmtId="0" fontId="12" fillId="24" borderId="34" xfId="0" applyFont="1" applyFill="1" applyBorder="1" applyAlignment="1">
      <alignment horizontal="right"/>
    </xf>
    <xf numFmtId="43" fontId="12" fillId="24" borderId="35" xfId="27" applyFont="1" applyFill="1" applyBorder="1"/>
    <xf numFmtId="171" fontId="46" fillId="0" borderId="0" xfId="3" applyNumberFormat="1" applyFont="1" applyAlignment="1">
      <alignment horizontal="center"/>
    </xf>
    <xf numFmtId="172" fontId="46" fillId="0" borderId="0" xfId="3" applyNumberFormat="1" applyFont="1" applyAlignment="1">
      <alignment horizontal="center"/>
    </xf>
    <xf numFmtId="0" fontId="46" fillId="0" borderId="0" xfId="3" applyFont="1" applyAlignment="1">
      <alignment horizontal="left"/>
    </xf>
    <xf numFmtId="0" fontId="46" fillId="0" borderId="0" xfId="3" applyFont="1" applyAlignment="1">
      <alignment horizontal="center" vertical="center"/>
    </xf>
    <xf numFmtId="4" fontId="45" fillId="0" borderId="0" xfId="3" applyNumberFormat="1" applyFont="1" applyAlignment="1">
      <alignment horizontal="right" vertical="center"/>
    </xf>
    <xf numFmtId="0" fontId="0" fillId="25" borderId="0" xfId="0" applyFill="1"/>
    <xf numFmtId="172" fontId="6" fillId="0" borderId="28" xfId="3" applyNumberFormat="1" applyFont="1" applyBorder="1" applyAlignment="1">
      <alignment horizontal="center"/>
    </xf>
    <xf numFmtId="168" fontId="10" fillId="0" borderId="36" xfId="3" applyNumberFormat="1" applyFont="1" applyBorder="1" applyAlignment="1">
      <alignment horizontal="center"/>
    </xf>
    <xf numFmtId="169" fontId="10" fillId="0" borderId="1" xfId="3" applyNumberFormat="1" applyFont="1" applyBorder="1" applyAlignment="1">
      <alignment horizontal="center"/>
    </xf>
    <xf numFmtId="170" fontId="10" fillId="0" borderId="9" xfId="3" applyNumberFormat="1" applyFont="1" applyBorder="1" applyAlignment="1">
      <alignment horizontal="center"/>
    </xf>
    <xf numFmtId="171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78" fontId="10" fillId="0" borderId="1" xfId="3" applyNumberFormat="1" applyFont="1" applyBorder="1" applyAlignment="1">
      <alignment horizontal="right"/>
    </xf>
    <xf numFmtId="178" fontId="10" fillId="0" borderId="1" xfId="3" applyNumberFormat="1" applyFont="1" applyBorder="1" applyAlignment="1">
      <alignment horizontal="right" vertical="center"/>
    </xf>
    <xf numFmtId="168" fontId="10" fillId="0" borderId="23" xfId="3" applyNumberFormat="1" applyFont="1" applyBorder="1" applyAlignment="1">
      <alignment horizontal="center"/>
    </xf>
    <xf numFmtId="170" fontId="10" fillId="0" borderId="27" xfId="3" applyNumberFormat="1" applyFont="1" applyBorder="1" applyAlignment="1">
      <alignment horizontal="center"/>
    </xf>
    <xf numFmtId="171" fontId="10" fillId="0" borderId="28" xfId="3" applyNumberFormat="1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172" fontId="10" fillId="0" borderId="28" xfId="3" applyNumberFormat="1" applyFont="1" applyBorder="1" applyAlignment="1">
      <alignment horizontal="center"/>
    </xf>
    <xf numFmtId="178" fontId="10" fillId="0" borderId="28" xfId="3" applyNumberFormat="1" applyFont="1" applyBorder="1"/>
    <xf numFmtId="178" fontId="10" fillId="0" borderId="28" xfId="3" applyNumberFormat="1" applyFont="1" applyBorder="1" applyAlignment="1">
      <alignment horizontal="right"/>
    </xf>
    <xf numFmtId="178" fontId="10" fillId="0" borderId="28" xfId="3" applyNumberFormat="1" applyFont="1" applyBorder="1" applyAlignment="1">
      <alignment horizontal="right" vertical="center"/>
    </xf>
    <xf numFmtId="168" fontId="47" fillId="0" borderId="0" xfId="3" applyNumberFormat="1" applyFont="1" applyAlignment="1">
      <alignment horizontal="center"/>
    </xf>
    <xf numFmtId="1" fontId="47" fillId="0" borderId="0" xfId="3" applyNumberFormat="1" applyFont="1" applyAlignment="1">
      <alignment horizontal="center"/>
    </xf>
    <xf numFmtId="172" fontId="47" fillId="0" borderId="0" xfId="3" applyNumberFormat="1" applyFont="1" applyAlignment="1">
      <alignment horizontal="center"/>
    </xf>
    <xf numFmtId="0" fontId="47" fillId="0" borderId="0" xfId="3" applyFont="1" applyAlignment="1">
      <alignment horizontal="left"/>
    </xf>
    <xf numFmtId="40" fontId="47" fillId="0" borderId="0" xfId="3" applyNumberFormat="1" applyFont="1" applyAlignment="1">
      <alignment horizontal="right"/>
    </xf>
    <xf numFmtId="169" fontId="6" fillId="26" borderId="0" xfId="3" applyNumberFormat="1" applyFont="1" applyFill="1" applyAlignment="1">
      <alignment horizontal="center" vertical="center"/>
    </xf>
    <xf numFmtId="168" fontId="6" fillId="26" borderId="0" xfId="3" applyNumberFormat="1" applyFont="1" applyFill="1" applyAlignment="1">
      <alignment horizontal="center" vertical="center"/>
    </xf>
    <xf numFmtId="170" fontId="6" fillId="26" borderId="0" xfId="3" applyNumberFormat="1" applyFont="1" applyFill="1" applyAlignment="1">
      <alignment horizontal="center" vertical="center"/>
    </xf>
    <xf numFmtId="171" fontId="6" fillId="26" borderId="0" xfId="3" applyNumberFormat="1" applyFont="1" applyFill="1" applyAlignment="1">
      <alignment horizontal="center" vertical="center"/>
    </xf>
    <xf numFmtId="172" fontId="6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left" vertical="center"/>
    </xf>
    <xf numFmtId="40" fontId="7" fillId="26" borderId="0" xfId="3" applyNumberFormat="1" applyFont="1" applyFill="1" applyAlignment="1">
      <alignment horizontal="right" vertical="center"/>
    </xf>
    <xf numFmtId="40" fontId="7" fillId="26" borderId="0" xfId="3" applyNumberFormat="1" applyFont="1" applyFill="1" applyAlignment="1">
      <alignment vertical="center"/>
    </xf>
    <xf numFmtId="40" fontId="7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center" vertical="center"/>
    </xf>
    <xf numFmtId="171" fontId="48" fillId="0" borderId="0" xfId="3" applyNumberFormat="1" applyFont="1" applyAlignment="1">
      <alignment horizontal="center" vertical="center"/>
    </xf>
    <xf numFmtId="172" fontId="48" fillId="0" borderId="0" xfId="3" applyNumberFormat="1" applyFont="1" applyAlignment="1">
      <alignment horizontal="center" vertical="center"/>
    </xf>
    <xf numFmtId="171" fontId="47" fillId="0" borderId="0" xfId="3" applyNumberFormat="1" applyFont="1" applyAlignment="1">
      <alignment horizontal="center"/>
    </xf>
    <xf numFmtId="4" fontId="47" fillId="0" borderId="0" xfId="3" applyNumberFormat="1" applyFont="1" applyAlignment="1">
      <alignment horizontal="right" vertical="center"/>
    </xf>
    <xf numFmtId="0" fontId="47" fillId="0" borderId="0" xfId="3" applyFont="1" applyAlignment="1">
      <alignment horizontal="center" vertical="center"/>
    </xf>
    <xf numFmtId="171" fontId="10" fillId="0" borderId="0" xfId="3" applyNumberFormat="1" applyFont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6" fillId="27" borderId="0" xfId="3" applyFont="1" applyFill="1" applyAlignment="1">
      <alignment horizontal="left" vertical="center"/>
    </xf>
    <xf numFmtId="0" fontId="49" fillId="0" borderId="27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178" fontId="49" fillId="0" borderId="28" xfId="0" applyNumberFormat="1" applyFont="1" applyBorder="1"/>
    <xf numFmtId="178" fontId="50" fillId="0" borderId="28" xfId="0" applyNumberFormat="1" applyFont="1" applyBorder="1" applyAlignment="1">
      <alignment horizontal="right"/>
    </xf>
    <xf numFmtId="178" fontId="51" fillId="0" borderId="28" xfId="0" applyNumberFormat="1" applyFont="1" applyBorder="1" applyAlignment="1">
      <alignment horizontal="right" vertical="center"/>
    </xf>
    <xf numFmtId="0" fontId="51" fillId="0" borderId="29" xfId="0" applyFont="1" applyBorder="1" applyAlignment="1">
      <alignment horizontal="right" vertical="center"/>
    </xf>
    <xf numFmtId="168" fontId="51" fillId="0" borderId="9" xfId="3" applyNumberFormat="1" applyFont="1" applyBorder="1" applyAlignment="1">
      <alignment horizontal="center"/>
    </xf>
    <xf numFmtId="169" fontId="51" fillId="0" borderId="1" xfId="3" applyNumberFormat="1" applyFont="1" applyBorder="1" applyAlignment="1">
      <alignment horizontal="center"/>
    </xf>
    <xf numFmtId="170" fontId="51" fillId="0" borderId="1" xfId="3" applyNumberFormat="1" applyFont="1" applyBorder="1" applyAlignment="1">
      <alignment horizontal="center"/>
    </xf>
    <xf numFmtId="171" fontId="51" fillId="0" borderId="1" xfId="3" applyNumberFormat="1" applyFont="1" applyBorder="1" applyAlignment="1">
      <alignment horizontal="center"/>
    </xf>
    <xf numFmtId="0" fontId="51" fillId="0" borderId="1" xfId="3" applyFont="1" applyBorder="1" applyAlignment="1">
      <alignment horizontal="center"/>
    </xf>
    <xf numFmtId="172" fontId="51" fillId="0" borderId="1" xfId="3" applyNumberFormat="1" applyFont="1" applyBorder="1" applyAlignment="1">
      <alignment horizontal="center"/>
    </xf>
    <xf numFmtId="178" fontId="51" fillId="0" borderId="1" xfId="3" applyNumberFormat="1" applyFont="1" applyBorder="1"/>
    <xf numFmtId="178" fontId="51" fillId="0" borderId="1" xfId="3" applyNumberFormat="1" applyFont="1" applyBorder="1" applyAlignment="1">
      <alignment horizontal="right"/>
    </xf>
    <xf numFmtId="178" fontId="51" fillId="0" borderId="1" xfId="3" applyNumberFormat="1" applyFont="1" applyBorder="1" applyAlignment="1">
      <alignment horizontal="right" vertical="center"/>
    </xf>
    <xf numFmtId="40" fontId="51" fillId="0" borderId="13" xfId="3" applyNumberFormat="1" applyFont="1" applyBorder="1" applyAlignment="1">
      <alignment horizontal="right" vertical="center"/>
    </xf>
    <xf numFmtId="168" fontId="51" fillId="0" borderId="27" xfId="3" applyNumberFormat="1" applyFont="1" applyBorder="1" applyAlignment="1">
      <alignment horizontal="center"/>
    </xf>
    <xf numFmtId="170" fontId="51" fillId="0" borderId="28" xfId="3" applyNumberFormat="1" applyFont="1" applyBorder="1" applyAlignment="1">
      <alignment horizontal="center"/>
    </xf>
    <xf numFmtId="171" fontId="51" fillId="0" borderId="28" xfId="3" applyNumberFormat="1" applyFont="1" applyBorder="1" applyAlignment="1">
      <alignment horizontal="center"/>
    </xf>
    <xf numFmtId="0" fontId="51" fillId="0" borderId="28" xfId="3" applyFont="1" applyBorder="1" applyAlignment="1">
      <alignment horizontal="center"/>
    </xf>
    <xf numFmtId="172" fontId="51" fillId="0" borderId="28" xfId="3" applyNumberFormat="1" applyFont="1" applyBorder="1" applyAlignment="1">
      <alignment horizontal="center"/>
    </xf>
    <xf numFmtId="178" fontId="51" fillId="0" borderId="28" xfId="3" applyNumberFormat="1" applyFont="1" applyBorder="1"/>
    <xf numFmtId="178" fontId="51" fillId="0" borderId="28" xfId="3" applyNumberFormat="1" applyFont="1" applyBorder="1" applyAlignment="1">
      <alignment horizontal="right"/>
    </xf>
    <xf numFmtId="178" fontId="51" fillId="0" borderId="28" xfId="3" applyNumberFormat="1" applyFont="1" applyBorder="1" applyAlignment="1">
      <alignment horizontal="right" vertical="center"/>
    </xf>
    <xf numFmtId="40" fontId="51" fillId="0" borderId="29" xfId="3" applyNumberFormat="1" applyFont="1" applyBorder="1" applyAlignment="1">
      <alignment horizontal="right" vertical="center"/>
    </xf>
    <xf numFmtId="40" fontId="50" fillId="0" borderId="28" xfId="0" applyNumberFormat="1" applyFont="1" applyBorder="1" applyAlignment="1">
      <alignment horizontal="right"/>
    </xf>
    <xf numFmtId="40" fontId="51" fillId="0" borderId="28" xfId="0" applyNumberFormat="1" applyFont="1" applyBorder="1" applyAlignment="1">
      <alignment horizontal="right" vertical="center"/>
    </xf>
    <xf numFmtId="168" fontId="49" fillId="0" borderId="36" xfId="3" applyNumberFormat="1" applyFont="1" applyBorder="1" applyAlignment="1">
      <alignment horizontal="center"/>
    </xf>
    <xf numFmtId="169" fontId="49" fillId="0" borderId="1" xfId="3" applyNumberFormat="1" applyFont="1" applyBorder="1" applyAlignment="1">
      <alignment horizontal="center"/>
    </xf>
    <xf numFmtId="170" fontId="49" fillId="0" borderId="9" xfId="3" applyNumberFormat="1" applyFont="1" applyBorder="1" applyAlignment="1">
      <alignment horizontal="center"/>
    </xf>
    <xf numFmtId="171" fontId="49" fillId="0" borderId="1" xfId="3" applyNumberFormat="1" applyFont="1" applyBorder="1" applyAlignment="1">
      <alignment horizontal="center"/>
    </xf>
    <xf numFmtId="0" fontId="49" fillId="0" borderId="1" xfId="3" applyFont="1" applyBorder="1" applyAlignment="1">
      <alignment horizontal="center"/>
    </xf>
    <xf numFmtId="172" fontId="49" fillId="0" borderId="1" xfId="3" applyNumberFormat="1" applyFont="1" applyBorder="1" applyAlignment="1">
      <alignment horizontal="center"/>
    </xf>
    <xf numFmtId="178" fontId="49" fillId="0" borderId="1" xfId="3" applyNumberFormat="1" applyFont="1" applyBorder="1"/>
    <xf numFmtId="178" fontId="49" fillId="0" borderId="1" xfId="3" applyNumberFormat="1" applyFont="1" applyBorder="1" applyAlignment="1">
      <alignment horizontal="right"/>
    </xf>
    <xf numFmtId="178" fontId="49" fillId="0" borderId="1" xfId="3" applyNumberFormat="1" applyFont="1" applyBorder="1" applyAlignment="1">
      <alignment horizontal="right" vertical="center"/>
    </xf>
    <xf numFmtId="168" fontId="49" fillId="0" borderId="23" xfId="3" applyNumberFormat="1" applyFont="1" applyBorder="1" applyAlignment="1">
      <alignment horizontal="center"/>
    </xf>
    <xf numFmtId="170" fontId="49" fillId="0" borderId="27" xfId="3" applyNumberFormat="1" applyFont="1" applyBorder="1" applyAlignment="1">
      <alignment horizontal="center"/>
    </xf>
    <xf numFmtId="171" fontId="49" fillId="0" borderId="28" xfId="3" applyNumberFormat="1" applyFont="1" applyBorder="1" applyAlignment="1">
      <alignment horizontal="center"/>
    </xf>
    <xf numFmtId="0" fontId="49" fillId="0" borderId="28" xfId="3" applyFont="1" applyBorder="1" applyAlignment="1">
      <alignment horizontal="center"/>
    </xf>
    <xf numFmtId="172" fontId="49" fillId="0" borderId="28" xfId="3" applyNumberFormat="1" applyFont="1" applyBorder="1" applyAlignment="1">
      <alignment horizontal="center"/>
    </xf>
    <xf numFmtId="178" fontId="49" fillId="0" borderId="28" xfId="3" applyNumberFormat="1" applyFont="1" applyBorder="1"/>
    <xf numFmtId="178" fontId="49" fillId="0" borderId="28" xfId="3" applyNumberFormat="1" applyFont="1" applyBorder="1" applyAlignment="1">
      <alignment horizontal="right"/>
    </xf>
    <xf numFmtId="178" fontId="49" fillId="0" borderId="28" xfId="3" applyNumberFormat="1" applyFont="1" applyBorder="1" applyAlignment="1">
      <alignment horizontal="right" vertical="center"/>
    </xf>
    <xf numFmtId="40" fontId="53" fillId="0" borderId="0" xfId="3" applyNumberFormat="1" applyFont="1" applyAlignment="1">
      <alignment vertical="center"/>
    </xf>
    <xf numFmtId="168" fontId="54" fillId="0" borderId="0" xfId="3" applyNumberFormat="1" applyFont="1" applyAlignment="1">
      <alignment horizontal="center" vertical="center"/>
    </xf>
    <xf numFmtId="169" fontId="54" fillId="0" borderId="0" xfId="3" applyNumberFormat="1" applyFont="1" applyAlignment="1">
      <alignment horizontal="center" vertical="center"/>
    </xf>
    <xf numFmtId="170" fontId="54" fillId="0" borderId="0" xfId="3" applyNumberFormat="1" applyFont="1" applyAlignment="1">
      <alignment horizontal="center" vertical="center"/>
    </xf>
    <xf numFmtId="171" fontId="54" fillId="0" borderId="0" xfId="3" applyNumberFormat="1" applyFont="1" applyAlignment="1">
      <alignment horizontal="center" vertical="center"/>
    </xf>
    <xf numFmtId="172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left" vertical="center"/>
    </xf>
    <xf numFmtId="40" fontId="53" fillId="0" borderId="0" xfId="3" applyNumberFormat="1" applyFont="1" applyAlignment="1">
      <alignment horizontal="right" vertical="center"/>
    </xf>
    <xf numFmtId="40" fontId="53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168" fontId="6" fillId="26" borderId="9" xfId="3" applyNumberFormat="1" applyFont="1" applyFill="1" applyBorder="1" applyAlignment="1">
      <alignment horizontal="center"/>
    </xf>
    <xf numFmtId="169" fontId="6" fillId="26" borderId="1" xfId="3" applyNumberFormat="1" applyFont="1" applyFill="1" applyBorder="1" applyAlignment="1">
      <alignment horizontal="center"/>
    </xf>
    <xf numFmtId="170" fontId="6" fillId="26" borderId="1" xfId="3" applyNumberFormat="1" applyFont="1" applyFill="1" applyBorder="1" applyAlignment="1">
      <alignment horizontal="center"/>
    </xf>
    <xf numFmtId="171" fontId="6" fillId="26" borderId="1" xfId="3" applyNumberFormat="1" applyFont="1" applyFill="1" applyBorder="1" applyAlignment="1">
      <alignment horizontal="center"/>
    </xf>
    <xf numFmtId="0" fontId="6" fillId="26" borderId="1" xfId="3" applyFont="1" applyFill="1" applyBorder="1" applyAlignment="1">
      <alignment horizontal="center"/>
    </xf>
    <xf numFmtId="172" fontId="6" fillId="26" borderId="1" xfId="3" applyNumberFormat="1" applyFont="1" applyFill="1" applyBorder="1" applyAlignment="1">
      <alignment horizontal="center"/>
    </xf>
    <xf numFmtId="178" fontId="6" fillId="26" borderId="1" xfId="3" applyNumberFormat="1" applyFont="1" applyFill="1" applyBorder="1"/>
    <xf numFmtId="178" fontId="6" fillId="26" borderId="1" xfId="3" applyNumberFormat="1" applyFont="1" applyFill="1" applyBorder="1" applyAlignment="1">
      <alignment horizontal="right"/>
    </xf>
    <xf numFmtId="178" fontId="6" fillId="26" borderId="1" xfId="3" applyNumberFormat="1" applyFont="1" applyFill="1" applyBorder="1" applyAlignment="1">
      <alignment horizontal="right" vertical="center"/>
    </xf>
    <xf numFmtId="40" fontId="6" fillId="26" borderId="13" xfId="3" applyNumberFormat="1" applyFont="1" applyFill="1" applyBorder="1" applyAlignment="1">
      <alignment horizontal="right" vertical="center"/>
    </xf>
    <xf numFmtId="0" fontId="0" fillId="27" borderId="0" xfId="0" applyFill="1"/>
    <xf numFmtId="168" fontId="55" fillId="0" borderId="0" xfId="3" applyNumberFormat="1" applyFont="1" applyAlignment="1">
      <alignment horizontal="center" vertical="center"/>
    </xf>
    <xf numFmtId="169" fontId="55" fillId="0" borderId="0" xfId="3" applyNumberFormat="1" applyFont="1" applyAlignment="1">
      <alignment horizontal="center" vertical="center"/>
    </xf>
    <xf numFmtId="170" fontId="55" fillId="0" borderId="0" xfId="3" applyNumberFormat="1" applyFont="1" applyAlignment="1">
      <alignment horizontal="center" vertical="center"/>
    </xf>
    <xf numFmtId="171" fontId="55" fillId="0" borderId="0" xfId="3" applyNumberFormat="1" applyFont="1" applyAlignment="1">
      <alignment horizontal="center" vertical="center"/>
    </xf>
    <xf numFmtId="172" fontId="55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left" vertical="center"/>
    </xf>
    <xf numFmtId="40" fontId="56" fillId="0" borderId="0" xfId="3" applyNumberFormat="1" applyFont="1" applyAlignment="1">
      <alignment horizontal="right" vertical="center"/>
    </xf>
    <xf numFmtId="40" fontId="56" fillId="0" borderId="0" xfId="3" applyNumberFormat="1" applyFont="1" applyAlignment="1">
      <alignment vertical="center"/>
    </xf>
    <xf numFmtId="40" fontId="56" fillId="0" borderId="0" xfId="3" applyNumberFormat="1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171" fontId="57" fillId="0" borderId="0" xfId="3" applyNumberFormat="1" applyFont="1" applyAlignment="1">
      <alignment horizontal="center"/>
    </xf>
    <xf numFmtId="172" fontId="57" fillId="0" borderId="0" xfId="3" applyNumberFormat="1" applyFont="1" applyAlignment="1">
      <alignment horizontal="center"/>
    </xf>
    <xf numFmtId="0" fontId="57" fillId="0" borderId="0" xfId="3" applyFont="1" applyAlignment="1">
      <alignment horizontal="left"/>
    </xf>
    <xf numFmtId="4" fontId="57" fillId="0" borderId="0" xfId="3" applyNumberFormat="1" applyFont="1" applyAlignment="1">
      <alignment horizontal="right" vertical="center"/>
    </xf>
    <xf numFmtId="0" fontId="57" fillId="0" borderId="0" xfId="3" applyFont="1" applyAlignment="1">
      <alignment horizontal="center" vertical="center"/>
    </xf>
    <xf numFmtId="168" fontId="55" fillId="26" borderId="0" xfId="3" applyNumberFormat="1" applyFont="1" applyFill="1" applyAlignment="1">
      <alignment horizontal="center" vertical="center"/>
    </xf>
    <xf numFmtId="170" fontId="55" fillId="26" borderId="0" xfId="3" applyNumberFormat="1" applyFont="1" applyFill="1" applyAlignment="1">
      <alignment horizontal="center" vertical="center"/>
    </xf>
    <xf numFmtId="171" fontId="55" fillId="26" borderId="0" xfId="3" applyNumberFormat="1" applyFont="1" applyFill="1" applyAlignment="1">
      <alignment horizontal="center" vertical="center"/>
    </xf>
    <xf numFmtId="172" fontId="55" fillId="26" borderId="0" xfId="3" applyNumberFormat="1" applyFont="1" applyFill="1" applyAlignment="1">
      <alignment horizontal="center" vertical="center"/>
    </xf>
    <xf numFmtId="0" fontId="55" fillId="26" borderId="0" xfId="3" applyFont="1" applyFill="1" applyAlignment="1">
      <alignment horizontal="left" vertical="center"/>
    </xf>
    <xf numFmtId="40" fontId="56" fillId="26" borderId="0" xfId="3" applyNumberFormat="1" applyFont="1" applyFill="1" applyAlignment="1">
      <alignment horizontal="right" vertical="center"/>
    </xf>
    <xf numFmtId="40" fontId="56" fillId="26" borderId="0" xfId="3" applyNumberFormat="1" applyFont="1" applyFill="1" applyAlignment="1">
      <alignment vertical="center"/>
    </xf>
    <xf numFmtId="169" fontId="55" fillId="26" borderId="0" xfId="3" applyNumberFormat="1" applyFont="1" applyFill="1" applyAlignment="1">
      <alignment horizontal="center" vertical="center"/>
    </xf>
    <xf numFmtId="168" fontId="55" fillId="0" borderId="9" xfId="3" applyNumberFormat="1" applyFont="1" applyBorder="1" applyAlignment="1">
      <alignment horizontal="center"/>
    </xf>
    <xf numFmtId="169" fontId="55" fillId="0" borderId="1" xfId="3" applyNumberFormat="1" applyFont="1" applyBorder="1" applyAlignment="1">
      <alignment horizontal="center"/>
    </xf>
    <xf numFmtId="170" fontId="55" fillId="0" borderId="1" xfId="3" applyNumberFormat="1" applyFont="1" applyBorder="1" applyAlignment="1">
      <alignment horizontal="center"/>
    </xf>
    <xf numFmtId="171" fontId="55" fillId="0" borderId="1" xfId="3" applyNumberFormat="1" applyFont="1" applyBorder="1" applyAlignment="1">
      <alignment horizontal="center"/>
    </xf>
    <xf numFmtId="0" fontId="55" fillId="0" borderId="1" xfId="3" applyFont="1" applyBorder="1" applyAlignment="1">
      <alignment horizontal="center"/>
    </xf>
    <xf numFmtId="172" fontId="55" fillId="0" borderId="1" xfId="3" applyNumberFormat="1" applyFont="1" applyBorder="1" applyAlignment="1">
      <alignment horizontal="center"/>
    </xf>
    <xf numFmtId="178" fontId="55" fillId="0" borderId="1" xfId="3" applyNumberFormat="1" applyFont="1" applyBorder="1"/>
    <xf numFmtId="178" fontId="55" fillId="0" borderId="1" xfId="3" applyNumberFormat="1" applyFont="1" applyBorder="1" applyAlignment="1">
      <alignment horizontal="right"/>
    </xf>
    <xf numFmtId="178" fontId="55" fillId="0" borderId="1" xfId="3" applyNumberFormat="1" applyFont="1" applyBorder="1" applyAlignment="1">
      <alignment horizontal="right" vertical="center"/>
    </xf>
    <xf numFmtId="40" fontId="55" fillId="0" borderId="13" xfId="3" applyNumberFormat="1" applyFont="1" applyBorder="1" applyAlignment="1">
      <alignment horizontal="right" vertical="center"/>
    </xf>
    <xf numFmtId="4" fontId="58" fillId="0" borderId="0" xfId="3" applyNumberFormat="1" applyFont="1" applyAlignment="1">
      <alignment horizontal="right" vertical="center"/>
    </xf>
    <xf numFmtId="40" fontId="56" fillId="26" borderId="0" xfId="3" applyNumberFormat="1" applyFont="1" applyFill="1" applyAlignment="1">
      <alignment horizontal="center" vertical="center"/>
    </xf>
    <xf numFmtId="43" fontId="0" fillId="0" borderId="0" xfId="27" applyFont="1" applyFill="1" applyBorder="1"/>
    <xf numFmtId="172" fontId="0" fillId="0" borderId="0" xfId="0" applyNumberFormat="1"/>
    <xf numFmtId="172" fontId="13" fillId="0" borderId="0" xfId="3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43" fontId="61" fillId="0" borderId="0" xfId="27" applyFont="1"/>
    <xf numFmtId="43" fontId="36" fillId="0" borderId="0" xfId="27" applyFont="1" applyAlignment="1">
      <alignment horizontal="right" vertical="center"/>
    </xf>
    <xf numFmtId="43" fontId="10" fillId="0" borderId="0" xfId="27" applyFont="1" applyFill="1" applyAlignment="1">
      <alignment horizontal="right" vertical="center"/>
    </xf>
    <xf numFmtId="1" fontId="37" fillId="0" borderId="0" xfId="0" applyNumberFormat="1" applyFont="1" applyAlignment="1">
      <alignment horizontal="center"/>
    </xf>
    <xf numFmtId="168" fontId="62" fillId="0" borderId="0" xfId="3" applyNumberFormat="1" applyFont="1" applyAlignment="1">
      <alignment horizontal="center" vertical="center"/>
    </xf>
    <xf numFmtId="4" fontId="62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63" fillId="22" borderId="37" xfId="0" applyFont="1" applyFill="1" applyBorder="1" applyAlignment="1">
      <alignment horizontal="center" vertical="center"/>
    </xf>
    <xf numFmtId="4" fontId="7" fillId="0" borderId="0" xfId="3" applyNumberFormat="1" applyFont="1" applyAlignment="1">
      <alignment horizontal="right" vertical="center"/>
    </xf>
    <xf numFmtId="168" fontId="64" fillId="0" borderId="0" xfId="3" applyNumberFormat="1" applyFont="1" applyAlignment="1">
      <alignment horizontal="center" vertical="center"/>
    </xf>
    <xf numFmtId="170" fontId="64" fillId="0" borderId="0" xfId="3" applyNumberFormat="1" applyFont="1" applyAlignment="1">
      <alignment horizontal="center" vertical="center"/>
    </xf>
    <xf numFmtId="171" fontId="64" fillId="0" borderId="0" xfId="3" applyNumberFormat="1" applyFont="1" applyAlignment="1">
      <alignment horizontal="center" vertical="center"/>
    </xf>
    <xf numFmtId="172" fontId="64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left" vertical="center"/>
    </xf>
    <xf numFmtId="40" fontId="65" fillId="0" borderId="0" xfId="3" applyNumberFormat="1" applyFont="1" applyAlignment="1">
      <alignment horizontal="right" vertical="center"/>
    </xf>
    <xf numFmtId="40" fontId="65" fillId="0" borderId="0" xfId="3" applyNumberFormat="1" applyFont="1" applyAlignment="1">
      <alignment vertical="center"/>
    </xf>
    <xf numFmtId="40" fontId="65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center" vertical="center"/>
    </xf>
    <xf numFmtId="171" fontId="66" fillId="0" borderId="0" xfId="3" applyNumberFormat="1" applyFont="1" applyAlignment="1">
      <alignment horizontal="center"/>
    </xf>
    <xf numFmtId="172" fontId="66" fillId="0" borderId="0" xfId="3" applyNumberFormat="1" applyFont="1" applyAlignment="1">
      <alignment horizontal="center"/>
    </xf>
    <xf numFmtId="0" fontId="66" fillId="0" borderId="0" xfId="3" applyFont="1" applyAlignment="1">
      <alignment horizontal="left"/>
    </xf>
    <xf numFmtId="4" fontId="66" fillId="0" borderId="0" xfId="3" applyNumberFormat="1" applyFont="1" applyAlignment="1">
      <alignment horizontal="right" vertical="center"/>
    </xf>
    <xf numFmtId="0" fontId="66" fillId="0" borderId="0" xfId="3" applyFont="1" applyAlignment="1">
      <alignment horizontal="center" vertical="center"/>
    </xf>
    <xf numFmtId="169" fontId="64" fillId="0" borderId="0" xfId="3" applyNumberFormat="1" applyFont="1" applyAlignment="1">
      <alignment horizontal="center" vertical="center"/>
    </xf>
    <xf numFmtId="168" fontId="66" fillId="0" borderId="36" xfId="3" applyNumberFormat="1" applyFont="1" applyBorder="1" applyAlignment="1">
      <alignment horizontal="center"/>
    </xf>
    <xf numFmtId="169" fontId="66" fillId="0" borderId="1" xfId="3" applyNumberFormat="1" applyFont="1" applyBorder="1" applyAlignment="1">
      <alignment horizontal="center"/>
    </xf>
    <xf numFmtId="170" fontId="66" fillId="0" borderId="9" xfId="3" applyNumberFormat="1" applyFont="1" applyBorder="1" applyAlignment="1">
      <alignment horizontal="center"/>
    </xf>
    <xf numFmtId="171" fontId="66" fillId="0" borderId="1" xfId="3" applyNumberFormat="1" applyFont="1" applyBorder="1" applyAlignment="1">
      <alignment horizontal="center"/>
    </xf>
    <xf numFmtId="0" fontId="66" fillId="0" borderId="1" xfId="3" applyFont="1" applyBorder="1" applyAlignment="1">
      <alignment horizontal="center"/>
    </xf>
    <xf numFmtId="172" fontId="66" fillId="0" borderId="1" xfId="3" applyNumberFormat="1" applyFont="1" applyBorder="1" applyAlignment="1">
      <alignment horizontal="center"/>
    </xf>
    <xf numFmtId="178" fontId="66" fillId="0" borderId="1" xfId="3" applyNumberFormat="1" applyFont="1" applyBorder="1"/>
    <xf numFmtId="178" fontId="66" fillId="0" borderId="1" xfId="3" applyNumberFormat="1" applyFont="1" applyBorder="1" applyAlignment="1">
      <alignment horizontal="right"/>
    </xf>
    <xf numFmtId="178" fontId="66" fillId="0" borderId="1" xfId="3" applyNumberFormat="1" applyFont="1" applyBorder="1" applyAlignment="1">
      <alignment horizontal="right" vertical="center"/>
    </xf>
    <xf numFmtId="40" fontId="64" fillId="0" borderId="13" xfId="3" applyNumberFormat="1" applyFont="1" applyBorder="1" applyAlignment="1">
      <alignment horizontal="right" vertical="center"/>
    </xf>
    <xf numFmtId="168" fontId="64" fillId="0" borderId="9" xfId="3" applyNumberFormat="1" applyFont="1" applyBorder="1" applyAlignment="1">
      <alignment horizontal="center"/>
    </xf>
    <xf numFmtId="170" fontId="64" fillId="0" borderId="1" xfId="3" applyNumberFormat="1" applyFont="1" applyBorder="1" applyAlignment="1">
      <alignment horizontal="center"/>
    </xf>
    <xf numFmtId="171" fontId="64" fillId="0" borderId="1" xfId="3" applyNumberFormat="1" applyFont="1" applyBorder="1" applyAlignment="1">
      <alignment horizontal="center"/>
    </xf>
    <xf numFmtId="0" fontId="64" fillId="0" borderId="1" xfId="3" applyFont="1" applyBorder="1" applyAlignment="1">
      <alignment horizontal="center"/>
    </xf>
    <xf numFmtId="172" fontId="64" fillId="0" borderId="1" xfId="3" applyNumberFormat="1" applyFont="1" applyBorder="1" applyAlignment="1">
      <alignment horizontal="center"/>
    </xf>
    <xf numFmtId="178" fontId="64" fillId="0" borderId="1" xfId="3" applyNumberFormat="1" applyFont="1" applyBorder="1" applyAlignment="1">
      <alignment horizontal="right"/>
    </xf>
    <xf numFmtId="178" fontId="64" fillId="0" borderId="1" xfId="3" applyNumberFormat="1" applyFont="1" applyBorder="1" applyAlignment="1">
      <alignment horizontal="right" vertical="center"/>
    </xf>
    <xf numFmtId="168" fontId="67" fillId="0" borderId="0" xfId="3" applyNumberFormat="1" applyFont="1" applyAlignment="1">
      <alignment horizontal="center" vertical="center"/>
    </xf>
    <xf numFmtId="169" fontId="67" fillId="0" borderId="0" xfId="3" applyNumberFormat="1" applyFont="1" applyAlignment="1">
      <alignment horizontal="center" vertical="center"/>
    </xf>
    <xf numFmtId="170" fontId="67" fillId="0" borderId="0" xfId="3" applyNumberFormat="1" applyFont="1" applyAlignment="1">
      <alignment horizontal="center" vertical="center"/>
    </xf>
    <xf numFmtId="171" fontId="67" fillId="0" borderId="0" xfId="3" applyNumberFormat="1" applyFont="1" applyAlignment="1">
      <alignment horizontal="center" vertical="center"/>
    </xf>
    <xf numFmtId="172" fontId="67" fillId="0" borderId="0" xfId="3" applyNumberFormat="1" applyFont="1" applyAlignment="1">
      <alignment horizontal="center" vertical="center"/>
    </xf>
    <xf numFmtId="0" fontId="67" fillId="0" borderId="0" xfId="3" applyFont="1" applyAlignment="1">
      <alignment horizontal="left" vertical="center"/>
    </xf>
    <xf numFmtId="40" fontId="68" fillId="0" borderId="0" xfId="3" applyNumberFormat="1" applyFont="1" applyAlignment="1">
      <alignment horizontal="right" vertical="center"/>
    </xf>
    <xf numFmtId="40" fontId="68" fillId="0" borderId="0" xfId="3" applyNumberFormat="1" applyFont="1" applyAlignment="1">
      <alignment vertical="center"/>
    </xf>
    <xf numFmtId="40" fontId="68" fillId="0" borderId="0" xfId="3" applyNumberFormat="1" applyFont="1" applyAlignment="1">
      <alignment horizontal="center" vertical="center"/>
    </xf>
    <xf numFmtId="0" fontId="67" fillId="0" borderId="0" xfId="3" applyFont="1" applyAlignment="1">
      <alignment horizontal="center" vertical="center"/>
    </xf>
    <xf numFmtId="168" fontId="42" fillId="26" borderId="0" xfId="3" applyNumberFormat="1" applyFont="1" applyFill="1" applyAlignment="1">
      <alignment horizontal="center" vertical="center"/>
    </xf>
    <xf numFmtId="170" fontId="42" fillId="26" borderId="0" xfId="3" applyNumberFormat="1" applyFont="1" applyFill="1" applyAlignment="1">
      <alignment horizontal="center" vertical="center"/>
    </xf>
    <xf numFmtId="171" fontId="42" fillId="26" borderId="0" xfId="3" applyNumberFormat="1" applyFont="1" applyFill="1" applyAlignment="1">
      <alignment horizontal="center" vertical="center"/>
    </xf>
    <xf numFmtId="172" fontId="42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left" vertical="center"/>
    </xf>
    <xf numFmtId="40" fontId="43" fillId="26" borderId="0" xfId="3" applyNumberFormat="1" applyFont="1" applyFill="1" applyAlignment="1">
      <alignment horizontal="right" vertical="center"/>
    </xf>
    <xf numFmtId="40" fontId="43" fillId="26" borderId="0" xfId="3" applyNumberFormat="1" applyFont="1" applyFill="1" applyAlignment="1">
      <alignment vertical="center"/>
    </xf>
    <xf numFmtId="40" fontId="43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center" vertical="center"/>
    </xf>
    <xf numFmtId="40" fontId="68" fillId="26" borderId="0" xfId="3" applyNumberFormat="1" applyFont="1" applyFill="1" applyAlignment="1">
      <alignment vertical="center"/>
    </xf>
    <xf numFmtId="168" fontId="67" fillId="26" borderId="0" xfId="3" applyNumberFormat="1" applyFont="1" applyFill="1" applyAlignment="1">
      <alignment horizontal="center" vertical="center"/>
    </xf>
    <xf numFmtId="169" fontId="67" fillId="26" borderId="0" xfId="3" applyNumberFormat="1" applyFont="1" applyFill="1" applyAlignment="1">
      <alignment horizontal="center" vertical="center"/>
    </xf>
    <xf numFmtId="170" fontId="67" fillId="26" borderId="0" xfId="3" applyNumberFormat="1" applyFont="1" applyFill="1" applyAlignment="1">
      <alignment horizontal="center" vertical="center"/>
    </xf>
    <xf numFmtId="171" fontId="67" fillId="26" borderId="0" xfId="3" applyNumberFormat="1" applyFont="1" applyFill="1" applyAlignment="1">
      <alignment horizontal="center" vertical="center"/>
    </xf>
    <xf numFmtId="172" fontId="67" fillId="26" borderId="0" xfId="3" applyNumberFormat="1" applyFont="1" applyFill="1" applyAlignment="1">
      <alignment horizontal="center" vertical="center"/>
    </xf>
    <xf numFmtId="0" fontId="67" fillId="26" borderId="0" xfId="3" applyFont="1" applyFill="1" applyAlignment="1">
      <alignment horizontal="left" vertical="center"/>
    </xf>
    <xf numFmtId="40" fontId="68" fillId="26" borderId="0" xfId="3" applyNumberFormat="1" applyFont="1" applyFill="1" applyAlignment="1">
      <alignment horizontal="right" vertical="center"/>
    </xf>
    <xf numFmtId="40" fontId="68" fillId="26" borderId="0" xfId="3" applyNumberFormat="1" applyFont="1" applyFill="1" applyAlignment="1">
      <alignment horizontal="center" vertical="center"/>
    </xf>
    <xf numFmtId="0" fontId="67" fillId="26" borderId="0" xfId="3" applyFont="1" applyFill="1" applyAlignment="1">
      <alignment horizontal="center" vertical="center"/>
    </xf>
    <xf numFmtId="179" fontId="44" fillId="26" borderId="0" xfId="3" applyNumberFormat="1" applyFont="1" applyFill="1" applyAlignment="1">
      <alignment horizontal="center"/>
    </xf>
    <xf numFmtId="171" fontId="44" fillId="26" borderId="0" xfId="3" applyNumberFormat="1" applyFont="1" applyFill="1" applyAlignment="1">
      <alignment horizontal="center"/>
    </xf>
    <xf numFmtId="172" fontId="44" fillId="26" borderId="0" xfId="3" applyNumberFormat="1" applyFont="1" applyFill="1" applyAlignment="1">
      <alignment horizontal="center"/>
    </xf>
    <xf numFmtId="0" fontId="44" fillId="26" borderId="0" xfId="3" applyFont="1" applyFill="1" applyAlignment="1">
      <alignment horizontal="left"/>
    </xf>
    <xf numFmtId="4" fontId="44" fillId="26" borderId="0" xfId="3" applyNumberFormat="1" applyFont="1" applyFill="1" applyAlignment="1">
      <alignment horizontal="right" vertical="center"/>
    </xf>
    <xf numFmtId="0" fontId="44" fillId="26" borderId="0" xfId="3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40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/>
    </xf>
    <xf numFmtId="4" fontId="70" fillId="0" borderId="0" xfId="0" applyNumberFormat="1" applyFont="1" applyAlignment="1">
      <alignment horizontal="right" vertical="center"/>
    </xf>
    <xf numFmtId="4" fontId="45" fillId="16" borderId="0" xfId="3" applyNumberFormat="1" applyFont="1" applyFill="1" applyAlignment="1">
      <alignment horizontal="right" vertical="center"/>
    </xf>
    <xf numFmtId="168" fontId="13" fillId="0" borderId="0" xfId="3" applyNumberFormat="1" applyFont="1" applyAlignment="1">
      <alignment horizontal="center" vertical="center"/>
    </xf>
    <xf numFmtId="169" fontId="13" fillId="0" borderId="0" xfId="3" applyNumberFormat="1" applyFont="1" applyAlignment="1">
      <alignment horizontal="center" vertical="center"/>
    </xf>
    <xf numFmtId="170" fontId="13" fillId="0" borderId="0" xfId="3" applyNumberFormat="1" applyFont="1" applyAlignment="1">
      <alignment horizontal="center" vertical="center"/>
    </xf>
    <xf numFmtId="171" fontId="13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40" fontId="69" fillId="0" borderId="0" xfId="3" applyNumberFormat="1" applyFont="1" applyAlignment="1">
      <alignment horizontal="right" vertical="center"/>
    </xf>
    <xf numFmtId="40" fontId="69" fillId="0" borderId="0" xfId="3" applyNumberFormat="1" applyFont="1" applyAlignment="1">
      <alignment vertical="center"/>
    </xf>
    <xf numFmtId="40" fontId="69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168" fontId="13" fillId="26" borderId="0" xfId="3" applyNumberFormat="1" applyFont="1" applyFill="1" applyAlignment="1">
      <alignment horizontal="center" vertical="center"/>
    </xf>
    <xf numFmtId="169" fontId="13" fillId="26" borderId="0" xfId="3" applyNumberFormat="1" applyFont="1" applyFill="1" applyAlignment="1">
      <alignment horizontal="center" vertical="center"/>
    </xf>
    <xf numFmtId="170" fontId="13" fillId="26" borderId="0" xfId="3" applyNumberFormat="1" applyFont="1" applyFill="1" applyAlignment="1">
      <alignment horizontal="center" vertical="center"/>
    </xf>
    <xf numFmtId="171" fontId="13" fillId="26" borderId="0" xfId="3" applyNumberFormat="1" applyFont="1" applyFill="1" applyAlignment="1">
      <alignment horizontal="center" vertical="center"/>
    </xf>
    <xf numFmtId="172" fontId="13" fillId="26" borderId="0" xfId="3" applyNumberFormat="1" applyFont="1" applyFill="1" applyAlignment="1">
      <alignment horizontal="center" vertical="center"/>
    </xf>
    <xf numFmtId="0" fontId="13" fillId="26" borderId="0" xfId="3" applyFont="1" applyFill="1" applyAlignment="1">
      <alignment horizontal="left" vertical="center"/>
    </xf>
    <xf numFmtId="40" fontId="69" fillId="26" borderId="0" xfId="3" applyNumberFormat="1" applyFont="1" applyFill="1" applyAlignment="1">
      <alignment horizontal="right" vertical="center"/>
    </xf>
    <xf numFmtId="40" fontId="69" fillId="26" borderId="0" xfId="3" applyNumberFormat="1" applyFont="1" applyFill="1" applyAlignment="1">
      <alignment vertical="center"/>
    </xf>
    <xf numFmtId="40" fontId="69" fillId="26" borderId="0" xfId="3" applyNumberFormat="1" applyFont="1" applyFill="1" applyAlignment="1">
      <alignment horizontal="center" vertical="center"/>
    </xf>
    <xf numFmtId="0" fontId="13" fillId="26" borderId="0" xfId="3" applyFont="1" applyFill="1" applyAlignment="1">
      <alignment horizontal="center" vertical="center"/>
    </xf>
    <xf numFmtId="168" fontId="71" fillId="0" borderId="0" xfId="3" applyNumberFormat="1" applyFont="1" applyAlignment="1">
      <alignment horizontal="center" vertical="center"/>
    </xf>
    <xf numFmtId="169" fontId="71" fillId="0" borderId="0" xfId="3" applyNumberFormat="1" applyFont="1" applyAlignment="1">
      <alignment horizontal="center" vertical="center"/>
    </xf>
    <xf numFmtId="170" fontId="71" fillId="0" borderId="0" xfId="3" applyNumberFormat="1" applyFont="1" applyAlignment="1">
      <alignment horizontal="center" vertical="center"/>
    </xf>
    <xf numFmtId="171" fontId="71" fillId="0" borderId="0" xfId="3" applyNumberFormat="1" applyFont="1" applyAlignment="1">
      <alignment horizontal="center" vertical="center"/>
    </xf>
    <xf numFmtId="172" fontId="71" fillId="0" borderId="0" xfId="3" applyNumberFormat="1" applyFont="1" applyAlignment="1">
      <alignment horizontal="center" vertical="center"/>
    </xf>
    <xf numFmtId="0" fontId="71" fillId="0" borderId="0" xfId="3" applyFont="1" applyAlignment="1">
      <alignment horizontal="left" vertical="center"/>
    </xf>
    <xf numFmtId="40" fontId="72" fillId="0" borderId="0" xfId="3" applyNumberFormat="1" applyFont="1" applyAlignment="1">
      <alignment horizontal="right" vertical="center"/>
    </xf>
    <xf numFmtId="40" fontId="72" fillId="0" borderId="0" xfId="3" applyNumberFormat="1" applyFont="1" applyAlignment="1">
      <alignment vertical="center"/>
    </xf>
    <xf numFmtId="40" fontId="72" fillId="0" borderId="0" xfId="3" applyNumberFormat="1" applyFont="1" applyAlignment="1">
      <alignment horizontal="center" vertical="center"/>
    </xf>
    <xf numFmtId="0" fontId="71" fillId="0" borderId="0" xfId="3" applyFont="1" applyAlignment="1">
      <alignment horizontal="center" vertical="center"/>
    </xf>
    <xf numFmtId="168" fontId="73" fillId="0" borderId="0" xfId="3" applyNumberFormat="1" applyFont="1" applyAlignment="1">
      <alignment horizontal="center" vertical="center"/>
    </xf>
    <xf numFmtId="14" fontId="74" fillId="0" borderId="0" xfId="3" applyNumberFormat="1" applyFont="1" applyAlignment="1">
      <alignment horizontal="center"/>
    </xf>
    <xf numFmtId="4" fontId="73" fillId="0" borderId="0" xfId="3" applyNumberFormat="1" applyFont="1" applyAlignment="1">
      <alignment horizontal="right" vertical="center"/>
    </xf>
    <xf numFmtId="0" fontId="74" fillId="0" borderId="0" xfId="3" applyFont="1" applyAlignment="1">
      <alignment horizontal="center"/>
    </xf>
    <xf numFmtId="4" fontId="6" fillId="0" borderId="0" xfId="3" applyNumberFormat="1" applyFont="1" applyAlignment="1">
      <alignment horizontal="right" vertical="center"/>
    </xf>
    <xf numFmtId="0" fontId="3" fillId="22" borderId="37" xfId="0" applyFont="1" applyFill="1" applyBorder="1" applyAlignment="1">
      <alignment horizontal="center" vertical="center"/>
    </xf>
    <xf numFmtId="168" fontId="75" fillId="0" borderId="0" xfId="3" applyNumberFormat="1" applyFont="1" applyAlignment="1">
      <alignment horizontal="center" vertical="center"/>
    </xf>
    <xf numFmtId="0" fontId="76" fillId="0" borderId="0" xfId="0" applyFont="1" applyAlignment="1">
      <alignment horizontal="center"/>
    </xf>
    <xf numFmtId="4" fontId="75" fillId="0" borderId="0" xfId="3" applyNumberFormat="1" applyFont="1" applyAlignment="1">
      <alignment horizontal="right" vertical="center"/>
    </xf>
    <xf numFmtId="0" fontId="75" fillId="0" borderId="0" xfId="0" applyFont="1" applyAlignment="1">
      <alignment horizontal="center" vertical="center"/>
    </xf>
    <xf numFmtId="4" fontId="75" fillId="0" borderId="0" xfId="0" applyNumberFormat="1" applyFont="1" applyAlignment="1">
      <alignment horizontal="right" vertical="center"/>
    </xf>
    <xf numFmtId="168" fontId="51" fillId="0" borderId="0" xfId="3" applyNumberFormat="1" applyFont="1" applyAlignment="1">
      <alignment horizontal="center" vertical="center"/>
    </xf>
    <xf numFmtId="170" fontId="51" fillId="0" borderId="0" xfId="3" applyNumberFormat="1" applyFont="1" applyAlignment="1">
      <alignment horizontal="center" vertical="center"/>
    </xf>
    <xf numFmtId="171" fontId="51" fillId="0" borderId="0" xfId="3" applyNumberFormat="1" applyFont="1" applyAlignment="1">
      <alignment horizontal="center" vertical="center"/>
    </xf>
    <xf numFmtId="172" fontId="51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left" vertical="center"/>
    </xf>
    <xf numFmtId="40" fontId="52" fillId="0" borderId="0" xfId="3" applyNumberFormat="1" applyFont="1" applyAlignment="1">
      <alignment horizontal="right" vertical="center"/>
    </xf>
    <xf numFmtId="40" fontId="52" fillId="0" borderId="0" xfId="3" applyNumberFormat="1" applyFont="1" applyAlignment="1">
      <alignment vertical="center"/>
    </xf>
    <xf numFmtId="40" fontId="52" fillId="0" borderId="0" xfId="3" applyNumberFormat="1" applyFont="1" applyAlignment="1">
      <alignment horizontal="center" vertical="center"/>
    </xf>
    <xf numFmtId="0" fontId="51" fillId="0" borderId="0" xfId="3" applyFont="1" applyAlignment="1">
      <alignment horizontal="center" vertical="center"/>
    </xf>
    <xf numFmtId="171" fontId="0" fillId="0" borderId="0" xfId="0" applyNumberFormat="1" applyAlignment="1">
      <alignment horizontal="center"/>
    </xf>
    <xf numFmtId="40" fontId="60" fillId="0" borderId="0" xfId="3" applyNumberFormat="1" applyFont="1" applyAlignment="1">
      <alignment horizontal="center" vertical="center"/>
    </xf>
    <xf numFmtId="0" fontId="59" fillId="0" borderId="0" xfId="3" applyFont="1" applyAlignment="1">
      <alignment horizontal="center" vertical="center"/>
    </xf>
    <xf numFmtId="40" fontId="60" fillId="0" borderId="0" xfId="3" applyNumberFormat="1" applyFont="1" applyAlignment="1">
      <alignment vertical="center"/>
    </xf>
    <xf numFmtId="168" fontId="55" fillId="28" borderId="0" xfId="3" applyNumberFormat="1" applyFont="1" applyFill="1" applyAlignment="1">
      <alignment horizontal="center" vertical="center"/>
    </xf>
    <xf numFmtId="169" fontId="55" fillId="28" borderId="0" xfId="3" applyNumberFormat="1" applyFont="1" applyFill="1" applyAlignment="1">
      <alignment horizontal="center" vertical="center"/>
    </xf>
    <xf numFmtId="170" fontId="55" fillId="28" borderId="0" xfId="3" applyNumberFormat="1" applyFont="1" applyFill="1" applyAlignment="1">
      <alignment horizontal="center" vertical="center"/>
    </xf>
    <xf numFmtId="171" fontId="55" fillId="28" borderId="0" xfId="3" applyNumberFormat="1" applyFont="1" applyFill="1" applyAlignment="1">
      <alignment horizontal="center" vertical="center"/>
    </xf>
    <xf numFmtId="172" fontId="55" fillId="28" borderId="0" xfId="3" applyNumberFormat="1" applyFont="1" applyFill="1" applyAlignment="1">
      <alignment horizontal="center" vertical="center"/>
    </xf>
    <xf numFmtId="0" fontId="55" fillId="28" borderId="0" xfId="3" applyFont="1" applyFill="1" applyAlignment="1">
      <alignment horizontal="left" vertical="center"/>
    </xf>
    <xf numFmtId="40" fontId="56" fillId="28" borderId="0" xfId="3" applyNumberFormat="1" applyFont="1" applyFill="1" applyAlignment="1">
      <alignment horizontal="right" vertical="center"/>
    </xf>
    <xf numFmtId="40" fontId="56" fillId="28" borderId="0" xfId="3" applyNumberFormat="1" applyFont="1" applyFill="1" applyAlignment="1">
      <alignment vertical="center"/>
    </xf>
    <xf numFmtId="40" fontId="60" fillId="28" borderId="0" xfId="3" applyNumberFormat="1" applyFont="1" applyFill="1" applyAlignment="1">
      <alignment vertical="center"/>
    </xf>
    <xf numFmtId="40" fontId="60" fillId="28" borderId="0" xfId="3" applyNumberFormat="1" applyFont="1" applyFill="1" applyAlignment="1">
      <alignment horizontal="center" vertical="center"/>
    </xf>
    <xf numFmtId="0" fontId="59" fillId="28" borderId="0" xfId="3" applyFont="1" applyFill="1" applyAlignment="1">
      <alignment horizontal="center" vertical="center"/>
    </xf>
    <xf numFmtId="0" fontId="0" fillId="28" borderId="0" xfId="0" applyFill="1"/>
    <xf numFmtId="168" fontId="6" fillId="28" borderId="0" xfId="3" applyNumberFormat="1" applyFont="1" applyFill="1" applyAlignment="1">
      <alignment horizontal="center" vertical="center"/>
    </xf>
    <xf numFmtId="170" fontId="6" fillId="28" borderId="0" xfId="3" applyNumberFormat="1" applyFont="1" applyFill="1" applyAlignment="1">
      <alignment horizontal="center" vertical="center"/>
    </xf>
    <xf numFmtId="171" fontId="6" fillId="28" borderId="0" xfId="3" applyNumberFormat="1" applyFont="1" applyFill="1" applyAlignment="1">
      <alignment horizontal="center" vertical="center"/>
    </xf>
    <xf numFmtId="172" fontId="6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left" vertical="center"/>
    </xf>
    <xf numFmtId="40" fontId="7" fillId="28" borderId="0" xfId="3" applyNumberFormat="1" applyFont="1" applyFill="1" applyAlignment="1">
      <alignment horizontal="right" vertical="center"/>
    </xf>
    <xf numFmtId="180" fontId="56" fillId="0" borderId="0" xfId="3" applyNumberFormat="1" applyFont="1" applyAlignment="1">
      <alignment vertical="center"/>
    </xf>
    <xf numFmtId="0" fontId="77" fillId="0" borderId="0" xfId="0" applyFont="1" applyAlignment="1">
      <alignment horizontal="center" vertical="center"/>
    </xf>
    <xf numFmtId="0" fontId="77" fillId="0" borderId="0" xfId="0" applyFont="1" applyAlignment="1">
      <alignment horizontal="left" vertical="center"/>
    </xf>
    <xf numFmtId="40" fontId="78" fillId="0" borderId="0" xfId="0" applyNumberFormat="1" applyFont="1" applyAlignment="1">
      <alignment horizontal="right" vertical="center"/>
    </xf>
    <xf numFmtId="168" fontId="6" fillId="29" borderId="0" xfId="3" applyNumberFormat="1" applyFont="1" applyFill="1" applyAlignment="1">
      <alignment horizontal="center" vertical="center"/>
    </xf>
    <xf numFmtId="169" fontId="6" fillId="29" borderId="0" xfId="3" applyNumberFormat="1" applyFont="1" applyFill="1" applyAlignment="1">
      <alignment horizontal="center" vertical="center"/>
    </xf>
    <xf numFmtId="170" fontId="6" fillId="29" borderId="0" xfId="3" applyNumberFormat="1" applyFont="1" applyFill="1" applyAlignment="1">
      <alignment horizontal="center" vertical="center"/>
    </xf>
    <xf numFmtId="171" fontId="6" fillId="29" borderId="0" xfId="3" applyNumberFormat="1" applyFont="1" applyFill="1" applyAlignment="1">
      <alignment horizontal="center" vertical="center"/>
    </xf>
    <xf numFmtId="172" fontId="6" fillId="29" borderId="0" xfId="3" applyNumberFormat="1" applyFont="1" applyFill="1" applyAlignment="1">
      <alignment horizontal="center" vertical="center"/>
    </xf>
    <xf numFmtId="0" fontId="6" fillId="29" borderId="0" xfId="3" applyFont="1" applyFill="1" applyAlignment="1">
      <alignment horizontal="left" vertical="center"/>
    </xf>
    <xf numFmtId="40" fontId="7" fillId="29" borderId="0" xfId="3" applyNumberFormat="1" applyFont="1" applyFill="1" applyAlignment="1">
      <alignment horizontal="right" vertical="center"/>
    </xf>
    <xf numFmtId="40" fontId="7" fillId="29" borderId="0" xfId="3" applyNumberFormat="1" applyFont="1" applyFill="1" applyAlignment="1">
      <alignment vertical="center"/>
    </xf>
    <xf numFmtId="40" fontId="7" fillId="29" borderId="0" xfId="3" applyNumberFormat="1" applyFont="1" applyFill="1" applyAlignment="1">
      <alignment horizontal="center" vertical="center"/>
    </xf>
    <xf numFmtId="0" fontId="6" fillId="29" borderId="0" xfId="3" applyFont="1" applyFill="1" applyAlignment="1">
      <alignment horizontal="center" vertical="center"/>
    </xf>
    <xf numFmtId="0" fontId="0" fillId="29" borderId="0" xfId="0" applyFill="1"/>
    <xf numFmtId="169" fontId="77" fillId="29" borderId="0" xfId="3" applyNumberFormat="1" applyFont="1" applyFill="1" applyAlignment="1">
      <alignment horizontal="center" vertical="center"/>
    </xf>
    <xf numFmtId="170" fontId="77" fillId="29" borderId="0" xfId="3" applyNumberFormat="1" applyFont="1" applyFill="1" applyAlignment="1">
      <alignment horizontal="center" vertical="center"/>
    </xf>
    <xf numFmtId="171" fontId="77" fillId="29" borderId="0" xfId="3" applyNumberFormat="1" applyFont="1" applyFill="1" applyAlignment="1">
      <alignment horizontal="center" vertical="center"/>
    </xf>
    <xf numFmtId="172" fontId="77" fillId="29" borderId="0" xfId="3" applyNumberFormat="1" applyFont="1" applyFill="1" applyAlignment="1">
      <alignment horizontal="center" vertical="center"/>
    </xf>
    <xf numFmtId="0" fontId="77" fillId="29" borderId="0" xfId="3" applyFont="1" applyFill="1" applyAlignment="1">
      <alignment horizontal="left" vertical="center"/>
    </xf>
    <xf numFmtId="40" fontId="78" fillId="29" borderId="0" xfId="3" applyNumberFormat="1" applyFont="1" applyFill="1" applyAlignment="1">
      <alignment horizontal="right" vertical="center"/>
    </xf>
    <xf numFmtId="40" fontId="78" fillId="29" borderId="0" xfId="3" applyNumberFormat="1" applyFont="1" applyFill="1" applyAlignment="1">
      <alignment vertical="center"/>
    </xf>
    <xf numFmtId="40" fontId="78" fillId="29" borderId="0" xfId="3" applyNumberFormat="1" applyFont="1" applyFill="1" applyAlignment="1">
      <alignment horizontal="center" vertical="center"/>
    </xf>
    <xf numFmtId="0" fontId="77" fillId="29" borderId="0" xfId="3" applyFont="1" applyFill="1" applyAlignment="1">
      <alignment horizontal="center" vertical="center"/>
    </xf>
    <xf numFmtId="169" fontId="79" fillId="0" borderId="0" xfId="3" applyNumberFormat="1" applyFont="1" applyAlignment="1">
      <alignment horizontal="center" vertical="center"/>
    </xf>
    <xf numFmtId="170" fontId="79" fillId="0" borderId="0" xfId="3" applyNumberFormat="1" applyFont="1" applyAlignment="1">
      <alignment horizontal="center" vertical="center"/>
    </xf>
    <xf numFmtId="171" fontId="79" fillId="0" borderId="0" xfId="3" applyNumberFormat="1" applyFont="1" applyAlignment="1">
      <alignment horizontal="center" vertical="center"/>
    </xf>
    <xf numFmtId="172" fontId="79" fillId="0" borderId="0" xfId="3" applyNumberFormat="1" applyFont="1" applyAlignment="1">
      <alignment horizontal="center" vertical="center"/>
    </xf>
    <xf numFmtId="0" fontId="79" fillId="0" borderId="0" xfId="3" applyFont="1" applyAlignment="1">
      <alignment horizontal="left" vertical="center"/>
    </xf>
    <xf numFmtId="40" fontId="80" fillId="0" borderId="0" xfId="3" applyNumberFormat="1" applyFont="1" applyAlignment="1">
      <alignment horizontal="right" vertical="center"/>
    </xf>
    <xf numFmtId="40" fontId="80" fillId="0" borderId="0" xfId="3" applyNumberFormat="1" applyFont="1" applyAlignment="1">
      <alignment vertical="center"/>
    </xf>
    <xf numFmtId="40" fontId="80" fillId="0" borderId="0" xfId="3" applyNumberFormat="1" applyFont="1" applyAlignment="1">
      <alignment horizontal="center" vertical="center"/>
    </xf>
    <xf numFmtId="0" fontId="79" fillId="0" borderId="0" xfId="3" applyFont="1" applyAlignment="1">
      <alignment horizontal="center" vertical="center"/>
    </xf>
    <xf numFmtId="14" fontId="0" fillId="0" borderId="0" xfId="0" applyNumberFormat="1"/>
    <xf numFmtId="14" fontId="6" fillId="0" borderId="0" xfId="0" applyNumberFormat="1" applyFont="1" applyAlignment="1">
      <alignment horizontal="center" vertical="center"/>
    </xf>
    <xf numFmtId="14" fontId="6" fillId="28" borderId="0" xfId="0" applyNumberFormat="1" applyFont="1" applyFill="1" applyAlignment="1">
      <alignment horizontal="center" vertical="center"/>
    </xf>
    <xf numFmtId="169" fontId="79" fillId="28" borderId="0" xfId="3" applyNumberFormat="1" applyFont="1" applyFill="1" applyAlignment="1">
      <alignment horizontal="center" vertical="center"/>
    </xf>
    <xf numFmtId="170" fontId="79" fillId="28" borderId="0" xfId="3" applyNumberFormat="1" applyFont="1" applyFill="1" applyAlignment="1">
      <alignment horizontal="center" vertical="center"/>
    </xf>
    <xf numFmtId="171" fontId="79" fillId="28" borderId="0" xfId="3" applyNumberFormat="1" applyFont="1" applyFill="1" applyAlignment="1">
      <alignment horizontal="center" vertical="center"/>
    </xf>
    <xf numFmtId="172" fontId="79" fillId="28" borderId="0" xfId="3" applyNumberFormat="1" applyFont="1" applyFill="1" applyAlignment="1">
      <alignment horizontal="center" vertical="center"/>
    </xf>
    <xf numFmtId="0" fontId="79" fillId="28" borderId="0" xfId="3" applyFont="1" applyFill="1" applyAlignment="1">
      <alignment horizontal="left" vertical="center"/>
    </xf>
    <xf numFmtId="40" fontId="80" fillId="28" borderId="0" xfId="3" applyNumberFormat="1" applyFont="1" applyFill="1" applyAlignment="1">
      <alignment vertical="center"/>
    </xf>
    <xf numFmtId="40" fontId="80" fillId="28" borderId="0" xfId="3" applyNumberFormat="1" applyFont="1" applyFill="1" applyAlignment="1">
      <alignment horizontal="center" vertical="center"/>
    </xf>
    <xf numFmtId="0" fontId="79" fillId="28" borderId="0" xfId="3" applyFont="1" applyFill="1" applyAlignment="1">
      <alignment horizontal="center" vertical="center"/>
    </xf>
    <xf numFmtId="168" fontId="6" fillId="4" borderId="0" xfId="3" applyNumberFormat="1" applyFont="1" applyFill="1" applyAlignment="1">
      <alignment horizontal="center" vertical="center"/>
    </xf>
    <xf numFmtId="169" fontId="6" fillId="4" borderId="0" xfId="3" applyNumberFormat="1" applyFont="1" applyFill="1" applyAlignment="1">
      <alignment horizontal="center" vertical="center"/>
    </xf>
    <xf numFmtId="170" fontId="6" fillId="4" borderId="0" xfId="3" applyNumberFormat="1" applyFont="1" applyFill="1" applyAlignment="1">
      <alignment horizontal="center" vertical="center"/>
    </xf>
    <xf numFmtId="171" fontId="6" fillId="4" borderId="0" xfId="3" applyNumberFormat="1" applyFont="1" applyFill="1" applyAlignment="1">
      <alignment horizontal="center" vertical="center"/>
    </xf>
    <xf numFmtId="172" fontId="6" fillId="4" borderId="0" xfId="3" applyNumberFormat="1" applyFont="1" applyFill="1" applyAlignment="1">
      <alignment horizontal="center" vertical="center"/>
    </xf>
    <xf numFmtId="40" fontId="7" fillId="4" borderId="0" xfId="3" applyNumberFormat="1" applyFont="1" applyFill="1" applyAlignment="1">
      <alignment vertical="center"/>
    </xf>
    <xf numFmtId="40" fontId="7" fillId="4" borderId="0" xfId="3" applyNumberFormat="1" applyFont="1" applyFill="1" applyAlignment="1">
      <alignment horizontal="center" vertical="center"/>
    </xf>
    <xf numFmtId="0" fontId="0" fillId="4" borderId="0" xfId="0" applyFill="1"/>
    <xf numFmtId="14" fontId="6" fillId="4" borderId="0" xfId="0" applyNumberFormat="1" applyFont="1" applyFill="1" applyAlignment="1">
      <alignment horizontal="center" vertical="center"/>
    </xf>
    <xf numFmtId="169" fontId="79" fillId="4" borderId="0" xfId="3" applyNumberFormat="1" applyFont="1" applyFill="1" applyAlignment="1">
      <alignment horizontal="center" vertical="center"/>
    </xf>
    <xf numFmtId="170" fontId="79" fillId="4" borderId="0" xfId="3" applyNumberFormat="1" applyFont="1" applyFill="1" applyAlignment="1">
      <alignment horizontal="center" vertical="center"/>
    </xf>
    <xf numFmtId="171" fontId="79" fillId="4" borderId="0" xfId="3" applyNumberFormat="1" applyFont="1" applyFill="1" applyAlignment="1">
      <alignment horizontal="center" vertical="center"/>
    </xf>
    <xf numFmtId="172" fontId="79" fillId="4" borderId="0" xfId="3" applyNumberFormat="1" applyFont="1" applyFill="1" applyAlignment="1">
      <alignment horizontal="center" vertical="center"/>
    </xf>
    <xf numFmtId="0" fontId="79" fillId="4" borderId="0" xfId="3" applyFont="1" applyFill="1" applyAlignment="1">
      <alignment horizontal="left" vertical="center"/>
    </xf>
    <xf numFmtId="40" fontId="80" fillId="4" borderId="0" xfId="3" applyNumberFormat="1" applyFont="1" applyFill="1" applyAlignment="1">
      <alignment vertical="center"/>
    </xf>
    <xf numFmtId="40" fontId="80" fillId="4" borderId="0" xfId="3" applyNumberFormat="1" applyFont="1" applyFill="1" applyAlignment="1">
      <alignment horizontal="center" vertical="center"/>
    </xf>
    <xf numFmtId="0" fontId="79" fillId="4" borderId="0" xfId="3" applyFont="1" applyFill="1" applyAlignment="1">
      <alignment horizontal="center" vertical="center"/>
    </xf>
    <xf numFmtId="169" fontId="6" fillId="28" borderId="0" xfId="3" applyNumberFormat="1" applyFont="1" applyFill="1" applyAlignment="1">
      <alignment horizontal="center" vertical="center"/>
    </xf>
    <xf numFmtId="40" fontId="7" fillId="28" borderId="0" xfId="3" applyNumberFormat="1" applyFont="1" applyFill="1" applyAlignment="1">
      <alignment vertical="center"/>
    </xf>
    <xf numFmtId="40" fontId="7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center" vertical="center"/>
    </xf>
    <xf numFmtId="168" fontId="79" fillId="4" borderId="0" xfId="3" applyNumberFormat="1" applyFont="1" applyFill="1" applyAlignment="1">
      <alignment horizontal="center" vertical="center"/>
    </xf>
    <xf numFmtId="0" fontId="6" fillId="4" borderId="0" xfId="3" applyFont="1" applyFill="1" applyAlignment="1">
      <alignment horizontal="left" vertical="center"/>
    </xf>
    <xf numFmtId="0" fontId="6" fillId="4" borderId="0" xfId="3" applyFont="1" applyFill="1" applyAlignment="1">
      <alignment horizontal="center" vertical="center"/>
    </xf>
    <xf numFmtId="0" fontId="15" fillId="3" borderId="4" xfId="3" applyFont="1" applyFill="1" applyBorder="1" applyAlignment="1">
      <alignment horizontal="center" vertical="center" wrapText="1"/>
    </xf>
    <xf numFmtId="0" fontId="15" fillId="3" borderId="6" xfId="3" applyFont="1" applyFill="1" applyBorder="1" applyAlignment="1">
      <alignment horizontal="center" vertical="center" wrapText="1"/>
    </xf>
    <xf numFmtId="0" fontId="15" fillId="3" borderId="5" xfId="3" applyFont="1" applyFill="1" applyBorder="1" applyAlignment="1">
      <alignment horizontal="center" vertical="center" wrapText="1"/>
    </xf>
    <xf numFmtId="168" fontId="64" fillId="28" borderId="0" xfId="3" applyNumberFormat="1" applyFont="1" applyFill="1" applyAlignment="1">
      <alignment horizontal="center" vertical="center"/>
    </xf>
    <xf numFmtId="169" fontId="64" fillId="28" borderId="0" xfId="3" applyNumberFormat="1" applyFont="1" applyFill="1" applyAlignment="1">
      <alignment horizontal="center" vertical="center"/>
    </xf>
    <xf numFmtId="170" fontId="64" fillId="28" borderId="0" xfId="3" applyNumberFormat="1" applyFont="1" applyFill="1" applyAlignment="1">
      <alignment horizontal="center" vertical="center"/>
    </xf>
    <xf numFmtId="171" fontId="64" fillId="28" borderId="0" xfId="3" applyNumberFormat="1" applyFont="1" applyFill="1" applyAlignment="1">
      <alignment horizontal="center" vertical="center"/>
    </xf>
    <xf numFmtId="172" fontId="64" fillId="28" borderId="0" xfId="3" applyNumberFormat="1" applyFont="1" applyFill="1" applyAlignment="1">
      <alignment horizontal="center" vertical="center"/>
    </xf>
    <xf numFmtId="0" fontId="64" fillId="28" borderId="0" xfId="3" applyFont="1" applyFill="1" applyAlignment="1">
      <alignment horizontal="left" vertical="center"/>
    </xf>
    <xf numFmtId="40" fontId="65" fillId="28" borderId="0" xfId="3" applyNumberFormat="1" applyFont="1" applyFill="1" applyAlignment="1">
      <alignment horizontal="right" vertical="center"/>
    </xf>
    <xf numFmtId="40" fontId="65" fillId="28" borderId="0" xfId="3" applyNumberFormat="1" applyFont="1" applyFill="1" applyAlignment="1">
      <alignment vertical="center"/>
    </xf>
    <xf numFmtId="40" fontId="65" fillId="28" borderId="0" xfId="3" applyNumberFormat="1" applyFont="1" applyFill="1" applyAlignment="1">
      <alignment horizontal="center" vertical="center"/>
    </xf>
    <xf numFmtId="0" fontId="64" fillId="28" borderId="0" xfId="3" applyFont="1" applyFill="1" applyAlignment="1">
      <alignment horizontal="center" vertical="center"/>
    </xf>
    <xf numFmtId="4" fontId="81" fillId="0" borderId="0" xfId="3" applyNumberFormat="1" applyFont="1" applyAlignment="1">
      <alignment horizontal="right" vertical="center"/>
    </xf>
    <xf numFmtId="168" fontId="82" fillId="24" borderId="0" xfId="3" applyNumberFormat="1" applyFont="1" applyFill="1" applyAlignment="1">
      <alignment horizontal="center" vertical="center"/>
    </xf>
    <xf numFmtId="169" fontId="82" fillId="24" borderId="0" xfId="3" applyNumberFormat="1" applyFont="1" applyFill="1" applyAlignment="1">
      <alignment horizontal="center" vertical="center"/>
    </xf>
    <xf numFmtId="170" fontId="82" fillId="24" borderId="0" xfId="3" applyNumberFormat="1" applyFont="1" applyFill="1" applyAlignment="1">
      <alignment horizontal="center" vertical="center"/>
    </xf>
    <xf numFmtId="171" fontId="82" fillId="24" borderId="0" xfId="3" applyNumberFormat="1" applyFont="1" applyFill="1" applyAlignment="1">
      <alignment horizontal="center" vertical="center"/>
    </xf>
    <xf numFmtId="172" fontId="82" fillId="24" borderId="0" xfId="3" applyNumberFormat="1" applyFont="1" applyFill="1" applyAlignment="1">
      <alignment horizontal="center" vertical="center"/>
    </xf>
    <xf numFmtId="0" fontId="82" fillId="24" borderId="0" xfId="3" applyFont="1" applyFill="1" applyAlignment="1">
      <alignment horizontal="left" vertical="center"/>
    </xf>
    <xf numFmtId="40" fontId="83" fillId="24" borderId="0" xfId="3" applyNumberFormat="1" applyFont="1" applyFill="1" applyAlignment="1">
      <alignment horizontal="right" vertical="center"/>
    </xf>
    <xf numFmtId="40" fontId="83" fillId="24" borderId="0" xfId="3" applyNumberFormat="1" applyFont="1" applyFill="1" applyAlignment="1">
      <alignment vertical="center"/>
    </xf>
    <xf numFmtId="40" fontId="83" fillId="24" borderId="0" xfId="3" applyNumberFormat="1" applyFont="1" applyFill="1" applyAlignment="1">
      <alignment horizontal="center" vertical="center"/>
    </xf>
    <xf numFmtId="0" fontId="82" fillId="24" borderId="0" xfId="3" applyFont="1" applyFill="1" applyAlignment="1">
      <alignment horizontal="center" vertical="center"/>
    </xf>
    <xf numFmtId="169" fontId="64" fillId="24" borderId="0" xfId="3" applyNumberFormat="1" applyFont="1" applyFill="1" applyAlignment="1">
      <alignment horizontal="center" vertical="center"/>
    </xf>
    <xf numFmtId="168" fontId="64" fillId="30" borderId="0" xfId="3" applyNumberFormat="1" applyFont="1" applyFill="1" applyAlignment="1">
      <alignment horizontal="center" vertical="center"/>
    </xf>
    <xf numFmtId="169" fontId="64" fillId="30" borderId="0" xfId="3" applyNumberFormat="1" applyFont="1" applyFill="1" applyAlignment="1">
      <alignment horizontal="center" vertical="center"/>
    </xf>
    <xf numFmtId="170" fontId="64" fillId="30" borderId="0" xfId="3" applyNumberFormat="1" applyFont="1" applyFill="1" applyAlignment="1">
      <alignment horizontal="center" vertical="center"/>
    </xf>
    <xf numFmtId="171" fontId="64" fillId="30" borderId="0" xfId="3" applyNumberFormat="1" applyFont="1" applyFill="1" applyAlignment="1">
      <alignment horizontal="center" vertical="center"/>
    </xf>
    <xf numFmtId="172" fontId="64" fillId="30" borderId="0" xfId="3" applyNumberFormat="1" applyFont="1" applyFill="1" applyAlignment="1">
      <alignment horizontal="center" vertical="center"/>
    </xf>
    <xf numFmtId="0" fontId="64" fillId="30" borderId="0" xfId="3" applyFont="1" applyFill="1" applyAlignment="1">
      <alignment horizontal="left" vertical="center"/>
    </xf>
    <xf numFmtId="40" fontId="65" fillId="30" borderId="0" xfId="3" applyNumberFormat="1" applyFont="1" applyFill="1" applyAlignment="1">
      <alignment vertical="center"/>
    </xf>
    <xf numFmtId="40" fontId="65" fillId="30" borderId="0" xfId="3" applyNumberFormat="1" applyFont="1" applyFill="1" applyAlignment="1">
      <alignment horizontal="center" vertical="center"/>
    </xf>
    <xf numFmtId="0" fontId="64" fillId="30" borderId="0" xfId="3" applyFont="1" applyFill="1" applyAlignment="1">
      <alignment horizontal="center" vertical="center"/>
    </xf>
    <xf numFmtId="168" fontId="64" fillId="27" borderId="0" xfId="3" applyNumberFormat="1" applyFont="1" applyFill="1" applyAlignment="1">
      <alignment horizontal="center" vertical="center"/>
    </xf>
    <xf numFmtId="169" fontId="64" fillId="27" borderId="0" xfId="3" applyNumberFormat="1" applyFont="1" applyFill="1" applyAlignment="1">
      <alignment horizontal="center" vertical="center"/>
    </xf>
    <xf numFmtId="170" fontId="64" fillId="27" borderId="0" xfId="3" applyNumberFormat="1" applyFont="1" applyFill="1" applyAlignment="1">
      <alignment horizontal="center" vertical="center"/>
    </xf>
    <xf numFmtId="171" fontId="64" fillId="27" borderId="0" xfId="3" applyNumberFormat="1" applyFont="1" applyFill="1" applyAlignment="1">
      <alignment horizontal="center" vertical="center"/>
    </xf>
    <xf numFmtId="172" fontId="64" fillId="27" borderId="0" xfId="3" applyNumberFormat="1" applyFont="1" applyFill="1" applyAlignment="1">
      <alignment horizontal="center" vertical="center"/>
    </xf>
    <xf numFmtId="0" fontId="64" fillId="27" borderId="0" xfId="3" applyFont="1" applyFill="1" applyAlignment="1">
      <alignment horizontal="left" vertical="center"/>
    </xf>
    <xf numFmtId="40" fontId="65" fillId="27" borderId="0" xfId="3" applyNumberFormat="1" applyFont="1" applyFill="1" applyAlignment="1">
      <alignment horizontal="right" vertical="center"/>
    </xf>
    <xf numFmtId="40" fontId="65" fillId="27" borderId="0" xfId="3" applyNumberFormat="1" applyFont="1" applyFill="1" applyAlignment="1">
      <alignment vertical="center"/>
    </xf>
    <xf numFmtId="40" fontId="65" fillId="27" borderId="0" xfId="3" applyNumberFormat="1" applyFont="1" applyFill="1" applyAlignment="1">
      <alignment horizontal="center" vertical="center"/>
    </xf>
    <xf numFmtId="0" fontId="64" fillId="27" borderId="0" xfId="3" applyFont="1" applyFill="1" applyAlignment="1">
      <alignment horizontal="center" vertical="center"/>
    </xf>
    <xf numFmtId="168" fontId="6" fillId="27" borderId="0" xfId="3" applyNumberFormat="1" applyFont="1" applyFill="1" applyAlignment="1">
      <alignment horizontal="center" vertical="center"/>
    </xf>
    <xf numFmtId="43" fontId="0" fillId="0" borderId="0" xfId="27" applyFont="1" applyFill="1"/>
    <xf numFmtId="43" fontId="64" fillId="0" borderId="0" xfId="27" applyFont="1" applyFill="1" applyAlignment="1">
      <alignment horizontal="center" vertical="center"/>
    </xf>
    <xf numFmtId="43" fontId="65" fillId="0" borderId="0" xfId="27" applyFont="1" applyFill="1" applyAlignment="1">
      <alignment vertical="center"/>
    </xf>
    <xf numFmtId="43" fontId="65" fillId="0" borderId="0" xfId="27" applyFont="1" applyFill="1" applyAlignment="1">
      <alignment horizontal="center" vertical="center"/>
    </xf>
    <xf numFmtId="43" fontId="6" fillId="0" borderId="0" xfId="27" applyFont="1" applyFill="1" applyAlignment="1">
      <alignment horizontal="center" vertical="center"/>
    </xf>
    <xf numFmtId="43" fontId="7" fillId="0" borderId="0" xfId="27" applyFont="1" applyFill="1" applyAlignment="1">
      <alignment vertical="center"/>
    </xf>
    <xf numFmtId="43" fontId="0" fillId="0" borderId="0" xfId="27" applyFont="1" applyFill="1" applyAlignment="1">
      <alignment vertical="center"/>
    </xf>
    <xf numFmtId="14" fontId="13" fillId="0" borderId="0" xfId="26" applyNumberFormat="1"/>
    <xf numFmtId="170" fontId="82" fillId="0" borderId="0" xfId="3" applyNumberFormat="1" applyFont="1" applyAlignment="1">
      <alignment horizontal="center" vertical="center"/>
    </xf>
    <xf numFmtId="171" fontId="82" fillId="0" borderId="0" xfId="3" applyNumberFormat="1" applyFont="1" applyAlignment="1">
      <alignment horizontal="center" vertical="center"/>
    </xf>
    <xf numFmtId="172" fontId="82" fillId="0" borderId="0" xfId="3" applyNumberFormat="1" applyFont="1" applyAlignment="1">
      <alignment horizontal="center" vertical="center"/>
    </xf>
    <xf numFmtId="0" fontId="82" fillId="0" borderId="0" xfId="3" applyFont="1" applyAlignment="1">
      <alignment horizontal="left" vertical="center"/>
    </xf>
    <xf numFmtId="40" fontId="83" fillId="0" borderId="0" xfId="3" applyNumberFormat="1" applyFont="1" applyAlignment="1">
      <alignment horizontal="right" vertical="center"/>
    </xf>
    <xf numFmtId="43" fontId="84" fillId="0" borderId="0" xfId="27" applyFont="1" applyFill="1" applyAlignment="1">
      <alignment vertical="center"/>
    </xf>
    <xf numFmtId="43" fontId="84" fillId="0" borderId="0" xfId="27" applyFont="1" applyFill="1" applyAlignment="1">
      <alignment horizontal="center" vertical="center"/>
    </xf>
    <xf numFmtId="14" fontId="13" fillId="28" borderId="0" xfId="26" applyNumberFormat="1" applyFill="1"/>
    <xf numFmtId="170" fontId="82" fillId="28" borderId="0" xfId="3" applyNumberFormat="1" applyFont="1" applyFill="1" applyAlignment="1">
      <alignment horizontal="center" vertical="center"/>
    </xf>
    <xf numFmtId="171" fontId="82" fillId="28" borderId="0" xfId="3" applyNumberFormat="1" applyFont="1" applyFill="1" applyAlignment="1">
      <alignment horizontal="center" vertical="center"/>
    </xf>
    <xf numFmtId="172" fontId="82" fillId="28" borderId="0" xfId="3" applyNumberFormat="1" applyFont="1" applyFill="1" applyAlignment="1">
      <alignment horizontal="center" vertical="center"/>
    </xf>
    <xf numFmtId="0" fontId="82" fillId="28" borderId="0" xfId="3" applyFont="1" applyFill="1" applyAlignment="1">
      <alignment horizontal="left" vertical="center"/>
    </xf>
    <xf numFmtId="40" fontId="83" fillId="28" borderId="0" xfId="3" applyNumberFormat="1" applyFont="1" applyFill="1" applyAlignment="1">
      <alignment horizontal="right" vertical="center"/>
    </xf>
    <xf numFmtId="43" fontId="65" fillId="28" borderId="0" xfId="27" applyFont="1" applyFill="1" applyAlignment="1">
      <alignment vertical="center"/>
    </xf>
    <xf numFmtId="43" fontId="65" fillId="28" borderId="0" xfId="27" applyFont="1" applyFill="1" applyAlignment="1">
      <alignment horizontal="center" vertical="center"/>
    </xf>
    <xf numFmtId="43" fontId="64" fillId="28" borderId="0" xfId="27" applyFont="1" applyFill="1" applyAlignment="1">
      <alignment horizontal="center" vertical="center"/>
    </xf>
    <xf numFmtId="43" fontId="0" fillId="28" borderId="0" xfId="27" applyFont="1" applyFill="1"/>
    <xf numFmtId="168" fontId="85" fillId="0" borderId="0" xfId="3" applyNumberFormat="1" applyFont="1" applyAlignment="1">
      <alignment horizontal="center" vertical="center"/>
    </xf>
    <xf numFmtId="181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4" fontId="85" fillId="0" borderId="0" xfId="3" applyNumberFormat="1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4" fontId="85" fillId="0" borderId="0" xfId="0" applyNumberFormat="1" applyFont="1" applyAlignment="1">
      <alignment horizontal="right" vertical="center"/>
    </xf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horizontal="left" vertical="center"/>
    </xf>
    <xf numFmtId="40" fontId="88" fillId="0" borderId="0" xfId="0" applyNumberFormat="1" applyFont="1" applyAlignment="1">
      <alignment horizontal="right" vertical="center"/>
    </xf>
    <xf numFmtId="168" fontId="87" fillId="0" borderId="0" xfId="3" applyNumberFormat="1" applyFont="1" applyAlignment="1">
      <alignment horizontal="center" vertical="center"/>
    </xf>
    <xf numFmtId="169" fontId="87" fillId="0" borderId="0" xfId="3" applyNumberFormat="1" applyFont="1" applyAlignment="1">
      <alignment horizontal="center" vertical="center"/>
    </xf>
    <xf numFmtId="170" fontId="87" fillId="0" borderId="0" xfId="3" applyNumberFormat="1" applyFont="1" applyAlignment="1">
      <alignment horizontal="center" vertical="center"/>
    </xf>
    <xf numFmtId="171" fontId="87" fillId="0" borderId="0" xfId="3" applyNumberFormat="1" applyFont="1" applyAlignment="1">
      <alignment horizontal="center" vertical="center"/>
    </xf>
    <xf numFmtId="172" fontId="87" fillId="0" borderId="0" xfId="3" applyNumberFormat="1" applyFont="1" applyAlignment="1">
      <alignment horizontal="center" vertical="center"/>
    </xf>
    <xf numFmtId="0" fontId="87" fillId="0" borderId="0" xfId="3" applyFont="1" applyAlignment="1">
      <alignment horizontal="left" vertical="center"/>
    </xf>
    <xf numFmtId="40" fontId="88" fillId="0" borderId="0" xfId="3" applyNumberFormat="1" applyFont="1" applyAlignment="1">
      <alignment vertical="center"/>
    </xf>
    <xf numFmtId="40" fontId="88" fillId="0" borderId="0" xfId="3" applyNumberFormat="1" applyFont="1" applyAlignment="1">
      <alignment horizontal="center" vertical="center"/>
    </xf>
    <xf numFmtId="0" fontId="87" fillId="0" borderId="0" xfId="3" applyFont="1" applyAlignment="1">
      <alignment horizontal="center" vertical="center"/>
    </xf>
    <xf numFmtId="40" fontId="65" fillId="6" borderId="0" xfId="3" applyNumberFormat="1" applyFont="1" applyFill="1" applyAlignment="1">
      <alignment horizontal="right" vertical="center"/>
    </xf>
    <xf numFmtId="40" fontId="7" fillId="6" borderId="0" xfId="3" applyNumberFormat="1" applyFont="1" applyFill="1" applyAlignment="1">
      <alignment horizontal="right" vertical="center"/>
    </xf>
    <xf numFmtId="168" fontId="64" fillId="29" borderId="0" xfId="3" applyNumberFormat="1" applyFont="1" applyFill="1" applyAlignment="1">
      <alignment horizontal="center" vertical="center"/>
    </xf>
    <xf numFmtId="169" fontId="64" fillId="29" borderId="0" xfId="3" applyNumberFormat="1" applyFont="1" applyFill="1" applyAlignment="1">
      <alignment horizontal="center" vertical="center"/>
    </xf>
    <xf numFmtId="170" fontId="64" fillId="29" borderId="0" xfId="3" applyNumberFormat="1" applyFont="1" applyFill="1" applyAlignment="1">
      <alignment horizontal="center" vertical="center"/>
    </xf>
    <xf numFmtId="171" fontId="64" fillId="29" borderId="0" xfId="3" applyNumberFormat="1" applyFont="1" applyFill="1" applyAlignment="1">
      <alignment horizontal="center" vertical="center"/>
    </xf>
    <xf numFmtId="172" fontId="64" fillId="29" borderId="0" xfId="3" applyNumberFormat="1" applyFont="1" applyFill="1" applyAlignment="1">
      <alignment horizontal="center" vertical="center"/>
    </xf>
    <xf numFmtId="0" fontId="64" fillId="29" borderId="0" xfId="3" applyFont="1" applyFill="1" applyAlignment="1">
      <alignment horizontal="left" vertical="center"/>
    </xf>
    <xf numFmtId="40" fontId="65" fillId="29" borderId="0" xfId="3" applyNumberFormat="1" applyFont="1" applyFill="1" applyAlignment="1">
      <alignment horizontal="right" vertical="center"/>
    </xf>
    <xf numFmtId="40" fontId="65" fillId="29" borderId="0" xfId="3" applyNumberFormat="1" applyFont="1" applyFill="1" applyAlignment="1">
      <alignment vertical="center"/>
    </xf>
    <xf numFmtId="40" fontId="65" fillId="29" borderId="0" xfId="3" applyNumberFormat="1" applyFont="1" applyFill="1" applyAlignment="1">
      <alignment horizontal="center" vertical="center"/>
    </xf>
    <xf numFmtId="0" fontId="64" fillId="29" borderId="0" xfId="3" applyFont="1" applyFill="1" applyAlignment="1">
      <alignment horizontal="center" vertical="center"/>
    </xf>
    <xf numFmtId="40" fontId="88" fillId="6" borderId="0" xfId="3" applyNumberFormat="1" applyFont="1" applyFill="1" applyAlignment="1">
      <alignment horizontal="right" vertical="center"/>
    </xf>
    <xf numFmtId="40" fontId="88" fillId="6" borderId="0" xfId="3" applyNumberFormat="1" applyFont="1" applyFill="1" applyAlignment="1">
      <alignment vertical="center"/>
    </xf>
    <xf numFmtId="40" fontId="7" fillId="6" borderId="0" xfId="3" applyNumberFormat="1" applyFont="1" applyFill="1" applyAlignment="1">
      <alignment vertical="center"/>
    </xf>
    <xf numFmtId="0" fontId="6" fillId="31" borderId="0" xfId="3" applyFont="1" applyFill="1" applyAlignment="1">
      <alignment horizontal="left" vertical="center"/>
    </xf>
    <xf numFmtId="0" fontId="0" fillId="0" borderId="0" xfId="0" applyAlignment="1">
      <alignment horizontal="left"/>
    </xf>
    <xf numFmtId="0" fontId="15" fillId="3" borderId="0" xfId="3" applyFont="1" applyFill="1" applyAlignment="1">
      <alignment horizontal="left" vertical="center" wrapText="1"/>
    </xf>
    <xf numFmtId="0" fontId="6" fillId="0" borderId="0" xfId="3" applyFont="1" applyAlignment="1">
      <alignment vertical="center"/>
    </xf>
    <xf numFmtId="0" fontId="15" fillId="3" borderId="0" xfId="3" applyFont="1" applyFill="1" applyAlignment="1">
      <alignment vertical="center" wrapText="1"/>
    </xf>
    <xf numFmtId="0" fontId="79" fillId="0" borderId="0" xfId="3" applyFont="1" applyAlignment="1">
      <alignment vertical="center"/>
    </xf>
    <xf numFmtId="0" fontId="89" fillId="0" borderId="0" xfId="0" applyFont="1" applyAlignment="1">
      <alignment horizontal="center" vertical="center"/>
    </xf>
    <xf numFmtId="0" fontId="89" fillId="0" borderId="0" xfId="0" applyFont="1" applyAlignment="1">
      <alignment horizontal="left" vertical="center"/>
    </xf>
    <xf numFmtId="40" fontId="90" fillId="0" borderId="0" xfId="0" applyNumberFormat="1" applyFont="1" applyAlignment="1">
      <alignment horizontal="right" vertical="center"/>
    </xf>
    <xf numFmtId="0" fontId="89" fillId="0" borderId="0" xfId="0" applyFont="1" applyAlignment="1">
      <alignment vertical="center"/>
    </xf>
    <xf numFmtId="0" fontId="15" fillId="3" borderId="6" xfId="3" applyFont="1" applyFill="1" applyBorder="1" applyAlignment="1">
      <alignment vertical="center" wrapText="1"/>
    </xf>
    <xf numFmtId="0" fontId="64" fillId="0" borderId="0" xfId="3" applyFont="1" applyAlignment="1">
      <alignment vertical="center"/>
    </xf>
    <xf numFmtId="0" fontId="82" fillId="24" borderId="0" xfId="3" applyFont="1" applyFill="1" applyAlignment="1">
      <alignment vertical="center"/>
    </xf>
    <xf numFmtId="0" fontId="64" fillId="28" borderId="0" xfId="3" applyFont="1" applyFill="1" applyAlignment="1">
      <alignment vertical="center"/>
    </xf>
    <xf numFmtId="0" fontId="64" fillId="27" borderId="0" xfId="3" applyFont="1" applyFill="1" applyAlignment="1">
      <alignment vertical="center"/>
    </xf>
    <xf numFmtId="0" fontId="39" fillId="0" borderId="0" xfId="3" applyFont="1" applyAlignment="1">
      <alignment vertical="center"/>
    </xf>
    <xf numFmtId="0" fontId="64" fillId="30" borderId="0" xfId="3" applyFont="1" applyFill="1" applyAlignment="1">
      <alignment vertical="center"/>
    </xf>
    <xf numFmtId="0" fontId="6" fillId="0" borderId="0" xfId="0" applyFont="1" applyAlignment="1">
      <alignment vertical="center"/>
    </xf>
    <xf numFmtId="40" fontId="40" fillId="6" borderId="0" xfId="3" applyNumberFormat="1" applyFont="1" applyFill="1" applyAlignment="1">
      <alignment horizontal="right" vertical="center"/>
    </xf>
    <xf numFmtId="40" fontId="83" fillId="6" borderId="0" xfId="3" applyNumberFormat="1" applyFont="1" applyFill="1" applyAlignment="1">
      <alignment horizontal="right" vertical="center"/>
    </xf>
    <xf numFmtId="0" fontId="6" fillId="29" borderId="0" xfId="3" applyFont="1" applyFill="1" applyAlignment="1">
      <alignment vertical="center"/>
    </xf>
    <xf numFmtId="0" fontId="77" fillId="29" borderId="0" xfId="3" applyFont="1" applyFill="1" applyAlignment="1">
      <alignment vertical="center"/>
    </xf>
    <xf numFmtId="0" fontId="77" fillId="0" borderId="0" xfId="0" applyFont="1" applyAlignment="1">
      <alignment vertical="center"/>
    </xf>
    <xf numFmtId="0" fontId="10" fillId="0" borderId="0" xfId="3" applyFont="1" applyAlignment="1">
      <alignment vertical="center"/>
    </xf>
    <xf numFmtId="0" fontId="66" fillId="0" borderId="0" xfId="3" applyFont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horizontal="left" vertical="center"/>
    </xf>
    <xf numFmtId="4" fontId="91" fillId="0" borderId="0" xfId="0" applyNumberFormat="1" applyFont="1" applyAlignment="1">
      <alignment horizontal="right" vertical="center"/>
    </xf>
    <xf numFmtId="168" fontId="36" fillId="0" borderId="0" xfId="3" applyNumberFormat="1" applyFont="1" applyFill="1" applyAlignment="1">
      <alignment horizontal="center" vertical="center"/>
    </xf>
    <xf numFmtId="170" fontId="6" fillId="0" borderId="0" xfId="3" applyNumberFormat="1" applyFont="1" applyFill="1" applyAlignment="1">
      <alignment horizontal="center" vertical="center"/>
    </xf>
    <xf numFmtId="171" fontId="6" fillId="0" borderId="0" xfId="3" applyNumberFormat="1" applyFont="1" applyFill="1" applyAlignment="1">
      <alignment horizontal="center" vertical="center"/>
    </xf>
    <xf numFmtId="172" fontId="6" fillId="0" borderId="0" xfId="3" applyNumberFormat="1" applyFont="1" applyFill="1" applyAlignment="1">
      <alignment horizontal="center" vertical="center"/>
    </xf>
    <xf numFmtId="0" fontId="10" fillId="0" borderId="0" xfId="3" applyFont="1" applyFill="1" applyAlignment="1">
      <alignment horizontal="left"/>
    </xf>
    <xf numFmtId="4" fontId="10" fillId="0" borderId="0" xfId="3" applyNumberFormat="1" applyFont="1" applyFill="1" applyAlignment="1">
      <alignment horizontal="right" vertical="center"/>
    </xf>
    <xf numFmtId="0" fontId="10" fillId="0" borderId="0" xfId="3" applyFont="1" applyFill="1" applyAlignment="1">
      <alignment horizontal="center" vertical="center"/>
    </xf>
    <xf numFmtId="4" fontId="36" fillId="0" borderId="0" xfId="3" applyNumberFormat="1" applyFont="1" applyFill="1" applyAlignment="1">
      <alignment horizontal="right" vertical="center"/>
    </xf>
    <xf numFmtId="171" fontId="10" fillId="0" borderId="0" xfId="3" applyNumberFormat="1" applyFont="1" applyFill="1" applyAlignment="1">
      <alignment horizontal="center"/>
    </xf>
    <xf numFmtId="172" fontId="10" fillId="0" borderId="0" xfId="3" applyNumberFormat="1" applyFont="1" applyFill="1" applyAlignment="1">
      <alignment horizontal="center"/>
    </xf>
    <xf numFmtId="0" fontId="10" fillId="0" borderId="0" xfId="3" applyNumberFormat="1" applyFont="1" applyFill="1" applyAlignment="1">
      <alignment horizontal="left"/>
    </xf>
    <xf numFmtId="0" fontId="10" fillId="0" borderId="0" xfId="3" applyNumberFormat="1" applyFont="1" applyFill="1" applyAlignment="1">
      <alignment horizontal="center" vertical="center"/>
    </xf>
    <xf numFmtId="1" fontId="0" fillId="0" borderId="0" xfId="0" applyNumberFormat="1" applyFont="1" applyFill="1" applyBorder="1"/>
    <xf numFmtId="0" fontId="0" fillId="0" borderId="0" xfId="0" applyFont="1" applyFill="1" applyBorder="1"/>
    <xf numFmtId="168" fontId="6" fillId="0" borderId="0" xfId="3" applyNumberFormat="1" applyFont="1" applyFill="1" applyAlignment="1">
      <alignment horizontal="center" vertical="center"/>
    </xf>
    <xf numFmtId="169" fontId="6" fillId="0" borderId="0" xfId="3" applyNumberFormat="1" applyFont="1" applyFill="1" applyAlignment="1">
      <alignment horizontal="center" vertical="center"/>
    </xf>
    <xf numFmtId="0" fontId="6" fillId="0" borderId="0" xfId="3" applyNumberFormat="1" applyFont="1" applyFill="1" applyAlignment="1">
      <alignment horizontal="left" vertical="center"/>
    </xf>
    <xf numFmtId="182" fontId="7" fillId="0" borderId="0" xfId="3" applyNumberFormat="1" applyFont="1" applyFill="1" applyAlignment="1">
      <alignment horizontal="right" vertical="center"/>
    </xf>
    <xf numFmtId="182" fontId="7" fillId="0" borderId="0" xfId="3" applyNumberFormat="1" applyFont="1" applyFill="1" applyAlignment="1">
      <alignment vertical="center"/>
    </xf>
    <xf numFmtId="182" fontId="7" fillId="0" borderId="0" xfId="3" applyNumberFormat="1" applyFont="1" applyFill="1" applyAlignment="1">
      <alignment horizontal="center" vertical="center"/>
    </xf>
    <xf numFmtId="0" fontId="6" fillId="0" borderId="0" xfId="3" applyNumberFormat="1" applyFont="1" applyFill="1" applyAlignment="1">
      <alignment horizontal="center" vertical="center"/>
    </xf>
    <xf numFmtId="172" fontId="6" fillId="26" borderId="0" xfId="3" applyNumberFormat="1" applyFont="1" applyFill="1" applyAlignment="1">
      <alignment horizontal="center"/>
    </xf>
    <xf numFmtId="0" fontId="0" fillId="0" borderId="0" xfId="0" applyNumberFormat="1" applyFont="1" applyFill="1" applyBorder="1"/>
    <xf numFmtId="40" fontId="53" fillId="30" borderId="0" xfId="3" applyNumberFormat="1" applyFont="1" applyFill="1" applyAlignment="1">
      <alignment vertical="center"/>
    </xf>
    <xf numFmtId="165" fontId="34" fillId="6" borderId="0" xfId="1" applyNumberFormat="1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3" fontId="41" fillId="10" borderId="0" xfId="0" applyNumberFormat="1" applyFont="1" applyFill="1" applyAlignment="1">
      <alignment horizontal="center" vertical="center"/>
    </xf>
    <xf numFmtId="0" fontId="11" fillId="2" borderId="0" xfId="2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3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4" fontId="34" fillId="4" borderId="0" xfId="1" applyNumberFormat="1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5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43" fontId="34" fillId="4" borderId="0" xfId="27" applyFont="1" applyFill="1" applyAlignment="1">
      <alignment horizontal="center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6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  <xf numFmtId="181" fontId="37" fillId="0" borderId="0" xfId="0" applyNumberFormat="1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0" fillId="0" borderId="0" xfId="0" applyNumberFormat="1" applyAlignment="1">
      <alignment wrapText="1"/>
    </xf>
    <xf numFmtId="40" fontId="56" fillId="0" borderId="0" xfId="3" applyNumberFormat="1" applyFont="1" applyFill="1" applyAlignment="1">
      <alignment vertical="center"/>
    </xf>
  </cellXfs>
  <cellStyles count="30">
    <cellStyle name="Car" xfId="7"/>
    <cellStyle name="Celda de comprobación" xfId="15" builtinId="23"/>
    <cellStyle name="Énfasis1" xfId="5" builtinId="29"/>
    <cellStyle name="Énfasis2" xfId="2" builtinId="33"/>
    <cellStyle name="Error" xfId="8"/>
    <cellStyle name="Error 2" xfId="16"/>
    <cellStyle name="Millares" xfId="27" builtinId="3"/>
    <cellStyle name="Millares 2" xfId="9"/>
    <cellStyle name="Millares 2 2" xfId="17"/>
    <cellStyle name="Millares 2 3" xfId="29"/>
    <cellStyle name="Moneda" xfId="1" builtinId="4"/>
    <cellStyle name="Moneda 2" xfId="10"/>
    <cellStyle name="Moneda 2 2" xfId="20"/>
    <cellStyle name="Moneda 3" xfId="23"/>
    <cellStyle name="No completar" xfId="11"/>
    <cellStyle name="No completar 2" xfId="18"/>
    <cellStyle name="Normal" xfId="0" builtinId="0"/>
    <cellStyle name="Normal 10" xfId="26"/>
    <cellStyle name="Normal 2" xfId="4"/>
    <cellStyle name="Normal 2 2" xfId="19"/>
    <cellStyle name="Normal 3" xfId="3"/>
    <cellStyle name="Normal 4" xfId="12"/>
    <cellStyle name="Normal 5" xfId="13"/>
    <cellStyle name="Normal 6" xfId="14"/>
    <cellStyle name="Normal 6 2" xfId="21"/>
    <cellStyle name="Normal 7" xfId="6"/>
    <cellStyle name="Normal 7 2" xfId="22"/>
    <cellStyle name="Normal 7 3" xfId="28"/>
    <cellStyle name="Normal 8" xfId="24"/>
    <cellStyle name="Normal 9" xfId="25"/>
  </cellStyles>
  <dxfs count="17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solid">
          <fgColor indexed="64"/>
          <bgColor theme="8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8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dd/mm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8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2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la 1" pivot="0" count="4">
      <tableStyleElement type="wholeTable" dxfId="1767"/>
      <tableStyleElement type="headerRow" dxfId="1766"/>
      <tableStyleElement type="totalRow" dxfId="1765"/>
      <tableStyleElement type="firstRowStripe" dxfId="1764"/>
    </tableStyle>
    <tableStyle name="Tabla Ventas" pivot="0" count="5">
      <tableStyleElement type="wholeTable" dxfId="1763"/>
      <tableStyleElement type="headerRow" dxfId="1762"/>
      <tableStyleElement type="totalRow" dxfId="1761"/>
      <tableStyleElement type="firstRowStripe" dxfId="1760"/>
      <tableStyleElement type="secondRowStripe" dxfId="1759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Lista_CUIT" displayName="Lista_CUIT" ref="A1:D2948" totalsRowShown="0" headerRowDxfId="1758">
  <autoFilter ref="A1:D2948"/>
  <sortState ref="A188:D2660">
    <sortCondition ref="B1:B2937"/>
  </sortState>
  <tableColumns count="4">
    <tableColumn id="1" name="CUIT" dataDxfId="1757"/>
    <tableColumn id="2" name="RAZON SOCIAL" dataDxfId="1756"/>
    <tableColumn id="3" name="Tipo de Gasto" dataDxfId="1755"/>
    <tableColumn id="4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id="8" name="compras_mes1" displayName="compras_mes1" ref="B8:R114" totalsRowCount="1" headerRowDxfId="1754" totalsRowDxfId="1753">
  <autoFilter ref="B8:R113"/>
  <sortState ref="B9:R113">
    <sortCondition ref="Q8:Q113"/>
  </sortState>
  <tableColumns count="17">
    <tableColumn id="1" name="FECHA" totalsRowLabel="Total" dataDxfId="1752" totalsRowDxfId="1751" dataCellStyle="Normal 3"/>
    <tableColumn id="2" name="TIPO" dataDxfId="1750" totalsRowDxfId="1749" dataCellStyle="Normal 3"/>
    <tableColumn id="3" name="PTO VTA" dataDxfId="1748" totalsRowDxfId="1747" dataCellStyle="Normal 3"/>
    <tableColumn id="4" name="NRO. CPTE" dataDxfId="1746" totalsRowDxfId="1745" dataCellStyle="Normal 3"/>
    <tableColumn id="5" name="CUIT" dataDxfId="1744" totalsRowDxfId="1743" dataCellStyle="Normal 3"/>
    <tableColumn id="6" name="RAZON SOCIAL" dataDxfId="1742" totalsRowDxfId="1741" dataCellStyle="Normal 3">
      <calculatedColumnFormula>IFERROR(IF(compras_mes1[[#This Row],[CUIT]]="","-",VLOOKUP(compras_mes1[[#This Row],[CUIT]],Lista_CUIT[#All],2,0)),"CUIT NO CARGADO")</calculatedColumnFormula>
    </tableColumn>
    <tableColumn id="7" name="NETO GRAVADO" totalsRowFunction="sum" dataDxfId="1740" totalsRowDxfId="1739" dataCellStyle="Normal 3"/>
    <tableColumn id="8" name="IVA 21 %" totalsRowFunction="sum" dataDxfId="1738" totalsRowDxfId="1737" dataCellStyle="Normal 3">
      <calculatedColumnFormula>IF(compras_mes1[[#This Row],[NETO GRAVADO]]="","",compras_mes1[[#This Row],[NETO GRAVADO]]*0.21)</calculatedColumnFormula>
    </tableColumn>
    <tableColumn id="9" name="IVA 27%" totalsRowFunction="sum" dataDxfId="1736" totalsRowDxfId="1735" dataCellStyle="Normal 3"/>
    <tableColumn id="10" name="IVA 10,5%" totalsRowFunction="sum" dataDxfId="1734" totalsRowDxfId="1733" dataCellStyle="Normal 3"/>
    <tableColumn id="11" name="PERC. IVA" totalsRowFunction="sum" dataDxfId="1732" totalsRowDxfId="1731" dataCellStyle="Normal 3"/>
    <tableColumn id="12" name="PERC IIBB _x000a_BS AS" totalsRowFunction="sum" dataDxfId="1730" totalsRowDxfId="1729" dataCellStyle="Normal 3"/>
    <tableColumn id="13" name="PERC. IIBB CABA" totalsRowFunction="sum" dataDxfId="1728" totalsRowDxfId="1727" dataCellStyle="Normal 3"/>
    <tableColumn id="14" name="Otros / No Grav." totalsRowFunction="sum" dataDxfId="1726" totalsRowDxfId="1725" dataCellStyle="Normal 3"/>
    <tableColumn id="15" name="TOTAL" totalsRowFunction="sum" dataDxfId="1724" totalsRowDxfId="1723" dataCellStyle="Normal 3">
      <calculatedColumnFormula>SUM(compras_mes1[[#This Row],[NETO GRAVADO]:[Otros / No Grav.]])</calculatedColumnFormula>
    </tableColumn>
    <tableColumn id="16" name="Tipo de Gasto" dataDxfId="1722" totalsRowDxfId="1721" dataCellStyle="Normal 3">
      <calculatedColumnFormula>IFERROR(IF(compras_mes1[[#This Row],[CUIT]]="","-",VLOOKUP(compras_mes1[[#This Row],[CUIT]],Lista_CUIT[#All],3,0)),"CUIT NO CARGADO")</calculatedColumnFormula>
    </tableColumn>
    <tableColumn id="17" name="Provincia" dataDxfId="1720" totalsRowDxfId="1719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10" name="factura_c_mes1" displayName="factura_c_mes1" ref="D129:K163" totalsRowCount="1" headerRowDxfId="1718" totalsRowDxfId="1717" headerRowCellStyle="Normal 3">
  <autoFilter ref="D129:K162"/>
  <sortState ref="D130:K162">
    <sortCondition ref="D129:D162"/>
  </sortState>
  <tableColumns count="8">
    <tableColumn id="1" name="FECHA" totalsRowLabel="Total" dataDxfId="1716" totalsRowDxfId="1715" dataCellStyle="Normal 3"/>
    <tableColumn id="2" name="PTO VTA" dataDxfId="1714" totalsRowDxfId="1713" dataCellStyle="Normal 3"/>
    <tableColumn id="3" name="FC Nº" dataDxfId="1712" totalsRowDxfId="1711" dataCellStyle="Normal 3"/>
    <tableColumn id="4" name="CUIT" dataDxfId="1710" totalsRowDxfId="1709" dataCellStyle="Normal 3"/>
    <tableColumn id="5" name="RAZON SOCIAL" dataDxfId="1708" totalsRowDxfId="1707" dataCellStyle="Normal 3">
      <calculatedColumnFormula>IFERROR(IF(factura_c_mes1[[#This Row],[CUIT]]="","-",VLOOKUP(factura_c_mes1[[#This Row],[CUIT]],Lista_CUIT[#All],2,0)),"CUIT NO CARGADO")</calculatedColumnFormula>
    </tableColumn>
    <tableColumn id="6" name="TOTAL" totalsRowFunction="sum" dataDxfId="1706" totalsRowDxfId="1705" dataCellStyle="Normal 3"/>
    <tableColumn id="7" name="TIPO DE GASTO" dataDxfId="1704" totalsRowDxfId="1703" dataCellStyle="Normal 3">
      <calculatedColumnFormula>IFERROR(IF(factura_c_mes1[[#This Row],[CUIT]]="","-",VLOOKUP(factura_c_mes1[[#This Row],[CUIT]],Lista_CUIT[#All],3,0)),"CUIT NO CARGADO")</calculatedColumnFormula>
    </tableColumn>
    <tableColumn id="8" name="Provincia" dataDxfId="1702" totalsRowDxfId="1701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id="1" name="venta_a_mes1" displayName="venta_a_mes1" ref="B172:M182" totalsRowCount="1" headerRowDxfId="1700" dataDxfId="1698" headerRowBorderDxfId="1699" tableBorderDxfId="1697" totalsRowBorderDxfId="1696" dataCellStyle="Normal 3">
  <autoFilter ref="B172:M181"/>
  <tableColumns count="12">
    <tableColumn id="1" name="FECHA" totalsRowLabel="Total" dataDxfId="1695" totalsRowDxfId="1694" dataCellStyle="Normal 3"/>
    <tableColumn id="2" name="TIPO" dataDxfId="1693" totalsRowDxfId="1692" dataCellStyle="Normal 3"/>
    <tableColumn id="3" name="PTO VENTA" dataDxfId="1691" totalsRowDxfId="1690" dataCellStyle="Normal 3"/>
    <tableColumn id="4" name="Nº FACTURA" dataDxfId="1689" totalsRowDxfId="1688" dataCellStyle="Normal 3"/>
    <tableColumn id="5" name="CUIT" dataDxfId="1687" totalsRowDxfId="1686" dataCellStyle="Normal 3"/>
    <tableColumn id="6" name="RAZON SOCIAL" dataDxfId="1685" totalsRowDxfId="1684" dataCellStyle="Normal 3">
      <calculatedColumnFormula>IFERROR(IF(venta_a_mes1[[#This Row],[CUIT]]="","-",VLOOKUP(venta_a_mes1[[#This Row],[CUIT]],Lista_CUIT[#All],2,0)),"CUIT NO CARGADO")</calculatedColumnFormula>
    </tableColumn>
    <tableColumn id="7" name="IMPORTE NETO" totalsRowFunction="sum" dataDxfId="1683" totalsRowDxfId="1682" dataCellStyle="Normal 3"/>
    <tableColumn id="8" name="IVA 21%" totalsRowFunction="sum" dataDxfId="1681" totalsRowDxfId="1680" dataCellStyle="Normal 3">
      <calculatedColumnFormula>venta_a_mes1[[#This Row],[IMPORTE NETO]]*0.21</calculatedColumnFormula>
    </tableColumn>
    <tableColumn id="9" name="IVA 10,5%" totalsRowFunction="sum" dataDxfId="1679" totalsRowDxfId="1678" dataCellStyle="Normal 3"/>
    <tableColumn id="10" name="EXENTO" totalsRowFunction="sum" dataDxfId="1677" totalsRowDxfId="1676" dataCellStyle="Normal 3"/>
    <tableColumn id="11" name="TOTAL" totalsRowFunction="sum" dataDxfId="1675" totalsRowDxfId="1674" dataCellStyle="Normal 3">
      <calculatedColumnFormula>SUM(venta_a_mes1[[#This Row],[IMPORTE NETO]:[EXENTO]])</calculatedColumnFormula>
    </tableColumn>
    <tableColumn id="12" name="Provincia" totalsRowFunction="count" dataDxfId="1673" totalsRowDxfId="1672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id="3" name="ventas_b_mes1" displayName="ventas_b_mes1" ref="B186:M193" totalsRowCount="1" headerRowDxfId="1671" dataDxfId="1669" headerRowBorderDxfId="1670" tableBorderDxfId="1668" totalsRowBorderDxfId="1667" dataCellStyle="Normal 3">
  <autoFilter ref="B186:M192"/>
  <tableColumns count="12">
    <tableColumn id="1" name="FECHA" totalsRowLabel="Total" dataDxfId="1666" totalsRowDxfId="1665" dataCellStyle="Normal 3"/>
    <tableColumn id="2" name="TIPO" dataDxfId="1664" totalsRowDxfId="1663" dataCellStyle="Normal 3"/>
    <tableColumn id="3" name="PTO VENTA" dataDxfId="1662" totalsRowDxfId="1661" dataCellStyle="Normal 3"/>
    <tableColumn id="4" name="Nº FACTURA" dataDxfId="1660" totalsRowDxfId="1659" dataCellStyle="Normal 3"/>
    <tableColumn id="5" name="CUIT" dataDxfId="1658" totalsRowDxfId="1657" dataCellStyle="Normal 3"/>
    <tableColumn id="6" name="RAZON SOCIAL" dataDxfId="1656" totalsRowDxfId="1655" dataCellStyle="Normal 3">
      <calculatedColumnFormula>IFERROR(IF(ventas_b_mes1[[#This Row],[CUIT]]="","-",VLOOKUP(ventas_b_mes1[[#This Row],[CUIT]],Lista_CUIT[#All],2,0)),"CUIT NO CARGADO")</calculatedColumnFormula>
    </tableColumn>
    <tableColumn id="7" name="IMPORTE NETO" totalsRowFunction="sum" dataDxfId="1654" totalsRowDxfId="1653" dataCellStyle="Normal 3"/>
    <tableColumn id="8" name="IVA 21%" totalsRowFunction="sum" dataDxfId="1652" totalsRowDxfId="1651" dataCellStyle="Normal 3"/>
    <tableColumn id="9" name="IVA 10,5%" totalsRowFunction="sum" dataDxfId="1650" totalsRowDxfId="1649" dataCellStyle="Normal 3"/>
    <tableColumn id="10" name="EXENTO" totalsRowFunction="sum" dataDxfId="1648" totalsRowDxfId="1647" dataCellStyle="Normal 3"/>
    <tableColumn id="11" name="TOTAL" totalsRowFunction="sum" dataDxfId="1646" totalsRowDxfId="1645" dataCellStyle="Normal 3">
      <calculatedColumnFormula>SUM(ventas_b_mes1[[#This Row],[IMPORTE NETO]:[EXENTO]])</calculatedColumnFormula>
    </tableColumn>
    <tableColumn id="12" name="Provincia" totalsRowFunction="count" dataDxfId="1644" totalsRowDxfId="1643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id="4" name="extracto_banco_mes1" displayName="extracto_banco_mes1" ref="D120:L124" totalsRowCount="1" headerRowDxfId="1642" dataDxfId="1641" tableBorderDxfId="1640" dataCellStyle="Normal 3">
  <autoFilter ref="D120:L123"/>
  <tableColumns count="9">
    <tableColumn id="1" name="FECHA" totalsRowLabel="Total" dataDxfId="1639" totalsRowDxfId="1638" dataCellStyle="Normal 3"/>
    <tableColumn id="2" name="NRO CPTE" dataDxfId="1637" totalsRowDxfId="1636"/>
    <tableColumn id="3" name="BANCO" dataDxfId="1635" totalsRowDxfId="1634"/>
    <tableColumn id="4" name="NETO" totalsRowFunction="sum" dataDxfId="1633" totalsRowDxfId="1632" dataCellStyle="Normal 3">
      <calculatedColumnFormula>500</calculatedColumnFormula>
    </tableColumn>
    <tableColumn id="5" name="IVA 21%" totalsRowFunction="sum" dataDxfId="1631" totalsRowDxfId="1630" dataCellStyle="Normal 3">
      <calculatedColumnFormula>extracto_banco_mes1[[#This Row],[NETO]]*0.21</calculatedColumnFormula>
    </tableColumn>
    <tableColumn id="6" name="IVA 10,5%" totalsRowFunction="sum" dataDxfId="1629" totalsRowDxfId="1628" dataCellStyle="Normal 3"/>
    <tableColumn id="7" name="RET IIBB CABA" totalsRowFunction="sum" dataDxfId="1627" totalsRowDxfId="1626" dataCellStyle="Normal 3"/>
    <tableColumn id="8" name="PERC IVA" totalsRowFunction="sum" dataDxfId="1625" totalsRowDxfId="1624" dataCellStyle="Normal 3"/>
    <tableColumn id="9" name="PERC IIBB" totalsRowFunction="sum" dataDxfId="1623" totalsRowDxfId="1622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id="5" name="retenciones_mes1" displayName="retenciones_mes1" ref="C202:L207" totalsRowShown="0" headerRowDxfId="1621" dataDxfId="1620" headerRowCellStyle="Normal 3" dataCellStyle="Normal 3">
  <autoFilter ref="C202:L207"/>
  <tableColumns count="10">
    <tableColumn id="1" name="FECHA " dataDxfId="1619" dataCellStyle="Normal 3"/>
    <tableColumn id="2" name="COMP Nº" dataDxfId="1618" dataCellStyle="Normal 3"/>
    <tableColumn id="3" name="Columna1" dataDxfId="1617" dataCellStyle="Normal 3"/>
    <tableColumn id="4" name="CUIT" dataDxfId="1616" dataCellStyle="Normal 3"/>
    <tableColumn id="5" name="RAZON SOCIAL" dataDxfId="1615" dataCellStyle="Normal 3">
      <calculatedColumnFormula>IFERROR(IF(retenciones_mes1[[#This Row],[CUIT]]="","-",VLOOKUP(retenciones_mes1[[#This Row],[CUIT]],Lista_CUIT[#All],2,0)),"CUIT NO CARGADO")</calculatedColumnFormula>
    </tableColumn>
    <tableColumn id="6" name="Ganancias" dataDxfId="1614" dataCellStyle="Normal 3"/>
    <tableColumn id="7" name="IVA" dataDxfId="1613" dataCellStyle="Normal 3"/>
    <tableColumn id="8" name="SUSS" dataDxfId="1612" dataCellStyle="Normal 3"/>
    <tableColumn id="9" name="IIBB BSAS" dataDxfId="1611" dataCellStyle="Normal 3"/>
    <tableColumn id="10" name="IIBB CABA" dataDxfId="1610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id="7" name="compras_mes2" displayName="compras_mes2" ref="B8:R131" totalsRowCount="1" headerRowDxfId="1609" dataDxfId="1608" totalsRowDxfId="1607">
  <autoFilter ref="B8:R130"/>
  <sortState ref="B9:R130">
    <sortCondition ref="Q8:Q130"/>
  </sortState>
  <tableColumns count="17">
    <tableColumn id="1" name="FECHA" totalsRowLabel="Total" dataDxfId="1606" totalsRowDxfId="1605" dataCellStyle="Normal 3"/>
    <tableColumn id="2" name="TIPO" dataDxfId="1604" totalsRowDxfId="1603" dataCellStyle="Normal 3"/>
    <tableColumn id="3" name="PTO VTA" dataDxfId="1602" totalsRowDxfId="1601" dataCellStyle="Normal 3"/>
    <tableColumn id="4" name="NRO. CPTE" dataDxfId="1600" totalsRowDxfId="1599" dataCellStyle="Normal 3"/>
    <tableColumn id="5" name="CUIT" dataDxfId="1598" totalsRowDxfId="1597" dataCellStyle="Normal 3"/>
    <tableColumn id="6" name="RAZON SOCIAL" dataDxfId="1596" totalsRowDxfId="1595" dataCellStyle="Normal 3">
      <calculatedColumnFormula>IFERROR(IF(compras_mes2[[#This Row],[CUIT]]="","-",VLOOKUP(compras_mes2[[#This Row],[CUIT]],Lista_CUIT[#All],2,0)),"CUIT NO CARGADO")</calculatedColumnFormula>
    </tableColumn>
    <tableColumn id="7" name="NETO GRAVADO" totalsRowFunction="sum" dataDxfId="1594" totalsRowDxfId="1593" dataCellStyle="Normal 3"/>
    <tableColumn id="8" name="IVA 21 %" totalsRowFunction="sum" dataDxfId="1592" totalsRowDxfId="1591" dataCellStyle="Normal 3">
      <calculatedColumnFormula>IF(compras_mes2[[#This Row],[NETO GRAVADO]]="","",compras_mes2[[#This Row],[NETO GRAVADO]]*0.21)</calculatedColumnFormula>
    </tableColumn>
    <tableColumn id="9" name="IVA 27%" totalsRowFunction="sum" dataDxfId="1590" totalsRowDxfId="1589" dataCellStyle="Normal 3"/>
    <tableColumn id="10" name="IVA 10,5%" totalsRowFunction="sum" dataDxfId="1588" totalsRowDxfId="1587" dataCellStyle="Normal 3"/>
    <tableColumn id="11" name="PERC. IVA" totalsRowFunction="sum" dataDxfId="1586" totalsRowDxfId="1585" dataCellStyle="Normal 3"/>
    <tableColumn id="12" name="PERC IIBB _x000a_BS AS" totalsRowFunction="sum" dataDxfId="1584" totalsRowDxfId="1583" dataCellStyle="Normal 3"/>
    <tableColumn id="13" name="PERC. IIBB CABA" totalsRowFunction="sum" dataDxfId="1582" totalsRowDxfId="1581" dataCellStyle="Normal 3"/>
    <tableColumn id="14" name="Otros / No Grav." totalsRowFunction="sum" dataDxfId="1580" totalsRowDxfId="1579" dataCellStyle="Normal 3"/>
    <tableColumn id="15" name="TOTAL" totalsRowFunction="sum" dataDxfId="1578" totalsRowDxfId="1577" dataCellStyle="Normal 3">
      <calculatedColumnFormula>SUM(compras_mes2[[#This Row],[NETO GRAVADO]:[Otros / No Grav.]])</calculatedColumnFormula>
    </tableColumn>
    <tableColumn id="16" name="Tipo de Gasto" dataDxfId="1576" totalsRowDxfId="1575" dataCellStyle="Normal 3">
      <calculatedColumnFormula>IFERROR(IF(compras_mes2[[#This Row],[CUIT]]="","-",VLOOKUP(compras_mes2[[#This Row],[CUIT]],Lista_CUIT[#All],3,0)),"CUIT NO CARGADO")</calculatedColumnFormula>
    </tableColumn>
    <tableColumn id="17" name="Provincia" dataDxfId="1574" totalsRowDxfId="1573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id="9" name="factura_c_mes2" displayName="factura_c_mes2" ref="D148:K180" totalsRowCount="1" headerRowDxfId="1572" totalsRowDxfId="1571" headerRowCellStyle="Normal 3">
  <autoFilter ref="D148:K179"/>
  <sortState ref="D147:K191">
    <sortCondition ref="F146:F191"/>
  </sortState>
  <tableColumns count="8">
    <tableColumn id="1" name="FECHA" totalsRowLabel="Total" dataDxfId="1570" totalsRowDxfId="1569" dataCellStyle="Normal 3"/>
    <tableColumn id="2" name="PTO VTA" dataDxfId="1568" totalsRowDxfId="1567" dataCellStyle="Normal 3"/>
    <tableColumn id="3" name="FC Nº" dataDxfId="1566" totalsRowDxfId="1565" dataCellStyle="Normal 3"/>
    <tableColumn id="4" name="CUIT" dataDxfId="1564" totalsRowDxfId="1563" dataCellStyle="Normal 3"/>
    <tableColumn id="5" name="RAZON SOCIAL" dataDxfId="1562" totalsRowDxfId="1561" dataCellStyle="Normal 3">
      <calculatedColumnFormula>IFERROR(IF(factura_c_mes2[[#This Row],[CUIT]]="","-",VLOOKUP(factura_c_mes2[[#This Row],[CUIT]],Lista_CUIT[#All],2,0)),"CUIT NO CARGADO")</calculatedColumnFormula>
    </tableColumn>
    <tableColumn id="6" name="TOTAL" totalsRowFunction="sum" dataDxfId="1560" totalsRowDxfId="1559" dataCellStyle="Normal 3"/>
    <tableColumn id="7" name="TIPO DE GASTO" dataDxfId="1558" totalsRowDxfId="1557" dataCellStyle="Normal 3">
      <calculatedColumnFormula>IFERROR(IF(factura_c_mes2[[#This Row],[CUIT]]="","-",VLOOKUP(factura_c_mes2[[#This Row],[CUIT]],Lista_CUIT[#All],3,0)),"CUIT NO CARGADO")</calculatedColumnFormula>
    </tableColumn>
    <tableColumn id="8" name="Provincia" dataDxfId="1556" totalsRowDxfId="1555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id="11" name="venta_a_mes2" displayName="venta_a_mes2" ref="B189:M242" totalsRowCount="1" headerRowDxfId="1554" dataDxfId="1552" headerRowBorderDxfId="1553" tableBorderDxfId="1551" totalsRowBorderDxfId="1550" dataCellStyle="Normal 3">
  <autoFilter ref="B189:M241"/>
  <tableColumns count="12">
    <tableColumn id="1" name="FECHA" totalsRowLabel="Total" dataDxfId="1549" totalsRowDxfId="1548" dataCellStyle="Normal 3"/>
    <tableColumn id="2" name="TIPO" dataDxfId="1547" totalsRowDxfId="1546" dataCellStyle="Normal 3"/>
    <tableColumn id="3" name="PTO VENTA" dataDxfId="1545" totalsRowDxfId="1544" dataCellStyle="Normal 3"/>
    <tableColumn id="4" name="Nº FACTURA" dataDxfId="1543" totalsRowDxfId="1542" dataCellStyle="Normal 3"/>
    <tableColumn id="5" name="CUIT" dataDxfId="1541" totalsRowDxfId="1540" dataCellStyle="Normal 3"/>
    <tableColumn id="6" name="RAZON SOCIAL" dataDxfId="1539" totalsRowDxfId="1538" dataCellStyle="Normal 3">
      <calculatedColumnFormula>IFERROR(IF(venta_a_mes2[[#This Row],[CUIT]]="","-",VLOOKUP(venta_a_mes2[[#This Row],[CUIT]],Lista_CUIT[#All],2,0)),"CUIT NO CARGADO")</calculatedColumnFormula>
    </tableColumn>
    <tableColumn id="7" name="IMPORTE NETO" totalsRowFunction="sum" dataDxfId="1537" totalsRowDxfId="1536" dataCellStyle="Normal 3"/>
    <tableColumn id="8" name="IVA 21%" totalsRowFunction="sum" dataDxfId="1535" totalsRowDxfId="1534" dataCellStyle="Normal 3">
      <calculatedColumnFormula>venta_a_mes2[[#This Row],[IMPORTE NETO]]*0.21</calculatedColumnFormula>
    </tableColumn>
    <tableColumn id="9" name="IVA 10,5%" totalsRowFunction="sum" dataDxfId="1533" totalsRowDxfId="1532" dataCellStyle="Normal 3"/>
    <tableColumn id="10" name="EXENTO" totalsRowFunction="sum" dataDxfId="1531" totalsRowDxfId="1530" dataCellStyle="Normal 3"/>
    <tableColumn id="11" name="TOTAL" totalsRowFunction="sum" dataDxfId="1529" totalsRowDxfId="1528" dataCellStyle="Normal 3">
      <calculatedColumnFormula>SUM(venta_a_mes2[[#This Row],[IMPORTE NETO]:[EXENTO]])</calculatedColumnFormula>
    </tableColumn>
    <tableColumn id="12" name="Provincia" totalsRowFunction="count" dataDxfId="1527" totalsRowDxfId="1526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id="12" name="ventas_b_mes2" displayName="ventas_b_mes2" ref="B244:M472" totalsRowCount="1" headerRowDxfId="1525" dataDxfId="1523" headerRowBorderDxfId="1524" tableBorderDxfId="1522" totalsRowBorderDxfId="1521" dataCellStyle="Normal 3">
  <autoFilter ref="B244:M471"/>
  <tableColumns count="12">
    <tableColumn id="1" name="FECHA" totalsRowLabel="Total" dataDxfId="1520" totalsRowDxfId="1519" dataCellStyle="Normal 3"/>
    <tableColumn id="2" name="TIPO" dataDxfId="1518" totalsRowDxfId="1517" dataCellStyle="Normal 3"/>
    <tableColumn id="3" name="PTO VENTA" dataDxfId="1516" totalsRowDxfId="1515" dataCellStyle="Normal 3"/>
    <tableColumn id="4" name="Nº FACTURA" dataDxfId="1514" totalsRowDxfId="1513" dataCellStyle="Normal 3"/>
    <tableColumn id="5" name="CUIT" dataDxfId="1512" totalsRowDxfId="1511" dataCellStyle="Normal 3"/>
    <tableColumn id="6" name="RAZON SOCIAL" dataDxfId="1510" totalsRowDxfId="1509" dataCellStyle="Normal 3">
      <calculatedColumnFormula>IFERROR(IF(ventas_b_mes2[[#This Row],[CUIT]]="","-",VLOOKUP(ventas_b_mes2[[#This Row],[CUIT]],Lista_CUIT[#All],2,0)),"CUIT NO CARGADO")</calculatedColumnFormula>
    </tableColumn>
    <tableColumn id="7" name="IMPORTE NETO" totalsRowFunction="sum" dataDxfId="1508" totalsRowDxfId="1507" dataCellStyle="Normal 3"/>
    <tableColumn id="8" name="IVA 21%" totalsRowFunction="sum" dataDxfId="1506" totalsRowDxfId="1505" dataCellStyle="Normal 3">
      <calculatedColumnFormula>ventas_b_mes2[[#This Row],[IMPORTE NETO]]*0.21</calculatedColumnFormula>
    </tableColumn>
    <tableColumn id="9" name="IVA 10,5%" totalsRowFunction="sum" dataDxfId="1504" totalsRowDxfId="1503" dataCellStyle="Normal 3"/>
    <tableColumn id="10" name="EXENTO" totalsRowFunction="sum" dataDxfId="1502" totalsRowDxfId="1501" dataCellStyle="Normal 3"/>
    <tableColumn id="11" name="TOTAL" totalsRowFunction="sum" dataDxfId="1500" totalsRowDxfId="1499" dataCellStyle="Normal 3">
      <calculatedColumnFormula>SUM(ventas_b_mes2[[#This Row],[IMPORTE NETO]:[EXENTO]])</calculatedColumnFormula>
    </tableColumn>
    <tableColumn id="12" name="Provincia" totalsRowFunction="count" dataDxfId="1498" totalsRowDxfId="1497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id="13" name="extracto_banco_mes2" displayName="extracto_banco_mes2" ref="D137:L143" totalsRowCount="1" headerRowDxfId="1496" dataDxfId="1495" tableBorderDxfId="1494" dataCellStyle="Normal 3">
  <autoFilter ref="D137:L142"/>
  <tableColumns count="9">
    <tableColumn id="1" name="FECHA" totalsRowLabel="Total" dataDxfId="1493" totalsRowDxfId="1492" dataCellStyle="Normal 3"/>
    <tableColumn id="2" name="NRO CPTE" dataDxfId="1491" totalsRowDxfId="1490"/>
    <tableColumn id="3" name="BANCO" dataDxfId="1489" totalsRowDxfId="1488"/>
    <tableColumn id="4" name="NETO" totalsRowFunction="sum" dataDxfId="1487" totalsRowDxfId="1486" dataCellStyle="Normal 3">
      <calculatedColumnFormula>24+150+100+325+325+150+325+90+175+500</calculatedColumnFormula>
    </tableColumn>
    <tableColumn id="5" name="IVA 21%" totalsRowFunction="sum" dataDxfId="1485" totalsRowDxfId="1484" dataCellStyle="Normal 3">
      <calculatedColumnFormula>extracto_banco_mes2[[#This Row],[NETO]]*0.21</calculatedColumnFormula>
    </tableColumn>
    <tableColumn id="6" name="IVA 10,5%" totalsRowFunction="sum" dataDxfId="1483" totalsRowDxfId="1482" dataCellStyle="Normal 3"/>
    <tableColumn id="7" name="RET IIBB CABA" totalsRowFunction="sum" dataDxfId="1481" totalsRowDxfId="1480" dataCellStyle="Normal 3"/>
    <tableColumn id="8" name="PERC IVA" totalsRowFunction="sum" dataDxfId="1479" totalsRowDxfId="1478" dataCellStyle="Normal 3">
      <calculatedColumnFormula>16.2+78.08</calculatedColumnFormula>
    </tableColumn>
    <tableColumn id="9" name="PERC IIBB" totalsRowFunction="sum" dataDxfId="1477" totalsRowDxfId="1476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id="14" name="Retenciones_mes2" displayName="Retenciones_mes2" ref="C474:L501" totalsRowShown="0" headerRowDxfId="1475" dataDxfId="1474" headerRowCellStyle="Normal 3" dataCellStyle="Normal 3">
  <autoFilter ref="C474:L501"/>
  <tableColumns count="10">
    <tableColumn id="1" name="FECHA " dataDxfId="1473" dataCellStyle="Normal 3"/>
    <tableColumn id="2" name="COMP Nº" dataDxfId="1472" dataCellStyle="Normal 3"/>
    <tableColumn id="3" name="Columna1" dataDxfId="1471" dataCellStyle="Normal 3"/>
    <tableColumn id="4" name="CUIT" dataDxfId="1470" dataCellStyle="Normal 3"/>
    <tableColumn id="5" name="RAZON SOCIAL" dataDxfId="1469" dataCellStyle="Normal 3">
      <calculatedColumnFormula>IFERROR(IF(Retenciones_mes2[[#This Row],[CUIT]]="","-",VLOOKUP(Retenciones_mes2[[#This Row],[CUIT]],Lista_CUIT[#All],2,0)),"CUIT NO CARGADO")</calculatedColumnFormula>
    </tableColumn>
    <tableColumn id="6" name="Ganancias" dataDxfId="1468" dataCellStyle="Normal 3"/>
    <tableColumn id="7" name="IVA" dataDxfId="1467" dataCellStyle="Normal 3"/>
    <tableColumn id="8" name="SUSS" dataDxfId="1466" dataCellStyle="Normal 3"/>
    <tableColumn id="9" name="IIBB BSAS" dataDxfId="1465" dataCellStyle="Normal 3"/>
    <tableColumn id="10" name="IIBB CABA" dataDxfId="1464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id="15" name="compras_mes3" displayName="compras_mes3" ref="B8:R120" totalsRowCount="1" headerRowDxfId="1463" dataDxfId="1462" totalsRowDxfId="1461">
  <autoFilter ref="B8:R119"/>
  <sortState ref="B9:R119">
    <sortCondition ref="Q8:Q119"/>
  </sortState>
  <tableColumns count="17">
    <tableColumn id="1" name="FECHA" totalsRowLabel="Total" dataDxfId="1460" totalsRowDxfId="1459" dataCellStyle="Normal 3"/>
    <tableColumn id="2" name="TIPO" dataDxfId="1458" totalsRowDxfId="1457" dataCellStyle="Normal 3"/>
    <tableColumn id="3" name="PTO VTA" dataDxfId="1456" totalsRowDxfId="1455" dataCellStyle="Normal 3"/>
    <tableColumn id="4" name="NRO. CPTE" dataDxfId="1454" totalsRowDxfId="1453" dataCellStyle="Normal 3"/>
    <tableColumn id="5" name="CUIT" dataDxfId="1452" totalsRowDxfId="1451" dataCellStyle="Normal 3"/>
    <tableColumn id="6" name="RAZON SOCIAL" dataDxfId="1450" totalsRowDxfId="1449" dataCellStyle="Normal 3">
      <calculatedColumnFormula>IFERROR(IF(compras_mes3[[#This Row],[CUIT]]="","-",VLOOKUP(compras_mes3[[#This Row],[CUIT]],Lista_CUIT[#All],2,0)),"CUIT NO CARGADO")</calculatedColumnFormula>
    </tableColumn>
    <tableColumn id="7" name="NETO GRAVADO" totalsRowFunction="sum" dataDxfId="1448" totalsRowDxfId="1447" dataCellStyle="Normal 3"/>
    <tableColumn id="8" name="IVA 21 %" totalsRowFunction="sum" dataDxfId="1446" totalsRowDxfId="1445" dataCellStyle="Normal 3">
      <calculatedColumnFormula>IF(compras_mes3[[#This Row],[NETO GRAVADO]]="","",compras_mes3[[#This Row],[NETO GRAVADO]]*0.21)</calculatedColumnFormula>
    </tableColumn>
    <tableColumn id="9" name="IVA 27%" totalsRowFunction="sum" dataDxfId="1444" totalsRowDxfId="1443" dataCellStyle="Normal 3"/>
    <tableColumn id="10" name="IVA 10,5%" totalsRowFunction="sum" dataDxfId="1442" totalsRowDxfId="1441" dataCellStyle="Normal 3"/>
    <tableColumn id="11" name="PERC. IVA" totalsRowFunction="sum" dataDxfId="1440" totalsRowDxfId="1439" dataCellStyle="Normal 3"/>
    <tableColumn id="12" name="PERC IIBB _x000a_BS AS" totalsRowFunction="sum" dataDxfId="1438" totalsRowDxfId="1437" dataCellStyle="Normal 3"/>
    <tableColumn id="13" name="PERC. IIBB CABA" totalsRowFunction="sum" dataDxfId="1436" totalsRowDxfId="1435" dataCellStyle="Normal 3"/>
    <tableColumn id="14" name="Otros / No Grav." totalsRowFunction="sum" dataDxfId="1434" totalsRowDxfId="1433" dataCellStyle="Normal 3"/>
    <tableColumn id="15" name="TOTAL" totalsRowFunction="sum" dataDxfId="1432" totalsRowDxfId="1431" dataCellStyle="Normal 3">
      <calculatedColumnFormula>SUM(compras_mes3[[#This Row],[NETO GRAVADO]:[Otros / No Grav.]])</calculatedColumnFormula>
    </tableColumn>
    <tableColumn id="16" name="Tipo de Gasto" dataDxfId="1430" totalsRowDxfId="1429" dataCellStyle="Normal 3">
      <calculatedColumnFormula>IFERROR(IF(compras_mes3[[#This Row],[CUIT]]="","-",VLOOKUP(compras_mes3[[#This Row],[CUIT]],Lista_CUIT[#All],3,0)),"CUIT NO CARGADO")</calculatedColumnFormula>
    </tableColumn>
    <tableColumn id="17" name="Provincia" dataDxfId="1428" totalsRowDxfId="1427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id="16" name="factura_c_mes3" displayName="factura_c_mes3" ref="D135:K173" totalsRowCount="1" headerRowDxfId="1426" totalsRowDxfId="1425" headerRowCellStyle="Normal 3">
  <autoFilter ref="D135:K172">
    <filterColumn colId="2">
      <filters>
        <filter val="00000087"/>
      </filters>
    </filterColumn>
  </autoFilter>
  <sortState ref="D137:K173">
    <sortCondition ref="D137:D173"/>
  </sortState>
  <tableColumns count="8">
    <tableColumn id="1" name="FECHA" totalsRowLabel="Total" dataDxfId="1424" totalsRowDxfId="1423" dataCellStyle="Normal 3"/>
    <tableColumn id="2" name="PTO VTA" dataDxfId="1422" totalsRowDxfId="1421" dataCellStyle="Normal 3"/>
    <tableColumn id="3" name="FC Nº" dataDxfId="1420" totalsRowDxfId="1419" dataCellStyle="Normal 3"/>
    <tableColumn id="4" name="CUIT" dataDxfId="1418" totalsRowDxfId="1417" dataCellStyle="Normal 3"/>
    <tableColumn id="5" name="RAZON SOCIAL" dataDxfId="1416" totalsRowDxfId="1415" dataCellStyle="Normal 3">
      <calculatedColumnFormula>IFERROR(IF(factura_c_mes3[[#This Row],[CUIT]]="","-",VLOOKUP(factura_c_mes3[[#This Row],[CUIT]],Lista_CUIT[#All],2,0)),"CUIT NO CARGADO")</calculatedColumnFormula>
    </tableColumn>
    <tableColumn id="6" name="TOTAL" totalsRowFunction="sum" dataDxfId="1414" totalsRowDxfId="1413" dataCellStyle="Normal 3"/>
    <tableColumn id="7" name="TIPO DE GASTO" dataDxfId="1412" totalsRowDxfId="1411" dataCellStyle="Normal 3">
      <calculatedColumnFormula>IFERROR(IF(factura_c_mes3[[#This Row],[CUIT]]="","-",VLOOKUP(factura_c_mes3[[#This Row],[CUIT]],Lista_CUIT[#All],3,0)),"CUIT NO CARGADO")</calculatedColumnFormula>
    </tableColumn>
    <tableColumn id="8" name="Provincia" dataDxfId="1410" totalsRowDxfId="1409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id="17" name="venta_a_mes3" displayName="venta_a_mes3" ref="B182:M192" totalsRowCount="1" headerRowDxfId="1408" dataDxfId="1406" headerRowBorderDxfId="1407" tableBorderDxfId="1405" totalsRowBorderDxfId="1404" dataCellStyle="Normal 3">
  <autoFilter ref="B182:M191"/>
  <tableColumns count="12">
    <tableColumn id="1" name="FECHA" totalsRowLabel="Total" dataDxfId="1403" totalsRowDxfId="1402" dataCellStyle="Normal 3"/>
    <tableColumn id="2" name="TIPO" dataDxfId="1401" totalsRowDxfId="1400" dataCellStyle="Normal 3"/>
    <tableColumn id="3" name="PTO VENTA" dataDxfId="1399" totalsRowDxfId="1398" dataCellStyle="Normal 3"/>
    <tableColumn id="4" name="Nº FACTURA" dataDxfId="1397" totalsRowDxfId="1396" dataCellStyle="Normal 3"/>
    <tableColumn id="5" name="CUIT" dataDxfId="1395" totalsRowDxfId="1394" dataCellStyle="Normal 3"/>
    <tableColumn id="6" name="RAZON SOCIAL" dataDxfId="1393" totalsRowDxfId="1392" dataCellStyle="Normal 3">
      <calculatedColumnFormula>IFERROR(IF(venta_a_mes3[[#This Row],[CUIT]]="","-",VLOOKUP(venta_a_mes3[[#This Row],[CUIT]],Lista_CUIT[#All],2,0)),"CUIT NO CARGADO")</calculatedColumnFormula>
    </tableColumn>
    <tableColumn id="7" name="IMPORTE NETO" totalsRowFunction="sum" dataDxfId="1391" totalsRowDxfId="1390" dataCellStyle="Normal 3"/>
    <tableColumn id="8" name="IVA 21%" totalsRowFunction="sum" dataDxfId="1389" totalsRowDxfId="1388" dataCellStyle="Normal 3">
      <calculatedColumnFormula>venta_a_mes3[[#This Row],[IMPORTE NETO]]*0.21</calculatedColumnFormula>
    </tableColumn>
    <tableColumn id="9" name="IVA 10,5%" totalsRowFunction="sum" dataDxfId="1387" totalsRowDxfId="1386" dataCellStyle="Normal 3"/>
    <tableColumn id="10" name="EXENTO" totalsRowFunction="sum" dataDxfId="1385" totalsRowDxfId="1384" dataCellStyle="Normal 3"/>
    <tableColumn id="11" name="TOTAL" totalsRowFunction="sum" dataDxfId="1383" totalsRowDxfId="1382" dataCellStyle="Normal 3">
      <calculatedColumnFormula>SUM(venta_a_mes3[[#This Row],[IMPORTE NETO]:[EXENTO]])</calculatedColumnFormula>
    </tableColumn>
    <tableColumn id="12" name="Provincia" totalsRowFunction="count" dataDxfId="1381" totalsRowDxfId="1380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id="18" name="ventas_b_mes3" displayName="ventas_b_mes3" ref="B196:M203" totalsRowCount="1" headerRowDxfId="1379" dataDxfId="1377" headerRowBorderDxfId="1378" tableBorderDxfId="1376" totalsRowBorderDxfId="1375" dataCellStyle="Normal 3">
  <autoFilter ref="B196:M202"/>
  <tableColumns count="12">
    <tableColumn id="1" name="FECHA" totalsRowLabel="Total" dataDxfId="1374" totalsRowDxfId="1373" dataCellStyle="Normal 3"/>
    <tableColumn id="2" name="TIPO" dataDxfId="1372" totalsRowDxfId="1371" dataCellStyle="Normal 3"/>
    <tableColumn id="3" name="PTO VENTA" dataDxfId="1370" totalsRowDxfId="1369" dataCellStyle="Normal 3"/>
    <tableColumn id="4" name="Nº FACTURA" dataDxfId="1368" totalsRowDxfId="1367" dataCellStyle="Normal 3"/>
    <tableColumn id="5" name="CUIT" dataDxfId="1366" totalsRowDxfId="1365" dataCellStyle="Normal 3"/>
    <tableColumn id="6" name="RAZON SOCIAL" dataDxfId="1364" totalsRowDxfId="1363" dataCellStyle="Normal 3">
      <calculatedColumnFormula>IFERROR(IF(ventas_b_mes3[[#This Row],[CUIT]]="","-",VLOOKUP(ventas_b_mes3[[#This Row],[CUIT]],Lista_CUIT[#All],2,0)),"CUIT NO CARGADO")</calculatedColumnFormula>
    </tableColumn>
    <tableColumn id="7" name="IMPORTE NETO" totalsRowFunction="sum" dataDxfId="1362" totalsRowDxfId="1361" dataCellStyle="Normal 3"/>
    <tableColumn id="8" name="IVA 21%" totalsRowFunction="sum" dataDxfId="1360" totalsRowDxfId="1359" dataCellStyle="Normal 3"/>
    <tableColumn id="9" name="IVA 10,5%" totalsRowFunction="sum" dataDxfId="1358" totalsRowDxfId="1357" dataCellStyle="Normal 3"/>
    <tableColumn id="10" name="EXENTO" totalsRowFunction="sum" dataDxfId="1356" totalsRowDxfId="1355" dataCellStyle="Normal 3"/>
    <tableColumn id="11" name="TOTAL" totalsRowFunction="sum" dataDxfId="1354" totalsRowDxfId="1353" dataCellStyle="Normal 3">
      <calculatedColumnFormula>SUM(ventas_b_mes3[[#This Row],[IMPORTE NETO]:[EXENTO]])</calculatedColumnFormula>
    </tableColumn>
    <tableColumn id="12" name="Provincia" totalsRowFunction="count" dataDxfId="1352" totalsRowDxfId="1351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id="19" name="extracto_banco_mes3" displayName="extracto_banco_mes3" ref="D126:M131" totalsRowCount="1" headerRowDxfId="1350" dataDxfId="1349" tableBorderDxfId="1348" dataCellStyle="Normal 3">
  <autoFilter ref="D126:M130"/>
  <tableColumns count="10">
    <tableColumn id="1" name="FECHA" totalsRowLabel="Total" dataDxfId="1347" totalsRowDxfId="1346" dataCellStyle="Normal 3"/>
    <tableColumn id="2" name="NRO CPTE" dataDxfId="1345" totalsRowDxfId="1344" dataCellStyle="Normal 3"/>
    <tableColumn id="3" name="BANCO" dataDxfId="1343" totalsRowDxfId="1342"/>
    <tableColumn id="4" name="NETO" totalsRowFunction="sum" dataDxfId="1341" totalsRowDxfId="1340" dataCellStyle="Normal 3">
      <calculatedColumnFormula>24+6200+150+150+16+150+150+300+150+150+150+150+150+800+150</calculatedColumnFormula>
    </tableColumn>
    <tableColumn id="5" name="IVA 21%" totalsRowFunction="sum" dataDxfId="1339" totalsRowDxfId="1338" dataCellStyle="Normal 3">
      <calculatedColumnFormula>extracto_banco_mes3[[#This Row],[NETO]]*0.21</calculatedColumnFormula>
    </tableColumn>
    <tableColumn id="6" name="IVA 10,5%" totalsRowFunction="sum" dataDxfId="1337" totalsRowDxfId="1336" dataCellStyle="Normal 3"/>
    <tableColumn id="7" name="RET IIBB CABA" totalsRowFunction="sum" dataDxfId="1335" totalsRowDxfId="1334" dataCellStyle="Normal 3"/>
    <tableColumn id="8" name="PERC IVA" totalsRowFunction="sum" dataDxfId="1333" totalsRowDxfId="1332" dataCellStyle="Normal 3"/>
    <tableColumn id="9" name="PERC IIBB" totalsRowFunction="sum" dataDxfId="1331" totalsRowDxfId="1330" dataCellStyle="Normal 3"/>
    <tableColumn id="10" name="TOTAL" dataDxfId="1329" totalsRowDxfId="1328" dataCellStyle="Normal 3">
      <calculatedColumnFormula>extracto_banco_mes3[[#This Row],[PERC IIBB]]+extracto_banco_mes3[[#This Row],[PERC IVA]]+extracto_banco_mes3[[#This Row],[NETO]]+extracto_banco_mes3[[#This Row],[IVA 10,5%]]+extracto_banco_mes3[[#This Row],[IVA 21%]]</calculatedColumnFormula>
    </tableColumn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id="20" name="Retenciones_mes3" displayName="Retenciones_mes3" ref="C212:L217" totalsRowShown="0" headerRowDxfId="1327" dataDxfId="1326" headerRowCellStyle="Normal 3" dataCellStyle="Normal 3">
  <autoFilter ref="C212:L217"/>
  <tableColumns count="10">
    <tableColumn id="1" name="FECHA " dataDxfId="1325" dataCellStyle="Normal 3"/>
    <tableColumn id="2" name="COMP Nº" dataDxfId="1324" dataCellStyle="Normal 3"/>
    <tableColumn id="3" name="Columna1" dataDxfId="1323" dataCellStyle="Normal 3"/>
    <tableColumn id="4" name="CUIT" dataDxfId="1322" dataCellStyle="Normal 3"/>
    <tableColumn id="5" name="RAZON SOCIAL" dataDxfId="1321" dataCellStyle="Normal 3">
      <calculatedColumnFormula>IFERROR(IF(Retenciones_mes3[[#This Row],[CUIT]]="","-",VLOOKUP(Retenciones_mes3[[#This Row],[CUIT]],Lista_CUIT[#All],2,0)),"CUIT NO CARGADO")</calculatedColumnFormula>
    </tableColumn>
    <tableColumn id="6" name="Ganancias" dataDxfId="1320" dataCellStyle="Normal 3"/>
    <tableColumn id="7" name="IVA" dataDxfId="1319" dataCellStyle="Normal 3"/>
    <tableColumn id="8" name="SUSS" dataDxfId="1318" dataCellStyle="Normal 3"/>
    <tableColumn id="9" name="IIBB BSAS" dataDxfId="1317" dataCellStyle="Normal 3"/>
    <tableColumn id="10" name="IIBB CABA" dataDxfId="1316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id="21" name="compras_mes4" displayName="compras_mes4" ref="B8:R126" totalsRowCount="1" headerRowDxfId="1315" dataDxfId="1314" totalsRowDxfId="1313">
  <autoFilter ref="B8:R125"/>
  <sortState ref="B9:R125">
    <sortCondition ref="Q8:Q125"/>
  </sortState>
  <tableColumns count="17">
    <tableColumn id="1" name="FECHA" totalsRowLabel="Total" dataDxfId="1312" totalsRowDxfId="1311" dataCellStyle="Normal 3"/>
    <tableColumn id="2" name="TIPO" dataDxfId="1310" totalsRowDxfId="1309" dataCellStyle="Normal 3"/>
    <tableColumn id="3" name="PTO VTA" dataDxfId="1308" totalsRowDxfId="1307" dataCellStyle="Normal 3"/>
    <tableColumn id="4" name="NRO. CPTE" dataDxfId="1306" totalsRowDxfId="1305" dataCellStyle="Normal 3"/>
    <tableColumn id="5" name="CUIT" dataDxfId="1304" totalsRowDxfId="1303" dataCellStyle="Normal 3"/>
    <tableColumn id="6" name="RAZON SOCIAL" dataDxfId="1302" totalsRowDxfId="1301" dataCellStyle="Normal 3">
      <calculatedColumnFormula>IFERROR(IF(compras_mes4[[#This Row],[CUIT]]="","-",VLOOKUP(compras_mes4[[#This Row],[CUIT]],Lista_CUIT[#All],2,0)),"CUIT NO CARGADO")</calculatedColumnFormula>
    </tableColumn>
    <tableColumn id="7" name="NETO GRAVADO" totalsRowFunction="sum" dataDxfId="1300" totalsRowDxfId="1299" dataCellStyle="Normal 3"/>
    <tableColumn id="8" name="IVA 21 %" totalsRowFunction="sum" dataDxfId="1298" totalsRowDxfId="1297" dataCellStyle="Normal 3">
      <calculatedColumnFormula>IF(compras_mes4[[#This Row],[NETO GRAVADO]]="","",compras_mes4[[#This Row],[NETO GRAVADO]]*0.21)</calculatedColumnFormula>
    </tableColumn>
    <tableColumn id="9" name="IVA 27%" totalsRowFunction="sum" dataDxfId="1296" totalsRowDxfId="1295" dataCellStyle="Normal 3"/>
    <tableColumn id="10" name="IVA 10,5%" totalsRowFunction="sum" dataDxfId="1294" totalsRowDxfId="1293" dataCellStyle="Normal 3"/>
    <tableColumn id="11" name="PERC. IVA" totalsRowFunction="sum" dataDxfId="1292" totalsRowDxfId="1291" dataCellStyle="Normal 3"/>
    <tableColumn id="12" name="PERC IIBB _x000a_BS AS" totalsRowFunction="sum" dataDxfId="1290" totalsRowDxfId="1289" dataCellStyle="Normal 3"/>
    <tableColumn id="13" name="PERC. IIBB CABA" totalsRowFunction="sum" dataDxfId="1288" totalsRowDxfId="1287" dataCellStyle="Normal 3"/>
    <tableColumn id="14" name="Otros / No Grav." totalsRowFunction="sum" dataDxfId="1286" totalsRowDxfId="1285" dataCellStyle="Normal 3"/>
    <tableColumn id="15" name="TOTAL" totalsRowFunction="sum" dataDxfId="1284" totalsRowDxfId="1283" dataCellStyle="Normal 3">
      <calculatedColumnFormula>SUM(compras_mes4[[#This Row],[NETO GRAVADO]:[Otros / No Grav.]])</calculatedColumnFormula>
    </tableColumn>
    <tableColumn id="16" name="Tipo de Gasto" dataDxfId="1282" totalsRowDxfId="1281" dataCellStyle="Normal 3">
      <calculatedColumnFormula>IFERROR(IF(compras_mes4[[#This Row],[CUIT]]="","-",VLOOKUP(compras_mes4[[#This Row],[CUIT]],Lista_CUIT[#All],3,0)),"CUIT NO CARGADO")</calculatedColumnFormula>
    </tableColumn>
    <tableColumn id="17" name="Provincia" dataDxfId="1280" totalsRowDxfId="1279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id="22" name="factura_c_mes4" displayName="factura_c_mes4" ref="D140:K188" totalsRowCount="1" headerRowDxfId="1278" totalsRowDxfId="1277" headerRowCellStyle="Normal 3">
  <autoFilter ref="D140:K187"/>
  <tableColumns count="8">
    <tableColumn id="1" name="FECHA" totalsRowLabel="Total" dataDxfId="1276" totalsRowDxfId="1275" dataCellStyle="Normal 3"/>
    <tableColumn id="2" name="PTO VTA" dataDxfId="1274" totalsRowDxfId="1273" dataCellStyle="Normal 3"/>
    <tableColumn id="3" name="FC Nº" dataDxfId="1272" totalsRowDxfId="1271" dataCellStyle="Normal 3"/>
    <tableColumn id="4" name="CUIT" dataDxfId="1270" totalsRowDxfId="1269" dataCellStyle="Normal 3"/>
    <tableColumn id="5" name="RAZON SOCIAL" dataDxfId="1268" totalsRowDxfId="1267" dataCellStyle="Normal 3">
      <calculatedColumnFormula>IFERROR(IF(factura_c_mes4[[#This Row],[CUIT]]="","-",VLOOKUP(factura_c_mes4[[#This Row],[CUIT]],Lista_CUIT[#All],2,0)),"CUIT NO CARGADO")</calculatedColumnFormula>
    </tableColumn>
    <tableColumn id="6" name="TOTAL" totalsRowFunction="sum" dataDxfId="1266" totalsRowDxfId="1265" dataCellStyle="Normal 3"/>
    <tableColumn id="7" name="TIPO DE GASTO" dataDxfId="1264" totalsRowDxfId="1263" dataCellStyle="Normal 3">
      <calculatedColumnFormula>IFERROR(IF(factura_c_mes4[[#This Row],[CUIT]]="","-",VLOOKUP(factura_c_mes4[[#This Row],[CUIT]],Lista_CUIT[#All],3,0)),"CUIT NO CARGADO")</calculatedColumnFormula>
    </tableColumn>
    <tableColumn id="8" name="Provincia" dataDxfId="1262" totalsRowDxfId="1261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id="23" name="venta_a_mes4" displayName="venta_a_mes4" ref="B197:M261" totalsRowCount="1" headerRowDxfId="1260" dataDxfId="1258" headerRowBorderDxfId="1259" tableBorderDxfId="1257" totalsRowBorderDxfId="1256" dataCellStyle="Normal 3">
  <autoFilter ref="B197:M260"/>
  <tableColumns count="12">
    <tableColumn id="1" name="FECHA" totalsRowLabel="Total" dataDxfId="1255" totalsRowDxfId="1254" dataCellStyle="Normal 3"/>
    <tableColumn id="2" name="TIPO" dataDxfId="1253" totalsRowDxfId="1252" dataCellStyle="Normal 3"/>
    <tableColumn id="3" name="PTO VENTA" dataDxfId="1251" totalsRowDxfId="1250" dataCellStyle="Normal 3"/>
    <tableColumn id="4" name="Nº FACTURA" dataDxfId="1249" totalsRowDxfId="1248" dataCellStyle="Normal 3"/>
    <tableColumn id="5" name="CUIT" dataDxfId="1247" totalsRowDxfId="1246" dataCellStyle="Normal 3"/>
    <tableColumn id="6" name="RAZON SOCIAL" dataDxfId="1245" totalsRowDxfId="1244" dataCellStyle="Normal 3">
      <calculatedColumnFormula>IFERROR(IF(venta_a_mes4[[#This Row],[CUIT]]="","-",VLOOKUP(venta_a_mes4[[#This Row],[CUIT]],Lista_CUIT[#All],2,0)),"CUIT NO CARGADO")</calculatedColumnFormula>
    </tableColumn>
    <tableColumn id="7" name="IMPORTE NETO" totalsRowFunction="sum" dataDxfId="1243" totalsRowDxfId="1242" dataCellStyle="Normal 3"/>
    <tableColumn id="8" name="IVA 21%" totalsRowFunction="sum" dataDxfId="1241" totalsRowDxfId="1240" dataCellStyle="Normal 3">
      <calculatedColumnFormula>venta_a_mes4[[#This Row],[IMPORTE NETO]]*0.21</calculatedColumnFormula>
    </tableColumn>
    <tableColumn id="9" name="IVA 10,5%" totalsRowFunction="sum" dataDxfId="1239" totalsRowDxfId="1238" dataCellStyle="Normal 3"/>
    <tableColumn id="10" name="EXENTO" totalsRowFunction="sum" dataDxfId="1237" totalsRowDxfId="1236" dataCellStyle="Normal 3"/>
    <tableColumn id="11" name="TOTAL" totalsRowFunction="sum" dataDxfId="1235" totalsRowDxfId="1234" dataCellStyle="Normal 3">
      <calculatedColumnFormula>SUM(venta_a_mes4[[#This Row],[IMPORTE NETO]:[EXENTO]])</calculatedColumnFormula>
    </tableColumn>
    <tableColumn id="12" name="Provincia" totalsRowFunction="count" dataDxfId="1233" totalsRowDxfId="1232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id="24" name="ventas_b_mes4" displayName="ventas_b_mes4" ref="B263:M527" totalsRowCount="1" headerRowDxfId="1231" dataDxfId="1229" headerRowBorderDxfId="1230" tableBorderDxfId="1228" totalsRowBorderDxfId="1227" dataCellStyle="Normal 3">
  <autoFilter ref="B263:M526"/>
  <tableColumns count="12">
    <tableColumn id="1" name="FECHA" totalsRowLabel="Total" dataDxfId="1226" totalsRowDxfId="1225" dataCellStyle="Normal 3"/>
    <tableColumn id="2" name="TIPO" dataDxfId="1224" totalsRowDxfId="1223" dataCellStyle="Normal 3"/>
    <tableColumn id="3" name="PTO VENTA" dataDxfId="1222" totalsRowDxfId="1221" dataCellStyle="Normal 3"/>
    <tableColumn id="4" name="Nº FACTURA" dataDxfId="1220" totalsRowDxfId="1219" dataCellStyle="Normal 3"/>
    <tableColumn id="5" name="CUIT" dataDxfId="1218" totalsRowDxfId="1217" dataCellStyle="Normal 3"/>
    <tableColumn id="6" name="RAZON SOCIAL" dataDxfId="1216" totalsRowDxfId="1215" dataCellStyle="Normal 3">
      <calculatedColumnFormula>IFERROR(IF(ventas_b_mes4[[#This Row],[CUIT]]="","-",VLOOKUP(ventas_b_mes4[[#This Row],[CUIT]],Lista_CUIT[#All],2,0)),"CUIT NO CARGADO")</calculatedColumnFormula>
    </tableColumn>
    <tableColumn id="7" name="IMPORTE NETO" totalsRowFunction="sum" dataDxfId="1214" totalsRowDxfId="1213" dataCellStyle="Normal 3"/>
    <tableColumn id="8" name="IVA 21%" totalsRowFunction="sum" dataDxfId="1212" totalsRowDxfId="1211" dataCellStyle="Normal 3">
      <calculatedColumnFormula>ventas_b_mes4[[#This Row],[IMPORTE NETO]]*0.21</calculatedColumnFormula>
    </tableColumn>
    <tableColumn id="9" name="IVA 10,5%" totalsRowFunction="sum" dataDxfId="1210" totalsRowDxfId="1209" dataCellStyle="Normal 3"/>
    <tableColumn id="10" name="EXENTO" totalsRowFunction="sum" dataDxfId="1208" totalsRowDxfId="1207" dataCellStyle="Normal 3"/>
    <tableColumn id="11" name="TOTAL" totalsRowFunction="sum" dataDxfId="1206" totalsRowDxfId="1205" dataCellStyle="Normal 3">
      <calculatedColumnFormula>SUM(ventas_b_mes4[[#This Row],[IMPORTE NETO]:[EXENTO]])</calculatedColumnFormula>
    </tableColumn>
    <tableColumn id="12" name="Provincia" totalsRowFunction="count" dataDxfId="1204" totalsRowDxfId="1203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id="25" name="extracto_banco_mes4" displayName="extracto_banco_mes4" ref="D132:L136" totalsRowCount="1" headerRowDxfId="1202" dataDxfId="1201" tableBorderDxfId="1200" dataCellStyle="Normal 3">
  <autoFilter ref="D132:L135"/>
  <tableColumns count="9">
    <tableColumn id="1" name="FECHA" totalsRowLabel="Total" dataDxfId="1199" totalsRowDxfId="1198" dataCellStyle="Normal 3"/>
    <tableColumn id="2" name="NRO CPTE" dataDxfId="1197" totalsRowDxfId="1196"/>
    <tableColumn id="3" name="BANCO" dataDxfId="1195" totalsRowDxfId="1194"/>
    <tableColumn id="4" name="NETO" totalsRowFunction="sum" dataDxfId="1193" totalsRowDxfId="1192" dataCellStyle="Normal 3"/>
    <tableColumn id="5" name="IVA 21%" totalsRowFunction="sum" dataDxfId="1191" totalsRowDxfId="1190" dataCellStyle="Normal 3">
      <calculatedColumnFormula>extracto_banco_mes4[[#This Row],[NETO]]*0.21</calculatedColumnFormula>
    </tableColumn>
    <tableColumn id="6" name="IVA 10,5%" totalsRowFunction="sum" dataDxfId="1189" totalsRowDxfId="1188" dataCellStyle="Normal 3"/>
    <tableColumn id="7" name="RET IIBB CABA" totalsRowFunction="sum" dataDxfId="1187" totalsRowDxfId="1186" dataCellStyle="Normal 3"/>
    <tableColumn id="8" name="PERC IVA" totalsRowFunction="sum" dataDxfId="1185" totalsRowDxfId="1184" dataCellStyle="Normal 3"/>
    <tableColumn id="9" name="PERC IIBB" totalsRowFunction="sum" dataDxfId="1183" totalsRowDxfId="1182" dataCellStyle="Normal 3"/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id="26" name="Retenciones_mes4" displayName="Retenciones_mes4" ref="C529:L534" totalsRowShown="0" headerRowDxfId="1181" dataDxfId="1180" headerRowCellStyle="Normal 3" dataCellStyle="Normal 3">
  <autoFilter ref="C529:L534"/>
  <tableColumns count="10">
    <tableColumn id="1" name="FECHA " dataDxfId="1179" dataCellStyle="Normal 3"/>
    <tableColumn id="2" name="COMP Nº" dataDxfId="1178" dataCellStyle="Normal 3"/>
    <tableColumn id="3" name="Columna1" dataDxfId="1177" dataCellStyle="Normal 3"/>
    <tableColumn id="4" name="CUIT" dataDxfId="1176" dataCellStyle="Normal 3"/>
    <tableColumn id="5" name="RAZON SOCIAL" dataDxfId="1175" dataCellStyle="Normal 3">
      <calculatedColumnFormula>IFERROR(IF(Retenciones_mes4[[#This Row],[CUIT]]="","-",VLOOKUP(Retenciones_mes4[[#This Row],[CUIT]],Lista_CUIT[#All],2,0)),"CUIT NO CARGADO")</calculatedColumnFormula>
    </tableColumn>
    <tableColumn id="6" name="Ganancias" dataDxfId="1174" dataCellStyle="Normal 3"/>
    <tableColumn id="7" name="IVA" dataDxfId="1173" dataCellStyle="Normal 3"/>
    <tableColumn id="8" name="SUSS" dataDxfId="1172" dataCellStyle="Normal 3"/>
    <tableColumn id="9" name="IIBB BSAS" dataDxfId="1171" dataCellStyle="Normal 3"/>
    <tableColumn id="10" name="IIBB CABA" dataDxfId="1170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id="45" name="compras_mes5" displayName="compras_mes5" ref="B8:R117" totalsRowCount="1" headerRowDxfId="1169" totalsRowDxfId="1168">
  <autoFilter ref="B8:R116"/>
  <sortState ref="B9:R116">
    <sortCondition ref="Q8:Q116"/>
  </sortState>
  <tableColumns count="17">
    <tableColumn id="1" name="FECHA" totalsRowLabel="Total" dataDxfId="1167" totalsRowDxfId="1166" dataCellStyle="Normal 3"/>
    <tableColumn id="2" name="TIPO" dataDxfId="1165" totalsRowDxfId="1164" dataCellStyle="Normal 3"/>
    <tableColumn id="3" name="PTO VTA" dataDxfId="1163" totalsRowDxfId="1162" dataCellStyle="Normal 3"/>
    <tableColumn id="4" name="NRO. CPTE" dataDxfId="1161" totalsRowDxfId="1160" dataCellStyle="Normal 3"/>
    <tableColumn id="5" name="CUIT" dataDxfId="1159" totalsRowDxfId="1158" dataCellStyle="Normal 3"/>
    <tableColumn id="6" name="RAZON SOCIAL" dataDxfId="1157" totalsRowDxfId="1156" dataCellStyle="Normal 3">
      <calculatedColumnFormula>IFERROR(IF(compras_mes5[[#This Row],[CUIT]]="","-",VLOOKUP(compras_mes5[[#This Row],[CUIT]],Lista_CUIT[#All],2,0)),"CUIT NO CARGADO")</calculatedColumnFormula>
    </tableColumn>
    <tableColumn id="7" name="NETO GRAVADO" totalsRowFunction="sum" dataDxfId="1155" totalsRowDxfId="1154" dataCellStyle="Normal 3"/>
    <tableColumn id="8" name="IVA 21 %" totalsRowFunction="sum" dataDxfId="1153" totalsRowDxfId="1152" dataCellStyle="Normal 3">
      <calculatedColumnFormula>IF(compras_mes5[[#This Row],[NETO GRAVADO]]="","",compras_mes5[[#This Row],[NETO GRAVADO]]*0.21)</calculatedColumnFormula>
    </tableColumn>
    <tableColumn id="9" name="IVA 27%" totalsRowFunction="sum" dataDxfId="1151" totalsRowDxfId="1150" dataCellStyle="Normal 3"/>
    <tableColumn id="10" name="IVA 10,5%" totalsRowFunction="sum" dataDxfId="1149" totalsRowDxfId="1148" dataCellStyle="Normal 3"/>
    <tableColumn id="11" name="PERC. IVA" totalsRowFunction="sum" dataDxfId="1147" totalsRowDxfId="1146" dataCellStyle="Normal 3"/>
    <tableColumn id="12" name="PERC IIBB _x000a_BS AS" totalsRowFunction="sum" dataDxfId="1145" totalsRowDxfId="1144" dataCellStyle="Normal 3"/>
    <tableColumn id="13" name="PERC. IIBB CABA" totalsRowFunction="sum" dataDxfId="1143" totalsRowDxfId="1142" dataCellStyle="Normal 3"/>
    <tableColumn id="14" name="Otros / No Grav." totalsRowFunction="sum" dataDxfId="1141" totalsRowDxfId="1140" dataCellStyle="Normal 3"/>
    <tableColumn id="15" name="TOTAL" totalsRowFunction="sum" dataDxfId="1139" totalsRowDxfId="1138" dataCellStyle="Normal 3">
      <calculatedColumnFormula>SUM(compras_mes5[[#This Row],[NETO GRAVADO]:[Otros / No Grav.]])</calculatedColumnFormula>
    </tableColumn>
    <tableColumn id="16" name="Tipo de Gasto" dataDxfId="1137" totalsRowDxfId="1136" dataCellStyle="Normal 3">
      <calculatedColumnFormula>IFERROR(IF(compras_mes5[[#This Row],[CUIT]]="","-",VLOOKUP(compras_mes5[[#This Row],[CUIT]],Lista_CUIT[#All],3,0)),"CUIT NO CARGADO")</calculatedColumnFormula>
    </tableColumn>
    <tableColumn id="17" name="Provincia" dataDxfId="1135" totalsRowDxfId="1134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id="46" name="factura_c_mes5" displayName="factura_c_mes5" ref="D132:K165" totalsRowCount="1" headerRowDxfId="1133" totalsRowDxfId="1132" headerRowCellStyle="Normal 3">
  <autoFilter ref="D132:K164"/>
  <sortState ref="D118:K151">
    <sortCondition ref="D118:D151"/>
  </sortState>
  <tableColumns count="8">
    <tableColumn id="1" name="FECHA" totalsRowLabel="Total" dataDxfId="1131" totalsRowDxfId="1130" dataCellStyle="Normal 3"/>
    <tableColumn id="2" name="PTO VTA" dataDxfId="1129" totalsRowDxfId="1128" dataCellStyle="Normal 3"/>
    <tableColumn id="3" name="FC Nº" dataDxfId="1127" totalsRowDxfId="1126" dataCellStyle="Normal 3"/>
    <tableColumn id="4" name="CUIT" dataDxfId="1125" totalsRowDxfId="1124" dataCellStyle="Normal 3"/>
    <tableColumn id="5" name="RAZON SOCIAL" dataDxfId="1123" totalsRowDxfId="1122" dataCellStyle="Normal 3">
      <calculatedColumnFormula>IFERROR(IF(factura_c_mes5[[#This Row],[CUIT]]="","-",VLOOKUP(factura_c_mes5[[#This Row],[CUIT]],Lista_CUIT[#All],2,0)),"CUIT NO CARGADO")</calculatedColumnFormula>
    </tableColumn>
    <tableColumn id="6" name="TOTAL" totalsRowFunction="sum" dataDxfId="1121" totalsRowDxfId="1120" dataCellStyle="Normal 3"/>
    <tableColumn id="7" name="TIPO DE GASTO" dataDxfId="1119" totalsRowDxfId="1118" dataCellStyle="Normal 3">
      <calculatedColumnFormula>IFERROR(IF(factura_c_mes5[[#This Row],[CUIT]]="","-",VLOOKUP(factura_c_mes5[[#This Row],[CUIT]],Lista_CUIT[#All],3,0)),"CUIT NO CARGADO")</calculatedColumnFormula>
    </tableColumn>
    <tableColumn id="8" name="Provincia" dataDxfId="1117" totalsRowDxfId="1116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id="47" name="venta_a_mes5" displayName="venta_a_mes5" ref="B173:M234" totalsRowCount="1" headerRowDxfId="1115" dataDxfId="1113" headerRowBorderDxfId="1114" tableBorderDxfId="1112" totalsRowBorderDxfId="1111" dataCellStyle="Normal 3">
  <autoFilter ref="B173:M233"/>
  <tableColumns count="12">
    <tableColumn id="1" name="FECHA" totalsRowLabel="Total" dataDxfId="1110" totalsRowDxfId="1109" dataCellStyle="Normal 3"/>
    <tableColumn id="2" name="TIPO" dataDxfId="1108" totalsRowDxfId="1107" dataCellStyle="Normal 3"/>
    <tableColumn id="3" name="PTO VENTA" dataDxfId="1106" totalsRowDxfId="1105" dataCellStyle="Normal 3"/>
    <tableColumn id="4" name="Nº FACTURA" dataDxfId="1104" totalsRowDxfId="1103" dataCellStyle="Normal 3"/>
    <tableColumn id="5" name="CUIT" dataDxfId="1102" totalsRowDxfId="1101" dataCellStyle="Normal 3"/>
    <tableColumn id="6" name="RAZON SOCIAL" dataDxfId="1100" totalsRowDxfId="1099" dataCellStyle="Normal 3">
      <calculatedColumnFormula>IFERROR(IF(venta_a_mes5[[#This Row],[CUIT]]="","-",VLOOKUP(venta_a_mes5[[#This Row],[CUIT]],Lista_CUIT[#All],2,0)),"CUIT NO CARGADO")</calculatedColumnFormula>
    </tableColumn>
    <tableColumn id="7" name="IMPORTE NETO" totalsRowFunction="sum" dataDxfId="1098" totalsRowDxfId="1097" dataCellStyle="Normal 3"/>
    <tableColumn id="8" name="IVA 21%" totalsRowFunction="sum" dataDxfId="1096" totalsRowDxfId="1095" dataCellStyle="Normal 3">
      <calculatedColumnFormula>venta_a_mes5[[#This Row],[IMPORTE NETO]]*0.21</calculatedColumnFormula>
    </tableColumn>
    <tableColumn id="9" name="IVA 10,5%" totalsRowFunction="sum" dataDxfId="1094" totalsRowDxfId="1093" dataCellStyle="Normal 3"/>
    <tableColumn id="10" name="EXENTO" totalsRowFunction="sum" dataDxfId="1092" totalsRowDxfId="1091" dataCellStyle="Normal 3"/>
    <tableColumn id="11" name="TOTAL" totalsRowFunction="sum" dataDxfId="1090" totalsRowDxfId="1089" dataCellStyle="Normal 3">
      <calculatedColumnFormula>SUM(venta_a_mes5[[#This Row],[IMPORTE NETO]:[EXENTO]])</calculatedColumnFormula>
    </tableColumn>
    <tableColumn id="12" name="Provincia" totalsRowFunction="count" dataDxfId="1088" totalsRowDxfId="1087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id="48" name="ventas_b_mes5" displayName="ventas_b_mes5" ref="B238:M558" totalsRowCount="1" headerRowDxfId="1086" dataDxfId="1084" headerRowBorderDxfId="1085" tableBorderDxfId="1083" totalsRowBorderDxfId="1082" dataCellStyle="Normal 3">
  <autoFilter ref="B238:M557"/>
  <tableColumns count="12">
    <tableColumn id="1" name="FECHA" totalsRowLabel="Total" dataDxfId="1081" totalsRowDxfId="1080" dataCellStyle="Normal 3"/>
    <tableColumn id="2" name="TIPO" dataDxfId="1079" totalsRowDxfId="1078" dataCellStyle="Normal 3"/>
    <tableColumn id="3" name="PTO VENTA" dataDxfId="1077" totalsRowDxfId="1076" dataCellStyle="Normal 3"/>
    <tableColumn id="4" name="Nº FACTURA" dataDxfId="1075" totalsRowDxfId="1074" dataCellStyle="Normal 3"/>
    <tableColumn id="5" name="CUIT" dataDxfId="1073" totalsRowDxfId="1072" dataCellStyle="Normal 3"/>
    <tableColumn id="6" name="RAZON SOCIAL" dataDxfId="1071" totalsRowDxfId="1070" dataCellStyle="Normal 3">
      <calculatedColumnFormula>IFERROR(IF(ventas_b_mes5[[#This Row],[CUIT]]="","-",VLOOKUP(ventas_b_mes5[[#This Row],[CUIT]],Lista_CUIT[#All],2,0)),"CUIT NO CARGADO")</calculatedColumnFormula>
    </tableColumn>
    <tableColumn id="7" name="IMPORTE NETO" totalsRowFunction="sum" dataDxfId="1069" totalsRowDxfId="1068" dataCellStyle="Normal 3"/>
    <tableColumn id="8" name="IVA 21%" totalsRowFunction="sum" dataDxfId="1067" totalsRowDxfId="1066" dataCellStyle="Normal 3">
      <calculatedColumnFormula>ventas_b_mes5[[#This Row],[IMPORTE NETO]]*0.21</calculatedColumnFormula>
    </tableColumn>
    <tableColumn id="9" name="IVA 10,5%" totalsRowFunction="sum" dataDxfId="1065" totalsRowDxfId="1064" dataCellStyle="Normal 3"/>
    <tableColumn id="10" name="EXENTO" totalsRowFunction="sum" dataDxfId="1063" totalsRowDxfId="1062" dataCellStyle="Normal 3"/>
    <tableColumn id="11" name="TOTAL" totalsRowFunction="sum" dataDxfId="1061" totalsRowDxfId="1060" dataCellStyle="Normal 3">
      <calculatedColumnFormula>SUM(ventas_b_mes5[[#This Row],[IMPORTE NETO]:[EXENTO]])</calculatedColumnFormula>
    </tableColumn>
    <tableColumn id="12" name="Provincia" totalsRowFunction="count" dataDxfId="1059" totalsRowDxfId="1058" dataCellStyle="Normal 3"/>
  </tableColumns>
  <tableStyleInfo name="Tabla Ventas" showFirstColumn="0" showLastColumn="0" showRowStripes="1" showColumnStripes="0"/>
</table>
</file>

<file path=xl/tables/table30.xml><?xml version="1.0" encoding="utf-8"?>
<table xmlns="http://schemas.openxmlformats.org/spreadsheetml/2006/main" id="49" name="extracto_banco_mes5" displayName="extracto_banco_mes5" ref="D123:L127" totalsRowCount="1" headerRowDxfId="1057" dataDxfId="1056" tableBorderDxfId="1055" dataCellStyle="Normal 3">
  <autoFilter ref="D123:L126"/>
  <tableColumns count="9">
    <tableColumn id="1" name="FECHA" totalsRowLabel="Total" dataDxfId="1054" totalsRowDxfId="1053" dataCellStyle="Normal 3"/>
    <tableColumn id="2" name="NRO CPTE" dataDxfId="1052" totalsRowDxfId="1051"/>
    <tableColumn id="3" name="BANCO" dataDxfId="1050" totalsRowDxfId="1049"/>
    <tableColumn id="4" name="NETO" totalsRowFunction="sum" dataDxfId="1048" totalsRowDxfId="1047" dataCellStyle="Normal 3"/>
    <tableColumn id="5" name="IVA 21%" totalsRowFunction="sum" dataDxfId="1046" totalsRowDxfId="1045" dataCellStyle="Normal 3"/>
    <tableColumn id="6" name="IVA 10,5%" totalsRowFunction="sum" dataDxfId="1044" totalsRowDxfId="1043" dataCellStyle="Normal 3"/>
    <tableColumn id="7" name="RET IIBB CABA" totalsRowFunction="sum" dataDxfId="1042" totalsRowDxfId="1041" dataCellStyle="Normal 3"/>
    <tableColumn id="8" name="PERC IVA" totalsRowFunction="sum" dataDxfId="1040" totalsRowDxfId="1039" dataCellStyle="Normal 3"/>
    <tableColumn id="9" name="PERC IIBB" totalsRowFunction="sum" dataDxfId="1038" totalsRowDxfId="1037" dataCellStyle="Normal 3"/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id="50" name="Retenciones_mes5" displayName="Retenciones_mes5" ref="C560:L565" totalsRowShown="0" headerRowDxfId="1036" dataDxfId="1035" headerRowCellStyle="Normal 3" dataCellStyle="Normal 3">
  <autoFilter ref="C560:L565"/>
  <tableColumns count="10">
    <tableColumn id="1" name="FECHA " dataDxfId="1034" dataCellStyle="Normal 3"/>
    <tableColumn id="2" name="COMP Nº" dataDxfId="1033" dataCellStyle="Normal 3"/>
    <tableColumn id="3" name="Columna1" dataDxfId="1032" dataCellStyle="Normal 3"/>
    <tableColumn id="4" name="CUIT" dataDxfId="1031" dataCellStyle="Normal 3"/>
    <tableColumn id="5" name="RAZON SOCIAL" dataDxfId="1030" dataCellStyle="Normal 3">
      <calculatedColumnFormula>IFERROR(IF(Retenciones_mes5[[#This Row],[CUIT]]="","-",VLOOKUP(Retenciones_mes5[[#This Row],[CUIT]],Lista_CUIT[#All],2,0)),"CUIT NO CARGADO")</calculatedColumnFormula>
    </tableColumn>
    <tableColumn id="6" name="Ganancias" dataDxfId="1029" dataCellStyle="Normal 3"/>
    <tableColumn id="7" name="IVA" dataDxfId="1028" dataCellStyle="Normal 3"/>
    <tableColumn id="8" name="SUSS" dataDxfId="1027" dataCellStyle="Normal 3"/>
    <tableColumn id="9" name="IIBB BSAS" dataDxfId="1026" dataCellStyle="Normal 3"/>
    <tableColumn id="10" name="IIBB CABA" dataDxfId="1025" dataCellStyle="Normal 3"/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id="27" name="compras_mes6" displayName="compras_mes6" ref="B8:R113" totalsRowCount="1" headerRowDxfId="1024" totalsRowDxfId="1023">
  <autoFilter ref="B8:R112"/>
  <sortState ref="B9:R117">
    <sortCondition ref="Q8:Q117"/>
  </sortState>
  <tableColumns count="17">
    <tableColumn id="1" name="FECHA" totalsRowLabel="Total" dataDxfId="1022" totalsRowDxfId="16" dataCellStyle="Normal 3"/>
    <tableColumn id="2" name="TIPO" dataDxfId="1021" totalsRowDxfId="15" dataCellStyle="Normal 3"/>
    <tableColumn id="3" name="PTO VTA" dataDxfId="1020" totalsRowDxfId="14" dataCellStyle="Normal 3"/>
    <tableColumn id="4" name="NRO. CPTE" dataDxfId="1019" totalsRowDxfId="13" dataCellStyle="Normal 3"/>
    <tableColumn id="5" name="CUIT" dataDxfId="1018" totalsRowDxfId="12" dataCellStyle="Normal 3"/>
    <tableColumn id="6" name="RAZON SOCIAL" dataDxfId="1017" totalsRowDxfId="11" dataCellStyle="Normal 3">
      <calculatedColumnFormula>IFERROR(IF(compras_mes6[[#This Row],[CUIT]]="","-",VLOOKUP(compras_mes6[[#This Row],[CUIT]],Lista_CUIT[#All],2,0)),"CUIT NO CARGADO")</calculatedColumnFormula>
    </tableColumn>
    <tableColumn id="7" name="NETO GRAVADO" totalsRowFunction="sum" dataDxfId="1016" totalsRowDxfId="10" dataCellStyle="Normal 3"/>
    <tableColumn id="8" name="IVA 21 %" totalsRowFunction="sum" dataDxfId="1015" totalsRowDxfId="9" dataCellStyle="Normal 3">
      <calculatedColumnFormula>IF(compras_mes6[[#This Row],[NETO GRAVADO]]="","",compras_mes6[[#This Row],[NETO GRAVADO]]*0.21)</calculatedColumnFormula>
    </tableColumn>
    <tableColumn id="9" name="IVA 27%" totalsRowFunction="sum" dataDxfId="1014" totalsRowDxfId="8" dataCellStyle="Normal 3"/>
    <tableColumn id="10" name="IVA 10,5%" totalsRowFunction="sum" dataDxfId="1013" totalsRowDxfId="7" dataCellStyle="Normal 3"/>
    <tableColumn id="11" name="PERC. IVA" totalsRowFunction="sum" dataDxfId="1012" totalsRowDxfId="6" dataCellStyle="Normal 3"/>
    <tableColumn id="12" name="PERC IIBB _x000a_BS AS" totalsRowFunction="sum" dataDxfId="1011" totalsRowDxfId="5" dataCellStyle="Normal 3"/>
    <tableColumn id="13" name="PERC. IIBB CABA" totalsRowFunction="sum" dataDxfId="1010" totalsRowDxfId="4" dataCellStyle="Normal 3"/>
    <tableColumn id="14" name="Otros / No Grav." totalsRowFunction="sum" dataDxfId="1009" totalsRowDxfId="3" dataCellStyle="Normal 3"/>
    <tableColumn id="15" name="TOTAL" totalsRowFunction="sum" dataDxfId="1008" totalsRowDxfId="2" dataCellStyle="Normal 3">
      <calculatedColumnFormula>SUM(compras_mes6[[#This Row],[NETO GRAVADO]:[Otros / No Grav.]])</calculatedColumnFormula>
    </tableColumn>
    <tableColumn id="16" name="Tipo de Gasto" dataDxfId="1007" totalsRowDxfId="1" dataCellStyle="Normal 3">
      <calculatedColumnFormula>IFERROR(IF(compras_mes6[[#This Row],[CUIT]]="","-",VLOOKUP(compras_mes6[[#This Row],[CUIT]],Lista_CUIT[#All],3,0)),"CUIT NO CARGADO")</calculatedColumnFormula>
    </tableColumn>
    <tableColumn id="17" name="Provincia" dataDxfId="1006" totalsRowDxfId="0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id="28" name="factura_c_mes6" displayName="factura_c_mes6" ref="D131:K167" totalsRowCount="1" headerRowDxfId="1005" totalsRowDxfId="1004" headerRowCellStyle="Normal 3">
  <autoFilter ref="D131:K166"/>
  <sortState ref="D137:K171">
    <sortCondition ref="J136:J171"/>
  </sortState>
  <tableColumns count="8">
    <tableColumn id="1" name="FECHA" totalsRowLabel="Total" dataDxfId="1003" totalsRowDxfId="33" dataCellStyle="Normal 3"/>
    <tableColumn id="2" name="PTO VTA" dataDxfId="1002" totalsRowDxfId="32" dataCellStyle="Normal 3"/>
    <tableColumn id="3" name="FC Nº" dataDxfId="1001" totalsRowDxfId="31" dataCellStyle="Normal 3"/>
    <tableColumn id="4" name="CUIT" dataDxfId="1000" totalsRowDxfId="30" dataCellStyle="Normal 3"/>
    <tableColumn id="5" name="RAZON SOCIAL" dataDxfId="999" totalsRowDxfId="29" dataCellStyle="Normal 3">
      <calculatedColumnFormula>IFERROR(IF(factura_c_mes6[[#This Row],[CUIT]]="","-",VLOOKUP(factura_c_mes6[[#This Row],[CUIT]],Lista_CUIT[#All],2,0)),"CUIT NO CARGADO")</calculatedColumnFormula>
    </tableColumn>
    <tableColumn id="6" name="TOTAL" totalsRowFunction="sum" dataDxfId="998" totalsRowDxfId="28" dataCellStyle="Normal 3"/>
    <tableColumn id="7" name="TIPO DE GASTO" dataDxfId="997" totalsRowDxfId="27" dataCellStyle="Normal 3">
      <calculatedColumnFormula>IFERROR(IF(factura_c_mes6[[#This Row],[CUIT]]="","-",VLOOKUP(factura_c_mes6[[#This Row],[CUIT]],Lista_CUIT[#All],3,0)),"CUIT NO CARGADO")</calculatedColumnFormula>
    </tableColumn>
    <tableColumn id="8" name="Provincia" dataDxfId="996" totalsRowDxfId="26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id="29" name="venta_a_mes6" displayName="venta_a_mes6" ref="B176:M184" totalsRowCount="1" headerRowDxfId="995" dataDxfId="993" headerRowBorderDxfId="994" tableBorderDxfId="992" totalsRowBorderDxfId="991" dataCellStyle="Normal 3">
  <autoFilter ref="B176:M183"/>
  <tableColumns count="12">
    <tableColumn id="1" name="FECHA" totalsRowLabel="Total" dataDxfId="990" totalsRowDxfId="989" dataCellStyle="Normal 3"/>
    <tableColumn id="2" name="TIPO" dataDxfId="988" totalsRowDxfId="987" dataCellStyle="Normal 3"/>
    <tableColumn id="3" name="PTO VENTA" dataDxfId="986" totalsRowDxfId="985" dataCellStyle="Normal 3"/>
    <tableColumn id="4" name="Nº FACTURA" dataDxfId="984" totalsRowDxfId="983" dataCellStyle="Normal 3"/>
    <tableColumn id="5" name="CUIT" dataDxfId="982" totalsRowDxfId="981" dataCellStyle="Normal 3"/>
    <tableColumn id="6" name="RAZON SOCIAL" dataDxfId="980" totalsRowDxfId="979" dataCellStyle="Normal 3">
      <calculatedColumnFormula>IFERROR(IF(venta_a_mes6[[#This Row],[CUIT]]="","-",VLOOKUP(venta_a_mes6[[#This Row],[CUIT]],Lista_CUIT[#All],2,0)),"CUIT NO CARGADO")</calculatedColumnFormula>
    </tableColumn>
    <tableColumn id="7" name="IMPORTE NETO" totalsRowFunction="sum" dataDxfId="978" totalsRowDxfId="977" dataCellStyle="Normal 3"/>
    <tableColumn id="8" name="IVA 21%" totalsRowFunction="sum" dataDxfId="976" totalsRowDxfId="975" dataCellStyle="Normal 3">
      <calculatedColumnFormula>venta_a_mes6[[#This Row],[IMPORTE NETO]]*0.21</calculatedColumnFormula>
    </tableColumn>
    <tableColumn id="9" name="IVA 10,5%" totalsRowFunction="sum" dataDxfId="974" totalsRowDxfId="973" dataCellStyle="Normal 3"/>
    <tableColumn id="10" name="EXENTO" totalsRowFunction="sum" dataDxfId="972" totalsRowDxfId="971" dataCellStyle="Normal 3"/>
    <tableColumn id="11" name="TOTAL" totalsRowFunction="sum" dataDxfId="970" totalsRowDxfId="969" dataCellStyle="Normal 3">
      <calculatedColumnFormula>SUM(venta_a_mes6[[#This Row],[IMPORTE NETO]:[EXENTO]])</calculatedColumnFormula>
    </tableColumn>
    <tableColumn id="12" name="Provincia" totalsRowFunction="count" dataDxfId="968" totalsRowDxfId="967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id="30" name="ventas_b_mes6" displayName="ventas_b_mes6" ref="B188:M195" totalsRowCount="1" headerRowDxfId="966" dataDxfId="964" headerRowBorderDxfId="965" tableBorderDxfId="963" totalsRowBorderDxfId="962" dataCellStyle="Normal 3">
  <autoFilter ref="B188:M194"/>
  <tableColumns count="12">
    <tableColumn id="1" name="FECHA" totalsRowLabel="Total" dataDxfId="961" totalsRowDxfId="960" dataCellStyle="Normal 3"/>
    <tableColumn id="2" name="TIPO" dataDxfId="959" totalsRowDxfId="958" dataCellStyle="Normal 3"/>
    <tableColumn id="3" name="PTO VENTA" dataDxfId="957" totalsRowDxfId="956" dataCellStyle="Normal 3"/>
    <tableColumn id="4" name="Nº FACTURA" dataDxfId="955" totalsRowDxfId="954" dataCellStyle="Normal 3"/>
    <tableColumn id="5" name="CUIT" dataDxfId="953" totalsRowDxfId="952" dataCellStyle="Normal 3"/>
    <tableColumn id="6" name="RAZON SOCIAL" dataDxfId="951" totalsRowDxfId="950" dataCellStyle="Normal 3">
      <calculatedColumnFormula>IFERROR(IF(ventas_b_mes6[[#This Row],[CUIT]]="","-",VLOOKUP(ventas_b_mes6[[#This Row],[CUIT]],Lista_CUIT[#All],2,0)),"CUIT NO CARGADO")</calculatedColumnFormula>
    </tableColumn>
    <tableColumn id="7" name="IMPORTE NETO" totalsRowFunction="sum" dataDxfId="949" totalsRowDxfId="948" dataCellStyle="Normal 3"/>
    <tableColumn id="8" name="IVA 21%" totalsRowFunction="sum" dataDxfId="947" totalsRowDxfId="946" dataCellStyle="Normal 3"/>
    <tableColumn id="9" name="IVA 10,5%" totalsRowFunction="sum" dataDxfId="945" totalsRowDxfId="944" dataCellStyle="Normal 3"/>
    <tableColumn id="10" name="EXENTO" totalsRowFunction="sum" dataDxfId="943" totalsRowDxfId="942" dataCellStyle="Normal 3"/>
    <tableColumn id="11" name="TOTAL" totalsRowFunction="sum" dataDxfId="941" totalsRowDxfId="940" dataCellStyle="Normal 3">
      <calculatedColumnFormula>SUM(ventas_b_mes6[[#This Row],[IMPORTE NETO]:[EXENTO]])</calculatedColumnFormula>
    </tableColumn>
    <tableColumn id="12" name="Provincia" totalsRowFunction="count" dataDxfId="939" totalsRowDxfId="938" dataCellStyle="Normal 3"/>
  </tableColumns>
  <tableStyleInfo name="Tabla Ventas" showFirstColumn="0" showLastColumn="0" showRowStripes="1" showColumnStripes="0"/>
</table>
</file>

<file path=xl/tables/table36.xml><?xml version="1.0" encoding="utf-8"?>
<table xmlns="http://schemas.openxmlformats.org/spreadsheetml/2006/main" id="31" name="extracto_banco_mes6" displayName="extracto_banco_mes6" ref="D119:L126" totalsRowCount="1" headerRowDxfId="937" dataDxfId="936" tableBorderDxfId="935" dataCellStyle="Normal 3">
  <autoFilter ref="D119:L125"/>
  <tableColumns count="9">
    <tableColumn id="1" name="FECHA" totalsRowLabel="Total" dataDxfId="934" totalsRowDxfId="25" dataCellStyle="Normal 3"/>
    <tableColumn id="2" name="NRO CPTE" dataDxfId="933" totalsRowDxfId="24"/>
    <tableColumn id="3" name="BANCO" dataDxfId="932" totalsRowDxfId="23"/>
    <tableColumn id="4" name="NETO" totalsRowFunction="sum" dataDxfId="931" totalsRowDxfId="22" dataCellStyle="Normal 3"/>
    <tableColumn id="5" name="IVA 21%" totalsRowFunction="sum" dataDxfId="930" totalsRowDxfId="21" dataCellStyle="Normal 3">
      <calculatedColumnFormula>extracto_banco_mes6[[#This Row],[NETO]]*0.21</calculatedColumnFormula>
    </tableColumn>
    <tableColumn id="6" name="IVA 10,5%" totalsRowFunction="sum" dataDxfId="929" totalsRowDxfId="20" dataCellStyle="Normal 3"/>
    <tableColumn id="7" name="RET IIBB CABA" totalsRowFunction="sum" dataDxfId="928" totalsRowDxfId="19" dataCellStyle="Normal 3"/>
    <tableColumn id="8" name="PERC IVA" totalsRowFunction="sum" dataDxfId="927" totalsRowDxfId="18" dataCellStyle="Normal 3"/>
    <tableColumn id="9" name="PERC IIBB" totalsRowFunction="sum" dataDxfId="926" totalsRowDxfId="17" dataCellStyle="Normal 3"/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id="32" name="Retenciones_mes6" displayName="Retenciones_mes6" ref="C204:L209" totalsRowShown="0" headerRowDxfId="925" dataDxfId="924" headerRowCellStyle="Normal 3" dataCellStyle="Normal 3">
  <autoFilter ref="C204:L209"/>
  <tableColumns count="10">
    <tableColumn id="1" name="FECHA " dataDxfId="923" dataCellStyle="Normal 3"/>
    <tableColumn id="2" name="COMP Nº" dataDxfId="922" dataCellStyle="Normal 3"/>
    <tableColumn id="3" name="Columna1" dataDxfId="921" dataCellStyle="Normal 3"/>
    <tableColumn id="4" name="CUIT" dataDxfId="920" dataCellStyle="Normal 3"/>
    <tableColumn id="5" name="RAZON SOCIAL" dataDxfId="919" dataCellStyle="Normal 3">
      <calculatedColumnFormula>IFERROR(IF(Retenciones_mes6[[#This Row],[CUIT]]="","-",VLOOKUP(Retenciones_mes6[[#This Row],[CUIT]],Lista_CUIT[#All],2,0)),"CUIT NO CARGADO")</calculatedColumnFormula>
    </tableColumn>
    <tableColumn id="6" name="Ganancias" dataDxfId="918" dataCellStyle="Normal 3"/>
    <tableColumn id="7" name="IVA" dataDxfId="917" dataCellStyle="Normal 3"/>
    <tableColumn id="8" name="SUSS" dataDxfId="916" dataCellStyle="Normal 3"/>
    <tableColumn id="9" name="IIBB BSAS" dataDxfId="915" dataCellStyle="Normal 3"/>
    <tableColumn id="10" name="IIBB CABA" dataDxfId="914" dataCellStyle="Normal 3"/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id="39" name="compras_mes7" displayName="compras_mes7" ref="B8:R118" totalsRowCount="1" headerRowDxfId="913" dataDxfId="912" totalsRowDxfId="911">
  <autoFilter ref="B8:R117"/>
  <sortState ref="B9:R134">
    <sortCondition ref="Q8:Q134"/>
  </sortState>
  <tableColumns count="17">
    <tableColumn id="1" name="FECHA" totalsRowLabel="Total" dataDxfId="910" totalsRowDxfId="909" dataCellStyle="Normal 3"/>
    <tableColumn id="2" name="TIPO" dataDxfId="908" totalsRowDxfId="907" dataCellStyle="Normal 3"/>
    <tableColumn id="3" name="PTO VTA" dataDxfId="906" totalsRowDxfId="905" dataCellStyle="Normal 3"/>
    <tableColumn id="4" name="NRO. CPTE" dataDxfId="904" totalsRowDxfId="903" dataCellStyle="Normal 3"/>
    <tableColumn id="5" name="CUIT" dataDxfId="902" totalsRowDxfId="901" dataCellStyle="Normal 3"/>
    <tableColumn id="6" name="RAZON SOCIAL" dataDxfId="900" totalsRowDxfId="899" dataCellStyle="Normal 3">
      <calculatedColumnFormula>IFERROR(IF(compras_mes7[[#This Row],[CUIT]]="","-",VLOOKUP(compras_mes7[[#This Row],[CUIT]],Lista_CUIT[#All],2,0)),"CUIT NO CARGADO")</calculatedColumnFormula>
    </tableColumn>
    <tableColumn id="7" name="NETO GRAVADO" totalsRowFunction="sum" dataDxfId="898" totalsRowDxfId="897" dataCellStyle="Normal 3"/>
    <tableColumn id="8" name="IVA 21 %" totalsRowFunction="sum" dataDxfId="896" totalsRowDxfId="895" dataCellStyle="Normal 3">
      <calculatedColumnFormula>IF(compras_mes7[[#This Row],[NETO GRAVADO]]="","",compras_mes7[[#This Row],[NETO GRAVADO]]*0.21)</calculatedColumnFormula>
    </tableColumn>
    <tableColumn id="9" name="IVA 27%" totalsRowFunction="sum" dataDxfId="894" totalsRowDxfId="893" dataCellStyle="Normal 3"/>
    <tableColumn id="10" name="IVA 10,5%" totalsRowFunction="sum" dataDxfId="892" totalsRowDxfId="891" dataCellStyle="Normal 3"/>
    <tableColumn id="11" name="PERC. IVA" totalsRowFunction="sum" dataDxfId="890" totalsRowDxfId="889" dataCellStyle="Normal 3"/>
    <tableColumn id="12" name="PERC IIBB _x000a_BS AS" totalsRowFunction="sum" dataDxfId="888" totalsRowDxfId="887" dataCellStyle="Normal 3"/>
    <tableColumn id="13" name="PERC. IIBB CABA" totalsRowFunction="sum" dataDxfId="886" totalsRowDxfId="885" dataCellStyle="Normal 3"/>
    <tableColumn id="14" name="Otros / No Grav." totalsRowFunction="sum" dataDxfId="884" totalsRowDxfId="883" dataCellStyle="Normal 3"/>
    <tableColumn id="15" name="TOTAL" totalsRowFunction="sum" dataDxfId="882" totalsRowDxfId="881" dataCellStyle="Normal 3">
      <calculatedColumnFormula>SUM(compras_mes7[[#This Row],[NETO GRAVADO]:[Otros / No Grav.]])</calculatedColumnFormula>
    </tableColumn>
    <tableColumn id="16" name="Tipo de Gasto" dataDxfId="880" totalsRowDxfId="879" dataCellStyle="Normal 3">
      <calculatedColumnFormula>IFERROR(IF(compras_mes7[[#This Row],[CUIT]]="","-",VLOOKUP(compras_mes7[[#This Row],[CUIT]],Lista_CUIT[#All],3,0)),"CUIT NO CARGADO")</calculatedColumnFormula>
    </tableColumn>
    <tableColumn id="17" name="Provincia" dataDxfId="878" totalsRowDxfId="877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id="40" name="factura_c_mes7" displayName="factura_c_mes7" ref="D133:K170" totalsRowCount="1" headerRowDxfId="876" dataDxfId="875" totalsRowDxfId="874" headerRowCellStyle="Normal 3">
  <autoFilter ref="D133:K169">
    <filterColumn colId="6">
      <filters>
        <filter val="GESTION COBRANZAS"/>
      </filters>
    </filterColumn>
  </autoFilter>
  <sortState ref="D151:K186">
    <sortCondition ref="J150:J186"/>
  </sortState>
  <tableColumns count="8">
    <tableColumn id="1" name="FECHA" totalsRowLabel="Total" dataDxfId="873" totalsRowDxfId="872" dataCellStyle="Normal 3"/>
    <tableColumn id="2" name="PTO VTA" dataDxfId="871" totalsRowDxfId="870" dataCellStyle="Normal 3"/>
    <tableColumn id="3" name="FC Nº" dataDxfId="869" totalsRowDxfId="868" dataCellStyle="Normal 3"/>
    <tableColumn id="4" name="CUIT" dataDxfId="867" totalsRowDxfId="866" dataCellStyle="Normal 3"/>
    <tableColumn id="5" name="RAZON SOCIAL" dataDxfId="865" totalsRowDxfId="864" dataCellStyle="Normal 3">
      <calculatedColumnFormula>IFERROR(IF(factura_c_mes7[[#This Row],[CUIT]]="","-",VLOOKUP(factura_c_mes7[[#This Row],[CUIT]],Lista_CUIT[#All],2,0)),"CUIT NO CARGADO")</calculatedColumnFormula>
    </tableColumn>
    <tableColumn id="6" name="TOTAL" totalsRowFunction="sum" dataDxfId="863" totalsRowDxfId="862" dataCellStyle="Normal 3"/>
    <tableColumn id="7" name="TIPO DE GASTO" dataDxfId="861" totalsRowDxfId="860" dataCellStyle="Normal 3">
      <calculatedColumnFormula>IFERROR(IF(factura_c_mes7[[#This Row],[CUIT]]="","-",VLOOKUP(factura_c_mes7[[#This Row],[CUIT]],Lista_CUIT[#All],3,0)),"CUIT NO CARGADO")</calculatedColumnFormula>
    </tableColumn>
    <tableColumn id="8" name="Provincia" dataDxfId="859" totalsRowDxfId="858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id="41" name="venta_a_mes7" displayName="venta_a_mes7" ref="B177:M187" totalsRowCount="1" headerRowDxfId="857" dataDxfId="855" headerRowBorderDxfId="856" tableBorderDxfId="854" totalsRowBorderDxfId="853" dataCellStyle="Normal 3">
  <autoFilter ref="B177:M186"/>
  <tableColumns count="12">
    <tableColumn id="1" name="FECHA" totalsRowLabel="Total" dataDxfId="852" totalsRowDxfId="851" dataCellStyle="Normal 3"/>
    <tableColumn id="2" name="TIPO" dataDxfId="850" totalsRowDxfId="849" dataCellStyle="Normal 3"/>
    <tableColumn id="3" name="PTO VENTA" dataDxfId="848" totalsRowDxfId="847" dataCellStyle="Normal 3"/>
    <tableColumn id="4" name="Nº FACTURA" dataDxfId="846" totalsRowDxfId="845" dataCellStyle="Normal 3"/>
    <tableColumn id="5" name="CUIT" dataDxfId="844" totalsRowDxfId="843" dataCellStyle="Normal 3"/>
    <tableColumn id="6" name="RAZON SOCIAL" dataDxfId="842" totalsRowDxfId="841" dataCellStyle="Normal 3">
      <calculatedColumnFormula>IFERROR(IF(venta_a_mes7[[#This Row],[CUIT]]="","-",VLOOKUP(venta_a_mes7[[#This Row],[CUIT]],Lista_CUIT[#All],2,0)),"CUIT NO CARGADO")</calculatedColumnFormula>
    </tableColumn>
    <tableColumn id="7" name="IMPORTE NETO" totalsRowFunction="sum" dataDxfId="840" totalsRowDxfId="839" dataCellStyle="Normal 3"/>
    <tableColumn id="8" name="IVA 21%" totalsRowFunction="sum" dataDxfId="838" totalsRowDxfId="837" dataCellStyle="Normal 3">
      <calculatedColumnFormula>venta_a_mes7[[#This Row],[IMPORTE NETO]]*0.21</calculatedColumnFormula>
    </tableColumn>
    <tableColumn id="9" name="IVA 10,5%" totalsRowFunction="sum" dataDxfId="836" totalsRowDxfId="835" dataCellStyle="Normal 3"/>
    <tableColumn id="10" name="EXENTO" totalsRowFunction="sum" dataDxfId="834" totalsRowDxfId="833" dataCellStyle="Normal 3"/>
    <tableColumn id="11" name="TOTAL" totalsRowFunction="sum" dataDxfId="832" totalsRowDxfId="831" dataCellStyle="Normal 3">
      <calculatedColumnFormula>SUM(venta_a_mes7[[#This Row],[IMPORTE NETO]:[EXENTO]])</calculatedColumnFormula>
    </tableColumn>
    <tableColumn id="12" name="Provincia" totalsRowFunction="count" dataDxfId="830" totalsRowDxfId="829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id="42" name="ventas_b_mes7" displayName="ventas_b_mes7" ref="B191:M198" totalsRowCount="1" headerRowDxfId="828" dataDxfId="826" headerRowBorderDxfId="827" tableBorderDxfId="825" totalsRowBorderDxfId="824" dataCellStyle="Normal 3">
  <autoFilter ref="B191:M197"/>
  <tableColumns count="12">
    <tableColumn id="1" name="FECHA" totalsRowLabel="Total" dataDxfId="823" totalsRowDxfId="822" dataCellStyle="Normal 3"/>
    <tableColumn id="2" name="TIPO" dataDxfId="821" totalsRowDxfId="820" dataCellStyle="Normal 3"/>
    <tableColumn id="3" name="PTO VENTA" dataDxfId="819" totalsRowDxfId="818" dataCellStyle="Normal 3"/>
    <tableColumn id="4" name="Nº FACTURA" dataDxfId="817" totalsRowDxfId="816" dataCellStyle="Normal 3"/>
    <tableColumn id="5" name="CUIT" dataDxfId="815" totalsRowDxfId="814" dataCellStyle="Normal 3"/>
    <tableColumn id="6" name="RAZON SOCIAL" dataDxfId="813" totalsRowDxfId="812" dataCellStyle="Normal 3">
      <calculatedColumnFormula>IFERROR(IF(ventas_b_mes7[[#This Row],[CUIT]]="","-",VLOOKUP(ventas_b_mes7[[#This Row],[CUIT]],Lista_CUIT[#All],2,0)),"CUIT NO CARGADO")</calculatedColumnFormula>
    </tableColumn>
    <tableColumn id="7" name="IMPORTE NETO" totalsRowFunction="sum" dataDxfId="811" totalsRowDxfId="810" dataCellStyle="Normal 3"/>
    <tableColumn id="8" name="IVA 21%" totalsRowFunction="sum" dataDxfId="809" totalsRowDxfId="808" dataCellStyle="Normal 3"/>
    <tableColumn id="9" name="IVA 10,5%" totalsRowFunction="sum" dataDxfId="807" totalsRowDxfId="806" dataCellStyle="Normal 3"/>
    <tableColumn id="10" name="EXENTO" totalsRowFunction="sum" dataDxfId="805" totalsRowDxfId="804" dataCellStyle="Normal 3"/>
    <tableColumn id="11" name="TOTAL" totalsRowFunction="sum" dataDxfId="803" totalsRowDxfId="802" dataCellStyle="Normal 3">
      <calculatedColumnFormula>SUM(ventas_b_mes7[[#This Row],[IMPORTE NETO]:[EXENTO]])</calculatedColumnFormula>
    </tableColumn>
    <tableColumn id="12" name="Provincia" totalsRowFunction="count" dataDxfId="801" totalsRowDxfId="800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id="43" name="extracto_banco_mes7" displayName="extracto_banco_mes7" ref="D124:M128" totalsRowCount="1" headerRowDxfId="799" dataDxfId="798" tableBorderDxfId="797" dataCellStyle="Normal 3">
  <autoFilter ref="D124:M127"/>
  <tableColumns count="10">
    <tableColumn id="1" name="FECHA" totalsRowLabel="Total" dataDxfId="796" totalsRowDxfId="795" dataCellStyle="Normal 3"/>
    <tableColumn id="2" name="NRO CPTE" dataDxfId="794" totalsRowDxfId="793"/>
    <tableColumn id="10" name="CUIT" totalsRowDxfId="792"/>
    <tableColumn id="3" name="BANCO" dataDxfId="791" totalsRowDxfId="790"/>
    <tableColumn id="4" name="NETO" totalsRowFunction="sum" dataDxfId="789" totalsRowDxfId="788" dataCellStyle="Normal 3"/>
    <tableColumn id="5" name="IVA 21%" totalsRowFunction="sum" dataDxfId="787" totalsRowDxfId="786" dataCellStyle="Normal 3">
      <calculatedColumnFormula>extracto_banco_mes7[[#This Row],[NETO]]*21/100</calculatedColumnFormula>
    </tableColumn>
    <tableColumn id="6" name="IVA 10,5%" totalsRowFunction="sum" dataDxfId="785" totalsRowDxfId="784" dataCellStyle="Normal 3"/>
    <tableColumn id="7" name="RET IIBB CABA" totalsRowFunction="sum" dataDxfId="783" totalsRowDxfId="782" dataCellStyle="Normal 3"/>
    <tableColumn id="8" name="PERC IVA" totalsRowFunction="sum" dataDxfId="781" totalsRowDxfId="780" dataCellStyle="Normal 3"/>
    <tableColumn id="9" name="PERC IIBB" totalsRowFunction="sum" dataDxfId="779" totalsRowDxfId="778" dataCellStyle="Normal 3"/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id="44" name="Retenciones_mes7" displayName="Retenciones_mes7" ref="C207:L212" totalsRowShown="0" headerRowDxfId="777" dataDxfId="776" headerRowCellStyle="Normal 3" dataCellStyle="Normal 3">
  <autoFilter ref="C207:L212"/>
  <tableColumns count="10">
    <tableColumn id="1" name="FECHA " dataDxfId="775" dataCellStyle="Normal 3"/>
    <tableColumn id="2" name="COMP Nº" dataDxfId="774" dataCellStyle="Normal 3"/>
    <tableColumn id="3" name="Columna1" dataDxfId="773" dataCellStyle="Normal 3"/>
    <tableColumn id="4" name="CUIT" dataDxfId="772" dataCellStyle="Normal 3"/>
    <tableColumn id="5" name="RAZON SOCIAL" dataDxfId="771" dataCellStyle="Normal 3">
      <calculatedColumnFormula>IFERROR(IF(Retenciones_mes7[[#This Row],[CUIT]]="","-",VLOOKUP(Retenciones_mes7[[#This Row],[CUIT]],Lista_CUIT[#All],2,0)),"CUIT NO CARGADO")</calculatedColumnFormula>
    </tableColumn>
    <tableColumn id="6" name="Ganancias" dataDxfId="770" dataCellStyle="Normal 3"/>
    <tableColumn id="7" name="IVA" dataDxfId="769" dataCellStyle="Normal 3"/>
    <tableColumn id="8" name="SUSS" dataDxfId="768" dataCellStyle="Normal 3"/>
    <tableColumn id="9" name="IIBB BSAS" dataDxfId="767" dataCellStyle="Normal 3"/>
    <tableColumn id="10" name="IIBB CABA" dataDxfId="766" dataCellStyle="Normal 3"/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id="57" name="compras_mes8" displayName="compras_mes8" ref="B8:R122" totalsRowCount="1" headerRowDxfId="765" dataDxfId="764" totalsRowDxfId="763">
  <autoFilter ref="B8:R121">
    <filterColumn colId="15">
      <filters>
        <filter val="FLETE"/>
      </filters>
    </filterColumn>
  </autoFilter>
  <sortState ref="B9:R121">
    <sortCondition ref="Q8:Q121"/>
  </sortState>
  <tableColumns count="17">
    <tableColumn id="1" name="FECHA" totalsRowLabel="Total" dataDxfId="762" totalsRowDxfId="761" dataCellStyle="Normal 3"/>
    <tableColumn id="2" name="TIPO" dataDxfId="760" totalsRowDxfId="759" dataCellStyle="Normal 3"/>
    <tableColumn id="3" name="PTO VTA" dataDxfId="758" totalsRowDxfId="757" dataCellStyle="Normal 3"/>
    <tableColumn id="4" name="NRO. CPTE" dataDxfId="756" totalsRowDxfId="755" dataCellStyle="Normal 3"/>
    <tableColumn id="5" name="CUIT" dataDxfId="754" totalsRowDxfId="753" dataCellStyle="Normal 3"/>
    <tableColumn id="6" name="RAZON SOCIAL" dataDxfId="752" totalsRowDxfId="751" dataCellStyle="Normal 3">
      <calculatedColumnFormula>IFERROR(IF(compras_mes8[[#This Row],[CUIT]]="","-",VLOOKUP(compras_mes8[[#This Row],[CUIT]],Lista_CUIT[#All],2,0)),"CUIT NO CARGADO")</calculatedColumnFormula>
    </tableColumn>
    <tableColumn id="7" name="NETO GRAVADO" totalsRowFunction="sum" dataDxfId="750" totalsRowDxfId="749" dataCellStyle="Normal 3"/>
    <tableColumn id="8" name="IVA 21 %" totalsRowFunction="sum" dataDxfId="748" dataCellStyle="Normal 3">
      <calculatedColumnFormula>IF(compras_mes8[[#This Row],[NETO GRAVADO]]="","",compras_mes8[[#This Row],[NETO GRAVADO]]*0.21)</calculatedColumnFormula>
    </tableColumn>
    <tableColumn id="9" name="IVA 27%" totalsRowFunction="sum" dataDxfId="747" dataCellStyle="Normal 3"/>
    <tableColumn id="10" name="IVA 10,5%" totalsRowFunction="sum" dataDxfId="746" dataCellStyle="Normal 3"/>
    <tableColumn id="11" name="PERC. IVA" totalsRowFunction="sum" dataDxfId="745" totalsRowDxfId="744" dataCellStyle="Normal 3"/>
    <tableColumn id="12" name="PERC IIBB _x000a_BS AS" totalsRowFunction="sum" dataDxfId="743" totalsRowDxfId="742" dataCellStyle="Normal 3"/>
    <tableColumn id="13" name="PERC. IIBB CABA" totalsRowFunction="sum" dataDxfId="741" totalsRowDxfId="740" dataCellStyle="Normal 3"/>
    <tableColumn id="14" name="Otros / No Grav." totalsRowFunction="sum" dataDxfId="739" totalsRowDxfId="738" dataCellStyle="Normal 3"/>
    <tableColumn id="15" name="TOTAL" totalsRowFunction="sum" dataDxfId="737" totalsRowDxfId="736" dataCellStyle="Normal 3">
      <calculatedColumnFormula>SUM(compras_mes8[[#This Row],[NETO GRAVADO]:[Otros / No Grav.]])</calculatedColumnFormula>
    </tableColumn>
    <tableColumn id="16" name="Tipo de Gasto" dataDxfId="735" totalsRowDxfId="734" dataCellStyle="Normal 3">
      <calculatedColumnFormula>IFERROR(IF(compras_mes8[[#This Row],[CUIT]]="","-",VLOOKUP(compras_mes8[[#This Row],[CUIT]],Lista_CUIT[#All],3,0)),"CUIT NO CARGADO")</calculatedColumnFormula>
    </tableColumn>
    <tableColumn id="17" name="Provincia" dataDxfId="733" totalsRowDxfId="732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id="58" name="factura_c_mes8" displayName="factura_c_mes8" ref="D137:K168" totalsRowCount="1" headerRowDxfId="731" totalsRowDxfId="730" headerRowCellStyle="Normal 3">
  <autoFilter ref="D137:K167"/>
  <sortState ref="D138:K167">
    <sortCondition ref="J137:J167"/>
  </sortState>
  <tableColumns count="8">
    <tableColumn id="1" name="FECHA" totalsRowLabel="Total" dataDxfId="729" totalsRowDxfId="728" dataCellStyle="Normal 3"/>
    <tableColumn id="2" name="PTO VTA" dataDxfId="727" totalsRowDxfId="726" dataCellStyle="Normal 3"/>
    <tableColumn id="3" name="FC Nº" dataDxfId="725" totalsRowDxfId="724" dataCellStyle="Normal 3"/>
    <tableColumn id="4" name="CUIT" dataDxfId="723" totalsRowDxfId="722" dataCellStyle="Normal 3"/>
    <tableColumn id="5" name="RAZON SOCIAL" dataDxfId="721" totalsRowDxfId="720" dataCellStyle="Normal 3">
      <calculatedColumnFormula>IFERROR(IF(factura_c_mes8[[#This Row],[CUIT]]="","-",VLOOKUP(factura_c_mes8[[#This Row],[CUIT]],Lista_CUIT[#All],2,0)),"CUIT NO CARGADO")</calculatedColumnFormula>
    </tableColumn>
    <tableColumn id="6" name="TOTAL" totalsRowFunction="sum" dataDxfId="719" totalsRowDxfId="718" dataCellStyle="Normal 3"/>
    <tableColumn id="7" name="TIPO DE GASTO" dataDxfId="717" totalsRowDxfId="716" dataCellStyle="Normal 3">
      <calculatedColumnFormula>IFERROR(IF(factura_c_mes8[[#This Row],[CUIT]]="","-",VLOOKUP(factura_c_mes8[[#This Row],[CUIT]],Lista_CUIT[#All],3,0)),"CUIT NO CARGADO")</calculatedColumnFormula>
    </tableColumn>
    <tableColumn id="8" name="Provincia" dataDxfId="715" totalsRowDxfId="714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id="59" name="venta_a_mes8" displayName="venta_a_mes8" ref="B177:M187" totalsRowCount="1" headerRowDxfId="713" dataDxfId="711" headerRowBorderDxfId="712" tableBorderDxfId="710" totalsRowBorderDxfId="709" dataCellStyle="Normal 3">
  <autoFilter ref="B177:M186"/>
  <tableColumns count="12">
    <tableColumn id="1" name="FECHA" totalsRowLabel="Total" dataDxfId="708" totalsRowDxfId="707" dataCellStyle="Normal 3"/>
    <tableColumn id="2" name="TIPO" dataDxfId="706" totalsRowDxfId="705" dataCellStyle="Normal 3"/>
    <tableColumn id="3" name="PTO VENTA" dataDxfId="704" totalsRowDxfId="703" dataCellStyle="Normal 3"/>
    <tableColumn id="4" name="Nº FACTURA" dataDxfId="702" totalsRowDxfId="701" dataCellStyle="Normal 3"/>
    <tableColumn id="5" name="CUIT" dataDxfId="700" totalsRowDxfId="699" dataCellStyle="Normal 3"/>
    <tableColumn id="6" name="RAZON SOCIAL" dataDxfId="698" totalsRowDxfId="697" dataCellStyle="Normal 3">
      <calculatedColumnFormula>IFERROR(IF(venta_a_mes8[[#This Row],[CUIT]]="","-",VLOOKUP(venta_a_mes8[[#This Row],[CUIT]],Lista_CUIT[#All],2,0)),"CUIT NO CARGADO")</calculatedColumnFormula>
    </tableColumn>
    <tableColumn id="7" name="IMPORTE NETO" totalsRowFunction="sum" dataDxfId="696" totalsRowDxfId="695" dataCellStyle="Normal 3"/>
    <tableColumn id="8" name="IVA 21%" totalsRowFunction="sum" dataDxfId="694" totalsRowDxfId="693" dataCellStyle="Normal 3">
      <calculatedColumnFormula>venta_a_mes8[[#This Row],[IMPORTE NETO]]*0.21</calculatedColumnFormula>
    </tableColumn>
    <tableColumn id="9" name="IVA 10,5%" totalsRowFunction="sum" dataDxfId="692" totalsRowDxfId="691" dataCellStyle="Normal 3"/>
    <tableColumn id="10" name="EXENTO" totalsRowFunction="sum" dataDxfId="690" totalsRowDxfId="689" dataCellStyle="Normal 3"/>
    <tableColumn id="11" name="TOTAL" totalsRowFunction="sum" dataDxfId="688" totalsRowDxfId="687" dataCellStyle="Normal 3">
      <calculatedColumnFormula>SUM(venta_a_mes8[[#This Row],[IMPORTE NETO]:[EXENTO]])</calculatedColumnFormula>
    </tableColumn>
    <tableColumn id="12" name="Provincia" totalsRowFunction="count" dataDxfId="686" totalsRowDxfId="685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id="60" name="ventas_b_mes8" displayName="ventas_b_mes8" ref="B191:M198" totalsRowCount="1" headerRowDxfId="684" dataDxfId="682" headerRowBorderDxfId="683" tableBorderDxfId="681" totalsRowBorderDxfId="680" dataCellStyle="Normal 3">
  <autoFilter ref="B191:M197"/>
  <tableColumns count="12">
    <tableColumn id="1" name="FECHA" totalsRowLabel="Total" dataDxfId="679" totalsRowDxfId="678" dataCellStyle="Normal 3"/>
    <tableColumn id="2" name="TIPO" dataDxfId="677" totalsRowDxfId="676" dataCellStyle="Normal 3"/>
    <tableColumn id="3" name="PTO VENTA" dataDxfId="675" totalsRowDxfId="674" dataCellStyle="Normal 3"/>
    <tableColumn id="4" name="Nº FACTURA" dataDxfId="673" totalsRowDxfId="672" dataCellStyle="Normal 3"/>
    <tableColumn id="5" name="CUIT" dataDxfId="671" totalsRowDxfId="670" dataCellStyle="Normal 3"/>
    <tableColumn id="6" name="RAZON SOCIAL" dataDxfId="669" totalsRowDxfId="668" dataCellStyle="Normal 3">
      <calculatedColumnFormula>IFERROR(IF(ventas_b_mes8[[#This Row],[CUIT]]="","-",VLOOKUP(ventas_b_mes8[[#This Row],[CUIT]],Lista_CUIT[#All],2,0)),"CUIT NO CARGADO")</calculatedColumnFormula>
    </tableColumn>
    <tableColumn id="7" name="IMPORTE NETO" totalsRowFunction="sum" dataDxfId="667" totalsRowDxfId="666" dataCellStyle="Normal 3"/>
    <tableColumn id="8" name="IVA 21%" totalsRowFunction="sum" dataDxfId="665" totalsRowDxfId="664" dataCellStyle="Normal 3"/>
    <tableColumn id="9" name="IVA 10,5%" totalsRowFunction="sum" dataDxfId="663" totalsRowDxfId="662" dataCellStyle="Normal 3"/>
    <tableColumn id="10" name="EXENTO" totalsRowFunction="sum" dataDxfId="661" totalsRowDxfId="660" dataCellStyle="Normal 3"/>
    <tableColumn id="11" name="TOTAL" totalsRowFunction="sum" dataDxfId="659" totalsRowDxfId="658" dataCellStyle="Normal 3">
      <calculatedColumnFormula>SUM(ventas_b_mes8[[#This Row],[IMPORTE NETO]:[EXENTO]])</calculatedColumnFormula>
    </tableColumn>
    <tableColumn id="12" name="Provincia" totalsRowFunction="count" dataDxfId="657" totalsRowDxfId="656" dataCellStyle="Normal 3"/>
  </tableColumns>
  <tableStyleInfo name="Tabla Ventas" showFirstColumn="0" showLastColumn="0" showRowStripes="1" showColumnStripes="0"/>
</table>
</file>

<file path=xl/tables/table48.xml><?xml version="1.0" encoding="utf-8"?>
<table xmlns="http://schemas.openxmlformats.org/spreadsheetml/2006/main" id="61" name="extracto_banco_mes8" displayName="extracto_banco_mes8" ref="D128:L132" totalsRowCount="1" headerRowDxfId="655" dataDxfId="654" tableBorderDxfId="653" dataCellStyle="Normal 3">
  <autoFilter ref="D128:L131"/>
  <tableColumns count="9">
    <tableColumn id="1" name="FECHA" totalsRowLabel="Total" dataDxfId="652" totalsRowDxfId="651" dataCellStyle="Normal 3"/>
    <tableColumn id="2" name="NRO CPTE" dataDxfId="650" totalsRowDxfId="649"/>
    <tableColumn id="3" name="BANCO" dataDxfId="648" totalsRowDxfId="647"/>
    <tableColumn id="4" name="NETO" totalsRowFunction="sum" dataDxfId="646" totalsRowDxfId="645" dataCellStyle="Normal 3">
      <calculatedColumnFormula>24+2.5</calculatedColumnFormula>
    </tableColumn>
    <tableColumn id="5" name="IVA 21%" totalsRowFunction="sum" dataDxfId="644" totalsRowDxfId="643" dataCellStyle="Normal 3">
      <calculatedColumnFormula>extracto_banco_mes8[[#This Row],[NETO]]*0.21</calculatedColumnFormula>
    </tableColumn>
    <tableColumn id="6" name="IVA 10,5%" totalsRowFunction="sum" dataDxfId="642" totalsRowDxfId="641" dataCellStyle="Normal 3"/>
    <tableColumn id="7" name="RET IIBB CABA" totalsRowFunction="sum" dataDxfId="640" totalsRowDxfId="639" dataCellStyle="Normal 3"/>
    <tableColumn id="8" name="PERC IVA" totalsRowFunction="sum" dataDxfId="638" totalsRowDxfId="637" dataCellStyle="Normal 3"/>
    <tableColumn id="9" name="PERC IIBB" totalsRowFunction="sum" dataDxfId="636" totalsRowDxfId="635" dataCellStyle="Normal 3"/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id="62" name="Retenciones_mes8" displayName="Retenciones_mes8" ref="C207:L212" totalsRowShown="0" headerRowDxfId="634" dataDxfId="633" headerRowCellStyle="Normal 3" dataCellStyle="Normal 3">
  <autoFilter ref="C207:L212"/>
  <tableColumns count="10">
    <tableColumn id="1" name="FECHA " dataDxfId="632" dataCellStyle="Normal 3"/>
    <tableColumn id="2" name="COMP Nº" dataDxfId="631" dataCellStyle="Normal 3"/>
    <tableColumn id="3" name="Columna1" dataDxfId="630" dataCellStyle="Normal 3"/>
    <tableColumn id="4" name="CUIT" dataDxfId="629" dataCellStyle="Normal 3"/>
    <tableColumn id="5" name="RAZON SOCIAL" dataDxfId="628" dataCellStyle="Normal 3">
      <calculatedColumnFormula>IFERROR(IF(Retenciones_mes8[[#This Row],[CUIT]]="","-",VLOOKUP(Retenciones_mes8[[#This Row],[CUIT]],Lista_CUIT[#All],2,0)),"CUIT NO CARGADO")</calculatedColumnFormula>
    </tableColumn>
    <tableColumn id="6" name="Ganancias" dataDxfId="627" dataCellStyle="Normal 3"/>
    <tableColumn id="7" name="IVA" dataDxfId="626" dataCellStyle="Normal 3"/>
    <tableColumn id="8" name="SUSS" dataDxfId="625" dataCellStyle="Normal 3"/>
    <tableColumn id="9" name="IIBB BSAS" dataDxfId="624" dataCellStyle="Normal 3"/>
    <tableColumn id="10" name="IIBB CABA" dataDxfId="623" dataCellStyle="Normal 3"/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id="63" name="compras_mes9" displayName="compras_mes9" ref="B8:R133" totalsRowCount="1" headerRowDxfId="622" dataDxfId="621" totalsRowDxfId="620">
  <autoFilter ref="B8:R132"/>
  <sortState ref="B9:R132">
    <sortCondition ref="Q8:Q132"/>
  </sortState>
  <tableColumns count="17">
    <tableColumn id="1" name="FECHA" totalsRowLabel="Total" dataDxfId="619" totalsRowDxfId="618" dataCellStyle="Normal 3"/>
    <tableColumn id="2" name="TIPO" dataDxfId="617" totalsRowDxfId="616" dataCellStyle="Normal 3"/>
    <tableColumn id="3" name="PTO VTA" dataDxfId="615" totalsRowDxfId="614" dataCellStyle="Normal 3"/>
    <tableColumn id="4" name="NRO. CPTE" dataDxfId="613" totalsRowDxfId="612" dataCellStyle="Normal 3"/>
    <tableColumn id="5" name="CUIT" dataDxfId="611" totalsRowDxfId="610" dataCellStyle="Normal 3"/>
    <tableColumn id="6" name="RAZON SOCIAL" dataDxfId="609" totalsRowDxfId="608" dataCellStyle="Normal 3">
      <calculatedColumnFormula>IFERROR(IF(compras_mes9[[#This Row],[CUIT]]="","-",VLOOKUP(compras_mes9[[#This Row],[CUIT]],Lista_CUIT[#All],2,0)),"CUIT NO CARGADO")</calculatedColumnFormula>
    </tableColumn>
    <tableColumn id="7" name="NETO GRAVADO" totalsRowFunction="sum" dataDxfId="607" totalsRowDxfId="606" dataCellStyle="Normal 3"/>
    <tableColumn id="8" name="IVA 21 %" totalsRowFunction="sum" dataDxfId="605" totalsRowDxfId="604" dataCellStyle="Normal 3">
      <calculatedColumnFormula>IF(compras_mes9[[#This Row],[NETO GRAVADO]]="","",compras_mes9[[#This Row],[NETO GRAVADO]]*0.21)</calculatedColumnFormula>
    </tableColumn>
    <tableColumn id="9" name="IVA 27%" totalsRowFunction="sum" dataDxfId="603" totalsRowDxfId="602" dataCellStyle="Normal 3"/>
    <tableColumn id="10" name="IVA 10,5%" totalsRowFunction="sum" dataDxfId="601" totalsRowDxfId="600" dataCellStyle="Normal 3"/>
    <tableColumn id="11" name="PERC. IVA" totalsRowFunction="sum" dataDxfId="599" totalsRowDxfId="598" dataCellStyle="Normal 3"/>
    <tableColumn id="12" name="PERC IIBB _x000a_BS AS" totalsRowFunction="sum" dataDxfId="597" totalsRowDxfId="596" dataCellStyle="Normal 3"/>
    <tableColumn id="13" name="PERC. IIBB CABA" totalsRowFunction="sum" dataDxfId="595" totalsRowDxfId="594" dataCellStyle="Normal 3"/>
    <tableColumn id="14" name="Otros / No Grav." totalsRowFunction="sum" dataDxfId="593" totalsRowDxfId="592" dataCellStyle="Normal 3"/>
    <tableColumn id="15" name="TOTAL" totalsRowFunction="sum" dataDxfId="591" totalsRowDxfId="590" dataCellStyle="Normal 3">
      <calculatedColumnFormula>SUM(compras_mes9[[#This Row],[NETO GRAVADO]:[Otros / No Grav.]])</calculatedColumnFormula>
    </tableColumn>
    <tableColumn id="16" name="Tipo de Gasto" dataDxfId="589" totalsRowDxfId="588" dataCellStyle="Normal 3">
      <calculatedColumnFormula>IFERROR(IF(compras_mes9[[#This Row],[CUIT]]="","-",VLOOKUP(compras_mes9[[#This Row],[CUIT]],Lista_CUIT[#All],3,0)),"CUIT NO CARGADO")</calculatedColumnFormula>
    </tableColumn>
    <tableColumn id="17" name="Provincia" dataDxfId="587" totalsRowDxfId="586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id="64" name="factura_c_mes9" displayName="factura_c_mes9" ref="D149:K170" totalsRowCount="1" headerRowDxfId="585" totalsRowDxfId="584" headerRowCellStyle="Normal 3">
  <autoFilter ref="D149:K169"/>
  <sortState ref="D150:K179">
    <sortCondition ref="J149:J179"/>
  </sortState>
  <tableColumns count="8">
    <tableColumn id="1" name="FECHA" totalsRowLabel="Total" dataDxfId="583" totalsRowDxfId="582" dataCellStyle="Normal 3"/>
    <tableColumn id="2" name="PTO VTA" dataDxfId="581" totalsRowDxfId="580" dataCellStyle="Normal 3"/>
    <tableColumn id="3" name="FC Nº" dataDxfId="579" totalsRowDxfId="578" dataCellStyle="Normal 3"/>
    <tableColumn id="4" name="CUIT" dataDxfId="577" totalsRowDxfId="576" dataCellStyle="Normal 3"/>
    <tableColumn id="5" name="RAZON SOCIAL" dataDxfId="575" totalsRowDxfId="574" dataCellStyle="Normal 3">
      <calculatedColumnFormula>IFERROR(IF(factura_c_mes9[[#This Row],[CUIT]]="","-",VLOOKUP(factura_c_mes9[[#This Row],[CUIT]],Lista_CUIT[#All],2,0)),"CUIT NO CARGADO")</calculatedColumnFormula>
    </tableColumn>
    <tableColumn id="6" name="TOTAL" totalsRowFunction="sum" dataDxfId="573" totalsRowDxfId="572" dataCellStyle="Normal 3"/>
    <tableColumn id="7" name="TIPO DE GASTO" dataDxfId="571" totalsRowDxfId="570" dataCellStyle="Normal 3">
      <calculatedColumnFormula>IFERROR(IF(factura_c_mes9[[#This Row],[CUIT]]="","-",VLOOKUP(factura_c_mes9[[#This Row],[CUIT]],Lista_CUIT[#All],3,0)),"CUIT NO CARGADO")</calculatedColumnFormula>
    </tableColumn>
    <tableColumn id="8" name="Provincia" dataDxfId="569" totalsRowDxfId="568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id="65" name="venta_a_mes9" displayName="venta_a_mes9" ref="B179:M189" totalsRowCount="1" headerRowDxfId="567" dataDxfId="565" headerRowBorderDxfId="566" tableBorderDxfId="564" totalsRowBorderDxfId="563" dataCellStyle="Normal 3">
  <autoFilter ref="B179:M188"/>
  <tableColumns count="12">
    <tableColumn id="1" name="FECHA" totalsRowLabel="Total" dataDxfId="562" totalsRowDxfId="561" dataCellStyle="Normal 3"/>
    <tableColumn id="2" name="TIPO" dataDxfId="560" totalsRowDxfId="559" dataCellStyle="Normal 3"/>
    <tableColumn id="3" name="PTO VENTA" dataDxfId="558" totalsRowDxfId="557" dataCellStyle="Normal 3"/>
    <tableColumn id="4" name="Nº FACTURA" dataDxfId="556" totalsRowDxfId="555" dataCellStyle="Normal 3"/>
    <tableColumn id="5" name="CUIT" dataDxfId="554" totalsRowDxfId="553" dataCellStyle="Normal 3"/>
    <tableColumn id="6" name="RAZON SOCIAL" dataDxfId="552" totalsRowDxfId="551" dataCellStyle="Normal 3">
      <calculatedColumnFormula>IFERROR(IF(venta_a_mes9[[#This Row],[CUIT]]="","-",VLOOKUP(venta_a_mes9[[#This Row],[CUIT]],Lista_CUIT[#All],2,0)),"CUIT NO CARGADO")</calculatedColumnFormula>
    </tableColumn>
    <tableColumn id="7" name="IMPORTE NETO" totalsRowFunction="sum" dataDxfId="550" totalsRowDxfId="549" dataCellStyle="Normal 3"/>
    <tableColumn id="8" name="IVA 21%" totalsRowFunction="sum" dataDxfId="548" totalsRowDxfId="547" dataCellStyle="Normal 3">
      <calculatedColumnFormula>venta_a_mes9[[#This Row],[IMPORTE NETO]]*0.21</calculatedColumnFormula>
    </tableColumn>
    <tableColumn id="9" name="IVA 10,5%" totalsRowFunction="sum" dataDxfId="546" totalsRowDxfId="545" dataCellStyle="Normal 3"/>
    <tableColumn id="10" name="EXENTO" totalsRowFunction="sum" dataDxfId="544" totalsRowDxfId="543" dataCellStyle="Normal 3"/>
    <tableColumn id="11" name="TOTAL" totalsRowFunction="sum" dataDxfId="542" totalsRowDxfId="541" dataCellStyle="Normal 3">
      <calculatedColumnFormula>SUM(venta_a_mes9[[#This Row],[IMPORTE NETO]:[EXENTO]])</calculatedColumnFormula>
    </tableColumn>
    <tableColumn id="12" name="Provincia" totalsRowFunction="count" dataDxfId="540" totalsRowDxfId="539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id="66" name="ventas_b_mes9" displayName="ventas_b_mes9" ref="B193:M200" totalsRowCount="1" headerRowDxfId="538" dataDxfId="536" headerRowBorderDxfId="537" tableBorderDxfId="535" totalsRowBorderDxfId="534" dataCellStyle="Normal 3">
  <autoFilter ref="B193:M199"/>
  <tableColumns count="12">
    <tableColumn id="1" name="FECHA" totalsRowLabel="Total" dataDxfId="533" totalsRowDxfId="532" dataCellStyle="Normal 3"/>
    <tableColumn id="2" name="TIPO" dataDxfId="531" totalsRowDxfId="530" dataCellStyle="Normal 3"/>
    <tableColumn id="3" name="PTO VENTA" dataDxfId="529" totalsRowDxfId="528" dataCellStyle="Normal 3"/>
    <tableColumn id="4" name="Nº FACTURA" dataDxfId="527" totalsRowDxfId="526" dataCellStyle="Normal 3"/>
    <tableColumn id="5" name="CUIT" dataDxfId="525" totalsRowDxfId="524" dataCellStyle="Normal 3"/>
    <tableColumn id="6" name="RAZON SOCIAL" dataDxfId="523" totalsRowDxfId="522" dataCellStyle="Normal 3">
      <calculatedColumnFormula>IFERROR(IF(ventas_b_mes9[[#This Row],[CUIT]]="","-",VLOOKUP(ventas_b_mes9[[#This Row],[CUIT]],Lista_CUIT[#All],2,0)),"CUIT NO CARGADO")</calculatedColumnFormula>
    </tableColumn>
    <tableColumn id="7" name="IMPORTE NETO" totalsRowFunction="sum" dataDxfId="521" totalsRowDxfId="520" dataCellStyle="Normal 3"/>
    <tableColumn id="8" name="IVA 21%" totalsRowFunction="sum" dataDxfId="519" totalsRowDxfId="518" dataCellStyle="Normal 3"/>
    <tableColumn id="9" name="IVA 10,5%" totalsRowFunction="sum" dataDxfId="517" totalsRowDxfId="516" dataCellStyle="Normal 3"/>
    <tableColumn id="10" name="EXENTO" totalsRowFunction="sum" dataDxfId="515" totalsRowDxfId="514" dataCellStyle="Normal 3"/>
    <tableColumn id="11" name="TOTAL" totalsRowFunction="sum" dataDxfId="513" totalsRowDxfId="512" dataCellStyle="Normal 3">
      <calculatedColumnFormula>SUM(ventas_b_mes9[[#This Row],[IMPORTE NETO]:[EXENTO]])</calculatedColumnFormula>
    </tableColumn>
    <tableColumn id="12" name="Provincia" totalsRowFunction="count" dataDxfId="511" totalsRowDxfId="510" dataCellStyle="Normal 3"/>
  </tableColumns>
  <tableStyleInfo name="Tabla Ventas" showFirstColumn="0" showLastColumn="0" showRowStripes="1" showColumnStripes="0"/>
</table>
</file>

<file path=xl/tables/table54.xml><?xml version="1.0" encoding="utf-8"?>
<table xmlns="http://schemas.openxmlformats.org/spreadsheetml/2006/main" id="67" name="extracto_banco_mes9" displayName="extracto_banco_mes9" ref="D139:M144" totalsRowCount="1" headerRowDxfId="509" dataDxfId="508" tableBorderDxfId="507" dataCellStyle="Normal 3">
  <autoFilter ref="D139:M143"/>
  <tableColumns count="10">
    <tableColumn id="1" name="FECHA" totalsRowLabel="Total" dataDxfId="506" totalsRowDxfId="505" dataCellStyle="Normal 3"/>
    <tableColumn id="2" name="NRO CPTE" dataDxfId="504" totalsRowDxfId="503"/>
    <tableColumn id="3" name="BANCO" dataDxfId="502" totalsRowDxfId="501"/>
    <tableColumn id="4" name="NETO" totalsRowFunction="sum" dataDxfId="500" totalsRowDxfId="499" dataCellStyle="Normal 3"/>
    <tableColumn id="5" name="IVA 21%" totalsRowFunction="sum" dataDxfId="498" totalsRowDxfId="497" dataCellStyle="Normal 3">
      <calculatedColumnFormula>extracto_banco_mes9[[#This Row],[NETO]]*0.21</calculatedColumnFormula>
    </tableColumn>
    <tableColumn id="6" name="IVA 10,5%" totalsRowFunction="sum" dataDxfId="496" totalsRowDxfId="495" dataCellStyle="Normal 3"/>
    <tableColumn id="7" name="RET IIBB CABA" totalsRowFunction="sum" dataDxfId="494" totalsRowDxfId="493" dataCellStyle="Normal 3"/>
    <tableColumn id="8" name="PERC IVA" totalsRowFunction="sum" dataDxfId="492" totalsRowDxfId="491" dataCellStyle="Normal 3"/>
    <tableColumn id="9" name="PERC IIBB" totalsRowFunction="sum" dataDxfId="490" totalsRowDxfId="489" dataCellStyle="Normal 3"/>
    <tableColumn id="10" name="TOTAL" dataDxfId="488" totalsRowDxfId="487" dataCellStyle="Normal 3">
      <calculatedColumnFormula>SUM(extracto_banco_mes9[[#This Row],[NETO]:[PERC IIBB]])</calculatedColumnFormula>
    </tableColumn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id="68" name="Retenciones_mes9" displayName="Retenciones_mes9" ref="C209:L214" totalsRowShown="0" headerRowDxfId="486" dataDxfId="485" headerRowCellStyle="Normal 3" dataCellStyle="Normal 3">
  <autoFilter ref="C209:L214"/>
  <tableColumns count="10">
    <tableColumn id="1" name="FECHA " dataDxfId="484" dataCellStyle="Normal 3"/>
    <tableColumn id="2" name="COMP Nº" dataDxfId="483" dataCellStyle="Normal 3"/>
    <tableColumn id="3" name="Columna1" dataDxfId="482" dataCellStyle="Normal 3"/>
    <tableColumn id="4" name="CUIT" dataDxfId="481" dataCellStyle="Normal 3"/>
    <tableColumn id="5" name="RAZON SOCIAL" dataDxfId="480" dataCellStyle="Normal 3">
      <calculatedColumnFormula>IFERROR(IF(Retenciones_mes9[[#This Row],[CUIT]]="","-",VLOOKUP(Retenciones_mes9[[#This Row],[CUIT]],Lista_CUIT[#All],2,0)),"CUIT NO CARGADO")</calculatedColumnFormula>
    </tableColumn>
    <tableColumn id="6" name="Ganancias" dataDxfId="479" dataCellStyle="Normal 3"/>
    <tableColumn id="7" name="IVA" dataDxfId="478" dataCellStyle="Normal 3"/>
    <tableColumn id="8" name="SUSS" dataDxfId="477" dataCellStyle="Normal 3"/>
    <tableColumn id="9" name="IIBB BSAS" dataDxfId="476" dataCellStyle="Normal 3"/>
    <tableColumn id="10" name="IIBB CABA" dataDxfId="475" dataCellStyle="Normal 3"/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id="2" name="compras_mes103" displayName="compras_mes103" ref="B8:R108" totalsRowCount="1" headerRowDxfId="474" dataDxfId="472" totalsRowDxfId="471" headerRowBorderDxfId="473">
  <autoFilter ref="B8:R107"/>
  <sortState ref="B11:R107">
    <sortCondition ref="Q8:Q107"/>
  </sortState>
  <tableColumns count="17">
    <tableColumn id="1" name="FECHA" totalsRowLabel="Total" dataDxfId="470" totalsRowDxfId="469" dataCellStyle="Normal 3"/>
    <tableColumn id="2" name="TIPO" dataDxfId="468" totalsRowDxfId="467" dataCellStyle="Normal 3"/>
    <tableColumn id="3" name="PTO VTA" dataDxfId="466" totalsRowDxfId="465" dataCellStyle="Normal 3"/>
    <tableColumn id="4" name="NRO. CPTE" dataDxfId="464" totalsRowDxfId="463" dataCellStyle="Normal 3"/>
    <tableColumn id="5" name="CUIT" dataDxfId="462" totalsRowDxfId="461" dataCellStyle="Normal 3"/>
    <tableColumn id="6" name="RAZON SOCIAL" dataDxfId="460" totalsRowDxfId="459" dataCellStyle="Normal 3">
      <calculatedColumnFormula>IFERROR(IF(compras_mes103[[#This Row],[CUIT]]="","-",VLOOKUP(compras_mes103[[#This Row],[CUIT]],Lista_CUIT[#All],2,0)),"CUIT NO CARGADO")</calculatedColumnFormula>
    </tableColumn>
    <tableColumn id="7" name="NETO GRAVADO" totalsRowFunction="sum" dataDxfId="458" totalsRowDxfId="457" dataCellStyle="Normal 3"/>
    <tableColumn id="8" name="IVA 21 %" totalsRowFunction="sum" dataDxfId="456" totalsRowDxfId="455" dataCellStyle="Normal 3">
      <calculatedColumnFormula>IF(compras_mes103[[#This Row],[NETO GRAVADO]]="","",compras_mes103[[#This Row],[NETO GRAVADO]]*0.21)</calculatedColumnFormula>
    </tableColumn>
    <tableColumn id="9" name="IVA 27%" totalsRowFunction="sum" dataDxfId="454" totalsRowDxfId="453" dataCellStyle="Normal 3"/>
    <tableColumn id="10" name="IVA 10,5%" totalsRowFunction="sum" dataDxfId="452" totalsRowDxfId="451" dataCellStyle="Normal 3"/>
    <tableColumn id="11" name="PERC. IVA" totalsRowFunction="sum" dataDxfId="450" totalsRowDxfId="449" dataCellStyle="Normal 3"/>
    <tableColumn id="12" name="PERC IIBB _x000a_BS AS" totalsRowFunction="sum" dataDxfId="448" totalsRowDxfId="447" dataCellStyle="Normal 3"/>
    <tableColumn id="13" name="PERC. IIBB CABA" totalsRowFunction="sum" dataDxfId="446" totalsRowDxfId="445" dataCellStyle="Normal 3"/>
    <tableColumn id="14" name="Otros / No Grav." totalsRowFunction="sum" dataDxfId="444" totalsRowDxfId="443" dataCellStyle="Normal 3"/>
    <tableColumn id="15" name="TOTAL" totalsRowFunction="sum" dataDxfId="442" totalsRowDxfId="441" dataCellStyle="Normal 3">
      <calculatedColumnFormula>SUM(compras_mes103[[#This Row],[NETO GRAVADO]:[Otros / No Grav.]])</calculatedColumnFormula>
    </tableColumn>
    <tableColumn id="16" name="Tipo de Gasto" dataDxfId="440" totalsRowDxfId="439" dataCellStyle="Normal 3">
      <calculatedColumnFormula>IFERROR(IF(compras_mes103[[#This Row],[CUIT]]="","-",VLOOKUP(compras_mes103[[#This Row],[CUIT]],Lista_CUIT[#All],3,0)),"CUIT NO CARGADO")</calculatedColumnFormula>
    </tableColumn>
    <tableColumn id="17" name="Provincia" dataDxfId="438" totalsRowDxfId="437" dataCellStyle="Normal 3">
      <calculatedColumnFormula>IFERROR(IF(compras_mes103[[#This Row],[CUIT]]="","-",VLOOKUP(compras_mes103[[#This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id="51" name="factura_c_mes1052" displayName="factura_c_mes1052" ref="D123:K143" totalsRowCount="1" headerRowDxfId="436" totalsRowDxfId="435" headerRowCellStyle="Normal 3">
  <autoFilter ref="D123:K142"/>
  <sortState ref="D124:K165">
    <sortCondition ref="J123:J165"/>
  </sortState>
  <tableColumns count="8">
    <tableColumn id="1" name="FECHA" totalsRowLabel="Total" dataDxfId="434" totalsRowDxfId="433" dataCellStyle="Normal 3"/>
    <tableColumn id="2" name="PTO VTA" dataDxfId="432" totalsRowDxfId="431" dataCellStyle="Normal 3"/>
    <tableColumn id="3" name="FC Nº" dataDxfId="430" totalsRowDxfId="429" dataCellStyle="Normal 3"/>
    <tableColumn id="4" name="CUIT" dataDxfId="428" totalsRowDxfId="427" dataCellStyle="Normal 3"/>
    <tableColumn id="5" name="RAZON SOCIAL" dataDxfId="426" totalsRowDxfId="425" dataCellStyle="Normal 3">
      <calculatedColumnFormula>IFERROR(IF(factura_c_mes1052[[#This Row],[CUIT]]="","-",VLOOKUP(factura_c_mes1052[[#This Row],[CUIT]],Lista_CUIT[#All],2,0)),"CUIT NO CARGADO")</calculatedColumnFormula>
    </tableColumn>
    <tableColumn id="6" name="TOTAL" totalsRowFunction="sum" dataDxfId="424" totalsRowDxfId="423" dataCellStyle="Normal 3"/>
    <tableColumn id="7" name="TIPO DE GASTO" dataDxfId="422" totalsRowDxfId="421" dataCellStyle="Normal 3">
      <calculatedColumnFormula>IFERROR(IF(factura_c_mes1052[[#This Row],[CUIT]]="","-",VLOOKUP(factura_c_mes1052[[#This Row],[CUIT]],Lista_CUIT[#All],3,0)),"CUIT NO CARGADO")</calculatedColumnFormula>
    </tableColumn>
    <tableColumn id="8" name="Provincia" dataDxfId="420" totalsRowDxfId="419" dataCellStyle="Normal 3">
      <calculatedColumnFormula>IFERROR(IF(factura_c_mes1052[[#This Row],[CUIT]]="","-",VLOOKUP(factura_c_mes1052[[#This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id="52" name="venta_a_mes1053" displayName="venta_a_mes1053" ref="B152:M162" totalsRowCount="1" headerRowDxfId="418" dataDxfId="416" headerRowBorderDxfId="417" tableBorderDxfId="415" totalsRowBorderDxfId="414" dataCellStyle="Normal 3">
  <autoFilter ref="B152:M161"/>
  <tableColumns count="12">
    <tableColumn id="1" name="FECHA" totalsRowLabel="Total" dataDxfId="413" totalsRowDxfId="412" dataCellStyle="Normal 3"/>
    <tableColumn id="2" name="TIPO" dataDxfId="411" totalsRowDxfId="410" dataCellStyle="Normal 3"/>
    <tableColumn id="3" name="PTO VENTA" dataDxfId="409" totalsRowDxfId="408" dataCellStyle="Normal 3"/>
    <tableColumn id="4" name="Nº FACTURA" dataDxfId="407" totalsRowDxfId="406" dataCellStyle="Normal 3"/>
    <tableColumn id="5" name="CUIT" dataDxfId="405" totalsRowDxfId="404" dataCellStyle="Normal 3"/>
    <tableColumn id="6" name="RAZON SOCIAL" dataDxfId="403" totalsRowDxfId="402" dataCellStyle="Normal 3">
      <calculatedColumnFormula>IFERROR(IF(venta_a_mes1053[[#This Row],[CUIT]]="","-",VLOOKUP(venta_a_mes1053[[#This Row],[CUIT]],Lista_CUIT[#All],2,0)),"CUIT NO CARGADO")</calculatedColumnFormula>
    </tableColumn>
    <tableColumn id="7" name="IMPORTE NETO" totalsRowFunction="sum" dataDxfId="401" totalsRowDxfId="400" dataCellStyle="Normal 3"/>
    <tableColumn id="8" name="IVA 21%" totalsRowFunction="sum" dataDxfId="399" totalsRowDxfId="398" dataCellStyle="Normal 3">
      <calculatedColumnFormula>venta_a_mes1053[[#This Row],[IMPORTE NETO]]*0.21</calculatedColumnFormula>
    </tableColumn>
    <tableColumn id="9" name="IVA 10,5%" totalsRowFunction="sum" dataDxfId="397" totalsRowDxfId="396" dataCellStyle="Normal 3"/>
    <tableColumn id="10" name="EXENTO" totalsRowFunction="sum" dataDxfId="395" totalsRowDxfId="394" dataCellStyle="Normal 3"/>
    <tableColumn id="11" name="TOTAL" totalsRowFunction="sum" dataDxfId="393" totalsRowDxfId="392" dataCellStyle="Normal 3">
      <calculatedColumnFormula>SUM(venta_a_mes1053[[#This Row],[IMPORTE NETO]:[EXENTO]])</calculatedColumnFormula>
    </tableColumn>
    <tableColumn id="12" name="Provincia" totalsRowFunction="count" dataDxfId="391" totalsRowDxfId="390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id="53" name="ventas_b_mes1054" displayName="ventas_b_mes1054" ref="B166:M173" totalsRowCount="1" headerRowDxfId="389" dataDxfId="387" headerRowBorderDxfId="388" tableBorderDxfId="386" totalsRowBorderDxfId="385" dataCellStyle="Normal 3">
  <autoFilter ref="B166:M172"/>
  <tableColumns count="12">
    <tableColumn id="1" name="FECHA" totalsRowLabel="Total" dataDxfId="384" totalsRowDxfId="383" dataCellStyle="Normal 3"/>
    <tableColumn id="2" name="TIPO" dataDxfId="382" totalsRowDxfId="381" dataCellStyle="Normal 3"/>
    <tableColumn id="3" name="PTO VENTA" dataDxfId="380" totalsRowDxfId="379" dataCellStyle="Normal 3"/>
    <tableColumn id="4" name="Nº FACTURA" dataDxfId="378" totalsRowDxfId="377" dataCellStyle="Normal 3"/>
    <tableColumn id="5" name="CUIT" dataDxfId="376" totalsRowDxfId="375" dataCellStyle="Normal 3"/>
    <tableColumn id="6" name="RAZON SOCIAL" dataDxfId="374" totalsRowDxfId="373" dataCellStyle="Normal 3">
      <calculatedColumnFormula>IFERROR(IF(ventas_b_mes1054[[#This Row],[CUIT]]="","-",VLOOKUP(ventas_b_mes1054[[#This Row],[CUIT]],Lista_CUIT[#All],2,0)),"CUIT NO CARGADO")</calculatedColumnFormula>
    </tableColumn>
    <tableColumn id="7" name="IMPORTE NETO" totalsRowFunction="sum" dataDxfId="372" totalsRowDxfId="371" dataCellStyle="Normal 3"/>
    <tableColumn id="8" name="IVA 21%" totalsRowFunction="sum" dataDxfId="370" totalsRowDxfId="369" dataCellStyle="Normal 3"/>
    <tableColumn id="9" name="IVA 10,5%" totalsRowFunction="sum" dataDxfId="368" totalsRowDxfId="367" dataCellStyle="Normal 3"/>
    <tableColumn id="10" name="EXENTO" totalsRowFunction="sum" dataDxfId="366" totalsRowDxfId="365" dataCellStyle="Normal 3"/>
    <tableColumn id="11" name="TOTAL" totalsRowFunction="sum" dataDxfId="364" totalsRowDxfId="363" dataCellStyle="Normal 3">
      <calculatedColumnFormula>SUM(ventas_b_mes1054[[#This Row],[IMPORTE NETO]:[EXENTO]])</calculatedColumnFormula>
    </tableColumn>
    <tableColumn id="12" name="Provincia" totalsRowFunction="count" dataDxfId="362" totalsRowDxfId="361" dataCellStyle="Normal 3"/>
  </tableColumns>
  <tableStyleInfo name="Tabla Ventas" showFirstColumn="0" showLastColumn="0" showRowStripes="1" showColumnStripes="0"/>
</table>
</file>

<file path=xl/tables/table60.xml><?xml version="1.0" encoding="utf-8"?>
<table xmlns="http://schemas.openxmlformats.org/spreadsheetml/2006/main" id="54" name="extracto_banco_mes1055" displayName="extracto_banco_mes1055" ref="D114:L118" totalsRowCount="1" headerRowDxfId="360" dataDxfId="359" tableBorderDxfId="358" dataCellStyle="Normal 3">
  <autoFilter ref="D114:L117"/>
  <tableColumns count="9">
    <tableColumn id="1" name="FECHA" totalsRowLabel="Total" dataDxfId="357" totalsRowDxfId="356" dataCellStyle="Normal 3"/>
    <tableColumn id="2" name="NRO CPTE" dataDxfId="355" totalsRowDxfId="354"/>
    <tableColumn id="3" name="BANCO" dataDxfId="353" totalsRowDxfId="352"/>
    <tableColumn id="4" name="NETO" totalsRowFunction="sum" dataDxfId="351" totalsRowDxfId="350" dataCellStyle="Normal 3">
      <calculatedColumnFormula>24+300+2.5+150+40+35+2.5+500+1001+35</calculatedColumnFormula>
    </tableColumn>
    <tableColumn id="5" name="IVA 21%" totalsRowFunction="sum" dataDxfId="349" totalsRowDxfId="348" dataCellStyle="Normal 3">
      <calculatedColumnFormula>extracto_banco_mes1055[[#This Row],[NETO]]*0.21</calculatedColumnFormula>
    </tableColumn>
    <tableColumn id="6" name="IVA 10,5%" totalsRowFunction="sum" dataDxfId="347" totalsRowDxfId="346" dataCellStyle="Normal 3"/>
    <tableColumn id="7" name="RET IIBB CABA" totalsRowFunction="sum" dataDxfId="345" totalsRowDxfId="344" dataCellStyle="Normal 3"/>
    <tableColumn id="8" name="PERC IVA" totalsRowFunction="sum" dataDxfId="343" totalsRowDxfId="342" dataCellStyle="Normal 3"/>
    <tableColumn id="9" name="PERC IIBB" totalsRowFunction="sum" dataDxfId="341" totalsRowDxfId="340" dataCellStyle="Normal 3"/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id="55" name="Retenciones_mes1056" displayName="Retenciones_mes1056" ref="C182:L187" totalsRowShown="0" headerRowDxfId="339" dataDxfId="338" headerRowCellStyle="Normal 3" dataCellStyle="Normal 3">
  <autoFilter ref="C182:L187"/>
  <tableColumns count="10">
    <tableColumn id="1" name="FECHA " dataDxfId="337" dataCellStyle="Normal 3"/>
    <tableColumn id="2" name="COMP Nº" dataDxfId="336" dataCellStyle="Normal 3"/>
    <tableColumn id="3" name="Columna1" dataDxfId="335" dataCellStyle="Normal 3"/>
    <tableColumn id="4" name="CUIT" dataDxfId="334" dataCellStyle="Normal 3"/>
    <tableColumn id="5" name="RAZON SOCIAL" dataDxfId="333" dataCellStyle="Normal 3">
      <calculatedColumnFormula>IFERROR(IF(Retenciones_mes1056[[#This Row],[CUIT]]="","-",VLOOKUP(Retenciones_mes1056[[#This Row],[CUIT]],Lista_CUIT[#All],2,0)),"CUIT NO CARGADO")</calculatedColumnFormula>
    </tableColumn>
    <tableColumn id="6" name="Ganancias" dataDxfId="332" dataCellStyle="Normal 3"/>
    <tableColumn id="7" name="IVA" dataDxfId="331" dataCellStyle="Normal 3"/>
    <tableColumn id="8" name="SUSS" dataDxfId="330" dataCellStyle="Normal 3"/>
    <tableColumn id="9" name="IIBB BSAS" dataDxfId="329" dataCellStyle="Normal 3"/>
    <tableColumn id="10" name="IIBB CABA" dataDxfId="328" dataCellStyle="Normal 3"/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id="75" name="compras_mes11" displayName="compras_mes11" ref="B8:R100" totalsRowCount="1" headerRowDxfId="327" dataDxfId="326" totalsRowDxfId="325">
  <autoFilter ref="B8:R99"/>
  <sortState ref="B9:R99">
    <sortCondition ref="Q8:Q99"/>
  </sortState>
  <tableColumns count="17">
    <tableColumn id="1" name="FECHA" totalsRowLabel="Total" dataDxfId="324" totalsRowDxfId="323"/>
    <tableColumn id="2" name="TIPO" dataDxfId="322" totalsRowDxfId="321"/>
    <tableColumn id="3" name="PTO VTA" dataDxfId="320" totalsRowDxfId="319"/>
    <tableColumn id="4" name="NRO. CPTE" dataDxfId="318" totalsRowDxfId="317"/>
    <tableColumn id="5" name="CUIT" dataDxfId="316" totalsRowDxfId="315"/>
    <tableColumn id="6" name="RAZON SOCIAL" dataDxfId="314" totalsRowDxfId="313">
      <calculatedColumnFormula>IFERROR(IF(compras_mes11[[#This Row],[CUIT]]="","-",VLOOKUP(compras_mes11[[#This Row],[CUIT]],Lista_CUIT[#All],2,0)),"CUIT NO CARGADO")</calculatedColumnFormula>
    </tableColumn>
    <tableColumn id="7" name="NETO GRAVADO" totalsRowFunction="sum" dataDxfId="312" totalsRowDxfId="311"/>
    <tableColumn id="8" name="IVA 21 %" totalsRowFunction="sum" dataDxfId="310" totalsRowDxfId="309">
      <calculatedColumnFormula>IF(compras_mes11[[#This Row],[NETO GRAVADO]]="","",compras_mes11[[#This Row],[NETO GRAVADO]]*0.21)</calculatedColumnFormula>
    </tableColumn>
    <tableColumn id="9" name="IVA 27%" totalsRowFunction="sum" dataDxfId="308" totalsRowDxfId="307"/>
    <tableColumn id="10" name="IVA 10,5%" totalsRowFunction="sum" dataDxfId="306" totalsRowDxfId="305"/>
    <tableColumn id="11" name="PERC. IVA" totalsRowFunction="sum" dataDxfId="304" totalsRowDxfId="303"/>
    <tableColumn id="12" name="PERC IIBB _x000a_BS AS" totalsRowFunction="sum" dataDxfId="302" totalsRowDxfId="301"/>
    <tableColumn id="13" name="PERC. IIBB CABA" totalsRowFunction="sum" dataDxfId="300" totalsRowDxfId="299"/>
    <tableColumn id="14" name="Otros / No Grav." totalsRowFunction="sum" dataDxfId="298" totalsRowDxfId="297"/>
    <tableColumn id="15" name="TOTAL" totalsRowFunction="sum" dataDxfId="296" totalsRowDxfId="295">
      <calculatedColumnFormula>SUM(compras_mes11[[#This Row],[NETO GRAVADO]:[Otros / No Grav.]])</calculatedColumnFormula>
    </tableColumn>
    <tableColumn id="16" name="Tipo de Gasto" dataDxfId="294" totalsRowDxfId="293">
      <calculatedColumnFormula>IFERROR(IF(compras_mes11[[#This Row],[CUIT]]="","-",VLOOKUP(compras_mes11[[#This Row],[CUIT]],Lista_CUIT[#All],3,0)),"CUIT NO CARGADO")</calculatedColumnFormula>
    </tableColumn>
    <tableColumn id="17" name="Provincia" dataDxfId="292" totalsRowDxfId="291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id="76" name="factura_c_mes11" displayName="factura_c_mes11" ref="D117:K143" totalsRowCount="1" headerRowDxfId="290" totalsRowDxfId="289" headerRowCellStyle="Normal 3">
  <autoFilter ref="D117:K142"/>
  <sortState ref="D118:K142">
    <sortCondition ref="J117:J142"/>
  </sortState>
  <tableColumns count="8">
    <tableColumn id="1" name="FECHA" totalsRowLabel="Total" dataDxfId="288" totalsRowDxfId="287" dataCellStyle="Normal 3"/>
    <tableColumn id="2" name="PTO VTA" dataDxfId="286" totalsRowDxfId="285" dataCellStyle="Normal 3"/>
    <tableColumn id="3" name="FC Nº" dataDxfId="284" totalsRowDxfId="283" dataCellStyle="Normal 3"/>
    <tableColumn id="4" name="CUIT" dataDxfId="282" totalsRowDxfId="281" dataCellStyle="Normal 3"/>
    <tableColumn id="5" name="RAZON SOCIAL" dataDxfId="280" totalsRowDxfId="279" dataCellStyle="Normal 3">
      <calculatedColumnFormula>IFERROR(IF(factura_c_mes11[[#This Row],[CUIT]]="","-",VLOOKUP(factura_c_mes11[[#This Row],[CUIT]],Lista_CUIT[#All],2,0)),"CUIT NO CARGADO")</calculatedColumnFormula>
    </tableColumn>
    <tableColumn id="6" name="TOTAL" totalsRowFunction="sum" dataDxfId="278" totalsRowDxfId="277" dataCellStyle="Normal 3"/>
    <tableColumn id="7" name="TIPO DE GASTO" dataDxfId="276" totalsRowDxfId="275" dataCellStyle="Normal 3">
      <calculatedColumnFormula>IFERROR(IF(factura_c_mes11[[#This Row],[CUIT]]="","-",VLOOKUP(factura_c_mes11[[#This Row],[CUIT]],Lista_CUIT[#All],3,0)),"CUIT NO CARGADO")</calculatedColumnFormula>
    </tableColumn>
    <tableColumn id="8" name="Provincia" dataDxfId="274" totalsRowDxfId="273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id="77" name="venta_a_mes11" displayName="venta_a_mes11" ref="B147:M154" totalsRowCount="1" headerRowDxfId="272" dataDxfId="270" headerRowBorderDxfId="271" tableBorderDxfId="269" totalsRowBorderDxfId="268" dataCellStyle="Normal 3">
  <autoFilter ref="B147:M153"/>
  <tableColumns count="12">
    <tableColumn id="1" name="FECHA" totalsRowLabel="Total" dataDxfId="267" totalsRowDxfId="266" dataCellStyle="Normal 3"/>
    <tableColumn id="2" name="TIPO" dataDxfId="265" totalsRowDxfId="264" dataCellStyle="Normal 3"/>
    <tableColumn id="3" name="PTO VENTA" dataDxfId="263" totalsRowDxfId="262" dataCellStyle="Normal 3"/>
    <tableColumn id="4" name="Nº FACTURA" dataDxfId="261" totalsRowDxfId="260" dataCellStyle="Normal 3"/>
    <tableColumn id="5" name="CUIT" dataDxfId="259" totalsRowDxfId="258" dataCellStyle="Normal 3"/>
    <tableColumn id="6" name="RAZON SOCIAL" dataDxfId="257" totalsRowDxfId="256" dataCellStyle="Normal 3">
      <calculatedColumnFormula>IFERROR(IF(venta_a_mes11[[#This Row],[CUIT]]="","-",VLOOKUP(venta_a_mes11[[#This Row],[CUIT]],Lista_CUIT[#All],2,0)),"CUIT NO CARGADO")</calculatedColumnFormula>
    </tableColumn>
    <tableColumn id="7" name="IMPORTE NETO" totalsRowFunction="sum" dataDxfId="255" totalsRowDxfId="254" dataCellStyle="Normal 3"/>
    <tableColumn id="8" name="IVA 21%" totalsRowFunction="sum" dataDxfId="253" totalsRowDxfId="252" dataCellStyle="Normal 3">
      <calculatedColumnFormula>venta_a_mes11[[#This Row],[IMPORTE NETO]]*0.21</calculatedColumnFormula>
    </tableColumn>
    <tableColumn id="9" name="IVA 10,5%" totalsRowFunction="sum" dataDxfId="251" totalsRowDxfId="250" dataCellStyle="Normal 3"/>
    <tableColumn id="10" name="EXENTO" totalsRowFunction="sum" dataDxfId="249" totalsRowDxfId="248" dataCellStyle="Normal 3"/>
    <tableColumn id="11" name="TOTAL" totalsRowFunction="sum" dataDxfId="247" totalsRowDxfId="246" dataCellStyle="Normal 3">
      <calculatedColumnFormula>SUM(venta_a_mes11[[#This Row],[IMPORTE NETO]:[EXENTO]])</calculatedColumnFormula>
    </tableColumn>
    <tableColumn id="12" name="Provincia" totalsRowFunction="count" dataDxfId="245" totalsRowDxfId="244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id="78" name="ventas_b_mes11" displayName="ventas_b_mes11" ref="B158:M392" totalsRowCount="1" headerRowDxfId="243" dataDxfId="241" headerRowBorderDxfId="242" tableBorderDxfId="240" totalsRowBorderDxfId="239" dataCellStyle="Normal 3">
  <autoFilter ref="B158:M391"/>
  <tableColumns count="12">
    <tableColumn id="1" name="FECHA" totalsRowLabel="Total" dataDxfId="238" totalsRowDxfId="237" dataCellStyle="Normal 3"/>
    <tableColumn id="2" name="TIPO" dataDxfId="236" totalsRowDxfId="235" dataCellStyle="Normal 3"/>
    <tableColumn id="3" name="PTO VENTA" dataDxfId="234" totalsRowDxfId="233" dataCellStyle="Normal 3"/>
    <tableColumn id="4" name="Nº FACTURA" dataDxfId="232" totalsRowDxfId="231" dataCellStyle="Normal 3"/>
    <tableColumn id="5" name="CUIT" dataDxfId="230" totalsRowDxfId="229" dataCellStyle="Normal 3"/>
    <tableColumn id="6" name="RAZON SOCIAL" dataDxfId="228" totalsRowDxfId="227" dataCellStyle="Normal 3">
      <calculatedColumnFormula>IFERROR(IF(ventas_b_mes11[[#This Row],[CUIT]]="","-",VLOOKUP(ventas_b_mes11[[#This Row],[CUIT]],Lista_CUIT[#All],2,0)),"CUIT NO CARGADO")</calculatedColumnFormula>
    </tableColumn>
    <tableColumn id="7" name="IMPORTE NETO" totalsRowFunction="sum" dataDxfId="226" totalsRowDxfId="225" dataCellStyle="Normal 3"/>
    <tableColumn id="8" name="IVA 21%" totalsRowFunction="sum" dataDxfId="224" totalsRowDxfId="223" dataCellStyle="Normal 3"/>
    <tableColumn id="9" name="IVA 10,5%" totalsRowFunction="sum" dataDxfId="222" totalsRowDxfId="221" dataCellStyle="Normal 3"/>
    <tableColumn id="10" name="EXENTO" totalsRowFunction="sum" dataDxfId="220" totalsRowDxfId="219" dataCellStyle="Normal 3"/>
    <tableColumn id="11" name="TOTAL" totalsRowFunction="sum" dataDxfId="218" totalsRowDxfId="217" dataCellStyle="Normal 3">
      <calculatedColumnFormula>SUM(ventas_b_mes11[[#This Row],[IMPORTE NETO]:[EXENTO]])</calculatedColumnFormula>
    </tableColumn>
    <tableColumn id="12" name="Provincia" totalsRowFunction="count" dataDxfId="216" totalsRowDxfId="215" dataCellStyle="Normal 3"/>
  </tableColumns>
  <tableStyleInfo name="Tabla Ventas" showFirstColumn="0" showLastColumn="0" showRowStripes="1" showColumnStripes="0"/>
</table>
</file>

<file path=xl/tables/table66.xml><?xml version="1.0" encoding="utf-8"?>
<table xmlns="http://schemas.openxmlformats.org/spreadsheetml/2006/main" id="79" name="extracto_banco_mes11" displayName="extracto_banco_mes11" ref="D106:M112" totalsRowCount="1" headerRowDxfId="214" dataDxfId="213" tableBorderDxfId="212" dataCellStyle="Normal 3">
  <autoFilter ref="D106:M111"/>
  <tableColumns count="10">
    <tableColumn id="1" name="FECHA" totalsRowLabel="Total" dataDxfId="211" totalsRowDxfId="210" dataCellStyle="Normal 3"/>
    <tableColumn id="2" name="NRO CPTE" dataDxfId="209" totalsRowDxfId="208"/>
    <tableColumn id="10" name="CUIT" dataDxfId="207" totalsRowDxfId="206"/>
    <tableColumn id="3" name="BANCO" dataDxfId="205" totalsRowDxfId="204"/>
    <tableColumn id="4" name="NETO" totalsRowFunction="sum" dataDxfId="203" totalsRowDxfId="202" dataCellStyle="Normal 3">
      <calculatedColumnFormula>1000+250+346.5+100</calculatedColumnFormula>
    </tableColumn>
    <tableColumn id="5" name="IVA 21%" totalsRowFunction="sum" dataDxfId="201" totalsRowDxfId="200" dataCellStyle="Normal 3">
      <calculatedColumnFormula>extracto_banco_mes11[[#This Row],[NETO]]*0.21</calculatedColumnFormula>
    </tableColumn>
    <tableColumn id="6" name="IVA 10,5%" totalsRowFunction="sum" dataDxfId="199" totalsRowDxfId="198" dataCellStyle="Normal 3"/>
    <tableColumn id="7" name="RET IIBB CABA" totalsRowFunction="sum" dataDxfId="197" totalsRowDxfId="196" dataCellStyle="Normal 3"/>
    <tableColumn id="8" name="PERC IVA" totalsRowFunction="sum" dataDxfId="195" totalsRowDxfId="194" dataCellStyle="Normal 3"/>
    <tableColumn id="9" name="PERC IIBB" totalsRowFunction="sum" dataDxfId="193" totalsRowDxfId="192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id="80" name="Retenciones_mes11" displayName="Retenciones_mes11" ref="C394:L399" totalsRowShown="0" headerRowDxfId="191" dataDxfId="190" headerRowCellStyle="Normal 3" dataCellStyle="Normal 3">
  <autoFilter ref="C394:L399"/>
  <tableColumns count="10">
    <tableColumn id="1" name="FECHA " dataDxfId="189" dataCellStyle="Normal 3"/>
    <tableColumn id="2" name="COMP Nº" dataDxfId="188" dataCellStyle="Normal 3"/>
    <tableColumn id="3" name="Columna1" dataDxfId="187" dataCellStyle="Normal 3"/>
    <tableColumn id="4" name="CUIT" dataDxfId="186" dataCellStyle="Normal 3"/>
    <tableColumn id="5" name="RAZON SOCIAL" dataDxfId="185" dataCellStyle="Normal 3">
      <calculatedColumnFormula>IFERROR(IF(Retenciones_mes11[[#This Row],[CUIT]]="","-",VLOOKUP(Retenciones_mes11[[#This Row],[CUIT]],Lista_CUIT[#All],2,0)),"CUIT NO CARGADO")</calculatedColumnFormula>
    </tableColumn>
    <tableColumn id="6" name="Ganancias" dataDxfId="184" dataCellStyle="Normal 3"/>
    <tableColumn id="7" name="IVA" dataDxfId="183" dataCellStyle="Normal 3"/>
    <tableColumn id="8" name="SUSS" dataDxfId="182" dataCellStyle="Normal 3"/>
    <tableColumn id="9" name="IIBB BSAS" dataDxfId="181" dataCellStyle="Normal 3"/>
    <tableColumn id="10" name="IIBB CABA" dataDxfId="180" dataCellStyle="Normal 3"/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id="69" name="compras_mes12" displayName="compras_mes12" ref="B8:R119" totalsRowCount="1" headerRowDxfId="179" totalsRowDxfId="178">
  <autoFilter ref="B8:R118"/>
  <sortState ref="B9:R118">
    <sortCondition ref="Q8:Q118"/>
  </sortState>
  <tableColumns count="17">
    <tableColumn id="1" name="FECHA" totalsRowLabel="Total" dataDxfId="177" totalsRowDxfId="176" dataCellStyle="Normal 3"/>
    <tableColumn id="2" name="TIPO" dataDxfId="175" totalsRowDxfId="174" dataCellStyle="Normal 3"/>
    <tableColumn id="3" name="PTO VTA" dataDxfId="173" totalsRowDxfId="172" dataCellStyle="Normal 3"/>
    <tableColumn id="4" name="NRO. CPTE" dataDxfId="171" totalsRowDxfId="170" dataCellStyle="Normal 3"/>
    <tableColumn id="5" name="CUIT" dataDxfId="169" totalsRowDxfId="168" dataCellStyle="Normal 3"/>
    <tableColumn id="6" name="RAZON SOCIAL" dataDxfId="167" totalsRowDxfId="166" dataCellStyle="Normal 3">
      <calculatedColumnFormula>IFERROR(IF(compras_mes12[[#This Row],[CUIT]]="","-",VLOOKUP(compras_mes12[[#This Row],[CUIT]],Lista_CUIT[#All],2,0)),"CUIT NO CARGADO")</calculatedColumnFormula>
    </tableColumn>
    <tableColumn id="7" name="NETO GRAVADO" totalsRowFunction="sum" dataDxfId="165" totalsRowDxfId="164" dataCellStyle="Normal 3"/>
    <tableColumn id="8" name="IVA 21 %" totalsRowFunction="sum" dataDxfId="163" totalsRowDxfId="162" dataCellStyle="Normal 3">
      <calculatedColumnFormula>IF(compras_mes12[[#This Row],[NETO GRAVADO]]="","",compras_mes12[[#This Row],[NETO GRAVADO]]*0.21)</calculatedColumnFormula>
    </tableColumn>
    <tableColumn id="9" name="IVA 27%" totalsRowFunction="sum" dataDxfId="161" totalsRowDxfId="160" dataCellStyle="Normal 3"/>
    <tableColumn id="10" name="IVA 10,5%" totalsRowFunction="sum" dataDxfId="159" totalsRowDxfId="158" dataCellStyle="Normal 3"/>
    <tableColumn id="11" name="PERC. IVA" totalsRowFunction="sum" dataDxfId="157" totalsRowDxfId="156" dataCellStyle="Normal 3"/>
    <tableColumn id="12" name="PERC IIBB _x000a_BS AS" totalsRowFunction="sum" dataDxfId="155" totalsRowDxfId="154" dataCellStyle="Normal 3"/>
    <tableColumn id="13" name="PERC. IIBB CABA" totalsRowFunction="sum" dataDxfId="153" totalsRowDxfId="152" dataCellStyle="Normal 3"/>
    <tableColumn id="14" name="Otros / No Grav." totalsRowFunction="sum" dataDxfId="151" totalsRowDxfId="150" dataCellStyle="Normal 3"/>
    <tableColumn id="15" name="TOTAL" totalsRowFunction="sum" dataDxfId="149" totalsRowDxfId="148" dataCellStyle="Normal 3">
      <calculatedColumnFormula>SUM(compras_mes12[[#This Row],[NETO GRAVADO]:[Otros / No Grav.]])</calculatedColumnFormula>
    </tableColumn>
    <tableColumn id="16" name="Tipo de Gasto" dataDxfId="147" totalsRowDxfId="146" dataCellStyle="Normal 3">
      <calculatedColumnFormula>IFERROR(IF(compras_mes12[[#This Row],[CUIT]]="","-",VLOOKUP(compras_mes12[[#This Row],[CUIT]],Lista_CUIT[#All],3,0)),"CUIT NO CARGADO")</calculatedColumnFormula>
    </tableColumn>
    <tableColumn id="17" name="Provincia" dataDxfId="145" totalsRowDxfId="144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id="70" name="factura_c_mes12" displayName="factura_c_mes12" ref="D134:K159" totalsRowCount="1" headerRowDxfId="143" dataDxfId="142" totalsRowDxfId="141" headerRowCellStyle="Normal 3">
  <autoFilter ref="D134:K158"/>
  <sortState ref="D135:K160">
    <sortCondition ref="J134:J160"/>
  </sortState>
  <tableColumns count="8">
    <tableColumn id="1" name="FECHA" totalsRowLabel="Total" dataDxfId="140" totalsRowDxfId="139" dataCellStyle="Normal 3"/>
    <tableColumn id="2" name="PTO VTA" dataDxfId="138" totalsRowDxfId="137" dataCellStyle="Normal 3"/>
    <tableColumn id="3" name="FC Nº" dataDxfId="136" totalsRowDxfId="135" dataCellStyle="Normal 3"/>
    <tableColumn id="4" name="CUIT" dataDxfId="134" totalsRowDxfId="133" dataCellStyle="Normal 3"/>
    <tableColumn id="5" name="RAZON SOCIAL" dataDxfId="132" totalsRowDxfId="131" dataCellStyle="Normal 3">
      <calculatedColumnFormula>IFERROR(IF(factura_c_mes12[[#This Row],[CUIT]]="","-",VLOOKUP(factura_c_mes12[[#This Row],[CUIT]],Lista_CUIT[#All],2,0)),"CUIT NO CARGADO")</calculatedColumnFormula>
    </tableColumn>
    <tableColumn id="6" name="TOTAL" totalsRowFunction="sum" dataDxfId="130" totalsRowDxfId="129" dataCellStyle="Normal 3"/>
    <tableColumn id="7" name="TIPO DE GASTO" dataDxfId="128" totalsRowDxfId="127" dataCellStyle="Normal 3">
      <calculatedColumnFormula>IFERROR(IF(factura_c_mes12[[#This Row],[CUIT]]="","-",VLOOKUP(factura_c_mes12[[#This Row],[CUIT]],Lista_CUIT[#All],3,0)),"CUIT NO CARGADO")</calculatedColumnFormula>
    </tableColumn>
    <tableColumn id="8" name="Provincia" dataDxfId="126" totalsRowDxfId="125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id="71" name="venta_a_mes12" displayName="venta_a_mes12" ref="B167:M177" totalsRowCount="1" headerRowDxfId="124" dataDxfId="122" headerRowBorderDxfId="123" tableBorderDxfId="121" totalsRowBorderDxfId="120" dataCellStyle="Normal 3">
  <autoFilter ref="B167:M176"/>
  <tableColumns count="12">
    <tableColumn id="1" name="FECHA" totalsRowLabel="Total" dataDxfId="119" totalsRowDxfId="118" dataCellStyle="Normal 3"/>
    <tableColumn id="2" name="TIPO" dataDxfId="117" totalsRowDxfId="116" dataCellStyle="Normal 3"/>
    <tableColumn id="3" name="PTO VENTA" dataDxfId="115" totalsRowDxfId="114" dataCellStyle="Normal 3"/>
    <tableColumn id="4" name="Nº FACTURA" dataDxfId="113" totalsRowDxfId="112" dataCellStyle="Normal 3"/>
    <tableColumn id="5" name="CUIT" dataDxfId="111" totalsRowDxfId="110" dataCellStyle="Normal 3"/>
    <tableColumn id="6" name="RAZON SOCIAL" dataDxfId="109" totalsRowDxfId="108" dataCellStyle="Normal 3">
      <calculatedColumnFormula>IFERROR(IF(venta_a_mes12[[#This Row],[CUIT]]="","-",VLOOKUP(venta_a_mes12[[#This Row],[CUIT]],Lista_CUIT[#All],2,0)),"CUIT NO CARGADO")</calculatedColumnFormula>
    </tableColumn>
    <tableColumn id="7" name="IMPORTE NETO" totalsRowFunction="sum" dataDxfId="107" totalsRowDxfId="106" dataCellStyle="Normal 3"/>
    <tableColumn id="8" name="IVA 21%" totalsRowFunction="sum" dataDxfId="105" totalsRowDxfId="104" dataCellStyle="Normal 3">
      <calculatedColumnFormula>venta_a_mes12[[#This Row],[IMPORTE NETO]]*0.21</calculatedColumnFormula>
    </tableColumn>
    <tableColumn id="9" name="IVA 10,5%" totalsRowFunction="sum" dataDxfId="103" totalsRowDxfId="102" dataCellStyle="Normal 3"/>
    <tableColumn id="10" name="EXENTO" totalsRowFunction="sum" dataDxfId="101" totalsRowDxfId="100" dataCellStyle="Normal 3"/>
    <tableColumn id="11" name="TOTAL" totalsRowFunction="sum" dataDxfId="99" totalsRowDxfId="98" dataCellStyle="Normal 3">
      <calculatedColumnFormula>SUM(venta_a_mes12[[#This Row],[IMPORTE NETO]:[EXENTO]])</calculatedColumnFormula>
    </tableColumn>
    <tableColumn id="12" name="Provincia" totalsRowFunction="count" dataDxfId="97" totalsRowDxfId="96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id="72" name="ventas_b_mes12" displayName="ventas_b_mes12" ref="B181:M188" totalsRowCount="1" headerRowDxfId="95" dataDxfId="93" headerRowBorderDxfId="94" tableBorderDxfId="92" totalsRowBorderDxfId="91" dataCellStyle="Normal 3">
  <autoFilter ref="B181:M187"/>
  <tableColumns count="12">
    <tableColumn id="1" name="FECHA" totalsRowLabel="Total" dataDxfId="90" totalsRowDxfId="89" dataCellStyle="Normal 3"/>
    <tableColumn id="2" name="TIPO" dataDxfId="88" totalsRowDxfId="87" dataCellStyle="Normal 3"/>
    <tableColumn id="3" name="PTO VENTA" dataDxfId="86" totalsRowDxfId="85" dataCellStyle="Normal 3"/>
    <tableColumn id="4" name="Nº FACTURA" dataDxfId="84" totalsRowDxfId="83" dataCellStyle="Normal 3"/>
    <tableColumn id="5" name="CUIT" dataDxfId="82" totalsRowDxfId="81" dataCellStyle="Normal 3"/>
    <tableColumn id="6" name="RAZON SOCIAL" dataDxfId="80" totalsRowDxfId="79" dataCellStyle="Normal 3">
      <calculatedColumnFormula>IFERROR(IF(ventas_b_mes12[[#This Row],[CUIT]]="","-",VLOOKUP(ventas_b_mes12[[#This Row],[CUIT]],Lista_CUIT[#All],2,0)),"CUIT NO CARGADO")</calculatedColumnFormula>
    </tableColumn>
    <tableColumn id="7" name="IMPORTE NETO" totalsRowFunction="sum" dataDxfId="78" totalsRowDxfId="77" dataCellStyle="Normal 3"/>
    <tableColumn id="8" name="IVA 21%" totalsRowFunction="sum" dataDxfId="76" totalsRowDxfId="75" dataCellStyle="Normal 3"/>
    <tableColumn id="9" name="IVA 10,5%" totalsRowFunction="sum" dataDxfId="74" totalsRowDxfId="73" dataCellStyle="Normal 3"/>
    <tableColumn id="10" name="EXENTO" totalsRowFunction="sum" dataDxfId="72" totalsRowDxfId="71" dataCellStyle="Normal 3"/>
    <tableColumn id="11" name="TOTAL" totalsRowFunction="sum" dataDxfId="70" totalsRowDxfId="69" dataCellStyle="Normal 3">
      <calculatedColumnFormula>SUM(ventas_b_mes12[[#This Row],[IMPORTE NETO]:[EXENTO]])</calculatedColumnFormula>
    </tableColumn>
    <tableColumn id="12" name="Provincia" totalsRowFunction="count" dataDxfId="68" totalsRowDxfId="67" dataCellStyle="Normal 3"/>
  </tableColumns>
  <tableStyleInfo name="Tabla Ventas" showFirstColumn="0" showLastColumn="0" showRowStripes="1" showColumnStripes="0"/>
</table>
</file>

<file path=xl/tables/table72.xml><?xml version="1.0" encoding="utf-8"?>
<table xmlns="http://schemas.openxmlformats.org/spreadsheetml/2006/main" id="73" name="extracto_banco_mes12" displayName="extracto_banco_mes12" ref="D125:L129" totalsRowCount="1" headerRowDxfId="66" dataDxfId="65" tableBorderDxfId="64" dataCellStyle="Normal 3">
  <autoFilter ref="D125:L128"/>
  <tableColumns count="9">
    <tableColumn id="1" name="FECHA" totalsRowLabel="Total" dataDxfId="63" totalsRowDxfId="62" dataCellStyle="Normal 3"/>
    <tableColumn id="2" name="NRO CPTE" dataDxfId="61" totalsRowDxfId="60"/>
    <tableColumn id="3" name="BANCO" dataDxfId="59" totalsRowDxfId="58"/>
    <tableColumn id="4" name="NETO" totalsRowFunction="sum" dataDxfId="57" totalsRowDxfId="56" dataCellStyle="Normal 3">
      <calculatedColumnFormula>24+155+49+16+150+500+300+4600</calculatedColumnFormula>
    </tableColumn>
    <tableColumn id="5" name="IVA 21%" totalsRowFunction="sum" dataDxfId="55" totalsRowDxfId="54" dataCellStyle="Normal 3">
      <calculatedColumnFormula>extracto_banco_mes12[[#This Row],[NETO]]*21/100</calculatedColumnFormula>
    </tableColumn>
    <tableColumn id="6" name="IVA 10,5%" totalsRowFunction="sum" dataDxfId="53" totalsRowDxfId="52" dataCellStyle="Normal 3"/>
    <tableColumn id="7" name="RET IIBB CABA" totalsRowFunction="sum" dataDxfId="51" totalsRowDxfId="50" dataCellStyle="Normal 3">
      <calculatedColumnFormula>553.76+556.2</calculatedColumnFormula>
    </tableColumn>
    <tableColumn id="8" name="PERC IVA" totalsRowFunction="sum" dataDxfId="49" totalsRowDxfId="48" dataCellStyle="Normal 3"/>
    <tableColumn id="9" name="PERC IIBB" totalsRowFunction="sum" dataDxfId="47" totalsRowDxfId="46" dataCellStyle="Normal 3"/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id="74" name="Retenciones_mes12" displayName="Retenciones_mes12" ref="C197:L202" totalsRowShown="0" headerRowDxfId="45" dataDxfId="44" headerRowCellStyle="Normal 3" dataCellStyle="Normal 3">
  <autoFilter ref="C197:L202"/>
  <tableColumns count="10">
    <tableColumn id="1" name="FECHA " dataDxfId="43" dataCellStyle="Normal 3"/>
    <tableColumn id="2" name="COMP Nº" dataDxfId="42" dataCellStyle="Normal 3"/>
    <tableColumn id="3" name="Columna1" dataDxfId="41" dataCellStyle="Normal 3"/>
    <tableColumn id="4" name="CUIT" dataDxfId="40" dataCellStyle="Normal 3"/>
    <tableColumn id="5" name="RAZON SOCIAL" dataDxfId="39" dataCellStyle="Normal 3">
      <calculatedColumnFormula>IFERROR(IF(Retenciones_mes12[[#This Row],[CUIT]]="","-",VLOOKUP(Retenciones_mes12[[#This Row],[CUIT]],Lista_CUIT[#All],2,0)),"CUIT NO CARGADO")</calculatedColumnFormula>
    </tableColumn>
    <tableColumn id="6" name="Ganancias" dataDxfId="38" dataCellStyle="Normal 3"/>
    <tableColumn id="7" name="IVA" dataDxfId="37" dataCellStyle="Normal 3"/>
    <tableColumn id="8" name="SUSS" dataDxfId="36" dataCellStyle="Normal 3"/>
    <tableColumn id="9" name="IIBB BSAS" dataDxfId="35" dataCellStyle="Normal 3"/>
    <tableColumn id="10" name="IIBB CABA" dataDxfId="34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2948"/>
  <sheetViews>
    <sheetView topLeftCell="A13" zoomScaleNormal="100" workbookViewId="0">
      <selection activeCell="A46" sqref="A46:XFD46"/>
    </sheetView>
  </sheetViews>
  <sheetFormatPr baseColWidth="10" defaultRowHeight="15"/>
  <cols>
    <col min="1" max="1" width="13.42578125" style="35" bestFit="1" customWidth="1"/>
    <col min="2" max="2" width="64.85546875" customWidth="1"/>
    <col min="3" max="3" width="36" style="35" customWidth="1"/>
    <col min="4" max="4" width="15" bestFit="1" customWidth="1"/>
    <col min="7" max="7" width="20.5703125" customWidth="1"/>
  </cols>
  <sheetData>
    <row r="1" spans="1:7">
      <c r="A1" s="35" t="s">
        <v>3</v>
      </c>
      <c r="B1" s="35" t="s">
        <v>4</v>
      </c>
      <c r="C1" s="35" t="s">
        <v>11</v>
      </c>
      <c r="D1" s="35" t="s">
        <v>32</v>
      </c>
    </row>
    <row r="2" spans="1:7">
      <c r="A2" s="36">
        <v>26398194</v>
      </c>
      <c r="B2" t="s">
        <v>2054</v>
      </c>
      <c r="G2" s="121" t="s">
        <v>84</v>
      </c>
    </row>
    <row r="3" spans="1:7">
      <c r="A3" s="36">
        <v>18131347</v>
      </c>
      <c r="B3" t="s">
        <v>1840</v>
      </c>
      <c r="G3" s="122" t="s">
        <v>80</v>
      </c>
    </row>
    <row r="4" spans="1:7">
      <c r="A4" s="36">
        <v>37602898</v>
      </c>
      <c r="B4" t="s">
        <v>1887</v>
      </c>
      <c r="G4" s="121" t="s">
        <v>113</v>
      </c>
    </row>
    <row r="5" spans="1:7">
      <c r="A5" s="36">
        <v>33716367539</v>
      </c>
      <c r="B5" t="s">
        <v>2226</v>
      </c>
      <c r="C5" s="35" t="s">
        <v>2359</v>
      </c>
      <c r="G5" s="122" t="s">
        <v>85</v>
      </c>
    </row>
    <row r="6" spans="1:7">
      <c r="A6" s="36">
        <v>33716367539</v>
      </c>
      <c r="B6" t="s">
        <v>2226</v>
      </c>
      <c r="G6" s="121" t="s">
        <v>79</v>
      </c>
    </row>
    <row r="7" spans="1:7">
      <c r="A7" s="36">
        <v>3754732</v>
      </c>
      <c r="B7" t="s">
        <v>121</v>
      </c>
      <c r="G7" s="122" t="s">
        <v>114</v>
      </c>
    </row>
    <row r="8" spans="1:7">
      <c r="A8" s="36">
        <v>20184052858</v>
      </c>
      <c r="B8" t="s">
        <v>2258</v>
      </c>
      <c r="C8" s="35" t="s">
        <v>2413</v>
      </c>
      <c r="G8" s="121" t="s">
        <v>97</v>
      </c>
    </row>
    <row r="9" spans="1:7">
      <c r="A9" s="36">
        <v>27229910782</v>
      </c>
      <c r="B9" t="s">
        <v>2135</v>
      </c>
      <c r="G9" s="122" t="s">
        <v>78</v>
      </c>
    </row>
    <row r="10" spans="1:7">
      <c r="A10" s="36">
        <v>20242709897</v>
      </c>
      <c r="B10" t="s">
        <v>2140</v>
      </c>
      <c r="G10" s="121" t="s">
        <v>115</v>
      </c>
    </row>
    <row r="11" spans="1:7">
      <c r="A11" s="36">
        <v>23376809</v>
      </c>
      <c r="B11" t="s">
        <v>1992</v>
      </c>
      <c r="G11" s="122" t="s">
        <v>90</v>
      </c>
    </row>
    <row r="12" spans="1:7">
      <c r="A12" s="36">
        <v>14682258</v>
      </c>
      <c r="B12" t="s">
        <v>1920</v>
      </c>
      <c r="G12" s="121" t="s">
        <v>111</v>
      </c>
    </row>
    <row r="13" spans="1:7">
      <c r="A13" s="279">
        <v>20224819049</v>
      </c>
      <c r="B13" t="s">
        <v>2216</v>
      </c>
      <c r="C13" s="35" t="s">
        <v>2413</v>
      </c>
      <c r="G13" s="122" t="s">
        <v>116</v>
      </c>
    </row>
    <row r="14" spans="1:7">
      <c r="A14" s="279">
        <v>20224819049</v>
      </c>
      <c r="B14" t="s">
        <v>2216</v>
      </c>
      <c r="G14" s="121" t="s">
        <v>117</v>
      </c>
    </row>
    <row r="15" spans="1:7">
      <c r="A15" s="36">
        <v>30710857322</v>
      </c>
      <c r="B15" t="s">
        <v>2149</v>
      </c>
      <c r="G15" s="122" t="s">
        <v>86</v>
      </c>
    </row>
    <row r="16" spans="1:7">
      <c r="A16" s="36">
        <v>30716763656</v>
      </c>
      <c r="B16" t="s">
        <v>2414</v>
      </c>
      <c r="C16" s="35" t="s">
        <v>79</v>
      </c>
      <c r="G16" s="121" t="s">
        <v>82</v>
      </c>
    </row>
    <row r="17" spans="1:7">
      <c r="A17" s="36">
        <v>30717172651</v>
      </c>
      <c r="B17" t="s">
        <v>2415</v>
      </c>
      <c r="C17" s="35" t="s">
        <v>2359</v>
      </c>
      <c r="G17" s="122" t="s">
        <v>118</v>
      </c>
    </row>
    <row r="18" spans="1:7">
      <c r="A18" s="36">
        <v>20270821</v>
      </c>
      <c r="B18" t="s">
        <v>782</v>
      </c>
      <c r="G18" s="121" t="s">
        <v>81</v>
      </c>
    </row>
    <row r="19" spans="1:7">
      <c r="A19" s="36"/>
      <c r="G19" s="122" t="s">
        <v>119</v>
      </c>
    </row>
    <row r="20" spans="1:7">
      <c r="A20" s="36"/>
      <c r="G20" s="121" t="s">
        <v>87</v>
      </c>
    </row>
    <row r="21" spans="1:7">
      <c r="A21" s="36">
        <v>30717471020</v>
      </c>
      <c r="B21" t="s">
        <v>1959</v>
      </c>
      <c r="G21" s="122" t="s">
        <v>93</v>
      </c>
    </row>
    <row r="22" spans="1:7">
      <c r="A22" s="36">
        <v>30709565075</v>
      </c>
      <c r="B22" t="s">
        <v>122</v>
      </c>
      <c r="C22" s="35" t="s">
        <v>2383</v>
      </c>
      <c r="G22" s="121" t="s">
        <v>120</v>
      </c>
    </row>
    <row r="23" spans="1:7">
      <c r="A23" s="36">
        <v>18149370</v>
      </c>
      <c r="B23" t="s">
        <v>784</v>
      </c>
      <c r="G23" s="121"/>
    </row>
    <row r="24" spans="1:7">
      <c r="A24" s="36">
        <v>20273107526</v>
      </c>
      <c r="B24" t="s">
        <v>785</v>
      </c>
      <c r="G24" s="121"/>
    </row>
    <row r="25" spans="1:7">
      <c r="A25" s="36">
        <v>30717074781</v>
      </c>
      <c r="B25" t="s">
        <v>2318</v>
      </c>
      <c r="C25" s="35" t="s">
        <v>79</v>
      </c>
      <c r="G25" s="121"/>
    </row>
    <row r="26" spans="1:7">
      <c r="A26" s="36">
        <v>4399520</v>
      </c>
      <c r="B26" t="s">
        <v>786</v>
      </c>
      <c r="G26" s="121"/>
    </row>
    <row r="27" spans="1:7">
      <c r="A27" s="36">
        <v>18139117</v>
      </c>
      <c r="B27" t="s">
        <v>787</v>
      </c>
      <c r="G27" s="121"/>
    </row>
    <row r="28" spans="1:7">
      <c r="A28" s="36">
        <v>8208160</v>
      </c>
      <c r="B28" t="s">
        <v>788</v>
      </c>
      <c r="G28" s="121"/>
    </row>
    <row r="29" spans="1:7">
      <c r="A29" s="36">
        <v>5647106</v>
      </c>
      <c r="B29" t="s">
        <v>2076</v>
      </c>
      <c r="G29" s="121"/>
    </row>
    <row r="30" spans="1:7">
      <c r="A30" s="36">
        <v>29803614</v>
      </c>
      <c r="B30" t="s">
        <v>789</v>
      </c>
      <c r="G30" s="121"/>
    </row>
    <row r="31" spans="1:7">
      <c r="A31" s="36">
        <v>33109633</v>
      </c>
      <c r="B31" t="s">
        <v>790</v>
      </c>
      <c r="G31" s="121"/>
    </row>
    <row r="32" spans="1:7">
      <c r="A32" s="36">
        <v>12647074</v>
      </c>
      <c r="B32" t="s">
        <v>2074</v>
      </c>
      <c r="G32" s="121"/>
    </row>
    <row r="33" spans="1:7">
      <c r="A33" s="36">
        <v>7419183</v>
      </c>
      <c r="B33" t="s">
        <v>791</v>
      </c>
      <c r="G33" s="121"/>
    </row>
    <row r="34" spans="1:7">
      <c r="A34" s="247">
        <v>30661175997</v>
      </c>
      <c r="B34" s="632" t="s">
        <v>2464</v>
      </c>
      <c r="C34" s="633" t="s">
        <v>79</v>
      </c>
      <c r="G34" s="121"/>
    </row>
    <row r="35" spans="1:7">
      <c r="A35" s="247">
        <v>30697262063</v>
      </c>
      <c r="B35" s="632" t="s">
        <v>2465</v>
      </c>
      <c r="C35" s="633" t="s">
        <v>79</v>
      </c>
      <c r="G35" s="121"/>
    </row>
    <row r="36" spans="1:7">
      <c r="A36" s="247">
        <v>33716589019</v>
      </c>
      <c r="B36" s="687" t="s">
        <v>2466</v>
      </c>
      <c r="C36" s="633" t="s">
        <v>79</v>
      </c>
      <c r="G36" s="121"/>
    </row>
    <row r="37" spans="1:7">
      <c r="A37" s="247">
        <v>30544570125</v>
      </c>
      <c r="B37" s="687" t="s">
        <v>2467</v>
      </c>
      <c r="C37" s="35" t="s">
        <v>2359</v>
      </c>
      <c r="G37" s="121"/>
    </row>
    <row r="38" spans="1:7">
      <c r="A38" s="247">
        <v>20119169306</v>
      </c>
      <c r="B38" s="632" t="s">
        <v>2468</v>
      </c>
      <c r="C38" s="35" t="s">
        <v>2359</v>
      </c>
      <c r="G38" s="121"/>
    </row>
    <row r="39" spans="1:7">
      <c r="A39" s="261">
        <v>30504872625</v>
      </c>
      <c r="B39" s="632" t="s">
        <v>2469</v>
      </c>
      <c r="C39" s="633" t="s">
        <v>2413</v>
      </c>
      <c r="G39" s="121"/>
    </row>
    <row r="40" spans="1:7">
      <c r="A40" s="261">
        <v>33711033179</v>
      </c>
      <c r="B40" s="632" t="s">
        <v>2470</v>
      </c>
      <c r="C40" s="633" t="s">
        <v>46</v>
      </c>
      <c r="G40" s="121"/>
    </row>
    <row r="41" spans="1:7">
      <c r="A41" s="247">
        <v>30711707944</v>
      </c>
      <c r="B41" s="632" t="s">
        <v>2471</v>
      </c>
      <c r="C41" s="633" t="s">
        <v>79</v>
      </c>
      <c r="G41" s="121"/>
    </row>
    <row r="42" spans="1:7">
      <c r="A42" s="640">
        <v>27942499154</v>
      </c>
      <c r="B42" s="632" t="s">
        <v>2472</v>
      </c>
      <c r="C42" s="633" t="s">
        <v>79</v>
      </c>
      <c r="G42" s="121"/>
    </row>
    <row r="43" spans="1:7">
      <c r="A43" s="254">
        <v>20043924312</v>
      </c>
      <c r="B43" s="632" t="s">
        <v>2473</v>
      </c>
      <c r="C43" s="633"/>
      <c r="G43" s="121"/>
    </row>
    <row r="44" spans="1:7">
      <c r="A44" s="254">
        <v>27207433867</v>
      </c>
      <c r="B44" s="632" t="s">
        <v>2474</v>
      </c>
      <c r="C44" s="633" t="s">
        <v>48</v>
      </c>
      <c r="G44" s="121"/>
    </row>
    <row r="45" spans="1:7">
      <c r="A45" s="254">
        <v>20267420581</v>
      </c>
      <c r="B45" t="s">
        <v>2475</v>
      </c>
      <c r="C45" s="35" t="s">
        <v>79</v>
      </c>
      <c r="G45" s="121"/>
    </row>
    <row r="46" spans="1:7">
      <c r="A46" s="254"/>
      <c r="G46" s="121"/>
    </row>
    <row r="47" spans="1:7">
      <c r="A47" s="36">
        <v>33709914109</v>
      </c>
      <c r="B47" t="s">
        <v>792</v>
      </c>
      <c r="C47" s="35" t="s">
        <v>2359</v>
      </c>
      <c r="G47" s="121"/>
    </row>
    <row r="48" spans="1:7">
      <c r="A48" s="36">
        <v>33709914109</v>
      </c>
      <c r="B48" t="s">
        <v>792</v>
      </c>
      <c r="C48" s="35" t="s">
        <v>2359</v>
      </c>
      <c r="G48" s="121"/>
    </row>
    <row r="49" spans="1:7">
      <c r="A49" s="36">
        <v>30710799241</v>
      </c>
      <c r="B49" t="s">
        <v>123</v>
      </c>
      <c r="G49" s="121"/>
    </row>
    <row r="50" spans="1:7">
      <c r="A50" s="36">
        <v>20469052</v>
      </c>
      <c r="B50" t="s">
        <v>793</v>
      </c>
      <c r="G50" s="121"/>
    </row>
    <row r="51" spans="1:7">
      <c r="A51" s="36">
        <v>20267161616</v>
      </c>
      <c r="B51" t="s">
        <v>794</v>
      </c>
      <c r="C51" s="35" t="s">
        <v>79</v>
      </c>
      <c r="G51" s="121"/>
    </row>
    <row r="52" spans="1:7">
      <c r="A52" s="36">
        <v>20267161616</v>
      </c>
      <c r="B52" t="s">
        <v>794</v>
      </c>
      <c r="C52" s="35" t="s">
        <v>79</v>
      </c>
      <c r="G52" s="121"/>
    </row>
    <row r="53" spans="1:7">
      <c r="A53" s="36">
        <v>30628205090</v>
      </c>
      <c r="B53" t="s">
        <v>795</v>
      </c>
      <c r="C53" s="35" t="s">
        <v>796</v>
      </c>
      <c r="G53" s="121"/>
    </row>
    <row r="54" spans="1:7">
      <c r="A54" s="36">
        <v>30628205090</v>
      </c>
      <c r="B54" t="s">
        <v>795</v>
      </c>
      <c r="C54" s="35" t="s">
        <v>796</v>
      </c>
      <c r="G54" s="121"/>
    </row>
    <row r="55" spans="1:7">
      <c r="A55" s="36">
        <v>30628205090</v>
      </c>
      <c r="B55" t="s">
        <v>795</v>
      </c>
      <c r="C55" s="35" t="s">
        <v>796</v>
      </c>
      <c r="G55" s="121"/>
    </row>
    <row r="56" spans="1:7">
      <c r="A56" s="36">
        <v>30628205090</v>
      </c>
      <c r="B56" t="s">
        <v>795</v>
      </c>
      <c r="C56" s="35" t="s">
        <v>796</v>
      </c>
      <c r="G56" s="121"/>
    </row>
    <row r="57" spans="1:7">
      <c r="A57" s="36">
        <v>7375725</v>
      </c>
      <c r="B57" t="s">
        <v>797</v>
      </c>
      <c r="G57" s="121"/>
    </row>
    <row r="58" spans="1:7">
      <c r="A58" s="36">
        <v>17108812</v>
      </c>
      <c r="B58" t="s">
        <v>1847</v>
      </c>
      <c r="G58" s="121"/>
    </row>
    <row r="59" spans="1:7">
      <c r="A59" s="36">
        <v>27059354618</v>
      </c>
      <c r="B59" t="s">
        <v>2265</v>
      </c>
      <c r="C59" s="35" t="s">
        <v>804</v>
      </c>
      <c r="G59" s="121"/>
    </row>
    <row r="60" spans="1:7">
      <c r="A60" s="36">
        <v>20238470502</v>
      </c>
      <c r="B60" t="s">
        <v>2240</v>
      </c>
      <c r="C60" s="35" t="s">
        <v>804</v>
      </c>
      <c r="G60" s="121"/>
    </row>
    <row r="61" spans="1:7">
      <c r="A61" s="36">
        <v>20238470502</v>
      </c>
      <c r="B61" t="s">
        <v>2240</v>
      </c>
      <c r="C61" s="35" t="s">
        <v>804</v>
      </c>
      <c r="G61" s="121"/>
    </row>
    <row r="62" spans="1:7">
      <c r="A62" s="36">
        <v>4049033</v>
      </c>
      <c r="B62" t="s">
        <v>798</v>
      </c>
      <c r="G62" s="121"/>
    </row>
    <row r="63" spans="1:7">
      <c r="A63" s="36">
        <v>10121438</v>
      </c>
      <c r="B63" t="s">
        <v>799</v>
      </c>
      <c r="G63" s="121"/>
    </row>
    <row r="64" spans="1:7">
      <c r="A64" s="36">
        <v>5804480</v>
      </c>
      <c r="B64" t="s">
        <v>800</v>
      </c>
      <c r="G64" s="121"/>
    </row>
    <row r="65" spans="1:7">
      <c r="A65" s="36">
        <v>35376990</v>
      </c>
      <c r="B65" t="s">
        <v>801</v>
      </c>
      <c r="G65" s="121"/>
    </row>
    <row r="66" spans="1:7">
      <c r="A66" s="36">
        <v>20236101127</v>
      </c>
      <c r="B66" t="s">
        <v>124</v>
      </c>
      <c r="G66" s="121"/>
    </row>
    <row r="67" spans="1:7">
      <c r="A67" s="36">
        <v>20291929126</v>
      </c>
      <c r="B67" t="s">
        <v>125</v>
      </c>
      <c r="G67" s="121"/>
    </row>
    <row r="68" spans="1:7">
      <c r="A68" s="36">
        <v>26472781</v>
      </c>
      <c r="B68" t="s">
        <v>802</v>
      </c>
      <c r="G68" s="121"/>
    </row>
    <row r="69" spans="1:7">
      <c r="A69" s="36">
        <v>30645337979</v>
      </c>
      <c r="B69" t="s">
        <v>803</v>
      </c>
      <c r="G69" s="121"/>
    </row>
    <row r="70" spans="1:7">
      <c r="A70" s="36">
        <v>30709604887</v>
      </c>
      <c r="B70" t="s">
        <v>126</v>
      </c>
      <c r="C70" s="35" t="s">
        <v>804</v>
      </c>
      <c r="G70" s="121"/>
    </row>
    <row r="71" spans="1:7">
      <c r="A71" s="36">
        <v>30709604887</v>
      </c>
      <c r="B71" t="s">
        <v>126</v>
      </c>
      <c r="C71" s="35" t="s">
        <v>804</v>
      </c>
      <c r="G71" s="121"/>
    </row>
    <row r="72" spans="1:7">
      <c r="A72" s="36">
        <v>4171382</v>
      </c>
      <c r="B72" t="s">
        <v>805</v>
      </c>
      <c r="G72" s="121"/>
    </row>
    <row r="73" spans="1:7">
      <c r="A73" s="36">
        <v>30711573999</v>
      </c>
      <c r="B73" t="s">
        <v>806</v>
      </c>
      <c r="G73" s="121"/>
    </row>
    <row r="74" spans="1:7">
      <c r="A74" s="36">
        <v>20083925680</v>
      </c>
      <c r="B74" t="s">
        <v>127</v>
      </c>
      <c r="C74" s="35" t="s">
        <v>79</v>
      </c>
      <c r="G74" s="121"/>
    </row>
    <row r="75" spans="1:7">
      <c r="A75" s="36">
        <v>20083925680</v>
      </c>
      <c r="B75" t="s">
        <v>127</v>
      </c>
      <c r="C75" s="35" t="s">
        <v>79</v>
      </c>
      <c r="G75" s="121"/>
    </row>
    <row r="76" spans="1:7">
      <c r="A76" s="36">
        <v>30656038752</v>
      </c>
      <c r="B76" t="s">
        <v>128</v>
      </c>
      <c r="C76" s="35" t="s">
        <v>2359</v>
      </c>
      <c r="G76" s="121"/>
    </row>
    <row r="77" spans="1:7">
      <c r="A77" s="36">
        <v>30656038752</v>
      </c>
      <c r="B77" t="s">
        <v>128</v>
      </c>
      <c r="C77" s="35" t="s">
        <v>2359</v>
      </c>
      <c r="G77" s="121"/>
    </row>
    <row r="78" spans="1:7">
      <c r="A78" s="36">
        <v>30707014756</v>
      </c>
      <c r="B78" t="s">
        <v>1896</v>
      </c>
      <c r="C78" s="35" t="s">
        <v>79</v>
      </c>
      <c r="G78" s="121"/>
    </row>
    <row r="79" spans="1:7">
      <c r="A79" s="36">
        <v>30712049886</v>
      </c>
      <c r="B79" t="s">
        <v>2298</v>
      </c>
      <c r="C79" s="35" t="s">
        <v>79</v>
      </c>
      <c r="G79" s="121"/>
    </row>
    <row r="80" spans="1:7">
      <c r="A80" s="36">
        <v>30504563894</v>
      </c>
      <c r="B80" t="s">
        <v>129</v>
      </c>
      <c r="C80" s="35" t="s">
        <v>2359</v>
      </c>
      <c r="G80" s="121"/>
    </row>
    <row r="81" spans="1:7">
      <c r="A81" s="36">
        <v>30504563894</v>
      </c>
      <c r="B81" t="s">
        <v>129</v>
      </c>
      <c r="C81" s="35" t="s">
        <v>2359</v>
      </c>
      <c r="G81" s="121"/>
    </row>
    <row r="82" spans="1:7">
      <c r="A82" s="36">
        <v>3751602</v>
      </c>
      <c r="B82" t="s">
        <v>807</v>
      </c>
      <c r="G82" s="121"/>
    </row>
    <row r="83" spans="1:7">
      <c r="A83" s="36">
        <v>30602699826</v>
      </c>
      <c r="B83" t="s">
        <v>83</v>
      </c>
      <c r="G83" s="121"/>
    </row>
    <row r="84" spans="1:7">
      <c r="A84" s="36">
        <v>30715190385</v>
      </c>
      <c r="B84" t="s">
        <v>130</v>
      </c>
      <c r="G84" s="121"/>
    </row>
    <row r="85" spans="1:7">
      <c r="A85" s="36">
        <v>28735023</v>
      </c>
      <c r="B85" t="s">
        <v>808</v>
      </c>
      <c r="G85" s="121"/>
    </row>
    <row r="86" spans="1:7">
      <c r="A86" s="36">
        <v>30716375176</v>
      </c>
      <c r="B86" t="s">
        <v>809</v>
      </c>
      <c r="C86" s="35" t="s">
        <v>2359</v>
      </c>
      <c r="G86" s="121"/>
    </row>
    <row r="87" spans="1:7">
      <c r="A87" s="36">
        <v>30716375176</v>
      </c>
      <c r="B87" t="s">
        <v>809</v>
      </c>
      <c r="C87" s="35" t="s">
        <v>2359</v>
      </c>
      <c r="G87" s="121"/>
    </row>
    <row r="88" spans="1:7">
      <c r="A88" s="36">
        <v>22480839</v>
      </c>
      <c r="B88" t="s">
        <v>810</v>
      </c>
      <c r="G88" s="121"/>
    </row>
    <row r="89" spans="1:7">
      <c r="A89" s="36">
        <v>12961417</v>
      </c>
      <c r="B89" t="s">
        <v>811</v>
      </c>
      <c r="G89" s="121"/>
    </row>
    <row r="90" spans="1:7">
      <c r="A90" s="36">
        <v>7768190</v>
      </c>
      <c r="B90" t="s">
        <v>812</v>
      </c>
      <c r="G90" s="121"/>
    </row>
    <row r="91" spans="1:7">
      <c r="A91" s="44">
        <v>27944827345</v>
      </c>
      <c r="B91" t="s">
        <v>2197</v>
      </c>
      <c r="C91" s="35" t="s">
        <v>2413</v>
      </c>
      <c r="G91" s="121"/>
    </row>
    <row r="92" spans="1:7">
      <c r="A92" s="171">
        <v>27944827345</v>
      </c>
      <c r="B92" t="s">
        <v>2197</v>
      </c>
      <c r="G92" s="121"/>
    </row>
    <row r="93" spans="1:7">
      <c r="A93" s="36">
        <v>30710406037</v>
      </c>
      <c r="B93" t="s">
        <v>813</v>
      </c>
      <c r="C93" s="35" t="s">
        <v>2359</v>
      </c>
      <c r="G93" s="121"/>
    </row>
    <row r="94" spans="1:7">
      <c r="A94" s="36">
        <v>30571666037</v>
      </c>
      <c r="B94" t="s">
        <v>813</v>
      </c>
      <c r="G94" s="121"/>
    </row>
    <row r="95" spans="1:7">
      <c r="A95" s="36">
        <v>30715678310</v>
      </c>
      <c r="B95" t="s">
        <v>814</v>
      </c>
      <c r="C95" s="35" t="s">
        <v>1539</v>
      </c>
      <c r="G95" s="121"/>
    </row>
    <row r="96" spans="1:7">
      <c r="A96" s="36">
        <v>30715678310</v>
      </c>
      <c r="B96" t="s">
        <v>814</v>
      </c>
      <c r="C96" s="35" t="s">
        <v>1539</v>
      </c>
      <c r="G96" s="121"/>
    </row>
    <row r="97" spans="1:7">
      <c r="A97" s="36">
        <v>30715568760</v>
      </c>
      <c r="B97" t="s">
        <v>2397</v>
      </c>
      <c r="C97" s="35" t="s">
        <v>804</v>
      </c>
      <c r="G97" s="121"/>
    </row>
    <row r="98" spans="1:7">
      <c r="A98" s="36">
        <v>23945042079</v>
      </c>
      <c r="B98" t="s">
        <v>131</v>
      </c>
      <c r="C98" s="35" t="s">
        <v>79</v>
      </c>
      <c r="G98" s="121"/>
    </row>
    <row r="99" spans="1:7">
      <c r="A99" s="36">
        <v>23945042079</v>
      </c>
      <c r="B99" t="s">
        <v>131</v>
      </c>
      <c r="C99" s="35" t="s">
        <v>79</v>
      </c>
      <c r="G99" s="121"/>
    </row>
    <row r="100" spans="1:7">
      <c r="A100" s="36">
        <v>27265533006</v>
      </c>
      <c r="B100" t="s">
        <v>2027</v>
      </c>
      <c r="C100" s="35" t="s">
        <v>79</v>
      </c>
      <c r="G100" s="121"/>
    </row>
    <row r="101" spans="1:7">
      <c r="A101" s="36">
        <v>32576384</v>
      </c>
      <c r="B101" t="s">
        <v>815</v>
      </c>
      <c r="G101" s="121"/>
    </row>
    <row r="102" spans="1:7">
      <c r="A102" s="36">
        <v>32576384</v>
      </c>
      <c r="B102" t="s">
        <v>815</v>
      </c>
      <c r="G102" s="121"/>
    </row>
    <row r="103" spans="1:7">
      <c r="A103" s="36">
        <v>23936845509</v>
      </c>
      <c r="B103" t="s">
        <v>2202</v>
      </c>
      <c r="C103" s="35" t="s">
        <v>781</v>
      </c>
      <c r="G103" s="121"/>
    </row>
    <row r="104" spans="1:7">
      <c r="A104" s="36">
        <v>23936845509</v>
      </c>
      <c r="B104" t="s">
        <v>2202</v>
      </c>
      <c r="C104" s="35" t="s">
        <v>1015</v>
      </c>
      <c r="G104" s="121"/>
    </row>
    <row r="105" spans="1:7">
      <c r="A105" s="36">
        <v>29871464</v>
      </c>
      <c r="B105" t="s">
        <v>816</v>
      </c>
      <c r="G105" s="121"/>
    </row>
    <row r="106" spans="1:7">
      <c r="A106" s="36">
        <v>37433123</v>
      </c>
      <c r="B106" t="s">
        <v>817</v>
      </c>
      <c r="G106" s="121"/>
    </row>
    <row r="107" spans="1:7">
      <c r="A107" s="36">
        <v>92382512</v>
      </c>
      <c r="B107" t="s">
        <v>818</v>
      </c>
      <c r="G107" s="121"/>
    </row>
    <row r="108" spans="1:7">
      <c r="A108" s="36">
        <v>20040616498</v>
      </c>
      <c r="B108" t="s">
        <v>132</v>
      </c>
      <c r="G108" s="121"/>
    </row>
    <row r="109" spans="1:7">
      <c r="A109" s="36">
        <v>95896286</v>
      </c>
      <c r="B109" t="s">
        <v>819</v>
      </c>
      <c r="G109" s="121"/>
    </row>
    <row r="110" spans="1:7">
      <c r="A110" s="36">
        <v>30710587147</v>
      </c>
      <c r="B110" t="s">
        <v>133</v>
      </c>
      <c r="C110" s="35" t="s">
        <v>783</v>
      </c>
      <c r="G110" s="121"/>
    </row>
    <row r="111" spans="1:7">
      <c r="A111" s="36">
        <v>30710587147</v>
      </c>
      <c r="B111" t="s">
        <v>133</v>
      </c>
      <c r="C111" s="35" t="s">
        <v>783</v>
      </c>
      <c r="G111" s="121"/>
    </row>
    <row r="112" spans="1:7">
      <c r="A112" s="36">
        <v>2383098</v>
      </c>
      <c r="B112" t="s">
        <v>820</v>
      </c>
      <c r="G112" s="121"/>
    </row>
    <row r="113" spans="1:7">
      <c r="A113" s="36">
        <v>27066271728</v>
      </c>
      <c r="B113" t="s">
        <v>821</v>
      </c>
      <c r="G113" s="121"/>
    </row>
    <row r="114" spans="1:7">
      <c r="A114" s="36">
        <v>27101205733</v>
      </c>
      <c r="B114" t="s">
        <v>822</v>
      </c>
      <c r="C114" s="35" t="s">
        <v>2359</v>
      </c>
      <c r="G114" s="121"/>
    </row>
    <row r="115" spans="1:7">
      <c r="A115" s="36">
        <v>27101205733</v>
      </c>
      <c r="B115" t="s">
        <v>822</v>
      </c>
      <c r="C115" s="35" t="s">
        <v>2359</v>
      </c>
      <c r="G115" s="121"/>
    </row>
    <row r="116" spans="1:7">
      <c r="A116" s="36">
        <v>27101205733</v>
      </c>
      <c r="B116" t="s">
        <v>822</v>
      </c>
      <c r="C116" s="35" t="s">
        <v>2359</v>
      </c>
      <c r="G116" s="121"/>
    </row>
    <row r="117" spans="1:7">
      <c r="A117" s="36">
        <v>27101205733</v>
      </c>
      <c r="B117" t="s">
        <v>822</v>
      </c>
      <c r="C117" s="35" t="s">
        <v>2359</v>
      </c>
      <c r="G117" s="121"/>
    </row>
    <row r="118" spans="1:7">
      <c r="A118" s="36">
        <v>30574816870</v>
      </c>
      <c r="B118" t="s">
        <v>823</v>
      </c>
      <c r="C118" s="35" t="s">
        <v>824</v>
      </c>
      <c r="G118" s="121"/>
    </row>
    <row r="119" spans="1:7">
      <c r="A119" s="36">
        <v>30574816870</v>
      </c>
      <c r="B119" t="s">
        <v>823</v>
      </c>
      <c r="C119" s="35" t="s">
        <v>79</v>
      </c>
      <c r="G119" s="121"/>
    </row>
    <row r="120" spans="1:7">
      <c r="A120" s="36">
        <v>8076660</v>
      </c>
      <c r="B120" t="s">
        <v>825</v>
      </c>
      <c r="G120" s="121"/>
    </row>
    <row r="121" spans="1:7">
      <c r="A121" s="36">
        <v>6421312</v>
      </c>
      <c r="B121" t="s">
        <v>826</v>
      </c>
      <c r="G121" s="121"/>
    </row>
    <row r="122" spans="1:7">
      <c r="A122" s="36">
        <v>30715186655</v>
      </c>
      <c r="B122" t="s">
        <v>827</v>
      </c>
      <c r="G122" s="121"/>
    </row>
    <row r="123" spans="1:7">
      <c r="A123" s="36">
        <v>30663288497</v>
      </c>
      <c r="B123" t="s">
        <v>134</v>
      </c>
      <c r="C123" s="35" t="s">
        <v>2383</v>
      </c>
      <c r="G123" s="121"/>
    </row>
    <row r="124" spans="1:7">
      <c r="A124" s="36">
        <v>30663288497</v>
      </c>
      <c r="B124" t="s">
        <v>134</v>
      </c>
      <c r="C124" s="35" t="s">
        <v>2383</v>
      </c>
      <c r="G124" s="121"/>
    </row>
    <row r="125" spans="1:7">
      <c r="A125" s="36">
        <v>27108310559</v>
      </c>
      <c r="B125" t="s">
        <v>135</v>
      </c>
      <c r="G125" s="121"/>
    </row>
    <row r="126" spans="1:7">
      <c r="A126" s="36">
        <v>93298160</v>
      </c>
      <c r="B126" t="s">
        <v>828</v>
      </c>
      <c r="G126" s="121"/>
    </row>
    <row r="127" spans="1:7">
      <c r="A127" s="36">
        <v>93298160</v>
      </c>
      <c r="B127" t="s">
        <v>828</v>
      </c>
      <c r="G127" s="121"/>
    </row>
    <row r="128" spans="1:7">
      <c r="A128" s="36">
        <v>30502375535</v>
      </c>
      <c r="B128" t="s">
        <v>136</v>
      </c>
      <c r="G128" s="121"/>
    </row>
    <row r="129" spans="1:7">
      <c r="A129" s="36">
        <v>30709251739</v>
      </c>
      <c r="B129" t="s">
        <v>137</v>
      </c>
      <c r="G129" s="121"/>
    </row>
    <row r="130" spans="1:7">
      <c r="A130" s="36">
        <v>5614493</v>
      </c>
      <c r="B130" t="s">
        <v>829</v>
      </c>
      <c r="G130" s="121"/>
    </row>
    <row r="131" spans="1:7">
      <c r="A131" s="36">
        <v>27329449357</v>
      </c>
      <c r="B131" t="s">
        <v>2332</v>
      </c>
      <c r="C131" s="35" t="s">
        <v>79</v>
      </c>
      <c r="G131" s="121"/>
    </row>
    <row r="132" spans="1:7">
      <c r="A132" s="36">
        <v>30710986416</v>
      </c>
      <c r="B132" t="s">
        <v>830</v>
      </c>
      <c r="C132" s="35" t="s">
        <v>2411</v>
      </c>
      <c r="G132" s="121"/>
    </row>
    <row r="133" spans="1:7">
      <c r="A133" s="36">
        <v>30710986416</v>
      </c>
      <c r="B133" t="s">
        <v>830</v>
      </c>
      <c r="C133" s="35" t="s">
        <v>2411</v>
      </c>
      <c r="G133" s="121"/>
    </row>
    <row r="134" spans="1:7">
      <c r="A134" s="36">
        <v>30710986416</v>
      </c>
      <c r="B134" t="s">
        <v>830</v>
      </c>
      <c r="C134" s="35" t="s">
        <v>2411</v>
      </c>
      <c r="G134" s="121"/>
    </row>
    <row r="135" spans="1:7">
      <c r="A135" s="36">
        <v>30710986416</v>
      </c>
      <c r="B135" t="s">
        <v>830</v>
      </c>
      <c r="C135" s="35" t="s">
        <v>2411</v>
      </c>
      <c r="G135" s="121"/>
    </row>
    <row r="136" spans="1:7">
      <c r="A136" s="36">
        <v>28692323</v>
      </c>
      <c r="B136" t="s">
        <v>2072</v>
      </c>
      <c r="G136" s="121"/>
    </row>
    <row r="137" spans="1:7">
      <c r="A137" s="36">
        <v>33878883</v>
      </c>
      <c r="B137" t="s">
        <v>831</v>
      </c>
      <c r="G137" s="121"/>
    </row>
    <row r="138" spans="1:7">
      <c r="A138" s="36">
        <v>13223046</v>
      </c>
      <c r="B138" t="s">
        <v>832</v>
      </c>
      <c r="G138" s="121"/>
    </row>
    <row r="139" spans="1:7">
      <c r="A139" s="36">
        <v>92207472</v>
      </c>
      <c r="B139" t="s">
        <v>833</v>
      </c>
      <c r="G139" s="121"/>
    </row>
    <row r="140" spans="1:7">
      <c r="A140" s="36">
        <v>30709948667</v>
      </c>
      <c r="B140" t="s">
        <v>138</v>
      </c>
      <c r="C140" s="35" t="s">
        <v>2359</v>
      </c>
      <c r="G140" s="121"/>
    </row>
    <row r="141" spans="1:7">
      <c r="A141" s="36">
        <v>30709948667</v>
      </c>
      <c r="B141" t="s">
        <v>138</v>
      </c>
      <c r="C141" s="35" t="s">
        <v>2359</v>
      </c>
      <c r="G141" s="121"/>
    </row>
    <row r="142" spans="1:7">
      <c r="A142" s="36">
        <v>30683702060</v>
      </c>
      <c r="B142" t="s">
        <v>139</v>
      </c>
      <c r="C142" s="35" t="s">
        <v>2359</v>
      </c>
      <c r="G142" s="121"/>
    </row>
    <row r="143" spans="1:7">
      <c r="A143" s="36">
        <v>30683702060</v>
      </c>
      <c r="B143" t="s">
        <v>139</v>
      </c>
      <c r="C143" s="35" t="s">
        <v>2359</v>
      </c>
      <c r="G143" s="121"/>
    </row>
    <row r="144" spans="1:7">
      <c r="A144" s="36">
        <v>27238817973</v>
      </c>
      <c r="B144" t="s">
        <v>2321</v>
      </c>
      <c r="C144" s="35" t="s">
        <v>79</v>
      </c>
      <c r="G144" s="121"/>
    </row>
    <row r="145" spans="1:7">
      <c r="A145" s="36">
        <v>1304464</v>
      </c>
      <c r="B145" t="s">
        <v>2130</v>
      </c>
      <c r="G145" s="121"/>
    </row>
    <row r="146" spans="1:7">
      <c r="A146" s="36">
        <v>30715985124</v>
      </c>
      <c r="B146" t="s">
        <v>140</v>
      </c>
      <c r="G146" s="121"/>
    </row>
    <row r="147" spans="1:7">
      <c r="A147" s="36">
        <v>10223317</v>
      </c>
      <c r="B147" t="s">
        <v>1885</v>
      </c>
      <c r="G147" s="121"/>
    </row>
    <row r="148" spans="1:7">
      <c r="A148" s="36">
        <v>20216740298</v>
      </c>
      <c r="B148" t="s">
        <v>2267</v>
      </c>
      <c r="G148" s="121"/>
    </row>
    <row r="149" spans="1:7">
      <c r="A149" s="36">
        <v>27252316057</v>
      </c>
      <c r="B149" t="s">
        <v>2024</v>
      </c>
      <c r="G149" s="121"/>
    </row>
    <row r="150" spans="1:7">
      <c r="A150" s="36">
        <v>30714930490</v>
      </c>
      <c r="B150" t="s">
        <v>1951</v>
      </c>
      <c r="C150" s="35" t="s">
        <v>79</v>
      </c>
      <c r="G150" s="121"/>
    </row>
    <row r="151" spans="1:7">
      <c r="A151" s="36">
        <v>30691054833</v>
      </c>
      <c r="B151" t="s">
        <v>834</v>
      </c>
      <c r="G151" s="121"/>
    </row>
    <row r="152" spans="1:7">
      <c r="A152" s="36">
        <v>30712000372</v>
      </c>
      <c r="B152" t="s">
        <v>141</v>
      </c>
      <c r="C152" s="35" t="s">
        <v>2359</v>
      </c>
      <c r="G152" s="121"/>
    </row>
    <row r="153" spans="1:7">
      <c r="A153" s="36">
        <v>30712000372</v>
      </c>
      <c r="B153" t="s">
        <v>141</v>
      </c>
      <c r="C153" s="35" t="s">
        <v>2359</v>
      </c>
      <c r="G153" s="121"/>
    </row>
    <row r="154" spans="1:7">
      <c r="A154" s="36">
        <v>30711492409</v>
      </c>
      <c r="B154" t="s">
        <v>835</v>
      </c>
      <c r="C154" s="35" t="s">
        <v>2359</v>
      </c>
      <c r="G154" s="121"/>
    </row>
    <row r="155" spans="1:7">
      <c r="A155" s="36">
        <v>30711492409</v>
      </c>
      <c r="B155" t="s">
        <v>835</v>
      </c>
      <c r="C155" s="35" t="s">
        <v>2359</v>
      </c>
      <c r="G155" s="121"/>
    </row>
    <row r="156" spans="1:7">
      <c r="A156" s="36">
        <v>27179026967</v>
      </c>
      <c r="B156" t="s">
        <v>2402</v>
      </c>
      <c r="C156" s="35" t="s">
        <v>2367</v>
      </c>
      <c r="G156" s="121"/>
    </row>
    <row r="157" spans="1:7">
      <c r="A157" s="36">
        <v>30714741167</v>
      </c>
      <c r="B157" t="s">
        <v>142</v>
      </c>
      <c r="G157" s="121"/>
    </row>
    <row r="158" spans="1:7">
      <c r="A158" s="36">
        <v>23278122999</v>
      </c>
      <c r="B158" t="s">
        <v>2235</v>
      </c>
      <c r="C158" s="35" t="s">
        <v>2370</v>
      </c>
      <c r="G158" s="121"/>
    </row>
    <row r="159" spans="1:7">
      <c r="A159" s="36"/>
      <c r="G159" s="121"/>
    </row>
    <row r="160" spans="1:7">
      <c r="A160" s="36">
        <v>10138957</v>
      </c>
      <c r="B160" t="s">
        <v>836</v>
      </c>
      <c r="G160" s="121"/>
    </row>
    <row r="161" spans="1:7">
      <c r="A161" s="36">
        <v>20927832136</v>
      </c>
      <c r="B161" t="s">
        <v>143</v>
      </c>
      <c r="C161" s="35" t="s">
        <v>79</v>
      </c>
      <c r="G161" s="121"/>
    </row>
    <row r="162" spans="1:7">
      <c r="A162" s="36">
        <v>20927832136</v>
      </c>
      <c r="B162" t="s">
        <v>143</v>
      </c>
      <c r="C162" s="35" t="s">
        <v>79</v>
      </c>
      <c r="G162" s="121"/>
    </row>
    <row r="163" spans="1:7">
      <c r="A163" s="36">
        <v>37834370</v>
      </c>
      <c r="B163" t="s">
        <v>837</v>
      </c>
      <c r="G163" s="121"/>
    </row>
    <row r="164" spans="1:7">
      <c r="A164" s="36">
        <v>27122903201</v>
      </c>
      <c r="B164" t="s">
        <v>2305</v>
      </c>
      <c r="C164" s="35" t="s">
        <v>804</v>
      </c>
      <c r="G164" s="121"/>
    </row>
    <row r="165" spans="1:7">
      <c r="A165" s="36">
        <v>5427278</v>
      </c>
      <c r="B165" t="s">
        <v>838</v>
      </c>
      <c r="G165" s="121"/>
    </row>
    <row r="166" spans="1:7">
      <c r="A166" s="36">
        <v>27135302835</v>
      </c>
      <c r="B166" t="s">
        <v>144</v>
      </c>
      <c r="G166" s="121"/>
    </row>
    <row r="167" spans="1:7">
      <c r="A167" s="36">
        <v>27276671109</v>
      </c>
      <c r="B167" t="s">
        <v>145</v>
      </c>
      <c r="C167" s="35" t="s">
        <v>2359</v>
      </c>
      <c r="G167" s="121"/>
    </row>
    <row r="168" spans="1:7">
      <c r="A168" s="36">
        <v>27276671109</v>
      </c>
      <c r="B168" t="s">
        <v>145</v>
      </c>
      <c r="C168" s="35" t="s">
        <v>2359</v>
      </c>
      <c r="G168" s="121"/>
    </row>
    <row r="169" spans="1:7">
      <c r="A169" s="36">
        <v>30647539226</v>
      </c>
      <c r="B169" t="s">
        <v>839</v>
      </c>
      <c r="C169" s="35" t="s">
        <v>2359</v>
      </c>
      <c r="G169" s="121"/>
    </row>
    <row r="170" spans="1:7">
      <c r="A170" s="36">
        <v>30647539226</v>
      </c>
      <c r="B170" t="s">
        <v>839</v>
      </c>
      <c r="C170" s="35" t="s">
        <v>2359</v>
      </c>
      <c r="G170" s="121"/>
    </row>
    <row r="171" spans="1:7">
      <c r="A171" s="36">
        <v>30711597499</v>
      </c>
      <c r="B171" t="s">
        <v>146</v>
      </c>
      <c r="G171" s="121"/>
    </row>
    <row r="172" spans="1:7">
      <c r="A172" s="36">
        <v>30600907553</v>
      </c>
      <c r="B172" t="s">
        <v>147</v>
      </c>
      <c r="C172" s="35" t="s">
        <v>79</v>
      </c>
      <c r="G172" s="121"/>
    </row>
    <row r="173" spans="1:7">
      <c r="A173" s="36">
        <v>30600907553</v>
      </c>
      <c r="B173" t="s">
        <v>147</v>
      </c>
      <c r="C173" s="35" t="s">
        <v>79</v>
      </c>
      <c r="G173" s="121"/>
    </row>
    <row r="174" spans="1:7">
      <c r="A174" s="36">
        <v>30707304886</v>
      </c>
      <c r="B174" t="s">
        <v>2232</v>
      </c>
      <c r="C174" s="35" t="s">
        <v>44</v>
      </c>
      <c r="G174" s="121"/>
    </row>
    <row r="175" spans="1:7">
      <c r="A175" s="36">
        <v>30707304886</v>
      </c>
      <c r="B175" t="s">
        <v>2232</v>
      </c>
      <c r="C175" s="35" t="s">
        <v>804</v>
      </c>
      <c r="G175" s="121"/>
    </row>
    <row r="176" spans="1:7">
      <c r="A176" s="36">
        <v>30709585262</v>
      </c>
      <c r="B176" t="s">
        <v>148</v>
      </c>
      <c r="C176" s="35" t="s">
        <v>804</v>
      </c>
      <c r="G176" s="121"/>
    </row>
    <row r="177" spans="1:7">
      <c r="A177" s="36">
        <v>30709585262</v>
      </c>
      <c r="B177" t="s">
        <v>148</v>
      </c>
      <c r="C177" s="35" t="s">
        <v>804</v>
      </c>
      <c r="G177" s="121"/>
    </row>
    <row r="178" spans="1:7">
      <c r="A178" s="36">
        <v>27046072060</v>
      </c>
      <c r="B178" t="s">
        <v>840</v>
      </c>
      <c r="G178" s="121"/>
    </row>
    <row r="179" spans="1:7">
      <c r="A179" s="36">
        <v>30614941509</v>
      </c>
      <c r="B179" t="s">
        <v>149</v>
      </c>
      <c r="G179" s="121"/>
    </row>
    <row r="180" spans="1:7">
      <c r="A180" s="36">
        <v>20087048471</v>
      </c>
      <c r="B180" t="s">
        <v>841</v>
      </c>
      <c r="G180" s="121"/>
    </row>
    <row r="181" spans="1:7">
      <c r="A181" s="36">
        <v>37004257</v>
      </c>
      <c r="B181" t="s">
        <v>842</v>
      </c>
      <c r="G181" s="121"/>
    </row>
    <row r="182" spans="1:7">
      <c r="A182" s="36">
        <v>30560443648</v>
      </c>
      <c r="B182" t="s">
        <v>150</v>
      </c>
      <c r="G182" s="121"/>
    </row>
    <row r="183" spans="1:7">
      <c r="A183" s="36">
        <v>30708547790</v>
      </c>
      <c r="B183" t="s">
        <v>151</v>
      </c>
      <c r="G183" s="121"/>
    </row>
    <row r="184" spans="1:7">
      <c r="A184" s="36">
        <v>30711624402</v>
      </c>
      <c r="B184" t="s">
        <v>152</v>
      </c>
      <c r="G184" s="121"/>
    </row>
    <row r="185" spans="1:7">
      <c r="A185" s="36">
        <v>30715290835</v>
      </c>
      <c r="B185" t="s">
        <v>843</v>
      </c>
      <c r="C185" s="35" t="s">
        <v>804</v>
      </c>
      <c r="G185" s="121"/>
    </row>
    <row r="186" spans="1:7">
      <c r="A186" s="36">
        <v>30715290835</v>
      </c>
      <c r="B186" t="s">
        <v>843</v>
      </c>
      <c r="C186" s="35" t="s">
        <v>804</v>
      </c>
      <c r="G186" s="121"/>
    </row>
    <row r="187" spans="1:7">
      <c r="A187" s="36">
        <v>20045180620</v>
      </c>
      <c r="B187" t="s">
        <v>153</v>
      </c>
      <c r="C187" s="35" t="s">
        <v>79</v>
      </c>
      <c r="G187" s="121"/>
    </row>
    <row r="188" spans="1:7">
      <c r="A188" s="36">
        <v>20045180620</v>
      </c>
      <c r="B188" t="s">
        <v>153</v>
      </c>
      <c r="C188" s="35" t="s">
        <v>79</v>
      </c>
      <c r="G188" s="121"/>
    </row>
    <row r="189" spans="1:7">
      <c r="A189" s="36">
        <v>30692175243</v>
      </c>
      <c r="B189" t="s">
        <v>154</v>
      </c>
      <c r="G189" s="121"/>
    </row>
    <row r="190" spans="1:7">
      <c r="A190" s="36">
        <v>30708973501</v>
      </c>
      <c r="B190" t="s">
        <v>155</v>
      </c>
      <c r="C190" s="35" t="s">
        <v>2359</v>
      </c>
      <c r="G190" s="121"/>
    </row>
    <row r="191" spans="1:7">
      <c r="A191" s="36">
        <v>30553594169</v>
      </c>
      <c r="B191" t="s">
        <v>844</v>
      </c>
      <c r="G191" s="121"/>
    </row>
    <row r="192" spans="1:7">
      <c r="A192" s="36">
        <v>30590354798</v>
      </c>
      <c r="B192" t="s">
        <v>156</v>
      </c>
      <c r="G192" s="121"/>
    </row>
    <row r="193" spans="1:7">
      <c r="A193" s="36">
        <v>30571962868</v>
      </c>
      <c r="B193" t="s">
        <v>845</v>
      </c>
      <c r="G193" s="121"/>
    </row>
    <row r="194" spans="1:7">
      <c r="A194" s="36">
        <v>33672915339</v>
      </c>
      <c r="B194" t="s">
        <v>846</v>
      </c>
      <c r="G194" s="121"/>
    </row>
    <row r="195" spans="1:7">
      <c r="A195" s="36">
        <v>30590354798</v>
      </c>
      <c r="B195" t="s">
        <v>847</v>
      </c>
      <c r="C195" s="35" t="s">
        <v>796</v>
      </c>
      <c r="G195" s="121"/>
    </row>
    <row r="196" spans="1:7">
      <c r="A196" s="36">
        <v>30590354798</v>
      </c>
      <c r="B196" t="s">
        <v>847</v>
      </c>
      <c r="C196" s="35" t="s">
        <v>796</v>
      </c>
      <c r="G196" s="121"/>
    </row>
    <row r="197" spans="1:7">
      <c r="A197" s="36">
        <v>30590354798</v>
      </c>
      <c r="B197" t="s">
        <v>847</v>
      </c>
      <c r="C197" s="35" t="s">
        <v>796</v>
      </c>
      <c r="G197" s="121"/>
    </row>
    <row r="198" spans="1:7">
      <c r="A198" s="36">
        <v>30590354798</v>
      </c>
      <c r="B198" t="s">
        <v>847</v>
      </c>
      <c r="C198" s="35" t="s">
        <v>796</v>
      </c>
      <c r="G198" s="121"/>
    </row>
    <row r="199" spans="1:7">
      <c r="A199" s="36" t="s">
        <v>848</v>
      </c>
      <c r="B199" t="s">
        <v>847</v>
      </c>
      <c r="C199" s="35" t="s">
        <v>2359</v>
      </c>
      <c r="G199" s="121"/>
    </row>
    <row r="200" spans="1:7">
      <c r="A200" s="36" t="s">
        <v>848</v>
      </c>
      <c r="B200" t="s">
        <v>847</v>
      </c>
      <c r="C200" s="35" t="s">
        <v>2359</v>
      </c>
    </row>
    <row r="201" spans="1:7">
      <c r="A201" s="36">
        <v>30590354798</v>
      </c>
      <c r="B201" t="s">
        <v>1916</v>
      </c>
    </row>
    <row r="202" spans="1:7">
      <c r="A202" s="36">
        <v>30590354798</v>
      </c>
      <c r="B202" t="s">
        <v>1916</v>
      </c>
    </row>
    <row r="203" spans="1:7">
      <c r="A203" s="36">
        <v>23163457369</v>
      </c>
      <c r="B203" t="s">
        <v>2403</v>
      </c>
      <c r="C203" s="35" t="s">
        <v>79</v>
      </c>
    </row>
    <row r="204" spans="1:7">
      <c r="A204" s="36">
        <v>30708716231</v>
      </c>
      <c r="B204" t="s">
        <v>849</v>
      </c>
    </row>
    <row r="205" spans="1:7">
      <c r="A205" s="36">
        <v>30709300705</v>
      </c>
      <c r="B205" t="s">
        <v>2290</v>
      </c>
      <c r="C205" s="35" t="s">
        <v>79</v>
      </c>
    </row>
    <row r="206" spans="1:7">
      <c r="A206" s="36" t="s">
        <v>850</v>
      </c>
      <c r="B206" t="s">
        <v>851</v>
      </c>
      <c r="C206" s="35" t="s">
        <v>2359</v>
      </c>
    </row>
    <row r="207" spans="1:7">
      <c r="A207" s="36" t="s">
        <v>850</v>
      </c>
      <c r="B207" t="s">
        <v>851</v>
      </c>
      <c r="C207" s="35" t="s">
        <v>2359</v>
      </c>
    </row>
    <row r="208" spans="1:7">
      <c r="A208" s="36">
        <v>30690973517</v>
      </c>
      <c r="B208" t="s">
        <v>852</v>
      </c>
    </row>
    <row r="209" spans="1:3">
      <c r="A209" s="36">
        <v>30714416622</v>
      </c>
      <c r="B209" t="s">
        <v>853</v>
      </c>
      <c r="C209" s="35" t="s">
        <v>79</v>
      </c>
    </row>
    <row r="210" spans="1:3">
      <c r="A210" s="36">
        <v>30714416622</v>
      </c>
      <c r="B210" t="s">
        <v>853</v>
      </c>
      <c r="C210" s="35" t="s">
        <v>79</v>
      </c>
    </row>
    <row r="211" spans="1:3">
      <c r="A211" s="36">
        <v>30672845242</v>
      </c>
      <c r="B211" t="s">
        <v>854</v>
      </c>
      <c r="C211" s="35" t="s">
        <v>44</v>
      </c>
    </row>
    <row r="212" spans="1:3">
      <c r="A212" s="36">
        <v>30672845242</v>
      </c>
      <c r="B212" t="s">
        <v>854</v>
      </c>
      <c r="C212" s="35" t="s">
        <v>44</v>
      </c>
    </row>
    <row r="213" spans="1:3">
      <c r="A213" s="36">
        <v>30709860840</v>
      </c>
      <c r="B213" t="s">
        <v>157</v>
      </c>
    </row>
    <row r="214" spans="1:3">
      <c r="A214" s="36">
        <v>30544712833</v>
      </c>
      <c r="B214" t="s">
        <v>158</v>
      </c>
      <c r="C214" s="35" t="s">
        <v>2359</v>
      </c>
    </row>
    <row r="215" spans="1:3">
      <c r="A215" s="36">
        <v>30544712833</v>
      </c>
      <c r="B215" t="s">
        <v>158</v>
      </c>
      <c r="C215" s="35" t="s">
        <v>2359</v>
      </c>
    </row>
    <row r="216" spans="1:3">
      <c r="A216" s="36">
        <v>30715031252</v>
      </c>
      <c r="B216" t="s">
        <v>159</v>
      </c>
    </row>
    <row r="217" spans="1:3">
      <c r="A217" s="36">
        <v>30711934754</v>
      </c>
      <c r="B217" t="s">
        <v>160</v>
      </c>
    </row>
    <row r="218" spans="1:3">
      <c r="A218" s="36">
        <v>30710081111</v>
      </c>
      <c r="B218" t="s">
        <v>855</v>
      </c>
      <c r="C218" s="35" t="s">
        <v>79</v>
      </c>
    </row>
    <row r="219" spans="1:3">
      <c r="A219" s="36">
        <v>30710081111</v>
      </c>
      <c r="B219" t="s">
        <v>855</v>
      </c>
      <c r="C219" s="35" t="s">
        <v>79</v>
      </c>
    </row>
    <row r="220" spans="1:3">
      <c r="A220" s="36">
        <v>30670528592</v>
      </c>
      <c r="B220" t="s">
        <v>161</v>
      </c>
      <c r="C220" s="35" t="s">
        <v>44</v>
      </c>
    </row>
    <row r="221" spans="1:3">
      <c r="A221" s="36">
        <v>30670528592</v>
      </c>
      <c r="B221" t="s">
        <v>161</v>
      </c>
      <c r="C221" s="35" t="s">
        <v>804</v>
      </c>
    </row>
    <row r="222" spans="1:3">
      <c r="A222" s="36">
        <v>30708436506</v>
      </c>
      <c r="B222" t="s">
        <v>856</v>
      </c>
    </row>
    <row r="223" spans="1:3">
      <c r="A223" s="36">
        <v>30574876474</v>
      </c>
      <c r="B223" t="s">
        <v>162</v>
      </c>
      <c r="C223" s="35" t="s">
        <v>857</v>
      </c>
    </row>
    <row r="224" spans="1:3">
      <c r="A224" s="36">
        <v>30574876474</v>
      </c>
      <c r="B224" t="s">
        <v>162</v>
      </c>
      <c r="C224" s="35" t="s">
        <v>857</v>
      </c>
    </row>
    <row r="225" spans="1:3">
      <c r="A225" s="36">
        <v>30714112836</v>
      </c>
      <c r="B225" t="s">
        <v>858</v>
      </c>
      <c r="C225" s="35" t="s">
        <v>857</v>
      </c>
    </row>
    <row r="226" spans="1:3">
      <c r="A226" s="36">
        <v>30714112836</v>
      </c>
      <c r="B226" t="s">
        <v>858</v>
      </c>
      <c r="C226" s="35" t="s">
        <v>857</v>
      </c>
    </row>
    <row r="227" spans="1:3">
      <c r="A227" s="36">
        <v>30677237119</v>
      </c>
      <c r="B227" t="s">
        <v>163</v>
      </c>
      <c r="C227" s="35" t="s">
        <v>857</v>
      </c>
    </row>
    <row r="228" spans="1:3">
      <c r="A228" s="36">
        <v>30677237119</v>
      </c>
      <c r="B228" t="s">
        <v>163</v>
      </c>
      <c r="C228" s="35" t="s">
        <v>857</v>
      </c>
    </row>
    <row r="229" spans="1:3">
      <c r="A229" s="36" t="s">
        <v>859</v>
      </c>
      <c r="B229" t="s">
        <v>164</v>
      </c>
    </row>
    <row r="230" spans="1:3">
      <c r="A230" s="36">
        <v>30667187091</v>
      </c>
      <c r="B230" t="s">
        <v>165</v>
      </c>
    </row>
    <row r="231" spans="1:3">
      <c r="A231" s="36">
        <v>30711470804</v>
      </c>
      <c r="B231" t="s">
        <v>166</v>
      </c>
    </row>
    <row r="232" spans="1:3">
      <c r="A232" s="36">
        <v>30709317853</v>
      </c>
      <c r="B232" t="s">
        <v>2015</v>
      </c>
    </row>
    <row r="233" spans="1:3">
      <c r="A233" s="36">
        <v>20083762102</v>
      </c>
      <c r="B233" t="s">
        <v>167</v>
      </c>
    </row>
    <row r="234" spans="1:3">
      <c r="A234" s="36">
        <v>20287830980</v>
      </c>
      <c r="B234" t="s">
        <v>168</v>
      </c>
    </row>
    <row r="235" spans="1:3">
      <c r="A235" s="36">
        <v>38889987</v>
      </c>
      <c r="B235" t="s">
        <v>860</v>
      </c>
    </row>
    <row r="236" spans="1:3">
      <c r="A236" s="36">
        <v>30506919009</v>
      </c>
      <c r="B236" t="s">
        <v>169</v>
      </c>
      <c r="C236" s="35" t="s">
        <v>44</v>
      </c>
    </row>
    <row r="237" spans="1:3">
      <c r="A237" s="36">
        <v>30506919009</v>
      </c>
      <c r="B237" t="s">
        <v>169</v>
      </c>
      <c r="C237" s="35" t="s">
        <v>44</v>
      </c>
    </row>
    <row r="238" spans="1:3">
      <c r="A238" s="36">
        <v>20379223185</v>
      </c>
      <c r="B238" t="s">
        <v>861</v>
      </c>
      <c r="C238" s="35" t="s">
        <v>783</v>
      </c>
    </row>
    <row r="239" spans="1:3">
      <c r="A239" s="36">
        <v>20379223185</v>
      </c>
      <c r="B239" t="s">
        <v>861</v>
      </c>
      <c r="C239" s="35" t="s">
        <v>783</v>
      </c>
    </row>
    <row r="240" spans="1:3">
      <c r="A240" s="36">
        <v>3006198</v>
      </c>
      <c r="B240" t="s">
        <v>862</v>
      </c>
    </row>
    <row r="241" spans="1:3">
      <c r="A241" s="36">
        <v>43407785</v>
      </c>
      <c r="B241" t="s">
        <v>2053</v>
      </c>
    </row>
    <row r="242" spans="1:3">
      <c r="A242" s="36">
        <v>30535612117</v>
      </c>
      <c r="B242" t="s">
        <v>170</v>
      </c>
    </row>
    <row r="243" spans="1:3">
      <c r="A243" s="36">
        <v>33714662819</v>
      </c>
      <c r="B243" t="s">
        <v>863</v>
      </c>
      <c r="C243" s="35" t="s">
        <v>2359</v>
      </c>
    </row>
    <row r="244" spans="1:3">
      <c r="A244" s="36">
        <v>35122054</v>
      </c>
      <c r="B244" t="s">
        <v>864</v>
      </c>
    </row>
    <row r="245" spans="1:3">
      <c r="A245" s="36">
        <v>33716314869</v>
      </c>
      <c r="B245" t="s">
        <v>865</v>
      </c>
      <c r="C245" s="35" t="s">
        <v>2359</v>
      </c>
    </row>
    <row r="246" spans="1:3">
      <c r="A246" s="36">
        <v>33716314869</v>
      </c>
      <c r="B246" t="s">
        <v>865</v>
      </c>
      <c r="C246" s="35" t="s">
        <v>2359</v>
      </c>
    </row>
    <row r="247" spans="1:3">
      <c r="A247" s="36">
        <v>30711428603</v>
      </c>
      <c r="B247" t="s">
        <v>866</v>
      </c>
    </row>
    <row r="248" spans="1:3">
      <c r="A248" s="36">
        <v>12464814</v>
      </c>
      <c r="B248" t="s">
        <v>867</v>
      </c>
    </row>
    <row r="249" spans="1:3">
      <c r="A249" s="36">
        <v>23780346</v>
      </c>
      <c r="B249" t="s">
        <v>868</v>
      </c>
    </row>
    <row r="250" spans="1:3">
      <c r="A250" s="36">
        <v>17716804</v>
      </c>
      <c r="B250" t="s">
        <v>869</v>
      </c>
    </row>
    <row r="251" spans="1:3">
      <c r="A251" s="36">
        <v>27845961</v>
      </c>
      <c r="B251" t="s">
        <v>870</v>
      </c>
    </row>
    <row r="252" spans="1:3">
      <c r="A252" s="36">
        <v>30715923374</v>
      </c>
      <c r="B252" t="s">
        <v>871</v>
      </c>
      <c r="C252" s="35" t="s">
        <v>2359</v>
      </c>
    </row>
    <row r="253" spans="1:3">
      <c r="A253" s="36">
        <v>30715923374</v>
      </c>
      <c r="B253" t="s">
        <v>871</v>
      </c>
      <c r="C253" s="35" t="s">
        <v>2359</v>
      </c>
    </row>
    <row r="254" spans="1:3">
      <c r="A254" s="36">
        <v>33714642079</v>
      </c>
      <c r="B254" t="s">
        <v>872</v>
      </c>
      <c r="C254" s="35" t="s">
        <v>79</v>
      </c>
    </row>
    <row r="255" spans="1:3">
      <c r="A255" s="36">
        <v>33714642079</v>
      </c>
      <c r="B255" t="s">
        <v>872</v>
      </c>
      <c r="C255" s="35" t="s">
        <v>79</v>
      </c>
    </row>
    <row r="256" spans="1:3">
      <c r="A256" s="36">
        <v>36527834</v>
      </c>
      <c r="B256" t="s">
        <v>873</v>
      </c>
    </row>
    <row r="257" spans="1:3">
      <c r="A257" s="36">
        <v>33711430879</v>
      </c>
      <c r="B257" t="s">
        <v>171</v>
      </c>
      <c r="C257" s="35" t="s">
        <v>2359</v>
      </c>
    </row>
    <row r="258" spans="1:3">
      <c r="A258" s="36">
        <v>33711430879</v>
      </c>
      <c r="B258" t="s">
        <v>171</v>
      </c>
      <c r="C258" s="35" t="s">
        <v>2359</v>
      </c>
    </row>
    <row r="259" spans="1:3">
      <c r="A259" s="36">
        <v>28120474</v>
      </c>
      <c r="B259" t="s">
        <v>874</v>
      </c>
    </row>
    <row r="260" spans="1:3">
      <c r="A260" s="36">
        <v>11097725</v>
      </c>
      <c r="B260" t="s">
        <v>1874</v>
      </c>
    </row>
    <row r="261" spans="1:3">
      <c r="A261" s="36">
        <v>10972842</v>
      </c>
      <c r="B261" t="s">
        <v>875</v>
      </c>
    </row>
    <row r="262" spans="1:3">
      <c r="A262" s="36">
        <v>20179619483</v>
      </c>
      <c r="B262" t="s">
        <v>172</v>
      </c>
    </row>
    <row r="263" spans="1:3">
      <c r="A263" s="36">
        <v>33717383139</v>
      </c>
      <c r="B263" t="s">
        <v>2200</v>
      </c>
      <c r="C263" s="35" t="s">
        <v>2371</v>
      </c>
    </row>
    <row r="264" spans="1:3">
      <c r="A264" s="36">
        <v>33717383139</v>
      </c>
      <c r="B264" t="s">
        <v>2200</v>
      </c>
    </row>
    <row r="265" spans="1:3">
      <c r="A265" s="36">
        <v>21454828</v>
      </c>
      <c r="B265" t="s">
        <v>876</v>
      </c>
    </row>
    <row r="266" spans="1:3">
      <c r="A266" s="36">
        <v>30711941718</v>
      </c>
      <c r="B266" t="s">
        <v>173</v>
      </c>
      <c r="C266" s="35" t="s">
        <v>2359</v>
      </c>
    </row>
    <row r="267" spans="1:3">
      <c r="A267" s="36">
        <v>30711941718</v>
      </c>
      <c r="B267" t="s">
        <v>173</v>
      </c>
      <c r="C267" s="35" t="s">
        <v>2359</v>
      </c>
    </row>
    <row r="268" spans="1:3">
      <c r="A268" s="36">
        <v>33716391049</v>
      </c>
      <c r="B268" t="s">
        <v>877</v>
      </c>
      <c r="C268" s="35" t="s">
        <v>79</v>
      </c>
    </row>
    <row r="269" spans="1:3">
      <c r="A269" s="36">
        <v>33716391049</v>
      </c>
      <c r="B269" t="s">
        <v>877</v>
      </c>
      <c r="C269" s="35" t="s">
        <v>79</v>
      </c>
    </row>
    <row r="270" spans="1:3">
      <c r="A270" s="36">
        <v>30571421352</v>
      </c>
      <c r="B270" t="s">
        <v>878</v>
      </c>
      <c r="C270" s="35" t="s">
        <v>824</v>
      </c>
    </row>
    <row r="271" spans="1:3">
      <c r="A271" s="36">
        <v>30571421352</v>
      </c>
      <c r="B271" t="s">
        <v>878</v>
      </c>
      <c r="C271" s="35" t="s">
        <v>824</v>
      </c>
    </row>
    <row r="272" spans="1:3">
      <c r="A272" s="36">
        <v>30580189411</v>
      </c>
      <c r="B272" t="s">
        <v>174</v>
      </c>
    </row>
    <row r="273" spans="1:3">
      <c r="A273" s="36">
        <v>30500006613</v>
      </c>
      <c r="B273" t="s">
        <v>879</v>
      </c>
      <c r="C273" s="35" t="s">
        <v>824</v>
      </c>
    </row>
    <row r="274" spans="1:3">
      <c r="A274" s="36">
        <v>30500006613</v>
      </c>
      <c r="B274" t="s">
        <v>879</v>
      </c>
      <c r="C274" s="35" t="s">
        <v>824</v>
      </c>
    </row>
    <row r="275" spans="1:3">
      <c r="A275" s="36">
        <v>30500008454</v>
      </c>
      <c r="B275" t="s">
        <v>175</v>
      </c>
      <c r="C275" s="35" t="s">
        <v>86</v>
      </c>
    </row>
    <row r="276" spans="1:3">
      <c r="A276" s="36">
        <v>30500008454</v>
      </c>
      <c r="B276" t="s">
        <v>175</v>
      </c>
      <c r="C276" s="35" t="s">
        <v>86</v>
      </c>
    </row>
    <row r="277" spans="1:3">
      <c r="A277" s="36">
        <v>4702938</v>
      </c>
      <c r="B277" t="s">
        <v>2042</v>
      </c>
    </row>
    <row r="278" spans="1:3">
      <c r="A278" s="36"/>
    </row>
    <row r="279" spans="1:3">
      <c r="A279" s="36">
        <v>30707267077</v>
      </c>
      <c r="B279" t="s">
        <v>880</v>
      </c>
      <c r="C279" s="35" t="s">
        <v>2370</v>
      </c>
    </row>
    <row r="280" spans="1:3">
      <c r="A280" s="36">
        <v>10462997</v>
      </c>
      <c r="B280" t="s">
        <v>1886</v>
      </c>
    </row>
    <row r="281" spans="1:3">
      <c r="A281" s="36">
        <v>27243660535</v>
      </c>
      <c r="B281" t="s">
        <v>2309</v>
      </c>
      <c r="C281" s="35" t="s">
        <v>2359</v>
      </c>
    </row>
    <row r="282" spans="1:3">
      <c r="A282" s="36">
        <v>20148864471</v>
      </c>
      <c r="B282" t="s">
        <v>2399</v>
      </c>
      <c r="C282" s="35" t="s">
        <v>79</v>
      </c>
    </row>
    <row r="283" spans="1:3">
      <c r="A283" s="36">
        <v>13102478</v>
      </c>
      <c r="B283" t="s">
        <v>881</v>
      </c>
    </row>
    <row r="284" spans="1:3">
      <c r="A284" s="36">
        <v>20109274268</v>
      </c>
      <c r="B284" t="s">
        <v>882</v>
      </c>
      <c r="C284" s="35" t="s">
        <v>781</v>
      </c>
    </row>
    <row r="285" spans="1:3">
      <c r="A285" s="36">
        <v>20109274268</v>
      </c>
      <c r="B285" t="s">
        <v>882</v>
      </c>
      <c r="C285" s="35" t="s">
        <v>781</v>
      </c>
    </row>
    <row r="286" spans="1:3">
      <c r="A286" s="36">
        <v>20928727476</v>
      </c>
      <c r="B286" t="s">
        <v>883</v>
      </c>
    </row>
    <row r="287" spans="1:3">
      <c r="A287" s="36">
        <v>38547404</v>
      </c>
      <c r="B287" t="s">
        <v>884</v>
      </c>
    </row>
    <row r="288" spans="1:3">
      <c r="A288" s="36">
        <v>16821941</v>
      </c>
      <c r="B288" t="s">
        <v>885</v>
      </c>
    </row>
    <row r="289" spans="1:3">
      <c r="A289" s="36">
        <v>30646362675</v>
      </c>
      <c r="B289" t="s">
        <v>176</v>
      </c>
    </row>
    <row r="290" spans="1:3">
      <c r="A290" s="36">
        <v>3976403</v>
      </c>
      <c r="B290" t="s">
        <v>886</v>
      </c>
    </row>
    <row r="291" spans="1:3">
      <c r="A291" s="36">
        <v>3976403</v>
      </c>
      <c r="B291" t="s">
        <v>886</v>
      </c>
    </row>
    <row r="292" spans="1:3">
      <c r="A292" s="36">
        <v>3976403</v>
      </c>
      <c r="B292" t="s">
        <v>886</v>
      </c>
    </row>
    <row r="293" spans="1:3">
      <c r="A293" s="36">
        <v>1446419</v>
      </c>
      <c r="B293" t="s">
        <v>887</v>
      </c>
    </row>
    <row r="294" spans="1:3">
      <c r="A294" s="36">
        <v>30712458468</v>
      </c>
      <c r="B294" t="s">
        <v>177</v>
      </c>
      <c r="C294" s="35" t="s">
        <v>79</v>
      </c>
    </row>
    <row r="295" spans="1:3">
      <c r="A295" s="36">
        <v>30712458468</v>
      </c>
      <c r="B295" t="s">
        <v>177</v>
      </c>
      <c r="C295" s="35" t="s">
        <v>79</v>
      </c>
    </row>
    <row r="296" spans="1:3">
      <c r="A296" s="36">
        <v>30714675601</v>
      </c>
      <c r="B296" t="s">
        <v>178</v>
      </c>
    </row>
    <row r="297" spans="1:3">
      <c r="A297" s="36">
        <v>22217721</v>
      </c>
      <c r="B297" t="s">
        <v>888</v>
      </c>
    </row>
    <row r="298" spans="1:3">
      <c r="A298" s="36">
        <v>20172955763</v>
      </c>
      <c r="B298" t="s">
        <v>889</v>
      </c>
      <c r="C298" s="35" t="s">
        <v>2359</v>
      </c>
    </row>
    <row r="299" spans="1:3">
      <c r="A299" s="36">
        <v>20172955763</v>
      </c>
      <c r="B299" t="s">
        <v>889</v>
      </c>
      <c r="C299" s="35" t="s">
        <v>2359</v>
      </c>
    </row>
    <row r="300" spans="1:3">
      <c r="A300" s="36">
        <v>20083442612</v>
      </c>
      <c r="B300" t="s">
        <v>890</v>
      </c>
      <c r="C300" s="35" t="s">
        <v>891</v>
      </c>
    </row>
    <row r="301" spans="1:3">
      <c r="A301" s="36">
        <v>20083442612</v>
      </c>
      <c r="B301" t="s">
        <v>890</v>
      </c>
      <c r="C301" s="35" t="s">
        <v>891</v>
      </c>
    </row>
    <row r="302" spans="1:3">
      <c r="A302" s="36">
        <v>12632062</v>
      </c>
      <c r="B302" t="s">
        <v>892</v>
      </c>
    </row>
    <row r="303" spans="1:3">
      <c r="A303" s="36">
        <v>20920321292</v>
      </c>
      <c r="B303" t="s">
        <v>2215</v>
      </c>
      <c r="C303" s="35" t="s">
        <v>79</v>
      </c>
    </row>
    <row r="304" spans="1:3">
      <c r="A304" s="36">
        <v>20920321292</v>
      </c>
      <c r="B304" t="s">
        <v>2215</v>
      </c>
    </row>
    <row r="305" spans="1:3">
      <c r="A305" s="36">
        <v>30568222187</v>
      </c>
      <c r="B305" t="s">
        <v>179</v>
      </c>
    </row>
    <row r="306" spans="1:3">
      <c r="A306" s="36">
        <v>27248212646</v>
      </c>
      <c r="B306" t="s">
        <v>180</v>
      </c>
    </row>
    <row r="307" spans="1:3">
      <c r="A307" s="36">
        <v>10181209</v>
      </c>
      <c r="B307" t="s">
        <v>893</v>
      </c>
    </row>
    <row r="308" spans="1:3">
      <c r="A308" s="36">
        <v>16926460</v>
      </c>
      <c r="B308" t="s">
        <v>894</v>
      </c>
    </row>
    <row r="309" spans="1:3">
      <c r="A309" s="36">
        <v>27115740666</v>
      </c>
      <c r="B309" t="s">
        <v>181</v>
      </c>
    </row>
    <row r="310" spans="1:3">
      <c r="A310" s="36">
        <v>27129411010</v>
      </c>
      <c r="B310" t="s">
        <v>182</v>
      </c>
    </row>
    <row r="311" spans="1:3">
      <c r="A311" s="36">
        <v>48594179</v>
      </c>
      <c r="B311" t="s">
        <v>2052</v>
      </c>
    </row>
    <row r="312" spans="1:3">
      <c r="A312" s="36">
        <v>8255444</v>
      </c>
      <c r="B312" t="s">
        <v>895</v>
      </c>
    </row>
    <row r="313" spans="1:3">
      <c r="A313" s="36">
        <v>20119743959</v>
      </c>
      <c r="B313" t="s">
        <v>896</v>
      </c>
      <c r="C313" s="35" t="s">
        <v>2359</v>
      </c>
    </row>
    <row r="314" spans="1:3">
      <c r="A314" s="36">
        <v>20119743959</v>
      </c>
      <c r="B314" t="s">
        <v>896</v>
      </c>
      <c r="C314" s="35" t="s">
        <v>2359</v>
      </c>
    </row>
    <row r="315" spans="1:3">
      <c r="A315" s="36">
        <v>1300746</v>
      </c>
      <c r="B315" t="s">
        <v>1873</v>
      </c>
    </row>
    <row r="316" spans="1:3">
      <c r="A316" s="36">
        <v>4429498</v>
      </c>
      <c r="B316" t="s">
        <v>897</v>
      </c>
    </row>
    <row r="317" spans="1:3">
      <c r="A317" s="36">
        <v>23301961944</v>
      </c>
      <c r="B317" t="s">
        <v>183</v>
      </c>
    </row>
    <row r="318" spans="1:3">
      <c r="A318" s="36">
        <v>92796373</v>
      </c>
      <c r="B318" t="s">
        <v>2090</v>
      </c>
    </row>
    <row r="319" spans="1:3">
      <c r="A319" s="36">
        <v>22278607</v>
      </c>
      <c r="B319" t="s">
        <v>898</v>
      </c>
    </row>
    <row r="320" spans="1:3">
      <c r="A320" s="36">
        <v>30710067763</v>
      </c>
      <c r="B320" t="s">
        <v>184</v>
      </c>
    </row>
    <row r="321" spans="1:3">
      <c r="A321" s="36">
        <v>30712387315</v>
      </c>
      <c r="B321" t="s">
        <v>185</v>
      </c>
      <c r="C321" s="35" t="s">
        <v>79</v>
      </c>
    </row>
    <row r="322" spans="1:3">
      <c r="A322" s="36">
        <v>30712387315</v>
      </c>
      <c r="B322" t="s">
        <v>185</v>
      </c>
      <c r="C322" s="35" t="s">
        <v>79</v>
      </c>
    </row>
    <row r="323" spans="1:3">
      <c r="A323" s="36">
        <v>1730839</v>
      </c>
      <c r="B323" t="s">
        <v>899</v>
      </c>
    </row>
    <row r="324" spans="1:3">
      <c r="A324" s="36">
        <v>20259150249</v>
      </c>
      <c r="B324" t="s">
        <v>2224</v>
      </c>
      <c r="C324" s="35" t="s">
        <v>46</v>
      </c>
    </row>
    <row r="325" spans="1:3">
      <c r="A325" s="36">
        <v>20259150249</v>
      </c>
      <c r="B325" t="s">
        <v>2224</v>
      </c>
    </row>
    <row r="326" spans="1:3">
      <c r="A326" s="36">
        <v>30715210637</v>
      </c>
      <c r="B326" t="s">
        <v>186</v>
      </c>
      <c r="C326" s="35" t="s">
        <v>2359</v>
      </c>
    </row>
    <row r="327" spans="1:3">
      <c r="A327" s="36">
        <v>30715210637</v>
      </c>
      <c r="B327" t="s">
        <v>186</v>
      </c>
      <c r="C327" s="35" t="s">
        <v>2359</v>
      </c>
    </row>
    <row r="328" spans="1:3">
      <c r="A328" s="36">
        <v>30711069360</v>
      </c>
      <c r="B328" t="s">
        <v>2260</v>
      </c>
      <c r="C328" s="35" t="s">
        <v>79</v>
      </c>
    </row>
    <row r="329" spans="1:3">
      <c r="A329" s="36">
        <v>30715848623</v>
      </c>
      <c r="B329" t="s">
        <v>2392</v>
      </c>
      <c r="C329" s="35" t="s">
        <v>2359</v>
      </c>
    </row>
    <row r="330" spans="1:3">
      <c r="A330" s="36">
        <v>30711091552</v>
      </c>
      <c r="B330" t="s">
        <v>900</v>
      </c>
      <c r="C330" s="35" t="s">
        <v>2359</v>
      </c>
    </row>
    <row r="331" spans="1:3">
      <c r="A331" s="36">
        <v>30711091552</v>
      </c>
      <c r="B331" t="s">
        <v>900</v>
      </c>
      <c r="C331" s="35" t="s">
        <v>2359</v>
      </c>
    </row>
    <row r="332" spans="1:3">
      <c r="A332" s="36">
        <v>29480617</v>
      </c>
      <c r="B332" t="s">
        <v>901</v>
      </c>
    </row>
    <row r="333" spans="1:3">
      <c r="A333" s="36">
        <v>30715833243</v>
      </c>
      <c r="B333" t="s">
        <v>902</v>
      </c>
      <c r="C333" s="35" t="s">
        <v>2359</v>
      </c>
    </row>
    <row r="334" spans="1:3">
      <c r="A334" s="36">
        <v>30715833243</v>
      </c>
      <c r="B334" t="s">
        <v>902</v>
      </c>
      <c r="C334" s="35" t="s">
        <v>2359</v>
      </c>
    </row>
    <row r="335" spans="1:3">
      <c r="A335" s="36">
        <v>30715833243</v>
      </c>
      <c r="B335" t="s">
        <v>902</v>
      </c>
      <c r="C335" s="35" t="s">
        <v>2359</v>
      </c>
    </row>
    <row r="336" spans="1:3">
      <c r="A336" s="36">
        <v>30715833243</v>
      </c>
      <c r="B336" t="s">
        <v>902</v>
      </c>
      <c r="C336" s="35" t="s">
        <v>2359</v>
      </c>
    </row>
    <row r="337" spans="1:3">
      <c r="A337" s="36">
        <v>30712230459</v>
      </c>
      <c r="B337" t="s">
        <v>187</v>
      </c>
      <c r="C337" s="35" t="s">
        <v>2359</v>
      </c>
    </row>
    <row r="338" spans="1:3">
      <c r="A338" s="36">
        <v>30712230459</v>
      </c>
      <c r="B338" t="s">
        <v>187</v>
      </c>
      <c r="C338" s="35" t="s">
        <v>2359</v>
      </c>
    </row>
    <row r="339" spans="1:3">
      <c r="A339" s="36">
        <v>30712230459</v>
      </c>
      <c r="B339" t="s">
        <v>903</v>
      </c>
      <c r="C339" s="35" t="s">
        <v>2359</v>
      </c>
    </row>
    <row r="340" spans="1:3">
      <c r="A340" s="36">
        <v>30712230459</v>
      </c>
      <c r="B340" t="s">
        <v>903</v>
      </c>
      <c r="C340" s="35" t="s">
        <v>2359</v>
      </c>
    </row>
    <row r="341" spans="1:3">
      <c r="A341" s="36">
        <v>30712230459</v>
      </c>
      <c r="B341" t="s">
        <v>903</v>
      </c>
      <c r="C341" s="35" t="s">
        <v>2359</v>
      </c>
    </row>
    <row r="342" spans="1:3">
      <c r="A342" s="36">
        <v>30712230459</v>
      </c>
      <c r="B342" t="s">
        <v>903</v>
      </c>
      <c r="C342" s="35" t="s">
        <v>2359</v>
      </c>
    </row>
    <row r="343" spans="1:3">
      <c r="A343" s="36">
        <v>30697652694</v>
      </c>
      <c r="B343" t="s">
        <v>188</v>
      </c>
    </row>
    <row r="344" spans="1:3">
      <c r="A344" s="36">
        <v>14240650</v>
      </c>
      <c r="B344" t="s">
        <v>904</v>
      </c>
    </row>
    <row r="345" spans="1:3">
      <c r="A345" s="36">
        <v>27265832178</v>
      </c>
      <c r="B345" t="s">
        <v>1901</v>
      </c>
      <c r="C345" s="35" t="s">
        <v>2359</v>
      </c>
    </row>
    <row r="346" spans="1:3">
      <c r="A346" s="36">
        <v>27265832178</v>
      </c>
      <c r="B346" t="s">
        <v>1901</v>
      </c>
      <c r="C346" s="35" t="s">
        <v>2359</v>
      </c>
    </row>
    <row r="347" spans="1:3">
      <c r="A347" s="36">
        <v>26556783</v>
      </c>
      <c r="B347" t="s">
        <v>905</v>
      </c>
    </row>
    <row r="348" spans="1:3">
      <c r="A348" s="36">
        <v>30712434704</v>
      </c>
      <c r="B348" t="s">
        <v>2389</v>
      </c>
      <c r="C348" s="35" t="s">
        <v>1905</v>
      </c>
    </row>
    <row r="349" spans="1:3">
      <c r="A349" s="36">
        <v>11892280</v>
      </c>
      <c r="B349" t="s">
        <v>906</v>
      </c>
    </row>
    <row r="350" spans="1:3">
      <c r="A350" s="36">
        <v>27344304551</v>
      </c>
      <c r="B350" t="s">
        <v>2409</v>
      </c>
      <c r="C350" s="35" t="s">
        <v>2359</v>
      </c>
    </row>
    <row r="351" spans="1:3">
      <c r="A351" s="36">
        <v>23253931159</v>
      </c>
      <c r="B351" t="s">
        <v>189</v>
      </c>
    </row>
    <row r="352" spans="1:3">
      <c r="A352" s="36">
        <v>4598675</v>
      </c>
      <c r="B352" t="s">
        <v>907</v>
      </c>
    </row>
    <row r="353" spans="1:3">
      <c r="A353" s="36">
        <v>27941394707</v>
      </c>
      <c r="B353" t="s">
        <v>908</v>
      </c>
    </row>
    <row r="354" spans="1:3">
      <c r="A354" s="36">
        <v>20043137817</v>
      </c>
      <c r="B354" t="s">
        <v>2029</v>
      </c>
      <c r="C354" s="35" t="s">
        <v>79</v>
      </c>
    </row>
    <row r="355" spans="1:3">
      <c r="A355" s="36">
        <v>3994356</v>
      </c>
      <c r="B355" t="s">
        <v>909</v>
      </c>
    </row>
    <row r="356" spans="1:3">
      <c r="A356" s="36">
        <v>20202259473</v>
      </c>
      <c r="B356" t="s">
        <v>910</v>
      </c>
      <c r="C356" s="35" t="s">
        <v>57</v>
      </c>
    </row>
    <row r="357" spans="1:3">
      <c r="A357" s="36">
        <v>20202259473</v>
      </c>
      <c r="B357" t="s">
        <v>910</v>
      </c>
      <c r="C357" s="35" t="s">
        <v>57</v>
      </c>
    </row>
    <row r="358" spans="1:3">
      <c r="A358" s="36">
        <v>33710237919</v>
      </c>
      <c r="B358" t="s">
        <v>2153</v>
      </c>
    </row>
    <row r="359" spans="1:3">
      <c r="A359" s="36">
        <v>33451590</v>
      </c>
      <c r="B359" t="s">
        <v>1972</v>
      </c>
    </row>
    <row r="360" spans="1:3">
      <c r="A360" s="36">
        <v>17902520</v>
      </c>
      <c r="B360" t="s">
        <v>911</v>
      </c>
    </row>
    <row r="361" spans="1:3">
      <c r="A361" s="36">
        <v>11960990</v>
      </c>
      <c r="B361" t="s">
        <v>912</v>
      </c>
    </row>
    <row r="362" spans="1:3">
      <c r="A362" s="36">
        <v>30655186693</v>
      </c>
      <c r="B362" t="s">
        <v>190</v>
      </c>
    </row>
    <row r="363" spans="1:3">
      <c r="A363" s="36">
        <v>6718277</v>
      </c>
      <c r="B363" t="s">
        <v>913</v>
      </c>
    </row>
    <row r="364" spans="1:3">
      <c r="A364" s="36">
        <v>27127929705</v>
      </c>
      <c r="B364" t="s">
        <v>914</v>
      </c>
    </row>
    <row r="365" spans="1:3">
      <c r="A365" s="36">
        <v>30711721246</v>
      </c>
      <c r="B365" t="s">
        <v>915</v>
      </c>
    </row>
    <row r="366" spans="1:3">
      <c r="A366" s="36">
        <v>20086277523</v>
      </c>
      <c r="B366" t="s">
        <v>916</v>
      </c>
      <c r="C366" s="35" t="s">
        <v>917</v>
      </c>
    </row>
    <row r="367" spans="1:3">
      <c r="A367" s="36">
        <v>20086277523</v>
      </c>
      <c r="B367" t="s">
        <v>916</v>
      </c>
      <c r="C367" s="35" t="s">
        <v>917</v>
      </c>
    </row>
    <row r="368" spans="1:3">
      <c r="A368" s="36">
        <v>20086277523</v>
      </c>
      <c r="B368" t="s">
        <v>916</v>
      </c>
      <c r="C368" s="35" t="s">
        <v>48</v>
      </c>
    </row>
    <row r="369" spans="1:3">
      <c r="A369" s="36">
        <v>20086277523</v>
      </c>
      <c r="B369" t="s">
        <v>916</v>
      </c>
      <c r="C369" s="35" t="s">
        <v>48</v>
      </c>
    </row>
    <row r="370" spans="1:3">
      <c r="A370" s="36">
        <v>20389908569</v>
      </c>
      <c r="B370" t="s">
        <v>191</v>
      </c>
      <c r="C370" s="35" t="s">
        <v>917</v>
      </c>
    </row>
    <row r="371" spans="1:3">
      <c r="A371" s="36">
        <v>20389908569</v>
      </c>
      <c r="B371" t="s">
        <v>191</v>
      </c>
      <c r="C371" s="35" t="s">
        <v>48</v>
      </c>
    </row>
    <row r="372" spans="1:3">
      <c r="A372" s="36">
        <v>1114735</v>
      </c>
      <c r="B372" t="s">
        <v>918</v>
      </c>
    </row>
    <row r="373" spans="1:3">
      <c r="A373" s="36">
        <v>33714174539</v>
      </c>
      <c r="B373" t="s">
        <v>919</v>
      </c>
      <c r="C373" s="35" t="s">
        <v>2359</v>
      </c>
    </row>
    <row r="374" spans="1:3">
      <c r="A374" s="36">
        <v>33714174539</v>
      </c>
      <c r="B374" t="s">
        <v>919</v>
      </c>
      <c r="C374" s="35" t="s">
        <v>2359</v>
      </c>
    </row>
    <row r="375" spans="1:3">
      <c r="A375" s="36">
        <v>2389448</v>
      </c>
      <c r="B375" t="s">
        <v>920</v>
      </c>
    </row>
    <row r="376" spans="1:3">
      <c r="A376" s="36">
        <v>20043030494</v>
      </c>
      <c r="B376" t="s">
        <v>921</v>
      </c>
    </row>
    <row r="377" spans="1:3">
      <c r="A377" s="36">
        <v>1762620</v>
      </c>
      <c r="B377" t="s">
        <v>922</v>
      </c>
    </row>
    <row r="378" spans="1:3">
      <c r="A378" s="36">
        <v>20291406212</v>
      </c>
      <c r="B378" t="s">
        <v>923</v>
      </c>
      <c r="C378" s="35" t="s">
        <v>2359</v>
      </c>
    </row>
    <row r="379" spans="1:3">
      <c r="A379" s="36">
        <v>20291406212</v>
      </c>
      <c r="B379" t="s">
        <v>923</v>
      </c>
      <c r="C379" s="35" t="s">
        <v>2359</v>
      </c>
    </row>
    <row r="380" spans="1:3">
      <c r="A380" s="36">
        <v>30716371812</v>
      </c>
      <c r="B380" t="s">
        <v>2101</v>
      </c>
    </row>
    <row r="381" spans="1:3">
      <c r="A381" s="36">
        <v>20005890</v>
      </c>
      <c r="B381" t="s">
        <v>924</v>
      </c>
    </row>
    <row r="382" spans="1:3">
      <c r="A382" s="36">
        <v>13699449</v>
      </c>
      <c r="B382" t="s">
        <v>1991</v>
      </c>
    </row>
    <row r="383" spans="1:3">
      <c r="A383" s="36">
        <v>21938558</v>
      </c>
      <c r="B383" t="s">
        <v>925</v>
      </c>
    </row>
    <row r="384" spans="1:3">
      <c r="A384" s="36">
        <v>27211511023</v>
      </c>
      <c r="B384" t="s">
        <v>926</v>
      </c>
      <c r="C384" s="35" t="s">
        <v>79</v>
      </c>
    </row>
    <row r="385" spans="1:3">
      <c r="A385" s="36">
        <v>27211511023</v>
      </c>
      <c r="B385" t="s">
        <v>926</v>
      </c>
      <c r="C385" s="35" t="s">
        <v>79</v>
      </c>
    </row>
    <row r="386" spans="1:3">
      <c r="A386" s="36">
        <v>92840587</v>
      </c>
      <c r="B386" t="s">
        <v>927</v>
      </c>
    </row>
    <row r="387" spans="1:3">
      <c r="A387" s="36">
        <v>23928499804</v>
      </c>
      <c r="B387" t="s">
        <v>2222</v>
      </c>
      <c r="C387" s="35" t="s">
        <v>2367</v>
      </c>
    </row>
    <row r="388" spans="1:3">
      <c r="A388" s="36">
        <v>23928499804</v>
      </c>
      <c r="B388" t="s">
        <v>2222</v>
      </c>
    </row>
    <row r="389" spans="1:3">
      <c r="A389" s="36">
        <v>29343668</v>
      </c>
      <c r="B389" t="s">
        <v>928</v>
      </c>
    </row>
    <row r="390" spans="1:3">
      <c r="A390" s="36">
        <v>12842996</v>
      </c>
      <c r="B390" t="s">
        <v>929</v>
      </c>
    </row>
    <row r="391" spans="1:3">
      <c r="A391" s="36">
        <v>30515676178</v>
      </c>
      <c r="B391" t="s">
        <v>192</v>
      </c>
      <c r="C391" s="35" t="s">
        <v>2359</v>
      </c>
    </row>
    <row r="392" spans="1:3">
      <c r="A392" s="36">
        <v>30515676178</v>
      </c>
      <c r="B392" t="s">
        <v>192</v>
      </c>
      <c r="C392" s="35" t="s">
        <v>2359</v>
      </c>
    </row>
    <row r="393" spans="1:3">
      <c r="A393" s="36">
        <v>33711821649</v>
      </c>
      <c r="B393" t="s">
        <v>193</v>
      </c>
    </row>
    <row r="394" spans="1:3">
      <c r="A394" s="36">
        <v>17163446</v>
      </c>
      <c r="B394" t="s">
        <v>1940</v>
      </c>
    </row>
    <row r="395" spans="1:3">
      <c r="A395" s="36">
        <v>30715122657</v>
      </c>
      <c r="B395" t="s">
        <v>194</v>
      </c>
    </row>
    <row r="396" spans="1:3">
      <c r="A396" s="36">
        <v>30715549871</v>
      </c>
      <c r="B396" t="s">
        <v>195</v>
      </c>
    </row>
    <row r="397" spans="1:3">
      <c r="A397" s="36">
        <v>48239881</v>
      </c>
      <c r="B397" t="s">
        <v>930</v>
      </c>
    </row>
    <row r="398" spans="1:3">
      <c r="A398" s="36">
        <v>20359609087</v>
      </c>
      <c r="B398" t="s">
        <v>2393</v>
      </c>
      <c r="C398" s="35" t="s">
        <v>2380</v>
      </c>
    </row>
    <row r="399" spans="1:3">
      <c r="A399" s="36">
        <v>22960723</v>
      </c>
      <c r="B399" t="s">
        <v>931</v>
      </c>
    </row>
    <row r="400" spans="1:3">
      <c r="A400" s="36">
        <v>3793553</v>
      </c>
      <c r="B400" t="s">
        <v>932</v>
      </c>
    </row>
    <row r="401" spans="1:3">
      <c r="A401" s="36">
        <v>20085280512</v>
      </c>
      <c r="B401" t="s">
        <v>196</v>
      </c>
      <c r="C401" s="35" t="s">
        <v>2359</v>
      </c>
    </row>
    <row r="402" spans="1:3">
      <c r="A402" s="36">
        <v>20085280512</v>
      </c>
      <c r="B402" t="s">
        <v>196</v>
      </c>
      <c r="C402" s="35" t="s">
        <v>2359</v>
      </c>
    </row>
    <row r="403" spans="1:3">
      <c r="A403" s="36">
        <v>30595442369</v>
      </c>
      <c r="B403" t="s">
        <v>197</v>
      </c>
      <c r="C403" s="35" t="s">
        <v>2359</v>
      </c>
    </row>
    <row r="404" spans="1:3">
      <c r="A404" s="36">
        <v>30595442369</v>
      </c>
      <c r="B404" t="s">
        <v>197</v>
      </c>
      <c r="C404" s="35" t="s">
        <v>2359</v>
      </c>
    </row>
    <row r="405" spans="1:3">
      <c r="A405" s="36">
        <v>705467</v>
      </c>
      <c r="B405" t="s">
        <v>1936</v>
      </c>
    </row>
    <row r="406" spans="1:3">
      <c r="A406" s="36">
        <v>5407921</v>
      </c>
      <c r="B406" t="s">
        <v>1924</v>
      </c>
    </row>
    <row r="407" spans="1:3">
      <c r="A407" s="36">
        <v>33707675069</v>
      </c>
      <c r="B407" t="s">
        <v>2297</v>
      </c>
      <c r="C407" s="35" t="s">
        <v>79</v>
      </c>
    </row>
    <row r="408" spans="1:3">
      <c r="A408" s="36">
        <v>27289847141</v>
      </c>
      <c r="B408" t="s">
        <v>198</v>
      </c>
      <c r="C408" s="35" t="s">
        <v>46</v>
      </c>
    </row>
    <row r="409" spans="1:3">
      <c r="A409" s="36">
        <v>27289847141</v>
      </c>
      <c r="B409" t="s">
        <v>198</v>
      </c>
      <c r="C409" s="35" t="s">
        <v>46</v>
      </c>
    </row>
    <row r="410" spans="1:3">
      <c r="A410" s="36">
        <v>4560258</v>
      </c>
      <c r="B410" t="s">
        <v>1877</v>
      </c>
    </row>
    <row r="411" spans="1:3">
      <c r="A411" s="36">
        <v>10964786</v>
      </c>
      <c r="B411" t="s">
        <v>1861</v>
      </c>
    </row>
    <row r="412" spans="1:3">
      <c r="A412" s="36">
        <v>30715920502</v>
      </c>
      <c r="B412" t="s">
        <v>199</v>
      </c>
    </row>
    <row r="413" spans="1:3">
      <c r="A413" s="36">
        <v>23255855204</v>
      </c>
      <c r="B413" t="s">
        <v>1975</v>
      </c>
      <c r="C413" s="35" t="s">
        <v>2381</v>
      </c>
    </row>
    <row r="414" spans="1:3">
      <c r="A414" s="36"/>
    </row>
    <row r="415" spans="1:3">
      <c r="A415" s="36">
        <v>30573652084</v>
      </c>
      <c r="B415" t="s">
        <v>200</v>
      </c>
      <c r="C415" s="35" t="s">
        <v>2383</v>
      </c>
    </row>
    <row r="416" spans="1:3">
      <c r="A416" s="36">
        <v>30573652084</v>
      </c>
      <c r="B416" t="s">
        <v>200</v>
      </c>
      <c r="C416" s="35" t="s">
        <v>2383</v>
      </c>
    </row>
    <row r="417" spans="1:3">
      <c r="A417" s="36">
        <v>27225671</v>
      </c>
      <c r="B417" t="s">
        <v>933</v>
      </c>
    </row>
    <row r="418" spans="1:3">
      <c r="A418" s="36">
        <v>30606994</v>
      </c>
      <c r="B418" t="s">
        <v>934</v>
      </c>
    </row>
    <row r="419" spans="1:3">
      <c r="A419" s="36">
        <v>23967787</v>
      </c>
      <c r="B419" t="s">
        <v>935</v>
      </c>
    </row>
    <row r="420" spans="1:3">
      <c r="A420" s="36">
        <v>30700584131</v>
      </c>
      <c r="B420" t="s">
        <v>2273</v>
      </c>
      <c r="C420" s="35" t="s">
        <v>804</v>
      </c>
    </row>
    <row r="421" spans="1:3">
      <c r="A421" s="36">
        <v>40075269</v>
      </c>
      <c r="B421" t="s">
        <v>936</v>
      </c>
    </row>
    <row r="422" spans="1:3">
      <c r="A422" s="36">
        <v>21851553</v>
      </c>
      <c r="B422" t="s">
        <v>1971</v>
      </c>
    </row>
    <row r="423" spans="1:3">
      <c r="A423" s="36">
        <v>30606248519</v>
      </c>
      <c r="B423" t="s">
        <v>201</v>
      </c>
      <c r="C423" s="35" t="s">
        <v>2359</v>
      </c>
    </row>
    <row r="424" spans="1:3">
      <c r="A424" s="36">
        <v>30606248519</v>
      </c>
      <c r="B424" t="s">
        <v>201</v>
      </c>
      <c r="C424" s="35" t="s">
        <v>2359</v>
      </c>
    </row>
    <row r="425" spans="1:3">
      <c r="A425" s="36">
        <v>4054816</v>
      </c>
      <c r="B425" t="s">
        <v>937</v>
      </c>
    </row>
    <row r="426" spans="1:3">
      <c r="A426" s="36">
        <v>31948409</v>
      </c>
      <c r="B426" t="s">
        <v>938</v>
      </c>
    </row>
    <row r="427" spans="1:3">
      <c r="A427" s="36">
        <v>30710573308</v>
      </c>
      <c r="B427" t="s">
        <v>2057</v>
      </c>
      <c r="C427" s="35" t="s">
        <v>2413</v>
      </c>
    </row>
    <row r="428" spans="1:3">
      <c r="A428" s="36">
        <v>30710573308</v>
      </c>
      <c r="B428" t="s">
        <v>2057</v>
      </c>
    </row>
    <row r="429" spans="1:3">
      <c r="A429" s="36">
        <v>27929147893</v>
      </c>
      <c r="B429" t="s">
        <v>2291</v>
      </c>
      <c r="C429" s="35" t="s">
        <v>79</v>
      </c>
    </row>
    <row r="430" spans="1:3">
      <c r="A430" s="36">
        <v>30639935872</v>
      </c>
      <c r="B430" t="s">
        <v>2211</v>
      </c>
      <c r="C430" s="35" t="s">
        <v>857</v>
      </c>
    </row>
    <row r="431" spans="1:3">
      <c r="A431" s="36">
        <v>30639935872</v>
      </c>
      <c r="B431" t="s">
        <v>2211</v>
      </c>
      <c r="C431" s="35" t="s">
        <v>857</v>
      </c>
    </row>
    <row r="432" spans="1:3">
      <c r="A432" s="36">
        <v>21903185</v>
      </c>
      <c r="B432" t="s">
        <v>939</v>
      </c>
    </row>
    <row r="433" spans="1:3">
      <c r="A433" s="36">
        <v>22608522</v>
      </c>
      <c r="B433" t="s">
        <v>2089</v>
      </c>
    </row>
    <row r="434" spans="1:3">
      <c r="A434" s="36">
        <v>20265226664</v>
      </c>
      <c r="B434" t="s">
        <v>202</v>
      </c>
    </row>
    <row r="435" spans="1:3">
      <c r="A435" s="36">
        <v>6223767</v>
      </c>
      <c r="B435" t="s">
        <v>940</v>
      </c>
    </row>
    <row r="436" spans="1:3">
      <c r="A436" s="36">
        <v>27338342840</v>
      </c>
      <c r="B436" t="s">
        <v>941</v>
      </c>
      <c r="C436" s="35" t="s">
        <v>2359</v>
      </c>
    </row>
    <row r="437" spans="1:3">
      <c r="A437" s="36">
        <v>53432097</v>
      </c>
      <c r="B437" t="s">
        <v>942</v>
      </c>
    </row>
    <row r="438" spans="1:3">
      <c r="A438" s="36">
        <v>27178101647</v>
      </c>
      <c r="B438" t="s">
        <v>203</v>
      </c>
    </row>
    <row r="439" spans="1:3">
      <c r="A439" s="36">
        <v>94577609</v>
      </c>
      <c r="B439" t="s">
        <v>1895</v>
      </c>
    </row>
    <row r="440" spans="1:3">
      <c r="A440" s="36">
        <v>27184237852</v>
      </c>
      <c r="B440" t="s">
        <v>943</v>
      </c>
      <c r="C440" s="35" t="s">
        <v>79</v>
      </c>
    </row>
    <row r="441" spans="1:3">
      <c r="A441" s="36">
        <v>27184237852</v>
      </c>
      <c r="B441" t="s">
        <v>943</v>
      </c>
      <c r="C441" s="35" t="s">
        <v>79</v>
      </c>
    </row>
    <row r="442" spans="1:3">
      <c r="A442" s="36">
        <v>30685020633</v>
      </c>
      <c r="B442" t="s">
        <v>204</v>
      </c>
      <c r="C442" s="35" t="s">
        <v>2359</v>
      </c>
    </row>
    <row r="443" spans="1:3">
      <c r="A443" s="36">
        <v>30685020633</v>
      </c>
      <c r="B443" t="s">
        <v>204</v>
      </c>
      <c r="C443" s="35" t="s">
        <v>2359</v>
      </c>
    </row>
    <row r="444" spans="1:3">
      <c r="A444" s="36">
        <v>30709876135</v>
      </c>
      <c r="B444" t="s">
        <v>205</v>
      </c>
      <c r="C444" s="35" t="s">
        <v>2359</v>
      </c>
    </row>
    <row r="445" spans="1:3">
      <c r="A445" s="36">
        <v>30709876135</v>
      </c>
      <c r="B445" t="s">
        <v>205</v>
      </c>
      <c r="C445" s="35" t="s">
        <v>2359</v>
      </c>
    </row>
    <row r="446" spans="1:3">
      <c r="A446" s="36">
        <v>30709876135</v>
      </c>
      <c r="B446" t="s">
        <v>205</v>
      </c>
      <c r="C446" s="35" t="s">
        <v>2359</v>
      </c>
    </row>
    <row r="447" spans="1:3">
      <c r="A447" s="36">
        <v>30709876135</v>
      </c>
      <c r="B447" t="s">
        <v>205</v>
      </c>
      <c r="C447" s="35" t="s">
        <v>2359</v>
      </c>
    </row>
    <row r="448" spans="1:3">
      <c r="A448" s="36">
        <v>30709876135</v>
      </c>
      <c r="B448" t="s">
        <v>205</v>
      </c>
      <c r="C448" s="35" t="s">
        <v>2359</v>
      </c>
    </row>
    <row r="449" spans="1:3">
      <c r="A449" s="36">
        <v>30709876135</v>
      </c>
      <c r="B449" t="s">
        <v>205</v>
      </c>
      <c r="C449" s="35" t="s">
        <v>2359</v>
      </c>
    </row>
    <row r="450" spans="1:3">
      <c r="A450" s="36">
        <v>4514465</v>
      </c>
      <c r="B450" t="s">
        <v>944</v>
      </c>
    </row>
    <row r="451" spans="1:3">
      <c r="A451" s="36">
        <v>27149682525</v>
      </c>
      <c r="B451" t="s">
        <v>945</v>
      </c>
    </row>
    <row r="452" spans="1:3">
      <c r="A452" s="36">
        <v>10721769</v>
      </c>
      <c r="B452" t="s">
        <v>946</v>
      </c>
    </row>
    <row r="453" spans="1:3">
      <c r="A453" s="36">
        <v>29656022</v>
      </c>
      <c r="B453" t="s">
        <v>947</v>
      </c>
    </row>
    <row r="454" spans="1:3">
      <c r="A454" s="36">
        <v>27364044319</v>
      </c>
      <c r="B454" t="s">
        <v>948</v>
      </c>
      <c r="C454" s="35" t="s">
        <v>2359</v>
      </c>
    </row>
    <row r="455" spans="1:3">
      <c r="A455" s="36">
        <v>27364044319</v>
      </c>
      <c r="B455" t="s">
        <v>948</v>
      </c>
      <c r="C455" s="35" t="s">
        <v>2359</v>
      </c>
    </row>
    <row r="456" spans="1:3">
      <c r="A456" s="36">
        <v>27364044319</v>
      </c>
      <c r="B456" t="s">
        <v>948</v>
      </c>
      <c r="C456" s="35" t="s">
        <v>2359</v>
      </c>
    </row>
    <row r="457" spans="1:3">
      <c r="A457" s="36">
        <v>27364044319</v>
      </c>
      <c r="B457" t="s">
        <v>948</v>
      </c>
      <c r="C457" s="35" t="s">
        <v>2359</v>
      </c>
    </row>
    <row r="458" spans="1:3">
      <c r="A458" s="36">
        <v>92365668</v>
      </c>
      <c r="B458" t="s">
        <v>949</v>
      </c>
    </row>
    <row r="459" spans="1:3">
      <c r="A459" s="36">
        <v>3968631</v>
      </c>
      <c r="B459" t="s">
        <v>950</v>
      </c>
    </row>
    <row r="460" spans="1:3">
      <c r="A460" s="36">
        <v>92824182</v>
      </c>
      <c r="B460" t="s">
        <v>951</v>
      </c>
    </row>
    <row r="461" spans="1:3">
      <c r="A461" s="36">
        <v>18171829</v>
      </c>
      <c r="B461" t="s">
        <v>952</v>
      </c>
    </row>
    <row r="462" spans="1:3">
      <c r="A462" s="36">
        <v>30715116274</v>
      </c>
      <c r="B462" t="s">
        <v>953</v>
      </c>
      <c r="C462" s="35" t="s">
        <v>2359</v>
      </c>
    </row>
    <row r="463" spans="1:3">
      <c r="A463" s="36">
        <v>30715116274</v>
      </c>
      <c r="B463" t="s">
        <v>953</v>
      </c>
      <c r="C463" s="35" t="s">
        <v>2359</v>
      </c>
    </row>
    <row r="464" spans="1:3">
      <c r="A464" s="36">
        <v>30715116274</v>
      </c>
      <c r="B464" t="s">
        <v>953</v>
      </c>
      <c r="C464" s="35" t="s">
        <v>2359</v>
      </c>
    </row>
    <row r="465" spans="1:3">
      <c r="A465" s="36">
        <v>30715116274</v>
      </c>
      <c r="B465" t="s">
        <v>953</v>
      </c>
      <c r="C465" s="35" t="s">
        <v>2359</v>
      </c>
    </row>
    <row r="466" spans="1:3">
      <c r="A466" s="36">
        <v>18737235</v>
      </c>
      <c r="B466" t="s">
        <v>2109</v>
      </c>
    </row>
    <row r="467" spans="1:3">
      <c r="A467" s="36">
        <v>22858165</v>
      </c>
      <c r="B467" t="s">
        <v>954</v>
      </c>
    </row>
    <row r="468" spans="1:3">
      <c r="A468" s="36">
        <v>20166808201</v>
      </c>
      <c r="B468" t="s">
        <v>2357</v>
      </c>
      <c r="C468" s="35" t="s">
        <v>2394</v>
      </c>
    </row>
    <row r="469" spans="1:3">
      <c r="A469" s="36">
        <v>20182721787</v>
      </c>
      <c r="B469" t="s">
        <v>206</v>
      </c>
      <c r="C469" s="35" t="s">
        <v>2359</v>
      </c>
    </row>
    <row r="470" spans="1:3">
      <c r="A470" s="36">
        <v>20182721787</v>
      </c>
      <c r="B470" t="s">
        <v>206</v>
      </c>
      <c r="C470" s="35" t="s">
        <v>2359</v>
      </c>
    </row>
    <row r="471" spans="1:3">
      <c r="A471" s="36">
        <v>20271174803</v>
      </c>
      <c r="B471" t="s">
        <v>207</v>
      </c>
    </row>
    <row r="472" spans="1:3">
      <c r="A472" s="36">
        <v>20101384412</v>
      </c>
      <c r="B472" t="s">
        <v>208</v>
      </c>
      <c r="C472" s="35" t="s">
        <v>2359</v>
      </c>
    </row>
    <row r="473" spans="1:3">
      <c r="A473" s="36">
        <v>20101384412</v>
      </c>
      <c r="B473" t="s">
        <v>208</v>
      </c>
      <c r="C473" s="35" t="s">
        <v>2359</v>
      </c>
    </row>
    <row r="474" spans="1:3">
      <c r="A474" s="36">
        <v>20129871947</v>
      </c>
      <c r="B474" t="s">
        <v>209</v>
      </c>
      <c r="C474" s="35" t="s">
        <v>2359</v>
      </c>
    </row>
    <row r="475" spans="1:3">
      <c r="A475" s="36">
        <v>20129871947</v>
      </c>
      <c r="B475" t="s">
        <v>209</v>
      </c>
      <c r="C475" s="35" t="s">
        <v>2359</v>
      </c>
    </row>
    <row r="476" spans="1:3">
      <c r="A476" s="36">
        <v>5439094</v>
      </c>
      <c r="B476" t="s">
        <v>955</v>
      </c>
    </row>
    <row r="477" spans="1:3">
      <c r="A477" s="36">
        <v>30707988378</v>
      </c>
      <c r="B477" t="s">
        <v>2358</v>
      </c>
      <c r="C477" s="35" t="s">
        <v>804</v>
      </c>
    </row>
    <row r="478" spans="1:3">
      <c r="A478" s="36">
        <v>30648604021</v>
      </c>
      <c r="B478" t="s">
        <v>1908</v>
      </c>
      <c r="C478" s="35" t="s">
        <v>2359</v>
      </c>
    </row>
    <row r="479" spans="1:3">
      <c r="A479" s="36">
        <v>18194225</v>
      </c>
      <c r="B479" t="s">
        <v>956</v>
      </c>
    </row>
    <row r="480" spans="1:3">
      <c r="A480" s="36">
        <v>33503921249</v>
      </c>
      <c r="B480" t="s">
        <v>210</v>
      </c>
      <c r="C480" s="35" t="s">
        <v>2359</v>
      </c>
    </row>
    <row r="481" spans="1:3">
      <c r="A481" s="36">
        <v>33503921249</v>
      </c>
      <c r="B481" t="s">
        <v>210</v>
      </c>
      <c r="C481" s="35" t="s">
        <v>2359</v>
      </c>
    </row>
    <row r="482" spans="1:3">
      <c r="A482" s="36">
        <v>23342254</v>
      </c>
      <c r="B482" t="s">
        <v>957</v>
      </c>
    </row>
    <row r="483" spans="1:3">
      <c r="A483" s="36">
        <v>93354584</v>
      </c>
      <c r="B483" t="s">
        <v>958</v>
      </c>
    </row>
    <row r="484" spans="1:3">
      <c r="A484" s="36">
        <v>20372769808</v>
      </c>
      <c r="B484" t="s">
        <v>959</v>
      </c>
      <c r="C484" s="35" t="s">
        <v>891</v>
      </c>
    </row>
    <row r="485" spans="1:3">
      <c r="A485" s="36">
        <v>20372769808</v>
      </c>
      <c r="B485" t="s">
        <v>959</v>
      </c>
      <c r="C485" s="35" t="s">
        <v>891</v>
      </c>
    </row>
    <row r="486" spans="1:3">
      <c r="A486" s="36">
        <v>30575818826</v>
      </c>
      <c r="B486" t="s">
        <v>960</v>
      </c>
      <c r="C486" s="35" t="s">
        <v>46</v>
      </c>
    </row>
    <row r="487" spans="1:3">
      <c r="A487" s="36">
        <v>30575818826</v>
      </c>
      <c r="B487" t="s">
        <v>960</v>
      </c>
      <c r="C487" s="35" t="s">
        <v>46</v>
      </c>
    </row>
    <row r="488" spans="1:3">
      <c r="A488" s="36">
        <v>30525517094</v>
      </c>
      <c r="B488" t="s">
        <v>211</v>
      </c>
    </row>
    <row r="489" spans="1:3">
      <c r="A489" s="36">
        <v>30526492281</v>
      </c>
      <c r="B489" t="s">
        <v>2245</v>
      </c>
      <c r="C489" s="35" t="s">
        <v>2359</v>
      </c>
    </row>
    <row r="490" spans="1:3">
      <c r="A490" s="36">
        <v>30526492281</v>
      </c>
      <c r="B490" t="s">
        <v>2245</v>
      </c>
      <c r="C490" s="35" t="s">
        <v>2359</v>
      </c>
    </row>
    <row r="491" spans="1:3">
      <c r="A491" s="36">
        <v>30575945232</v>
      </c>
      <c r="B491" t="s">
        <v>961</v>
      </c>
      <c r="C491" s="35" t="s">
        <v>79</v>
      </c>
    </row>
    <row r="492" spans="1:3">
      <c r="A492" s="36">
        <v>30575945232</v>
      </c>
      <c r="B492" t="s">
        <v>961</v>
      </c>
      <c r="C492" s="35" t="s">
        <v>79</v>
      </c>
    </row>
    <row r="493" spans="1:3">
      <c r="A493" s="36">
        <v>93309293</v>
      </c>
      <c r="B493" t="s">
        <v>962</v>
      </c>
    </row>
    <row r="494" spans="1:3">
      <c r="A494" s="36">
        <v>33712276539</v>
      </c>
      <c r="B494" t="s">
        <v>212</v>
      </c>
      <c r="C494" s="35" t="s">
        <v>44</v>
      </c>
    </row>
    <row r="495" spans="1:3">
      <c r="A495" s="36">
        <v>33712276539</v>
      </c>
      <c r="B495" t="s">
        <v>212</v>
      </c>
      <c r="C495" s="35" t="s">
        <v>2359</v>
      </c>
    </row>
    <row r="496" spans="1:3">
      <c r="A496" s="36">
        <v>36413855</v>
      </c>
      <c r="B496" t="s">
        <v>963</v>
      </c>
    </row>
    <row r="497" spans="1:3">
      <c r="A497" s="36">
        <v>12454862</v>
      </c>
      <c r="B497" t="s">
        <v>964</v>
      </c>
    </row>
    <row r="498" spans="1:3">
      <c r="A498" s="36">
        <v>12454862</v>
      </c>
      <c r="B498" t="s">
        <v>964</v>
      </c>
    </row>
    <row r="499" spans="1:3">
      <c r="A499" s="36">
        <v>30529403522</v>
      </c>
      <c r="B499" t="s">
        <v>1950</v>
      </c>
      <c r="C499" s="35" t="s">
        <v>79</v>
      </c>
    </row>
    <row r="500" spans="1:3">
      <c r="A500" s="36">
        <v>10624244</v>
      </c>
      <c r="B500" t="s">
        <v>965</v>
      </c>
    </row>
    <row r="501" spans="1:3">
      <c r="A501" s="36">
        <v>93281329</v>
      </c>
      <c r="B501" t="s">
        <v>966</v>
      </c>
    </row>
    <row r="502" spans="1:3">
      <c r="A502" s="36">
        <v>30716174766</v>
      </c>
      <c r="B502" t="s">
        <v>967</v>
      </c>
      <c r="C502" s="35" t="s">
        <v>2359</v>
      </c>
    </row>
    <row r="503" spans="1:3">
      <c r="A503" s="36">
        <v>30716174766</v>
      </c>
      <c r="B503" t="s">
        <v>967</v>
      </c>
      <c r="C503" s="35" t="s">
        <v>2359</v>
      </c>
    </row>
    <row r="504" spans="1:3">
      <c r="A504" s="36">
        <v>7625197</v>
      </c>
      <c r="B504" t="s">
        <v>968</v>
      </c>
    </row>
    <row r="505" spans="1:3">
      <c r="A505" s="36">
        <v>8643409</v>
      </c>
      <c r="B505" t="s">
        <v>969</v>
      </c>
    </row>
    <row r="506" spans="1:3">
      <c r="A506" s="36">
        <v>30710176325</v>
      </c>
      <c r="B506" t="s">
        <v>213</v>
      </c>
    </row>
    <row r="507" spans="1:3">
      <c r="A507" s="36">
        <v>20251303402</v>
      </c>
      <c r="B507" t="s">
        <v>2275</v>
      </c>
      <c r="C507" s="35" t="s">
        <v>804</v>
      </c>
    </row>
    <row r="508" spans="1:3">
      <c r="A508" s="36">
        <v>22079320</v>
      </c>
      <c r="B508" t="s">
        <v>970</v>
      </c>
    </row>
    <row r="509" spans="1:3">
      <c r="A509" s="36">
        <v>30697574480</v>
      </c>
      <c r="B509" t="s">
        <v>214</v>
      </c>
    </row>
    <row r="510" spans="1:3">
      <c r="A510" s="36">
        <v>31677752</v>
      </c>
      <c r="B510" t="s">
        <v>971</v>
      </c>
    </row>
    <row r="511" spans="1:3">
      <c r="A511" s="36">
        <v>20250373</v>
      </c>
      <c r="B511" t="s">
        <v>972</v>
      </c>
    </row>
    <row r="512" spans="1:3">
      <c r="A512" s="36">
        <v>30568463591</v>
      </c>
      <c r="B512" t="s">
        <v>215</v>
      </c>
    </row>
    <row r="513" spans="1:3">
      <c r="A513" s="36">
        <v>30590360763</v>
      </c>
      <c r="B513" t="s">
        <v>88</v>
      </c>
      <c r="C513" s="35" t="s">
        <v>79</v>
      </c>
    </row>
    <row r="514" spans="1:3">
      <c r="A514" s="36">
        <v>30590360763</v>
      </c>
      <c r="B514" t="s">
        <v>88</v>
      </c>
      <c r="C514" s="35" t="s">
        <v>2359</v>
      </c>
    </row>
    <row r="515" spans="1:3">
      <c r="A515" s="36">
        <v>30707612971</v>
      </c>
      <c r="B515" t="s">
        <v>216</v>
      </c>
      <c r="C515" s="35" t="s">
        <v>796</v>
      </c>
    </row>
    <row r="516" spans="1:3">
      <c r="A516" s="36">
        <v>30707612971</v>
      </c>
      <c r="B516" t="s">
        <v>216</v>
      </c>
      <c r="C516" s="35" t="s">
        <v>796</v>
      </c>
    </row>
    <row r="517" spans="1:3">
      <c r="A517" s="36">
        <v>30707612971</v>
      </c>
      <c r="B517" t="s">
        <v>216</v>
      </c>
      <c r="C517" s="35" t="s">
        <v>796</v>
      </c>
    </row>
    <row r="518" spans="1:3">
      <c r="A518" s="36">
        <v>30707612971</v>
      </c>
      <c r="B518" t="s">
        <v>216</v>
      </c>
      <c r="C518" s="35" t="s">
        <v>796</v>
      </c>
    </row>
    <row r="519" spans="1:3">
      <c r="A519" s="36">
        <v>30707612971</v>
      </c>
      <c r="B519" t="s">
        <v>216</v>
      </c>
    </row>
    <row r="520" spans="1:3">
      <c r="A520" s="36">
        <v>30714758116</v>
      </c>
      <c r="B520" t="s">
        <v>2136</v>
      </c>
    </row>
    <row r="521" spans="1:3">
      <c r="A521" s="36">
        <v>27318630157</v>
      </c>
      <c r="B521" t="s">
        <v>2191</v>
      </c>
      <c r="C521" s="35" t="s">
        <v>2367</v>
      </c>
    </row>
    <row r="522" spans="1:3">
      <c r="A522" s="36">
        <v>27318630157</v>
      </c>
      <c r="B522" t="s">
        <v>2191</v>
      </c>
      <c r="C522" s="35" t="s">
        <v>1015</v>
      </c>
    </row>
    <row r="523" spans="1:3">
      <c r="A523" s="36">
        <v>20262744672</v>
      </c>
      <c r="B523" t="s">
        <v>2268</v>
      </c>
    </row>
    <row r="524" spans="1:3">
      <c r="A524" s="36">
        <v>30687752925</v>
      </c>
      <c r="B524" t="s">
        <v>973</v>
      </c>
    </row>
    <row r="525" spans="1:3">
      <c r="A525" s="36">
        <v>30707535934</v>
      </c>
      <c r="B525" t="s">
        <v>974</v>
      </c>
      <c r="C525" s="35" t="s">
        <v>44</v>
      </c>
    </row>
    <row r="526" spans="1:3">
      <c r="A526" s="36">
        <v>30707535934</v>
      </c>
      <c r="B526" t="s">
        <v>974</v>
      </c>
      <c r="C526" s="35" t="s">
        <v>44</v>
      </c>
    </row>
    <row r="527" spans="1:3">
      <c r="A527" s="36">
        <v>30710009798</v>
      </c>
      <c r="B527" t="s">
        <v>975</v>
      </c>
    </row>
    <row r="528" spans="1:3">
      <c r="A528" s="36">
        <v>14070667</v>
      </c>
      <c r="B528" t="s">
        <v>976</v>
      </c>
    </row>
    <row r="529" spans="1:3">
      <c r="A529" s="36">
        <v>4175706</v>
      </c>
      <c r="B529" t="s">
        <v>977</v>
      </c>
    </row>
    <row r="530" spans="1:3">
      <c r="A530" s="36">
        <v>20182095215</v>
      </c>
      <c r="B530" t="s">
        <v>217</v>
      </c>
      <c r="C530" s="35" t="s">
        <v>2381</v>
      </c>
    </row>
    <row r="531" spans="1:3">
      <c r="A531" s="36">
        <v>20182095215</v>
      </c>
      <c r="B531" t="s">
        <v>217</v>
      </c>
      <c r="C531" s="35" t="s">
        <v>2381</v>
      </c>
    </row>
    <row r="532" spans="1:3">
      <c r="A532" s="36">
        <v>30708741562</v>
      </c>
      <c r="B532" t="s">
        <v>218</v>
      </c>
      <c r="C532" s="35" t="s">
        <v>2359</v>
      </c>
    </row>
    <row r="533" spans="1:3">
      <c r="A533" s="36">
        <v>30708741562</v>
      </c>
      <c r="B533" t="s">
        <v>218</v>
      </c>
      <c r="C533" s="35" t="s">
        <v>2359</v>
      </c>
    </row>
    <row r="534" spans="1:3">
      <c r="A534" s="36">
        <v>30696692951</v>
      </c>
      <c r="B534" t="s">
        <v>2165</v>
      </c>
      <c r="C534" s="35" t="s">
        <v>804</v>
      </c>
    </row>
    <row r="535" spans="1:3">
      <c r="A535" s="36">
        <v>30696692951</v>
      </c>
      <c r="B535" t="s">
        <v>2165</v>
      </c>
      <c r="C535" s="35" t="s">
        <v>46</v>
      </c>
    </row>
    <row r="536" spans="1:3">
      <c r="A536" s="36">
        <v>30712192735</v>
      </c>
      <c r="B536" t="s">
        <v>219</v>
      </c>
    </row>
    <row r="537" spans="1:3">
      <c r="A537" s="36">
        <v>4164120</v>
      </c>
      <c r="B537" t="s">
        <v>978</v>
      </c>
    </row>
    <row r="538" spans="1:3">
      <c r="A538" s="36">
        <v>20190742297</v>
      </c>
      <c r="B538" t="s">
        <v>2308</v>
      </c>
      <c r="C538" s="35" t="s">
        <v>79</v>
      </c>
    </row>
    <row r="539" spans="1:3">
      <c r="A539" s="36">
        <v>20410096103</v>
      </c>
      <c r="B539" t="s">
        <v>2233</v>
      </c>
      <c r="C539" s="35" t="s">
        <v>79</v>
      </c>
    </row>
    <row r="540" spans="1:3">
      <c r="A540" s="36">
        <v>20410096103</v>
      </c>
      <c r="B540" t="s">
        <v>2233</v>
      </c>
    </row>
    <row r="541" spans="1:3">
      <c r="A541" s="36">
        <v>4676555</v>
      </c>
      <c r="B541" t="s">
        <v>979</v>
      </c>
    </row>
    <row r="542" spans="1:3">
      <c r="A542" s="36">
        <v>29433302</v>
      </c>
      <c r="B542" t="s">
        <v>980</v>
      </c>
    </row>
    <row r="543" spans="1:3">
      <c r="A543" s="36">
        <v>27251962559</v>
      </c>
      <c r="B543" t="s">
        <v>2329</v>
      </c>
      <c r="C543" s="35" t="s">
        <v>79</v>
      </c>
    </row>
    <row r="544" spans="1:3">
      <c r="A544" s="36">
        <v>33293764</v>
      </c>
      <c r="B544" t="s">
        <v>981</v>
      </c>
    </row>
    <row r="545" spans="1:3">
      <c r="A545" s="36">
        <v>13211322</v>
      </c>
      <c r="B545" t="s">
        <v>982</v>
      </c>
    </row>
    <row r="546" spans="1:3">
      <c r="A546" s="36">
        <v>30656459677</v>
      </c>
      <c r="B546" t="s">
        <v>220</v>
      </c>
    </row>
    <row r="547" spans="1:3">
      <c r="A547" s="36">
        <v>32091051</v>
      </c>
      <c r="B547" t="s">
        <v>983</v>
      </c>
    </row>
    <row r="548" spans="1:3">
      <c r="A548" s="36">
        <v>10740809</v>
      </c>
      <c r="B548" t="s">
        <v>984</v>
      </c>
    </row>
    <row r="549" spans="1:3">
      <c r="A549" s="36">
        <v>27945274110</v>
      </c>
      <c r="B549" t="s">
        <v>221</v>
      </c>
      <c r="C549" s="35" t="s">
        <v>2359</v>
      </c>
    </row>
    <row r="550" spans="1:3">
      <c r="A550" s="36">
        <v>27945274110</v>
      </c>
      <c r="B550" t="s">
        <v>221</v>
      </c>
      <c r="C550" s="35" t="s">
        <v>2359</v>
      </c>
    </row>
    <row r="551" spans="1:3">
      <c r="A551" s="36">
        <v>30594832783</v>
      </c>
      <c r="B551" t="s">
        <v>985</v>
      </c>
      <c r="C551" s="35" t="s">
        <v>44</v>
      </c>
    </row>
    <row r="552" spans="1:3">
      <c r="A552" s="36">
        <v>30594832783</v>
      </c>
      <c r="B552" t="s">
        <v>985</v>
      </c>
      <c r="C552" s="35" t="s">
        <v>44</v>
      </c>
    </row>
    <row r="553" spans="1:3">
      <c r="A553" s="36">
        <v>17606673</v>
      </c>
      <c r="B553" t="s">
        <v>986</v>
      </c>
    </row>
    <row r="554" spans="1:3">
      <c r="A554" s="36">
        <v>92687609</v>
      </c>
      <c r="B554" t="s">
        <v>987</v>
      </c>
    </row>
    <row r="555" spans="1:3">
      <c r="A555" s="36">
        <v>6883634</v>
      </c>
      <c r="B555" t="s">
        <v>988</v>
      </c>
    </row>
    <row r="556" spans="1:3">
      <c r="A556" s="36">
        <v>14242853</v>
      </c>
      <c r="B556" t="s">
        <v>989</v>
      </c>
    </row>
    <row r="557" spans="1:3">
      <c r="A557" s="36">
        <v>31290461</v>
      </c>
      <c r="B557" t="s">
        <v>990</v>
      </c>
    </row>
    <row r="558" spans="1:3">
      <c r="A558" s="36">
        <v>30707986189</v>
      </c>
      <c r="B558" t="s">
        <v>991</v>
      </c>
      <c r="C558" s="35" t="s">
        <v>2359</v>
      </c>
    </row>
    <row r="559" spans="1:3">
      <c r="A559" s="36">
        <v>30707986189</v>
      </c>
      <c r="B559" t="s">
        <v>991</v>
      </c>
      <c r="C559" s="35" t="s">
        <v>2359</v>
      </c>
    </row>
    <row r="560" spans="1:3">
      <c r="A560" s="36">
        <v>30714500933</v>
      </c>
      <c r="B560" t="s">
        <v>222</v>
      </c>
    </row>
    <row r="561" spans="1:3">
      <c r="A561" s="36">
        <v>23147508999</v>
      </c>
      <c r="B561" t="s">
        <v>992</v>
      </c>
    </row>
    <row r="562" spans="1:3">
      <c r="A562" s="36">
        <v>30702286987</v>
      </c>
      <c r="B562" t="s">
        <v>223</v>
      </c>
      <c r="C562" s="35" t="s">
        <v>79</v>
      </c>
    </row>
    <row r="563" spans="1:3">
      <c r="A563" s="36">
        <v>30702286987</v>
      </c>
      <c r="B563" t="s">
        <v>223</v>
      </c>
      <c r="C563" s="35" t="s">
        <v>79</v>
      </c>
    </row>
    <row r="564" spans="1:3">
      <c r="A564" s="36">
        <v>35186046</v>
      </c>
      <c r="B564" t="s">
        <v>1867</v>
      </c>
    </row>
    <row r="565" spans="1:3">
      <c r="A565" s="36">
        <v>16895315</v>
      </c>
      <c r="B565" t="s">
        <v>993</v>
      </c>
    </row>
    <row r="566" spans="1:3">
      <c r="A566" s="36">
        <v>30708651644</v>
      </c>
      <c r="B566" t="s">
        <v>224</v>
      </c>
    </row>
    <row r="567" spans="1:3">
      <c r="A567" s="36">
        <v>27172039036</v>
      </c>
      <c r="B567" t="s">
        <v>225</v>
      </c>
    </row>
    <row r="568" spans="1:3">
      <c r="A568" s="36">
        <v>27237719145</v>
      </c>
      <c r="B568" t="s">
        <v>994</v>
      </c>
      <c r="C568" s="35" t="s">
        <v>2359</v>
      </c>
    </row>
    <row r="569" spans="1:3">
      <c r="A569" s="36">
        <v>27237719145</v>
      </c>
      <c r="B569" t="s">
        <v>994</v>
      </c>
      <c r="C569" s="35" t="s">
        <v>2359</v>
      </c>
    </row>
    <row r="570" spans="1:3">
      <c r="A570" s="36">
        <v>17677788</v>
      </c>
      <c r="B570" t="s">
        <v>995</v>
      </c>
    </row>
    <row r="571" spans="1:3">
      <c r="A571" s="36">
        <v>20927573483</v>
      </c>
      <c r="B571" t="s">
        <v>226</v>
      </c>
    </row>
    <row r="572" spans="1:3">
      <c r="A572" s="36">
        <v>30628878966</v>
      </c>
      <c r="B572" t="s">
        <v>227</v>
      </c>
    </row>
    <row r="573" spans="1:3">
      <c r="A573" s="36">
        <v>30530328348</v>
      </c>
      <c r="B573" t="s">
        <v>228</v>
      </c>
    </row>
    <row r="574" spans="1:3">
      <c r="A574" s="36">
        <v>8235684</v>
      </c>
      <c r="B574" t="s">
        <v>996</v>
      </c>
    </row>
    <row r="575" spans="1:3">
      <c r="A575" s="36">
        <v>30525390086</v>
      </c>
      <c r="B575" t="s">
        <v>89</v>
      </c>
    </row>
    <row r="576" spans="1:3">
      <c r="A576" s="36">
        <v>30638177826</v>
      </c>
      <c r="B576" t="s">
        <v>229</v>
      </c>
    </row>
    <row r="577" spans="1:3">
      <c r="A577" s="36">
        <v>23117888169</v>
      </c>
      <c r="B577" t="s">
        <v>230</v>
      </c>
      <c r="C577" s="35" t="s">
        <v>2359</v>
      </c>
    </row>
    <row r="578" spans="1:3">
      <c r="A578" s="36">
        <v>23117888169</v>
      </c>
      <c r="B578" t="s">
        <v>230</v>
      </c>
      <c r="C578" s="35" t="s">
        <v>2359</v>
      </c>
    </row>
    <row r="579" spans="1:3">
      <c r="A579" s="36">
        <v>27729252</v>
      </c>
      <c r="B579" t="s">
        <v>997</v>
      </c>
    </row>
    <row r="580" spans="1:3">
      <c r="A580" s="36">
        <v>23334822869</v>
      </c>
      <c r="B580" t="s">
        <v>1897</v>
      </c>
      <c r="C580" s="35" t="s">
        <v>79</v>
      </c>
    </row>
    <row r="581" spans="1:3">
      <c r="A581" s="36">
        <v>13214933</v>
      </c>
      <c r="B581" t="s">
        <v>2132</v>
      </c>
    </row>
    <row r="582" spans="1:3">
      <c r="A582" s="36">
        <v>1976258</v>
      </c>
      <c r="B582" t="s">
        <v>998</v>
      </c>
    </row>
    <row r="583" spans="1:3">
      <c r="A583" s="36">
        <v>23258785479</v>
      </c>
      <c r="B583" t="s">
        <v>999</v>
      </c>
      <c r="C583" s="35" t="s">
        <v>891</v>
      </c>
    </row>
    <row r="584" spans="1:3">
      <c r="A584" s="36">
        <v>23258785479</v>
      </c>
      <c r="B584" t="s">
        <v>999</v>
      </c>
      <c r="C584" s="35" t="s">
        <v>891</v>
      </c>
    </row>
    <row r="585" spans="1:3">
      <c r="A585" s="36">
        <v>5581669</v>
      </c>
      <c r="B585" t="s">
        <v>1000</v>
      </c>
    </row>
    <row r="586" spans="1:3">
      <c r="A586" s="36">
        <v>35092896</v>
      </c>
      <c r="B586" t="s">
        <v>1001</v>
      </c>
    </row>
    <row r="587" spans="1:3">
      <c r="A587" s="36">
        <v>20274215632</v>
      </c>
      <c r="B587" t="s">
        <v>2177</v>
      </c>
      <c r="C587" s="35" t="s">
        <v>79</v>
      </c>
    </row>
    <row r="588" spans="1:3">
      <c r="A588" s="36">
        <v>20274215632</v>
      </c>
      <c r="B588" t="s">
        <v>2177</v>
      </c>
    </row>
    <row r="589" spans="1:3">
      <c r="A589" s="36">
        <v>30688140923</v>
      </c>
      <c r="B589" t="s">
        <v>231</v>
      </c>
      <c r="C589" s="35" t="s">
        <v>2359</v>
      </c>
    </row>
    <row r="590" spans="1:3">
      <c r="A590" s="36">
        <v>30707212698</v>
      </c>
      <c r="B590" t="s">
        <v>232</v>
      </c>
      <c r="C590" s="35" t="s">
        <v>2359</v>
      </c>
    </row>
    <row r="591" spans="1:3">
      <c r="A591" s="36">
        <v>30707212698</v>
      </c>
      <c r="B591" t="s">
        <v>232</v>
      </c>
      <c r="C591" s="35" t="s">
        <v>2359</v>
      </c>
    </row>
    <row r="592" spans="1:3">
      <c r="A592" s="36">
        <v>30519492136</v>
      </c>
      <c r="B592" t="s">
        <v>233</v>
      </c>
      <c r="C592" s="35" t="s">
        <v>2359</v>
      </c>
    </row>
    <row r="593" spans="1:3">
      <c r="A593" s="36">
        <v>30519492136</v>
      </c>
      <c r="B593" t="s">
        <v>233</v>
      </c>
      <c r="C593" s="35" t="s">
        <v>2359</v>
      </c>
    </row>
    <row r="594" spans="1:3">
      <c r="A594" s="36">
        <v>30716160889</v>
      </c>
      <c r="B594" t="s">
        <v>1942</v>
      </c>
    </row>
    <row r="595" spans="1:3">
      <c r="A595" s="36">
        <v>30708736186</v>
      </c>
      <c r="B595" t="s">
        <v>2186</v>
      </c>
      <c r="C595" s="35" t="s">
        <v>79</v>
      </c>
    </row>
    <row r="596" spans="1:3">
      <c r="A596" s="36">
        <v>30708736186</v>
      </c>
      <c r="B596" t="s">
        <v>2186</v>
      </c>
      <c r="C596" s="35" t="s">
        <v>79</v>
      </c>
    </row>
    <row r="597" spans="1:3">
      <c r="A597" s="36">
        <v>23359537069</v>
      </c>
      <c r="B597" t="s">
        <v>2008</v>
      </c>
      <c r="C597" s="35" t="s">
        <v>2359</v>
      </c>
    </row>
    <row r="598" spans="1:3">
      <c r="A598" s="36">
        <v>5660462</v>
      </c>
      <c r="B598" t="s">
        <v>1925</v>
      </c>
    </row>
    <row r="599" spans="1:3">
      <c r="A599" s="36">
        <v>30518455970</v>
      </c>
      <c r="B599" t="s">
        <v>234</v>
      </c>
    </row>
    <row r="600" spans="1:3">
      <c r="A600" s="36">
        <v>30711170096</v>
      </c>
      <c r="B600" t="s">
        <v>1002</v>
      </c>
      <c r="C600" s="35" t="s">
        <v>44</v>
      </c>
    </row>
    <row r="601" spans="1:3">
      <c r="A601" s="36">
        <v>30711170096</v>
      </c>
      <c r="B601" t="s">
        <v>1002</v>
      </c>
      <c r="C601" s="35" t="s">
        <v>44</v>
      </c>
    </row>
    <row r="602" spans="1:3">
      <c r="A602" s="36">
        <v>30682115722</v>
      </c>
      <c r="B602" t="s">
        <v>235</v>
      </c>
    </row>
    <row r="603" spans="1:3">
      <c r="A603" s="36">
        <v>33710268059</v>
      </c>
      <c r="B603" t="s">
        <v>1003</v>
      </c>
      <c r="C603" s="35" t="s">
        <v>2411</v>
      </c>
    </row>
    <row r="604" spans="1:3">
      <c r="A604" s="36">
        <v>33710268059</v>
      </c>
      <c r="B604" t="s">
        <v>1003</v>
      </c>
      <c r="C604" s="35" t="s">
        <v>2411</v>
      </c>
    </row>
    <row r="605" spans="1:3">
      <c r="A605" s="36">
        <v>30605344352</v>
      </c>
      <c r="B605" t="s">
        <v>1004</v>
      </c>
      <c r="C605" s="35" t="s">
        <v>2381</v>
      </c>
    </row>
    <row r="606" spans="1:3">
      <c r="A606" s="36">
        <v>30605344352</v>
      </c>
      <c r="B606" t="s">
        <v>1004</v>
      </c>
      <c r="C606" s="35" t="s">
        <v>79</v>
      </c>
    </row>
    <row r="607" spans="1:3">
      <c r="A607" s="36">
        <v>30605344352</v>
      </c>
      <c r="B607" t="s">
        <v>236</v>
      </c>
      <c r="C607" s="35" t="s">
        <v>2382</v>
      </c>
    </row>
    <row r="608" spans="1:3">
      <c r="A608" s="36">
        <v>30605344352</v>
      </c>
      <c r="B608" t="s">
        <v>236</v>
      </c>
      <c r="C608" s="35" t="s">
        <v>79</v>
      </c>
    </row>
    <row r="609" spans="1:3">
      <c r="A609" s="36">
        <v>30714510092</v>
      </c>
      <c r="B609" t="s">
        <v>237</v>
      </c>
      <c r="C609" s="35" t="s">
        <v>2359</v>
      </c>
    </row>
    <row r="610" spans="1:3">
      <c r="A610" s="36">
        <v>30714510092</v>
      </c>
      <c r="B610" t="s">
        <v>237</v>
      </c>
      <c r="C610" s="35" t="s">
        <v>2359</v>
      </c>
    </row>
    <row r="611" spans="1:3">
      <c r="A611" s="36">
        <v>30715904868</v>
      </c>
      <c r="B611" t="s">
        <v>238</v>
      </c>
    </row>
    <row r="612" spans="1:3">
      <c r="A612" s="36">
        <v>30714864269</v>
      </c>
      <c r="B612" t="s">
        <v>2387</v>
      </c>
      <c r="C612" s="35" t="s">
        <v>2379</v>
      </c>
    </row>
    <row r="613" spans="1:3">
      <c r="A613" s="36">
        <v>18021487</v>
      </c>
      <c r="B613" t="s">
        <v>2083</v>
      </c>
    </row>
    <row r="614" spans="1:3">
      <c r="A614" s="36">
        <v>33714788219</v>
      </c>
      <c r="B614" t="s">
        <v>239</v>
      </c>
    </row>
    <row r="615" spans="1:3">
      <c r="A615" s="36">
        <v>20134281783</v>
      </c>
      <c r="B615" t="s">
        <v>240</v>
      </c>
      <c r="C615" s="35" t="s">
        <v>2359</v>
      </c>
    </row>
    <row r="616" spans="1:3">
      <c r="A616" s="36">
        <v>20134281783</v>
      </c>
      <c r="B616" t="s">
        <v>240</v>
      </c>
      <c r="C616" s="35" t="s">
        <v>2359</v>
      </c>
    </row>
    <row r="617" spans="1:3">
      <c r="A617" s="36">
        <v>20134281783</v>
      </c>
      <c r="B617" t="s">
        <v>240</v>
      </c>
      <c r="C617" s="35" t="s">
        <v>2359</v>
      </c>
    </row>
    <row r="618" spans="1:3">
      <c r="A618" s="36">
        <v>20134281783</v>
      </c>
      <c r="B618" t="s">
        <v>240</v>
      </c>
      <c r="C618" s="35" t="s">
        <v>2359</v>
      </c>
    </row>
    <row r="619" spans="1:3">
      <c r="A619" s="36">
        <v>20134281783</v>
      </c>
      <c r="B619" t="s">
        <v>240</v>
      </c>
      <c r="C619" s="35" t="s">
        <v>2359</v>
      </c>
    </row>
    <row r="620" spans="1:3">
      <c r="A620" s="36">
        <v>20134281783</v>
      </c>
      <c r="B620" t="s">
        <v>240</v>
      </c>
      <c r="C620" s="35" t="s">
        <v>2359</v>
      </c>
    </row>
    <row r="621" spans="1:3">
      <c r="A621" s="36">
        <v>17343213</v>
      </c>
      <c r="B621" t="s">
        <v>1005</v>
      </c>
    </row>
    <row r="622" spans="1:3">
      <c r="A622" s="36">
        <v>30682998330</v>
      </c>
      <c r="B622" t="s">
        <v>1006</v>
      </c>
      <c r="C622" s="35" t="s">
        <v>891</v>
      </c>
    </row>
    <row r="623" spans="1:3">
      <c r="A623" s="36">
        <v>30682998330</v>
      </c>
      <c r="B623" t="s">
        <v>1006</v>
      </c>
      <c r="C623" s="35" t="s">
        <v>891</v>
      </c>
    </row>
    <row r="624" spans="1:3">
      <c r="A624" s="36">
        <v>30710730233</v>
      </c>
      <c r="B624" t="s">
        <v>1007</v>
      </c>
    </row>
    <row r="625" spans="1:3">
      <c r="A625" s="36">
        <v>30577207190</v>
      </c>
      <c r="B625" t="s">
        <v>1008</v>
      </c>
      <c r="C625" s="35" t="s">
        <v>891</v>
      </c>
    </row>
    <row r="626" spans="1:3">
      <c r="A626" s="36">
        <v>30577207190</v>
      </c>
      <c r="B626" t="s">
        <v>1008</v>
      </c>
      <c r="C626" s="35" t="s">
        <v>891</v>
      </c>
    </row>
    <row r="627" spans="1:3">
      <c r="A627" s="36">
        <v>30519678205</v>
      </c>
      <c r="B627" t="s">
        <v>241</v>
      </c>
    </row>
    <row r="628" spans="1:3">
      <c r="A628" s="36">
        <v>30548345525</v>
      </c>
      <c r="B628" t="s">
        <v>242</v>
      </c>
      <c r="C628" s="35" t="s">
        <v>79</v>
      </c>
    </row>
    <row r="629" spans="1:3">
      <c r="A629" s="36">
        <v>30548345525</v>
      </c>
      <c r="B629" t="s">
        <v>242</v>
      </c>
      <c r="C629" s="35" t="s">
        <v>79</v>
      </c>
    </row>
    <row r="630" spans="1:3">
      <c r="A630" s="36">
        <v>30549345525</v>
      </c>
      <c r="B630" t="s">
        <v>242</v>
      </c>
      <c r="C630" s="35" t="s">
        <v>46</v>
      </c>
    </row>
    <row r="631" spans="1:3">
      <c r="A631" s="36">
        <v>30549345525</v>
      </c>
      <c r="B631" t="s">
        <v>242</v>
      </c>
    </row>
    <row r="632" spans="1:3">
      <c r="A632" s="36">
        <v>30693761421</v>
      </c>
      <c r="B632" t="s">
        <v>243</v>
      </c>
    </row>
    <row r="633" spans="1:3">
      <c r="A633" s="36">
        <v>3707945</v>
      </c>
      <c r="B633" t="s">
        <v>1842</v>
      </c>
    </row>
    <row r="634" spans="1:3">
      <c r="A634" s="36">
        <v>20278955991</v>
      </c>
      <c r="B634" t="s">
        <v>1009</v>
      </c>
    </row>
    <row r="635" spans="1:3">
      <c r="A635" s="36">
        <v>92634198</v>
      </c>
      <c r="B635" t="s">
        <v>2121</v>
      </c>
    </row>
    <row r="636" spans="1:3">
      <c r="A636" s="36">
        <v>33362509</v>
      </c>
      <c r="B636" t="s">
        <v>1010</v>
      </c>
    </row>
    <row r="637" spans="1:3">
      <c r="A637" s="36">
        <v>30709479624</v>
      </c>
      <c r="B637" t="s">
        <v>244</v>
      </c>
    </row>
    <row r="638" spans="1:3">
      <c r="A638" s="36">
        <v>20233248283</v>
      </c>
      <c r="B638" t="s">
        <v>1011</v>
      </c>
      <c r="C638" s="35" t="s">
        <v>2359</v>
      </c>
    </row>
    <row r="639" spans="1:3">
      <c r="A639" s="36">
        <v>20233248283</v>
      </c>
      <c r="B639" t="s">
        <v>1011</v>
      </c>
      <c r="C639" s="35" t="s">
        <v>2359</v>
      </c>
    </row>
    <row r="640" spans="1:3">
      <c r="A640" s="36">
        <v>30715804812</v>
      </c>
      <c r="B640" t="s">
        <v>1012</v>
      </c>
      <c r="C640" s="35" t="s">
        <v>857</v>
      </c>
    </row>
    <row r="641" spans="1:3">
      <c r="A641" s="36">
        <v>30715804812</v>
      </c>
      <c r="B641" t="s">
        <v>1012</v>
      </c>
      <c r="C641" s="35" t="s">
        <v>857</v>
      </c>
    </row>
    <row r="642" spans="1:3">
      <c r="A642" s="36">
        <v>27716112</v>
      </c>
      <c r="B642" t="s">
        <v>1013</v>
      </c>
    </row>
    <row r="643" spans="1:3">
      <c r="A643" s="36">
        <v>33699685459</v>
      </c>
      <c r="B643" t="s">
        <v>1014</v>
      </c>
      <c r="C643" s="35" t="s">
        <v>781</v>
      </c>
    </row>
    <row r="644" spans="1:3">
      <c r="A644" s="36">
        <v>33699685459</v>
      </c>
      <c r="B644" t="s">
        <v>1014</v>
      </c>
      <c r="C644" s="35" t="s">
        <v>1015</v>
      </c>
    </row>
    <row r="645" spans="1:3">
      <c r="A645" s="36">
        <v>23115425099</v>
      </c>
      <c r="B645" t="s">
        <v>245</v>
      </c>
    </row>
    <row r="646" spans="1:3">
      <c r="A646" s="36">
        <v>30708574836</v>
      </c>
      <c r="B646" t="s">
        <v>1016</v>
      </c>
      <c r="C646" s="35" t="s">
        <v>79</v>
      </c>
    </row>
    <row r="647" spans="1:3">
      <c r="A647" s="36">
        <v>30708574836</v>
      </c>
      <c r="B647" t="s">
        <v>1016</v>
      </c>
      <c r="C647" s="35" t="s">
        <v>79</v>
      </c>
    </row>
    <row r="648" spans="1:3">
      <c r="A648" s="36">
        <v>33710271149</v>
      </c>
      <c r="B648" t="s">
        <v>1017</v>
      </c>
    </row>
    <row r="649" spans="1:3">
      <c r="A649" s="36">
        <v>33710271149</v>
      </c>
      <c r="B649" t="s">
        <v>1017</v>
      </c>
    </row>
    <row r="650" spans="1:3">
      <c r="A650" s="36">
        <v>30636196858</v>
      </c>
      <c r="B650" t="s">
        <v>1018</v>
      </c>
    </row>
    <row r="651" spans="1:3">
      <c r="A651" s="36">
        <v>27065000216</v>
      </c>
      <c r="B651" t="s">
        <v>246</v>
      </c>
      <c r="C651" s="35" t="s">
        <v>2359</v>
      </c>
    </row>
    <row r="652" spans="1:3">
      <c r="A652" s="36">
        <v>27065000216</v>
      </c>
      <c r="B652" t="s">
        <v>246</v>
      </c>
      <c r="C652" s="35" t="s">
        <v>2359</v>
      </c>
    </row>
    <row r="653" spans="1:3">
      <c r="A653" s="36">
        <v>10045074</v>
      </c>
      <c r="B653" t="s">
        <v>1019</v>
      </c>
    </row>
    <row r="654" spans="1:3">
      <c r="A654" s="36">
        <v>10947977</v>
      </c>
      <c r="B654" t="s">
        <v>1989</v>
      </c>
    </row>
    <row r="655" spans="1:3">
      <c r="A655" s="36">
        <v>20110663316</v>
      </c>
      <c r="B655" t="s">
        <v>2229</v>
      </c>
      <c r="C655" s="35" t="s">
        <v>2359</v>
      </c>
    </row>
    <row r="656" spans="1:3">
      <c r="A656" s="36">
        <v>20110663316</v>
      </c>
      <c r="B656" t="s">
        <v>2229</v>
      </c>
    </row>
    <row r="657" spans="1:3">
      <c r="A657" s="36">
        <v>30548083156</v>
      </c>
      <c r="B657" t="s">
        <v>91</v>
      </c>
      <c r="C657" s="35" t="s">
        <v>79</v>
      </c>
    </row>
    <row r="658" spans="1:3">
      <c r="A658" s="36">
        <v>30548083156</v>
      </c>
      <c r="B658" t="s">
        <v>91</v>
      </c>
      <c r="C658" s="35" t="s">
        <v>79</v>
      </c>
    </row>
    <row r="659" spans="1:3">
      <c r="A659" s="36">
        <v>30714436437</v>
      </c>
      <c r="B659" t="s">
        <v>247</v>
      </c>
    </row>
    <row r="660" spans="1:3">
      <c r="A660" s="36">
        <v>30696850972</v>
      </c>
      <c r="B660" t="s">
        <v>1020</v>
      </c>
      <c r="C660" s="35" t="s">
        <v>2383</v>
      </c>
    </row>
    <row r="661" spans="1:3">
      <c r="A661" s="36">
        <v>30696850972</v>
      </c>
      <c r="B661" t="s">
        <v>1020</v>
      </c>
      <c r="C661" s="35" t="s">
        <v>2383</v>
      </c>
    </row>
    <row r="662" spans="1:3">
      <c r="A662" s="36">
        <v>30693293754</v>
      </c>
      <c r="B662" t="s">
        <v>2253</v>
      </c>
      <c r="C662" s="35" t="s">
        <v>46</v>
      </c>
    </row>
    <row r="663" spans="1:3">
      <c r="A663" s="36">
        <v>30693293754</v>
      </c>
      <c r="B663" t="s">
        <v>2253</v>
      </c>
    </row>
    <row r="664" spans="1:3">
      <c r="A664" s="36">
        <v>33707563449</v>
      </c>
      <c r="B664" t="s">
        <v>1021</v>
      </c>
    </row>
    <row r="665" spans="1:3">
      <c r="A665" s="36">
        <v>4195860</v>
      </c>
      <c r="B665" t="s">
        <v>1022</v>
      </c>
    </row>
    <row r="666" spans="1:3">
      <c r="A666" s="36">
        <v>16994318</v>
      </c>
      <c r="B666" t="s">
        <v>1023</v>
      </c>
    </row>
    <row r="667" spans="1:3">
      <c r="A667" s="36">
        <v>30709175897</v>
      </c>
      <c r="B667" t="s">
        <v>1024</v>
      </c>
    </row>
    <row r="668" spans="1:3">
      <c r="A668" s="36">
        <v>30610255783</v>
      </c>
      <c r="B668" t="s">
        <v>248</v>
      </c>
      <c r="C668" s="35" t="s">
        <v>2359</v>
      </c>
    </row>
    <row r="669" spans="1:3">
      <c r="A669" s="36">
        <v>30610255783</v>
      </c>
      <c r="B669" t="s">
        <v>248</v>
      </c>
      <c r="C669" s="35" t="s">
        <v>2359</v>
      </c>
    </row>
    <row r="670" spans="1:3">
      <c r="A670" s="36">
        <v>30715406043</v>
      </c>
      <c r="B670" t="s">
        <v>249</v>
      </c>
      <c r="C670" s="35" t="s">
        <v>79</v>
      </c>
    </row>
    <row r="671" spans="1:3">
      <c r="A671" s="36">
        <v>30715406043</v>
      </c>
      <c r="B671" t="s">
        <v>249</v>
      </c>
      <c r="C671" s="35" t="s">
        <v>79</v>
      </c>
    </row>
    <row r="672" spans="1:3">
      <c r="A672" s="36">
        <v>20404430</v>
      </c>
      <c r="B672" t="s">
        <v>2077</v>
      </c>
    </row>
    <row r="673" spans="1:3">
      <c r="A673" s="36">
        <v>20224565314</v>
      </c>
      <c r="B673" t="s">
        <v>250</v>
      </c>
    </row>
    <row r="674" spans="1:3">
      <c r="A674" s="36">
        <v>30710986416</v>
      </c>
      <c r="B674" t="s">
        <v>251</v>
      </c>
      <c r="C674" s="35" t="s">
        <v>2359</v>
      </c>
    </row>
    <row r="675" spans="1:3">
      <c r="A675" s="36">
        <v>30710986416</v>
      </c>
      <c r="B675" t="s">
        <v>251</v>
      </c>
      <c r="C675" s="35" t="s">
        <v>2359</v>
      </c>
    </row>
    <row r="676" spans="1:3">
      <c r="A676" s="36">
        <v>27636282</v>
      </c>
      <c r="B676" t="s">
        <v>1848</v>
      </c>
    </row>
    <row r="677" spans="1:3">
      <c r="A677" s="36">
        <v>30716536870</v>
      </c>
      <c r="B677" t="s">
        <v>1025</v>
      </c>
    </row>
    <row r="678" spans="1:3">
      <c r="A678" s="36">
        <v>30707833293</v>
      </c>
      <c r="B678" t="s">
        <v>1026</v>
      </c>
    </row>
    <row r="679" spans="1:3">
      <c r="A679" s="36">
        <v>30648270417</v>
      </c>
      <c r="B679" t="s">
        <v>252</v>
      </c>
      <c r="C679" s="35" t="s">
        <v>2359</v>
      </c>
    </row>
    <row r="680" spans="1:3">
      <c r="A680" s="36">
        <v>30648270417</v>
      </c>
      <c r="B680" t="s">
        <v>252</v>
      </c>
      <c r="C680" s="35" t="s">
        <v>2359</v>
      </c>
    </row>
    <row r="681" spans="1:3">
      <c r="A681" s="36">
        <v>93906317</v>
      </c>
      <c r="B681" t="s">
        <v>1027</v>
      </c>
    </row>
    <row r="682" spans="1:3">
      <c r="A682" s="36">
        <v>93906317</v>
      </c>
      <c r="B682" t="s">
        <v>1027</v>
      </c>
    </row>
    <row r="683" spans="1:3">
      <c r="A683" s="36">
        <v>30638485733</v>
      </c>
      <c r="B683" t="s">
        <v>2312</v>
      </c>
      <c r="C683" s="35" t="s">
        <v>891</v>
      </c>
    </row>
    <row r="684" spans="1:3">
      <c r="A684" s="36">
        <v>30501077824</v>
      </c>
      <c r="B684" t="s">
        <v>2340</v>
      </c>
      <c r="C684" s="35" t="s">
        <v>804</v>
      </c>
    </row>
    <row r="685" spans="1:3">
      <c r="A685" s="36">
        <v>13782015</v>
      </c>
      <c r="B685" t="s">
        <v>1028</v>
      </c>
    </row>
    <row r="686" spans="1:3">
      <c r="A686" s="36">
        <v>30710335008</v>
      </c>
      <c r="B686" t="s">
        <v>253</v>
      </c>
    </row>
    <row r="687" spans="1:3">
      <c r="A687" s="36">
        <v>33708543409</v>
      </c>
      <c r="B687" t="s">
        <v>2056</v>
      </c>
    </row>
    <row r="688" spans="1:3">
      <c r="A688" s="36">
        <v>20126013877</v>
      </c>
      <c r="B688" t="s">
        <v>254</v>
      </c>
      <c r="C688" s="35" t="s">
        <v>79</v>
      </c>
    </row>
    <row r="689" spans="1:3">
      <c r="A689" s="36">
        <v>20126013877</v>
      </c>
      <c r="B689" t="s">
        <v>254</v>
      </c>
      <c r="C689" s="35" t="s">
        <v>79</v>
      </c>
    </row>
    <row r="690" spans="1:3">
      <c r="A690" s="36">
        <v>20125815511</v>
      </c>
      <c r="B690" t="s">
        <v>255</v>
      </c>
    </row>
    <row r="691" spans="1:3">
      <c r="A691" s="36">
        <v>42646714</v>
      </c>
      <c r="B691" t="s">
        <v>1029</v>
      </c>
    </row>
    <row r="692" spans="1:3">
      <c r="A692" s="36">
        <v>30712070133</v>
      </c>
      <c r="B692" t="s">
        <v>256</v>
      </c>
    </row>
    <row r="693" spans="1:3">
      <c r="A693" s="36">
        <v>11768371</v>
      </c>
      <c r="B693" t="s">
        <v>1030</v>
      </c>
    </row>
    <row r="694" spans="1:3">
      <c r="A694" s="36">
        <v>14547746</v>
      </c>
      <c r="B694" t="s">
        <v>1031</v>
      </c>
    </row>
    <row r="695" spans="1:3">
      <c r="A695" s="36">
        <v>14547746</v>
      </c>
      <c r="B695" t="s">
        <v>1031</v>
      </c>
    </row>
    <row r="696" spans="1:3">
      <c r="A696" s="36">
        <v>23172107559</v>
      </c>
      <c r="B696" t="s">
        <v>257</v>
      </c>
    </row>
    <row r="697" spans="1:3">
      <c r="A697" s="36">
        <v>20161374408</v>
      </c>
      <c r="B697" t="s">
        <v>1032</v>
      </c>
    </row>
    <row r="698" spans="1:3">
      <c r="A698" s="36">
        <v>32391865</v>
      </c>
      <c r="B698" t="s">
        <v>1033</v>
      </c>
    </row>
    <row r="699" spans="1:3">
      <c r="A699" s="36">
        <v>30715242903</v>
      </c>
      <c r="B699" t="s">
        <v>1034</v>
      </c>
      <c r="C699" s="35" t="s">
        <v>2359</v>
      </c>
    </row>
    <row r="700" spans="1:3">
      <c r="A700" s="36">
        <v>30715242903</v>
      </c>
      <c r="B700" t="s">
        <v>1034</v>
      </c>
      <c r="C700" s="35" t="s">
        <v>2359</v>
      </c>
    </row>
    <row r="701" spans="1:3">
      <c r="A701" s="36">
        <v>30597228984</v>
      </c>
      <c r="B701" t="s">
        <v>258</v>
      </c>
      <c r="C701" s="35" t="s">
        <v>2446</v>
      </c>
    </row>
    <row r="702" spans="1:3">
      <c r="A702" s="36">
        <v>4374737</v>
      </c>
      <c r="B702" t="s">
        <v>1990</v>
      </c>
    </row>
    <row r="703" spans="1:3">
      <c r="A703" s="36">
        <v>11735538</v>
      </c>
      <c r="B703" t="s">
        <v>1986</v>
      </c>
    </row>
    <row r="704" spans="1:3">
      <c r="A704" s="36">
        <v>30710984332</v>
      </c>
      <c r="B704" t="s">
        <v>259</v>
      </c>
    </row>
    <row r="705" spans="1:3">
      <c r="A705" s="36">
        <v>27216710253</v>
      </c>
      <c r="B705" t="s">
        <v>260</v>
      </c>
      <c r="C705" s="35" t="s">
        <v>2359</v>
      </c>
    </row>
    <row r="706" spans="1:3">
      <c r="A706" s="36">
        <v>27216710253</v>
      </c>
      <c r="B706" t="s">
        <v>260</v>
      </c>
      <c r="C706" s="35" t="s">
        <v>2359</v>
      </c>
    </row>
    <row r="707" spans="1:3">
      <c r="A707" s="36">
        <v>92374904</v>
      </c>
      <c r="B707" t="s">
        <v>1035</v>
      </c>
    </row>
    <row r="708" spans="1:3">
      <c r="A708" s="36">
        <v>14014788</v>
      </c>
      <c r="B708" t="s">
        <v>1036</v>
      </c>
    </row>
    <row r="709" spans="1:3">
      <c r="A709" s="36">
        <v>30707519378</v>
      </c>
      <c r="B709" t="s">
        <v>1037</v>
      </c>
    </row>
    <row r="710" spans="1:3">
      <c r="A710" s="36">
        <v>30711549206</v>
      </c>
      <c r="B710" t="s">
        <v>1038</v>
      </c>
      <c r="C710" s="35" t="s">
        <v>79</v>
      </c>
    </row>
    <row r="711" spans="1:3">
      <c r="A711" s="36">
        <v>30711549206</v>
      </c>
      <c r="B711" t="s">
        <v>1038</v>
      </c>
      <c r="C711" s="35" t="s">
        <v>79</v>
      </c>
    </row>
    <row r="712" spans="1:3">
      <c r="A712" s="36">
        <v>27308260440</v>
      </c>
      <c r="B712" t="s">
        <v>261</v>
      </c>
      <c r="C712" s="35" t="s">
        <v>79</v>
      </c>
    </row>
    <row r="713" spans="1:3">
      <c r="A713" s="36">
        <v>27308260440</v>
      </c>
      <c r="B713" t="s">
        <v>261</v>
      </c>
      <c r="C713" s="35" t="s">
        <v>79</v>
      </c>
    </row>
    <row r="714" spans="1:3">
      <c r="A714" s="36">
        <v>21824174</v>
      </c>
      <c r="B714" t="s">
        <v>1039</v>
      </c>
    </row>
    <row r="715" spans="1:3">
      <c r="A715" s="36">
        <v>13407514</v>
      </c>
      <c r="B715" t="s">
        <v>1040</v>
      </c>
    </row>
    <row r="716" spans="1:3">
      <c r="A716" s="36">
        <v>30710513895</v>
      </c>
      <c r="B716" t="s">
        <v>262</v>
      </c>
    </row>
    <row r="717" spans="1:3">
      <c r="A717" s="36">
        <v>30522798106</v>
      </c>
      <c r="B717" t="s">
        <v>263</v>
      </c>
    </row>
    <row r="718" spans="1:3">
      <c r="A718" s="36">
        <v>22196829</v>
      </c>
      <c r="B718" t="s">
        <v>1041</v>
      </c>
    </row>
    <row r="719" spans="1:3">
      <c r="A719" s="36">
        <v>30711275106</v>
      </c>
      <c r="B719" t="s">
        <v>1042</v>
      </c>
      <c r="C719" s="35" t="s">
        <v>1015</v>
      </c>
    </row>
    <row r="720" spans="1:3">
      <c r="A720" s="36">
        <v>30711275106</v>
      </c>
      <c r="B720" t="s">
        <v>1042</v>
      </c>
      <c r="C720" s="35" t="s">
        <v>1015</v>
      </c>
    </row>
    <row r="721" spans="1:3">
      <c r="A721" s="36">
        <v>3764909</v>
      </c>
      <c r="B721" t="s">
        <v>1043</v>
      </c>
    </row>
    <row r="722" spans="1:3">
      <c r="A722" s="36">
        <v>20396584809</v>
      </c>
      <c r="B722" t="s">
        <v>2208</v>
      </c>
      <c r="C722" s="35" t="s">
        <v>2359</v>
      </c>
    </row>
    <row r="723" spans="1:3">
      <c r="A723" s="36">
        <v>20396584809</v>
      </c>
      <c r="B723" t="s">
        <v>2208</v>
      </c>
      <c r="C723" s="35" t="s">
        <v>2359</v>
      </c>
    </row>
    <row r="724" spans="1:3">
      <c r="A724" s="36">
        <v>33715370269</v>
      </c>
      <c r="B724" t="s">
        <v>264</v>
      </c>
      <c r="C724" s="35" t="s">
        <v>2359</v>
      </c>
    </row>
    <row r="725" spans="1:3">
      <c r="A725" s="36">
        <v>33715370269</v>
      </c>
      <c r="B725" t="s">
        <v>264</v>
      </c>
      <c r="C725" s="35" t="s">
        <v>2359</v>
      </c>
    </row>
    <row r="726" spans="1:3">
      <c r="A726" s="36">
        <v>30710988109</v>
      </c>
      <c r="B726" t="s">
        <v>265</v>
      </c>
    </row>
    <row r="727" spans="1:3">
      <c r="A727" s="36">
        <v>30516186670</v>
      </c>
      <c r="B727" t="s">
        <v>92</v>
      </c>
      <c r="C727" s="35" t="s">
        <v>44</v>
      </c>
    </row>
    <row r="728" spans="1:3">
      <c r="A728" s="36">
        <v>30516186670</v>
      </c>
      <c r="B728" t="s">
        <v>92</v>
      </c>
      <c r="C728" s="35" t="s">
        <v>44</v>
      </c>
    </row>
    <row r="729" spans="1:3">
      <c r="A729" s="36">
        <v>27340766445</v>
      </c>
      <c r="B729" t="s">
        <v>266</v>
      </c>
      <c r="C729" s="35" t="s">
        <v>2359</v>
      </c>
    </row>
    <row r="730" spans="1:3">
      <c r="A730" s="36">
        <v>27340766445</v>
      </c>
      <c r="B730" t="s">
        <v>266</v>
      </c>
      <c r="C730" s="35" t="s">
        <v>2359</v>
      </c>
    </row>
    <row r="731" spans="1:3">
      <c r="A731" s="36">
        <v>20403969886</v>
      </c>
      <c r="B731" t="s">
        <v>1044</v>
      </c>
      <c r="C731" s="35" t="s">
        <v>2367</v>
      </c>
    </row>
    <row r="732" spans="1:3">
      <c r="A732" s="36">
        <v>13300179</v>
      </c>
      <c r="B732" t="s">
        <v>1045</v>
      </c>
    </row>
    <row r="733" spans="1:3">
      <c r="A733" s="36">
        <v>33339001</v>
      </c>
      <c r="B733" t="s">
        <v>1890</v>
      </c>
    </row>
    <row r="734" spans="1:3">
      <c r="A734" s="36">
        <v>30709591602</v>
      </c>
      <c r="B734" t="s">
        <v>1979</v>
      </c>
    </row>
    <row r="735" spans="1:3">
      <c r="A735" s="36">
        <v>20165157053</v>
      </c>
      <c r="B735" t="s">
        <v>1046</v>
      </c>
      <c r="C735" s="35" t="s">
        <v>2359</v>
      </c>
    </row>
    <row r="736" spans="1:3">
      <c r="A736" s="36">
        <v>20165157053</v>
      </c>
      <c r="B736" t="s">
        <v>1046</v>
      </c>
      <c r="C736" s="35" t="s">
        <v>2359</v>
      </c>
    </row>
    <row r="737" spans="1:3">
      <c r="A737" s="36">
        <v>33503716</v>
      </c>
      <c r="B737" t="s">
        <v>2123</v>
      </c>
    </row>
    <row r="738" spans="1:3">
      <c r="A738" s="36">
        <v>33716792299</v>
      </c>
      <c r="B738" t="s">
        <v>1047</v>
      </c>
      <c r="C738" s="35" t="s">
        <v>891</v>
      </c>
    </row>
    <row r="739" spans="1:3">
      <c r="A739" s="36">
        <v>33716792299</v>
      </c>
      <c r="B739" t="s">
        <v>1047</v>
      </c>
      <c r="C739" s="35" t="s">
        <v>891</v>
      </c>
    </row>
    <row r="740" spans="1:3">
      <c r="A740" s="36">
        <v>33716792299</v>
      </c>
      <c r="B740" t="s">
        <v>1047</v>
      </c>
      <c r="C740" s="35" t="s">
        <v>891</v>
      </c>
    </row>
    <row r="741" spans="1:3">
      <c r="A741" s="36">
        <v>33716792299</v>
      </c>
      <c r="B741" t="s">
        <v>1047</v>
      </c>
      <c r="C741" s="35" t="s">
        <v>891</v>
      </c>
    </row>
    <row r="742" spans="1:3">
      <c r="A742" s="36">
        <v>12707412</v>
      </c>
      <c r="B742" t="s">
        <v>1048</v>
      </c>
    </row>
    <row r="743" spans="1:3">
      <c r="A743" s="36">
        <v>27032990741</v>
      </c>
      <c r="B743" t="s">
        <v>1850</v>
      </c>
    </row>
    <row r="744" spans="1:3">
      <c r="A744" s="36">
        <v>3299074</v>
      </c>
      <c r="B744" t="s">
        <v>1850</v>
      </c>
    </row>
    <row r="745" spans="1:3">
      <c r="A745" s="36">
        <v>30708656018</v>
      </c>
      <c r="B745" t="s">
        <v>2138</v>
      </c>
    </row>
    <row r="746" spans="1:3">
      <c r="A746" s="36">
        <v>20167634436</v>
      </c>
      <c r="B746" t="s">
        <v>1049</v>
      </c>
      <c r="C746" s="35" t="s">
        <v>79</v>
      </c>
    </row>
    <row r="747" spans="1:3">
      <c r="A747" s="36">
        <v>5290680</v>
      </c>
      <c r="B747" t="s">
        <v>1050</v>
      </c>
    </row>
    <row r="748" spans="1:3">
      <c r="A748" s="36">
        <v>27239571420</v>
      </c>
      <c r="B748" t="s">
        <v>1051</v>
      </c>
    </row>
    <row r="749" spans="1:3">
      <c r="A749" s="36">
        <v>20222786054</v>
      </c>
      <c r="B749" t="s">
        <v>267</v>
      </c>
    </row>
    <row r="750" spans="1:3">
      <c r="A750" s="36">
        <v>24448662</v>
      </c>
      <c r="B750" t="s">
        <v>1052</v>
      </c>
    </row>
    <row r="751" spans="1:3">
      <c r="A751" s="36">
        <v>24448662</v>
      </c>
      <c r="B751" t="s">
        <v>1052</v>
      </c>
    </row>
    <row r="752" spans="1:3">
      <c r="A752" s="36">
        <v>24448662</v>
      </c>
      <c r="B752" t="s">
        <v>1052</v>
      </c>
    </row>
    <row r="753" spans="1:3">
      <c r="A753" s="36">
        <v>30701307115</v>
      </c>
      <c r="B753" t="s">
        <v>1053</v>
      </c>
      <c r="C753" s="35" t="s">
        <v>781</v>
      </c>
    </row>
    <row r="754" spans="1:3">
      <c r="A754" s="36">
        <v>30701307115</v>
      </c>
      <c r="B754" t="s">
        <v>1053</v>
      </c>
      <c r="C754" s="35" t="s">
        <v>781</v>
      </c>
    </row>
    <row r="755" spans="1:3">
      <c r="A755" s="36">
        <v>20045374107</v>
      </c>
      <c r="B755" t="s">
        <v>1054</v>
      </c>
    </row>
    <row r="756" spans="1:3">
      <c r="A756" s="36">
        <v>33700851279</v>
      </c>
      <c r="B756" t="s">
        <v>268</v>
      </c>
      <c r="C756" s="35" t="s">
        <v>2359</v>
      </c>
    </row>
    <row r="757" spans="1:3">
      <c r="A757" s="36">
        <v>33700851279</v>
      </c>
      <c r="B757" t="s">
        <v>268</v>
      </c>
      <c r="C757" s="35" t="s">
        <v>2359</v>
      </c>
    </row>
    <row r="758" spans="1:3">
      <c r="A758" s="36">
        <v>30708285818</v>
      </c>
      <c r="B758" t="s">
        <v>2012</v>
      </c>
      <c r="C758" s="35" t="s">
        <v>46</v>
      </c>
    </row>
    <row r="759" spans="1:3">
      <c r="A759" s="36">
        <v>20045615473</v>
      </c>
      <c r="B759" t="s">
        <v>269</v>
      </c>
      <c r="C759" s="35" t="s">
        <v>2359</v>
      </c>
    </row>
    <row r="760" spans="1:3">
      <c r="A760" s="36">
        <v>20272865869</v>
      </c>
      <c r="B760" t="s">
        <v>2221</v>
      </c>
      <c r="C760" s="35" t="s">
        <v>2359</v>
      </c>
    </row>
    <row r="761" spans="1:3">
      <c r="A761" s="36">
        <v>24718530</v>
      </c>
      <c r="B761" t="s">
        <v>1055</v>
      </c>
    </row>
    <row r="762" spans="1:3">
      <c r="A762" s="36">
        <v>20421469769</v>
      </c>
      <c r="B762" t="s">
        <v>2219</v>
      </c>
      <c r="C762" s="35" t="s">
        <v>79</v>
      </c>
    </row>
    <row r="763" spans="1:3">
      <c r="A763" s="36">
        <v>20421469769</v>
      </c>
      <c r="B763" t="s">
        <v>2219</v>
      </c>
    </row>
    <row r="764" spans="1:3">
      <c r="A764" s="36">
        <v>22826036</v>
      </c>
      <c r="B764" t="s">
        <v>1056</v>
      </c>
    </row>
    <row r="765" spans="1:3">
      <c r="A765" s="36">
        <v>30685849751</v>
      </c>
      <c r="B765" t="s">
        <v>270</v>
      </c>
      <c r="C765" s="35" t="s">
        <v>79</v>
      </c>
    </row>
    <row r="766" spans="1:3">
      <c r="A766" s="36">
        <v>30685849751</v>
      </c>
      <c r="B766" t="s">
        <v>270</v>
      </c>
      <c r="C766" s="35" t="s">
        <v>79</v>
      </c>
    </row>
    <row r="767" spans="1:3">
      <c r="A767" s="36">
        <v>30708155795</v>
      </c>
      <c r="B767" t="s">
        <v>2036</v>
      </c>
      <c r="C767" s="35" t="s">
        <v>2359</v>
      </c>
    </row>
    <row r="768" spans="1:3">
      <c r="A768" s="36">
        <v>4712850</v>
      </c>
      <c r="B768" t="s">
        <v>1057</v>
      </c>
    </row>
    <row r="769" spans="1:3">
      <c r="A769" s="36">
        <v>2123001</v>
      </c>
      <c r="B769" t="s">
        <v>1058</v>
      </c>
    </row>
    <row r="770" spans="1:3">
      <c r="A770" s="36">
        <v>20219935464</v>
      </c>
      <c r="B770" t="s">
        <v>1059</v>
      </c>
    </row>
    <row r="771" spans="1:3">
      <c r="A771" s="36">
        <v>17172751</v>
      </c>
      <c r="B771" t="s">
        <v>1060</v>
      </c>
    </row>
    <row r="772" spans="1:3">
      <c r="A772" s="36">
        <v>20715936</v>
      </c>
      <c r="B772" t="s">
        <v>2122</v>
      </c>
    </row>
    <row r="773" spans="1:3">
      <c r="A773" s="36">
        <v>20271532483</v>
      </c>
      <c r="B773" t="s">
        <v>1061</v>
      </c>
      <c r="C773" s="35" t="s">
        <v>2359</v>
      </c>
    </row>
    <row r="774" spans="1:3">
      <c r="A774" s="36">
        <v>20271532483</v>
      </c>
      <c r="B774" t="s">
        <v>1061</v>
      </c>
      <c r="C774" s="35" t="s">
        <v>2359</v>
      </c>
    </row>
    <row r="775" spans="1:3">
      <c r="A775" s="36">
        <v>20271532483</v>
      </c>
      <c r="B775" t="s">
        <v>271</v>
      </c>
      <c r="C775" s="35" t="s">
        <v>2359</v>
      </c>
    </row>
    <row r="776" spans="1:3">
      <c r="A776" s="36">
        <v>30522536748</v>
      </c>
      <c r="B776" t="s">
        <v>272</v>
      </c>
      <c r="C776" s="35" t="s">
        <v>2359</v>
      </c>
    </row>
    <row r="777" spans="1:3">
      <c r="A777" s="36">
        <v>20273758063</v>
      </c>
      <c r="B777" t="s">
        <v>273</v>
      </c>
      <c r="C777" s="35" t="s">
        <v>44</v>
      </c>
    </row>
    <row r="778" spans="1:3">
      <c r="A778" s="36">
        <v>20273758063</v>
      </c>
      <c r="B778" t="s">
        <v>273</v>
      </c>
    </row>
    <row r="779" spans="1:3">
      <c r="A779" s="36">
        <v>20181701820</v>
      </c>
      <c r="B779" t="s">
        <v>274</v>
      </c>
    </row>
    <row r="780" spans="1:3">
      <c r="A780" s="36">
        <v>20243132852</v>
      </c>
      <c r="B780" t="s">
        <v>2187</v>
      </c>
      <c r="C780" s="35" t="s">
        <v>2413</v>
      </c>
    </row>
    <row r="781" spans="1:3">
      <c r="A781" s="36">
        <v>20243132852</v>
      </c>
      <c r="B781" t="s">
        <v>2187</v>
      </c>
    </row>
    <row r="782" spans="1:3">
      <c r="A782" s="36">
        <v>30711510822</v>
      </c>
      <c r="B782" t="s">
        <v>1062</v>
      </c>
      <c r="C782" s="35" t="s">
        <v>891</v>
      </c>
    </row>
    <row r="783" spans="1:3">
      <c r="A783" s="36">
        <v>30505345793</v>
      </c>
      <c r="B783" t="s">
        <v>275</v>
      </c>
      <c r="C783" s="35" t="s">
        <v>2359</v>
      </c>
    </row>
    <row r="784" spans="1:3">
      <c r="A784" s="36">
        <v>30546671549</v>
      </c>
      <c r="B784" t="s">
        <v>1063</v>
      </c>
    </row>
    <row r="785" spans="1:3">
      <c r="A785" s="36">
        <v>11774749</v>
      </c>
      <c r="B785" t="s">
        <v>1064</v>
      </c>
    </row>
    <row r="786" spans="1:3">
      <c r="A786" s="36">
        <v>30663011746</v>
      </c>
      <c r="B786" t="s">
        <v>276</v>
      </c>
      <c r="C786" s="35" t="s">
        <v>2359</v>
      </c>
    </row>
    <row r="787" spans="1:3">
      <c r="A787" s="36">
        <v>30716313367</v>
      </c>
      <c r="B787" t="s">
        <v>2193</v>
      </c>
      <c r="C787" s="35" t="s">
        <v>2413</v>
      </c>
    </row>
    <row r="788" spans="1:3">
      <c r="A788" s="36">
        <v>30716313367</v>
      </c>
      <c r="B788" t="s">
        <v>2193</v>
      </c>
    </row>
    <row r="789" spans="1:3">
      <c r="A789" s="36">
        <v>30694549817</v>
      </c>
      <c r="B789" t="s">
        <v>277</v>
      </c>
      <c r="C789" s="35" t="s">
        <v>2359</v>
      </c>
    </row>
    <row r="790" spans="1:3">
      <c r="A790" s="36">
        <v>30715819461</v>
      </c>
      <c r="B790" t="s">
        <v>2033</v>
      </c>
      <c r="C790" s="35" t="s">
        <v>46</v>
      </c>
    </row>
    <row r="791" spans="1:3">
      <c r="A791" s="36">
        <v>23117702529</v>
      </c>
      <c r="B791" t="s">
        <v>278</v>
      </c>
      <c r="C791" s="35" t="s">
        <v>2359</v>
      </c>
    </row>
    <row r="792" spans="1:3">
      <c r="A792" s="36">
        <v>30715010808</v>
      </c>
      <c r="B792" t="s">
        <v>2194</v>
      </c>
      <c r="C792" s="35" t="s">
        <v>2413</v>
      </c>
    </row>
    <row r="793" spans="1:3">
      <c r="A793" s="36">
        <v>30715010808</v>
      </c>
      <c r="B793" t="s">
        <v>2194</v>
      </c>
    </row>
    <row r="794" spans="1:3">
      <c r="A794" s="36">
        <v>30710374801</v>
      </c>
      <c r="B794" t="s">
        <v>1065</v>
      </c>
      <c r="C794" s="35" t="s">
        <v>891</v>
      </c>
    </row>
    <row r="795" spans="1:3">
      <c r="A795" s="36">
        <v>30710374801</v>
      </c>
      <c r="B795" t="s">
        <v>1065</v>
      </c>
      <c r="C795" s="35" t="s">
        <v>891</v>
      </c>
    </row>
    <row r="796" spans="1:3">
      <c r="A796" s="36">
        <v>30710374801</v>
      </c>
      <c r="B796" t="s">
        <v>1065</v>
      </c>
      <c r="C796" s="35" t="s">
        <v>46</v>
      </c>
    </row>
    <row r="797" spans="1:3">
      <c r="A797" s="36">
        <v>30710374801</v>
      </c>
      <c r="B797" t="s">
        <v>1065</v>
      </c>
      <c r="C797" s="35" t="s">
        <v>46</v>
      </c>
    </row>
    <row r="798" spans="1:3">
      <c r="A798" s="36">
        <v>30709410144</v>
      </c>
      <c r="B798" t="s">
        <v>279</v>
      </c>
      <c r="C798" s="35" t="s">
        <v>2359</v>
      </c>
    </row>
    <row r="799" spans="1:3">
      <c r="A799" s="36">
        <v>30683009195</v>
      </c>
      <c r="B799" t="s">
        <v>280</v>
      </c>
    </row>
    <row r="800" spans="1:3">
      <c r="A800" s="36">
        <v>33714212589</v>
      </c>
      <c r="B800" t="s">
        <v>281</v>
      </c>
      <c r="C800" s="35" t="s">
        <v>2359</v>
      </c>
    </row>
    <row r="801" spans="1:3">
      <c r="A801" s="36">
        <v>20619063</v>
      </c>
      <c r="B801" t="s">
        <v>1066</v>
      </c>
    </row>
    <row r="802" spans="1:3">
      <c r="A802" s="36">
        <v>30716884631</v>
      </c>
      <c r="B802" t="s">
        <v>2020</v>
      </c>
      <c r="C802" s="35" t="s">
        <v>79</v>
      </c>
    </row>
    <row r="803" spans="1:3">
      <c r="A803" s="36">
        <v>27206941419</v>
      </c>
      <c r="B803" t="s">
        <v>282</v>
      </c>
      <c r="C803" s="35" t="s">
        <v>917</v>
      </c>
    </row>
    <row r="804" spans="1:3">
      <c r="A804" s="36">
        <v>27206941419</v>
      </c>
      <c r="B804" t="s">
        <v>282</v>
      </c>
      <c r="C804" s="35" t="s">
        <v>48</v>
      </c>
    </row>
    <row r="805" spans="1:3">
      <c r="A805" s="36">
        <v>27185433736</v>
      </c>
      <c r="B805" t="s">
        <v>283</v>
      </c>
    </row>
    <row r="806" spans="1:3">
      <c r="A806" s="36">
        <v>4044075</v>
      </c>
      <c r="B806" t="s">
        <v>1067</v>
      </c>
    </row>
    <row r="807" spans="1:3">
      <c r="A807" s="36">
        <v>18396938</v>
      </c>
      <c r="B807" t="s">
        <v>1926</v>
      </c>
    </row>
    <row r="808" spans="1:3">
      <c r="A808" s="36">
        <v>14012186</v>
      </c>
      <c r="B808" t="s">
        <v>2075</v>
      </c>
    </row>
    <row r="809" spans="1:3">
      <c r="A809" s="36">
        <v>30714712604</v>
      </c>
      <c r="B809" t="s">
        <v>2295</v>
      </c>
      <c r="C809" s="35" t="s">
        <v>891</v>
      </c>
    </row>
    <row r="810" spans="1:3">
      <c r="A810" s="36">
        <v>16512020</v>
      </c>
      <c r="B810" t="s">
        <v>1068</v>
      </c>
    </row>
    <row r="811" spans="1:3">
      <c r="A811" s="36">
        <v>32950266</v>
      </c>
      <c r="B811" t="s">
        <v>1069</v>
      </c>
    </row>
    <row r="812" spans="1:3">
      <c r="A812" s="36">
        <v>13131549</v>
      </c>
      <c r="B812" t="s">
        <v>1070</v>
      </c>
    </row>
    <row r="813" spans="1:3">
      <c r="A813" s="36">
        <v>4961459</v>
      </c>
      <c r="B813" t="s">
        <v>1071</v>
      </c>
    </row>
    <row r="814" spans="1:3">
      <c r="A814" s="36">
        <v>20291523626</v>
      </c>
      <c r="B814" t="s">
        <v>284</v>
      </c>
    </row>
    <row r="815" spans="1:3">
      <c r="A815" s="36">
        <v>30711974268</v>
      </c>
      <c r="B815" t="s">
        <v>285</v>
      </c>
    </row>
    <row r="816" spans="1:3">
      <c r="A816" s="36">
        <v>30702966066</v>
      </c>
      <c r="B816" t="s">
        <v>286</v>
      </c>
      <c r="C816" s="35" t="s">
        <v>2359</v>
      </c>
    </row>
    <row r="817" spans="1:3">
      <c r="A817" s="36">
        <v>23281233084</v>
      </c>
      <c r="B817" t="s">
        <v>1072</v>
      </c>
      <c r="C817" s="35" t="s">
        <v>2372</v>
      </c>
    </row>
    <row r="818" spans="1:3">
      <c r="A818" s="36"/>
    </row>
    <row r="819" spans="1:3">
      <c r="A819" s="36">
        <v>20211398060</v>
      </c>
      <c r="B819" t="s">
        <v>1073</v>
      </c>
      <c r="C819" s="35" t="s">
        <v>891</v>
      </c>
    </row>
    <row r="820" spans="1:3">
      <c r="A820" s="36">
        <v>20110561319</v>
      </c>
      <c r="B820" t="s">
        <v>1074</v>
      </c>
    </row>
    <row r="821" spans="1:3">
      <c r="A821" s="36">
        <v>17715487</v>
      </c>
      <c r="B821" t="s">
        <v>1075</v>
      </c>
    </row>
    <row r="822" spans="1:3">
      <c r="A822" s="36">
        <v>27149042488</v>
      </c>
      <c r="B822" t="s">
        <v>287</v>
      </c>
      <c r="C822" s="35" t="s">
        <v>79</v>
      </c>
    </row>
    <row r="823" spans="1:3">
      <c r="A823" s="36">
        <v>30711727236</v>
      </c>
      <c r="B823" t="s">
        <v>288</v>
      </c>
      <c r="C823" s="35" t="s">
        <v>79</v>
      </c>
    </row>
    <row r="824" spans="1:3">
      <c r="A824" s="36">
        <v>30711727236</v>
      </c>
      <c r="B824" t="s">
        <v>288</v>
      </c>
      <c r="C824" s="35" t="s">
        <v>79</v>
      </c>
    </row>
    <row r="825" spans="1:3">
      <c r="A825" s="36">
        <v>30718322002</v>
      </c>
      <c r="B825" t="s">
        <v>2279</v>
      </c>
      <c r="C825" s="35" t="s">
        <v>79</v>
      </c>
    </row>
    <row r="826" spans="1:3">
      <c r="A826" s="36">
        <v>93323980</v>
      </c>
      <c r="B826" t="s">
        <v>2001</v>
      </c>
    </row>
    <row r="827" spans="1:3">
      <c r="A827" s="36">
        <v>30707791728</v>
      </c>
      <c r="B827" t="s">
        <v>289</v>
      </c>
      <c r="C827" s="35" t="s">
        <v>79</v>
      </c>
    </row>
    <row r="828" spans="1:3">
      <c r="A828" s="36">
        <v>30714318221</v>
      </c>
      <c r="B828" t="s">
        <v>1076</v>
      </c>
      <c r="C828" s="35" t="s">
        <v>79</v>
      </c>
    </row>
    <row r="829" spans="1:3">
      <c r="A829" s="36">
        <v>10623074</v>
      </c>
      <c r="B829" t="s">
        <v>1841</v>
      </c>
    </row>
    <row r="830" spans="1:3">
      <c r="A830" s="36">
        <v>30716321645</v>
      </c>
      <c r="B830" t="s">
        <v>1077</v>
      </c>
    </row>
    <row r="831" spans="1:3">
      <c r="A831" s="36">
        <v>30655116202</v>
      </c>
      <c r="B831" t="s">
        <v>290</v>
      </c>
    </row>
    <row r="832" spans="1:3">
      <c r="A832" s="36">
        <v>30655116512</v>
      </c>
      <c r="B832" t="s">
        <v>291</v>
      </c>
      <c r="C832" s="35" t="s">
        <v>2383</v>
      </c>
    </row>
    <row r="833" spans="1:3">
      <c r="A833" s="36">
        <v>4056306</v>
      </c>
      <c r="B833" t="s">
        <v>1078</v>
      </c>
    </row>
    <row r="834" spans="1:3">
      <c r="A834" s="36">
        <v>12047792</v>
      </c>
      <c r="B834" t="s">
        <v>1962</v>
      </c>
    </row>
    <row r="835" spans="1:3">
      <c r="A835" s="36">
        <v>13332920</v>
      </c>
      <c r="B835" t="s">
        <v>1079</v>
      </c>
    </row>
    <row r="836" spans="1:3">
      <c r="A836" s="36">
        <v>30671096238</v>
      </c>
      <c r="B836" t="s">
        <v>2315</v>
      </c>
      <c r="C836" s="35" t="s">
        <v>781</v>
      </c>
    </row>
    <row r="837" spans="1:3">
      <c r="A837" s="36">
        <v>18183459</v>
      </c>
      <c r="B837" t="s">
        <v>1080</v>
      </c>
    </row>
    <row r="838" spans="1:3">
      <c r="A838" s="36">
        <v>20174004146</v>
      </c>
      <c r="B838" t="s">
        <v>1081</v>
      </c>
      <c r="C838" s="35" t="s">
        <v>781</v>
      </c>
    </row>
    <row r="839" spans="1:3">
      <c r="A839" s="36">
        <v>1729093</v>
      </c>
      <c r="B839" t="s">
        <v>1082</v>
      </c>
    </row>
    <row r="840" spans="1:3">
      <c r="A840" s="36">
        <v>30709919055</v>
      </c>
      <c r="B840" t="s">
        <v>1083</v>
      </c>
    </row>
    <row r="841" spans="1:3">
      <c r="A841" s="36">
        <v>20045397506</v>
      </c>
      <c r="B841" t="s">
        <v>292</v>
      </c>
      <c r="C841" s="35" t="s">
        <v>2359</v>
      </c>
    </row>
    <row r="842" spans="1:3">
      <c r="A842" s="36">
        <v>20174004146</v>
      </c>
      <c r="B842" t="s">
        <v>780</v>
      </c>
      <c r="C842" s="35" t="s">
        <v>781</v>
      </c>
    </row>
    <row r="843" spans="1:3">
      <c r="A843" s="36">
        <v>20174004146</v>
      </c>
      <c r="B843" t="s">
        <v>780</v>
      </c>
      <c r="C843" s="35" t="s">
        <v>781</v>
      </c>
    </row>
    <row r="844" spans="1:3">
      <c r="A844" s="36">
        <v>30606274161</v>
      </c>
      <c r="B844" t="s">
        <v>2248</v>
      </c>
    </row>
    <row r="845" spans="1:3">
      <c r="A845" s="36">
        <v>30500577599</v>
      </c>
      <c r="B845" t="s">
        <v>1084</v>
      </c>
    </row>
    <row r="846" spans="1:3">
      <c r="A846" s="36">
        <v>30555405428</v>
      </c>
      <c r="B846" t="s">
        <v>293</v>
      </c>
    </row>
    <row r="847" spans="1:3">
      <c r="A847" s="36">
        <v>30537882871</v>
      </c>
      <c r="B847" t="s">
        <v>1085</v>
      </c>
      <c r="C847" s="35" t="s">
        <v>2411</v>
      </c>
    </row>
    <row r="848" spans="1:3">
      <c r="A848" s="36">
        <v>30537882871</v>
      </c>
      <c r="B848" t="s">
        <v>1085</v>
      </c>
      <c r="C848" s="35" t="s">
        <v>2411</v>
      </c>
    </row>
    <row r="849" spans="1:3">
      <c r="A849" s="36">
        <v>30537882871</v>
      </c>
      <c r="B849" t="s">
        <v>1085</v>
      </c>
    </row>
    <row r="850" spans="1:3">
      <c r="A850" s="36">
        <v>30537882871</v>
      </c>
      <c r="B850" t="s">
        <v>1085</v>
      </c>
    </row>
    <row r="851" spans="1:3">
      <c r="A851" s="36">
        <v>30593630338</v>
      </c>
      <c r="B851" t="s">
        <v>1086</v>
      </c>
      <c r="C851" s="35" t="s">
        <v>891</v>
      </c>
    </row>
    <row r="852" spans="1:3">
      <c r="A852" s="36">
        <v>30500039430</v>
      </c>
      <c r="B852" t="s">
        <v>294</v>
      </c>
    </row>
    <row r="853" spans="1:3">
      <c r="A853" s="36">
        <v>30708601019</v>
      </c>
      <c r="B853" t="s">
        <v>1947</v>
      </c>
    </row>
    <row r="854" spans="1:3">
      <c r="A854" s="36">
        <v>30696676026</v>
      </c>
      <c r="B854" t="s">
        <v>2061</v>
      </c>
      <c r="C854" s="35" t="s">
        <v>79</v>
      </c>
    </row>
    <row r="855" spans="1:3">
      <c r="A855" s="36">
        <v>30686489325</v>
      </c>
      <c r="B855" t="s">
        <v>1087</v>
      </c>
      <c r="C855" s="35" t="s">
        <v>79</v>
      </c>
    </row>
    <row r="856" spans="1:3">
      <c r="A856" s="36">
        <v>30716317028</v>
      </c>
      <c r="B856" t="s">
        <v>2217</v>
      </c>
      <c r="C856" s="35" t="s">
        <v>2367</v>
      </c>
    </row>
    <row r="857" spans="1:3">
      <c r="A857" s="36">
        <v>30716317028</v>
      </c>
      <c r="B857" t="s">
        <v>2217</v>
      </c>
    </row>
    <row r="858" spans="1:3">
      <c r="A858" s="36">
        <v>30709363944</v>
      </c>
      <c r="B858" t="s">
        <v>295</v>
      </c>
    </row>
    <row r="859" spans="1:3">
      <c r="A859" s="36">
        <v>30543659734</v>
      </c>
      <c r="B859" t="s">
        <v>296</v>
      </c>
      <c r="C859" s="35" t="s">
        <v>804</v>
      </c>
    </row>
    <row r="860" spans="1:3">
      <c r="A860" s="36">
        <v>30708623632</v>
      </c>
      <c r="B860" t="s">
        <v>2032</v>
      </c>
      <c r="C860" s="35" t="s">
        <v>79</v>
      </c>
    </row>
    <row r="861" spans="1:3">
      <c r="A861" s="36">
        <v>27290073419</v>
      </c>
      <c r="B861" t="s">
        <v>297</v>
      </c>
      <c r="C861" s="35" t="s">
        <v>79</v>
      </c>
    </row>
    <row r="862" spans="1:3">
      <c r="A862" s="36">
        <v>30717190536</v>
      </c>
      <c r="B862" t="s">
        <v>2031</v>
      </c>
      <c r="C862" s="35" t="s">
        <v>79</v>
      </c>
    </row>
    <row r="863" spans="1:3">
      <c r="A863" s="36">
        <v>24949646</v>
      </c>
      <c r="B863" t="s">
        <v>1088</v>
      </c>
    </row>
    <row r="864" spans="1:3">
      <c r="A864" s="36">
        <v>10831006</v>
      </c>
      <c r="B864" t="s">
        <v>1089</v>
      </c>
    </row>
    <row r="865" spans="1:3">
      <c r="A865" s="36">
        <v>30709641073</v>
      </c>
      <c r="B865" t="s">
        <v>298</v>
      </c>
    </row>
    <row r="866" spans="1:3">
      <c r="A866" s="36">
        <v>29503630</v>
      </c>
      <c r="B866" t="s">
        <v>1090</v>
      </c>
    </row>
    <row r="867" spans="1:3">
      <c r="A867" s="36">
        <v>30709131865</v>
      </c>
      <c r="B867" t="s">
        <v>299</v>
      </c>
      <c r="C867" s="35" t="s">
        <v>1091</v>
      </c>
    </row>
    <row r="868" spans="1:3">
      <c r="A868" s="36">
        <v>30707397256</v>
      </c>
      <c r="B868" t="s">
        <v>300</v>
      </c>
      <c r="C868" s="35" t="s">
        <v>2383</v>
      </c>
    </row>
    <row r="869" spans="1:3">
      <c r="A869" s="36">
        <v>20259499632</v>
      </c>
      <c r="B869" t="s">
        <v>1092</v>
      </c>
      <c r="C869" s="35" t="s">
        <v>917</v>
      </c>
    </row>
    <row r="870" spans="1:3">
      <c r="A870" s="36">
        <v>23136548719</v>
      </c>
      <c r="B870" t="s">
        <v>301</v>
      </c>
    </row>
    <row r="871" spans="1:3">
      <c r="A871" s="36">
        <v>30517613165</v>
      </c>
      <c r="B871" t="s">
        <v>302</v>
      </c>
      <c r="C871" s="35" t="s">
        <v>2359</v>
      </c>
    </row>
    <row r="872" spans="1:3">
      <c r="A872" s="36">
        <v>4186965</v>
      </c>
      <c r="B872" t="s">
        <v>1093</v>
      </c>
    </row>
    <row r="873" spans="1:3">
      <c r="A873" s="36">
        <v>30588092468</v>
      </c>
      <c r="B873" t="s">
        <v>1094</v>
      </c>
      <c r="C873" s="35" t="s">
        <v>1015</v>
      </c>
    </row>
    <row r="874" spans="1:3">
      <c r="A874" s="36">
        <v>3192296</v>
      </c>
      <c r="B874" t="s">
        <v>1095</v>
      </c>
    </row>
    <row r="875" spans="1:3">
      <c r="A875" s="36">
        <v>30707118454</v>
      </c>
      <c r="B875" t="s">
        <v>1096</v>
      </c>
      <c r="C875" s="35" t="s">
        <v>2359</v>
      </c>
    </row>
    <row r="876" spans="1:3">
      <c r="A876" s="36">
        <v>30707118454</v>
      </c>
      <c r="B876" t="s">
        <v>1096</v>
      </c>
    </row>
    <row r="877" spans="1:3">
      <c r="A877" s="36" t="s">
        <v>1097</v>
      </c>
      <c r="B877" t="s">
        <v>1098</v>
      </c>
      <c r="C877" s="35" t="s">
        <v>2359</v>
      </c>
    </row>
    <row r="878" spans="1:3">
      <c r="A878" s="36" t="s">
        <v>1097</v>
      </c>
      <c r="B878" t="s">
        <v>1098</v>
      </c>
      <c r="C878" s="35" t="s">
        <v>2359</v>
      </c>
    </row>
    <row r="879" spans="1:3">
      <c r="A879" s="36">
        <v>30709368067</v>
      </c>
      <c r="B879" t="s">
        <v>303</v>
      </c>
      <c r="C879" s="35" t="s">
        <v>46</v>
      </c>
    </row>
    <row r="880" spans="1:3">
      <c r="A880" s="36">
        <v>30614104712</v>
      </c>
      <c r="B880" t="s">
        <v>304</v>
      </c>
      <c r="C880" s="35" t="s">
        <v>79</v>
      </c>
    </row>
    <row r="881" spans="1:3">
      <c r="A881" s="36">
        <v>81377</v>
      </c>
      <c r="B881" t="s">
        <v>1099</v>
      </c>
    </row>
    <row r="882" spans="1:3">
      <c r="A882" s="36">
        <v>30711861552</v>
      </c>
      <c r="B882" t="s">
        <v>305</v>
      </c>
      <c r="C882" s="35" t="s">
        <v>2359</v>
      </c>
    </row>
    <row r="883" spans="1:3">
      <c r="A883" s="36">
        <v>33714662819</v>
      </c>
      <c r="B883" t="s">
        <v>306</v>
      </c>
      <c r="C883" s="35" t="s">
        <v>2359</v>
      </c>
    </row>
    <row r="884" spans="1:3">
      <c r="A884" s="36">
        <v>846800</v>
      </c>
      <c r="B884" t="s">
        <v>1100</v>
      </c>
    </row>
    <row r="885" spans="1:3">
      <c r="A885" s="36">
        <v>13566863</v>
      </c>
      <c r="B885" t="s">
        <v>1101</v>
      </c>
    </row>
    <row r="886" spans="1:3">
      <c r="A886" s="36">
        <v>4130181</v>
      </c>
      <c r="B886" t="s">
        <v>1102</v>
      </c>
    </row>
    <row r="887" spans="1:3">
      <c r="A887" s="36">
        <v>33502734259</v>
      </c>
      <c r="B887" t="s">
        <v>307</v>
      </c>
      <c r="C887" s="35" t="s">
        <v>2359</v>
      </c>
    </row>
    <row r="888" spans="1:3">
      <c r="A888" s="36">
        <v>27113232159</v>
      </c>
      <c r="B888" t="s">
        <v>1103</v>
      </c>
    </row>
    <row r="889" spans="1:3">
      <c r="A889" s="36">
        <v>30503255533</v>
      </c>
      <c r="B889" t="s">
        <v>308</v>
      </c>
      <c r="C889" s="35" t="s">
        <v>2359</v>
      </c>
    </row>
    <row r="890" spans="1:3">
      <c r="A890" s="36">
        <v>4108609</v>
      </c>
      <c r="B890" t="s">
        <v>1104</v>
      </c>
    </row>
    <row r="891" spans="1:3">
      <c r="A891" s="36">
        <v>3604397</v>
      </c>
      <c r="B891" t="s">
        <v>1105</v>
      </c>
    </row>
    <row r="892" spans="1:3">
      <c r="A892" s="36">
        <v>27114789033</v>
      </c>
      <c r="B892" t="s">
        <v>2320</v>
      </c>
      <c r="C892" s="35" t="s">
        <v>891</v>
      </c>
    </row>
    <row r="893" spans="1:3">
      <c r="A893" s="36">
        <v>20140958213</v>
      </c>
      <c r="B893" t="s">
        <v>309</v>
      </c>
      <c r="C893" s="35" t="s">
        <v>2359</v>
      </c>
    </row>
    <row r="894" spans="1:3">
      <c r="A894" s="36">
        <v>4932977</v>
      </c>
      <c r="B894" t="s">
        <v>1106</v>
      </c>
    </row>
    <row r="895" spans="1:3">
      <c r="A895" s="36">
        <v>30659276964</v>
      </c>
      <c r="B895" t="s">
        <v>310</v>
      </c>
      <c r="C895" s="35" t="s">
        <v>804</v>
      </c>
    </row>
    <row r="896" spans="1:3">
      <c r="A896" s="36">
        <v>24907435</v>
      </c>
      <c r="B896" t="s">
        <v>1107</v>
      </c>
    </row>
    <row r="897" spans="1:3">
      <c r="A897" s="36">
        <v>20333309433</v>
      </c>
      <c r="B897" t="s">
        <v>311</v>
      </c>
    </row>
    <row r="898" spans="1:3">
      <c r="A898" s="36">
        <v>27134817858</v>
      </c>
      <c r="B898" t="s">
        <v>312</v>
      </c>
      <c r="C898" s="35" t="s">
        <v>79</v>
      </c>
    </row>
    <row r="899" spans="1:3">
      <c r="A899" s="36">
        <v>27134817856</v>
      </c>
      <c r="B899" t="s">
        <v>312</v>
      </c>
      <c r="C899" s="35" t="s">
        <v>79</v>
      </c>
    </row>
    <row r="900" spans="1:3">
      <c r="A900" s="36">
        <v>30711328498</v>
      </c>
      <c r="B900" t="s">
        <v>2190</v>
      </c>
      <c r="C900" s="35" t="s">
        <v>2413</v>
      </c>
    </row>
    <row r="901" spans="1:3">
      <c r="A901" s="36">
        <v>30711328498</v>
      </c>
      <c r="B901" t="s">
        <v>2190</v>
      </c>
      <c r="C901" s="35" t="s">
        <v>2413</v>
      </c>
    </row>
    <row r="902" spans="1:3">
      <c r="A902" s="36">
        <v>28423753</v>
      </c>
      <c r="B902" t="s">
        <v>2131</v>
      </c>
    </row>
    <row r="903" spans="1:3">
      <c r="A903" s="36">
        <v>30709440515</v>
      </c>
      <c r="B903" t="s">
        <v>313</v>
      </c>
    </row>
    <row r="904" spans="1:3">
      <c r="A904" s="36">
        <v>33649668029</v>
      </c>
      <c r="B904" t="s">
        <v>1108</v>
      </c>
    </row>
    <row r="905" spans="1:3">
      <c r="A905" s="36">
        <v>30715537512</v>
      </c>
      <c r="B905" t="s">
        <v>1109</v>
      </c>
      <c r="C905" s="35" t="s">
        <v>891</v>
      </c>
    </row>
    <row r="906" spans="1:3">
      <c r="A906" s="36">
        <v>30537679855</v>
      </c>
      <c r="B906" t="s">
        <v>1110</v>
      </c>
      <c r="C906" s="35" t="s">
        <v>44</v>
      </c>
    </row>
    <row r="907" spans="1:3">
      <c r="A907" s="36">
        <v>30537679855</v>
      </c>
      <c r="B907" t="s">
        <v>1110</v>
      </c>
      <c r="C907" s="35" t="s">
        <v>44</v>
      </c>
    </row>
    <row r="908" spans="1:3">
      <c r="A908" s="36">
        <v>33710090489</v>
      </c>
      <c r="B908" t="s">
        <v>2048</v>
      </c>
    </row>
    <row r="909" spans="1:3">
      <c r="A909" s="36">
        <v>20075959134</v>
      </c>
      <c r="B909" t="s">
        <v>314</v>
      </c>
      <c r="C909" s="35" t="s">
        <v>917</v>
      </c>
    </row>
    <row r="910" spans="1:3">
      <c r="A910" s="36">
        <v>20086277523</v>
      </c>
      <c r="B910" t="s">
        <v>94</v>
      </c>
      <c r="C910" s="35" t="s">
        <v>917</v>
      </c>
    </row>
    <row r="911" spans="1:3">
      <c r="A911" s="36">
        <v>20086277523</v>
      </c>
      <c r="B911" t="s">
        <v>94</v>
      </c>
      <c r="C911" s="35" t="s">
        <v>48</v>
      </c>
    </row>
    <row r="912" spans="1:3">
      <c r="A912" s="36">
        <v>3014919</v>
      </c>
      <c r="B912" t="s">
        <v>1111</v>
      </c>
    </row>
    <row r="913" spans="1:3">
      <c r="A913" s="36">
        <v>30716109158</v>
      </c>
      <c r="B913" t="s">
        <v>315</v>
      </c>
      <c r="C913" s="35" t="s">
        <v>2359</v>
      </c>
    </row>
    <row r="914" spans="1:3">
      <c r="A914" s="36">
        <v>33714956049</v>
      </c>
      <c r="B914" t="s">
        <v>316</v>
      </c>
    </row>
    <row r="915" spans="1:3">
      <c r="A915" s="36">
        <v>33715711589</v>
      </c>
      <c r="B915" t="s">
        <v>1112</v>
      </c>
    </row>
    <row r="916" spans="1:3">
      <c r="A916" s="36">
        <v>30711776040</v>
      </c>
      <c r="B916" t="s">
        <v>2346</v>
      </c>
      <c r="C916" s="35" t="s">
        <v>2344</v>
      </c>
    </row>
    <row r="917" spans="1:3">
      <c r="A917" s="36">
        <v>30568649598</v>
      </c>
      <c r="B917" t="s">
        <v>1113</v>
      </c>
      <c r="C917" s="35" t="s">
        <v>781</v>
      </c>
    </row>
    <row r="918" spans="1:3">
      <c r="A918" s="36">
        <v>30708542349</v>
      </c>
      <c r="B918" t="s">
        <v>2141</v>
      </c>
    </row>
    <row r="919" spans="1:3">
      <c r="A919" s="36">
        <v>30526582884</v>
      </c>
      <c r="B919" t="s">
        <v>317</v>
      </c>
      <c r="C919" s="35" t="s">
        <v>781</v>
      </c>
    </row>
    <row r="920" spans="1:3">
      <c r="A920" s="36">
        <v>30526582884</v>
      </c>
      <c r="B920" t="s">
        <v>317</v>
      </c>
      <c r="C920" s="35" t="s">
        <v>781</v>
      </c>
    </row>
    <row r="921" spans="1:3">
      <c r="A921" s="36">
        <v>30626009618</v>
      </c>
      <c r="B921" t="s">
        <v>2199</v>
      </c>
      <c r="C921" s="35" t="s">
        <v>781</v>
      </c>
    </row>
    <row r="922" spans="1:3">
      <c r="A922" s="36">
        <v>30626009618</v>
      </c>
      <c r="B922" t="s">
        <v>2199</v>
      </c>
    </row>
    <row r="923" spans="1:3">
      <c r="A923" s="36">
        <v>30577744579</v>
      </c>
      <c r="B923" t="s">
        <v>2203</v>
      </c>
      <c r="C923" s="35" t="s">
        <v>781</v>
      </c>
    </row>
    <row r="924" spans="1:3">
      <c r="A924" s="36">
        <v>30577744579</v>
      </c>
      <c r="B924" t="s">
        <v>2203</v>
      </c>
      <c r="C924" s="35" t="s">
        <v>781</v>
      </c>
    </row>
    <row r="925" spans="1:3">
      <c r="A925" s="36">
        <v>30714435708</v>
      </c>
      <c r="B925" t="s">
        <v>1114</v>
      </c>
    </row>
    <row r="926" spans="1:3">
      <c r="A926" s="36">
        <v>30715949292</v>
      </c>
      <c r="B926" t="s">
        <v>2009</v>
      </c>
      <c r="C926" s="35" t="s">
        <v>46</v>
      </c>
    </row>
    <row r="927" spans="1:3">
      <c r="A927" s="36">
        <v>30708007761</v>
      </c>
      <c r="B927" t="s">
        <v>318</v>
      </c>
      <c r="C927" s="35" t="s">
        <v>2359</v>
      </c>
    </row>
    <row r="928" spans="1:3">
      <c r="A928" s="36">
        <v>30715869663</v>
      </c>
      <c r="B928" t="s">
        <v>1115</v>
      </c>
      <c r="C928" s="35" t="s">
        <v>2367</v>
      </c>
    </row>
    <row r="929" spans="1:3">
      <c r="A929" s="36">
        <v>30715869663</v>
      </c>
      <c r="B929" t="s">
        <v>1115</v>
      </c>
    </row>
    <row r="930" spans="1:3">
      <c r="A930" s="36">
        <v>30709001554</v>
      </c>
      <c r="B930" t="s">
        <v>319</v>
      </c>
      <c r="C930" s="35" t="s">
        <v>2359</v>
      </c>
    </row>
    <row r="931" spans="1:3">
      <c r="A931" s="36">
        <v>30715980807</v>
      </c>
      <c r="B931" t="s">
        <v>1116</v>
      </c>
      <c r="C931" s="35" t="s">
        <v>2370</v>
      </c>
    </row>
    <row r="932" spans="1:3">
      <c r="A932" s="36"/>
    </row>
    <row r="933" spans="1:3">
      <c r="A933" s="36">
        <v>30502443719</v>
      </c>
      <c r="B933" t="s">
        <v>320</v>
      </c>
      <c r="C933" s="35" t="s">
        <v>2359</v>
      </c>
    </row>
    <row r="934" spans="1:3">
      <c r="A934" s="36">
        <v>20359718765</v>
      </c>
      <c r="B934" t="s">
        <v>2157</v>
      </c>
    </row>
    <row r="935" spans="1:3">
      <c r="A935" s="36">
        <v>30655725829</v>
      </c>
      <c r="B935" t="s">
        <v>321</v>
      </c>
    </row>
    <row r="936" spans="1:3">
      <c r="A936" s="36">
        <v>120815356</v>
      </c>
      <c r="B936" t="s">
        <v>1117</v>
      </c>
    </row>
    <row r="937" spans="1:3">
      <c r="A937" s="36">
        <v>12009225</v>
      </c>
      <c r="B937" t="s">
        <v>1118</v>
      </c>
    </row>
    <row r="938" spans="1:3">
      <c r="A938" s="36">
        <v>16226364</v>
      </c>
      <c r="B938" t="s">
        <v>1119</v>
      </c>
    </row>
    <row r="939" spans="1:3">
      <c r="A939" s="36">
        <v>94210250</v>
      </c>
      <c r="B939" t="s">
        <v>1891</v>
      </c>
    </row>
    <row r="940" spans="1:3">
      <c r="A940" s="36">
        <v>22212182</v>
      </c>
      <c r="B940" t="s">
        <v>1913</v>
      </c>
    </row>
    <row r="941" spans="1:3">
      <c r="A941" s="36">
        <v>26756626</v>
      </c>
      <c r="B941" t="s">
        <v>2002</v>
      </c>
    </row>
    <row r="942" spans="1:3">
      <c r="A942" s="36">
        <v>12892269</v>
      </c>
      <c r="B942" t="s">
        <v>1120</v>
      </c>
    </row>
    <row r="943" spans="1:3">
      <c r="A943" s="36">
        <v>30643518364</v>
      </c>
      <c r="B943" t="s">
        <v>2142</v>
      </c>
      <c r="C943" s="35" t="s">
        <v>2359</v>
      </c>
    </row>
    <row r="944" spans="1:3">
      <c r="A944" s="36">
        <v>30692138747</v>
      </c>
      <c r="B944" t="s">
        <v>1121</v>
      </c>
      <c r="C944" s="35" t="s">
        <v>2367</v>
      </c>
    </row>
    <row r="945" spans="1:3">
      <c r="A945" s="36">
        <v>30692138747</v>
      </c>
      <c r="B945" t="s">
        <v>1121</v>
      </c>
      <c r="C945" s="35" t="s">
        <v>79</v>
      </c>
    </row>
    <row r="946" spans="1:3">
      <c r="A946" s="36">
        <v>30711984026</v>
      </c>
      <c r="B946" t="s">
        <v>2159</v>
      </c>
    </row>
    <row r="947" spans="1:3">
      <c r="A947" s="36">
        <v>30517914874</v>
      </c>
      <c r="B947" t="s">
        <v>322</v>
      </c>
      <c r="C947" s="35" t="s">
        <v>2359</v>
      </c>
    </row>
    <row r="948" spans="1:3">
      <c r="A948" s="36">
        <v>33712234429</v>
      </c>
      <c r="B948" t="s">
        <v>1122</v>
      </c>
      <c r="C948" s="35" t="s">
        <v>44</v>
      </c>
    </row>
    <row r="949" spans="1:3">
      <c r="A949" s="36">
        <v>33707366589</v>
      </c>
      <c r="B949" t="s">
        <v>323</v>
      </c>
    </row>
    <row r="950" spans="1:3">
      <c r="A950" s="36">
        <v>30525274450</v>
      </c>
      <c r="B950" t="s">
        <v>1123</v>
      </c>
    </row>
    <row r="951" spans="1:3">
      <c r="A951" s="36">
        <v>33516994849</v>
      </c>
      <c r="B951" t="s">
        <v>2256</v>
      </c>
      <c r="C951" s="35" t="s">
        <v>2413</v>
      </c>
    </row>
    <row r="952" spans="1:3">
      <c r="A952" s="36">
        <v>33516994849</v>
      </c>
      <c r="B952" t="s">
        <v>2256</v>
      </c>
    </row>
    <row r="953" spans="1:3">
      <c r="A953" s="36">
        <v>20400104094</v>
      </c>
      <c r="B953" t="s">
        <v>324</v>
      </c>
      <c r="C953" s="35" t="s">
        <v>917</v>
      </c>
    </row>
    <row r="954" spans="1:3">
      <c r="A954" s="36">
        <v>20400104094</v>
      </c>
      <c r="B954" t="s">
        <v>324</v>
      </c>
      <c r="C954" s="35" t="s">
        <v>48</v>
      </c>
    </row>
    <row r="955" spans="1:3">
      <c r="A955" s="36">
        <v>20353576012</v>
      </c>
      <c r="B955" t="s">
        <v>1124</v>
      </c>
      <c r="C955" s="35" t="s">
        <v>1539</v>
      </c>
    </row>
    <row r="956" spans="1:3">
      <c r="A956" s="36">
        <v>43588026</v>
      </c>
      <c r="B956" t="s">
        <v>1125</v>
      </c>
    </row>
    <row r="957" spans="1:3">
      <c r="A957" s="36">
        <v>23780066</v>
      </c>
      <c r="B957" t="s">
        <v>2126</v>
      </c>
    </row>
    <row r="958" spans="1:3">
      <c r="A958" s="36">
        <v>29434116</v>
      </c>
      <c r="B958" t="s">
        <v>1126</v>
      </c>
    </row>
    <row r="959" spans="1:3">
      <c r="A959" s="36">
        <v>30449867</v>
      </c>
      <c r="B959" t="s">
        <v>1127</v>
      </c>
    </row>
    <row r="960" spans="1:3">
      <c r="A960" s="36">
        <v>25433122</v>
      </c>
      <c r="B960" t="s">
        <v>1128</v>
      </c>
    </row>
    <row r="961" spans="1:3">
      <c r="A961" s="36">
        <v>35325974</v>
      </c>
      <c r="B961" t="s">
        <v>1129</v>
      </c>
    </row>
    <row r="962" spans="1:3">
      <c r="A962" s="36">
        <v>17431535</v>
      </c>
      <c r="B962" t="s">
        <v>1130</v>
      </c>
    </row>
    <row r="963" spans="1:3">
      <c r="A963" s="36">
        <v>20293942332</v>
      </c>
      <c r="B963" t="s">
        <v>2005</v>
      </c>
      <c r="C963" s="35" t="s">
        <v>46</v>
      </c>
    </row>
    <row r="964" spans="1:3">
      <c r="A964" s="36">
        <v>5486519</v>
      </c>
      <c r="B964" t="s">
        <v>1131</v>
      </c>
    </row>
    <row r="965" spans="1:3">
      <c r="A965" s="36">
        <v>94181432</v>
      </c>
      <c r="B965" t="s">
        <v>1132</v>
      </c>
    </row>
    <row r="966" spans="1:3">
      <c r="A966" s="36">
        <v>20343766441</v>
      </c>
      <c r="B966" t="s">
        <v>1133</v>
      </c>
    </row>
    <row r="967" spans="1:3">
      <c r="A967" s="36">
        <v>20317075430</v>
      </c>
      <c r="B967" t="s">
        <v>325</v>
      </c>
    </row>
    <row r="968" spans="1:3">
      <c r="A968" s="36">
        <v>27086641</v>
      </c>
      <c r="B968" t="s">
        <v>1134</v>
      </c>
    </row>
    <row r="969" spans="1:3">
      <c r="A969" s="36">
        <v>13811838</v>
      </c>
      <c r="B969" t="s">
        <v>1135</v>
      </c>
    </row>
    <row r="970" spans="1:3">
      <c r="A970" s="36">
        <v>41470240</v>
      </c>
      <c r="B970" t="s">
        <v>1136</v>
      </c>
    </row>
    <row r="971" spans="1:3">
      <c r="A971" s="36">
        <v>17972001</v>
      </c>
      <c r="B971" t="s">
        <v>2113</v>
      </c>
    </row>
    <row r="972" spans="1:3">
      <c r="A972" s="36">
        <v>27182049781</v>
      </c>
      <c r="B972" t="s">
        <v>1137</v>
      </c>
    </row>
    <row r="973" spans="1:3">
      <c r="A973" s="36">
        <v>21000158</v>
      </c>
      <c r="B973" t="s">
        <v>1138</v>
      </c>
    </row>
    <row r="974" spans="1:3">
      <c r="A974" s="36">
        <v>41834651</v>
      </c>
      <c r="B974" t="s">
        <v>1139</v>
      </c>
    </row>
    <row r="975" spans="1:3">
      <c r="A975" s="36">
        <v>38893140</v>
      </c>
      <c r="B975" t="s">
        <v>2044</v>
      </c>
    </row>
    <row r="976" spans="1:3">
      <c r="A976" s="36">
        <v>4737409</v>
      </c>
      <c r="B976" t="s">
        <v>1140</v>
      </c>
    </row>
    <row r="977" spans="1:3">
      <c r="A977" s="36">
        <v>17855620</v>
      </c>
      <c r="B977" t="s">
        <v>1141</v>
      </c>
    </row>
    <row r="978" spans="1:3">
      <c r="A978" s="36">
        <v>30712231595</v>
      </c>
      <c r="B978" t="s">
        <v>326</v>
      </c>
    </row>
    <row r="979" spans="1:3">
      <c r="A979" s="36">
        <v>20173651172</v>
      </c>
      <c r="B979" t="s">
        <v>327</v>
      </c>
    </row>
    <row r="980" spans="1:3">
      <c r="A980" s="36">
        <v>30661667822</v>
      </c>
      <c r="B980" t="s">
        <v>328</v>
      </c>
      <c r="C980" s="35" t="s">
        <v>2359</v>
      </c>
    </row>
    <row r="981" spans="1:3">
      <c r="A981" s="36">
        <v>27062343449</v>
      </c>
      <c r="B981" t="s">
        <v>1366</v>
      </c>
      <c r="C981" s="35" t="s">
        <v>2381</v>
      </c>
    </row>
    <row r="982" spans="1:3">
      <c r="A982" s="36">
        <v>27062343449</v>
      </c>
      <c r="B982" t="s">
        <v>1366</v>
      </c>
      <c r="C982" s="35" t="s">
        <v>781</v>
      </c>
    </row>
    <row r="983" spans="1:3">
      <c r="A983" s="36">
        <v>20270865780</v>
      </c>
      <c r="B983" t="s">
        <v>1142</v>
      </c>
    </row>
    <row r="984" spans="1:3">
      <c r="A984" s="36">
        <v>30676642230</v>
      </c>
      <c r="B984" t="s">
        <v>1143</v>
      </c>
      <c r="C984" s="35" t="s">
        <v>891</v>
      </c>
    </row>
    <row r="985" spans="1:3">
      <c r="A985" s="36">
        <v>30540918364</v>
      </c>
      <c r="B985" t="s">
        <v>329</v>
      </c>
      <c r="C985" s="35" t="s">
        <v>79</v>
      </c>
    </row>
    <row r="986" spans="1:3">
      <c r="A986" s="36">
        <v>30709453293</v>
      </c>
      <c r="B986" t="s">
        <v>1144</v>
      </c>
      <c r="C986" s="35" t="s">
        <v>43</v>
      </c>
    </row>
    <row r="987" spans="1:3">
      <c r="A987" s="36">
        <v>30709453293</v>
      </c>
      <c r="B987" t="s">
        <v>1144</v>
      </c>
      <c r="C987" s="35" t="s">
        <v>43</v>
      </c>
    </row>
    <row r="988" spans="1:3">
      <c r="A988" s="36">
        <v>20082650424</v>
      </c>
      <c r="B988" t="s">
        <v>330</v>
      </c>
    </row>
    <row r="989" spans="1:3">
      <c r="A989" s="36">
        <v>30716243946</v>
      </c>
      <c r="B989" t="s">
        <v>331</v>
      </c>
    </row>
    <row r="990" spans="1:3">
      <c r="A990" s="36">
        <v>17400630</v>
      </c>
      <c r="B990" t="s">
        <v>1145</v>
      </c>
    </row>
    <row r="991" spans="1:3">
      <c r="A991" s="36">
        <v>16874783</v>
      </c>
      <c r="B991" t="s">
        <v>1859</v>
      </c>
    </row>
    <row r="992" spans="1:3">
      <c r="A992" s="36">
        <v>48492773</v>
      </c>
      <c r="B992" t="s">
        <v>1146</v>
      </c>
    </row>
    <row r="993" spans="1:3">
      <c r="A993" s="36">
        <v>4849273</v>
      </c>
      <c r="B993" t="s">
        <v>1147</v>
      </c>
    </row>
    <row r="994" spans="1:3">
      <c r="A994" s="36">
        <v>30709453293</v>
      </c>
      <c r="B994" t="s">
        <v>332</v>
      </c>
    </row>
    <row r="995" spans="1:3">
      <c r="A995" s="36">
        <v>30525341263</v>
      </c>
      <c r="B995" t="s">
        <v>333</v>
      </c>
      <c r="C995" s="35" t="s">
        <v>2359</v>
      </c>
    </row>
    <row r="996" spans="1:3">
      <c r="A996" s="36">
        <v>4447424</v>
      </c>
      <c r="B996" t="s">
        <v>1148</v>
      </c>
    </row>
    <row r="997" spans="1:3">
      <c r="A997" s="36">
        <v>33714877769</v>
      </c>
      <c r="B997" t="s">
        <v>2266</v>
      </c>
      <c r="C997" s="35" t="s">
        <v>44</v>
      </c>
    </row>
    <row r="998" spans="1:3">
      <c r="A998" s="36">
        <v>33707529879</v>
      </c>
      <c r="B998" t="s">
        <v>334</v>
      </c>
      <c r="C998" s="35" t="s">
        <v>2359</v>
      </c>
    </row>
    <row r="999" spans="1:3">
      <c r="A999" s="36">
        <v>44691226</v>
      </c>
      <c r="B999" t="s">
        <v>1149</v>
      </c>
    </row>
    <row r="1000" spans="1:3">
      <c r="A1000" s="36">
        <v>14011463</v>
      </c>
      <c r="B1000" t="s">
        <v>2110</v>
      </c>
    </row>
    <row r="1001" spans="1:3">
      <c r="A1001" s="36">
        <v>36873511</v>
      </c>
      <c r="B1001" t="s">
        <v>1150</v>
      </c>
    </row>
    <row r="1002" spans="1:3">
      <c r="A1002" s="36">
        <v>20111225304</v>
      </c>
      <c r="B1002" t="s">
        <v>335</v>
      </c>
    </row>
    <row r="1003" spans="1:3">
      <c r="A1003" s="36">
        <v>30716620634</v>
      </c>
      <c r="B1003" t="s">
        <v>1949</v>
      </c>
      <c r="C1003" s="35" t="s">
        <v>79</v>
      </c>
    </row>
    <row r="1004" spans="1:3">
      <c r="A1004" s="36">
        <v>30716620634</v>
      </c>
      <c r="B1004" t="s">
        <v>1949</v>
      </c>
    </row>
    <row r="1005" spans="1:3">
      <c r="A1005" s="36">
        <v>30714690554</v>
      </c>
      <c r="B1005" t="s">
        <v>1151</v>
      </c>
      <c r="C1005" s="35" t="s">
        <v>891</v>
      </c>
    </row>
    <row r="1006" spans="1:3">
      <c r="A1006" s="36">
        <v>30516348727</v>
      </c>
      <c r="B1006" t="s">
        <v>336</v>
      </c>
      <c r="C1006" s="35" t="s">
        <v>2359</v>
      </c>
    </row>
    <row r="1007" spans="1:3">
      <c r="A1007" s="36">
        <v>12892592</v>
      </c>
      <c r="B1007" t="s">
        <v>1152</v>
      </c>
    </row>
    <row r="1008" spans="1:3">
      <c r="A1008" s="36">
        <v>25393067</v>
      </c>
      <c r="B1008" t="s">
        <v>1982</v>
      </c>
    </row>
    <row r="1009" spans="1:3">
      <c r="A1009" s="36">
        <v>34837613</v>
      </c>
      <c r="B1009" t="s">
        <v>1153</v>
      </c>
    </row>
    <row r="1010" spans="1:3">
      <c r="A1010" s="36">
        <v>42743514</v>
      </c>
      <c r="B1010" t="s">
        <v>1154</v>
      </c>
    </row>
    <row r="1011" spans="1:3">
      <c r="A1011" s="36">
        <v>6554208</v>
      </c>
      <c r="B1011" t="s">
        <v>1155</v>
      </c>
    </row>
    <row r="1012" spans="1:3">
      <c r="A1012" s="36">
        <v>30705466021</v>
      </c>
      <c r="B1012" t="s">
        <v>1156</v>
      </c>
    </row>
    <row r="1013" spans="1:3">
      <c r="A1013" s="36">
        <v>8447316</v>
      </c>
      <c r="B1013" t="s">
        <v>2129</v>
      </c>
    </row>
    <row r="1014" spans="1:3">
      <c r="A1014" s="36">
        <v>11988306</v>
      </c>
      <c r="B1014" t="s">
        <v>1157</v>
      </c>
    </row>
    <row r="1015" spans="1:3">
      <c r="A1015" s="36">
        <v>23231017879</v>
      </c>
      <c r="B1015" t="s">
        <v>1158</v>
      </c>
    </row>
    <row r="1016" spans="1:3">
      <c r="A1016" s="36">
        <v>27301358852</v>
      </c>
      <c r="B1016" t="s">
        <v>1159</v>
      </c>
      <c r="C1016" s="35" t="s">
        <v>781</v>
      </c>
    </row>
    <row r="1017" spans="1:3">
      <c r="A1017" s="36">
        <v>93281970</v>
      </c>
      <c r="B1017" t="s">
        <v>1160</v>
      </c>
    </row>
    <row r="1018" spans="1:3">
      <c r="A1018" s="36">
        <v>3756612</v>
      </c>
      <c r="B1018" t="s">
        <v>1161</v>
      </c>
    </row>
    <row r="1019" spans="1:3">
      <c r="A1019" s="36">
        <v>30695097596</v>
      </c>
      <c r="B1019" t="s">
        <v>337</v>
      </c>
    </row>
    <row r="1020" spans="1:3">
      <c r="A1020" s="36">
        <v>33362296</v>
      </c>
      <c r="B1020" t="s">
        <v>2087</v>
      </c>
    </row>
    <row r="1021" spans="1:3">
      <c r="A1021" s="36">
        <v>30708363126</v>
      </c>
      <c r="B1021" t="s">
        <v>338</v>
      </c>
      <c r="C1021" s="35" t="s">
        <v>804</v>
      </c>
    </row>
    <row r="1022" spans="1:3">
      <c r="A1022" s="36">
        <v>30711753865</v>
      </c>
      <c r="B1022" t="s">
        <v>2094</v>
      </c>
    </row>
    <row r="1023" spans="1:3">
      <c r="A1023" s="36">
        <v>30711166927</v>
      </c>
      <c r="B1023" t="s">
        <v>339</v>
      </c>
    </row>
    <row r="1024" spans="1:3">
      <c r="A1024" s="36">
        <v>20314536852</v>
      </c>
      <c r="B1024" t="s">
        <v>2099</v>
      </c>
      <c r="C1024" s="35" t="s">
        <v>781</v>
      </c>
    </row>
    <row r="1025" spans="1:3">
      <c r="A1025" s="36">
        <v>20314536852</v>
      </c>
      <c r="B1025" t="s">
        <v>2099</v>
      </c>
      <c r="C1025" s="35" t="s">
        <v>781</v>
      </c>
    </row>
    <row r="1026" spans="1:3">
      <c r="A1026" s="36">
        <v>20934275218</v>
      </c>
      <c r="B1026" t="s">
        <v>340</v>
      </c>
    </row>
    <row r="1027" spans="1:3">
      <c r="A1027" s="36">
        <v>32592366</v>
      </c>
      <c r="B1027" t="s">
        <v>1892</v>
      </c>
    </row>
    <row r="1028" spans="1:3">
      <c r="A1028" s="36">
        <v>17055249</v>
      </c>
      <c r="B1028" t="s">
        <v>2112</v>
      </c>
    </row>
    <row r="1029" spans="1:3">
      <c r="A1029" s="36">
        <v>32983309</v>
      </c>
      <c r="B1029" t="s">
        <v>1162</v>
      </c>
    </row>
    <row r="1030" spans="1:3">
      <c r="A1030" s="36">
        <v>30716041391</v>
      </c>
      <c r="B1030" t="s">
        <v>1163</v>
      </c>
    </row>
    <row r="1031" spans="1:3">
      <c r="A1031" s="36">
        <v>33714230129</v>
      </c>
      <c r="B1031" t="s">
        <v>341</v>
      </c>
    </row>
    <row r="1032" spans="1:3">
      <c r="A1032" s="36">
        <v>27018493190</v>
      </c>
      <c r="B1032" t="s">
        <v>1164</v>
      </c>
    </row>
    <row r="1033" spans="1:3">
      <c r="A1033" s="36" t="s">
        <v>1165</v>
      </c>
      <c r="B1033" t="s">
        <v>1166</v>
      </c>
      <c r="C1033" s="35" t="s">
        <v>2367</v>
      </c>
    </row>
    <row r="1034" spans="1:3">
      <c r="A1034" s="36" t="s">
        <v>1165</v>
      </c>
      <c r="B1034" t="s">
        <v>1166</v>
      </c>
    </row>
    <row r="1035" spans="1:3">
      <c r="A1035" s="36">
        <v>30710657250</v>
      </c>
      <c r="B1035" t="s">
        <v>1167</v>
      </c>
      <c r="C1035" s="35" t="s">
        <v>2367</v>
      </c>
    </row>
    <row r="1036" spans="1:3">
      <c r="A1036" s="36">
        <v>30710657250</v>
      </c>
      <c r="B1036" t="s">
        <v>1167</v>
      </c>
      <c r="C1036" s="35" t="s">
        <v>2359</v>
      </c>
    </row>
    <row r="1037" spans="1:3">
      <c r="A1037" s="36">
        <v>30526874249</v>
      </c>
      <c r="B1037" t="s">
        <v>342</v>
      </c>
      <c r="C1037" s="35" t="s">
        <v>2367</v>
      </c>
    </row>
    <row r="1038" spans="1:3">
      <c r="A1038" s="36">
        <v>30526874249</v>
      </c>
      <c r="B1038" t="s">
        <v>342</v>
      </c>
    </row>
    <row r="1039" spans="1:3">
      <c r="A1039" s="36">
        <v>20278292429</v>
      </c>
      <c r="B1039" t="s">
        <v>2341</v>
      </c>
      <c r="C1039" s="35" t="s">
        <v>2342</v>
      </c>
    </row>
    <row r="1040" spans="1:3">
      <c r="A1040" s="36">
        <v>27119878468</v>
      </c>
      <c r="B1040" t="s">
        <v>2214</v>
      </c>
      <c r="C1040" s="35" t="s">
        <v>2359</v>
      </c>
    </row>
    <row r="1041" spans="1:3">
      <c r="A1041" s="36">
        <v>27119878468</v>
      </c>
      <c r="B1041" t="s">
        <v>2214</v>
      </c>
    </row>
    <row r="1042" spans="1:3">
      <c r="A1042" s="36">
        <v>16288441</v>
      </c>
      <c r="B1042" t="s">
        <v>1168</v>
      </c>
    </row>
    <row r="1043" spans="1:3">
      <c r="A1043" s="36">
        <v>4628646</v>
      </c>
      <c r="B1043" t="s">
        <v>1169</v>
      </c>
    </row>
    <row r="1044" spans="1:3">
      <c r="A1044" s="36">
        <v>11342845</v>
      </c>
      <c r="B1044" t="s">
        <v>1170</v>
      </c>
    </row>
    <row r="1045" spans="1:3">
      <c r="A1045" s="36">
        <v>30711491801</v>
      </c>
      <c r="B1045" t="s">
        <v>343</v>
      </c>
    </row>
    <row r="1046" spans="1:3">
      <c r="A1046" s="36">
        <v>30657418877</v>
      </c>
      <c r="B1046" t="s">
        <v>344</v>
      </c>
    </row>
    <row r="1047" spans="1:3">
      <c r="A1047" s="36">
        <v>30657418877</v>
      </c>
      <c r="B1047" t="s">
        <v>1171</v>
      </c>
      <c r="C1047" s="35" t="s">
        <v>796</v>
      </c>
    </row>
    <row r="1048" spans="1:3">
      <c r="A1048" s="36">
        <v>30657418877</v>
      </c>
      <c r="B1048" t="s">
        <v>1171</v>
      </c>
      <c r="C1048" s="35" t="s">
        <v>796</v>
      </c>
    </row>
    <row r="1049" spans="1:3">
      <c r="A1049" s="36" t="s">
        <v>1172</v>
      </c>
      <c r="B1049" t="s">
        <v>1173</v>
      </c>
    </row>
    <row r="1050" spans="1:3">
      <c r="A1050" s="36">
        <v>30708049928</v>
      </c>
      <c r="B1050" t="s">
        <v>1174</v>
      </c>
    </row>
    <row r="1051" spans="1:3">
      <c r="A1051" s="36">
        <v>33711134609</v>
      </c>
      <c r="B1051" t="s">
        <v>1175</v>
      </c>
    </row>
    <row r="1052" spans="1:3">
      <c r="A1052" s="36">
        <v>30535302606</v>
      </c>
      <c r="B1052" t="s">
        <v>345</v>
      </c>
      <c r="C1052" s="35" t="s">
        <v>2359</v>
      </c>
    </row>
    <row r="1053" spans="1:3">
      <c r="A1053" s="36">
        <v>11455152</v>
      </c>
      <c r="B1053" t="s">
        <v>1176</v>
      </c>
    </row>
    <row r="1054" spans="1:3">
      <c r="A1054" s="36">
        <v>24671442</v>
      </c>
      <c r="B1054" t="s">
        <v>1177</v>
      </c>
    </row>
    <row r="1055" spans="1:3">
      <c r="A1055" s="36">
        <v>20284183534</v>
      </c>
      <c r="B1055" t="s">
        <v>1178</v>
      </c>
      <c r="C1055" s="35" t="s">
        <v>891</v>
      </c>
    </row>
    <row r="1056" spans="1:3">
      <c r="A1056" s="36">
        <v>20284183534</v>
      </c>
      <c r="B1056" t="s">
        <v>1178</v>
      </c>
      <c r="C1056" s="35" t="s">
        <v>46</v>
      </c>
    </row>
    <row r="1057" spans="1:3">
      <c r="A1057" s="36">
        <v>20115545397</v>
      </c>
      <c r="B1057" t="s">
        <v>1179</v>
      </c>
      <c r="C1057" s="35" t="s">
        <v>46</v>
      </c>
    </row>
    <row r="1058" spans="1:3">
      <c r="A1058" s="36">
        <v>20168707534</v>
      </c>
      <c r="B1058" t="s">
        <v>2416</v>
      </c>
      <c r="C1058" s="35" t="s">
        <v>2359</v>
      </c>
    </row>
    <row r="1059" spans="1:3">
      <c r="A1059" s="36">
        <v>23103614</v>
      </c>
      <c r="B1059" t="s">
        <v>1180</v>
      </c>
    </row>
    <row r="1060" spans="1:3">
      <c r="A1060" s="36">
        <v>33556360109</v>
      </c>
      <c r="B1060" t="s">
        <v>1181</v>
      </c>
      <c r="C1060" s="35" t="s">
        <v>1091</v>
      </c>
    </row>
    <row r="1061" spans="1:3">
      <c r="A1061" s="36">
        <v>30500987878</v>
      </c>
      <c r="B1061" t="s">
        <v>346</v>
      </c>
      <c r="C1061" s="35" t="s">
        <v>1182</v>
      </c>
    </row>
    <row r="1062" spans="1:3">
      <c r="A1062" s="36">
        <v>20211408511</v>
      </c>
      <c r="B1062" t="s">
        <v>1898</v>
      </c>
      <c r="C1062" s="35" t="s">
        <v>44</v>
      </c>
    </row>
    <row r="1063" spans="1:3">
      <c r="A1063" s="36">
        <v>20211408511</v>
      </c>
      <c r="B1063" t="s">
        <v>1898</v>
      </c>
      <c r="C1063" s="35" t="s">
        <v>79</v>
      </c>
    </row>
    <row r="1064" spans="1:3">
      <c r="A1064" s="36">
        <v>23920485979</v>
      </c>
      <c r="B1064" t="s">
        <v>95</v>
      </c>
      <c r="C1064" s="35" t="s">
        <v>79</v>
      </c>
    </row>
    <row r="1065" spans="1:3">
      <c r="A1065" s="36">
        <v>26542077</v>
      </c>
      <c r="B1065" t="s">
        <v>1183</v>
      </c>
    </row>
    <row r="1066" spans="1:3">
      <c r="A1066" s="36">
        <v>30699695242</v>
      </c>
      <c r="B1066" t="s">
        <v>347</v>
      </c>
    </row>
    <row r="1067" spans="1:3">
      <c r="A1067" s="36">
        <v>27242941301</v>
      </c>
      <c r="B1067" t="s">
        <v>1184</v>
      </c>
    </row>
    <row r="1068" spans="1:3">
      <c r="A1068" s="36">
        <v>30698914277</v>
      </c>
      <c r="B1068" t="s">
        <v>348</v>
      </c>
    </row>
    <row r="1069" spans="1:3">
      <c r="A1069" s="36">
        <v>27204269527</v>
      </c>
      <c r="B1069" t="s">
        <v>1185</v>
      </c>
      <c r="C1069" s="35" t="s">
        <v>46</v>
      </c>
    </row>
    <row r="1070" spans="1:3">
      <c r="A1070" s="36">
        <v>27204269527</v>
      </c>
      <c r="B1070" t="s">
        <v>1185</v>
      </c>
      <c r="C1070" s="35" t="s">
        <v>46</v>
      </c>
    </row>
    <row r="1071" spans="1:3">
      <c r="A1071" s="36">
        <v>16565991</v>
      </c>
      <c r="B1071" t="s">
        <v>1186</v>
      </c>
    </row>
    <row r="1072" spans="1:3">
      <c r="A1072" s="36">
        <v>11815954</v>
      </c>
      <c r="B1072" t="s">
        <v>1987</v>
      </c>
    </row>
    <row r="1073" spans="1:3">
      <c r="A1073" s="36">
        <v>30522428163</v>
      </c>
      <c r="B1073" t="s">
        <v>1187</v>
      </c>
      <c r="C1073" s="35" t="s">
        <v>2359</v>
      </c>
    </row>
    <row r="1074" spans="1:3">
      <c r="A1074" s="36" t="s">
        <v>1188</v>
      </c>
      <c r="B1074" t="s">
        <v>1187</v>
      </c>
      <c r="C1074" s="35" t="s">
        <v>2359</v>
      </c>
    </row>
    <row r="1075" spans="1:3">
      <c r="A1075" s="36">
        <v>30522428163</v>
      </c>
      <c r="B1075" t="s">
        <v>1187</v>
      </c>
      <c r="C1075" s="35" t="s">
        <v>2359</v>
      </c>
    </row>
    <row r="1076" spans="1:3">
      <c r="A1076" s="36" t="s">
        <v>1188</v>
      </c>
      <c r="B1076" t="s">
        <v>1187</v>
      </c>
      <c r="C1076" s="35" t="s">
        <v>2359</v>
      </c>
    </row>
    <row r="1077" spans="1:3">
      <c r="A1077" s="36">
        <v>30685228501</v>
      </c>
      <c r="B1077" t="s">
        <v>1189</v>
      </c>
      <c r="C1077" s="35" t="s">
        <v>796</v>
      </c>
    </row>
    <row r="1078" spans="1:3">
      <c r="A1078" s="36">
        <v>95899296</v>
      </c>
      <c r="B1078" t="s">
        <v>1190</v>
      </c>
    </row>
    <row r="1079" spans="1:3">
      <c r="A1079" s="36">
        <v>27061922984</v>
      </c>
      <c r="B1079" t="s">
        <v>1191</v>
      </c>
      <c r="C1079" s="35" t="s">
        <v>2359</v>
      </c>
    </row>
    <row r="1080" spans="1:3">
      <c r="A1080" s="36">
        <v>27281609</v>
      </c>
      <c r="B1080" t="s">
        <v>1192</v>
      </c>
    </row>
    <row r="1081" spans="1:3">
      <c r="A1081" s="36">
        <v>11997640</v>
      </c>
      <c r="B1081" t="s">
        <v>1193</v>
      </c>
    </row>
    <row r="1082" spans="1:3">
      <c r="A1082" s="36">
        <v>14727785</v>
      </c>
      <c r="B1082" t="s">
        <v>2071</v>
      </c>
    </row>
    <row r="1083" spans="1:3">
      <c r="A1083" s="36">
        <v>20214688590</v>
      </c>
      <c r="B1083" t="s">
        <v>349</v>
      </c>
      <c r="C1083" s="35" t="s">
        <v>79</v>
      </c>
    </row>
    <row r="1084" spans="1:3">
      <c r="A1084" s="36">
        <v>30639782383</v>
      </c>
      <c r="B1084" t="s">
        <v>350</v>
      </c>
      <c r="C1084" s="35" t="s">
        <v>79</v>
      </c>
    </row>
    <row r="1085" spans="1:3">
      <c r="A1085" s="36">
        <v>30715567578</v>
      </c>
      <c r="B1085" t="s">
        <v>1194</v>
      </c>
      <c r="C1085" s="35" t="s">
        <v>804</v>
      </c>
    </row>
    <row r="1086" spans="1:3">
      <c r="A1086" s="36">
        <v>20174941654</v>
      </c>
      <c r="B1086" t="s">
        <v>1195</v>
      </c>
    </row>
    <row r="1087" spans="1:3">
      <c r="A1087" s="36">
        <v>30540088213</v>
      </c>
      <c r="B1087" t="s">
        <v>1196</v>
      </c>
      <c r="C1087" s="35" t="s">
        <v>79</v>
      </c>
    </row>
    <row r="1088" spans="1:3">
      <c r="A1088" s="36">
        <v>23299060179</v>
      </c>
      <c r="B1088" t="s">
        <v>2304</v>
      </c>
      <c r="C1088" s="35" t="s">
        <v>2380</v>
      </c>
    </row>
    <row r="1089" spans="1:3">
      <c r="A1089" s="36">
        <v>20186809565</v>
      </c>
      <c r="B1089" t="s">
        <v>1197</v>
      </c>
      <c r="C1089" s="35" t="s">
        <v>2359</v>
      </c>
    </row>
    <row r="1090" spans="1:3">
      <c r="A1090" s="36">
        <v>20930857220</v>
      </c>
      <c r="B1090" t="s">
        <v>2343</v>
      </c>
      <c r="C1090" s="35" t="s">
        <v>2344</v>
      </c>
    </row>
    <row r="1091" spans="1:3">
      <c r="A1091" s="36">
        <v>44285919</v>
      </c>
      <c r="B1091" t="s">
        <v>1996</v>
      </c>
    </row>
    <row r="1092" spans="1:3">
      <c r="A1092" s="36">
        <v>20300503803</v>
      </c>
      <c r="B1092" t="s">
        <v>1198</v>
      </c>
    </row>
    <row r="1093" spans="1:3">
      <c r="A1093" s="36">
        <v>25795206</v>
      </c>
      <c r="B1093" t="s">
        <v>1199</v>
      </c>
    </row>
    <row r="1094" spans="1:3">
      <c r="A1094" s="36">
        <v>5298804</v>
      </c>
      <c r="B1094" t="s">
        <v>1200</v>
      </c>
    </row>
    <row r="1095" spans="1:3">
      <c r="A1095" s="36">
        <v>23405137119</v>
      </c>
      <c r="B1095" t="s">
        <v>1833</v>
      </c>
      <c r="C1095" s="35" t="s">
        <v>781</v>
      </c>
    </row>
    <row r="1096" spans="1:3">
      <c r="A1096" s="36">
        <v>20047064946</v>
      </c>
      <c r="B1096" t="s">
        <v>2303</v>
      </c>
      <c r="C1096" s="35" t="s">
        <v>804</v>
      </c>
    </row>
    <row r="1097" spans="1:3">
      <c r="A1097" s="36">
        <v>23472790</v>
      </c>
      <c r="B1097" t="s">
        <v>1201</v>
      </c>
    </row>
    <row r="1098" spans="1:3">
      <c r="A1098" s="36">
        <v>10088011</v>
      </c>
      <c r="B1098" t="s">
        <v>1202</v>
      </c>
    </row>
    <row r="1099" spans="1:3">
      <c r="A1099" s="36">
        <v>32094943</v>
      </c>
      <c r="B1099" t="s">
        <v>2133</v>
      </c>
    </row>
    <row r="1100" spans="1:3">
      <c r="A1100" s="36">
        <v>4877200</v>
      </c>
      <c r="B1100" t="s">
        <v>1203</v>
      </c>
    </row>
    <row r="1101" spans="1:3">
      <c r="A1101" s="36">
        <v>20101268897</v>
      </c>
      <c r="B1101" t="s">
        <v>351</v>
      </c>
    </row>
    <row r="1102" spans="1:3">
      <c r="A1102" s="36">
        <v>32593209</v>
      </c>
      <c r="B1102" t="s">
        <v>1204</v>
      </c>
    </row>
    <row r="1103" spans="1:3">
      <c r="A1103" s="36">
        <v>30620098058</v>
      </c>
      <c r="B1103" t="s">
        <v>2239</v>
      </c>
      <c r="C1103" s="35" t="s">
        <v>44</v>
      </c>
    </row>
    <row r="1104" spans="1:3">
      <c r="A1104" s="36">
        <v>30620098058</v>
      </c>
      <c r="B1104" t="s">
        <v>2239</v>
      </c>
    </row>
    <row r="1105" spans="1:3">
      <c r="A1105" s="36">
        <v>30594549712</v>
      </c>
      <c r="B1105" t="s">
        <v>1205</v>
      </c>
      <c r="C1105" s="35" t="s">
        <v>79</v>
      </c>
    </row>
    <row r="1106" spans="1:3">
      <c r="A1106" s="36">
        <v>23073140</v>
      </c>
      <c r="B1106" t="s">
        <v>1206</v>
      </c>
    </row>
    <row r="1107" spans="1:3">
      <c r="A1107" s="36">
        <v>30544052027</v>
      </c>
      <c r="B1107" t="s">
        <v>352</v>
      </c>
      <c r="C1107" s="35" t="s">
        <v>2359</v>
      </c>
    </row>
    <row r="1108" spans="1:3">
      <c r="A1108" s="36">
        <v>30708402911</v>
      </c>
      <c r="B1108" t="s">
        <v>2277</v>
      </c>
      <c r="C1108" s="35" t="s">
        <v>891</v>
      </c>
    </row>
    <row r="1109" spans="1:3">
      <c r="A1109" s="36">
        <v>30716251884</v>
      </c>
      <c r="B1109" t="s">
        <v>2107</v>
      </c>
    </row>
    <row r="1110" spans="1:3">
      <c r="A1110" s="36">
        <v>30709737348</v>
      </c>
      <c r="B1110" t="s">
        <v>353</v>
      </c>
      <c r="C1110" s="35" t="s">
        <v>79</v>
      </c>
    </row>
    <row r="1111" spans="1:3">
      <c r="A1111" s="36">
        <v>30708855975</v>
      </c>
      <c r="B1111" t="s">
        <v>354</v>
      </c>
      <c r="C1111" s="35" t="s">
        <v>2359</v>
      </c>
    </row>
    <row r="1112" spans="1:3">
      <c r="A1112" s="36">
        <v>20225327638</v>
      </c>
      <c r="B1112" t="s">
        <v>355</v>
      </c>
      <c r="C1112" s="35" t="s">
        <v>2359</v>
      </c>
    </row>
    <row r="1113" spans="1:3">
      <c r="A1113" s="36">
        <v>30711336431</v>
      </c>
      <c r="B1113" t="s">
        <v>1207</v>
      </c>
      <c r="C1113" s="35" t="s">
        <v>44</v>
      </c>
    </row>
    <row r="1114" spans="1:3">
      <c r="A1114" s="36">
        <v>30546694263</v>
      </c>
      <c r="B1114" t="s">
        <v>1208</v>
      </c>
      <c r="C1114" s="35" t="s">
        <v>796</v>
      </c>
    </row>
    <row r="1115" spans="1:3">
      <c r="A1115" s="36">
        <v>30546694263</v>
      </c>
      <c r="B1115" t="s">
        <v>356</v>
      </c>
    </row>
    <row r="1116" spans="1:3">
      <c r="A1116" s="36">
        <v>13855506</v>
      </c>
      <c r="B1116" t="s">
        <v>2050</v>
      </c>
    </row>
    <row r="1117" spans="1:3">
      <c r="A1117" s="36">
        <v>27217642464</v>
      </c>
      <c r="B1117" t="s">
        <v>357</v>
      </c>
      <c r="C1117" s="35" t="s">
        <v>79</v>
      </c>
    </row>
    <row r="1118" spans="1:3">
      <c r="A1118" s="36">
        <v>27217642464</v>
      </c>
      <c r="B1118" t="s">
        <v>357</v>
      </c>
    </row>
    <row r="1119" spans="1:3">
      <c r="A1119" s="36">
        <v>34849727</v>
      </c>
      <c r="B1119" t="s">
        <v>1209</v>
      </c>
    </row>
    <row r="1120" spans="1:3">
      <c r="A1120" s="36">
        <v>4088050</v>
      </c>
      <c r="B1120" t="s">
        <v>1210</v>
      </c>
    </row>
    <row r="1121" spans="1:3">
      <c r="A1121" s="36">
        <v>4088050</v>
      </c>
      <c r="B1121" t="s">
        <v>1210</v>
      </c>
    </row>
    <row r="1122" spans="1:3">
      <c r="A1122" s="36">
        <v>92883126</v>
      </c>
      <c r="B1122" t="s">
        <v>2108</v>
      </c>
    </row>
    <row r="1123" spans="1:3">
      <c r="A1123" s="36">
        <v>13017622</v>
      </c>
      <c r="B1123" t="s">
        <v>1963</v>
      </c>
    </row>
    <row r="1124" spans="1:3">
      <c r="A1124" s="36">
        <v>16054550</v>
      </c>
      <c r="B1124" t="s">
        <v>1988</v>
      </c>
    </row>
    <row r="1125" spans="1:3">
      <c r="A1125" s="36">
        <v>30690212265</v>
      </c>
      <c r="B1125" t="s">
        <v>2178</v>
      </c>
      <c r="C1125" s="35" t="s">
        <v>781</v>
      </c>
    </row>
    <row r="1126" spans="1:3">
      <c r="A1126" s="36">
        <v>30690212265</v>
      </c>
      <c r="B1126" t="s">
        <v>2178</v>
      </c>
    </row>
    <row r="1127" spans="1:3">
      <c r="A1127" s="36">
        <v>30711633959</v>
      </c>
      <c r="B1127" t="s">
        <v>2288</v>
      </c>
      <c r="C1127" s="35" t="s">
        <v>79</v>
      </c>
    </row>
    <row r="1128" spans="1:3">
      <c r="A1128" s="36">
        <v>95776656</v>
      </c>
      <c r="B1128" t="s">
        <v>1211</v>
      </c>
    </row>
    <row r="1129" spans="1:3">
      <c r="A1129" s="36">
        <v>23120844989</v>
      </c>
      <c r="B1129" t="s">
        <v>2164</v>
      </c>
    </row>
    <row r="1130" spans="1:3">
      <c r="A1130" s="36">
        <v>23161244244</v>
      </c>
      <c r="B1130" t="s">
        <v>1212</v>
      </c>
    </row>
    <row r="1131" spans="1:3">
      <c r="A1131" s="36">
        <v>6044998</v>
      </c>
      <c r="B1131" t="s">
        <v>1213</v>
      </c>
    </row>
    <row r="1132" spans="1:3">
      <c r="A1132" s="36">
        <v>30711950113</v>
      </c>
      <c r="B1132" t="s">
        <v>358</v>
      </c>
      <c r="C1132" s="35" t="s">
        <v>2359</v>
      </c>
    </row>
    <row r="1133" spans="1:3">
      <c r="A1133" s="36">
        <v>30711950113</v>
      </c>
      <c r="B1133" t="s">
        <v>1214</v>
      </c>
      <c r="C1133" s="35" t="s">
        <v>2359</v>
      </c>
    </row>
    <row r="1134" spans="1:3">
      <c r="A1134" s="36">
        <v>30711950113</v>
      </c>
      <c r="B1134" t="s">
        <v>1214</v>
      </c>
      <c r="C1134" s="35" t="s">
        <v>2359</v>
      </c>
    </row>
    <row r="1135" spans="1:3">
      <c r="A1135" s="36">
        <v>12628022</v>
      </c>
      <c r="B1135" t="s">
        <v>2117</v>
      </c>
    </row>
    <row r="1136" spans="1:3">
      <c r="A1136" s="36">
        <v>23076996989</v>
      </c>
      <c r="B1136" t="s">
        <v>1215</v>
      </c>
      <c r="C1136" s="35" t="s">
        <v>891</v>
      </c>
    </row>
    <row r="1137" spans="1:3">
      <c r="A1137" s="36">
        <v>23076996989</v>
      </c>
      <c r="B1137" t="s">
        <v>1215</v>
      </c>
      <c r="C1137" s="35" t="s">
        <v>2359</v>
      </c>
    </row>
    <row r="1138" spans="1:3">
      <c r="A1138" s="36">
        <v>30626885981</v>
      </c>
      <c r="B1138" t="s">
        <v>359</v>
      </c>
      <c r="C1138" s="35" t="s">
        <v>2359</v>
      </c>
    </row>
    <row r="1139" spans="1:3">
      <c r="A1139" s="36">
        <v>30711069573</v>
      </c>
      <c r="B1139" t="s">
        <v>360</v>
      </c>
      <c r="C1139" s="35" t="s">
        <v>2359</v>
      </c>
    </row>
    <row r="1140" spans="1:3">
      <c r="A1140" s="36">
        <v>33709997489</v>
      </c>
      <c r="B1140" t="s">
        <v>1216</v>
      </c>
      <c r="C1140" s="35" t="s">
        <v>2359</v>
      </c>
    </row>
    <row r="1141" spans="1:3">
      <c r="A1141" s="36">
        <v>27187627236</v>
      </c>
      <c r="B1141" t="s">
        <v>1217</v>
      </c>
    </row>
    <row r="1142" spans="1:3">
      <c r="A1142" s="36">
        <v>92316435</v>
      </c>
      <c r="B1142" t="s">
        <v>1993</v>
      </c>
    </row>
    <row r="1143" spans="1:3">
      <c r="A1143" s="36">
        <v>30715621866</v>
      </c>
      <c r="B1143" t="s">
        <v>1955</v>
      </c>
      <c r="C1143" s="35" t="s">
        <v>2384</v>
      </c>
    </row>
    <row r="1144" spans="1:3">
      <c r="A1144" s="36">
        <v>30709208221</v>
      </c>
      <c r="B1144" t="s">
        <v>2361</v>
      </c>
      <c r="C1144" s="35" t="s">
        <v>44</v>
      </c>
    </row>
    <row r="1145" spans="1:3">
      <c r="A1145" s="36">
        <v>20964341</v>
      </c>
      <c r="B1145" t="s">
        <v>2055</v>
      </c>
    </row>
    <row r="1146" spans="1:3">
      <c r="A1146" s="36">
        <v>33710427629</v>
      </c>
      <c r="B1146" t="s">
        <v>2175</v>
      </c>
      <c r="C1146" s="35" t="s">
        <v>2413</v>
      </c>
    </row>
    <row r="1147" spans="1:3">
      <c r="A1147" s="36">
        <v>33710427629</v>
      </c>
      <c r="B1147" t="s">
        <v>2175</v>
      </c>
    </row>
    <row r="1148" spans="1:3">
      <c r="A1148" s="36">
        <v>92786992</v>
      </c>
      <c r="B1148" t="s">
        <v>1218</v>
      </c>
    </row>
    <row r="1149" spans="1:3">
      <c r="A1149" s="36">
        <v>20101959865</v>
      </c>
      <c r="B1149" t="s">
        <v>1219</v>
      </c>
      <c r="C1149" s="35" t="s">
        <v>1220</v>
      </c>
    </row>
    <row r="1150" spans="1:3">
      <c r="A1150" s="36">
        <v>5483131</v>
      </c>
      <c r="B1150" t="s">
        <v>1221</v>
      </c>
    </row>
    <row r="1151" spans="1:3">
      <c r="A1151" s="36">
        <v>24134139</v>
      </c>
      <c r="B1151" t="s">
        <v>2080</v>
      </c>
    </row>
    <row r="1152" spans="1:3">
      <c r="A1152" s="36">
        <v>20292887648</v>
      </c>
      <c r="B1152" t="s">
        <v>1222</v>
      </c>
    </row>
    <row r="1153" spans="1:3">
      <c r="A1153" s="36">
        <v>20077028545</v>
      </c>
      <c r="B1153" t="s">
        <v>1223</v>
      </c>
    </row>
    <row r="1154" spans="1:3">
      <c r="A1154" s="36">
        <v>20410525888</v>
      </c>
      <c r="B1154" t="s">
        <v>2058</v>
      </c>
      <c r="C1154" s="35" t="s">
        <v>79</v>
      </c>
    </row>
    <row r="1155" spans="1:3">
      <c r="A1155" s="36">
        <v>20410525888</v>
      </c>
      <c r="B1155" t="s">
        <v>2058</v>
      </c>
      <c r="C1155" s="35" t="s">
        <v>2359</v>
      </c>
    </row>
    <row r="1156" spans="1:3">
      <c r="A1156" s="36">
        <v>23292502</v>
      </c>
      <c r="B1156" t="s">
        <v>1912</v>
      </c>
    </row>
    <row r="1157" spans="1:3">
      <c r="A1157" s="36">
        <v>5878191</v>
      </c>
      <c r="B1157" t="s">
        <v>1224</v>
      </c>
    </row>
    <row r="1158" spans="1:3">
      <c r="A1158" s="36">
        <v>5878191</v>
      </c>
      <c r="B1158" t="s">
        <v>1224</v>
      </c>
    </row>
    <row r="1159" spans="1:3">
      <c r="A1159" s="36">
        <v>19048342</v>
      </c>
      <c r="B1159" t="s">
        <v>1225</v>
      </c>
    </row>
    <row r="1160" spans="1:3">
      <c r="A1160" s="36">
        <v>20361501722</v>
      </c>
      <c r="B1160" t="s">
        <v>361</v>
      </c>
      <c r="C1160" s="35" t="s">
        <v>79</v>
      </c>
    </row>
    <row r="1161" spans="1:3">
      <c r="A1161" s="36">
        <v>4410890</v>
      </c>
      <c r="B1161" t="s">
        <v>1226</v>
      </c>
    </row>
    <row r="1162" spans="1:3">
      <c r="A1162" s="36">
        <v>11870752</v>
      </c>
      <c r="B1162" t="s">
        <v>1227</v>
      </c>
    </row>
    <row r="1163" spans="1:3">
      <c r="A1163" s="36">
        <v>18375246</v>
      </c>
      <c r="B1163" t="s">
        <v>1228</v>
      </c>
    </row>
    <row r="1164" spans="1:3">
      <c r="A1164" s="36">
        <v>14590514</v>
      </c>
      <c r="B1164" t="s">
        <v>1229</v>
      </c>
    </row>
    <row r="1165" spans="1:3">
      <c r="A1165" s="36">
        <v>4670574</v>
      </c>
      <c r="B1165" t="s">
        <v>2068</v>
      </c>
    </row>
    <row r="1166" spans="1:3">
      <c r="A1166" s="36">
        <v>23920485979</v>
      </c>
      <c r="B1166" t="s">
        <v>1230</v>
      </c>
    </row>
    <row r="1167" spans="1:3">
      <c r="A1167" s="36">
        <v>23920485979</v>
      </c>
      <c r="B1167" t="s">
        <v>1230</v>
      </c>
    </row>
    <row r="1168" spans="1:3">
      <c r="A1168" s="36">
        <v>30714432865</v>
      </c>
      <c r="B1168" t="s">
        <v>1231</v>
      </c>
    </row>
    <row r="1169" spans="1:3">
      <c r="A1169" s="36">
        <v>11001524</v>
      </c>
      <c r="B1169" t="s">
        <v>1232</v>
      </c>
    </row>
    <row r="1170" spans="1:3">
      <c r="A1170" s="36">
        <v>7883318</v>
      </c>
      <c r="B1170" t="s">
        <v>1938</v>
      </c>
    </row>
    <row r="1171" spans="1:3">
      <c r="A1171" s="36">
        <v>27145905147</v>
      </c>
      <c r="B1171" t="s">
        <v>1233</v>
      </c>
    </row>
    <row r="1172" spans="1:3">
      <c r="A1172" s="36">
        <v>6553491</v>
      </c>
      <c r="B1172" t="s">
        <v>2128</v>
      </c>
    </row>
    <row r="1173" spans="1:3">
      <c r="A1173" s="36">
        <v>20312058368</v>
      </c>
      <c r="B1173" t="s">
        <v>2230</v>
      </c>
      <c r="C1173" s="35" t="s">
        <v>2359</v>
      </c>
    </row>
    <row r="1174" spans="1:3">
      <c r="A1174" s="36">
        <v>20312058368</v>
      </c>
      <c r="B1174" t="s">
        <v>2230</v>
      </c>
    </row>
    <row r="1175" spans="1:3">
      <c r="A1175" s="36">
        <v>23258555333</v>
      </c>
      <c r="B1175" t="s">
        <v>362</v>
      </c>
    </row>
    <row r="1176" spans="1:3">
      <c r="A1176" s="36">
        <v>17801564</v>
      </c>
      <c r="B1176" t="s">
        <v>1234</v>
      </c>
    </row>
    <row r="1177" spans="1:3">
      <c r="A1177" s="36">
        <v>4231530</v>
      </c>
      <c r="B1177" t="s">
        <v>1235</v>
      </c>
    </row>
    <row r="1178" spans="1:3">
      <c r="A1178" s="36">
        <v>30715303791</v>
      </c>
      <c r="B1178" t="s">
        <v>363</v>
      </c>
    </row>
    <row r="1179" spans="1:3">
      <c r="A1179" s="36">
        <v>34513381</v>
      </c>
      <c r="B1179" t="s">
        <v>1236</v>
      </c>
    </row>
    <row r="1180" spans="1:3">
      <c r="A1180" s="36">
        <v>13314943</v>
      </c>
      <c r="B1180" t="s">
        <v>1237</v>
      </c>
    </row>
    <row r="1181" spans="1:3">
      <c r="A1181" s="36">
        <v>5289939</v>
      </c>
      <c r="B1181" t="s">
        <v>1238</v>
      </c>
    </row>
    <row r="1182" spans="1:3">
      <c r="A1182" s="36">
        <v>27365928016</v>
      </c>
      <c r="B1182" t="s">
        <v>1239</v>
      </c>
      <c r="C1182" s="35" t="s">
        <v>2384</v>
      </c>
    </row>
    <row r="1183" spans="1:3">
      <c r="A1183" s="36">
        <v>3368716053.9000001</v>
      </c>
      <c r="B1183" t="s">
        <v>364</v>
      </c>
      <c r="C1183" s="35" t="s">
        <v>2359</v>
      </c>
    </row>
    <row r="1184" spans="1:3">
      <c r="A1184" s="36">
        <v>33687160539</v>
      </c>
      <c r="B1184" t="s">
        <v>364</v>
      </c>
      <c r="C1184" s="35" t="s">
        <v>2359</v>
      </c>
    </row>
    <row r="1185" spans="1:3">
      <c r="A1185" s="36">
        <v>20102406320</v>
      </c>
      <c r="B1185" t="s">
        <v>1240</v>
      </c>
    </row>
    <row r="1186" spans="1:3">
      <c r="A1186" s="36">
        <v>30707867325</v>
      </c>
      <c r="B1186" t="s">
        <v>365</v>
      </c>
    </row>
    <row r="1187" spans="1:3">
      <c r="A1187" s="36">
        <v>30712097600</v>
      </c>
      <c r="B1187" t="s">
        <v>1241</v>
      </c>
      <c r="C1187" s="35" t="s">
        <v>1015</v>
      </c>
    </row>
    <row r="1188" spans="1:3">
      <c r="A1188" s="36">
        <v>30708421983</v>
      </c>
      <c r="B1188" t="s">
        <v>2337</v>
      </c>
      <c r="C1188" s="35" t="s">
        <v>79</v>
      </c>
    </row>
    <row r="1189" spans="1:3">
      <c r="A1189" s="36">
        <v>52858040</v>
      </c>
      <c r="B1189" t="s">
        <v>1242</v>
      </c>
    </row>
    <row r="1190" spans="1:3">
      <c r="A1190" s="36">
        <v>20050719864</v>
      </c>
      <c r="B1190" t="s">
        <v>366</v>
      </c>
    </row>
    <row r="1191" spans="1:3">
      <c r="A1191" s="36">
        <v>55396478</v>
      </c>
      <c r="B1191" t="s">
        <v>1243</v>
      </c>
    </row>
    <row r="1192" spans="1:3">
      <c r="A1192" s="36">
        <v>30633217803</v>
      </c>
      <c r="B1192" t="s">
        <v>367</v>
      </c>
    </row>
    <row r="1193" spans="1:3">
      <c r="A1193" s="36">
        <v>30712776403</v>
      </c>
      <c r="B1193" t="s">
        <v>368</v>
      </c>
    </row>
    <row r="1194" spans="1:3">
      <c r="A1194" s="36">
        <v>30712778403</v>
      </c>
      <c r="B1194" t="s">
        <v>369</v>
      </c>
      <c r="C1194" s="35" t="s">
        <v>46</v>
      </c>
    </row>
    <row r="1195" spans="1:3">
      <c r="A1195" s="649">
        <v>20258225563</v>
      </c>
      <c r="B1195" s="650" t="s">
        <v>2434</v>
      </c>
      <c r="C1195" s="35" t="s">
        <v>1220</v>
      </c>
    </row>
    <row r="1196" spans="1:3">
      <c r="A1196" s="36">
        <v>30712778403</v>
      </c>
      <c r="B1196" t="s">
        <v>369</v>
      </c>
      <c r="C1196" s="35" t="s">
        <v>46</v>
      </c>
    </row>
    <row r="1197" spans="1:3">
      <c r="A1197" s="36">
        <v>11214579</v>
      </c>
      <c r="B1197" t="s">
        <v>1244</v>
      </c>
    </row>
    <row r="1198" spans="1:3">
      <c r="A1198" s="36">
        <v>20181426846</v>
      </c>
      <c r="B1198" t="s">
        <v>1245</v>
      </c>
      <c r="C1198" s="35" t="s">
        <v>2367</v>
      </c>
    </row>
    <row r="1199" spans="1:3">
      <c r="A1199" s="36">
        <v>20181426846</v>
      </c>
      <c r="B1199" t="s">
        <v>1245</v>
      </c>
      <c r="C1199" s="35" t="s">
        <v>79</v>
      </c>
    </row>
    <row r="1200" spans="1:3">
      <c r="A1200" s="36">
        <v>33695089789</v>
      </c>
      <c r="B1200" t="s">
        <v>370</v>
      </c>
    </row>
    <row r="1201" spans="1:3">
      <c r="A1201" s="36">
        <v>3771511</v>
      </c>
      <c r="B1201" t="s">
        <v>1246</v>
      </c>
    </row>
    <row r="1202" spans="1:3">
      <c r="A1202" s="36">
        <v>5871233</v>
      </c>
      <c r="B1202" t="s">
        <v>1845</v>
      </c>
    </row>
    <row r="1203" spans="1:3">
      <c r="A1203" s="36">
        <v>30663498513</v>
      </c>
      <c r="B1203" t="s">
        <v>371</v>
      </c>
      <c r="C1203" s="35" t="s">
        <v>857</v>
      </c>
    </row>
    <row r="1204" spans="1:3">
      <c r="A1204" s="36">
        <v>30663498513</v>
      </c>
      <c r="B1204" t="s">
        <v>371</v>
      </c>
      <c r="C1204" s="35" t="s">
        <v>857</v>
      </c>
    </row>
    <row r="1205" spans="1:3">
      <c r="A1205" s="36">
        <v>30714793272</v>
      </c>
      <c r="B1205" t="s">
        <v>2146</v>
      </c>
    </row>
    <row r="1206" spans="1:3">
      <c r="A1206" s="36">
        <v>30715775014</v>
      </c>
      <c r="B1206" t="s">
        <v>372</v>
      </c>
    </row>
    <row r="1207" spans="1:3">
      <c r="A1207" s="36">
        <v>30671637589</v>
      </c>
      <c r="B1207" t="s">
        <v>1247</v>
      </c>
      <c r="C1207" s="35" t="s">
        <v>44</v>
      </c>
    </row>
    <row r="1208" spans="1:3">
      <c r="A1208" s="36">
        <v>30671637689</v>
      </c>
      <c r="B1208" t="s">
        <v>1247</v>
      </c>
      <c r="C1208" s="35" t="s">
        <v>891</v>
      </c>
    </row>
    <row r="1209" spans="1:3">
      <c r="A1209" s="36">
        <v>30717874133</v>
      </c>
      <c r="B1209" t="s">
        <v>2365</v>
      </c>
      <c r="C1209" s="35" t="s">
        <v>2359</v>
      </c>
    </row>
    <row r="1210" spans="1:3">
      <c r="A1210" s="36">
        <v>30716138603</v>
      </c>
      <c r="B1210" t="s">
        <v>1248</v>
      </c>
      <c r="C1210" s="35" t="s">
        <v>2359</v>
      </c>
    </row>
    <row r="1211" spans="1:3">
      <c r="A1211" s="36">
        <v>30709227161</v>
      </c>
      <c r="B1211" t="s">
        <v>373</v>
      </c>
    </row>
    <row r="1212" spans="1:3">
      <c r="A1212" s="36">
        <v>12850453</v>
      </c>
      <c r="B1212" t="s">
        <v>1249</v>
      </c>
    </row>
    <row r="1213" spans="1:3">
      <c r="A1213" s="36">
        <v>5089291</v>
      </c>
      <c r="B1213" t="s">
        <v>1250</v>
      </c>
    </row>
    <row r="1214" spans="1:3">
      <c r="A1214" s="36">
        <v>13605452</v>
      </c>
      <c r="B1214" t="s">
        <v>1251</v>
      </c>
    </row>
    <row r="1215" spans="1:3">
      <c r="A1215" s="36">
        <v>24306613</v>
      </c>
      <c r="B1215" t="s">
        <v>2127</v>
      </c>
    </row>
    <row r="1216" spans="1:3">
      <c r="A1216" s="36">
        <v>20041956748</v>
      </c>
      <c r="B1216" t="s">
        <v>1252</v>
      </c>
    </row>
    <row r="1217" spans="1:3">
      <c r="A1217" s="36">
        <v>20620499</v>
      </c>
      <c r="B1217" t="s">
        <v>1852</v>
      </c>
    </row>
    <row r="1218" spans="1:3">
      <c r="A1218" s="36">
        <v>23147835019</v>
      </c>
      <c r="B1218" t="s">
        <v>2363</v>
      </c>
      <c r="C1218" s="35" t="s">
        <v>79</v>
      </c>
    </row>
    <row r="1219" spans="1:3">
      <c r="A1219" s="36">
        <v>20940658609</v>
      </c>
      <c r="B1219" t="s">
        <v>374</v>
      </c>
    </row>
    <row r="1220" spans="1:3">
      <c r="A1220" s="36">
        <v>27147827682</v>
      </c>
      <c r="B1220" t="s">
        <v>1253</v>
      </c>
      <c r="C1220" s="35" t="s">
        <v>917</v>
      </c>
    </row>
    <row r="1221" spans="1:3">
      <c r="A1221" s="36">
        <v>30541849307</v>
      </c>
      <c r="B1221" t="s">
        <v>375</v>
      </c>
      <c r="C1221" s="35" t="s">
        <v>44</v>
      </c>
    </row>
    <row r="1222" spans="1:3">
      <c r="A1222" s="36">
        <v>30541849307</v>
      </c>
      <c r="B1222" t="s">
        <v>375</v>
      </c>
      <c r="C1222" s="35" t="s">
        <v>2359</v>
      </c>
    </row>
    <row r="1223" spans="1:3">
      <c r="A1223" s="36">
        <v>31485269</v>
      </c>
      <c r="B1223" t="s">
        <v>1932</v>
      </c>
    </row>
    <row r="1224" spans="1:3">
      <c r="A1224" s="36">
        <v>12314042</v>
      </c>
      <c r="B1224" t="s">
        <v>1254</v>
      </c>
    </row>
    <row r="1225" spans="1:3">
      <c r="A1225" s="36">
        <v>30582876661</v>
      </c>
      <c r="B1225" t="s">
        <v>376</v>
      </c>
    </row>
    <row r="1226" spans="1:3">
      <c r="A1226" s="36">
        <v>20270084304</v>
      </c>
      <c r="B1226" t="s">
        <v>377</v>
      </c>
      <c r="C1226" s="35" t="s">
        <v>2359</v>
      </c>
    </row>
    <row r="1227" spans="1:3">
      <c r="A1227" s="36">
        <v>30717409007</v>
      </c>
      <c r="B1227" t="s">
        <v>2134</v>
      </c>
      <c r="C1227" s="35" t="s">
        <v>79</v>
      </c>
    </row>
    <row r="1228" spans="1:3">
      <c r="A1228" s="36">
        <v>92616076</v>
      </c>
      <c r="B1228" t="s">
        <v>1255</v>
      </c>
    </row>
    <row r="1229" spans="1:3">
      <c r="A1229" s="36">
        <v>23175716009</v>
      </c>
      <c r="B1229" t="s">
        <v>1832</v>
      </c>
      <c r="C1229" s="35" t="s">
        <v>781</v>
      </c>
    </row>
    <row r="1230" spans="1:3">
      <c r="A1230" s="36">
        <v>20167486666</v>
      </c>
      <c r="B1230" t="s">
        <v>2317</v>
      </c>
      <c r="C1230" s="35" t="s">
        <v>79</v>
      </c>
    </row>
    <row r="1231" spans="1:3">
      <c r="A1231" s="36">
        <v>23451149</v>
      </c>
      <c r="B1231" t="s">
        <v>2124</v>
      </c>
    </row>
    <row r="1232" spans="1:3">
      <c r="A1232" s="36">
        <v>20144078188</v>
      </c>
      <c r="B1232" t="s">
        <v>378</v>
      </c>
    </row>
    <row r="1233" spans="1:3">
      <c r="A1233" s="36">
        <v>39073501</v>
      </c>
      <c r="B1233" t="s">
        <v>1256</v>
      </c>
    </row>
    <row r="1234" spans="1:3">
      <c r="A1234" s="36">
        <v>20108381508</v>
      </c>
      <c r="B1234" t="s">
        <v>379</v>
      </c>
      <c r="C1234" s="35" t="s">
        <v>2359</v>
      </c>
    </row>
    <row r="1235" spans="1:3">
      <c r="A1235" s="36">
        <v>43917412</v>
      </c>
      <c r="B1235" t="s">
        <v>1257</v>
      </c>
    </row>
    <row r="1236" spans="1:3">
      <c r="A1236" s="36">
        <v>30715210904</v>
      </c>
      <c r="B1236" t="s">
        <v>1258</v>
      </c>
      <c r="C1236" s="35" t="s">
        <v>1259</v>
      </c>
    </row>
    <row r="1237" spans="1:3">
      <c r="A1237" s="36">
        <v>20253264390</v>
      </c>
      <c r="B1237" t="s">
        <v>380</v>
      </c>
      <c r="C1237" s="35" t="s">
        <v>2359</v>
      </c>
    </row>
    <row r="1238" spans="1:3">
      <c r="A1238" s="36">
        <v>48383787</v>
      </c>
      <c r="B1238" t="s">
        <v>1260</v>
      </c>
    </row>
    <row r="1239" spans="1:3">
      <c r="A1239" s="36">
        <v>30570945285</v>
      </c>
      <c r="B1239" t="s">
        <v>381</v>
      </c>
    </row>
    <row r="1240" spans="1:3">
      <c r="A1240" s="36">
        <v>30716770881</v>
      </c>
      <c r="B1240" t="s">
        <v>2034</v>
      </c>
      <c r="C1240" s="35" t="s">
        <v>1945</v>
      </c>
    </row>
    <row r="1241" spans="1:3">
      <c r="A1241" s="36">
        <v>2721495</v>
      </c>
      <c r="B1241" t="s">
        <v>1261</v>
      </c>
    </row>
    <row r="1242" spans="1:3">
      <c r="A1242" s="36">
        <v>5115441</v>
      </c>
      <c r="B1242" t="s">
        <v>1262</v>
      </c>
    </row>
    <row r="1243" spans="1:3">
      <c r="A1243" s="36">
        <v>2907628</v>
      </c>
      <c r="B1243" t="s">
        <v>1263</v>
      </c>
    </row>
    <row r="1244" spans="1:3">
      <c r="A1244" s="36">
        <v>3784360</v>
      </c>
      <c r="B1244" t="s">
        <v>1264</v>
      </c>
    </row>
    <row r="1245" spans="1:3">
      <c r="A1245" s="36" t="s">
        <v>1265</v>
      </c>
      <c r="B1245" t="s">
        <v>1266</v>
      </c>
    </row>
    <row r="1246" spans="1:3">
      <c r="A1246" s="36">
        <v>30710538014</v>
      </c>
      <c r="B1246" t="s">
        <v>1267</v>
      </c>
    </row>
    <row r="1247" spans="1:3">
      <c r="A1247" s="36">
        <v>27363810182</v>
      </c>
      <c r="B1247" t="s">
        <v>2330</v>
      </c>
      <c r="C1247" s="35" t="s">
        <v>79</v>
      </c>
    </row>
    <row r="1248" spans="1:3">
      <c r="A1248" s="36">
        <v>18101907</v>
      </c>
      <c r="B1248" t="s">
        <v>1268</v>
      </c>
    </row>
    <row r="1249" spans="1:3">
      <c r="A1249" s="36">
        <v>93645379</v>
      </c>
      <c r="B1249" t="s">
        <v>1269</v>
      </c>
    </row>
    <row r="1250" spans="1:3">
      <c r="A1250" s="36">
        <v>21645724</v>
      </c>
      <c r="B1250" t="s">
        <v>1270</v>
      </c>
    </row>
    <row r="1251" spans="1:3">
      <c r="A1251" s="36">
        <v>30593410354</v>
      </c>
      <c r="B1251" t="s">
        <v>382</v>
      </c>
    </row>
    <row r="1252" spans="1:3">
      <c r="A1252" s="36">
        <v>27165813893</v>
      </c>
      <c r="B1252" t="s">
        <v>1271</v>
      </c>
      <c r="C1252" s="35" t="s">
        <v>2359</v>
      </c>
    </row>
    <row r="1253" spans="1:3">
      <c r="A1253" s="36">
        <v>20275447057</v>
      </c>
      <c r="B1253" t="s">
        <v>383</v>
      </c>
      <c r="C1253" s="35" t="s">
        <v>79</v>
      </c>
    </row>
    <row r="1254" spans="1:3">
      <c r="A1254" s="36">
        <v>23219640269</v>
      </c>
      <c r="B1254" t="s">
        <v>384</v>
      </c>
      <c r="C1254" s="35" t="s">
        <v>2359</v>
      </c>
    </row>
    <row r="1255" spans="1:3">
      <c r="A1255" s="36">
        <v>23528815</v>
      </c>
      <c r="B1255" t="s">
        <v>1272</v>
      </c>
    </row>
    <row r="1256" spans="1:3">
      <c r="A1256" s="36">
        <v>30710095171</v>
      </c>
      <c r="B1256" t="s">
        <v>1273</v>
      </c>
      <c r="C1256" s="35" t="s">
        <v>2359</v>
      </c>
    </row>
    <row r="1257" spans="1:3">
      <c r="A1257" s="36">
        <v>30699407476</v>
      </c>
      <c r="B1257" t="s">
        <v>385</v>
      </c>
      <c r="C1257" s="35" t="s">
        <v>2359</v>
      </c>
    </row>
    <row r="1258" spans="1:3">
      <c r="A1258" s="36">
        <v>30708508221</v>
      </c>
      <c r="B1258" t="s">
        <v>386</v>
      </c>
    </row>
    <row r="1259" spans="1:3">
      <c r="A1259" s="36">
        <v>30712273174</v>
      </c>
      <c r="B1259" t="s">
        <v>2313</v>
      </c>
      <c r="C1259" s="35" t="s">
        <v>891</v>
      </c>
    </row>
    <row r="1260" spans="1:3">
      <c r="A1260" s="36">
        <v>30551450445</v>
      </c>
      <c r="B1260" t="s">
        <v>387</v>
      </c>
      <c r="C1260" s="35" t="s">
        <v>2359</v>
      </c>
    </row>
    <row r="1261" spans="1:3">
      <c r="A1261" s="36">
        <v>20295867931</v>
      </c>
      <c r="B1261" t="s">
        <v>1830</v>
      </c>
      <c r="C1261" s="35" t="s">
        <v>804</v>
      </c>
    </row>
    <row r="1262" spans="1:3">
      <c r="A1262" s="36">
        <v>93922315</v>
      </c>
      <c r="B1262" t="s">
        <v>1274</v>
      </c>
    </row>
    <row r="1263" spans="1:3">
      <c r="A1263" s="36">
        <v>20361556691</v>
      </c>
      <c r="B1263" t="s">
        <v>1275</v>
      </c>
      <c r="C1263" s="35" t="s">
        <v>79</v>
      </c>
    </row>
    <row r="1264" spans="1:3">
      <c r="A1264" s="36">
        <v>27171152610</v>
      </c>
      <c r="B1264" t="s">
        <v>388</v>
      </c>
    </row>
    <row r="1265" spans="1:3">
      <c r="A1265" s="36">
        <v>12075294</v>
      </c>
      <c r="B1265" t="s">
        <v>1276</v>
      </c>
    </row>
    <row r="1266" spans="1:3">
      <c r="A1266" s="36">
        <v>20313759246</v>
      </c>
      <c r="B1266" t="s">
        <v>1277</v>
      </c>
      <c r="C1266" s="35" t="s">
        <v>79</v>
      </c>
    </row>
    <row r="1267" spans="1:3">
      <c r="A1267" s="36">
        <v>20186310838</v>
      </c>
      <c r="B1267" t="s">
        <v>1278</v>
      </c>
      <c r="C1267" s="35" t="s">
        <v>891</v>
      </c>
    </row>
    <row r="1268" spans="1:3">
      <c r="A1268" s="36">
        <v>20255683595</v>
      </c>
      <c r="B1268" t="s">
        <v>389</v>
      </c>
    </row>
    <row r="1269" spans="1:3">
      <c r="A1269" s="36">
        <v>30631285038</v>
      </c>
      <c r="B1269" t="s">
        <v>390</v>
      </c>
    </row>
    <row r="1270" spans="1:3">
      <c r="A1270" s="36">
        <v>30714254533</v>
      </c>
      <c r="B1270" t="s">
        <v>391</v>
      </c>
      <c r="C1270" s="35" t="s">
        <v>2359</v>
      </c>
    </row>
    <row r="1271" spans="1:3">
      <c r="A1271" s="36">
        <v>30712354409</v>
      </c>
      <c r="B1271" t="s">
        <v>392</v>
      </c>
      <c r="C1271" s="35" t="s">
        <v>2359</v>
      </c>
    </row>
    <row r="1272" spans="1:3">
      <c r="A1272" s="36">
        <v>30710804245</v>
      </c>
      <c r="B1272" t="s">
        <v>2362</v>
      </c>
      <c r="C1272" s="35" t="s">
        <v>79</v>
      </c>
    </row>
    <row r="1273" spans="1:3">
      <c r="A1273" s="36">
        <v>30576631665</v>
      </c>
      <c r="B1273" t="s">
        <v>393</v>
      </c>
      <c r="C1273" s="35" t="s">
        <v>2359</v>
      </c>
    </row>
    <row r="1274" spans="1:3">
      <c r="A1274" s="36">
        <v>17968654</v>
      </c>
      <c r="B1274" t="s">
        <v>1279</v>
      </c>
    </row>
    <row r="1275" spans="1:3">
      <c r="A1275" s="36">
        <v>30576630057</v>
      </c>
      <c r="B1275" t="s">
        <v>1280</v>
      </c>
      <c r="C1275" s="35" t="s">
        <v>1015</v>
      </c>
    </row>
    <row r="1276" spans="1:3">
      <c r="A1276" s="36">
        <v>30714122718</v>
      </c>
      <c r="B1276" t="s">
        <v>1281</v>
      </c>
      <c r="C1276" s="35" t="s">
        <v>2359</v>
      </c>
    </row>
    <row r="1277" spans="1:3">
      <c r="A1277" s="36">
        <v>30691712350</v>
      </c>
      <c r="B1277" t="s">
        <v>394</v>
      </c>
    </row>
    <row r="1278" spans="1:3">
      <c r="A1278" s="36">
        <v>27326703384</v>
      </c>
      <c r="B1278" t="s">
        <v>1958</v>
      </c>
      <c r="C1278" s="35" t="s">
        <v>2359</v>
      </c>
    </row>
    <row r="1279" spans="1:3">
      <c r="A1279" s="36">
        <v>30642604488</v>
      </c>
      <c r="B1279" t="s">
        <v>2395</v>
      </c>
      <c r="C1279" s="35" t="s">
        <v>82</v>
      </c>
    </row>
    <row r="1280" spans="1:3">
      <c r="A1280" s="36">
        <v>30714696153</v>
      </c>
      <c r="B1280" t="s">
        <v>395</v>
      </c>
      <c r="C1280" s="35" t="s">
        <v>2359</v>
      </c>
    </row>
    <row r="1281" spans="1:3">
      <c r="A1281" s="36">
        <v>30714696153</v>
      </c>
      <c r="B1281" t="s">
        <v>395</v>
      </c>
      <c r="C1281" s="35" t="s">
        <v>2359</v>
      </c>
    </row>
    <row r="1282" spans="1:3">
      <c r="A1282" s="36">
        <v>30714696153</v>
      </c>
      <c r="B1282" t="s">
        <v>395</v>
      </c>
      <c r="C1282" s="35" t="s">
        <v>2359</v>
      </c>
    </row>
    <row r="1283" spans="1:3">
      <c r="A1283" s="36">
        <v>30711017697</v>
      </c>
      <c r="B1283" t="s">
        <v>396</v>
      </c>
    </row>
    <row r="1284" spans="1:3">
      <c r="A1284" s="36">
        <v>23940960509</v>
      </c>
      <c r="B1284" t="s">
        <v>397</v>
      </c>
      <c r="C1284" s="35" t="s">
        <v>804</v>
      </c>
    </row>
    <row r="1285" spans="1:3">
      <c r="A1285" s="36">
        <v>22548856</v>
      </c>
      <c r="B1285" t="s">
        <v>1282</v>
      </c>
    </row>
    <row r="1286" spans="1:3">
      <c r="A1286" s="36">
        <v>4244655</v>
      </c>
      <c r="B1286" t="s">
        <v>1883</v>
      </c>
    </row>
    <row r="1287" spans="1:3">
      <c r="A1287" s="36">
        <v>13032665</v>
      </c>
      <c r="B1287" t="s">
        <v>1283</v>
      </c>
    </row>
    <row r="1288" spans="1:3">
      <c r="A1288" s="36">
        <v>30715578154</v>
      </c>
      <c r="B1288" t="s">
        <v>398</v>
      </c>
    </row>
    <row r="1289" spans="1:3">
      <c r="A1289" s="36">
        <v>30643827197</v>
      </c>
      <c r="B1289" t="s">
        <v>399</v>
      </c>
      <c r="C1289" s="35" t="s">
        <v>44</v>
      </c>
    </row>
    <row r="1290" spans="1:3">
      <c r="A1290" s="36">
        <v>20139793170</v>
      </c>
      <c r="B1290" t="s">
        <v>2300</v>
      </c>
      <c r="C1290" s="35" t="s">
        <v>44</v>
      </c>
    </row>
    <row r="1291" spans="1:3">
      <c r="A1291" s="36">
        <v>20242126158</v>
      </c>
      <c r="B1291" t="s">
        <v>1284</v>
      </c>
      <c r="C1291" s="35" t="s">
        <v>2370</v>
      </c>
    </row>
    <row r="1292" spans="1:3">
      <c r="A1292" s="36">
        <v>30667805283</v>
      </c>
      <c r="B1292" t="s">
        <v>400</v>
      </c>
    </row>
    <row r="1293" spans="1:3">
      <c r="A1293" s="36">
        <v>20224751045</v>
      </c>
      <c r="B1293" t="s">
        <v>1285</v>
      </c>
      <c r="C1293" s="35" t="s">
        <v>781</v>
      </c>
    </row>
    <row r="1294" spans="1:3">
      <c r="A1294" s="36">
        <v>30709443220</v>
      </c>
      <c r="B1294" t="s">
        <v>401</v>
      </c>
      <c r="C1294" s="35" t="s">
        <v>2359</v>
      </c>
    </row>
    <row r="1295" spans="1:3">
      <c r="A1295" s="36">
        <v>30710457162</v>
      </c>
      <c r="B1295" t="s">
        <v>96</v>
      </c>
    </row>
    <row r="1296" spans="1:3">
      <c r="A1296" s="36">
        <v>33531273309</v>
      </c>
      <c r="B1296" t="s">
        <v>1286</v>
      </c>
    </row>
    <row r="1297" spans="1:3">
      <c r="A1297" s="36">
        <v>27066870532</v>
      </c>
      <c r="B1297" t="s">
        <v>1287</v>
      </c>
    </row>
    <row r="1298" spans="1:3">
      <c r="A1298" s="36">
        <v>27113577</v>
      </c>
      <c r="B1298" t="s">
        <v>1288</v>
      </c>
    </row>
    <row r="1299" spans="1:3">
      <c r="A1299" s="36">
        <v>18120681</v>
      </c>
      <c r="B1299" t="s">
        <v>1289</v>
      </c>
    </row>
    <row r="1300" spans="1:3">
      <c r="A1300" s="36">
        <v>20309759444</v>
      </c>
      <c r="B1300" t="s">
        <v>2155</v>
      </c>
    </row>
    <row r="1301" spans="1:3">
      <c r="A1301" s="36">
        <v>30712289046</v>
      </c>
      <c r="B1301" t="s">
        <v>1290</v>
      </c>
      <c r="C1301" s="35" t="s">
        <v>44</v>
      </c>
    </row>
    <row r="1302" spans="1:3">
      <c r="A1302" s="36">
        <v>30712289046</v>
      </c>
      <c r="B1302" t="s">
        <v>1290</v>
      </c>
      <c r="C1302" s="35" t="s">
        <v>44</v>
      </c>
    </row>
    <row r="1303" spans="1:3">
      <c r="A1303" s="36">
        <v>33714935009</v>
      </c>
      <c r="B1303" t="s">
        <v>402</v>
      </c>
      <c r="C1303" s="35" t="s">
        <v>804</v>
      </c>
    </row>
    <row r="1304" spans="1:3">
      <c r="A1304" s="36">
        <v>30717207188</v>
      </c>
      <c r="B1304" t="s">
        <v>2390</v>
      </c>
      <c r="C1304" s="35" t="s">
        <v>79</v>
      </c>
    </row>
    <row r="1305" spans="1:3">
      <c r="A1305" s="36">
        <v>30687310434</v>
      </c>
      <c r="B1305" t="s">
        <v>1291</v>
      </c>
      <c r="C1305" s="35" t="s">
        <v>79</v>
      </c>
    </row>
    <row r="1306" spans="1:3">
      <c r="A1306" s="36">
        <v>30687310434</v>
      </c>
      <c r="B1306" t="s">
        <v>1291</v>
      </c>
      <c r="C1306" s="35" t="s">
        <v>79</v>
      </c>
    </row>
    <row r="1307" spans="1:3">
      <c r="A1307" s="36">
        <v>30515800219</v>
      </c>
      <c r="B1307" t="s">
        <v>1292</v>
      </c>
      <c r="C1307" s="35" t="s">
        <v>79</v>
      </c>
    </row>
    <row r="1308" spans="1:3">
      <c r="A1308" s="36">
        <v>30715237071</v>
      </c>
      <c r="B1308" t="s">
        <v>403</v>
      </c>
    </row>
    <row r="1309" spans="1:3">
      <c r="A1309" s="36">
        <v>20104571507</v>
      </c>
      <c r="B1309" t="s">
        <v>404</v>
      </c>
    </row>
    <row r="1310" spans="1:3">
      <c r="A1310" s="36">
        <v>30651822021</v>
      </c>
      <c r="B1310" t="s">
        <v>405</v>
      </c>
      <c r="C1310" s="35" t="s">
        <v>2359</v>
      </c>
    </row>
    <row r="1311" spans="1:3">
      <c r="A1311" s="36">
        <v>28167218</v>
      </c>
      <c r="B1311" t="s">
        <v>1855</v>
      </c>
    </row>
    <row r="1312" spans="1:3">
      <c r="A1312" s="36">
        <v>30627739571</v>
      </c>
      <c r="B1312" t="s">
        <v>406</v>
      </c>
    </row>
    <row r="1313" spans="1:3">
      <c r="A1313" s="36">
        <v>30710149468</v>
      </c>
      <c r="B1313" t="s">
        <v>407</v>
      </c>
      <c r="C1313" s="35" t="s">
        <v>2359</v>
      </c>
    </row>
    <row r="1314" spans="1:3">
      <c r="A1314" s="36">
        <v>30688241614</v>
      </c>
      <c r="B1314" t="s">
        <v>408</v>
      </c>
    </row>
    <row r="1315" spans="1:3">
      <c r="A1315" s="36">
        <v>30712316655</v>
      </c>
      <c r="B1315" t="s">
        <v>2293</v>
      </c>
      <c r="C1315" s="35" t="s">
        <v>79</v>
      </c>
    </row>
    <row r="1316" spans="1:3">
      <c r="A1316" s="36">
        <v>30709899399</v>
      </c>
      <c r="B1316" t="s">
        <v>1293</v>
      </c>
    </row>
    <row r="1317" spans="1:3">
      <c r="A1317" s="36">
        <v>16483797</v>
      </c>
      <c r="B1317" t="s">
        <v>1294</v>
      </c>
    </row>
    <row r="1318" spans="1:3">
      <c r="A1318" s="36">
        <v>30712479945</v>
      </c>
      <c r="B1318" t="s">
        <v>409</v>
      </c>
    </row>
    <row r="1319" spans="1:3">
      <c r="A1319" s="36">
        <v>30711738130</v>
      </c>
      <c r="B1319" t="s">
        <v>410</v>
      </c>
    </row>
    <row r="1320" spans="1:3">
      <c r="A1320" s="36">
        <v>30598739540</v>
      </c>
      <c r="B1320" t="s">
        <v>1295</v>
      </c>
      <c r="C1320" s="35" t="s">
        <v>796</v>
      </c>
    </row>
    <row r="1321" spans="1:3">
      <c r="A1321" s="36">
        <v>30598739540</v>
      </c>
      <c r="B1321" t="s">
        <v>1295</v>
      </c>
      <c r="C1321" s="35" t="s">
        <v>796</v>
      </c>
    </row>
    <row r="1322" spans="1:3">
      <c r="A1322" s="36">
        <v>30554807301</v>
      </c>
      <c r="B1322" t="s">
        <v>1296</v>
      </c>
      <c r="C1322" s="35" t="s">
        <v>79</v>
      </c>
    </row>
    <row r="1323" spans="1:3">
      <c r="A1323" s="36">
        <v>30707758682</v>
      </c>
      <c r="B1323" t="s">
        <v>1297</v>
      </c>
    </row>
    <row r="1324" spans="1:3">
      <c r="A1324" s="36">
        <v>30697770069</v>
      </c>
      <c r="B1324" t="s">
        <v>411</v>
      </c>
      <c r="C1324" s="35" t="s">
        <v>2359</v>
      </c>
    </row>
    <row r="1325" spans="1:3">
      <c r="A1325" s="36">
        <v>30708046724</v>
      </c>
      <c r="B1325" t="s">
        <v>2207</v>
      </c>
      <c r="C1325" s="35" t="s">
        <v>781</v>
      </c>
    </row>
    <row r="1326" spans="1:3">
      <c r="A1326" s="36">
        <v>30708046724</v>
      </c>
      <c r="B1326" t="s">
        <v>2207</v>
      </c>
      <c r="C1326" s="35" t="s">
        <v>781</v>
      </c>
    </row>
    <row r="1327" spans="1:3">
      <c r="A1327" s="36">
        <v>33715678689</v>
      </c>
      <c r="B1327" t="s">
        <v>412</v>
      </c>
      <c r="C1327" s="35" t="s">
        <v>2359</v>
      </c>
    </row>
    <row r="1328" spans="1:3">
      <c r="A1328" s="36">
        <v>30697558868</v>
      </c>
      <c r="B1328" t="s">
        <v>1298</v>
      </c>
    </row>
    <row r="1329" spans="1:3">
      <c r="A1329" s="36">
        <v>30697558868</v>
      </c>
      <c r="B1329" t="s">
        <v>413</v>
      </c>
      <c r="C1329" s="35" t="s">
        <v>796</v>
      </c>
    </row>
    <row r="1330" spans="1:3">
      <c r="A1330" s="36">
        <v>30697558868</v>
      </c>
      <c r="B1330" t="s">
        <v>413</v>
      </c>
      <c r="C1330" s="35" t="s">
        <v>796</v>
      </c>
    </row>
    <row r="1331" spans="1:3">
      <c r="A1331" s="36">
        <v>33708345399</v>
      </c>
      <c r="B1331" t="s">
        <v>1299</v>
      </c>
      <c r="C1331" s="35" t="s">
        <v>2359</v>
      </c>
    </row>
    <row r="1332" spans="1:3">
      <c r="A1332" s="36">
        <v>30699010983</v>
      </c>
      <c r="B1332" t="s">
        <v>414</v>
      </c>
    </row>
    <row r="1333" spans="1:3">
      <c r="A1333" s="36">
        <v>20514020</v>
      </c>
      <c r="B1333" t="s">
        <v>1300</v>
      </c>
    </row>
    <row r="1334" spans="1:3">
      <c r="A1334" s="36">
        <v>30999077508</v>
      </c>
      <c r="B1334" t="s">
        <v>1301</v>
      </c>
      <c r="C1334" s="35" t="s">
        <v>796</v>
      </c>
    </row>
    <row r="1335" spans="1:3">
      <c r="A1335" s="36">
        <v>30999077508</v>
      </c>
      <c r="B1335" t="s">
        <v>1301</v>
      </c>
      <c r="C1335" s="35" t="s">
        <v>796</v>
      </c>
    </row>
    <row r="1336" spans="1:3">
      <c r="A1336" s="36">
        <v>30559807970</v>
      </c>
      <c r="B1336" t="s">
        <v>415</v>
      </c>
      <c r="C1336" s="35" t="s">
        <v>2359</v>
      </c>
    </row>
    <row r="1337" spans="1:3">
      <c r="A1337" s="36">
        <v>12464961</v>
      </c>
      <c r="B1337" t="s">
        <v>1302</v>
      </c>
    </row>
    <row r="1338" spans="1:3">
      <c r="A1338" s="36">
        <v>8459088</v>
      </c>
      <c r="B1338" t="s">
        <v>1303</v>
      </c>
    </row>
    <row r="1339" spans="1:3">
      <c r="A1339" s="36">
        <v>5100868</v>
      </c>
      <c r="B1339" t="s">
        <v>1304</v>
      </c>
    </row>
    <row r="1340" spans="1:3">
      <c r="A1340" s="36">
        <v>30708214813</v>
      </c>
      <c r="B1340" t="s">
        <v>416</v>
      </c>
      <c r="C1340" s="35" t="s">
        <v>2359</v>
      </c>
    </row>
    <row r="1341" spans="1:3">
      <c r="A1341" s="36">
        <v>23368458449</v>
      </c>
      <c r="B1341" t="s">
        <v>1305</v>
      </c>
      <c r="C1341" s="35" t="s">
        <v>781</v>
      </c>
    </row>
    <row r="1342" spans="1:3">
      <c r="A1342" s="36">
        <v>30714295957</v>
      </c>
      <c r="B1342" t="s">
        <v>1306</v>
      </c>
      <c r="C1342" s="35" t="s">
        <v>891</v>
      </c>
    </row>
    <row r="1343" spans="1:3">
      <c r="A1343" s="36">
        <v>30712187316</v>
      </c>
      <c r="B1343" t="s">
        <v>1307</v>
      </c>
      <c r="C1343" s="35" t="s">
        <v>2359</v>
      </c>
    </row>
    <row r="1344" spans="1:3">
      <c r="A1344" s="36">
        <v>30547076679</v>
      </c>
      <c r="B1344" t="s">
        <v>417</v>
      </c>
    </row>
    <row r="1345" spans="1:3">
      <c r="A1345" s="36">
        <v>30709267821</v>
      </c>
      <c r="B1345" t="s">
        <v>418</v>
      </c>
    </row>
    <row r="1346" spans="1:3">
      <c r="A1346" s="36">
        <v>30715123483</v>
      </c>
      <c r="B1346" t="s">
        <v>1308</v>
      </c>
      <c r="C1346" s="35" t="s">
        <v>781</v>
      </c>
    </row>
    <row r="1347" spans="1:3">
      <c r="A1347" s="36">
        <v>30700896621</v>
      </c>
      <c r="B1347" t="s">
        <v>1309</v>
      </c>
    </row>
    <row r="1348" spans="1:3">
      <c r="A1348" s="36">
        <v>2446086</v>
      </c>
      <c r="B1348" t="s">
        <v>1310</v>
      </c>
    </row>
    <row r="1349" spans="1:3">
      <c r="A1349" s="36">
        <v>2446086</v>
      </c>
      <c r="B1349" t="s">
        <v>1310</v>
      </c>
    </row>
    <row r="1350" spans="1:3">
      <c r="A1350" s="36">
        <v>23887039</v>
      </c>
      <c r="B1350" t="s">
        <v>1311</v>
      </c>
    </row>
    <row r="1351" spans="1:3">
      <c r="A1351" s="36">
        <v>33716314869</v>
      </c>
      <c r="B1351" t="s">
        <v>1312</v>
      </c>
    </row>
    <row r="1352" spans="1:3">
      <c r="A1352" s="36">
        <v>14547747</v>
      </c>
      <c r="B1352" t="s">
        <v>1313</v>
      </c>
    </row>
    <row r="1353" spans="1:3">
      <c r="A1353" s="36">
        <v>30708936762</v>
      </c>
      <c r="B1353" t="s">
        <v>1314</v>
      </c>
      <c r="C1353" s="35" t="s">
        <v>79</v>
      </c>
    </row>
    <row r="1354" spans="1:3">
      <c r="A1354" s="36">
        <v>30714721441</v>
      </c>
      <c r="B1354" t="s">
        <v>2296</v>
      </c>
      <c r="C1354" s="35" t="s">
        <v>79</v>
      </c>
    </row>
    <row r="1355" spans="1:3">
      <c r="A1355" s="36">
        <v>34358182</v>
      </c>
      <c r="B1355" t="s">
        <v>1315</v>
      </c>
    </row>
    <row r="1356" spans="1:3">
      <c r="A1356" s="36">
        <v>4237954</v>
      </c>
      <c r="B1356" t="s">
        <v>1316</v>
      </c>
    </row>
    <row r="1357" spans="1:3">
      <c r="A1357" s="36">
        <v>30707249001</v>
      </c>
      <c r="B1357" t="s">
        <v>419</v>
      </c>
      <c r="C1357" s="35" t="s">
        <v>2359</v>
      </c>
    </row>
    <row r="1358" spans="1:3">
      <c r="A1358" s="36">
        <v>11875982</v>
      </c>
      <c r="B1358" t="s">
        <v>1317</v>
      </c>
    </row>
    <row r="1359" spans="1:3">
      <c r="A1359" s="36">
        <v>30709273465</v>
      </c>
      <c r="B1359" t="s">
        <v>1318</v>
      </c>
      <c r="C1359" s="35" t="s">
        <v>2359</v>
      </c>
    </row>
    <row r="1360" spans="1:3">
      <c r="A1360" s="36">
        <v>30550095714</v>
      </c>
      <c r="B1360" t="s">
        <v>1318</v>
      </c>
      <c r="C1360" s="35" t="s">
        <v>2359</v>
      </c>
    </row>
    <row r="1361" spans="1:3">
      <c r="A1361" s="36">
        <v>30636074280</v>
      </c>
      <c r="B1361" t="s">
        <v>420</v>
      </c>
    </row>
    <row r="1362" spans="1:3">
      <c r="A1362" s="36">
        <v>30714306355</v>
      </c>
      <c r="B1362" t="s">
        <v>421</v>
      </c>
    </row>
    <row r="1363" spans="1:3">
      <c r="A1363" s="36">
        <v>30715937006</v>
      </c>
      <c r="B1363" t="s">
        <v>1319</v>
      </c>
      <c r="C1363" s="35" t="s">
        <v>2359</v>
      </c>
    </row>
    <row r="1364" spans="1:3">
      <c r="A1364" s="36">
        <v>30506357841</v>
      </c>
      <c r="B1364" t="s">
        <v>422</v>
      </c>
    </row>
    <row r="1365" spans="1:3">
      <c r="A1365" s="36">
        <v>26146729</v>
      </c>
      <c r="B1365" t="s">
        <v>1320</v>
      </c>
    </row>
    <row r="1366" spans="1:3">
      <c r="A1366" s="36">
        <v>94551575</v>
      </c>
      <c r="B1366" t="s">
        <v>1863</v>
      </c>
    </row>
    <row r="1367" spans="1:3">
      <c r="A1367" s="36">
        <v>29152927</v>
      </c>
      <c r="B1367" t="s">
        <v>1923</v>
      </c>
    </row>
    <row r="1368" spans="1:3">
      <c r="A1368" s="36">
        <v>38380322</v>
      </c>
      <c r="B1368" t="s">
        <v>1321</v>
      </c>
    </row>
    <row r="1369" spans="1:3">
      <c r="A1369" s="36">
        <v>24931553247</v>
      </c>
      <c r="B1369" t="s">
        <v>423</v>
      </c>
    </row>
    <row r="1370" spans="1:3">
      <c r="A1370" s="36">
        <v>20131373091</v>
      </c>
      <c r="B1370" t="s">
        <v>1322</v>
      </c>
    </row>
    <row r="1371" spans="1:3">
      <c r="A1371" s="36">
        <v>27041620086</v>
      </c>
      <c r="B1371" t="s">
        <v>1323</v>
      </c>
    </row>
    <row r="1372" spans="1:3">
      <c r="A1372" s="36">
        <v>12588018</v>
      </c>
      <c r="B1372" t="s">
        <v>1880</v>
      </c>
    </row>
    <row r="1373" spans="1:3">
      <c r="A1373" s="36">
        <v>23127941</v>
      </c>
      <c r="B1373" t="s">
        <v>1324</v>
      </c>
    </row>
    <row r="1374" spans="1:3">
      <c r="A1374" s="36">
        <v>20167226524</v>
      </c>
      <c r="B1374" t="s">
        <v>1325</v>
      </c>
      <c r="C1374" s="35" t="s">
        <v>1220</v>
      </c>
    </row>
    <row r="1375" spans="1:3">
      <c r="A1375" s="36">
        <v>4166381</v>
      </c>
      <c r="B1375" t="s">
        <v>1326</v>
      </c>
    </row>
    <row r="1376" spans="1:3">
      <c r="A1376" s="36">
        <v>10328408</v>
      </c>
      <c r="B1376" t="s">
        <v>1327</v>
      </c>
    </row>
    <row r="1377" spans="1:3">
      <c r="A1377" s="36">
        <v>7827814</v>
      </c>
      <c r="B1377" t="s">
        <v>1328</v>
      </c>
    </row>
    <row r="1378" spans="1:3">
      <c r="A1378" s="36">
        <v>4223930</v>
      </c>
      <c r="B1378" t="s">
        <v>1329</v>
      </c>
    </row>
    <row r="1379" spans="1:3">
      <c r="A1379" s="36">
        <v>33707660509</v>
      </c>
      <c r="B1379" t="s">
        <v>1976</v>
      </c>
      <c r="C1379" s="35" t="s">
        <v>891</v>
      </c>
    </row>
    <row r="1380" spans="1:3">
      <c r="A1380" s="36">
        <v>8209288</v>
      </c>
      <c r="B1380" t="s">
        <v>1330</v>
      </c>
    </row>
    <row r="1381" spans="1:3">
      <c r="A1381" s="36">
        <v>33716050489</v>
      </c>
      <c r="B1381" t="s">
        <v>2263</v>
      </c>
      <c r="C1381" s="35" t="s">
        <v>891</v>
      </c>
    </row>
    <row r="1382" spans="1:3">
      <c r="A1382" s="36">
        <v>33649669029</v>
      </c>
      <c r="B1382" t="s">
        <v>424</v>
      </c>
    </row>
    <row r="1383" spans="1:3">
      <c r="A1383" s="36">
        <v>20929018347</v>
      </c>
      <c r="B1383" t="s">
        <v>425</v>
      </c>
    </row>
    <row r="1384" spans="1:3">
      <c r="A1384" s="36">
        <v>20183380231</v>
      </c>
      <c r="B1384" t="s">
        <v>426</v>
      </c>
      <c r="C1384" s="35" t="s">
        <v>79</v>
      </c>
    </row>
    <row r="1385" spans="1:3">
      <c r="A1385" s="36">
        <v>20236755526</v>
      </c>
      <c r="B1385" t="s">
        <v>427</v>
      </c>
      <c r="C1385" s="35" t="s">
        <v>2359</v>
      </c>
    </row>
    <row r="1386" spans="1:3">
      <c r="A1386" s="36">
        <v>32585272</v>
      </c>
      <c r="B1386" t="s">
        <v>1843</v>
      </c>
    </row>
    <row r="1387" spans="1:3">
      <c r="A1387" s="36">
        <v>20165471491</v>
      </c>
      <c r="B1387" t="s">
        <v>428</v>
      </c>
    </row>
    <row r="1388" spans="1:3">
      <c r="A1388" s="36">
        <v>36622635</v>
      </c>
      <c r="B1388" t="s">
        <v>1331</v>
      </c>
    </row>
    <row r="1389" spans="1:3">
      <c r="A1389" s="36">
        <v>33715005129</v>
      </c>
      <c r="B1389" t="s">
        <v>2331</v>
      </c>
      <c r="C1389" s="35" t="s">
        <v>891</v>
      </c>
    </row>
    <row r="1390" spans="1:3">
      <c r="A1390" s="36">
        <v>5668032</v>
      </c>
      <c r="B1390" t="s">
        <v>1332</v>
      </c>
    </row>
    <row r="1391" spans="1:3">
      <c r="A1391" s="36">
        <v>20120458753</v>
      </c>
      <c r="B1391" t="s">
        <v>1333</v>
      </c>
    </row>
    <row r="1392" spans="1:3">
      <c r="A1392" s="36">
        <v>30678264969</v>
      </c>
      <c r="B1392" t="s">
        <v>429</v>
      </c>
      <c r="C1392" s="35" t="s">
        <v>2359</v>
      </c>
    </row>
    <row r="1393" spans="1:3">
      <c r="A1393" s="36">
        <v>30707682279</v>
      </c>
      <c r="B1393" t="s">
        <v>430</v>
      </c>
      <c r="C1393" s="35" t="s">
        <v>2359</v>
      </c>
    </row>
    <row r="1394" spans="1:3">
      <c r="A1394" s="36">
        <v>30631965284</v>
      </c>
      <c r="B1394" t="s">
        <v>431</v>
      </c>
    </row>
    <row r="1395" spans="1:3">
      <c r="A1395" s="36">
        <v>5401583</v>
      </c>
      <c r="B1395" t="s">
        <v>1334</v>
      </c>
    </row>
    <row r="1396" spans="1:3">
      <c r="A1396" s="36">
        <v>30500805222</v>
      </c>
      <c r="B1396" t="s">
        <v>432</v>
      </c>
      <c r="C1396" s="35" t="s">
        <v>2359</v>
      </c>
    </row>
    <row r="1397" spans="1:3">
      <c r="A1397" s="36">
        <v>20244271740</v>
      </c>
      <c r="B1397" t="s">
        <v>1335</v>
      </c>
    </row>
    <row r="1398" spans="1:3">
      <c r="A1398" s="36">
        <v>33709050589</v>
      </c>
      <c r="B1398" t="s">
        <v>433</v>
      </c>
      <c r="C1398" s="35" t="s">
        <v>2359</v>
      </c>
    </row>
    <row r="1399" spans="1:3">
      <c r="A1399" s="36">
        <v>4523927</v>
      </c>
      <c r="B1399" t="s">
        <v>1868</v>
      </c>
    </row>
    <row r="1400" spans="1:3">
      <c r="A1400" s="36">
        <v>31207521</v>
      </c>
      <c r="B1400" t="s">
        <v>1336</v>
      </c>
    </row>
    <row r="1401" spans="1:3">
      <c r="A1401" s="36">
        <v>20182999661</v>
      </c>
      <c r="B1401" t="s">
        <v>1337</v>
      </c>
      <c r="C1401" s="35" t="s">
        <v>79</v>
      </c>
    </row>
    <row r="1402" spans="1:3">
      <c r="A1402" s="36">
        <v>20182999661</v>
      </c>
      <c r="B1402" t="s">
        <v>1337</v>
      </c>
      <c r="C1402" s="35" t="s">
        <v>79</v>
      </c>
    </row>
    <row r="1403" spans="1:3">
      <c r="A1403" s="36">
        <v>23220104389</v>
      </c>
      <c r="B1403" t="s">
        <v>434</v>
      </c>
    </row>
    <row r="1404" spans="1:3">
      <c r="A1404" s="36">
        <v>27227105998</v>
      </c>
      <c r="B1404" t="s">
        <v>1338</v>
      </c>
      <c r="C1404" s="35" t="s">
        <v>891</v>
      </c>
    </row>
    <row r="1405" spans="1:3">
      <c r="A1405" s="36">
        <v>30714185574</v>
      </c>
      <c r="B1405" t="s">
        <v>435</v>
      </c>
    </row>
    <row r="1406" spans="1:3">
      <c r="A1406" s="36">
        <v>4786701</v>
      </c>
      <c r="B1406" t="s">
        <v>1339</v>
      </c>
    </row>
    <row r="1407" spans="1:3">
      <c r="A1407" s="36">
        <v>20924962756</v>
      </c>
      <c r="B1407" t="s">
        <v>1340</v>
      </c>
      <c r="C1407" s="35" t="s">
        <v>2359</v>
      </c>
    </row>
    <row r="1408" spans="1:3">
      <c r="A1408" s="36">
        <v>13807197</v>
      </c>
      <c r="B1408" t="s">
        <v>1966</v>
      </c>
    </row>
    <row r="1409" spans="1:3">
      <c r="A1409" s="36">
        <v>30707918914</v>
      </c>
      <c r="B1409" t="s">
        <v>436</v>
      </c>
    </row>
    <row r="1410" spans="1:3">
      <c r="A1410" s="36">
        <v>16145340</v>
      </c>
      <c r="B1410" t="s">
        <v>1341</v>
      </c>
    </row>
    <row r="1411" spans="1:3">
      <c r="A1411" s="36">
        <v>16145340</v>
      </c>
      <c r="B1411" t="s">
        <v>1341</v>
      </c>
    </row>
    <row r="1412" spans="1:3">
      <c r="A1412" s="36">
        <v>23941647804</v>
      </c>
      <c r="B1412" t="s">
        <v>1342</v>
      </c>
      <c r="C1412" s="35" t="s">
        <v>917</v>
      </c>
    </row>
    <row r="1413" spans="1:3">
      <c r="A1413" s="36">
        <v>18333297</v>
      </c>
      <c r="B1413" t="s">
        <v>1343</v>
      </c>
    </row>
    <row r="1414" spans="1:3">
      <c r="A1414" s="36">
        <v>14897881</v>
      </c>
      <c r="B1414" t="s">
        <v>1344</v>
      </c>
    </row>
    <row r="1415" spans="1:3">
      <c r="A1415" s="36">
        <v>4441045</v>
      </c>
      <c r="B1415" t="s">
        <v>2084</v>
      </c>
    </row>
    <row r="1416" spans="1:3">
      <c r="A1416" s="36">
        <v>20105333235</v>
      </c>
      <c r="B1416" t="s">
        <v>2045</v>
      </c>
    </row>
    <row r="1417" spans="1:3">
      <c r="A1417" s="36">
        <v>27310367813</v>
      </c>
      <c r="B1417" t="s">
        <v>2144</v>
      </c>
      <c r="C1417" s="35" t="s">
        <v>2385</v>
      </c>
    </row>
    <row r="1418" spans="1:3">
      <c r="A1418" s="36">
        <v>33531122599</v>
      </c>
      <c r="B1418" t="s">
        <v>437</v>
      </c>
      <c r="C1418" s="35" t="s">
        <v>781</v>
      </c>
    </row>
    <row r="1419" spans="1:3">
      <c r="A1419" s="36">
        <v>33531122599</v>
      </c>
      <c r="B1419" t="s">
        <v>437</v>
      </c>
      <c r="C1419" s="35" t="s">
        <v>79</v>
      </c>
    </row>
    <row r="1420" spans="1:3">
      <c r="A1420" s="36">
        <v>30716096919</v>
      </c>
      <c r="B1420" t="s">
        <v>1345</v>
      </c>
      <c r="C1420" s="35" t="s">
        <v>891</v>
      </c>
    </row>
    <row r="1421" spans="1:3">
      <c r="A1421" s="36">
        <v>30528587700</v>
      </c>
      <c r="B1421" t="s">
        <v>1346</v>
      </c>
      <c r="C1421" s="35" t="s">
        <v>2359</v>
      </c>
    </row>
    <row r="1422" spans="1:3">
      <c r="A1422" s="36">
        <v>30684490784</v>
      </c>
      <c r="B1422" t="s">
        <v>2065</v>
      </c>
      <c r="C1422" s="35" t="s">
        <v>44</v>
      </c>
    </row>
    <row r="1423" spans="1:3">
      <c r="A1423" s="36">
        <v>30645614735</v>
      </c>
      <c r="B1423" t="s">
        <v>438</v>
      </c>
    </row>
    <row r="1424" spans="1:3">
      <c r="A1424" s="36">
        <v>30709459399</v>
      </c>
      <c r="B1424" t="s">
        <v>2333</v>
      </c>
      <c r="C1424" s="35" t="s">
        <v>1220</v>
      </c>
    </row>
    <row r="1425" spans="1:3">
      <c r="A1425" s="36">
        <v>30716157586</v>
      </c>
      <c r="B1425" t="s">
        <v>2206</v>
      </c>
    </row>
    <row r="1426" spans="1:3">
      <c r="A1426" s="36">
        <v>30500051163</v>
      </c>
      <c r="B1426" t="s">
        <v>439</v>
      </c>
    </row>
    <row r="1427" spans="1:3">
      <c r="A1427" s="36">
        <v>33546505729</v>
      </c>
      <c r="B1427" t="s">
        <v>2356</v>
      </c>
      <c r="C1427" s="35" t="s">
        <v>781</v>
      </c>
    </row>
    <row r="1428" spans="1:3">
      <c r="A1428" s="36">
        <v>30709046779</v>
      </c>
      <c r="B1428" t="s">
        <v>1347</v>
      </c>
    </row>
    <row r="1429" spans="1:3">
      <c r="A1429" s="36">
        <v>30711645884</v>
      </c>
      <c r="B1429" t="s">
        <v>2368</v>
      </c>
      <c r="C1429" s="35" t="s">
        <v>2359</v>
      </c>
    </row>
    <row r="1430" spans="1:3">
      <c r="A1430" s="36">
        <v>30711645884</v>
      </c>
      <c r="B1430" t="s">
        <v>2368</v>
      </c>
    </row>
    <row r="1431" spans="1:3">
      <c r="A1431" s="36">
        <v>27304914071</v>
      </c>
      <c r="B1431" t="s">
        <v>1348</v>
      </c>
      <c r="C1431" s="35" t="s">
        <v>79</v>
      </c>
    </row>
    <row r="1432" spans="1:3">
      <c r="A1432" s="36">
        <v>39558870</v>
      </c>
      <c r="B1432" t="s">
        <v>1349</v>
      </c>
    </row>
    <row r="1433" spans="1:3">
      <c r="A1433" s="36">
        <v>30585254297</v>
      </c>
      <c r="B1433" t="s">
        <v>440</v>
      </c>
    </row>
    <row r="1434" spans="1:3">
      <c r="A1434" s="36">
        <v>5914284</v>
      </c>
      <c r="B1434" t="s">
        <v>1350</v>
      </c>
    </row>
    <row r="1435" spans="1:3">
      <c r="A1435" s="36">
        <v>20220423655</v>
      </c>
      <c r="B1435" t="s">
        <v>1351</v>
      </c>
      <c r="C1435" s="35" t="s">
        <v>2373</v>
      </c>
    </row>
    <row r="1436" spans="1:3">
      <c r="A1436" s="36">
        <v>20220423655</v>
      </c>
      <c r="B1436" t="s">
        <v>1351</v>
      </c>
      <c r="C1436" s="35" t="s">
        <v>2373</v>
      </c>
    </row>
    <row r="1437" spans="1:3">
      <c r="A1437" s="36"/>
    </row>
    <row r="1438" spans="1:3">
      <c r="A1438" s="36"/>
    </row>
    <row r="1439" spans="1:3">
      <c r="A1439" s="36"/>
    </row>
    <row r="1440" spans="1:3">
      <c r="A1440" s="36">
        <v>20121778042</v>
      </c>
      <c r="B1440" t="s">
        <v>441</v>
      </c>
    </row>
    <row r="1441" spans="1:3">
      <c r="A1441" s="36">
        <v>14375903</v>
      </c>
      <c r="B1441" t="s">
        <v>1352</v>
      </c>
    </row>
    <row r="1442" spans="1:3">
      <c r="A1442" s="36">
        <v>27249631413</v>
      </c>
      <c r="B1442" t="s">
        <v>442</v>
      </c>
    </row>
    <row r="1443" spans="1:3">
      <c r="A1443" s="36">
        <v>20393873583</v>
      </c>
      <c r="B1443" t="s">
        <v>1353</v>
      </c>
      <c r="C1443" s="35" t="s">
        <v>43</v>
      </c>
    </row>
    <row r="1444" spans="1:3">
      <c r="A1444" s="36">
        <v>20393873583</v>
      </c>
      <c r="B1444" t="s">
        <v>1353</v>
      </c>
      <c r="C1444" s="35" t="s">
        <v>43</v>
      </c>
    </row>
    <row r="1445" spans="1:3">
      <c r="A1445" s="36">
        <v>20393873583</v>
      </c>
      <c r="B1445" t="s">
        <v>1353</v>
      </c>
      <c r="C1445" s="35" t="s">
        <v>79</v>
      </c>
    </row>
    <row r="1446" spans="1:3">
      <c r="A1446" s="36">
        <v>20393873583</v>
      </c>
      <c r="B1446" t="s">
        <v>1353</v>
      </c>
      <c r="C1446" s="35" t="s">
        <v>79</v>
      </c>
    </row>
    <row r="1447" spans="1:3">
      <c r="A1447" s="36">
        <v>20262810470</v>
      </c>
      <c r="B1447" t="s">
        <v>2236</v>
      </c>
      <c r="C1447" s="35" t="s">
        <v>79</v>
      </c>
    </row>
    <row r="1448" spans="1:3">
      <c r="A1448" s="36">
        <v>20262810470</v>
      </c>
      <c r="B1448" t="s">
        <v>2236</v>
      </c>
    </row>
    <row r="1449" spans="1:3">
      <c r="A1449" s="36">
        <v>30679107220</v>
      </c>
      <c r="B1449" t="s">
        <v>443</v>
      </c>
    </row>
    <row r="1450" spans="1:3">
      <c r="A1450" s="36">
        <v>22654210</v>
      </c>
      <c r="B1450" t="s">
        <v>1354</v>
      </c>
    </row>
    <row r="1451" spans="1:3">
      <c r="A1451" s="36">
        <v>30709153095</v>
      </c>
      <c r="B1451" t="s">
        <v>444</v>
      </c>
      <c r="C1451" s="35" t="s">
        <v>2359</v>
      </c>
    </row>
    <row r="1452" spans="1:3">
      <c r="A1452" s="36">
        <v>5123651</v>
      </c>
      <c r="B1452" t="s">
        <v>1355</v>
      </c>
    </row>
    <row r="1453" spans="1:3">
      <c r="A1453" s="36">
        <v>20147452102</v>
      </c>
      <c r="B1453" t="s">
        <v>1356</v>
      </c>
    </row>
    <row r="1454" spans="1:3">
      <c r="A1454" s="36">
        <v>30710374801</v>
      </c>
      <c r="B1454" t="s">
        <v>445</v>
      </c>
      <c r="C1454" s="35" t="s">
        <v>79</v>
      </c>
    </row>
    <row r="1455" spans="1:3">
      <c r="A1455" s="36">
        <v>30710374801</v>
      </c>
      <c r="B1455" t="s">
        <v>445</v>
      </c>
      <c r="C1455" s="35" t="s">
        <v>79</v>
      </c>
    </row>
    <row r="1456" spans="1:3">
      <c r="A1456" s="36">
        <v>30710386559</v>
      </c>
      <c r="B1456" t="s">
        <v>446</v>
      </c>
      <c r="C1456" s="35" t="s">
        <v>2359</v>
      </c>
    </row>
    <row r="1457" spans="1:3">
      <c r="A1457" s="36">
        <v>23929701364</v>
      </c>
      <c r="B1457" t="s">
        <v>1357</v>
      </c>
    </row>
    <row r="1458" spans="1:3">
      <c r="A1458" s="36">
        <v>3079881767</v>
      </c>
      <c r="B1458" t="s">
        <v>447</v>
      </c>
    </row>
    <row r="1459" spans="1:3">
      <c r="A1459" s="36">
        <v>29145443</v>
      </c>
      <c r="B1459" t="s">
        <v>1358</v>
      </c>
    </row>
    <row r="1460" spans="1:3">
      <c r="A1460" s="36">
        <v>20044465532</v>
      </c>
      <c r="B1460" t="s">
        <v>2162</v>
      </c>
    </row>
    <row r="1461" spans="1:3">
      <c r="A1461" s="36">
        <v>10703594</v>
      </c>
      <c r="B1461" t="s">
        <v>1930</v>
      </c>
    </row>
    <row r="1462" spans="1:3">
      <c r="A1462" s="36">
        <v>36699604</v>
      </c>
      <c r="B1462" t="s">
        <v>1853</v>
      </c>
    </row>
    <row r="1463" spans="1:3">
      <c r="A1463" s="36">
        <v>57517065</v>
      </c>
      <c r="B1463" t="s">
        <v>2047</v>
      </c>
    </row>
    <row r="1464" spans="1:3">
      <c r="A1464" s="36">
        <v>17657757</v>
      </c>
      <c r="B1464" t="s">
        <v>1359</v>
      </c>
    </row>
    <row r="1465" spans="1:3">
      <c r="A1465" s="36">
        <v>30525468956</v>
      </c>
      <c r="B1465" t="s">
        <v>1360</v>
      </c>
    </row>
    <row r="1466" spans="1:3">
      <c r="A1466" s="36">
        <v>20162031326</v>
      </c>
      <c r="B1466" t="s">
        <v>448</v>
      </c>
      <c r="C1466" s="35" t="s">
        <v>2359</v>
      </c>
    </row>
    <row r="1467" spans="1:3">
      <c r="A1467" s="36">
        <v>20041802082</v>
      </c>
      <c r="B1467" t="s">
        <v>449</v>
      </c>
      <c r="C1467" s="35" t="s">
        <v>79</v>
      </c>
    </row>
    <row r="1468" spans="1:3">
      <c r="A1468" s="36">
        <v>23223377734</v>
      </c>
      <c r="B1468" t="s">
        <v>450</v>
      </c>
    </row>
    <row r="1469" spans="1:3">
      <c r="A1469" s="36">
        <v>4360830</v>
      </c>
      <c r="B1469" t="s">
        <v>1361</v>
      </c>
    </row>
    <row r="1470" spans="1:3">
      <c r="A1470" s="36">
        <v>14851628</v>
      </c>
      <c r="B1470" t="s">
        <v>1362</v>
      </c>
    </row>
    <row r="1471" spans="1:3">
      <c r="A1471" s="36">
        <v>30661041486</v>
      </c>
      <c r="B1471" t="s">
        <v>451</v>
      </c>
    </row>
    <row r="1472" spans="1:3">
      <c r="A1472" s="36">
        <v>10866097</v>
      </c>
      <c r="B1472" t="s">
        <v>1363</v>
      </c>
    </row>
    <row r="1473" spans="1:3">
      <c r="A1473" s="36">
        <v>8085092</v>
      </c>
      <c r="B1473" t="s">
        <v>1364</v>
      </c>
    </row>
    <row r="1474" spans="1:3">
      <c r="A1474" s="36">
        <v>30715723871</v>
      </c>
      <c r="B1474" t="s">
        <v>452</v>
      </c>
    </row>
    <row r="1475" spans="1:3">
      <c r="A1475" s="36">
        <v>20115545397</v>
      </c>
      <c r="B1475" t="s">
        <v>453</v>
      </c>
      <c r="C1475" s="35" t="s">
        <v>2359</v>
      </c>
    </row>
    <row r="1476" spans="1:3">
      <c r="A1476" s="36">
        <v>30717202305</v>
      </c>
      <c r="B1476" t="s">
        <v>2063</v>
      </c>
      <c r="C1476" s="35" t="s">
        <v>46</v>
      </c>
    </row>
    <row r="1477" spans="1:3">
      <c r="A1477" s="36">
        <v>30715148958</v>
      </c>
      <c r="B1477" t="s">
        <v>454</v>
      </c>
      <c r="C1477" s="35" t="s">
        <v>79</v>
      </c>
    </row>
    <row r="1478" spans="1:3">
      <c r="A1478" s="36">
        <v>30679067431</v>
      </c>
      <c r="B1478" t="s">
        <v>455</v>
      </c>
      <c r="C1478" s="35" t="s">
        <v>2359</v>
      </c>
    </row>
    <row r="1479" spans="1:3">
      <c r="A1479" s="36">
        <v>30540019297</v>
      </c>
      <c r="B1479" t="s">
        <v>1946</v>
      </c>
    </row>
    <row r="1480" spans="1:3">
      <c r="A1480" s="36">
        <v>16453592</v>
      </c>
      <c r="B1480" t="s">
        <v>1851</v>
      </c>
    </row>
    <row r="1481" spans="1:3">
      <c r="A1481" s="36">
        <v>30686525607</v>
      </c>
      <c r="B1481" t="s">
        <v>1952</v>
      </c>
      <c r="C1481" s="35" t="s">
        <v>79</v>
      </c>
    </row>
    <row r="1482" spans="1:3">
      <c r="A1482" s="36">
        <v>30686525607</v>
      </c>
      <c r="B1482" t="s">
        <v>1952</v>
      </c>
      <c r="C1482" s="35" t="s">
        <v>79</v>
      </c>
    </row>
    <row r="1483" spans="1:3">
      <c r="A1483" s="36">
        <v>12714484</v>
      </c>
      <c r="B1483" t="s">
        <v>1365</v>
      </c>
    </row>
    <row r="1484" spans="1:3">
      <c r="A1484" s="36">
        <v>31453278</v>
      </c>
      <c r="B1484" t="s">
        <v>1869</v>
      </c>
    </row>
    <row r="1485" spans="1:3">
      <c r="A1485" s="36">
        <v>23945201304</v>
      </c>
      <c r="B1485" t="s">
        <v>1367</v>
      </c>
      <c r="C1485" s="35" t="s">
        <v>2359</v>
      </c>
    </row>
    <row r="1486" spans="1:3">
      <c r="A1486" s="36">
        <v>27940269100</v>
      </c>
      <c r="B1486" t="s">
        <v>2294</v>
      </c>
      <c r="C1486" s="35" t="s">
        <v>79</v>
      </c>
    </row>
    <row r="1487" spans="1:3">
      <c r="A1487" s="36">
        <v>30712019359</v>
      </c>
      <c r="B1487" t="s">
        <v>1368</v>
      </c>
      <c r="C1487" s="35" t="s">
        <v>2359</v>
      </c>
    </row>
    <row r="1488" spans="1:3">
      <c r="A1488" s="36">
        <v>12692318</v>
      </c>
      <c r="B1488" t="s">
        <v>1914</v>
      </c>
    </row>
    <row r="1489" spans="1:3">
      <c r="A1489" s="36">
        <v>26873512</v>
      </c>
      <c r="B1489" t="s">
        <v>1860</v>
      </c>
      <c r="C1489" s="35" t="s">
        <v>43</v>
      </c>
    </row>
    <row r="1490" spans="1:3">
      <c r="A1490" s="36">
        <v>30711454388</v>
      </c>
      <c r="B1490" t="s">
        <v>2396</v>
      </c>
      <c r="C1490" s="35" t="s">
        <v>2359</v>
      </c>
    </row>
    <row r="1491" spans="1:3">
      <c r="A1491" s="36">
        <v>20160503336</v>
      </c>
      <c r="B1491" t="s">
        <v>2185</v>
      </c>
      <c r="C1491" s="35" t="s">
        <v>43</v>
      </c>
    </row>
    <row r="1492" spans="1:3">
      <c r="A1492" s="36">
        <v>20160503336</v>
      </c>
      <c r="B1492" t="s">
        <v>2185</v>
      </c>
      <c r="C1492" s="35" t="s">
        <v>79</v>
      </c>
    </row>
    <row r="1493" spans="1:3">
      <c r="A1493" s="36">
        <v>20262808557</v>
      </c>
      <c r="B1493" t="s">
        <v>456</v>
      </c>
      <c r="C1493" s="35" t="s">
        <v>79</v>
      </c>
    </row>
    <row r="1494" spans="1:3">
      <c r="A1494" s="36">
        <v>27129657710</v>
      </c>
      <c r="B1494" t="s">
        <v>457</v>
      </c>
      <c r="C1494" s="35" t="s">
        <v>2359</v>
      </c>
    </row>
    <row r="1495" spans="1:3">
      <c r="A1495" s="36">
        <v>27129657710</v>
      </c>
      <c r="B1495" t="s">
        <v>457</v>
      </c>
    </row>
    <row r="1496" spans="1:3">
      <c r="A1496" s="36">
        <v>436052</v>
      </c>
      <c r="B1496" t="s">
        <v>1369</v>
      </c>
    </row>
    <row r="1497" spans="1:3">
      <c r="A1497" s="36">
        <v>30708326794</v>
      </c>
      <c r="B1497" t="s">
        <v>458</v>
      </c>
    </row>
    <row r="1498" spans="1:3">
      <c r="A1498" s="36">
        <v>4098810</v>
      </c>
      <c r="B1498" t="s">
        <v>1370</v>
      </c>
    </row>
    <row r="1499" spans="1:3">
      <c r="A1499" s="36">
        <v>26470407</v>
      </c>
      <c r="B1499" t="s">
        <v>1371</v>
      </c>
    </row>
    <row r="1500" spans="1:3">
      <c r="A1500" s="36">
        <v>30708035633</v>
      </c>
      <c r="B1500" t="s">
        <v>459</v>
      </c>
    </row>
    <row r="1501" spans="1:3">
      <c r="A1501" s="36">
        <v>18827194</v>
      </c>
      <c r="B1501" t="s">
        <v>1372</v>
      </c>
    </row>
    <row r="1502" spans="1:3">
      <c r="A1502" s="36">
        <v>30714647594</v>
      </c>
      <c r="B1502" t="s">
        <v>460</v>
      </c>
    </row>
    <row r="1503" spans="1:3">
      <c r="A1503" s="36">
        <v>30711244383</v>
      </c>
      <c r="B1503" t="s">
        <v>1373</v>
      </c>
    </row>
    <row r="1504" spans="1:3">
      <c r="A1504" s="36">
        <v>30709904872</v>
      </c>
      <c r="B1504" t="s">
        <v>2201</v>
      </c>
      <c r="C1504" s="35" t="s">
        <v>781</v>
      </c>
    </row>
    <row r="1505" spans="1:3">
      <c r="A1505" s="36">
        <v>30709904872</v>
      </c>
      <c r="B1505" t="s">
        <v>2201</v>
      </c>
      <c r="C1505" s="35" t="s">
        <v>781</v>
      </c>
    </row>
    <row r="1506" spans="1:3">
      <c r="A1506" s="36">
        <v>30709879258</v>
      </c>
      <c r="B1506" t="s">
        <v>1837</v>
      </c>
      <c r="C1506" s="35" t="s">
        <v>781</v>
      </c>
    </row>
    <row r="1507" spans="1:3">
      <c r="A1507" s="36">
        <v>30709879258</v>
      </c>
      <c r="B1507" t="s">
        <v>1837</v>
      </c>
      <c r="C1507" s="35" t="s">
        <v>781</v>
      </c>
    </row>
    <row r="1508" spans="1:3">
      <c r="A1508" s="36">
        <v>94059981</v>
      </c>
      <c r="B1508" t="s">
        <v>1970</v>
      </c>
    </row>
    <row r="1509" spans="1:3">
      <c r="A1509" s="36">
        <v>22134238</v>
      </c>
      <c r="B1509" t="s">
        <v>1374</v>
      </c>
    </row>
    <row r="1510" spans="1:3">
      <c r="A1510" s="36">
        <v>30710265425</v>
      </c>
      <c r="B1510" t="s">
        <v>461</v>
      </c>
    </row>
    <row r="1511" spans="1:3">
      <c r="A1511" s="36">
        <v>30500833781</v>
      </c>
      <c r="B1511" t="s">
        <v>462</v>
      </c>
      <c r="C1511" s="35" t="s">
        <v>2359</v>
      </c>
    </row>
    <row r="1512" spans="1:3">
      <c r="A1512" s="36">
        <v>18226662</v>
      </c>
      <c r="B1512" t="s">
        <v>1375</v>
      </c>
    </row>
    <row r="1513" spans="1:3">
      <c r="A1513" s="36">
        <v>4139270</v>
      </c>
      <c r="B1513" t="s">
        <v>1376</v>
      </c>
    </row>
    <row r="1514" spans="1:3">
      <c r="A1514" s="36">
        <v>27345827841</v>
      </c>
      <c r="B1514" t="s">
        <v>463</v>
      </c>
      <c r="C1514" s="35" t="s">
        <v>2359</v>
      </c>
    </row>
    <row r="1515" spans="1:3">
      <c r="A1515" s="36">
        <v>3322961</v>
      </c>
      <c r="B1515" t="s">
        <v>1377</v>
      </c>
    </row>
    <row r="1516" spans="1:3">
      <c r="A1516" s="36">
        <v>20180429388</v>
      </c>
      <c r="B1516" t="s">
        <v>2096</v>
      </c>
    </row>
    <row r="1517" spans="1:3">
      <c r="A1517" s="36">
        <v>20345836404</v>
      </c>
      <c r="B1517" t="s">
        <v>464</v>
      </c>
      <c r="C1517" s="35" t="s">
        <v>79</v>
      </c>
    </row>
    <row r="1518" spans="1:3">
      <c r="A1518" s="36">
        <v>4457124</v>
      </c>
      <c r="B1518" t="s">
        <v>1378</v>
      </c>
    </row>
    <row r="1519" spans="1:3">
      <c r="A1519" s="36">
        <v>26952433</v>
      </c>
      <c r="B1519" t="s">
        <v>1379</v>
      </c>
    </row>
    <row r="1520" spans="1:3">
      <c r="A1520" s="36">
        <v>20253990903</v>
      </c>
      <c r="B1520" t="s">
        <v>2345</v>
      </c>
      <c r="C1520" s="35" t="s">
        <v>2412</v>
      </c>
    </row>
    <row r="1521" spans="1:3">
      <c r="A1521" s="36">
        <v>22411136</v>
      </c>
      <c r="B1521" t="s">
        <v>1921</v>
      </c>
    </row>
    <row r="1522" spans="1:3">
      <c r="A1522" s="36">
        <v>24583858</v>
      </c>
      <c r="B1522" t="s">
        <v>1380</v>
      </c>
    </row>
    <row r="1523" spans="1:3">
      <c r="A1523" s="36">
        <v>614406</v>
      </c>
      <c r="B1523" t="s">
        <v>1381</v>
      </c>
    </row>
    <row r="1524" spans="1:3">
      <c r="A1524" s="36">
        <v>3468671</v>
      </c>
      <c r="B1524" t="s">
        <v>1382</v>
      </c>
    </row>
    <row r="1525" spans="1:3">
      <c r="A1525" s="36">
        <v>2477260</v>
      </c>
      <c r="B1525" t="s">
        <v>1383</v>
      </c>
    </row>
    <row r="1526" spans="1:3">
      <c r="A1526" s="36">
        <v>40393502</v>
      </c>
      <c r="B1526" t="s">
        <v>1922</v>
      </c>
    </row>
    <row r="1527" spans="1:3">
      <c r="A1527" s="36">
        <v>1270950</v>
      </c>
      <c r="B1527" t="s">
        <v>1384</v>
      </c>
    </row>
    <row r="1528" spans="1:3">
      <c r="A1528" s="36">
        <v>1270950</v>
      </c>
      <c r="B1528" t="s">
        <v>1384</v>
      </c>
    </row>
    <row r="1529" spans="1:3">
      <c r="A1529" s="36">
        <v>13904217</v>
      </c>
      <c r="B1529" t="s">
        <v>1385</v>
      </c>
    </row>
    <row r="1530" spans="1:3">
      <c r="A1530" s="36">
        <v>30716229552</v>
      </c>
      <c r="B1530" t="s">
        <v>2166</v>
      </c>
      <c r="C1530" s="35" t="s">
        <v>44</v>
      </c>
    </row>
    <row r="1531" spans="1:3">
      <c r="A1531" s="36">
        <v>30716229552</v>
      </c>
      <c r="B1531" t="s">
        <v>2166</v>
      </c>
      <c r="C1531" s="35" t="s">
        <v>44</v>
      </c>
    </row>
    <row r="1532" spans="1:3">
      <c r="A1532" s="36">
        <v>17856859</v>
      </c>
      <c r="B1532" t="s">
        <v>2118</v>
      </c>
    </row>
    <row r="1533" spans="1:3">
      <c r="A1533" s="36">
        <v>4138829</v>
      </c>
      <c r="B1533" t="s">
        <v>1386</v>
      </c>
    </row>
    <row r="1534" spans="1:3">
      <c r="A1534" s="36">
        <v>20392383</v>
      </c>
      <c r="B1534" t="s">
        <v>1387</v>
      </c>
    </row>
    <row r="1535" spans="1:3">
      <c r="A1535" s="36">
        <v>30643700952</v>
      </c>
      <c r="B1535" t="s">
        <v>2011</v>
      </c>
      <c r="C1535" s="35" t="s">
        <v>2359</v>
      </c>
    </row>
    <row r="1536" spans="1:3">
      <c r="A1536" s="36">
        <v>20932821851</v>
      </c>
      <c r="B1536" t="s">
        <v>465</v>
      </c>
      <c r="C1536" s="35" t="s">
        <v>79</v>
      </c>
    </row>
    <row r="1537" spans="1:3">
      <c r="A1537" s="36">
        <v>18604400</v>
      </c>
      <c r="B1537" t="s">
        <v>1388</v>
      </c>
    </row>
    <row r="1538" spans="1:3">
      <c r="A1538" s="36">
        <v>18604400</v>
      </c>
      <c r="B1538" t="s">
        <v>1388</v>
      </c>
    </row>
    <row r="1539" spans="1:3">
      <c r="A1539" s="36">
        <v>30712448586</v>
      </c>
      <c r="B1539" t="s">
        <v>1389</v>
      </c>
      <c r="C1539" s="35" t="s">
        <v>891</v>
      </c>
    </row>
    <row r="1540" spans="1:3">
      <c r="A1540" s="36">
        <v>34558213</v>
      </c>
      <c r="B1540" t="s">
        <v>1390</v>
      </c>
    </row>
    <row r="1541" spans="1:3">
      <c r="A1541" s="36">
        <v>410593</v>
      </c>
      <c r="B1541" t="s">
        <v>1391</v>
      </c>
    </row>
    <row r="1542" spans="1:3">
      <c r="A1542" s="36">
        <v>23084885029</v>
      </c>
      <c r="B1542" t="s">
        <v>466</v>
      </c>
    </row>
    <row r="1543" spans="1:3">
      <c r="A1543" s="36">
        <v>20263640862</v>
      </c>
      <c r="B1543" t="s">
        <v>2310</v>
      </c>
      <c r="C1543" s="35" t="s">
        <v>43</v>
      </c>
    </row>
    <row r="1544" spans="1:3">
      <c r="A1544" s="36">
        <v>30711561494</v>
      </c>
      <c r="B1544" t="s">
        <v>467</v>
      </c>
      <c r="C1544" s="35" t="s">
        <v>79</v>
      </c>
    </row>
    <row r="1545" spans="1:3">
      <c r="A1545" s="36">
        <v>26737427</v>
      </c>
      <c r="B1545" t="s">
        <v>1392</v>
      </c>
    </row>
    <row r="1546" spans="1:3">
      <c r="A1546" s="36">
        <v>26737027</v>
      </c>
      <c r="B1546" t="s">
        <v>1392</v>
      </c>
    </row>
    <row r="1547" spans="1:3">
      <c r="A1547" s="36">
        <v>35377683</v>
      </c>
      <c r="B1547" t="s">
        <v>1862</v>
      </c>
    </row>
    <row r="1548" spans="1:3">
      <c r="A1548" s="36">
        <v>5571317</v>
      </c>
      <c r="B1548" t="s">
        <v>1858</v>
      </c>
    </row>
    <row r="1549" spans="1:3">
      <c r="A1549" s="36">
        <v>25358801</v>
      </c>
      <c r="B1549" t="s">
        <v>2125</v>
      </c>
    </row>
    <row r="1550" spans="1:3">
      <c r="A1550" s="36">
        <v>20929183143</v>
      </c>
      <c r="B1550" t="s">
        <v>1831</v>
      </c>
      <c r="C1550" s="35" t="s">
        <v>79</v>
      </c>
    </row>
    <row r="1551" spans="1:3">
      <c r="A1551" s="36">
        <v>20929183143</v>
      </c>
      <c r="B1551" t="s">
        <v>1831</v>
      </c>
      <c r="C1551" s="35" t="s">
        <v>79</v>
      </c>
    </row>
    <row r="1552" spans="1:3">
      <c r="A1552" s="36">
        <v>18079051</v>
      </c>
      <c r="B1552" t="s">
        <v>1393</v>
      </c>
    </row>
    <row r="1553" spans="1:3">
      <c r="A1553" s="36">
        <v>13410087</v>
      </c>
      <c r="B1553" t="s">
        <v>1394</v>
      </c>
    </row>
    <row r="1554" spans="1:3">
      <c r="A1554" s="36">
        <v>27385671526</v>
      </c>
      <c r="B1554" t="s">
        <v>1395</v>
      </c>
      <c r="C1554" s="35" t="s">
        <v>2374</v>
      </c>
    </row>
    <row r="1555" spans="1:3">
      <c r="A1555" s="36">
        <v>27385671526</v>
      </c>
      <c r="B1555" t="s">
        <v>1395</v>
      </c>
      <c r="C1555" s="35" t="s">
        <v>1396</v>
      </c>
    </row>
    <row r="1556" spans="1:3">
      <c r="A1556" s="36">
        <v>30651861299</v>
      </c>
      <c r="B1556" t="s">
        <v>468</v>
      </c>
      <c r="C1556" s="35" t="s">
        <v>2359</v>
      </c>
    </row>
    <row r="1557" spans="1:3">
      <c r="A1557" s="36">
        <v>30657715383</v>
      </c>
      <c r="B1557" t="s">
        <v>2189</v>
      </c>
      <c r="C1557" s="35" t="s">
        <v>2367</v>
      </c>
    </row>
    <row r="1558" spans="1:3">
      <c r="A1558" s="36">
        <v>30657715383</v>
      </c>
      <c r="B1558" t="s">
        <v>2189</v>
      </c>
    </row>
    <row r="1559" spans="1:3">
      <c r="A1559" s="36">
        <v>5111618</v>
      </c>
      <c r="B1559" t="s">
        <v>1397</v>
      </c>
    </row>
    <row r="1560" spans="1:3">
      <c r="A1560" s="36">
        <v>30715589032</v>
      </c>
      <c r="B1560" t="s">
        <v>1398</v>
      </c>
      <c r="C1560" s="35" t="s">
        <v>2359</v>
      </c>
    </row>
    <row r="1561" spans="1:3">
      <c r="A1561" s="36">
        <v>11917509</v>
      </c>
      <c r="B1561" t="s">
        <v>1844</v>
      </c>
    </row>
    <row r="1562" spans="1:3">
      <c r="A1562" s="36">
        <v>26886990</v>
      </c>
      <c r="B1562" t="s">
        <v>1399</v>
      </c>
    </row>
    <row r="1563" spans="1:3">
      <c r="A1563" s="36">
        <v>4400588</v>
      </c>
      <c r="B1563" t="s">
        <v>1400</v>
      </c>
    </row>
    <row r="1564" spans="1:3">
      <c r="A1564" s="36">
        <v>20136601025</v>
      </c>
      <c r="B1564" t="s">
        <v>1401</v>
      </c>
      <c r="C1564" s="35" t="s">
        <v>79</v>
      </c>
    </row>
    <row r="1565" spans="1:3">
      <c r="A1565" s="36">
        <v>20075907320</v>
      </c>
      <c r="B1565" t="s">
        <v>1402</v>
      </c>
    </row>
    <row r="1566" spans="1:3">
      <c r="A1566" s="36">
        <v>27380155</v>
      </c>
      <c r="B1566" t="s">
        <v>2088</v>
      </c>
    </row>
    <row r="1567" spans="1:3">
      <c r="A1567" s="36">
        <v>17244648</v>
      </c>
      <c r="B1567" t="s">
        <v>1403</v>
      </c>
    </row>
    <row r="1568" spans="1:3">
      <c r="A1568" s="36">
        <v>17244648</v>
      </c>
      <c r="B1568" t="s">
        <v>1403</v>
      </c>
    </row>
    <row r="1569" spans="1:3">
      <c r="A1569" s="36">
        <v>30589621499</v>
      </c>
      <c r="B1569" t="s">
        <v>98</v>
      </c>
    </row>
    <row r="1570" spans="1:3">
      <c r="A1570" s="36">
        <v>27119876171</v>
      </c>
      <c r="B1570" t="s">
        <v>1404</v>
      </c>
      <c r="C1570" s="35" t="s">
        <v>796</v>
      </c>
    </row>
    <row r="1571" spans="1:3">
      <c r="A1571" s="36">
        <v>27119876171</v>
      </c>
      <c r="B1571" t="s">
        <v>1404</v>
      </c>
      <c r="C1571" s="35" t="s">
        <v>796</v>
      </c>
    </row>
    <row r="1572" spans="1:3">
      <c r="A1572" s="36">
        <v>27119876171</v>
      </c>
      <c r="B1572" t="s">
        <v>1404</v>
      </c>
    </row>
    <row r="1573" spans="1:3">
      <c r="A1573" s="36">
        <v>20120338529</v>
      </c>
      <c r="B1573" t="s">
        <v>469</v>
      </c>
    </row>
    <row r="1574" spans="1:3">
      <c r="A1574" s="36">
        <v>20299835260</v>
      </c>
      <c r="B1574" t="s">
        <v>2038</v>
      </c>
      <c r="C1574" s="35" t="s">
        <v>2359</v>
      </c>
    </row>
    <row r="1575" spans="1:3">
      <c r="A1575" s="36">
        <v>20299835260</v>
      </c>
      <c r="B1575" t="s">
        <v>2038</v>
      </c>
      <c r="C1575" s="35" t="s">
        <v>2359</v>
      </c>
    </row>
    <row r="1576" spans="1:3">
      <c r="A1576" s="36">
        <v>21763167</v>
      </c>
      <c r="B1576" t="s">
        <v>1405</v>
      </c>
    </row>
    <row r="1577" spans="1:3">
      <c r="A1577" s="36">
        <v>4256958</v>
      </c>
      <c r="B1577" t="s">
        <v>1406</v>
      </c>
    </row>
    <row r="1578" spans="1:3">
      <c r="A1578" s="36">
        <v>4247886</v>
      </c>
      <c r="B1578" t="s">
        <v>1406</v>
      </c>
    </row>
    <row r="1579" spans="1:3">
      <c r="A1579" s="36">
        <v>25568267</v>
      </c>
      <c r="B1579" t="s">
        <v>1854</v>
      </c>
    </row>
    <row r="1580" spans="1:3">
      <c r="A1580" s="36">
        <v>33708218699</v>
      </c>
      <c r="B1580" t="s">
        <v>2018</v>
      </c>
      <c r="C1580" s="35" t="s">
        <v>79</v>
      </c>
    </row>
    <row r="1581" spans="1:3">
      <c r="A1581" s="36">
        <v>33708218699</v>
      </c>
      <c r="B1581" t="s">
        <v>2018</v>
      </c>
      <c r="C1581" s="35" t="s">
        <v>79</v>
      </c>
    </row>
    <row r="1582" spans="1:3">
      <c r="A1582" s="36">
        <v>18654119</v>
      </c>
      <c r="B1582" t="s">
        <v>1407</v>
      </c>
    </row>
    <row r="1583" spans="1:3">
      <c r="A1583" s="36">
        <v>27117233745</v>
      </c>
      <c r="B1583" t="s">
        <v>2328</v>
      </c>
      <c r="C1583" s="35" t="s">
        <v>2448</v>
      </c>
    </row>
    <row r="1584" spans="1:3">
      <c r="A1584" s="36">
        <v>22532575</v>
      </c>
      <c r="B1584" t="s">
        <v>1408</v>
      </c>
    </row>
    <row r="1585" spans="1:3">
      <c r="A1585" s="36">
        <v>20638954</v>
      </c>
      <c r="B1585" t="s">
        <v>1409</v>
      </c>
    </row>
    <row r="1586" spans="1:3">
      <c r="A1586" s="36">
        <v>36401855</v>
      </c>
      <c r="B1586" t="s">
        <v>1875</v>
      </c>
    </row>
    <row r="1587" spans="1:3">
      <c r="A1587" s="36">
        <v>33708711999</v>
      </c>
      <c r="B1587" t="s">
        <v>2269</v>
      </c>
      <c r="C1587" s="35" t="s">
        <v>2360</v>
      </c>
    </row>
    <row r="1588" spans="1:3">
      <c r="A1588" s="36">
        <v>20607782</v>
      </c>
      <c r="B1588" t="s">
        <v>1410</v>
      </c>
    </row>
    <row r="1589" spans="1:3">
      <c r="A1589" s="36">
        <v>17983027</v>
      </c>
      <c r="B1589" t="s">
        <v>1411</v>
      </c>
    </row>
    <row r="1590" spans="1:3">
      <c r="A1590" s="36">
        <v>30450027</v>
      </c>
      <c r="B1590" t="s">
        <v>1411</v>
      </c>
    </row>
    <row r="1591" spans="1:3">
      <c r="A1591" s="36">
        <v>20182873277</v>
      </c>
      <c r="B1591" t="s">
        <v>470</v>
      </c>
      <c r="C1591" s="35" t="s">
        <v>2359</v>
      </c>
    </row>
    <row r="1592" spans="1:3">
      <c r="A1592" s="36">
        <v>20044258898</v>
      </c>
      <c r="B1592" t="s">
        <v>471</v>
      </c>
    </row>
    <row r="1593" spans="1:3">
      <c r="A1593" s="36">
        <v>30714579920</v>
      </c>
      <c r="B1593" t="s">
        <v>1412</v>
      </c>
      <c r="C1593" s="35" t="s">
        <v>79</v>
      </c>
    </row>
    <row r="1594" spans="1:3">
      <c r="A1594" s="36">
        <v>27251466756</v>
      </c>
      <c r="B1594" t="s">
        <v>1413</v>
      </c>
      <c r="C1594" s="35" t="s">
        <v>2375</v>
      </c>
    </row>
    <row r="1595" spans="1:3">
      <c r="A1595" s="36"/>
    </row>
    <row r="1596" spans="1:3">
      <c r="A1596" s="36">
        <v>93554866</v>
      </c>
      <c r="B1596" t="s">
        <v>1414</v>
      </c>
    </row>
    <row r="1597" spans="1:3">
      <c r="A1597" s="36">
        <v>93554866</v>
      </c>
      <c r="B1597" t="s">
        <v>1414</v>
      </c>
    </row>
    <row r="1598" spans="1:3">
      <c r="A1598" s="36">
        <v>21476295</v>
      </c>
      <c r="B1598" t="s">
        <v>1984</v>
      </c>
    </row>
    <row r="1599" spans="1:3">
      <c r="A1599" s="36">
        <v>25572827</v>
      </c>
      <c r="B1599" t="s">
        <v>1415</v>
      </c>
    </row>
    <row r="1600" spans="1:3">
      <c r="A1600" s="36">
        <v>382591</v>
      </c>
      <c r="B1600" t="s">
        <v>1918</v>
      </c>
    </row>
    <row r="1601" spans="1:3">
      <c r="A1601" s="36">
        <v>94210555</v>
      </c>
      <c r="B1601" t="s">
        <v>1918</v>
      </c>
    </row>
    <row r="1602" spans="1:3">
      <c r="A1602" s="36">
        <v>27101420391</v>
      </c>
      <c r="B1602" t="s">
        <v>472</v>
      </c>
      <c r="C1602" s="35" t="s">
        <v>2359</v>
      </c>
    </row>
    <row r="1603" spans="1:3">
      <c r="A1603" s="36">
        <v>38359093</v>
      </c>
      <c r="B1603" t="s">
        <v>1416</v>
      </c>
    </row>
    <row r="1604" spans="1:3">
      <c r="A1604" s="36">
        <v>36803648</v>
      </c>
      <c r="B1604" t="s">
        <v>1417</v>
      </c>
    </row>
    <row r="1605" spans="1:3">
      <c r="A1605" s="36">
        <v>26943029</v>
      </c>
      <c r="B1605" t="s">
        <v>1418</v>
      </c>
    </row>
    <row r="1606" spans="1:3">
      <c r="A1606" s="36">
        <v>996528</v>
      </c>
      <c r="B1606" t="s">
        <v>1981</v>
      </c>
    </row>
    <row r="1607" spans="1:3">
      <c r="A1607" s="36">
        <v>27228778937</v>
      </c>
      <c r="B1607" t="s">
        <v>473</v>
      </c>
    </row>
    <row r="1608" spans="1:3">
      <c r="A1608" s="36">
        <v>27228778937</v>
      </c>
      <c r="B1608" t="s">
        <v>473</v>
      </c>
    </row>
    <row r="1609" spans="1:3">
      <c r="A1609" s="36">
        <v>27228778937</v>
      </c>
      <c r="B1609" t="s">
        <v>1419</v>
      </c>
      <c r="C1609" s="35" t="s">
        <v>2359</v>
      </c>
    </row>
    <row r="1610" spans="1:3">
      <c r="A1610" s="36">
        <v>27228778937</v>
      </c>
      <c r="B1610" t="s">
        <v>1419</v>
      </c>
      <c r="C1610" s="35" t="s">
        <v>2359</v>
      </c>
    </row>
    <row r="1611" spans="1:3">
      <c r="A1611" s="36">
        <v>4828820</v>
      </c>
      <c r="B1611" t="s">
        <v>1420</v>
      </c>
    </row>
    <row r="1612" spans="1:3">
      <c r="A1612" s="36">
        <v>31591857</v>
      </c>
      <c r="B1612" t="s">
        <v>1941</v>
      </c>
    </row>
    <row r="1613" spans="1:3">
      <c r="A1613" s="36">
        <v>36727158</v>
      </c>
      <c r="B1613" t="s">
        <v>1421</v>
      </c>
    </row>
    <row r="1614" spans="1:3">
      <c r="A1614" s="36">
        <v>21675120</v>
      </c>
      <c r="B1614" t="s">
        <v>1931</v>
      </c>
    </row>
    <row r="1615" spans="1:3">
      <c r="A1615" s="36">
        <v>23834263</v>
      </c>
      <c r="B1615" t="s">
        <v>1846</v>
      </c>
    </row>
    <row r="1616" spans="1:3">
      <c r="A1616" s="36">
        <v>20202134700</v>
      </c>
      <c r="B1616" t="s">
        <v>474</v>
      </c>
      <c r="C1616" s="35" t="s">
        <v>2411</v>
      </c>
    </row>
    <row r="1617" spans="1:3">
      <c r="A1617" s="36">
        <v>20202134700</v>
      </c>
      <c r="B1617" t="s">
        <v>474</v>
      </c>
      <c r="C1617" s="35" t="s">
        <v>2411</v>
      </c>
    </row>
    <row r="1618" spans="1:3">
      <c r="A1618" s="36">
        <v>20202134700</v>
      </c>
      <c r="B1618" t="s">
        <v>474</v>
      </c>
    </row>
    <row r="1619" spans="1:3">
      <c r="A1619" s="36">
        <v>20044447437</v>
      </c>
      <c r="B1619" t="s">
        <v>475</v>
      </c>
      <c r="C1619" s="35" t="s">
        <v>2359</v>
      </c>
    </row>
    <row r="1620" spans="1:3">
      <c r="A1620" s="36">
        <v>30707963065</v>
      </c>
      <c r="B1620" t="s">
        <v>476</v>
      </c>
    </row>
    <row r="1621" spans="1:3">
      <c r="A1621" s="36">
        <v>30715009826</v>
      </c>
      <c r="B1621" t="s">
        <v>477</v>
      </c>
    </row>
    <row r="1622" spans="1:3">
      <c r="A1622" s="36">
        <v>116755922</v>
      </c>
      <c r="B1622" t="s">
        <v>1422</v>
      </c>
    </row>
    <row r="1623" spans="1:3">
      <c r="A1623" s="36">
        <v>4417714</v>
      </c>
      <c r="B1623" t="s">
        <v>1423</v>
      </c>
    </row>
    <row r="1624" spans="1:3">
      <c r="A1624" s="36">
        <v>18530289</v>
      </c>
      <c r="B1624" t="s">
        <v>2081</v>
      </c>
    </row>
    <row r="1625" spans="1:3">
      <c r="A1625" s="36">
        <v>14247119</v>
      </c>
      <c r="B1625" t="s">
        <v>1424</v>
      </c>
    </row>
    <row r="1626" spans="1:3">
      <c r="A1626" s="36">
        <v>11598698</v>
      </c>
      <c r="B1626" t="s">
        <v>1425</v>
      </c>
    </row>
    <row r="1627" spans="1:3">
      <c r="A1627" s="36">
        <v>92523209</v>
      </c>
      <c r="B1627" t="s">
        <v>1426</v>
      </c>
    </row>
    <row r="1628" spans="1:3">
      <c r="A1628" s="36">
        <v>30568557464</v>
      </c>
      <c r="B1628" t="s">
        <v>478</v>
      </c>
    </row>
    <row r="1629" spans="1:3">
      <c r="A1629" s="36">
        <v>4159809</v>
      </c>
      <c r="B1629" t="s">
        <v>1427</v>
      </c>
    </row>
    <row r="1630" spans="1:3">
      <c r="A1630" s="36">
        <v>17856584</v>
      </c>
      <c r="B1630" t="s">
        <v>1428</v>
      </c>
    </row>
    <row r="1631" spans="1:3">
      <c r="A1631" s="36">
        <v>27256001980</v>
      </c>
      <c r="B1631" t="s">
        <v>2060</v>
      </c>
    </row>
    <row r="1632" spans="1:3">
      <c r="A1632" s="36">
        <v>31494409</v>
      </c>
      <c r="B1632" t="s">
        <v>1429</v>
      </c>
    </row>
    <row r="1633" spans="1:3">
      <c r="A1633" s="36">
        <v>3696852</v>
      </c>
      <c r="B1633" t="s">
        <v>1430</v>
      </c>
    </row>
    <row r="1634" spans="1:3">
      <c r="A1634" s="36">
        <v>30436798</v>
      </c>
      <c r="B1634" t="s">
        <v>1431</v>
      </c>
    </row>
    <row r="1635" spans="1:3">
      <c r="A1635" s="36">
        <v>94468886</v>
      </c>
      <c r="B1635" t="s">
        <v>1927</v>
      </c>
    </row>
    <row r="1636" spans="1:3">
      <c r="A1636" s="36">
        <v>26836051</v>
      </c>
      <c r="B1636" t="s">
        <v>1432</v>
      </c>
    </row>
    <row r="1637" spans="1:3">
      <c r="A1637" s="36">
        <v>10022314</v>
      </c>
      <c r="B1637" t="s">
        <v>1433</v>
      </c>
    </row>
    <row r="1638" spans="1:3">
      <c r="A1638" s="36">
        <v>34597872</v>
      </c>
      <c r="B1638" t="s">
        <v>1434</v>
      </c>
    </row>
    <row r="1639" spans="1:3">
      <c r="A1639" s="36">
        <v>34597872</v>
      </c>
      <c r="B1639" t="s">
        <v>1434</v>
      </c>
    </row>
    <row r="1640" spans="1:3">
      <c r="A1640" s="36">
        <v>22909573</v>
      </c>
      <c r="B1640" t="s">
        <v>1435</v>
      </c>
    </row>
    <row r="1641" spans="1:3">
      <c r="A1641" s="36">
        <v>20217165114</v>
      </c>
      <c r="B1641" t="s">
        <v>479</v>
      </c>
      <c r="C1641" s="35" t="s">
        <v>44</v>
      </c>
    </row>
    <row r="1642" spans="1:3">
      <c r="A1642" s="36">
        <v>4543396</v>
      </c>
      <c r="B1642" t="s">
        <v>1436</v>
      </c>
    </row>
    <row r="1643" spans="1:3">
      <c r="A1643" s="36">
        <v>28079829</v>
      </c>
      <c r="B1643" t="s">
        <v>1437</v>
      </c>
    </row>
    <row r="1644" spans="1:3">
      <c r="A1644" s="36">
        <v>29091370</v>
      </c>
      <c r="B1644" t="s">
        <v>1438</v>
      </c>
    </row>
    <row r="1645" spans="1:3">
      <c r="A1645" s="36">
        <v>20249160</v>
      </c>
      <c r="B1645" t="s">
        <v>1439</v>
      </c>
    </row>
    <row r="1646" spans="1:3">
      <c r="A1646" s="36">
        <v>5574861</v>
      </c>
      <c r="B1646" t="s">
        <v>1440</v>
      </c>
    </row>
    <row r="1647" spans="1:3">
      <c r="A1647" s="36">
        <v>699818</v>
      </c>
      <c r="B1647" t="s">
        <v>1889</v>
      </c>
    </row>
    <row r="1648" spans="1:3">
      <c r="A1648" s="36">
        <v>30716145618</v>
      </c>
      <c r="B1648" t="s">
        <v>1957</v>
      </c>
      <c r="C1648" s="35" t="s">
        <v>79</v>
      </c>
    </row>
    <row r="1649" spans="1:3">
      <c r="A1649" s="36">
        <v>27232408737</v>
      </c>
      <c r="B1649" t="s">
        <v>1441</v>
      </c>
      <c r="C1649" s="35" t="s">
        <v>891</v>
      </c>
    </row>
    <row r="1650" spans="1:3">
      <c r="A1650" s="36">
        <v>30705740670</v>
      </c>
      <c r="B1650" t="s">
        <v>1442</v>
      </c>
      <c r="C1650" s="35" t="s">
        <v>44</v>
      </c>
    </row>
    <row r="1651" spans="1:3">
      <c r="A1651" s="36">
        <v>30705740670</v>
      </c>
      <c r="B1651" t="s">
        <v>1442</v>
      </c>
      <c r="C1651" s="35" t="s">
        <v>44</v>
      </c>
    </row>
    <row r="1652" spans="1:3">
      <c r="A1652" s="36">
        <v>30677807012</v>
      </c>
      <c r="B1652" t="s">
        <v>1839</v>
      </c>
    </row>
    <row r="1653" spans="1:3">
      <c r="A1653" s="36">
        <v>30715618016</v>
      </c>
      <c r="B1653" t="s">
        <v>1443</v>
      </c>
    </row>
    <row r="1654" spans="1:3">
      <c r="A1654" s="36">
        <v>30710361351</v>
      </c>
      <c r="B1654" t="s">
        <v>1899</v>
      </c>
      <c r="C1654" s="35" t="s">
        <v>79</v>
      </c>
    </row>
    <row r="1655" spans="1:3">
      <c r="A1655" s="36">
        <v>25865824</v>
      </c>
      <c r="B1655" t="s">
        <v>1444</v>
      </c>
    </row>
    <row r="1656" spans="1:3">
      <c r="A1656" s="36">
        <v>30612865333</v>
      </c>
      <c r="B1656" t="s">
        <v>480</v>
      </c>
    </row>
    <row r="1657" spans="1:3">
      <c r="A1657" s="36">
        <v>20160559900</v>
      </c>
      <c r="B1657" t="s">
        <v>1980</v>
      </c>
    </row>
    <row r="1658" spans="1:3">
      <c r="A1658" s="36">
        <v>51221785</v>
      </c>
      <c r="B1658" t="s">
        <v>1445</v>
      </c>
    </row>
    <row r="1659" spans="1:3">
      <c r="A1659" s="36">
        <v>20181517957</v>
      </c>
      <c r="B1659" t="s">
        <v>2218</v>
      </c>
      <c r="C1659" s="35" t="s">
        <v>2359</v>
      </c>
    </row>
    <row r="1660" spans="1:3">
      <c r="A1660" s="36">
        <v>20181517957</v>
      </c>
      <c r="B1660" t="s">
        <v>2218</v>
      </c>
    </row>
    <row r="1661" spans="1:3">
      <c r="A1661" s="36">
        <v>10373067</v>
      </c>
      <c r="B1661" t="s">
        <v>2051</v>
      </c>
    </row>
    <row r="1662" spans="1:3">
      <c r="A1662" s="36">
        <v>30709982326</v>
      </c>
      <c r="B1662" t="s">
        <v>481</v>
      </c>
    </row>
    <row r="1663" spans="1:3">
      <c r="A1663" s="36">
        <v>30707518541</v>
      </c>
      <c r="B1663" t="s">
        <v>482</v>
      </c>
    </row>
    <row r="1664" spans="1:3">
      <c r="A1664" s="36">
        <v>30711731217</v>
      </c>
      <c r="B1664" t="s">
        <v>483</v>
      </c>
      <c r="C1664" s="35" t="s">
        <v>781</v>
      </c>
    </row>
    <row r="1665" spans="1:3">
      <c r="A1665" s="36">
        <v>20131581298</v>
      </c>
      <c r="B1665" t="s">
        <v>484</v>
      </c>
      <c r="C1665" s="35" t="s">
        <v>79</v>
      </c>
    </row>
    <row r="1666" spans="1:3">
      <c r="A1666" s="36">
        <v>20076573949</v>
      </c>
      <c r="B1666" t="s">
        <v>2278</v>
      </c>
      <c r="C1666" s="35" t="s">
        <v>804</v>
      </c>
    </row>
    <row r="1667" spans="1:3">
      <c r="A1667" s="36">
        <v>30715672290</v>
      </c>
      <c r="B1667" t="s">
        <v>485</v>
      </c>
      <c r="C1667" s="35" t="s">
        <v>2359</v>
      </c>
    </row>
    <row r="1668" spans="1:3">
      <c r="A1668" s="36">
        <v>30707042679</v>
      </c>
      <c r="B1668" t="s">
        <v>486</v>
      </c>
      <c r="C1668" s="35" t="s">
        <v>2359</v>
      </c>
    </row>
    <row r="1669" spans="1:3">
      <c r="A1669" s="36">
        <v>30707042679</v>
      </c>
      <c r="B1669" t="s">
        <v>486</v>
      </c>
      <c r="C1669" s="35" t="s">
        <v>2359</v>
      </c>
    </row>
    <row r="1670" spans="1:3">
      <c r="A1670" s="36">
        <v>30707042679</v>
      </c>
      <c r="B1670" t="s">
        <v>486</v>
      </c>
      <c r="C1670" s="35" t="s">
        <v>2359</v>
      </c>
    </row>
    <row r="1671" spans="1:3">
      <c r="A1671" s="36">
        <v>30707042679</v>
      </c>
      <c r="B1671" t="s">
        <v>486</v>
      </c>
      <c r="C1671" s="35" t="s">
        <v>2359</v>
      </c>
    </row>
    <row r="1672" spans="1:3">
      <c r="A1672" s="36">
        <v>30707042679</v>
      </c>
      <c r="B1672" t="s">
        <v>486</v>
      </c>
      <c r="C1672" s="35" t="s">
        <v>2359</v>
      </c>
    </row>
    <row r="1673" spans="1:3">
      <c r="A1673" s="36">
        <v>30707042679</v>
      </c>
      <c r="B1673" t="s">
        <v>486</v>
      </c>
      <c r="C1673" s="35" t="s">
        <v>2359</v>
      </c>
    </row>
    <row r="1674" spans="1:3">
      <c r="A1674" s="36">
        <v>30710912579</v>
      </c>
      <c r="B1674" t="s">
        <v>1446</v>
      </c>
      <c r="C1674" s="35" t="s">
        <v>2359</v>
      </c>
    </row>
    <row r="1675" spans="1:3">
      <c r="A1675" s="36">
        <v>30658035033</v>
      </c>
      <c r="B1675" t="s">
        <v>2100</v>
      </c>
    </row>
    <row r="1676" spans="1:3">
      <c r="A1676" s="36">
        <v>30546771314</v>
      </c>
      <c r="B1676" t="s">
        <v>487</v>
      </c>
    </row>
    <row r="1677" spans="1:3">
      <c r="A1677" s="36">
        <v>30546771314</v>
      </c>
      <c r="B1677" t="s">
        <v>1447</v>
      </c>
      <c r="C1677" s="35" t="s">
        <v>796</v>
      </c>
    </row>
    <row r="1678" spans="1:3">
      <c r="A1678" s="36">
        <v>30546771314</v>
      </c>
      <c r="B1678" t="s">
        <v>1447</v>
      </c>
      <c r="C1678" s="35" t="s">
        <v>796</v>
      </c>
    </row>
    <row r="1679" spans="1:3">
      <c r="A1679" s="36">
        <v>20229907523</v>
      </c>
      <c r="B1679" t="s">
        <v>488</v>
      </c>
    </row>
    <row r="1680" spans="1:3">
      <c r="A1680" s="36">
        <v>42930825</v>
      </c>
      <c r="B1680" t="s">
        <v>1448</v>
      </c>
    </row>
    <row r="1681" spans="1:3">
      <c r="A1681" s="36">
        <v>30713669004</v>
      </c>
      <c r="B1681" t="s">
        <v>1449</v>
      </c>
    </row>
    <row r="1682" spans="1:3">
      <c r="A1682" s="36">
        <v>4059947</v>
      </c>
      <c r="B1682" t="s">
        <v>1450</v>
      </c>
    </row>
    <row r="1683" spans="1:3">
      <c r="A1683" s="36">
        <v>30714352535</v>
      </c>
      <c r="B1683" t="s">
        <v>489</v>
      </c>
    </row>
    <row r="1684" spans="1:3">
      <c r="A1684" s="36">
        <v>30709319929</v>
      </c>
      <c r="B1684" t="s">
        <v>99</v>
      </c>
    </row>
    <row r="1685" spans="1:3">
      <c r="A1685" s="36">
        <v>20077901370</v>
      </c>
      <c r="B1685" t="s">
        <v>490</v>
      </c>
      <c r="C1685" s="35" t="s">
        <v>2359</v>
      </c>
    </row>
    <row r="1686" spans="1:3">
      <c r="A1686" s="36">
        <v>30712800700</v>
      </c>
      <c r="B1686" t="s">
        <v>491</v>
      </c>
    </row>
    <row r="1687" spans="1:3">
      <c r="A1687" s="36">
        <v>30715686054</v>
      </c>
      <c r="B1687" t="s">
        <v>492</v>
      </c>
    </row>
    <row r="1688" spans="1:3">
      <c r="A1688" s="36">
        <v>30710816049</v>
      </c>
      <c r="B1688" t="s">
        <v>493</v>
      </c>
      <c r="C1688" s="35" t="s">
        <v>2359</v>
      </c>
    </row>
    <row r="1689" spans="1:3">
      <c r="A1689" s="36">
        <v>30710816049</v>
      </c>
      <c r="B1689" t="s">
        <v>493</v>
      </c>
      <c r="C1689" s="35" t="s">
        <v>2359</v>
      </c>
    </row>
    <row r="1690" spans="1:3">
      <c r="A1690" s="36">
        <v>30710816049</v>
      </c>
      <c r="B1690" t="s">
        <v>493</v>
      </c>
      <c r="C1690" s="35" t="s">
        <v>2359</v>
      </c>
    </row>
    <row r="1691" spans="1:3">
      <c r="A1691" s="36">
        <v>30710816049</v>
      </c>
      <c r="B1691" t="s">
        <v>493</v>
      </c>
      <c r="C1691" s="35" t="s">
        <v>2359</v>
      </c>
    </row>
    <row r="1692" spans="1:3">
      <c r="A1692" s="36">
        <v>30710816049</v>
      </c>
      <c r="B1692" t="s">
        <v>493</v>
      </c>
      <c r="C1692" s="35" t="s">
        <v>2359</v>
      </c>
    </row>
    <row r="1693" spans="1:3">
      <c r="A1693" s="36">
        <v>30710816049</v>
      </c>
      <c r="B1693" t="s">
        <v>493</v>
      </c>
      <c r="C1693" s="35" t="s">
        <v>2359</v>
      </c>
    </row>
    <row r="1694" spans="1:3">
      <c r="A1694" s="36">
        <v>27119872311</v>
      </c>
      <c r="B1694" t="s">
        <v>494</v>
      </c>
    </row>
    <row r="1695" spans="1:3">
      <c r="A1695" s="36">
        <v>94313295</v>
      </c>
      <c r="B1695" t="s">
        <v>1451</v>
      </c>
    </row>
    <row r="1696" spans="1:3">
      <c r="A1696" s="36">
        <v>27144787019</v>
      </c>
      <c r="B1696" t="s">
        <v>495</v>
      </c>
    </row>
    <row r="1697" spans="1:3">
      <c r="A1697" s="36">
        <v>27203051234</v>
      </c>
      <c r="B1697" t="s">
        <v>1452</v>
      </c>
    </row>
    <row r="1698" spans="1:3">
      <c r="A1698" s="36">
        <v>23376578</v>
      </c>
      <c r="B1698" t="s">
        <v>1866</v>
      </c>
    </row>
    <row r="1699" spans="1:3">
      <c r="A1699" s="36">
        <v>8533265</v>
      </c>
      <c r="B1699" t="s">
        <v>1453</v>
      </c>
    </row>
    <row r="1700" spans="1:3">
      <c r="A1700" s="36">
        <v>10398058</v>
      </c>
      <c r="B1700" t="s">
        <v>1454</v>
      </c>
    </row>
    <row r="1701" spans="1:3">
      <c r="A1701" s="36">
        <v>20117741398</v>
      </c>
      <c r="B1701" t="s">
        <v>496</v>
      </c>
    </row>
    <row r="1702" spans="1:3">
      <c r="A1702" s="36">
        <v>30711296987</v>
      </c>
      <c r="B1702" t="s">
        <v>2212</v>
      </c>
      <c r="C1702" s="35" t="s">
        <v>2367</v>
      </c>
    </row>
    <row r="1703" spans="1:3">
      <c r="A1703" s="36">
        <v>30711296987</v>
      </c>
      <c r="B1703" t="s">
        <v>2212</v>
      </c>
      <c r="C1703" s="35" t="s">
        <v>2367</v>
      </c>
    </row>
    <row r="1704" spans="1:3">
      <c r="A1704" s="36">
        <v>30707661492</v>
      </c>
      <c r="B1704" t="s">
        <v>497</v>
      </c>
    </row>
    <row r="1705" spans="1:3">
      <c r="A1705" s="36">
        <v>30703088534</v>
      </c>
      <c r="B1705" t="s">
        <v>498</v>
      </c>
      <c r="C1705" s="35" t="s">
        <v>2376</v>
      </c>
    </row>
    <row r="1706" spans="1:3">
      <c r="A1706" s="36">
        <v>30703088534</v>
      </c>
      <c r="B1706" t="s">
        <v>498</v>
      </c>
      <c r="C1706" s="35" t="s">
        <v>1455</v>
      </c>
    </row>
    <row r="1707" spans="1:3">
      <c r="A1707" s="36">
        <v>30716425165</v>
      </c>
      <c r="B1707" t="s">
        <v>1456</v>
      </c>
      <c r="C1707" s="35" t="s">
        <v>79</v>
      </c>
    </row>
    <row r="1708" spans="1:3">
      <c r="A1708" s="36">
        <v>30707370609</v>
      </c>
      <c r="B1708" t="s">
        <v>2231</v>
      </c>
      <c r="C1708" s="35" t="s">
        <v>2411</v>
      </c>
    </row>
    <row r="1709" spans="1:3">
      <c r="A1709" s="36">
        <v>30707370609</v>
      </c>
      <c r="B1709" t="s">
        <v>2231</v>
      </c>
    </row>
    <row r="1710" spans="1:3">
      <c r="A1710" s="36">
        <v>31846511</v>
      </c>
      <c r="B1710" t="s">
        <v>1457</v>
      </c>
    </row>
    <row r="1711" spans="1:3">
      <c r="A1711" s="36">
        <v>6409020</v>
      </c>
      <c r="B1711" t="s">
        <v>1458</v>
      </c>
    </row>
    <row r="1712" spans="1:3">
      <c r="A1712" s="36">
        <v>20142287839</v>
      </c>
      <c r="B1712" t="s">
        <v>1459</v>
      </c>
    </row>
    <row r="1713" spans="1:3">
      <c r="A1713" s="36">
        <v>30679139122</v>
      </c>
      <c r="B1713" t="s">
        <v>499</v>
      </c>
      <c r="C1713" s="35" t="s">
        <v>2359</v>
      </c>
    </row>
    <row r="1714" spans="1:3">
      <c r="A1714" s="36">
        <v>40871852</v>
      </c>
      <c r="B1714" t="s">
        <v>1460</v>
      </c>
    </row>
    <row r="1715" spans="1:3">
      <c r="A1715" s="36">
        <v>30549180783</v>
      </c>
      <c r="B1715" t="s">
        <v>500</v>
      </c>
    </row>
    <row r="1716" spans="1:3">
      <c r="A1716" s="36">
        <v>30520045798</v>
      </c>
      <c r="B1716" t="s">
        <v>501</v>
      </c>
    </row>
    <row r="1717" spans="1:3">
      <c r="A1717" s="36">
        <v>30711350213</v>
      </c>
      <c r="B1717" t="s">
        <v>1461</v>
      </c>
      <c r="C1717" s="35" t="s">
        <v>2359</v>
      </c>
    </row>
    <row r="1718" spans="1:3">
      <c r="A1718" s="36">
        <v>30693066022</v>
      </c>
      <c r="B1718" t="s">
        <v>2227</v>
      </c>
      <c r="C1718" s="35" t="s">
        <v>79</v>
      </c>
    </row>
    <row r="1719" spans="1:3">
      <c r="A1719" s="36">
        <v>30693066022</v>
      </c>
      <c r="B1719" t="s">
        <v>2227</v>
      </c>
    </row>
    <row r="1720" spans="1:3">
      <c r="A1720" s="36">
        <v>30709016012</v>
      </c>
      <c r="B1720" t="s">
        <v>502</v>
      </c>
    </row>
    <row r="1721" spans="1:3">
      <c r="A1721" s="36">
        <v>30709016012</v>
      </c>
      <c r="B1721" t="s">
        <v>1462</v>
      </c>
      <c r="C1721" s="35" t="s">
        <v>796</v>
      </c>
    </row>
    <row r="1722" spans="1:3">
      <c r="A1722" s="36">
        <v>30709016012</v>
      </c>
      <c r="B1722" t="s">
        <v>1462</v>
      </c>
      <c r="C1722" s="35" t="s">
        <v>796</v>
      </c>
    </row>
    <row r="1723" spans="1:3">
      <c r="A1723" s="36">
        <v>30708469986</v>
      </c>
      <c r="B1723" t="s">
        <v>503</v>
      </c>
      <c r="C1723" s="35" t="s">
        <v>2359</v>
      </c>
    </row>
    <row r="1724" spans="1:3">
      <c r="A1724" s="36">
        <v>9964789</v>
      </c>
      <c r="B1724" t="s">
        <v>2067</v>
      </c>
    </row>
    <row r="1725" spans="1:3">
      <c r="A1725" s="36">
        <v>27443612705</v>
      </c>
      <c r="B1725" t="s">
        <v>2234</v>
      </c>
      <c r="C1725" s="35" t="s">
        <v>2381</v>
      </c>
    </row>
    <row r="1726" spans="1:3">
      <c r="A1726" s="36"/>
    </row>
    <row r="1727" spans="1:3">
      <c r="A1727" s="36">
        <v>27443612713</v>
      </c>
      <c r="B1727" t="s">
        <v>2306</v>
      </c>
      <c r="C1727" s="35" t="s">
        <v>90</v>
      </c>
    </row>
    <row r="1728" spans="1:3">
      <c r="A1728" s="36">
        <v>20317488476</v>
      </c>
      <c r="B1728" t="s">
        <v>1463</v>
      </c>
      <c r="C1728" s="35" t="s">
        <v>2377</v>
      </c>
    </row>
    <row r="1729" spans="1:3">
      <c r="A1729" s="36">
        <v>20317488476</v>
      </c>
      <c r="B1729" t="s">
        <v>1463</v>
      </c>
      <c r="C1729" s="35" t="s">
        <v>2377</v>
      </c>
    </row>
    <row r="1730" spans="1:3">
      <c r="A1730" s="36">
        <v>20317488476</v>
      </c>
      <c r="B1730" t="s">
        <v>1463</v>
      </c>
      <c r="C1730" s="35" t="s">
        <v>2377</v>
      </c>
    </row>
    <row r="1731" spans="1:3">
      <c r="A1731" s="36">
        <v>20317488476</v>
      </c>
      <c r="B1731" t="s">
        <v>1463</v>
      </c>
      <c r="C1731" s="35" t="s">
        <v>2377</v>
      </c>
    </row>
    <row r="1732" spans="1:3">
      <c r="A1732" s="36">
        <v>20317488476</v>
      </c>
      <c r="B1732" t="s">
        <v>1463</v>
      </c>
      <c r="C1732" s="35" t="s">
        <v>2401</v>
      </c>
    </row>
    <row r="1733" spans="1:3">
      <c r="A1733" s="36">
        <v>20317488476</v>
      </c>
      <c r="B1733" t="s">
        <v>1463</v>
      </c>
      <c r="C1733" s="35" t="s">
        <v>2401</v>
      </c>
    </row>
    <row r="1734" spans="1:3">
      <c r="A1734" s="36">
        <v>20171635285</v>
      </c>
      <c r="B1734" t="s">
        <v>504</v>
      </c>
    </row>
    <row r="1735" spans="1:3">
      <c r="A1735" s="36">
        <v>30517306866</v>
      </c>
      <c r="B1735" t="s">
        <v>505</v>
      </c>
      <c r="C1735" s="35" t="s">
        <v>804</v>
      </c>
    </row>
    <row r="1736" spans="1:3">
      <c r="A1736" s="36">
        <v>12394145</v>
      </c>
      <c r="B1736" t="s">
        <v>1878</v>
      </c>
    </row>
    <row r="1737" spans="1:3">
      <c r="A1737" s="36">
        <v>12791306</v>
      </c>
      <c r="B1737" t="s">
        <v>2119</v>
      </c>
    </row>
    <row r="1738" spans="1:3">
      <c r="A1738" s="36">
        <v>20392730444</v>
      </c>
      <c r="B1738" t="s">
        <v>2213</v>
      </c>
      <c r="C1738" s="35" t="s">
        <v>781</v>
      </c>
    </row>
    <row r="1739" spans="1:3">
      <c r="A1739" s="36">
        <v>20392730444</v>
      </c>
      <c r="B1739" t="s">
        <v>2213</v>
      </c>
    </row>
    <row r="1740" spans="1:3">
      <c r="A1740" s="36">
        <v>20265153209</v>
      </c>
      <c r="B1740" t="s">
        <v>1464</v>
      </c>
    </row>
    <row r="1741" spans="1:3">
      <c r="A1741" s="36">
        <v>13800087</v>
      </c>
      <c r="B1741" t="s">
        <v>1465</v>
      </c>
    </row>
    <row r="1742" spans="1:3">
      <c r="A1742" s="36">
        <v>27101205733</v>
      </c>
      <c r="B1742" t="s">
        <v>506</v>
      </c>
      <c r="C1742" s="35" t="s">
        <v>79</v>
      </c>
    </row>
    <row r="1743" spans="1:3">
      <c r="A1743" s="36">
        <v>27101205733</v>
      </c>
      <c r="B1743" t="s">
        <v>506</v>
      </c>
    </row>
    <row r="1744" spans="1:3">
      <c r="A1744" s="36">
        <v>27101205733</v>
      </c>
      <c r="B1744" t="s">
        <v>506</v>
      </c>
    </row>
    <row r="1745" spans="1:3">
      <c r="A1745" s="36">
        <v>30685116657</v>
      </c>
      <c r="B1745" t="s">
        <v>507</v>
      </c>
      <c r="C1745" s="35" t="s">
        <v>44</v>
      </c>
    </row>
    <row r="1746" spans="1:3">
      <c r="A1746" s="36">
        <v>30685116657</v>
      </c>
      <c r="B1746" t="s">
        <v>507</v>
      </c>
      <c r="C1746" s="35" t="s">
        <v>44</v>
      </c>
    </row>
    <row r="1747" spans="1:3">
      <c r="A1747" s="36">
        <v>10401713</v>
      </c>
      <c r="B1747" t="s">
        <v>1466</v>
      </c>
    </row>
    <row r="1748" spans="1:3">
      <c r="A1748" s="36">
        <v>30715224468</v>
      </c>
      <c r="B1748" t="s">
        <v>2103</v>
      </c>
      <c r="C1748" s="35" t="s">
        <v>2359</v>
      </c>
    </row>
    <row r="1749" spans="1:3">
      <c r="A1749" s="36">
        <v>30715224468</v>
      </c>
      <c r="B1749" t="s">
        <v>2103</v>
      </c>
      <c r="C1749" s="35" t="s">
        <v>2359</v>
      </c>
    </row>
    <row r="1750" spans="1:3">
      <c r="A1750" s="36">
        <v>30715772783</v>
      </c>
      <c r="B1750" t="s">
        <v>508</v>
      </c>
      <c r="C1750" s="35" t="s">
        <v>2359</v>
      </c>
    </row>
    <row r="1751" spans="1:3">
      <c r="A1751" s="36">
        <v>20120766598</v>
      </c>
      <c r="B1751" t="s">
        <v>509</v>
      </c>
    </row>
    <row r="1752" spans="1:3">
      <c r="A1752" s="36">
        <v>22040665</v>
      </c>
      <c r="B1752" t="s">
        <v>1467</v>
      </c>
    </row>
    <row r="1753" spans="1:3">
      <c r="A1753" s="36">
        <v>13614301</v>
      </c>
      <c r="B1753" t="s">
        <v>1468</v>
      </c>
    </row>
    <row r="1754" spans="1:3">
      <c r="A1754" s="36">
        <v>20269013746</v>
      </c>
      <c r="B1754" t="s">
        <v>510</v>
      </c>
      <c r="C1754" s="35" t="s">
        <v>2359</v>
      </c>
    </row>
    <row r="1755" spans="1:3">
      <c r="A1755" s="36">
        <v>20291935401</v>
      </c>
      <c r="B1755" t="s">
        <v>1469</v>
      </c>
      <c r="C1755" s="35" t="s">
        <v>2359</v>
      </c>
    </row>
    <row r="1756" spans="1:3">
      <c r="A1756" s="36">
        <v>20291935401</v>
      </c>
      <c r="B1756" t="s">
        <v>1469</v>
      </c>
      <c r="C1756" s="35" t="s">
        <v>2359</v>
      </c>
    </row>
    <row r="1757" spans="1:3">
      <c r="A1757" s="36">
        <v>20291935401</v>
      </c>
      <c r="B1757" t="s">
        <v>511</v>
      </c>
      <c r="C1757" s="35" t="s">
        <v>2359</v>
      </c>
    </row>
    <row r="1758" spans="1:3">
      <c r="A1758" s="36">
        <v>30500858628</v>
      </c>
      <c r="B1758" t="s">
        <v>100</v>
      </c>
    </row>
    <row r="1759" spans="1:3">
      <c r="A1759" s="36">
        <v>30714088862</v>
      </c>
      <c r="B1759" t="s">
        <v>1470</v>
      </c>
    </row>
    <row r="1760" spans="1:3">
      <c r="A1760" s="36">
        <v>4703895</v>
      </c>
      <c r="B1760" t="s">
        <v>1471</v>
      </c>
    </row>
    <row r="1761" spans="1:3">
      <c r="A1761" s="36">
        <v>3697287</v>
      </c>
      <c r="B1761" t="s">
        <v>1472</v>
      </c>
    </row>
    <row r="1762" spans="1:3">
      <c r="A1762" s="36">
        <v>30708150351</v>
      </c>
      <c r="B1762" t="s">
        <v>2021</v>
      </c>
      <c r="C1762" s="35" t="s">
        <v>46</v>
      </c>
    </row>
    <row r="1763" spans="1:3">
      <c r="A1763" s="36">
        <v>30715349090</v>
      </c>
      <c r="B1763" t="s">
        <v>2338</v>
      </c>
      <c r="C1763" s="35" t="s">
        <v>44</v>
      </c>
    </row>
    <row r="1764" spans="1:3">
      <c r="A1764" s="36">
        <v>20081262897</v>
      </c>
      <c r="B1764" t="s">
        <v>512</v>
      </c>
      <c r="C1764" s="35" t="s">
        <v>2359</v>
      </c>
    </row>
    <row r="1765" spans="1:3">
      <c r="A1765" s="36">
        <v>24699538</v>
      </c>
      <c r="B1765" t="s">
        <v>1985</v>
      </c>
    </row>
    <row r="1766" spans="1:3">
      <c r="A1766" s="36">
        <v>5783979</v>
      </c>
      <c r="B1766" t="s">
        <v>1473</v>
      </c>
    </row>
    <row r="1767" spans="1:3">
      <c r="A1767" s="36">
        <v>3993858</v>
      </c>
      <c r="B1767" t="s">
        <v>1474</v>
      </c>
    </row>
    <row r="1768" spans="1:3">
      <c r="A1768" s="36">
        <v>22138178</v>
      </c>
      <c r="B1768" t="s">
        <v>1475</v>
      </c>
    </row>
    <row r="1769" spans="1:3">
      <c r="A1769" s="36">
        <v>17036140</v>
      </c>
      <c r="B1769" t="s">
        <v>2085</v>
      </c>
    </row>
    <row r="1770" spans="1:3">
      <c r="A1770" s="36">
        <v>27390888</v>
      </c>
      <c r="B1770" t="s">
        <v>1476</v>
      </c>
    </row>
    <row r="1771" spans="1:3">
      <c r="A1771" s="36">
        <v>119875133</v>
      </c>
      <c r="B1771" t="s">
        <v>1967</v>
      </c>
    </row>
    <row r="1772" spans="1:3">
      <c r="A1772" s="36">
        <v>20127096733</v>
      </c>
      <c r="B1772" t="s">
        <v>1477</v>
      </c>
      <c r="C1772" s="35" t="s">
        <v>2359</v>
      </c>
    </row>
    <row r="1773" spans="1:3">
      <c r="A1773" s="36">
        <v>30219412</v>
      </c>
      <c r="B1773" t="s">
        <v>1478</v>
      </c>
    </row>
    <row r="1774" spans="1:3">
      <c r="A1774" s="36">
        <v>27202892936</v>
      </c>
      <c r="B1774" t="s">
        <v>1479</v>
      </c>
      <c r="C1774" s="35" t="s">
        <v>2369</v>
      </c>
    </row>
    <row r="1775" spans="1:3">
      <c r="A1775" s="36">
        <v>27202892936</v>
      </c>
      <c r="B1775" t="s">
        <v>1479</v>
      </c>
      <c r="C1775" s="35" t="s">
        <v>2378</v>
      </c>
    </row>
    <row r="1776" spans="1:3">
      <c r="A1776" s="36">
        <v>30708608994</v>
      </c>
      <c r="B1776" t="s">
        <v>513</v>
      </c>
    </row>
    <row r="1777" spans="1:3">
      <c r="A1777" s="36">
        <v>38991242</v>
      </c>
      <c r="B1777" t="s">
        <v>1480</v>
      </c>
    </row>
    <row r="1778" spans="1:3">
      <c r="A1778" s="36">
        <v>26562776</v>
      </c>
      <c r="B1778" t="s">
        <v>1481</v>
      </c>
    </row>
    <row r="1779" spans="1:3">
      <c r="A1779" s="36">
        <v>30713713909</v>
      </c>
      <c r="B1779" t="s">
        <v>514</v>
      </c>
    </row>
    <row r="1780" spans="1:3">
      <c r="A1780" s="36">
        <v>30716157217</v>
      </c>
      <c r="B1780" t="s">
        <v>1482</v>
      </c>
    </row>
    <row r="1781" spans="1:3">
      <c r="A1781" s="36">
        <v>30707103155</v>
      </c>
      <c r="B1781" t="s">
        <v>2272</v>
      </c>
      <c r="C1781" s="35" t="s">
        <v>79</v>
      </c>
    </row>
    <row r="1782" spans="1:3">
      <c r="A1782" s="36">
        <v>52442925</v>
      </c>
      <c r="B1782" t="s">
        <v>1483</v>
      </c>
    </row>
    <row r="1783" spans="1:3">
      <c r="A1783" s="36">
        <v>18413700</v>
      </c>
      <c r="B1783" t="s">
        <v>1999</v>
      </c>
    </row>
    <row r="1784" spans="1:3">
      <c r="A1784" s="36">
        <v>34008653</v>
      </c>
      <c r="B1784" t="s">
        <v>1484</v>
      </c>
    </row>
    <row r="1785" spans="1:3">
      <c r="A1785" s="36">
        <v>27677788</v>
      </c>
      <c r="B1785" t="s">
        <v>1485</v>
      </c>
    </row>
    <row r="1786" spans="1:3">
      <c r="A1786" s="36">
        <v>30712045562</v>
      </c>
      <c r="B1786" t="s">
        <v>1486</v>
      </c>
    </row>
    <row r="1787" spans="1:3">
      <c r="A1787" s="36">
        <v>30632563856</v>
      </c>
      <c r="B1787" t="s">
        <v>515</v>
      </c>
    </row>
    <row r="1788" spans="1:3">
      <c r="A1788" s="36">
        <v>30557676798</v>
      </c>
      <c r="B1788" t="s">
        <v>101</v>
      </c>
    </row>
    <row r="1789" spans="1:3">
      <c r="A1789" s="36">
        <v>30716036894</v>
      </c>
      <c r="B1789" t="s">
        <v>2289</v>
      </c>
      <c r="C1789" s="35" t="s">
        <v>2359</v>
      </c>
    </row>
    <row r="1790" spans="1:3">
      <c r="A1790" s="36">
        <v>30573785742</v>
      </c>
      <c r="B1790" t="s">
        <v>516</v>
      </c>
    </row>
    <row r="1791" spans="1:3">
      <c r="A1791" s="36">
        <v>30709242888</v>
      </c>
      <c r="B1791" t="s">
        <v>1487</v>
      </c>
      <c r="C1791" s="35" t="s">
        <v>2359</v>
      </c>
    </row>
    <row r="1792" spans="1:3">
      <c r="A1792" s="36">
        <v>30708823151</v>
      </c>
      <c r="B1792" t="s">
        <v>2026</v>
      </c>
    </row>
    <row r="1793" spans="1:3">
      <c r="A1793" s="36">
        <v>26348034</v>
      </c>
      <c r="B1793" t="s">
        <v>1488</v>
      </c>
    </row>
    <row r="1794" spans="1:3">
      <c r="A1794" s="36">
        <v>30717371298</v>
      </c>
      <c r="B1794" t="s">
        <v>2257</v>
      </c>
      <c r="C1794" s="35" t="s">
        <v>79</v>
      </c>
    </row>
    <row r="1795" spans="1:3">
      <c r="A1795" s="36">
        <v>30717371298</v>
      </c>
      <c r="B1795" t="s">
        <v>2257</v>
      </c>
    </row>
    <row r="1796" spans="1:3">
      <c r="A1796" s="36">
        <v>34770265</v>
      </c>
      <c r="B1796" t="s">
        <v>1489</v>
      </c>
    </row>
    <row r="1797" spans="1:3">
      <c r="A1797" s="36">
        <v>3686398</v>
      </c>
      <c r="B1797" t="s">
        <v>1490</v>
      </c>
    </row>
    <row r="1798" spans="1:3">
      <c r="A1798" s="36">
        <v>20233007820</v>
      </c>
      <c r="B1798" t="s">
        <v>2386</v>
      </c>
      <c r="C1798" s="35" t="s">
        <v>79</v>
      </c>
    </row>
    <row r="1799" spans="1:3">
      <c r="A1799" s="36">
        <v>16725441</v>
      </c>
      <c r="B1799" t="s">
        <v>1491</v>
      </c>
    </row>
    <row r="1800" spans="1:3">
      <c r="A1800" s="36">
        <v>20222749035</v>
      </c>
      <c r="B1800" t="s">
        <v>1492</v>
      </c>
    </row>
    <row r="1801" spans="1:3">
      <c r="A1801" s="36">
        <v>20045461611</v>
      </c>
      <c r="B1801" t="s">
        <v>1493</v>
      </c>
    </row>
    <row r="1802" spans="1:3">
      <c r="A1802" s="36">
        <v>23306035444</v>
      </c>
      <c r="B1802" t="s">
        <v>1494</v>
      </c>
      <c r="C1802" s="35" t="s">
        <v>2379</v>
      </c>
    </row>
    <row r="1803" spans="1:3">
      <c r="A1803" s="36">
        <v>23306035444</v>
      </c>
      <c r="B1803" t="s">
        <v>1494</v>
      </c>
      <c r="C1803" s="35" t="s">
        <v>2359</v>
      </c>
    </row>
    <row r="1804" spans="1:3">
      <c r="A1804" s="36">
        <v>33608724279</v>
      </c>
      <c r="B1804" t="s">
        <v>517</v>
      </c>
      <c r="C1804" s="35" t="s">
        <v>44</v>
      </c>
    </row>
    <row r="1805" spans="1:3">
      <c r="A1805" s="36">
        <v>30707983732</v>
      </c>
      <c r="B1805" t="s">
        <v>518</v>
      </c>
      <c r="C1805" s="35" t="s">
        <v>44</v>
      </c>
    </row>
    <row r="1806" spans="1:3">
      <c r="A1806" s="36">
        <v>28907586</v>
      </c>
      <c r="B1806" t="s">
        <v>1495</v>
      </c>
    </row>
    <row r="1807" spans="1:3">
      <c r="A1807" s="36">
        <v>4282596</v>
      </c>
      <c r="B1807" t="s">
        <v>1496</v>
      </c>
    </row>
    <row r="1808" spans="1:3">
      <c r="A1808" s="36">
        <v>8557300</v>
      </c>
      <c r="B1808" t="s">
        <v>1497</v>
      </c>
    </row>
    <row r="1809" spans="1:3">
      <c r="A1809" s="36">
        <v>27209563113</v>
      </c>
      <c r="B1809" t="s">
        <v>519</v>
      </c>
    </row>
    <row r="1810" spans="1:3">
      <c r="A1810" s="36">
        <v>30697465983</v>
      </c>
      <c r="B1810" t="s">
        <v>1954</v>
      </c>
    </row>
    <row r="1811" spans="1:3">
      <c r="A1811" s="36">
        <v>27187727540</v>
      </c>
      <c r="B1811" t="s">
        <v>1498</v>
      </c>
    </row>
    <row r="1812" spans="1:3">
      <c r="A1812" s="36">
        <v>30713979704</v>
      </c>
      <c r="B1812" t="s">
        <v>520</v>
      </c>
      <c r="C1812" s="35" t="s">
        <v>2359</v>
      </c>
    </row>
    <row r="1813" spans="1:3">
      <c r="A1813" s="36">
        <v>20174004146</v>
      </c>
      <c r="B1813" t="s">
        <v>1499</v>
      </c>
      <c r="C1813" s="35" t="s">
        <v>781</v>
      </c>
    </row>
    <row r="1814" spans="1:3">
      <c r="A1814" s="36">
        <v>20334976433</v>
      </c>
      <c r="B1814" t="s">
        <v>1953</v>
      </c>
      <c r="C1814" s="35" t="s">
        <v>781</v>
      </c>
    </row>
    <row r="1815" spans="1:3">
      <c r="A1815" s="36">
        <v>20334976433</v>
      </c>
      <c r="B1815" t="s">
        <v>1953</v>
      </c>
      <c r="C1815" s="35" t="s">
        <v>781</v>
      </c>
    </row>
    <row r="1816" spans="1:3">
      <c r="A1816" s="36">
        <v>30692975533</v>
      </c>
      <c r="B1816" t="s">
        <v>1953</v>
      </c>
      <c r="C1816" s="35" t="s">
        <v>781</v>
      </c>
    </row>
    <row r="1817" spans="1:3">
      <c r="A1817" s="36">
        <v>30692975533</v>
      </c>
      <c r="B1817" t="s">
        <v>1953</v>
      </c>
    </row>
    <row r="1818" spans="1:3">
      <c r="A1818" s="36">
        <v>20315107807</v>
      </c>
      <c r="B1818" t="s">
        <v>1500</v>
      </c>
      <c r="C1818" s="35" t="s">
        <v>781</v>
      </c>
    </row>
    <row r="1819" spans="1:3">
      <c r="A1819" s="36">
        <v>20315107807</v>
      </c>
      <c r="B1819" t="s">
        <v>1500</v>
      </c>
      <c r="C1819" s="35" t="s">
        <v>781</v>
      </c>
    </row>
    <row r="1820" spans="1:3">
      <c r="A1820" s="36">
        <v>20315107807</v>
      </c>
      <c r="B1820" t="s">
        <v>1501</v>
      </c>
    </row>
    <row r="1821" spans="1:3">
      <c r="A1821" s="36">
        <v>20315107807</v>
      </c>
      <c r="B1821" t="s">
        <v>1501</v>
      </c>
    </row>
    <row r="1822" spans="1:3">
      <c r="A1822" s="36">
        <v>20315107807</v>
      </c>
      <c r="B1822" t="s">
        <v>1501</v>
      </c>
    </row>
    <row r="1823" spans="1:3">
      <c r="A1823" s="36">
        <v>18178048</v>
      </c>
      <c r="B1823" t="s">
        <v>1502</v>
      </c>
    </row>
    <row r="1824" spans="1:3">
      <c r="A1824" s="36">
        <v>20181837617</v>
      </c>
      <c r="B1824" t="s">
        <v>521</v>
      </c>
    </row>
    <row r="1825" spans="1:3">
      <c r="A1825" s="36">
        <v>30652010489</v>
      </c>
      <c r="B1825" t="s">
        <v>522</v>
      </c>
      <c r="C1825" s="35" t="s">
        <v>79</v>
      </c>
    </row>
    <row r="1826" spans="1:3">
      <c r="A1826" s="36">
        <v>30716977958</v>
      </c>
      <c r="B1826" t="s">
        <v>2244</v>
      </c>
      <c r="C1826" s="35" t="s">
        <v>79</v>
      </c>
    </row>
    <row r="1827" spans="1:3">
      <c r="A1827" s="36">
        <v>30716977958</v>
      </c>
      <c r="B1827" t="s">
        <v>2244</v>
      </c>
    </row>
    <row r="1828" spans="1:3">
      <c r="A1828" s="36">
        <v>33972867</v>
      </c>
      <c r="B1828" t="s">
        <v>1503</v>
      </c>
    </row>
    <row r="1829" spans="1:3">
      <c r="A1829" s="36">
        <v>34713487</v>
      </c>
      <c r="B1829" t="s">
        <v>1504</v>
      </c>
    </row>
    <row r="1830" spans="1:3">
      <c r="A1830" s="36">
        <v>4491059</v>
      </c>
      <c r="B1830" t="s">
        <v>1505</v>
      </c>
    </row>
    <row r="1831" spans="1:3">
      <c r="A1831" s="36">
        <v>27259489976</v>
      </c>
      <c r="B1831" t="s">
        <v>523</v>
      </c>
    </row>
    <row r="1832" spans="1:3">
      <c r="A1832" s="36">
        <v>3220472</v>
      </c>
      <c r="B1832" t="s">
        <v>1506</v>
      </c>
    </row>
    <row r="1833" spans="1:3">
      <c r="A1833" s="36">
        <v>284298</v>
      </c>
      <c r="B1833" t="s">
        <v>1507</v>
      </c>
    </row>
    <row r="1834" spans="1:3">
      <c r="A1834" s="36">
        <v>7440566</v>
      </c>
      <c r="B1834" t="s">
        <v>1508</v>
      </c>
    </row>
    <row r="1835" spans="1:3">
      <c r="A1835" s="36">
        <v>30598946694</v>
      </c>
      <c r="B1835" t="s">
        <v>524</v>
      </c>
      <c r="C1835" s="35" t="s">
        <v>2359</v>
      </c>
    </row>
    <row r="1836" spans="1:3">
      <c r="A1836" s="36">
        <v>33115002</v>
      </c>
      <c r="B1836" t="s">
        <v>1509</v>
      </c>
    </row>
    <row r="1837" spans="1:3">
      <c r="A1837" s="36">
        <v>11020277</v>
      </c>
      <c r="B1837" t="s">
        <v>1510</v>
      </c>
    </row>
    <row r="1838" spans="1:3">
      <c r="A1838" s="36">
        <v>20363081755</v>
      </c>
      <c r="B1838" t="s">
        <v>1511</v>
      </c>
    </row>
    <row r="1839" spans="1:3">
      <c r="A1839" s="36">
        <v>30546764040</v>
      </c>
      <c r="B1839" t="s">
        <v>525</v>
      </c>
    </row>
    <row r="1840" spans="1:3">
      <c r="A1840" s="36">
        <v>20232991527</v>
      </c>
      <c r="B1840" t="s">
        <v>526</v>
      </c>
      <c r="C1840" s="35" t="s">
        <v>2359</v>
      </c>
    </row>
    <row r="1841" spans="1:3">
      <c r="A1841" s="36">
        <v>20232991527</v>
      </c>
      <c r="B1841" t="s">
        <v>526</v>
      </c>
      <c r="C1841" s="35" t="s">
        <v>2359</v>
      </c>
    </row>
    <row r="1842" spans="1:3">
      <c r="A1842" s="36">
        <v>20232991527</v>
      </c>
      <c r="B1842" t="s">
        <v>526</v>
      </c>
      <c r="C1842" s="35" t="s">
        <v>2359</v>
      </c>
    </row>
    <row r="1843" spans="1:3">
      <c r="A1843" s="36">
        <v>30715515012</v>
      </c>
      <c r="B1843" t="s">
        <v>2098</v>
      </c>
    </row>
    <row r="1844" spans="1:3">
      <c r="A1844" s="36">
        <v>30709822116</v>
      </c>
      <c r="B1844" t="s">
        <v>527</v>
      </c>
    </row>
    <row r="1845" spans="1:3">
      <c r="A1845" s="36">
        <v>30714773255</v>
      </c>
      <c r="B1845" t="s">
        <v>1512</v>
      </c>
      <c r="C1845" s="35" t="s">
        <v>804</v>
      </c>
    </row>
    <row r="1846" spans="1:3">
      <c r="A1846" s="36">
        <v>30715284142</v>
      </c>
      <c r="B1846" t="s">
        <v>1513</v>
      </c>
      <c r="C1846" s="35" t="s">
        <v>1015</v>
      </c>
    </row>
    <row r="1847" spans="1:3">
      <c r="A1847" s="36">
        <v>23570</v>
      </c>
      <c r="B1847" t="s">
        <v>1514</v>
      </c>
    </row>
    <row r="1848" spans="1:3">
      <c r="A1848" s="36">
        <v>20251270202</v>
      </c>
      <c r="B1848" t="s">
        <v>528</v>
      </c>
    </row>
    <row r="1849" spans="1:3">
      <c r="A1849" s="36">
        <v>20298653541</v>
      </c>
      <c r="B1849" t="s">
        <v>529</v>
      </c>
    </row>
    <row r="1850" spans="1:3">
      <c r="A1850" s="36">
        <v>30717179389</v>
      </c>
      <c r="B1850" t="s">
        <v>2150</v>
      </c>
      <c r="C1850" s="35" t="s">
        <v>44</v>
      </c>
    </row>
    <row r="1851" spans="1:3">
      <c r="A1851" s="36">
        <v>30717179389</v>
      </c>
      <c r="B1851" t="s">
        <v>2150</v>
      </c>
      <c r="C1851" s="35" t="s">
        <v>44</v>
      </c>
    </row>
    <row r="1852" spans="1:3">
      <c r="A1852" s="36">
        <v>20376871119</v>
      </c>
      <c r="B1852" t="s">
        <v>1515</v>
      </c>
    </row>
    <row r="1853" spans="1:3">
      <c r="A1853" s="36">
        <v>10927488</v>
      </c>
      <c r="B1853" t="s">
        <v>1997</v>
      </c>
    </row>
    <row r="1854" spans="1:3">
      <c r="A1854" s="36">
        <v>8290155</v>
      </c>
      <c r="B1854" t="s">
        <v>1516</v>
      </c>
    </row>
    <row r="1855" spans="1:3">
      <c r="A1855" s="36">
        <v>20348485580</v>
      </c>
      <c r="B1855" t="s">
        <v>2255</v>
      </c>
      <c r="C1855" s="35" t="s">
        <v>79</v>
      </c>
    </row>
    <row r="1856" spans="1:3">
      <c r="A1856" s="36">
        <v>20348485580</v>
      </c>
      <c r="B1856" t="s">
        <v>2255</v>
      </c>
      <c r="C1856" s="35" t="s">
        <v>79</v>
      </c>
    </row>
    <row r="1857" spans="1:3">
      <c r="A1857" s="36">
        <v>20171082464</v>
      </c>
      <c r="B1857" t="s">
        <v>530</v>
      </c>
      <c r="C1857" s="35" t="s">
        <v>79</v>
      </c>
    </row>
    <row r="1858" spans="1:3">
      <c r="A1858" s="36">
        <v>23147243669</v>
      </c>
      <c r="B1858" t="s">
        <v>531</v>
      </c>
    </row>
    <row r="1859" spans="1:3">
      <c r="A1859" s="36">
        <v>30687805026</v>
      </c>
      <c r="B1859" t="s">
        <v>2183</v>
      </c>
    </row>
    <row r="1860" spans="1:3">
      <c r="A1860" s="36">
        <v>30686222086</v>
      </c>
      <c r="B1860" t="s">
        <v>532</v>
      </c>
    </row>
    <row r="1861" spans="1:3">
      <c r="A1861" s="36">
        <v>30715564749</v>
      </c>
      <c r="B1861" t="s">
        <v>533</v>
      </c>
      <c r="C1861" s="35" t="s">
        <v>2359</v>
      </c>
    </row>
    <row r="1862" spans="1:3">
      <c r="A1862" s="36">
        <v>30625911334</v>
      </c>
      <c r="B1862" t="s">
        <v>534</v>
      </c>
      <c r="C1862" s="35" t="s">
        <v>2359</v>
      </c>
    </row>
    <row r="1863" spans="1:3">
      <c r="A1863" s="36">
        <v>30685437011</v>
      </c>
      <c r="B1863" t="s">
        <v>535</v>
      </c>
    </row>
    <row r="1864" spans="1:3">
      <c r="A1864" s="36">
        <v>30709318965</v>
      </c>
      <c r="B1864" t="s">
        <v>536</v>
      </c>
      <c r="C1864" s="35" t="s">
        <v>2359</v>
      </c>
    </row>
    <row r="1865" spans="1:3">
      <c r="A1865" s="36">
        <v>27041809715</v>
      </c>
      <c r="B1865" t="s">
        <v>2007</v>
      </c>
      <c r="C1865" s="35" t="s">
        <v>2359</v>
      </c>
    </row>
    <row r="1866" spans="1:3">
      <c r="A1866" s="36">
        <v>30714113395</v>
      </c>
      <c r="B1866" t="s">
        <v>537</v>
      </c>
    </row>
    <row r="1867" spans="1:3">
      <c r="A1867" s="36">
        <v>30715263676</v>
      </c>
      <c r="B1867" t="s">
        <v>538</v>
      </c>
    </row>
    <row r="1868" spans="1:3">
      <c r="A1868" s="36">
        <v>30702652975</v>
      </c>
      <c r="B1868" t="s">
        <v>539</v>
      </c>
      <c r="C1868" s="35" t="s">
        <v>2383</v>
      </c>
    </row>
    <row r="1869" spans="1:3">
      <c r="A1869" s="36">
        <v>30702652975</v>
      </c>
      <c r="B1869" t="s">
        <v>539</v>
      </c>
      <c r="C1869" s="35" t="s">
        <v>2383</v>
      </c>
    </row>
    <row r="1870" spans="1:3">
      <c r="A1870" s="36">
        <v>30715399519</v>
      </c>
      <c r="B1870" t="s">
        <v>1517</v>
      </c>
      <c r="C1870" s="35" t="s">
        <v>1091</v>
      </c>
    </row>
    <row r="1871" spans="1:3">
      <c r="A1871" s="36">
        <v>30715399519</v>
      </c>
      <c r="B1871" t="s">
        <v>1517</v>
      </c>
      <c r="C1871" s="35" t="s">
        <v>1091</v>
      </c>
    </row>
    <row r="1872" spans="1:3">
      <c r="A1872" s="36">
        <v>30714187658</v>
      </c>
      <c r="B1872" t="s">
        <v>540</v>
      </c>
      <c r="C1872" s="35" t="s">
        <v>2359</v>
      </c>
    </row>
    <row r="1873" spans="1:3">
      <c r="A1873" s="36">
        <v>30707215689</v>
      </c>
      <c r="B1873" t="s">
        <v>541</v>
      </c>
      <c r="C1873" s="35" t="s">
        <v>781</v>
      </c>
    </row>
    <row r="1874" spans="1:3">
      <c r="A1874" s="36">
        <v>20426451167</v>
      </c>
      <c r="B1874" t="s">
        <v>2220</v>
      </c>
      <c r="C1874" s="35" t="s">
        <v>781</v>
      </c>
    </row>
    <row r="1875" spans="1:3">
      <c r="A1875" s="36">
        <v>20426451167</v>
      </c>
      <c r="B1875" t="s">
        <v>2220</v>
      </c>
    </row>
    <row r="1876" spans="1:3">
      <c r="A1876" s="36">
        <v>9353463</v>
      </c>
      <c r="B1876" t="s">
        <v>1518</v>
      </c>
    </row>
    <row r="1877" spans="1:3">
      <c r="A1877" s="36">
        <v>20222347719</v>
      </c>
      <c r="B1877" t="s">
        <v>1519</v>
      </c>
      <c r="C1877" s="35" t="s">
        <v>1091</v>
      </c>
    </row>
    <row r="1878" spans="1:3">
      <c r="A1878" s="36">
        <v>20923867903</v>
      </c>
      <c r="B1878" t="s">
        <v>2286</v>
      </c>
    </row>
    <row r="1879" spans="1:3">
      <c r="A1879" s="36">
        <v>11322852</v>
      </c>
      <c r="B1879" t="s">
        <v>1520</v>
      </c>
    </row>
    <row r="1880" spans="1:3">
      <c r="A1880" s="36">
        <v>30504854023</v>
      </c>
      <c r="B1880" t="s">
        <v>542</v>
      </c>
      <c r="C1880" s="35" t="s">
        <v>2359</v>
      </c>
    </row>
    <row r="1881" spans="1:3">
      <c r="A1881" s="36">
        <v>30536259194</v>
      </c>
      <c r="B1881" t="s">
        <v>1521</v>
      </c>
      <c r="C1881" s="35" t="s">
        <v>781</v>
      </c>
    </row>
    <row r="1882" spans="1:3">
      <c r="A1882" s="36">
        <v>30536259194</v>
      </c>
      <c r="B1882" t="s">
        <v>1521</v>
      </c>
      <c r="C1882" s="35" t="s">
        <v>781</v>
      </c>
    </row>
    <row r="1883" spans="1:3">
      <c r="A1883" s="36">
        <v>30500053522</v>
      </c>
      <c r="B1883" t="s">
        <v>543</v>
      </c>
    </row>
    <row r="1884" spans="1:3">
      <c r="A1884" s="36">
        <v>30658137642</v>
      </c>
      <c r="B1884" t="s">
        <v>544</v>
      </c>
    </row>
    <row r="1885" spans="1:3">
      <c r="A1885" s="36">
        <v>33600011869</v>
      </c>
      <c r="B1885" t="s">
        <v>545</v>
      </c>
    </row>
    <row r="1886" spans="1:3">
      <c r="A1886" s="36">
        <v>30609521941</v>
      </c>
      <c r="B1886" t="s">
        <v>546</v>
      </c>
    </row>
    <row r="1887" spans="1:3">
      <c r="A1887" s="36">
        <v>30590412631</v>
      </c>
      <c r="B1887" t="s">
        <v>547</v>
      </c>
    </row>
    <row r="1888" spans="1:3">
      <c r="A1888" s="36">
        <v>27209647252</v>
      </c>
      <c r="B1888" t="s">
        <v>1522</v>
      </c>
      <c r="C1888" s="35" t="s">
        <v>2359</v>
      </c>
    </row>
    <row r="1889" spans="1:3">
      <c r="A1889" s="36">
        <v>322114</v>
      </c>
      <c r="B1889" t="s">
        <v>1523</v>
      </c>
    </row>
    <row r="1890" spans="1:3">
      <c r="A1890" s="36">
        <v>30646217977</v>
      </c>
      <c r="B1890" t="s">
        <v>1524</v>
      </c>
    </row>
    <row r="1891" spans="1:3">
      <c r="A1891" s="36">
        <v>30585412453</v>
      </c>
      <c r="B1891" t="s">
        <v>548</v>
      </c>
    </row>
    <row r="1892" spans="1:3">
      <c r="A1892" s="36">
        <v>30500053522</v>
      </c>
      <c r="B1892" t="s">
        <v>1525</v>
      </c>
      <c r="C1892" s="35" t="s">
        <v>796</v>
      </c>
    </row>
    <row r="1893" spans="1:3">
      <c r="A1893" s="36">
        <v>30500053522</v>
      </c>
      <c r="B1893" t="s">
        <v>1525</v>
      </c>
      <c r="C1893" s="35" t="s">
        <v>796</v>
      </c>
    </row>
    <row r="1894" spans="1:3">
      <c r="A1894" s="36" t="s">
        <v>1526</v>
      </c>
      <c r="B1894" t="s">
        <v>1525</v>
      </c>
      <c r="C1894" s="35" t="s">
        <v>2359</v>
      </c>
    </row>
    <row r="1895" spans="1:3">
      <c r="A1895" s="36">
        <v>30683336765</v>
      </c>
      <c r="B1895" t="s">
        <v>2163</v>
      </c>
    </row>
    <row r="1896" spans="1:3">
      <c r="A1896" s="36">
        <v>30538627654</v>
      </c>
      <c r="B1896" t="s">
        <v>2000</v>
      </c>
    </row>
    <row r="1897" spans="1:3">
      <c r="A1897" s="36">
        <v>30565786306</v>
      </c>
      <c r="B1897" t="s">
        <v>2028</v>
      </c>
    </row>
    <row r="1898" spans="1:3">
      <c r="A1898" s="36">
        <v>30609521941</v>
      </c>
      <c r="B1898" t="s">
        <v>1915</v>
      </c>
    </row>
    <row r="1899" spans="1:3">
      <c r="A1899" s="36">
        <v>30571766287</v>
      </c>
      <c r="B1899" t="s">
        <v>2040</v>
      </c>
    </row>
    <row r="1900" spans="1:3">
      <c r="A1900" s="36">
        <v>30608716390</v>
      </c>
      <c r="B1900" t="s">
        <v>1527</v>
      </c>
    </row>
    <row r="1901" spans="1:3">
      <c r="A1901" s="36">
        <v>30619859355</v>
      </c>
      <c r="B1901" t="s">
        <v>2049</v>
      </c>
    </row>
    <row r="1902" spans="1:3">
      <c r="A1902" s="36">
        <v>30546846217</v>
      </c>
      <c r="B1902" t="s">
        <v>549</v>
      </c>
    </row>
    <row r="1903" spans="1:3">
      <c r="A1903" s="36">
        <v>30683032227</v>
      </c>
      <c r="B1903" t="s">
        <v>1528</v>
      </c>
    </row>
    <row r="1904" spans="1:3">
      <c r="A1904" s="36">
        <v>16438623</v>
      </c>
      <c r="B1904" t="s">
        <v>1933</v>
      </c>
    </row>
    <row r="1905" spans="1:3">
      <c r="A1905" s="36">
        <v>30717024393</v>
      </c>
      <c r="B1905" t="s">
        <v>2006</v>
      </c>
      <c r="C1905" s="35" t="s">
        <v>1945</v>
      </c>
    </row>
    <row r="1906" spans="1:3">
      <c r="A1906" s="36">
        <v>26857099</v>
      </c>
      <c r="B1906" t="s">
        <v>1529</v>
      </c>
    </row>
    <row r="1907" spans="1:3">
      <c r="A1907" s="36">
        <v>30714911976</v>
      </c>
      <c r="B1907" t="s">
        <v>550</v>
      </c>
      <c r="C1907" s="35" t="s">
        <v>2359</v>
      </c>
    </row>
    <row r="1908" spans="1:3">
      <c r="A1908" s="36">
        <v>4024034</v>
      </c>
      <c r="B1908" t="s">
        <v>1530</v>
      </c>
    </row>
    <row r="1909" spans="1:3">
      <c r="A1909" s="36">
        <v>27162975841</v>
      </c>
      <c r="B1909" t="s">
        <v>1531</v>
      </c>
    </row>
    <row r="1910" spans="1:3">
      <c r="A1910" s="36">
        <v>20177474844</v>
      </c>
      <c r="B1910" t="s">
        <v>551</v>
      </c>
    </row>
    <row r="1911" spans="1:3">
      <c r="A1911" s="36">
        <v>30708387114</v>
      </c>
      <c r="B1911" t="s">
        <v>552</v>
      </c>
      <c r="C1911" s="35" t="s">
        <v>2359</v>
      </c>
    </row>
    <row r="1912" spans="1:3">
      <c r="A1912" s="36">
        <v>30709059471</v>
      </c>
      <c r="B1912" t="s">
        <v>553</v>
      </c>
      <c r="C1912" s="35" t="s">
        <v>2359</v>
      </c>
    </row>
    <row r="1913" spans="1:3">
      <c r="A1913" s="36">
        <v>30702843576</v>
      </c>
      <c r="B1913" t="s">
        <v>554</v>
      </c>
      <c r="C1913" s="35" t="s">
        <v>2359</v>
      </c>
    </row>
    <row r="1914" spans="1:3">
      <c r="A1914" s="36">
        <v>30707092781</v>
      </c>
      <c r="B1914" t="s">
        <v>555</v>
      </c>
      <c r="C1914" s="35" t="s">
        <v>79</v>
      </c>
    </row>
    <row r="1915" spans="1:3">
      <c r="A1915" s="36">
        <v>30709678392</v>
      </c>
      <c r="B1915" t="s">
        <v>1532</v>
      </c>
      <c r="C1915" s="35" t="s">
        <v>44</v>
      </c>
    </row>
    <row r="1916" spans="1:3">
      <c r="A1916" s="36">
        <v>6559583</v>
      </c>
      <c r="B1916" t="s">
        <v>1533</v>
      </c>
    </row>
    <row r="1917" spans="1:3">
      <c r="A1917" s="36">
        <v>27937907473</v>
      </c>
      <c r="B1917" t="s">
        <v>556</v>
      </c>
      <c r="C1917" s="35" t="s">
        <v>79</v>
      </c>
    </row>
    <row r="1918" spans="1:3">
      <c r="A1918" s="36">
        <v>20951293025</v>
      </c>
      <c r="B1918" t="s">
        <v>2093</v>
      </c>
    </row>
    <row r="1919" spans="1:3">
      <c r="A1919" s="36">
        <v>27405786066</v>
      </c>
      <c r="B1919" t="s">
        <v>557</v>
      </c>
    </row>
    <row r="1920" spans="1:3">
      <c r="A1920" s="36">
        <v>27304678165</v>
      </c>
      <c r="B1920" t="s">
        <v>2102</v>
      </c>
    </row>
    <row r="1921" spans="1:3">
      <c r="A1921" s="36">
        <v>56136</v>
      </c>
      <c r="B1921" t="s">
        <v>1534</v>
      </c>
    </row>
    <row r="1922" spans="1:3">
      <c r="A1922" s="36">
        <v>23383224829</v>
      </c>
      <c r="B1922" t="s">
        <v>1836</v>
      </c>
      <c r="C1922" s="35" t="s">
        <v>2367</v>
      </c>
    </row>
    <row r="1923" spans="1:3">
      <c r="A1923" s="36">
        <v>23383224829</v>
      </c>
      <c r="B1923" t="s">
        <v>1836</v>
      </c>
    </row>
    <row r="1924" spans="1:3">
      <c r="A1924" s="36">
        <v>23411502619</v>
      </c>
      <c r="B1924" t="s">
        <v>1909</v>
      </c>
      <c r="C1924" s="35" t="s">
        <v>1910</v>
      </c>
    </row>
    <row r="1925" spans="1:3">
      <c r="A1925" s="36">
        <v>30603810550</v>
      </c>
      <c r="B1925" t="s">
        <v>558</v>
      </c>
      <c r="C1925" s="35" t="s">
        <v>79</v>
      </c>
    </row>
    <row r="1926" spans="1:3">
      <c r="A1926" s="36">
        <v>4483978</v>
      </c>
      <c r="B1926" t="s">
        <v>1535</v>
      </c>
    </row>
    <row r="1927" spans="1:3">
      <c r="A1927" s="36">
        <v>4408203</v>
      </c>
      <c r="B1927" t="s">
        <v>1536</v>
      </c>
    </row>
    <row r="1928" spans="1:3">
      <c r="A1928" s="36">
        <v>4408203</v>
      </c>
      <c r="B1928" t="s">
        <v>1536</v>
      </c>
    </row>
    <row r="1929" spans="1:3">
      <c r="A1929" s="36">
        <v>7898830</v>
      </c>
      <c r="B1929" t="s">
        <v>1537</v>
      </c>
    </row>
    <row r="1930" spans="1:3">
      <c r="A1930" s="36">
        <v>30712341803</v>
      </c>
      <c r="B1930" t="s">
        <v>559</v>
      </c>
    </row>
    <row r="1931" spans="1:3">
      <c r="A1931" s="36">
        <v>30550245309</v>
      </c>
      <c r="B1931" t="s">
        <v>560</v>
      </c>
    </row>
    <row r="1932" spans="1:3">
      <c r="A1932" s="36">
        <v>30715393251</v>
      </c>
      <c r="B1932" t="s">
        <v>2205</v>
      </c>
      <c r="C1932" s="35" t="s">
        <v>2411</v>
      </c>
    </row>
    <row r="1933" spans="1:3">
      <c r="A1933" s="36">
        <v>30715393251</v>
      </c>
      <c r="B1933" t="s">
        <v>2205</v>
      </c>
      <c r="C1933" s="35" t="s">
        <v>46</v>
      </c>
    </row>
    <row r="1934" spans="1:3">
      <c r="A1934" s="36">
        <v>30711377944</v>
      </c>
      <c r="B1934" t="s">
        <v>1538</v>
      </c>
      <c r="C1934" s="35" t="s">
        <v>1539</v>
      </c>
    </row>
    <row r="1935" spans="1:3">
      <c r="A1935" s="36">
        <v>17737411</v>
      </c>
      <c r="B1935" t="s">
        <v>1540</v>
      </c>
    </row>
    <row r="1936" spans="1:3">
      <c r="A1936" s="36">
        <v>30655042772</v>
      </c>
      <c r="B1936" t="s">
        <v>561</v>
      </c>
    </row>
    <row r="1937" spans="1:3">
      <c r="A1937" s="36">
        <v>3216383</v>
      </c>
      <c r="B1937" t="s">
        <v>1541</v>
      </c>
    </row>
    <row r="1938" spans="1:3">
      <c r="A1938" s="36">
        <v>30678774495</v>
      </c>
      <c r="B1938" t="s">
        <v>102</v>
      </c>
      <c r="C1938" s="35" t="s">
        <v>44</v>
      </c>
    </row>
    <row r="1939" spans="1:3">
      <c r="A1939" s="36">
        <v>30678774495</v>
      </c>
      <c r="B1939" t="s">
        <v>102</v>
      </c>
      <c r="C1939" s="35" t="s">
        <v>44</v>
      </c>
    </row>
    <row r="1940" spans="1:3">
      <c r="A1940" s="36">
        <v>30611371213</v>
      </c>
      <c r="B1940" t="s">
        <v>562</v>
      </c>
      <c r="C1940" s="35" t="s">
        <v>2359</v>
      </c>
    </row>
    <row r="1941" spans="1:3">
      <c r="A1941" s="36">
        <v>30500597557</v>
      </c>
      <c r="B1941" t="s">
        <v>562</v>
      </c>
      <c r="C1941" s="35" t="s">
        <v>2359</v>
      </c>
    </row>
    <row r="1942" spans="1:3">
      <c r="A1942" s="36">
        <v>30536259194</v>
      </c>
      <c r="B1942" t="s">
        <v>563</v>
      </c>
    </row>
    <row r="1943" spans="1:3">
      <c r="A1943" s="36">
        <v>30688264711</v>
      </c>
      <c r="B1943" t="s">
        <v>564</v>
      </c>
    </row>
    <row r="1944" spans="1:3">
      <c r="A1944" s="36">
        <v>14894941</v>
      </c>
      <c r="B1944" t="s">
        <v>1542</v>
      </c>
    </row>
    <row r="1945" spans="1:3">
      <c r="A1945" s="36">
        <v>31831049</v>
      </c>
      <c r="B1945" t="s">
        <v>1543</v>
      </c>
    </row>
    <row r="1946" spans="1:3">
      <c r="A1946" s="36">
        <v>20076817023</v>
      </c>
      <c r="B1946" t="s">
        <v>1544</v>
      </c>
    </row>
    <row r="1947" spans="1:3">
      <c r="A1947" s="36">
        <v>20238751560</v>
      </c>
      <c r="B1947" t="s">
        <v>565</v>
      </c>
      <c r="C1947" s="35" t="s">
        <v>79</v>
      </c>
    </row>
    <row r="1948" spans="1:3">
      <c r="A1948" s="36">
        <v>30661143610</v>
      </c>
      <c r="B1948" t="s">
        <v>2104</v>
      </c>
      <c r="C1948" s="35" t="s">
        <v>2359</v>
      </c>
    </row>
    <row r="1949" spans="1:3">
      <c r="A1949" s="36">
        <v>30661143610</v>
      </c>
      <c r="B1949" t="s">
        <v>2104</v>
      </c>
      <c r="C1949" s="35" t="s">
        <v>2359</v>
      </c>
    </row>
    <row r="1950" spans="1:3">
      <c r="A1950" s="36">
        <v>30714331082</v>
      </c>
      <c r="B1950" t="s">
        <v>1545</v>
      </c>
      <c r="C1950" s="35" t="s">
        <v>2359</v>
      </c>
    </row>
    <row r="1951" spans="1:3">
      <c r="A1951" s="36">
        <v>30714331082</v>
      </c>
      <c r="B1951" t="s">
        <v>1545</v>
      </c>
      <c r="C1951" s="35" t="s">
        <v>2359</v>
      </c>
    </row>
    <row r="1952" spans="1:3">
      <c r="A1952" s="36">
        <v>30714331082</v>
      </c>
      <c r="B1952" t="s">
        <v>1545</v>
      </c>
      <c r="C1952" s="35" t="s">
        <v>2359</v>
      </c>
    </row>
    <row r="1953" spans="1:3">
      <c r="A1953" s="36">
        <v>30714331082</v>
      </c>
      <c r="B1953" t="s">
        <v>1545</v>
      </c>
      <c r="C1953" s="35" t="s">
        <v>2359</v>
      </c>
    </row>
    <row r="1954" spans="1:3">
      <c r="A1954" s="36">
        <v>33707920349</v>
      </c>
      <c r="B1954" t="s">
        <v>1546</v>
      </c>
      <c r="C1954" s="35" t="s">
        <v>2359</v>
      </c>
    </row>
    <row r="1955" spans="1:3">
      <c r="A1955" s="36">
        <v>20239531963</v>
      </c>
      <c r="B1955" t="s">
        <v>1977</v>
      </c>
      <c r="C1955" s="35" t="s">
        <v>2359</v>
      </c>
    </row>
    <row r="1956" spans="1:3">
      <c r="A1956" s="36">
        <v>30661498575</v>
      </c>
      <c r="B1956" t="s">
        <v>566</v>
      </c>
      <c r="C1956" s="35" t="s">
        <v>2359</v>
      </c>
    </row>
    <row r="1957" spans="1:3">
      <c r="A1957" s="36">
        <v>30661498575</v>
      </c>
      <c r="B1957" t="s">
        <v>566</v>
      </c>
      <c r="C1957" s="35" t="s">
        <v>2359</v>
      </c>
    </row>
    <row r="1958" spans="1:3">
      <c r="A1958" s="36">
        <v>33716711469</v>
      </c>
      <c r="B1958" t="s">
        <v>2143</v>
      </c>
      <c r="C1958" s="35" t="s">
        <v>2359</v>
      </c>
    </row>
    <row r="1959" spans="1:3">
      <c r="A1959" s="36">
        <v>33716711469</v>
      </c>
      <c r="B1959" t="s">
        <v>2143</v>
      </c>
      <c r="C1959" s="35" t="s">
        <v>2359</v>
      </c>
    </row>
    <row r="1960" spans="1:3">
      <c r="A1960" s="36">
        <v>20253515512</v>
      </c>
      <c r="B1960" t="s">
        <v>2059</v>
      </c>
      <c r="C1960" s="35" t="s">
        <v>2359</v>
      </c>
    </row>
    <row r="1961" spans="1:3">
      <c r="A1961" s="36">
        <v>20253515512</v>
      </c>
      <c r="B1961" t="s">
        <v>2059</v>
      </c>
      <c r="C1961" s="35" t="s">
        <v>2359</v>
      </c>
    </row>
    <row r="1962" spans="1:3">
      <c r="A1962" s="36">
        <v>27256759646</v>
      </c>
      <c r="B1962" t="s">
        <v>1978</v>
      </c>
      <c r="C1962" s="35" t="s">
        <v>2359</v>
      </c>
    </row>
    <row r="1963" spans="1:3">
      <c r="A1963" s="36">
        <v>33709738459</v>
      </c>
      <c r="B1963" t="s">
        <v>567</v>
      </c>
      <c r="C1963" s="35" t="s">
        <v>2359</v>
      </c>
    </row>
    <row r="1964" spans="1:3">
      <c r="A1964" s="36">
        <v>33709738459</v>
      </c>
      <c r="B1964" t="s">
        <v>567</v>
      </c>
      <c r="C1964" s="35" t="s">
        <v>2359</v>
      </c>
    </row>
    <row r="1965" spans="1:3">
      <c r="A1965" s="36">
        <v>33709738459</v>
      </c>
      <c r="B1965" t="s">
        <v>1547</v>
      </c>
      <c r="C1965" s="35" t="s">
        <v>2359</v>
      </c>
    </row>
    <row r="1966" spans="1:3">
      <c r="A1966" s="36">
        <v>33709738459</v>
      </c>
      <c r="B1966" t="s">
        <v>1547</v>
      </c>
      <c r="C1966" s="35" t="s">
        <v>2359</v>
      </c>
    </row>
    <row r="1967" spans="1:3">
      <c r="A1967" s="36">
        <v>33709738459</v>
      </c>
      <c r="B1967" t="s">
        <v>1547</v>
      </c>
      <c r="C1967" s="35" t="s">
        <v>2359</v>
      </c>
    </row>
    <row r="1968" spans="1:3">
      <c r="A1968" s="36">
        <v>33709738459</v>
      </c>
      <c r="B1968" t="s">
        <v>1547</v>
      </c>
      <c r="C1968" s="35" t="s">
        <v>2359</v>
      </c>
    </row>
    <row r="1969" spans="1:3">
      <c r="A1969" s="36">
        <v>30696246234</v>
      </c>
      <c r="B1969" t="s">
        <v>568</v>
      </c>
      <c r="C1969" s="35" t="s">
        <v>2359</v>
      </c>
    </row>
    <row r="1970" spans="1:3">
      <c r="A1970" s="36">
        <v>30696246234</v>
      </c>
      <c r="B1970" t="s">
        <v>568</v>
      </c>
      <c r="C1970" s="35" t="s">
        <v>2359</v>
      </c>
    </row>
    <row r="1971" spans="1:3">
      <c r="A1971" s="36">
        <v>30696246234</v>
      </c>
      <c r="B1971" t="s">
        <v>568</v>
      </c>
      <c r="C1971" s="35" t="s">
        <v>2359</v>
      </c>
    </row>
    <row r="1972" spans="1:3">
      <c r="A1972" s="36">
        <v>30546846217</v>
      </c>
      <c r="B1972" t="s">
        <v>1548</v>
      </c>
      <c r="C1972" s="35" t="s">
        <v>796</v>
      </c>
    </row>
    <row r="1973" spans="1:3">
      <c r="A1973" s="36">
        <v>30546846217</v>
      </c>
      <c r="B1973" t="s">
        <v>1548</v>
      </c>
      <c r="C1973" s="35" t="s">
        <v>796</v>
      </c>
    </row>
    <row r="1974" spans="1:3">
      <c r="A1974" s="36">
        <v>30621884634</v>
      </c>
      <c r="B1974" t="s">
        <v>2271</v>
      </c>
      <c r="C1974" s="35" t="s">
        <v>781</v>
      </c>
    </row>
    <row r="1975" spans="1:3">
      <c r="A1975" s="36">
        <v>12180749</v>
      </c>
      <c r="B1975" t="s">
        <v>1549</v>
      </c>
    </row>
    <row r="1976" spans="1:3">
      <c r="A1976" s="36">
        <v>30590412631</v>
      </c>
      <c r="B1976" t="s">
        <v>1550</v>
      </c>
      <c r="C1976" s="35" t="s">
        <v>796</v>
      </c>
    </row>
    <row r="1977" spans="1:3">
      <c r="A1977" s="36">
        <v>30590412631</v>
      </c>
      <c r="B1977" t="s">
        <v>1550</v>
      </c>
      <c r="C1977" s="35" t="s">
        <v>796</v>
      </c>
    </row>
    <row r="1978" spans="1:3">
      <c r="A1978" s="36">
        <v>30518922897</v>
      </c>
      <c r="B1978" t="s">
        <v>569</v>
      </c>
    </row>
    <row r="1979" spans="1:3">
      <c r="A1979" s="36">
        <v>30546666189</v>
      </c>
      <c r="B1979" t="s">
        <v>1551</v>
      </c>
      <c r="C1979" s="35" t="s">
        <v>796</v>
      </c>
    </row>
    <row r="1980" spans="1:3">
      <c r="A1980" s="36" t="s">
        <v>1552</v>
      </c>
      <c r="B1980" t="s">
        <v>1553</v>
      </c>
      <c r="C1980" s="35" t="s">
        <v>796</v>
      </c>
    </row>
    <row r="1981" spans="1:3">
      <c r="A1981" s="36">
        <v>30710329113</v>
      </c>
      <c r="B1981" t="s">
        <v>2152</v>
      </c>
    </row>
    <row r="1982" spans="1:3">
      <c r="A1982" s="36">
        <v>30658137642</v>
      </c>
      <c r="B1982" t="s">
        <v>1554</v>
      </c>
      <c r="C1982" s="35" t="s">
        <v>796</v>
      </c>
    </row>
    <row r="1983" spans="1:3">
      <c r="A1983" s="36">
        <v>30658137642</v>
      </c>
      <c r="B1983" t="s">
        <v>1554</v>
      </c>
      <c r="C1983" s="35" t="s">
        <v>796</v>
      </c>
    </row>
    <row r="1984" spans="1:3">
      <c r="A1984" s="36">
        <v>34959131</v>
      </c>
      <c r="B1984" t="s">
        <v>1555</v>
      </c>
    </row>
    <row r="1985" spans="1:3">
      <c r="A1985" s="36">
        <v>34959131</v>
      </c>
      <c r="B1985" t="s">
        <v>1555</v>
      </c>
    </row>
    <row r="1986" spans="1:3">
      <c r="A1986" s="36">
        <v>30600271004</v>
      </c>
      <c r="B1986" t="s">
        <v>570</v>
      </c>
    </row>
    <row r="1987" spans="1:3">
      <c r="A1987" s="36">
        <v>30707080198</v>
      </c>
      <c r="B1987" t="s">
        <v>1556</v>
      </c>
      <c r="C1987" s="35" t="s">
        <v>2370</v>
      </c>
    </row>
    <row r="1988" spans="1:3">
      <c r="A1988" s="36"/>
    </row>
    <row r="1989" spans="1:3">
      <c r="A1989" s="36"/>
    </row>
    <row r="1990" spans="1:3">
      <c r="A1990" s="36"/>
    </row>
    <row r="1991" spans="1:3">
      <c r="A1991" s="36"/>
    </row>
    <row r="1992" spans="1:3">
      <c r="A1992" s="36"/>
    </row>
    <row r="1993" spans="1:3">
      <c r="A1993" s="36">
        <v>30643862928</v>
      </c>
      <c r="B1993" t="s">
        <v>571</v>
      </c>
      <c r="C1993" s="35" t="s">
        <v>2359</v>
      </c>
    </row>
    <row r="1994" spans="1:3">
      <c r="A1994" s="36">
        <v>30643862928</v>
      </c>
      <c r="B1994" t="s">
        <v>571</v>
      </c>
      <c r="C1994" s="35" t="s">
        <v>2359</v>
      </c>
    </row>
    <row r="1995" spans="1:3">
      <c r="A1995" s="36">
        <v>20464199633</v>
      </c>
      <c r="B1995" t="s">
        <v>2285</v>
      </c>
      <c r="C1995" s="35" t="s">
        <v>2359</v>
      </c>
    </row>
    <row r="1996" spans="1:3">
      <c r="A1996" s="36">
        <v>30709517976</v>
      </c>
      <c r="B1996" t="s">
        <v>572</v>
      </c>
    </row>
    <row r="1997" spans="1:3">
      <c r="A1997" s="36">
        <v>20266254084</v>
      </c>
      <c r="B1997" t="s">
        <v>573</v>
      </c>
    </row>
    <row r="1998" spans="1:3">
      <c r="A1998" s="36">
        <v>20277164192</v>
      </c>
      <c r="B1998" t="s">
        <v>1557</v>
      </c>
      <c r="C1998" s="35" t="s">
        <v>43</v>
      </c>
    </row>
    <row r="1999" spans="1:3">
      <c r="A1999" s="36">
        <v>20277164192</v>
      </c>
      <c r="B1999" t="s">
        <v>1557</v>
      </c>
      <c r="C1999" s="35" t="s">
        <v>2411</v>
      </c>
    </row>
    <row r="2000" spans="1:3">
      <c r="A2000" s="36">
        <v>20244632034</v>
      </c>
      <c r="B2000" t="s">
        <v>1558</v>
      </c>
    </row>
    <row r="2001" spans="1:3">
      <c r="A2001" s="36">
        <v>23214426684</v>
      </c>
      <c r="B2001" t="s">
        <v>2017</v>
      </c>
    </row>
    <row r="2002" spans="1:3">
      <c r="A2002" s="36">
        <v>30707801987</v>
      </c>
      <c r="B2002" t="s">
        <v>574</v>
      </c>
    </row>
    <row r="2003" spans="1:3">
      <c r="A2003" s="36">
        <v>52904417</v>
      </c>
      <c r="B2003" t="s">
        <v>1559</v>
      </c>
    </row>
    <row r="2004" spans="1:3">
      <c r="A2004" s="36">
        <v>22344274</v>
      </c>
      <c r="B2004" t="s">
        <v>1983</v>
      </c>
    </row>
    <row r="2005" spans="1:3">
      <c r="A2005" s="36">
        <v>20214946867</v>
      </c>
      <c r="B2005" t="s">
        <v>2334</v>
      </c>
      <c r="C2005" s="35" t="s">
        <v>43</v>
      </c>
    </row>
    <row r="2006" spans="1:3">
      <c r="A2006" s="36">
        <v>48937669</v>
      </c>
      <c r="B2006" t="s">
        <v>1560</v>
      </c>
    </row>
    <row r="2007" spans="1:3">
      <c r="A2007" s="36">
        <v>20258213336</v>
      </c>
      <c r="B2007" t="s">
        <v>1561</v>
      </c>
    </row>
    <row r="2008" spans="1:3">
      <c r="A2008" s="36">
        <v>11824489</v>
      </c>
      <c r="B2008" t="s">
        <v>1562</v>
      </c>
    </row>
    <row r="2009" spans="1:3">
      <c r="A2009" s="36">
        <v>20043911369</v>
      </c>
      <c r="B2009" t="s">
        <v>1563</v>
      </c>
      <c r="C2009" s="35" t="s">
        <v>2359</v>
      </c>
    </row>
    <row r="2010" spans="1:3">
      <c r="A2010" s="36">
        <v>14391764</v>
      </c>
      <c r="B2010" t="s">
        <v>2043</v>
      </c>
    </row>
    <row r="2011" spans="1:3">
      <c r="A2011" s="36">
        <v>4869272</v>
      </c>
      <c r="B2011" t="s">
        <v>1564</v>
      </c>
    </row>
    <row r="2012" spans="1:3">
      <c r="A2012" s="36">
        <v>20275351254</v>
      </c>
      <c r="B2012" t="s">
        <v>2204</v>
      </c>
      <c r="C2012" s="35" t="s">
        <v>2367</v>
      </c>
    </row>
    <row r="2013" spans="1:3">
      <c r="A2013" s="36">
        <v>20275351254</v>
      </c>
      <c r="B2013" t="s">
        <v>2204</v>
      </c>
      <c r="C2013" s="35" t="s">
        <v>2367</v>
      </c>
    </row>
    <row r="2014" spans="1:3">
      <c r="A2014" s="36">
        <v>30695542476</v>
      </c>
      <c r="B2014" t="s">
        <v>103</v>
      </c>
      <c r="C2014" s="35" t="s">
        <v>44</v>
      </c>
    </row>
    <row r="2015" spans="1:3">
      <c r="A2015" s="36">
        <v>30695542476</v>
      </c>
      <c r="B2015" t="s">
        <v>103</v>
      </c>
      <c r="C2015" s="35" t="s">
        <v>44</v>
      </c>
    </row>
    <row r="2016" spans="1:3">
      <c r="A2016" s="36">
        <v>30587197215</v>
      </c>
      <c r="B2016" t="s">
        <v>1904</v>
      </c>
      <c r="C2016" s="35" t="s">
        <v>79</v>
      </c>
    </row>
    <row r="2017" spans="1:3">
      <c r="A2017" s="36">
        <v>30587197215</v>
      </c>
      <c r="B2017" t="s">
        <v>1904</v>
      </c>
      <c r="C2017" s="35" t="s">
        <v>1905</v>
      </c>
    </row>
    <row r="2018" spans="1:3">
      <c r="A2018" s="36">
        <v>21644389</v>
      </c>
      <c r="B2018" t="s">
        <v>1565</v>
      </c>
    </row>
    <row r="2019" spans="1:3">
      <c r="A2019" s="36">
        <v>30591633984</v>
      </c>
      <c r="B2019" t="s">
        <v>1566</v>
      </c>
      <c r="C2019" s="35" t="s">
        <v>2359</v>
      </c>
    </row>
    <row r="2020" spans="1:3">
      <c r="A2020" s="36">
        <v>30591633984</v>
      </c>
      <c r="B2020" t="s">
        <v>1566</v>
      </c>
      <c r="C2020" s="35" t="s">
        <v>2359</v>
      </c>
    </row>
    <row r="2021" spans="1:3">
      <c r="A2021" s="36">
        <v>27819258</v>
      </c>
      <c r="B2021" t="s">
        <v>1939</v>
      </c>
    </row>
    <row r="2022" spans="1:3">
      <c r="A2022" s="36">
        <v>93661336</v>
      </c>
      <c r="B2022" t="s">
        <v>1567</v>
      </c>
    </row>
    <row r="2023" spans="1:3">
      <c r="A2023" s="36">
        <v>21831195</v>
      </c>
      <c r="B2023" t="s">
        <v>1568</v>
      </c>
    </row>
    <row r="2024" spans="1:3">
      <c r="A2024" s="36">
        <v>20935729662</v>
      </c>
      <c r="B2024" t="s">
        <v>575</v>
      </c>
    </row>
    <row r="2025" spans="1:3">
      <c r="A2025" s="36">
        <v>30716815710</v>
      </c>
      <c r="B2025" t="s">
        <v>1569</v>
      </c>
      <c r="C2025" s="35" t="s">
        <v>46</v>
      </c>
    </row>
    <row r="2026" spans="1:3">
      <c r="A2026" s="36">
        <v>30716815710</v>
      </c>
      <c r="B2026" t="s">
        <v>1569</v>
      </c>
      <c r="C2026" s="35" t="s">
        <v>46</v>
      </c>
    </row>
    <row r="2027" spans="1:3">
      <c r="A2027" s="36">
        <v>30588917157</v>
      </c>
      <c r="B2027" t="s">
        <v>576</v>
      </c>
      <c r="C2027" s="35" t="s">
        <v>2359</v>
      </c>
    </row>
    <row r="2028" spans="1:3">
      <c r="A2028" s="36">
        <v>30687255492</v>
      </c>
      <c r="B2028" t="s">
        <v>577</v>
      </c>
    </row>
    <row r="2029" spans="1:3">
      <c r="A2029" s="36">
        <v>30605041287</v>
      </c>
      <c r="B2029" t="s">
        <v>578</v>
      </c>
      <c r="C2029" s="35" t="s">
        <v>79</v>
      </c>
    </row>
    <row r="2030" spans="1:3">
      <c r="A2030" s="36">
        <v>30715401114</v>
      </c>
      <c r="B2030" t="s">
        <v>579</v>
      </c>
      <c r="C2030" s="35" t="s">
        <v>2359</v>
      </c>
    </row>
    <row r="2031" spans="1:3">
      <c r="A2031" s="36">
        <v>20330194651</v>
      </c>
      <c r="B2031" t="s">
        <v>2364</v>
      </c>
      <c r="C2031" s="35" t="s">
        <v>79</v>
      </c>
    </row>
    <row r="2032" spans="1:3">
      <c r="A2032" s="36">
        <v>6653678</v>
      </c>
      <c r="B2032" t="s">
        <v>1570</v>
      </c>
    </row>
    <row r="2033" spans="1:3">
      <c r="A2033" s="36">
        <v>28332849</v>
      </c>
      <c r="B2033" t="s">
        <v>1571</v>
      </c>
    </row>
    <row r="2034" spans="1:3">
      <c r="A2034" s="36">
        <v>16218369</v>
      </c>
      <c r="B2034" t="s">
        <v>580</v>
      </c>
    </row>
    <row r="2035" spans="1:3">
      <c r="A2035" s="36">
        <v>33693786369</v>
      </c>
      <c r="B2035" t="s">
        <v>1572</v>
      </c>
      <c r="C2035" s="35" t="s">
        <v>2359</v>
      </c>
    </row>
    <row r="2036" spans="1:3">
      <c r="A2036" s="36">
        <v>23102546</v>
      </c>
      <c r="B2036" t="s">
        <v>1573</v>
      </c>
    </row>
    <row r="2037" spans="1:3">
      <c r="A2037" s="36">
        <v>43993254</v>
      </c>
      <c r="B2037" t="s">
        <v>2046</v>
      </c>
    </row>
    <row r="2038" spans="1:3">
      <c r="A2038" s="36">
        <v>30707515232</v>
      </c>
      <c r="B2038" t="s">
        <v>581</v>
      </c>
    </row>
    <row r="2039" spans="1:3">
      <c r="A2039" s="36">
        <v>30627583873</v>
      </c>
      <c r="B2039" t="s">
        <v>1574</v>
      </c>
      <c r="C2039" s="35" t="s">
        <v>44</v>
      </c>
    </row>
    <row r="2040" spans="1:3">
      <c r="A2040" s="36">
        <v>12587820</v>
      </c>
      <c r="B2040" t="s">
        <v>1575</v>
      </c>
    </row>
    <row r="2041" spans="1:3">
      <c r="A2041" s="36">
        <v>10691269</v>
      </c>
      <c r="B2041" t="s">
        <v>1884</v>
      </c>
    </row>
    <row r="2042" spans="1:3">
      <c r="A2042" s="36">
        <v>20110352108</v>
      </c>
      <c r="B2042" t="s">
        <v>2160</v>
      </c>
    </row>
    <row r="2043" spans="1:3">
      <c r="A2043" s="36">
        <v>30715413678</v>
      </c>
      <c r="B2043" t="s">
        <v>1576</v>
      </c>
      <c r="C2043" s="35" t="s">
        <v>1577</v>
      </c>
    </row>
    <row r="2044" spans="1:3">
      <c r="A2044" s="36">
        <v>20073771987</v>
      </c>
      <c r="B2044" t="s">
        <v>1578</v>
      </c>
    </row>
    <row r="2045" spans="1:3">
      <c r="A2045" s="36">
        <v>20108555417</v>
      </c>
      <c r="B2045" t="s">
        <v>1834</v>
      </c>
      <c r="C2045" s="35" t="s">
        <v>2359</v>
      </c>
    </row>
    <row r="2046" spans="1:3">
      <c r="A2046" s="36">
        <v>27127809521</v>
      </c>
      <c r="B2046" t="s">
        <v>582</v>
      </c>
    </row>
    <row r="2047" spans="1:3">
      <c r="A2047" s="36">
        <v>94061699</v>
      </c>
      <c r="B2047" t="s">
        <v>1579</v>
      </c>
    </row>
    <row r="2048" spans="1:3">
      <c r="A2048" s="36">
        <v>20316749942</v>
      </c>
      <c r="B2048" t="s">
        <v>2366</v>
      </c>
      <c r="C2048" s="35" t="s">
        <v>804</v>
      </c>
    </row>
    <row r="2049" spans="1:3">
      <c r="A2049" s="36">
        <v>30717764370</v>
      </c>
      <c r="B2049" t="s">
        <v>2259</v>
      </c>
      <c r="C2049" s="35" t="s">
        <v>79</v>
      </c>
    </row>
    <row r="2050" spans="1:3">
      <c r="A2050" s="36">
        <v>30708084944</v>
      </c>
      <c r="B2050" t="s">
        <v>583</v>
      </c>
    </row>
    <row r="2051" spans="1:3">
      <c r="A2051" s="36">
        <v>13597783</v>
      </c>
      <c r="B2051" t="s">
        <v>2073</v>
      </c>
    </row>
    <row r="2052" spans="1:3">
      <c r="A2052" s="36">
        <v>20280154602</v>
      </c>
      <c r="B2052" t="s">
        <v>1580</v>
      </c>
    </row>
    <row r="2053" spans="1:3">
      <c r="A2053" s="36">
        <v>14547155</v>
      </c>
      <c r="B2053" t="s">
        <v>1581</v>
      </c>
    </row>
    <row r="2054" spans="1:3">
      <c r="A2054" s="36">
        <v>27202824</v>
      </c>
      <c r="B2054" t="s">
        <v>1582</v>
      </c>
    </row>
    <row r="2055" spans="1:3">
      <c r="A2055" s="36">
        <v>28156061</v>
      </c>
      <c r="B2055" t="s">
        <v>1894</v>
      </c>
    </row>
    <row r="2056" spans="1:3">
      <c r="A2056" s="36">
        <v>26911149</v>
      </c>
      <c r="B2056" t="s">
        <v>1872</v>
      </c>
    </row>
    <row r="2057" spans="1:3">
      <c r="A2057" s="36">
        <v>5242300</v>
      </c>
      <c r="B2057" t="s">
        <v>1583</v>
      </c>
    </row>
    <row r="2058" spans="1:3">
      <c r="A2058" s="36">
        <v>29399469</v>
      </c>
      <c r="B2058" t="s">
        <v>2078</v>
      </c>
    </row>
    <row r="2059" spans="1:3">
      <c r="A2059" s="36">
        <v>23282830299</v>
      </c>
      <c r="B2059" t="s">
        <v>1584</v>
      </c>
      <c r="C2059" s="35" t="s">
        <v>2359</v>
      </c>
    </row>
    <row r="2060" spans="1:3">
      <c r="A2060" s="36">
        <v>26198343</v>
      </c>
      <c r="B2060" t="s">
        <v>584</v>
      </c>
    </row>
    <row r="2061" spans="1:3">
      <c r="A2061" s="36">
        <v>23131563779</v>
      </c>
      <c r="B2061" t="s">
        <v>585</v>
      </c>
    </row>
    <row r="2062" spans="1:3">
      <c r="A2062" s="36">
        <v>10142132</v>
      </c>
      <c r="B2062" t="s">
        <v>1969</v>
      </c>
    </row>
    <row r="2063" spans="1:3">
      <c r="A2063" s="36">
        <v>12409158</v>
      </c>
      <c r="B2063" t="s">
        <v>1585</v>
      </c>
    </row>
    <row r="2064" spans="1:3">
      <c r="A2064" s="36">
        <v>4222871</v>
      </c>
      <c r="B2064" t="s">
        <v>1586</v>
      </c>
    </row>
    <row r="2065" spans="1:3">
      <c r="A2065" s="36">
        <v>27316249154</v>
      </c>
      <c r="B2065" t="s">
        <v>2013</v>
      </c>
      <c r="C2065" s="35" t="s">
        <v>2359</v>
      </c>
    </row>
    <row r="2066" spans="1:3">
      <c r="A2066" s="36">
        <v>26879563</v>
      </c>
      <c r="B2066" t="s">
        <v>1587</v>
      </c>
    </row>
    <row r="2067" spans="1:3">
      <c r="A2067" s="36">
        <v>5765391</v>
      </c>
      <c r="B2067" t="s">
        <v>1588</v>
      </c>
    </row>
    <row r="2068" spans="1:3">
      <c r="A2068" s="36">
        <v>6047149</v>
      </c>
      <c r="B2068" t="s">
        <v>1589</v>
      </c>
    </row>
    <row r="2069" spans="1:3">
      <c r="A2069" s="36">
        <v>11414</v>
      </c>
      <c r="B2069" t="s">
        <v>1590</v>
      </c>
    </row>
    <row r="2070" spans="1:3">
      <c r="A2070" s="36">
        <v>20274327678</v>
      </c>
      <c r="B2070" t="s">
        <v>1591</v>
      </c>
      <c r="C2070" s="35" t="s">
        <v>781</v>
      </c>
    </row>
    <row r="2071" spans="1:3">
      <c r="A2071" s="36">
        <v>16493187</v>
      </c>
      <c r="B2071" t="s">
        <v>1882</v>
      </c>
    </row>
    <row r="2072" spans="1:3">
      <c r="A2072" s="36">
        <v>20185074</v>
      </c>
      <c r="B2072" t="s">
        <v>1865</v>
      </c>
    </row>
    <row r="2073" spans="1:3">
      <c r="A2073" s="36">
        <v>20277890306</v>
      </c>
      <c r="B2073" t="s">
        <v>586</v>
      </c>
      <c r="C2073" s="35" t="s">
        <v>2359</v>
      </c>
    </row>
    <row r="2074" spans="1:3">
      <c r="A2074" s="36">
        <v>3474914</v>
      </c>
      <c r="B2074" t="s">
        <v>1592</v>
      </c>
    </row>
    <row r="2075" spans="1:3">
      <c r="A2075" s="36">
        <v>30709975427</v>
      </c>
      <c r="B2075" t="s">
        <v>587</v>
      </c>
    </row>
    <row r="2076" spans="1:3">
      <c r="A2076" s="36">
        <v>33714646899</v>
      </c>
      <c r="B2076" t="s">
        <v>588</v>
      </c>
    </row>
    <row r="2077" spans="1:3">
      <c r="A2077" s="36">
        <v>27349179</v>
      </c>
      <c r="B2077" t="s">
        <v>1593</v>
      </c>
    </row>
    <row r="2078" spans="1:3">
      <c r="A2078" s="36">
        <v>30504744538</v>
      </c>
      <c r="B2078" t="s">
        <v>104</v>
      </c>
    </row>
    <row r="2079" spans="1:3">
      <c r="A2079" s="36">
        <v>30711583765</v>
      </c>
      <c r="B2079" t="s">
        <v>2251</v>
      </c>
      <c r="C2079" s="35" t="s">
        <v>781</v>
      </c>
    </row>
    <row r="2080" spans="1:3">
      <c r="A2080" s="36">
        <v>30711583765</v>
      </c>
      <c r="B2080" t="s">
        <v>2251</v>
      </c>
    </row>
    <row r="2081" spans="1:3">
      <c r="A2081" s="36">
        <v>27182477368</v>
      </c>
      <c r="B2081" t="s">
        <v>1594</v>
      </c>
      <c r="C2081" s="35" t="s">
        <v>796</v>
      </c>
    </row>
    <row r="2082" spans="1:3">
      <c r="A2082" s="36">
        <v>27182477368</v>
      </c>
      <c r="B2082" t="s">
        <v>1594</v>
      </c>
      <c r="C2082" s="35" t="s">
        <v>796</v>
      </c>
    </row>
    <row r="2083" spans="1:3">
      <c r="A2083" s="36">
        <v>27182477368</v>
      </c>
      <c r="B2083" t="s">
        <v>1594</v>
      </c>
    </row>
    <row r="2084" spans="1:3">
      <c r="A2084" s="36">
        <v>20263536518</v>
      </c>
      <c r="B2084" t="s">
        <v>2274</v>
      </c>
      <c r="C2084" s="35" t="s">
        <v>79</v>
      </c>
    </row>
    <row r="2085" spans="1:3">
      <c r="A2085" s="36">
        <v>30709645656</v>
      </c>
      <c r="B2085" t="s">
        <v>1595</v>
      </c>
    </row>
    <row r="2086" spans="1:3">
      <c r="A2086" s="36">
        <v>20307462207</v>
      </c>
      <c r="B2086" t="s">
        <v>1596</v>
      </c>
    </row>
    <row r="2087" spans="1:3">
      <c r="A2087" s="36">
        <v>20113613646</v>
      </c>
      <c r="B2087" t="s">
        <v>589</v>
      </c>
      <c r="C2087" s="35" t="s">
        <v>79</v>
      </c>
    </row>
    <row r="2088" spans="1:3">
      <c r="A2088" s="36">
        <v>20113613646</v>
      </c>
      <c r="B2088" t="s">
        <v>589</v>
      </c>
      <c r="C2088" s="35" t="s">
        <v>46</v>
      </c>
    </row>
    <row r="2089" spans="1:3">
      <c r="A2089" s="36">
        <v>30502174904</v>
      </c>
      <c r="B2089" t="s">
        <v>590</v>
      </c>
      <c r="C2089" s="35" t="s">
        <v>2359</v>
      </c>
    </row>
    <row r="2090" spans="1:3">
      <c r="A2090" s="36">
        <v>30601502085</v>
      </c>
      <c r="B2090" t="s">
        <v>1597</v>
      </c>
      <c r="C2090" s="35" t="s">
        <v>1220</v>
      </c>
    </row>
    <row r="2091" spans="1:3">
      <c r="A2091" s="36">
        <v>30707228098</v>
      </c>
      <c r="B2091" t="s">
        <v>591</v>
      </c>
    </row>
    <row r="2092" spans="1:3">
      <c r="A2092" s="36">
        <v>20184015820</v>
      </c>
      <c r="B2092" t="s">
        <v>1903</v>
      </c>
      <c r="C2092" s="35" t="s">
        <v>79</v>
      </c>
    </row>
    <row r="2093" spans="1:3">
      <c r="A2093" s="36">
        <v>30564068388</v>
      </c>
      <c r="B2093" t="s">
        <v>1598</v>
      </c>
      <c r="C2093" s="35" t="s">
        <v>2359</v>
      </c>
    </row>
    <row r="2094" spans="1:3">
      <c r="A2094" s="36">
        <v>20325657988</v>
      </c>
      <c r="B2094" t="s">
        <v>592</v>
      </c>
    </row>
    <row r="2095" spans="1:3">
      <c r="A2095" s="36">
        <v>361628887</v>
      </c>
      <c r="B2095" t="s">
        <v>1599</v>
      </c>
    </row>
    <row r="2096" spans="1:3">
      <c r="A2096" s="36">
        <v>33663136459</v>
      </c>
      <c r="B2096" t="s">
        <v>2062</v>
      </c>
    </row>
    <row r="2097" spans="1:3">
      <c r="A2097" s="36">
        <v>30646512952</v>
      </c>
      <c r="B2097" t="s">
        <v>593</v>
      </c>
      <c r="C2097" s="35" t="s">
        <v>2367</v>
      </c>
    </row>
    <row r="2098" spans="1:3">
      <c r="A2098" s="36">
        <v>30646512952</v>
      </c>
      <c r="B2098" t="s">
        <v>593</v>
      </c>
    </row>
    <row r="2099" spans="1:3">
      <c r="A2099" s="36">
        <v>30577428618</v>
      </c>
      <c r="B2099" t="s">
        <v>105</v>
      </c>
      <c r="C2099" s="35" t="s">
        <v>2359</v>
      </c>
    </row>
    <row r="2100" spans="1:3">
      <c r="A2100" s="36">
        <v>30697754063</v>
      </c>
      <c r="B2100" t="s">
        <v>594</v>
      </c>
    </row>
    <row r="2101" spans="1:3">
      <c r="A2101" s="36">
        <v>22873045</v>
      </c>
      <c r="B2101" t="s">
        <v>1600</v>
      </c>
    </row>
    <row r="2102" spans="1:3">
      <c r="A2102" s="36">
        <v>93351604</v>
      </c>
      <c r="B2102" t="s">
        <v>1964</v>
      </c>
    </row>
    <row r="2103" spans="1:3">
      <c r="A2103" s="36">
        <v>27279386715</v>
      </c>
      <c r="B2103" t="s">
        <v>1601</v>
      </c>
      <c r="C2103" s="35" t="s">
        <v>79</v>
      </c>
    </row>
    <row r="2104" spans="1:3">
      <c r="A2104" s="36">
        <v>23958603</v>
      </c>
      <c r="B2104" t="s">
        <v>1602</v>
      </c>
    </row>
    <row r="2105" spans="1:3">
      <c r="A2105" s="36">
        <v>6470184</v>
      </c>
      <c r="B2105" t="s">
        <v>1603</v>
      </c>
    </row>
    <row r="2106" spans="1:3">
      <c r="A2106" s="36">
        <v>6493229</v>
      </c>
      <c r="B2106" t="s">
        <v>1604</v>
      </c>
    </row>
    <row r="2107" spans="1:3">
      <c r="A2107" s="36">
        <v>30715630040</v>
      </c>
      <c r="B2107" t="s">
        <v>2335</v>
      </c>
      <c r="C2107" s="35" t="s">
        <v>804</v>
      </c>
    </row>
    <row r="2108" spans="1:3">
      <c r="A2108" s="36">
        <v>27370346742</v>
      </c>
      <c r="B2108" t="s">
        <v>1605</v>
      </c>
      <c r="C2108" s="35" t="s">
        <v>1606</v>
      </c>
    </row>
    <row r="2109" spans="1:3">
      <c r="A2109" s="36">
        <v>14033578</v>
      </c>
      <c r="B2109" t="s">
        <v>1607</v>
      </c>
    </row>
    <row r="2110" spans="1:3">
      <c r="A2110" s="36">
        <v>10996926</v>
      </c>
      <c r="B2110" t="s">
        <v>1881</v>
      </c>
    </row>
    <row r="2111" spans="1:3">
      <c r="A2111" s="36">
        <v>30555517757</v>
      </c>
      <c r="B2111" t="s">
        <v>595</v>
      </c>
    </row>
    <row r="2112" spans="1:3">
      <c r="A2112" s="36">
        <v>3615198</v>
      </c>
      <c r="B2112" t="s">
        <v>1608</v>
      </c>
    </row>
    <row r="2113" spans="1:3">
      <c r="A2113" s="36">
        <v>93355824</v>
      </c>
      <c r="B2113" t="s">
        <v>1609</v>
      </c>
    </row>
    <row r="2114" spans="1:3">
      <c r="A2114" s="36">
        <v>20304493039</v>
      </c>
      <c r="B2114" t="s">
        <v>596</v>
      </c>
      <c r="C2114" s="35" t="s">
        <v>2359</v>
      </c>
    </row>
    <row r="2115" spans="1:3">
      <c r="A2115" s="36">
        <v>30601399446</v>
      </c>
      <c r="B2115" t="s">
        <v>597</v>
      </c>
    </row>
    <row r="2116" spans="1:3">
      <c r="A2116" s="36">
        <v>33643358749</v>
      </c>
      <c r="B2116" t="s">
        <v>2019</v>
      </c>
      <c r="C2116" s="35" t="s">
        <v>46</v>
      </c>
    </row>
    <row r="2117" spans="1:3">
      <c r="A2117" s="36">
        <v>33643358749</v>
      </c>
      <c r="B2117" t="s">
        <v>2019</v>
      </c>
    </row>
    <row r="2118" spans="1:3">
      <c r="A2118" s="36">
        <v>30714249416</v>
      </c>
      <c r="B2118" t="s">
        <v>598</v>
      </c>
    </row>
    <row r="2119" spans="1:3">
      <c r="A2119" s="36">
        <v>30715979213</v>
      </c>
      <c r="B2119" t="s">
        <v>2195</v>
      </c>
      <c r="C2119" s="35" t="s">
        <v>2367</v>
      </c>
    </row>
    <row r="2120" spans="1:3">
      <c r="A2120" s="36">
        <v>30715979213</v>
      </c>
      <c r="B2120" t="s">
        <v>2195</v>
      </c>
    </row>
    <row r="2121" spans="1:3">
      <c r="A2121" s="36">
        <v>33517024819</v>
      </c>
      <c r="B2121" t="s">
        <v>599</v>
      </c>
      <c r="C2121" s="35" t="s">
        <v>2359</v>
      </c>
    </row>
    <row r="2122" spans="1:3">
      <c r="A2122" s="36">
        <v>30716557010</v>
      </c>
      <c r="B2122" t="s">
        <v>2148</v>
      </c>
      <c r="C2122" s="35" t="s">
        <v>79</v>
      </c>
    </row>
    <row r="2123" spans="1:3">
      <c r="A2123" s="36">
        <v>30716557010</v>
      </c>
      <c r="B2123" t="s">
        <v>2148</v>
      </c>
      <c r="C2123" s="35" t="s">
        <v>79</v>
      </c>
    </row>
    <row r="2124" spans="1:3">
      <c r="A2124" s="36">
        <v>30710449658</v>
      </c>
      <c r="B2124" t="s">
        <v>2180</v>
      </c>
      <c r="C2124" s="35" t="s">
        <v>2413</v>
      </c>
    </row>
    <row r="2125" spans="1:3">
      <c r="A2125" s="36">
        <v>30710449658</v>
      </c>
      <c r="B2125" t="s">
        <v>2180</v>
      </c>
    </row>
    <row r="2126" spans="1:3">
      <c r="A2126" s="36">
        <v>30620177497</v>
      </c>
      <c r="B2126" t="s">
        <v>1610</v>
      </c>
      <c r="C2126" s="35" t="s">
        <v>79</v>
      </c>
    </row>
    <row r="2127" spans="1:3">
      <c r="A2127" s="36">
        <v>30620177497</v>
      </c>
      <c r="B2127" t="s">
        <v>1610</v>
      </c>
      <c r="C2127" s="35" t="s">
        <v>43</v>
      </c>
    </row>
    <row r="2128" spans="1:3">
      <c r="A2128" s="36">
        <v>30714228060</v>
      </c>
      <c r="B2128" t="s">
        <v>2254</v>
      </c>
      <c r="C2128" s="35" t="s">
        <v>804</v>
      </c>
    </row>
    <row r="2129" spans="1:3">
      <c r="A2129" s="36">
        <v>30714228060</v>
      </c>
      <c r="B2129" t="s">
        <v>2254</v>
      </c>
      <c r="C2129" s="35" t="s">
        <v>804</v>
      </c>
    </row>
    <row r="2130" spans="1:3">
      <c r="A2130" s="36">
        <v>27203132722</v>
      </c>
      <c r="B2130" t="s">
        <v>600</v>
      </c>
    </row>
    <row r="2131" spans="1:3">
      <c r="A2131" s="36">
        <v>3051750</v>
      </c>
      <c r="B2131" t="s">
        <v>1611</v>
      </c>
    </row>
    <row r="2132" spans="1:3">
      <c r="A2132" s="36">
        <v>20046086806</v>
      </c>
      <c r="B2132" t="s">
        <v>1900</v>
      </c>
      <c r="C2132" s="35" t="s">
        <v>79</v>
      </c>
    </row>
    <row r="2133" spans="1:3">
      <c r="A2133" s="36">
        <v>27265302225</v>
      </c>
      <c r="B2133" t="s">
        <v>1612</v>
      </c>
      <c r="C2133" s="35" t="s">
        <v>2359</v>
      </c>
    </row>
    <row r="2134" spans="1:3">
      <c r="A2134" s="36">
        <v>20264653313</v>
      </c>
      <c r="B2134" t="s">
        <v>1911</v>
      </c>
      <c r="C2134" s="35" t="s">
        <v>781</v>
      </c>
    </row>
    <row r="2135" spans="1:3">
      <c r="A2135" s="36">
        <v>30583464138</v>
      </c>
      <c r="B2135" t="s">
        <v>601</v>
      </c>
    </row>
    <row r="2136" spans="1:3">
      <c r="A2136" s="36">
        <v>30532880773</v>
      </c>
      <c r="B2136" t="s">
        <v>2276</v>
      </c>
      <c r="C2136" s="35" t="s">
        <v>79</v>
      </c>
    </row>
    <row r="2137" spans="1:3">
      <c r="A2137" s="36">
        <v>30715740806</v>
      </c>
      <c r="B2137" t="s">
        <v>1613</v>
      </c>
      <c r="C2137" s="35" t="s">
        <v>79</v>
      </c>
    </row>
    <row r="2138" spans="1:3">
      <c r="A2138" s="36">
        <v>30711122911</v>
      </c>
      <c r="B2138" t="s">
        <v>602</v>
      </c>
    </row>
    <row r="2139" spans="1:3">
      <c r="A2139" s="36">
        <v>20362272441</v>
      </c>
      <c r="B2139" t="s">
        <v>2023</v>
      </c>
      <c r="C2139" s="35" t="s">
        <v>2359</v>
      </c>
    </row>
    <row r="2140" spans="1:3">
      <c r="A2140" s="36">
        <v>30711416656</v>
      </c>
      <c r="B2140" t="s">
        <v>2249</v>
      </c>
    </row>
    <row r="2141" spans="1:3">
      <c r="A2141" s="36">
        <v>20253804336</v>
      </c>
      <c r="B2141" t="s">
        <v>1614</v>
      </c>
    </row>
    <row r="2142" spans="1:3">
      <c r="A2142" s="36">
        <v>30646400798</v>
      </c>
      <c r="B2142" t="s">
        <v>1615</v>
      </c>
      <c r="C2142" s="35" t="s">
        <v>79</v>
      </c>
    </row>
    <row r="2143" spans="1:3">
      <c r="A2143" s="36">
        <v>30550005987</v>
      </c>
      <c r="B2143" t="s">
        <v>603</v>
      </c>
    </row>
    <row r="2144" spans="1:3">
      <c r="A2144" s="36">
        <v>30709568260</v>
      </c>
      <c r="B2144" t="s">
        <v>604</v>
      </c>
      <c r="C2144" s="35" t="s">
        <v>2359</v>
      </c>
    </row>
    <row r="2145" spans="1:4">
      <c r="A2145" s="36">
        <v>30707970010</v>
      </c>
      <c r="B2145" t="s">
        <v>605</v>
      </c>
      <c r="C2145" s="35" t="s">
        <v>2359</v>
      </c>
    </row>
    <row r="2146" spans="1:4">
      <c r="A2146" s="36">
        <v>27368203829</v>
      </c>
      <c r="B2146" t="s">
        <v>2158</v>
      </c>
      <c r="C2146" s="35" t="s">
        <v>2413</v>
      </c>
      <c r="D2146" t="s">
        <v>2182</v>
      </c>
    </row>
    <row r="2147" spans="1:4">
      <c r="A2147" s="36">
        <v>27368203829</v>
      </c>
      <c r="B2147" t="s">
        <v>2158</v>
      </c>
      <c r="C2147" s="35" t="s">
        <v>2181</v>
      </c>
      <c r="D2147" t="s">
        <v>2182</v>
      </c>
    </row>
    <row r="2148" spans="1:4">
      <c r="A2148" s="36">
        <v>30709776564</v>
      </c>
      <c r="B2148" t="s">
        <v>1616</v>
      </c>
      <c r="C2148" s="35" t="s">
        <v>2447</v>
      </c>
    </row>
    <row r="2149" spans="1:4">
      <c r="A2149" s="36">
        <v>30709776564</v>
      </c>
      <c r="B2149" t="s">
        <v>1616</v>
      </c>
      <c r="C2149" s="35" t="s">
        <v>2447</v>
      </c>
    </row>
    <row r="2150" spans="1:4">
      <c r="A2150" s="36">
        <v>30575170125</v>
      </c>
      <c r="B2150" t="s">
        <v>2035</v>
      </c>
      <c r="C2150" s="35" t="s">
        <v>2447</v>
      </c>
    </row>
    <row r="2151" spans="1:4">
      <c r="A2151" s="36">
        <v>30575170125</v>
      </c>
      <c r="B2151" t="s">
        <v>2035</v>
      </c>
    </row>
    <row r="2152" spans="1:4">
      <c r="A2152" s="36">
        <v>33714326029</v>
      </c>
      <c r="B2152" t="s">
        <v>606</v>
      </c>
    </row>
    <row r="2153" spans="1:4">
      <c r="A2153" s="36">
        <v>20285597405</v>
      </c>
      <c r="B2153" t="s">
        <v>1617</v>
      </c>
      <c r="C2153" s="35" t="s">
        <v>891</v>
      </c>
    </row>
    <row r="2154" spans="1:4">
      <c r="A2154" s="36">
        <v>20130224335</v>
      </c>
      <c r="B2154" t="s">
        <v>2264</v>
      </c>
      <c r="C2154" s="35" t="s">
        <v>891</v>
      </c>
    </row>
    <row r="2155" spans="1:4">
      <c r="A2155" s="36">
        <v>30710207190</v>
      </c>
      <c r="B2155" t="s">
        <v>607</v>
      </c>
    </row>
    <row r="2156" spans="1:4">
      <c r="A2156" s="36">
        <v>30660432961</v>
      </c>
      <c r="B2156" t="s">
        <v>608</v>
      </c>
    </row>
    <row r="2157" spans="1:4">
      <c r="A2157" s="36">
        <v>30716821478</v>
      </c>
      <c r="B2157" t="s">
        <v>1618</v>
      </c>
    </row>
    <row r="2158" spans="1:4">
      <c r="A2158" s="36">
        <v>4756269</v>
      </c>
      <c r="B2158" t="s">
        <v>1619</v>
      </c>
    </row>
    <row r="2159" spans="1:4">
      <c r="A2159" s="36">
        <v>17577085</v>
      </c>
      <c r="B2159" t="s">
        <v>1620</v>
      </c>
    </row>
    <row r="2160" spans="1:4">
      <c r="A2160" s="36">
        <v>30716975602</v>
      </c>
      <c r="B2160" t="s">
        <v>2314</v>
      </c>
      <c r="C2160" s="35" t="s">
        <v>804</v>
      </c>
    </row>
    <row r="2161" spans="1:3">
      <c r="A2161" s="36">
        <v>30715492543</v>
      </c>
      <c r="B2161" t="s">
        <v>2243</v>
      </c>
      <c r="C2161" s="35" t="s">
        <v>2411</v>
      </c>
    </row>
    <row r="2162" spans="1:3">
      <c r="A2162" s="36">
        <v>30715492543</v>
      </c>
      <c r="B2162" t="s">
        <v>2243</v>
      </c>
    </row>
    <row r="2163" spans="1:3">
      <c r="A2163" s="36">
        <v>30503940147</v>
      </c>
      <c r="B2163" t="s">
        <v>609</v>
      </c>
    </row>
    <row r="2164" spans="1:3">
      <c r="A2164" s="36">
        <v>27163348190</v>
      </c>
      <c r="B2164" t="s">
        <v>610</v>
      </c>
      <c r="C2164" s="35" t="s">
        <v>2359</v>
      </c>
    </row>
    <row r="2165" spans="1:3">
      <c r="A2165" s="36">
        <v>20131202114</v>
      </c>
      <c r="B2165" t="s">
        <v>2246</v>
      </c>
      <c r="C2165" s="35" t="s">
        <v>79</v>
      </c>
    </row>
    <row r="2166" spans="1:3">
      <c r="A2166" s="36">
        <v>20131202114</v>
      </c>
      <c r="B2166" t="s">
        <v>2246</v>
      </c>
    </row>
    <row r="2167" spans="1:3">
      <c r="A2167" s="36">
        <v>30517345039</v>
      </c>
      <c r="B2167" t="s">
        <v>611</v>
      </c>
      <c r="C2167" s="35" t="s">
        <v>2359</v>
      </c>
    </row>
    <row r="2168" spans="1:3">
      <c r="A2168" s="36">
        <v>3508610</v>
      </c>
      <c r="B2168" t="s">
        <v>1621</v>
      </c>
    </row>
    <row r="2169" spans="1:3">
      <c r="A2169" s="36">
        <v>26429287</v>
      </c>
      <c r="B2169" t="s">
        <v>1622</v>
      </c>
    </row>
    <row r="2170" spans="1:3">
      <c r="A2170" s="36">
        <v>29646092</v>
      </c>
      <c r="B2170" t="s">
        <v>2120</v>
      </c>
    </row>
    <row r="2171" spans="1:3">
      <c r="A2171" s="36">
        <v>30563006664</v>
      </c>
      <c r="B2171" t="s">
        <v>1623</v>
      </c>
      <c r="C2171" s="35" t="s">
        <v>2359</v>
      </c>
    </row>
    <row r="2172" spans="1:3">
      <c r="A2172" s="36">
        <v>23293850739</v>
      </c>
      <c r="B2172" t="s">
        <v>2242</v>
      </c>
      <c r="C2172" s="35" t="s">
        <v>79</v>
      </c>
    </row>
    <row r="2173" spans="1:3">
      <c r="A2173" s="36">
        <v>23293850739</v>
      </c>
      <c r="B2173" t="s">
        <v>2242</v>
      </c>
    </row>
    <row r="2174" spans="1:3">
      <c r="A2174" s="36">
        <v>20352752992</v>
      </c>
      <c r="B2174" t="s">
        <v>2210</v>
      </c>
      <c r="C2174" s="35" t="s">
        <v>79</v>
      </c>
    </row>
    <row r="2175" spans="1:3">
      <c r="A2175" s="36">
        <v>20352752992</v>
      </c>
      <c r="B2175" t="s">
        <v>2210</v>
      </c>
      <c r="C2175" s="35" t="s">
        <v>79</v>
      </c>
    </row>
    <row r="2176" spans="1:3">
      <c r="A2176" s="36">
        <v>20289111329</v>
      </c>
      <c r="B2176" t="s">
        <v>1624</v>
      </c>
      <c r="C2176" s="35" t="s">
        <v>2359</v>
      </c>
    </row>
    <row r="2177" spans="1:3">
      <c r="A2177" s="36">
        <v>20289111329</v>
      </c>
      <c r="B2177" t="s">
        <v>1624</v>
      </c>
      <c r="C2177" s="35" t="s">
        <v>2359</v>
      </c>
    </row>
    <row r="2178" spans="1:3">
      <c r="A2178" s="36">
        <v>12892105</v>
      </c>
      <c r="B2178" t="s">
        <v>612</v>
      </c>
    </row>
    <row r="2179" spans="1:3">
      <c r="A2179" s="36">
        <v>30716534444</v>
      </c>
      <c r="B2179" t="s">
        <v>2151</v>
      </c>
    </row>
    <row r="2180" spans="1:3">
      <c r="A2180" s="36">
        <v>27233748205</v>
      </c>
      <c r="B2180" t="s">
        <v>613</v>
      </c>
    </row>
    <row r="2181" spans="1:3">
      <c r="A2181" s="36">
        <v>20082988786</v>
      </c>
      <c r="B2181" t="s">
        <v>614</v>
      </c>
      <c r="C2181" s="35" t="s">
        <v>2359</v>
      </c>
    </row>
    <row r="2182" spans="1:3">
      <c r="A2182" s="36">
        <v>23324039759</v>
      </c>
      <c r="B2182" t="s">
        <v>2225</v>
      </c>
      <c r="C2182" s="35" t="s">
        <v>46</v>
      </c>
    </row>
    <row r="2183" spans="1:3">
      <c r="A2183" s="36">
        <v>23324039759</v>
      </c>
      <c r="B2183" t="s">
        <v>2225</v>
      </c>
    </row>
    <row r="2184" spans="1:3">
      <c r="A2184" s="36">
        <v>30707370552</v>
      </c>
      <c r="B2184" t="s">
        <v>615</v>
      </c>
      <c r="C2184" s="35" t="s">
        <v>2381</v>
      </c>
    </row>
    <row r="2185" spans="1:3">
      <c r="A2185" s="36"/>
    </row>
    <row r="2186" spans="1:3">
      <c r="A2186" s="36">
        <v>27179366741</v>
      </c>
      <c r="B2186" t="s">
        <v>616</v>
      </c>
    </row>
    <row r="2187" spans="1:3">
      <c r="A2187" s="36">
        <v>20142643384</v>
      </c>
      <c r="B2187" t="s">
        <v>2174</v>
      </c>
      <c r="C2187" s="35" t="s">
        <v>2359</v>
      </c>
    </row>
    <row r="2188" spans="1:3">
      <c r="A2188" s="36">
        <v>20142643384</v>
      </c>
      <c r="B2188" t="s">
        <v>2174</v>
      </c>
    </row>
    <row r="2189" spans="1:3">
      <c r="A2189" s="36">
        <v>20202500138</v>
      </c>
      <c r="B2189" t="s">
        <v>1625</v>
      </c>
      <c r="C2189" s="35" t="s">
        <v>43</v>
      </c>
    </row>
    <row r="2190" spans="1:3">
      <c r="A2190" s="36">
        <v>20202500138</v>
      </c>
      <c r="B2190" t="s">
        <v>1625</v>
      </c>
      <c r="C2190" s="35" t="s">
        <v>43</v>
      </c>
    </row>
    <row r="2191" spans="1:3">
      <c r="A2191" s="36">
        <v>20202500138</v>
      </c>
      <c r="B2191" t="s">
        <v>1625</v>
      </c>
      <c r="C2191" s="35" t="s">
        <v>46</v>
      </c>
    </row>
    <row r="2192" spans="1:3">
      <c r="A2192" s="36">
        <v>20202500138</v>
      </c>
      <c r="B2192" t="s">
        <v>1625</v>
      </c>
      <c r="C2192" s="35" t="s">
        <v>46</v>
      </c>
    </row>
    <row r="2193" spans="1:3">
      <c r="A2193" s="36">
        <v>8326838</v>
      </c>
      <c r="B2193" t="s">
        <v>1626</v>
      </c>
    </row>
    <row r="2194" spans="1:3">
      <c r="A2194" s="36">
        <v>11801737</v>
      </c>
      <c r="B2194" t="s">
        <v>1627</v>
      </c>
    </row>
    <row r="2195" spans="1:3">
      <c r="A2195" s="36">
        <v>30583955</v>
      </c>
      <c r="B2195" t="s">
        <v>1879</v>
      </c>
    </row>
    <row r="2196" spans="1:3">
      <c r="A2196" s="36">
        <v>27181965709</v>
      </c>
      <c r="B2196" t="s">
        <v>1974</v>
      </c>
      <c r="C2196" s="35" t="s">
        <v>781</v>
      </c>
    </row>
    <row r="2197" spans="1:3">
      <c r="A2197" s="36">
        <v>30711877386</v>
      </c>
      <c r="B2197" t="s">
        <v>617</v>
      </c>
      <c r="C2197" s="35" t="s">
        <v>804</v>
      </c>
    </row>
    <row r="2198" spans="1:3">
      <c r="A2198" s="36">
        <v>17301560</v>
      </c>
      <c r="B2198" t="s">
        <v>1628</v>
      </c>
    </row>
    <row r="2199" spans="1:3">
      <c r="A2199" s="36">
        <v>18439118</v>
      </c>
      <c r="B2199" t="s">
        <v>1629</v>
      </c>
    </row>
    <row r="2200" spans="1:3">
      <c r="A2200" s="36">
        <v>35827892</v>
      </c>
      <c r="B2200" t="s">
        <v>1630</v>
      </c>
    </row>
    <row r="2201" spans="1:3">
      <c r="A2201" s="36">
        <v>30715645579</v>
      </c>
      <c r="B2201" t="s">
        <v>618</v>
      </c>
      <c r="C2201" s="35" t="s">
        <v>2359</v>
      </c>
    </row>
    <row r="2202" spans="1:3">
      <c r="A2202" s="36">
        <v>5124770</v>
      </c>
      <c r="B2202" t="s">
        <v>1631</v>
      </c>
    </row>
    <row r="2203" spans="1:3">
      <c r="A2203" s="36">
        <v>5124770</v>
      </c>
      <c r="B2203" t="s">
        <v>1917</v>
      </c>
    </row>
    <row r="2204" spans="1:3">
      <c r="A2204" s="36">
        <v>20043154835</v>
      </c>
      <c r="B2204" t="s">
        <v>619</v>
      </c>
    </row>
    <row r="2205" spans="1:3">
      <c r="A2205" s="36">
        <v>4648296</v>
      </c>
      <c r="B2205" t="s">
        <v>1632</v>
      </c>
    </row>
    <row r="2206" spans="1:3">
      <c r="A2206" s="36">
        <v>27057462960</v>
      </c>
      <c r="B2206" t="s">
        <v>2145</v>
      </c>
    </row>
    <row r="2207" spans="1:3">
      <c r="A2207" s="36">
        <v>12514398</v>
      </c>
      <c r="B2207" t="s">
        <v>1633</v>
      </c>
    </row>
    <row r="2208" spans="1:3">
      <c r="A2208" s="36">
        <v>33708793219</v>
      </c>
      <c r="B2208" t="s">
        <v>620</v>
      </c>
      <c r="C2208" s="35" t="s">
        <v>79</v>
      </c>
    </row>
    <row r="2209" spans="1:3">
      <c r="A2209" s="36">
        <v>30709836230</v>
      </c>
      <c r="B2209" t="s">
        <v>621</v>
      </c>
      <c r="C2209" s="35" t="s">
        <v>2359</v>
      </c>
    </row>
    <row r="2210" spans="1:3">
      <c r="A2210" s="36">
        <v>33711399149</v>
      </c>
      <c r="B2210" t="s">
        <v>622</v>
      </c>
    </row>
    <row r="2211" spans="1:3">
      <c r="A2211" s="36">
        <v>30687059812</v>
      </c>
      <c r="B2211" t="s">
        <v>2147</v>
      </c>
    </row>
    <row r="2212" spans="1:3">
      <c r="A2212" s="36">
        <v>23181104589</v>
      </c>
      <c r="B2212" t="s">
        <v>623</v>
      </c>
      <c r="C2212" s="35" t="s">
        <v>2359</v>
      </c>
    </row>
    <row r="2213" spans="1:3">
      <c r="A2213" s="36">
        <v>30711713138</v>
      </c>
      <c r="B2213" t="s">
        <v>624</v>
      </c>
      <c r="C2213" s="35" t="s">
        <v>2359</v>
      </c>
    </row>
    <row r="2214" spans="1:3">
      <c r="A2214" s="36">
        <v>14745566</v>
      </c>
      <c r="B2214" t="s">
        <v>1634</v>
      </c>
    </row>
    <row r="2215" spans="1:3">
      <c r="A2215" s="36">
        <v>30710386001</v>
      </c>
      <c r="B2215" t="s">
        <v>1948</v>
      </c>
      <c r="C2215" s="35" t="s">
        <v>781</v>
      </c>
    </row>
    <row r="2216" spans="1:3">
      <c r="A2216" s="36">
        <v>20085119614</v>
      </c>
      <c r="B2216" t="s">
        <v>625</v>
      </c>
    </row>
    <row r="2217" spans="1:3">
      <c r="A2217" s="36">
        <v>30663944939</v>
      </c>
      <c r="B2217" t="s">
        <v>626</v>
      </c>
    </row>
    <row r="2218" spans="1:3">
      <c r="A2218" s="36">
        <v>30715141201</v>
      </c>
      <c r="B2218" t="s">
        <v>2261</v>
      </c>
      <c r="C2218" s="35" t="s">
        <v>2359</v>
      </c>
    </row>
    <row r="2219" spans="1:3">
      <c r="A2219" s="36">
        <v>30715141201</v>
      </c>
      <c r="B2219" t="s">
        <v>627</v>
      </c>
      <c r="C2219" s="35" t="s">
        <v>2359</v>
      </c>
    </row>
    <row r="2220" spans="1:3">
      <c r="A2220" s="36">
        <v>30715141201</v>
      </c>
      <c r="B2220" t="s">
        <v>627</v>
      </c>
      <c r="C2220" s="35" t="s">
        <v>2359</v>
      </c>
    </row>
    <row r="2221" spans="1:3">
      <c r="A2221" s="36">
        <v>30715141201</v>
      </c>
      <c r="B2221" t="s">
        <v>627</v>
      </c>
      <c r="C2221" s="35" t="s">
        <v>2359</v>
      </c>
    </row>
    <row r="2222" spans="1:3">
      <c r="A2222" s="36">
        <v>30715141201</v>
      </c>
      <c r="B2222" t="s">
        <v>627</v>
      </c>
      <c r="C2222" s="35" t="s">
        <v>2359</v>
      </c>
    </row>
    <row r="2223" spans="1:3">
      <c r="A2223" s="36">
        <v>30715141201</v>
      </c>
      <c r="B2223" t="s">
        <v>627</v>
      </c>
      <c r="C2223" s="35" t="s">
        <v>2359</v>
      </c>
    </row>
    <row r="2224" spans="1:3">
      <c r="A2224" s="36">
        <v>30715141201</v>
      </c>
      <c r="B2224" t="s">
        <v>627</v>
      </c>
      <c r="C2224" s="35" t="s">
        <v>2359</v>
      </c>
    </row>
    <row r="2225" spans="1:3">
      <c r="A2225" s="36">
        <v>30709214078</v>
      </c>
      <c r="B2225" t="s">
        <v>628</v>
      </c>
      <c r="C2225" s="35" t="s">
        <v>2359</v>
      </c>
    </row>
    <row r="2226" spans="1:3">
      <c r="A2226" s="36">
        <v>30709214078</v>
      </c>
      <c r="B2226" t="s">
        <v>628</v>
      </c>
      <c r="C2226" s="35" t="s">
        <v>2359</v>
      </c>
    </row>
    <row r="2227" spans="1:3">
      <c r="A2227" s="36">
        <v>30709214078</v>
      </c>
      <c r="B2227" t="s">
        <v>1635</v>
      </c>
      <c r="C2227" s="35" t="s">
        <v>2359</v>
      </c>
    </row>
    <row r="2228" spans="1:3">
      <c r="A2228" s="36">
        <v>30709214078</v>
      </c>
      <c r="B2228" t="s">
        <v>1635</v>
      </c>
      <c r="C2228" s="35" t="s">
        <v>2359</v>
      </c>
    </row>
    <row r="2229" spans="1:3">
      <c r="A2229" s="36">
        <v>30709214078</v>
      </c>
      <c r="B2229" t="s">
        <v>1635</v>
      </c>
      <c r="C2229" s="35" t="s">
        <v>2359</v>
      </c>
    </row>
    <row r="2230" spans="1:3">
      <c r="A2230" s="36">
        <v>30709214078</v>
      </c>
      <c r="B2230" t="s">
        <v>1635</v>
      </c>
      <c r="C2230" s="35" t="s">
        <v>2359</v>
      </c>
    </row>
    <row r="2231" spans="1:3">
      <c r="A2231" s="36">
        <v>30711764921</v>
      </c>
      <c r="B2231" t="s">
        <v>1636</v>
      </c>
      <c r="C2231" s="35" t="s">
        <v>2359</v>
      </c>
    </row>
    <row r="2232" spans="1:3">
      <c r="A2232" s="36">
        <v>30711764921</v>
      </c>
      <c r="B2232" t="s">
        <v>1636</v>
      </c>
      <c r="C2232" s="35" t="s">
        <v>2359</v>
      </c>
    </row>
    <row r="2233" spans="1:3">
      <c r="A2233" s="36">
        <v>30711764921</v>
      </c>
      <c r="B2233" t="s">
        <v>1636</v>
      </c>
      <c r="C2233" s="35" t="s">
        <v>2359</v>
      </c>
    </row>
    <row r="2234" spans="1:3">
      <c r="A2234" s="36">
        <v>30711764921</v>
      </c>
      <c r="B2234" t="s">
        <v>1636</v>
      </c>
      <c r="C2234" s="35" t="s">
        <v>2359</v>
      </c>
    </row>
    <row r="2235" spans="1:3">
      <c r="A2235" s="36">
        <v>30711678820</v>
      </c>
      <c r="B2235" t="s">
        <v>1636</v>
      </c>
      <c r="C2235" s="35" t="s">
        <v>2359</v>
      </c>
    </row>
    <row r="2236" spans="1:3">
      <c r="A2236" s="36">
        <v>30711678820</v>
      </c>
      <c r="B2236" t="s">
        <v>1636</v>
      </c>
      <c r="C2236" s="35" t="s">
        <v>2359</v>
      </c>
    </row>
    <row r="2237" spans="1:3">
      <c r="A2237" s="36">
        <v>30710473990</v>
      </c>
      <c r="B2237" t="s">
        <v>1637</v>
      </c>
      <c r="C2237" s="35" t="s">
        <v>43</v>
      </c>
    </row>
    <row r="2238" spans="1:3">
      <c r="A2238" s="36">
        <v>30501136510</v>
      </c>
      <c r="B2238" t="s">
        <v>629</v>
      </c>
    </row>
    <row r="2239" spans="1:3">
      <c r="A2239" s="36">
        <v>20217488738</v>
      </c>
      <c r="B2239" t="s">
        <v>630</v>
      </c>
    </row>
    <row r="2240" spans="1:3">
      <c r="A2240" s="36">
        <v>4546189</v>
      </c>
      <c r="B2240" t="s">
        <v>1638</v>
      </c>
    </row>
    <row r="2241" spans="1:3">
      <c r="A2241" s="36">
        <v>30659553410</v>
      </c>
      <c r="B2241" t="s">
        <v>1639</v>
      </c>
    </row>
    <row r="2242" spans="1:3">
      <c r="A2242" s="36">
        <v>30711013969</v>
      </c>
      <c r="B2242" t="s">
        <v>2179</v>
      </c>
      <c r="C2242" s="35" t="s">
        <v>781</v>
      </c>
    </row>
    <row r="2243" spans="1:3">
      <c r="A2243" s="36">
        <v>30711013969</v>
      </c>
      <c r="B2243" t="s">
        <v>2179</v>
      </c>
      <c r="C2243" s="35" t="s">
        <v>781</v>
      </c>
    </row>
    <row r="2244" spans="1:3">
      <c r="A2244" s="36">
        <v>23924735</v>
      </c>
      <c r="B2244" t="s">
        <v>1640</v>
      </c>
    </row>
    <row r="2245" spans="1:3">
      <c r="A2245" s="36">
        <v>30708376554</v>
      </c>
      <c r="B2245" t="s">
        <v>631</v>
      </c>
      <c r="C2245" s="35" t="s">
        <v>2359</v>
      </c>
    </row>
    <row r="2246" spans="1:3">
      <c r="A2246" s="36">
        <v>30612958528</v>
      </c>
      <c r="B2246" t="s">
        <v>632</v>
      </c>
      <c r="C2246" s="35" t="s">
        <v>2359</v>
      </c>
    </row>
    <row r="2247" spans="1:3">
      <c r="A2247" s="36">
        <v>30525966859</v>
      </c>
      <c r="B2247" t="s">
        <v>633</v>
      </c>
    </row>
    <row r="2248" spans="1:3">
      <c r="A2248" s="36">
        <v>20210807889</v>
      </c>
      <c r="B2248" t="s">
        <v>634</v>
      </c>
    </row>
    <row r="2249" spans="1:3">
      <c r="A2249" s="36">
        <v>93576915</v>
      </c>
      <c r="B2249" t="s">
        <v>1641</v>
      </c>
    </row>
    <row r="2250" spans="1:3">
      <c r="A2250" s="36">
        <v>30714642762</v>
      </c>
      <c r="B2250" t="s">
        <v>635</v>
      </c>
    </row>
    <row r="2251" spans="1:3">
      <c r="A2251" s="36">
        <v>30608642869</v>
      </c>
      <c r="B2251" t="s">
        <v>636</v>
      </c>
    </row>
    <row r="2252" spans="1:3">
      <c r="A2252" s="36">
        <v>30712273158</v>
      </c>
      <c r="B2252" t="s">
        <v>637</v>
      </c>
      <c r="C2252" s="35" t="s">
        <v>1182</v>
      </c>
    </row>
    <row r="2253" spans="1:3">
      <c r="A2253" s="36">
        <v>23106878269</v>
      </c>
      <c r="B2253" t="s">
        <v>638</v>
      </c>
      <c r="C2253" s="35" t="s">
        <v>2359</v>
      </c>
    </row>
    <row r="2254" spans="1:3">
      <c r="A2254" s="36">
        <v>12080143</v>
      </c>
      <c r="B2254" t="s">
        <v>1642</v>
      </c>
    </row>
    <row r="2255" spans="1:3">
      <c r="A2255" s="36">
        <v>21796048</v>
      </c>
      <c r="B2255" t="s">
        <v>2082</v>
      </c>
    </row>
    <row r="2256" spans="1:3">
      <c r="A2256" s="36">
        <v>3327836</v>
      </c>
      <c r="B2256" t="s">
        <v>1934</v>
      </c>
    </row>
    <row r="2257" spans="1:3">
      <c r="A2257" s="36">
        <v>30709497789</v>
      </c>
      <c r="B2257" t="s">
        <v>639</v>
      </c>
    </row>
    <row r="2258" spans="1:3">
      <c r="A2258" s="36">
        <v>20162253310</v>
      </c>
      <c r="B2258" t="s">
        <v>640</v>
      </c>
      <c r="C2258" s="35" t="s">
        <v>79</v>
      </c>
    </row>
    <row r="2259" spans="1:3">
      <c r="A2259" s="36">
        <v>20078690284</v>
      </c>
      <c r="B2259" t="s">
        <v>641</v>
      </c>
      <c r="C2259" s="35" t="s">
        <v>2359</v>
      </c>
    </row>
    <row r="2260" spans="1:3">
      <c r="A2260" s="36">
        <v>27315710508</v>
      </c>
      <c r="B2260" t="s">
        <v>2404</v>
      </c>
      <c r="C2260" s="35" t="s">
        <v>2405</v>
      </c>
    </row>
    <row r="2261" spans="1:3">
      <c r="A2261" s="36">
        <v>22225295</v>
      </c>
      <c r="B2261" t="s">
        <v>1643</v>
      </c>
    </row>
    <row r="2262" spans="1:3">
      <c r="A2262" s="36">
        <v>95930224</v>
      </c>
      <c r="B2262" t="s">
        <v>2066</v>
      </c>
    </row>
    <row r="2263" spans="1:3">
      <c r="A2263" s="36">
        <v>30714732540</v>
      </c>
      <c r="B2263" t="s">
        <v>642</v>
      </c>
    </row>
    <row r="2264" spans="1:3">
      <c r="A2264" s="36">
        <v>33715567089</v>
      </c>
      <c r="B2264" t="s">
        <v>643</v>
      </c>
      <c r="C2264" s="35" t="s">
        <v>2359</v>
      </c>
    </row>
    <row r="2265" spans="1:3">
      <c r="A2265" s="36">
        <v>11361026</v>
      </c>
      <c r="B2265" t="s">
        <v>1644</v>
      </c>
    </row>
    <row r="2266" spans="1:3">
      <c r="A2266" s="36">
        <v>2206038</v>
      </c>
      <c r="B2266" t="s">
        <v>1937</v>
      </c>
    </row>
    <row r="2267" spans="1:3">
      <c r="A2267" s="36">
        <v>20120875141</v>
      </c>
      <c r="B2267" t="s">
        <v>644</v>
      </c>
      <c r="C2267" s="35" t="s">
        <v>2359</v>
      </c>
    </row>
    <row r="2268" spans="1:3">
      <c r="A2268" s="36">
        <v>22717507</v>
      </c>
      <c r="B2268" t="s">
        <v>1645</v>
      </c>
    </row>
    <row r="2269" spans="1:3">
      <c r="A2269" s="36">
        <v>20049749814</v>
      </c>
      <c r="B2269" t="s">
        <v>645</v>
      </c>
    </row>
    <row r="2270" spans="1:3">
      <c r="A2270" s="36">
        <v>33716449829</v>
      </c>
      <c r="B2270" t="s">
        <v>1646</v>
      </c>
      <c r="C2270" s="35" t="s">
        <v>781</v>
      </c>
    </row>
    <row r="2271" spans="1:3">
      <c r="A2271" s="36">
        <v>30715458175</v>
      </c>
      <c r="B2271" t="s">
        <v>2262</v>
      </c>
      <c r="C2271" s="35" t="s">
        <v>44</v>
      </c>
    </row>
    <row r="2272" spans="1:3">
      <c r="A2272" s="36">
        <v>30642659312</v>
      </c>
      <c r="B2272" t="s">
        <v>1647</v>
      </c>
      <c r="C2272" s="35" t="s">
        <v>2359</v>
      </c>
    </row>
    <row r="2273" spans="1:3">
      <c r="A2273" s="36">
        <v>30708263849</v>
      </c>
      <c r="B2273" t="s">
        <v>646</v>
      </c>
    </row>
    <row r="2274" spans="1:3">
      <c r="A2274" s="36">
        <v>20110668733</v>
      </c>
      <c r="B2274" t="s">
        <v>647</v>
      </c>
      <c r="C2274" s="35" t="s">
        <v>2359</v>
      </c>
    </row>
    <row r="2275" spans="1:3">
      <c r="A2275" s="36">
        <v>23233422029</v>
      </c>
      <c r="B2275" t="s">
        <v>1648</v>
      </c>
      <c r="C2275" s="35" t="s">
        <v>2359</v>
      </c>
    </row>
    <row r="2276" spans="1:3">
      <c r="A2276" s="36">
        <v>23233422029</v>
      </c>
      <c r="B2276" t="s">
        <v>1648</v>
      </c>
      <c r="C2276" s="35" t="s">
        <v>2359</v>
      </c>
    </row>
    <row r="2277" spans="1:3">
      <c r="A2277" s="36">
        <v>21826425</v>
      </c>
      <c r="B2277" t="s">
        <v>1649</v>
      </c>
    </row>
    <row r="2278" spans="1:3">
      <c r="A2278" s="36">
        <v>28601556</v>
      </c>
      <c r="B2278" t="s">
        <v>1650</v>
      </c>
    </row>
    <row r="2279" spans="1:3">
      <c r="A2279" s="36">
        <v>32150883</v>
      </c>
      <c r="B2279" t="s">
        <v>1651</v>
      </c>
    </row>
    <row r="2280" spans="1:3">
      <c r="A2280" s="36">
        <v>23602940</v>
      </c>
      <c r="B2280" t="s">
        <v>1652</v>
      </c>
    </row>
    <row r="2281" spans="1:3">
      <c r="A2281" s="36">
        <v>30712155694</v>
      </c>
      <c r="B2281" t="s">
        <v>2336</v>
      </c>
      <c r="C2281" s="35" t="s">
        <v>781</v>
      </c>
    </row>
    <row r="2282" spans="1:3">
      <c r="A2282" s="36">
        <v>10401112</v>
      </c>
      <c r="B2282" t="s">
        <v>1653</v>
      </c>
    </row>
    <row r="2283" spans="1:3">
      <c r="A2283" s="36">
        <v>30576393381</v>
      </c>
      <c r="B2283" t="s">
        <v>648</v>
      </c>
    </row>
    <row r="2284" spans="1:3">
      <c r="A2284" s="36">
        <v>17054021</v>
      </c>
      <c r="B2284" t="s">
        <v>2003</v>
      </c>
    </row>
    <row r="2285" spans="1:3">
      <c r="A2285" s="36">
        <v>23452993104</v>
      </c>
      <c r="B2285" t="s">
        <v>2302</v>
      </c>
      <c r="C2285" s="35" t="s">
        <v>2367</v>
      </c>
    </row>
    <row r="2286" spans="1:3">
      <c r="A2286" s="36">
        <v>23452993104</v>
      </c>
      <c r="B2286" t="s">
        <v>2302</v>
      </c>
      <c r="C2286" s="35" t="s">
        <v>2367</v>
      </c>
    </row>
    <row r="2287" spans="1:3">
      <c r="A2287" s="36">
        <v>382591</v>
      </c>
      <c r="B2287" t="s">
        <v>1654</v>
      </c>
    </row>
    <row r="2288" spans="1:3">
      <c r="A2288" s="36">
        <v>17938295</v>
      </c>
      <c r="B2288" t="s">
        <v>1655</v>
      </c>
    </row>
    <row r="2289" spans="1:3">
      <c r="A2289" s="36">
        <v>20236043631</v>
      </c>
      <c r="B2289" t="s">
        <v>2406</v>
      </c>
      <c r="C2289" s="35" t="s">
        <v>2367</v>
      </c>
    </row>
    <row r="2290" spans="1:3">
      <c r="A2290" s="36">
        <v>93478936</v>
      </c>
      <c r="B2290" t="s">
        <v>1656</v>
      </c>
    </row>
    <row r="2291" spans="1:3">
      <c r="A2291" s="36">
        <v>27313805293</v>
      </c>
      <c r="B2291" t="s">
        <v>1657</v>
      </c>
      <c r="C2291" s="35" t="s">
        <v>891</v>
      </c>
    </row>
    <row r="2292" spans="1:3">
      <c r="A2292" s="36">
        <v>7677058</v>
      </c>
      <c r="B2292" t="s">
        <v>1658</v>
      </c>
    </row>
    <row r="2293" spans="1:3">
      <c r="A2293" s="36">
        <v>30714654701</v>
      </c>
      <c r="B2293" t="s">
        <v>649</v>
      </c>
      <c r="C2293" s="35" t="s">
        <v>804</v>
      </c>
    </row>
    <row r="2294" spans="1:3">
      <c r="A2294" s="36">
        <v>936104225</v>
      </c>
      <c r="B2294" t="s">
        <v>1659</v>
      </c>
    </row>
    <row r="2295" spans="1:3">
      <c r="A2295" s="36">
        <v>30708552808</v>
      </c>
      <c r="B2295" t="s">
        <v>1660</v>
      </c>
      <c r="C2295" s="35" t="s">
        <v>44</v>
      </c>
    </row>
    <row r="2296" spans="1:3">
      <c r="A2296" s="36">
        <v>30708552808</v>
      </c>
      <c r="B2296" t="s">
        <v>1660</v>
      </c>
      <c r="C2296" s="35" t="s">
        <v>44</v>
      </c>
    </row>
    <row r="2297" spans="1:3">
      <c r="A2297" s="36">
        <v>20233320294</v>
      </c>
      <c r="B2297" t="s">
        <v>650</v>
      </c>
      <c r="C2297" s="35" t="s">
        <v>2359</v>
      </c>
    </row>
    <row r="2298" spans="1:3">
      <c r="A2298" s="36">
        <v>16129863</v>
      </c>
      <c r="B2298" t="s">
        <v>1661</v>
      </c>
    </row>
    <row r="2299" spans="1:3">
      <c r="A2299" s="36">
        <v>30715048066</v>
      </c>
      <c r="B2299" t="s">
        <v>106</v>
      </c>
      <c r="C2299" s="35" t="s">
        <v>2380</v>
      </c>
    </row>
    <row r="2300" spans="1:3">
      <c r="A2300" s="36">
        <v>20043702611</v>
      </c>
      <c r="B2300" t="s">
        <v>651</v>
      </c>
      <c r="C2300" s="35" t="s">
        <v>2359</v>
      </c>
    </row>
    <row r="2301" spans="1:3">
      <c r="A2301" s="36">
        <v>20229507525</v>
      </c>
      <c r="B2301" t="s">
        <v>652</v>
      </c>
    </row>
    <row r="2302" spans="1:3">
      <c r="A2302" s="36">
        <v>30521596135</v>
      </c>
      <c r="B2302" t="s">
        <v>653</v>
      </c>
      <c r="C2302" s="35" t="s">
        <v>2359</v>
      </c>
    </row>
    <row r="2303" spans="1:3">
      <c r="A2303" s="36">
        <v>154933</v>
      </c>
      <c r="B2303" t="s">
        <v>1662</v>
      </c>
    </row>
    <row r="2304" spans="1:3">
      <c r="A2304" s="36">
        <v>2925288</v>
      </c>
      <c r="B2304" t="s">
        <v>1849</v>
      </c>
    </row>
    <row r="2305" spans="1:3">
      <c r="A2305" s="36">
        <v>35157074</v>
      </c>
      <c r="B2305" t="s">
        <v>1663</v>
      </c>
    </row>
    <row r="2306" spans="1:3">
      <c r="A2306" s="36">
        <v>11457372</v>
      </c>
      <c r="B2306" t="s">
        <v>1664</v>
      </c>
    </row>
    <row r="2307" spans="1:3">
      <c r="A2307" s="36">
        <v>20435515</v>
      </c>
      <c r="B2307" t="s">
        <v>1665</v>
      </c>
    </row>
    <row r="2308" spans="1:3">
      <c r="A2308" s="36">
        <v>24179800</v>
      </c>
      <c r="B2308" t="s">
        <v>1666</v>
      </c>
    </row>
    <row r="2309" spans="1:3">
      <c r="A2309" s="36">
        <v>5071185</v>
      </c>
      <c r="B2309" t="s">
        <v>1667</v>
      </c>
    </row>
    <row r="2310" spans="1:3">
      <c r="A2310" s="36">
        <v>37978355</v>
      </c>
      <c r="B2310" t="s">
        <v>2079</v>
      </c>
    </row>
    <row r="2311" spans="1:3">
      <c r="A2311" s="36">
        <v>26201741</v>
      </c>
      <c r="B2311" t="s">
        <v>1668</v>
      </c>
    </row>
    <row r="2312" spans="1:3">
      <c r="A2312" s="36">
        <v>26201741</v>
      </c>
      <c r="B2312" t="s">
        <v>1668</v>
      </c>
    </row>
    <row r="2313" spans="1:3">
      <c r="A2313" s="36">
        <v>30023546</v>
      </c>
      <c r="B2313" t="s">
        <v>1669</v>
      </c>
    </row>
    <row r="2314" spans="1:3">
      <c r="A2314" s="36">
        <v>4407073</v>
      </c>
      <c r="B2314" t="s">
        <v>1965</v>
      </c>
    </row>
    <row r="2315" spans="1:3">
      <c r="A2315" s="36">
        <v>4059810</v>
      </c>
      <c r="B2315" t="s">
        <v>1670</v>
      </c>
    </row>
    <row r="2316" spans="1:3">
      <c r="A2316" s="36">
        <v>94075695</v>
      </c>
      <c r="B2316" t="s">
        <v>1671</v>
      </c>
    </row>
    <row r="2317" spans="1:3">
      <c r="A2317" s="36">
        <v>30707927409</v>
      </c>
      <c r="B2317" t="s">
        <v>2198</v>
      </c>
      <c r="C2317" s="35" t="s">
        <v>781</v>
      </c>
    </row>
    <row r="2318" spans="1:3">
      <c r="A2318" s="36">
        <v>30707927409</v>
      </c>
      <c r="B2318" t="s">
        <v>2198</v>
      </c>
    </row>
    <row r="2319" spans="1:3">
      <c r="A2319" s="36">
        <v>23122329119</v>
      </c>
      <c r="B2319" t="s">
        <v>1672</v>
      </c>
      <c r="C2319" s="35" t="s">
        <v>46</v>
      </c>
    </row>
    <row r="2320" spans="1:3">
      <c r="A2320" s="36">
        <v>27824095</v>
      </c>
      <c r="B2320" t="s">
        <v>1673</v>
      </c>
    </row>
    <row r="2321" spans="1:3">
      <c r="A2321" s="36">
        <v>20351722585</v>
      </c>
      <c r="B2321" t="s">
        <v>1674</v>
      </c>
      <c r="C2321" s="35" t="s">
        <v>891</v>
      </c>
    </row>
    <row r="2322" spans="1:3">
      <c r="A2322" s="36">
        <v>4829719</v>
      </c>
      <c r="B2322" t="s">
        <v>654</v>
      </c>
    </row>
    <row r="2323" spans="1:3">
      <c r="A2323" s="36">
        <v>17534043</v>
      </c>
      <c r="B2323" t="s">
        <v>1675</v>
      </c>
    </row>
    <row r="2324" spans="1:3">
      <c r="A2324" s="36">
        <v>30540721722</v>
      </c>
      <c r="B2324" t="s">
        <v>655</v>
      </c>
      <c r="C2324" s="35" t="s">
        <v>2359</v>
      </c>
    </row>
    <row r="2325" spans="1:3">
      <c r="A2325" s="36">
        <v>30710638973</v>
      </c>
      <c r="B2325" t="s">
        <v>2037</v>
      </c>
    </row>
    <row r="2326" spans="1:3">
      <c r="A2326" s="36">
        <v>26052364</v>
      </c>
      <c r="B2326" t="s">
        <v>1676</v>
      </c>
    </row>
    <row r="2327" spans="1:3">
      <c r="A2327" s="36">
        <v>30714628646</v>
      </c>
      <c r="B2327" t="s">
        <v>1677</v>
      </c>
      <c r="C2327" s="35" t="s">
        <v>1220</v>
      </c>
    </row>
    <row r="2328" spans="1:3">
      <c r="A2328" s="36">
        <v>5589710</v>
      </c>
      <c r="B2328" t="s">
        <v>1678</v>
      </c>
    </row>
    <row r="2329" spans="1:3">
      <c r="A2329" s="36">
        <v>4351726</v>
      </c>
      <c r="B2329" t="s">
        <v>1679</v>
      </c>
    </row>
    <row r="2330" spans="1:3">
      <c r="A2330" s="36">
        <v>4351726</v>
      </c>
      <c r="B2330" t="s">
        <v>1679</v>
      </c>
    </row>
    <row r="2331" spans="1:3">
      <c r="A2331" s="36">
        <v>30595553535</v>
      </c>
      <c r="B2331" t="s">
        <v>1680</v>
      </c>
      <c r="C2331" s="35" t="s">
        <v>46</v>
      </c>
    </row>
    <row r="2332" spans="1:3">
      <c r="A2332" s="36">
        <v>93352172</v>
      </c>
      <c r="B2332" t="s">
        <v>1681</v>
      </c>
    </row>
    <row r="2333" spans="1:3">
      <c r="A2333" s="36">
        <v>514546</v>
      </c>
      <c r="B2333" t="s">
        <v>1682</v>
      </c>
    </row>
    <row r="2334" spans="1:3">
      <c r="A2334" s="36">
        <v>94515799</v>
      </c>
      <c r="B2334" t="s">
        <v>2004</v>
      </c>
    </row>
    <row r="2335" spans="1:3">
      <c r="A2335" s="36">
        <v>43244547</v>
      </c>
      <c r="B2335" t="s">
        <v>2041</v>
      </c>
    </row>
    <row r="2336" spans="1:3">
      <c r="A2336" s="36">
        <v>20044272009</v>
      </c>
      <c r="B2336" t="s">
        <v>1683</v>
      </c>
      <c r="C2336" s="35" t="s">
        <v>46</v>
      </c>
    </row>
    <row r="2337" spans="1:3">
      <c r="A2337" s="36">
        <v>30710444877</v>
      </c>
      <c r="B2337" t="s">
        <v>656</v>
      </c>
      <c r="C2337" s="35" t="s">
        <v>79</v>
      </c>
    </row>
    <row r="2338" spans="1:3">
      <c r="A2338" s="36">
        <v>38005095</v>
      </c>
      <c r="B2338" t="s">
        <v>2114</v>
      </c>
    </row>
    <row r="2339" spans="1:3">
      <c r="A2339" s="36">
        <v>33709108129</v>
      </c>
      <c r="B2339" t="s">
        <v>657</v>
      </c>
      <c r="C2339" s="35" t="s">
        <v>79</v>
      </c>
    </row>
    <row r="2340" spans="1:3">
      <c r="A2340" s="36">
        <v>30506730038</v>
      </c>
      <c r="B2340" t="s">
        <v>658</v>
      </c>
    </row>
    <row r="2341" spans="1:3">
      <c r="A2341" s="36">
        <v>30708865377</v>
      </c>
      <c r="B2341" t="s">
        <v>2252</v>
      </c>
      <c r="C2341" s="35" t="s">
        <v>79</v>
      </c>
    </row>
    <row r="2342" spans="1:3">
      <c r="A2342" s="36">
        <v>30708865377</v>
      </c>
      <c r="B2342" t="s">
        <v>2252</v>
      </c>
    </row>
    <row r="2343" spans="1:3">
      <c r="A2343" s="36">
        <v>11802827</v>
      </c>
      <c r="B2343" t="s">
        <v>1684</v>
      </c>
    </row>
    <row r="2344" spans="1:3">
      <c r="A2344" s="36">
        <v>20254412490</v>
      </c>
      <c r="B2344" t="s">
        <v>1685</v>
      </c>
    </row>
    <row r="2345" spans="1:3">
      <c r="A2345" s="36">
        <v>30558706836</v>
      </c>
      <c r="B2345" t="s">
        <v>659</v>
      </c>
      <c r="C2345" s="35" t="s">
        <v>2359</v>
      </c>
    </row>
    <row r="2346" spans="1:3">
      <c r="A2346" s="36">
        <v>56980</v>
      </c>
      <c r="B2346" t="s">
        <v>1686</v>
      </c>
    </row>
    <row r="2347" spans="1:3">
      <c r="A2347" s="36">
        <v>30610511801</v>
      </c>
      <c r="B2347" t="s">
        <v>660</v>
      </c>
    </row>
    <row r="2348" spans="1:3">
      <c r="A2348" s="36">
        <v>23111810184</v>
      </c>
      <c r="B2348" t="s">
        <v>1687</v>
      </c>
    </row>
    <row r="2349" spans="1:3">
      <c r="A2349" s="36">
        <v>4379902</v>
      </c>
      <c r="B2349" t="s">
        <v>1688</v>
      </c>
    </row>
    <row r="2350" spans="1:3">
      <c r="A2350" s="36">
        <v>23043799029</v>
      </c>
      <c r="B2350" t="s">
        <v>1689</v>
      </c>
    </row>
    <row r="2351" spans="1:3">
      <c r="A2351" s="36">
        <v>30500529071</v>
      </c>
      <c r="B2351" t="s">
        <v>661</v>
      </c>
      <c r="C2351" s="35" t="s">
        <v>2359</v>
      </c>
    </row>
    <row r="2352" spans="1:3">
      <c r="A2352" s="36">
        <v>18901405</v>
      </c>
      <c r="B2352" t="s">
        <v>2069</v>
      </c>
    </row>
    <row r="2353" spans="1:3">
      <c r="A2353" s="36">
        <v>11043194</v>
      </c>
      <c r="B2353" t="s">
        <v>1919</v>
      </c>
    </row>
    <row r="2354" spans="1:3">
      <c r="A2354" s="36">
        <v>20309935196</v>
      </c>
      <c r="B2354" t="s">
        <v>2307</v>
      </c>
      <c r="C2354" s="35" t="s">
        <v>79</v>
      </c>
    </row>
    <row r="2355" spans="1:3">
      <c r="A2355" s="36">
        <v>3343777</v>
      </c>
      <c r="B2355" t="s">
        <v>1929</v>
      </c>
    </row>
    <row r="2356" spans="1:3">
      <c r="A2356" s="36">
        <v>20394693864</v>
      </c>
      <c r="B2356" t="s">
        <v>2105</v>
      </c>
      <c r="C2356" s="35" t="s">
        <v>79</v>
      </c>
    </row>
    <row r="2357" spans="1:3">
      <c r="A2357" s="36">
        <v>20186310005</v>
      </c>
      <c r="B2357" t="s">
        <v>2347</v>
      </c>
      <c r="C2357" s="35" t="s">
        <v>79</v>
      </c>
    </row>
    <row r="2358" spans="1:3">
      <c r="A2358" s="36">
        <v>24324735</v>
      </c>
      <c r="B2358" t="s">
        <v>1960</v>
      </c>
    </row>
    <row r="2359" spans="1:3">
      <c r="A2359" s="36">
        <v>6209031</v>
      </c>
      <c r="B2359" t="s">
        <v>662</v>
      </c>
    </row>
    <row r="2360" spans="1:3">
      <c r="A2360" s="36">
        <v>30645585654</v>
      </c>
      <c r="B2360" t="s">
        <v>663</v>
      </c>
    </row>
    <row r="2361" spans="1:3">
      <c r="A2361" s="36">
        <v>30300307</v>
      </c>
      <c r="B2361" t="s">
        <v>1690</v>
      </c>
    </row>
    <row r="2362" spans="1:3">
      <c r="A2362" s="36">
        <v>30711553564</v>
      </c>
      <c r="B2362" t="s">
        <v>664</v>
      </c>
      <c r="C2362" s="35" t="s">
        <v>2359</v>
      </c>
    </row>
    <row r="2363" spans="1:3">
      <c r="A2363" s="36">
        <v>30711553564</v>
      </c>
      <c r="B2363" t="s">
        <v>664</v>
      </c>
      <c r="C2363" s="35" t="s">
        <v>2359</v>
      </c>
    </row>
    <row r="2364" spans="1:3">
      <c r="A2364" s="36">
        <v>10260271</v>
      </c>
      <c r="B2364" t="s">
        <v>1870</v>
      </c>
    </row>
    <row r="2365" spans="1:3">
      <c r="A2365" s="36">
        <v>5777427</v>
      </c>
      <c r="B2365" t="s">
        <v>1691</v>
      </c>
    </row>
    <row r="2366" spans="1:3">
      <c r="A2366" s="36">
        <v>32187169</v>
      </c>
      <c r="B2366" t="s">
        <v>1692</v>
      </c>
    </row>
    <row r="2367" spans="1:3">
      <c r="A2367" s="36">
        <v>27178792178</v>
      </c>
      <c r="B2367" t="s">
        <v>2167</v>
      </c>
      <c r="C2367" s="35" t="s">
        <v>2367</v>
      </c>
    </row>
    <row r="2368" spans="1:3">
      <c r="A2368" s="36">
        <v>27178792178</v>
      </c>
      <c r="B2368" t="s">
        <v>2167</v>
      </c>
    </row>
    <row r="2369" spans="1:3">
      <c r="A2369" s="36">
        <v>30588919826</v>
      </c>
      <c r="B2369" t="s">
        <v>1838</v>
      </c>
      <c r="C2369" s="35" t="s">
        <v>44</v>
      </c>
    </row>
    <row r="2370" spans="1:3">
      <c r="A2370" s="36">
        <v>4775767</v>
      </c>
      <c r="B2370" t="s">
        <v>1693</v>
      </c>
    </row>
    <row r="2371" spans="1:3">
      <c r="A2371" s="36">
        <v>13417805</v>
      </c>
      <c r="B2371" t="s">
        <v>1694</v>
      </c>
    </row>
    <row r="2372" spans="1:3">
      <c r="A2372" s="36">
        <v>22001100</v>
      </c>
      <c r="B2372" t="s">
        <v>1695</v>
      </c>
    </row>
    <row r="2373" spans="1:3">
      <c r="A2373" s="36">
        <v>94018871</v>
      </c>
      <c r="B2373" t="s">
        <v>665</v>
      </c>
    </row>
    <row r="2374" spans="1:3">
      <c r="A2374" s="36">
        <v>264681</v>
      </c>
      <c r="B2374" t="s">
        <v>1696</v>
      </c>
    </row>
    <row r="2375" spans="1:3">
      <c r="A2375" s="36">
        <v>1132896</v>
      </c>
      <c r="B2375" t="s">
        <v>1697</v>
      </c>
    </row>
    <row r="2376" spans="1:3">
      <c r="A2376" s="36">
        <v>23144667239</v>
      </c>
      <c r="B2376" t="s">
        <v>1698</v>
      </c>
      <c r="C2376" s="35" t="s">
        <v>79</v>
      </c>
    </row>
    <row r="2377" spans="1:3">
      <c r="A2377" s="36">
        <v>11836061</v>
      </c>
      <c r="B2377" t="s">
        <v>1699</v>
      </c>
    </row>
    <row r="2378" spans="1:3">
      <c r="A2378" s="36">
        <v>30586172308</v>
      </c>
      <c r="B2378" t="s">
        <v>1700</v>
      </c>
      <c r="C2378" s="35" t="s">
        <v>46</v>
      </c>
    </row>
    <row r="2379" spans="1:3">
      <c r="A2379" s="36">
        <v>27120886636</v>
      </c>
      <c r="B2379" t="s">
        <v>2030</v>
      </c>
    </row>
    <row r="2380" spans="1:3">
      <c r="A2380" s="36">
        <v>47958325</v>
      </c>
      <c r="B2380" t="s">
        <v>2091</v>
      </c>
    </row>
    <row r="2381" spans="1:3">
      <c r="A2381" s="36">
        <v>1404947</v>
      </c>
      <c r="B2381" t="s">
        <v>1701</v>
      </c>
    </row>
    <row r="2382" spans="1:3">
      <c r="A2382" s="36">
        <v>93195134</v>
      </c>
      <c r="B2382" t="s">
        <v>2115</v>
      </c>
    </row>
    <row r="2383" spans="1:3">
      <c r="A2383" s="36">
        <v>27217606255</v>
      </c>
      <c r="B2383" t="s">
        <v>1702</v>
      </c>
      <c r="C2383" s="35" t="s">
        <v>2413</v>
      </c>
    </row>
    <row r="2384" spans="1:3">
      <c r="A2384" s="36"/>
    </row>
    <row r="2385" spans="1:3">
      <c r="A2385" s="36">
        <v>4365206</v>
      </c>
      <c r="B2385" t="s">
        <v>1703</v>
      </c>
    </row>
    <row r="2386" spans="1:3">
      <c r="A2386" s="36">
        <v>4559651</v>
      </c>
      <c r="B2386" t="s">
        <v>1704</v>
      </c>
    </row>
    <row r="2387" spans="1:3">
      <c r="A2387" s="36">
        <v>30714079405</v>
      </c>
      <c r="B2387" t="s">
        <v>666</v>
      </c>
      <c r="C2387" s="35" t="s">
        <v>2359</v>
      </c>
    </row>
    <row r="2388" spans="1:3">
      <c r="A2388" s="36">
        <v>27240421513</v>
      </c>
      <c r="B2388" t="s">
        <v>667</v>
      </c>
    </row>
    <row r="2389" spans="1:3">
      <c r="A2389" s="36">
        <v>43874332</v>
      </c>
      <c r="B2389" t="s">
        <v>1864</v>
      </c>
    </row>
    <row r="2390" spans="1:3">
      <c r="A2390" s="36">
        <v>23255491784</v>
      </c>
      <c r="B2390" t="s">
        <v>1705</v>
      </c>
      <c r="C2390" s="35" t="s">
        <v>2359</v>
      </c>
    </row>
    <row r="2391" spans="1:3">
      <c r="A2391" s="36">
        <v>23327802</v>
      </c>
      <c r="B2391" t="s">
        <v>1706</v>
      </c>
    </row>
    <row r="2392" spans="1:3">
      <c r="A2392" s="36">
        <v>9861710</v>
      </c>
      <c r="B2392" t="s">
        <v>1707</v>
      </c>
    </row>
    <row r="2393" spans="1:3">
      <c r="A2393" s="36">
        <v>30712529721</v>
      </c>
      <c r="B2393" t="s">
        <v>2247</v>
      </c>
    </row>
    <row r="2394" spans="1:3">
      <c r="A2394" s="36">
        <v>33693506099</v>
      </c>
      <c r="B2394" t="s">
        <v>1708</v>
      </c>
      <c r="C2394" s="35" t="s">
        <v>43</v>
      </c>
    </row>
    <row r="2395" spans="1:3">
      <c r="A2395" s="36">
        <v>33693506099</v>
      </c>
      <c r="B2395" t="s">
        <v>1708</v>
      </c>
      <c r="C2395" s="35" t="s">
        <v>1015</v>
      </c>
    </row>
    <row r="2396" spans="1:3">
      <c r="A2396" s="36">
        <v>27144282383</v>
      </c>
      <c r="B2396" t="s">
        <v>2327</v>
      </c>
      <c r="C2396" s="35" t="s">
        <v>2359</v>
      </c>
    </row>
    <row r="2397" spans="1:3">
      <c r="A2397" s="36">
        <v>14123802</v>
      </c>
      <c r="B2397" t="s">
        <v>1709</v>
      </c>
    </row>
    <row r="2398" spans="1:3">
      <c r="A2398" s="36">
        <v>20268417762</v>
      </c>
      <c r="B2398" t="s">
        <v>2188</v>
      </c>
      <c r="C2398" s="35" t="s">
        <v>79</v>
      </c>
    </row>
    <row r="2399" spans="1:3">
      <c r="A2399" s="36">
        <v>20268417762</v>
      </c>
      <c r="B2399" t="s">
        <v>2188</v>
      </c>
      <c r="C2399" s="35" t="s">
        <v>79</v>
      </c>
    </row>
    <row r="2400" spans="1:3">
      <c r="A2400" s="36">
        <v>17223302</v>
      </c>
      <c r="B2400" t="s">
        <v>1710</v>
      </c>
    </row>
    <row r="2401" spans="1:3">
      <c r="A2401" s="36">
        <v>21481083</v>
      </c>
      <c r="B2401" t="s">
        <v>1973</v>
      </c>
    </row>
    <row r="2402" spans="1:3">
      <c r="A2402" s="36">
        <v>16593371</v>
      </c>
      <c r="B2402" t="s">
        <v>1711</v>
      </c>
    </row>
    <row r="2403" spans="1:3">
      <c r="A2403" s="36">
        <v>20043688937</v>
      </c>
      <c r="B2403" t="s">
        <v>1712</v>
      </c>
    </row>
    <row r="2404" spans="1:3">
      <c r="A2404" s="36">
        <v>43224968</v>
      </c>
      <c r="B2404" t="s">
        <v>1713</v>
      </c>
    </row>
    <row r="2405" spans="1:3">
      <c r="A2405" s="36">
        <v>26690839</v>
      </c>
      <c r="B2405" t="s">
        <v>1714</v>
      </c>
    </row>
    <row r="2406" spans="1:3">
      <c r="A2406" s="36">
        <v>30708428082</v>
      </c>
      <c r="B2406" t="s">
        <v>668</v>
      </c>
    </row>
    <row r="2407" spans="1:3">
      <c r="A2407" s="36">
        <v>18215010</v>
      </c>
      <c r="B2407" t="s">
        <v>1715</v>
      </c>
    </row>
    <row r="2408" spans="1:3">
      <c r="A2408" s="36">
        <v>33710130189</v>
      </c>
      <c r="B2408" t="s">
        <v>2106</v>
      </c>
    </row>
    <row r="2409" spans="1:3">
      <c r="A2409" s="36">
        <v>30690142860</v>
      </c>
      <c r="B2409" t="s">
        <v>1716</v>
      </c>
      <c r="C2409" s="35" t="s">
        <v>781</v>
      </c>
    </row>
    <row r="2410" spans="1:3">
      <c r="A2410" s="36">
        <v>30710698267</v>
      </c>
      <c r="B2410" t="s">
        <v>2064</v>
      </c>
      <c r="C2410" s="35" t="s">
        <v>2359</v>
      </c>
    </row>
    <row r="2411" spans="1:3">
      <c r="A2411" s="36">
        <v>30710276273</v>
      </c>
      <c r="B2411" t="s">
        <v>1857</v>
      </c>
      <c r="C2411" s="35" t="s">
        <v>781</v>
      </c>
    </row>
    <row r="2412" spans="1:3">
      <c r="A2412" s="36">
        <v>30709570664</v>
      </c>
      <c r="B2412" t="s">
        <v>2025</v>
      </c>
      <c r="C2412" s="35" t="s">
        <v>2359</v>
      </c>
    </row>
    <row r="2413" spans="1:3">
      <c r="A2413" s="36">
        <v>30638340689</v>
      </c>
      <c r="B2413" t="s">
        <v>1717</v>
      </c>
      <c r="C2413" s="35" t="s">
        <v>2359</v>
      </c>
    </row>
    <row r="2414" spans="1:3">
      <c r="A2414" s="36">
        <v>30631047145</v>
      </c>
      <c r="B2414" t="s">
        <v>669</v>
      </c>
      <c r="C2414" s="35" t="s">
        <v>2359</v>
      </c>
    </row>
    <row r="2415" spans="1:3">
      <c r="A2415" s="36">
        <v>30711105014</v>
      </c>
      <c r="B2415" t="s">
        <v>670</v>
      </c>
    </row>
    <row r="2416" spans="1:3">
      <c r="A2416" s="36">
        <v>30683684143</v>
      </c>
      <c r="B2416" t="s">
        <v>671</v>
      </c>
    </row>
    <row r="2417" spans="1:3">
      <c r="A2417" s="36">
        <v>30645330184</v>
      </c>
      <c r="B2417" t="s">
        <v>672</v>
      </c>
    </row>
    <row r="2418" spans="1:3">
      <c r="A2418" s="36">
        <v>30610025915</v>
      </c>
      <c r="B2418" t="s">
        <v>673</v>
      </c>
    </row>
    <row r="2419" spans="1:3">
      <c r="A2419" s="36">
        <v>30616500593</v>
      </c>
      <c r="B2419" t="s">
        <v>674</v>
      </c>
    </row>
    <row r="2420" spans="1:3">
      <c r="A2420" s="36">
        <v>30709525839</v>
      </c>
      <c r="B2420" t="s">
        <v>2097</v>
      </c>
    </row>
    <row r="2421" spans="1:3">
      <c r="A2421" s="36">
        <v>30710682026</v>
      </c>
      <c r="B2421" t="s">
        <v>1718</v>
      </c>
      <c r="C2421" s="35" t="s">
        <v>891</v>
      </c>
    </row>
    <row r="2422" spans="1:3">
      <c r="A2422" s="36">
        <v>33709619719</v>
      </c>
      <c r="B2422" t="s">
        <v>2039</v>
      </c>
      <c r="C2422" s="35" t="s">
        <v>2383</v>
      </c>
    </row>
    <row r="2423" spans="1:3">
      <c r="A2423" s="36">
        <v>1317770</v>
      </c>
      <c r="B2423" t="s">
        <v>1719</v>
      </c>
    </row>
    <row r="2424" spans="1:3">
      <c r="A2424" s="36">
        <v>30645722554</v>
      </c>
      <c r="B2424" t="s">
        <v>1720</v>
      </c>
    </row>
    <row r="2425" spans="1:3">
      <c r="A2425" s="36">
        <v>20110124636</v>
      </c>
      <c r="B2425" t="s">
        <v>2139</v>
      </c>
    </row>
    <row r="2426" spans="1:3">
      <c r="A2426" s="36">
        <v>30574300858</v>
      </c>
      <c r="B2426" t="s">
        <v>675</v>
      </c>
      <c r="C2426" s="35" t="s">
        <v>44</v>
      </c>
    </row>
    <row r="2427" spans="1:3">
      <c r="A2427" s="36">
        <v>30715753541</v>
      </c>
      <c r="B2427" t="s">
        <v>1943</v>
      </c>
      <c r="C2427" s="35" t="s">
        <v>44</v>
      </c>
    </row>
    <row r="2428" spans="1:3">
      <c r="A2428" s="36">
        <v>30699419245</v>
      </c>
      <c r="B2428" t="s">
        <v>676</v>
      </c>
      <c r="C2428" s="35" t="s">
        <v>79</v>
      </c>
    </row>
    <row r="2429" spans="1:3">
      <c r="A2429" s="36">
        <v>31335549</v>
      </c>
      <c r="B2429" t="s">
        <v>677</v>
      </c>
    </row>
    <row r="2430" spans="1:3">
      <c r="A2430" s="36">
        <v>20184103924</v>
      </c>
      <c r="B2430" t="s">
        <v>678</v>
      </c>
    </row>
    <row r="2431" spans="1:3">
      <c r="A2431" s="36">
        <v>27292799433</v>
      </c>
      <c r="B2431" t="s">
        <v>1856</v>
      </c>
    </row>
    <row r="2432" spans="1:3">
      <c r="A2432" s="36">
        <v>20926929128</v>
      </c>
      <c r="B2432" t="s">
        <v>679</v>
      </c>
      <c r="C2432" s="35" t="s">
        <v>79</v>
      </c>
    </row>
    <row r="2433" spans="1:3">
      <c r="A2433" s="36">
        <v>30663434191</v>
      </c>
      <c r="B2433" t="s">
        <v>680</v>
      </c>
    </row>
    <row r="2434" spans="1:3">
      <c r="A2434" s="36">
        <v>30598960093</v>
      </c>
      <c r="B2434" t="s">
        <v>681</v>
      </c>
      <c r="C2434" s="35" t="s">
        <v>2359</v>
      </c>
    </row>
    <row r="2435" spans="1:3">
      <c r="A2435" s="36">
        <v>30598960093</v>
      </c>
      <c r="B2435" t="s">
        <v>681</v>
      </c>
      <c r="C2435" s="35" t="s">
        <v>2359</v>
      </c>
    </row>
    <row r="2436" spans="1:3">
      <c r="A2436" s="36">
        <v>30598960093</v>
      </c>
      <c r="B2436" t="s">
        <v>681</v>
      </c>
      <c r="C2436" s="35" t="s">
        <v>2359</v>
      </c>
    </row>
    <row r="2437" spans="1:3">
      <c r="A2437" s="36">
        <v>30598960093</v>
      </c>
      <c r="B2437" t="s">
        <v>681</v>
      </c>
      <c r="C2437" s="35" t="s">
        <v>2359</v>
      </c>
    </row>
    <row r="2438" spans="1:3">
      <c r="A2438" s="36">
        <v>30598960093</v>
      </c>
      <c r="B2438" t="s">
        <v>681</v>
      </c>
      <c r="C2438" s="35" t="s">
        <v>2359</v>
      </c>
    </row>
    <row r="2439" spans="1:3">
      <c r="A2439" s="36">
        <v>30598960093</v>
      </c>
      <c r="B2439" t="s">
        <v>681</v>
      </c>
      <c r="C2439" s="35" t="s">
        <v>2359</v>
      </c>
    </row>
    <row r="2440" spans="1:3">
      <c r="A2440" s="36">
        <v>13655230</v>
      </c>
      <c r="B2440" t="s">
        <v>1721</v>
      </c>
    </row>
    <row r="2441" spans="1:3">
      <c r="A2441" s="36">
        <v>11360862</v>
      </c>
      <c r="B2441" t="s">
        <v>1722</v>
      </c>
    </row>
    <row r="2442" spans="1:3">
      <c r="A2442" s="36">
        <v>4983640</v>
      </c>
      <c r="B2442" t="s">
        <v>1723</v>
      </c>
    </row>
    <row r="2443" spans="1:3">
      <c r="A2443" s="36">
        <v>30707833765</v>
      </c>
      <c r="B2443" t="s">
        <v>682</v>
      </c>
    </row>
    <row r="2444" spans="1:3">
      <c r="A2444" s="36">
        <v>16321407</v>
      </c>
      <c r="B2444" t="s">
        <v>1995</v>
      </c>
    </row>
    <row r="2445" spans="1:3">
      <c r="A2445" s="36">
        <v>30673535182</v>
      </c>
      <c r="B2445" t="s">
        <v>1724</v>
      </c>
    </row>
    <row r="2446" spans="1:3">
      <c r="A2446" s="36">
        <v>30528650003</v>
      </c>
      <c r="B2446" t="s">
        <v>683</v>
      </c>
    </row>
    <row r="2447" spans="1:3">
      <c r="A2447" s="36">
        <v>30715504037</v>
      </c>
      <c r="B2447" t="s">
        <v>684</v>
      </c>
      <c r="C2447" s="35" t="s">
        <v>2359</v>
      </c>
    </row>
    <row r="2448" spans="1:3">
      <c r="A2448" s="36">
        <v>30708601108</v>
      </c>
      <c r="B2448" t="s">
        <v>2209</v>
      </c>
      <c r="C2448" s="35" t="s">
        <v>44</v>
      </c>
    </row>
    <row r="2449" spans="1:3">
      <c r="A2449" s="36">
        <v>30708601108</v>
      </c>
      <c r="B2449" t="s">
        <v>2209</v>
      </c>
      <c r="C2449" s="35" t="s">
        <v>44</v>
      </c>
    </row>
    <row r="2450" spans="1:3">
      <c r="A2450" s="36">
        <v>30717273520</v>
      </c>
      <c r="B2450" t="s">
        <v>2391</v>
      </c>
      <c r="C2450" s="35" t="s">
        <v>79</v>
      </c>
    </row>
    <row r="2451" spans="1:3">
      <c r="A2451" s="36">
        <v>4909512</v>
      </c>
      <c r="B2451" t="s">
        <v>1725</v>
      </c>
    </row>
    <row r="2452" spans="1:3">
      <c r="A2452" s="36">
        <v>30665725829</v>
      </c>
      <c r="B2452" t="s">
        <v>685</v>
      </c>
    </row>
    <row r="2453" spans="1:3">
      <c r="A2453" s="36">
        <v>31283351</v>
      </c>
      <c r="B2453" t="s">
        <v>1726</v>
      </c>
    </row>
    <row r="2454" spans="1:3">
      <c r="A2454" s="36">
        <v>30715487876</v>
      </c>
      <c r="B2454" t="s">
        <v>686</v>
      </c>
    </row>
    <row r="2455" spans="1:3">
      <c r="A2455" s="36">
        <v>6221404</v>
      </c>
      <c r="B2455" t="s">
        <v>1888</v>
      </c>
    </row>
    <row r="2456" spans="1:3">
      <c r="A2456" s="36">
        <v>22297157</v>
      </c>
      <c r="B2456" t="s">
        <v>1727</v>
      </c>
    </row>
    <row r="2457" spans="1:3">
      <c r="A2457" s="36">
        <v>20351173913</v>
      </c>
      <c r="B2457" t="s">
        <v>1728</v>
      </c>
      <c r="C2457" s="35" t="s">
        <v>2359</v>
      </c>
    </row>
    <row r="2458" spans="1:3">
      <c r="A2458" s="36">
        <v>30521522786</v>
      </c>
      <c r="B2458" t="s">
        <v>1729</v>
      </c>
      <c r="C2458" s="35" t="s">
        <v>891</v>
      </c>
    </row>
    <row r="2459" spans="1:3">
      <c r="A2459" s="36">
        <v>25682418</v>
      </c>
      <c r="B2459" t="s">
        <v>1730</v>
      </c>
    </row>
    <row r="2460" spans="1:3">
      <c r="A2460" s="36">
        <v>30702071506</v>
      </c>
      <c r="B2460" t="s">
        <v>1731</v>
      </c>
      <c r="C2460" s="35" t="s">
        <v>44</v>
      </c>
    </row>
    <row r="2461" spans="1:3">
      <c r="A2461" s="36">
        <v>30711842809</v>
      </c>
      <c r="B2461" t="s">
        <v>1732</v>
      </c>
    </row>
    <row r="2462" spans="1:3">
      <c r="A2462" s="36">
        <v>30654118767</v>
      </c>
      <c r="B2462" t="s">
        <v>687</v>
      </c>
      <c r="C2462" s="35" t="s">
        <v>2367</v>
      </c>
    </row>
    <row r="2463" spans="1:3">
      <c r="A2463" s="36">
        <v>30654118767</v>
      </c>
      <c r="B2463" t="s">
        <v>687</v>
      </c>
      <c r="C2463" s="35" t="s">
        <v>891</v>
      </c>
    </row>
    <row r="2464" spans="1:3">
      <c r="A2464" s="36">
        <v>30716393360</v>
      </c>
      <c r="B2464" t="s">
        <v>1733</v>
      </c>
      <c r="C2464" s="35" t="s">
        <v>2359</v>
      </c>
    </row>
    <row r="2465" spans="1:3">
      <c r="A2465" s="36">
        <v>30710951647</v>
      </c>
      <c r="B2465" t="s">
        <v>2355</v>
      </c>
      <c r="C2465" s="35" t="s">
        <v>804</v>
      </c>
    </row>
    <row r="2466" spans="1:3">
      <c r="A2466" s="36">
        <v>56203961</v>
      </c>
      <c r="B2466" t="s">
        <v>1734</v>
      </c>
    </row>
    <row r="2467" spans="1:3">
      <c r="A2467" s="36">
        <v>30709040908</v>
      </c>
      <c r="B2467" t="s">
        <v>688</v>
      </c>
    </row>
    <row r="2468" spans="1:3">
      <c r="A2468" s="36">
        <v>33715594949</v>
      </c>
      <c r="B2468" t="s">
        <v>1735</v>
      </c>
      <c r="C2468" s="35" t="s">
        <v>44</v>
      </c>
    </row>
    <row r="2469" spans="1:3">
      <c r="A2469" s="36">
        <v>33715594949</v>
      </c>
      <c r="B2469" t="s">
        <v>1735</v>
      </c>
      <c r="C2469" s="35" t="s">
        <v>44</v>
      </c>
    </row>
    <row r="2470" spans="1:3">
      <c r="A2470" s="36">
        <v>30688387201</v>
      </c>
      <c r="B2470" t="s">
        <v>689</v>
      </c>
      <c r="C2470" s="35" t="s">
        <v>2359</v>
      </c>
    </row>
    <row r="2471" spans="1:3">
      <c r="A2471" s="36">
        <v>30521837000</v>
      </c>
      <c r="B2471" t="s">
        <v>2161</v>
      </c>
    </row>
    <row r="2472" spans="1:3">
      <c r="A2472" s="36">
        <v>36594584</v>
      </c>
      <c r="B2472" t="s">
        <v>1736</v>
      </c>
    </row>
    <row r="2473" spans="1:3">
      <c r="A2473" s="36">
        <v>26886421</v>
      </c>
      <c r="B2473" t="s">
        <v>1737</v>
      </c>
    </row>
    <row r="2474" spans="1:3">
      <c r="A2474" s="36">
        <v>20230902780</v>
      </c>
      <c r="B2474" t="s">
        <v>1906</v>
      </c>
      <c r="C2474" s="35" t="s">
        <v>79</v>
      </c>
    </row>
    <row r="2475" spans="1:3">
      <c r="A2475" s="36">
        <v>21588417</v>
      </c>
      <c r="B2475" t="s">
        <v>1738</v>
      </c>
    </row>
    <row r="2476" spans="1:3">
      <c r="A2476" s="36">
        <v>27066622997</v>
      </c>
      <c r="B2476" t="s">
        <v>690</v>
      </c>
      <c r="C2476" s="35" t="s">
        <v>2359</v>
      </c>
    </row>
    <row r="2477" spans="1:3">
      <c r="A2477" s="36">
        <v>27312091</v>
      </c>
      <c r="B2477" t="s">
        <v>1739</v>
      </c>
    </row>
    <row r="2478" spans="1:3">
      <c r="A2478" s="36">
        <v>27283627573</v>
      </c>
      <c r="B2478" t="s">
        <v>2154</v>
      </c>
    </row>
    <row r="2479" spans="1:3">
      <c r="A2479" s="36">
        <v>27325223273</v>
      </c>
      <c r="B2479" t="s">
        <v>2388</v>
      </c>
      <c r="C2479" s="35" t="s">
        <v>2359</v>
      </c>
    </row>
    <row r="2480" spans="1:3">
      <c r="A2480" s="36">
        <v>30700888505</v>
      </c>
      <c r="B2480" t="s">
        <v>1740</v>
      </c>
    </row>
    <row r="2481" spans="1:3">
      <c r="A2481" s="36">
        <v>30643416375</v>
      </c>
      <c r="B2481" t="s">
        <v>691</v>
      </c>
      <c r="C2481" s="35" t="s">
        <v>2359</v>
      </c>
    </row>
    <row r="2482" spans="1:3">
      <c r="A2482" s="36">
        <v>13740696</v>
      </c>
      <c r="B2482" t="s">
        <v>692</v>
      </c>
    </row>
    <row r="2483" spans="1:3">
      <c r="A2483" s="36">
        <v>30714710652</v>
      </c>
      <c r="B2483" t="s">
        <v>693</v>
      </c>
      <c r="C2483" s="35" t="s">
        <v>2359</v>
      </c>
    </row>
    <row r="2484" spans="1:3">
      <c r="A2484" s="36">
        <v>23185808963</v>
      </c>
      <c r="B2484" t="s">
        <v>694</v>
      </c>
    </row>
    <row r="2485" spans="1:3">
      <c r="A2485" s="36">
        <v>12975784</v>
      </c>
      <c r="B2485" t="s">
        <v>1741</v>
      </c>
    </row>
    <row r="2486" spans="1:3">
      <c r="A2486" s="36">
        <v>20300821872</v>
      </c>
      <c r="B2486" t="s">
        <v>1742</v>
      </c>
      <c r="C2486" s="35" t="s">
        <v>891</v>
      </c>
    </row>
    <row r="2487" spans="1:3">
      <c r="A2487" s="36">
        <v>30715668994</v>
      </c>
      <c r="B2487" t="s">
        <v>2184</v>
      </c>
      <c r="C2487" s="35" t="s">
        <v>2359</v>
      </c>
    </row>
    <row r="2488" spans="1:3">
      <c r="A2488" s="36">
        <v>30715668994</v>
      </c>
      <c r="B2488" t="s">
        <v>2184</v>
      </c>
      <c r="C2488" s="35" t="s">
        <v>2359</v>
      </c>
    </row>
    <row r="2489" spans="1:3">
      <c r="A2489" s="36">
        <v>30577797281</v>
      </c>
      <c r="B2489" t="s">
        <v>695</v>
      </c>
      <c r="C2489" s="35" t="s">
        <v>796</v>
      </c>
    </row>
    <row r="2490" spans="1:3">
      <c r="A2490" s="36">
        <v>30577797281</v>
      </c>
      <c r="B2490" t="s">
        <v>695</v>
      </c>
      <c r="C2490" s="35" t="s">
        <v>796</v>
      </c>
    </row>
    <row r="2491" spans="1:3">
      <c r="A2491" s="36" t="s">
        <v>1743</v>
      </c>
      <c r="B2491" t="s">
        <v>695</v>
      </c>
      <c r="C2491" s="35" t="s">
        <v>2359</v>
      </c>
    </row>
    <row r="2492" spans="1:3">
      <c r="A2492" s="36">
        <v>30577797281</v>
      </c>
      <c r="B2492" t="s">
        <v>695</v>
      </c>
    </row>
    <row r="2493" spans="1:3">
      <c r="A2493" s="36">
        <v>20249295869</v>
      </c>
      <c r="B2493" t="s">
        <v>696</v>
      </c>
    </row>
    <row r="2494" spans="1:3">
      <c r="A2494" s="36">
        <v>23250955529</v>
      </c>
      <c r="B2494" t="s">
        <v>1744</v>
      </c>
      <c r="C2494" s="35" t="s">
        <v>804</v>
      </c>
    </row>
    <row r="2495" spans="1:3">
      <c r="A2495" s="36">
        <v>17570512</v>
      </c>
      <c r="B2495" t="s">
        <v>1745</v>
      </c>
    </row>
    <row r="2496" spans="1:3">
      <c r="A2496" s="36">
        <v>34294872</v>
      </c>
      <c r="B2496" t="s">
        <v>1746</v>
      </c>
    </row>
    <row r="2497" spans="1:3">
      <c r="A2497" s="36">
        <v>34571343</v>
      </c>
      <c r="B2497" t="s">
        <v>1747</v>
      </c>
    </row>
    <row r="2498" spans="1:3">
      <c r="A2498" s="36">
        <v>16492758</v>
      </c>
      <c r="B2498" t="s">
        <v>1748</v>
      </c>
    </row>
    <row r="2499" spans="1:3">
      <c r="A2499" s="36">
        <v>30500221956</v>
      </c>
      <c r="B2499" t="s">
        <v>697</v>
      </c>
    </row>
    <row r="2500" spans="1:3">
      <c r="A2500" s="36">
        <v>17106902</v>
      </c>
      <c r="B2500" t="s">
        <v>1749</v>
      </c>
    </row>
    <row r="2501" spans="1:3">
      <c r="A2501" s="36">
        <v>902191</v>
      </c>
      <c r="B2501" t="s">
        <v>1750</v>
      </c>
    </row>
    <row r="2502" spans="1:3">
      <c r="A2502" s="36">
        <v>20172324240</v>
      </c>
      <c r="B2502" t="s">
        <v>698</v>
      </c>
    </row>
    <row r="2503" spans="1:3">
      <c r="A2503" s="36">
        <v>20267751</v>
      </c>
      <c r="B2503" t="s">
        <v>1998</v>
      </c>
    </row>
    <row r="2504" spans="1:3">
      <c r="A2504" s="36">
        <v>22251013</v>
      </c>
      <c r="B2504" t="s">
        <v>1751</v>
      </c>
    </row>
    <row r="2505" spans="1:3">
      <c r="A2505" s="36">
        <v>20325751453</v>
      </c>
      <c r="B2505" t="s">
        <v>699</v>
      </c>
      <c r="C2505" s="35" t="s">
        <v>2359</v>
      </c>
    </row>
    <row r="2506" spans="1:3">
      <c r="A2506" s="36">
        <v>20211427834</v>
      </c>
      <c r="B2506" t="s">
        <v>700</v>
      </c>
    </row>
    <row r="2507" spans="1:3">
      <c r="A2507" s="36">
        <v>22990821</v>
      </c>
      <c r="B2507" t="s">
        <v>1752</v>
      </c>
    </row>
    <row r="2508" spans="1:3">
      <c r="A2508" s="36">
        <v>30699425520</v>
      </c>
      <c r="B2508" t="s">
        <v>701</v>
      </c>
      <c r="C2508" s="35" t="s">
        <v>2359</v>
      </c>
    </row>
    <row r="2509" spans="1:3">
      <c r="A2509" s="36">
        <v>16891957</v>
      </c>
      <c r="B2509" t="s">
        <v>1753</v>
      </c>
    </row>
    <row r="2510" spans="1:3">
      <c r="A2510" s="36">
        <v>30715701932</v>
      </c>
      <c r="B2510" t="s">
        <v>702</v>
      </c>
      <c r="C2510" s="35" t="s">
        <v>2359</v>
      </c>
    </row>
    <row r="2511" spans="1:3">
      <c r="A2511" s="36">
        <v>20045279244</v>
      </c>
      <c r="B2511" t="s">
        <v>703</v>
      </c>
    </row>
    <row r="2512" spans="1:3">
      <c r="A2512" s="36">
        <v>20200212143</v>
      </c>
      <c r="B2512" t="s">
        <v>1754</v>
      </c>
      <c r="C2512" s="35" t="s">
        <v>79</v>
      </c>
    </row>
    <row r="2513" spans="1:3">
      <c r="A2513" s="36">
        <v>30695303978</v>
      </c>
      <c r="B2513" t="s">
        <v>704</v>
      </c>
      <c r="C2513" s="35" t="s">
        <v>79</v>
      </c>
    </row>
    <row r="2514" spans="1:3">
      <c r="A2514" s="36">
        <v>20314785593</v>
      </c>
      <c r="B2514" t="s">
        <v>1755</v>
      </c>
      <c r="C2514" s="35" t="s">
        <v>2359</v>
      </c>
    </row>
    <row r="2515" spans="1:3">
      <c r="A2515" s="36">
        <v>20314785593</v>
      </c>
      <c r="B2515" t="s">
        <v>1755</v>
      </c>
      <c r="C2515" s="35" t="s">
        <v>2359</v>
      </c>
    </row>
    <row r="2516" spans="1:3">
      <c r="A2516" s="36">
        <v>30715458744</v>
      </c>
      <c r="B2516" t="s">
        <v>1756</v>
      </c>
      <c r="C2516" s="35" t="s">
        <v>44</v>
      </c>
    </row>
    <row r="2517" spans="1:3">
      <c r="A2517" s="36">
        <v>30715458744</v>
      </c>
      <c r="B2517" t="s">
        <v>1756</v>
      </c>
      <c r="C2517" s="35" t="s">
        <v>44</v>
      </c>
    </row>
    <row r="2518" spans="1:3">
      <c r="A2518" s="36">
        <v>30709981141</v>
      </c>
      <c r="B2518" t="s">
        <v>705</v>
      </c>
    </row>
    <row r="2519" spans="1:3">
      <c r="A2519" s="36">
        <v>20229905199</v>
      </c>
      <c r="B2519" t="s">
        <v>2196</v>
      </c>
      <c r="C2519" s="35" t="s">
        <v>2413</v>
      </c>
    </row>
    <row r="2520" spans="1:3">
      <c r="A2520" s="36"/>
    </row>
    <row r="2521" spans="1:3">
      <c r="A2521" s="36">
        <v>30505459179</v>
      </c>
      <c r="B2521" t="s">
        <v>706</v>
      </c>
      <c r="C2521" s="35" t="s">
        <v>2359</v>
      </c>
    </row>
    <row r="2522" spans="1:3">
      <c r="A2522" s="36">
        <v>5729256</v>
      </c>
      <c r="B2522" t="s">
        <v>1876</v>
      </c>
    </row>
    <row r="2523" spans="1:3">
      <c r="A2523" s="36">
        <v>5696369</v>
      </c>
      <c r="B2523" t="s">
        <v>1757</v>
      </c>
    </row>
    <row r="2524" spans="1:3">
      <c r="A2524" s="36">
        <v>23145783224</v>
      </c>
      <c r="B2524" t="s">
        <v>107</v>
      </c>
      <c r="C2524" s="35" t="s">
        <v>1758</v>
      </c>
    </row>
    <row r="2525" spans="1:3">
      <c r="A2525" s="36">
        <v>4886854</v>
      </c>
      <c r="B2525" t="s">
        <v>1759</v>
      </c>
    </row>
    <row r="2526" spans="1:3">
      <c r="A2526" s="36">
        <v>30710114176</v>
      </c>
      <c r="B2526" t="s">
        <v>707</v>
      </c>
      <c r="C2526" s="35" t="s">
        <v>804</v>
      </c>
    </row>
    <row r="2527" spans="1:3">
      <c r="A2527" s="36">
        <v>20272417653</v>
      </c>
      <c r="B2527" t="s">
        <v>2301</v>
      </c>
      <c r="C2527" s="35" t="s">
        <v>804</v>
      </c>
    </row>
    <row r="2528" spans="1:3">
      <c r="A2528" s="36">
        <v>27166041673</v>
      </c>
      <c r="B2528" t="s">
        <v>708</v>
      </c>
    </row>
    <row r="2529" spans="1:3">
      <c r="A2529" s="36">
        <v>30144129</v>
      </c>
      <c r="B2529" t="s">
        <v>2111</v>
      </c>
    </row>
    <row r="2530" spans="1:3">
      <c r="A2530" s="36">
        <v>30707057587</v>
      </c>
      <c r="B2530" t="s">
        <v>709</v>
      </c>
      <c r="C2530" s="35" t="s">
        <v>2359</v>
      </c>
    </row>
    <row r="2531" spans="1:3">
      <c r="A2531" s="36">
        <v>92676540</v>
      </c>
      <c r="B2531" t="s">
        <v>1760</v>
      </c>
    </row>
    <row r="2532" spans="1:3">
      <c r="A2532" s="36">
        <v>30700939797</v>
      </c>
      <c r="B2532" t="s">
        <v>2137</v>
      </c>
      <c r="C2532" s="35" t="s">
        <v>2370</v>
      </c>
    </row>
    <row r="2533" spans="1:3">
      <c r="A2533" s="36"/>
    </row>
    <row r="2534" spans="1:3">
      <c r="A2534" s="36">
        <v>30710177658</v>
      </c>
      <c r="B2534" t="s">
        <v>710</v>
      </c>
      <c r="C2534" s="35" t="s">
        <v>2359</v>
      </c>
    </row>
    <row r="2535" spans="1:3">
      <c r="A2535" s="36">
        <v>30710177658</v>
      </c>
      <c r="B2535" t="s">
        <v>710</v>
      </c>
      <c r="C2535" s="35" t="s">
        <v>2359</v>
      </c>
    </row>
    <row r="2536" spans="1:3">
      <c r="A2536" s="36">
        <v>30710177658</v>
      </c>
      <c r="B2536" t="s">
        <v>710</v>
      </c>
      <c r="C2536" s="35" t="s">
        <v>2359</v>
      </c>
    </row>
    <row r="2537" spans="1:3">
      <c r="A2537" s="36">
        <v>30710177658</v>
      </c>
      <c r="B2537" t="s">
        <v>710</v>
      </c>
      <c r="C2537" s="35" t="s">
        <v>2359</v>
      </c>
    </row>
    <row r="2538" spans="1:3">
      <c r="A2538" s="36">
        <v>30710177658</v>
      </c>
      <c r="B2538" t="s">
        <v>710</v>
      </c>
      <c r="C2538" s="35" t="s">
        <v>2359</v>
      </c>
    </row>
    <row r="2539" spans="1:3">
      <c r="A2539" s="36">
        <v>30710177658</v>
      </c>
      <c r="B2539" t="s">
        <v>710</v>
      </c>
      <c r="C2539" s="35" t="s">
        <v>2359</v>
      </c>
    </row>
    <row r="2540" spans="1:3">
      <c r="A2540" s="36">
        <v>30685376349</v>
      </c>
      <c r="B2540" t="s">
        <v>711</v>
      </c>
    </row>
    <row r="2541" spans="1:3">
      <c r="A2541" s="36">
        <v>30711451567</v>
      </c>
      <c r="B2541" t="s">
        <v>712</v>
      </c>
      <c r="C2541" s="35" t="s">
        <v>2359</v>
      </c>
    </row>
    <row r="2542" spans="1:3">
      <c r="A2542" s="36">
        <v>30687489221</v>
      </c>
      <c r="B2542" t="s">
        <v>1944</v>
      </c>
      <c r="C2542" s="35" t="s">
        <v>1945</v>
      </c>
    </row>
    <row r="2543" spans="1:3">
      <c r="A2543" s="36">
        <v>20283639941</v>
      </c>
      <c r="B2543" t="s">
        <v>1761</v>
      </c>
      <c r="C2543" s="35" t="s">
        <v>891</v>
      </c>
    </row>
    <row r="2544" spans="1:3">
      <c r="A2544" s="36">
        <v>30709583278</v>
      </c>
      <c r="B2544" t="s">
        <v>2287</v>
      </c>
      <c r="C2544" s="35" t="s">
        <v>79</v>
      </c>
    </row>
    <row r="2545" spans="1:3">
      <c r="A2545" s="36">
        <v>11985001</v>
      </c>
      <c r="B2545" t="s">
        <v>1762</v>
      </c>
    </row>
    <row r="2546" spans="1:3">
      <c r="A2546" s="36">
        <v>27374175640</v>
      </c>
      <c r="B2546" t="s">
        <v>2016</v>
      </c>
      <c r="C2546" s="35" t="s">
        <v>79</v>
      </c>
    </row>
    <row r="2547" spans="1:3">
      <c r="A2547" s="36">
        <v>30676683867</v>
      </c>
      <c r="B2547" t="s">
        <v>713</v>
      </c>
      <c r="C2547" s="35" t="s">
        <v>79</v>
      </c>
    </row>
    <row r="2548" spans="1:3">
      <c r="A2548" s="36">
        <v>30710725116</v>
      </c>
      <c r="B2548" t="s">
        <v>714</v>
      </c>
      <c r="C2548" s="35" t="s">
        <v>2359</v>
      </c>
    </row>
    <row r="2549" spans="1:3">
      <c r="A2549" s="36">
        <v>30715004492</v>
      </c>
      <c r="B2549" t="s">
        <v>2241</v>
      </c>
      <c r="C2549" s="35" t="s">
        <v>2411</v>
      </c>
    </row>
    <row r="2550" spans="1:3">
      <c r="A2550" s="36">
        <v>30715004492</v>
      </c>
      <c r="B2550" t="s">
        <v>2241</v>
      </c>
    </row>
    <row r="2551" spans="1:3">
      <c r="A2551" s="36">
        <v>30711037582</v>
      </c>
      <c r="B2551" t="s">
        <v>1835</v>
      </c>
      <c r="C2551" s="35" t="s">
        <v>804</v>
      </c>
    </row>
    <row r="2552" spans="1:3">
      <c r="A2552" s="36">
        <v>30708960736</v>
      </c>
      <c r="B2552" t="s">
        <v>1763</v>
      </c>
      <c r="C2552" s="35" t="s">
        <v>2359</v>
      </c>
    </row>
    <row r="2553" spans="1:3">
      <c r="A2553" s="36">
        <v>33716532769</v>
      </c>
      <c r="B2553" t="s">
        <v>1764</v>
      </c>
      <c r="C2553" s="35" t="s">
        <v>1765</v>
      </c>
    </row>
    <row r="2554" spans="1:3">
      <c r="A2554" s="36">
        <v>30712450408</v>
      </c>
      <c r="B2554" t="s">
        <v>1766</v>
      </c>
      <c r="C2554" s="35" t="s">
        <v>2359</v>
      </c>
    </row>
    <row r="2555" spans="1:3">
      <c r="A2555" s="36">
        <v>30708447036</v>
      </c>
      <c r="B2555" t="s">
        <v>715</v>
      </c>
      <c r="C2555" s="35" t="s">
        <v>804</v>
      </c>
    </row>
    <row r="2556" spans="1:3">
      <c r="A2556" s="36">
        <v>30654152434</v>
      </c>
      <c r="B2556" t="s">
        <v>1956</v>
      </c>
      <c r="C2556" s="35" t="s">
        <v>2383</v>
      </c>
    </row>
    <row r="2557" spans="1:3">
      <c r="A2557" s="36">
        <v>30640897267</v>
      </c>
      <c r="B2557" t="s">
        <v>108</v>
      </c>
      <c r="C2557" s="35" t="s">
        <v>2383</v>
      </c>
    </row>
    <row r="2558" spans="1:3">
      <c r="A2558" s="36">
        <v>30639453738</v>
      </c>
      <c r="B2558" t="s">
        <v>1767</v>
      </c>
      <c r="C2558" s="35" t="s">
        <v>2383</v>
      </c>
    </row>
    <row r="2559" spans="1:3">
      <c r="A2559" s="36">
        <v>30639453738</v>
      </c>
      <c r="B2559" t="s">
        <v>1767</v>
      </c>
      <c r="C2559" s="35" t="s">
        <v>2383</v>
      </c>
    </row>
    <row r="2560" spans="1:3">
      <c r="A2560" s="36">
        <v>30639453975</v>
      </c>
      <c r="B2560" t="s">
        <v>1768</v>
      </c>
      <c r="C2560" s="35" t="s">
        <v>2383</v>
      </c>
    </row>
    <row r="2561" spans="1:3">
      <c r="A2561" s="36">
        <v>30639453975</v>
      </c>
      <c r="B2561" t="s">
        <v>1768</v>
      </c>
      <c r="C2561" s="35" t="s">
        <v>2383</v>
      </c>
    </row>
    <row r="2562" spans="1:3">
      <c r="A2562" s="36">
        <v>30678814357</v>
      </c>
      <c r="B2562" t="s">
        <v>1769</v>
      </c>
      <c r="C2562" s="35" t="s">
        <v>2383</v>
      </c>
    </row>
    <row r="2563" spans="1:3">
      <c r="A2563" s="36">
        <v>30678814357</v>
      </c>
      <c r="B2563" t="s">
        <v>1769</v>
      </c>
      <c r="C2563" s="35" t="s">
        <v>2383</v>
      </c>
    </row>
    <row r="2564" spans="1:3">
      <c r="A2564" s="36">
        <v>33695098419</v>
      </c>
      <c r="B2564" t="s">
        <v>716</v>
      </c>
    </row>
    <row r="2565" spans="1:3">
      <c r="A2565" s="36">
        <v>3285697</v>
      </c>
      <c r="B2565" t="s">
        <v>1770</v>
      </c>
    </row>
    <row r="2566" spans="1:3">
      <c r="A2566" s="36">
        <v>30710092784</v>
      </c>
      <c r="B2566" t="s">
        <v>717</v>
      </c>
    </row>
    <row r="2567" spans="1:3">
      <c r="A2567" s="36">
        <v>30642655732</v>
      </c>
      <c r="B2567" t="s">
        <v>1771</v>
      </c>
    </row>
    <row r="2568" spans="1:3">
      <c r="A2568" s="36">
        <v>30716018373</v>
      </c>
      <c r="B2568" t="s">
        <v>1772</v>
      </c>
    </row>
    <row r="2569" spans="1:3">
      <c r="A2569" s="36">
        <v>4154529</v>
      </c>
      <c r="B2569" t="s">
        <v>1773</v>
      </c>
    </row>
    <row r="2570" spans="1:3">
      <c r="A2570" s="36">
        <v>30710718438</v>
      </c>
      <c r="B2570" t="s">
        <v>718</v>
      </c>
    </row>
    <row r="2571" spans="1:3">
      <c r="A2571" s="36">
        <v>30715259784</v>
      </c>
      <c r="B2571" t="s">
        <v>719</v>
      </c>
      <c r="C2571" s="35" t="s">
        <v>2359</v>
      </c>
    </row>
    <row r="2572" spans="1:3">
      <c r="A2572" s="36">
        <v>30709305618</v>
      </c>
      <c r="B2572" t="s">
        <v>720</v>
      </c>
      <c r="C2572" s="35" t="s">
        <v>2359</v>
      </c>
    </row>
    <row r="2573" spans="1:3">
      <c r="A2573" s="36">
        <v>30694592526</v>
      </c>
      <c r="B2573" t="s">
        <v>721</v>
      </c>
      <c r="C2573" s="35" t="s">
        <v>79</v>
      </c>
    </row>
    <row r="2574" spans="1:3">
      <c r="A2574" s="36">
        <v>30708491086</v>
      </c>
      <c r="B2574" t="s">
        <v>722</v>
      </c>
    </row>
    <row r="2575" spans="1:3">
      <c r="A2575" s="36">
        <v>30661685731</v>
      </c>
      <c r="B2575" t="s">
        <v>723</v>
      </c>
    </row>
    <row r="2576" spans="1:3">
      <c r="A2576" s="36">
        <v>20229914007</v>
      </c>
      <c r="B2576" t="s">
        <v>724</v>
      </c>
    </row>
    <row r="2577" spans="1:3">
      <c r="A2577" s="36">
        <v>30708847247</v>
      </c>
      <c r="B2577" t="s">
        <v>725</v>
      </c>
      <c r="C2577" s="35" t="s">
        <v>43</v>
      </c>
    </row>
    <row r="2578" spans="1:3">
      <c r="A2578" s="36">
        <v>30708847247</v>
      </c>
      <c r="B2578" t="s">
        <v>725</v>
      </c>
      <c r="C2578" s="35" t="s">
        <v>43</v>
      </c>
    </row>
    <row r="2579" spans="1:3">
      <c r="A2579" s="36">
        <v>30715169254</v>
      </c>
      <c r="B2579" t="s">
        <v>726</v>
      </c>
    </row>
    <row r="2580" spans="1:3">
      <c r="A2580" s="36">
        <v>30715168254</v>
      </c>
      <c r="B2580" t="s">
        <v>727</v>
      </c>
    </row>
    <row r="2581" spans="1:3">
      <c r="A2581" s="36">
        <v>30712317872</v>
      </c>
      <c r="B2581" t="s">
        <v>728</v>
      </c>
      <c r="C2581" s="35" t="s">
        <v>2359</v>
      </c>
    </row>
    <row r="2582" spans="1:3">
      <c r="A2582" s="36">
        <v>30715010026</v>
      </c>
      <c r="B2582" t="s">
        <v>1774</v>
      </c>
    </row>
    <row r="2583" spans="1:3">
      <c r="A2583" s="36">
        <v>30519102826</v>
      </c>
      <c r="B2583" t="s">
        <v>729</v>
      </c>
    </row>
    <row r="2584" spans="1:3">
      <c r="A2584" s="36">
        <v>16892133</v>
      </c>
      <c r="B2584" t="s">
        <v>1775</v>
      </c>
    </row>
    <row r="2585" spans="1:3">
      <c r="A2585" s="36">
        <v>94858892</v>
      </c>
      <c r="B2585" t="s">
        <v>1776</v>
      </c>
    </row>
    <row r="2586" spans="1:3">
      <c r="A2586" s="36">
        <v>41706600</v>
      </c>
      <c r="B2586" t="s">
        <v>2086</v>
      </c>
    </row>
    <row r="2587" spans="1:3">
      <c r="A2587" s="36">
        <v>342712</v>
      </c>
      <c r="B2587" t="s">
        <v>1777</v>
      </c>
    </row>
    <row r="2588" spans="1:3">
      <c r="A2588" s="36">
        <v>30709063061</v>
      </c>
      <c r="B2588" t="s">
        <v>730</v>
      </c>
    </row>
    <row r="2589" spans="1:3">
      <c r="A2589" s="36">
        <v>30708765356</v>
      </c>
      <c r="B2589" t="s">
        <v>731</v>
      </c>
      <c r="C2589" s="35" t="s">
        <v>79</v>
      </c>
    </row>
    <row r="2590" spans="1:3">
      <c r="A2590" s="36">
        <v>30531602273</v>
      </c>
      <c r="B2590" t="s">
        <v>732</v>
      </c>
    </row>
    <row r="2591" spans="1:3">
      <c r="A2591" s="36">
        <v>30616031143</v>
      </c>
      <c r="B2591" t="s">
        <v>1778</v>
      </c>
      <c r="C2591" s="35" t="s">
        <v>44</v>
      </c>
    </row>
    <row r="2592" spans="1:3">
      <c r="A2592" s="36">
        <v>30616031143</v>
      </c>
      <c r="B2592" t="s">
        <v>1778</v>
      </c>
      <c r="C2592" s="35" t="s">
        <v>79</v>
      </c>
    </row>
    <row r="2593" spans="1:3">
      <c r="A2593" s="36">
        <v>30683612916</v>
      </c>
      <c r="B2593" t="s">
        <v>733</v>
      </c>
      <c r="C2593" s="35" t="s">
        <v>781</v>
      </c>
    </row>
    <row r="2594" spans="1:3">
      <c r="A2594" s="36">
        <v>30683612916</v>
      </c>
      <c r="B2594" t="s">
        <v>733</v>
      </c>
      <c r="C2594" s="35" t="s">
        <v>781</v>
      </c>
    </row>
    <row r="2595" spans="1:3">
      <c r="A2595" s="36">
        <v>30709361895</v>
      </c>
      <c r="B2595" t="s">
        <v>734</v>
      </c>
    </row>
    <row r="2596" spans="1:3">
      <c r="A2596" s="36">
        <v>30715585215</v>
      </c>
      <c r="B2596" t="s">
        <v>735</v>
      </c>
      <c r="C2596" s="35" t="s">
        <v>87</v>
      </c>
    </row>
    <row r="2597" spans="1:3">
      <c r="A2597" s="36">
        <v>30711188416</v>
      </c>
      <c r="B2597" t="s">
        <v>1779</v>
      </c>
      <c r="C2597" s="35" t="s">
        <v>781</v>
      </c>
    </row>
    <row r="2598" spans="1:3">
      <c r="A2598" s="36">
        <v>20141513177</v>
      </c>
      <c r="B2598" t="s">
        <v>736</v>
      </c>
      <c r="C2598" s="35" t="s">
        <v>781</v>
      </c>
    </row>
    <row r="2599" spans="1:3">
      <c r="A2599" s="36">
        <v>30708375582</v>
      </c>
      <c r="B2599" t="s">
        <v>2173</v>
      </c>
      <c r="C2599" s="35" t="s">
        <v>781</v>
      </c>
    </row>
    <row r="2600" spans="1:3">
      <c r="A2600" s="36">
        <v>30708375582</v>
      </c>
      <c r="B2600" t="s">
        <v>2173</v>
      </c>
    </row>
    <row r="2601" spans="1:3">
      <c r="A2601" s="36">
        <v>30711024804</v>
      </c>
      <c r="B2601" t="s">
        <v>2270</v>
      </c>
      <c r="C2601" s="35" t="s">
        <v>781</v>
      </c>
    </row>
    <row r="2602" spans="1:3">
      <c r="A2602" s="36">
        <v>30581106234</v>
      </c>
      <c r="B2602" t="s">
        <v>2223</v>
      </c>
      <c r="C2602" s="35" t="s">
        <v>2359</v>
      </c>
    </row>
    <row r="2603" spans="1:3">
      <c r="A2603" s="36">
        <v>30581106234</v>
      </c>
      <c r="B2603" t="s">
        <v>2223</v>
      </c>
    </row>
    <row r="2604" spans="1:3">
      <c r="A2604" s="36">
        <v>30579939008</v>
      </c>
      <c r="B2604" t="s">
        <v>1780</v>
      </c>
      <c r="C2604" s="35" t="s">
        <v>781</v>
      </c>
    </row>
    <row r="2605" spans="1:3">
      <c r="A2605" s="36">
        <v>30627351263</v>
      </c>
      <c r="B2605" t="s">
        <v>2228</v>
      </c>
      <c r="C2605" s="35" t="s">
        <v>781</v>
      </c>
    </row>
    <row r="2606" spans="1:3">
      <c r="A2606" s="36">
        <v>30627351263</v>
      </c>
      <c r="B2606" t="s">
        <v>2228</v>
      </c>
    </row>
    <row r="2607" spans="1:3">
      <c r="A2607" s="36">
        <v>30708926155</v>
      </c>
      <c r="B2607" t="s">
        <v>2319</v>
      </c>
      <c r="C2607" s="35" t="s">
        <v>781</v>
      </c>
    </row>
    <row r="2608" spans="1:3">
      <c r="A2608" s="36">
        <v>18128119</v>
      </c>
      <c r="B2608" t="s">
        <v>1781</v>
      </c>
    </row>
    <row r="2609" spans="1:3">
      <c r="A2609" s="36">
        <v>30517264160</v>
      </c>
      <c r="B2609" t="s">
        <v>737</v>
      </c>
      <c r="C2609" s="35" t="s">
        <v>44</v>
      </c>
    </row>
    <row r="2610" spans="1:3">
      <c r="A2610" s="36">
        <v>33682571239</v>
      </c>
      <c r="B2610" t="s">
        <v>738</v>
      </c>
    </row>
    <row r="2611" spans="1:3">
      <c r="A2611" s="36">
        <v>30711811253</v>
      </c>
      <c r="B2611" t="s">
        <v>1782</v>
      </c>
    </row>
    <row r="2612" spans="1:3">
      <c r="A2612" s="36">
        <v>30712305513</v>
      </c>
      <c r="B2612" t="s">
        <v>1783</v>
      </c>
    </row>
    <row r="2613" spans="1:3">
      <c r="A2613" s="36">
        <v>21847097</v>
      </c>
      <c r="B2613" t="s">
        <v>739</v>
      </c>
    </row>
    <row r="2614" spans="1:3">
      <c r="A2614" s="36">
        <v>20330855038</v>
      </c>
      <c r="B2614" t="s">
        <v>740</v>
      </c>
      <c r="C2614" s="35" t="s">
        <v>2359</v>
      </c>
    </row>
    <row r="2615" spans="1:3">
      <c r="A2615" s="36">
        <v>31914239</v>
      </c>
      <c r="B2615" t="s">
        <v>2116</v>
      </c>
    </row>
    <row r="2616" spans="1:3">
      <c r="A2616" s="36">
        <v>20131067446</v>
      </c>
      <c r="B2616" t="s">
        <v>1784</v>
      </c>
      <c r="C2616" s="35" t="s">
        <v>79</v>
      </c>
    </row>
    <row r="2617" spans="1:3">
      <c r="A2617" s="36">
        <v>20131067446</v>
      </c>
      <c r="B2617" t="s">
        <v>1784</v>
      </c>
      <c r="C2617" s="35" t="s">
        <v>2359</v>
      </c>
    </row>
    <row r="2618" spans="1:3">
      <c r="A2618" s="36">
        <v>27249100019</v>
      </c>
      <c r="B2618" t="s">
        <v>741</v>
      </c>
    </row>
    <row r="2619" spans="1:3">
      <c r="A2619" s="36">
        <v>12010407</v>
      </c>
      <c r="B2619" t="s">
        <v>1785</v>
      </c>
    </row>
    <row r="2620" spans="1:3">
      <c r="A2620" s="36">
        <v>12010407</v>
      </c>
      <c r="B2620" t="s">
        <v>1785</v>
      </c>
    </row>
    <row r="2621" spans="1:3">
      <c r="A2621" s="36">
        <v>30646150406</v>
      </c>
      <c r="B2621" t="s">
        <v>742</v>
      </c>
      <c r="C2621" s="35" t="s">
        <v>2359</v>
      </c>
    </row>
    <row r="2622" spans="1:3">
      <c r="A2622" s="36">
        <v>30646150406</v>
      </c>
      <c r="B2622" t="s">
        <v>742</v>
      </c>
      <c r="C2622" s="35" t="s">
        <v>2359</v>
      </c>
    </row>
    <row r="2623" spans="1:3">
      <c r="A2623" s="36">
        <v>30646150406</v>
      </c>
      <c r="B2623" t="s">
        <v>1786</v>
      </c>
      <c r="C2623" s="35" t="s">
        <v>2359</v>
      </c>
    </row>
    <row r="2624" spans="1:3">
      <c r="A2624" s="36">
        <v>30646150406</v>
      </c>
      <c r="B2624" t="s">
        <v>1786</v>
      </c>
      <c r="C2624" s="35" t="s">
        <v>2359</v>
      </c>
    </row>
    <row r="2625" spans="1:3">
      <c r="A2625" s="36">
        <v>30646150406</v>
      </c>
      <c r="B2625" t="s">
        <v>1786</v>
      </c>
      <c r="C2625" s="35" t="s">
        <v>2359</v>
      </c>
    </row>
    <row r="2626" spans="1:3">
      <c r="A2626" s="36">
        <v>30646150406</v>
      </c>
      <c r="B2626" t="s">
        <v>1786</v>
      </c>
      <c r="C2626" s="35" t="s">
        <v>2359</v>
      </c>
    </row>
    <row r="2627" spans="1:3">
      <c r="A2627" s="36">
        <v>30611156045</v>
      </c>
      <c r="B2627" t="s">
        <v>743</v>
      </c>
      <c r="C2627" s="35" t="s">
        <v>79</v>
      </c>
    </row>
    <row r="2628" spans="1:3">
      <c r="A2628" s="36">
        <v>30611156045</v>
      </c>
      <c r="B2628" t="s">
        <v>743</v>
      </c>
      <c r="C2628" s="35" t="s">
        <v>2359</v>
      </c>
    </row>
    <row r="2629" spans="1:3">
      <c r="A2629" s="36">
        <v>30699097884</v>
      </c>
      <c r="B2629" t="s">
        <v>744</v>
      </c>
    </row>
    <row r="2630" spans="1:3">
      <c r="A2630" s="36">
        <v>22080141</v>
      </c>
      <c r="B2630" t="s">
        <v>1787</v>
      </c>
    </row>
    <row r="2631" spans="1:3">
      <c r="A2631" s="36">
        <v>27299725761</v>
      </c>
      <c r="B2631" t="s">
        <v>2022</v>
      </c>
      <c r="C2631" s="35" t="s">
        <v>2359</v>
      </c>
    </row>
    <row r="2632" spans="1:3">
      <c r="A2632" s="36">
        <v>27299725761</v>
      </c>
      <c r="B2632" t="s">
        <v>2022</v>
      </c>
      <c r="C2632" s="35" t="s">
        <v>2359</v>
      </c>
    </row>
    <row r="2633" spans="1:3">
      <c r="A2633" s="36">
        <v>30715689045</v>
      </c>
      <c r="B2633" t="s">
        <v>745</v>
      </c>
      <c r="C2633" s="35" t="s">
        <v>804</v>
      </c>
    </row>
    <row r="2634" spans="1:3">
      <c r="A2634" s="36" t="s">
        <v>1788</v>
      </c>
      <c r="B2634" t="s">
        <v>746</v>
      </c>
    </row>
    <row r="2635" spans="1:3">
      <c r="A2635" s="36">
        <v>30714333093</v>
      </c>
      <c r="B2635" t="s">
        <v>2339</v>
      </c>
      <c r="C2635" s="35" t="s">
        <v>79</v>
      </c>
    </row>
    <row r="2636" spans="1:3">
      <c r="A2636" s="36">
        <v>33688436279</v>
      </c>
      <c r="B2636" t="s">
        <v>2299</v>
      </c>
      <c r="C2636" s="35" t="s">
        <v>44</v>
      </c>
    </row>
    <row r="2637" spans="1:3">
      <c r="A2637" s="36">
        <v>30689759684</v>
      </c>
      <c r="B2637" t="s">
        <v>747</v>
      </c>
      <c r="C2637" s="35" t="s">
        <v>79</v>
      </c>
    </row>
    <row r="2638" spans="1:3">
      <c r="A2638" s="36">
        <v>30501912405</v>
      </c>
      <c r="B2638" t="s">
        <v>748</v>
      </c>
    </row>
    <row r="2639" spans="1:3">
      <c r="A2639" s="36">
        <v>30714783129</v>
      </c>
      <c r="B2639" t="s">
        <v>2316</v>
      </c>
      <c r="C2639" s="35" t="s">
        <v>43</v>
      </c>
    </row>
    <row r="2640" spans="1:3">
      <c r="A2640" s="36">
        <v>30658325104</v>
      </c>
      <c r="B2640" t="s">
        <v>749</v>
      </c>
      <c r="C2640" s="35" t="s">
        <v>2359</v>
      </c>
    </row>
    <row r="2641" spans="1:3">
      <c r="A2641" s="36">
        <v>30531602273</v>
      </c>
      <c r="B2641" t="s">
        <v>1789</v>
      </c>
      <c r="C2641" s="35" t="s">
        <v>796</v>
      </c>
    </row>
    <row r="2642" spans="1:3">
      <c r="A2642" s="36">
        <v>30531602273</v>
      </c>
      <c r="B2642" t="s">
        <v>1789</v>
      </c>
      <c r="C2642" s="35" t="s">
        <v>796</v>
      </c>
    </row>
    <row r="2643" spans="1:3">
      <c r="A2643" s="36">
        <v>5489098</v>
      </c>
      <c r="B2643" t="s">
        <v>1790</v>
      </c>
    </row>
    <row r="2644" spans="1:3">
      <c r="A2644" s="36">
        <v>5770359</v>
      </c>
      <c r="B2644" t="s">
        <v>2070</v>
      </c>
    </row>
    <row r="2645" spans="1:3">
      <c r="A2645" s="36">
        <v>95902812</v>
      </c>
      <c r="B2645" t="s">
        <v>1928</v>
      </c>
    </row>
    <row r="2646" spans="1:3">
      <c r="A2646" s="36">
        <v>30716234114</v>
      </c>
      <c r="B2646" t="s">
        <v>2292</v>
      </c>
      <c r="C2646" s="35" t="s">
        <v>2359</v>
      </c>
    </row>
    <row r="2647" spans="1:3">
      <c r="A2647" s="36">
        <v>30715841505</v>
      </c>
      <c r="B2647" t="s">
        <v>1791</v>
      </c>
    </row>
    <row r="2648" spans="1:3">
      <c r="A2648" s="36">
        <v>20259693609</v>
      </c>
      <c r="B2648" t="s">
        <v>750</v>
      </c>
      <c r="C2648" s="35" t="s">
        <v>2359</v>
      </c>
    </row>
    <row r="2649" spans="1:3">
      <c r="A2649" s="36">
        <v>12045622</v>
      </c>
      <c r="B2649" t="s">
        <v>1792</v>
      </c>
    </row>
    <row r="2650" spans="1:3">
      <c r="A2650" s="36">
        <v>14223467</v>
      </c>
      <c r="B2650" t="s">
        <v>1793</v>
      </c>
    </row>
    <row r="2651" spans="1:3">
      <c r="A2651" s="36">
        <v>16786629</v>
      </c>
      <c r="B2651" t="s">
        <v>1935</v>
      </c>
    </row>
    <row r="2652" spans="1:3">
      <c r="A2652" s="36">
        <v>25052487</v>
      </c>
      <c r="B2652" t="s">
        <v>1961</v>
      </c>
    </row>
    <row r="2653" spans="1:3">
      <c r="A2653" s="36">
        <v>20902442</v>
      </c>
      <c r="B2653" t="s">
        <v>1794</v>
      </c>
    </row>
    <row r="2654" spans="1:3">
      <c r="A2654" s="36">
        <v>27190765127</v>
      </c>
      <c r="B2654" t="s">
        <v>2014</v>
      </c>
    </row>
    <row r="2655" spans="1:3">
      <c r="A2655" s="36">
        <v>22656207</v>
      </c>
      <c r="B2655" t="s">
        <v>1795</v>
      </c>
    </row>
    <row r="2656" spans="1:3">
      <c r="A2656" s="36">
        <v>23221163</v>
      </c>
      <c r="B2656" t="s">
        <v>1796</v>
      </c>
    </row>
    <row r="2657" spans="1:3">
      <c r="A2657" s="36">
        <v>3910520</v>
      </c>
      <c r="B2657" t="s">
        <v>1797</v>
      </c>
    </row>
    <row r="2658" spans="1:3">
      <c r="A2658" s="36">
        <v>25838736</v>
      </c>
      <c r="B2658" t="s">
        <v>1798</v>
      </c>
    </row>
    <row r="2659" spans="1:3">
      <c r="A2659" s="36">
        <v>27950736858</v>
      </c>
      <c r="B2659" t="s">
        <v>2407</v>
      </c>
      <c r="C2659" s="35" t="s">
        <v>2408</v>
      </c>
    </row>
    <row r="2660" spans="1:3">
      <c r="A2660" s="36">
        <v>23091604</v>
      </c>
      <c r="B2660" t="s">
        <v>1994</v>
      </c>
    </row>
    <row r="2661" spans="1:3">
      <c r="A2661" s="36">
        <v>20028002</v>
      </c>
      <c r="B2661" t="s">
        <v>1799</v>
      </c>
    </row>
    <row r="2662" spans="1:3">
      <c r="A2662" s="36">
        <v>20922809527</v>
      </c>
      <c r="B2662" t="s">
        <v>1800</v>
      </c>
    </row>
    <row r="2663" spans="1:3">
      <c r="A2663" s="36">
        <v>27294612845</v>
      </c>
      <c r="B2663" t="s">
        <v>2237</v>
      </c>
      <c r="C2663" s="35" t="s">
        <v>2359</v>
      </c>
    </row>
    <row r="2664" spans="1:3">
      <c r="A2664" s="36">
        <v>27294612845</v>
      </c>
      <c r="B2664" t="s">
        <v>2237</v>
      </c>
    </row>
    <row r="2665" spans="1:3">
      <c r="A2665" s="36">
        <v>27348534306</v>
      </c>
      <c r="B2665" t="s">
        <v>2323</v>
      </c>
      <c r="C2665" s="35" t="s">
        <v>82</v>
      </c>
    </row>
    <row r="2666" spans="1:3">
      <c r="A2666" s="36">
        <v>22156430</v>
      </c>
      <c r="B2666" t="s">
        <v>1801</v>
      </c>
    </row>
    <row r="2667" spans="1:3">
      <c r="A2667" s="36">
        <v>93455751</v>
      </c>
      <c r="B2667" t="s">
        <v>751</v>
      </c>
    </row>
    <row r="2668" spans="1:3">
      <c r="A2668" s="36">
        <v>20257137326</v>
      </c>
      <c r="B2668" t="s">
        <v>1802</v>
      </c>
      <c r="C2668" s="35" t="s">
        <v>2359</v>
      </c>
    </row>
    <row r="2669" spans="1:3">
      <c r="A2669" s="36">
        <v>20216451679</v>
      </c>
      <c r="B2669" t="s">
        <v>1902</v>
      </c>
      <c r="C2669" s="35" t="s">
        <v>2359</v>
      </c>
    </row>
    <row r="2670" spans="1:3">
      <c r="A2670" s="36">
        <v>20216451679</v>
      </c>
      <c r="B2670" t="s">
        <v>1902</v>
      </c>
      <c r="C2670" s="35" t="s">
        <v>2359</v>
      </c>
    </row>
    <row r="2671" spans="1:3">
      <c r="A2671" s="36">
        <v>27278551909</v>
      </c>
      <c r="B2671" t="s">
        <v>2322</v>
      </c>
      <c r="C2671" s="35" t="s">
        <v>2359</v>
      </c>
    </row>
    <row r="2672" spans="1:3">
      <c r="A2672" s="36">
        <v>10423478</v>
      </c>
      <c r="B2672" t="s">
        <v>1803</v>
      </c>
    </row>
    <row r="2673" spans="1:3">
      <c r="A2673" s="36">
        <v>1338226</v>
      </c>
      <c r="B2673" t="s">
        <v>1804</v>
      </c>
    </row>
    <row r="2674" spans="1:3">
      <c r="A2674" s="36">
        <v>17929075</v>
      </c>
      <c r="B2674" t="s">
        <v>1805</v>
      </c>
    </row>
    <row r="2675" spans="1:3">
      <c r="A2675" s="36">
        <v>11815869</v>
      </c>
      <c r="B2675" t="s">
        <v>1806</v>
      </c>
    </row>
    <row r="2676" spans="1:3">
      <c r="A2676" s="36">
        <v>23146140459</v>
      </c>
      <c r="B2676" t="s">
        <v>1807</v>
      </c>
    </row>
    <row r="2677" spans="1:3">
      <c r="A2677" s="36">
        <v>23146140459</v>
      </c>
      <c r="B2677" t="s">
        <v>1807</v>
      </c>
    </row>
    <row r="2678" spans="1:3">
      <c r="A2678" s="36">
        <v>30715222112</v>
      </c>
      <c r="B2678" t="s">
        <v>752</v>
      </c>
    </row>
    <row r="2679" spans="1:3">
      <c r="A2679" s="36">
        <v>13310029</v>
      </c>
      <c r="B2679" t="s">
        <v>1808</v>
      </c>
    </row>
    <row r="2680" spans="1:3">
      <c r="A2680" s="36">
        <v>20216164262</v>
      </c>
      <c r="B2680" t="s">
        <v>2398</v>
      </c>
      <c r="C2680" s="35" t="s">
        <v>2359</v>
      </c>
    </row>
    <row r="2681" spans="1:3">
      <c r="A2681" s="36">
        <v>27208252386</v>
      </c>
      <c r="B2681" t="s">
        <v>753</v>
      </c>
      <c r="C2681" s="35" t="s">
        <v>79</v>
      </c>
    </row>
    <row r="2682" spans="1:3">
      <c r="A2682" s="36">
        <v>23386252629</v>
      </c>
      <c r="B2682" t="s">
        <v>754</v>
      </c>
    </row>
    <row r="2683" spans="1:3">
      <c r="A2683" s="36">
        <v>16458001</v>
      </c>
      <c r="B2683" t="s">
        <v>755</v>
      </c>
    </row>
    <row r="2684" spans="1:3">
      <c r="A2684" s="36">
        <v>27036968910</v>
      </c>
      <c r="B2684" t="s">
        <v>756</v>
      </c>
    </row>
    <row r="2685" spans="1:3">
      <c r="A2685" s="36">
        <v>22251432</v>
      </c>
      <c r="B2685" t="s">
        <v>1809</v>
      </c>
    </row>
    <row r="2686" spans="1:3">
      <c r="A2686" s="36">
        <v>27003352000</v>
      </c>
      <c r="B2686" t="s">
        <v>757</v>
      </c>
    </row>
    <row r="2687" spans="1:3">
      <c r="A2687" s="36">
        <v>27415594742</v>
      </c>
      <c r="B2687" t="s">
        <v>1810</v>
      </c>
    </row>
    <row r="2688" spans="1:3">
      <c r="A2688" s="36">
        <v>20247225243</v>
      </c>
      <c r="B2688" t="s">
        <v>758</v>
      </c>
      <c r="C2688" s="35" t="s">
        <v>2359</v>
      </c>
    </row>
    <row r="2689" spans="1:3">
      <c r="A2689" s="36">
        <v>20247225243</v>
      </c>
      <c r="B2689" t="s">
        <v>758</v>
      </c>
      <c r="C2689" s="35" t="s">
        <v>2359</v>
      </c>
    </row>
    <row r="2690" spans="1:3">
      <c r="A2690" s="36">
        <v>20247225243</v>
      </c>
      <c r="B2690" t="s">
        <v>758</v>
      </c>
      <c r="C2690" s="35" t="s">
        <v>2359</v>
      </c>
    </row>
    <row r="2691" spans="1:3">
      <c r="A2691" s="36">
        <v>20247225243</v>
      </c>
      <c r="B2691" t="s">
        <v>758</v>
      </c>
      <c r="C2691" s="35" t="s">
        <v>2359</v>
      </c>
    </row>
    <row r="2692" spans="1:3">
      <c r="A2692" s="36">
        <v>20247225243</v>
      </c>
      <c r="B2692" t="s">
        <v>758</v>
      </c>
      <c r="C2692" s="35" t="s">
        <v>2359</v>
      </c>
    </row>
    <row r="2693" spans="1:3">
      <c r="A2693" s="36">
        <v>20247225243</v>
      </c>
      <c r="B2693" t="s">
        <v>758</v>
      </c>
      <c r="C2693" s="35" t="s">
        <v>2359</v>
      </c>
    </row>
    <row r="2694" spans="1:3">
      <c r="A2694" s="36">
        <v>14287880</v>
      </c>
      <c r="B2694" t="s">
        <v>759</v>
      </c>
    </row>
    <row r="2695" spans="1:3">
      <c r="A2695" s="36">
        <v>20178221974</v>
      </c>
      <c r="B2695" t="s">
        <v>760</v>
      </c>
    </row>
    <row r="2696" spans="1:3">
      <c r="A2696" s="36">
        <v>95749996</v>
      </c>
      <c r="B2696" t="s">
        <v>2092</v>
      </c>
    </row>
    <row r="2697" spans="1:3">
      <c r="A2697" s="36">
        <v>30681830800</v>
      </c>
      <c r="B2697" t="s">
        <v>1811</v>
      </c>
    </row>
    <row r="2698" spans="1:3">
      <c r="A2698" s="36">
        <v>33716307749</v>
      </c>
      <c r="B2698" t="s">
        <v>2326</v>
      </c>
      <c r="C2698" s="35" t="s">
        <v>2447</v>
      </c>
    </row>
    <row r="2699" spans="1:3">
      <c r="A2699" s="36">
        <v>20077107186</v>
      </c>
      <c r="B2699" t="s">
        <v>761</v>
      </c>
      <c r="C2699" s="35" t="s">
        <v>2359</v>
      </c>
    </row>
    <row r="2700" spans="1:3">
      <c r="A2700" s="36">
        <v>30624872874</v>
      </c>
      <c r="B2700" t="s">
        <v>762</v>
      </c>
    </row>
    <row r="2701" spans="1:3">
      <c r="A2701" s="36">
        <v>30643922157</v>
      </c>
      <c r="B2701" t="s">
        <v>763</v>
      </c>
      <c r="C2701" s="35" t="s">
        <v>781</v>
      </c>
    </row>
    <row r="2702" spans="1:3">
      <c r="A2702" s="36">
        <v>30643922157</v>
      </c>
      <c r="B2702" t="s">
        <v>763</v>
      </c>
      <c r="C2702" s="35" t="s">
        <v>781</v>
      </c>
    </row>
    <row r="2703" spans="1:3">
      <c r="A2703" s="36">
        <v>33711043069</v>
      </c>
      <c r="B2703" t="s">
        <v>764</v>
      </c>
      <c r="C2703" s="35" t="s">
        <v>781</v>
      </c>
    </row>
    <row r="2704" spans="1:3">
      <c r="A2704" s="36">
        <v>30561769644</v>
      </c>
      <c r="B2704" t="s">
        <v>1812</v>
      </c>
      <c r="C2704" s="35" t="s">
        <v>804</v>
      </c>
    </row>
    <row r="2705" spans="1:3">
      <c r="A2705" s="36">
        <v>27247019370</v>
      </c>
      <c r="B2705" t="s">
        <v>2095</v>
      </c>
      <c r="C2705" s="35" t="s">
        <v>2359</v>
      </c>
    </row>
    <row r="2706" spans="1:3">
      <c r="A2706" s="36">
        <v>27247019370</v>
      </c>
      <c r="B2706" t="s">
        <v>2095</v>
      </c>
    </row>
    <row r="2707" spans="1:3">
      <c r="A2707" s="36">
        <v>20287832649</v>
      </c>
      <c r="B2707" t="s">
        <v>765</v>
      </c>
      <c r="C2707" s="35" t="s">
        <v>2359</v>
      </c>
    </row>
    <row r="2708" spans="1:3">
      <c r="A2708" s="36">
        <v>30707977120</v>
      </c>
      <c r="B2708" t="s">
        <v>2156</v>
      </c>
    </row>
    <row r="2709" spans="1:3">
      <c r="A2709" s="36">
        <v>30556565798</v>
      </c>
      <c r="B2709" t="s">
        <v>1813</v>
      </c>
      <c r="C2709" s="35" t="s">
        <v>781</v>
      </c>
    </row>
    <row r="2710" spans="1:3">
      <c r="A2710" s="36">
        <v>30556565798</v>
      </c>
      <c r="B2710" t="s">
        <v>1813</v>
      </c>
      <c r="C2710" s="35" t="s">
        <v>781</v>
      </c>
    </row>
    <row r="2711" spans="1:3">
      <c r="A2711" s="36">
        <v>11635674</v>
      </c>
      <c r="B2711" t="s">
        <v>1814</v>
      </c>
    </row>
    <row r="2712" spans="1:3">
      <c r="A2712" s="36">
        <v>4442889</v>
      </c>
      <c r="B2712" t="s">
        <v>1815</v>
      </c>
    </row>
    <row r="2713" spans="1:3">
      <c r="A2713" s="36">
        <v>20349249</v>
      </c>
      <c r="B2713" t="s">
        <v>1871</v>
      </c>
    </row>
    <row r="2714" spans="1:3">
      <c r="A2714" s="36">
        <v>27211421202</v>
      </c>
      <c r="B2714" t="s">
        <v>766</v>
      </c>
      <c r="C2714" s="35" t="s">
        <v>2359</v>
      </c>
    </row>
    <row r="2715" spans="1:3">
      <c r="A2715" s="36">
        <v>30540059078</v>
      </c>
      <c r="B2715" t="s">
        <v>1907</v>
      </c>
      <c r="C2715" s="35" t="s">
        <v>2413</v>
      </c>
    </row>
    <row r="2716" spans="1:3">
      <c r="A2716" s="36">
        <v>30540059078</v>
      </c>
      <c r="B2716" t="s">
        <v>1907</v>
      </c>
      <c r="C2716" s="35" t="s">
        <v>79</v>
      </c>
    </row>
    <row r="2717" spans="1:3">
      <c r="A2717" s="36">
        <v>30714950750</v>
      </c>
      <c r="B2717" t="s">
        <v>1816</v>
      </c>
      <c r="C2717" s="35" t="s">
        <v>2413</v>
      </c>
    </row>
    <row r="2718" spans="1:3">
      <c r="A2718" s="36"/>
    </row>
    <row r="2719" spans="1:3">
      <c r="A2719" s="36">
        <v>30711289778</v>
      </c>
      <c r="B2719" t="s">
        <v>1817</v>
      </c>
    </row>
    <row r="2720" spans="1:3">
      <c r="A2720" s="36">
        <v>22128671</v>
      </c>
      <c r="B2720" t="s">
        <v>1818</v>
      </c>
    </row>
    <row r="2721" spans="1:3">
      <c r="A2721" s="36">
        <v>22765442</v>
      </c>
      <c r="B2721" t="s">
        <v>1819</v>
      </c>
    </row>
    <row r="2722" spans="1:3">
      <c r="A2722" s="36">
        <v>3061564</v>
      </c>
      <c r="B2722" t="s">
        <v>1820</v>
      </c>
    </row>
    <row r="2723" spans="1:3">
      <c r="A2723" s="36">
        <v>96316119</v>
      </c>
      <c r="B2723" t="s">
        <v>1821</v>
      </c>
    </row>
    <row r="2724" spans="1:3">
      <c r="A2724" s="36">
        <v>17810802</v>
      </c>
      <c r="B2724" t="s">
        <v>1822</v>
      </c>
    </row>
    <row r="2725" spans="1:3">
      <c r="A2725" s="36">
        <v>20321447997</v>
      </c>
      <c r="B2725" t="s">
        <v>767</v>
      </c>
      <c r="C2725" s="35" t="s">
        <v>2372</v>
      </c>
    </row>
    <row r="2726" spans="1:3">
      <c r="A2726" s="36">
        <v>20321447997</v>
      </c>
      <c r="B2726" t="s">
        <v>767</v>
      </c>
    </row>
    <row r="2727" spans="1:3">
      <c r="A2727" s="36">
        <v>24295244</v>
      </c>
      <c r="B2727" t="s">
        <v>1823</v>
      </c>
    </row>
    <row r="2728" spans="1:3">
      <c r="A2728" s="36">
        <v>4481390</v>
      </c>
      <c r="B2728" t="s">
        <v>1824</v>
      </c>
    </row>
    <row r="2729" spans="1:3">
      <c r="A2729" s="36">
        <v>30712057099</v>
      </c>
      <c r="B2729" t="s">
        <v>2281</v>
      </c>
      <c r="C2729" s="35" t="s">
        <v>44</v>
      </c>
    </row>
    <row r="2730" spans="1:3">
      <c r="A2730" s="36">
        <v>30708648414</v>
      </c>
      <c r="B2730" t="s">
        <v>768</v>
      </c>
      <c r="C2730" s="35" t="s">
        <v>2359</v>
      </c>
    </row>
    <row r="2731" spans="1:3">
      <c r="A2731" s="36">
        <v>20137229944</v>
      </c>
      <c r="B2731" t="s">
        <v>769</v>
      </c>
    </row>
    <row r="2732" spans="1:3">
      <c r="A2732" s="36">
        <v>30715609807</v>
      </c>
      <c r="B2732" t="s">
        <v>770</v>
      </c>
      <c r="C2732" s="35" t="s">
        <v>2359</v>
      </c>
    </row>
    <row r="2733" spans="1:3">
      <c r="A2733" s="36">
        <v>27169596439</v>
      </c>
      <c r="B2733" t="s">
        <v>1825</v>
      </c>
    </row>
    <row r="2734" spans="1:3">
      <c r="A2734" s="36">
        <v>23112144064</v>
      </c>
      <c r="B2734" t="s">
        <v>771</v>
      </c>
    </row>
    <row r="2735" spans="1:3">
      <c r="A2735" s="36">
        <v>14284514</v>
      </c>
      <c r="B2735" t="s">
        <v>1826</v>
      </c>
    </row>
    <row r="2736" spans="1:3">
      <c r="A2736" s="36">
        <v>25139790</v>
      </c>
      <c r="B2736" t="s">
        <v>1827</v>
      </c>
    </row>
    <row r="2737" spans="1:3">
      <c r="A2737" s="36">
        <v>30680297408</v>
      </c>
      <c r="B2737" t="s">
        <v>772</v>
      </c>
    </row>
    <row r="2738" spans="1:3">
      <c r="A2738" s="36">
        <v>20225501190</v>
      </c>
      <c r="B2738" t="s">
        <v>773</v>
      </c>
    </row>
    <row r="2739" spans="1:3">
      <c r="A2739" s="36">
        <v>20165292929</v>
      </c>
      <c r="B2739" t="s">
        <v>774</v>
      </c>
      <c r="C2739" s="35" t="s">
        <v>2359</v>
      </c>
    </row>
    <row r="2740" spans="1:3">
      <c r="A2740" s="36">
        <v>27853772</v>
      </c>
      <c r="B2740" t="s">
        <v>1828</v>
      </c>
    </row>
    <row r="2741" spans="1:3">
      <c r="A2741" s="36">
        <v>21363216</v>
      </c>
      <c r="B2741" t="s">
        <v>1893</v>
      </c>
    </row>
    <row r="2742" spans="1:3">
      <c r="A2742" s="36">
        <v>30715581562</v>
      </c>
      <c r="B2742" t="s">
        <v>775</v>
      </c>
    </row>
    <row r="2743" spans="1:3">
      <c r="A2743" s="36">
        <v>30714995002</v>
      </c>
      <c r="B2743" t="s">
        <v>776</v>
      </c>
    </row>
    <row r="2744" spans="1:3">
      <c r="A2744" s="36">
        <v>30714867349</v>
      </c>
      <c r="B2744" t="s">
        <v>1829</v>
      </c>
      <c r="C2744" s="35" t="s">
        <v>804</v>
      </c>
    </row>
    <row r="2745" spans="1:3">
      <c r="A2745" s="36">
        <v>25675234</v>
      </c>
      <c r="B2745" t="s">
        <v>1968</v>
      </c>
    </row>
    <row r="2746" spans="1:3">
      <c r="A2746" s="36">
        <v>30708534907</v>
      </c>
      <c r="B2746" t="s">
        <v>2010</v>
      </c>
      <c r="C2746" s="35" t="s">
        <v>2359</v>
      </c>
    </row>
    <row r="2747" spans="1:3">
      <c r="A2747" s="36">
        <v>30708534907</v>
      </c>
      <c r="B2747" t="s">
        <v>2010</v>
      </c>
    </row>
    <row r="2748" spans="1:3">
      <c r="A2748" s="36">
        <v>20231247239</v>
      </c>
      <c r="B2748" t="s">
        <v>777</v>
      </c>
      <c r="C2748" s="35" t="s">
        <v>2359</v>
      </c>
    </row>
    <row r="2749" spans="1:3">
      <c r="A2749" s="36">
        <v>20231247239</v>
      </c>
      <c r="B2749" t="s">
        <v>777</v>
      </c>
      <c r="C2749" s="35" t="s">
        <v>2359</v>
      </c>
    </row>
    <row r="2750" spans="1:3">
      <c r="A2750" s="36">
        <v>20231247239</v>
      </c>
      <c r="B2750" t="s">
        <v>777</v>
      </c>
      <c r="C2750" s="35" t="s">
        <v>2359</v>
      </c>
    </row>
    <row r="2751" spans="1:3">
      <c r="A2751" s="36">
        <v>20231247239</v>
      </c>
      <c r="B2751" t="s">
        <v>777</v>
      </c>
    </row>
    <row r="2752" spans="1:3">
      <c r="A2752" s="36">
        <v>30711129010</v>
      </c>
      <c r="B2752" t="s">
        <v>2238</v>
      </c>
      <c r="C2752" s="35" t="s">
        <v>2359</v>
      </c>
    </row>
    <row r="2753" spans="1:3">
      <c r="A2753" s="36">
        <v>30711129010</v>
      </c>
      <c r="B2753" t="s">
        <v>2238</v>
      </c>
    </row>
    <row r="2754" spans="1:3">
      <c r="A2754" s="36">
        <v>30712383603</v>
      </c>
      <c r="B2754" t="s">
        <v>778</v>
      </c>
    </row>
    <row r="2755" spans="1:3">
      <c r="A2755" s="36">
        <v>20167787372</v>
      </c>
      <c r="B2755" t="s">
        <v>2176</v>
      </c>
      <c r="C2755" s="35" t="s">
        <v>781</v>
      </c>
    </row>
    <row r="2756" spans="1:3">
      <c r="A2756" s="36">
        <v>30714618586</v>
      </c>
      <c r="B2756" s="632" t="s">
        <v>2410</v>
      </c>
      <c r="C2756" s="633" t="s">
        <v>79</v>
      </c>
    </row>
    <row r="2757" spans="1:3">
      <c r="A2757" s="36">
        <v>30710804830</v>
      </c>
      <c r="B2757" t="s">
        <v>2400</v>
      </c>
      <c r="C2757" s="35" t="s">
        <v>79</v>
      </c>
    </row>
    <row r="2758" spans="1:3">
      <c r="A2758" s="36"/>
      <c r="B2758" s="632"/>
      <c r="C2758" s="633"/>
    </row>
    <row r="2759" spans="1:3">
      <c r="A2759" s="658">
        <v>30717726126</v>
      </c>
      <c r="B2759" s="632" t="s">
        <v>2435</v>
      </c>
      <c r="C2759" s="633" t="s">
        <v>79</v>
      </c>
    </row>
    <row r="2760" spans="1:3">
      <c r="A2760" s="658">
        <v>30710552726</v>
      </c>
      <c r="B2760" s="659" t="s">
        <v>2436</v>
      </c>
      <c r="C2760" s="633" t="s">
        <v>79</v>
      </c>
    </row>
    <row r="2761" spans="1:3">
      <c r="A2761" s="227">
        <v>30717244202</v>
      </c>
      <c r="B2761" s="650" t="s">
        <v>2437</v>
      </c>
      <c r="C2761" s="633" t="s">
        <v>79</v>
      </c>
    </row>
    <row r="2762" spans="1:3">
      <c r="A2762" s="227">
        <v>27293200349</v>
      </c>
      <c r="B2762" s="650" t="s">
        <v>2438</v>
      </c>
      <c r="C2762" s="633" t="s">
        <v>79</v>
      </c>
    </row>
    <row r="2763" spans="1:3">
      <c r="A2763" s="227">
        <v>30711255989</v>
      </c>
      <c r="B2763" s="650" t="s">
        <v>2439</v>
      </c>
      <c r="C2763" s="633" t="s">
        <v>79</v>
      </c>
    </row>
    <row r="2764" spans="1:3">
      <c r="A2764" s="227">
        <v>30535803710</v>
      </c>
      <c r="B2764" s="650" t="s">
        <v>2440</v>
      </c>
      <c r="C2764" s="35" t="s">
        <v>2359</v>
      </c>
    </row>
    <row r="2765" spans="1:3">
      <c r="A2765" s="227">
        <v>30716240203</v>
      </c>
      <c r="B2765" s="650" t="s">
        <v>2441</v>
      </c>
      <c r="C2765" s="633" t="s">
        <v>79</v>
      </c>
    </row>
    <row r="2766" spans="1:3">
      <c r="A2766" s="227">
        <v>20239207325</v>
      </c>
      <c r="B2766" s="650" t="s">
        <v>2442</v>
      </c>
      <c r="C2766" s="35" t="s">
        <v>2359</v>
      </c>
    </row>
    <row r="2767" spans="1:3">
      <c r="A2767" s="227">
        <v>30610666430</v>
      </c>
      <c r="B2767" s="650" t="s">
        <v>2443</v>
      </c>
      <c r="C2767" s="633" t="s">
        <v>79</v>
      </c>
    </row>
    <row r="2768" spans="1:3">
      <c r="A2768" s="227">
        <v>33715236449</v>
      </c>
      <c r="B2768" s="650" t="s">
        <v>2444</v>
      </c>
      <c r="C2768" s="633" t="s">
        <v>79</v>
      </c>
    </row>
    <row r="2769" spans="1:3">
      <c r="A2769" s="640">
        <v>30708724269</v>
      </c>
      <c r="B2769" s="650" t="s">
        <v>2445</v>
      </c>
      <c r="C2769" s="633" t="s">
        <v>79</v>
      </c>
    </row>
    <row r="2770" spans="1:3">
      <c r="A2770" s="36"/>
      <c r="B2770" s="632"/>
      <c r="C2770" s="633"/>
    </row>
    <row r="2771" spans="1:3">
      <c r="A2771" s="36"/>
      <c r="B2771" s="632"/>
      <c r="C2771" s="633"/>
    </row>
    <row r="2772" spans="1:3">
      <c r="A2772" s="36"/>
      <c r="B2772" s="632"/>
      <c r="C2772" s="633"/>
    </row>
    <row r="2773" spans="1:3">
      <c r="A2773" s="36"/>
      <c r="B2773" s="632"/>
      <c r="C2773" s="633"/>
    </row>
    <row r="2774" spans="1:3">
      <c r="A2774" s="36"/>
      <c r="B2774" s="632"/>
      <c r="C2774" s="633"/>
    </row>
    <row r="2775" spans="1:3">
      <c r="A2775" s="36"/>
      <c r="B2775" s="632"/>
      <c r="C2775" s="633"/>
    </row>
    <row r="2776" spans="1:3">
      <c r="A2776" s="36"/>
      <c r="B2776" s="632"/>
      <c r="C2776" s="633"/>
    </row>
    <row r="2777" spans="1:3">
      <c r="A2777" s="36"/>
      <c r="B2777" s="632"/>
      <c r="C2777" s="633"/>
    </row>
    <row r="2778" spans="1:3">
      <c r="A2778" s="36"/>
      <c r="B2778" s="632"/>
      <c r="C2778" s="633"/>
    </row>
    <row r="2779" spans="1:3">
      <c r="A2779" s="36"/>
      <c r="B2779" s="632"/>
      <c r="C2779" s="633"/>
    </row>
    <row r="2780" spans="1:3">
      <c r="A2780" s="36"/>
      <c r="B2780" s="632"/>
      <c r="C2780" s="633"/>
    </row>
    <row r="2781" spans="1:3">
      <c r="A2781" s="36"/>
      <c r="B2781" s="632"/>
      <c r="C2781" s="633"/>
    </row>
    <row r="2782" spans="1:3">
      <c r="A2782" s="36"/>
      <c r="B2782" s="632"/>
      <c r="C2782" s="633"/>
    </row>
    <row r="2783" spans="1:3">
      <c r="A2783" s="36"/>
      <c r="B2783" s="632"/>
      <c r="C2783" s="633"/>
    </row>
    <row r="2784" spans="1:3">
      <c r="A2784" s="36"/>
      <c r="B2784" s="632"/>
      <c r="C2784" s="633"/>
    </row>
    <row r="2785" spans="1:3">
      <c r="A2785" s="36"/>
      <c r="B2785" s="632"/>
      <c r="C2785" s="633"/>
    </row>
    <row r="2786" spans="1:3">
      <c r="A2786" s="36"/>
      <c r="B2786" s="632"/>
      <c r="C2786" s="633"/>
    </row>
    <row r="2787" spans="1:3">
      <c r="A2787" s="36"/>
      <c r="B2787" s="632"/>
      <c r="C2787" s="633"/>
    </row>
    <row r="2788" spans="1:3">
      <c r="A2788" s="36"/>
      <c r="B2788" s="632"/>
      <c r="C2788" s="633"/>
    </row>
    <row r="2789" spans="1:3">
      <c r="A2789" s="36"/>
      <c r="B2789" s="632"/>
      <c r="C2789" s="633"/>
    </row>
    <row r="2790" spans="1:3">
      <c r="A2790" s="36"/>
      <c r="B2790" s="632"/>
      <c r="C2790" s="633"/>
    </row>
    <row r="2791" spans="1:3">
      <c r="A2791" s="36"/>
      <c r="B2791" s="632"/>
      <c r="C2791" s="633"/>
    </row>
    <row r="2792" spans="1:3">
      <c r="A2792" s="36"/>
      <c r="B2792" s="632"/>
      <c r="C2792" s="633"/>
    </row>
    <row r="2793" spans="1:3">
      <c r="A2793" s="36"/>
      <c r="B2793" s="632"/>
      <c r="C2793" s="633"/>
    </row>
    <row r="2794" spans="1:3">
      <c r="A2794" s="36"/>
      <c r="B2794" s="632"/>
      <c r="C2794" s="633"/>
    </row>
    <row r="2795" spans="1:3">
      <c r="A2795" s="36"/>
      <c r="B2795" s="632"/>
      <c r="C2795" s="633"/>
    </row>
    <row r="2796" spans="1:3">
      <c r="A2796" s="36"/>
      <c r="B2796" s="632"/>
      <c r="C2796" s="633"/>
    </row>
    <row r="2797" spans="1:3">
      <c r="A2797" s="36"/>
      <c r="B2797" s="632"/>
      <c r="C2797" s="633"/>
    </row>
    <row r="2798" spans="1:3">
      <c r="A2798" s="36"/>
      <c r="B2798" s="632"/>
      <c r="C2798" s="633"/>
    </row>
    <row r="2799" spans="1:3">
      <c r="A2799" s="36"/>
      <c r="B2799" s="632"/>
      <c r="C2799" s="633"/>
    </row>
    <row r="2800" spans="1:3">
      <c r="A2800" s="36"/>
      <c r="B2800" s="632"/>
      <c r="C2800" s="633"/>
    </row>
    <row r="2801" spans="1:3">
      <c r="A2801" s="36"/>
      <c r="B2801" s="632"/>
      <c r="C2801" s="633"/>
    </row>
    <row r="2802" spans="1:3">
      <c r="A2802" s="36"/>
      <c r="B2802" s="632"/>
      <c r="C2802" s="633"/>
    </row>
    <row r="2803" spans="1:3">
      <c r="A2803" s="36"/>
      <c r="B2803" s="632"/>
      <c r="C2803" s="633"/>
    </row>
    <row r="2804" spans="1:3">
      <c r="A2804" s="36"/>
      <c r="B2804" s="632"/>
      <c r="C2804" s="633"/>
    </row>
    <row r="2805" spans="1:3">
      <c r="A2805" s="36"/>
      <c r="B2805" s="632"/>
      <c r="C2805" s="633"/>
    </row>
    <row r="2806" spans="1:3">
      <c r="A2806" s="36"/>
      <c r="B2806" s="632"/>
      <c r="C2806" s="633"/>
    </row>
    <row r="2807" spans="1:3">
      <c r="A2807" s="36"/>
      <c r="B2807" s="632"/>
      <c r="C2807" s="633"/>
    </row>
    <row r="2808" spans="1:3">
      <c r="A2808" s="36"/>
      <c r="B2808" s="632"/>
      <c r="C2808" s="633"/>
    </row>
    <row r="2809" spans="1:3">
      <c r="A2809" s="36"/>
      <c r="B2809" s="632"/>
      <c r="C2809" s="633"/>
    </row>
    <row r="2810" spans="1:3">
      <c r="A2810" s="36"/>
      <c r="B2810" s="632"/>
      <c r="C2810" s="633"/>
    </row>
    <row r="2811" spans="1:3">
      <c r="A2811" s="36"/>
      <c r="B2811" s="632"/>
      <c r="C2811" s="633"/>
    </row>
    <row r="2812" spans="1:3">
      <c r="A2812" s="36"/>
      <c r="B2812" s="632"/>
      <c r="C2812" s="633"/>
    </row>
    <row r="2813" spans="1:3">
      <c r="A2813" s="36"/>
      <c r="B2813" s="632"/>
      <c r="C2813" s="633"/>
    </row>
    <row r="2814" spans="1:3">
      <c r="A2814" s="36"/>
      <c r="B2814" s="632"/>
      <c r="C2814" s="633"/>
    </row>
    <row r="2815" spans="1:3">
      <c r="A2815" s="36"/>
      <c r="B2815" s="632"/>
      <c r="C2815" s="633"/>
    </row>
    <row r="2816" spans="1:3">
      <c r="A2816" s="36"/>
      <c r="B2816" s="632"/>
      <c r="C2816" s="633"/>
    </row>
    <row r="2817" spans="1:3">
      <c r="A2817" s="36"/>
      <c r="B2817" s="632"/>
      <c r="C2817" s="633"/>
    </row>
    <row r="2818" spans="1:3">
      <c r="A2818" s="36"/>
      <c r="B2818" s="632"/>
      <c r="C2818" s="633"/>
    </row>
    <row r="2819" spans="1:3">
      <c r="A2819" s="36"/>
      <c r="B2819" s="632"/>
      <c r="C2819" s="633"/>
    </row>
    <row r="2820" spans="1:3">
      <c r="A2820" s="36"/>
      <c r="B2820" s="632"/>
      <c r="C2820" s="633"/>
    </row>
    <row r="2821" spans="1:3">
      <c r="A2821" s="36"/>
      <c r="B2821" s="632"/>
      <c r="C2821" s="633"/>
    </row>
    <row r="2822" spans="1:3">
      <c r="A2822" s="36"/>
      <c r="B2822" s="632"/>
      <c r="C2822" s="633"/>
    </row>
    <row r="2823" spans="1:3">
      <c r="A2823" s="36"/>
      <c r="B2823" s="632"/>
      <c r="C2823" s="633"/>
    </row>
    <row r="2824" spans="1:3">
      <c r="A2824" s="36"/>
      <c r="B2824" s="632"/>
      <c r="C2824" s="633"/>
    </row>
    <row r="2825" spans="1:3">
      <c r="A2825" s="36"/>
      <c r="B2825" s="632"/>
      <c r="C2825" s="633"/>
    </row>
    <row r="2826" spans="1:3">
      <c r="A2826" s="36"/>
      <c r="B2826" s="632"/>
      <c r="C2826" s="633"/>
    </row>
    <row r="2827" spans="1:3">
      <c r="A2827" s="36"/>
      <c r="B2827" s="632"/>
      <c r="C2827" s="633"/>
    </row>
    <row r="2828" spans="1:3">
      <c r="A2828" s="36"/>
      <c r="B2828" s="632"/>
      <c r="C2828" s="633"/>
    </row>
    <row r="2829" spans="1:3">
      <c r="A2829" s="36"/>
      <c r="B2829" s="632"/>
      <c r="C2829" s="633"/>
    </row>
    <row r="2830" spans="1:3">
      <c r="A2830" s="36"/>
      <c r="B2830" s="632"/>
      <c r="C2830" s="633"/>
    </row>
    <row r="2831" spans="1:3">
      <c r="A2831" s="36"/>
      <c r="B2831" s="632"/>
      <c r="C2831" s="633"/>
    </row>
    <row r="2832" spans="1:3">
      <c r="A2832" s="36"/>
      <c r="B2832" s="632"/>
      <c r="C2832" s="633"/>
    </row>
    <row r="2833" spans="1:3">
      <c r="A2833" s="36"/>
      <c r="B2833" s="632"/>
      <c r="C2833" s="633"/>
    </row>
    <row r="2834" spans="1:3">
      <c r="A2834" s="36"/>
      <c r="B2834" s="632"/>
      <c r="C2834" s="633"/>
    </row>
    <row r="2835" spans="1:3">
      <c r="A2835" s="36"/>
      <c r="B2835" s="632"/>
      <c r="C2835" s="633"/>
    </row>
    <row r="2836" spans="1:3">
      <c r="A2836" s="36"/>
      <c r="B2836" s="632"/>
      <c r="C2836" s="633"/>
    </row>
    <row r="2837" spans="1:3">
      <c r="A2837" s="36"/>
      <c r="B2837" s="632"/>
      <c r="C2837" s="633"/>
    </row>
    <row r="2838" spans="1:3">
      <c r="A2838" s="36"/>
      <c r="B2838" s="632"/>
      <c r="C2838" s="633"/>
    </row>
    <row r="2839" spans="1:3">
      <c r="A2839" s="36"/>
      <c r="B2839" s="632"/>
      <c r="C2839" s="633"/>
    </row>
    <row r="2840" spans="1:3">
      <c r="A2840" s="36"/>
      <c r="B2840" s="632"/>
      <c r="C2840" s="633"/>
    </row>
    <row r="2841" spans="1:3">
      <c r="A2841" s="36"/>
      <c r="B2841" s="632"/>
      <c r="C2841" s="633"/>
    </row>
    <row r="2842" spans="1:3">
      <c r="A2842" s="36"/>
      <c r="B2842" s="632"/>
      <c r="C2842" s="633"/>
    </row>
    <row r="2843" spans="1:3">
      <c r="A2843" s="36"/>
      <c r="B2843" s="632"/>
      <c r="C2843" s="633"/>
    </row>
    <row r="2844" spans="1:3">
      <c r="A2844" s="36"/>
      <c r="B2844" s="632"/>
      <c r="C2844" s="633"/>
    </row>
    <row r="2845" spans="1:3">
      <c r="A2845" s="36"/>
      <c r="B2845" s="632"/>
      <c r="C2845" s="633"/>
    </row>
    <row r="2846" spans="1:3">
      <c r="A2846" s="36"/>
      <c r="B2846" s="632"/>
      <c r="C2846" s="633"/>
    </row>
    <row r="2847" spans="1:3">
      <c r="A2847" s="36"/>
      <c r="B2847" s="632"/>
      <c r="C2847" s="633"/>
    </row>
    <row r="2848" spans="1:3">
      <c r="A2848" s="36"/>
      <c r="B2848" s="632"/>
      <c r="C2848" s="633"/>
    </row>
    <row r="2849" spans="1:3">
      <c r="A2849" s="36"/>
      <c r="B2849" s="632"/>
      <c r="C2849" s="633"/>
    </row>
    <row r="2850" spans="1:3">
      <c r="A2850" s="36"/>
      <c r="B2850" s="632"/>
      <c r="C2850" s="633"/>
    </row>
    <row r="2851" spans="1:3">
      <c r="A2851" s="36"/>
      <c r="B2851" s="632"/>
      <c r="C2851" s="633"/>
    </row>
    <row r="2852" spans="1:3">
      <c r="A2852" s="36"/>
      <c r="B2852" s="632"/>
      <c r="C2852" s="633"/>
    </row>
    <row r="2853" spans="1:3">
      <c r="A2853" s="36"/>
      <c r="B2853" s="632"/>
      <c r="C2853" s="633"/>
    </row>
    <row r="2854" spans="1:3">
      <c r="A2854" s="36"/>
      <c r="B2854" s="632"/>
      <c r="C2854" s="633"/>
    </row>
    <row r="2855" spans="1:3">
      <c r="A2855" s="36"/>
      <c r="B2855" s="632"/>
      <c r="C2855" s="633"/>
    </row>
    <row r="2856" spans="1:3">
      <c r="A2856" s="36"/>
      <c r="B2856" s="632"/>
      <c r="C2856" s="633"/>
    </row>
    <row r="2857" spans="1:3">
      <c r="A2857" s="36"/>
      <c r="B2857" s="632"/>
      <c r="C2857" s="633"/>
    </row>
    <row r="2858" spans="1:3">
      <c r="A2858" s="36"/>
      <c r="B2858" s="632"/>
      <c r="C2858" s="633"/>
    </row>
    <row r="2859" spans="1:3">
      <c r="A2859" s="36"/>
      <c r="B2859" s="632"/>
      <c r="C2859" s="633"/>
    </row>
    <row r="2860" spans="1:3">
      <c r="A2860" s="36"/>
      <c r="B2860" s="632"/>
      <c r="C2860" s="633"/>
    </row>
    <row r="2861" spans="1:3">
      <c r="A2861" s="36"/>
      <c r="B2861" s="632"/>
      <c r="C2861" s="633"/>
    </row>
    <row r="2862" spans="1:3">
      <c r="A2862" s="36"/>
      <c r="B2862" s="632"/>
      <c r="C2862" s="633"/>
    </row>
    <row r="2863" spans="1:3">
      <c r="A2863" s="36"/>
      <c r="B2863" s="632"/>
      <c r="C2863" s="633"/>
    </row>
    <row r="2864" spans="1:3">
      <c r="A2864" s="36"/>
      <c r="B2864" s="632"/>
      <c r="C2864" s="633"/>
    </row>
    <row r="2865" spans="1:3">
      <c r="A2865" s="36"/>
      <c r="B2865" s="632"/>
      <c r="C2865" s="633"/>
    </row>
    <row r="2866" spans="1:3">
      <c r="A2866" s="36"/>
      <c r="B2866" s="632"/>
      <c r="C2866" s="633"/>
    </row>
    <row r="2867" spans="1:3">
      <c r="A2867" s="36"/>
      <c r="B2867" s="632"/>
      <c r="C2867" s="633"/>
    </row>
    <row r="2868" spans="1:3">
      <c r="A2868" s="36"/>
      <c r="B2868" s="632"/>
      <c r="C2868" s="633"/>
    </row>
    <row r="2869" spans="1:3">
      <c r="A2869" s="36"/>
      <c r="B2869" s="632"/>
      <c r="C2869" s="633"/>
    </row>
    <row r="2870" spans="1:3">
      <c r="A2870" s="36"/>
      <c r="B2870" s="632"/>
      <c r="C2870" s="633"/>
    </row>
    <row r="2871" spans="1:3">
      <c r="A2871" s="36"/>
      <c r="B2871" s="632"/>
      <c r="C2871" s="633"/>
    </row>
    <row r="2872" spans="1:3">
      <c r="A2872" s="36"/>
      <c r="B2872" s="632"/>
      <c r="C2872" s="633"/>
    </row>
    <row r="2873" spans="1:3">
      <c r="A2873" s="36"/>
      <c r="B2873" s="632"/>
      <c r="C2873" s="633"/>
    </row>
    <row r="2874" spans="1:3">
      <c r="A2874" s="36"/>
      <c r="B2874" s="632"/>
      <c r="C2874" s="633"/>
    </row>
    <row r="2875" spans="1:3">
      <c r="A2875" s="36"/>
      <c r="B2875" s="632"/>
      <c r="C2875" s="633"/>
    </row>
    <row r="2876" spans="1:3">
      <c r="A2876" s="36"/>
      <c r="B2876" s="632"/>
      <c r="C2876" s="633"/>
    </row>
    <row r="2877" spans="1:3">
      <c r="A2877" s="36"/>
      <c r="B2877" s="632"/>
      <c r="C2877" s="633"/>
    </row>
    <row r="2878" spans="1:3">
      <c r="A2878" s="36"/>
      <c r="B2878" s="632"/>
      <c r="C2878" s="633"/>
    </row>
    <row r="2879" spans="1:3">
      <c r="A2879" s="36"/>
      <c r="B2879" s="632"/>
      <c r="C2879" s="633"/>
    </row>
    <row r="2880" spans="1:3">
      <c r="A2880" s="36"/>
      <c r="B2880" s="632"/>
      <c r="C2880" s="633"/>
    </row>
    <row r="2881" spans="1:3">
      <c r="A2881" s="36"/>
      <c r="B2881" s="632"/>
      <c r="C2881" s="633"/>
    </row>
    <row r="2882" spans="1:3">
      <c r="A2882" s="36"/>
      <c r="B2882" s="632"/>
      <c r="C2882" s="633"/>
    </row>
    <row r="2883" spans="1:3">
      <c r="A2883" s="36"/>
      <c r="B2883" s="632"/>
      <c r="C2883" s="633"/>
    </row>
    <row r="2884" spans="1:3">
      <c r="A2884" s="36"/>
      <c r="B2884" s="632"/>
      <c r="C2884" s="633"/>
    </row>
    <row r="2885" spans="1:3">
      <c r="A2885" s="36"/>
      <c r="B2885" s="632"/>
      <c r="C2885" s="633"/>
    </row>
    <row r="2886" spans="1:3">
      <c r="A2886" s="36"/>
      <c r="B2886" s="632"/>
      <c r="C2886" s="633"/>
    </row>
    <row r="2887" spans="1:3">
      <c r="A2887" s="36"/>
      <c r="B2887" s="632"/>
      <c r="C2887" s="633"/>
    </row>
    <row r="2888" spans="1:3">
      <c r="A2888" s="36"/>
      <c r="B2888" s="632"/>
      <c r="C2888" s="633"/>
    </row>
    <row r="2889" spans="1:3">
      <c r="A2889" s="36"/>
      <c r="B2889" s="632"/>
      <c r="C2889" s="633"/>
    </row>
    <row r="2890" spans="1:3">
      <c r="A2890" s="36"/>
      <c r="B2890" s="632"/>
      <c r="C2890" s="633"/>
    </row>
    <row r="2891" spans="1:3">
      <c r="A2891" s="36"/>
      <c r="B2891" s="632"/>
      <c r="C2891" s="633"/>
    </row>
    <row r="2892" spans="1:3">
      <c r="A2892" s="36"/>
      <c r="B2892" s="632"/>
      <c r="C2892" s="633"/>
    </row>
    <row r="2893" spans="1:3">
      <c r="A2893" s="36"/>
      <c r="B2893" s="632"/>
      <c r="C2893" s="633"/>
    </row>
    <row r="2894" spans="1:3">
      <c r="A2894" s="36"/>
      <c r="B2894" s="632"/>
      <c r="C2894" s="633"/>
    </row>
    <row r="2895" spans="1:3">
      <c r="A2895" s="36"/>
      <c r="B2895" s="632"/>
      <c r="C2895" s="633"/>
    </row>
    <row r="2896" spans="1:3">
      <c r="A2896" s="36"/>
      <c r="B2896" s="632"/>
      <c r="C2896" s="633"/>
    </row>
    <row r="2897" spans="1:3">
      <c r="A2897" s="36"/>
      <c r="B2897" s="632"/>
      <c r="C2897" s="633"/>
    </row>
    <row r="2898" spans="1:3">
      <c r="A2898" s="36"/>
      <c r="B2898" s="632"/>
      <c r="C2898" s="633"/>
    </row>
    <row r="2899" spans="1:3">
      <c r="A2899" s="36"/>
      <c r="B2899" s="632"/>
      <c r="C2899" s="633"/>
    </row>
    <row r="2900" spans="1:3">
      <c r="A2900" s="36"/>
      <c r="B2900" s="632"/>
      <c r="C2900" s="633"/>
    </row>
    <row r="2901" spans="1:3">
      <c r="A2901" s="36"/>
      <c r="B2901" s="632"/>
      <c r="C2901" s="633"/>
    </row>
    <row r="2902" spans="1:3">
      <c r="A2902" s="36"/>
      <c r="B2902" s="632"/>
      <c r="C2902" s="633"/>
    </row>
    <row r="2903" spans="1:3">
      <c r="A2903" s="36"/>
      <c r="B2903" s="632"/>
      <c r="C2903" s="633"/>
    </row>
    <row r="2904" spans="1:3">
      <c r="A2904" s="36"/>
      <c r="B2904" s="632"/>
      <c r="C2904" s="633"/>
    </row>
    <row r="2905" spans="1:3">
      <c r="A2905" s="36"/>
      <c r="B2905" s="632"/>
      <c r="C2905" s="633"/>
    </row>
    <row r="2906" spans="1:3">
      <c r="A2906" s="36"/>
      <c r="B2906" s="632"/>
      <c r="C2906" s="633"/>
    </row>
    <row r="2907" spans="1:3">
      <c r="A2907" s="36"/>
      <c r="B2907" s="632"/>
      <c r="C2907" s="633"/>
    </row>
    <row r="2908" spans="1:3">
      <c r="A2908" s="36"/>
      <c r="B2908" s="632"/>
      <c r="C2908" s="633"/>
    </row>
    <row r="2909" spans="1:3">
      <c r="A2909" s="36"/>
      <c r="B2909" s="632"/>
      <c r="C2909" s="633"/>
    </row>
    <row r="2910" spans="1:3">
      <c r="A2910" s="36"/>
      <c r="B2910" s="632"/>
      <c r="C2910" s="633"/>
    </row>
    <row r="2911" spans="1:3">
      <c r="A2911" s="36"/>
      <c r="B2911" s="632"/>
      <c r="C2911" s="633"/>
    </row>
    <row r="2912" spans="1:3">
      <c r="A2912" s="36"/>
      <c r="B2912" s="632"/>
      <c r="C2912" s="633"/>
    </row>
    <row r="2913" spans="1:3">
      <c r="A2913" s="36"/>
      <c r="B2913" s="632"/>
      <c r="C2913" s="633"/>
    </row>
    <row r="2914" spans="1:3">
      <c r="A2914" s="36"/>
      <c r="B2914" s="632"/>
      <c r="C2914" s="633"/>
    </row>
    <row r="2915" spans="1:3">
      <c r="A2915" s="36"/>
      <c r="B2915" s="632"/>
      <c r="C2915" s="633"/>
    </row>
    <row r="2916" spans="1:3">
      <c r="A2916" s="36"/>
      <c r="B2916" s="632"/>
      <c r="C2916" s="633"/>
    </row>
    <row r="2917" spans="1:3">
      <c r="A2917" s="36"/>
      <c r="B2917" s="632"/>
      <c r="C2917" s="633"/>
    </row>
    <row r="2918" spans="1:3">
      <c r="A2918" s="36"/>
      <c r="B2918" s="632"/>
      <c r="C2918" s="633"/>
    </row>
    <row r="2919" spans="1:3">
      <c r="A2919" s="36"/>
      <c r="B2919" s="632"/>
      <c r="C2919" s="633"/>
    </row>
    <row r="2920" spans="1:3">
      <c r="A2920" s="36"/>
      <c r="B2920" s="632"/>
      <c r="C2920" s="633"/>
    </row>
    <row r="2921" spans="1:3">
      <c r="A2921" s="36"/>
      <c r="B2921" s="632"/>
      <c r="C2921" s="633"/>
    </row>
    <row r="2922" spans="1:3">
      <c r="A2922" s="36"/>
      <c r="B2922" s="632"/>
      <c r="C2922" s="633"/>
    </row>
    <row r="2923" spans="1:3">
      <c r="A2923" s="36"/>
      <c r="B2923" s="632"/>
      <c r="C2923" s="633"/>
    </row>
    <row r="2924" spans="1:3">
      <c r="A2924" s="36"/>
    </row>
    <row r="2925" spans="1:3">
      <c r="A2925" s="36"/>
    </row>
    <row r="2926" spans="1:3">
      <c r="A2926" s="36"/>
    </row>
    <row r="2927" spans="1:3">
      <c r="A2927" s="36"/>
    </row>
    <row r="2928" spans="1:3">
      <c r="A2928" s="36"/>
    </row>
    <row r="2929" spans="1:1">
      <c r="A2929" s="36"/>
    </row>
    <row r="2930" spans="1:1">
      <c r="A2930" s="36"/>
    </row>
    <row r="2931" spans="1:1">
      <c r="A2931" s="36"/>
    </row>
    <row r="2932" spans="1:1">
      <c r="A2932" s="36"/>
    </row>
    <row r="2933" spans="1:1">
      <c r="A2933" s="36"/>
    </row>
    <row r="2934" spans="1:1">
      <c r="A2934" s="36"/>
    </row>
    <row r="2935" spans="1:1">
      <c r="A2935" s="36"/>
    </row>
    <row r="2936" spans="1:1">
      <c r="A2936" s="36"/>
    </row>
    <row r="2937" spans="1:1">
      <c r="A2937" s="36"/>
    </row>
    <row r="2938" spans="1:1">
      <c r="A2938" s="36"/>
    </row>
    <row r="2939" spans="1:1">
      <c r="A2939" s="36"/>
    </row>
    <row r="2940" spans="1:1">
      <c r="A2940" s="36"/>
    </row>
    <row r="2941" spans="1:1">
      <c r="A2941" s="36"/>
    </row>
    <row r="2942" spans="1:1">
      <c r="A2942" s="36"/>
    </row>
    <row r="2943" spans="1:1">
      <c r="A2943" s="36"/>
    </row>
    <row r="2944" spans="1:1">
      <c r="A2944" s="36"/>
    </row>
    <row r="2945" spans="1:1">
      <c r="A2945" s="36"/>
    </row>
    <row r="2946" spans="1:1">
      <c r="A2946" s="36"/>
    </row>
    <row r="2947" spans="1:1">
      <c r="A2947" s="36"/>
    </row>
    <row r="2948" spans="1:1">
      <c r="A2948" s="36"/>
    </row>
  </sheetData>
  <dataValidations count="1">
    <dataValidation type="whole" allowBlank="1" showInputMessage="1" showErrorMessage="1" sqref="A2413 A2432 A2944:A2945 A2759:A2769 A34:A46">
      <formula1>20000000000</formula1>
      <formula2>33999999999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9" tint="-0.249977111117893"/>
  </sheetPr>
  <dimension ref="A1:Z208"/>
  <sheetViews>
    <sheetView showGridLines="0" zoomScaleNormal="100" workbookViewId="0">
      <selection activeCell="H114" activeCellId="1" sqref="O114 H114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9.5703125" customWidth="1"/>
    <col min="4" max="4" width="5.28515625" customWidth="1"/>
    <col min="5" max="5" width="8.7109375" customWidth="1"/>
    <col min="6" max="6" width="17.5703125" customWidth="1"/>
    <col min="7" max="7" width="29.42578125" customWidth="1"/>
    <col min="8" max="8" width="13.42578125" customWidth="1"/>
    <col min="9" max="9" width="17.5703125" customWidth="1"/>
    <col min="10" max="10" width="13.28515625" customWidth="1"/>
    <col min="11" max="11" width="10.28515625" customWidth="1"/>
    <col min="12" max="12" width="10.7109375" customWidth="1"/>
    <col min="13" max="13" width="9.42578125" customWidth="1"/>
    <col min="14" max="14" width="20.5703125" customWidth="1"/>
    <col min="15" max="15" width="18.5703125" customWidth="1"/>
    <col min="16" max="16" width="23.140625" customWidth="1"/>
    <col min="17" max="17" width="32" style="608" customWidth="1"/>
    <col min="18" max="18" width="14.42578125" customWidth="1"/>
    <col min="19" max="19" width="12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68" t="s">
        <v>779</v>
      </c>
      <c r="H1" s="668"/>
      <c r="I1" s="668"/>
      <c r="J1" s="668"/>
      <c r="K1" s="668"/>
      <c r="L1" s="668"/>
      <c r="M1" s="668"/>
      <c r="N1" s="664">
        <v>45292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2168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SUM(compras_mes1[[#Totals],[NETO GRAVADO]])+extracto_banco_mes1[[#Totals],[NETO]]</f>
        <v>83521770.75999999</v>
      </c>
      <c r="C4" s="671"/>
      <c r="D4" s="671"/>
      <c r="E4" s="671"/>
      <c r="F4" s="39"/>
      <c r="G4" s="672">
        <f>compras_mes1[[#Totals],[IVA 21 %]]+compras_mes1[[#Totals],[IVA 27%]]+compras_mes1[[#Totals],[IVA 10,5%]]+I125</f>
        <v>16924272.6206</v>
      </c>
      <c r="H4" s="672"/>
      <c r="I4" s="39"/>
      <c r="J4" s="661">
        <f>venta_a_mes1[[#Totals],[IMPORTE NETO]]+ventas_b_mes1[[#Totals],[IMPORTE NETO]]</f>
        <v>0</v>
      </c>
      <c r="K4" s="661"/>
      <c r="L4" s="39"/>
      <c r="M4" s="661">
        <f>venta_a_mes1[[#Totals],[IVA 21%]]+venta_a_mes1[[#Totals],[IVA 10,5%]]+ventas_b_mes1[[#Totals],[IVA 21%]]+ventas_b_mes1[[#Totals],[IVA 10,5%]]</f>
        <v>0</v>
      </c>
      <c r="N4" s="661"/>
      <c r="O4" s="39"/>
      <c r="P4" s="674">
        <f>G4-M4</f>
        <v>16924272.6206</v>
      </c>
      <c r="Q4" s="675"/>
      <c r="R4" s="675"/>
    </row>
    <row r="5" spans="1:26" ht="13.35" customHeight="1"/>
    <row r="6" spans="1:26" ht="11.1" customHeight="1">
      <c r="H6" s="130"/>
    </row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5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609" t="s">
        <v>11</v>
      </c>
      <c r="R8" s="84" t="s">
        <v>38</v>
      </c>
    </row>
    <row r="9" spans="1:26" s="56" customFormat="1">
      <c r="B9" s="333">
        <v>45299</v>
      </c>
      <c r="C9" s="160">
        <v>1</v>
      </c>
      <c r="D9" s="334">
        <v>12</v>
      </c>
      <c r="E9" s="335">
        <v>1687428</v>
      </c>
      <c r="F9" s="336">
        <v>30709776564</v>
      </c>
      <c r="G9" s="337" t="str">
        <f>IFERROR(IF(compras_mes1[[#This Row],[CUIT]]="","-",VLOOKUP(compras_mes1[[#This Row],[CUIT]],Lista_CUIT[#All],2,0)),"CUIT NO CARGADO")</f>
        <v>PROSEGUR ACTIVA ARG SA</v>
      </c>
      <c r="H9" s="338">
        <v>57214.81</v>
      </c>
      <c r="I9" s="339">
        <f>IF(compras_mes1[[#This Row],[NETO GRAVADO]]="","",compras_mes1[[#This Row],[NETO GRAVADO]]*0.21)</f>
        <v>12015.1101</v>
      </c>
      <c r="J9" s="339"/>
      <c r="K9" s="339"/>
      <c r="L9" s="339"/>
      <c r="M9" s="339"/>
      <c r="N9" s="339">
        <v>2288.59</v>
      </c>
      <c r="O9" s="339"/>
      <c r="P9" s="340">
        <f>SUM(compras_mes1[[#This Row],[NETO GRAVADO]:[Otros / No Grav.]])</f>
        <v>71518.5101</v>
      </c>
      <c r="Q9" s="337" t="str">
        <f>IFERROR(IF(compras_mes1[[#This Row],[CUIT]]="","-",VLOOKUP(compras_mes1[[#This Row],[CUIT]],Lista_CUIT[#All],3,0)),"CUIT NO CARGADO")</f>
        <v>Servicio Seguridad</v>
      </c>
      <c r="R9" s="341">
        <f>IFERROR(IF(compras_mes1[[#This Row],[CUIT]]="","-",VLOOKUP(compras_mes1[[#This Row],[CUIT]],Lista_CUIT[#All],4,0)),"CUIT NO CARGADO")</f>
        <v>0</v>
      </c>
    </row>
    <row r="10" spans="1:26">
      <c r="B10" s="323">
        <v>45308</v>
      </c>
      <c r="C10" s="324">
        <v>1</v>
      </c>
      <c r="D10" s="325">
        <v>1001</v>
      </c>
      <c r="E10" s="326">
        <v>361</v>
      </c>
      <c r="F10" s="327">
        <v>30707370552</v>
      </c>
      <c r="G10" s="328" t="str">
        <f>IFERROR(IF(compras_mes1[[#This Row],[CUIT]]="","-",VLOOKUP(compras_mes1[[#This Row],[CUIT]],Lista_CUIT[#All],2,0)),"CUIT NO CARGADO")</f>
        <v>RAKE SA</v>
      </c>
      <c r="H10" s="329">
        <v>345484.3</v>
      </c>
      <c r="I10" s="330">
        <f>IF(compras_mes1[[#This Row],[NETO GRAVADO]]="","",compras_mes1[[#This Row],[NETO GRAVADO]]*0.21)</f>
        <v>72551.702999999994</v>
      </c>
      <c r="J10" s="330"/>
      <c r="K10" s="330"/>
      <c r="L10" s="330"/>
      <c r="M10" s="330"/>
      <c r="N10" s="330"/>
      <c r="O10" s="330"/>
      <c r="P10" s="331">
        <f>SUM(compras_mes1[[#This Row],[NETO GRAVADO]:[Otros / No Grav.]])</f>
        <v>418036.00299999997</v>
      </c>
      <c r="Q10" s="328" t="str">
        <f>IFERROR(IF(compras_mes1[[#This Row],[CUIT]]="","-",VLOOKUP(compras_mes1[[#This Row],[CUIT]],Lista_CUIT[#All],3,0)),"CUIT NO CARGADO")</f>
        <v>ALQUILERES PAGADOS</v>
      </c>
      <c r="R10" s="332">
        <f>IFERROR(IF(compras_mes1[[#This Row],[CUIT]]="","-",VLOOKUP(compras_mes1[[#This Row],[CUIT]],Lista_CUIT[#All],4,0)),"CUIT NO CARGADO")</f>
        <v>0</v>
      </c>
    </row>
    <row r="11" spans="1:26">
      <c r="B11" s="323">
        <v>45308</v>
      </c>
      <c r="C11" s="324">
        <v>1</v>
      </c>
      <c r="D11" s="325">
        <v>1001</v>
      </c>
      <c r="E11" s="326">
        <v>360</v>
      </c>
      <c r="F11" s="327">
        <v>30707370552</v>
      </c>
      <c r="G11" s="328" t="str">
        <f>IFERROR(IF(compras_mes1[[#This Row],[CUIT]]="","-",VLOOKUP(compras_mes1[[#This Row],[CUIT]],Lista_CUIT[#All],2,0)),"CUIT NO CARGADO")</f>
        <v>RAKE SA</v>
      </c>
      <c r="H11" s="329">
        <v>196694.21</v>
      </c>
      <c r="I11" s="330">
        <f>IF(compras_mes1[[#This Row],[NETO GRAVADO]]="","",compras_mes1[[#This Row],[NETO GRAVADO]]*0.21)</f>
        <v>41305.784099999997</v>
      </c>
      <c r="J11" s="330"/>
      <c r="K11" s="330"/>
      <c r="L11" s="330"/>
      <c r="M11" s="330"/>
      <c r="N11" s="330"/>
      <c r="O11" s="330"/>
      <c r="P11" s="331">
        <f>SUM(compras_mes1[[#This Row],[NETO GRAVADO]:[Otros / No Grav.]])</f>
        <v>237999.99409999998</v>
      </c>
      <c r="Q11" s="328" t="str">
        <f>IFERROR(IF(compras_mes1[[#This Row],[CUIT]]="","-",VLOOKUP(compras_mes1[[#This Row],[CUIT]],Lista_CUIT[#All],3,0)),"CUIT NO CARGADO")</f>
        <v>ALQUILERES PAGADOS</v>
      </c>
      <c r="R11" s="332">
        <f>IFERROR(IF(compras_mes1[[#This Row],[CUIT]]="","-",VLOOKUP(compras_mes1[[#This Row],[CUIT]],Lista_CUIT[#All],4,0)),"CUIT NO CARGADO")</f>
        <v>0</v>
      </c>
    </row>
    <row r="12" spans="1:26">
      <c r="B12" s="323">
        <v>45296</v>
      </c>
      <c r="C12" s="324">
        <v>1</v>
      </c>
      <c r="D12" s="325">
        <v>2</v>
      </c>
      <c r="E12" s="326">
        <v>200</v>
      </c>
      <c r="F12" s="327">
        <v>30605344352</v>
      </c>
      <c r="G12" s="328" t="str">
        <f>IFERROR(IF(compras_mes1[[#This Row],[CUIT]]="","-",VLOOKUP(compras_mes1[[#This Row],[CUIT]],Lista_CUIT[#All],2,0)),"CUIT NO CARGADO")</f>
        <v>CONSORCIO BARTOLME MITRE 2466</v>
      </c>
      <c r="H12" s="329">
        <v>575000</v>
      </c>
      <c r="I12" s="330">
        <f>IF(compras_mes1[[#This Row],[NETO GRAVADO]]="","",compras_mes1[[#This Row],[NETO GRAVADO]]*0.21)</f>
        <v>120750</v>
      </c>
      <c r="J12" s="330"/>
      <c r="K12" s="330"/>
      <c r="L12" s="330"/>
      <c r="M12" s="330"/>
      <c r="N12" s="330"/>
      <c r="O12" s="330"/>
      <c r="P12" s="331">
        <f>SUM(compras_mes1[[#This Row],[NETO GRAVADO]:[Otros / No Grav.]])</f>
        <v>695750</v>
      </c>
      <c r="Q12" s="328" t="str">
        <f>IFERROR(IF(compras_mes1[[#This Row],[CUIT]]="","-",VLOOKUP(compras_mes1[[#This Row],[CUIT]],Lista_CUIT[#All],3,0)),"CUIT NO CARGADO")</f>
        <v>ALQUILERES PAGADOS</v>
      </c>
      <c r="R12" s="332">
        <f>IFERROR(IF(compras_mes1[[#This Row],[CUIT]]="","-",VLOOKUP(compras_mes1[[#This Row],[CUIT]],Lista_CUIT[#All],4,0)),"CUIT NO CARGADO")</f>
        <v>0</v>
      </c>
    </row>
    <row r="13" spans="1:26" ht="14.45" customHeight="1">
      <c r="B13" s="323">
        <v>45296</v>
      </c>
      <c r="C13" s="324">
        <v>1</v>
      </c>
      <c r="D13" s="325">
        <v>2</v>
      </c>
      <c r="E13" s="326">
        <v>198</v>
      </c>
      <c r="F13" s="327">
        <v>30605344352</v>
      </c>
      <c r="G13" s="328" t="str">
        <f>IFERROR(IF(compras_mes1[[#This Row],[CUIT]]="","-",VLOOKUP(compras_mes1[[#This Row],[CUIT]],Lista_CUIT[#All],2,0)),"CUIT NO CARGADO")</f>
        <v>CONSORCIO BARTOLME MITRE 2466</v>
      </c>
      <c r="H13" s="329">
        <v>575000</v>
      </c>
      <c r="I13" s="330">
        <f>IF(compras_mes1[[#This Row],[NETO GRAVADO]]="","",compras_mes1[[#This Row],[NETO GRAVADO]]*0.21)</f>
        <v>120750</v>
      </c>
      <c r="J13" s="330"/>
      <c r="K13" s="330"/>
      <c r="L13" s="330"/>
      <c r="M13" s="330"/>
      <c r="N13" s="330"/>
      <c r="O13" s="330"/>
      <c r="P13" s="331">
        <f>SUM(compras_mes1[[#This Row],[NETO GRAVADO]:[Otros / No Grav.]])</f>
        <v>695750</v>
      </c>
      <c r="Q13" s="328" t="str">
        <f>IFERROR(IF(compras_mes1[[#This Row],[CUIT]]="","-",VLOOKUP(compras_mes1[[#This Row],[CUIT]],Lista_CUIT[#All],3,0)),"CUIT NO CARGADO")</f>
        <v>ALQUILERES PAGADOS</v>
      </c>
      <c r="R13" s="332">
        <f>IFERROR(IF(compras_mes1[[#This Row],[CUIT]]="","-",VLOOKUP(compras_mes1[[#This Row],[CUIT]],Lista_CUIT[#All],4,0)),"CUIT NO CARGADO")</f>
        <v>0</v>
      </c>
    </row>
    <row r="14" spans="1:26">
      <c r="B14" s="323">
        <v>45322</v>
      </c>
      <c r="C14" s="324">
        <v>1</v>
      </c>
      <c r="D14" s="325">
        <v>1</v>
      </c>
      <c r="E14" s="326">
        <v>732</v>
      </c>
      <c r="F14" s="327">
        <v>30715048066</v>
      </c>
      <c r="G14" s="328" t="str">
        <f>IFERROR(IF(compras_mes1[[#This Row],[CUIT]]="","-",VLOOKUP(compras_mes1[[#This Row],[CUIT]],Lista_CUIT[#All],2,0)),"CUIT NO CARGADO")</f>
        <v>ROLLS Y EMPANADAS SA</v>
      </c>
      <c r="H14" s="329">
        <v>542710</v>
      </c>
      <c r="I14" s="330">
        <f>IF(compras_mes1[[#This Row],[NETO GRAVADO]]="","",compras_mes1[[#This Row],[NETO GRAVADO]]*0.21)</f>
        <v>113969.09999999999</v>
      </c>
      <c r="J14" s="330"/>
      <c r="K14" s="330"/>
      <c r="L14" s="330"/>
      <c r="M14" s="330"/>
      <c r="N14" s="330"/>
      <c r="O14" s="330"/>
      <c r="P14" s="331">
        <f>SUM(compras_mes1[[#This Row],[NETO GRAVADO]:[Otros / No Grav.]])</f>
        <v>656679.1</v>
      </c>
      <c r="Q14" s="328" t="str">
        <f>IFERROR(IF(compras_mes1[[#This Row],[CUIT]]="","-",VLOOKUP(compras_mes1[[#This Row],[CUIT]],Lista_CUIT[#All],3,0)),"CUIT NO CARGADO")</f>
        <v>Catering</v>
      </c>
      <c r="R14" s="332">
        <f>IFERROR(IF(compras_mes1[[#This Row],[CUIT]]="","-",VLOOKUP(compras_mes1[[#This Row],[CUIT]],Lista_CUIT[#All],4,0)),"CUIT NO CARGADO")</f>
        <v>0</v>
      </c>
    </row>
    <row r="15" spans="1:26">
      <c r="B15" s="333">
        <v>45320</v>
      </c>
      <c r="C15" s="160">
        <v>1</v>
      </c>
      <c r="D15" s="334">
        <v>63</v>
      </c>
      <c r="E15" s="335">
        <v>3877</v>
      </c>
      <c r="F15" s="336">
        <v>30670528592</v>
      </c>
      <c r="G15" s="337" t="str">
        <f>IFERROR(IF(compras_mes1[[#This Row],[CUIT]]="","-",VLOOKUP(compras_mes1[[#This Row],[CUIT]],Lista_CUIT[#All],2,0)),"CUIT NO CARGADO")</f>
        <v>AUTOMOTORES FIORASI Y CORRADI</v>
      </c>
      <c r="H15" s="338">
        <v>214876.04</v>
      </c>
      <c r="I15" s="339">
        <f>IF(compras_mes1[[#This Row],[NETO GRAVADO]]="","",compras_mes1[[#This Row],[NETO GRAVADO]]*0.21)</f>
        <v>45123.968399999998</v>
      </c>
      <c r="J15" s="339"/>
      <c r="K15" s="339"/>
      <c r="L15" s="339"/>
      <c r="M15" s="339"/>
      <c r="N15" s="339"/>
      <c r="O15" s="339"/>
      <c r="P15" s="340">
        <f>SUM(compras_mes1[[#This Row],[NETO GRAVADO]:[Otros / No Grav.]])</f>
        <v>260000.00839999999</v>
      </c>
      <c r="Q15" s="337" t="str">
        <f>IFERROR(IF(compras_mes1[[#This Row],[CUIT]]="","-",VLOOKUP(compras_mes1[[#This Row],[CUIT]],Lista_CUIT[#All],3,0)),"CUIT NO CARGADO")</f>
        <v>COMBUSTIBLE</v>
      </c>
      <c r="R15" s="341">
        <f>IFERROR(IF(compras_mes1[[#This Row],[CUIT]]="","-",VLOOKUP(compras_mes1[[#This Row],[CUIT]],Lista_CUIT[#All],4,0)),"CUIT NO CARGADO")</f>
        <v>0</v>
      </c>
    </row>
    <row r="16" spans="1:26" ht="14.45" customHeight="1">
      <c r="B16" s="323">
        <v>45296</v>
      </c>
      <c r="C16" s="324">
        <v>1</v>
      </c>
      <c r="D16" s="325">
        <v>28</v>
      </c>
      <c r="E16" s="326">
        <v>8106</v>
      </c>
      <c r="F16" s="327">
        <v>33712276539</v>
      </c>
      <c r="G16" s="328" t="str">
        <f>IFERROR(IF(compras_mes1[[#This Row],[CUIT]]="","-",VLOOKUP(compras_mes1[[#This Row],[CUIT]],Lista_CUIT[#All],2,0)),"CUIT NO CARGADO")</f>
        <v>CASTAÑO AUTOVOX SRL</v>
      </c>
      <c r="H16" s="329">
        <v>28441.05</v>
      </c>
      <c r="I16" s="330">
        <f>IF(compras_mes1[[#This Row],[NETO GRAVADO]]="","",compras_mes1[[#This Row],[NETO GRAVADO]]*0.21)</f>
        <v>5972.6205</v>
      </c>
      <c r="J16" s="330"/>
      <c r="K16" s="330"/>
      <c r="L16" s="330"/>
      <c r="M16" s="330"/>
      <c r="N16" s="330">
        <v>1137.6300000000001</v>
      </c>
      <c r="O16" s="330">
        <v>586.4</v>
      </c>
      <c r="P16" s="331">
        <f>SUM(compras_mes1[[#This Row],[NETO GRAVADO]:[Otros / No Grav.]])</f>
        <v>36137.700499999999</v>
      </c>
      <c r="Q16" s="328" t="str">
        <f>IFERROR(IF(compras_mes1[[#This Row],[CUIT]]="","-",VLOOKUP(compras_mes1[[#This Row],[CUIT]],Lista_CUIT[#All],3,0)),"CUIT NO CARGADO")</f>
        <v>COMBUSTIBLE</v>
      </c>
      <c r="R16" s="332">
        <f>IFERROR(IF(compras_mes1[[#This Row],[CUIT]]="","-",VLOOKUP(compras_mes1[[#This Row],[CUIT]],Lista_CUIT[#All],4,0)),"CUIT NO CARGADO")</f>
        <v>0</v>
      </c>
    </row>
    <row r="17" spans="2:18" ht="14.45" customHeight="1">
      <c r="B17" s="323">
        <v>45321</v>
      </c>
      <c r="C17" s="324">
        <v>1</v>
      </c>
      <c r="D17" s="325">
        <v>31</v>
      </c>
      <c r="E17" s="326">
        <v>1556</v>
      </c>
      <c r="F17" s="327">
        <v>33712276539</v>
      </c>
      <c r="G17" s="328" t="str">
        <f>IFERROR(IF(compras_mes1[[#This Row],[CUIT]]="","-",VLOOKUP(compras_mes1[[#This Row],[CUIT]],Lista_CUIT[#All],2,0)),"CUIT NO CARGADO")</f>
        <v>CASTAÑO AUTOVOX SRL</v>
      </c>
      <c r="H17" s="329">
        <v>32504.07</v>
      </c>
      <c r="I17" s="330">
        <f>IF(compras_mes1[[#This Row],[NETO GRAVADO]]="","",compras_mes1[[#This Row],[NETO GRAVADO]]*0.21)</f>
        <v>6825.8546999999999</v>
      </c>
      <c r="J17" s="330"/>
      <c r="K17" s="330"/>
      <c r="L17" s="330"/>
      <c r="M17" s="330"/>
      <c r="N17" s="330"/>
      <c r="O17" s="330">
        <v>1970.3300000000002</v>
      </c>
      <c r="P17" s="331">
        <f>SUM(compras_mes1[[#This Row],[NETO GRAVADO]:[Otros / No Grav.]])</f>
        <v>41300.254700000005</v>
      </c>
      <c r="Q17" s="328" t="str">
        <f>IFERROR(IF(compras_mes1[[#This Row],[CUIT]]="","-",VLOOKUP(compras_mes1[[#This Row],[CUIT]],Lista_CUIT[#All],3,0)),"CUIT NO CARGADO")</f>
        <v>COMBUSTIBLE</v>
      </c>
      <c r="R17" s="332">
        <f>IFERROR(IF(compras_mes1[[#This Row],[CUIT]]="","-",VLOOKUP(compras_mes1[[#This Row],[CUIT]],Lista_CUIT[#All],4,0)),"CUIT NO CARGADO")</f>
        <v>0</v>
      </c>
    </row>
    <row r="18" spans="2:18" ht="15" customHeight="1">
      <c r="B18" s="333">
        <v>45307</v>
      </c>
      <c r="C18" s="160">
        <v>1</v>
      </c>
      <c r="D18" s="334">
        <v>6</v>
      </c>
      <c r="E18" s="335">
        <v>375</v>
      </c>
      <c r="F18" s="336">
        <v>30616031143</v>
      </c>
      <c r="G18" s="337" t="str">
        <f>IFERROR(IF(compras_mes1[[#This Row],[CUIT]]="","-",VLOOKUP(compras_mes1[[#This Row],[CUIT]],Lista_CUIT[#All],2,0)),"CUIT NO CARGADO")</f>
        <v>TRAFE SUDAMERICANA SA</v>
      </c>
      <c r="H18" s="338">
        <v>7190.08</v>
      </c>
      <c r="I18" s="339">
        <f>IF(compras_mes1[[#This Row],[NETO GRAVADO]]="","",compras_mes1[[#This Row],[NETO GRAVADO]]*0.21)</f>
        <v>1509.9168</v>
      </c>
      <c r="J18" s="339"/>
      <c r="K18" s="339"/>
      <c r="L18" s="339"/>
      <c r="M18" s="339"/>
      <c r="N18" s="339"/>
      <c r="O18" s="339"/>
      <c r="P18" s="340">
        <f>SUM(compras_mes1[[#This Row],[NETO GRAVADO]:[Otros / No Grav.]])</f>
        <v>8699.9968000000008</v>
      </c>
      <c r="Q18" s="337" t="str">
        <f>IFERROR(IF(compras_mes1[[#This Row],[CUIT]]="","-",VLOOKUP(compras_mes1[[#This Row],[CUIT]],Lista_CUIT[#All],3,0)),"CUIT NO CARGADO")</f>
        <v>COMBUSTIBLE</v>
      </c>
      <c r="R18" s="341">
        <f>IFERROR(IF(compras_mes1[[#This Row],[CUIT]]="","-",VLOOKUP(compras_mes1[[#This Row],[CUIT]],Lista_CUIT[#All],4,0)),"CUIT NO CARGADO")</f>
        <v>0</v>
      </c>
    </row>
    <row r="19" spans="2:18" ht="15" customHeight="1">
      <c r="B19" s="333">
        <v>45321</v>
      </c>
      <c r="C19" s="160">
        <v>1</v>
      </c>
      <c r="D19" s="334">
        <v>6</v>
      </c>
      <c r="E19" s="335">
        <v>398</v>
      </c>
      <c r="F19" s="336">
        <v>30616031143</v>
      </c>
      <c r="G19" s="337" t="str">
        <f>IFERROR(IF(compras_mes1[[#This Row],[CUIT]]="","-",VLOOKUP(compras_mes1[[#This Row],[CUIT]],Lista_CUIT[#All],2,0)),"CUIT NO CARGADO")</f>
        <v>TRAFE SUDAMERICANA SA</v>
      </c>
      <c r="H19" s="338">
        <v>2479.34</v>
      </c>
      <c r="I19" s="339">
        <f>IF(compras_mes1[[#This Row],[NETO GRAVADO]]="","",compras_mes1[[#This Row],[NETO GRAVADO]]*0.21)</f>
        <v>520.66139999999996</v>
      </c>
      <c r="J19" s="339"/>
      <c r="K19" s="339"/>
      <c r="L19" s="339"/>
      <c r="M19" s="339"/>
      <c r="N19" s="339"/>
      <c r="O19" s="339"/>
      <c r="P19" s="340">
        <f>SUM(compras_mes1[[#This Row],[NETO GRAVADO]:[Otros / No Grav.]])</f>
        <v>3000.0014000000001</v>
      </c>
      <c r="Q19" s="337" t="str">
        <f>IFERROR(IF(compras_mes1[[#This Row],[CUIT]]="","-",VLOOKUP(compras_mes1[[#This Row],[CUIT]],Lista_CUIT[#All],3,0)),"CUIT NO CARGADO")</f>
        <v>COMBUSTIBLE</v>
      </c>
      <c r="R19" s="341">
        <f>IFERROR(IF(compras_mes1[[#This Row],[CUIT]]="","-",VLOOKUP(compras_mes1[[#This Row],[CUIT]],Lista_CUIT[#All],4,0)),"CUIT NO CARGADO")</f>
        <v>0</v>
      </c>
    </row>
    <row r="20" spans="2:18" ht="15" customHeight="1">
      <c r="B20" s="323">
        <v>45299</v>
      </c>
      <c r="C20" s="324">
        <v>1</v>
      </c>
      <c r="D20" s="325">
        <v>9060</v>
      </c>
      <c r="E20" s="326">
        <v>19908</v>
      </c>
      <c r="F20" s="327">
        <v>30678774495</v>
      </c>
      <c r="G20" s="328" t="str">
        <f>IFERROR(IF(compras_mes1[[#This Row],[CUIT]]="","-",VLOOKUP(compras_mes1[[#This Row],[CUIT]],Lista_CUIT[#All],2,0)),"CUIT NO CARGADO")</f>
        <v>OPER. DE EST. DE SERV. SA</v>
      </c>
      <c r="H20" s="329">
        <v>29989.919999999998</v>
      </c>
      <c r="I20" s="330">
        <f>IF(compras_mes1[[#This Row],[NETO GRAVADO]]="","",compras_mes1[[#This Row],[NETO GRAVADO]]*0.21)</f>
        <v>6297.8831999999993</v>
      </c>
      <c r="J20" s="330"/>
      <c r="K20" s="330"/>
      <c r="L20" s="330"/>
      <c r="M20" s="330"/>
      <c r="N20" s="330"/>
      <c r="O20" s="330">
        <v>1218.17</v>
      </c>
      <c r="P20" s="331">
        <f>SUM(compras_mes1[[#This Row],[NETO GRAVADO]:[Otros / No Grav.]])</f>
        <v>37505.973199999993</v>
      </c>
      <c r="Q20" s="328" t="str">
        <f>IFERROR(IF(compras_mes1[[#This Row],[CUIT]]="","-",VLOOKUP(compras_mes1[[#This Row],[CUIT]],Lista_CUIT[#All],3,0)),"CUIT NO CARGADO")</f>
        <v>COMBUSTIBLE</v>
      </c>
      <c r="R20" s="332">
        <f>IFERROR(IF(compras_mes1[[#This Row],[CUIT]]="","-",VLOOKUP(compras_mes1[[#This Row],[CUIT]],Lista_CUIT[#All],4,0)),"CUIT NO CARGADO")</f>
        <v>0</v>
      </c>
    </row>
    <row r="21" spans="2:18" ht="15" customHeight="1">
      <c r="B21" s="333">
        <v>45300</v>
      </c>
      <c r="C21" s="160">
        <v>1</v>
      </c>
      <c r="D21" s="334">
        <v>7076</v>
      </c>
      <c r="E21" s="335">
        <v>32387</v>
      </c>
      <c r="F21" s="336">
        <v>30678774495</v>
      </c>
      <c r="G21" s="337" t="str">
        <f>IFERROR(IF(compras_mes1[[#This Row],[CUIT]]="","-",VLOOKUP(compras_mes1[[#This Row],[CUIT]],Lista_CUIT[#All],2,0)),"CUIT NO CARGADO")</f>
        <v>OPER. DE EST. DE SERV. SA</v>
      </c>
      <c r="H21" s="338">
        <v>25196.52</v>
      </c>
      <c r="I21" s="339">
        <f>IF(compras_mes1[[#This Row],[NETO GRAVADO]]="","",compras_mes1[[#This Row],[NETO GRAVADO]]*0.21)</f>
        <v>5291.2691999999997</v>
      </c>
      <c r="J21" s="339"/>
      <c r="K21" s="339"/>
      <c r="L21" s="339"/>
      <c r="M21" s="339"/>
      <c r="N21" s="339"/>
      <c r="O21" s="339">
        <v>528.16</v>
      </c>
      <c r="P21" s="340">
        <f>SUM(compras_mes1[[#This Row],[NETO GRAVADO]:[Otros / No Grav.]])</f>
        <v>31015.949199999999</v>
      </c>
      <c r="Q21" s="337" t="str">
        <f>IFERROR(IF(compras_mes1[[#This Row],[CUIT]]="","-",VLOOKUP(compras_mes1[[#This Row],[CUIT]],Lista_CUIT[#All],3,0)),"CUIT NO CARGADO")</f>
        <v>COMBUSTIBLE</v>
      </c>
      <c r="R21" s="341">
        <f>IFERROR(IF(compras_mes1[[#This Row],[CUIT]]="","-",VLOOKUP(compras_mes1[[#This Row],[CUIT]],Lista_CUIT[#All],4,0)),"CUIT NO CARGADO")</f>
        <v>0</v>
      </c>
    </row>
    <row r="22" spans="2:18" ht="15" customHeight="1">
      <c r="B22" s="333">
        <v>45304</v>
      </c>
      <c r="C22" s="160">
        <v>1</v>
      </c>
      <c r="D22" s="334">
        <v>207</v>
      </c>
      <c r="E22" s="335">
        <v>20342</v>
      </c>
      <c r="F22" s="336">
        <v>30715458175</v>
      </c>
      <c r="G22" s="337" t="str">
        <f>IFERROR(IF(compras_mes1[[#This Row],[CUIT]]="","-",VLOOKUP(compras_mes1[[#This Row],[CUIT]],Lista_CUIT[#All],2,0)),"CUIT NO CARGADO")</f>
        <v>ROCCA SUR S.R.L</v>
      </c>
      <c r="H22" s="338">
        <v>20056.349999999999</v>
      </c>
      <c r="I22" s="339">
        <f>IF(compras_mes1[[#This Row],[NETO GRAVADO]]="","",compras_mes1[[#This Row],[NETO GRAVADO]]*0.21)</f>
        <v>4211.8334999999997</v>
      </c>
      <c r="J22" s="339"/>
      <c r="K22" s="339"/>
      <c r="L22" s="339"/>
      <c r="M22" s="339"/>
      <c r="N22" s="339"/>
      <c r="O22" s="339">
        <v>57.81</v>
      </c>
      <c r="P22" s="340">
        <f>SUM(compras_mes1[[#This Row],[NETO GRAVADO]:[Otros / No Grav.]])</f>
        <v>24325.9935</v>
      </c>
      <c r="Q22" s="337" t="str">
        <f>IFERROR(IF(compras_mes1[[#This Row],[CUIT]]="","-",VLOOKUP(compras_mes1[[#This Row],[CUIT]],Lista_CUIT[#All],3,0)),"CUIT NO CARGADO")</f>
        <v>COMBUSTIBLE</v>
      </c>
      <c r="R22" s="341">
        <f>IFERROR(IF(compras_mes1[[#This Row],[CUIT]]="","-",VLOOKUP(compras_mes1[[#This Row],[CUIT]],Lista_CUIT[#All],4,0)),"CUIT NO CARGADO")</f>
        <v>0</v>
      </c>
    </row>
    <row r="23" spans="2:18">
      <c r="B23" s="323">
        <v>45310</v>
      </c>
      <c r="C23" s="324">
        <v>1</v>
      </c>
      <c r="D23" s="325">
        <v>78</v>
      </c>
      <c r="E23" s="326">
        <v>3490</v>
      </c>
      <c r="F23" s="327">
        <v>33714877769</v>
      </c>
      <c r="G23" s="328" t="str">
        <f>IFERROR(IF(compras_mes1[[#This Row],[CUIT]]="","-",VLOOKUP(compras_mes1[[#This Row],[CUIT]],Lista_CUIT[#All],2,0)),"CUIT NO CARGADO")</f>
        <v>Fgc Fuels Marketing SA</v>
      </c>
      <c r="H23" s="329">
        <v>18351.37</v>
      </c>
      <c r="I23" s="330">
        <f>IF(compras_mes1[[#This Row],[NETO GRAVADO]]="","",compras_mes1[[#This Row],[NETO GRAVADO]]*0.21)</f>
        <v>3853.7876999999999</v>
      </c>
      <c r="J23" s="330"/>
      <c r="K23" s="330"/>
      <c r="L23" s="330"/>
      <c r="M23" s="330"/>
      <c r="N23" s="330"/>
      <c r="O23" s="330">
        <v>365.82</v>
      </c>
      <c r="P23" s="331">
        <f>SUM(compras_mes1[[#This Row],[NETO GRAVADO]:[Otros / No Grav.]])</f>
        <v>22570.977699999999</v>
      </c>
      <c r="Q23" s="328" t="str">
        <f>IFERROR(IF(compras_mes1[[#This Row],[CUIT]]="","-",VLOOKUP(compras_mes1[[#This Row],[CUIT]],Lista_CUIT[#All],3,0)),"CUIT NO CARGADO")</f>
        <v>COMBUSTIBLE</v>
      </c>
      <c r="R23" s="332">
        <f>IFERROR(IF(compras_mes1[[#This Row],[CUIT]]="","-",VLOOKUP(compras_mes1[[#This Row],[CUIT]],Lista_CUIT[#All],4,0)),"CUIT NO CARGADO")</f>
        <v>0</v>
      </c>
    </row>
    <row r="24" spans="2:18">
      <c r="B24" s="323">
        <v>45314</v>
      </c>
      <c r="C24" s="324">
        <v>1</v>
      </c>
      <c r="D24" s="325">
        <v>9040</v>
      </c>
      <c r="E24" s="326">
        <v>20971</v>
      </c>
      <c r="F24" s="327">
        <v>30678774495</v>
      </c>
      <c r="G24" s="328" t="str">
        <f>IFERROR(IF(compras_mes1[[#This Row],[CUIT]]="","-",VLOOKUP(compras_mes1[[#This Row],[CUIT]],Lista_CUIT[#All],2,0)),"CUIT NO CARGADO")</f>
        <v>OPER. DE EST. DE SERV. SA</v>
      </c>
      <c r="H24" s="329">
        <v>20301.11</v>
      </c>
      <c r="I24" s="330">
        <f>IF(compras_mes1[[#This Row],[NETO GRAVADO]]="","",compras_mes1[[#This Row],[NETO GRAVADO]]*0.21)</f>
        <v>4263.2331000000004</v>
      </c>
      <c r="J24" s="330"/>
      <c r="K24" s="330"/>
      <c r="L24" s="330"/>
      <c r="M24" s="330"/>
      <c r="N24" s="330"/>
      <c r="O24" s="330">
        <v>435.66</v>
      </c>
      <c r="P24" s="331">
        <f>SUM(compras_mes1[[#This Row],[NETO GRAVADO]:[Otros / No Grav.]])</f>
        <v>25000.003100000002</v>
      </c>
      <c r="Q24" s="328" t="str">
        <f>IFERROR(IF(compras_mes1[[#This Row],[CUIT]]="","-",VLOOKUP(compras_mes1[[#This Row],[CUIT]],Lista_CUIT[#All],3,0)),"CUIT NO CARGADO")</f>
        <v>COMBUSTIBLE</v>
      </c>
      <c r="R24" s="332">
        <f>IFERROR(IF(compras_mes1[[#This Row],[CUIT]]="","-",VLOOKUP(compras_mes1[[#This Row],[CUIT]],Lista_CUIT[#All],4,0)),"CUIT NO CARGADO")</f>
        <v>0</v>
      </c>
    </row>
    <row r="25" spans="2:18">
      <c r="B25" s="323">
        <v>45315</v>
      </c>
      <c r="C25" s="324">
        <v>1</v>
      </c>
      <c r="D25" s="325">
        <v>1</v>
      </c>
      <c r="E25" s="326">
        <v>1987</v>
      </c>
      <c r="F25" s="327">
        <v>30717179389</v>
      </c>
      <c r="G25" s="328" t="str">
        <f>IFERROR(IF(compras_mes1[[#This Row],[CUIT]]="","-",VLOOKUP(compras_mes1[[#This Row],[CUIT]],Lista_CUIT[#All],2,0)),"CUIT NO CARGADO")</f>
        <v>NICOLAS TOBIAS SEQUEIRA Y MARIA GABRIELA RATTNER SOCIEDAD DE LA SECCION IV LGS</v>
      </c>
      <c r="H25" s="329">
        <v>30578.51</v>
      </c>
      <c r="I25" s="330">
        <f>IF(compras_mes1[[#This Row],[NETO GRAVADO]]="","",compras_mes1[[#This Row],[NETO GRAVADO]]*0.21)</f>
        <v>6421.4870999999994</v>
      </c>
      <c r="J25" s="330"/>
      <c r="K25" s="330"/>
      <c r="L25" s="330"/>
      <c r="M25" s="330"/>
      <c r="N25" s="330"/>
      <c r="O25" s="330"/>
      <c r="P25" s="331">
        <f>SUM(compras_mes1[[#This Row],[NETO GRAVADO]:[Otros / No Grav.]])</f>
        <v>36999.997100000001</v>
      </c>
      <c r="Q25" s="328" t="str">
        <f>IFERROR(IF(compras_mes1[[#This Row],[CUIT]]="","-",VLOOKUP(compras_mes1[[#This Row],[CUIT]],Lista_CUIT[#All],3,0)),"CUIT NO CARGADO")</f>
        <v>COMBUSTIBLE</v>
      </c>
      <c r="R25" s="332">
        <f>IFERROR(IF(compras_mes1[[#This Row],[CUIT]]="","-",VLOOKUP(compras_mes1[[#This Row],[CUIT]],Lista_CUIT[#All],4,0)),"CUIT NO CARGADO")</f>
        <v>0</v>
      </c>
    </row>
    <row r="26" spans="2:18">
      <c r="B26" s="333">
        <v>45315</v>
      </c>
      <c r="C26" s="160">
        <v>1</v>
      </c>
      <c r="D26" s="334">
        <v>5</v>
      </c>
      <c r="E26" s="335">
        <v>630</v>
      </c>
      <c r="F26" s="336">
        <v>30717179389</v>
      </c>
      <c r="G26" s="337" t="str">
        <f>IFERROR(IF(compras_mes1[[#This Row],[CUIT]]="","-",VLOOKUP(compras_mes1[[#This Row],[CUIT]],Lista_CUIT[#All],2,0)),"CUIT NO CARGADO")</f>
        <v>NICOLAS TOBIAS SEQUEIRA Y MARIA GABRIELA RATTNER SOCIEDAD DE LA SECCION IV LGS</v>
      </c>
      <c r="H26" s="338">
        <v>30578.51</v>
      </c>
      <c r="I26" s="339">
        <f>IF(compras_mes1[[#This Row],[NETO GRAVADO]]="","",compras_mes1[[#This Row],[NETO GRAVADO]]*0.21)</f>
        <v>6421.4870999999994</v>
      </c>
      <c r="J26" s="339"/>
      <c r="K26" s="339"/>
      <c r="L26" s="339"/>
      <c r="M26" s="339"/>
      <c r="N26" s="339"/>
      <c r="O26" s="339"/>
      <c r="P26" s="340">
        <f>SUM(compras_mes1[[#This Row],[NETO GRAVADO]:[Otros / No Grav.]])</f>
        <v>36999.997100000001</v>
      </c>
      <c r="Q26" s="337" t="str">
        <f>IFERROR(IF(compras_mes1[[#This Row],[CUIT]]="","-",VLOOKUP(compras_mes1[[#This Row],[CUIT]],Lista_CUIT[#All],3,0)),"CUIT NO CARGADO")</f>
        <v>COMBUSTIBLE</v>
      </c>
      <c r="R26" s="341">
        <f>IFERROR(IF(compras_mes1[[#This Row],[CUIT]]="","-",VLOOKUP(compras_mes1[[#This Row],[CUIT]],Lista_CUIT[#All],4,0)),"CUIT NO CARGADO")</f>
        <v>0</v>
      </c>
    </row>
    <row r="27" spans="2:18">
      <c r="B27" s="323">
        <v>45316</v>
      </c>
      <c r="C27" s="324">
        <v>1</v>
      </c>
      <c r="D27" s="325">
        <v>6</v>
      </c>
      <c r="E27" s="326">
        <v>16767</v>
      </c>
      <c r="F27" s="327">
        <v>33715594949</v>
      </c>
      <c r="G27" s="328" t="str">
        <f>IFERROR(IF(compras_mes1[[#This Row],[CUIT]]="","-",VLOOKUP(compras_mes1[[#This Row],[CUIT]],Lista_CUIT[#All],2,0)),"CUIT NO CARGADO")</f>
        <v>SOMOS ENERGIA SA</v>
      </c>
      <c r="H27" s="329">
        <v>24391.54</v>
      </c>
      <c r="I27" s="330">
        <f>IF(compras_mes1[[#This Row],[NETO GRAVADO]]="","",compras_mes1[[#This Row],[NETO GRAVADO]]*0.21)</f>
        <v>5122.2233999999999</v>
      </c>
      <c r="J27" s="330"/>
      <c r="K27" s="330"/>
      <c r="L27" s="330"/>
      <c r="M27" s="330"/>
      <c r="N27" s="330"/>
      <c r="O27" s="330">
        <v>486.22</v>
      </c>
      <c r="P27" s="331">
        <f>SUM(compras_mes1[[#This Row],[NETO GRAVADO]:[Otros / No Grav.]])</f>
        <v>29999.983400000001</v>
      </c>
      <c r="Q27" s="328" t="str">
        <f>IFERROR(IF(compras_mes1[[#This Row],[CUIT]]="","-",VLOOKUP(compras_mes1[[#This Row],[CUIT]],Lista_CUIT[#All],3,0)),"CUIT NO CARGADO")</f>
        <v>COMBUSTIBLE</v>
      </c>
      <c r="R27" s="332">
        <f>IFERROR(IF(compras_mes1[[#This Row],[CUIT]]="","-",VLOOKUP(compras_mes1[[#This Row],[CUIT]],Lista_CUIT[#All],4,0)),"CUIT NO CARGADO")</f>
        <v>0</v>
      </c>
    </row>
    <row r="28" spans="2:18">
      <c r="B28" s="323">
        <v>45322</v>
      </c>
      <c r="C28" s="324">
        <v>1</v>
      </c>
      <c r="D28" s="325">
        <v>9040</v>
      </c>
      <c r="E28" s="326">
        <v>21218</v>
      </c>
      <c r="F28" s="327">
        <v>30678774495</v>
      </c>
      <c r="G28" s="328" t="str">
        <f>IFERROR(IF(compras_mes1[[#This Row],[CUIT]]="","-",VLOOKUP(compras_mes1[[#This Row],[CUIT]],Lista_CUIT[#All],2,0)),"CUIT NO CARGADO")</f>
        <v>OPER. DE EST. DE SERV. SA</v>
      </c>
      <c r="H28" s="329">
        <v>49207.89</v>
      </c>
      <c r="I28" s="330">
        <f>IF(compras_mes1[[#This Row],[NETO GRAVADO]]="","",compras_mes1[[#This Row],[NETO GRAVADO]]*0.21)</f>
        <v>10333.6569</v>
      </c>
      <c r="J28" s="330"/>
      <c r="K28" s="330"/>
      <c r="L28" s="330"/>
      <c r="M28" s="330"/>
      <c r="N28" s="330"/>
      <c r="O28" s="330">
        <v>1059.42</v>
      </c>
      <c r="P28" s="331">
        <f>SUM(compras_mes1[[#This Row],[NETO GRAVADO]:[Otros / No Grav.]])</f>
        <v>60600.966899999999</v>
      </c>
      <c r="Q28" s="328" t="str">
        <f>IFERROR(IF(compras_mes1[[#This Row],[CUIT]]="","-",VLOOKUP(compras_mes1[[#This Row],[CUIT]],Lista_CUIT[#All],3,0)),"CUIT NO CARGADO")</f>
        <v>COMBUSTIBLE</v>
      </c>
      <c r="R28" s="332">
        <f>IFERROR(IF(compras_mes1[[#This Row],[CUIT]]="","-",VLOOKUP(compras_mes1[[#This Row],[CUIT]],Lista_CUIT[#All],4,0)),"CUIT NO CARGADO")</f>
        <v>0</v>
      </c>
    </row>
    <row r="29" spans="2:18">
      <c r="B29" s="323">
        <v>45313</v>
      </c>
      <c r="C29" s="324">
        <v>1</v>
      </c>
      <c r="D29" s="325">
        <v>4</v>
      </c>
      <c r="E29" s="326">
        <v>116</v>
      </c>
      <c r="F29" s="327">
        <v>30714618586</v>
      </c>
      <c r="G29" s="328" t="str">
        <f>IFERROR(IF(compras_mes1[[#This Row],[CUIT]]="","-",VLOOKUP(compras_mes1[[#This Row],[CUIT]],Lista_CUIT[#All],2,0)),"CUIT NO CARGADO")</f>
        <v>ZELUCASH SA</v>
      </c>
      <c r="H29" s="329">
        <v>164876.03</v>
      </c>
      <c r="I29" s="330">
        <f>IF(compras_mes1[[#This Row],[NETO GRAVADO]]="","",compras_mes1[[#This Row],[NETO GRAVADO]]*0.21)</f>
        <v>34623.9663</v>
      </c>
      <c r="J29" s="330"/>
      <c r="K29" s="330"/>
      <c r="L29" s="330"/>
      <c r="M29" s="330"/>
      <c r="N29" s="330"/>
      <c r="O29" s="330"/>
      <c r="P29" s="331">
        <f>SUM(compras_mes1[[#This Row],[NETO GRAVADO]:[Otros / No Grav.]])</f>
        <v>199499.9963</v>
      </c>
      <c r="Q29" s="328" t="str">
        <f>IFERROR(IF(compras_mes1[[#This Row],[CUIT]]="","-",VLOOKUP(compras_mes1[[#This Row],[CUIT]],Lista_CUIT[#All],3,0)),"CUIT NO CARGADO")</f>
        <v>Gastos Varios</v>
      </c>
      <c r="R29" s="332">
        <f>IFERROR(IF(compras_mes1[[#This Row],[CUIT]]="","-",VLOOKUP(compras_mes1[[#This Row],[CUIT]],Lista_CUIT[#All],4,0)),"CUIT NO CARGADO")</f>
        <v>0</v>
      </c>
    </row>
    <row r="30" spans="2:18" s="56" customFormat="1">
      <c r="B30" s="323">
        <v>45293</v>
      </c>
      <c r="C30" s="324">
        <v>1</v>
      </c>
      <c r="D30" s="325">
        <v>3</v>
      </c>
      <c r="E30" s="326">
        <v>125</v>
      </c>
      <c r="F30" s="327">
        <v>20334976433</v>
      </c>
      <c r="G30" s="328" t="str">
        <f>IFERROR(IF(compras_mes1[[#This Row],[CUIT]]="","-",VLOOKUP(compras_mes1[[#This Row],[CUIT]],Lista_CUIT[#All],2,0)),"CUIT NO CARGADO")</f>
        <v>NARDOMARINO EZEQUIEL EDUARDO</v>
      </c>
      <c r="H30" s="329">
        <v>97749.57</v>
      </c>
      <c r="I30" s="330">
        <f>IF(compras_mes1[[#This Row],[NETO GRAVADO]]="","",compras_mes1[[#This Row],[NETO GRAVADO]]*0.21)</f>
        <v>20527.4097</v>
      </c>
      <c r="J30" s="330"/>
      <c r="K30" s="330"/>
      <c r="L30" s="330"/>
      <c r="M30" s="330"/>
      <c r="N30" s="330"/>
      <c r="O30" s="330"/>
      <c r="P30" s="331">
        <f>SUM(compras_mes1[[#This Row],[NETO GRAVADO]:[Otros / No Grav.]])</f>
        <v>118276.97970000001</v>
      </c>
      <c r="Q30" s="328" t="str">
        <f>IFERROR(IF(compras_mes1[[#This Row],[CUIT]]="","-",VLOOKUP(compras_mes1[[#This Row],[CUIT]],Lista_CUIT[#All],3,0)),"CUIT NO CARGADO")</f>
        <v>FLETE</v>
      </c>
      <c r="R30" s="332">
        <f>IFERROR(IF(compras_mes1[[#This Row],[CUIT]]="","-",VLOOKUP(compras_mes1[[#This Row],[CUIT]],Lista_CUIT[#All],4,0)),"CUIT NO CARGADO")</f>
        <v>0</v>
      </c>
    </row>
    <row r="31" spans="2:18">
      <c r="B31" s="323">
        <v>45306</v>
      </c>
      <c r="C31" s="324">
        <v>1</v>
      </c>
      <c r="D31" s="325">
        <v>3</v>
      </c>
      <c r="E31" s="326">
        <v>129</v>
      </c>
      <c r="F31" s="327">
        <v>20334976433</v>
      </c>
      <c r="G31" s="328" t="str">
        <f>IFERROR(IF(compras_mes1[[#This Row],[CUIT]]="","-",VLOOKUP(compras_mes1[[#This Row],[CUIT]],Lista_CUIT[#All],2,0)),"CUIT NO CARGADO")</f>
        <v>NARDOMARINO EZEQUIEL EDUARDO</v>
      </c>
      <c r="H31" s="329">
        <v>280163.24</v>
      </c>
      <c r="I31" s="330">
        <f>IF(compras_mes1[[#This Row],[NETO GRAVADO]]="","",compras_mes1[[#This Row],[NETO GRAVADO]]*0.21)</f>
        <v>58834.280399999996</v>
      </c>
      <c r="J31" s="330"/>
      <c r="K31" s="330"/>
      <c r="L31" s="330"/>
      <c r="M31" s="330"/>
      <c r="N31" s="330"/>
      <c r="O31" s="330"/>
      <c r="P31" s="331">
        <f>SUM(compras_mes1[[#This Row],[NETO GRAVADO]:[Otros / No Grav.]])</f>
        <v>338997.52039999998</v>
      </c>
      <c r="Q31" s="328" t="str">
        <f>IFERROR(IF(compras_mes1[[#This Row],[CUIT]]="","-",VLOOKUP(compras_mes1[[#This Row],[CUIT]],Lista_CUIT[#All],3,0)),"CUIT NO CARGADO")</f>
        <v>FLETE</v>
      </c>
      <c r="R31" s="332">
        <f>IFERROR(IF(compras_mes1[[#This Row],[CUIT]]="","-",VLOOKUP(compras_mes1[[#This Row],[CUIT]],Lista_CUIT[#All],4,0)),"CUIT NO CARGADO")</f>
        <v>0</v>
      </c>
    </row>
    <row r="32" spans="2:18">
      <c r="B32" s="323">
        <v>45313</v>
      </c>
      <c r="C32" s="324">
        <v>1</v>
      </c>
      <c r="D32" s="325">
        <v>3</v>
      </c>
      <c r="E32" s="326">
        <v>131</v>
      </c>
      <c r="F32" s="327">
        <v>20334976433</v>
      </c>
      <c r="G32" s="328" t="str">
        <f>IFERROR(IF(compras_mes1[[#This Row],[CUIT]]="","-",VLOOKUP(compras_mes1[[#This Row],[CUIT]],Lista_CUIT[#All],2,0)),"CUIT NO CARGADO")</f>
        <v>NARDOMARINO EZEQUIEL EDUARDO</v>
      </c>
      <c r="H32" s="329">
        <v>384826.05</v>
      </c>
      <c r="I32" s="330">
        <f>IF(compras_mes1[[#This Row],[NETO GRAVADO]]="","",compras_mes1[[#This Row],[NETO GRAVADO]]*0.21)</f>
        <v>80813.470499999996</v>
      </c>
      <c r="J32" s="330"/>
      <c r="K32" s="330"/>
      <c r="L32" s="330"/>
      <c r="M32" s="330"/>
      <c r="N32" s="330"/>
      <c r="O32" s="330"/>
      <c r="P32" s="331">
        <f>SUM(compras_mes1[[#This Row],[NETO GRAVADO]:[Otros / No Grav.]])</f>
        <v>465639.52049999998</v>
      </c>
      <c r="Q32" s="328" t="str">
        <f>IFERROR(IF(compras_mes1[[#This Row],[CUIT]]="","-",VLOOKUP(compras_mes1[[#This Row],[CUIT]],Lista_CUIT[#All],3,0)),"CUIT NO CARGADO")</f>
        <v>FLETE</v>
      </c>
      <c r="R32" s="332">
        <f>IFERROR(IF(compras_mes1[[#This Row],[CUIT]]="","-",VLOOKUP(compras_mes1[[#This Row],[CUIT]],Lista_CUIT[#All],4,0)),"CUIT NO CARGADO")</f>
        <v>0</v>
      </c>
    </row>
    <row r="33" spans="2:18">
      <c r="B33" s="333">
        <v>45293</v>
      </c>
      <c r="C33" s="160">
        <v>1</v>
      </c>
      <c r="D33" s="334">
        <v>500</v>
      </c>
      <c r="E33" s="335">
        <v>1475676</v>
      </c>
      <c r="F33" s="336">
        <v>30654118767</v>
      </c>
      <c r="G33" s="337" t="str">
        <f>IFERROR(IF(compras_mes1[[#This Row],[CUIT]]="","-",VLOOKUP(compras_mes1[[#This Row],[CUIT]],Lista_CUIT[#All],2,0)),"CUIT NO CARGADO")</f>
        <v>SOLUCIONES MULTIMEDIA SA</v>
      </c>
      <c r="H33" s="338">
        <v>31136.73</v>
      </c>
      <c r="I33" s="339">
        <f>IF(compras_mes1[[#This Row],[NETO GRAVADO]]="","",compras_mes1[[#This Row],[NETO GRAVADO]]*0.21)</f>
        <v>6538.7132999999994</v>
      </c>
      <c r="J33" s="339"/>
      <c r="K33" s="339"/>
      <c r="L33" s="339"/>
      <c r="M33" s="339"/>
      <c r="N33" s="339">
        <v>1245.47</v>
      </c>
      <c r="O33" s="339"/>
      <c r="P33" s="340">
        <f>SUM(compras_mes1[[#This Row],[NETO GRAVADO]:[Otros / No Grav.]])</f>
        <v>38920.9133</v>
      </c>
      <c r="Q33" s="337" t="str">
        <f>IFERROR(IF(compras_mes1[[#This Row],[CUIT]]="","-",VLOOKUP(compras_mes1[[#This Row],[CUIT]],Lista_CUIT[#All],3,0)),"CUIT NO CARGADO")</f>
        <v>GASTOS ADMINISTRATIVOS</v>
      </c>
      <c r="R33" s="341">
        <f>IFERROR(IF(compras_mes1[[#This Row],[CUIT]]="","-",VLOOKUP(compras_mes1[[#This Row],[CUIT]],Lista_CUIT[#All],4,0)),"CUIT NO CARGADO")</f>
        <v>0</v>
      </c>
    </row>
    <row r="34" spans="2:18">
      <c r="B34" s="333">
        <v>45320</v>
      </c>
      <c r="C34" s="160">
        <v>1</v>
      </c>
      <c r="D34" s="334">
        <v>23</v>
      </c>
      <c r="E34" s="335">
        <v>2053161</v>
      </c>
      <c r="F34" s="336">
        <v>30703088534</v>
      </c>
      <c r="G34" s="337" t="str">
        <f>IFERROR(IF(compras_mes1[[#This Row],[CUIT]]="","-",VLOOKUP(compras_mes1[[#This Row],[CUIT]],Lista_CUIT[#All],2,0)),"CUIT NO CARGADO")</f>
        <v>MERCADO LIBRE SRL</v>
      </c>
      <c r="H34" s="338">
        <v>19035.93</v>
      </c>
      <c r="I34" s="339">
        <f>IF(compras_mes1[[#This Row],[NETO GRAVADO]]="","",compras_mes1[[#This Row],[NETO GRAVADO]]*0.21)</f>
        <v>3997.5452999999998</v>
      </c>
      <c r="J34" s="339"/>
      <c r="K34" s="339"/>
      <c r="L34" s="339"/>
      <c r="M34" s="339"/>
      <c r="N34" s="339"/>
      <c r="O34" s="339">
        <v>1332.52</v>
      </c>
      <c r="P34" s="340">
        <f>SUM(compras_mes1[[#This Row],[NETO GRAVADO]:[Otros / No Grav.]])</f>
        <v>24365.995299999999</v>
      </c>
      <c r="Q34" s="337" t="str">
        <f>IFERROR(IF(compras_mes1[[#This Row],[CUIT]]="","-",VLOOKUP(compras_mes1[[#This Row],[CUIT]],Lista_CUIT[#All],3,0)),"CUIT NO CARGADO")</f>
        <v>GASTOS COMERCIALIZACION</v>
      </c>
      <c r="R34" s="341">
        <f>IFERROR(IF(compras_mes1[[#This Row],[CUIT]]="","-",VLOOKUP(compras_mes1[[#This Row],[CUIT]],Lista_CUIT[#All],4,0)),"CUIT NO CARGADO")</f>
        <v>0</v>
      </c>
    </row>
    <row r="35" spans="2:18">
      <c r="B35" s="333">
        <v>45303</v>
      </c>
      <c r="C35" s="160">
        <v>1</v>
      </c>
      <c r="D35" s="334">
        <v>4</v>
      </c>
      <c r="E35" s="335">
        <v>7913</v>
      </c>
      <c r="F35" s="336">
        <v>20229905199</v>
      </c>
      <c r="G35" s="337" t="str">
        <f>IFERROR(IF(compras_mes1[[#This Row],[CUIT]]="","-",VLOOKUP(compras_mes1[[#This Row],[CUIT]],Lista_CUIT[#All],2,0)),"CUIT NO CARGADO")</f>
        <v>SURDO HERNAN OMAR</v>
      </c>
      <c r="H35" s="338">
        <v>4033</v>
      </c>
      <c r="I35" s="339">
        <f>IF(compras_mes1[[#This Row],[NETO GRAVADO]]="","",compras_mes1[[#This Row],[NETO GRAVADO]]*0.21)</f>
        <v>846.93</v>
      </c>
      <c r="J35" s="339"/>
      <c r="K35" s="339"/>
      <c r="L35" s="339"/>
      <c r="M35" s="339"/>
      <c r="N35" s="339"/>
      <c r="O35" s="339"/>
      <c r="P35" s="340">
        <f>SUM(compras_mes1[[#This Row],[NETO GRAVADO]:[Otros / No Grav.]])</f>
        <v>4879.93</v>
      </c>
      <c r="Q35" s="337" t="str">
        <f>IFERROR(IF(compras_mes1[[#This Row],[CUIT]]="","-",VLOOKUP(compras_mes1[[#This Row],[CUIT]],Lista_CUIT[#All],3,0)),"CUIT NO CARGADO")</f>
        <v>MANTENIMIENTO</v>
      </c>
      <c r="R35" s="341">
        <f>IFERROR(IF(compras_mes1[[#This Row],[CUIT]]="","-",VLOOKUP(compras_mes1[[#This Row],[CUIT]],Lista_CUIT[#All],4,0)),"CUIT NO CARGADO")</f>
        <v>0</v>
      </c>
    </row>
    <row r="36" spans="2:18">
      <c r="B36" s="323">
        <v>45309</v>
      </c>
      <c r="C36" s="324">
        <v>1</v>
      </c>
      <c r="D36" s="325">
        <v>120</v>
      </c>
      <c r="E36" s="326">
        <v>3949</v>
      </c>
      <c r="F36" s="327">
        <v>30587197215</v>
      </c>
      <c r="G36" s="328" t="str">
        <f>IFERROR(IF(compras_mes1[[#This Row],[CUIT]]="","-",VLOOKUP(compras_mes1[[#This Row],[CUIT]],Lista_CUIT[#All],2,0)),"CUIT NO CARGADO")</f>
        <v>PANATEL SOCIEDAD ANONIMA</v>
      </c>
      <c r="H36" s="329">
        <v>42148.76</v>
      </c>
      <c r="I36" s="330">
        <f>IF(compras_mes1[[#This Row],[NETO GRAVADO]]="","",compras_mes1[[#This Row],[NETO GRAVADO]]*0.21)</f>
        <v>8851.2396000000008</v>
      </c>
      <c r="J36" s="330"/>
      <c r="K36" s="330"/>
      <c r="L36" s="330"/>
      <c r="M36" s="330"/>
      <c r="N36" s="330"/>
      <c r="O36" s="330"/>
      <c r="P36" s="331">
        <f>SUM(compras_mes1[[#This Row],[NETO GRAVADO]:[Otros / No Grav.]])</f>
        <v>50999.999600000003</v>
      </c>
      <c r="Q36" s="328" t="str">
        <f>IFERROR(IF(compras_mes1[[#This Row],[CUIT]]="","-",VLOOKUP(compras_mes1[[#This Row],[CUIT]],Lista_CUIT[#All],3,0)),"CUIT NO CARGADO")</f>
        <v>Gastos Varios</v>
      </c>
      <c r="R36" s="332">
        <f>IFERROR(IF(compras_mes1[[#This Row],[CUIT]]="","-",VLOOKUP(compras_mes1[[#This Row],[CUIT]],Lista_CUIT[#All],4,0)),"CUIT NO CARGADO")</f>
        <v>0</v>
      </c>
    </row>
    <row r="37" spans="2:18">
      <c r="B37" s="323">
        <v>45317</v>
      </c>
      <c r="C37" s="324">
        <v>1</v>
      </c>
      <c r="D37" s="325">
        <v>3</v>
      </c>
      <c r="E37" s="326">
        <v>6557</v>
      </c>
      <c r="F37" s="327">
        <v>33708218699</v>
      </c>
      <c r="G37" s="328" t="str">
        <f>IFERROR(IF(compras_mes1[[#This Row],[CUIT]]="","-",VLOOKUP(compras_mes1[[#This Row],[CUIT]],Lista_CUIT[#All],2,0)),"CUIT NO CARGADO")</f>
        <v>MANGGINI PABLO Y MANGGINI ULISES SOC. DE HECHO.</v>
      </c>
      <c r="H37" s="329">
        <v>8000</v>
      </c>
      <c r="I37" s="330">
        <f>IF(compras_mes1[[#This Row],[NETO GRAVADO]]="","",compras_mes1[[#This Row],[NETO GRAVADO]]*0.21)</f>
        <v>1680</v>
      </c>
      <c r="J37" s="330"/>
      <c r="K37" s="330"/>
      <c r="L37" s="330"/>
      <c r="M37" s="330"/>
      <c r="N37" s="330"/>
      <c r="O37" s="330"/>
      <c r="P37" s="331">
        <f>SUM(compras_mes1[[#This Row],[NETO GRAVADO]:[Otros / No Grav.]])</f>
        <v>9680</v>
      </c>
      <c r="Q37" s="328" t="str">
        <f>IFERROR(IF(compras_mes1[[#This Row],[CUIT]]="","-",VLOOKUP(compras_mes1[[#This Row],[CUIT]],Lista_CUIT[#All],3,0)),"CUIT NO CARGADO")</f>
        <v>Gastos Varios</v>
      </c>
      <c r="R37" s="332">
        <f>IFERROR(IF(compras_mes1[[#This Row],[CUIT]]="","-",VLOOKUP(compras_mes1[[#This Row],[CUIT]],Lista_CUIT[#All],4,0)),"CUIT NO CARGADO")</f>
        <v>0</v>
      </c>
    </row>
    <row r="38" spans="2:18">
      <c r="B38" s="323">
        <v>45305</v>
      </c>
      <c r="C38" s="324">
        <v>1</v>
      </c>
      <c r="D38" s="325">
        <v>591</v>
      </c>
      <c r="E38" s="326">
        <v>2689</v>
      </c>
      <c r="F38" s="327">
        <v>30590360763</v>
      </c>
      <c r="G38" s="328" t="str">
        <f>IFERROR(IF(compras_mes1[[#This Row],[CUIT]]="","-",VLOOKUP(compras_mes1[[#This Row],[CUIT]],Lista_CUIT[#All],2,0)),"CUIT NO CARGADO")</f>
        <v>CENCOSUD S.A.</v>
      </c>
      <c r="H38" s="329">
        <v>34475.21</v>
      </c>
      <c r="I38" s="330">
        <f>IF(compras_mes1[[#This Row],[NETO GRAVADO]]="","",compras_mes1[[#This Row],[NETO GRAVADO]]*0.21)</f>
        <v>7239.7940999999992</v>
      </c>
      <c r="J38" s="330"/>
      <c r="K38" s="330"/>
      <c r="L38" s="330">
        <v>1034.26</v>
      </c>
      <c r="M38" s="330"/>
      <c r="N38" s="330">
        <v>1379.01</v>
      </c>
      <c r="O38" s="330"/>
      <c r="P38" s="331">
        <f>SUM(compras_mes1[[#This Row],[NETO GRAVADO]:[Otros / No Grav.]])</f>
        <v>44128.274100000002</v>
      </c>
      <c r="Q38" s="328" t="str">
        <f>IFERROR(IF(compras_mes1[[#This Row],[CUIT]]="","-",VLOOKUP(compras_mes1[[#This Row],[CUIT]],Lista_CUIT[#All],3,0)),"CUIT NO CARGADO")</f>
        <v>Gastos Varios</v>
      </c>
      <c r="R38" s="332">
        <f>IFERROR(IF(compras_mes1[[#This Row],[CUIT]]="","-",VLOOKUP(compras_mes1[[#This Row],[CUIT]],Lista_CUIT[#All],4,0)),"CUIT NO CARGADO")</f>
        <v>0</v>
      </c>
    </row>
    <row r="39" spans="2:18" ht="18" customHeight="1">
      <c r="B39" s="323">
        <v>45296</v>
      </c>
      <c r="C39" s="324">
        <v>1</v>
      </c>
      <c r="D39" s="325">
        <v>2189</v>
      </c>
      <c r="E39" s="326">
        <v>63438</v>
      </c>
      <c r="F39" s="327">
        <v>30548083156</v>
      </c>
      <c r="G39" s="328" t="str">
        <f>IFERROR(IF(compras_mes1[[#This Row],[CUIT]]="","-",VLOOKUP(compras_mes1[[#This Row],[CUIT]],Lista_CUIT[#All],2,0)),"CUIT NO CARGADO")</f>
        <v>COTO CICSA</v>
      </c>
      <c r="H39" s="329">
        <v>85154.37</v>
      </c>
      <c r="I39" s="330">
        <v>17324.650000000001</v>
      </c>
      <c r="J39" s="330"/>
      <c r="K39" s="330">
        <v>278.88</v>
      </c>
      <c r="L39" s="330"/>
      <c r="M39" s="330"/>
      <c r="N39" s="330"/>
      <c r="O39" s="330">
        <v>5636.52</v>
      </c>
      <c r="P39" s="331">
        <f>SUM(compras_mes1[[#This Row],[NETO GRAVADO]:[Otros / No Grav.]])</f>
        <v>108394.42</v>
      </c>
      <c r="Q39" s="328" t="str">
        <f>IFERROR(IF(compras_mes1[[#This Row],[CUIT]]="","-",VLOOKUP(compras_mes1[[#This Row],[CUIT]],Lista_CUIT[#All],3,0)),"CUIT NO CARGADO")</f>
        <v>Gastos Varios</v>
      </c>
      <c r="R39" s="332">
        <f>IFERROR(IF(compras_mes1[[#This Row],[CUIT]]="","-",VLOOKUP(compras_mes1[[#This Row],[CUIT]],Lista_CUIT[#All],4,0)),"CUIT NO CARGADO")</f>
        <v>0</v>
      </c>
    </row>
    <row r="40" spans="2:18">
      <c r="B40" s="333">
        <v>45297</v>
      </c>
      <c r="C40" s="160">
        <v>1</v>
      </c>
      <c r="D40" s="334">
        <v>3</v>
      </c>
      <c r="E40" s="335">
        <v>461</v>
      </c>
      <c r="F40" s="336">
        <v>20130224335</v>
      </c>
      <c r="G40" s="337" t="str">
        <f>IFERROR(IF(compras_mes1[[#This Row],[CUIT]]="","-",VLOOKUP(compras_mes1[[#This Row],[CUIT]],Lista_CUIT[#All],2,0)),"CUIT NO CARGADO")</f>
        <v>PROSPERI SERGIO GERARDO</v>
      </c>
      <c r="H40" s="338">
        <v>24628.1</v>
      </c>
      <c r="I40" s="339">
        <f>IF(compras_mes1[[#This Row],[NETO GRAVADO]]="","",compras_mes1[[#This Row],[NETO GRAVADO]]*0.21)</f>
        <v>5171.9009999999998</v>
      </c>
      <c r="J40" s="339"/>
      <c r="K40" s="339"/>
      <c r="L40" s="339"/>
      <c r="M40" s="339"/>
      <c r="N40" s="339"/>
      <c r="O40" s="339"/>
      <c r="P40" s="340">
        <f>SUM(compras_mes1[[#This Row],[NETO GRAVADO]:[Otros / No Grav.]])</f>
        <v>29800.000999999997</v>
      </c>
      <c r="Q40" s="337" t="str">
        <f>IFERROR(IF(compras_mes1[[#This Row],[CUIT]]="","-",VLOOKUP(compras_mes1[[#This Row],[CUIT]],Lista_CUIT[#All],3,0)),"CUIT NO CARGADO")</f>
        <v>gastos varios</v>
      </c>
      <c r="R40" s="341">
        <f>IFERROR(IF(compras_mes1[[#This Row],[CUIT]]="","-",VLOOKUP(compras_mes1[[#This Row],[CUIT]],Lista_CUIT[#All],4,0)),"CUIT NO CARGADO")</f>
        <v>0</v>
      </c>
    </row>
    <row r="41" spans="2:18">
      <c r="B41" s="343">
        <v>45300</v>
      </c>
      <c r="C41" s="344">
        <v>1</v>
      </c>
      <c r="D41" s="345">
        <v>119</v>
      </c>
      <c r="E41" s="346">
        <v>34843</v>
      </c>
      <c r="F41" s="347">
        <v>30671637689</v>
      </c>
      <c r="G41" s="348" t="str">
        <f>IFERROR(IF(compras_mes1[[#This Row],[CUIT]]="","-",VLOOKUP(compras_mes1[[#This Row],[CUIT]],Lista_CUIT[#All],2,0)),"CUIT NO CARGADO")</f>
        <v>GRUPO NORTE SRL</v>
      </c>
      <c r="H41" s="349">
        <v>32001.24</v>
      </c>
      <c r="I41" s="342">
        <f>IF(compras_mes1[[#This Row],[NETO GRAVADO]]="","",compras_mes1[[#This Row],[NETO GRAVADO]]*0.21)</f>
        <v>6720.2604000000001</v>
      </c>
      <c r="J41" s="342"/>
      <c r="K41" s="342"/>
      <c r="L41" s="342"/>
      <c r="M41" s="342"/>
      <c r="N41" s="342"/>
      <c r="O41" s="342">
        <v>359.37</v>
      </c>
      <c r="P41" s="350">
        <f>SUM(compras_mes1[[#This Row],[NETO GRAVADO]:[Otros / No Grav.]])</f>
        <v>39080.870400000007</v>
      </c>
      <c r="Q41" s="348" t="str">
        <f>IFERROR(IF(compras_mes1[[#This Row],[CUIT]]="","-",VLOOKUP(compras_mes1[[#This Row],[CUIT]],Lista_CUIT[#All],3,0)),"CUIT NO CARGADO")</f>
        <v>gastos varios</v>
      </c>
      <c r="R41" s="351">
        <f>IFERROR(IF(compras_mes1[[#This Row],[CUIT]]="","-",VLOOKUP(compras_mes1[[#This Row],[CUIT]],Lista_CUIT[#All],4,0)),"CUIT NO CARGADO")</f>
        <v>0</v>
      </c>
    </row>
    <row r="42" spans="2:18">
      <c r="B42" s="333">
        <v>45302</v>
      </c>
      <c r="C42" s="160">
        <v>1</v>
      </c>
      <c r="D42" s="334">
        <v>2</v>
      </c>
      <c r="E42" s="335">
        <v>483</v>
      </c>
      <c r="F42" s="336">
        <v>33716050489</v>
      </c>
      <c r="G42" s="337" t="str">
        <f>IFERROR(IF(compras_mes1[[#This Row],[CUIT]]="","-",VLOOKUP(compras_mes1[[#This Row],[CUIT]],Lista_CUIT[#All],2,0)),"CUIT NO CARGADO")</f>
        <v>JPL S.R.L.</v>
      </c>
      <c r="H42" s="338">
        <v>57356.14</v>
      </c>
      <c r="I42" s="339">
        <f>IF(compras_mes1[[#This Row],[NETO GRAVADO]]="","",compras_mes1[[#This Row],[NETO GRAVADO]]*0.21)</f>
        <v>12044.7894</v>
      </c>
      <c r="J42" s="339"/>
      <c r="K42" s="339"/>
      <c r="L42" s="339"/>
      <c r="M42" s="339"/>
      <c r="N42" s="339"/>
      <c r="O42" s="339"/>
      <c r="P42" s="340">
        <f>SUM(compras_mes1[[#This Row],[NETO GRAVADO]:[Otros / No Grav.]])</f>
        <v>69400.929399999994</v>
      </c>
      <c r="Q42" s="337" t="str">
        <f>IFERROR(IF(compras_mes1[[#This Row],[CUIT]]="","-",VLOOKUP(compras_mes1[[#This Row],[CUIT]],Lista_CUIT[#All],3,0)),"CUIT NO CARGADO")</f>
        <v>gastos varios</v>
      </c>
      <c r="R42" s="341">
        <f>IFERROR(IF(compras_mes1[[#This Row],[CUIT]]="","-",VLOOKUP(compras_mes1[[#This Row],[CUIT]],Lista_CUIT[#All],4,0)),"CUIT NO CARGADO")</f>
        <v>0</v>
      </c>
    </row>
    <row r="43" spans="2:18">
      <c r="B43" s="323">
        <v>45313</v>
      </c>
      <c r="C43" s="324">
        <v>1</v>
      </c>
      <c r="D43" s="325">
        <v>5</v>
      </c>
      <c r="E43" s="326">
        <v>24</v>
      </c>
      <c r="F43" s="327">
        <v>20929183143</v>
      </c>
      <c r="G43" s="328" t="str">
        <f>IFERROR(IF(compras_mes1[[#This Row],[CUIT]]="","-",VLOOKUP(compras_mes1[[#This Row],[CUIT]],Lista_CUIT[#All],2,0)),"CUIT NO CARGADO")</f>
        <v>MA JUN</v>
      </c>
      <c r="H43" s="329">
        <v>20000</v>
      </c>
      <c r="I43" s="330">
        <f>IF(compras_mes1[[#This Row],[NETO GRAVADO]]="","",compras_mes1[[#This Row],[NETO GRAVADO]]*0.21)</f>
        <v>4200</v>
      </c>
      <c r="J43" s="330"/>
      <c r="K43" s="330"/>
      <c r="L43" s="330"/>
      <c r="M43" s="330"/>
      <c r="N43" s="330"/>
      <c r="O43" s="330"/>
      <c r="P43" s="331">
        <f>SUM(compras_mes1[[#This Row],[NETO GRAVADO]:[Otros / No Grav.]])</f>
        <v>24200</v>
      </c>
      <c r="Q43" s="328" t="str">
        <f>IFERROR(IF(compras_mes1[[#This Row],[CUIT]]="","-",VLOOKUP(compras_mes1[[#This Row],[CUIT]],Lista_CUIT[#All],3,0)),"CUIT NO CARGADO")</f>
        <v>Gastos Varios</v>
      </c>
      <c r="R43" s="332">
        <f>IFERROR(IF(compras_mes1[[#This Row],[CUIT]]="","-",VLOOKUP(compras_mes1[[#This Row],[CUIT]],Lista_CUIT[#All],4,0)),"CUIT NO CARGADO")</f>
        <v>0</v>
      </c>
    </row>
    <row r="44" spans="2:18">
      <c r="B44" s="333">
        <v>45313</v>
      </c>
      <c r="C44" s="160">
        <v>1</v>
      </c>
      <c r="D44" s="334">
        <v>10</v>
      </c>
      <c r="E44" s="335">
        <v>137066</v>
      </c>
      <c r="F44" s="336">
        <v>30711069360</v>
      </c>
      <c r="G44" s="337" t="str">
        <f>IFERROR(IF(compras_mes1[[#This Row],[CUIT]]="","-",VLOOKUP(compras_mes1[[#This Row],[CUIT]],Lista_CUIT[#All],2,0)),"CUIT NO CARGADO")</f>
        <v>BIDCOM SRL</v>
      </c>
      <c r="H44" s="338">
        <v>95021.72</v>
      </c>
      <c r="I44" s="339"/>
      <c r="J44" s="339"/>
      <c r="K44" s="339">
        <v>9977.2800000000007</v>
      </c>
      <c r="L44" s="339"/>
      <c r="M44" s="339"/>
      <c r="N44" s="339"/>
      <c r="O44" s="339">
        <v>3800.87</v>
      </c>
      <c r="P44" s="340">
        <f>SUM(compras_mes1[[#This Row],[NETO GRAVADO]:[Otros / No Grav.]])</f>
        <v>108799.87</v>
      </c>
      <c r="Q44" s="337" t="str">
        <f>IFERROR(IF(compras_mes1[[#This Row],[CUIT]]="","-",VLOOKUP(compras_mes1[[#This Row],[CUIT]],Lista_CUIT[#All],3,0)),"CUIT NO CARGADO")</f>
        <v>Gastos Varios</v>
      </c>
      <c r="R44" s="341">
        <f>IFERROR(IF(compras_mes1[[#This Row],[CUIT]]="","-",VLOOKUP(compras_mes1[[#This Row],[CUIT]],Lista_CUIT[#All],4,0)),"CUIT NO CARGADO")</f>
        <v>0</v>
      </c>
    </row>
    <row r="45" spans="2:18">
      <c r="B45" s="323">
        <v>45317</v>
      </c>
      <c r="C45" s="324">
        <v>1</v>
      </c>
      <c r="D45" s="325">
        <v>47</v>
      </c>
      <c r="E45" s="326">
        <v>9098</v>
      </c>
      <c r="F45" s="327">
        <v>30708847247</v>
      </c>
      <c r="G45" s="328" t="str">
        <f>IFERROR(IF(compras_mes1[[#This Row],[CUIT]]="","-",VLOOKUP(compras_mes1[[#This Row],[CUIT]],Lista_CUIT[#All],2,0)),"CUIT NO CARGADO")</f>
        <v>TOAGRA SRL</v>
      </c>
      <c r="H45" s="329">
        <v>9423</v>
      </c>
      <c r="I45" s="330">
        <f>IF(compras_mes1[[#This Row],[NETO GRAVADO]]="","",compras_mes1[[#This Row],[NETO GRAVADO]]*0.21)</f>
        <v>1978.83</v>
      </c>
      <c r="J45" s="330"/>
      <c r="K45" s="330"/>
      <c r="L45" s="330"/>
      <c r="M45" s="330"/>
      <c r="N45" s="330">
        <v>376.92</v>
      </c>
      <c r="O45" s="330"/>
      <c r="P45" s="331">
        <f>SUM(compras_mes1[[#This Row],[NETO GRAVADO]:[Otros / No Grav.]])</f>
        <v>11778.75</v>
      </c>
      <c r="Q45" s="328" t="str">
        <f>IFERROR(IF(compras_mes1[[#This Row],[CUIT]]="","-",VLOOKUP(compras_mes1[[#This Row],[CUIT]],Lista_CUIT[#All],3,0)),"CUIT NO CARGADO")</f>
        <v>GASTOS VARIOS</v>
      </c>
      <c r="R45" s="332">
        <f>IFERROR(IF(compras_mes1[[#This Row],[CUIT]]="","-",VLOOKUP(compras_mes1[[#This Row],[CUIT]],Lista_CUIT[#All],4,0)),"CUIT NO CARGADO")</f>
        <v>0</v>
      </c>
    </row>
    <row r="46" spans="2:18">
      <c r="B46" s="333">
        <v>45317</v>
      </c>
      <c r="C46" s="160">
        <v>1</v>
      </c>
      <c r="D46" s="334">
        <v>1</v>
      </c>
      <c r="E46" s="335">
        <v>547</v>
      </c>
      <c r="F46" s="336">
        <v>30717764370</v>
      </c>
      <c r="G46" s="337" t="str">
        <f>IFERROR(IF(compras_mes1[[#This Row],[CUIT]]="","-",VLOOKUP(compras_mes1[[#This Row],[CUIT]],Lista_CUIT[#All],2,0)),"CUIT NO CARGADO")</f>
        <v>PATAGONIA SHOWROOM S.A.</v>
      </c>
      <c r="H46" s="338">
        <v>27024.81</v>
      </c>
      <c r="I46" s="339">
        <f>IF(compras_mes1[[#This Row],[NETO GRAVADO]]="","",compras_mes1[[#This Row],[NETO GRAVADO]]*0.21)</f>
        <v>5675.2101000000002</v>
      </c>
      <c r="J46" s="339"/>
      <c r="K46" s="339"/>
      <c r="L46" s="339"/>
      <c r="M46" s="339"/>
      <c r="N46" s="339"/>
      <c r="O46" s="339"/>
      <c r="P46" s="340">
        <f>SUM(compras_mes1[[#This Row],[NETO GRAVADO]:[Otros / No Grav.]])</f>
        <v>32700.020100000002</v>
      </c>
      <c r="Q46" s="337" t="str">
        <f>IFERROR(IF(compras_mes1[[#This Row],[CUIT]]="","-",VLOOKUP(compras_mes1[[#This Row],[CUIT]],Lista_CUIT[#All],3,0)),"CUIT NO CARGADO")</f>
        <v>Gastos Varios</v>
      </c>
      <c r="R46" s="341">
        <f>IFERROR(IF(compras_mes1[[#This Row],[CUIT]]="","-",VLOOKUP(compras_mes1[[#This Row],[CUIT]],Lista_CUIT[#All],4,0)),"CUIT NO CARGADO")</f>
        <v>0</v>
      </c>
    </row>
    <row r="47" spans="2:18">
      <c r="B47" s="333">
        <v>45320</v>
      </c>
      <c r="C47" s="160">
        <v>1</v>
      </c>
      <c r="D47" s="334">
        <v>7</v>
      </c>
      <c r="E47" s="335">
        <v>2696</v>
      </c>
      <c r="F47" s="336">
        <v>20284183534</v>
      </c>
      <c r="G47" s="337" t="str">
        <f>IFERROR(IF(compras_mes1[[#This Row],[CUIT]]="","-",VLOOKUP(compras_mes1[[#This Row],[CUIT]],Lista_CUIT[#All],2,0)),"CUIT NO CARGADO")</f>
        <v>FURLANETTO MARTIN</v>
      </c>
      <c r="H47" s="338">
        <v>4132.25</v>
      </c>
      <c r="I47" s="339">
        <f>IF(compras_mes1[[#This Row],[NETO GRAVADO]]="","",compras_mes1[[#This Row],[NETO GRAVADO]]*0.21)</f>
        <v>867.77249999999992</v>
      </c>
      <c r="J47" s="339"/>
      <c r="K47" s="339"/>
      <c r="L47" s="339"/>
      <c r="M47" s="339"/>
      <c r="N47" s="339"/>
      <c r="O47" s="339"/>
      <c r="P47" s="340">
        <f>SUM(compras_mes1[[#This Row],[NETO GRAVADO]:[Otros / No Grav.]])</f>
        <v>5000.0225</v>
      </c>
      <c r="Q47" s="337" t="str">
        <f>IFERROR(IF(compras_mes1[[#This Row],[CUIT]]="","-",VLOOKUP(compras_mes1[[#This Row],[CUIT]],Lista_CUIT[#All],3,0)),"CUIT NO CARGADO")</f>
        <v>gastos varios</v>
      </c>
      <c r="R47" s="341">
        <f>IFERROR(IF(compras_mes1[[#This Row],[CUIT]]="","-",VLOOKUP(compras_mes1[[#This Row],[CUIT]],Lista_CUIT[#All],4,0)),"CUIT NO CARGADO")</f>
        <v>0</v>
      </c>
    </row>
    <row r="48" spans="2:18">
      <c r="B48" s="323">
        <v>45322</v>
      </c>
      <c r="C48" s="324">
        <v>1</v>
      </c>
      <c r="D48" s="325">
        <v>3</v>
      </c>
      <c r="E48" s="326">
        <v>3988</v>
      </c>
      <c r="F48" s="327">
        <v>20184052858</v>
      </c>
      <c r="G48" s="328" t="str">
        <f>IFERROR(IF(compras_mes1[[#This Row],[CUIT]]="","-",VLOOKUP(compras_mes1[[#This Row],[CUIT]],Lista_CUIT[#All],2,0)),"CUIT NO CARGADO")</f>
        <v>ABOUD PABLO DANIEL</v>
      </c>
      <c r="H48" s="329">
        <v>71900.81</v>
      </c>
      <c r="I48" s="330">
        <f>IF(compras_mes1[[#This Row],[NETO GRAVADO]]="","",compras_mes1[[#This Row],[NETO GRAVADO]]*0.21)</f>
        <v>15099.170099999999</v>
      </c>
      <c r="J48" s="330"/>
      <c r="K48" s="330"/>
      <c r="L48" s="330"/>
      <c r="M48" s="330"/>
      <c r="N48" s="330"/>
      <c r="O48" s="330"/>
      <c r="P48" s="331">
        <f>SUM(compras_mes1[[#This Row],[NETO GRAVADO]:[Otros / No Grav.]])</f>
        <v>86999.980100000001</v>
      </c>
      <c r="Q48" s="328" t="str">
        <f>IFERROR(IF(compras_mes1[[#This Row],[CUIT]]="","-",VLOOKUP(compras_mes1[[#This Row],[CUIT]],Lista_CUIT[#All],3,0)),"CUIT NO CARGADO")</f>
        <v>MANTENIMIENTO</v>
      </c>
      <c r="R48" s="332">
        <f>IFERROR(IF(compras_mes1[[#This Row],[CUIT]]="","-",VLOOKUP(compras_mes1[[#This Row],[CUIT]],Lista_CUIT[#All],4,0)),"CUIT NO CARGADO")</f>
        <v>0</v>
      </c>
    </row>
    <row r="49" spans="2:18">
      <c r="B49" s="333">
        <v>45322</v>
      </c>
      <c r="C49" s="160">
        <v>1</v>
      </c>
      <c r="D49" s="334">
        <v>6</v>
      </c>
      <c r="E49" s="335">
        <v>15531339</v>
      </c>
      <c r="F49" s="336">
        <v>30620177497</v>
      </c>
      <c r="G49" s="337" t="str">
        <f>IFERROR(IF(compras_mes1[[#This Row],[CUIT]]="","-",VLOOKUP(compras_mes1[[#This Row],[CUIT]],Lista_CUIT[#All],2,0)),"CUIT NO CARGADO")</f>
        <v>POSNET SOCIEDAD DE RESPONSABILIDAD LIMITADA</v>
      </c>
      <c r="H49" s="338">
        <v>11000</v>
      </c>
      <c r="I49" s="339">
        <f>IF(compras_mes1[[#This Row],[NETO GRAVADO]]="","",compras_mes1[[#This Row],[NETO GRAVADO]]*0.21)</f>
        <v>2310</v>
      </c>
      <c r="J49" s="339"/>
      <c r="K49" s="339"/>
      <c r="L49" s="339"/>
      <c r="M49" s="339"/>
      <c r="N49" s="339">
        <v>770</v>
      </c>
      <c r="O49" s="339"/>
      <c r="P49" s="340">
        <f>SUM(compras_mes1[[#This Row],[NETO GRAVADO]:[Otros / No Grav.]])</f>
        <v>14080</v>
      </c>
      <c r="Q49" s="337" t="str">
        <f>IFERROR(IF(compras_mes1[[#This Row],[CUIT]]="","-",VLOOKUP(compras_mes1[[#This Row],[CUIT]],Lista_CUIT[#All],3,0)),"CUIT NO CARGADO")</f>
        <v>Gastos Varios</v>
      </c>
      <c r="R49" s="341">
        <f>IFERROR(IF(compras_mes1[[#This Row],[CUIT]]="","-",VLOOKUP(compras_mes1[[#This Row],[CUIT]],Lista_CUIT[#All],4,0)),"CUIT NO CARGADO")</f>
        <v>0</v>
      </c>
    </row>
    <row r="50" spans="2:18">
      <c r="B50" s="323">
        <v>45314</v>
      </c>
      <c r="C50" s="324">
        <v>1</v>
      </c>
      <c r="D50" s="325">
        <v>1</v>
      </c>
      <c r="E50" s="326">
        <v>2765</v>
      </c>
      <c r="F50" s="327">
        <v>30715141201</v>
      </c>
      <c r="G50" s="328" t="str">
        <f>IFERROR(IF(compras_mes1[[#This Row],[CUIT]]="","-",VLOOKUP(compras_mes1[[#This Row],[CUIT]],Lista_CUIT[#All],2,0)),"CUIT NO CARGADO")</f>
        <v>REHAB S.R.L.</v>
      </c>
      <c r="H50" s="329">
        <v>6239330.25</v>
      </c>
      <c r="I50" s="330">
        <f>IF(compras_mes1[[#This Row],[NETO GRAVADO]]="","",compras_mes1[[#This Row],[NETO GRAVADO]]*0.21)</f>
        <v>1310259.3525</v>
      </c>
      <c r="J50" s="330"/>
      <c r="K50" s="330"/>
      <c r="L50" s="330"/>
      <c r="M50" s="330"/>
      <c r="N50" s="330"/>
      <c r="O50" s="330"/>
      <c r="P50" s="331">
        <f>SUM(compras_mes1[[#This Row],[NETO GRAVADO]:[Otros / No Grav.]])</f>
        <v>7549589.6025</v>
      </c>
      <c r="Q50" s="328" t="str">
        <f>IFERROR(IF(compras_mes1[[#This Row],[CUIT]]="","-",VLOOKUP(compras_mes1[[#This Row],[CUIT]],Lista_CUIT[#All],3,0)),"CUIT NO CARGADO")</f>
        <v>Productos Ortopedicos</v>
      </c>
      <c r="R50" s="332">
        <f>IFERROR(IF(compras_mes1[[#This Row],[CUIT]]="","-",VLOOKUP(compras_mes1[[#This Row],[CUIT]],Lista_CUIT[#All],4,0)),"CUIT NO CARGADO")</f>
        <v>0</v>
      </c>
    </row>
    <row r="51" spans="2:18" ht="17.25" customHeight="1">
      <c r="B51" s="323">
        <v>45322</v>
      </c>
      <c r="C51" s="324">
        <v>1</v>
      </c>
      <c r="D51" s="325">
        <v>1</v>
      </c>
      <c r="E51" s="326">
        <v>2785</v>
      </c>
      <c r="F51" s="327">
        <v>30715141201</v>
      </c>
      <c r="G51" s="328" t="str">
        <f>IFERROR(IF(compras_mes1[[#This Row],[CUIT]]="","-",VLOOKUP(compras_mes1[[#This Row],[CUIT]],Lista_CUIT[#All],2,0)),"CUIT NO CARGADO")</f>
        <v>REHAB S.R.L.</v>
      </c>
      <c r="H51" s="329">
        <v>1317548.1499999999</v>
      </c>
      <c r="I51" s="330">
        <f>IF(compras_mes1[[#This Row],[NETO GRAVADO]]="","",compras_mes1[[#This Row],[NETO GRAVADO]]*0.21)</f>
        <v>276685.1115</v>
      </c>
      <c r="J51" s="330"/>
      <c r="K51" s="330"/>
      <c r="L51" s="330"/>
      <c r="M51" s="330"/>
      <c r="N51" s="330"/>
      <c r="O51" s="330"/>
      <c r="P51" s="331">
        <f>SUM(compras_mes1[[#This Row],[NETO GRAVADO]:[Otros / No Grav.]])</f>
        <v>1594233.2615</v>
      </c>
      <c r="Q51" s="328" t="str">
        <f>IFERROR(IF(compras_mes1[[#This Row],[CUIT]]="","-",VLOOKUP(compras_mes1[[#This Row],[CUIT]],Lista_CUIT[#All],3,0)),"CUIT NO CARGADO")</f>
        <v>Productos Ortopedicos</v>
      </c>
      <c r="R51" s="332">
        <f>IFERROR(IF(compras_mes1[[#This Row],[CUIT]]="","-",VLOOKUP(compras_mes1[[#This Row],[CUIT]],Lista_CUIT[#All],4,0)),"CUIT NO CARGADO")</f>
        <v>0</v>
      </c>
    </row>
    <row r="52" spans="2:18">
      <c r="B52" s="323">
        <v>45293</v>
      </c>
      <c r="C52" s="324">
        <v>1</v>
      </c>
      <c r="D52" s="325">
        <v>2</v>
      </c>
      <c r="E52" s="326">
        <v>9344</v>
      </c>
      <c r="F52" s="327">
        <v>30714331082</v>
      </c>
      <c r="G52" s="328" t="str">
        <f>IFERROR(IF(compras_mes1[[#This Row],[CUIT]]="","-",VLOOKUP(compras_mes1[[#This Row],[CUIT]],Lista_CUIT[#All],2,0)),"CUIT NO CARGADO")</f>
        <v>ORTOPEDIA CASA ESCALADA SRL</v>
      </c>
      <c r="H52" s="329">
        <v>941598</v>
      </c>
      <c r="I52" s="330"/>
      <c r="J52" s="330"/>
      <c r="K52" s="330">
        <v>98867.79</v>
      </c>
      <c r="L52" s="330"/>
      <c r="M52" s="330"/>
      <c r="N52" s="330"/>
      <c r="O52" s="330"/>
      <c r="P52" s="331">
        <f>SUM(compras_mes1[[#This Row],[NETO GRAVADO]:[Otros / No Grav.]])</f>
        <v>1040465.79</v>
      </c>
      <c r="Q52" s="328" t="str">
        <f>IFERROR(IF(compras_mes1[[#This Row],[CUIT]]="","-",VLOOKUP(compras_mes1[[#This Row],[CUIT]],Lista_CUIT[#All],3,0)),"CUIT NO CARGADO")</f>
        <v>Productos Ortopedicos</v>
      </c>
      <c r="R52" s="332">
        <f>IFERROR(IF(compras_mes1[[#This Row],[CUIT]]="","-",VLOOKUP(compras_mes1[[#This Row],[CUIT]],Lista_CUIT[#All],4,0)),"CUIT NO CARGADO")</f>
        <v>0</v>
      </c>
    </row>
    <row r="53" spans="2:18">
      <c r="B53" s="323">
        <v>45295</v>
      </c>
      <c r="C53" s="324">
        <v>1</v>
      </c>
      <c r="D53" s="325">
        <v>2</v>
      </c>
      <c r="E53" s="326">
        <v>9350</v>
      </c>
      <c r="F53" s="327">
        <v>30714331082</v>
      </c>
      <c r="G53" s="328" t="str">
        <f>IFERROR(IF(compras_mes1[[#This Row],[CUIT]]="","-",VLOOKUP(compras_mes1[[#This Row],[CUIT]],Lista_CUIT[#All],2,0)),"CUIT NO CARGADO")</f>
        <v>ORTOPEDIA CASA ESCALADA SRL</v>
      </c>
      <c r="H53" s="329">
        <v>1030802.6</v>
      </c>
      <c r="I53" s="330">
        <f>IF(compras_mes1[[#This Row],[NETO GRAVADO]]="","",compras_mes1[[#This Row],[NETO GRAVADO]]*0.21)</f>
        <v>216468.54599999997</v>
      </c>
      <c r="J53" s="330"/>
      <c r="K53" s="330"/>
      <c r="L53" s="330"/>
      <c r="M53" s="330"/>
      <c r="N53" s="330"/>
      <c r="O53" s="330"/>
      <c r="P53" s="331">
        <f>SUM(compras_mes1[[#This Row],[NETO GRAVADO]:[Otros / No Grav.]])</f>
        <v>1247271.1459999999</v>
      </c>
      <c r="Q53" s="328" t="str">
        <f>IFERROR(IF(compras_mes1[[#This Row],[CUIT]]="","-",VLOOKUP(compras_mes1[[#This Row],[CUIT]],Lista_CUIT[#All],3,0)),"CUIT NO CARGADO")</f>
        <v>Productos Ortopedicos</v>
      </c>
      <c r="R53" s="332">
        <f>IFERROR(IF(compras_mes1[[#This Row],[CUIT]]="","-",VLOOKUP(compras_mes1[[#This Row],[CUIT]],Lista_CUIT[#All],4,0)),"CUIT NO CARGADO")</f>
        <v>0</v>
      </c>
    </row>
    <row r="54" spans="2:18">
      <c r="B54" s="323">
        <v>45295</v>
      </c>
      <c r="C54" s="324">
        <v>1</v>
      </c>
      <c r="D54" s="325">
        <v>2</v>
      </c>
      <c r="E54" s="326">
        <v>640</v>
      </c>
      <c r="F54" s="327">
        <v>27059354618</v>
      </c>
      <c r="G54" s="328" t="str">
        <f>IFERROR(IF(compras_mes1[[#This Row],[CUIT]]="","-",VLOOKUP(compras_mes1[[#This Row],[CUIT]],Lista_CUIT[#All],2,0)),"CUIT NO CARGADO")</f>
        <v>ALCAZAR MARGARITA ROSA</v>
      </c>
      <c r="H54" s="329">
        <v>347110.38</v>
      </c>
      <c r="I54" s="330">
        <f>IF(compras_mes1[[#This Row],[NETO GRAVADO]]="","",compras_mes1[[#This Row],[NETO GRAVADO]]*0.21)</f>
        <v>72893.179799999998</v>
      </c>
      <c r="J54" s="330"/>
      <c r="K54" s="330"/>
      <c r="L54" s="330"/>
      <c r="M54" s="330"/>
      <c r="N54" s="330"/>
      <c r="O54" s="330"/>
      <c r="P54" s="331">
        <f>SUM(compras_mes1[[#This Row],[NETO GRAVADO]:[Otros / No Grav.]])</f>
        <v>420003.55979999999</v>
      </c>
      <c r="Q54" s="328" t="str">
        <f>IFERROR(IF(compras_mes1[[#This Row],[CUIT]]="","-",VLOOKUP(compras_mes1[[#This Row],[CUIT]],Lista_CUIT[#All],3,0)),"CUIT NO CARGADO")</f>
        <v>Mantenimiento</v>
      </c>
      <c r="R54" s="332">
        <f>IFERROR(IF(compras_mes1[[#This Row],[CUIT]]="","-",VLOOKUP(compras_mes1[[#This Row],[CUIT]],Lista_CUIT[#All],4,0)),"CUIT NO CARGADO")</f>
        <v>0</v>
      </c>
    </row>
    <row r="55" spans="2:18">
      <c r="B55" s="323">
        <v>45296</v>
      </c>
      <c r="C55" s="324">
        <v>1</v>
      </c>
      <c r="D55" s="325">
        <v>2</v>
      </c>
      <c r="E55" s="326">
        <v>9358</v>
      </c>
      <c r="F55" s="327">
        <v>30714331082</v>
      </c>
      <c r="G55" s="328" t="str">
        <f>IFERROR(IF(compras_mes1[[#This Row],[CUIT]]="","-",VLOOKUP(compras_mes1[[#This Row],[CUIT]],Lista_CUIT[#All],2,0)),"CUIT NO CARGADO")</f>
        <v>ORTOPEDIA CASA ESCALADA SRL</v>
      </c>
      <c r="H55" s="329">
        <v>2317152</v>
      </c>
      <c r="I55" s="330">
        <v>284659.20000000001</v>
      </c>
      <c r="J55" s="330"/>
      <c r="K55" s="330">
        <v>100971.36</v>
      </c>
      <c r="L55" s="330"/>
      <c r="M55" s="330"/>
      <c r="N55" s="330"/>
      <c r="O55" s="330"/>
      <c r="P55" s="331">
        <f>SUM(compras_mes1[[#This Row],[NETO GRAVADO]:[Otros / No Grav.]])</f>
        <v>2702782.56</v>
      </c>
      <c r="Q55" s="328" t="str">
        <f>IFERROR(IF(compras_mes1[[#This Row],[CUIT]]="","-",VLOOKUP(compras_mes1[[#This Row],[CUIT]],Lista_CUIT[#All],3,0)),"CUIT NO CARGADO")</f>
        <v>Productos Ortopedicos</v>
      </c>
      <c r="R55" s="332">
        <f>IFERROR(IF(compras_mes1[[#This Row],[CUIT]]="","-",VLOOKUP(compras_mes1[[#This Row],[CUIT]],Lista_CUIT[#All],4,0)),"CUIT NO CARGADO")</f>
        <v>0</v>
      </c>
    </row>
    <row r="56" spans="2:18">
      <c r="B56" s="323">
        <v>45296</v>
      </c>
      <c r="C56" s="324">
        <v>1</v>
      </c>
      <c r="D56" s="325">
        <v>4</v>
      </c>
      <c r="E56" s="326">
        <v>4267</v>
      </c>
      <c r="F56" s="327">
        <v>20129871947</v>
      </c>
      <c r="G56" s="328" t="str">
        <f>IFERROR(IF(compras_mes1[[#This Row],[CUIT]]="","-",VLOOKUP(compras_mes1[[#This Row],[CUIT]],Lista_CUIT[#All],2,0)),"CUIT NO CARGADO")</f>
        <v>CARLOS RODOLFO FERNANDEZ</v>
      </c>
      <c r="H56" s="329">
        <v>62404.49</v>
      </c>
      <c r="I56" s="330">
        <f>IF(compras_mes1[[#This Row],[NETO GRAVADO]]="","",compras_mes1[[#This Row],[NETO GRAVADO]]*0.21)</f>
        <v>13104.942899999998</v>
      </c>
      <c r="J56" s="330"/>
      <c r="K56" s="330"/>
      <c r="L56" s="330"/>
      <c r="M56" s="330"/>
      <c r="N56" s="330"/>
      <c r="O56" s="330"/>
      <c r="P56" s="331">
        <f>SUM(compras_mes1[[#This Row],[NETO GRAVADO]:[Otros / No Grav.]])</f>
        <v>75509.4329</v>
      </c>
      <c r="Q56" s="328" t="str">
        <f>IFERROR(IF(compras_mes1[[#This Row],[CUIT]]="","-",VLOOKUP(compras_mes1[[#This Row],[CUIT]],Lista_CUIT[#All],3,0)),"CUIT NO CARGADO")</f>
        <v>Productos Ortopedicos</v>
      </c>
      <c r="R56" s="332">
        <f>IFERROR(IF(compras_mes1[[#This Row],[CUIT]]="","-",VLOOKUP(compras_mes1[[#This Row],[CUIT]],Lista_CUIT[#All],4,0)),"CUIT NO CARGADO")</f>
        <v>0</v>
      </c>
    </row>
    <row r="57" spans="2:18">
      <c r="B57" s="323">
        <v>45299</v>
      </c>
      <c r="C57" s="324">
        <v>1</v>
      </c>
      <c r="D57" s="325">
        <v>17</v>
      </c>
      <c r="E57" s="326">
        <v>8474</v>
      </c>
      <c r="F57" s="327">
        <v>30661143610</v>
      </c>
      <c r="G57" s="328" t="str">
        <f>IFERROR(IF(compras_mes1[[#This Row],[CUIT]]="","-",VLOOKUP(compras_mes1[[#This Row],[CUIT]],Lista_CUIT[#All],2,0)),"CUIT NO CARGADO")</f>
        <v>ORTOPEDIA BERNAT SRL</v>
      </c>
      <c r="H57" s="329">
        <v>637000</v>
      </c>
      <c r="I57" s="330">
        <f>IF(compras_mes1[[#This Row],[NETO GRAVADO]]="","",compras_mes1[[#This Row],[NETO GRAVADO]]*0.21)</f>
        <v>133770</v>
      </c>
      <c r="J57" s="330"/>
      <c r="K57" s="330"/>
      <c r="L57" s="330"/>
      <c r="M57" s="330"/>
      <c r="N57" s="330">
        <v>25480</v>
      </c>
      <c r="O57" s="330"/>
      <c r="P57" s="331">
        <f>SUM(compras_mes1[[#This Row],[NETO GRAVADO]:[Otros / No Grav.]])</f>
        <v>796250</v>
      </c>
      <c r="Q57" s="328" t="str">
        <f>IFERROR(IF(compras_mes1[[#This Row],[CUIT]]="","-",VLOOKUP(compras_mes1[[#This Row],[CUIT]],Lista_CUIT[#All],3,0)),"CUIT NO CARGADO")</f>
        <v>Productos Ortopedicos</v>
      </c>
      <c r="R57" s="332">
        <f>IFERROR(IF(compras_mes1[[#This Row],[CUIT]]="","-",VLOOKUP(compras_mes1[[#This Row],[CUIT]],Lista_CUIT[#All],4,0)),"CUIT NO CARGADO")</f>
        <v>0</v>
      </c>
    </row>
    <row r="58" spans="2:18">
      <c r="B58" s="323">
        <v>45301</v>
      </c>
      <c r="C58" s="324">
        <v>1</v>
      </c>
      <c r="D58" s="325">
        <v>2</v>
      </c>
      <c r="E58" s="326">
        <v>9377</v>
      </c>
      <c r="F58" s="327">
        <v>30714331082</v>
      </c>
      <c r="G58" s="328" t="str">
        <f>IFERROR(IF(compras_mes1[[#This Row],[CUIT]]="","-",VLOOKUP(compras_mes1[[#This Row],[CUIT]],Lista_CUIT[#All],2,0)),"CUIT NO CARGADO")</f>
        <v>ORTOPEDIA CASA ESCALADA SRL</v>
      </c>
      <c r="H58" s="329">
        <v>391344</v>
      </c>
      <c r="I58" s="330">
        <f>IF(compras_mes1[[#This Row],[NETO GRAVADO]]="","",compras_mes1[[#This Row],[NETO GRAVADO]]*0.21)</f>
        <v>82182.239999999991</v>
      </c>
      <c r="J58" s="330"/>
      <c r="K58" s="330"/>
      <c r="L58" s="330"/>
      <c r="M58" s="330"/>
      <c r="N58" s="330"/>
      <c r="O58" s="330"/>
      <c r="P58" s="331">
        <f>SUM(compras_mes1[[#This Row],[NETO GRAVADO]:[Otros / No Grav.]])</f>
        <v>473526.24</v>
      </c>
      <c r="Q58" s="328" t="str">
        <f>IFERROR(IF(compras_mes1[[#This Row],[CUIT]]="","-",VLOOKUP(compras_mes1[[#This Row],[CUIT]],Lista_CUIT[#All],3,0)),"CUIT NO CARGADO")</f>
        <v>Productos Ortopedicos</v>
      </c>
      <c r="R58" s="332">
        <f>IFERROR(IF(compras_mes1[[#This Row],[CUIT]]="","-",VLOOKUP(compras_mes1[[#This Row],[CUIT]],Lista_CUIT[#All],4,0)),"CUIT NO CARGADO")</f>
        <v>0</v>
      </c>
    </row>
    <row r="59" spans="2:18">
      <c r="B59" s="323">
        <v>45309</v>
      </c>
      <c r="C59" s="324">
        <v>1</v>
      </c>
      <c r="D59" s="325">
        <v>13</v>
      </c>
      <c r="E59" s="326">
        <v>15626</v>
      </c>
      <c r="F59" s="327">
        <v>23106878269</v>
      </c>
      <c r="G59" s="328" t="str">
        <f>IFERROR(IF(compras_mes1[[#This Row],[CUIT]]="","-",VLOOKUP(compras_mes1[[#This Row],[CUIT]],Lista_CUIT[#All],2,0)),"CUIT NO CARGADO")</f>
        <v xml:space="preserve">RIOS RUBEN ALBERTO </v>
      </c>
      <c r="H59" s="329">
        <v>7355506.9900000002</v>
      </c>
      <c r="I59" s="330">
        <f>IF(compras_mes1[[#This Row],[NETO GRAVADO]]="","",compras_mes1[[#This Row],[NETO GRAVADO]]*0.21)</f>
        <v>1544656.4679</v>
      </c>
      <c r="J59" s="330"/>
      <c r="K59" s="330"/>
      <c r="L59" s="330"/>
      <c r="M59" s="330"/>
      <c r="N59" s="330">
        <v>294220.28000000003</v>
      </c>
      <c r="O59" s="330"/>
      <c r="P59" s="331">
        <f>SUM(compras_mes1[[#This Row],[NETO GRAVADO]:[Otros / No Grav.]])</f>
        <v>9194383.7379000001</v>
      </c>
      <c r="Q59" s="328" t="str">
        <f>IFERROR(IF(compras_mes1[[#This Row],[CUIT]]="","-",VLOOKUP(compras_mes1[[#This Row],[CUIT]],Lista_CUIT[#All],3,0)),"CUIT NO CARGADO")</f>
        <v>Productos Ortopedicos</v>
      </c>
      <c r="R59" s="332">
        <f>IFERROR(IF(compras_mes1[[#This Row],[CUIT]]="","-",VLOOKUP(compras_mes1[[#This Row],[CUIT]],Lista_CUIT[#All],4,0)),"CUIT NO CARGADO")</f>
        <v>0</v>
      </c>
    </row>
    <row r="60" spans="2:18">
      <c r="B60" s="323">
        <v>45313</v>
      </c>
      <c r="C60" s="324">
        <v>1</v>
      </c>
      <c r="D60" s="325">
        <v>7</v>
      </c>
      <c r="E60" s="326">
        <v>17384</v>
      </c>
      <c r="F60" s="327">
        <v>30709214078</v>
      </c>
      <c r="G60" s="328" t="str">
        <f>IFERROR(IF(compras_mes1[[#This Row],[CUIT]]="","-",VLOOKUP(compras_mes1[[#This Row],[CUIT]],Lista_CUIT[#All],2,0)),"CUIT NO CARGADO")</f>
        <v>REHAVITA S.A</v>
      </c>
      <c r="H60" s="329">
        <v>678500</v>
      </c>
      <c r="I60" s="330"/>
      <c r="J60" s="330"/>
      <c r="K60" s="330">
        <v>71242.5</v>
      </c>
      <c r="L60" s="330"/>
      <c r="M60" s="330"/>
      <c r="N60" s="330"/>
      <c r="O60" s="330"/>
      <c r="P60" s="331">
        <f>SUM(compras_mes1[[#This Row],[NETO GRAVADO]:[Otros / No Grav.]])</f>
        <v>749742.5</v>
      </c>
      <c r="Q60" s="328" t="str">
        <f>IFERROR(IF(compras_mes1[[#This Row],[CUIT]]="","-",VLOOKUP(compras_mes1[[#This Row],[CUIT]],Lista_CUIT[#All],3,0)),"CUIT NO CARGADO")</f>
        <v>Productos Ortopedicos</v>
      </c>
      <c r="R60" s="332">
        <f>IFERROR(IF(compras_mes1[[#This Row],[CUIT]]="","-",VLOOKUP(compras_mes1[[#This Row],[CUIT]],Lista_CUIT[#All],4,0)),"CUIT NO CARGADO")</f>
        <v>0</v>
      </c>
    </row>
    <row r="61" spans="2:18">
      <c r="B61" s="323">
        <v>45314</v>
      </c>
      <c r="C61" s="324">
        <v>1</v>
      </c>
      <c r="D61" s="325">
        <v>7</v>
      </c>
      <c r="E61" s="326">
        <v>17394</v>
      </c>
      <c r="F61" s="327">
        <v>30709214078</v>
      </c>
      <c r="G61" s="328" t="str">
        <f>IFERROR(IF(compras_mes1[[#This Row],[CUIT]]="","-",VLOOKUP(compras_mes1[[#This Row],[CUIT]],Lista_CUIT[#All],2,0)),"CUIT NO CARGADO")</f>
        <v>REHAVITA S.A</v>
      </c>
      <c r="H61" s="329">
        <v>13105400</v>
      </c>
      <c r="I61" s="330">
        <f>IF(compras_mes1[[#This Row],[NETO GRAVADO]]="","",compras_mes1[[#This Row],[NETO GRAVADO]]*0.21)</f>
        <v>2752134</v>
      </c>
      <c r="J61" s="330"/>
      <c r="K61" s="330"/>
      <c r="L61" s="330"/>
      <c r="M61" s="330"/>
      <c r="N61" s="330"/>
      <c r="O61" s="330"/>
      <c r="P61" s="331">
        <f>SUM(compras_mes1[[#This Row],[NETO GRAVADO]:[Otros / No Grav.]])</f>
        <v>15857534</v>
      </c>
      <c r="Q61" s="328" t="str">
        <f>IFERROR(IF(compras_mes1[[#This Row],[CUIT]]="","-",VLOOKUP(compras_mes1[[#This Row],[CUIT]],Lista_CUIT[#All],3,0)),"CUIT NO CARGADO")</f>
        <v>Productos Ortopedicos</v>
      </c>
      <c r="R61" s="332">
        <f>IFERROR(IF(compras_mes1[[#This Row],[CUIT]]="","-",VLOOKUP(compras_mes1[[#This Row],[CUIT]],Lista_CUIT[#All],4,0)),"CUIT NO CARGADO")</f>
        <v>0</v>
      </c>
    </row>
    <row r="62" spans="2:18">
      <c r="B62" s="323">
        <v>45315</v>
      </c>
      <c r="C62" s="324">
        <v>1</v>
      </c>
      <c r="D62" s="325">
        <v>6</v>
      </c>
      <c r="E62" s="326">
        <v>79617</v>
      </c>
      <c r="F62" s="327">
        <v>30711553564</v>
      </c>
      <c r="G62" s="328" t="str">
        <f>IFERROR(IF(compras_mes1[[#This Row],[CUIT]]="","-",VLOOKUP(compras_mes1[[#This Row],[CUIT]],Lista_CUIT[#All],2,0)),"CUIT NO CARGADO")</f>
        <v>SALUD TEX S.A</v>
      </c>
      <c r="H62" s="329">
        <v>391198</v>
      </c>
      <c r="I62" s="330">
        <f>IF(compras_mes1[[#This Row],[NETO GRAVADO]]="","",compras_mes1[[#This Row],[NETO GRAVADO]]*0.21)</f>
        <v>82151.58</v>
      </c>
      <c r="J62" s="330"/>
      <c r="K62" s="330"/>
      <c r="L62" s="330"/>
      <c r="M62" s="330"/>
      <c r="N62" s="330"/>
      <c r="O62" s="330"/>
      <c r="P62" s="331">
        <f>SUM(compras_mes1[[#This Row],[NETO GRAVADO]:[Otros / No Grav.]])</f>
        <v>473349.58</v>
      </c>
      <c r="Q62" s="328" t="str">
        <f>IFERROR(IF(compras_mes1[[#This Row],[CUIT]]="","-",VLOOKUP(compras_mes1[[#This Row],[CUIT]],Lista_CUIT[#All],3,0)),"CUIT NO CARGADO")</f>
        <v>Productos Ortopedicos</v>
      </c>
      <c r="R62" s="332">
        <f>IFERROR(IF(compras_mes1[[#This Row],[CUIT]]="","-",VLOOKUP(compras_mes1[[#This Row],[CUIT]],Lista_CUIT[#All],4,0)),"CUIT NO CARGADO")</f>
        <v>0</v>
      </c>
    </row>
    <row r="63" spans="2:18">
      <c r="B63" s="323">
        <v>45315</v>
      </c>
      <c r="C63" s="324">
        <v>1</v>
      </c>
      <c r="D63" s="325">
        <v>5</v>
      </c>
      <c r="E63" s="326">
        <v>151387</v>
      </c>
      <c r="F63" s="327">
        <v>30598960093</v>
      </c>
      <c r="G63" s="328" t="str">
        <f>IFERROR(IF(compras_mes1[[#This Row],[CUIT]]="","-",VLOOKUP(compras_mes1[[#This Row],[CUIT]],Lista_CUIT[#All],2,0)),"CUIT NO CARGADO")</f>
        <v>SILVESTRIN FABRIS SRL</v>
      </c>
      <c r="H63" s="329">
        <v>2680394.25</v>
      </c>
      <c r="I63" s="330">
        <f>IF(compras_mes1[[#This Row],[NETO GRAVADO]]="","",compras_mes1[[#This Row],[NETO GRAVADO]]*0.21)</f>
        <v>562882.79249999998</v>
      </c>
      <c r="J63" s="330"/>
      <c r="K63" s="330"/>
      <c r="L63" s="330"/>
      <c r="M63" s="330"/>
      <c r="N63" s="330">
        <v>107215.77</v>
      </c>
      <c r="O63" s="330"/>
      <c r="P63" s="331">
        <f>SUM(compras_mes1[[#This Row],[NETO GRAVADO]:[Otros / No Grav.]])</f>
        <v>3350492.8125</v>
      </c>
      <c r="Q63" s="328" t="str">
        <f>IFERROR(IF(compras_mes1[[#This Row],[CUIT]]="","-",VLOOKUP(compras_mes1[[#This Row],[CUIT]],Lista_CUIT[#All],3,0)),"CUIT NO CARGADO")</f>
        <v>Productos Ortopedicos</v>
      </c>
      <c r="R63" s="332">
        <f>IFERROR(IF(compras_mes1[[#This Row],[CUIT]]="","-",VLOOKUP(compras_mes1[[#This Row],[CUIT]],Lista_CUIT[#All],4,0)),"CUIT NO CARGADO")</f>
        <v>0</v>
      </c>
    </row>
    <row r="64" spans="2:18">
      <c r="B64" s="323">
        <v>45315</v>
      </c>
      <c r="C64" s="324">
        <v>1</v>
      </c>
      <c r="D64" s="325">
        <v>6</v>
      </c>
      <c r="E64" s="326">
        <v>51481</v>
      </c>
      <c r="F64" s="327">
        <v>30710177658</v>
      </c>
      <c r="G64" s="328" t="str">
        <f>IFERROR(IF(compras_mes1[[#This Row],[CUIT]]="","-",VLOOKUP(compras_mes1[[#This Row],[CUIT]],Lista_CUIT[#All],2,0)),"CUIT NO CARGADO")</f>
        <v>TARGET MEDICAL SA</v>
      </c>
      <c r="H64" s="329">
        <v>1433256.48</v>
      </c>
      <c r="I64" s="330">
        <f>IF(compras_mes1[[#This Row],[NETO GRAVADO]]="","",compras_mes1[[#This Row],[NETO GRAVADO]]*0.21)</f>
        <v>300983.86079999997</v>
      </c>
      <c r="J64" s="330"/>
      <c r="K64" s="330"/>
      <c r="L64" s="330"/>
      <c r="M64" s="330"/>
      <c r="N64" s="330"/>
      <c r="O64" s="330"/>
      <c r="P64" s="331">
        <f>SUM(compras_mes1[[#This Row],[NETO GRAVADO]:[Otros / No Grav.]])</f>
        <v>1734240.3407999999</v>
      </c>
      <c r="Q64" s="328" t="str">
        <f>IFERROR(IF(compras_mes1[[#This Row],[CUIT]]="","-",VLOOKUP(compras_mes1[[#This Row],[CUIT]],Lista_CUIT[#All],3,0)),"CUIT NO CARGADO")</f>
        <v>Productos Ortopedicos</v>
      </c>
      <c r="R64" s="332">
        <f>IFERROR(IF(compras_mes1[[#This Row],[CUIT]]="","-",VLOOKUP(compras_mes1[[#This Row],[CUIT]],Lista_CUIT[#All],4,0)),"CUIT NO CARGADO")</f>
        <v>0</v>
      </c>
    </row>
    <row r="65" spans="2:18">
      <c r="B65" s="323">
        <v>45316</v>
      </c>
      <c r="C65" s="324">
        <v>1</v>
      </c>
      <c r="D65" s="325">
        <v>4</v>
      </c>
      <c r="E65" s="326">
        <v>68239</v>
      </c>
      <c r="F65" s="327">
        <v>33709738459</v>
      </c>
      <c r="G65" s="328" t="str">
        <f>IFERROR(IF(compras_mes1[[#This Row],[CUIT]]="","-",VLOOKUP(compras_mes1[[#This Row],[CUIT]],Lista_CUIT[#All],2,0)),"CUIT NO CARGADO")</f>
        <v>ORTOPEDICOS ALFOLATEX S.A</v>
      </c>
      <c r="H65" s="329">
        <v>203877.09</v>
      </c>
      <c r="I65" s="330">
        <f>IF(compras_mes1[[#This Row],[NETO GRAVADO]]="","",compras_mes1[[#This Row],[NETO GRAVADO]]*0.21)</f>
        <v>42814.188900000001</v>
      </c>
      <c r="J65" s="330"/>
      <c r="K65" s="330"/>
      <c r="L65" s="330"/>
      <c r="M65" s="330"/>
      <c r="N65" s="330"/>
      <c r="O65" s="330"/>
      <c r="P65" s="331">
        <f>SUM(compras_mes1[[#This Row],[NETO GRAVADO]:[Otros / No Grav.]])</f>
        <v>246691.2789</v>
      </c>
      <c r="Q65" s="328" t="str">
        <f>IFERROR(IF(compras_mes1[[#This Row],[CUIT]]="","-",VLOOKUP(compras_mes1[[#This Row],[CUIT]],Lista_CUIT[#All],3,0)),"CUIT NO CARGADO")</f>
        <v>Productos Ortopedicos</v>
      </c>
      <c r="R65" s="332">
        <f>IFERROR(IF(compras_mes1[[#This Row],[CUIT]]="","-",VLOOKUP(compras_mes1[[#This Row],[CUIT]],Lista_CUIT[#All],4,0)),"CUIT NO CARGADO")</f>
        <v>0</v>
      </c>
    </row>
    <row r="66" spans="2:18">
      <c r="B66" s="323">
        <v>45316</v>
      </c>
      <c r="C66" s="324">
        <v>1</v>
      </c>
      <c r="D66" s="325">
        <v>5</v>
      </c>
      <c r="E66" s="326">
        <v>151404</v>
      </c>
      <c r="F66" s="327">
        <v>30598960093</v>
      </c>
      <c r="G66" s="328" t="str">
        <f>IFERROR(IF(compras_mes1[[#This Row],[CUIT]]="","-",VLOOKUP(compras_mes1[[#This Row],[CUIT]],Lista_CUIT[#All],2,0)),"CUIT NO CARGADO")</f>
        <v>SILVESTRIN FABRIS SRL</v>
      </c>
      <c r="H66" s="329">
        <v>137246</v>
      </c>
      <c r="I66" s="330">
        <f>IF(compras_mes1[[#This Row],[NETO GRAVADO]]="","",compras_mes1[[#This Row],[NETO GRAVADO]]*0.21)</f>
        <v>28821.66</v>
      </c>
      <c r="J66" s="330"/>
      <c r="K66" s="330"/>
      <c r="L66" s="330"/>
      <c r="M66" s="330"/>
      <c r="N66" s="330">
        <v>5489.84</v>
      </c>
      <c r="O66" s="330"/>
      <c r="P66" s="331">
        <f>SUM(compras_mes1[[#This Row],[NETO GRAVADO]:[Otros / No Grav.]])</f>
        <v>171557.5</v>
      </c>
      <c r="Q66" s="328" t="str">
        <f>IFERROR(IF(compras_mes1[[#This Row],[CUIT]]="","-",VLOOKUP(compras_mes1[[#This Row],[CUIT]],Lista_CUIT[#All],3,0)),"CUIT NO CARGADO")</f>
        <v>Productos Ortopedicos</v>
      </c>
      <c r="R66" s="332">
        <f>IFERROR(IF(compras_mes1[[#This Row],[CUIT]]="","-",VLOOKUP(compras_mes1[[#This Row],[CUIT]],Lista_CUIT[#All],4,0)),"CUIT NO CARGADO")</f>
        <v>0</v>
      </c>
    </row>
    <row r="67" spans="2:18">
      <c r="B67" s="323">
        <v>45317</v>
      </c>
      <c r="C67" s="324">
        <v>1</v>
      </c>
      <c r="D67" s="325">
        <v>2</v>
      </c>
      <c r="E67" s="326">
        <v>23808</v>
      </c>
      <c r="F67" s="327">
        <v>23233422029</v>
      </c>
      <c r="G67" s="328" t="str">
        <f>IFERROR(IF(compras_mes1[[#This Row],[CUIT]]="","-",VLOOKUP(compras_mes1[[#This Row],[CUIT]],Lista_CUIT[#All],2,0)),"CUIT NO CARGADO")</f>
        <v>RODOLFO SCHULZE</v>
      </c>
      <c r="H67" s="329">
        <v>417683.20000000001</v>
      </c>
      <c r="I67" s="330">
        <f>IF(compras_mes1[[#This Row],[NETO GRAVADO]]="","",compras_mes1[[#This Row],[NETO GRAVADO]]*0.21)</f>
        <v>87713.471999999994</v>
      </c>
      <c r="J67" s="330"/>
      <c r="K67" s="330"/>
      <c r="L67" s="330"/>
      <c r="M67" s="330"/>
      <c r="N67" s="330"/>
      <c r="O67" s="330"/>
      <c r="P67" s="331">
        <f>SUM(compras_mes1[[#This Row],[NETO GRAVADO]:[Otros / No Grav.]])</f>
        <v>505396.67200000002</v>
      </c>
      <c r="Q67" s="328" t="str">
        <f>IFERROR(IF(compras_mes1[[#This Row],[CUIT]]="","-",VLOOKUP(compras_mes1[[#This Row],[CUIT]],Lista_CUIT[#All],3,0)),"CUIT NO CARGADO")</f>
        <v>Productos Ortopedicos</v>
      </c>
      <c r="R67" s="332">
        <f>IFERROR(IF(compras_mes1[[#This Row],[CUIT]]="","-",VLOOKUP(compras_mes1[[#This Row],[CUIT]],Lista_CUIT[#All],4,0)),"CUIT NO CARGADO")</f>
        <v>0</v>
      </c>
    </row>
    <row r="68" spans="2:18">
      <c r="B68" s="323">
        <v>45317</v>
      </c>
      <c r="C68" s="324">
        <v>1</v>
      </c>
      <c r="D68" s="325">
        <v>17</v>
      </c>
      <c r="E68" s="326">
        <v>1652</v>
      </c>
      <c r="F68" s="327">
        <v>30711764921</v>
      </c>
      <c r="G68" s="328" t="str">
        <f>IFERROR(IF(compras_mes1[[#This Row],[CUIT]]="","-",VLOOKUP(compras_mes1[[#This Row],[CUIT]],Lista_CUIT[#All],2,0)),"CUIT NO CARGADO")</f>
        <v>RELIEF CENTER SRL</v>
      </c>
      <c r="H68" s="329">
        <v>361588</v>
      </c>
      <c r="I68" s="330">
        <f>IF(compras_mes1[[#This Row],[NETO GRAVADO]]="","",compras_mes1[[#This Row],[NETO GRAVADO]]*0.21)</f>
        <v>75933.48</v>
      </c>
      <c r="J68" s="330"/>
      <c r="K68" s="330"/>
      <c r="L68" s="330"/>
      <c r="M68" s="330"/>
      <c r="N68" s="330"/>
      <c r="O68" s="330"/>
      <c r="P68" s="331">
        <f>SUM(compras_mes1[[#This Row],[NETO GRAVADO]:[Otros / No Grav.]])</f>
        <v>437521.48</v>
      </c>
      <c r="Q68" s="328" t="str">
        <f>IFERROR(IF(compras_mes1[[#This Row],[CUIT]]="","-",VLOOKUP(compras_mes1[[#This Row],[CUIT]],Lista_CUIT[#All],3,0)),"CUIT NO CARGADO")</f>
        <v>Productos Ortopedicos</v>
      </c>
      <c r="R68" s="332">
        <f>IFERROR(IF(compras_mes1[[#This Row],[CUIT]]="","-",VLOOKUP(compras_mes1[[#This Row],[CUIT]],Lista_CUIT[#All],4,0)),"CUIT NO CARGADO")</f>
        <v>0</v>
      </c>
    </row>
    <row r="69" spans="2:18">
      <c r="B69" s="323">
        <v>45317</v>
      </c>
      <c r="C69" s="324">
        <v>3</v>
      </c>
      <c r="D69" s="325">
        <v>7</v>
      </c>
      <c r="E69" s="326">
        <v>1172</v>
      </c>
      <c r="F69" s="327">
        <v>30709214078</v>
      </c>
      <c r="G69" s="328" t="str">
        <f>IFERROR(IF(compras_mes1[[#This Row],[CUIT]]="","-",VLOOKUP(compras_mes1[[#This Row],[CUIT]],Lista_CUIT[#All],2,0)),"CUIT NO CARGADO")</f>
        <v>REHAVITA S.A</v>
      </c>
      <c r="H69" s="329">
        <v>-678500</v>
      </c>
      <c r="I69" s="330"/>
      <c r="J69" s="330"/>
      <c r="K69" s="330">
        <v>-71242.5</v>
      </c>
      <c r="L69" s="330"/>
      <c r="M69" s="330"/>
      <c r="N69" s="330"/>
      <c r="O69" s="330"/>
      <c r="P69" s="331">
        <f>SUM(compras_mes1[[#This Row],[NETO GRAVADO]:[Otros / No Grav.]])</f>
        <v>-749742.5</v>
      </c>
      <c r="Q69" s="328" t="str">
        <f>IFERROR(IF(compras_mes1[[#This Row],[CUIT]]="","-",VLOOKUP(compras_mes1[[#This Row],[CUIT]],Lista_CUIT[#All],3,0)),"CUIT NO CARGADO")</f>
        <v>Productos Ortopedicos</v>
      </c>
      <c r="R69" s="332">
        <f>IFERROR(IF(compras_mes1[[#This Row],[CUIT]]="","-",VLOOKUP(compras_mes1[[#This Row],[CUIT]],Lista_CUIT[#All],4,0)),"CUIT NO CARGADO")</f>
        <v>0</v>
      </c>
    </row>
    <row r="70" spans="2:18">
      <c r="B70" s="333">
        <v>45317</v>
      </c>
      <c r="C70" s="160">
        <v>1</v>
      </c>
      <c r="D70" s="334">
        <v>7</v>
      </c>
      <c r="E70" s="335">
        <v>17437</v>
      </c>
      <c r="F70" s="336">
        <v>30709214078</v>
      </c>
      <c r="G70" s="337" t="str">
        <f>IFERROR(IF(compras_mes1[[#This Row],[CUIT]]="","-",VLOOKUP(compras_mes1[[#This Row],[CUIT]],Lista_CUIT[#All],2,0)),"CUIT NO CARGADO")</f>
        <v>REHAVITA S.A</v>
      </c>
      <c r="H70" s="338">
        <v>575000</v>
      </c>
      <c r="I70" s="339"/>
      <c r="J70" s="339"/>
      <c r="K70" s="339">
        <v>60375</v>
      </c>
      <c r="L70" s="339"/>
      <c r="M70" s="339"/>
      <c r="N70" s="339"/>
      <c r="O70" s="339"/>
      <c r="P70" s="340">
        <f>SUM(compras_mes1[[#This Row],[NETO GRAVADO]:[Otros / No Grav.]])</f>
        <v>635375</v>
      </c>
      <c r="Q70" s="337" t="str">
        <f>IFERROR(IF(compras_mes1[[#This Row],[CUIT]]="","-",VLOOKUP(compras_mes1[[#This Row],[CUIT]],Lista_CUIT[#All],3,0)),"CUIT NO CARGADO")</f>
        <v>Productos Ortopedicos</v>
      </c>
      <c r="R70" s="341">
        <f>IFERROR(IF(compras_mes1[[#This Row],[CUIT]]="","-",VLOOKUP(compras_mes1[[#This Row],[CUIT]],Lista_CUIT[#All],4,0)),"CUIT NO CARGADO")</f>
        <v>0</v>
      </c>
    </row>
    <row r="71" spans="2:18">
      <c r="B71" s="323">
        <v>45322</v>
      </c>
      <c r="C71" s="324">
        <v>1</v>
      </c>
      <c r="D71" s="325">
        <v>6</v>
      </c>
      <c r="E71" s="326">
        <v>51541</v>
      </c>
      <c r="F71" s="327">
        <v>30710177658</v>
      </c>
      <c r="G71" s="328" t="str">
        <f>IFERROR(IF(compras_mes1[[#This Row],[CUIT]]="","-",VLOOKUP(compras_mes1[[#This Row],[CUIT]],Lista_CUIT[#All],2,0)),"CUIT NO CARGADO")</f>
        <v>TARGET MEDICAL SA</v>
      </c>
      <c r="H71" s="329">
        <v>355834.8</v>
      </c>
      <c r="I71" s="330">
        <f>IF(compras_mes1[[#This Row],[NETO GRAVADO]]="","",compras_mes1[[#This Row],[NETO GRAVADO]]*0.21)</f>
        <v>74725.30799999999</v>
      </c>
      <c r="J71" s="330"/>
      <c r="K71" s="330"/>
      <c r="L71" s="330"/>
      <c r="M71" s="330"/>
      <c r="N71" s="330"/>
      <c r="O71" s="330"/>
      <c r="P71" s="331">
        <f>SUM(compras_mes1[[#This Row],[NETO GRAVADO]:[Otros / No Grav.]])</f>
        <v>430560.10800000001</v>
      </c>
      <c r="Q71" s="328" t="str">
        <f>IFERROR(IF(compras_mes1[[#This Row],[CUIT]]="","-",VLOOKUP(compras_mes1[[#This Row],[CUIT]],Lista_CUIT[#All],3,0)),"CUIT NO CARGADO")</f>
        <v>Productos Ortopedicos</v>
      </c>
      <c r="R71" s="332">
        <f>IFERROR(IF(compras_mes1[[#This Row],[CUIT]]="","-",VLOOKUP(compras_mes1[[#This Row],[CUIT]],Lista_CUIT[#All],4,0)),"CUIT NO CARGADO")</f>
        <v>0</v>
      </c>
    </row>
    <row r="72" spans="2:18">
      <c r="B72" s="323">
        <v>45322</v>
      </c>
      <c r="C72" s="324">
        <v>1</v>
      </c>
      <c r="D72" s="325">
        <v>17</v>
      </c>
      <c r="E72" s="326">
        <v>1669</v>
      </c>
      <c r="F72" s="327">
        <v>30711764921</v>
      </c>
      <c r="G72" s="328" t="str">
        <f>IFERROR(IF(compras_mes1[[#This Row],[CUIT]]="","-",VLOOKUP(compras_mes1[[#This Row],[CUIT]],Lista_CUIT[#All],2,0)),"CUIT NO CARGADO")</f>
        <v>RELIEF CENTER SRL</v>
      </c>
      <c r="H72" s="329">
        <v>75002</v>
      </c>
      <c r="I72" s="330">
        <f>IF(compras_mes1[[#This Row],[NETO GRAVADO]]="","",compras_mes1[[#This Row],[NETO GRAVADO]]*0.21)</f>
        <v>15750.42</v>
      </c>
      <c r="J72" s="330"/>
      <c r="K72" s="330"/>
      <c r="L72" s="330"/>
      <c r="M72" s="330"/>
      <c r="N72" s="330"/>
      <c r="O72" s="330"/>
      <c r="P72" s="331">
        <f>SUM(compras_mes1[[#This Row],[NETO GRAVADO]:[Otros / No Grav.]])</f>
        <v>90752.42</v>
      </c>
      <c r="Q72" s="328" t="str">
        <f>IFERROR(IF(compras_mes1[[#This Row],[CUIT]]="","-",VLOOKUP(compras_mes1[[#This Row],[CUIT]],Lista_CUIT[#All],3,0)),"CUIT NO CARGADO")</f>
        <v>Productos Ortopedicos</v>
      </c>
      <c r="R72" s="332">
        <f>IFERROR(IF(compras_mes1[[#This Row],[CUIT]]="","-",VLOOKUP(compras_mes1[[#This Row],[CUIT]],Lista_CUIT[#All],4,0)),"CUIT NO CARGADO")</f>
        <v>0</v>
      </c>
    </row>
    <row r="73" spans="2:18">
      <c r="B73" s="333">
        <v>45322</v>
      </c>
      <c r="C73" s="160">
        <v>1</v>
      </c>
      <c r="D73" s="334">
        <v>6</v>
      </c>
      <c r="E73" s="335">
        <v>60448</v>
      </c>
      <c r="F73" s="336">
        <v>30591633984</v>
      </c>
      <c r="G73" s="337" t="str">
        <f>IFERROR(IF(compras_mes1[[#This Row],[CUIT]]="","-",VLOOKUP(compras_mes1[[#This Row],[CUIT]],Lista_CUIT[#All],2,0)),"CUIT NO CARGADO")</f>
        <v>PANTYMED SA</v>
      </c>
      <c r="H73" s="338">
        <v>122482</v>
      </c>
      <c r="I73" s="339">
        <f>IF(compras_mes1[[#This Row],[NETO GRAVADO]]="","",compras_mes1[[#This Row],[NETO GRAVADO]]*0.21)</f>
        <v>25721.219999999998</v>
      </c>
      <c r="J73" s="339"/>
      <c r="K73" s="339"/>
      <c r="L73" s="339"/>
      <c r="M73" s="339"/>
      <c r="N73" s="339"/>
      <c r="O73" s="339"/>
      <c r="P73" s="340">
        <f>SUM(compras_mes1[[#This Row],[NETO GRAVADO]:[Otros / No Grav.]])</f>
        <v>148203.22</v>
      </c>
      <c r="Q73" s="337" t="str">
        <f>IFERROR(IF(compras_mes1[[#This Row],[CUIT]]="","-",VLOOKUP(compras_mes1[[#This Row],[CUIT]],Lista_CUIT[#All],3,0)),"CUIT NO CARGADO")</f>
        <v>Productos Ortopedicos</v>
      </c>
      <c r="R73" s="341">
        <f>IFERROR(IF(compras_mes1[[#This Row],[CUIT]]="","-",VLOOKUP(compras_mes1[[#This Row],[CUIT]],Lista_CUIT[#All],4,0)),"CUIT NO CARGADO")</f>
        <v>0</v>
      </c>
    </row>
    <row r="74" spans="2:18">
      <c r="B74" s="333">
        <v>45301</v>
      </c>
      <c r="C74" s="160">
        <v>1</v>
      </c>
      <c r="D74" s="334">
        <v>105</v>
      </c>
      <c r="E74" s="335">
        <v>1411725</v>
      </c>
      <c r="F74" s="336">
        <v>30537882871</v>
      </c>
      <c r="G74" s="337" t="str">
        <f>IFERROR(IF(compras_mes1[[#This Row],[CUIT]]="","-",VLOOKUP(compras_mes1[[#This Row],[CUIT]],Lista_CUIT[#All],2,0)),"CUIT NO CARGADO")</f>
        <v>EL JUMILIANO SA</v>
      </c>
      <c r="H74" s="338">
        <v>5785.12</v>
      </c>
      <c r="I74" s="339">
        <f>IF(compras_mes1[[#This Row],[NETO GRAVADO]]="","",compras_mes1[[#This Row],[NETO GRAVADO]]*0.21)</f>
        <v>1214.8751999999999</v>
      </c>
      <c r="J74" s="339"/>
      <c r="K74" s="339"/>
      <c r="L74" s="339"/>
      <c r="M74" s="339"/>
      <c r="N74" s="339">
        <v>231.41</v>
      </c>
      <c r="O74" s="339"/>
      <c r="P74" s="340">
        <f>SUM(compras_mes1[[#This Row],[NETO GRAVADO]:[Otros / No Grav.]])</f>
        <v>7231.4051999999992</v>
      </c>
      <c r="Q74" s="337" t="str">
        <f>IFERROR(IF(compras_mes1[[#This Row],[CUIT]]="","-",VLOOKUP(compras_mes1[[#This Row],[CUIT]],Lista_CUIT[#All],3,0)),"CUIT NO CARGADO")</f>
        <v>Productos OrtopedicosS</v>
      </c>
      <c r="R74" s="341">
        <f>IFERROR(IF(compras_mes1[[#This Row],[CUIT]]="","-",VLOOKUP(compras_mes1[[#This Row],[CUIT]],Lista_CUIT[#All],4,0)),"CUIT NO CARGADO")</f>
        <v>0</v>
      </c>
    </row>
    <row r="75" spans="2:18">
      <c r="B75" s="323">
        <v>45294</v>
      </c>
      <c r="C75" s="324">
        <v>1</v>
      </c>
      <c r="D75" s="325">
        <v>6</v>
      </c>
      <c r="E75" s="326">
        <v>1296</v>
      </c>
      <c r="F75" s="327">
        <v>30716815710</v>
      </c>
      <c r="G75" s="328" t="str">
        <f>IFERROR(IF(compras_mes1[[#This Row],[CUIT]]="","-",VLOOKUP(compras_mes1[[#This Row],[CUIT]],Lista_CUIT[#All],2,0)),"CUIT NO CARGADO")</f>
        <v>PAPELERA GEOPEL SRL</v>
      </c>
      <c r="H75" s="329">
        <v>6934.71</v>
      </c>
      <c r="I75" s="330">
        <f>IF(compras_mes1[[#This Row],[NETO GRAVADO]]="","",compras_mes1[[#This Row],[NETO GRAVADO]]*0.21)</f>
        <v>1456.2891</v>
      </c>
      <c r="J75" s="330"/>
      <c r="K75" s="330"/>
      <c r="L75" s="330"/>
      <c r="M75" s="330"/>
      <c r="N75" s="330"/>
      <c r="O75" s="330"/>
      <c r="P75" s="331">
        <f>SUM(compras_mes1[[#This Row],[NETO GRAVADO]:[Otros / No Grav.]])</f>
        <v>8390.9991000000009</v>
      </c>
      <c r="Q75" s="328" t="str">
        <f>IFERROR(IF(compras_mes1[[#This Row],[CUIT]]="","-",VLOOKUP(compras_mes1[[#This Row],[CUIT]],Lista_CUIT[#All],3,0)),"CUIT NO CARGADO")</f>
        <v>LIBRERÍA</v>
      </c>
      <c r="R75" s="332">
        <f>IFERROR(IF(compras_mes1[[#This Row],[CUIT]]="","-",VLOOKUP(compras_mes1[[#This Row],[CUIT]],Lista_CUIT[#All],4,0)),"CUIT NO CARGADO")</f>
        <v>0</v>
      </c>
    </row>
    <row r="76" spans="2:18">
      <c r="B76" s="333">
        <v>45294</v>
      </c>
      <c r="C76" s="160">
        <v>1</v>
      </c>
      <c r="D76" s="334">
        <v>5011</v>
      </c>
      <c r="E76" s="335">
        <v>568305</v>
      </c>
      <c r="F76" s="336">
        <v>30574876474</v>
      </c>
      <c r="G76" s="337" t="str">
        <f>IFERROR(IF(compras_mes1[[#This Row],[CUIT]]="","-",VLOOKUP(compras_mes1[[#This Row],[CUIT]],Lista_CUIT[#All],2,0)),"CUIT NO CARGADO")</f>
        <v>AUTOP. URBANAS SA</v>
      </c>
      <c r="H76" s="338">
        <v>7105.29</v>
      </c>
      <c r="I76" s="339">
        <f>IF(compras_mes1[[#This Row],[NETO GRAVADO]]="","",compras_mes1[[#This Row],[NETO GRAVADO]]*0.21)</f>
        <v>1492.1108999999999</v>
      </c>
      <c r="J76" s="339"/>
      <c r="K76" s="339"/>
      <c r="L76" s="339"/>
      <c r="M76" s="339"/>
      <c r="N76" s="339">
        <v>710.64</v>
      </c>
      <c r="O76" s="342">
        <v>213.16</v>
      </c>
      <c r="P76" s="340">
        <f>SUM(compras_mes1[[#This Row],[NETO GRAVADO]:[Otros / No Grav.]])</f>
        <v>9521.2008999999998</v>
      </c>
      <c r="Q76" s="337" t="str">
        <f>IFERROR(IF(compras_mes1[[#This Row],[CUIT]]="","-",VLOOKUP(compras_mes1[[#This Row],[CUIT]],Lista_CUIT[#All],3,0)),"CUIT NO CARGADO")</f>
        <v>PEAJE</v>
      </c>
      <c r="R76" s="341">
        <f>IFERROR(IF(compras_mes1[[#This Row],[CUIT]]="","-",VLOOKUP(compras_mes1[[#This Row],[CUIT]],Lista_CUIT[#All],4,0)),"CUIT NO CARGADO")</f>
        <v>0</v>
      </c>
    </row>
    <row r="77" spans="2:18">
      <c r="B77" s="333">
        <v>45309</v>
      </c>
      <c r="C77" s="160">
        <v>1</v>
      </c>
      <c r="D77" s="334">
        <v>5011</v>
      </c>
      <c r="E77" s="335">
        <v>571043</v>
      </c>
      <c r="F77" s="336">
        <v>30574876474</v>
      </c>
      <c r="G77" s="337" t="str">
        <f>IFERROR(IF(compras_mes1[[#This Row],[CUIT]]="","-",VLOOKUP(compras_mes1[[#This Row],[CUIT]],Lista_CUIT[#All],2,0)),"CUIT NO CARGADO")</f>
        <v>AUTOP. URBANAS SA</v>
      </c>
      <c r="H77" s="338">
        <v>4055.38</v>
      </c>
      <c r="I77" s="339">
        <f>IF(compras_mes1[[#This Row],[NETO GRAVADO]]="","",compras_mes1[[#This Row],[NETO GRAVADO]]*0.21)</f>
        <v>851.62980000000005</v>
      </c>
      <c r="J77" s="339"/>
      <c r="K77" s="339"/>
      <c r="L77" s="339"/>
      <c r="M77" s="339"/>
      <c r="N77" s="339">
        <v>121.66</v>
      </c>
      <c r="O77" s="339">
        <v>405.54</v>
      </c>
      <c r="P77" s="340">
        <f>SUM(compras_mes1[[#This Row],[NETO GRAVADO]:[Otros / No Grav.]])</f>
        <v>5434.2097999999996</v>
      </c>
      <c r="Q77" s="337" t="str">
        <f>IFERROR(IF(compras_mes1[[#This Row],[CUIT]]="","-",VLOOKUP(compras_mes1[[#This Row],[CUIT]],Lista_CUIT[#All],3,0)),"CUIT NO CARGADO")</f>
        <v>PEAJE</v>
      </c>
      <c r="R77" s="341">
        <f>IFERROR(IF(compras_mes1[[#This Row],[CUIT]]="","-",VLOOKUP(compras_mes1[[#This Row],[CUIT]],Lista_CUIT[#All],4,0)),"CUIT NO CARGADO")</f>
        <v>0</v>
      </c>
    </row>
    <row r="78" spans="2:18">
      <c r="B78" s="333">
        <v>45308</v>
      </c>
      <c r="C78" s="160">
        <v>1</v>
      </c>
      <c r="D78" s="334">
        <v>629</v>
      </c>
      <c r="E78" s="335">
        <v>4820723</v>
      </c>
      <c r="F78" s="336">
        <v>30663498513</v>
      </c>
      <c r="G78" s="337" t="str">
        <f>IFERROR(IF(compras_mes1[[#This Row],[CUIT]]="","-",VLOOKUP(compras_mes1[[#This Row],[CUIT]],Lista_CUIT[#All],2,0)),"CUIT NO CARGADO")</f>
        <v>GRUPO CONCES. DEL OESTE SA</v>
      </c>
      <c r="H78" s="338">
        <v>413.22</v>
      </c>
      <c r="I78" s="339">
        <f>IF(compras_mes1[[#This Row],[NETO GRAVADO]]="","",compras_mes1[[#This Row],[NETO GRAVADO]]*0.21)</f>
        <v>86.776200000000003</v>
      </c>
      <c r="J78" s="339"/>
      <c r="K78" s="339"/>
      <c r="L78" s="339"/>
      <c r="M78" s="339"/>
      <c r="N78" s="339"/>
      <c r="O78" s="339"/>
      <c r="P78" s="340">
        <f>SUM(compras_mes1[[#This Row],[NETO GRAVADO]:[Otros / No Grav.]])</f>
        <v>499.99620000000004</v>
      </c>
      <c r="Q78" s="337" t="str">
        <f>IFERROR(IF(compras_mes1[[#This Row],[CUIT]]="","-",VLOOKUP(compras_mes1[[#This Row],[CUIT]],Lista_CUIT[#All],3,0)),"CUIT NO CARGADO")</f>
        <v>PEAJE</v>
      </c>
      <c r="R78" s="341">
        <f>IFERROR(IF(compras_mes1[[#This Row],[CUIT]]="","-",VLOOKUP(compras_mes1[[#This Row],[CUIT]],Lista_CUIT[#All],4,0)),"CUIT NO CARGADO")</f>
        <v>0</v>
      </c>
    </row>
    <row r="79" spans="2:18">
      <c r="B79" s="333">
        <v>45294</v>
      </c>
      <c r="C79" s="160">
        <v>1</v>
      </c>
      <c r="D79" s="334">
        <v>711</v>
      </c>
      <c r="E79" s="335">
        <v>5182411</v>
      </c>
      <c r="F79" s="336">
        <v>30677237119</v>
      </c>
      <c r="G79" s="337" t="str">
        <f>IFERROR(IF(compras_mes1[[#This Row],[CUIT]]="","-",VLOOKUP(compras_mes1[[#This Row],[CUIT]],Lista_CUIT[#All],2,0)),"CUIT NO CARGADO")</f>
        <v>AUTOPISTAS DEL SOL SA</v>
      </c>
      <c r="H79" s="338">
        <v>1115.69</v>
      </c>
      <c r="I79" s="339">
        <f>IF(compras_mes1[[#This Row],[NETO GRAVADO]]="","",compras_mes1[[#This Row],[NETO GRAVADO]]*0.21)</f>
        <v>234.29490000000001</v>
      </c>
      <c r="J79" s="339"/>
      <c r="K79" s="339"/>
      <c r="L79" s="339"/>
      <c r="M79" s="339"/>
      <c r="N79" s="339">
        <v>44.63</v>
      </c>
      <c r="O79" s="339"/>
      <c r="P79" s="340">
        <f>SUM(compras_mes1[[#This Row],[NETO GRAVADO]:[Otros / No Grav.]])</f>
        <v>1394.6149000000003</v>
      </c>
      <c r="Q79" s="337" t="str">
        <f>IFERROR(IF(compras_mes1[[#This Row],[CUIT]]="","-",VLOOKUP(compras_mes1[[#This Row],[CUIT]],Lista_CUIT[#All],3,0)),"CUIT NO CARGADO")</f>
        <v>PEAJE</v>
      </c>
      <c r="R79" s="341">
        <f>IFERROR(IF(compras_mes1[[#This Row],[CUIT]]="","-",VLOOKUP(compras_mes1[[#This Row],[CUIT]],Lista_CUIT[#All],4,0)),"CUIT NO CARGADO")</f>
        <v>0</v>
      </c>
    </row>
    <row r="80" spans="2:18">
      <c r="B80" s="333">
        <v>45300</v>
      </c>
      <c r="C80" s="160">
        <v>1</v>
      </c>
      <c r="D80" s="334">
        <v>700</v>
      </c>
      <c r="E80" s="335">
        <v>1388258</v>
      </c>
      <c r="F80" s="336">
        <v>30715804812</v>
      </c>
      <c r="G80" s="337" t="str">
        <f>IFERROR(IF(compras_mes1[[#This Row],[CUIT]]="","-",VLOOKUP(compras_mes1[[#This Row],[CUIT]],Lista_CUIT[#All],2,0)),"CUIT NO CARGADO")</f>
        <v>CORREDORES VIALES SOCIEDAD ANONIMA</v>
      </c>
      <c r="H80" s="338">
        <v>5743.8</v>
      </c>
      <c r="I80" s="339">
        <f>IF(compras_mes1[[#This Row],[NETO GRAVADO]]="","",compras_mes1[[#This Row],[NETO GRAVADO]]*0.21)</f>
        <v>1206.1980000000001</v>
      </c>
      <c r="J80" s="339"/>
      <c r="K80" s="339"/>
      <c r="L80" s="339"/>
      <c r="M80" s="339"/>
      <c r="N80" s="339">
        <v>229.75</v>
      </c>
      <c r="O80" s="339"/>
      <c r="P80" s="340">
        <f>SUM(compras_mes1[[#This Row],[NETO GRAVADO]:[Otros / No Grav.]])</f>
        <v>7179.7480000000005</v>
      </c>
      <c r="Q80" s="337" t="str">
        <f>IFERROR(IF(compras_mes1[[#This Row],[CUIT]]="","-",VLOOKUP(compras_mes1[[#This Row],[CUIT]],Lista_CUIT[#All],3,0)),"CUIT NO CARGADO")</f>
        <v>PEAJE</v>
      </c>
      <c r="R80" s="341">
        <f>IFERROR(IF(compras_mes1[[#This Row],[CUIT]]="","-",VLOOKUP(compras_mes1[[#This Row],[CUIT]],Lista_CUIT[#All],4,0)),"CUIT NO CARGADO")</f>
        <v>0</v>
      </c>
    </row>
    <row r="81" spans="2:18">
      <c r="B81" s="333">
        <v>45308</v>
      </c>
      <c r="C81" s="160">
        <v>1</v>
      </c>
      <c r="D81" s="334">
        <v>711</v>
      </c>
      <c r="E81" s="335">
        <v>5239679</v>
      </c>
      <c r="F81" s="336">
        <v>30677237119</v>
      </c>
      <c r="G81" s="337" t="str">
        <f>IFERROR(IF(compras_mes1[[#This Row],[CUIT]]="","-",VLOOKUP(compras_mes1[[#This Row],[CUIT]],Lista_CUIT[#All],2,0)),"CUIT NO CARGADO")</f>
        <v>AUTOPISTAS DEL SOL SA</v>
      </c>
      <c r="H81" s="338">
        <v>1942.13</v>
      </c>
      <c r="I81" s="339">
        <f>IF(compras_mes1[[#This Row],[NETO GRAVADO]]="","",compras_mes1[[#This Row],[NETO GRAVADO]]*0.21)</f>
        <v>407.84730000000002</v>
      </c>
      <c r="J81" s="339"/>
      <c r="K81" s="339"/>
      <c r="L81" s="339"/>
      <c r="M81" s="339"/>
      <c r="N81" s="339">
        <v>77.69</v>
      </c>
      <c r="O81" s="339"/>
      <c r="P81" s="340">
        <f>SUM(compras_mes1[[#This Row],[NETO GRAVADO]:[Otros / No Grav.]])</f>
        <v>2427.6673000000001</v>
      </c>
      <c r="Q81" s="337" t="str">
        <f>IFERROR(IF(compras_mes1[[#This Row],[CUIT]]="","-",VLOOKUP(compras_mes1[[#This Row],[CUIT]],Lista_CUIT[#All],3,0)),"CUIT NO CARGADO")</f>
        <v>PEAJE</v>
      </c>
      <c r="R81" s="341">
        <f>IFERROR(IF(compras_mes1[[#This Row],[CUIT]]="","-",VLOOKUP(compras_mes1[[#This Row],[CUIT]],Lista_CUIT[#All],4,0)),"CUIT NO CARGADO")</f>
        <v>0</v>
      </c>
    </row>
    <row r="82" spans="2:18">
      <c r="B82" s="333">
        <v>45308</v>
      </c>
      <c r="C82" s="160">
        <v>1</v>
      </c>
      <c r="D82" s="334">
        <v>104</v>
      </c>
      <c r="E82" s="335">
        <v>4917406</v>
      </c>
      <c r="F82" s="336">
        <v>30715804812</v>
      </c>
      <c r="G82" s="337" t="str">
        <f>IFERROR(IF(compras_mes1[[#This Row],[CUIT]]="","-",VLOOKUP(compras_mes1[[#This Row],[CUIT]],Lista_CUIT[#All],2,0)),"CUIT NO CARGADO")</f>
        <v>CORREDORES VIALES SOCIEDAD ANONIMA</v>
      </c>
      <c r="H82" s="338">
        <v>247.93</v>
      </c>
      <c r="I82" s="339">
        <f>IF(compras_mes1[[#This Row],[NETO GRAVADO]]="","",compras_mes1[[#This Row],[NETO GRAVADO]]*0.21)</f>
        <v>52.065300000000001</v>
      </c>
      <c r="J82" s="339"/>
      <c r="K82" s="339"/>
      <c r="L82" s="339"/>
      <c r="M82" s="339"/>
      <c r="N82" s="339"/>
      <c r="O82" s="339"/>
      <c r="P82" s="340">
        <f>SUM(compras_mes1[[#This Row],[NETO GRAVADO]:[Otros / No Grav.]])</f>
        <v>299.99529999999999</v>
      </c>
      <c r="Q82" s="337" t="str">
        <f>IFERROR(IF(compras_mes1[[#This Row],[CUIT]]="","-",VLOOKUP(compras_mes1[[#This Row],[CUIT]],Lista_CUIT[#All],3,0)),"CUIT NO CARGADO")</f>
        <v>PEAJE</v>
      </c>
      <c r="R82" s="341">
        <f>IFERROR(IF(compras_mes1[[#This Row],[CUIT]]="","-",VLOOKUP(compras_mes1[[#This Row],[CUIT]],Lista_CUIT[#All],4,0)),"CUIT NO CARGADO")</f>
        <v>0</v>
      </c>
    </row>
    <row r="83" spans="2:18">
      <c r="B83" s="333">
        <v>45316</v>
      </c>
      <c r="C83" s="160">
        <v>1</v>
      </c>
      <c r="D83" s="334">
        <v>700</v>
      </c>
      <c r="E83" s="335">
        <v>1421515</v>
      </c>
      <c r="F83" s="336">
        <v>30715804812</v>
      </c>
      <c r="G83" s="337" t="str">
        <f>IFERROR(IF(compras_mes1[[#This Row],[CUIT]]="","-",VLOOKUP(compras_mes1[[#This Row],[CUIT]],Lista_CUIT[#All],2,0)),"CUIT NO CARGADO")</f>
        <v>CORREDORES VIALES SOCIEDAD ANONIMA</v>
      </c>
      <c r="H83" s="338">
        <v>495.87</v>
      </c>
      <c r="I83" s="339">
        <f>IF(compras_mes1[[#This Row],[NETO GRAVADO]]="","",compras_mes1[[#This Row],[NETO GRAVADO]]*0.21)</f>
        <v>104.1327</v>
      </c>
      <c r="J83" s="339"/>
      <c r="K83" s="339"/>
      <c r="L83" s="339"/>
      <c r="M83" s="339"/>
      <c r="N83" s="339"/>
      <c r="O83" s="339"/>
      <c r="P83" s="340">
        <f>SUM(compras_mes1[[#This Row],[NETO GRAVADO]:[Otros / No Grav.]])</f>
        <v>600.0027</v>
      </c>
      <c r="Q83" s="337" t="str">
        <f>IFERROR(IF(compras_mes1[[#This Row],[CUIT]]="","-",VLOOKUP(compras_mes1[[#This Row],[CUIT]],Lista_CUIT[#All],3,0)),"CUIT NO CARGADO")</f>
        <v>PEAJE</v>
      </c>
      <c r="R83" s="341">
        <f>IFERROR(IF(compras_mes1[[#This Row],[CUIT]]="","-",VLOOKUP(compras_mes1[[#This Row],[CUIT]],Lista_CUIT[#All],4,0)),"CUIT NO CARGADO")</f>
        <v>0</v>
      </c>
    </row>
    <row r="84" spans="2:18">
      <c r="B84" s="333">
        <v>45322</v>
      </c>
      <c r="C84" s="160">
        <v>1</v>
      </c>
      <c r="D84" s="334">
        <v>50</v>
      </c>
      <c r="E84" s="335">
        <v>3443812</v>
      </c>
      <c r="F84" s="336">
        <v>30714112836</v>
      </c>
      <c r="G84" s="337" t="str">
        <f>IFERROR(IF(compras_mes1[[#This Row],[CUIT]]="","-",VLOOKUP(compras_mes1[[#This Row],[CUIT]],Lista_CUIT[#All],2,0)),"CUIT NO CARGADO")</f>
        <v>AUTOPISTAS DE BUENOS AIRES (AUBASA) SA</v>
      </c>
      <c r="H84" s="338">
        <v>2975.21</v>
      </c>
      <c r="I84" s="339">
        <f>IF(compras_mes1[[#This Row],[NETO GRAVADO]]="","",compras_mes1[[#This Row],[NETO GRAVADO]]*0.21)</f>
        <v>624.79409999999996</v>
      </c>
      <c r="J84" s="339"/>
      <c r="K84" s="339"/>
      <c r="L84" s="339">
        <v>89.26</v>
      </c>
      <c r="M84" s="339"/>
      <c r="N84" s="339"/>
      <c r="O84" s="339"/>
      <c r="P84" s="340">
        <f>SUM(compras_mes1[[#This Row],[NETO GRAVADO]:[Otros / No Grav.]])</f>
        <v>3689.2641000000003</v>
      </c>
      <c r="Q84" s="337" t="str">
        <f>IFERROR(IF(compras_mes1[[#This Row],[CUIT]]="","-",VLOOKUP(compras_mes1[[#This Row],[CUIT]],Lista_CUIT[#All],3,0)),"CUIT NO CARGADO")</f>
        <v>PEAJE</v>
      </c>
      <c r="R84" s="341">
        <f>IFERROR(IF(compras_mes1[[#This Row],[CUIT]]="","-",VLOOKUP(compras_mes1[[#This Row],[CUIT]],Lista_CUIT[#All],4,0)),"CUIT NO CARGADO")</f>
        <v>0</v>
      </c>
    </row>
    <row r="85" spans="2:18">
      <c r="B85" s="323">
        <v>45315</v>
      </c>
      <c r="C85" s="324">
        <v>1</v>
      </c>
      <c r="D85" s="325">
        <v>5</v>
      </c>
      <c r="E85" s="326">
        <v>1218</v>
      </c>
      <c r="F85" s="327">
        <v>20242126158</v>
      </c>
      <c r="G85" s="328" t="str">
        <f>IFERROR(IF(compras_mes1[[#This Row],[CUIT]]="","-",VLOOKUP(compras_mes1[[#This Row],[CUIT]],Lista_CUIT[#All],2,0)),"CUIT NO CARGADO")</f>
        <v>IALLONARDO SERGIO</v>
      </c>
      <c r="H85" s="329">
        <v>945000</v>
      </c>
      <c r="I85" s="330">
        <f>IF(compras_mes1[[#This Row],[NETO GRAVADO]]="","",compras_mes1[[#This Row],[NETO GRAVADO]]*0.21)</f>
        <v>198450</v>
      </c>
      <c r="J85" s="330"/>
      <c r="K85" s="330"/>
      <c r="L85" s="330"/>
      <c r="M85" s="330"/>
      <c r="N85" s="330"/>
      <c r="O85" s="330"/>
      <c r="P85" s="331">
        <f>SUM(compras_mes1[[#This Row],[NETO GRAVADO]:[Otros / No Grav.]])</f>
        <v>1143450</v>
      </c>
      <c r="Q85" s="328" t="str">
        <f>IFERROR(IF(compras_mes1[[#This Row],[CUIT]]="","-",VLOOKUP(compras_mes1[[#This Row],[CUIT]],Lista_CUIT[#All],3,0)),"CUIT NO CARGADO")</f>
        <v>PROD ORTOP P/ALQ</v>
      </c>
      <c r="R85" s="332">
        <f>IFERROR(IF(compras_mes1[[#This Row],[CUIT]]="","-",VLOOKUP(compras_mes1[[#This Row],[CUIT]],Lista_CUIT[#All],4,0)),"CUIT NO CARGADO")</f>
        <v>0</v>
      </c>
    </row>
    <row r="86" spans="2:18">
      <c r="B86" s="323">
        <v>45295</v>
      </c>
      <c r="C86" s="324">
        <v>1</v>
      </c>
      <c r="D86" s="325">
        <v>2</v>
      </c>
      <c r="E86" s="326">
        <v>300</v>
      </c>
      <c r="F86" s="327">
        <v>20272865869</v>
      </c>
      <c r="G86" s="328" t="str">
        <f>IFERROR(IF(compras_mes1[[#This Row],[CUIT]]="","-",VLOOKUP(compras_mes1[[#This Row],[CUIT]],Lista_CUIT[#All],2,0)),"CUIT NO CARGADO")</f>
        <v>DI FEO MARTIN EZEQUIEL</v>
      </c>
      <c r="H86" s="329">
        <v>95870.17</v>
      </c>
      <c r="I86" s="330">
        <f>IF(compras_mes1[[#This Row],[NETO GRAVADO]]="","",compras_mes1[[#This Row],[NETO GRAVADO]]*0.21)</f>
        <v>20132.735699999997</v>
      </c>
      <c r="J86" s="330"/>
      <c r="K86" s="330"/>
      <c r="L86" s="330"/>
      <c r="M86" s="330"/>
      <c r="N86" s="330"/>
      <c r="O86" s="330"/>
      <c r="P86" s="331">
        <f>SUM(compras_mes1[[#This Row],[NETO GRAVADO]:[Otros / No Grav.]])</f>
        <v>116002.9057</v>
      </c>
      <c r="Q86" s="328" t="str">
        <f>IFERROR(IF(compras_mes1[[#This Row],[CUIT]]="","-",VLOOKUP(compras_mes1[[#This Row],[CUIT]],Lista_CUIT[#All],3,0)),"CUIT NO CARGADO")</f>
        <v>Productos Ortopedicos</v>
      </c>
      <c r="R86" s="332">
        <f>IFERROR(IF(compras_mes1[[#This Row],[CUIT]]="","-",VLOOKUP(compras_mes1[[#This Row],[CUIT]],Lista_CUIT[#All],4,0)),"CUIT NO CARGADO")</f>
        <v>0</v>
      </c>
    </row>
    <row r="87" spans="2:18">
      <c r="B87" s="323">
        <v>45302</v>
      </c>
      <c r="C87" s="324">
        <v>1</v>
      </c>
      <c r="D87" s="325">
        <v>2</v>
      </c>
      <c r="E87" s="326">
        <v>311</v>
      </c>
      <c r="F87" s="327">
        <v>20272865869</v>
      </c>
      <c r="G87" s="328" t="str">
        <f>IFERROR(IF(compras_mes1[[#This Row],[CUIT]]="","-",VLOOKUP(compras_mes1[[#This Row],[CUIT]],Lista_CUIT[#All],2,0)),"CUIT NO CARGADO")</f>
        <v>DI FEO MARTIN EZEQUIEL</v>
      </c>
      <c r="H87" s="329">
        <v>115220</v>
      </c>
      <c r="I87" s="330">
        <f>IF(compras_mes1[[#This Row],[NETO GRAVADO]]="","",compras_mes1[[#This Row],[NETO GRAVADO]]*0.21)</f>
        <v>24196.2</v>
      </c>
      <c r="J87" s="330"/>
      <c r="K87" s="330"/>
      <c r="L87" s="330"/>
      <c r="M87" s="330"/>
      <c r="N87" s="330"/>
      <c r="O87" s="330"/>
      <c r="P87" s="331">
        <f>SUM(compras_mes1[[#This Row],[NETO GRAVADO]:[Otros / No Grav.]])</f>
        <v>139416.20000000001</v>
      </c>
      <c r="Q87" s="328" t="str">
        <f>IFERROR(IF(compras_mes1[[#This Row],[CUIT]]="","-",VLOOKUP(compras_mes1[[#This Row],[CUIT]],Lista_CUIT[#All],3,0)),"CUIT NO CARGADO")</f>
        <v>Productos Ortopedicos</v>
      </c>
      <c r="R87" s="332">
        <f>IFERROR(IF(compras_mes1[[#This Row],[CUIT]]="","-",VLOOKUP(compras_mes1[[#This Row],[CUIT]],Lista_CUIT[#All],4,0)),"CUIT NO CARGADO")</f>
        <v>0</v>
      </c>
    </row>
    <row r="88" spans="2:18">
      <c r="B88" s="323">
        <v>45302</v>
      </c>
      <c r="C88" s="324">
        <v>1</v>
      </c>
      <c r="D88" s="325">
        <v>3</v>
      </c>
      <c r="E88" s="326">
        <v>12</v>
      </c>
      <c r="F88" s="327">
        <v>20396584809</v>
      </c>
      <c r="G88" s="328" t="str">
        <f>IFERROR(IF(compras_mes1[[#This Row],[CUIT]]="","-",VLOOKUP(compras_mes1[[#This Row],[CUIT]],Lista_CUIT[#All],2,0)),"CUIT NO CARGADO")</f>
        <v>DEBELIUCH TOMAS IVAN</v>
      </c>
      <c r="H88" s="329">
        <v>235400</v>
      </c>
      <c r="I88" s="330"/>
      <c r="J88" s="330"/>
      <c r="K88" s="330">
        <v>24717</v>
      </c>
      <c r="L88" s="330"/>
      <c r="M88" s="330"/>
      <c r="N88" s="330"/>
      <c r="O88" s="330"/>
      <c r="P88" s="331">
        <f>SUM(compras_mes1[[#This Row],[NETO GRAVADO]:[Otros / No Grav.]])</f>
        <v>260117</v>
      </c>
      <c r="Q88" s="328" t="str">
        <f>IFERROR(IF(compras_mes1[[#This Row],[CUIT]]="","-",VLOOKUP(compras_mes1[[#This Row],[CUIT]],Lista_CUIT[#All],3,0)),"CUIT NO CARGADO")</f>
        <v>Productos Ortopedicos</v>
      </c>
      <c r="R88" s="332">
        <f>IFERROR(IF(compras_mes1[[#This Row],[CUIT]]="","-",VLOOKUP(compras_mes1[[#This Row],[CUIT]],Lista_CUIT[#All],4,0)),"CUIT NO CARGADO")</f>
        <v>0</v>
      </c>
    </row>
    <row r="89" spans="2:18">
      <c r="B89" s="323">
        <v>45316</v>
      </c>
      <c r="C89" s="324">
        <v>1</v>
      </c>
      <c r="D89" s="325">
        <v>8</v>
      </c>
      <c r="E89" s="326">
        <v>241</v>
      </c>
      <c r="F89" s="327">
        <v>30643518364</v>
      </c>
      <c r="G89" s="328" t="str">
        <f>IFERROR(IF(compras_mes1[[#This Row],[CUIT]]="","-",VLOOKUP(compras_mes1[[#This Row],[CUIT]],Lista_CUIT[#All],2,0)),"CUIT NO CARGADO")</f>
        <v>FARMACIA DE MEDRANO SCS</v>
      </c>
      <c r="H89" s="329">
        <v>105060</v>
      </c>
      <c r="I89" s="330">
        <f>IF(compras_mes1[[#This Row],[NETO GRAVADO]]="","",compras_mes1[[#This Row],[NETO GRAVADO]]*0.21)</f>
        <v>22062.6</v>
      </c>
      <c r="J89" s="330"/>
      <c r="K89" s="330"/>
      <c r="L89" s="330"/>
      <c r="M89" s="330"/>
      <c r="N89" s="330"/>
      <c r="O89" s="330"/>
      <c r="P89" s="331">
        <f>SUM(compras_mes1[[#This Row],[NETO GRAVADO]:[Otros / No Grav.]])</f>
        <v>127122.6</v>
      </c>
      <c r="Q89" s="328" t="str">
        <f>IFERROR(IF(compras_mes1[[#This Row],[CUIT]]="","-",VLOOKUP(compras_mes1[[#This Row],[CUIT]],Lista_CUIT[#All],3,0)),"CUIT NO CARGADO")</f>
        <v>Productos Ortopedicos</v>
      </c>
      <c r="R89" s="332">
        <f>IFERROR(IF(compras_mes1[[#This Row],[CUIT]]="","-",VLOOKUP(compras_mes1[[#This Row],[CUIT]],Lista_CUIT[#All],4,0)),"CUIT NO CARGADO")</f>
        <v>0</v>
      </c>
    </row>
    <row r="90" spans="2:18">
      <c r="B90" s="323">
        <v>45316</v>
      </c>
      <c r="C90" s="324">
        <v>1</v>
      </c>
      <c r="D90" s="325">
        <v>3</v>
      </c>
      <c r="E90" s="326">
        <v>13</v>
      </c>
      <c r="F90" s="327">
        <v>20396584809</v>
      </c>
      <c r="G90" s="328" t="str">
        <f>IFERROR(IF(compras_mes1[[#This Row],[CUIT]]="","-",VLOOKUP(compras_mes1[[#This Row],[CUIT]],Lista_CUIT[#All],2,0)),"CUIT NO CARGADO")</f>
        <v>DEBELIUCH TOMAS IVAN</v>
      </c>
      <c r="H90" s="329">
        <v>3074117.62</v>
      </c>
      <c r="I90" s="330"/>
      <c r="J90" s="330"/>
      <c r="K90" s="330">
        <v>322782.34999999998</v>
      </c>
      <c r="L90" s="330"/>
      <c r="M90" s="330"/>
      <c r="N90" s="330"/>
      <c r="O90" s="330"/>
      <c r="P90" s="331">
        <f>SUM(compras_mes1[[#This Row],[NETO GRAVADO]:[Otros / No Grav.]])</f>
        <v>3396899.97</v>
      </c>
      <c r="Q90" s="328" t="str">
        <f>IFERROR(IF(compras_mes1[[#This Row],[CUIT]]="","-",VLOOKUP(compras_mes1[[#This Row],[CUIT]],Lista_CUIT[#All],3,0)),"CUIT NO CARGADO")</f>
        <v>Productos Ortopedicos</v>
      </c>
      <c r="R90" s="332">
        <f>IFERROR(IF(compras_mes1[[#This Row],[CUIT]]="","-",VLOOKUP(compras_mes1[[#This Row],[CUIT]],Lista_CUIT[#All],4,0)),"CUIT NO CARGADO")</f>
        <v>0</v>
      </c>
    </row>
    <row r="91" spans="2:18">
      <c r="B91" s="323">
        <v>45320</v>
      </c>
      <c r="C91" s="324">
        <v>1</v>
      </c>
      <c r="D91" s="325">
        <v>2</v>
      </c>
      <c r="E91" s="326">
        <v>316</v>
      </c>
      <c r="F91" s="327">
        <v>20272865869</v>
      </c>
      <c r="G91" s="328" t="str">
        <f>IFERROR(IF(compras_mes1[[#This Row],[CUIT]]="","-",VLOOKUP(compras_mes1[[#This Row],[CUIT]],Lista_CUIT[#All],2,0)),"CUIT NO CARGADO")</f>
        <v>DI FEO MARTIN EZEQUIEL</v>
      </c>
      <c r="H91" s="329">
        <v>70872.639999999999</v>
      </c>
      <c r="I91" s="330">
        <f>IF(compras_mes1[[#This Row],[NETO GRAVADO]]="","",compras_mes1[[#This Row],[NETO GRAVADO]]*0.21)</f>
        <v>14883.2544</v>
      </c>
      <c r="J91" s="330"/>
      <c r="K91" s="330"/>
      <c r="L91" s="330"/>
      <c r="M91" s="330"/>
      <c r="N91" s="330"/>
      <c r="O91" s="330"/>
      <c r="P91" s="331">
        <f>SUM(compras_mes1[[#This Row],[NETO GRAVADO]:[Otros / No Grav.]])</f>
        <v>85755.894400000005</v>
      </c>
      <c r="Q91" s="328" t="str">
        <f>IFERROR(IF(compras_mes1[[#This Row],[CUIT]]="","-",VLOOKUP(compras_mes1[[#This Row],[CUIT]],Lista_CUIT[#All],3,0)),"CUIT NO CARGADO")</f>
        <v>Productos Ortopedicos</v>
      </c>
      <c r="R91" s="332">
        <f>IFERROR(IF(compras_mes1[[#This Row],[CUIT]]="","-",VLOOKUP(compras_mes1[[#This Row],[CUIT]],Lista_CUIT[#All],4,0)),"CUIT NO CARGADO")</f>
        <v>0</v>
      </c>
    </row>
    <row r="92" spans="2:18">
      <c r="B92" s="323">
        <v>45293</v>
      </c>
      <c r="C92" s="324">
        <v>1</v>
      </c>
      <c r="D92" s="325">
        <v>5</v>
      </c>
      <c r="E92" s="326">
        <v>1474</v>
      </c>
      <c r="F92" s="327">
        <v>30712187316</v>
      </c>
      <c r="G92" s="328" t="str">
        <f>IFERROR(IF(compras_mes1[[#This Row],[CUIT]]="","-",VLOOKUP(compras_mes1[[#This Row],[CUIT]],Lista_CUIT[#All],2,0)),"CUIT NO CARGADO")</f>
        <v>ITALOMED PRODUCTOS SRL</v>
      </c>
      <c r="H92" s="329">
        <v>238897.77</v>
      </c>
      <c r="I92" s="330">
        <f>IF(compras_mes1[[#This Row],[NETO GRAVADO]]="","",compras_mes1[[#This Row],[NETO GRAVADO]]*0.21)</f>
        <v>50168.5317</v>
      </c>
      <c r="J92" s="330"/>
      <c r="K92" s="330"/>
      <c r="L92" s="330"/>
      <c r="M92" s="330"/>
      <c r="N92" s="330"/>
      <c r="O92" s="330"/>
      <c r="P92" s="331">
        <f>SUM(compras_mes1[[#This Row],[NETO GRAVADO]:[Otros / No Grav.]])</f>
        <v>289066.30170000001</v>
      </c>
      <c r="Q92" s="328" t="str">
        <f>IFERROR(IF(compras_mes1[[#This Row],[CUIT]]="","-",VLOOKUP(compras_mes1[[#This Row],[CUIT]],Lista_CUIT[#All],3,0)),"CUIT NO CARGADO")</f>
        <v>Productos Ortopedicos</v>
      </c>
      <c r="R92" s="332">
        <f>IFERROR(IF(compras_mes1[[#This Row],[CUIT]]="","-",VLOOKUP(compras_mes1[[#This Row],[CUIT]],Lista_CUIT[#All],4,0)),"CUIT NO CARGADO")</f>
        <v>0</v>
      </c>
    </row>
    <row r="93" spans="2:18">
      <c r="B93" s="323">
        <v>45293</v>
      </c>
      <c r="C93" s="324">
        <v>1</v>
      </c>
      <c r="D93" s="325">
        <v>7</v>
      </c>
      <c r="E93" s="326">
        <v>1027</v>
      </c>
      <c r="F93" s="327">
        <v>30712187316</v>
      </c>
      <c r="G93" s="328" t="str">
        <f>IFERROR(IF(compras_mes1[[#This Row],[CUIT]]="","-",VLOOKUP(compras_mes1[[#This Row],[CUIT]],Lista_CUIT[#All],2,0)),"CUIT NO CARGADO")</f>
        <v>ITALOMED PRODUCTOS SRL</v>
      </c>
      <c r="H93" s="329">
        <v>180212.12</v>
      </c>
      <c r="I93" s="330">
        <f>IF(compras_mes1[[#This Row],[NETO GRAVADO]]="","",compras_mes1[[#This Row],[NETO GRAVADO]]*0.21)</f>
        <v>37844.5452</v>
      </c>
      <c r="J93" s="330"/>
      <c r="K93" s="330"/>
      <c r="L93" s="330"/>
      <c r="M93" s="330"/>
      <c r="N93" s="330"/>
      <c r="O93" s="330"/>
      <c r="P93" s="331">
        <f>SUM(compras_mes1[[#This Row],[NETO GRAVADO]:[Otros / No Grav.]])</f>
        <v>218056.66519999999</v>
      </c>
      <c r="Q93" s="328" t="str">
        <f>IFERROR(IF(compras_mes1[[#This Row],[CUIT]]="","-",VLOOKUP(compras_mes1[[#This Row],[CUIT]],Lista_CUIT[#All],3,0)),"CUIT NO CARGADO")</f>
        <v>Productos Ortopedicos</v>
      </c>
      <c r="R93" s="332">
        <f>IFERROR(IF(compras_mes1[[#This Row],[CUIT]]="","-",VLOOKUP(compras_mes1[[#This Row],[CUIT]],Lista_CUIT[#All],4,0)),"CUIT NO CARGADO")</f>
        <v>0</v>
      </c>
    </row>
    <row r="94" spans="2:18">
      <c r="B94" s="323">
        <v>45296</v>
      </c>
      <c r="C94" s="324">
        <v>1</v>
      </c>
      <c r="D94" s="325">
        <v>5</v>
      </c>
      <c r="E94" s="326">
        <v>1484</v>
      </c>
      <c r="F94" s="327">
        <v>30712187316</v>
      </c>
      <c r="G94" s="328" t="str">
        <f>IFERROR(IF(compras_mes1[[#This Row],[CUIT]]="","-",VLOOKUP(compras_mes1[[#This Row],[CUIT]],Lista_CUIT[#All],2,0)),"CUIT NO CARGADO")</f>
        <v>ITALOMED PRODUCTOS SRL</v>
      </c>
      <c r="H94" s="329">
        <v>238897.77</v>
      </c>
      <c r="I94" s="330">
        <f>IF(compras_mes1[[#This Row],[NETO GRAVADO]]="","",compras_mes1[[#This Row],[NETO GRAVADO]]*0.21)</f>
        <v>50168.5317</v>
      </c>
      <c r="J94" s="330"/>
      <c r="K94" s="330"/>
      <c r="L94" s="330"/>
      <c r="M94" s="330"/>
      <c r="N94" s="330"/>
      <c r="O94" s="330"/>
      <c r="P94" s="331">
        <f>SUM(compras_mes1[[#This Row],[NETO GRAVADO]:[Otros / No Grav.]])</f>
        <v>289066.30170000001</v>
      </c>
      <c r="Q94" s="328" t="str">
        <f>IFERROR(IF(compras_mes1[[#This Row],[CUIT]]="","-",VLOOKUP(compras_mes1[[#This Row],[CUIT]],Lista_CUIT[#All],3,0)),"CUIT NO CARGADO")</f>
        <v>Productos Ortopedicos</v>
      </c>
      <c r="R94" s="332">
        <f>IFERROR(IF(compras_mes1[[#This Row],[CUIT]]="","-",VLOOKUP(compras_mes1[[#This Row],[CUIT]],Lista_CUIT[#All],4,0)),"CUIT NO CARGADO")</f>
        <v>0</v>
      </c>
    </row>
    <row r="95" spans="2:18">
      <c r="B95" s="323">
        <v>45299</v>
      </c>
      <c r="C95" s="324">
        <v>1</v>
      </c>
      <c r="D95" s="325">
        <v>5</v>
      </c>
      <c r="E95" s="326">
        <v>1492</v>
      </c>
      <c r="F95" s="327">
        <v>30712187316</v>
      </c>
      <c r="G95" s="328" t="str">
        <f>IFERROR(IF(compras_mes1[[#This Row],[CUIT]]="","-",VLOOKUP(compras_mes1[[#This Row],[CUIT]],Lista_CUIT[#All],2,0)),"CUIT NO CARGADO")</f>
        <v>ITALOMED PRODUCTOS SRL</v>
      </c>
      <c r="H95" s="329">
        <v>570247.93000000005</v>
      </c>
      <c r="I95" s="330">
        <f>IF(compras_mes1[[#This Row],[NETO GRAVADO]]="","",compras_mes1[[#This Row],[NETO GRAVADO]]*0.21)</f>
        <v>119752.0653</v>
      </c>
      <c r="J95" s="330"/>
      <c r="K95" s="330"/>
      <c r="L95" s="330"/>
      <c r="M95" s="330"/>
      <c r="N95" s="330"/>
      <c r="O95" s="330"/>
      <c r="P95" s="331">
        <f>SUM(compras_mes1[[#This Row],[NETO GRAVADO]:[Otros / No Grav.]])</f>
        <v>689999.99530000007</v>
      </c>
      <c r="Q95" s="328" t="str">
        <f>IFERROR(IF(compras_mes1[[#This Row],[CUIT]]="","-",VLOOKUP(compras_mes1[[#This Row],[CUIT]],Lista_CUIT[#All],3,0)),"CUIT NO CARGADO")</f>
        <v>Productos Ortopedicos</v>
      </c>
      <c r="R95" s="332">
        <f>IFERROR(IF(compras_mes1[[#This Row],[CUIT]]="","-",VLOOKUP(compras_mes1[[#This Row],[CUIT]],Lista_CUIT[#All],4,0)),"CUIT NO CARGADO")</f>
        <v>0</v>
      </c>
    </row>
    <row r="96" spans="2:18">
      <c r="B96" s="323">
        <v>45300</v>
      </c>
      <c r="C96" s="324">
        <v>1</v>
      </c>
      <c r="D96" s="325">
        <v>5</v>
      </c>
      <c r="E96" s="326">
        <v>1497</v>
      </c>
      <c r="F96" s="327">
        <v>30712187316</v>
      </c>
      <c r="G96" s="328" t="str">
        <f>IFERROR(IF(compras_mes1[[#This Row],[CUIT]]="","-",VLOOKUP(compras_mes1[[#This Row],[CUIT]],Lista_CUIT[#All],2,0)),"CUIT NO CARGADO")</f>
        <v>ITALOMED PRODUCTOS SRL</v>
      </c>
      <c r="H96" s="329">
        <v>242510.3</v>
      </c>
      <c r="I96" s="330">
        <f>IF(compras_mes1[[#This Row],[NETO GRAVADO]]="","",compras_mes1[[#This Row],[NETO GRAVADO]]*0.21)</f>
        <v>50927.162999999993</v>
      </c>
      <c r="J96" s="330"/>
      <c r="K96" s="330"/>
      <c r="L96" s="330"/>
      <c r="M96" s="330"/>
      <c r="N96" s="330"/>
      <c r="O96" s="330"/>
      <c r="P96" s="331">
        <f>SUM(compras_mes1[[#This Row],[NETO GRAVADO]:[Otros / No Grav.]])</f>
        <v>293437.46299999999</v>
      </c>
      <c r="Q96" s="328" t="str">
        <f>IFERROR(IF(compras_mes1[[#This Row],[CUIT]]="","-",VLOOKUP(compras_mes1[[#This Row],[CUIT]],Lista_CUIT[#All],3,0)),"CUIT NO CARGADO")</f>
        <v>Productos Ortopedicos</v>
      </c>
      <c r="R96" s="332">
        <f>IFERROR(IF(compras_mes1[[#This Row],[CUIT]]="","-",VLOOKUP(compras_mes1[[#This Row],[CUIT]],Lista_CUIT[#All],4,0)),"CUIT NO CARGADO")</f>
        <v>0</v>
      </c>
    </row>
    <row r="97" spans="2:18">
      <c r="B97" s="323">
        <v>45301</v>
      </c>
      <c r="C97" s="324">
        <v>1</v>
      </c>
      <c r="D97" s="325">
        <v>7</v>
      </c>
      <c r="E97" s="326">
        <v>28298</v>
      </c>
      <c r="F97" s="327">
        <v>20271532483</v>
      </c>
      <c r="G97" s="328" t="str">
        <f>IFERROR(IF(compras_mes1[[#This Row],[CUIT]]="","-",VLOOKUP(compras_mes1[[#This Row],[CUIT]],Lista_CUIT[#All],2,0)),"CUIT NO CARGADO")</f>
        <v>DIEGO MARTIN RIOS</v>
      </c>
      <c r="H97" s="329">
        <v>4650770.12</v>
      </c>
      <c r="I97" s="330">
        <f>IF(compras_mes1[[#This Row],[NETO GRAVADO]]="","",compras_mes1[[#This Row],[NETO GRAVADO]]*0.21)</f>
        <v>976661.72519999999</v>
      </c>
      <c r="J97" s="330"/>
      <c r="K97" s="330"/>
      <c r="L97" s="330"/>
      <c r="M97" s="330"/>
      <c r="N97" s="330"/>
      <c r="O97" s="330">
        <v>186030.8</v>
      </c>
      <c r="P97" s="331">
        <f>SUM(compras_mes1[[#This Row],[NETO GRAVADO]:[Otros / No Grav.]])</f>
        <v>5813462.6452000001</v>
      </c>
      <c r="Q97" s="328" t="str">
        <f>IFERROR(IF(compras_mes1[[#This Row],[CUIT]]="","-",VLOOKUP(compras_mes1[[#This Row],[CUIT]],Lista_CUIT[#All],3,0)),"CUIT NO CARGADO")</f>
        <v>Productos Ortopedicos</v>
      </c>
      <c r="R97" s="332">
        <f>IFERROR(IF(compras_mes1[[#This Row],[CUIT]]="","-",VLOOKUP(compras_mes1[[#This Row],[CUIT]],Lista_CUIT[#All],4,0)),"CUIT NO CARGADO")</f>
        <v>0</v>
      </c>
    </row>
    <row r="98" spans="2:18">
      <c r="B98" s="323">
        <v>45301</v>
      </c>
      <c r="C98" s="324">
        <v>1</v>
      </c>
      <c r="D98" s="325">
        <v>5</v>
      </c>
      <c r="E98" s="326">
        <v>1499</v>
      </c>
      <c r="F98" s="327">
        <v>30712187316</v>
      </c>
      <c r="G98" s="328" t="str">
        <f>IFERROR(IF(compras_mes1[[#This Row],[CUIT]]="","-",VLOOKUP(compras_mes1[[#This Row],[CUIT]],Lista_CUIT[#All],2,0)),"CUIT NO CARGADO")</f>
        <v>ITALOMED PRODUCTOS SRL</v>
      </c>
      <c r="H98" s="329">
        <v>192787.05</v>
      </c>
      <c r="I98" s="330">
        <f>IF(compras_mes1[[#This Row],[NETO GRAVADO]]="","",compras_mes1[[#This Row],[NETO GRAVADO]]*0.21)</f>
        <v>40485.280499999993</v>
      </c>
      <c r="J98" s="330"/>
      <c r="K98" s="330"/>
      <c r="L98" s="330"/>
      <c r="M98" s="330"/>
      <c r="N98" s="330"/>
      <c r="O98" s="330"/>
      <c r="P98" s="331">
        <f>SUM(compras_mes1[[#This Row],[NETO GRAVADO]:[Otros / No Grav.]])</f>
        <v>233272.33049999998</v>
      </c>
      <c r="Q98" s="328" t="str">
        <f>IFERROR(IF(compras_mes1[[#This Row],[CUIT]]="","-",VLOOKUP(compras_mes1[[#This Row],[CUIT]],Lista_CUIT[#All],3,0)),"CUIT NO CARGADO")</f>
        <v>Productos Ortopedicos</v>
      </c>
      <c r="R98" s="332">
        <f>IFERROR(IF(compras_mes1[[#This Row],[CUIT]]="","-",VLOOKUP(compras_mes1[[#This Row],[CUIT]],Lista_CUIT[#All],4,0)),"CUIT NO CARGADO")</f>
        <v>0</v>
      </c>
    </row>
    <row r="99" spans="2:18">
      <c r="B99" s="323">
        <v>45302</v>
      </c>
      <c r="C99" s="324">
        <v>1</v>
      </c>
      <c r="D99" s="325">
        <v>5</v>
      </c>
      <c r="E99" s="326">
        <v>1501</v>
      </c>
      <c r="F99" s="327">
        <v>30712187316</v>
      </c>
      <c r="G99" s="328" t="str">
        <f>IFERROR(IF(compras_mes1[[#This Row],[CUIT]]="","-",VLOOKUP(compras_mes1[[#This Row],[CUIT]],Lista_CUIT[#All],2,0)),"CUIT NO CARGADO")</f>
        <v>ITALOMED PRODUCTOS SRL</v>
      </c>
      <c r="H99" s="329">
        <v>185059.29</v>
      </c>
      <c r="I99" s="330">
        <f>IF(compras_mes1[[#This Row],[NETO GRAVADO]]="","",compras_mes1[[#This Row],[NETO GRAVADO]]*0.21)</f>
        <v>38862.450900000003</v>
      </c>
      <c r="J99" s="330"/>
      <c r="K99" s="330"/>
      <c r="L99" s="330"/>
      <c r="M99" s="330"/>
      <c r="N99" s="330"/>
      <c r="O99" s="330"/>
      <c r="P99" s="331">
        <f>SUM(compras_mes1[[#This Row],[NETO GRAVADO]:[Otros / No Grav.]])</f>
        <v>223921.7409</v>
      </c>
      <c r="Q99" s="328" t="str">
        <f>IFERROR(IF(compras_mes1[[#This Row],[CUIT]]="","-",VLOOKUP(compras_mes1[[#This Row],[CUIT]],Lista_CUIT[#All],3,0)),"CUIT NO CARGADO")</f>
        <v>Productos Ortopedicos</v>
      </c>
      <c r="R99" s="332">
        <f>IFERROR(IF(compras_mes1[[#This Row],[CUIT]]="","-",VLOOKUP(compras_mes1[[#This Row],[CUIT]],Lista_CUIT[#All],4,0)),"CUIT NO CARGADO")</f>
        <v>0</v>
      </c>
    </row>
    <row r="100" spans="2:18">
      <c r="B100" s="323">
        <v>45302</v>
      </c>
      <c r="C100" s="324">
        <v>1</v>
      </c>
      <c r="D100" s="325">
        <v>7</v>
      </c>
      <c r="E100" s="326">
        <v>1033</v>
      </c>
      <c r="F100" s="327">
        <v>30712187316</v>
      </c>
      <c r="G100" s="328" t="str">
        <f>IFERROR(IF(compras_mes1[[#This Row],[CUIT]]="","-",VLOOKUP(compras_mes1[[#This Row],[CUIT]],Lista_CUIT[#All],2,0)),"CUIT NO CARGADO")</f>
        <v>ITALOMED PRODUCTOS SRL</v>
      </c>
      <c r="H100" s="329">
        <v>159520.17000000001</v>
      </c>
      <c r="I100" s="330">
        <f>IF(compras_mes1[[#This Row],[NETO GRAVADO]]="","",compras_mes1[[#This Row],[NETO GRAVADO]]*0.21)</f>
        <v>33499.235700000005</v>
      </c>
      <c r="J100" s="330"/>
      <c r="K100" s="330"/>
      <c r="L100" s="330"/>
      <c r="M100" s="330"/>
      <c r="N100" s="330"/>
      <c r="O100" s="330"/>
      <c r="P100" s="331">
        <f>SUM(compras_mes1[[#This Row],[NETO GRAVADO]:[Otros / No Grav.]])</f>
        <v>193019.4057</v>
      </c>
      <c r="Q100" s="328" t="str">
        <f>IFERROR(IF(compras_mes1[[#This Row],[CUIT]]="","-",VLOOKUP(compras_mes1[[#This Row],[CUIT]],Lista_CUIT[#All],3,0)),"CUIT NO CARGADO")</f>
        <v>Productos Ortopedicos</v>
      </c>
      <c r="R100" s="332">
        <f>IFERROR(IF(compras_mes1[[#This Row],[CUIT]]="","-",VLOOKUP(compras_mes1[[#This Row],[CUIT]],Lista_CUIT[#All],4,0)),"CUIT NO CARGADO")</f>
        <v>0</v>
      </c>
    </row>
    <row r="101" spans="2:18">
      <c r="B101" s="323">
        <v>45306</v>
      </c>
      <c r="C101" s="324">
        <v>1</v>
      </c>
      <c r="D101" s="325">
        <v>5</v>
      </c>
      <c r="E101" s="326">
        <v>1507</v>
      </c>
      <c r="F101" s="327">
        <v>30712187316</v>
      </c>
      <c r="G101" s="328" t="str">
        <f>IFERROR(IF(compras_mes1[[#This Row],[CUIT]]="","-",VLOOKUP(compras_mes1[[#This Row],[CUIT]],Lista_CUIT[#All],2,0)),"CUIT NO CARGADO")</f>
        <v>ITALOMED PRODUCTOS SRL</v>
      </c>
      <c r="H101" s="329">
        <v>456049.04</v>
      </c>
      <c r="I101" s="330">
        <f>IF(compras_mes1[[#This Row],[NETO GRAVADO]]="","",compras_mes1[[#This Row],[NETO GRAVADO]]*0.21)</f>
        <v>95770.298399999985</v>
      </c>
      <c r="J101" s="330"/>
      <c r="K101" s="330"/>
      <c r="L101" s="330"/>
      <c r="M101" s="330"/>
      <c r="N101" s="330"/>
      <c r="O101" s="330"/>
      <c r="P101" s="331">
        <f>SUM(compras_mes1[[#This Row],[NETO GRAVADO]:[Otros / No Grav.]])</f>
        <v>551819.33840000001</v>
      </c>
      <c r="Q101" s="328" t="str">
        <f>IFERROR(IF(compras_mes1[[#This Row],[CUIT]]="","-",VLOOKUP(compras_mes1[[#This Row],[CUIT]],Lista_CUIT[#All],3,0)),"CUIT NO CARGADO")</f>
        <v>Productos Ortopedicos</v>
      </c>
      <c r="R101" s="332">
        <f>IFERROR(IF(compras_mes1[[#This Row],[CUIT]]="","-",VLOOKUP(compras_mes1[[#This Row],[CUIT]],Lista_CUIT[#All],4,0)),"CUIT NO CARGADO")</f>
        <v>0</v>
      </c>
    </row>
    <row r="102" spans="2:18">
      <c r="B102" s="323">
        <v>45313</v>
      </c>
      <c r="C102" s="324">
        <v>1</v>
      </c>
      <c r="D102" s="325">
        <v>5</v>
      </c>
      <c r="E102" s="326">
        <v>1518</v>
      </c>
      <c r="F102" s="327">
        <v>30712187316</v>
      </c>
      <c r="G102" s="328" t="str">
        <f>IFERROR(IF(compras_mes1[[#This Row],[CUIT]]="","-",VLOOKUP(compras_mes1[[#This Row],[CUIT]],Lista_CUIT[#All],2,0)),"CUIT NO CARGADO")</f>
        <v>ITALOMED PRODUCTOS SRL</v>
      </c>
      <c r="H102" s="329">
        <v>262289.23</v>
      </c>
      <c r="I102" s="330">
        <f>IF(compras_mes1[[#This Row],[NETO GRAVADO]]="","",compras_mes1[[#This Row],[NETO GRAVADO]]*0.21)</f>
        <v>55080.738299999997</v>
      </c>
      <c r="J102" s="330"/>
      <c r="K102" s="330"/>
      <c r="L102" s="330"/>
      <c r="M102" s="330"/>
      <c r="N102" s="330"/>
      <c r="O102" s="330"/>
      <c r="P102" s="331">
        <f>SUM(compras_mes1[[#This Row],[NETO GRAVADO]:[Otros / No Grav.]])</f>
        <v>317369.96829999995</v>
      </c>
      <c r="Q102" s="328" t="str">
        <f>IFERROR(IF(compras_mes1[[#This Row],[CUIT]]="","-",VLOOKUP(compras_mes1[[#This Row],[CUIT]],Lista_CUIT[#All],3,0)),"CUIT NO CARGADO")</f>
        <v>Productos Ortopedicos</v>
      </c>
      <c r="R102" s="332">
        <f>IFERROR(IF(compras_mes1[[#This Row],[CUIT]]="","-",VLOOKUP(compras_mes1[[#This Row],[CUIT]],Lista_CUIT[#All],4,0)),"CUIT NO CARGADO")</f>
        <v>0</v>
      </c>
    </row>
    <row r="103" spans="2:18">
      <c r="B103" s="323">
        <v>45314</v>
      </c>
      <c r="C103" s="324">
        <v>1</v>
      </c>
      <c r="D103" s="325">
        <v>7</v>
      </c>
      <c r="E103" s="326">
        <v>28324</v>
      </c>
      <c r="F103" s="327">
        <v>20271532483</v>
      </c>
      <c r="G103" s="328" t="str">
        <f>IFERROR(IF(compras_mes1[[#This Row],[CUIT]]="","-",VLOOKUP(compras_mes1[[#This Row],[CUIT]],Lista_CUIT[#All],2,0)),"CUIT NO CARGADO")</f>
        <v>DIEGO MARTIN RIOS</v>
      </c>
      <c r="H103" s="329">
        <v>6700332.7300000004</v>
      </c>
      <c r="I103" s="330">
        <f>IF(compras_mes1[[#This Row],[NETO GRAVADO]]="","",compras_mes1[[#This Row],[NETO GRAVADO]]*0.21)</f>
        <v>1407069.8733000001</v>
      </c>
      <c r="J103" s="330"/>
      <c r="K103" s="330"/>
      <c r="L103" s="330"/>
      <c r="M103" s="330"/>
      <c r="N103" s="330"/>
      <c r="O103" s="330">
        <v>268013.31</v>
      </c>
      <c r="P103" s="331">
        <f>SUM(compras_mes1[[#This Row],[NETO GRAVADO]:[Otros / No Grav.]])</f>
        <v>8375415.9133000001</v>
      </c>
      <c r="Q103" s="328" t="str">
        <f>IFERROR(IF(compras_mes1[[#This Row],[CUIT]]="","-",VLOOKUP(compras_mes1[[#This Row],[CUIT]],Lista_CUIT[#All],3,0)),"CUIT NO CARGADO")</f>
        <v>Productos Ortopedicos</v>
      </c>
      <c r="R103" s="332">
        <f>IFERROR(IF(compras_mes1[[#This Row],[CUIT]]="","-",VLOOKUP(compras_mes1[[#This Row],[CUIT]],Lista_CUIT[#All],4,0)),"CUIT NO CARGADO")</f>
        <v>0</v>
      </c>
    </row>
    <row r="104" spans="2:18">
      <c r="B104" s="323">
        <v>45317</v>
      </c>
      <c r="C104" s="324">
        <v>1</v>
      </c>
      <c r="D104" s="325">
        <v>7</v>
      </c>
      <c r="E104" s="326">
        <v>28347</v>
      </c>
      <c r="F104" s="327">
        <v>20271532483</v>
      </c>
      <c r="G104" s="328" t="str">
        <f>IFERROR(IF(compras_mes1[[#This Row],[CUIT]]="","-",VLOOKUP(compras_mes1[[#This Row],[CUIT]],Lista_CUIT[#All],2,0)),"CUIT NO CARGADO")</f>
        <v>DIEGO MARTIN RIOS</v>
      </c>
      <c r="H104" s="329">
        <v>7123971.5700000003</v>
      </c>
      <c r="I104" s="330">
        <f>IF(compras_mes1[[#This Row],[NETO GRAVADO]]="","",compras_mes1[[#This Row],[NETO GRAVADO]]*0.21)</f>
        <v>1496034.0297000001</v>
      </c>
      <c r="J104" s="330"/>
      <c r="K104" s="330"/>
      <c r="L104" s="330"/>
      <c r="M104" s="330"/>
      <c r="N104" s="330"/>
      <c r="O104" s="330">
        <v>284958.86</v>
      </c>
      <c r="P104" s="331">
        <f>SUM(compras_mes1[[#This Row],[NETO GRAVADO]:[Otros / No Grav.]])</f>
        <v>8904964.4596999995</v>
      </c>
      <c r="Q104" s="328" t="str">
        <f>IFERROR(IF(compras_mes1[[#This Row],[CUIT]]="","-",VLOOKUP(compras_mes1[[#This Row],[CUIT]],Lista_CUIT[#All],3,0)),"CUIT NO CARGADO")</f>
        <v>Productos Ortopedicos</v>
      </c>
      <c r="R104" s="332">
        <f>IFERROR(IF(compras_mes1[[#This Row],[CUIT]]="","-",VLOOKUP(compras_mes1[[#This Row],[CUIT]],Lista_CUIT[#All],4,0)),"CUIT NO CARGADO")</f>
        <v>0</v>
      </c>
    </row>
    <row r="105" spans="2:18">
      <c r="B105" s="323">
        <v>45317</v>
      </c>
      <c r="C105" s="324">
        <v>1</v>
      </c>
      <c r="D105" s="325">
        <v>2</v>
      </c>
      <c r="E105" s="326">
        <v>7517</v>
      </c>
      <c r="F105" s="327">
        <v>30694549817</v>
      </c>
      <c r="G105" s="328" t="str">
        <f>IFERROR(IF(compras_mes1[[#This Row],[CUIT]]="","-",VLOOKUP(compras_mes1[[#This Row],[CUIT]],Lista_CUIT[#All],2,0)),"CUIT NO CARGADO")</f>
        <v>DISEÑOS JERY SRL</v>
      </c>
      <c r="H105" s="329">
        <v>2643149.04</v>
      </c>
      <c r="I105" s="330">
        <f>IF(compras_mes1[[#This Row],[NETO GRAVADO]]="","",compras_mes1[[#This Row],[NETO GRAVADO]]*0.21)</f>
        <v>555061.29839999997</v>
      </c>
      <c r="J105" s="330"/>
      <c r="K105" s="330"/>
      <c r="L105" s="330"/>
      <c r="M105" s="330"/>
      <c r="N105" s="330"/>
      <c r="O105" s="330"/>
      <c r="P105" s="331">
        <f>SUM(compras_mes1[[#This Row],[NETO GRAVADO]:[Otros / No Grav.]])</f>
        <v>3198210.3383999998</v>
      </c>
      <c r="Q105" s="328" t="str">
        <f>IFERROR(IF(compras_mes1[[#This Row],[CUIT]]="","-",VLOOKUP(compras_mes1[[#This Row],[CUIT]],Lista_CUIT[#All],3,0)),"CUIT NO CARGADO")</f>
        <v>Productos Ortopedicos</v>
      </c>
      <c r="R105" s="332">
        <f>IFERROR(IF(compras_mes1[[#This Row],[CUIT]]="","-",VLOOKUP(compras_mes1[[#This Row],[CUIT]],Lista_CUIT[#All],4,0)),"CUIT NO CARGADO")</f>
        <v>0</v>
      </c>
    </row>
    <row r="106" spans="2:18">
      <c r="B106" s="323">
        <v>45322</v>
      </c>
      <c r="C106" s="324">
        <v>1</v>
      </c>
      <c r="D106" s="325">
        <v>7</v>
      </c>
      <c r="E106" s="326">
        <v>28377</v>
      </c>
      <c r="F106" s="327">
        <v>20271532483</v>
      </c>
      <c r="G106" s="328" t="str">
        <f>IFERROR(IF(compras_mes1[[#This Row],[CUIT]]="","-",VLOOKUP(compras_mes1[[#This Row],[CUIT]],Lista_CUIT[#All],2,0)),"CUIT NO CARGADO")</f>
        <v>DIEGO MARTIN RIOS</v>
      </c>
      <c r="H106" s="329">
        <v>543312</v>
      </c>
      <c r="I106" s="330">
        <f>IF(compras_mes1[[#This Row],[NETO GRAVADO]]="","",compras_mes1[[#This Row],[NETO GRAVADO]]*0.21)</f>
        <v>114095.51999999999</v>
      </c>
      <c r="J106" s="330"/>
      <c r="K106" s="330"/>
      <c r="L106" s="330"/>
      <c r="M106" s="330"/>
      <c r="N106" s="330"/>
      <c r="O106" s="330">
        <v>21732.48</v>
      </c>
      <c r="P106" s="331">
        <f>SUM(compras_mes1[[#This Row],[NETO GRAVADO]:[Otros / No Grav.]])</f>
        <v>679140</v>
      </c>
      <c r="Q106" s="328" t="str">
        <f>IFERROR(IF(compras_mes1[[#This Row],[CUIT]]="","-",VLOOKUP(compras_mes1[[#This Row],[CUIT]],Lista_CUIT[#All],3,0)),"CUIT NO CARGADO")</f>
        <v>Productos Ortopedicos</v>
      </c>
      <c r="R106" s="332">
        <f>IFERROR(IF(compras_mes1[[#This Row],[CUIT]]="","-",VLOOKUP(compras_mes1[[#This Row],[CUIT]],Lista_CUIT[#All],4,0)),"CUIT NO CARGADO")</f>
        <v>0</v>
      </c>
    </row>
    <row r="107" spans="2:18">
      <c r="B107" s="323">
        <v>45322</v>
      </c>
      <c r="C107" s="324">
        <v>1</v>
      </c>
      <c r="D107" s="325">
        <v>7</v>
      </c>
      <c r="E107" s="326">
        <v>28379</v>
      </c>
      <c r="F107" s="327">
        <v>20271532483</v>
      </c>
      <c r="G107" s="328" t="str">
        <f>IFERROR(IF(compras_mes1[[#This Row],[CUIT]]="","-",VLOOKUP(compras_mes1[[#This Row],[CUIT]],Lista_CUIT[#All],2,0)),"CUIT NO CARGADO")</f>
        <v>DIEGO MARTIN RIOS</v>
      </c>
      <c r="H107" s="329">
        <v>9294619.3599999994</v>
      </c>
      <c r="I107" s="330">
        <f>IF(compras_mes1[[#This Row],[NETO GRAVADO]]="","",compras_mes1[[#This Row],[NETO GRAVADO]]*0.21)</f>
        <v>1951870.0655999999</v>
      </c>
      <c r="J107" s="330"/>
      <c r="K107" s="330"/>
      <c r="L107" s="330"/>
      <c r="M107" s="330"/>
      <c r="N107" s="330"/>
      <c r="O107" s="330">
        <v>371784.77</v>
      </c>
      <c r="P107" s="331">
        <f>SUM(compras_mes1[[#This Row],[NETO GRAVADO]:[Otros / No Grav.]])</f>
        <v>11618274.195599999</v>
      </c>
      <c r="Q107" s="328" t="str">
        <f>IFERROR(IF(compras_mes1[[#This Row],[CUIT]]="","-",VLOOKUP(compras_mes1[[#This Row],[CUIT]],Lista_CUIT[#All],3,0)),"CUIT NO CARGADO")</f>
        <v>Productos Ortopedicos</v>
      </c>
      <c r="R107" s="332">
        <f>IFERROR(IF(compras_mes1[[#This Row],[CUIT]]="","-",VLOOKUP(compras_mes1[[#This Row],[CUIT]],Lista_CUIT[#All],4,0)),"CUIT NO CARGADO")</f>
        <v>0</v>
      </c>
    </row>
    <row r="108" spans="2:18">
      <c r="B108" s="333">
        <v>45322</v>
      </c>
      <c r="C108" s="160">
        <v>1</v>
      </c>
      <c r="D108" s="334">
        <v>7</v>
      </c>
      <c r="E108" s="335">
        <v>28378</v>
      </c>
      <c r="F108" s="336">
        <v>20271532483</v>
      </c>
      <c r="G108" s="337" t="str">
        <f>IFERROR(IF(compras_mes1[[#This Row],[CUIT]]="","-",VLOOKUP(compras_mes1[[#This Row],[CUIT]],Lista_CUIT[#All],2,0)),"CUIT NO CARGADO")</f>
        <v>DIEGO MARTIN RIOS</v>
      </c>
      <c r="H108" s="338">
        <v>225486.24</v>
      </c>
      <c r="I108" s="339">
        <f>IF(compras_mes1[[#This Row],[NETO GRAVADO]]="","",compras_mes1[[#This Row],[NETO GRAVADO]]*0.21)</f>
        <v>47352.110399999998</v>
      </c>
      <c r="J108" s="339"/>
      <c r="K108" s="339"/>
      <c r="L108" s="339"/>
      <c r="M108" s="339"/>
      <c r="N108" s="167">
        <v>9019.4500000000007</v>
      </c>
      <c r="O108" s="339"/>
      <c r="P108" s="340">
        <f>SUM(compras_mes1[[#This Row],[NETO GRAVADO]:[Otros / No Grav.]])</f>
        <v>281857.80040000001</v>
      </c>
      <c r="Q108" s="337" t="str">
        <f>IFERROR(IF(compras_mes1[[#This Row],[CUIT]]="","-",VLOOKUP(compras_mes1[[#This Row],[CUIT]],Lista_CUIT[#All],3,0)),"CUIT NO CARGADO")</f>
        <v>Productos Ortopedicos</v>
      </c>
      <c r="R108" s="341">
        <f>IFERROR(IF(compras_mes1[[#This Row],[CUIT]]="","-",VLOOKUP(compras_mes1[[#This Row],[CUIT]],Lista_CUIT[#All],4,0)),"CUIT NO CARGADO")</f>
        <v>0</v>
      </c>
    </row>
    <row r="109" spans="2:18">
      <c r="B109" s="333">
        <v>45292</v>
      </c>
      <c r="C109" s="160">
        <v>1</v>
      </c>
      <c r="D109" s="334">
        <v>1326</v>
      </c>
      <c r="E109" s="335">
        <v>207475</v>
      </c>
      <c r="F109" s="336">
        <v>30663288497</v>
      </c>
      <c r="G109" s="337" t="str">
        <f>IFERROR(IF(compras_mes1[[#This Row],[CUIT]]="","-",VLOOKUP(compras_mes1[[#This Row],[CUIT]],Lista_CUIT[#All],2,0)),"CUIT NO CARGADO")</f>
        <v>AMX ARG SA</v>
      </c>
      <c r="H109" s="338">
        <v>14700</v>
      </c>
      <c r="I109" s="339">
        <v>1165.5</v>
      </c>
      <c r="J109" s="339">
        <v>2470.5</v>
      </c>
      <c r="K109" s="339"/>
      <c r="L109" s="339"/>
      <c r="M109" s="339"/>
      <c r="N109" s="339">
        <v>588</v>
      </c>
      <c r="O109" s="339">
        <f>441+481.58</f>
        <v>922.57999999999993</v>
      </c>
      <c r="P109" s="340">
        <f>SUM(compras_mes1[[#This Row],[NETO GRAVADO]:[Otros / No Grav.]])</f>
        <v>19846.580000000002</v>
      </c>
      <c r="Q109" s="337" t="str">
        <f>IFERROR(IF(compras_mes1[[#This Row],[CUIT]]="","-",VLOOKUP(compras_mes1[[#This Row],[CUIT]],Lista_CUIT[#All],3,0)),"CUIT NO CARGADO")</f>
        <v>Servicios Gas-Luz-Agua-Internet</v>
      </c>
      <c r="R109" s="341">
        <f>IFERROR(IF(compras_mes1[[#This Row],[CUIT]]="","-",VLOOKUP(compras_mes1[[#This Row],[CUIT]],Lista_CUIT[#All],4,0)),"CUIT NO CARGADO")</f>
        <v>0</v>
      </c>
    </row>
    <row r="110" spans="2:18">
      <c r="B110" s="323">
        <v>45313</v>
      </c>
      <c r="C110" s="324">
        <v>1</v>
      </c>
      <c r="D110" s="325">
        <v>5</v>
      </c>
      <c r="E110" s="326">
        <v>2953764</v>
      </c>
      <c r="F110" s="327">
        <v>30702652975</v>
      </c>
      <c r="G110" s="328" t="str">
        <f>IFERROR(IF(compras_mes1[[#This Row],[CUIT]]="","-",VLOOKUP(compras_mes1[[#This Row],[CUIT]],Lista_CUIT[#All],2,0)),"CUIT NO CARGADO")</f>
        <v>NSS SA</v>
      </c>
      <c r="H110" s="329">
        <v>19748.77</v>
      </c>
      <c r="I110" s="330">
        <f>IF(compras_mes1[[#This Row],[NETO GRAVADO]]="","",compras_mes1[[#This Row],[NETO GRAVADO]]*0.21)</f>
        <v>4147.2416999999996</v>
      </c>
      <c r="J110" s="330"/>
      <c r="K110" s="330"/>
      <c r="L110" s="330"/>
      <c r="M110" s="330"/>
      <c r="N110" s="330">
        <v>789.95</v>
      </c>
      <c r="O110" s="330"/>
      <c r="P110" s="331">
        <f>SUM(compras_mes1[[#This Row],[NETO GRAVADO]:[Otros / No Grav.]])</f>
        <v>24685.9617</v>
      </c>
      <c r="Q110" s="328" t="str">
        <f>IFERROR(IF(compras_mes1[[#This Row],[CUIT]]="","-",VLOOKUP(compras_mes1[[#This Row],[CUIT]],Lista_CUIT[#All],3,0)),"CUIT NO CARGADO")</f>
        <v>Servicios Gas-Luz-Agua-Internet</v>
      </c>
      <c r="R110" s="332">
        <f>IFERROR(IF(compras_mes1[[#This Row],[CUIT]]="","-",VLOOKUP(compras_mes1[[#This Row],[CUIT]],Lista_CUIT[#All],4,0)),"CUIT NO CARGADO")</f>
        <v>0</v>
      </c>
    </row>
    <row r="111" spans="2:18">
      <c r="B111" s="323">
        <v>45322</v>
      </c>
      <c r="C111" s="324">
        <v>1</v>
      </c>
      <c r="D111" s="325">
        <v>20</v>
      </c>
      <c r="E111" s="326">
        <v>174649</v>
      </c>
      <c r="F111" s="327">
        <v>30696850972</v>
      </c>
      <c r="G111" s="328" t="str">
        <f>IFERROR(IF(compras_mes1[[#This Row],[CUIT]]="","-",VLOOKUP(compras_mes1[[#This Row],[CUIT]],Lista_CUIT[#All],2,0)),"CUIT NO CARGADO")</f>
        <v>CPS COMUNICACIONES SA</v>
      </c>
      <c r="H111" s="329">
        <v>13046.03</v>
      </c>
      <c r="I111" s="330"/>
      <c r="J111" s="330">
        <v>3522.43</v>
      </c>
      <c r="K111" s="330"/>
      <c r="L111" s="330"/>
      <c r="M111" s="330"/>
      <c r="N111" s="330">
        <v>521.85</v>
      </c>
      <c r="O111" s="330"/>
      <c r="P111" s="331">
        <f>SUM(compras_mes1[[#This Row],[NETO GRAVADO]:[Otros / No Grav.]])</f>
        <v>17090.309999999998</v>
      </c>
      <c r="Q111" s="328" t="str">
        <f>IFERROR(IF(compras_mes1[[#This Row],[CUIT]]="","-",VLOOKUP(compras_mes1[[#This Row],[CUIT]],Lista_CUIT[#All],3,0)),"CUIT NO CARGADO")</f>
        <v>Servicios Gas-Luz-Agua-Internet</v>
      </c>
      <c r="R111" s="332">
        <f>IFERROR(IF(compras_mes1[[#This Row],[CUIT]]="","-",VLOOKUP(compras_mes1[[#This Row],[CUIT]],Lista_CUIT[#All],4,0)),"CUIT NO CARGADO")</f>
        <v>0</v>
      </c>
    </row>
    <row r="112" spans="2:18">
      <c r="B112" s="323">
        <v>45300</v>
      </c>
      <c r="C112" s="324">
        <v>1</v>
      </c>
      <c r="D112" s="325">
        <v>3101</v>
      </c>
      <c r="E112" s="326">
        <v>16680</v>
      </c>
      <c r="F112" s="327">
        <v>30678814357</v>
      </c>
      <c r="G112" s="328" t="str">
        <f>IFERROR(IF(compras_mes1[[#This Row],[CUIT]]="","-",VLOOKUP(compras_mes1[[#This Row],[CUIT]],Lista_CUIT[#All],2,0)),"CUIT NO CARGADO")</f>
        <v>TELEFONICA MOVILES ARG SA</v>
      </c>
      <c r="H112" s="329">
        <v>22311.16</v>
      </c>
      <c r="I112" s="330"/>
      <c r="J112" s="330">
        <v>6024.01</v>
      </c>
      <c r="K112" s="330"/>
      <c r="L112" s="330">
        <v>669.33</v>
      </c>
      <c r="M112" s="330"/>
      <c r="N112" s="330">
        <v>892.45</v>
      </c>
      <c r="O112" s="330"/>
      <c r="P112" s="331">
        <f>SUM(compras_mes1[[#This Row],[NETO GRAVADO]:[Otros / No Grav.]])</f>
        <v>29896.95</v>
      </c>
      <c r="Q112" s="328" t="str">
        <f>IFERROR(IF(compras_mes1[[#This Row],[CUIT]]="","-",VLOOKUP(compras_mes1[[#This Row],[CUIT]],Lista_CUIT[#All],3,0)),"CUIT NO CARGADO")</f>
        <v>Servicios Gas-Luz-Agua-Internet</v>
      </c>
      <c r="R112" s="332">
        <f>IFERROR(IF(compras_mes1[[#This Row],[CUIT]]="","-",VLOOKUP(compras_mes1[[#This Row],[CUIT]],Lista_CUIT[#All],4,0)),"CUIT NO CARGADO")</f>
        <v>0</v>
      </c>
    </row>
    <row r="113" spans="2:18">
      <c r="B113" s="333">
        <v>45310</v>
      </c>
      <c r="C113" s="160">
        <v>1</v>
      </c>
      <c r="D113" s="334">
        <v>4264</v>
      </c>
      <c r="E113" s="335">
        <v>3310986</v>
      </c>
      <c r="F113" s="336">
        <v>30639453738</v>
      </c>
      <c r="G113" s="337" t="str">
        <f>IFERROR(IF(compras_mes1[[#This Row],[CUIT]]="","-",VLOOKUP(compras_mes1[[#This Row],[CUIT]],Lista_CUIT[#All],2,0)),"CUIT NO CARGADO")</f>
        <v>TELECOM ARGENTINA SA</v>
      </c>
      <c r="H113" s="338">
        <v>35157.03</v>
      </c>
      <c r="I113" s="339">
        <f>IF(compras_mes1[[#This Row],[NETO GRAVADO]]="","",compras_mes1[[#This Row],[NETO GRAVADO]]*0.21)</f>
        <v>7382.9762999999994</v>
      </c>
      <c r="J113" s="339"/>
      <c r="K113" s="339"/>
      <c r="L113" s="339"/>
      <c r="M113" s="339"/>
      <c r="N113" s="339">
        <v>2461</v>
      </c>
      <c r="O113" s="339"/>
      <c r="P113" s="340">
        <f>SUM(compras_mes1[[#This Row],[NETO GRAVADO]:[Otros / No Grav.]])</f>
        <v>45001.006300000001</v>
      </c>
      <c r="Q113" s="337" t="str">
        <f>IFERROR(IF(compras_mes1[[#This Row],[CUIT]]="","-",VLOOKUP(compras_mes1[[#This Row],[CUIT]],Lista_CUIT[#All],3,0)),"CUIT NO CARGADO")</f>
        <v>Servicios Gas-Luz-Agua-Internet</v>
      </c>
      <c r="R113" s="341">
        <f>IFERROR(IF(compras_mes1[[#This Row],[CUIT]]="","-",VLOOKUP(compras_mes1[[#This Row],[CUIT]],Lista_CUIT[#All],4,0)),"CUIT NO CARGADO")</f>
        <v>0</v>
      </c>
    </row>
    <row r="114" spans="2:18">
      <c r="B114" s="95" t="s">
        <v>110</v>
      </c>
      <c r="C114" s="95"/>
      <c r="D114" s="95"/>
      <c r="E114" s="95"/>
      <c r="F114" s="95"/>
      <c r="G114" s="96"/>
      <c r="H114" s="97">
        <f>SUBTOTAL(109,compras_mes1[NETO GRAVADO])</f>
        <v>83520520.75999999</v>
      </c>
      <c r="I114" s="97">
        <f>SUBTOTAL(109,compras_mes1[IVA 21 %])</f>
        <v>16294023.5206</v>
      </c>
      <c r="J114" s="97">
        <f>SUBTOTAL(109,compras_mes1[IVA 27%])</f>
        <v>12016.94</v>
      </c>
      <c r="K114" s="97">
        <f>SUBTOTAL(109,compras_mes1[IVA 10,5%])</f>
        <v>617969.65999999992</v>
      </c>
      <c r="L114" s="97">
        <f>SUBTOTAL(109,compras_mes1[PERC. IVA])</f>
        <v>1792.85</v>
      </c>
      <c r="M114" s="97">
        <f>SUBTOTAL(109,compras_mes1[PERC IIBB 
BS AS])</f>
        <v>0</v>
      </c>
      <c r="N114" s="97">
        <f>SUBTOTAL(109,compras_mes1[PERC. IIBB CABA])</f>
        <v>455291.99000000005</v>
      </c>
      <c r="O114" s="97">
        <f>SUBTOTAL(109,compras_mes1[Otros / No Grav.])</f>
        <v>1151898.77</v>
      </c>
      <c r="P114" s="97">
        <f>SUBTOTAL(109,compras_mes1[TOTAL])</f>
        <v>102053514.49060006</v>
      </c>
      <c r="Q114" s="96"/>
      <c r="R114" s="95"/>
    </row>
    <row r="115" spans="2:18">
      <c r="B115" s="40"/>
      <c r="C115" s="41"/>
      <c r="D115" s="42"/>
      <c r="E115" s="43"/>
      <c r="F115" s="44"/>
      <c r="G115" s="45"/>
      <c r="H115" s="46"/>
      <c r="I115" s="47"/>
      <c r="J115" s="47"/>
      <c r="K115" s="47"/>
      <c r="L115" s="47"/>
      <c r="M115" s="47"/>
      <c r="N115" s="47"/>
      <c r="O115" s="47"/>
      <c r="P115" s="48"/>
      <c r="Q115" s="45"/>
      <c r="R115" s="49"/>
    </row>
    <row r="116" spans="2:18">
      <c r="B116" s="40"/>
      <c r="C116" s="41"/>
      <c r="D116" s="42"/>
      <c r="E116" s="43"/>
      <c r="F116" s="44"/>
      <c r="G116" s="45"/>
      <c r="H116" s="46"/>
      <c r="I116" s="47"/>
      <c r="J116" s="47"/>
      <c r="K116" s="47"/>
      <c r="L116" s="47"/>
      <c r="M116" s="47"/>
      <c r="N116" s="47"/>
      <c r="O116" s="47"/>
      <c r="P116" s="48"/>
      <c r="Q116" s="45"/>
      <c r="R116" s="49"/>
    </row>
    <row r="117" spans="2:18">
      <c r="B117" s="40"/>
      <c r="C117" s="41"/>
      <c r="D117" s="42"/>
      <c r="E117" s="43"/>
      <c r="F117" s="44"/>
      <c r="G117" s="45"/>
      <c r="H117" s="46"/>
      <c r="I117" s="47"/>
      <c r="J117" s="47"/>
      <c r="K117" s="47"/>
      <c r="L117" s="47"/>
      <c r="M117" s="47"/>
      <c r="N117" s="47"/>
      <c r="O117" s="47"/>
      <c r="P117" s="48"/>
      <c r="Q117" s="45"/>
      <c r="R117" s="49"/>
    </row>
    <row r="118" spans="2:18">
      <c r="B118" s="40"/>
      <c r="C118" s="41"/>
      <c r="D118" s="42"/>
      <c r="E118" s="43"/>
      <c r="F118" s="44"/>
      <c r="G118" s="45"/>
      <c r="H118" s="46"/>
      <c r="I118" s="47"/>
      <c r="J118" s="47"/>
      <c r="K118" s="47"/>
      <c r="L118" s="47"/>
    </row>
    <row r="119" spans="2:18" ht="21">
      <c r="D119" s="665" t="s">
        <v>15</v>
      </c>
      <c r="E119" s="665"/>
      <c r="F119" s="665"/>
      <c r="G119" s="665"/>
      <c r="H119" s="665"/>
      <c r="I119" s="665"/>
      <c r="J119" s="665"/>
      <c r="K119" s="665"/>
      <c r="L119" s="665"/>
    </row>
    <row r="120" spans="2:18" ht="15.75">
      <c r="D120" s="73" t="s">
        <v>0</v>
      </c>
      <c r="E120" s="74" t="s">
        <v>26</v>
      </c>
      <c r="F120" s="74" t="s">
        <v>16</v>
      </c>
      <c r="G120" s="74" t="s">
        <v>5</v>
      </c>
      <c r="H120" s="74" t="s">
        <v>17</v>
      </c>
      <c r="I120" s="74" t="s">
        <v>7</v>
      </c>
      <c r="J120" s="75" t="s">
        <v>18</v>
      </c>
      <c r="K120" s="75" t="s">
        <v>19</v>
      </c>
      <c r="L120" s="76" t="s">
        <v>20</v>
      </c>
    </row>
    <row r="121" spans="2:18">
      <c r="D121" s="50">
        <v>45322</v>
      </c>
      <c r="E121" s="129">
        <v>31202401</v>
      </c>
      <c r="F121" s="80" t="s">
        <v>2169</v>
      </c>
      <c r="G121" s="81">
        <f>500</f>
        <v>500</v>
      </c>
      <c r="H121" s="81">
        <f>extracto_banco_mes1[[#This Row],[NETO]]*0.21</f>
        <v>105</v>
      </c>
      <c r="I121" s="81"/>
      <c r="J121" s="81">
        <v>184</v>
      </c>
      <c r="K121" s="81"/>
      <c r="L121" s="81"/>
    </row>
    <row r="122" spans="2:18">
      <c r="D122" s="50">
        <v>45322</v>
      </c>
      <c r="E122" s="129">
        <v>31012024</v>
      </c>
      <c r="F122" s="80" t="s">
        <v>2170</v>
      </c>
      <c r="G122" s="81">
        <f>250+250+250</f>
        <v>750</v>
      </c>
      <c r="H122" s="81">
        <f>extracto_banco_mes1[[#This Row],[NETO]]*0.21</f>
        <v>157.5</v>
      </c>
      <c r="I122" s="81"/>
      <c r="J122" s="81"/>
      <c r="K122" s="81">
        <v>360</v>
      </c>
      <c r="L122" s="81"/>
    </row>
    <row r="123" spans="2:18">
      <c r="D123" s="50"/>
      <c r="E123" s="129"/>
      <c r="F123" s="80"/>
      <c r="G123" s="81"/>
      <c r="H123" s="81">
        <f>extracto_banco_mes1[[#This Row],[NETO]]*0.21</f>
        <v>0</v>
      </c>
      <c r="I123" s="81"/>
      <c r="J123" s="81"/>
      <c r="K123" s="81"/>
      <c r="L123" s="81"/>
    </row>
    <row r="124" spans="2:18" ht="15.75" thickBot="1">
      <c r="D124" s="82" t="s">
        <v>110</v>
      </c>
      <c r="E124" s="80"/>
      <c r="F124" s="80"/>
      <c r="G124" s="83">
        <f>SUBTOTAL(109,extracto_banco_mes1[NETO])</f>
        <v>1250</v>
      </c>
      <c r="H124" s="83">
        <f>SUBTOTAL(109,extracto_banco_mes1[IVA 21%])</f>
        <v>262.5</v>
      </c>
      <c r="I124" s="83">
        <f>SUBTOTAL(109,extracto_banco_mes1[IVA 10,5%])</f>
        <v>0</v>
      </c>
      <c r="J124" s="83">
        <f>SUBTOTAL(109,extracto_banco_mes1[RET IIBB CABA])</f>
        <v>184</v>
      </c>
      <c r="K124" s="83">
        <f>SUBTOTAL(109,extracto_banco_mes1[PERC IVA])</f>
        <v>360</v>
      </c>
      <c r="L124" s="83">
        <f>SUBTOTAL(109,extracto_banco_mes1[PERC IIBB])</f>
        <v>0</v>
      </c>
    </row>
    <row r="125" spans="2:18" ht="16.5" thickBot="1">
      <c r="H125" s="131" t="s">
        <v>2171</v>
      </c>
      <c r="I125" s="132">
        <f>SUM(extracto_banco_mes1[[#Totals],[IVA 21%]:[IVA 10,5%]])</f>
        <v>262.5</v>
      </c>
      <c r="J125" t="s">
        <v>2172</v>
      </c>
    </row>
    <row r="128" spans="2:18" ht="21">
      <c r="D128" s="665" t="s">
        <v>25</v>
      </c>
      <c r="E128" s="665"/>
      <c r="F128" s="665"/>
      <c r="G128" s="665"/>
      <c r="H128" s="665"/>
      <c r="I128" s="665"/>
      <c r="J128" s="665"/>
      <c r="K128" s="665"/>
    </row>
    <row r="129" spans="4:11">
      <c r="D129" s="51" t="s">
        <v>0</v>
      </c>
      <c r="E129" s="51" t="s">
        <v>2</v>
      </c>
      <c r="F129" s="51" t="s">
        <v>74</v>
      </c>
      <c r="G129" s="51" t="s">
        <v>3</v>
      </c>
      <c r="H129" s="51" t="s">
        <v>4</v>
      </c>
      <c r="I129" s="52" t="s">
        <v>10</v>
      </c>
      <c r="J129" s="51" t="s">
        <v>13</v>
      </c>
      <c r="K129" s="51" t="s">
        <v>38</v>
      </c>
    </row>
    <row r="130" spans="4:11">
      <c r="D130" s="352">
        <v>45292</v>
      </c>
      <c r="E130" s="353">
        <v>3</v>
      </c>
      <c r="F130" s="353">
        <v>295</v>
      </c>
      <c r="G130" s="354">
        <v>23306035444</v>
      </c>
      <c r="H130" s="355" t="str">
        <f>IFERROR(IF(factura_c_mes1[[#This Row],[CUIT]]="","-",VLOOKUP(factura_c_mes1[[#This Row],[CUIT]],Lista_CUIT[#All],2,0)),"CUIT NO CARGADO")</f>
        <v>NADIA TARANTINO</v>
      </c>
      <c r="I130" s="356">
        <v>52000</v>
      </c>
      <c r="J130" s="357" t="str">
        <f>IFERROR(IF(factura_c_mes1[[#This Row],[CUIT]]="","-",VLOOKUP(factura_c_mes1[[#This Row],[CUIT]],Lista_CUIT[#All],3,0)),"CUIT NO CARGADO")</f>
        <v>GASTOS CONTABLES</v>
      </c>
      <c r="K130" s="357">
        <f>IFERROR(IF(factura_c_mes1[[#This Row],[CUIT]]="","-",VLOOKUP(factura_c_mes1[[#This Row],[CUIT]],Lista_CUIT[#All],4,0)),"CUIT NO CARGADO")</f>
        <v>0</v>
      </c>
    </row>
    <row r="131" spans="4:11">
      <c r="D131" s="128">
        <v>45292</v>
      </c>
      <c r="E131" s="123">
        <v>2</v>
      </c>
      <c r="F131" s="123">
        <v>242</v>
      </c>
      <c r="G131" s="124">
        <v>27265832178</v>
      </c>
      <c r="H131" s="125" t="str">
        <f>IFERROR(IF(factura_c_mes1[[#This Row],[CUIT]]="","-",VLOOKUP(factura_c_mes1[[#This Row],[CUIT]],Lista_CUIT[#All],2,0)),"CUIT NO CARGADO")</f>
        <v>BLASCO MARIA GUADALUPE</v>
      </c>
      <c r="I131" s="126">
        <v>150000</v>
      </c>
      <c r="J131" s="127" t="str">
        <f>IFERROR(IF(factura_c_mes1[[#This Row],[CUIT]]="","-",VLOOKUP(factura_c_mes1[[#This Row],[CUIT]],Lista_CUIT[#All],3,0)),"CUIT NO CARGADO")</f>
        <v>Productos Ortopedicos</v>
      </c>
      <c r="K131" s="127">
        <f>IFERROR(IF(factura_c_mes1[[#This Row],[CUIT]]="","-",VLOOKUP(factura_c_mes1[[#This Row],[CUIT]],Lista_CUIT[#All],4,0)),"CUIT NO CARGADO")</f>
        <v>0</v>
      </c>
    </row>
    <row r="132" spans="4:11">
      <c r="D132" s="128">
        <v>45293</v>
      </c>
      <c r="E132" s="123">
        <v>3</v>
      </c>
      <c r="F132" s="123">
        <v>805</v>
      </c>
      <c r="G132" s="124">
        <v>20086277523</v>
      </c>
      <c r="H132" s="125" t="str">
        <f>IFERROR(IF(factura_c_mes1[[#This Row],[CUIT]]="","-",VLOOKUP(factura_c_mes1[[#This Row],[CUIT]],Lista_CUIT[#All],2,0)),"CUIT NO CARGADO")</f>
        <v>BOTINDARI JUAN CARLOS</v>
      </c>
      <c r="I132" s="126">
        <v>200000</v>
      </c>
      <c r="J132" s="127" t="str">
        <f>IFERROR(IF(factura_c_mes1[[#This Row],[CUIT]]="","-",VLOOKUP(factura_c_mes1[[#This Row],[CUIT]],Lista_CUIT[#All],3,0)),"CUIT NO CARGADO")</f>
        <v>HONORARIOS</v>
      </c>
      <c r="K132" s="127">
        <f>IFERROR(IF(factura_c_mes1[[#This Row],[CUIT]]="","-",VLOOKUP(factura_c_mes1[[#This Row],[CUIT]],Lista_CUIT[#All],4,0)),"CUIT NO CARGADO")</f>
        <v>0</v>
      </c>
    </row>
    <row r="133" spans="4:11">
      <c r="D133" s="128">
        <v>45299</v>
      </c>
      <c r="E133" s="123">
        <v>4</v>
      </c>
      <c r="F133" s="123">
        <v>347</v>
      </c>
      <c r="G133" s="124">
        <v>27247019370</v>
      </c>
      <c r="H133" s="125" t="str">
        <f>IFERROR(IF(factura_c_mes1[[#This Row],[CUIT]]="","-",VLOOKUP(factura_c_mes1[[#This Row],[CUIT]],Lista_CUIT[#All],2,0)),"CUIT NO CARGADO")</f>
        <v>VICENTIN MILENA ANDREA</v>
      </c>
      <c r="I133" s="126">
        <v>470000</v>
      </c>
      <c r="J133" s="127" t="str">
        <f>IFERROR(IF(factura_c_mes1[[#This Row],[CUIT]]="","-",VLOOKUP(factura_c_mes1[[#This Row],[CUIT]],Lista_CUIT[#All],3,0)),"CUIT NO CARGADO")</f>
        <v>Productos Ortopedicos</v>
      </c>
      <c r="K133" s="127">
        <f>IFERROR(IF(factura_c_mes1[[#This Row],[CUIT]]="","-",VLOOKUP(factura_c_mes1[[#This Row],[CUIT]],Lista_CUIT[#All],4,0)),"CUIT NO CARGADO")</f>
        <v>0</v>
      </c>
    </row>
    <row r="134" spans="4:11">
      <c r="D134" s="128">
        <v>45303</v>
      </c>
      <c r="E134" s="123">
        <v>1</v>
      </c>
      <c r="F134" s="123">
        <v>1071</v>
      </c>
      <c r="G134" s="124">
        <v>20321447997</v>
      </c>
      <c r="H134" s="125" t="str">
        <f>IFERROR(IF(factura_c_mes1[[#This Row],[CUIT]]="","-",VLOOKUP(factura_c_mes1[[#This Row],[CUIT]],Lista_CUIT[#All],2,0)),"CUIT NO CARGADO")</f>
        <v>VILLAREAL MARTIN MIGUEL</v>
      </c>
      <c r="I134" s="126">
        <v>253575</v>
      </c>
      <c r="J134" s="127" t="str">
        <f>IFERROR(IF(factura_c_mes1[[#This Row],[CUIT]]="","-",VLOOKUP(factura_c_mes1[[#This Row],[CUIT]],Lista_CUIT[#All],3,0)),"CUIT NO CARGADO")</f>
        <v>HONORARIOS TECNICOS</v>
      </c>
      <c r="K134" s="127">
        <f>IFERROR(IF(factura_c_mes1[[#This Row],[CUIT]]="","-",VLOOKUP(factura_c_mes1[[#This Row],[CUIT]],Lista_CUIT[#All],4,0)),"CUIT NO CARGADO")</f>
        <v>0</v>
      </c>
    </row>
    <row r="135" spans="4:11">
      <c r="D135" s="128">
        <v>45303</v>
      </c>
      <c r="E135" s="123">
        <v>1</v>
      </c>
      <c r="F135" s="123">
        <v>60</v>
      </c>
      <c r="G135" s="124">
        <v>20299835260</v>
      </c>
      <c r="H135" s="125" t="str">
        <f>IFERROR(IF(factura_c_mes1[[#This Row],[CUIT]]="","-",VLOOKUP(factura_c_mes1[[#This Row],[CUIT]],Lista_CUIT[#All],2,0)),"CUIT NO CARGADO")</f>
        <v>MALGAREJO NICOLAS EMILIO</v>
      </c>
      <c r="I135" s="126">
        <v>180000</v>
      </c>
      <c r="J135" s="127" t="str">
        <f>IFERROR(IF(factura_c_mes1[[#This Row],[CUIT]]="","-",VLOOKUP(factura_c_mes1[[#This Row],[CUIT]],Lista_CUIT[#All],3,0)),"CUIT NO CARGADO")</f>
        <v>Productos Ortopedicos</v>
      </c>
      <c r="K135" s="127">
        <f>IFERROR(IF(factura_c_mes1[[#This Row],[CUIT]]="","-",VLOOKUP(factura_c_mes1[[#This Row],[CUIT]],Lista_CUIT[#All],4,0)),"CUIT NO CARGADO")</f>
        <v>0</v>
      </c>
    </row>
    <row r="136" spans="4:11">
      <c r="D136" s="128">
        <v>45306</v>
      </c>
      <c r="E136" s="123">
        <v>2</v>
      </c>
      <c r="F136" s="123">
        <v>2277</v>
      </c>
      <c r="G136" s="124">
        <v>20216740298</v>
      </c>
      <c r="H136" s="125" t="str">
        <f>IFERROR(IF(factura_c_mes1[[#This Row],[CUIT]]="","-",VLOOKUP(factura_c_mes1[[#This Row],[CUIT]],Lista_CUIT[#All],2,0)),"CUIT NO CARGADO")</f>
        <v>APERTILE CARLOS ALEJANDRO</v>
      </c>
      <c r="I136" s="126">
        <v>30000</v>
      </c>
      <c r="J136" s="127">
        <f>IFERROR(IF(factura_c_mes1[[#This Row],[CUIT]]="","-",VLOOKUP(factura_c_mes1[[#This Row],[CUIT]],Lista_CUIT[#All],3,0)),"CUIT NO CARGADO")</f>
        <v>0</v>
      </c>
      <c r="K136" s="127">
        <f>IFERROR(IF(factura_c_mes1[[#This Row],[CUIT]]="","-",VLOOKUP(factura_c_mes1[[#This Row],[CUIT]],Lista_CUIT[#All],4,0)),"CUIT NO CARGADO")</f>
        <v>0</v>
      </c>
    </row>
    <row r="137" spans="4:11">
      <c r="D137" s="128">
        <v>45306</v>
      </c>
      <c r="E137" s="123">
        <v>1</v>
      </c>
      <c r="F137" s="123">
        <v>188</v>
      </c>
      <c r="G137" s="124">
        <v>27217606255</v>
      </c>
      <c r="H137" s="125" t="str">
        <f>IFERROR(IF(factura_c_mes1[[#This Row],[CUIT]]="","-",VLOOKUP(factura_c_mes1[[#This Row],[CUIT]],Lista_CUIT[#All],2,0)),"CUIT NO CARGADO")</f>
        <v>SAPUNA MARIAN KARINA</v>
      </c>
      <c r="I137" s="126">
        <v>88266.1</v>
      </c>
      <c r="J137" s="127" t="str">
        <f>IFERROR(IF(factura_c_mes1[[#This Row],[CUIT]]="","-",VLOOKUP(factura_c_mes1[[#This Row],[CUIT]],Lista_CUIT[#All],3,0)),"CUIT NO CARGADO")</f>
        <v>MANTENIMIENTO</v>
      </c>
      <c r="K137" s="127">
        <f>IFERROR(IF(factura_c_mes1[[#This Row],[CUIT]]="","-",VLOOKUP(factura_c_mes1[[#This Row],[CUIT]],Lista_CUIT[#All],4,0)),"CUIT NO CARGADO")</f>
        <v>0</v>
      </c>
    </row>
    <row r="138" spans="4:11">
      <c r="D138" s="128">
        <v>45307</v>
      </c>
      <c r="E138" s="123">
        <v>1</v>
      </c>
      <c r="F138" s="123">
        <v>189</v>
      </c>
      <c r="G138" s="124">
        <v>27217606255</v>
      </c>
      <c r="H138" s="125" t="str">
        <f>IFERROR(IF(factura_c_mes1[[#This Row],[CUIT]]="","-",VLOOKUP(factura_c_mes1[[#This Row],[CUIT]],Lista_CUIT[#All],2,0)),"CUIT NO CARGADO")</f>
        <v>SAPUNA MARIAN KARINA</v>
      </c>
      <c r="I138" s="126">
        <v>39076.1</v>
      </c>
      <c r="J138" s="127" t="str">
        <f>IFERROR(IF(factura_c_mes1[[#This Row],[CUIT]]="","-",VLOOKUP(factura_c_mes1[[#This Row],[CUIT]],Lista_CUIT[#All],3,0)),"CUIT NO CARGADO")</f>
        <v>MANTENIMIENTO</v>
      </c>
      <c r="K138" s="127">
        <f>IFERROR(IF(factura_c_mes1[[#This Row],[CUIT]]="","-",VLOOKUP(factura_c_mes1[[#This Row],[CUIT]],Lista_CUIT[#All],4,0)),"CUIT NO CARGADO")</f>
        <v>0</v>
      </c>
    </row>
    <row r="139" spans="4:11">
      <c r="D139" s="352">
        <v>45308</v>
      </c>
      <c r="E139" s="353">
        <v>1</v>
      </c>
      <c r="F139" s="353">
        <v>190</v>
      </c>
      <c r="G139" s="354">
        <v>27217606255</v>
      </c>
      <c r="H139" s="355" t="str">
        <f>IFERROR(IF(factura_c_mes1[[#This Row],[CUIT]]="","-",VLOOKUP(factura_c_mes1[[#This Row],[CUIT]],Lista_CUIT[#All],2,0)),"CUIT NO CARGADO")</f>
        <v>SAPUNA MARIAN KARINA</v>
      </c>
      <c r="I139" s="356">
        <v>86197.4</v>
      </c>
      <c r="J139" s="357" t="str">
        <f>IFERROR(IF(factura_c_mes1[[#This Row],[CUIT]]="","-",VLOOKUP(factura_c_mes1[[#This Row],[CUIT]],Lista_CUIT[#All],3,0)),"CUIT NO CARGADO")</f>
        <v>MANTENIMIENTO</v>
      </c>
      <c r="K139" s="357">
        <f>IFERROR(IF(factura_c_mes1[[#This Row],[CUIT]]="","-",VLOOKUP(factura_c_mes1[[#This Row],[CUIT]],Lista_CUIT[#All],4,0)),"CUIT NO CARGADO")</f>
        <v>0</v>
      </c>
    </row>
    <row r="140" spans="4:11">
      <c r="D140" s="128">
        <v>45309</v>
      </c>
      <c r="E140" s="123">
        <v>1</v>
      </c>
      <c r="F140" s="123">
        <v>191</v>
      </c>
      <c r="G140" s="124">
        <v>27217606255</v>
      </c>
      <c r="H140" s="125" t="str">
        <f>IFERROR(IF(factura_c_mes1[[#This Row],[CUIT]]="","-",VLOOKUP(factura_c_mes1[[#This Row],[CUIT]],Lista_CUIT[#All],2,0)),"CUIT NO CARGADO")</f>
        <v>SAPUNA MARIAN KARINA</v>
      </c>
      <c r="I140" s="126">
        <v>78453.899999999994</v>
      </c>
      <c r="J140" s="127" t="str">
        <f>IFERROR(IF(factura_c_mes1[[#This Row],[CUIT]]="","-",VLOOKUP(factura_c_mes1[[#This Row],[CUIT]],Lista_CUIT[#All],3,0)),"CUIT NO CARGADO")</f>
        <v>MANTENIMIENTO</v>
      </c>
      <c r="K140" s="127">
        <f>IFERROR(IF(factura_c_mes1[[#This Row],[CUIT]]="","-",VLOOKUP(factura_c_mes1[[#This Row],[CUIT]],Lista_CUIT[#All],4,0)),"CUIT NO CARGADO")</f>
        <v>0</v>
      </c>
    </row>
    <row r="141" spans="4:11">
      <c r="D141" s="128">
        <v>45309</v>
      </c>
      <c r="E141" s="123">
        <v>1</v>
      </c>
      <c r="F141" s="123">
        <v>62</v>
      </c>
      <c r="G141" s="124">
        <v>23281233084</v>
      </c>
      <c r="H141" s="125" t="str">
        <f>IFERROR(IF(factura_c_mes1[[#This Row],[CUIT]]="","-",VLOOKUP(factura_c_mes1[[#This Row],[CUIT]],Lista_CUIT[#All],2,0)),"CUIT NO CARGADO")</f>
        <v>DRUETTA ANDREA MARIEL</v>
      </c>
      <c r="I141" s="126">
        <v>72414</v>
      </c>
      <c r="J141" s="127" t="str">
        <f>IFERROR(IF(factura_c_mes1[[#This Row],[CUIT]]="","-",VLOOKUP(factura_c_mes1[[#This Row],[CUIT]],Lista_CUIT[#All],3,0)),"CUIT NO CARGADO")</f>
        <v>HONORARIOS TECNICOS</v>
      </c>
      <c r="K141" s="127">
        <f>IFERROR(IF(factura_c_mes1[[#This Row],[CUIT]]="","-",VLOOKUP(factura_c_mes1[[#This Row],[CUIT]],Lista_CUIT[#All],4,0)),"CUIT NO CARGADO")</f>
        <v>0</v>
      </c>
    </row>
    <row r="142" spans="4:11">
      <c r="D142" s="128">
        <v>45309</v>
      </c>
      <c r="E142" s="123">
        <v>1</v>
      </c>
      <c r="F142" s="123">
        <v>192</v>
      </c>
      <c r="G142" s="124">
        <v>27217606255</v>
      </c>
      <c r="H142" s="125" t="str">
        <f>IFERROR(IF(factura_c_mes1[[#This Row],[CUIT]]="","-",VLOOKUP(factura_c_mes1[[#This Row],[CUIT]],Lista_CUIT[#All],2,0)),"CUIT NO CARGADO")</f>
        <v>SAPUNA MARIAN KARINA</v>
      </c>
      <c r="I142" s="126">
        <v>120000</v>
      </c>
      <c r="J142" s="127" t="str">
        <f>IFERROR(IF(factura_c_mes1[[#This Row],[CUIT]]="","-",VLOOKUP(factura_c_mes1[[#This Row],[CUIT]],Lista_CUIT[#All],3,0)),"CUIT NO CARGADO")</f>
        <v>MANTENIMIENTO</v>
      </c>
      <c r="K142" s="127">
        <f>IFERROR(IF(factura_c_mes1[[#This Row],[CUIT]]="","-",VLOOKUP(factura_c_mes1[[#This Row],[CUIT]],Lista_CUIT[#All],4,0)),"CUIT NO CARGADO")</f>
        <v>0</v>
      </c>
    </row>
    <row r="143" spans="4:11">
      <c r="D143" s="128">
        <v>45309</v>
      </c>
      <c r="E143" s="123">
        <v>1</v>
      </c>
      <c r="F143" s="123">
        <v>11</v>
      </c>
      <c r="G143" s="124">
        <v>27217606255</v>
      </c>
      <c r="H143" s="125" t="str">
        <f>IFERROR(IF(factura_c_mes1[[#This Row],[CUIT]]="","-",VLOOKUP(factura_c_mes1[[#This Row],[CUIT]],Lista_CUIT[#All],2,0)),"CUIT NO CARGADO")</f>
        <v>SAPUNA MARIAN KARINA</v>
      </c>
      <c r="I143" s="126">
        <v>-40736.129999999997</v>
      </c>
      <c r="J143" s="127" t="str">
        <f>IFERROR(IF(factura_c_mes1[[#This Row],[CUIT]]="","-",VLOOKUP(factura_c_mes1[[#This Row],[CUIT]],Lista_CUIT[#All],3,0)),"CUIT NO CARGADO")</f>
        <v>MANTENIMIENTO</v>
      </c>
      <c r="K143" s="127">
        <f>IFERROR(IF(factura_c_mes1[[#This Row],[CUIT]]="","-",VLOOKUP(factura_c_mes1[[#This Row],[CUIT]],Lista_CUIT[#All],4,0)),"CUIT NO CARGADO")</f>
        <v>0</v>
      </c>
    </row>
    <row r="144" spans="4:11">
      <c r="D144" s="352">
        <v>45309</v>
      </c>
      <c r="E144" s="353">
        <v>1</v>
      </c>
      <c r="F144" s="353">
        <v>10</v>
      </c>
      <c r="G144" s="354">
        <v>27217606255</v>
      </c>
      <c r="H144" s="355" t="str">
        <f>IFERROR(IF(factura_c_mes1[[#This Row],[CUIT]]="","-",VLOOKUP(factura_c_mes1[[#This Row],[CUIT]],Lista_CUIT[#All],2,0)),"CUIT NO CARGADO")</f>
        <v>SAPUNA MARIAN KARINA</v>
      </c>
      <c r="I144" s="356">
        <v>-86197.4</v>
      </c>
      <c r="J144" s="357" t="str">
        <f>IFERROR(IF(factura_c_mes1[[#This Row],[CUIT]]="","-",VLOOKUP(factura_c_mes1[[#This Row],[CUIT]],Lista_CUIT[#All],3,0)),"CUIT NO CARGADO")</f>
        <v>MANTENIMIENTO</v>
      </c>
      <c r="K144" s="357">
        <f>IFERROR(IF(factura_c_mes1[[#This Row],[CUIT]]="","-",VLOOKUP(factura_c_mes1[[#This Row],[CUIT]],Lista_CUIT[#All],4,0)),"CUIT NO CARGADO")</f>
        <v>0</v>
      </c>
    </row>
    <row r="145" spans="4:11">
      <c r="D145" s="128">
        <v>45310</v>
      </c>
      <c r="E145" s="123">
        <v>3</v>
      </c>
      <c r="F145" s="123">
        <v>859</v>
      </c>
      <c r="G145" s="124">
        <v>20216451679</v>
      </c>
      <c r="H145" s="125" t="str">
        <f>IFERROR(IF(factura_c_mes1[[#This Row],[CUIT]]="","-",VLOOKUP(factura_c_mes1[[#This Row],[CUIT]],Lista_CUIT[#All],2,0)),"CUIT NO CARGADO")</f>
        <v>VAZQUEZ RICARDO OSCAR</v>
      </c>
      <c r="I145" s="126">
        <v>150000</v>
      </c>
      <c r="J145" s="127" t="str">
        <f>IFERROR(IF(factura_c_mes1[[#This Row],[CUIT]]="","-",VLOOKUP(factura_c_mes1[[#This Row],[CUIT]],Lista_CUIT[#All],3,0)),"CUIT NO CARGADO")</f>
        <v>Productos Ortopedicos</v>
      </c>
      <c r="K145" s="127">
        <f>IFERROR(IF(factura_c_mes1[[#This Row],[CUIT]]="","-",VLOOKUP(factura_c_mes1[[#This Row],[CUIT]],Lista_CUIT[#All],4,0)),"CUIT NO CARGADO")</f>
        <v>0</v>
      </c>
    </row>
    <row r="146" spans="4:11">
      <c r="D146" s="128">
        <v>45310</v>
      </c>
      <c r="E146" s="123">
        <v>1</v>
      </c>
      <c r="F146" s="123">
        <v>194</v>
      </c>
      <c r="G146" s="124">
        <v>27217606255</v>
      </c>
      <c r="H146" s="125" t="str">
        <f>IFERROR(IF(factura_c_mes1[[#This Row],[CUIT]]="","-",VLOOKUP(factura_c_mes1[[#This Row],[CUIT]],Lista_CUIT[#All],2,0)),"CUIT NO CARGADO")</f>
        <v>SAPUNA MARIAN KARINA</v>
      </c>
      <c r="I146" s="126">
        <v>52140</v>
      </c>
      <c r="J146" s="127" t="str">
        <f>IFERROR(IF(factura_c_mes1[[#This Row],[CUIT]]="","-",VLOOKUP(factura_c_mes1[[#This Row],[CUIT]],Lista_CUIT[#All],3,0)),"CUIT NO CARGADO")</f>
        <v>MANTENIMIENTO</v>
      </c>
      <c r="K146" s="127">
        <f>IFERROR(IF(factura_c_mes1[[#This Row],[CUIT]]="","-",VLOOKUP(factura_c_mes1[[#This Row],[CUIT]],Lista_CUIT[#All],4,0)),"CUIT NO CARGADO")</f>
        <v>0</v>
      </c>
    </row>
    <row r="147" spans="4:11">
      <c r="D147" s="128">
        <v>45310</v>
      </c>
      <c r="E147" s="123">
        <v>1</v>
      </c>
      <c r="F147" s="123">
        <v>193</v>
      </c>
      <c r="G147" s="124">
        <v>27217606255</v>
      </c>
      <c r="H147" s="125" t="str">
        <f>IFERROR(IF(factura_c_mes1[[#This Row],[CUIT]]="","-",VLOOKUP(factura_c_mes1[[#This Row],[CUIT]],Lista_CUIT[#All],2,0)),"CUIT NO CARGADO")</f>
        <v>SAPUNA MARIAN KARINA</v>
      </c>
      <c r="I147" s="126">
        <v>62800</v>
      </c>
      <c r="J147" s="127" t="str">
        <f>IFERROR(IF(factura_c_mes1[[#This Row],[CUIT]]="","-",VLOOKUP(factura_c_mes1[[#This Row],[CUIT]],Lista_CUIT[#All],3,0)),"CUIT NO CARGADO")</f>
        <v>MANTENIMIENTO</v>
      </c>
      <c r="K147" s="127">
        <f>IFERROR(IF(factura_c_mes1[[#This Row],[CUIT]]="","-",VLOOKUP(factura_c_mes1[[#This Row],[CUIT]],Lista_CUIT[#All],4,0)),"CUIT NO CARGADO")</f>
        <v>0</v>
      </c>
    </row>
    <row r="148" spans="4:11">
      <c r="D148" s="352">
        <v>45313</v>
      </c>
      <c r="E148" s="353">
        <v>1</v>
      </c>
      <c r="F148" s="353">
        <v>54</v>
      </c>
      <c r="G148" s="354">
        <v>23278122999</v>
      </c>
      <c r="H148" s="355" t="str">
        <f>IFERROR(IF(factura_c_mes1[[#This Row],[CUIT]]="","-",VLOOKUP(factura_c_mes1[[#This Row],[CUIT]],Lista_CUIT[#All],2,0)),"CUIT NO CARGADO")</f>
        <v>ARANA NICOLAS</v>
      </c>
      <c r="I148" s="356">
        <v>135500</v>
      </c>
      <c r="J148" s="357" t="str">
        <f>IFERROR(IF(factura_c_mes1[[#This Row],[CUIT]]="","-",VLOOKUP(factura_c_mes1[[#This Row],[CUIT]],Lista_CUIT[#All],3,0)),"CUIT NO CARGADO")</f>
        <v>PROD ORTOP P/ALQ</v>
      </c>
      <c r="K148" s="357">
        <f>IFERROR(IF(factura_c_mes1[[#This Row],[CUIT]]="","-",VLOOKUP(factura_c_mes1[[#This Row],[CUIT]],Lista_CUIT[#All],4,0)),"CUIT NO CARGADO")</f>
        <v>0</v>
      </c>
    </row>
    <row r="149" spans="4:11">
      <c r="D149" s="128">
        <v>45313</v>
      </c>
      <c r="E149" s="123">
        <v>1</v>
      </c>
      <c r="F149" s="123">
        <v>56</v>
      </c>
      <c r="G149" s="124">
        <v>20403969886</v>
      </c>
      <c r="H149" s="125" t="str">
        <f>IFERROR(IF(factura_c_mes1[[#This Row],[CUIT]]="","-",VLOOKUP(factura_c_mes1[[#This Row],[CUIT]],Lista_CUIT[#All],2,0)),"CUIT NO CARGADO")</f>
        <v>DEL GESSO FRANCO JESUS</v>
      </c>
      <c r="I149" s="126">
        <v>350225</v>
      </c>
      <c r="J149" s="127" t="str">
        <f>IFERROR(IF(factura_c_mes1[[#This Row],[CUIT]]="","-",VLOOKUP(factura_c_mes1[[#This Row],[CUIT]],Lista_CUIT[#All],3,0)),"CUIT NO CARGADO")</f>
        <v>GASTOS ADMINISTRATIVOS</v>
      </c>
      <c r="K149" s="127">
        <f>IFERROR(IF(factura_c_mes1[[#This Row],[CUIT]]="","-",VLOOKUP(factura_c_mes1[[#This Row],[CUIT]],Lista_CUIT[#All],4,0)),"CUIT NO CARGADO")</f>
        <v>0</v>
      </c>
    </row>
    <row r="150" spans="4:11">
      <c r="D150" s="352">
        <v>45313</v>
      </c>
      <c r="E150" s="353">
        <v>2</v>
      </c>
      <c r="F150" s="353">
        <v>246</v>
      </c>
      <c r="G150" s="354">
        <v>27265832178</v>
      </c>
      <c r="H150" s="355" t="str">
        <f>IFERROR(IF(factura_c_mes1[[#This Row],[CUIT]]="","-",VLOOKUP(factura_c_mes1[[#This Row],[CUIT]],Lista_CUIT[#All],2,0)),"CUIT NO CARGADO")</f>
        <v>BLASCO MARIA GUADALUPE</v>
      </c>
      <c r="I150" s="356">
        <v>150000</v>
      </c>
      <c r="J150" s="357" t="str">
        <f>IFERROR(IF(factura_c_mes1[[#This Row],[CUIT]]="","-",VLOOKUP(factura_c_mes1[[#This Row],[CUIT]],Lista_CUIT[#All],3,0)),"CUIT NO CARGADO")</f>
        <v>Productos Ortopedicos</v>
      </c>
      <c r="K150" s="357">
        <f>IFERROR(IF(factura_c_mes1[[#This Row],[CUIT]]="","-",VLOOKUP(factura_c_mes1[[#This Row],[CUIT]],Lista_CUIT[#All],4,0)),"CUIT NO CARGADO")</f>
        <v>0</v>
      </c>
    </row>
    <row r="151" spans="4:11">
      <c r="D151" s="128">
        <v>45313</v>
      </c>
      <c r="E151" s="123">
        <v>1</v>
      </c>
      <c r="F151" s="123">
        <v>55</v>
      </c>
      <c r="G151" s="124">
        <v>20403969886</v>
      </c>
      <c r="H151" s="125" t="str">
        <f>IFERROR(IF(factura_c_mes1[[#This Row],[CUIT]]="","-",VLOOKUP(factura_c_mes1[[#This Row],[CUIT]],Lista_CUIT[#All],2,0)),"CUIT NO CARGADO")</f>
        <v>DEL GESSO FRANCO JESUS</v>
      </c>
      <c r="I151" s="126">
        <v>306120</v>
      </c>
      <c r="J151" s="127" t="str">
        <f>IFERROR(IF(factura_c_mes1[[#This Row],[CUIT]]="","-",VLOOKUP(factura_c_mes1[[#This Row],[CUIT]],Lista_CUIT[#All],3,0)),"CUIT NO CARGADO")</f>
        <v>GASTOS ADMINISTRATIVOS</v>
      </c>
      <c r="K151" s="127">
        <f>IFERROR(IF(factura_c_mes1[[#This Row],[CUIT]]="","-",VLOOKUP(factura_c_mes1[[#This Row],[CUIT]],Lista_CUIT[#All],4,0)),"CUIT NO CARGADO")</f>
        <v>0</v>
      </c>
    </row>
    <row r="152" spans="4:11">
      <c r="D152" s="128">
        <v>45315</v>
      </c>
      <c r="E152" s="123">
        <v>2</v>
      </c>
      <c r="F152" s="123">
        <v>107</v>
      </c>
      <c r="G152" s="124">
        <v>20220423655</v>
      </c>
      <c r="H152" s="125" t="str">
        <f>IFERROR(IF(factura_c_mes1[[#This Row],[CUIT]]="","-",VLOOKUP(factura_c_mes1[[#This Row],[CUIT]],Lista_CUIT[#All],2,0)),"CUIT NO CARGADO")</f>
        <v>LANDRO FERNANDO GABRIEL</v>
      </c>
      <c r="I152" s="126">
        <v>329040</v>
      </c>
      <c r="J152" s="127" t="str">
        <f>IFERROR(IF(factura_c_mes1[[#This Row],[CUIT]]="","-",VLOOKUP(factura_c_mes1[[#This Row],[CUIT]],Lista_CUIT[#All],3,0)),"CUIT NO CARGADO")</f>
        <v>GESTION COBRANZAS</v>
      </c>
      <c r="K152" s="127">
        <f>IFERROR(IF(factura_c_mes1[[#This Row],[CUIT]]="","-",VLOOKUP(factura_c_mes1[[#This Row],[CUIT]],Lista_CUIT[#All],4,0)),"CUIT NO CARGADO")</f>
        <v>0</v>
      </c>
    </row>
    <row r="153" spans="4:11">
      <c r="D153" s="128">
        <v>45315</v>
      </c>
      <c r="E153" s="123">
        <v>1</v>
      </c>
      <c r="F153" s="123">
        <v>120</v>
      </c>
      <c r="G153" s="124">
        <v>27338342840</v>
      </c>
      <c r="H153" s="125" t="str">
        <f>IFERROR(IF(factura_c_mes1[[#This Row],[CUIT]]="","-",VLOOKUP(factura_c_mes1[[#This Row],[CUIT]],Lista_CUIT[#All],2,0)),"CUIT NO CARGADO")</f>
        <v>CANCINO PAMELA RITA</v>
      </c>
      <c r="I153" s="126">
        <v>45800</v>
      </c>
      <c r="J153" s="127" t="str">
        <f>IFERROR(IF(factura_c_mes1[[#This Row],[CUIT]]="","-",VLOOKUP(factura_c_mes1[[#This Row],[CUIT]],Lista_CUIT[#All],3,0)),"CUIT NO CARGADO")</f>
        <v>Productos Ortopedicos</v>
      </c>
      <c r="K153" s="127">
        <f>IFERROR(IF(factura_c_mes1[[#This Row],[CUIT]]="","-",VLOOKUP(factura_c_mes1[[#This Row],[CUIT]],Lista_CUIT[#All],4,0)),"CUIT NO CARGADO")</f>
        <v>0</v>
      </c>
    </row>
    <row r="154" spans="4:11">
      <c r="D154" s="128">
        <v>45315</v>
      </c>
      <c r="E154" s="123">
        <v>1</v>
      </c>
      <c r="F154" s="123">
        <v>5</v>
      </c>
      <c r="G154" s="124">
        <v>27443612705</v>
      </c>
      <c r="H154" s="125" t="str">
        <f>IFERROR(IF(factura_c_mes1[[#This Row],[CUIT]]="","-",VLOOKUP(factura_c_mes1[[#This Row],[CUIT]],Lista_CUIT[#All],2,0)),"CUIT NO CARGADO")</f>
        <v>MIGOYA MORIONDO MARIA INES</v>
      </c>
      <c r="I154" s="126">
        <v>150000</v>
      </c>
      <c r="J154" s="127" t="str">
        <f>IFERROR(IF(factura_c_mes1[[#This Row],[CUIT]]="","-",VLOOKUP(factura_c_mes1[[#This Row],[CUIT]],Lista_CUIT[#All],3,0)),"CUIT NO CARGADO")</f>
        <v>ALQUILERES PAGADOS</v>
      </c>
      <c r="K154" s="127">
        <f>IFERROR(IF(factura_c_mes1[[#This Row],[CUIT]]="","-",VLOOKUP(factura_c_mes1[[#This Row],[CUIT]],Lista_CUIT[#All],4,0)),"CUIT NO CARGADO")</f>
        <v>0</v>
      </c>
    </row>
    <row r="155" spans="4:11">
      <c r="D155" s="128">
        <v>45315</v>
      </c>
      <c r="E155" s="123">
        <v>2</v>
      </c>
      <c r="F155" s="123">
        <v>108</v>
      </c>
      <c r="G155" s="124">
        <v>20220423655</v>
      </c>
      <c r="H155" s="125" t="str">
        <f>IFERROR(IF(factura_c_mes1[[#This Row],[CUIT]]="","-",VLOOKUP(factura_c_mes1[[#This Row],[CUIT]],Lista_CUIT[#All],2,0)),"CUIT NO CARGADO")</f>
        <v>LANDRO FERNANDO GABRIEL</v>
      </c>
      <c r="I155" s="126">
        <v>350060</v>
      </c>
      <c r="J155" s="127" t="str">
        <f>IFERROR(IF(factura_c_mes1[[#This Row],[CUIT]]="","-",VLOOKUP(factura_c_mes1[[#This Row],[CUIT]],Lista_CUIT[#All],3,0)),"CUIT NO CARGADO")</f>
        <v>GESTION COBRANZAS</v>
      </c>
      <c r="K155" s="127">
        <f>IFERROR(IF(factura_c_mes1[[#This Row],[CUIT]]="","-",VLOOKUP(factura_c_mes1[[#This Row],[CUIT]],Lista_CUIT[#All],4,0)),"CUIT NO CARGADO")</f>
        <v>0</v>
      </c>
    </row>
    <row r="156" spans="4:11">
      <c r="D156" s="128">
        <v>45322</v>
      </c>
      <c r="E156" s="123">
        <v>5</v>
      </c>
      <c r="F156" s="123">
        <v>159</v>
      </c>
      <c r="G156" s="124">
        <v>27062343449</v>
      </c>
      <c r="H156" s="125" t="str">
        <f>IFERROR(IF(factura_c_mes1[[#This Row],[CUIT]]="","-",VLOOKUP(factura_c_mes1[[#This Row],[CUIT]],Lista_CUIT[#All],2,0)),"CUIT NO CARGADO")</f>
        <v>FERREIRS LILISNS INES</v>
      </c>
      <c r="I156" s="126">
        <v>185000</v>
      </c>
      <c r="J156" s="127" t="str">
        <f>IFERROR(IF(factura_c_mes1[[#This Row],[CUIT]]="","-",VLOOKUP(factura_c_mes1[[#This Row],[CUIT]],Lista_CUIT[#All],3,0)),"CUIT NO CARGADO")</f>
        <v>ALQUILERES PAGADOS</v>
      </c>
      <c r="K156" s="127">
        <f>IFERROR(IF(factura_c_mes1[[#This Row],[CUIT]]="","-",VLOOKUP(factura_c_mes1[[#This Row],[CUIT]],Lista_CUIT[#All],4,0)),"CUIT NO CARGADO")</f>
        <v>0</v>
      </c>
    </row>
    <row r="157" spans="4:11">
      <c r="D157" s="352">
        <v>45322</v>
      </c>
      <c r="E157" s="353">
        <v>5</v>
      </c>
      <c r="F157" s="353">
        <v>158</v>
      </c>
      <c r="G157" s="354">
        <v>27062343449</v>
      </c>
      <c r="H157" s="355" t="str">
        <f>IFERROR(IF(factura_c_mes1[[#This Row],[CUIT]]="","-",VLOOKUP(factura_c_mes1[[#This Row],[CUIT]],Lista_CUIT[#All],2,0)),"CUIT NO CARGADO")</f>
        <v>FERREIRS LILISNS INES</v>
      </c>
      <c r="I157" s="356">
        <v>185000</v>
      </c>
      <c r="J157" s="357" t="str">
        <f>IFERROR(IF(factura_c_mes1[[#This Row],[CUIT]]="","-",VLOOKUP(factura_c_mes1[[#This Row],[CUIT]],Lista_CUIT[#All],3,0)),"CUIT NO CARGADO")</f>
        <v>ALQUILERES PAGADOS</v>
      </c>
      <c r="K157" s="357">
        <f>IFERROR(IF(factura_c_mes1[[#This Row],[CUIT]]="","-",VLOOKUP(factura_c_mes1[[#This Row],[CUIT]],Lista_CUIT[#All],4,0)),"CUIT NO CARGADO")</f>
        <v>0</v>
      </c>
    </row>
    <row r="158" spans="4:11">
      <c r="D158" s="128"/>
      <c r="E158" s="123"/>
      <c r="F158" s="123"/>
      <c r="G158" s="124"/>
      <c r="H158" s="125" t="str">
        <f>IFERROR(IF(factura_c_mes1[[#This Row],[CUIT]]="","-",VLOOKUP(factura_c_mes1[[#This Row],[CUIT]],Lista_CUIT[#All],2,0)),"CUIT NO CARGADO")</f>
        <v>-</v>
      </c>
      <c r="I158" s="126"/>
      <c r="J158" s="127" t="str">
        <f>IFERROR(IF(factura_c_mes1[[#This Row],[CUIT]]="","-",VLOOKUP(factura_c_mes1[[#This Row],[CUIT]],Lista_CUIT[#All],3,0)),"CUIT NO CARGADO")</f>
        <v>-</v>
      </c>
      <c r="K158" s="127" t="str">
        <f>IFERROR(IF(factura_c_mes1[[#This Row],[CUIT]]="","-",VLOOKUP(factura_c_mes1[[#This Row],[CUIT]],Lista_CUIT[#All],4,0)),"CUIT NO CARGADO")</f>
        <v>-</v>
      </c>
    </row>
    <row r="159" spans="4:11">
      <c r="D159" s="128"/>
      <c r="E159" s="123"/>
      <c r="F159" s="123"/>
      <c r="G159" s="124"/>
      <c r="H159" s="125" t="str">
        <f>IFERROR(IF(factura_c_mes1[[#This Row],[CUIT]]="","-",VLOOKUP(factura_c_mes1[[#This Row],[CUIT]],Lista_CUIT[#All],2,0)),"CUIT NO CARGADO")</f>
        <v>-</v>
      </c>
      <c r="I159" s="126"/>
      <c r="J159" s="127" t="str">
        <f>IFERROR(IF(factura_c_mes1[[#This Row],[CUIT]]="","-",VLOOKUP(factura_c_mes1[[#This Row],[CUIT]],Lista_CUIT[#All],3,0)),"CUIT NO CARGADO")</f>
        <v>-</v>
      </c>
      <c r="K159" s="127" t="str">
        <f>IFERROR(IF(factura_c_mes1[[#This Row],[CUIT]]="","-",VLOOKUP(factura_c_mes1[[#This Row],[CUIT]],Lista_CUIT[#All],4,0)),"CUIT NO CARGADO")</f>
        <v>-</v>
      </c>
    </row>
    <row r="160" spans="4:11">
      <c r="D160" s="128"/>
      <c r="E160" s="123"/>
      <c r="F160" s="123"/>
      <c r="G160" s="124"/>
      <c r="H160" s="125" t="str">
        <f>IFERROR(IF(factura_c_mes1[[#This Row],[CUIT]]="","-",VLOOKUP(factura_c_mes1[[#This Row],[CUIT]],Lista_CUIT[#All],2,0)),"CUIT NO CARGADO")</f>
        <v>-</v>
      </c>
      <c r="I160" s="126"/>
      <c r="J160" s="127" t="str">
        <f>IFERROR(IF(factura_c_mes1[[#This Row],[CUIT]]="","-",VLOOKUP(factura_c_mes1[[#This Row],[CUIT]],Lista_CUIT[#All],3,0)),"CUIT NO CARGADO")</f>
        <v>-</v>
      </c>
      <c r="K160" s="127" t="str">
        <f>IFERROR(IF(factura_c_mes1[[#This Row],[CUIT]]="","-",VLOOKUP(factura_c_mes1[[#This Row],[CUIT]],Lista_CUIT[#All],4,0)),"CUIT NO CARGADO")</f>
        <v>-</v>
      </c>
    </row>
    <row r="161" spans="2:18">
      <c r="D161" s="128"/>
      <c r="E161" s="123"/>
      <c r="F161" s="123"/>
      <c r="G161" s="124"/>
      <c r="H161" s="125" t="str">
        <f>IFERROR(IF(factura_c_mes1[[#This Row],[CUIT]]="","-",VLOOKUP(factura_c_mes1[[#This Row],[CUIT]],Lista_CUIT[#All],2,0)),"CUIT NO CARGADO")</f>
        <v>-</v>
      </c>
      <c r="I161" s="126"/>
      <c r="J161" s="127" t="str">
        <f>IFERROR(IF(factura_c_mes1[[#This Row],[CUIT]]="","-",VLOOKUP(factura_c_mes1[[#This Row],[CUIT]],Lista_CUIT[#All],3,0)),"CUIT NO CARGADO")</f>
        <v>-</v>
      </c>
      <c r="K161" s="127" t="str">
        <f>IFERROR(IF(factura_c_mes1[[#This Row],[CUIT]]="","-",VLOOKUP(factura_c_mes1[[#This Row],[CUIT]],Lista_CUIT[#All],4,0)),"CUIT NO CARGADO")</f>
        <v>-</v>
      </c>
    </row>
    <row r="162" spans="2:18">
      <c r="D162" s="128"/>
      <c r="E162" s="123"/>
      <c r="F162" s="123"/>
      <c r="G162" s="124"/>
      <c r="H162" s="125" t="str">
        <f>IFERROR(IF(factura_c_mes1[[#This Row],[CUIT]]="","-",VLOOKUP(factura_c_mes1[[#This Row],[CUIT]],Lista_CUIT[#All],2,0)),"CUIT NO CARGADO")</f>
        <v>-</v>
      </c>
      <c r="I162" s="126"/>
      <c r="J162" s="127" t="str">
        <f>IFERROR(IF(factura_c_mes1[[#This Row],[CUIT]]="","-",VLOOKUP(factura_c_mes1[[#This Row],[CUIT]],Lista_CUIT[#All],3,0)),"CUIT NO CARGADO")</f>
        <v>-</v>
      </c>
      <c r="K162" s="127" t="str">
        <f>IFERROR(IF(factura_c_mes1[[#This Row],[CUIT]]="","-",VLOOKUP(factura_c_mes1[[#This Row],[CUIT]],Lista_CUIT[#All],4,0)),"CUIT NO CARGADO")</f>
        <v>-</v>
      </c>
    </row>
    <row r="163" spans="2:18">
      <c r="D163" s="55" t="s">
        <v>110</v>
      </c>
      <c r="E163" s="55"/>
      <c r="F163" s="55"/>
      <c r="G163" s="55"/>
      <c r="H163" s="57"/>
      <c r="I163" s="58">
        <f>SUBTOTAL(109,factura_c_mes1[TOTAL])</f>
        <v>4144733.97</v>
      </c>
      <c r="J163" s="55"/>
      <c r="K163" s="55"/>
    </row>
    <row r="164" spans="2:18">
      <c r="B164" s="56"/>
      <c r="C164" s="56"/>
      <c r="L164" s="56"/>
      <c r="M164" s="56"/>
      <c r="N164" s="56"/>
      <c r="O164" s="56"/>
      <c r="P164" s="56"/>
      <c r="Q164" s="122"/>
      <c r="R164" s="56"/>
    </row>
    <row r="169" spans="2:18" ht="26.25">
      <c r="B169" s="673" t="s">
        <v>29</v>
      </c>
      <c r="C169" s="673"/>
      <c r="D169" s="673"/>
      <c r="E169" s="673"/>
      <c r="F169" s="673"/>
      <c r="G169" s="673"/>
      <c r="H169" s="673"/>
      <c r="I169" s="673"/>
      <c r="J169" s="673"/>
      <c r="K169" s="669">
        <f>N1</f>
        <v>45292</v>
      </c>
      <c r="L169" s="669"/>
      <c r="M169" s="669"/>
    </row>
    <row r="171" spans="2:18" ht="21">
      <c r="B171" s="666" t="s">
        <v>30</v>
      </c>
      <c r="C171" s="666"/>
    </row>
    <row r="172" spans="2:18" ht="47.25">
      <c r="B172" s="60" t="s">
        <v>0</v>
      </c>
      <c r="C172" s="61" t="s">
        <v>1</v>
      </c>
      <c r="D172" s="61" t="s">
        <v>21</v>
      </c>
      <c r="E172" s="61" t="s">
        <v>22</v>
      </c>
      <c r="F172" s="61" t="s">
        <v>3</v>
      </c>
      <c r="G172" s="61" t="s">
        <v>4</v>
      </c>
      <c r="H172" s="61" t="s">
        <v>23</v>
      </c>
      <c r="I172" s="61" t="s">
        <v>17</v>
      </c>
      <c r="J172" s="61" t="s">
        <v>7</v>
      </c>
      <c r="K172" s="61" t="s">
        <v>24</v>
      </c>
      <c r="L172" s="61" t="s">
        <v>10</v>
      </c>
      <c r="M172" s="62" t="s">
        <v>38</v>
      </c>
    </row>
    <row r="173" spans="2:18">
      <c r="B173" s="40"/>
      <c r="C173" s="41"/>
      <c r="D173" s="42"/>
      <c r="E173" s="43"/>
      <c r="F173" s="44"/>
      <c r="G173" s="98" t="str">
        <f>IFERROR(IF(venta_a_mes1[[#This Row],[CUIT]]="","-",VLOOKUP(venta_a_mes1[[#This Row],[CUIT]],Lista_CUIT[#All],2,0)),"CUIT NO CARGADO")</f>
        <v>-</v>
      </c>
      <c r="H173" s="99"/>
      <c r="I173" s="100">
        <f>venta_a_mes1[[#This Row],[IMPORTE NETO]]*0.21</f>
        <v>0</v>
      </c>
      <c r="J173" s="65"/>
      <c r="K173" s="65"/>
      <c r="L173" s="65">
        <f>SUM(venta_a_mes1[[#This Row],[IMPORTE NETO]:[EXENTO]])</f>
        <v>0</v>
      </c>
      <c r="M173" s="59"/>
    </row>
    <row r="174" spans="2:18">
      <c r="B174" s="40"/>
      <c r="C174" s="41"/>
      <c r="D174" s="42"/>
      <c r="E174" s="43"/>
      <c r="F174" s="44"/>
      <c r="G174" s="98" t="str">
        <f>IFERROR(IF(venta_a_mes1[[#This Row],[CUIT]]="","-",VLOOKUP(venta_a_mes1[[#This Row],[CUIT]],Lista_CUIT[#All],2,0)),"CUIT NO CARGADO")</f>
        <v>-</v>
      </c>
      <c r="H174" s="99"/>
      <c r="I174" s="100">
        <f>venta_a_mes1[[#This Row],[IMPORTE NETO]]*0.21</f>
        <v>0</v>
      </c>
      <c r="J174" s="65"/>
      <c r="K174" s="65"/>
      <c r="L174" s="65">
        <f>SUM(venta_a_mes1[[#This Row],[IMPORTE NETO]:[EXENTO]])</f>
        <v>0</v>
      </c>
      <c r="M174" s="59"/>
    </row>
    <row r="175" spans="2:18">
      <c r="B175" s="40"/>
      <c r="C175" s="41"/>
      <c r="D175" s="42"/>
      <c r="E175" s="43"/>
      <c r="F175" s="44"/>
      <c r="G175" s="98" t="str">
        <f>IFERROR(IF(venta_a_mes1[[#This Row],[CUIT]]="","-",VLOOKUP(venta_a_mes1[[#This Row],[CUIT]],Lista_CUIT[#All],2,0)),"CUIT NO CARGADO")</f>
        <v>-</v>
      </c>
      <c r="H175" s="99"/>
      <c r="I175" s="100">
        <f>venta_a_mes1[[#This Row],[IMPORTE NETO]]*0.21</f>
        <v>0</v>
      </c>
      <c r="J175" s="65"/>
      <c r="K175" s="65"/>
      <c r="L175" s="65">
        <f>SUM(venta_a_mes1[[#This Row],[IMPORTE NETO]:[EXENTO]])</f>
        <v>0</v>
      </c>
      <c r="M175" s="59"/>
    </row>
    <row r="176" spans="2:18">
      <c r="B176" s="40"/>
      <c r="C176" s="41"/>
      <c r="D176" s="42"/>
      <c r="E176" s="43"/>
      <c r="F176" s="44"/>
      <c r="G176" s="98" t="str">
        <f>IFERROR(IF(venta_a_mes1[[#This Row],[CUIT]]="","-",VLOOKUP(venta_a_mes1[[#This Row],[CUIT]],Lista_CUIT[#All],2,0)),"CUIT NO CARGADO")</f>
        <v>-</v>
      </c>
      <c r="H176" s="99"/>
      <c r="I176" s="100">
        <f>venta_a_mes1[[#This Row],[IMPORTE NETO]]*0.21</f>
        <v>0</v>
      </c>
      <c r="J176" s="65"/>
      <c r="K176" s="65"/>
      <c r="L176" s="65">
        <f>SUM(venta_a_mes1[[#This Row],[IMPORTE NETO]:[EXENTO]])</f>
        <v>0</v>
      </c>
      <c r="M176" s="59"/>
    </row>
    <row r="177" spans="2:13">
      <c r="B177" s="40"/>
      <c r="C177" s="41"/>
      <c r="D177" s="42"/>
      <c r="E177" s="43"/>
      <c r="F177" s="44"/>
      <c r="G177" s="98" t="str">
        <f>IFERROR(IF(venta_a_mes1[[#This Row],[CUIT]]="","-",VLOOKUP(venta_a_mes1[[#This Row],[CUIT]],Lista_CUIT[#All],2,0)),"CUIT NO CARGADO")</f>
        <v>-</v>
      </c>
      <c r="H177" s="99"/>
      <c r="I177" s="100">
        <f>venta_a_mes1[[#This Row],[IMPORTE NETO]]*0.21</f>
        <v>0</v>
      </c>
      <c r="J177" s="65"/>
      <c r="K177" s="65"/>
      <c r="L177" s="65">
        <f>SUM(venta_a_mes1[[#This Row],[IMPORTE NETO]:[EXENTO]])</f>
        <v>0</v>
      </c>
      <c r="M177" s="59"/>
    </row>
    <row r="178" spans="2:13">
      <c r="B178" s="40"/>
      <c r="C178" s="41"/>
      <c r="D178" s="42"/>
      <c r="E178" s="43"/>
      <c r="F178" s="44"/>
      <c r="G178" s="98" t="str">
        <f>IFERROR(IF(venta_a_mes1[[#This Row],[CUIT]]="","-",VLOOKUP(venta_a_mes1[[#This Row],[CUIT]],Lista_CUIT[#All],2,0)),"CUIT NO CARGADO")</f>
        <v>-</v>
      </c>
      <c r="H178" s="99"/>
      <c r="I178" s="100">
        <f>venta_a_mes1[[#This Row],[IMPORTE NETO]]*0.21</f>
        <v>0</v>
      </c>
      <c r="J178" s="65"/>
      <c r="K178" s="65"/>
      <c r="L178" s="65">
        <f>SUM(venta_a_mes1[[#This Row],[IMPORTE NETO]:[EXENTO]])</f>
        <v>0</v>
      </c>
      <c r="M178" s="59"/>
    </row>
    <row r="179" spans="2:13">
      <c r="B179" s="40"/>
      <c r="C179" s="41"/>
      <c r="D179" s="42"/>
      <c r="E179" s="43"/>
      <c r="F179" s="44"/>
      <c r="G179" s="98" t="str">
        <f>IFERROR(IF(venta_a_mes1[[#This Row],[CUIT]]="","-",VLOOKUP(venta_a_mes1[[#This Row],[CUIT]],Lista_CUIT[#All],2,0)),"CUIT NO CARGADO")</f>
        <v>-</v>
      </c>
      <c r="H179" s="99"/>
      <c r="I179" s="100">
        <f>venta_a_mes1[[#This Row],[IMPORTE NETO]]*0.21</f>
        <v>0</v>
      </c>
      <c r="J179" s="65"/>
      <c r="K179" s="65"/>
      <c r="L179" s="65">
        <f>SUM(venta_a_mes1[[#This Row],[IMPORTE NETO]:[EXENTO]])</f>
        <v>0</v>
      </c>
      <c r="M179" s="63"/>
    </row>
    <row r="180" spans="2:13">
      <c r="B180" s="101"/>
      <c r="C180" s="102"/>
      <c r="D180" s="103"/>
      <c r="E180" s="104"/>
      <c r="F180" s="105"/>
      <c r="G180" s="98" t="str">
        <f>IFERROR(IF(venta_a_mes1[[#This Row],[CUIT]]="","-",VLOOKUP(venta_a_mes1[[#This Row],[CUIT]],Lista_CUIT[#All],2,0)),"CUIT NO CARGADO")</f>
        <v>-</v>
      </c>
      <c r="H180" s="106"/>
      <c r="I180" s="107">
        <f>venta_a_mes1[[#This Row],[IMPORTE NETO]]*0.21</f>
        <v>0</v>
      </c>
      <c r="J180" s="72"/>
      <c r="K180" s="72"/>
      <c r="L180" s="72">
        <f>SUM(venta_a_mes1[[#This Row],[IMPORTE NETO]:[EXENTO]])</f>
        <v>0</v>
      </c>
      <c r="M180" s="63"/>
    </row>
    <row r="181" spans="2:13">
      <c r="B181" s="108"/>
      <c r="C181" s="109"/>
      <c r="D181" s="110"/>
      <c r="E181" s="111"/>
      <c r="F181" s="112"/>
      <c r="G181" s="98" t="str">
        <f>IFERROR(IF(venta_a_mes1[[#This Row],[CUIT]]="","-",VLOOKUP(venta_a_mes1[[#This Row],[CUIT]],Lista_CUIT[#All],2,0)),"CUIT NO CARGADO")</f>
        <v>-</v>
      </c>
      <c r="H181" s="99"/>
      <c r="I181" s="100">
        <f>venta_a_mes1[[#This Row],[IMPORTE NETO]]*0.21</f>
        <v>0</v>
      </c>
      <c r="J181" s="65"/>
      <c r="K181" s="65"/>
      <c r="L181" s="65">
        <f>SUM(venta_a_mes1[[#This Row],[IMPORTE NETO]:[EXENTO]])</f>
        <v>0</v>
      </c>
      <c r="M181" s="59"/>
    </row>
    <row r="182" spans="2:13">
      <c r="B182" s="66" t="s">
        <v>110</v>
      </c>
      <c r="C182" s="67"/>
      <c r="D182" s="67"/>
      <c r="E182" s="67"/>
      <c r="F182" s="67"/>
      <c r="G182" s="67"/>
      <c r="H182" s="69">
        <f>SUBTOTAL(109,venta_a_mes1[IMPORTE NETO])</f>
        <v>0</v>
      </c>
      <c r="I182" s="70">
        <f>SUBTOTAL(109,venta_a_mes1[IVA 21%])</f>
        <v>0</v>
      </c>
      <c r="J182" s="71">
        <f>SUBTOTAL(109,venta_a_mes1[IVA 10,5%])</f>
        <v>0</v>
      </c>
      <c r="K182" s="71">
        <f>SUBTOTAL(109,venta_a_mes1[EXENTO])</f>
        <v>0</v>
      </c>
      <c r="L182" s="71">
        <f>SUBTOTAL(109,venta_a_mes1[TOTAL])</f>
        <v>0</v>
      </c>
      <c r="M182" s="68">
        <f>SUBTOTAL(103,venta_a_mes1[Provincia])</f>
        <v>0</v>
      </c>
    </row>
    <row r="185" spans="2:13" ht="21">
      <c r="B185" s="666" t="s">
        <v>31</v>
      </c>
      <c r="C185" s="666"/>
    </row>
    <row r="186" spans="2:13" ht="47.25">
      <c r="B186" s="60" t="s">
        <v>0</v>
      </c>
      <c r="C186" s="61" t="s">
        <v>1</v>
      </c>
      <c r="D186" s="61" t="s">
        <v>21</v>
      </c>
      <c r="E186" s="61" t="s">
        <v>22</v>
      </c>
      <c r="F186" s="61" t="s">
        <v>3</v>
      </c>
      <c r="G186" s="61" t="s">
        <v>4</v>
      </c>
      <c r="H186" s="61" t="s">
        <v>23</v>
      </c>
      <c r="I186" s="61" t="s">
        <v>17</v>
      </c>
      <c r="J186" s="61" t="s">
        <v>7</v>
      </c>
      <c r="K186" s="61" t="s">
        <v>24</v>
      </c>
      <c r="L186" s="61" t="s">
        <v>10</v>
      </c>
      <c r="M186" s="62" t="s">
        <v>38</v>
      </c>
    </row>
    <row r="187" spans="2:13">
      <c r="B187" s="40"/>
      <c r="C187" s="41"/>
      <c r="D187" s="42"/>
      <c r="E187" s="43"/>
      <c r="F187" s="44"/>
      <c r="G187" s="1" t="str">
        <f>IFERROR(IF(ventas_b_mes1[[#This Row],[CUIT]]="","-",VLOOKUP(ventas_b_mes1[[#This Row],[CUIT]],Lista_CUIT[#All],2,0)),"CUIT NO CARGADO")</f>
        <v>-</v>
      </c>
      <c r="H187" s="64"/>
      <c r="I187" s="64"/>
      <c r="J187" s="64"/>
      <c r="K187" s="64"/>
      <c r="L187" s="64">
        <f>SUM(ventas_b_mes1[[#This Row],[IMPORTE NETO]:[EXENTO]])</f>
        <v>0</v>
      </c>
      <c r="M187" s="59"/>
    </row>
    <row r="188" spans="2:13">
      <c r="B188" s="40"/>
      <c r="C188" s="41"/>
      <c r="D188" s="42"/>
      <c r="E188" s="43"/>
      <c r="F188" s="44"/>
      <c r="G188" s="1"/>
      <c r="H188" s="64"/>
      <c r="I188" s="64"/>
      <c r="J188" s="64"/>
      <c r="K188" s="64"/>
      <c r="L188" s="64">
        <f>SUM(ventas_b_mes1[[#This Row],[IMPORTE NETO]:[EXENTO]])</f>
        <v>0</v>
      </c>
      <c r="M188" s="59"/>
    </row>
    <row r="189" spans="2:13">
      <c r="B189" s="40"/>
      <c r="C189" s="41"/>
      <c r="D189" s="42"/>
      <c r="E189" s="43"/>
      <c r="F189" s="44"/>
      <c r="G189" s="1"/>
      <c r="H189" s="64"/>
      <c r="I189" s="64"/>
      <c r="J189" s="64"/>
      <c r="K189" s="64"/>
      <c r="L189" s="64">
        <f>SUM(ventas_b_mes1[[#This Row],[IMPORTE NETO]:[EXENTO]])</f>
        <v>0</v>
      </c>
      <c r="M189" s="59"/>
    </row>
    <row r="190" spans="2:13">
      <c r="B190" s="40"/>
      <c r="C190" s="41"/>
      <c r="D190" s="42"/>
      <c r="E190" s="43"/>
      <c r="F190" s="44"/>
      <c r="G190" s="1"/>
      <c r="H190" s="64"/>
      <c r="I190" s="64"/>
      <c r="J190" s="64"/>
      <c r="K190" s="64"/>
      <c r="L190" s="64">
        <f>SUM(ventas_b_mes1[[#This Row],[IMPORTE NETO]:[EXENTO]])</f>
        <v>0</v>
      </c>
      <c r="M190" s="59"/>
    </row>
    <row r="191" spans="2:13">
      <c r="B191" s="40"/>
      <c r="C191" s="41"/>
      <c r="D191" s="42"/>
      <c r="E191" s="43"/>
      <c r="F191" s="44"/>
      <c r="G191" s="1"/>
      <c r="H191" s="64"/>
      <c r="I191" s="64"/>
      <c r="J191" s="64"/>
      <c r="K191" s="64"/>
      <c r="L191" s="64">
        <f>SUM(ventas_b_mes1[[#This Row],[IMPORTE NETO]:[EXENTO]])</f>
        <v>0</v>
      </c>
      <c r="M191" s="59"/>
    </row>
    <row r="192" spans="2:13">
      <c r="B192" s="40"/>
      <c r="C192" s="41"/>
      <c r="D192" s="42"/>
      <c r="E192" s="43"/>
      <c r="F192" s="44"/>
      <c r="G192" s="1"/>
      <c r="H192" s="64"/>
      <c r="I192" s="64"/>
      <c r="J192" s="64"/>
      <c r="K192" s="64"/>
      <c r="L192" s="64">
        <f>SUM(ventas_b_mes1[[#This Row],[IMPORTE NETO]:[EXENTO]])</f>
        <v>0</v>
      </c>
      <c r="M192" s="59"/>
    </row>
    <row r="193" spans="2:13">
      <c r="B193" s="66" t="s">
        <v>110</v>
      </c>
      <c r="C193" s="67"/>
      <c r="D193" s="67"/>
      <c r="E193" s="67"/>
      <c r="F193" s="67"/>
      <c r="G193" s="67"/>
      <c r="H193" s="77">
        <f>SUBTOTAL(109,ventas_b_mes1[IMPORTE NETO])</f>
        <v>0</v>
      </c>
      <c r="I193" s="77">
        <f>SUBTOTAL(109,ventas_b_mes1[IVA 21%])</f>
        <v>0</v>
      </c>
      <c r="J193" s="78">
        <f>SUBTOTAL(109,ventas_b_mes1[IVA 10,5%])</f>
        <v>0</v>
      </c>
      <c r="K193" s="78">
        <f>SUBTOTAL(109,ventas_b_mes1[EXENTO])</f>
        <v>0</v>
      </c>
      <c r="L193" s="78">
        <f>SUBTOTAL(109,ventas_b_mes1[TOTAL])</f>
        <v>0</v>
      </c>
      <c r="M193" s="68">
        <f>SUBTOTAL(103,ventas_b_mes1[Provincia])</f>
        <v>0</v>
      </c>
    </row>
    <row r="200" spans="2:13" ht="15.75" thickBot="1"/>
    <row r="201" spans="2:13" ht="15.75" thickTop="1">
      <c r="C201" s="663" t="s">
        <v>66</v>
      </c>
      <c r="D201" s="663"/>
      <c r="E201" s="663"/>
      <c r="F201" s="663"/>
      <c r="G201" s="663"/>
      <c r="H201" s="32"/>
      <c r="I201" s="32"/>
      <c r="J201" s="32"/>
    </row>
    <row r="202" spans="2:13" ht="15.75">
      <c r="C202" s="113" t="s">
        <v>67</v>
      </c>
      <c r="D202" s="114" t="s">
        <v>68</v>
      </c>
      <c r="E202" s="114" t="s">
        <v>112</v>
      </c>
      <c r="F202" s="114" t="s">
        <v>3</v>
      </c>
      <c r="G202" s="114" t="s">
        <v>4</v>
      </c>
      <c r="H202" s="115" t="s">
        <v>69</v>
      </c>
      <c r="I202" s="115" t="s">
        <v>70</v>
      </c>
      <c r="J202" s="115" t="s">
        <v>71</v>
      </c>
      <c r="K202" s="115" t="s">
        <v>72</v>
      </c>
      <c r="L202" s="115" t="s">
        <v>73</v>
      </c>
    </row>
    <row r="203" spans="2:13">
      <c r="C203" s="116"/>
      <c r="D203" s="117"/>
      <c r="E203" s="117"/>
      <c r="F203" s="118"/>
      <c r="G203" s="53" t="str">
        <f>IFERROR(IF(retenciones_mes1[[#This Row],[CUIT]]="","-",VLOOKUP(retenciones_mes1[[#This Row],[CUIT]],Lista_CUIT[#All],2,0)),"CUIT NO CARGADO")</f>
        <v>-</v>
      </c>
      <c r="H203" s="119"/>
      <c r="I203" s="119"/>
      <c r="J203" s="119"/>
      <c r="K203" s="119"/>
      <c r="L203" s="119"/>
    </row>
    <row r="204" spans="2:13">
      <c r="C204" s="116"/>
      <c r="D204" s="117"/>
      <c r="E204" s="117"/>
      <c r="F204" s="118"/>
      <c r="G204" s="53" t="str">
        <f>IFERROR(IF(retenciones_mes1[[#This Row],[CUIT]]="","-",VLOOKUP(retenciones_mes1[[#This Row],[CUIT]],Lista_CUIT[#All],2,0)),"CUIT NO CARGADO")</f>
        <v>-</v>
      </c>
      <c r="H204" s="119"/>
      <c r="I204" s="119"/>
      <c r="J204" s="119"/>
      <c r="K204" s="119"/>
      <c r="L204" s="119"/>
    </row>
    <row r="205" spans="2:13">
      <c r="C205" s="116"/>
      <c r="D205" s="117"/>
      <c r="E205" s="117"/>
      <c r="F205" s="118"/>
      <c r="G205" s="53" t="str">
        <f>IFERROR(IF(retenciones_mes1[[#This Row],[CUIT]]="","-",VLOOKUP(retenciones_mes1[[#This Row],[CUIT]],Lista_CUIT[#All],2,0)),"CUIT NO CARGADO")</f>
        <v>-</v>
      </c>
      <c r="H205" s="119"/>
      <c r="I205" s="119"/>
      <c r="J205" s="119"/>
      <c r="K205" s="119"/>
      <c r="L205" s="119"/>
    </row>
    <row r="206" spans="2:13">
      <c r="C206" s="116"/>
      <c r="D206" s="117"/>
      <c r="E206" s="117"/>
      <c r="F206" s="118"/>
      <c r="G206" s="53" t="str">
        <f>IFERROR(IF(retenciones_mes1[[#This Row],[CUIT]]="","-",VLOOKUP(retenciones_mes1[[#This Row],[CUIT]],Lista_CUIT[#All],2,0)),"CUIT NO CARGADO")</f>
        <v>-</v>
      </c>
      <c r="H206" s="119"/>
      <c r="I206" s="119"/>
      <c r="J206" s="119"/>
      <c r="K206" s="119"/>
      <c r="L206" s="119"/>
    </row>
    <row r="207" spans="2:13">
      <c r="D207" s="117"/>
      <c r="E207" s="117"/>
      <c r="G207" s="53" t="str">
        <f>IFERROR(IF(retenciones_mes1[[#This Row],[CUIT]]="","-",VLOOKUP(retenciones_mes1[[#This Row],[CUIT]],Lista_CUIT[#All],2,0)),"CUIT NO CARGADO")</f>
        <v>-</v>
      </c>
    </row>
    <row r="208" spans="2:13">
      <c r="C208" s="33"/>
    </row>
  </sheetData>
  <mergeCells count="20">
    <mergeCell ref="D128:K128"/>
    <mergeCell ref="P4:R4"/>
    <mergeCell ref="P3:R3"/>
    <mergeCell ref="J3:K3"/>
    <mergeCell ref="J4:K4"/>
    <mergeCell ref="M4:N4"/>
    <mergeCell ref="M3:N3"/>
    <mergeCell ref="C201:G201"/>
    <mergeCell ref="N1:R1"/>
    <mergeCell ref="D119:L119"/>
    <mergeCell ref="B171:C171"/>
    <mergeCell ref="B185:C185"/>
    <mergeCell ref="B1:F1"/>
    <mergeCell ref="G1:M1"/>
    <mergeCell ref="K169:M169"/>
    <mergeCell ref="B3:E3"/>
    <mergeCell ref="B4:E4"/>
    <mergeCell ref="G4:H4"/>
    <mergeCell ref="G3:H3"/>
    <mergeCell ref="B169:J169"/>
  </mergeCells>
  <phoneticPr fontId="38" type="noConversion"/>
  <dataValidations count="11">
    <dataValidation type="whole" allowBlank="1" showInputMessage="1" showErrorMessage="1" sqref="D173:D181 D187:D192 E130:E162 D9:D113">
      <formula1>1</formula1>
      <formula2>9999</formula2>
    </dataValidation>
    <dataValidation type="whole" allowBlank="1" showInputMessage="1" showErrorMessage="1" sqref="E173:E181 E187:E192 F130:F162 E9:E113">
      <formula1>1</formula1>
      <formula2>99999999</formula2>
    </dataValidation>
    <dataValidation type="whole" allowBlank="1" showInputMessage="1" showErrorMessage="1" sqref="F173:F181 F187:F192 G130:G162 F9:F113">
      <formula1>20000000000</formula1>
      <formula2>33999999999</formula2>
    </dataValidation>
    <dataValidation type="date" allowBlank="1" showInputMessage="1" showErrorMessage="1" sqref="D121:D123 B173:B181 B115:B118 B187:B192 D130:D162 B9:B113">
      <formula1>40179</formula1>
      <formula2>TODAY()</formula2>
    </dataValidation>
    <dataValidation type="whole" allowBlank="1" showInputMessage="1" showErrorMessage="1" sqref="C115:C118 C173:C181 C9:C113">
      <formula1>1</formula1>
      <formula2>3</formula2>
    </dataValidation>
    <dataValidation type="custom" allowBlank="1" showInputMessage="1" showErrorMessage="1" sqref="H173:K173 H175:K175 H177:K177 H179:K179">
      <formula1>IF($C173=3,H173&lt;0,H173&gt;=0)</formula1>
    </dataValidation>
    <dataValidation type="whole" allowBlank="1" showInputMessage="1" showErrorMessage="1" sqref="C187:C192">
      <formula1>6</formula1>
      <formula2>8</formula2>
    </dataValidation>
    <dataValidation type="custom" allowBlank="1" showInputMessage="1" showErrorMessage="1" sqref="L173:L177">
      <formula1>IF(#REF!=3,#REF!&lt;0,#REF!&gt;=0)</formula1>
    </dataValidation>
    <dataValidation type="custom" allowBlank="1" showInputMessage="1" showErrorMessage="1" sqref="H187:L192">
      <formula1>IF($C187=8,H187&lt;0,H187&gt;=0)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66 H67:O80 H66:M66 O31 H9:O30 H32:O65 H31:M31 O95 H83:O94 H96:O98 H95:M95 O81 H82:N82 H81:M81">
      <formula1>IF($C9=3,H9&lt;0,H9&gt;=0)</formula1>
    </dataValidation>
    <dataValidation type="custom" allowBlank="1" showInputMessage="1" showErrorMessage="1" sqref="L178:L179">
      <formula1>IF($C114=3,L114&lt;0,L114&gt;=0)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9" tint="0.79998168889431442"/>
  </sheetPr>
  <dimension ref="A1:Z501"/>
  <sheetViews>
    <sheetView showGridLines="0" topLeftCell="A57" zoomScale="85" zoomScaleNormal="85" workbookViewId="0">
      <selection activeCell="O74" activeCellId="1" sqref="H74 O74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13.140625" customWidth="1"/>
    <col min="4" max="4" width="16.5703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33" customWidth="1"/>
    <col min="18" max="18" width="14.42578125" customWidth="1"/>
    <col min="19" max="19" width="12.1406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EDATE('Ene-24'!N1,1)</f>
        <v>45323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SUM(compras_mes2[[#Totals],[NETO GRAVADO]])+extracto_banco_mes2[[#Totals],[NETO]]</f>
        <v>57163824.659999982</v>
      </c>
      <c r="C4" s="671"/>
      <c r="D4" s="671"/>
      <c r="E4" s="671"/>
      <c r="F4" s="39"/>
      <c r="G4" s="672">
        <f>compras_mes2[[#Totals],[IVA 21 %]]+compras_mes2[[#Totals],[IVA 27%]]+compras_mes2[[#Totals],[IVA 10,5%]]+extracto_banco_mes2[[#Totals],[IVA 21%]]+extracto_banco_mes2[[#Totals],[IVA 10,5%]]</f>
        <v>11676768.614600003</v>
      </c>
      <c r="H4" s="672"/>
      <c r="I4" s="39"/>
      <c r="J4" s="661">
        <f>venta_a_mes2[[#Totals],[IMPORTE NETO]]+ventas_b_mes2[[#Totals],[IMPORTE NETO]]</f>
        <v>0</v>
      </c>
      <c r="K4" s="661"/>
      <c r="L4" s="39"/>
      <c r="M4" s="661">
        <f>venta_a_mes2[[#Totals],[IVA 21%]]+venta_a_mes2[[#Totals],[IVA 10,5%]]+ventas_b_mes2[[#Totals],[IVA 21%]]+ventas_b_mes2[[#Totals],[IVA 10,5%]]</f>
        <v>0</v>
      </c>
      <c r="N4" s="661"/>
      <c r="O4" s="39"/>
      <c r="P4" s="674">
        <f>G4-M4</f>
        <v>11676768.614600003</v>
      </c>
      <c r="Q4" s="675"/>
      <c r="R4" s="675"/>
    </row>
    <row r="5" spans="1:26" ht="13.35" customHeight="1"/>
    <row r="6" spans="1:26" ht="11.1" customHeight="1"/>
    <row r="7" spans="1:26" s="2" customFormat="1" ht="18.75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384"/>
      <c r="C9" s="385"/>
      <c r="D9" s="386"/>
      <c r="E9" s="387"/>
      <c r="F9" s="388"/>
      <c r="G9" s="389" t="str">
        <f>IFERROR(IF(compras_mes2[[#This Row],[CUIT]]="","-",VLOOKUP(compras_mes2[[#This Row],[CUIT]],Lista_CUIT[#All],2,0)),"CUIT NO CARGADO")</f>
        <v>-</v>
      </c>
      <c r="H9" s="390"/>
      <c r="I9" s="391" t="str">
        <f>IF(compras_mes2[[#This Row],[NETO GRAVADO]]="","",compras_mes2[[#This Row],[NETO GRAVADO]]*0.21)</f>
        <v/>
      </c>
      <c r="J9" s="391"/>
      <c r="K9" s="391"/>
      <c r="L9" s="391"/>
      <c r="M9" s="391"/>
      <c r="N9" s="391"/>
      <c r="O9" s="391"/>
      <c r="P9" s="392">
        <f>SUM(compras_mes2[[#This Row],[NETO GRAVADO]:[Otros / No Grav.]])</f>
        <v>0</v>
      </c>
      <c r="Q9" s="393" t="str">
        <f>IFERROR(IF(compras_mes2[[#This Row],[CUIT]]="","-",VLOOKUP(compras_mes2[[#This Row],[CUIT]],Lista_CUIT[#All],3,0)),"CUIT NO CARGADO")</f>
        <v>-</v>
      </c>
      <c r="R9" s="393" t="str">
        <f>IFERROR(IF(compras_mes2[[#This Row],[CUIT]]="","-",VLOOKUP(compras_mes2[[#This Row],[CUIT]],Lista_CUIT[#All],4,0)),"CUIT NO CARGADO")</f>
        <v>-</v>
      </c>
      <c r="S9">
        <v>72378.33</v>
      </c>
    </row>
    <row r="10" spans="1:26">
      <c r="B10" s="384"/>
      <c r="C10" s="385"/>
      <c r="D10" s="386"/>
      <c r="E10" s="387"/>
      <c r="F10" s="388"/>
      <c r="G10" s="389" t="str">
        <f>IFERROR(IF(compras_mes2[[#This Row],[CUIT]]="","-",VLOOKUP(compras_mes2[[#This Row],[CUIT]],Lista_CUIT[#All],2,0)),"CUIT NO CARGADO")</f>
        <v>-</v>
      </c>
      <c r="H10" s="390"/>
      <c r="I10" s="391" t="str">
        <f>IF(compras_mes2[[#This Row],[NETO GRAVADO]]="","",compras_mes2[[#This Row],[NETO GRAVADO]]*0.21)</f>
        <v/>
      </c>
      <c r="J10" s="391"/>
      <c r="K10" s="391"/>
      <c r="L10" s="391"/>
      <c r="M10" s="391"/>
      <c r="N10" s="391"/>
      <c r="O10" s="391"/>
      <c r="P10" s="392">
        <f>SUM(compras_mes2[[#This Row],[NETO GRAVADO]:[Otros / No Grav.]])</f>
        <v>0</v>
      </c>
      <c r="Q10" s="393" t="str">
        <f>IFERROR(IF(compras_mes2[[#This Row],[CUIT]]="","-",VLOOKUP(compras_mes2[[#This Row],[CUIT]],Lista_CUIT[#All],3,0)),"CUIT NO CARGADO")</f>
        <v>-</v>
      </c>
      <c r="R10" s="393" t="str">
        <f>IFERROR(IF(compras_mes2[[#This Row],[CUIT]]="","-",VLOOKUP(compras_mes2[[#This Row],[CUIT]],Lista_CUIT[#All],4,0)),"CUIT NO CARGADO")</f>
        <v>-</v>
      </c>
      <c r="S10">
        <v>210479.5</v>
      </c>
    </row>
    <row r="11" spans="1:26">
      <c r="B11" s="374">
        <v>45329</v>
      </c>
      <c r="C11" s="375">
        <v>1</v>
      </c>
      <c r="D11" s="376">
        <v>11</v>
      </c>
      <c r="E11" s="377">
        <v>1639285</v>
      </c>
      <c r="F11" s="378">
        <v>30709776564</v>
      </c>
      <c r="G11" s="379" t="str">
        <f>IFERROR(IF(compras_mes2[[#This Row],[CUIT]]="","-",VLOOKUP(compras_mes2[[#This Row],[CUIT]],Lista_CUIT[#All],2,0)),"CUIT NO CARGADO")</f>
        <v>PROSEGUR ACTIVA ARG SA</v>
      </c>
      <c r="H11" s="380">
        <v>69687.67</v>
      </c>
      <c r="I11" s="381">
        <f>IF(compras_mes2[[#This Row],[NETO GRAVADO]]="","",compras_mes2[[#This Row],[NETO GRAVADO]]*0.21)</f>
        <v>14634.410699999999</v>
      </c>
      <c r="J11" s="381"/>
      <c r="K11" s="381"/>
      <c r="L11" s="381"/>
      <c r="M11" s="381"/>
      <c r="N11" s="381">
        <v>2787.51</v>
      </c>
      <c r="O11" s="381"/>
      <c r="P11" s="382">
        <f>SUM(compras_mes2[[#This Row],[NETO GRAVADO]:[Otros / No Grav.]])</f>
        <v>87109.590699999986</v>
      </c>
      <c r="Q11" s="383" t="str">
        <f>IFERROR(IF(compras_mes2[[#This Row],[CUIT]]="","-",VLOOKUP(compras_mes2[[#This Row],[CUIT]],Lista_CUIT[#All],3,0)),"CUIT NO CARGADO")</f>
        <v>Servicio Seguridad</v>
      </c>
      <c r="R11" s="383">
        <f>IFERROR(IF(compras_mes2[[#This Row],[CUIT]]="","-",VLOOKUP(compras_mes2[[#This Row],[CUIT]],Lista_CUIT[#All],4,0)),"CUIT NO CARGADO")</f>
        <v>0</v>
      </c>
      <c r="S11">
        <v>23923.11</v>
      </c>
    </row>
    <row r="12" spans="1:26">
      <c r="B12" s="365">
        <v>45324</v>
      </c>
      <c r="C12" s="366">
        <v>1</v>
      </c>
      <c r="D12" s="367">
        <v>2</v>
      </c>
      <c r="E12" s="368">
        <v>202</v>
      </c>
      <c r="F12" s="280">
        <v>30605344352</v>
      </c>
      <c r="G12" s="369" t="str">
        <f>IFERROR(IF(compras_mes2[[#This Row],[CUIT]]="","-",VLOOKUP(compras_mes2[[#This Row],[CUIT]],Lista_CUIT[#All],2,0)),"CUIT NO CARGADO")</f>
        <v>CONSORCIO BARTOLME MITRE 2466</v>
      </c>
      <c r="H12" s="370">
        <v>575000</v>
      </c>
      <c r="I12" s="371">
        <f>IF(compras_mes2[[#This Row],[NETO GRAVADO]]="","",compras_mes2[[#This Row],[NETO GRAVADO]]*0.21)</f>
        <v>120750</v>
      </c>
      <c r="J12" s="371"/>
      <c r="K12" s="371"/>
      <c r="L12" s="371"/>
      <c r="M12" s="371"/>
      <c r="N12" s="391"/>
      <c r="O12" s="371"/>
      <c r="P12" s="372">
        <f>SUM(compras_mes2[[#This Row],[NETO GRAVADO]:[Otros / No Grav.]])</f>
        <v>695750</v>
      </c>
      <c r="Q12" s="373" t="str">
        <f>IFERROR(IF(compras_mes2[[#This Row],[CUIT]]="","-",VLOOKUP(compras_mes2[[#This Row],[CUIT]],Lista_CUIT[#All],3,0)),"CUIT NO CARGADO")</f>
        <v>ALQUILERES PAGADOS</v>
      </c>
      <c r="R12" s="373">
        <f>IFERROR(IF(compras_mes2[[#This Row],[CUIT]]="","-",VLOOKUP(compras_mes2[[#This Row],[CUIT]],Lista_CUIT[#All],4,0)),"CUIT NO CARGADO")</f>
        <v>0</v>
      </c>
      <c r="S12">
        <v>48658.91</v>
      </c>
    </row>
    <row r="13" spans="1:26">
      <c r="B13" s="365">
        <v>45329</v>
      </c>
      <c r="C13" s="366">
        <v>1</v>
      </c>
      <c r="D13" s="367">
        <v>1001</v>
      </c>
      <c r="E13" s="368">
        <v>364</v>
      </c>
      <c r="F13" s="280">
        <v>30707370552</v>
      </c>
      <c r="G13" s="369" t="str">
        <f>IFERROR(IF(compras_mes2[[#This Row],[CUIT]]="","-",VLOOKUP(compras_mes2[[#This Row],[CUIT]],Lista_CUIT[#All],2,0)),"CUIT NO CARGADO")</f>
        <v>RAKE SA</v>
      </c>
      <c r="H13" s="370">
        <v>285123.96999999997</v>
      </c>
      <c r="I13" s="371">
        <f>IF(compras_mes2[[#This Row],[NETO GRAVADO]]="","",compras_mes2[[#This Row],[NETO GRAVADO]]*0.21)</f>
        <v>59876.033699999993</v>
      </c>
      <c r="J13" s="371"/>
      <c r="K13" s="371"/>
      <c r="L13" s="371"/>
      <c r="M13" s="371"/>
      <c r="N13" s="391"/>
      <c r="O13" s="371"/>
      <c r="P13" s="372">
        <f>SUM(compras_mes2[[#This Row],[NETO GRAVADO]:[Otros / No Grav.]])</f>
        <v>345000.00369999994</v>
      </c>
      <c r="Q13" s="373" t="str">
        <f>IFERROR(IF(compras_mes2[[#This Row],[CUIT]]="","-",VLOOKUP(compras_mes2[[#This Row],[CUIT]],Lista_CUIT[#All],3,0)),"CUIT NO CARGADO")</f>
        <v>ALQUILERES PAGADOS</v>
      </c>
      <c r="R13" s="373">
        <f>IFERROR(IF(compras_mes2[[#This Row],[CUIT]]="","-",VLOOKUP(compras_mes2[[#This Row],[CUIT]],Lista_CUIT[#All],4,0)),"CUIT NO CARGADO")</f>
        <v>0</v>
      </c>
      <c r="S13">
        <v>182956.36</v>
      </c>
    </row>
    <row r="14" spans="1:26">
      <c r="B14" s="365">
        <v>45329</v>
      </c>
      <c r="C14" s="366">
        <v>1</v>
      </c>
      <c r="D14" s="367">
        <v>1001</v>
      </c>
      <c r="E14" s="368">
        <v>365</v>
      </c>
      <c r="F14" s="280">
        <v>30707370552</v>
      </c>
      <c r="G14" s="369" t="str">
        <f>IFERROR(IF(compras_mes2[[#This Row],[CUIT]]="","-",VLOOKUP(compras_mes2[[#This Row],[CUIT]],Lista_CUIT[#All],2,0)),"CUIT NO CARGADO")</f>
        <v>RAKE SA</v>
      </c>
      <c r="H14" s="370">
        <v>235537.19</v>
      </c>
      <c r="I14" s="371">
        <f>IF(compras_mes2[[#This Row],[NETO GRAVADO]]="","",compras_mes2[[#This Row],[NETO GRAVADO]]*0.21)</f>
        <v>49462.8099</v>
      </c>
      <c r="J14" s="371"/>
      <c r="K14" s="371"/>
      <c r="L14" s="371"/>
      <c r="M14" s="371"/>
      <c r="N14" s="391"/>
      <c r="O14" s="371"/>
      <c r="P14" s="372">
        <f>SUM(compras_mes2[[#This Row],[NETO GRAVADO]:[Otros / No Grav.]])</f>
        <v>284999.9999</v>
      </c>
      <c r="Q14" s="373" t="str">
        <f>IFERROR(IF(compras_mes2[[#This Row],[CUIT]]="","-",VLOOKUP(compras_mes2[[#This Row],[CUIT]],Lista_CUIT[#All],3,0)),"CUIT NO CARGADO")</f>
        <v>ALQUILERES PAGADOS</v>
      </c>
      <c r="R14" s="373">
        <f>IFERROR(IF(compras_mes2[[#This Row],[CUIT]]="","-",VLOOKUP(compras_mes2[[#This Row],[CUIT]],Lista_CUIT[#All],4,0)),"CUIT NO CARGADO")</f>
        <v>0</v>
      </c>
      <c r="S14">
        <v>695750</v>
      </c>
    </row>
    <row r="15" spans="1:26">
      <c r="B15" s="365">
        <v>45341</v>
      </c>
      <c r="C15" s="366">
        <v>1</v>
      </c>
      <c r="D15" s="367">
        <v>1</v>
      </c>
      <c r="E15" s="368">
        <v>741</v>
      </c>
      <c r="F15" s="280">
        <v>30715048066</v>
      </c>
      <c r="G15" s="369" t="str">
        <f>IFERROR(IF(compras_mes2[[#This Row],[CUIT]]="","-",VLOOKUP(compras_mes2[[#This Row],[CUIT]],Lista_CUIT[#All],2,0)),"CUIT NO CARGADO")</f>
        <v>ROLLS Y EMPANADAS SA</v>
      </c>
      <c r="H15" s="370">
        <v>694570</v>
      </c>
      <c r="I15" s="371">
        <f>IF(compras_mes2[[#This Row],[NETO GRAVADO]]="","",compras_mes2[[#This Row],[NETO GRAVADO]]*0.21)</f>
        <v>145859.69999999998</v>
      </c>
      <c r="J15" s="371"/>
      <c r="K15" s="371"/>
      <c r="L15" s="371"/>
      <c r="M15" s="371"/>
      <c r="N15" s="391"/>
      <c r="O15" s="371"/>
      <c r="P15" s="372">
        <f>SUM(compras_mes2[[#This Row],[NETO GRAVADO]:[Otros / No Grav.]])</f>
        <v>840429.7</v>
      </c>
      <c r="Q15" s="373" t="str">
        <f>IFERROR(IF(compras_mes2[[#This Row],[CUIT]]="","-",VLOOKUP(compras_mes2[[#This Row],[CUIT]],Lista_CUIT[#All],3,0)),"CUIT NO CARGADO")</f>
        <v>Catering</v>
      </c>
      <c r="R15" s="373">
        <f>IFERROR(IF(compras_mes2[[#This Row],[CUIT]]="","-",VLOOKUP(compras_mes2[[#This Row],[CUIT]],Lista_CUIT[#All],4,0)),"CUIT NO CARGADO")</f>
        <v>0</v>
      </c>
      <c r="S15">
        <v>696359.88</v>
      </c>
    </row>
    <row r="16" spans="1:26">
      <c r="B16" s="374">
        <v>45330</v>
      </c>
      <c r="C16" s="375">
        <v>1</v>
      </c>
      <c r="D16" s="376">
        <v>9040</v>
      </c>
      <c r="E16" s="377">
        <v>21453</v>
      </c>
      <c r="F16" s="378">
        <v>30678774495</v>
      </c>
      <c r="G16" s="379" t="str">
        <f>IFERROR(IF(compras_mes2[[#This Row],[CUIT]]="","-",VLOOKUP(compras_mes2[[#This Row],[CUIT]],Lista_CUIT[#All],2,0)),"CUIT NO CARGADO")</f>
        <v>OPER. DE EST. DE SERV. SA</v>
      </c>
      <c r="H16" s="380">
        <v>27810.57</v>
      </c>
      <c r="I16" s="381">
        <f>IF(compras_mes2[[#This Row],[NETO GRAVADO]]="","",compras_mes2[[#This Row],[NETO GRAVADO]]*0.21)</f>
        <v>5840.2196999999996</v>
      </c>
      <c r="J16" s="381"/>
      <c r="K16" s="381"/>
      <c r="L16" s="381"/>
      <c r="M16" s="381"/>
      <c r="N16" s="381">
        <v>1349.19</v>
      </c>
      <c r="O16" s="381"/>
      <c r="P16" s="382">
        <f>SUM(compras_mes2[[#This Row],[NETO GRAVADO]:[Otros / No Grav.]])</f>
        <v>34999.979700000004</v>
      </c>
      <c r="Q16" s="383" t="str">
        <f>IFERROR(IF(compras_mes2[[#This Row],[CUIT]]="","-",VLOOKUP(compras_mes2[[#This Row],[CUIT]],Lista_CUIT[#All],3,0)),"CUIT NO CARGADO")</f>
        <v>COMBUSTIBLE</v>
      </c>
      <c r="R16" s="383">
        <f>IFERROR(IF(compras_mes2[[#This Row],[CUIT]]="","-",VLOOKUP(compras_mes2[[#This Row],[CUIT]],Lista_CUIT[#All],4,0)),"CUIT NO CARGADO")</f>
        <v>0</v>
      </c>
      <c r="S16">
        <v>357748.6</v>
      </c>
    </row>
    <row r="17" spans="2:19">
      <c r="B17" s="365">
        <v>45330</v>
      </c>
      <c r="C17" s="366">
        <v>1</v>
      </c>
      <c r="D17" s="367">
        <v>10</v>
      </c>
      <c r="E17" s="368">
        <v>1045</v>
      </c>
      <c r="F17" s="280">
        <v>30716229552</v>
      </c>
      <c r="G17" s="369" t="str">
        <f>IFERROR(IF(compras_mes2[[#This Row],[CUIT]]="","-",VLOOKUP(compras_mes2[[#This Row],[CUIT]],Lista_CUIT[#All],2,0)),"CUIT NO CARGADO")</f>
        <v>LUBRICANTES RUTA DE P e H SRL</v>
      </c>
      <c r="H17" s="370">
        <v>19834.71</v>
      </c>
      <c r="I17" s="371">
        <f>IF(compras_mes2[[#This Row],[NETO GRAVADO]]="","",compras_mes2[[#This Row],[NETO GRAVADO]]*0.21)</f>
        <v>4165.2891</v>
      </c>
      <c r="J17" s="371"/>
      <c r="K17" s="371"/>
      <c r="L17" s="371"/>
      <c r="M17" s="371"/>
      <c r="N17" s="391"/>
      <c r="O17" s="371"/>
      <c r="P17" s="372">
        <f>SUM(compras_mes2[[#This Row],[NETO GRAVADO]:[Otros / No Grav.]])</f>
        <v>23999.999100000001</v>
      </c>
      <c r="Q17" s="373" t="str">
        <f>IFERROR(IF(compras_mes2[[#This Row],[CUIT]]="","-",VLOOKUP(compras_mes2[[#This Row],[CUIT]],Lista_CUIT[#All],3,0)),"CUIT NO CARGADO")</f>
        <v>COMBUSTIBLE</v>
      </c>
      <c r="R17" s="373">
        <f>IFERROR(IF(compras_mes2[[#This Row],[CUIT]]="","-",VLOOKUP(compras_mes2[[#This Row],[CUIT]],Lista_CUIT[#All],4,0)),"CUIT NO CARGADO")</f>
        <v>0</v>
      </c>
      <c r="S17">
        <v>1200000</v>
      </c>
    </row>
    <row r="18" spans="2:19">
      <c r="B18" s="365">
        <v>45338</v>
      </c>
      <c r="C18" s="366">
        <v>1</v>
      </c>
      <c r="D18" s="367">
        <v>10</v>
      </c>
      <c r="E18" s="368">
        <v>1066</v>
      </c>
      <c r="F18" s="280">
        <v>30716229552</v>
      </c>
      <c r="G18" s="369" t="str">
        <f>IFERROR(IF(compras_mes2[[#This Row],[CUIT]]="","-",VLOOKUP(compras_mes2[[#This Row],[CUIT]],Lista_CUIT[#All],2,0)),"CUIT NO CARGADO")</f>
        <v>LUBRICANTES RUTA DE P e H SRL</v>
      </c>
      <c r="H18" s="370">
        <v>22314.05</v>
      </c>
      <c r="I18" s="371">
        <f>IF(compras_mes2[[#This Row],[NETO GRAVADO]]="","",compras_mes2[[#This Row],[NETO GRAVADO]]*0.21)</f>
        <v>4685.9504999999999</v>
      </c>
      <c r="J18" s="371"/>
      <c r="K18" s="371"/>
      <c r="L18" s="371"/>
      <c r="M18" s="371"/>
      <c r="N18" s="391"/>
      <c r="O18" s="371"/>
      <c r="P18" s="372">
        <f>SUM(compras_mes2[[#This Row],[NETO GRAVADO]:[Otros / No Grav.]])</f>
        <v>27000.000499999998</v>
      </c>
      <c r="Q18" s="373" t="str">
        <f>IFERROR(IF(compras_mes2[[#This Row],[CUIT]]="","-",VLOOKUP(compras_mes2[[#This Row],[CUIT]],Lista_CUIT[#All],3,0)),"CUIT NO CARGADO")</f>
        <v>COMBUSTIBLE</v>
      </c>
      <c r="R18" s="373">
        <f>IFERROR(IF(compras_mes2[[#This Row],[CUIT]]="","-",VLOOKUP(compras_mes2[[#This Row],[CUIT]],Lista_CUIT[#All],4,0)),"CUIT NO CARGADO")</f>
        <v>0</v>
      </c>
      <c r="S18">
        <v>23837</v>
      </c>
    </row>
    <row r="19" spans="2:19">
      <c r="B19" s="374">
        <v>45339</v>
      </c>
      <c r="C19" s="375">
        <v>1</v>
      </c>
      <c r="D19" s="376">
        <v>100</v>
      </c>
      <c r="E19" s="377">
        <v>166488</v>
      </c>
      <c r="F19" s="378">
        <v>30537679855</v>
      </c>
      <c r="G19" s="379" t="str">
        <f>IFERROR(IF(compras_mes2[[#This Row],[CUIT]]="","-",VLOOKUP(compras_mes2[[#This Row],[CUIT]],Lista_CUIT[#All],2,0)),"CUIT NO CARGADO")</f>
        <v>ESTACION LIMA SA</v>
      </c>
      <c r="H19" s="380">
        <v>29954.86</v>
      </c>
      <c r="I19" s="381">
        <f>IF(compras_mes2[[#This Row],[NETO GRAVADO]]="","",compras_mes2[[#This Row],[NETO GRAVADO]]*0.21)</f>
        <v>6290.5205999999998</v>
      </c>
      <c r="J19" s="381"/>
      <c r="K19" s="381"/>
      <c r="L19" s="381"/>
      <c r="M19" s="381"/>
      <c r="N19" s="381">
        <v>1308.46</v>
      </c>
      <c r="O19" s="381">
        <v>2756.61</v>
      </c>
      <c r="P19" s="382">
        <f>SUM(compras_mes2[[#This Row],[NETO GRAVADO]:[Otros / No Grav.]])</f>
        <v>40310.450600000004</v>
      </c>
      <c r="Q19" s="383" t="str">
        <f>IFERROR(IF(compras_mes2[[#This Row],[CUIT]]="","-",VLOOKUP(compras_mes2[[#This Row],[CUIT]],Lista_CUIT[#All],3,0)),"CUIT NO CARGADO")</f>
        <v>COMBUSTIBLE</v>
      </c>
      <c r="R19" s="383">
        <f>IFERROR(IF(compras_mes2[[#This Row],[CUIT]]="","-",VLOOKUP(compras_mes2[[#This Row],[CUIT]],Lista_CUIT[#All],4,0)),"CUIT NO CARGADO")</f>
        <v>0</v>
      </c>
      <c r="S19">
        <v>1394.63</v>
      </c>
    </row>
    <row r="20" spans="2:19">
      <c r="B20" s="374">
        <v>45342</v>
      </c>
      <c r="C20" s="375">
        <v>1</v>
      </c>
      <c r="D20" s="376">
        <v>9044</v>
      </c>
      <c r="E20" s="377">
        <v>24678</v>
      </c>
      <c r="F20" s="378">
        <v>30678774495</v>
      </c>
      <c r="G20" s="379" t="str">
        <f>IFERROR(IF(compras_mes2[[#This Row],[CUIT]]="","-",VLOOKUP(compras_mes2[[#This Row],[CUIT]],Lista_CUIT[#All],2,0)),"CUIT NO CARGADO")</f>
        <v>OPER. DE EST. DE SERV. SA</v>
      </c>
      <c r="H20" s="380">
        <v>39795.07</v>
      </c>
      <c r="I20" s="381">
        <f>IF(compras_mes2[[#This Row],[NETO GRAVADO]]="","",compras_mes2[[#This Row],[NETO GRAVADO]]*0.21)</f>
        <v>8356.9647000000004</v>
      </c>
      <c r="J20" s="381"/>
      <c r="K20" s="381"/>
      <c r="L20" s="381"/>
      <c r="M20" s="381"/>
      <c r="N20" s="381"/>
      <c r="O20" s="381">
        <v>1847.96</v>
      </c>
      <c r="P20" s="382">
        <f>SUM(compras_mes2[[#This Row],[NETO GRAVADO]:[Otros / No Grav.]])</f>
        <v>49999.994700000003</v>
      </c>
      <c r="Q20" s="383" t="str">
        <f>IFERROR(IF(compras_mes2[[#This Row],[CUIT]]="","-",VLOOKUP(compras_mes2[[#This Row],[CUIT]],Lista_CUIT[#All],3,0)),"CUIT NO CARGADO")</f>
        <v>COMBUSTIBLE</v>
      </c>
      <c r="R20" s="383">
        <f>IFERROR(IF(compras_mes2[[#This Row],[CUIT]]="","-",VLOOKUP(compras_mes2[[#This Row],[CUIT]],Lista_CUIT[#All],4,0)),"CUIT NO CARGADO")</f>
        <v>0</v>
      </c>
      <c r="S20">
        <v>1394.63</v>
      </c>
    </row>
    <row r="21" spans="2:19">
      <c r="B21" s="365">
        <v>45344</v>
      </c>
      <c r="C21" s="366">
        <v>1</v>
      </c>
      <c r="D21" s="367">
        <v>32</v>
      </c>
      <c r="E21" s="368">
        <v>12171</v>
      </c>
      <c r="F21" s="280">
        <v>30707304886</v>
      </c>
      <c r="G21" s="369" t="str">
        <f>IFERROR(IF(compras_mes2[[#This Row],[CUIT]]="","-",VLOOKUP(compras_mes2[[#This Row],[CUIT]],Lista_CUIT[#All],2,0)),"CUIT NO CARGADO")</f>
        <v>ARMORAUT SA</v>
      </c>
      <c r="H21" s="370">
        <v>213487.61</v>
      </c>
      <c r="I21" s="371">
        <f>IF(compras_mes2[[#This Row],[NETO GRAVADO]]="","",compras_mes2[[#This Row],[NETO GRAVADO]]*0.21)</f>
        <v>44832.398099999999</v>
      </c>
      <c r="J21" s="371"/>
      <c r="K21" s="371"/>
      <c r="L21" s="371"/>
      <c r="M21" s="371"/>
      <c r="N21" s="391">
        <v>8539.5</v>
      </c>
      <c r="O21" s="371"/>
      <c r="P21" s="372">
        <f>SUM(compras_mes2[[#This Row],[NETO GRAVADO]:[Otros / No Grav.]])</f>
        <v>266859.50809999998</v>
      </c>
      <c r="Q21" s="373" t="str">
        <f>IFERROR(IF(compras_mes2[[#This Row],[CUIT]]="","-",VLOOKUP(compras_mes2[[#This Row],[CUIT]],Lista_CUIT[#All],3,0)),"CUIT NO CARGADO")</f>
        <v>COMBUSTIBLE</v>
      </c>
      <c r="R21" s="373">
        <f>IFERROR(IF(compras_mes2[[#This Row],[CUIT]]="","-",VLOOKUP(compras_mes2[[#This Row],[CUIT]],Lista_CUIT[#All],4,0)),"CUIT NO CARGADO")</f>
        <v>0</v>
      </c>
      <c r="S21">
        <v>171435</v>
      </c>
    </row>
    <row r="22" spans="2:19">
      <c r="B22" s="374">
        <v>45348</v>
      </c>
      <c r="C22" s="375">
        <v>1</v>
      </c>
      <c r="D22" s="376">
        <v>9038</v>
      </c>
      <c r="E22" s="377">
        <v>20293</v>
      </c>
      <c r="F22" s="378">
        <v>30678774495</v>
      </c>
      <c r="G22" s="379" t="str">
        <f>IFERROR(IF(compras_mes2[[#This Row],[CUIT]]="","-",VLOOKUP(compras_mes2[[#This Row],[CUIT]],Lista_CUIT[#All],2,0)),"CUIT NO CARGADO")</f>
        <v>OPER. DE EST. DE SERV. SA</v>
      </c>
      <c r="H22" s="380">
        <v>39798.44</v>
      </c>
      <c r="I22" s="381">
        <f>IF(compras_mes2[[#This Row],[NETO GRAVADO]]="","",compras_mes2[[#This Row],[NETO GRAVADO]]*0.21)</f>
        <v>8357.6723999999995</v>
      </c>
      <c r="J22" s="381"/>
      <c r="K22" s="381"/>
      <c r="L22" s="381"/>
      <c r="M22" s="381"/>
      <c r="N22" s="381"/>
      <c r="O22" s="381">
        <v>1843.88</v>
      </c>
      <c r="P22" s="382">
        <f>SUM(compras_mes2[[#This Row],[NETO GRAVADO]:[Otros / No Grav.]])</f>
        <v>49999.992399999996</v>
      </c>
      <c r="Q22" s="383" t="str">
        <f>IFERROR(IF(compras_mes2[[#This Row],[CUIT]]="","-",VLOOKUP(compras_mes2[[#This Row],[CUIT]],Lista_CUIT[#All],3,0)),"CUIT NO CARGADO")</f>
        <v>COMBUSTIBLE</v>
      </c>
      <c r="R22" s="383">
        <f>IFERROR(IF(compras_mes2[[#This Row],[CUIT]]="","-",VLOOKUP(compras_mes2[[#This Row],[CUIT]],Lista_CUIT[#All],4,0)),"CUIT NO CARGADO")</f>
        <v>0</v>
      </c>
      <c r="S22">
        <v>481999</v>
      </c>
    </row>
    <row r="23" spans="2:19">
      <c r="B23" s="374">
        <v>45351</v>
      </c>
      <c r="C23" s="375">
        <v>1</v>
      </c>
      <c r="D23" s="376">
        <v>9040</v>
      </c>
      <c r="E23" s="377">
        <v>22078</v>
      </c>
      <c r="F23" s="378">
        <v>30678774495</v>
      </c>
      <c r="G23" s="379" t="str">
        <f>IFERROR(IF(compras_mes2[[#This Row],[CUIT]]="","-",VLOOKUP(compras_mes2[[#This Row],[CUIT]],Lista_CUIT[#All],2,0)),"CUIT NO CARGADO")</f>
        <v>OPER. DE EST. DE SERV. SA</v>
      </c>
      <c r="H23" s="380">
        <v>25977.24</v>
      </c>
      <c r="I23" s="381">
        <f>IF(compras_mes2[[#This Row],[NETO GRAVADO]]="","",compras_mes2[[#This Row],[NETO GRAVADO]]*0.21)</f>
        <v>5455.2204000000002</v>
      </c>
      <c r="J23" s="381"/>
      <c r="K23" s="381"/>
      <c r="L23" s="381"/>
      <c r="M23" s="381"/>
      <c r="N23" s="381"/>
      <c r="O23" s="381">
        <v>1203.54</v>
      </c>
      <c r="P23" s="382">
        <f>SUM(compras_mes2[[#This Row],[NETO GRAVADO]:[Otros / No Grav.]])</f>
        <v>32636.000400000004</v>
      </c>
      <c r="Q23" s="383" t="str">
        <f>IFERROR(IF(compras_mes2[[#This Row],[CUIT]]="","-",VLOOKUP(compras_mes2[[#This Row],[CUIT]],Lista_CUIT[#All],3,0)),"CUIT NO CARGADO")</f>
        <v>COMBUSTIBLE</v>
      </c>
      <c r="R23" s="383">
        <f>IFERROR(IF(compras_mes2[[#This Row],[CUIT]]="","-",VLOOKUP(compras_mes2[[#This Row],[CUIT]],Lista_CUIT[#All],4,0)),"CUIT NO CARGADO")</f>
        <v>0</v>
      </c>
      <c r="S23">
        <v>116708</v>
      </c>
    </row>
    <row r="24" spans="2:19">
      <c r="B24" s="384">
        <v>45350</v>
      </c>
      <c r="C24" s="385">
        <v>1</v>
      </c>
      <c r="D24" s="386">
        <v>6</v>
      </c>
      <c r="E24" s="387">
        <v>17036</v>
      </c>
      <c r="F24" s="388">
        <v>33715594949</v>
      </c>
      <c r="G24" s="389" t="str">
        <f>IFERROR(IF(compras_mes2[[#This Row],[CUIT]]="","-",VLOOKUP(compras_mes2[[#This Row],[CUIT]],Lista_CUIT[#All],2,0)),"CUIT NO CARGADO")</f>
        <v>SOMOS ENERGIA SA</v>
      </c>
      <c r="H24" s="390">
        <v>47219.82</v>
      </c>
      <c r="I24" s="391">
        <f>IF(compras_mes2[[#This Row],[NETO GRAVADO]]="","",compras_mes2[[#This Row],[NETO GRAVADO]]*0.21)</f>
        <v>9916.1621999999988</v>
      </c>
      <c r="J24" s="391"/>
      <c r="K24" s="391"/>
      <c r="L24" s="391"/>
      <c r="M24" s="391"/>
      <c r="N24" s="391"/>
      <c r="O24" s="391">
        <v>880.02</v>
      </c>
      <c r="P24" s="392">
        <f>SUM(compras_mes2[[#This Row],[NETO GRAVADO]:[Otros / No Grav.]])</f>
        <v>58016.002199999995</v>
      </c>
      <c r="Q24" s="393" t="str">
        <f>IFERROR(IF(compras_mes2[[#This Row],[CUIT]]="","-",VLOOKUP(compras_mes2[[#This Row],[CUIT]],Lista_CUIT[#All],3,0)),"CUIT NO CARGADO")</f>
        <v>COMBUSTIBLE</v>
      </c>
      <c r="R24" s="393">
        <f>IFERROR(IF(compras_mes2[[#This Row],[CUIT]]="","-",VLOOKUP(compras_mes2[[#This Row],[CUIT]],Lista_CUIT[#All],4,0)),"CUIT NO CARGADO")</f>
        <v>0</v>
      </c>
      <c r="S24">
        <v>3193035.63</v>
      </c>
    </row>
    <row r="25" spans="2:19">
      <c r="B25" s="384">
        <v>45300</v>
      </c>
      <c r="C25" s="385">
        <v>1</v>
      </c>
      <c r="D25" s="386">
        <v>7</v>
      </c>
      <c r="E25" s="387">
        <v>9340</v>
      </c>
      <c r="F25" s="388">
        <v>30712057099</v>
      </c>
      <c r="G25" s="389" t="str">
        <f>IFERROR(IF(compras_mes2[[#This Row],[CUIT]]="","-",VLOOKUP(compras_mes2[[#This Row],[CUIT]],Lista_CUIT[#All],2,0)),"CUIT NO CARGADO")</f>
        <v>VIPETROL S.A</v>
      </c>
      <c r="H25" s="390">
        <v>64741.91</v>
      </c>
      <c r="I25" s="391">
        <f>IF(compras_mes2[[#This Row],[NETO GRAVADO]]="","",compras_mes2[[#This Row],[NETO GRAVADO]]*0.21)</f>
        <v>13595.801100000001</v>
      </c>
      <c r="J25" s="391"/>
      <c r="K25" s="391"/>
      <c r="L25" s="391"/>
      <c r="M25" s="391"/>
      <c r="N25" s="391"/>
      <c r="O25" s="391"/>
      <c r="P25" s="392">
        <f>SUM(compras_mes2[[#This Row],[NETO GRAVADO]:[Otros / No Grav.]])</f>
        <v>78337.7111</v>
      </c>
      <c r="Q25" s="393" t="str">
        <f>IFERROR(IF(compras_mes2[[#This Row],[CUIT]]="","-",VLOOKUP(compras_mes2[[#This Row],[CUIT]],Lista_CUIT[#All],3,0)),"CUIT NO CARGADO")</f>
        <v>COMBUSTIBLE</v>
      </c>
      <c r="R25" s="393">
        <f>IFERROR(IF(compras_mes2[[#This Row],[CUIT]]="","-",VLOOKUP(compras_mes2[[#This Row],[CUIT]],Lista_CUIT[#All],4,0)),"CUIT NO CARGADO")</f>
        <v>0</v>
      </c>
      <c r="S25">
        <v>2212344.81</v>
      </c>
    </row>
    <row r="26" spans="2:19">
      <c r="B26" s="384">
        <v>45328</v>
      </c>
      <c r="C26" s="385">
        <v>1</v>
      </c>
      <c r="D26" s="386">
        <v>27</v>
      </c>
      <c r="E26" s="387">
        <v>7695</v>
      </c>
      <c r="F26" s="388">
        <v>33712276539</v>
      </c>
      <c r="G26" s="389" t="str">
        <f>IFERROR(IF(compras_mes2[[#This Row],[CUIT]]="","-",VLOOKUP(compras_mes2[[#This Row],[CUIT]],Lista_CUIT[#All],2,0)),"CUIT NO CARGADO")</f>
        <v>CASTAÑO AUTOVOX SRL</v>
      </c>
      <c r="H26" s="390">
        <v>40669.550000000003</v>
      </c>
      <c r="I26" s="391">
        <f>IF(compras_mes2[[#This Row],[NETO GRAVADO]]="","",compras_mes2[[#This Row],[NETO GRAVADO]]*0.21)</f>
        <v>8540.6054999999997</v>
      </c>
      <c r="J26" s="391"/>
      <c r="K26" s="391"/>
      <c r="L26" s="391"/>
      <c r="M26" s="391"/>
      <c r="N26" s="391"/>
      <c r="O26" s="391">
        <v>2416.58</v>
      </c>
      <c r="P26" s="392">
        <f>SUM(compras_mes2[[#This Row],[NETO GRAVADO]:[Otros / No Grav.]])</f>
        <v>51626.735500000003</v>
      </c>
      <c r="Q26" s="393" t="str">
        <f>IFERROR(IF(compras_mes2[[#This Row],[CUIT]]="","-",VLOOKUP(compras_mes2[[#This Row],[CUIT]],Lista_CUIT[#All],3,0)),"CUIT NO CARGADO")</f>
        <v>COMBUSTIBLE</v>
      </c>
      <c r="R26" s="393">
        <f>IFERROR(IF(compras_mes2[[#This Row],[CUIT]]="","-",VLOOKUP(compras_mes2[[#This Row],[CUIT]],Lista_CUIT[#All],4,0)),"CUIT NO CARGADO")</f>
        <v>0</v>
      </c>
      <c r="S26">
        <v>514250</v>
      </c>
    </row>
    <row r="27" spans="2:19">
      <c r="B27" s="384">
        <v>45338</v>
      </c>
      <c r="C27" s="385">
        <v>1</v>
      </c>
      <c r="D27" s="386">
        <v>31</v>
      </c>
      <c r="E27" s="387">
        <v>1858</v>
      </c>
      <c r="F27" s="388">
        <v>33712276539</v>
      </c>
      <c r="G27" s="389" t="str">
        <f>IFERROR(IF(compras_mes2[[#This Row],[CUIT]]="","-",VLOOKUP(compras_mes2[[#This Row],[CUIT]],Lista_CUIT[#All],2,0)),"CUIT NO CARGADO")</f>
        <v>CASTAÑO AUTOVOX SRL</v>
      </c>
      <c r="H27" s="390">
        <v>40669.599999999999</v>
      </c>
      <c r="I27" s="391">
        <f>IF(compras_mes2[[#This Row],[NETO GRAVADO]]="","",compras_mes2[[#This Row],[NETO GRAVADO]]*0.21)</f>
        <v>8540.616</v>
      </c>
      <c r="J27" s="391"/>
      <c r="K27" s="391"/>
      <c r="L27" s="391"/>
      <c r="M27" s="391"/>
      <c r="N27" s="391"/>
      <c r="O27" s="391">
        <v>2416.56</v>
      </c>
      <c r="P27" s="392">
        <f>SUM(compras_mes2[[#This Row],[NETO GRAVADO]:[Otros / No Grav.]])</f>
        <v>51626.775999999998</v>
      </c>
      <c r="Q27" s="393" t="str">
        <f>IFERROR(IF(compras_mes2[[#This Row],[CUIT]]="","-",VLOOKUP(compras_mes2[[#This Row],[CUIT]],Lista_CUIT[#All],3,0)),"CUIT NO CARGADO")</f>
        <v>COMBUSTIBLE</v>
      </c>
      <c r="R27" s="393">
        <f>IFERROR(IF(compras_mes2[[#This Row],[CUIT]]="","-",VLOOKUP(compras_mes2[[#This Row],[CUIT]],Lista_CUIT[#All],4,0)),"CUIT NO CARGADO")</f>
        <v>0</v>
      </c>
      <c r="S27">
        <v>1633905.88</v>
      </c>
    </row>
    <row r="28" spans="2:19">
      <c r="B28" s="365">
        <v>45350</v>
      </c>
      <c r="C28" s="366">
        <v>1</v>
      </c>
      <c r="D28" s="367">
        <v>3</v>
      </c>
      <c r="E28" s="368">
        <v>802</v>
      </c>
      <c r="F28" s="280">
        <v>23076996989</v>
      </c>
      <c r="G28" s="369" t="str">
        <f>IFERROR(IF(compras_mes2[[#This Row],[CUIT]]="","-",VLOOKUP(compras_mes2[[#This Row],[CUIT]],Lista_CUIT[#All],2,0)),"CUIT NO CARGADO")</f>
        <v>GIULIETTI LUIS ALBERTO</v>
      </c>
      <c r="H28" s="370">
        <v>12396.71</v>
      </c>
      <c r="I28" s="371">
        <f>IF(compras_mes2[[#This Row],[NETO GRAVADO]]="","",compras_mes2[[#This Row],[NETO GRAVADO]]*0.21)</f>
        <v>2603.3090999999999</v>
      </c>
      <c r="J28" s="371"/>
      <c r="K28" s="371"/>
      <c r="L28" s="371"/>
      <c r="M28" s="371"/>
      <c r="N28" s="391"/>
      <c r="O28" s="371"/>
      <c r="P28" s="372">
        <f>SUM(compras_mes2[[#This Row],[NETO GRAVADO]:[Otros / No Grav.]])</f>
        <v>15000.0191</v>
      </c>
      <c r="Q28" s="373" t="str">
        <f>IFERROR(IF(compras_mes2[[#This Row],[CUIT]]="","-",VLOOKUP(compras_mes2[[#This Row],[CUIT]],Lista_CUIT[#All],3,0)),"CUIT NO CARGADO")</f>
        <v>gastos varios</v>
      </c>
      <c r="R28" s="373">
        <f>IFERROR(IF(compras_mes2[[#This Row],[CUIT]]="","-",VLOOKUP(compras_mes2[[#This Row],[CUIT]],Lista_CUIT[#All],4,0)),"CUIT NO CARGADO")</f>
        <v>0</v>
      </c>
      <c r="S28">
        <v>1123936.2</v>
      </c>
    </row>
    <row r="29" spans="2:19">
      <c r="B29" s="365">
        <v>45328</v>
      </c>
      <c r="C29" s="366">
        <v>1</v>
      </c>
      <c r="D29" s="367">
        <v>3</v>
      </c>
      <c r="E29" s="368">
        <v>134</v>
      </c>
      <c r="F29" s="280">
        <v>20334976433</v>
      </c>
      <c r="G29" s="369" t="str">
        <f>IFERROR(IF(compras_mes2[[#This Row],[CUIT]]="","-",VLOOKUP(compras_mes2[[#This Row],[CUIT]],Lista_CUIT[#All],2,0)),"CUIT NO CARGADO")</f>
        <v>NARDOMARINO EZEQUIEL EDUARDO</v>
      </c>
      <c r="H29" s="370">
        <v>96452.9</v>
      </c>
      <c r="I29" s="371">
        <f>IF(compras_mes2[[#This Row],[NETO GRAVADO]]="","",compras_mes2[[#This Row],[NETO GRAVADO]]*0.21)</f>
        <v>20255.108999999997</v>
      </c>
      <c r="J29" s="371"/>
      <c r="K29" s="371"/>
      <c r="L29" s="371"/>
      <c r="M29" s="371"/>
      <c r="N29" s="391"/>
      <c r="O29" s="371"/>
      <c r="P29" s="372">
        <f>SUM(compras_mes2[[#This Row],[NETO GRAVADO]:[Otros / No Grav.]])</f>
        <v>116708.00899999999</v>
      </c>
      <c r="Q29" s="373" t="str">
        <f>IFERROR(IF(compras_mes2[[#This Row],[CUIT]]="","-",VLOOKUP(compras_mes2[[#This Row],[CUIT]],Lista_CUIT[#All],3,0)),"CUIT NO CARGADO")</f>
        <v>FLETE</v>
      </c>
      <c r="R29" s="373">
        <f>IFERROR(IF(compras_mes2[[#This Row],[CUIT]]="","-",VLOOKUP(compras_mes2[[#This Row],[CUIT]],Lista_CUIT[#All],4,0)),"CUIT NO CARGADO")</f>
        <v>0</v>
      </c>
      <c r="S29">
        <v>7231.41</v>
      </c>
    </row>
    <row r="30" spans="2:19">
      <c r="B30" s="374">
        <v>45329</v>
      </c>
      <c r="C30" s="375">
        <v>1</v>
      </c>
      <c r="D30" s="376">
        <v>7</v>
      </c>
      <c r="E30" s="377">
        <v>243845</v>
      </c>
      <c r="F30" s="378">
        <v>30621884634</v>
      </c>
      <c r="G30" s="379" t="str">
        <f>IFERROR(IF(compras_mes2[[#This Row],[CUIT]]="","-",VLOOKUP(compras_mes2[[#This Row],[CUIT]],Lista_CUIT[#All],2,0)),"CUIT NO CARGADO")</f>
        <v>OSCAR DIOJTAR S A</v>
      </c>
      <c r="H30" s="380">
        <v>33234.800000000003</v>
      </c>
      <c r="I30" s="381">
        <f>IF(compras_mes2[[#This Row],[NETO GRAVADO]]="","",compras_mes2[[#This Row],[NETO GRAVADO]]*0.21)</f>
        <v>6979.308</v>
      </c>
      <c r="J30" s="381"/>
      <c r="K30" s="381"/>
      <c r="L30" s="381"/>
      <c r="M30" s="381"/>
      <c r="N30" s="381"/>
      <c r="O30" s="381"/>
      <c r="P30" s="382">
        <f>SUM(compras_mes2[[#This Row],[NETO GRAVADO]:[Otros / No Grav.]])</f>
        <v>40214.108</v>
      </c>
      <c r="Q30" s="383" t="str">
        <f>IFERROR(IF(compras_mes2[[#This Row],[CUIT]]="","-",VLOOKUP(compras_mes2[[#This Row],[CUIT]],Lista_CUIT[#All],3,0)),"CUIT NO CARGADO")</f>
        <v>FLETE</v>
      </c>
      <c r="R30" s="383">
        <f>IFERROR(IF(compras_mes2[[#This Row],[CUIT]]="","-",VLOOKUP(compras_mes2[[#This Row],[CUIT]],Lista_CUIT[#All],4,0)),"CUIT NO CARGADO")</f>
        <v>0</v>
      </c>
      <c r="S30">
        <v>345000</v>
      </c>
    </row>
    <row r="31" spans="2:19">
      <c r="B31" s="365">
        <v>45332</v>
      </c>
      <c r="C31" s="366">
        <v>1</v>
      </c>
      <c r="D31" s="367">
        <v>3</v>
      </c>
      <c r="E31" s="368">
        <v>135</v>
      </c>
      <c r="F31" s="280">
        <v>20334976433</v>
      </c>
      <c r="G31" s="369" t="str">
        <f>IFERROR(IF(compras_mes2[[#This Row],[CUIT]]="","-",VLOOKUP(compras_mes2[[#This Row],[CUIT]],Lista_CUIT[#All],2,0)),"CUIT NO CARGADO")</f>
        <v>NARDOMARINO EZEQUIEL EDUARDO</v>
      </c>
      <c r="H31" s="370">
        <v>104500</v>
      </c>
      <c r="I31" s="371">
        <f>IF(compras_mes2[[#This Row],[NETO GRAVADO]]="","",compras_mes2[[#This Row],[NETO GRAVADO]]*0.21)</f>
        <v>21945</v>
      </c>
      <c r="J31" s="371"/>
      <c r="K31" s="371"/>
      <c r="L31" s="371"/>
      <c r="M31" s="371"/>
      <c r="N31" s="391"/>
      <c r="O31" s="371"/>
      <c r="P31" s="372">
        <f>SUM(compras_mes2[[#This Row],[NETO GRAVADO]:[Otros / No Grav.]])</f>
        <v>126445</v>
      </c>
      <c r="Q31" s="373" t="str">
        <f>IFERROR(IF(compras_mes2[[#This Row],[CUIT]]="","-",VLOOKUP(compras_mes2[[#This Row],[CUIT]],Lista_CUIT[#All],3,0)),"CUIT NO CARGADO")</f>
        <v>FLETE</v>
      </c>
      <c r="R31" s="373">
        <f>IFERROR(IF(compras_mes2[[#This Row],[CUIT]]="","-",VLOOKUP(compras_mes2[[#This Row],[CUIT]],Lista_CUIT[#All],4,0)),"CUIT NO CARGADO")</f>
        <v>0</v>
      </c>
      <c r="S31">
        <v>956080</v>
      </c>
    </row>
    <row r="32" spans="2:19">
      <c r="B32" s="365">
        <v>45332</v>
      </c>
      <c r="C32" s="366">
        <v>1</v>
      </c>
      <c r="D32" s="367">
        <v>2</v>
      </c>
      <c r="E32" s="368">
        <v>45751</v>
      </c>
      <c r="F32" s="280">
        <v>30711013969</v>
      </c>
      <c r="G32" s="369" t="str">
        <f>IFERROR(IF(compras_mes2[[#This Row],[CUIT]]="","-",VLOOKUP(compras_mes2[[#This Row],[CUIT]],Lista_CUIT[#All],2,0)),"CUIT NO CARGADO")</f>
        <v>REVICAR S.A.</v>
      </c>
      <c r="H32" s="370">
        <v>34301.65</v>
      </c>
      <c r="I32" s="371">
        <f>IF(compras_mes2[[#This Row],[NETO GRAVADO]]="","",compras_mes2[[#This Row],[NETO GRAVADO]]*0.21)</f>
        <v>7203.3464999999997</v>
      </c>
      <c r="J32" s="371"/>
      <c r="K32" s="371"/>
      <c r="L32" s="371"/>
      <c r="M32" s="371"/>
      <c r="N32" s="391"/>
      <c r="O32" s="371">
        <v>2495</v>
      </c>
      <c r="P32" s="372">
        <f>SUM(compras_mes2[[#This Row],[NETO GRAVADO]:[Otros / No Grav.]])</f>
        <v>43999.996500000001</v>
      </c>
      <c r="Q32" s="373" t="str">
        <f>IFERROR(IF(compras_mes2[[#This Row],[CUIT]]="","-",VLOOKUP(compras_mes2[[#This Row],[CUIT]],Lista_CUIT[#All],3,0)),"CUIT NO CARGADO")</f>
        <v>FLETE</v>
      </c>
      <c r="R32" s="373">
        <f>IFERROR(IF(compras_mes2[[#This Row],[CUIT]]="","-",VLOOKUP(compras_mes2[[#This Row],[CUIT]],Lista_CUIT[#All],4,0)),"CUIT NO CARGADO")</f>
        <v>0</v>
      </c>
      <c r="S32">
        <v>413221.08</v>
      </c>
    </row>
    <row r="33" spans="2:19">
      <c r="B33" s="365">
        <v>45336</v>
      </c>
      <c r="C33" s="366">
        <v>1</v>
      </c>
      <c r="D33" s="367">
        <v>3</v>
      </c>
      <c r="E33" s="368">
        <v>3988</v>
      </c>
      <c r="F33" s="280">
        <v>30711024804</v>
      </c>
      <c r="G33" s="369" t="str">
        <f>IFERROR(IF(compras_mes2[[#This Row],[CUIT]]="","-",VLOOKUP(compras_mes2[[#This Row],[CUIT]],Lista_CUIT[#All],2,0)),"CUIT NO CARGADO")</f>
        <v>TRANSPORTES EL POLLY SOCIEDAD ANONIMA</v>
      </c>
      <c r="H33" s="370">
        <v>95041.33</v>
      </c>
      <c r="I33" s="371">
        <f>IF(compras_mes2[[#This Row],[NETO GRAVADO]]="","",compras_mes2[[#This Row],[NETO GRAVADO]]*0.21)</f>
        <v>19958.6793</v>
      </c>
      <c r="J33" s="371"/>
      <c r="K33" s="371"/>
      <c r="L33" s="371"/>
      <c r="M33" s="371"/>
      <c r="N33" s="391"/>
      <c r="O33" s="371"/>
      <c r="P33" s="372">
        <f>SUM(compras_mes2[[#This Row],[NETO GRAVADO]:[Otros / No Grav.]])</f>
        <v>115000.00930000001</v>
      </c>
      <c r="Q33" s="373" t="str">
        <f>IFERROR(IF(compras_mes2[[#This Row],[CUIT]]="","-",VLOOKUP(compras_mes2[[#This Row],[CUIT]],Lista_CUIT[#All],3,0)),"CUIT NO CARGADO")</f>
        <v>FLETE</v>
      </c>
      <c r="R33" s="373">
        <f>IFERROR(IF(compras_mes2[[#This Row],[CUIT]]="","-",VLOOKUP(compras_mes2[[#This Row],[CUIT]],Lista_CUIT[#All],4,0)),"CUIT NO CARGADO")</f>
        <v>0</v>
      </c>
      <c r="S33">
        <v>87109.57</v>
      </c>
    </row>
    <row r="34" spans="2:19">
      <c r="B34" s="365">
        <v>45337</v>
      </c>
      <c r="C34" s="366">
        <v>1</v>
      </c>
      <c r="D34" s="367">
        <v>11</v>
      </c>
      <c r="E34" s="368">
        <v>88120</v>
      </c>
      <c r="F34" s="280">
        <v>30526582884</v>
      </c>
      <c r="G34" s="369" t="str">
        <f>IFERROR(IF(compras_mes2[[#This Row],[CUIT]]="","-",VLOOKUP(compras_mes2[[#This Row],[CUIT]],Lista_CUIT[#All],2,0)),"CUIT NO CARGADO")</f>
        <v>EXPRESO MAR DEL PLATA S.A.</v>
      </c>
      <c r="H34" s="370">
        <v>10495.87</v>
      </c>
      <c r="I34" s="371">
        <f>IF(compras_mes2[[#This Row],[NETO GRAVADO]]="","",compras_mes2[[#This Row],[NETO GRAVADO]]*0.21)</f>
        <v>2204.1327000000001</v>
      </c>
      <c r="J34" s="371"/>
      <c r="K34" s="371"/>
      <c r="L34" s="371"/>
      <c r="M34" s="371"/>
      <c r="N34" s="391"/>
      <c r="O34" s="371"/>
      <c r="P34" s="372">
        <f>SUM(compras_mes2[[#This Row],[NETO GRAVADO]:[Otros / No Grav.]])</f>
        <v>12700.002700000001</v>
      </c>
      <c r="Q34" s="373" t="str">
        <f>IFERROR(IF(compras_mes2[[#This Row],[CUIT]]="","-",VLOOKUP(compras_mes2[[#This Row],[CUIT]],Lista_CUIT[#All],3,0)),"CUIT NO CARGADO")</f>
        <v>FLETE</v>
      </c>
      <c r="R34" s="373">
        <f>IFERROR(IF(compras_mes2[[#This Row],[CUIT]]="","-",VLOOKUP(compras_mes2[[#This Row],[CUIT]],Lista_CUIT[#All],4,0)),"CUIT NO CARGADO")</f>
        <v>0</v>
      </c>
      <c r="S34">
        <v>5371.9</v>
      </c>
    </row>
    <row r="35" spans="2:19">
      <c r="B35" s="365">
        <v>45337</v>
      </c>
      <c r="C35" s="366">
        <v>1</v>
      </c>
      <c r="D35" s="367">
        <v>4</v>
      </c>
      <c r="E35" s="368">
        <v>95928</v>
      </c>
      <c r="F35" s="280">
        <v>30687489221</v>
      </c>
      <c r="G35" s="369" t="str">
        <f>IFERROR(IF(compras_mes2[[#This Row],[CUIT]]="","-",VLOOKUP(compras_mes2[[#This Row],[CUIT]],Lista_CUIT[#All],2,0)),"CUIT NO CARGADO")</f>
        <v>TASCAR SRL</v>
      </c>
      <c r="H35" s="370">
        <v>60700</v>
      </c>
      <c r="I35" s="371">
        <f>IF(compras_mes2[[#This Row],[NETO GRAVADO]]="","",compras_mes2[[#This Row],[NETO GRAVADO]]*0.21)</f>
        <v>12747</v>
      </c>
      <c r="J35" s="371"/>
      <c r="K35" s="371"/>
      <c r="L35" s="371"/>
      <c r="M35" s="371"/>
      <c r="N35" s="391"/>
      <c r="O35" s="371"/>
      <c r="P35" s="372">
        <f>SUM(compras_mes2[[#This Row],[NETO GRAVADO]:[Otros / No Grav.]])</f>
        <v>73447</v>
      </c>
      <c r="Q35" s="373" t="str">
        <f>IFERROR(IF(compras_mes2[[#This Row],[CUIT]]="","-",VLOOKUP(compras_mes2[[#This Row],[CUIT]],Lista_CUIT[#All],3,0)),"CUIT NO CARGADO")</f>
        <v>flete</v>
      </c>
      <c r="R35" s="373">
        <f>IFERROR(IF(compras_mes2[[#This Row],[CUIT]]="","-",VLOOKUP(compras_mes2[[#This Row],[CUIT]],Lista_CUIT[#All],4,0)),"CUIT NO CARGADO")</f>
        <v>0</v>
      </c>
      <c r="S35">
        <v>6596.25</v>
      </c>
    </row>
    <row r="36" spans="2:19">
      <c r="B36" s="365">
        <v>45338</v>
      </c>
      <c r="C36" s="366">
        <v>1</v>
      </c>
      <c r="D36" s="367">
        <v>3</v>
      </c>
      <c r="E36" s="368">
        <v>49525</v>
      </c>
      <c r="F36" s="280">
        <v>30577744579</v>
      </c>
      <c r="G36" s="369" t="str">
        <f>IFERROR(IF(compras_mes2[[#This Row],[CUIT]]="","-",VLOOKUP(compras_mes2[[#This Row],[CUIT]],Lista_CUIT[#All],2,0)),"CUIT NO CARGADO")</f>
        <v>EXPRESO TROLE SRL</v>
      </c>
      <c r="H36" s="370">
        <v>9091.51</v>
      </c>
      <c r="I36" s="371">
        <f>IF(compras_mes2[[#This Row],[NETO GRAVADO]]="","",compras_mes2[[#This Row],[NETO GRAVADO]]*0.21)</f>
        <v>1909.2171000000001</v>
      </c>
      <c r="J36" s="371"/>
      <c r="K36" s="371"/>
      <c r="L36" s="371"/>
      <c r="M36" s="371"/>
      <c r="N36" s="391"/>
      <c r="O36" s="371"/>
      <c r="P36" s="372">
        <f>SUM(compras_mes2[[#This Row],[NETO GRAVADO]:[Otros / No Grav.]])</f>
        <v>11000.7271</v>
      </c>
      <c r="Q36" s="373" t="str">
        <f>IFERROR(IF(compras_mes2[[#This Row],[CUIT]]="","-",VLOOKUP(compras_mes2[[#This Row],[CUIT]],Lista_CUIT[#All],3,0)),"CUIT NO CARGADO")</f>
        <v>FLETE</v>
      </c>
      <c r="R36" s="373">
        <f>IFERROR(IF(compras_mes2[[#This Row],[CUIT]]="","-",VLOOKUP(compras_mes2[[#This Row],[CUIT]],Lista_CUIT[#All],4,0)),"CUIT NO CARGADO")</f>
        <v>0</v>
      </c>
      <c r="S36">
        <v>22929.5</v>
      </c>
    </row>
    <row r="37" spans="2:19">
      <c r="B37" s="365">
        <v>45338</v>
      </c>
      <c r="C37" s="366">
        <v>1</v>
      </c>
      <c r="D37" s="367">
        <v>3</v>
      </c>
      <c r="E37" s="368">
        <v>49524</v>
      </c>
      <c r="F37" s="280">
        <v>30577744579</v>
      </c>
      <c r="G37" s="369" t="str">
        <f>IFERROR(IF(compras_mes2[[#This Row],[CUIT]]="","-",VLOOKUP(compras_mes2[[#This Row],[CUIT]],Lista_CUIT[#All],2,0)),"CUIT NO CARGADO")</f>
        <v>EXPRESO TROLE SRL</v>
      </c>
      <c r="H37" s="370">
        <v>6429.98</v>
      </c>
      <c r="I37" s="371">
        <f>IF(compras_mes2[[#This Row],[NETO GRAVADO]]="","",compras_mes2[[#This Row],[NETO GRAVADO]]*0.21)</f>
        <v>1350.2957999999999</v>
      </c>
      <c r="J37" s="371"/>
      <c r="K37" s="371"/>
      <c r="L37" s="371"/>
      <c r="M37" s="371"/>
      <c r="N37" s="391"/>
      <c r="O37" s="371"/>
      <c r="P37" s="372">
        <f>SUM(compras_mes2[[#This Row],[NETO GRAVADO]:[Otros / No Grav.]])</f>
        <v>7780.2757999999994</v>
      </c>
      <c r="Q37" s="373" t="str">
        <f>IFERROR(IF(compras_mes2[[#This Row],[CUIT]]="","-",VLOOKUP(compras_mes2[[#This Row],[CUIT]],Lista_CUIT[#All],3,0)),"CUIT NO CARGADO")</f>
        <v>FLETE</v>
      </c>
      <c r="R37" s="373">
        <f>IFERROR(IF(compras_mes2[[#This Row],[CUIT]]="","-",VLOOKUP(compras_mes2[[#This Row],[CUIT]],Lista_CUIT[#All],4,0)),"CUIT NO CARGADO")</f>
        <v>0</v>
      </c>
      <c r="S37">
        <v>285000</v>
      </c>
    </row>
    <row r="38" spans="2:19">
      <c r="B38" s="365">
        <v>45341</v>
      </c>
      <c r="C38" s="366">
        <v>1</v>
      </c>
      <c r="D38" s="367">
        <v>3</v>
      </c>
      <c r="E38" s="368">
        <v>137</v>
      </c>
      <c r="F38" s="280">
        <v>20334976433</v>
      </c>
      <c r="G38" s="369" t="str">
        <f>IFERROR(IF(compras_mes2[[#This Row],[CUIT]]="","-",VLOOKUP(compras_mes2[[#This Row],[CUIT]],Lista_CUIT[#All],2,0)),"CUIT NO CARGADO")</f>
        <v>NARDOMARINO EZEQUIEL EDUARDO</v>
      </c>
      <c r="H38" s="370">
        <v>162000</v>
      </c>
      <c r="I38" s="371">
        <f>IF(compras_mes2[[#This Row],[NETO GRAVADO]]="","",compras_mes2[[#This Row],[NETO GRAVADO]]*0.21)</f>
        <v>34020</v>
      </c>
      <c r="J38" s="371"/>
      <c r="K38" s="371"/>
      <c r="L38" s="371"/>
      <c r="M38" s="371"/>
      <c r="N38" s="391"/>
      <c r="O38" s="371"/>
      <c r="P38" s="372">
        <f>SUM(compras_mes2[[#This Row],[NETO GRAVADO]:[Otros / No Grav.]])</f>
        <v>196020</v>
      </c>
      <c r="Q38" s="373" t="str">
        <f>IFERROR(IF(compras_mes2[[#This Row],[CUIT]]="","-",VLOOKUP(compras_mes2[[#This Row],[CUIT]],Lista_CUIT[#All],3,0)),"CUIT NO CARGADO")</f>
        <v>FLETE</v>
      </c>
      <c r="R38" s="373">
        <f>IFERROR(IF(compras_mes2[[#This Row],[CUIT]]="","-",VLOOKUP(compras_mes2[[#This Row],[CUIT]],Lista_CUIT[#All],4,0)),"CUIT NO CARGADO")</f>
        <v>0</v>
      </c>
      <c r="S38">
        <v>40214.11</v>
      </c>
    </row>
    <row r="39" spans="2:19">
      <c r="B39" s="365">
        <v>45345</v>
      </c>
      <c r="C39" s="366">
        <v>1</v>
      </c>
      <c r="D39" s="367">
        <v>3</v>
      </c>
      <c r="E39" s="368">
        <v>49575</v>
      </c>
      <c r="F39" s="280">
        <v>30577744579</v>
      </c>
      <c r="G39" s="369" t="str">
        <f>IFERROR(IF(compras_mes2[[#This Row],[CUIT]]="","-",VLOOKUP(compras_mes2[[#This Row],[CUIT]],Lista_CUIT[#All],2,0)),"CUIT NO CARGADO")</f>
        <v>EXPRESO TROLE SRL</v>
      </c>
      <c r="H39" s="370">
        <v>8432.24</v>
      </c>
      <c r="I39" s="371">
        <f>IF(compras_mes2[[#This Row],[NETO GRAVADO]]="","",compras_mes2[[#This Row],[NETO GRAVADO]]*0.21)</f>
        <v>1770.7703999999999</v>
      </c>
      <c r="J39" s="371"/>
      <c r="K39" s="371"/>
      <c r="L39" s="371"/>
      <c r="M39" s="371"/>
      <c r="N39" s="391"/>
      <c r="O39" s="371"/>
      <c r="P39" s="372">
        <f>SUM(compras_mes2[[#This Row],[NETO GRAVADO]:[Otros / No Grav.]])</f>
        <v>10203.010399999999</v>
      </c>
      <c r="Q39" s="373" t="str">
        <f>IFERROR(IF(compras_mes2[[#This Row],[CUIT]]="","-",VLOOKUP(compras_mes2[[#This Row],[CUIT]],Lista_CUIT[#All],3,0)),"CUIT NO CARGADO")</f>
        <v>FLETE</v>
      </c>
      <c r="R39" s="373">
        <f>IFERROR(IF(compras_mes2[[#This Row],[CUIT]]="","-",VLOOKUP(compras_mes2[[#This Row],[CUIT]],Lista_CUIT[#All],4,0)),"CUIT NO CARGADO")</f>
        <v>0</v>
      </c>
      <c r="S39">
        <v>34999.980000000003</v>
      </c>
    </row>
    <row r="40" spans="2:19">
      <c r="B40" s="365">
        <v>45348</v>
      </c>
      <c r="C40" s="366">
        <v>1</v>
      </c>
      <c r="D40" s="367">
        <v>3</v>
      </c>
      <c r="E40" s="368">
        <v>139</v>
      </c>
      <c r="F40" s="280">
        <v>20334976433</v>
      </c>
      <c r="G40" s="369" t="str">
        <f>IFERROR(IF(compras_mes2[[#This Row],[CUIT]]="","-",VLOOKUP(compras_mes2[[#This Row],[CUIT]],Lista_CUIT[#All],2,0)),"CUIT NO CARGADO")</f>
        <v>NARDOMARINO EZEQUIEL EDUARDO</v>
      </c>
      <c r="H40" s="370">
        <v>127239.67</v>
      </c>
      <c r="I40" s="371">
        <f>IF(compras_mes2[[#This Row],[NETO GRAVADO]]="","",compras_mes2[[#This Row],[NETO GRAVADO]]*0.21)</f>
        <v>26720.330699999999</v>
      </c>
      <c r="J40" s="371"/>
      <c r="K40" s="371"/>
      <c r="L40" s="371"/>
      <c r="M40" s="371"/>
      <c r="N40" s="391"/>
      <c r="O40" s="371"/>
      <c r="P40" s="372">
        <f>SUM(compras_mes2[[#This Row],[NETO GRAVADO]:[Otros / No Grav.]])</f>
        <v>153960.0007</v>
      </c>
      <c r="Q40" s="373" t="str">
        <f>IFERROR(IF(compras_mes2[[#This Row],[CUIT]]="","-",VLOOKUP(compras_mes2[[#This Row],[CUIT]],Lista_CUIT[#All],3,0)),"CUIT NO CARGADO")</f>
        <v>FLETE</v>
      </c>
      <c r="R40" s="373">
        <f>IFERROR(IF(compras_mes2[[#This Row],[CUIT]]="","-",VLOOKUP(compras_mes2[[#This Row],[CUIT]],Lista_CUIT[#All],4,0)),"CUIT NO CARGADO")</f>
        <v>0</v>
      </c>
      <c r="S40">
        <v>24000</v>
      </c>
    </row>
    <row r="41" spans="2:19">
      <c r="B41" s="374">
        <v>45323</v>
      </c>
      <c r="C41" s="375">
        <v>1</v>
      </c>
      <c r="D41" s="376">
        <v>500</v>
      </c>
      <c r="E41" s="377">
        <v>1497756</v>
      </c>
      <c r="F41" s="378">
        <v>30654118767</v>
      </c>
      <c r="G41" s="379" t="str">
        <f>IFERROR(IF(compras_mes2[[#This Row],[CUIT]]="","-",VLOOKUP(compras_mes2[[#This Row],[CUIT]],Lista_CUIT[#All],2,0)),"CUIT NO CARGADO")</f>
        <v>SOLUCIONES MULTIMEDIA SA</v>
      </c>
      <c r="H41" s="380">
        <v>38927.129999999997</v>
      </c>
      <c r="I41" s="381">
        <f>IF(compras_mes2[[#This Row],[NETO GRAVADO]]="","",compras_mes2[[#This Row],[NETO GRAVADO]]*0.21)</f>
        <v>8174.6972999999989</v>
      </c>
      <c r="J41" s="381"/>
      <c r="K41" s="381"/>
      <c r="L41" s="381"/>
      <c r="M41" s="381"/>
      <c r="N41" s="381">
        <v>1557.08</v>
      </c>
      <c r="O41" s="381"/>
      <c r="P41" s="382">
        <f>SUM(compras_mes2[[#This Row],[NETO GRAVADO]:[Otros / No Grav.]])</f>
        <v>48658.907299999999</v>
      </c>
      <c r="Q41" s="383" t="str">
        <f>IFERROR(IF(compras_mes2[[#This Row],[CUIT]]="","-",VLOOKUP(compras_mes2[[#This Row],[CUIT]],Lista_CUIT[#All],3,0)),"CUIT NO CARGADO")</f>
        <v>GASTOS ADMINISTRATIVOS</v>
      </c>
      <c r="R41" s="383">
        <f>IFERROR(IF(compras_mes2[[#This Row],[CUIT]]="","-",VLOOKUP(compras_mes2[[#This Row],[CUIT]],Lista_CUIT[#All],4,0)),"CUIT NO CARGADO")</f>
        <v>0</v>
      </c>
      <c r="S41">
        <v>808361.07</v>
      </c>
    </row>
    <row r="42" spans="2:19">
      <c r="B42" s="374">
        <v>45351</v>
      </c>
      <c r="C42" s="375">
        <v>1</v>
      </c>
      <c r="D42" s="376">
        <v>23</v>
      </c>
      <c r="E42" s="377">
        <v>2146076</v>
      </c>
      <c r="F42" s="378">
        <v>30703088534</v>
      </c>
      <c r="G42" s="379" t="str">
        <f>IFERROR(IF(compras_mes2[[#This Row],[CUIT]]="","-",VLOOKUP(compras_mes2[[#This Row],[CUIT]],Lista_CUIT[#All],2,0)),"CUIT NO CARGADO")</f>
        <v>MERCADO LIBRE SRL</v>
      </c>
      <c r="H42" s="380">
        <v>18766.349999999999</v>
      </c>
      <c r="I42" s="381">
        <f>IF(compras_mes2[[#This Row],[NETO GRAVADO]]="","",compras_mes2[[#This Row],[NETO GRAVADO]]*0.21)</f>
        <v>3940.9334999999996</v>
      </c>
      <c r="J42" s="381"/>
      <c r="K42" s="381"/>
      <c r="L42" s="381"/>
      <c r="M42" s="381"/>
      <c r="N42" s="381"/>
      <c r="O42" s="381">
        <v>1313.64</v>
      </c>
      <c r="P42" s="382">
        <f>SUM(compras_mes2[[#This Row],[NETO GRAVADO]:[Otros / No Grav.]])</f>
        <v>24020.923499999997</v>
      </c>
      <c r="Q42" s="383" t="str">
        <f>IFERROR(IF(compras_mes2[[#This Row],[CUIT]]="","-",VLOOKUP(compras_mes2[[#This Row],[CUIT]],Lista_CUIT[#All],3,0)),"CUIT NO CARGADO")</f>
        <v>GASTOS COMERCIALIZACION</v>
      </c>
      <c r="R42" s="383">
        <f>IFERROR(IF(compras_mes2[[#This Row],[CUIT]]="","-",VLOOKUP(compras_mes2[[#This Row],[CUIT]],Lista_CUIT[#All],4,0)),"CUIT NO CARGADO")</f>
        <v>0</v>
      </c>
      <c r="S42">
        <v>2834920</v>
      </c>
    </row>
    <row r="43" spans="2:19">
      <c r="B43" s="374">
        <v>45329</v>
      </c>
      <c r="C43" s="375">
        <v>1</v>
      </c>
      <c r="D43" s="376">
        <v>4</v>
      </c>
      <c r="E43" s="377">
        <v>705745</v>
      </c>
      <c r="F43" s="378">
        <v>30716620634</v>
      </c>
      <c r="G43" s="379" t="str">
        <f>IFERROR(IF(compras_mes2[[#This Row],[CUIT]]="","-",VLOOKUP(compras_mes2[[#This Row],[CUIT]],Lista_CUIT[#All],2,0)),"CUIT NO CARGADO")</f>
        <v>FIRST LABEL S.R.L.</v>
      </c>
      <c r="H43" s="380">
        <v>330576.86</v>
      </c>
      <c r="I43" s="381">
        <f>IF(compras_mes2[[#This Row],[NETO GRAVADO]]="","",compras_mes2[[#This Row],[NETO GRAVADO]]*0.21)</f>
        <v>69421.140599999999</v>
      </c>
      <c r="J43" s="381"/>
      <c r="K43" s="381"/>
      <c r="L43" s="381"/>
      <c r="M43" s="381"/>
      <c r="N43" s="381"/>
      <c r="O43" s="381">
        <v>13223.08</v>
      </c>
      <c r="P43" s="382">
        <f>SUM(compras_mes2[[#This Row],[NETO GRAVADO]:[Otros / No Grav.]])</f>
        <v>413221.08059999999</v>
      </c>
      <c r="Q43" s="383" t="str">
        <f>IFERROR(IF(compras_mes2[[#This Row],[CUIT]]="","-",VLOOKUP(compras_mes2[[#This Row],[CUIT]],Lista_CUIT[#All],3,0)),"CUIT NO CARGADO")</f>
        <v>Gastos Varios</v>
      </c>
      <c r="R43" s="383">
        <f>IFERROR(IF(compras_mes2[[#This Row],[CUIT]]="","-",VLOOKUP(compras_mes2[[#This Row],[CUIT]],Lista_CUIT[#All],4,0)),"CUIT NO CARGADO")</f>
        <v>0</v>
      </c>
      <c r="S43">
        <v>5853.75</v>
      </c>
    </row>
    <row r="44" spans="2:19">
      <c r="B44" s="374">
        <v>45345</v>
      </c>
      <c r="C44" s="375">
        <v>1</v>
      </c>
      <c r="D44" s="376">
        <v>3</v>
      </c>
      <c r="E44" s="377">
        <v>6666</v>
      </c>
      <c r="F44" s="378">
        <v>33708218699</v>
      </c>
      <c r="G44" s="379" t="str">
        <f>IFERROR(IF(compras_mes2[[#This Row],[CUIT]]="","-",VLOOKUP(compras_mes2[[#This Row],[CUIT]],Lista_CUIT[#All],2,0)),"CUIT NO CARGADO")</f>
        <v>MANGGINI PABLO Y MANGGINI ULISES SOC. DE HECHO.</v>
      </c>
      <c r="H44" s="380">
        <v>9500</v>
      </c>
      <c r="I44" s="381">
        <f>IF(compras_mes2[[#This Row],[NETO GRAVADO]]="","",compras_mes2[[#This Row],[NETO GRAVADO]]*0.21)</f>
        <v>1995</v>
      </c>
      <c r="J44" s="381"/>
      <c r="K44" s="381"/>
      <c r="L44" s="381"/>
      <c r="M44" s="381"/>
      <c r="N44" s="381"/>
      <c r="O44" s="381"/>
      <c r="P44" s="382">
        <f>SUM(compras_mes2[[#This Row],[NETO GRAVADO]:[Otros / No Grav.]])</f>
        <v>11495</v>
      </c>
      <c r="Q44" s="383" t="str">
        <f>IFERROR(IF(compras_mes2[[#This Row],[CUIT]]="","-",VLOOKUP(compras_mes2[[#This Row],[CUIT]],Lista_CUIT[#All],3,0)),"CUIT NO CARGADO")</f>
        <v>Gastos Varios</v>
      </c>
      <c r="R44" s="383">
        <f>IFERROR(IF(compras_mes2[[#This Row],[CUIT]]="","-",VLOOKUP(compras_mes2[[#This Row],[CUIT]],Lista_CUIT[#All],4,0)),"CUIT NO CARGADO")</f>
        <v>0</v>
      </c>
      <c r="S44">
        <v>7290406.4000000004</v>
      </c>
    </row>
    <row r="45" spans="2:19">
      <c r="B45" s="365">
        <v>45329</v>
      </c>
      <c r="C45" s="366">
        <v>1</v>
      </c>
      <c r="D45" s="367">
        <v>2</v>
      </c>
      <c r="E45" s="368">
        <v>1763</v>
      </c>
      <c r="F45" s="280">
        <v>30714228060</v>
      </c>
      <c r="G45" s="369" t="str">
        <f>IFERROR(IF(compras_mes2[[#This Row],[CUIT]]="","-",VLOOKUP(compras_mes2[[#This Row],[CUIT]],Lista_CUIT[#All],2,0)),"CUIT NO CARGADO")</f>
        <v>POTA AMOBLAMIENTOS S.R.L.</v>
      </c>
      <c r="H45" s="370">
        <v>790148.76</v>
      </c>
      <c r="I45" s="371">
        <f>IF(compras_mes2[[#This Row],[NETO GRAVADO]]="","",compras_mes2[[#This Row],[NETO GRAVADO]]*0.21)</f>
        <v>165931.2396</v>
      </c>
      <c r="J45" s="371"/>
      <c r="K45" s="371"/>
      <c r="L45" s="371"/>
      <c r="M45" s="371"/>
      <c r="N45" s="391"/>
      <c r="O45" s="371"/>
      <c r="P45" s="372">
        <f>SUM(compras_mes2[[#This Row],[NETO GRAVADO]:[Otros / No Grav.]])</f>
        <v>956079.99959999998</v>
      </c>
      <c r="Q45" s="373" t="str">
        <f>IFERROR(IF(compras_mes2[[#This Row],[CUIT]]="","-",VLOOKUP(compras_mes2[[#This Row],[CUIT]],Lista_CUIT[#All],3,0)),"CUIT NO CARGADO")</f>
        <v>Mantenimiento</v>
      </c>
      <c r="R45" s="373">
        <f>IFERROR(IF(compras_mes2[[#This Row],[CUIT]]="","-",VLOOKUP(compras_mes2[[#This Row],[CUIT]],Lista_CUIT[#All],4,0)),"CUIT NO CARGADO")</f>
        <v>0</v>
      </c>
      <c r="S45">
        <v>39750.269999999997</v>
      </c>
    </row>
    <row r="46" spans="2:19">
      <c r="B46" s="365">
        <v>45329</v>
      </c>
      <c r="C46" s="366">
        <v>1</v>
      </c>
      <c r="D46" s="367">
        <v>26</v>
      </c>
      <c r="E46" s="368">
        <v>189210</v>
      </c>
      <c r="F46" s="280">
        <v>30708847247</v>
      </c>
      <c r="G46" s="369" t="str">
        <f>IFERROR(IF(compras_mes2[[#This Row],[CUIT]]="","-",VLOOKUP(compras_mes2[[#This Row],[CUIT]],Lista_CUIT[#All],2,0)),"CUIT NO CARGADO")</f>
        <v>TOAGRA SRL</v>
      </c>
      <c r="H46" s="370">
        <v>5277</v>
      </c>
      <c r="I46" s="371">
        <f>IF(compras_mes2[[#This Row],[NETO GRAVADO]]="","",compras_mes2[[#This Row],[NETO GRAVADO]]*0.21)</f>
        <v>1108.1699999999998</v>
      </c>
      <c r="J46" s="371"/>
      <c r="K46" s="371"/>
      <c r="L46" s="371"/>
      <c r="M46" s="371"/>
      <c r="N46" s="391">
        <v>211.08</v>
      </c>
      <c r="O46" s="371"/>
      <c r="P46" s="372">
        <f>SUM(compras_mes2[[#This Row],[NETO GRAVADO]:[Otros / No Grav.]])</f>
        <v>6596.25</v>
      </c>
      <c r="Q46" s="373" t="str">
        <f>IFERROR(IF(compras_mes2[[#This Row],[CUIT]]="","-",VLOOKUP(compras_mes2[[#This Row],[CUIT]],Lista_CUIT[#All],3,0)),"CUIT NO CARGADO")</f>
        <v>GASTOS VARIOS</v>
      </c>
      <c r="R46" s="373">
        <f>IFERROR(IF(compras_mes2[[#This Row],[CUIT]]="","-",VLOOKUP(compras_mes2[[#This Row],[CUIT]],Lista_CUIT[#All],4,0)),"CUIT NO CARGADO")</f>
        <v>0</v>
      </c>
      <c r="S46">
        <v>210139.51</v>
      </c>
    </row>
    <row r="47" spans="2:19">
      <c r="B47" s="365">
        <v>45330</v>
      </c>
      <c r="C47" s="366">
        <v>1</v>
      </c>
      <c r="D47" s="367">
        <v>43</v>
      </c>
      <c r="E47" s="368">
        <v>14052</v>
      </c>
      <c r="F47" s="280">
        <v>30708847247</v>
      </c>
      <c r="G47" s="369" t="str">
        <f>IFERROR(IF(compras_mes2[[#This Row],[CUIT]]="","-",VLOOKUP(compras_mes2[[#This Row],[CUIT]],Lista_CUIT[#All],2,0)),"CUIT NO CARGADO")</f>
        <v>TOAGRA SRL</v>
      </c>
      <c r="H47" s="370">
        <v>4683</v>
      </c>
      <c r="I47" s="371">
        <f>IF(compras_mes2[[#This Row],[NETO GRAVADO]]="","",compras_mes2[[#This Row],[NETO GRAVADO]]*0.21)</f>
        <v>983.43</v>
      </c>
      <c r="J47" s="371"/>
      <c r="K47" s="371"/>
      <c r="L47" s="371"/>
      <c r="M47" s="371"/>
      <c r="N47" s="391">
        <v>187.32</v>
      </c>
      <c r="O47" s="371"/>
      <c r="P47" s="372">
        <f>SUM(compras_mes2[[#This Row],[NETO GRAVADO]:[Otros / No Grav.]])</f>
        <v>5853.75</v>
      </c>
      <c r="Q47" s="373" t="str">
        <f>IFERROR(IF(compras_mes2[[#This Row],[CUIT]]="","-",VLOOKUP(compras_mes2[[#This Row],[CUIT]],Lista_CUIT[#All],3,0)),"CUIT NO CARGADO")</f>
        <v>GASTOS VARIOS</v>
      </c>
      <c r="R47" s="373">
        <f>IFERROR(IF(compras_mes2[[#This Row],[CUIT]]="","-",VLOOKUP(compras_mes2[[#This Row],[CUIT]],Lista_CUIT[#All],4,0)),"CUIT NO CARGADO")</f>
        <v>0</v>
      </c>
      <c r="S47">
        <v>130482.28</v>
      </c>
    </row>
    <row r="48" spans="2:19">
      <c r="B48" s="374">
        <v>45332</v>
      </c>
      <c r="C48" s="375">
        <v>1</v>
      </c>
      <c r="D48" s="376">
        <v>3014</v>
      </c>
      <c r="E48" s="377">
        <v>2768</v>
      </c>
      <c r="F48" s="378">
        <v>30708736186</v>
      </c>
      <c r="G48" s="379" t="str">
        <f>IFERROR(IF(compras_mes2[[#This Row],[CUIT]]="","-",VLOOKUP(compras_mes2[[#This Row],[CUIT]],Lista_CUIT[#All],2,0)),"CUIT NO CARGADO")</f>
        <v>COMERCIALIZADORA MORRES SA</v>
      </c>
      <c r="H48" s="380">
        <v>113261.7</v>
      </c>
      <c r="I48" s="381">
        <v>1595.27</v>
      </c>
      <c r="J48" s="381"/>
      <c r="K48" s="381">
        <v>11094.84</v>
      </c>
      <c r="L48" s="381"/>
      <c r="M48" s="381"/>
      <c r="N48" s="381">
        <v>4530.47</v>
      </c>
      <c r="O48" s="381"/>
      <c r="P48" s="382">
        <f>SUM(compras_mes2[[#This Row],[NETO GRAVADO]:[Otros / No Grav.]])</f>
        <v>130482.28</v>
      </c>
      <c r="Q48" s="383" t="str">
        <f>IFERROR(IF(compras_mes2[[#This Row],[CUIT]]="","-",VLOOKUP(compras_mes2[[#This Row],[CUIT]],Lista_CUIT[#All],3,0)),"CUIT NO CARGADO")</f>
        <v>Gastos Varios</v>
      </c>
      <c r="R48" s="383">
        <f>IFERROR(IF(compras_mes2[[#This Row],[CUIT]]="","-",VLOOKUP(compras_mes2[[#This Row],[CUIT]],Lista_CUIT[#All],4,0)),"CUIT NO CARGADO")</f>
        <v>0</v>
      </c>
      <c r="S48">
        <v>126445</v>
      </c>
    </row>
    <row r="49" spans="2:19">
      <c r="B49" s="365">
        <v>45337</v>
      </c>
      <c r="C49" s="366">
        <v>1</v>
      </c>
      <c r="D49" s="367">
        <v>32</v>
      </c>
      <c r="E49" s="368">
        <v>135052</v>
      </c>
      <c r="F49" s="280">
        <v>30708847247</v>
      </c>
      <c r="G49" s="369" t="str">
        <f>IFERROR(IF(compras_mes2[[#This Row],[CUIT]]="","-",VLOOKUP(compras_mes2[[#This Row],[CUIT]],Lista_CUIT[#All],2,0)),"CUIT NO CARGADO")</f>
        <v>TOAGRA SRL</v>
      </c>
      <c r="H49" s="370">
        <v>5077</v>
      </c>
      <c r="I49" s="371">
        <f>IF(compras_mes2[[#This Row],[NETO GRAVADO]]="","",compras_mes2[[#This Row],[NETO GRAVADO]]*0.21)</f>
        <v>1066.17</v>
      </c>
      <c r="J49" s="371"/>
      <c r="K49" s="371"/>
      <c r="L49" s="371"/>
      <c r="M49" s="371"/>
      <c r="N49" s="391">
        <v>203.08</v>
      </c>
      <c r="O49" s="371"/>
      <c r="P49" s="372">
        <f>SUM(compras_mes2[[#This Row],[NETO GRAVADO]:[Otros / No Grav.]])</f>
        <v>6346.25</v>
      </c>
      <c r="Q49" s="373" t="str">
        <f>IFERROR(IF(compras_mes2[[#This Row],[CUIT]]="","-",VLOOKUP(compras_mes2[[#This Row],[CUIT]],Lista_CUIT[#All],3,0)),"CUIT NO CARGADO")</f>
        <v>GASTOS VARIOS</v>
      </c>
      <c r="R49" s="373">
        <f>IFERROR(IF(compras_mes2[[#This Row],[CUIT]]="","-",VLOOKUP(compras_mes2[[#This Row],[CUIT]],Lista_CUIT[#All],4,0)),"CUIT NO CARGADO")</f>
        <v>0</v>
      </c>
      <c r="S49">
        <v>44000</v>
      </c>
    </row>
    <row r="50" spans="2:19">
      <c r="B50" s="374">
        <v>45337</v>
      </c>
      <c r="C50" s="375">
        <v>1</v>
      </c>
      <c r="D50" s="376">
        <v>32</v>
      </c>
      <c r="E50" s="377">
        <v>135053</v>
      </c>
      <c r="F50" s="378">
        <v>30708847247</v>
      </c>
      <c r="G50" s="379" t="str">
        <f>IFERROR(IF(compras_mes2[[#This Row],[CUIT]]="","-",VLOOKUP(compras_mes2[[#This Row],[CUIT]],Lista_CUIT[#All],2,0)),"CUIT NO CARGADO")</f>
        <v>TOAGRA SRL</v>
      </c>
      <c r="H50" s="380">
        <v>3231</v>
      </c>
      <c r="I50" s="381">
        <f>IF(compras_mes2[[#This Row],[NETO GRAVADO]]="","",compras_mes2[[#This Row],[NETO GRAVADO]]*0.21)</f>
        <v>678.51</v>
      </c>
      <c r="J50" s="381"/>
      <c r="K50" s="381"/>
      <c r="L50" s="381"/>
      <c r="M50" s="381"/>
      <c r="N50" s="381">
        <v>129.24</v>
      </c>
      <c r="O50" s="381"/>
      <c r="P50" s="382">
        <f>SUM(compras_mes2[[#This Row],[NETO GRAVADO]:[Otros / No Grav.]])</f>
        <v>4038.75</v>
      </c>
      <c r="Q50" s="383" t="str">
        <f>IFERROR(IF(compras_mes2[[#This Row],[CUIT]]="","-",VLOOKUP(compras_mes2[[#This Row],[CUIT]],Lista_CUIT[#All],3,0)),"CUIT NO CARGADO")</f>
        <v>GASTOS VARIOS</v>
      </c>
      <c r="R50" s="383">
        <f>IFERROR(IF(compras_mes2[[#This Row],[CUIT]]="","-",VLOOKUP(compras_mes2[[#This Row],[CUIT]],Lista_CUIT[#All],4,0)),"CUIT NO CARGADO")</f>
        <v>0</v>
      </c>
      <c r="S50">
        <v>226834.59</v>
      </c>
    </row>
    <row r="51" spans="2:19">
      <c r="B51" s="365">
        <v>45337</v>
      </c>
      <c r="C51" s="366">
        <v>1</v>
      </c>
      <c r="D51" s="367">
        <v>32</v>
      </c>
      <c r="E51" s="368">
        <v>135054</v>
      </c>
      <c r="F51" s="280">
        <v>30708847247</v>
      </c>
      <c r="G51" s="369" t="str">
        <f>IFERROR(IF(compras_mes2[[#This Row],[CUIT]]="","-",VLOOKUP(compras_mes2[[#This Row],[CUIT]],Lista_CUIT[#All],2,0)),"CUIT NO CARGADO")</f>
        <v>TOAGRA SRL</v>
      </c>
      <c r="H51" s="370">
        <v>3231</v>
      </c>
      <c r="I51" s="371">
        <f>IF(compras_mes2[[#This Row],[NETO GRAVADO]]="","",compras_mes2[[#This Row],[NETO GRAVADO]]*0.21)</f>
        <v>678.51</v>
      </c>
      <c r="J51" s="371"/>
      <c r="K51" s="371"/>
      <c r="L51" s="371"/>
      <c r="M51" s="371"/>
      <c r="N51" s="391">
        <v>129.24</v>
      </c>
      <c r="O51" s="371"/>
      <c r="P51" s="372">
        <f>SUM(compras_mes2[[#This Row],[NETO GRAVADO]:[Otros / No Grav.]])</f>
        <v>4038.75</v>
      </c>
      <c r="Q51" s="373" t="str">
        <f>IFERROR(IF(compras_mes2[[#This Row],[CUIT]]="","-",VLOOKUP(compras_mes2[[#This Row],[CUIT]],Lista_CUIT[#All],3,0)),"CUIT NO CARGADO")</f>
        <v>GASTOS VARIOS</v>
      </c>
      <c r="R51" s="373">
        <f>IFERROR(IF(compras_mes2[[#This Row],[CUIT]]="","-",VLOOKUP(compras_mes2[[#This Row],[CUIT]],Lista_CUIT[#All],4,0)),"CUIT NO CARGADO")</f>
        <v>0</v>
      </c>
      <c r="S51">
        <v>115000</v>
      </c>
    </row>
    <row r="52" spans="2:19">
      <c r="B52" s="374">
        <v>45338</v>
      </c>
      <c r="C52" s="375">
        <v>1</v>
      </c>
      <c r="D52" s="376">
        <v>10</v>
      </c>
      <c r="E52" s="377">
        <v>3689</v>
      </c>
      <c r="F52" s="378">
        <v>30707103155</v>
      </c>
      <c r="G52" s="379" t="str">
        <f>IFERROR(IF(compras_mes2[[#This Row],[CUIT]]="","-",VLOOKUP(compras_mes2[[#This Row],[CUIT]],Lista_CUIT[#All],2,0)),"CUIT NO CARGADO")</f>
        <v>MOURELLE DE BUCETA IRMA  - BUCETA SEBASTIAN Y BUCETA VERONICA S H</v>
      </c>
      <c r="H52" s="380">
        <v>32727.27</v>
      </c>
      <c r="I52" s="381">
        <f>IF(compras_mes2[[#This Row],[NETO GRAVADO]]="","",compras_mes2[[#This Row],[NETO GRAVADO]]*0.21)</f>
        <v>6872.7267000000002</v>
      </c>
      <c r="J52" s="381"/>
      <c r="K52" s="381"/>
      <c r="L52" s="381"/>
      <c r="M52" s="381"/>
      <c r="N52" s="381"/>
      <c r="O52" s="381"/>
      <c r="P52" s="382">
        <f>SUM(compras_mes2[[#This Row],[NETO GRAVADO]:[Otros / No Grav.]])</f>
        <v>39599.996700000003</v>
      </c>
      <c r="Q52" s="383" t="str">
        <f>IFERROR(IF(compras_mes2[[#This Row],[CUIT]]="","-",VLOOKUP(compras_mes2[[#This Row],[CUIT]],Lista_CUIT[#All],3,0)),"CUIT NO CARGADO")</f>
        <v>Gastos Varios</v>
      </c>
      <c r="R52" s="383">
        <f>IFERROR(IF(compras_mes2[[#This Row],[CUIT]]="","-",VLOOKUP(compras_mes2[[#This Row],[CUIT]],Lista_CUIT[#All],4,0)),"CUIT NO CARGADO")</f>
        <v>0</v>
      </c>
      <c r="S52">
        <v>12700</v>
      </c>
    </row>
    <row r="53" spans="2:19">
      <c r="B53" s="374">
        <v>45342</v>
      </c>
      <c r="C53" s="375">
        <v>1</v>
      </c>
      <c r="D53" s="376">
        <v>8</v>
      </c>
      <c r="E53" s="377">
        <v>5500</v>
      </c>
      <c r="F53" s="378">
        <v>20263536518</v>
      </c>
      <c r="G53" s="379" t="str">
        <f>IFERROR(IF(compras_mes2[[#This Row],[CUIT]]="","-",VLOOKUP(compras_mes2[[#This Row],[CUIT]],Lista_CUIT[#All],2,0)),"CUIT NO CARGADO")</f>
        <v>PICA GERARDO</v>
      </c>
      <c r="H53" s="380">
        <v>90123.97</v>
      </c>
      <c r="I53" s="381">
        <f>IF(compras_mes2[[#This Row],[NETO GRAVADO]]="","",compras_mes2[[#This Row],[NETO GRAVADO]]*0.21)</f>
        <v>18926.0337</v>
      </c>
      <c r="J53" s="381"/>
      <c r="K53" s="381"/>
      <c r="L53" s="381"/>
      <c r="M53" s="381"/>
      <c r="N53" s="381"/>
      <c r="O53" s="381"/>
      <c r="P53" s="382">
        <f>SUM(compras_mes2[[#This Row],[NETO GRAVADO]:[Otros / No Grav.]])</f>
        <v>109050.0037</v>
      </c>
      <c r="Q53" s="383" t="str">
        <f>IFERROR(IF(compras_mes2[[#This Row],[CUIT]]="","-",VLOOKUP(compras_mes2[[#This Row],[CUIT]],Lista_CUIT[#All],3,0)),"CUIT NO CARGADO")</f>
        <v>Gastos Varios</v>
      </c>
      <c r="R53" s="383">
        <f>IFERROR(IF(compras_mes2[[#This Row],[CUIT]]="","-",VLOOKUP(compras_mes2[[#This Row],[CUIT]],Lista_CUIT[#All],4,0)),"CUIT NO CARGADO")</f>
        <v>0</v>
      </c>
      <c r="S53">
        <v>6346.25</v>
      </c>
    </row>
    <row r="54" spans="2:19">
      <c r="B54" s="374">
        <v>45342</v>
      </c>
      <c r="C54" s="375">
        <v>1</v>
      </c>
      <c r="D54" s="376">
        <v>1055</v>
      </c>
      <c r="E54" s="377">
        <v>692</v>
      </c>
      <c r="F54" s="378">
        <v>30685849751</v>
      </c>
      <c r="G54" s="379" t="str">
        <f>IFERROR(IF(compras_mes2[[#This Row],[CUIT]]="","-",VLOOKUP(compras_mes2[[#This Row],[CUIT]],Lista_CUIT[#All],2,0)),"CUIT NO CARGADO")</f>
        <v>DIA ARGENTINA S.A.</v>
      </c>
      <c r="H54" s="380">
        <v>5548.76</v>
      </c>
      <c r="I54" s="381">
        <f>IF(compras_mes2[[#This Row],[NETO GRAVADO]]="","",compras_mes2[[#This Row],[NETO GRAVADO]]*0.21)</f>
        <v>1165.2396000000001</v>
      </c>
      <c r="J54" s="381"/>
      <c r="K54" s="381"/>
      <c r="L54" s="381"/>
      <c r="M54" s="381"/>
      <c r="N54" s="381">
        <v>221.95</v>
      </c>
      <c r="O54" s="381"/>
      <c r="P54" s="382">
        <f>SUM(compras_mes2[[#This Row],[NETO GRAVADO]:[Otros / No Grav.]])</f>
        <v>6935.9495999999999</v>
      </c>
      <c r="Q54" s="383" t="str">
        <f>IFERROR(IF(compras_mes2[[#This Row],[CUIT]]="","-",VLOOKUP(compras_mes2[[#This Row],[CUIT]],Lista_CUIT[#All],3,0)),"CUIT NO CARGADO")</f>
        <v>Gastos Varios</v>
      </c>
      <c r="R54" s="383">
        <f>IFERROR(IF(compras_mes2[[#This Row],[CUIT]]="","-",VLOOKUP(compras_mes2[[#This Row],[CUIT]],Lista_CUIT[#All],4,0)),"CUIT NO CARGADO")</f>
        <v>0</v>
      </c>
      <c r="S54">
        <v>4038.75</v>
      </c>
    </row>
    <row r="55" spans="2:19">
      <c r="B55" s="365">
        <v>45342</v>
      </c>
      <c r="C55" s="366">
        <v>1</v>
      </c>
      <c r="D55" s="367">
        <v>5</v>
      </c>
      <c r="E55" s="368">
        <v>25</v>
      </c>
      <c r="F55" s="280">
        <v>20929183143</v>
      </c>
      <c r="G55" s="369" t="str">
        <f>IFERROR(IF(compras_mes2[[#This Row],[CUIT]]="","-",VLOOKUP(compras_mes2[[#This Row],[CUIT]],Lista_CUIT[#All],2,0)),"CUIT NO CARGADO")</f>
        <v>MA JUN</v>
      </c>
      <c r="H55" s="370">
        <v>20000</v>
      </c>
      <c r="I55" s="371">
        <f>IF(compras_mes2[[#This Row],[NETO GRAVADO]]="","",compras_mes2[[#This Row],[NETO GRAVADO]]*0.21)</f>
        <v>4200</v>
      </c>
      <c r="J55" s="371"/>
      <c r="K55" s="371"/>
      <c r="L55" s="371"/>
      <c r="M55" s="371"/>
      <c r="N55" s="391"/>
      <c r="O55" s="371"/>
      <c r="P55" s="372">
        <f>SUM(compras_mes2[[#This Row],[NETO GRAVADO]:[Otros / No Grav.]])</f>
        <v>24200</v>
      </c>
      <c r="Q55" s="373" t="str">
        <f>IFERROR(IF(compras_mes2[[#This Row],[CUIT]]="","-",VLOOKUP(compras_mes2[[#This Row],[CUIT]],Lista_CUIT[#All],3,0)),"CUIT NO CARGADO")</f>
        <v>Gastos Varios</v>
      </c>
      <c r="R55" s="373">
        <f>IFERROR(IF(compras_mes2[[#This Row],[CUIT]]="","-",VLOOKUP(compras_mes2[[#This Row],[CUIT]],Lista_CUIT[#All],4,0)),"CUIT NO CARGADO")</f>
        <v>0</v>
      </c>
      <c r="S55">
        <v>226834.59</v>
      </c>
    </row>
    <row r="56" spans="2:19">
      <c r="B56" s="374">
        <v>45345</v>
      </c>
      <c r="C56" s="375">
        <v>1</v>
      </c>
      <c r="D56" s="376">
        <v>21</v>
      </c>
      <c r="E56" s="377">
        <v>4436</v>
      </c>
      <c r="F56" s="378">
        <v>30532880773</v>
      </c>
      <c r="G56" s="379" t="str">
        <f>IFERROR(IF(compras_mes2[[#This Row],[CUIT]]="","-",VLOOKUP(compras_mes2[[#This Row],[CUIT]],Lista_CUIT[#All],2,0)),"CUIT NO CARGADO")</f>
        <v>PRESMAR SOCIEDAD ANONIMA</v>
      </c>
      <c r="H56" s="380">
        <v>62056.98</v>
      </c>
      <c r="I56" s="381">
        <f>IF(compras_mes2[[#This Row],[NETO GRAVADO]]="","",compras_mes2[[#This Row],[NETO GRAVADO]]*0.21)</f>
        <v>13031.9658</v>
      </c>
      <c r="J56" s="381"/>
      <c r="K56" s="381"/>
      <c r="L56" s="381"/>
      <c r="M56" s="381"/>
      <c r="N56" s="381"/>
      <c r="O56" s="381"/>
      <c r="P56" s="382">
        <f>SUM(compras_mes2[[#This Row],[NETO GRAVADO]:[Otros / No Grav.]])</f>
        <v>75088.945800000001</v>
      </c>
      <c r="Q56" s="383" t="str">
        <f>IFERROR(IF(compras_mes2[[#This Row],[CUIT]]="","-",VLOOKUP(compras_mes2[[#This Row],[CUIT]],Lista_CUIT[#All],3,0)),"CUIT NO CARGADO")</f>
        <v>Gastos Varios</v>
      </c>
      <c r="R56" s="383">
        <f>IFERROR(IF(compras_mes2[[#This Row],[CUIT]]="","-",VLOOKUP(compras_mes2[[#This Row],[CUIT]],Lista_CUIT[#All],4,0)),"CUIT NO CARGADO")</f>
        <v>0</v>
      </c>
      <c r="S56">
        <v>999000.01</v>
      </c>
    </row>
    <row r="57" spans="2:19">
      <c r="B57" s="374">
        <v>45345</v>
      </c>
      <c r="C57" s="375">
        <v>1</v>
      </c>
      <c r="D57" s="376">
        <v>23</v>
      </c>
      <c r="E57" s="377">
        <v>115320</v>
      </c>
      <c r="F57" s="378">
        <v>30708847247</v>
      </c>
      <c r="G57" s="379" t="str">
        <f>IFERROR(IF(compras_mes2[[#This Row],[CUIT]]="","-",VLOOKUP(compras_mes2[[#This Row],[CUIT]],Lista_CUIT[#All],2,0)),"CUIT NO CARGADO")</f>
        <v>TOAGRA SRL</v>
      </c>
      <c r="H57" s="380">
        <v>134991.19</v>
      </c>
      <c r="I57" s="381">
        <f>IF(compras_mes2[[#This Row],[NETO GRAVADO]]="","",compras_mes2[[#This Row],[NETO GRAVADO]]*0.21)</f>
        <v>28348.1499</v>
      </c>
      <c r="J57" s="381"/>
      <c r="K57" s="381"/>
      <c r="L57" s="381"/>
      <c r="M57" s="381"/>
      <c r="N57" s="381"/>
      <c r="O57" s="381"/>
      <c r="P57" s="382">
        <f>SUM(compras_mes2[[#This Row],[NETO GRAVADO]:[Otros / No Grav.]])</f>
        <v>163339.33989999999</v>
      </c>
      <c r="Q57" s="383" t="str">
        <f>IFERROR(IF(compras_mes2[[#This Row],[CUIT]]="","-",VLOOKUP(compras_mes2[[#This Row],[CUIT]],Lista_CUIT[#All],3,0)),"CUIT NO CARGADO")</f>
        <v>GASTOS VARIOS</v>
      </c>
      <c r="R57" s="383">
        <f>IFERROR(IF(compras_mes2[[#This Row],[CUIT]]="","-",VLOOKUP(compras_mes2[[#This Row],[CUIT]],Lista_CUIT[#All],4,0)),"CUIT NO CARGADO")</f>
        <v>0</v>
      </c>
      <c r="S57">
        <v>4038.75</v>
      </c>
    </row>
    <row r="58" spans="2:19">
      <c r="B58" s="374">
        <v>45346</v>
      </c>
      <c r="C58" s="375">
        <v>1</v>
      </c>
      <c r="D58" s="376">
        <v>2189</v>
      </c>
      <c r="E58" s="377">
        <v>66196</v>
      </c>
      <c r="F58" s="378">
        <v>30548083156</v>
      </c>
      <c r="G58" s="379" t="str">
        <f>IFERROR(IF(compras_mes2[[#This Row],[CUIT]]="","-",VLOOKUP(compras_mes2[[#This Row],[CUIT]],Lista_CUIT[#All],2,0)),"CUIT NO CARGADO")</f>
        <v>COTO CICSA</v>
      </c>
      <c r="H58" s="380">
        <v>5363.85</v>
      </c>
      <c r="I58" s="381">
        <f>IF(compras_mes2[[#This Row],[NETO GRAVADO]]="","",compras_mes2[[#This Row],[NETO GRAVADO]]*0.21)</f>
        <v>1126.4085</v>
      </c>
      <c r="J58" s="381"/>
      <c r="K58" s="381"/>
      <c r="L58" s="381"/>
      <c r="M58" s="381"/>
      <c r="N58" s="381"/>
      <c r="O58" s="381">
        <v>375.47</v>
      </c>
      <c r="P58" s="382">
        <f>SUM(compras_mes2[[#This Row],[NETO GRAVADO]:[Otros / No Grav.]])</f>
        <v>6865.7285000000002</v>
      </c>
      <c r="Q58" s="383" t="str">
        <f>IFERROR(IF(compras_mes2[[#This Row],[CUIT]]="","-",VLOOKUP(compras_mes2[[#This Row],[CUIT]],Lista_CUIT[#All],3,0)),"CUIT NO CARGADO")</f>
        <v>Gastos Varios</v>
      </c>
      <c r="R58" s="383">
        <f>IFERROR(IF(compras_mes2[[#This Row],[CUIT]]="","-",VLOOKUP(compras_mes2[[#This Row],[CUIT]],Lista_CUIT[#All],4,0)),"CUIT NO CARGADO")</f>
        <v>0</v>
      </c>
      <c r="S58">
        <v>55478.5</v>
      </c>
    </row>
    <row r="59" spans="2:19">
      <c r="B59" s="365">
        <v>45349</v>
      </c>
      <c r="C59" s="366">
        <v>1</v>
      </c>
      <c r="D59" s="367">
        <v>56</v>
      </c>
      <c r="E59" s="368">
        <v>1718</v>
      </c>
      <c r="F59" s="280">
        <v>30686525607</v>
      </c>
      <c r="G59" s="369" t="str">
        <f>IFERROR(IF(compras_mes2[[#This Row],[CUIT]]="","-",VLOOKUP(compras_mes2[[#This Row],[CUIT]],Lista_CUIT[#All],2,0)),"CUIT NO CARGADO")</f>
        <v>LIGIER SA</v>
      </c>
      <c r="H59" s="370">
        <v>46983.61</v>
      </c>
      <c r="I59" s="371">
        <f>IF(compras_mes2[[#This Row],[NETO GRAVADO]]="","",compras_mes2[[#This Row],[NETO GRAVADO]]*0.21)</f>
        <v>9866.5581000000002</v>
      </c>
      <c r="J59" s="371"/>
      <c r="K59" s="371"/>
      <c r="L59" s="371">
        <v>1409.51</v>
      </c>
      <c r="M59" s="371"/>
      <c r="N59" s="391">
        <v>1879.34</v>
      </c>
      <c r="O59" s="371"/>
      <c r="P59" s="372">
        <f>SUM(compras_mes2[[#This Row],[NETO GRAVADO]:[Otros / No Grav.]])</f>
        <v>60139.018100000001</v>
      </c>
      <c r="Q59" s="373" t="str">
        <f>IFERROR(IF(compras_mes2[[#This Row],[CUIT]]="","-",VLOOKUP(compras_mes2[[#This Row],[CUIT]],Lista_CUIT[#All],3,0)),"CUIT NO CARGADO")</f>
        <v>Gastos Varios</v>
      </c>
      <c r="R59" s="373">
        <f>IFERROR(IF(compras_mes2[[#This Row],[CUIT]]="","-",VLOOKUP(compras_mes2[[#This Row],[CUIT]],Lista_CUIT[#All],4,0)),"CUIT NO CARGADO")</f>
        <v>0</v>
      </c>
      <c r="S59">
        <v>73447</v>
      </c>
    </row>
    <row r="60" spans="2:19">
      <c r="B60" s="365">
        <v>45349</v>
      </c>
      <c r="C60" s="366">
        <v>1</v>
      </c>
      <c r="D60" s="367">
        <v>26</v>
      </c>
      <c r="E60" s="368">
        <v>189536</v>
      </c>
      <c r="F60" s="280">
        <v>30708847247</v>
      </c>
      <c r="G60" s="369" t="str">
        <f>IFERROR(IF(compras_mes2[[#This Row],[CUIT]]="","-",VLOOKUP(compras_mes2[[#This Row],[CUIT]],Lista_CUIT[#All],2,0)),"CUIT NO CARGADO")</f>
        <v>TOAGRA SRL</v>
      </c>
      <c r="H60" s="370">
        <v>6080.48</v>
      </c>
      <c r="I60" s="371">
        <f>IF(compras_mes2[[#This Row],[NETO GRAVADO]]="","",compras_mes2[[#This Row],[NETO GRAVADO]]*0.21)</f>
        <v>1276.9007999999999</v>
      </c>
      <c r="J60" s="371"/>
      <c r="K60" s="371"/>
      <c r="L60" s="371"/>
      <c r="M60" s="371"/>
      <c r="N60" s="391">
        <v>243.22</v>
      </c>
      <c r="O60" s="371"/>
      <c r="P60" s="372">
        <f>SUM(compras_mes2[[#This Row],[NETO GRAVADO]:[Otros / No Grav.]])</f>
        <v>7600.6007999999993</v>
      </c>
      <c r="Q60" s="373" t="str">
        <f>IFERROR(IF(compras_mes2[[#This Row],[CUIT]]="","-",VLOOKUP(compras_mes2[[#This Row],[CUIT]],Lista_CUIT[#All],3,0)),"CUIT NO CARGADO")</f>
        <v>GASTOS VARIOS</v>
      </c>
      <c r="R60" s="373">
        <f>IFERROR(IF(compras_mes2[[#This Row],[CUIT]]="","-",VLOOKUP(compras_mes2[[#This Row],[CUIT]],Lista_CUIT[#All],4,0)),"CUIT NO CARGADO")</f>
        <v>0</v>
      </c>
      <c r="S60">
        <v>11000.73</v>
      </c>
    </row>
    <row r="61" spans="2:19">
      <c r="B61" s="374">
        <v>45349</v>
      </c>
      <c r="C61" s="375">
        <v>1</v>
      </c>
      <c r="D61" s="376">
        <v>303</v>
      </c>
      <c r="E61" s="377">
        <v>567</v>
      </c>
      <c r="F61" s="378">
        <v>30708402911</v>
      </c>
      <c r="G61" s="379" t="str">
        <f>IFERROR(IF(compras_mes2[[#This Row],[CUIT]]="","-",VLOOKUP(compras_mes2[[#This Row],[CUIT]],Lista_CUIT[#All],2,0)),"CUIT NO CARGADO")</f>
        <v>GAX S.A.</v>
      </c>
      <c r="H61" s="380">
        <v>66033.06</v>
      </c>
      <c r="I61" s="381">
        <f>IF(compras_mes2[[#This Row],[NETO GRAVADO]]="","",compras_mes2[[#This Row],[NETO GRAVADO]]*0.21)</f>
        <v>13866.942599999998</v>
      </c>
      <c r="J61" s="381"/>
      <c r="K61" s="381"/>
      <c r="L61" s="381"/>
      <c r="M61" s="381"/>
      <c r="N61" s="381"/>
      <c r="O61" s="381"/>
      <c r="P61" s="382">
        <f>SUM(compras_mes2[[#This Row],[NETO GRAVADO]:[Otros / No Grav.]])</f>
        <v>79900.002599999993</v>
      </c>
      <c r="Q61" s="383" t="str">
        <f>IFERROR(IF(compras_mes2[[#This Row],[CUIT]]="","-",VLOOKUP(compras_mes2[[#This Row],[CUIT]],Lista_CUIT[#All],3,0)),"CUIT NO CARGADO")</f>
        <v>gastos varios</v>
      </c>
      <c r="R61" s="383">
        <f>IFERROR(IF(compras_mes2[[#This Row],[CUIT]]="","-",VLOOKUP(compras_mes2[[#This Row],[CUIT]],Lista_CUIT[#All],4,0)),"CUIT NO CARGADO")</f>
        <v>0</v>
      </c>
      <c r="S61">
        <v>929.75</v>
      </c>
    </row>
    <row r="62" spans="2:19">
      <c r="B62" s="374">
        <v>45350</v>
      </c>
      <c r="C62" s="375">
        <v>1</v>
      </c>
      <c r="D62" s="376">
        <v>2</v>
      </c>
      <c r="E62" s="377">
        <v>4</v>
      </c>
      <c r="F62" s="378">
        <v>30718322002</v>
      </c>
      <c r="G62" s="379" t="str">
        <f>IFERROR(IF(compras_mes2[[#This Row],[CUIT]]="","-",VLOOKUP(compras_mes2[[#This Row],[CUIT]],Lista_CUIT[#All],2,0)),"CUIT NO CARGADO")</f>
        <v>DULCE LUGAR</v>
      </c>
      <c r="H62" s="380">
        <v>25067.87</v>
      </c>
      <c r="I62" s="381"/>
      <c r="J62" s="381"/>
      <c r="K62" s="381">
        <v>2632.13</v>
      </c>
      <c r="L62" s="381"/>
      <c r="M62" s="381"/>
      <c r="N62" s="381"/>
      <c r="O62" s="381"/>
      <c r="P62" s="382">
        <f>SUM(compras_mes2[[#This Row],[NETO GRAVADO]:[Otros / No Grav.]])</f>
        <v>27700</v>
      </c>
      <c r="Q62" s="383" t="str">
        <f>IFERROR(IF(compras_mes2[[#This Row],[CUIT]]="","-",VLOOKUP(compras_mes2[[#This Row],[CUIT]],Lista_CUIT[#All],3,0)),"CUIT NO CARGADO")</f>
        <v>Gastos Varios</v>
      </c>
      <c r="R62" s="383">
        <f>IFERROR(IF(compras_mes2[[#This Row],[CUIT]]="","-",VLOOKUP(compras_mes2[[#This Row],[CUIT]],Lista_CUIT[#All],4,0)),"CUIT NO CARGADO")</f>
        <v>0</v>
      </c>
      <c r="S62">
        <v>5003766.24</v>
      </c>
    </row>
    <row r="63" spans="2:19">
      <c r="B63" s="374">
        <v>45351</v>
      </c>
      <c r="C63" s="375">
        <v>1</v>
      </c>
      <c r="D63" s="376">
        <v>6</v>
      </c>
      <c r="E63" s="377">
        <v>15799396</v>
      </c>
      <c r="F63" s="378">
        <v>30620177497</v>
      </c>
      <c r="G63" s="379" t="str">
        <f>IFERROR(IF(compras_mes2[[#This Row],[CUIT]]="","-",VLOOKUP(compras_mes2[[#This Row],[CUIT]],Lista_CUIT[#All],2,0)),"CUIT NO CARGADO")</f>
        <v>POSNET SOCIEDAD DE RESPONSABILIDAD LIMITADA</v>
      </c>
      <c r="H63" s="380">
        <v>14000</v>
      </c>
      <c r="I63" s="381">
        <f>IF(compras_mes2[[#This Row],[NETO GRAVADO]]="","",compras_mes2[[#This Row],[NETO GRAVADO]]*0.21)</f>
        <v>2940</v>
      </c>
      <c r="J63" s="381"/>
      <c r="K63" s="381"/>
      <c r="L63" s="381"/>
      <c r="M63" s="381"/>
      <c r="N63" s="381">
        <v>980</v>
      </c>
      <c r="O63" s="381"/>
      <c r="P63" s="382">
        <f>SUM(compras_mes2[[#This Row],[NETO GRAVADO]:[Otros / No Grav.]])</f>
        <v>17920</v>
      </c>
      <c r="Q63" s="383" t="str">
        <f>IFERROR(IF(compras_mes2[[#This Row],[CUIT]]="","-",VLOOKUP(compras_mes2[[#This Row],[CUIT]],Lista_CUIT[#All],3,0)),"CUIT NO CARGADO")</f>
        <v>Gastos Varios</v>
      </c>
      <c r="R63" s="383">
        <f>IFERROR(IF(compras_mes2[[#This Row],[CUIT]]="","-",VLOOKUP(compras_mes2[[#This Row],[CUIT]],Lista_CUIT[#All],4,0)),"CUIT NO CARGADO")</f>
        <v>0</v>
      </c>
      <c r="S63">
        <v>7780.28</v>
      </c>
    </row>
    <row r="64" spans="2:19">
      <c r="B64" s="374">
        <v>45337</v>
      </c>
      <c r="C64" s="375">
        <v>3</v>
      </c>
      <c r="D64" s="376">
        <v>32</v>
      </c>
      <c r="E64" s="377">
        <v>3962</v>
      </c>
      <c r="F64" s="378">
        <v>30708847247</v>
      </c>
      <c r="G64" s="379" t="str">
        <f>IFERROR(IF(compras_mes2[[#This Row],[CUIT]]="","-",VLOOKUP(compras_mes2[[#This Row],[CUIT]],Lista_CUIT[#All],2,0)),"CUIT NO CARGADO")</f>
        <v>TOAGRA SRL</v>
      </c>
      <c r="H64" s="380">
        <v>-3231</v>
      </c>
      <c r="I64" s="381">
        <f>IF(compras_mes2[[#This Row],[NETO GRAVADO]]="","",compras_mes2[[#This Row],[NETO GRAVADO]]*0.21)</f>
        <v>-678.51</v>
      </c>
      <c r="J64" s="381"/>
      <c r="K64" s="381"/>
      <c r="L64" s="381"/>
      <c r="M64" s="381"/>
      <c r="N64" s="381">
        <v>-129.24</v>
      </c>
      <c r="O64" s="381"/>
      <c r="P64" s="382">
        <f>SUM(compras_mes2[[#This Row],[NETO GRAVADO]:[Otros / No Grav.]])</f>
        <v>-4038.75</v>
      </c>
      <c r="Q64" s="383" t="str">
        <f>IFERROR(IF(compras_mes2[[#This Row],[CUIT]]="","-",VLOOKUP(compras_mes2[[#This Row],[CUIT]],Lista_CUIT[#All],3,0)),"CUIT NO CARGADO")</f>
        <v>GASTOS VARIOS</v>
      </c>
      <c r="R64" s="383">
        <f>IFERROR(IF(compras_mes2[[#This Row],[CUIT]]="","-",VLOOKUP(compras_mes2[[#This Row],[CUIT]],Lista_CUIT[#All],4,0)),"CUIT NO CARGADO")</f>
        <v>0</v>
      </c>
      <c r="S64">
        <v>39600</v>
      </c>
    </row>
    <row r="65" spans="2:19">
      <c r="B65" s="374">
        <v>45349</v>
      </c>
      <c r="C65" s="375">
        <v>3</v>
      </c>
      <c r="D65" s="376">
        <v>303</v>
      </c>
      <c r="E65" s="377">
        <v>302</v>
      </c>
      <c r="F65" s="378">
        <v>30708402911</v>
      </c>
      <c r="G65" s="379" t="str">
        <f>IFERROR(IF(compras_mes2[[#This Row],[CUIT]]="","-",VLOOKUP(compras_mes2[[#This Row],[CUIT]],Lista_CUIT[#All],2,0)),"CUIT NO CARGADO")</f>
        <v>GAX S.A.</v>
      </c>
      <c r="H65" s="380">
        <v>-7105.16</v>
      </c>
      <c r="I65" s="381">
        <f>IF(compras_mes2[[#This Row],[NETO GRAVADO]]="","",compras_mes2[[#This Row],[NETO GRAVADO]]*0.21)</f>
        <v>-1492.0835999999999</v>
      </c>
      <c r="J65" s="381"/>
      <c r="K65" s="381"/>
      <c r="L65" s="381"/>
      <c r="M65" s="381"/>
      <c r="N65" s="381"/>
      <c r="O65" s="381"/>
      <c r="P65" s="382">
        <f>SUM(compras_mes2[[#This Row],[NETO GRAVADO]:[Otros / No Grav.]])</f>
        <v>-8597.2435999999998</v>
      </c>
      <c r="Q65" s="383" t="str">
        <f>IFERROR(IF(compras_mes2[[#This Row],[CUIT]]="","-",VLOOKUP(compras_mes2[[#This Row],[CUIT]],Lista_CUIT[#All],3,0)),"CUIT NO CARGADO")</f>
        <v>gastos varios</v>
      </c>
      <c r="R65" s="383">
        <f>IFERROR(IF(compras_mes2[[#This Row],[CUIT]]="","-",VLOOKUP(compras_mes2[[#This Row],[CUIT]],Lista_CUIT[#All],4,0)),"CUIT NO CARGADO")</f>
        <v>0</v>
      </c>
      <c r="S65">
        <v>1892885.55</v>
      </c>
    </row>
    <row r="66" spans="2:19">
      <c r="B66" s="384">
        <v>45324</v>
      </c>
      <c r="C66" s="385">
        <v>1</v>
      </c>
      <c r="D66" s="386">
        <v>6</v>
      </c>
      <c r="E66" s="387">
        <v>1332</v>
      </c>
      <c r="F66" s="388">
        <v>30716815710</v>
      </c>
      <c r="G66" s="389" t="str">
        <f>IFERROR(IF(compras_mes2[[#This Row],[CUIT]]="","-",VLOOKUP(compras_mes2[[#This Row],[CUIT]],Lista_CUIT[#All],2,0)),"CUIT NO CARGADO")</f>
        <v>PAPELERA GEOPEL SRL</v>
      </c>
      <c r="H66" s="390">
        <v>31900</v>
      </c>
      <c r="I66" s="391">
        <f>IF(compras_mes2[[#This Row],[NETO GRAVADO]]="","",compras_mes2[[#This Row],[NETO GRAVADO]]*0.21)</f>
        <v>6699</v>
      </c>
      <c r="J66" s="391"/>
      <c r="K66" s="391"/>
      <c r="L66" s="391"/>
      <c r="M66" s="391"/>
      <c r="N66" s="391"/>
      <c r="O66" s="391"/>
      <c r="P66" s="392">
        <f>SUM(compras_mes2[[#This Row],[NETO GRAVADO]:[Otros / No Grav.]])</f>
        <v>38599</v>
      </c>
      <c r="Q66" s="393" t="str">
        <f>IFERROR(IF(compras_mes2[[#This Row],[CUIT]]="","-",VLOOKUP(compras_mes2[[#This Row],[CUIT]],Lista_CUIT[#All],3,0)),"CUIT NO CARGADO")</f>
        <v>LIBRERÍA</v>
      </c>
      <c r="R66" s="393">
        <f>IFERROR(IF(compras_mes2[[#This Row],[CUIT]]="","-",VLOOKUP(compras_mes2[[#This Row],[CUIT]],Lista_CUIT[#All],4,0)),"CUIT NO CARGADO")</f>
        <v>0</v>
      </c>
      <c r="S66">
        <v>27000</v>
      </c>
    </row>
    <row r="67" spans="2:19">
      <c r="B67" s="374">
        <v>45329</v>
      </c>
      <c r="C67" s="375">
        <v>1</v>
      </c>
      <c r="D67" s="376">
        <v>12</v>
      </c>
      <c r="E67" s="377">
        <v>18</v>
      </c>
      <c r="F67" s="378">
        <v>27202892936</v>
      </c>
      <c r="G67" s="379" t="str">
        <f>IFERROR(IF(compras_mes2[[#This Row],[CUIT]]="","-",VLOOKUP(compras_mes2[[#This Row],[CUIT]],Lista_CUIT[#All],2,0)),"CUIT NO CARGADO")</f>
        <v>Moriondo, Adriana Ines</v>
      </c>
      <c r="H67" s="380">
        <v>1350335.43</v>
      </c>
      <c r="I67" s="381">
        <f>IF(compras_mes2[[#This Row],[NETO GRAVADO]]="","",compras_mes2[[#This Row],[NETO GRAVADO]]*0.21)</f>
        <v>283570.44029999996</v>
      </c>
      <c r="J67" s="381"/>
      <c r="K67" s="381"/>
      <c r="L67" s="381"/>
      <c r="M67" s="381"/>
      <c r="N67" s="381"/>
      <c r="O67" s="381"/>
      <c r="P67" s="382">
        <f>SUM(compras_mes2[[#This Row],[NETO GRAVADO]:[Otros / No Grav.]])</f>
        <v>1633905.8702999998</v>
      </c>
      <c r="Q67" s="383" t="str">
        <f>IFERROR(IF(compras_mes2[[#This Row],[CUIT]]="","-",VLOOKUP(compras_mes2[[#This Row],[CUIT]],Lista_CUIT[#All],3,0)),"CUIT NO CARGADO")</f>
        <v>Licencia Marca</v>
      </c>
      <c r="R67" s="383">
        <f>IFERROR(IF(compras_mes2[[#This Row],[CUIT]]="","-",VLOOKUP(compras_mes2[[#This Row],[CUIT]],Lista_CUIT[#All],4,0)),"CUIT NO CARGADO")</f>
        <v>0</v>
      </c>
      <c r="S67">
        <v>115198.82</v>
      </c>
    </row>
    <row r="68" spans="2:19">
      <c r="B68" s="374">
        <v>45341</v>
      </c>
      <c r="C68" s="375">
        <v>1</v>
      </c>
      <c r="D68" s="376">
        <v>3</v>
      </c>
      <c r="E68" s="377">
        <v>4003</v>
      </c>
      <c r="F68" s="378">
        <v>20184052858</v>
      </c>
      <c r="G68" s="379" t="str">
        <f>IFERROR(IF(compras_mes2[[#This Row],[CUIT]]="","-",VLOOKUP(compras_mes2[[#This Row],[CUIT]],Lista_CUIT[#All],2,0)),"CUIT NO CARGADO")</f>
        <v>ABOUD PABLO DANIEL</v>
      </c>
      <c r="H68" s="380">
        <v>9297.52</v>
      </c>
      <c r="I68" s="381">
        <f>IF(compras_mes2[[#This Row],[NETO GRAVADO]]="","",compras_mes2[[#This Row],[NETO GRAVADO]]*0.21)</f>
        <v>1952.4792</v>
      </c>
      <c r="J68" s="381"/>
      <c r="K68" s="381"/>
      <c r="L68" s="381"/>
      <c r="M68" s="381"/>
      <c r="N68" s="381"/>
      <c r="O68" s="381"/>
      <c r="P68" s="382">
        <f>SUM(compras_mes2[[#This Row],[NETO GRAVADO]:[Otros / No Grav.]])</f>
        <v>11249.9992</v>
      </c>
      <c r="Q68" s="383" t="str">
        <f>IFERROR(IF(compras_mes2[[#This Row],[CUIT]]="","-",VLOOKUP(compras_mes2[[#This Row],[CUIT]],Lista_CUIT[#All],3,0)),"CUIT NO CARGADO")</f>
        <v>MANTENIMIENTO</v>
      </c>
      <c r="R68" s="383">
        <f>IFERROR(IF(compras_mes2[[#This Row],[CUIT]]="","-",VLOOKUP(compras_mes2[[#This Row],[CUIT]],Lista_CUIT[#All],4,0)),"CUIT NO CARGADO")</f>
        <v>0</v>
      </c>
      <c r="S68">
        <v>1015795</v>
      </c>
    </row>
    <row r="69" spans="2:19">
      <c r="B69" s="365">
        <v>45341</v>
      </c>
      <c r="C69" s="366">
        <v>1</v>
      </c>
      <c r="D69" s="367">
        <v>11</v>
      </c>
      <c r="E69" s="368">
        <v>13896</v>
      </c>
      <c r="F69" s="280">
        <v>30700584131</v>
      </c>
      <c r="G69" s="369" t="str">
        <f>IFERROR(IF(compras_mes2[[#This Row],[CUIT]]="","-",VLOOKUP(compras_mes2[[#This Row],[CUIT]],Lista_CUIT[#All],2,0)),"CUIT NO CARGADO")</f>
        <v>CACHO SUSPENSION S A</v>
      </c>
      <c r="H69" s="370">
        <v>266189.26</v>
      </c>
      <c r="I69" s="371">
        <f>IF(compras_mes2[[#This Row],[NETO GRAVADO]]="","",compras_mes2[[#This Row],[NETO GRAVADO]]*0.21)</f>
        <v>55899.744599999998</v>
      </c>
      <c r="J69" s="371"/>
      <c r="K69" s="371"/>
      <c r="L69" s="371"/>
      <c r="M69" s="371"/>
      <c r="N69" s="391"/>
      <c r="O69" s="371"/>
      <c r="P69" s="372">
        <f>SUM(compras_mes2[[#This Row],[NETO GRAVADO]:[Otros / No Grav.]])</f>
        <v>322089.00459999999</v>
      </c>
      <c r="Q69" s="373" t="str">
        <f>IFERROR(IF(compras_mes2[[#This Row],[CUIT]]="","-",VLOOKUP(compras_mes2[[#This Row],[CUIT]],Lista_CUIT[#All],3,0)),"CUIT NO CARGADO")</f>
        <v>Mantenimiento</v>
      </c>
      <c r="R69" s="373">
        <f>IFERROR(IF(compras_mes2[[#This Row],[CUIT]]="","-",VLOOKUP(compras_mes2[[#This Row],[CUIT]],Lista_CUIT[#All],4,0)),"CUIT NO CARGADO")</f>
        <v>0</v>
      </c>
      <c r="S69">
        <v>1084.71</v>
      </c>
    </row>
    <row r="70" spans="2:19">
      <c r="B70" s="374">
        <v>45343</v>
      </c>
      <c r="C70" s="375">
        <v>1</v>
      </c>
      <c r="D70" s="376">
        <v>4</v>
      </c>
      <c r="E70" s="377">
        <v>5507</v>
      </c>
      <c r="F70" s="378">
        <v>20251303402</v>
      </c>
      <c r="G70" s="379" t="str">
        <f>IFERROR(IF(compras_mes2[[#This Row],[CUIT]]="","-",VLOOKUP(compras_mes2[[#This Row],[CUIT]],Lista_CUIT[#All],2,0)),"CUIT NO CARGADO")</f>
        <v>CEBA LEANDRO RODOLFO</v>
      </c>
      <c r="H70" s="380">
        <v>169392.56</v>
      </c>
      <c r="I70" s="381">
        <f>IF(compras_mes2[[#This Row],[NETO GRAVADO]]="","",compras_mes2[[#This Row],[NETO GRAVADO]]*0.21)</f>
        <v>35572.437599999997</v>
      </c>
      <c r="J70" s="381"/>
      <c r="K70" s="381"/>
      <c r="L70" s="381"/>
      <c r="M70" s="381"/>
      <c r="N70" s="381"/>
      <c r="O70" s="381"/>
      <c r="P70" s="382">
        <f>SUM(compras_mes2[[#This Row],[NETO GRAVADO]:[Otros / No Grav.]])</f>
        <v>204964.9976</v>
      </c>
      <c r="Q70" s="383" t="str">
        <f>IFERROR(IF(compras_mes2[[#This Row],[CUIT]]="","-",VLOOKUP(compras_mes2[[#This Row],[CUIT]],Lista_CUIT[#All],3,0)),"CUIT NO CARGADO")</f>
        <v>Mantenimiento</v>
      </c>
      <c r="R70" s="383">
        <f>IFERROR(IF(compras_mes2[[#This Row],[CUIT]]="","-",VLOOKUP(compras_mes2[[#This Row],[CUIT]],Lista_CUIT[#All],4,0)),"CUIT NO CARGADO")</f>
        <v>0</v>
      </c>
      <c r="S70">
        <v>40310.46</v>
      </c>
    </row>
    <row r="71" spans="2:19">
      <c r="B71" s="374">
        <v>45344</v>
      </c>
      <c r="C71" s="375">
        <v>1</v>
      </c>
      <c r="D71" s="376">
        <v>13</v>
      </c>
      <c r="E71" s="377">
        <v>10955</v>
      </c>
      <c r="F71" s="378">
        <v>30700584131</v>
      </c>
      <c r="G71" s="379" t="str">
        <f>IFERROR(IF(compras_mes2[[#This Row],[CUIT]]="","-",VLOOKUP(compras_mes2[[#This Row],[CUIT]],Lista_CUIT[#All],2,0)),"CUIT NO CARGADO")</f>
        <v>CACHO SUSPENSION S A</v>
      </c>
      <c r="H71" s="380">
        <v>48852.89</v>
      </c>
      <c r="I71" s="381">
        <f>IF(compras_mes2[[#This Row],[NETO GRAVADO]]="","",compras_mes2[[#This Row],[NETO GRAVADO]]*0.21)</f>
        <v>10259.106899999999</v>
      </c>
      <c r="J71" s="381"/>
      <c r="K71" s="381"/>
      <c r="L71" s="381"/>
      <c r="M71" s="381"/>
      <c r="N71" s="381"/>
      <c r="O71" s="381"/>
      <c r="P71" s="382">
        <f>SUM(compras_mes2[[#This Row],[NETO GRAVADO]:[Otros / No Grav.]])</f>
        <v>59111.996899999998</v>
      </c>
      <c r="Q71" s="383" t="str">
        <f>IFERROR(IF(compras_mes2[[#This Row],[CUIT]]="","-",VLOOKUP(compras_mes2[[#This Row],[CUIT]],Lista_CUIT[#All],3,0)),"CUIT NO CARGADO")</f>
        <v>Mantenimiento</v>
      </c>
      <c r="R71" s="383">
        <f>IFERROR(IF(compras_mes2[[#This Row],[CUIT]]="","-",VLOOKUP(compras_mes2[[#This Row],[CUIT]],Lista_CUIT[#All],4,0)),"CUIT NO CARGADO")</f>
        <v>0</v>
      </c>
      <c r="S71">
        <v>16214.09</v>
      </c>
    </row>
    <row r="72" spans="2:19">
      <c r="B72" s="365">
        <v>45350</v>
      </c>
      <c r="C72" s="366">
        <v>1</v>
      </c>
      <c r="D72" s="367">
        <v>4</v>
      </c>
      <c r="E72" s="368">
        <v>3918</v>
      </c>
      <c r="F72" s="280">
        <v>20076573949</v>
      </c>
      <c r="G72" s="369" t="str">
        <f>IFERROR(IF(compras_mes2[[#This Row],[CUIT]]="","-",VLOOKUP(compras_mes2[[#This Row],[CUIT]],Lista_CUIT[#All],2,0)),"CUIT NO CARGADO")</f>
        <v>MEDEOT OSVALDO LUCIO</v>
      </c>
      <c r="H72" s="370">
        <v>462115.7</v>
      </c>
      <c r="I72" s="371">
        <f>IF(compras_mes2[[#This Row],[NETO GRAVADO]]="","",compras_mes2[[#This Row],[NETO GRAVADO]]*0.21)</f>
        <v>97044.297000000006</v>
      </c>
      <c r="J72" s="371"/>
      <c r="K72" s="371"/>
      <c r="L72" s="371"/>
      <c r="M72" s="371"/>
      <c r="N72" s="391"/>
      <c r="O72" s="371"/>
      <c r="P72" s="372">
        <f>SUM(compras_mes2[[#This Row],[NETO GRAVADO]:[Otros / No Grav.]])</f>
        <v>559159.99699999997</v>
      </c>
      <c r="Q72" s="373" t="str">
        <f>IFERROR(IF(compras_mes2[[#This Row],[CUIT]]="","-",VLOOKUP(compras_mes2[[#This Row],[CUIT]],Lista_CUIT[#All],3,0)),"CUIT NO CARGADO")</f>
        <v>Mantenimiento</v>
      </c>
      <c r="R72" s="373">
        <f>IFERROR(IF(compras_mes2[[#This Row],[CUIT]]="","-",VLOOKUP(compras_mes2[[#This Row],[CUIT]],Lista_CUIT[#All],4,0)),"CUIT NO CARGADO")</f>
        <v>0</v>
      </c>
      <c r="S72">
        <v>840429.7</v>
      </c>
    </row>
    <row r="73" spans="2:19">
      <c r="B73" s="374">
        <v>45344</v>
      </c>
      <c r="C73" s="375">
        <v>3</v>
      </c>
      <c r="D73" s="376">
        <v>11</v>
      </c>
      <c r="E73" s="377">
        <v>1350</v>
      </c>
      <c r="F73" s="378">
        <v>30700584131</v>
      </c>
      <c r="G73" s="379" t="str">
        <f>IFERROR(IF(compras_mes2[[#This Row],[CUIT]]="","-",VLOOKUP(compras_mes2[[#This Row],[CUIT]],Lista_CUIT[#All],2,0)),"CUIT NO CARGADO")</f>
        <v>CACHO SUSPENSION S A</v>
      </c>
      <c r="H73" s="380">
        <v>-48852.89</v>
      </c>
      <c r="I73" s="381">
        <f>IF(compras_mes2[[#This Row],[NETO GRAVADO]]="","",compras_mes2[[#This Row],[NETO GRAVADO]]*0.21)</f>
        <v>-10259.106899999999</v>
      </c>
      <c r="J73" s="381"/>
      <c r="K73" s="381"/>
      <c r="L73" s="381"/>
      <c r="M73" s="381"/>
      <c r="N73" s="381"/>
      <c r="O73" s="381"/>
      <c r="P73" s="382">
        <f>SUM(compras_mes2[[#This Row],[NETO GRAVADO]:[Otros / No Grav.]])</f>
        <v>-59111.996899999998</v>
      </c>
      <c r="Q73" s="383" t="str">
        <f>IFERROR(IF(compras_mes2[[#This Row],[CUIT]]="","-",VLOOKUP(compras_mes2[[#This Row],[CUIT]],Lista_CUIT[#All],3,0)),"CUIT NO CARGADO")</f>
        <v>Mantenimiento</v>
      </c>
      <c r="R73" s="383">
        <f>IFERROR(IF(compras_mes2[[#This Row],[CUIT]]="","-",VLOOKUP(compras_mes2[[#This Row],[CUIT]],Lista_CUIT[#All],4,0)),"CUIT NO CARGADO")</f>
        <v>0</v>
      </c>
      <c r="S73">
        <v>11249.99</v>
      </c>
    </row>
    <row r="74" spans="2:19">
      <c r="B74" s="365">
        <v>45324</v>
      </c>
      <c r="C74" s="366">
        <v>1</v>
      </c>
      <c r="D74" s="367">
        <v>262</v>
      </c>
      <c r="E74" s="368">
        <v>268</v>
      </c>
      <c r="F74" s="280">
        <v>33708711999</v>
      </c>
      <c r="G74" s="369" t="str">
        <f>IFERROR(IF(compras_mes2[[#This Row],[CUIT]]="","-",VLOOKUP(compras_mes2[[#This Row],[CUIT]],Lista_CUIT[#All],2,0)),"CUIT NO CARGADO")</f>
        <v>MARANSI S.A.</v>
      </c>
      <c r="H74" s="370">
        <v>557087.9</v>
      </c>
      <c r="I74" s="371">
        <f>IF(compras_mes2[[#This Row],[NETO GRAVADO]]="","",compras_mes2[[#This Row],[NETO GRAVADO]]*0.21)</f>
        <v>116988.459</v>
      </c>
      <c r="J74" s="371"/>
      <c r="K74" s="371"/>
      <c r="L74" s="371"/>
      <c r="M74" s="371"/>
      <c r="N74" s="391"/>
      <c r="O74" s="371">
        <v>22283.52</v>
      </c>
      <c r="P74" s="372">
        <f>SUM(compras_mes2[[#This Row],[NETO GRAVADO]:[Otros / No Grav.]])</f>
        <v>696359.87900000007</v>
      </c>
      <c r="Q74" s="373" t="str">
        <f>IFERROR(IF(compras_mes2[[#This Row],[CUIT]]="","-",VLOOKUP(compras_mes2[[#This Row],[CUIT]],Lista_CUIT[#All],3,0)),"CUIT NO CARGADO")</f>
        <v>mueble y utiles</v>
      </c>
      <c r="R74" s="373">
        <f>IFERROR(IF(compras_mes2[[#This Row],[CUIT]]="","-",VLOOKUP(compras_mes2[[#This Row],[CUIT]],Lista_CUIT[#All],4,0)),"CUIT NO CARGADO")</f>
        <v>0</v>
      </c>
      <c r="S74">
        <v>322089</v>
      </c>
    </row>
    <row r="75" spans="2:19">
      <c r="B75" s="374">
        <v>45341</v>
      </c>
      <c r="C75" s="375">
        <v>1</v>
      </c>
      <c r="D75" s="376">
        <v>5011</v>
      </c>
      <c r="E75" s="377">
        <v>580122</v>
      </c>
      <c r="F75" s="378">
        <v>30574876474</v>
      </c>
      <c r="G75" s="379" t="str">
        <f>IFERROR(IF(compras_mes2[[#This Row],[CUIT]]="","-",VLOOKUP(compras_mes2[[#This Row],[CUIT]],Lista_CUIT[#All],2,0)),"CUIT NO CARGADO")</f>
        <v>AUTOP. URBANAS SA</v>
      </c>
      <c r="H75" s="380">
        <v>12100.09</v>
      </c>
      <c r="I75" s="381">
        <f>IF(compras_mes2[[#This Row],[NETO GRAVADO]]="","",compras_mes2[[#This Row],[NETO GRAVADO]]*0.21)</f>
        <v>2541.0189</v>
      </c>
      <c r="J75" s="381"/>
      <c r="K75" s="381"/>
      <c r="L75" s="381"/>
      <c r="M75" s="381"/>
      <c r="N75" s="381">
        <v>1210.01</v>
      </c>
      <c r="O75" s="381">
        <v>363</v>
      </c>
      <c r="P75" s="382">
        <f>SUM(compras_mes2[[#This Row],[NETO GRAVADO]:[Otros / No Grav.]])</f>
        <v>16214.118899999999</v>
      </c>
      <c r="Q75" s="383" t="str">
        <f>IFERROR(IF(compras_mes2[[#This Row],[CUIT]]="","-",VLOOKUP(compras_mes2[[#This Row],[CUIT]],Lista_CUIT[#All],3,0)),"CUIT NO CARGADO")</f>
        <v>PEAJE</v>
      </c>
      <c r="R75" s="383">
        <f>IFERROR(IF(compras_mes2[[#This Row],[CUIT]]="","-",VLOOKUP(compras_mes2[[#This Row],[CUIT]],Lista_CUIT[#All],4,0)),"CUIT NO CARGADO")</f>
        <v>0</v>
      </c>
      <c r="S75">
        <v>196020</v>
      </c>
    </row>
    <row r="76" spans="2:19">
      <c r="B76" s="374">
        <v>45325</v>
      </c>
      <c r="C76" s="375">
        <v>1</v>
      </c>
      <c r="D76" s="376">
        <v>629</v>
      </c>
      <c r="E76" s="377">
        <v>4858545</v>
      </c>
      <c r="F76" s="378">
        <v>30663498513</v>
      </c>
      <c r="G76" s="379" t="str">
        <f>IFERROR(IF(compras_mes2[[#This Row],[CUIT]]="","-",VLOOKUP(compras_mes2[[#This Row],[CUIT]],Lista_CUIT[#All],2,0)),"CUIT NO CARGADO")</f>
        <v>GRUPO CONCES. DEL OESTE SA</v>
      </c>
      <c r="H76" s="380">
        <v>1115.69</v>
      </c>
      <c r="I76" s="381">
        <f>IF(compras_mes2[[#This Row],[NETO GRAVADO]]="","",compras_mes2[[#This Row],[NETO GRAVADO]]*0.21)</f>
        <v>234.29490000000001</v>
      </c>
      <c r="J76" s="381"/>
      <c r="K76" s="381"/>
      <c r="L76" s="381"/>
      <c r="M76" s="381"/>
      <c r="N76" s="381"/>
      <c r="O76" s="381"/>
      <c r="P76" s="382">
        <f>SUM(compras_mes2[[#This Row],[NETO GRAVADO]:[Otros / No Grav.]])</f>
        <v>1349.9849000000002</v>
      </c>
      <c r="Q76" s="383" t="str">
        <f>IFERROR(IF(compras_mes2[[#This Row],[CUIT]]="","-",VLOOKUP(compras_mes2[[#This Row],[CUIT]],Lista_CUIT[#All],3,0)),"CUIT NO CARGADO")</f>
        <v>PEAJE</v>
      </c>
      <c r="R76" s="383">
        <f>IFERROR(IF(compras_mes2[[#This Row],[CUIT]]="","-",VLOOKUP(compras_mes2[[#This Row],[CUIT]],Lista_CUIT[#All],4,0)),"CUIT NO CARGADO")</f>
        <v>0</v>
      </c>
      <c r="S76">
        <v>56245.95</v>
      </c>
    </row>
    <row r="77" spans="2:19">
      <c r="B77" s="374">
        <v>45351</v>
      </c>
      <c r="C77" s="375">
        <v>1</v>
      </c>
      <c r="D77" s="376">
        <v>503</v>
      </c>
      <c r="E77" s="377">
        <v>1216347</v>
      </c>
      <c r="F77" s="378">
        <v>30639935872</v>
      </c>
      <c r="G77" s="379" t="str">
        <f>IFERROR(IF(compras_mes2[[#This Row],[CUIT]]="","-",VLOOKUP(compras_mes2[[#This Row],[CUIT]],Lista_CUIT[#All],2,0)),"CUIT NO CARGADO")</f>
        <v>CAMINOS DEL RIO URUGUAY S A DE CONSTRUCCIONES Y CONCESIONES VIALES</v>
      </c>
      <c r="H77" s="380">
        <v>1198.3399999999999</v>
      </c>
      <c r="I77" s="381">
        <f>IF(compras_mes2[[#This Row],[NETO GRAVADO]]="","",compras_mes2[[#This Row],[NETO GRAVADO]]*0.21)</f>
        <v>251.65139999999997</v>
      </c>
      <c r="J77" s="381"/>
      <c r="K77" s="381"/>
      <c r="L77" s="381"/>
      <c r="M77" s="381"/>
      <c r="N77" s="381">
        <v>47.93</v>
      </c>
      <c r="O77" s="381"/>
      <c r="P77" s="382">
        <f>SUM(compras_mes2[[#This Row],[NETO GRAVADO]:[Otros / No Grav.]])</f>
        <v>1497.9213999999999</v>
      </c>
      <c r="Q77" s="383" t="str">
        <f>IFERROR(IF(compras_mes2[[#This Row],[CUIT]]="","-",VLOOKUP(compras_mes2[[#This Row],[CUIT]],Lista_CUIT[#All],3,0)),"CUIT NO CARGADO")</f>
        <v>PEAJE</v>
      </c>
      <c r="R77" s="383">
        <f>IFERROR(IF(compras_mes2[[#This Row],[CUIT]]="","-",VLOOKUP(compras_mes2[[#This Row],[CUIT]],Lista_CUIT[#All],4,0)),"CUIT NO CARGADO")</f>
        <v>0</v>
      </c>
      <c r="S77">
        <v>2082482.6</v>
      </c>
    </row>
    <row r="78" spans="2:19">
      <c r="B78" s="374">
        <v>45325</v>
      </c>
      <c r="C78" s="375">
        <v>1</v>
      </c>
      <c r="D78" s="376">
        <v>711</v>
      </c>
      <c r="E78" s="377">
        <v>5294900</v>
      </c>
      <c r="F78" s="378">
        <v>30677237119</v>
      </c>
      <c r="G78" s="379" t="str">
        <f>IFERROR(IF(compras_mes2[[#This Row],[CUIT]]="","-",VLOOKUP(compras_mes2[[#This Row],[CUIT]],Lista_CUIT[#All],2,0)),"CUIT NO CARGADO")</f>
        <v>AUTOPISTAS DEL SOL SA</v>
      </c>
      <c r="H78" s="380">
        <v>1115.69</v>
      </c>
      <c r="I78" s="381">
        <f>IF(compras_mes2[[#This Row],[NETO GRAVADO]]="","",compras_mes2[[#This Row],[NETO GRAVADO]]*0.21)</f>
        <v>234.29490000000001</v>
      </c>
      <c r="J78" s="381"/>
      <c r="K78" s="381"/>
      <c r="L78" s="381"/>
      <c r="M78" s="381"/>
      <c r="N78" s="381"/>
      <c r="O78" s="381"/>
      <c r="P78" s="382">
        <f>SUM(compras_mes2[[#This Row],[NETO GRAVADO]:[Otros / No Grav.]])</f>
        <v>1349.9849000000002</v>
      </c>
      <c r="Q78" s="383" t="str">
        <f>IFERROR(IF(compras_mes2[[#This Row],[CUIT]]="","-",VLOOKUP(compras_mes2[[#This Row],[CUIT]],Lista_CUIT[#All],3,0)),"CUIT NO CARGADO")</f>
        <v>PEAJE</v>
      </c>
      <c r="R78" s="383">
        <f>IFERROR(IF(compras_mes2[[#This Row],[CUIT]]="","-",VLOOKUP(compras_mes2[[#This Row],[CUIT]],Lista_CUIT[#All],4,0)),"CUIT NO CARGADO")</f>
        <v>0</v>
      </c>
      <c r="S78">
        <v>4752.0600000000004</v>
      </c>
    </row>
    <row r="79" spans="2:19">
      <c r="B79" s="374">
        <v>45329</v>
      </c>
      <c r="C79" s="375">
        <v>1</v>
      </c>
      <c r="D79" s="376">
        <v>700</v>
      </c>
      <c r="E79" s="377">
        <v>1452797</v>
      </c>
      <c r="F79" s="378">
        <v>30715804812</v>
      </c>
      <c r="G79" s="379" t="str">
        <f>IFERROR(IF(compras_mes2[[#This Row],[CUIT]]="","-",VLOOKUP(compras_mes2[[#This Row],[CUIT]],Lista_CUIT[#All],2,0)),"CUIT NO CARGADO")</f>
        <v>CORREDORES VIALES SOCIEDAD ANONIMA</v>
      </c>
      <c r="H79" s="380">
        <v>4297.5200000000004</v>
      </c>
      <c r="I79" s="381">
        <f>IF(compras_mes2[[#This Row],[NETO GRAVADO]]="","",compras_mes2[[#This Row],[NETO GRAVADO]]*0.21)</f>
        <v>902.47920000000011</v>
      </c>
      <c r="J79" s="381"/>
      <c r="K79" s="381"/>
      <c r="L79" s="381"/>
      <c r="M79" s="381"/>
      <c r="N79" s="381">
        <v>171.9</v>
      </c>
      <c r="O79" s="381"/>
      <c r="P79" s="382">
        <f>SUM(compras_mes2[[#This Row],[NETO GRAVADO]:[Otros / No Grav.]])</f>
        <v>5371.8991999999998</v>
      </c>
      <c r="Q79" s="383" t="str">
        <f>IFERROR(IF(compras_mes2[[#This Row],[CUIT]]="","-",VLOOKUP(compras_mes2[[#This Row],[CUIT]],Lista_CUIT[#All],3,0)),"CUIT NO CARGADO")</f>
        <v>PEAJE</v>
      </c>
      <c r="R79" s="383">
        <f>IFERROR(IF(compras_mes2[[#This Row],[CUIT]]="","-",VLOOKUP(compras_mes2[[#This Row],[CUIT]],Lista_CUIT[#All],4,0)),"CUIT NO CARGADO")</f>
        <v>0</v>
      </c>
      <c r="S79">
        <v>109050</v>
      </c>
    </row>
    <row r="80" spans="2:19">
      <c r="B80" s="374">
        <v>45338</v>
      </c>
      <c r="C80" s="375">
        <v>1</v>
      </c>
      <c r="D80" s="376">
        <v>104</v>
      </c>
      <c r="E80" s="377">
        <v>5130338</v>
      </c>
      <c r="F80" s="378">
        <v>30715804812</v>
      </c>
      <c r="G80" s="379" t="str">
        <f>IFERROR(IF(compras_mes2[[#This Row],[CUIT]]="","-",VLOOKUP(compras_mes2[[#This Row],[CUIT]],Lista_CUIT[#All],2,0)),"CUIT NO CARGADO")</f>
        <v>CORREDORES VIALES SOCIEDAD ANONIMA</v>
      </c>
      <c r="H80" s="380">
        <v>743.8</v>
      </c>
      <c r="I80" s="381">
        <f>IF(compras_mes2[[#This Row],[NETO GRAVADO]]="","",compras_mes2[[#This Row],[NETO GRAVADO]]*0.21)</f>
        <v>156.19799999999998</v>
      </c>
      <c r="J80" s="381"/>
      <c r="K80" s="381"/>
      <c r="L80" s="381"/>
      <c r="M80" s="381"/>
      <c r="N80" s="381">
        <v>29.75</v>
      </c>
      <c r="O80" s="381"/>
      <c r="P80" s="382">
        <f>SUM(compras_mes2[[#This Row],[NETO GRAVADO]:[Otros / No Grav.]])</f>
        <v>929.74799999999993</v>
      </c>
      <c r="Q80" s="383" t="str">
        <f>IFERROR(IF(compras_mes2[[#This Row],[CUIT]]="","-",VLOOKUP(compras_mes2[[#This Row],[CUIT]],Lista_CUIT[#All],3,0)),"CUIT NO CARGADO")</f>
        <v>PEAJE</v>
      </c>
      <c r="R80" s="383">
        <f>IFERROR(IF(compras_mes2[[#This Row],[CUIT]]="","-",VLOOKUP(compras_mes2[[#This Row],[CUIT]],Lista_CUIT[#All],4,0)),"CUIT NO CARGADO")</f>
        <v>0</v>
      </c>
      <c r="S80">
        <v>6935.95</v>
      </c>
    </row>
    <row r="81" spans="2:19">
      <c r="B81" s="374">
        <v>45339</v>
      </c>
      <c r="C81" s="375">
        <v>1</v>
      </c>
      <c r="D81" s="376">
        <v>711</v>
      </c>
      <c r="E81" s="377">
        <v>5349635</v>
      </c>
      <c r="F81" s="378">
        <v>30677237119</v>
      </c>
      <c r="G81" s="379" t="str">
        <f>IFERROR(IF(compras_mes2[[#This Row],[CUIT]]="","-",VLOOKUP(compras_mes2[[#This Row],[CUIT]],Lista_CUIT[#All],2,0)),"CUIT NO CARGADO")</f>
        <v>AUTOPISTAS DEL SOL SA</v>
      </c>
      <c r="H81" s="380">
        <v>867.76</v>
      </c>
      <c r="I81" s="381">
        <f>IF(compras_mes2[[#This Row],[NETO GRAVADO]]="","",compras_mes2[[#This Row],[NETO GRAVADO]]*0.21)</f>
        <v>182.2296</v>
      </c>
      <c r="J81" s="381"/>
      <c r="K81" s="381"/>
      <c r="L81" s="381"/>
      <c r="M81" s="381"/>
      <c r="N81" s="381">
        <v>34.71</v>
      </c>
      <c r="O81" s="381"/>
      <c r="P81" s="382">
        <f>SUM(compras_mes2[[#This Row],[NETO GRAVADO]:[Otros / No Grav.]])</f>
        <v>1084.6995999999999</v>
      </c>
      <c r="Q81" s="383" t="str">
        <f>IFERROR(IF(compras_mes2[[#This Row],[CUIT]]="","-",VLOOKUP(compras_mes2[[#This Row],[CUIT]],Lista_CUIT[#All],3,0)),"CUIT NO CARGADO")</f>
        <v>PEAJE</v>
      </c>
      <c r="R81" s="383">
        <f>IFERROR(IF(compras_mes2[[#This Row],[CUIT]]="","-",VLOOKUP(compras_mes2[[#This Row],[CUIT]],Lista_CUIT[#All],4,0)),"CUIT NO CARGADO")</f>
        <v>0</v>
      </c>
      <c r="S81">
        <v>50000</v>
      </c>
    </row>
    <row r="82" spans="2:19">
      <c r="B82" s="374">
        <v>45342</v>
      </c>
      <c r="C82" s="375">
        <v>1</v>
      </c>
      <c r="D82" s="376">
        <v>700</v>
      </c>
      <c r="E82" s="377">
        <v>1486111</v>
      </c>
      <c r="F82" s="378">
        <v>30715804812</v>
      </c>
      <c r="G82" s="379" t="str">
        <f>IFERROR(IF(compras_mes2[[#This Row],[CUIT]]="","-",VLOOKUP(compras_mes2[[#This Row],[CUIT]],Lista_CUIT[#All],2,0)),"CUIT NO CARGADO")</f>
        <v>CORREDORES VIALES SOCIEDAD ANONIMA</v>
      </c>
      <c r="H82" s="380">
        <v>3801.65</v>
      </c>
      <c r="I82" s="381">
        <f>IF(compras_mes2[[#This Row],[NETO GRAVADO]]="","",compras_mes2[[#This Row],[NETO GRAVADO]]*0.21)</f>
        <v>798.34649999999999</v>
      </c>
      <c r="J82" s="381"/>
      <c r="K82" s="381"/>
      <c r="L82" s="381"/>
      <c r="M82" s="381"/>
      <c r="N82" s="381">
        <v>152.06</v>
      </c>
      <c r="O82" s="381"/>
      <c r="P82" s="382">
        <f>SUM(compras_mes2[[#This Row],[NETO GRAVADO]:[Otros / No Grav.]])</f>
        <v>4752.0565000000006</v>
      </c>
      <c r="Q82" s="383" t="str">
        <f>IFERROR(IF(compras_mes2[[#This Row],[CUIT]]="","-",VLOOKUP(compras_mes2[[#This Row],[CUIT]],Lista_CUIT[#All],3,0)),"CUIT NO CARGADO")</f>
        <v>PEAJE</v>
      </c>
      <c r="R82" s="383">
        <f>IFERROR(IF(compras_mes2[[#This Row],[CUIT]]="","-",VLOOKUP(compras_mes2[[#This Row],[CUIT]],Lista_CUIT[#All],4,0)),"CUIT NO CARGADO")</f>
        <v>0</v>
      </c>
      <c r="S82">
        <v>24200</v>
      </c>
    </row>
    <row r="83" spans="2:19">
      <c r="B83" s="374">
        <v>45351</v>
      </c>
      <c r="C83" s="375">
        <v>1</v>
      </c>
      <c r="D83" s="376">
        <v>50</v>
      </c>
      <c r="E83" s="377">
        <v>3493325</v>
      </c>
      <c r="F83" s="378">
        <v>30714112836</v>
      </c>
      <c r="G83" s="379" t="str">
        <f>IFERROR(IF(compras_mes2[[#This Row],[CUIT]]="","-",VLOOKUP(compras_mes2[[#This Row],[CUIT]],Lista_CUIT[#All],2,0)),"CUIT NO CARGADO")</f>
        <v>AUTOPISTAS DE BUENOS AIRES (AUBASA) SA</v>
      </c>
      <c r="H83" s="380">
        <v>3400.83</v>
      </c>
      <c r="I83" s="381">
        <f>IF(compras_mes2[[#This Row],[NETO GRAVADO]]="","",compras_mes2[[#This Row],[NETO GRAVADO]]*0.21)</f>
        <v>714.1742999999999</v>
      </c>
      <c r="J83" s="381"/>
      <c r="K83" s="381"/>
      <c r="L83" s="381">
        <v>102.02</v>
      </c>
      <c r="M83" s="381"/>
      <c r="N83" s="381"/>
      <c r="O83" s="381"/>
      <c r="P83" s="382">
        <f>SUM(compras_mes2[[#This Row],[NETO GRAVADO]:[Otros / No Grav.]])</f>
        <v>4217.0243</v>
      </c>
      <c r="Q83" s="383" t="str">
        <f>IFERROR(IF(compras_mes2[[#This Row],[CUIT]]="","-",VLOOKUP(compras_mes2[[#This Row],[CUIT]],Lista_CUIT[#All],3,0)),"CUIT NO CARGADO")</f>
        <v>PEAJE</v>
      </c>
      <c r="R83" s="383">
        <f>IFERROR(IF(compras_mes2[[#This Row],[CUIT]]="","-",VLOOKUP(compras_mes2[[#This Row],[CUIT]],Lista_CUIT[#All],4,0)),"CUIT NO CARGADO")</f>
        <v>0</v>
      </c>
      <c r="S83">
        <v>5938861.1399999997</v>
      </c>
    </row>
    <row r="84" spans="2:19">
      <c r="B84" s="374">
        <v>45351</v>
      </c>
      <c r="C84" s="375">
        <v>1</v>
      </c>
      <c r="D84" s="376">
        <v>104</v>
      </c>
      <c r="E84" s="377">
        <v>5166896</v>
      </c>
      <c r="F84" s="378">
        <v>30715804812</v>
      </c>
      <c r="G84" s="379" t="str">
        <f>IFERROR(IF(compras_mes2[[#This Row],[CUIT]]="","-",VLOOKUP(compras_mes2[[#This Row],[CUIT]],Lista_CUIT[#All],2,0)),"CUIT NO CARGADO")</f>
        <v>CORREDORES VIALES SOCIEDAD ANONIMA</v>
      </c>
      <c r="H84" s="380">
        <v>247.93</v>
      </c>
      <c r="I84" s="381">
        <f>IF(compras_mes2[[#This Row],[NETO GRAVADO]]="","",compras_mes2[[#This Row],[NETO GRAVADO]]*0.21)</f>
        <v>52.065300000000001</v>
      </c>
      <c r="J84" s="381"/>
      <c r="K84" s="381"/>
      <c r="L84" s="381"/>
      <c r="M84" s="381"/>
      <c r="N84" s="381"/>
      <c r="O84" s="381"/>
      <c r="P84" s="382">
        <f>SUM(compras_mes2[[#This Row],[NETO GRAVADO]:[Otros / No Grav.]])</f>
        <v>299.99529999999999</v>
      </c>
      <c r="Q84" s="383" t="str">
        <f>IFERROR(IF(compras_mes2[[#This Row],[CUIT]]="","-",VLOOKUP(compras_mes2[[#This Row],[CUIT]],Lista_CUIT[#All],3,0)),"CUIT NO CARGADO")</f>
        <v>PEAJE</v>
      </c>
      <c r="R84" s="383">
        <f>IFERROR(IF(compras_mes2[[#This Row],[CUIT]]="","-",VLOOKUP(compras_mes2[[#This Row],[CUIT]],Lista_CUIT[#All],4,0)),"CUIT NO CARGADO")</f>
        <v>0</v>
      </c>
      <c r="S84">
        <v>34622.06</v>
      </c>
    </row>
    <row r="85" spans="2:19">
      <c r="B85" s="365">
        <v>45329</v>
      </c>
      <c r="C85" s="366">
        <v>1</v>
      </c>
      <c r="D85" s="367">
        <v>5</v>
      </c>
      <c r="E85" s="368">
        <v>2643</v>
      </c>
      <c r="F85" s="280">
        <v>30707267077</v>
      </c>
      <c r="G85" s="369" t="str">
        <f>IFERROR(IF(compras_mes2[[#This Row],[CUIT]]="","-",VLOOKUP(compras_mes2[[#This Row],[CUIT]],Lista_CUIT[#All],2,0)),"CUIT NO CARGADO")</f>
        <v>BARBARO SOCIEDAD COLECTIVA</v>
      </c>
      <c r="H85" s="370">
        <v>425000</v>
      </c>
      <c r="I85" s="371">
        <f>IF(compras_mes2[[#This Row],[NETO GRAVADO]]="","",compras_mes2[[#This Row],[NETO GRAVADO]]*0.21)</f>
        <v>89250</v>
      </c>
      <c r="J85" s="371"/>
      <c r="K85" s="371"/>
      <c r="L85" s="371"/>
      <c r="M85" s="371"/>
      <c r="N85" s="391"/>
      <c r="O85" s="371"/>
      <c r="P85" s="372">
        <f>SUM(compras_mes2[[#This Row],[NETO GRAVADO]:[Otros / No Grav.]])</f>
        <v>514250</v>
      </c>
      <c r="Q85" s="373" t="str">
        <f>IFERROR(IF(compras_mes2[[#This Row],[CUIT]]="","-",VLOOKUP(compras_mes2[[#This Row],[CUIT]],Lista_CUIT[#All],3,0)),"CUIT NO CARGADO")</f>
        <v>PROD ORTOP P/ALQ</v>
      </c>
      <c r="R85" s="373">
        <f>IFERROR(IF(compras_mes2[[#This Row],[CUIT]]="","-",VLOOKUP(compras_mes2[[#This Row],[CUIT]],Lista_CUIT[#All],4,0)),"CUIT NO CARGADO")</f>
        <v>0</v>
      </c>
      <c r="S85">
        <v>204965</v>
      </c>
    </row>
    <row r="86" spans="2:19">
      <c r="B86" s="365">
        <v>45328</v>
      </c>
      <c r="C86" s="366">
        <v>1</v>
      </c>
      <c r="D86" s="367">
        <v>5</v>
      </c>
      <c r="E86" s="368">
        <v>1250</v>
      </c>
      <c r="F86" s="280">
        <v>20242126158</v>
      </c>
      <c r="G86" s="369" t="str">
        <f>IFERROR(IF(compras_mes2[[#This Row],[CUIT]]="","-",VLOOKUP(compras_mes2[[#This Row],[CUIT]],Lista_CUIT[#All],2,0)),"CUIT NO CARGADO")</f>
        <v>IALLONARDO SERGIO</v>
      </c>
      <c r="H86" s="370">
        <v>2002122</v>
      </c>
      <c r="I86" s="371"/>
      <c r="J86" s="371"/>
      <c r="K86" s="371">
        <v>210222.81</v>
      </c>
      <c r="L86" s="371"/>
      <c r="M86" s="371"/>
      <c r="N86" s="391"/>
      <c r="O86" s="371"/>
      <c r="P86" s="372">
        <f>SUM(compras_mes2[[#This Row],[NETO GRAVADO]:[Otros / No Grav.]])</f>
        <v>2212344.81</v>
      </c>
      <c r="Q86" s="373" t="str">
        <f>IFERROR(IF(compras_mes2[[#This Row],[CUIT]]="","-",VLOOKUP(compras_mes2[[#This Row],[CUIT]],Lista_CUIT[#All],3,0)),"CUIT NO CARGADO")</f>
        <v>PROD ORTOP P/ALQ</v>
      </c>
      <c r="R86" s="373">
        <f>IFERROR(IF(compras_mes2[[#This Row],[CUIT]]="","-",VLOOKUP(compras_mes2[[#This Row],[CUIT]],Lista_CUIT[#All],4,0)),"CUIT NO CARGADO")</f>
        <v>0</v>
      </c>
      <c r="S86">
        <v>210141.89</v>
      </c>
    </row>
    <row r="87" spans="2:19">
      <c r="B87" s="365">
        <v>45323</v>
      </c>
      <c r="C87" s="366">
        <v>1</v>
      </c>
      <c r="D87" s="367">
        <v>6</v>
      </c>
      <c r="E87" s="368">
        <v>51558</v>
      </c>
      <c r="F87" s="280">
        <v>30710177658</v>
      </c>
      <c r="G87" s="369" t="str">
        <f>IFERROR(IF(compras_mes2[[#This Row],[CUIT]]="","-",VLOOKUP(compras_mes2[[#This Row],[CUIT]],Lista_CUIT[#All],2,0)),"CUIT NO CARGADO")</f>
        <v>TARGET MEDICAL SA</v>
      </c>
      <c r="H87" s="370">
        <v>151203.6</v>
      </c>
      <c r="I87" s="371">
        <f>IF(compras_mes2[[#This Row],[NETO GRAVADO]]="","",compras_mes2[[#This Row],[NETO GRAVADO]]*0.21)</f>
        <v>31752.756000000001</v>
      </c>
      <c r="J87" s="371"/>
      <c r="K87" s="371"/>
      <c r="L87" s="371"/>
      <c r="M87" s="371"/>
      <c r="N87" s="391"/>
      <c r="O87" s="371"/>
      <c r="P87" s="372">
        <f>SUM(compras_mes2[[#This Row],[NETO GRAVADO]:[Otros / No Grav.]])</f>
        <v>182956.356</v>
      </c>
      <c r="Q87" s="373" t="str">
        <f>IFERROR(IF(compras_mes2[[#This Row],[CUIT]]="","-",VLOOKUP(compras_mes2[[#This Row],[CUIT]],Lista_CUIT[#All],3,0)),"CUIT NO CARGADO")</f>
        <v>Productos Ortopedicos</v>
      </c>
      <c r="R87" s="373">
        <f>IFERROR(IF(compras_mes2[[#This Row],[CUIT]]="","-",VLOOKUP(compras_mes2[[#This Row],[CUIT]],Lista_CUIT[#All],4,0)),"CUIT NO CARGADO")</f>
        <v>0</v>
      </c>
      <c r="S87">
        <v>71208.5</v>
      </c>
    </row>
    <row r="88" spans="2:19">
      <c r="B88" s="365">
        <v>45324</v>
      </c>
      <c r="C88" s="366">
        <v>1</v>
      </c>
      <c r="D88" s="367">
        <v>3</v>
      </c>
      <c r="E88" s="368">
        <v>6274</v>
      </c>
      <c r="F88" s="280">
        <v>30707042679</v>
      </c>
      <c r="G88" s="369" t="str">
        <f>IFERROR(IF(compras_mes2[[#This Row],[CUIT]]="","-",VLOOKUP(compras_mes2[[#This Row],[CUIT]],Lista_CUIT[#All],2,0)),"CUIT NO CARGADO")</f>
        <v>MEDICAL FOAM SRL</v>
      </c>
      <c r="H88" s="370">
        <v>295660</v>
      </c>
      <c r="I88" s="371">
        <f>IF(compras_mes2[[#This Row],[NETO GRAVADO]]="","",compras_mes2[[#This Row],[NETO GRAVADO]]*0.21)</f>
        <v>62088.6</v>
      </c>
      <c r="J88" s="371"/>
      <c r="K88" s="371"/>
      <c r="L88" s="371"/>
      <c r="M88" s="371"/>
      <c r="N88" s="391"/>
      <c r="O88" s="371"/>
      <c r="P88" s="372">
        <f>SUM(compras_mes2[[#This Row],[NETO GRAVADO]:[Otros / No Grav.]])</f>
        <v>357748.6</v>
      </c>
      <c r="Q88" s="373" t="str">
        <f>IFERROR(IF(compras_mes2[[#This Row],[CUIT]]="","-",VLOOKUP(compras_mes2[[#This Row],[CUIT]],Lista_CUIT[#All],3,0)),"CUIT NO CARGADO")</f>
        <v>Productos Ortopedicos</v>
      </c>
      <c r="R88" s="373">
        <f>IFERROR(IF(compras_mes2[[#This Row],[CUIT]]="","-",VLOOKUP(compras_mes2[[#This Row],[CUIT]],Lista_CUIT[#All],4,0)),"CUIT NO CARGADO")</f>
        <v>0</v>
      </c>
      <c r="S88">
        <v>59112</v>
      </c>
    </row>
    <row r="89" spans="2:19">
      <c r="B89" s="374">
        <v>45324</v>
      </c>
      <c r="C89" s="375">
        <v>1</v>
      </c>
      <c r="D89" s="376">
        <v>4</v>
      </c>
      <c r="E89" s="377">
        <v>439</v>
      </c>
      <c r="F89" s="378">
        <v>20253515512</v>
      </c>
      <c r="G89" s="379" t="str">
        <f>IFERROR(IF(compras_mes2[[#This Row],[CUIT]]="","-",VLOOKUP(compras_mes2[[#This Row],[CUIT]],Lista_CUIT[#All],2,0)),"CUIT NO CARGADO")</f>
        <v>ORTOPEDIA Y CIRUGIA DELGADO</v>
      </c>
      <c r="H89" s="380">
        <v>991735.54</v>
      </c>
      <c r="I89" s="381">
        <f>IF(compras_mes2[[#This Row],[NETO GRAVADO]]="","",compras_mes2[[#This Row],[NETO GRAVADO]]*0.21)</f>
        <v>208264.46340000001</v>
      </c>
      <c r="J89" s="381"/>
      <c r="K89" s="381"/>
      <c r="L89" s="381"/>
      <c r="M89" s="381"/>
      <c r="N89" s="381"/>
      <c r="O89" s="381"/>
      <c r="P89" s="382">
        <f>SUM(compras_mes2[[#This Row],[NETO GRAVADO]:[Otros / No Grav.]])</f>
        <v>1200000.0034</v>
      </c>
      <c r="Q89" s="383" t="str">
        <f>IFERROR(IF(compras_mes2[[#This Row],[CUIT]]="","-",VLOOKUP(compras_mes2[[#This Row],[CUIT]],Lista_CUIT[#All],3,0)),"CUIT NO CARGADO")</f>
        <v>Productos Ortopedicos</v>
      </c>
      <c r="R89" s="383">
        <f>IFERROR(IF(compras_mes2[[#This Row],[CUIT]]="","-",VLOOKUP(compras_mes2[[#This Row],[CUIT]],Lista_CUIT[#All],4,0)),"CUIT NO CARGADO")</f>
        <v>0</v>
      </c>
      <c r="S89">
        <v>266859.51</v>
      </c>
    </row>
    <row r="90" spans="2:19">
      <c r="B90" s="365">
        <v>45327</v>
      </c>
      <c r="C90" s="366">
        <v>1</v>
      </c>
      <c r="D90" s="367">
        <v>5</v>
      </c>
      <c r="E90" s="368">
        <v>151647</v>
      </c>
      <c r="F90" s="280">
        <v>30598960093</v>
      </c>
      <c r="G90" s="369" t="str">
        <f>IFERROR(IF(compras_mes2[[#This Row],[CUIT]]="","-",VLOOKUP(compras_mes2[[#This Row],[CUIT]],Lista_CUIT[#All],2,0)),"CUIT NO CARGADO")</f>
        <v>SILVESTRIN FABRIS SRL</v>
      </c>
      <c r="H90" s="370">
        <v>137148</v>
      </c>
      <c r="I90" s="371">
        <f>IF(compras_mes2[[#This Row],[NETO GRAVADO]]="","",compras_mes2[[#This Row],[NETO GRAVADO]]*0.21)</f>
        <v>28801.079999999998</v>
      </c>
      <c r="J90" s="371"/>
      <c r="K90" s="371"/>
      <c r="L90" s="371"/>
      <c r="M90" s="371"/>
      <c r="N90" s="391">
        <v>5485.92</v>
      </c>
      <c r="O90" s="371"/>
      <c r="P90" s="372">
        <f>SUM(compras_mes2[[#This Row],[NETO GRAVADO]:[Otros / No Grav.]])</f>
        <v>171435</v>
      </c>
      <c r="Q90" s="373" t="str">
        <f>IFERROR(IF(compras_mes2[[#This Row],[CUIT]]="","-",VLOOKUP(compras_mes2[[#This Row],[CUIT]],Lista_CUIT[#All],3,0)),"CUIT NO CARGADO")</f>
        <v>Productos Ortopedicos</v>
      </c>
      <c r="R90" s="373">
        <f>IFERROR(IF(compras_mes2[[#This Row],[CUIT]]="","-",VLOOKUP(compras_mes2[[#This Row],[CUIT]],Lista_CUIT[#All],4,0)),"CUIT NO CARGADO")</f>
        <v>0</v>
      </c>
      <c r="S90">
        <v>75088.95</v>
      </c>
    </row>
    <row r="91" spans="2:19">
      <c r="B91" s="365">
        <v>45328</v>
      </c>
      <c r="C91" s="366">
        <v>1</v>
      </c>
      <c r="D91" s="367">
        <v>5</v>
      </c>
      <c r="E91" s="368">
        <v>151673</v>
      </c>
      <c r="F91" s="280">
        <v>30598960093</v>
      </c>
      <c r="G91" s="369" t="str">
        <f>IFERROR(IF(compras_mes2[[#This Row],[CUIT]]="","-",VLOOKUP(compras_mes2[[#This Row],[CUIT]],Lista_CUIT[#All],2,0)),"CUIT NO CARGADO")</f>
        <v>SILVESTRIN FABRIS SRL</v>
      </c>
      <c r="H91" s="370">
        <v>2554428.5</v>
      </c>
      <c r="I91" s="371">
        <f>IF(compras_mes2[[#This Row],[NETO GRAVADO]]="","",compras_mes2[[#This Row],[NETO GRAVADO]]*0.21)</f>
        <v>536429.98499999999</v>
      </c>
      <c r="J91" s="371"/>
      <c r="K91" s="371"/>
      <c r="L91" s="371"/>
      <c r="M91" s="371"/>
      <c r="N91" s="391">
        <v>102177.14</v>
      </c>
      <c r="O91" s="371"/>
      <c r="P91" s="372">
        <f>SUM(compras_mes2[[#This Row],[NETO GRAVADO]:[Otros / No Grav.]])</f>
        <v>3193035.625</v>
      </c>
      <c r="Q91" s="373" t="str">
        <f>IFERROR(IF(compras_mes2[[#This Row],[CUIT]]="","-",VLOOKUP(compras_mes2[[#This Row],[CUIT]],Lista_CUIT[#All],3,0)),"CUIT NO CARGADO")</f>
        <v>Productos Ortopedicos</v>
      </c>
      <c r="R91" s="373">
        <f>IFERROR(IF(compras_mes2[[#This Row],[CUIT]]="","-",VLOOKUP(compras_mes2[[#This Row],[CUIT]],Lista_CUIT[#All],4,0)),"CUIT NO CARGADO")</f>
        <v>0</v>
      </c>
      <c r="S91">
        <v>655530.4</v>
      </c>
    </row>
    <row r="92" spans="2:19">
      <c r="B92" s="365">
        <v>45329</v>
      </c>
      <c r="C92" s="366">
        <v>1</v>
      </c>
      <c r="D92" s="367">
        <v>2</v>
      </c>
      <c r="E92" s="368">
        <v>9482</v>
      </c>
      <c r="F92" s="280">
        <v>30714331082</v>
      </c>
      <c r="G92" s="369" t="str">
        <f>IFERROR(IF(compras_mes2[[#This Row],[CUIT]]="","-",VLOOKUP(compras_mes2[[#This Row],[CUIT]],Lista_CUIT[#All],2,0)),"CUIT NO CARGADO")</f>
        <v>ORTOPEDIA CASA ESCALADA SRL</v>
      </c>
      <c r="H92" s="370">
        <v>1017136.83</v>
      </c>
      <c r="I92" s="371"/>
      <c r="J92" s="371"/>
      <c r="K92" s="371">
        <v>106799.37</v>
      </c>
      <c r="L92" s="371"/>
      <c r="M92" s="371"/>
      <c r="N92" s="391"/>
      <c r="O92" s="371"/>
      <c r="P92" s="372">
        <f>SUM(compras_mes2[[#This Row],[NETO GRAVADO]:[Otros / No Grav.]])</f>
        <v>1123936.2</v>
      </c>
      <c r="Q92" s="373" t="str">
        <f>IFERROR(IF(compras_mes2[[#This Row],[CUIT]]="","-",VLOOKUP(compras_mes2[[#This Row],[CUIT]],Lista_CUIT[#All],3,0)),"CUIT NO CARGADO")</f>
        <v>Productos Ortopedicos</v>
      </c>
      <c r="R92" s="373">
        <f>IFERROR(IF(compras_mes2[[#This Row],[CUIT]]="","-",VLOOKUP(compras_mes2[[#This Row],[CUIT]],Lista_CUIT[#All],4,0)),"CUIT NO CARGADO")</f>
        <v>0</v>
      </c>
      <c r="S92">
        <v>218061.2</v>
      </c>
    </row>
    <row r="93" spans="2:19">
      <c r="B93" s="365">
        <v>45330</v>
      </c>
      <c r="C93" s="366">
        <v>1</v>
      </c>
      <c r="D93" s="367">
        <v>5</v>
      </c>
      <c r="E93" s="368">
        <v>151706</v>
      </c>
      <c r="F93" s="280">
        <v>30598960093</v>
      </c>
      <c r="G93" s="369" t="str">
        <f>IFERROR(IF(compras_mes2[[#This Row],[CUIT]]="","-",VLOOKUP(compras_mes2[[#This Row],[CUIT]],Lista_CUIT[#All],2,0)),"CUIT NO CARGADO")</f>
        <v>SILVESTRIN FABRIS SRL</v>
      </c>
      <c r="H93" s="370">
        <v>2267936</v>
      </c>
      <c r="I93" s="371">
        <f>IF(compras_mes2[[#This Row],[NETO GRAVADO]]="","",compras_mes2[[#This Row],[NETO GRAVADO]]*0.21)</f>
        <v>476266.56</v>
      </c>
      <c r="J93" s="371"/>
      <c r="K93" s="371"/>
      <c r="L93" s="371"/>
      <c r="M93" s="371"/>
      <c r="N93" s="391">
        <v>90717.440000000002</v>
      </c>
      <c r="O93" s="371"/>
      <c r="P93" s="372">
        <f>SUM(compras_mes2[[#This Row],[NETO GRAVADO]:[Otros / No Grav.]])</f>
        <v>2834920</v>
      </c>
      <c r="Q93" s="373" t="str">
        <f>IFERROR(IF(compras_mes2[[#This Row],[CUIT]]="","-",VLOOKUP(compras_mes2[[#This Row],[CUIT]],Lista_CUIT[#All],3,0)),"CUIT NO CARGADO")</f>
        <v>Productos Ortopedicos</v>
      </c>
      <c r="R93" s="373">
        <f>IFERROR(IF(compras_mes2[[#This Row],[CUIT]]="","-",VLOOKUP(compras_mes2[[#This Row],[CUIT]],Lista_CUIT[#All],4,0)),"CUIT NO CARGADO")</f>
        <v>0</v>
      </c>
      <c r="S93">
        <v>11495</v>
      </c>
    </row>
    <row r="94" spans="2:19">
      <c r="B94" s="365">
        <v>45338</v>
      </c>
      <c r="C94" s="366">
        <v>1</v>
      </c>
      <c r="D94" s="367">
        <v>7</v>
      </c>
      <c r="E94" s="368">
        <v>17532</v>
      </c>
      <c r="F94" s="280">
        <v>30709214078</v>
      </c>
      <c r="G94" s="369" t="str">
        <f>IFERROR(IF(compras_mes2[[#This Row],[CUIT]]="","-",VLOOKUP(compras_mes2[[#This Row],[CUIT]],Lista_CUIT[#All],2,0)),"CUIT NO CARGADO")</f>
        <v>REHAVITA S.A</v>
      </c>
      <c r="H94" s="370">
        <v>839500</v>
      </c>
      <c r="I94" s="371">
        <f>IF(compras_mes2[[#This Row],[NETO GRAVADO]]="","",compras_mes2[[#This Row],[NETO GRAVADO]]*0.21)</f>
        <v>176295</v>
      </c>
      <c r="J94" s="371"/>
      <c r="K94" s="371"/>
      <c r="L94" s="371"/>
      <c r="M94" s="371"/>
      <c r="N94" s="391"/>
      <c r="O94" s="371"/>
      <c r="P94" s="372">
        <f>SUM(compras_mes2[[#This Row],[NETO GRAVADO]:[Otros / No Grav.]])</f>
        <v>1015795</v>
      </c>
      <c r="Q94" s="373" t="str">
        <f>IFERROR(IF(compras_mes2[[#This Row],[CUIT]]="","-",VLOOKUP(compras_mes2[[#This Row],[CUIT]],Lista_CUIT[#All],3,0)),"CUIT NO CARGADO")</f>
        <v>Productos Ortopedicos</v>
      </c>
      <c r="R94" s="373">
        <f>IFERROR(IF(compras_mes2[[#This Row],[CUIT]]="","-",VLOOKUP(compras_mes2[[#This Row],[CUIT]],Lista_CUIT[#All],4,0)),"CUIT NO CARGADO")</f>
        <v>0</v>
      </c>
      <c r="S94">
        <v>13015741.24</v>
      </c>
    </row>
    <row r="95" spans="2:19">
      <c r="B95" s="365">
        <v>45342</v>
      </c>
      <c r="C95" s="366">
        <v>1</v>
      </c>
      <c r="D95" s="367">
        <v>5</v>
      </c>
      <c r="E95" s="368">
        <v>151903</v>
      </c>
      <c r="F95" s="280">
        <v>30598960093</v>
      </c>
      <c r="G95" s="369" t="str">
        <f>IFERROR(IF(compras_mes2[[#This Row],[CUIT]]="","-",VLOOKUP(compras_mes2[[#This Row],[CUIT]],Lista_CUIT[#All],2,0)),"CUIT NO CARGADO")</f>
        <v>SILVESTRIN FABRIS SRL</v>
      </c>
      <c r="H95" s="370">
        <v>1665986.08</v>
      </c>
      <c r="I95" s="371">
        <f>IF(compras_mes2[[#This Row],[NETO GRAVADO]]="","",compras_mes2[[#This Row],[NETO GRAVADO]]*0.21)</f>
        <v>349857.07679999998</v>
      </c>
      <c r="J95" s="371"/>
      <c r="K95" s="371"/>
      <c r="L95" s="371"/>
      <c r="M95" s="371"/>
      <c r="N95" s="391">
        <v>66639.44</v>
      </c>
      <c r="O95" s="371"/>
      <c r="P95" s="372">
        <f>SUM(compras_mes2[[#This Row],[NETO GRAVADO]:[Otros / No Grav.]])</f>
        <v>2082482.5967999999</v>
      </c>
      <c r="Q95" s="373" t="str">
        <f>IFERROR(IF(compras_mes2[[#This Row],[CUIT]]="","-",VLOOKUP(compras_mes2[[#This Row],[CUIT]],Lista_CUIT[#All],3,0)),"CUIT NO CARGADO")</f>
        <v>Productos Ortopedicos</v>
      </c>
      <c r="R95" s="373">
        <f>IFERROR(IF(compras_mes2[[#This Row],[CUIT]]="","-",VLOOKUP(compras_mes2[[#This Row],[CUIT]],Lista_CUIT[#All],4,0)),"CUIT NO CARGADO")</f>
        <v>0</v>
      </c>
      <c r="S95">
        <v>163339.34</v>
      </c>
    </row>
    <row r="96" spans="2:19">
      <c r="B96" s="365">
        <v>45348</v>
      </c>
      <c r="C96" s="366">
        <v>1</v>
      </c>
      <c r="D96" s="367">
        <v>6</v>
      </c>
      <c r="E96" s="368">
        <v>80187</v>
      </c>
      <c r="F96" s="280">
        <v>30711553564</v>
      </c>
      <c r="G96" s="369" t="str">
        <f>IFERROR(IF(compras_mes2[[#This Row],[CUIT]]="","-",VLOOKUP(compras_mes2[[#This Row],[CUIT]],Lista_CUIT[#All],2,0)),"CUIT NO CARGADO")</f>
        <v>SALUD TEX S.A</v>
      </c>
      <c r="H96" s="370">
        <v>73141</v>
      </c>
      <c r="I96" s="371">
        <f>IF(compras_mes2[[#This Row],[NETO GRAVADO]]="","",compras_mes2[[#This Row],[NETO GRAVADO]]*0.21)</f>
        <v>15359.609999999999</v>
      </c>
      <c r="J96" s="371"/>
      <c r="K96" s="371"/>
      <c r="L96" s="371"/>
      <c r="M96" s="371"/>
      <c r="N96" s="391"/>
      <c r="O96" s="371"/>
      <c r="P96" s="372">
        <f>SUM(compras_mes2[[#This Row],[NETO GRAVADO]:[Otros / No Grav.]])</f>
        <v>88500.61</v>
      </c>
      <c r="Q96" s="373" t="str">
        <f>IFERROR(IF(compras_mes2[[#This Row],[CUIT]]="","-",VLOOKUP(compras_mes2[[#This Row],[CUIT]],Lista_CUIT[#All],3,0)),"CUIT NO CARGADO")</f>
        <v>Productos Ortopedicos</v>
      </c>
      <c r="R96" s="373">
        <f>IFERROR(IF(compras_mes2[[#This Row],[CUIT]]="","-",VLOOKUP(compras_mes2[[#This Row],[CUIT]],Lista_CUIT[#All],4,0)),"CUIT NO CARGADO")</f>
        <v>0</v>
      </c>
      <c r="S96">
        <v>10203.01</v>
      </c>
    </row>
    <row r="97" spans="2:19" s="56" customFormat="1" ht="18.600000000000001" customHeight="1">
      <c r="B97" s="365">
        <v>45331</v>
      </c>
      <c r="C97" s="366">
        <v>1</v>
      </c>
      <c r="D97" s="367">
        <v>1</v>
      </c>
      <c r="E97" s="368">
        <v>2817</v>
      </c>
      <c r="F97" s="280">
        <v>30715141201</v>
      </c>
      <c r="G97" s="369" t="str">
        <f>IFERROR(IF(compras_mes2[[#This Row],[CUIT]]="","-",VLOOKUP(compras_mes2[[#This Row],[CUIT]],Lista_CUIT[#All],2,0)),"CUIT NO CARGADO")</f>
        <v>REHAB S.R.L.</v>
      </c>
      <c r="H97" s="370">
        <v>6025129.2599999998</v>
      </c>
      <c r="I97" s="371">
        <f>IF(compras_mes2[[#This Row],[NETO GRAVADO]]="","",compras_mes2[[#This Row],[NETO GRAVADO]]*0.21)</f>
        <v>1265277.1446</v>
      </c>
      <c r="J97" s="371"/>
      <c r="K97" s="371"/>
      <c r="L97" s="371"/>
      <c r="M97" s="371"/>
      <c r="N97" s="391"/>
      <c r="O97" s="371"/>
      <c r="P97" s="372">
        <f>SUM(compras_mes2[[#This Row],[NETO GRAVADO]:[Otros / No Grav.]])</f>
        <v>7290406.4046</v>
      </c>
      <c r="Q97" s="373" t="str">
        <f>IFERROR(IF(compras_mes2[[#This Row],[CUIT]]="","-",VLOOKUP(compras_mes2[[#This Row],[CUIT]],Lista_CUIT[#All],3,0)),"CUIT NO CARGADO")</f>
        <v>Productos Ortopedicos</v>
      </c>
      <c r="R97" s="373">
        <f>IFERROR(IF(compras_mes2[[#This Row],[CUIT]]="","-",VLOOKUP(compras_mes2[[#This Row],[CUIT]],Lista_CUIT[#All],4,0)),"CUIT NO CARGADO")</f>
        <v>0</v>
      </c>
      <c r="S97" s="56">
        <v>6865.73</v>
      </c>
    </row>
    <row r="98" spans="2:19">
      <c r="B98" s="374">
        <v>45331</v>
      </c>
      <c r="C98" s="375">
        <v>1</v>
      </c>
      <c r="D98" s="376">
        <v>1</v>
      </c>
      <c r="E98" s="377">
        <v>2819</v>
      </c>
      <c r="F98" s="378">
        <v>30715141201</v>
      </c>
      <c r="G98" s="379" t="str">
        <f>IFERROR(IF(compras_mes2[[#This Row],[CUIT]]="","-",VLOOKUP(compras_mes2[[#This Row],[CUIT]],Lista_CUIT[#All],2,0)),"CUIT NO CARGADO")</f>
        <v>REHAB S.R.L.</v>
      </c>
      <c r="H98" s="380">
        <v>173669.02</v>
      </c>
      <c r="I98" s="381">
        <f>IF(compras_mes2[[#This Row],[NETO GRAVADO]]="","",compras_mes2[[#This Row],[NETO GRAVADO]]*0.21)</f>
        <v>36470.494199999994</v>
      </c>
      <c r="J98" s="381"/>
      <c r="K98" s="381"/>
      <c r="L98" s="381"/>
      <c r="M98" s="381"/>
      <c r="N98" s="381"/>
      <c r="O98" s="381"/>
      <c r="P98" s="382">
        <f>SUM(compras_mes2[[#This Row],[NETO GRAVADO]:[Otros / No Grav.]])</f>
        <v>210139.51419999998</v>
      </c>
      <c r="Q98" s="383" t="str">
        <f>IFERROR(IF(compras_mes2[[#This Row],[CUIT]]="","-",VLOOKUP(compras_mes2[[#This Row],[CUIT]],Lista_CUIT[#All],3,0)),"CUIT NO CARGADO")</f>
        <v>Productos Ortopedicos</v>
      </c>
      <c r="R98" s="383">
        <f>IFERROR(IF(compras_mes2[[#This Row],[CUIT]]="","-",VLOOKUP(compras_mes2[[#This Row],[CUIT]],Lista_CUIT[#All],4,0)),"CUIT NO CARGADO")</f>
        <v>0</v>
      </c>
      <c r="S98">
        <v>153960</v>
      </c>
    </row>
    <row r="99" spans="2:19">
      <c r="B99" s="365">
        <v>45338</v>
      </c>
      <c r="C99" s="366">
        <v>1</v>
      </c>
      <c r="D99" s="367">
        <v>1</v>
      </c>
      <c r="E99" s="368">
        <v>2842</v>
      </c>
      <c r="F99" s="280">
        <v>30715141201</v>
      </c>
      <c r="G99" s="369" t="str">
        <f>IFERROR(IF(compras_mes2[[#This Row],[CUIT]]="","-",VLOOKUP(compras_mes2[[#This Row],[CUIT]],Lista_CUIT[#All],2,0)),"CUIT NO CARGADO")</f>
        <v>REHAB S.R.L.</v>
      </c>
      <c r="H99" s="370">
        <v>4135344</v>
      </c>
      <c r="I99" s="371">
        <f>IF(compras_mes2[[#This Row],[NETO GRAVADO]]="","",compras_mes2[[#This Row],[NETO GRAVADO]]*0.21)</f>
        <v>868422.24</v>
      </c>
      <c r="J99" s="371"/>
      <c r="K99" s="371"/>
      <c r="L99" s="371"/>
      <c r="M99" s="371"/>
      <c r="N99" s="391"/>
      <c r="O99" s="371"/>
      <c r="P99" s="372">
        <f>SUM(compras_mes2[[#This Row],[NETO GRAVADO]:[Otros / No Grav.]])</f>
        <v>5003766.24</v>
      </c>
      <c r="Q99" s="373" t="str">
        <f>IFERROR(IF(compras_mes2[[#This Row],[CUIT]]="","-",VLOOKUP(compras_mes2[[#This Row],[CUIT]],Lista_CUIT[#All],3,0)),"CUIT NO CARGADO")</f>
        <v>Productos Ortopedicos</v>
      </c>
      <c r="R99" s="373">
        <f>IFERROR(IF(compras_mes2[[#This Row],[CUIT]]="","-",VLOOKUP(compras_mes2[[#This Row],[CUIT]],Lista_CUIT[#All],4,0)),"CUIT NO CARGADO")</f>
        <v>0</v>
      </c>
      <c r="S99">
        <v>49999.99</v>
      </c>
    </row>
    <row r="100" spans="2:19">
      <c r="B100" s="365">
        <v>45343</v>
      </c>
      <c r="C100" s="366">
        <v>1</v>
      </c>
      <c r="D100" s="367">
        <v>1</v>
      </c>
      <c r="E100" s="368">
        <v>2853</v>
      </c>
      <c r="F100" s="280">
        <v>30715141201</v>
      </c>
      <c r="G100" s="369" t="str">
        <f>IFERROR(IF(compras_mes2[[#This Row],[CUIT]]="","-",VLOOKUP(compras_mes2[[#This Row],[CUIT]],Lista_CUIT[#All],2,0)),"CUIT NO CARGADO")</f>
        <v>REHAB S.R.L.</v>
      </c>
      <c r="H100" s="370">
        <v>4908149.7</v>
      </c>
      <c r="I100" s="371">
        <f>IF(compras_mes2[[#This Row],[NETO GRAVADO]]="","",compras_mes2[[#This Row],[NETO GRAVADO]]*0.21)</f>
        <v>1030711.437</v>
      </c>
      <c r="J100" s="371"/>
      <c r="K100" s="371"/>
      <c r="L100" s="371"/>
      <c r="M100" s="371"/>
      <c r="N100" s="391"/>
      <c r="O100" s="371"/>
      <c r="P100" s="372">
        <f>SUM(compras_mes2[[#This Row],[NETO GRAVADO]:[Otros / No Grav.]])</f>
        <v>5938861.1370000001</v>
      </c>
      <c r="Q100" s="373" t="str">
        <f>IFERROR(IF(compras_mes2[[#This Row],[CUIT]]="","-",VLOOKUP(compras_mes2[[#This Row],[CUIT]],Lista_CUIT[#All],3,0)),"CUIT NO CARGADO")</f>
        <v>Productos Ortopedicos</v>
      </c>
      <c r="R100" s="373">
        <f>IFERROR(IF(compras_mes2[[#This Row],[CUIT]]="","-",VLOOKUP(compras_mes2[[#This Row],[CUIT]],Lista_CUIT[#All],4,0)),"CUIT NO CARGADO")</f>
        <v>0</v>
      </c>
      <c r="S100">
        <v>88500.61</v>
      </c>
    </row>
    <row r="101" spans="2:19" ht="14.45" customHeight="1">
      <c r="B101" s="365">
        <v>45344</v>
      </c>
      <c r="C101" s="366">
        <v>1</v>
      </c>
      <c r="D101" s="367">
        <v>1</v>
      </c>
      <c r="E101" s="368">
        <v>2858</v>
      </c>
      <c r="F101" s="280">
        <v>30715141201</v>
      </c>
      <c r="G101" s="369" t="str">
        <f>IFERROR(IF(compras_mes2[[#This Row],[CUIT]]="","-",VLOOKUP(compras_mes2[[#This Row],[CUIT]],Lista_CUIT[#All],2,0)),"CUIT NO CARGADO")</f>
        <v>REHAB S.R.L.</v>
      </c>
      <c r="H101" s="370">
        <v>173670.98</v>
      </c>
      <c r="I101" s="371">
        <f>IF(compras_mes2[[#This Row],[NETO GRAVADO]]="","",compras_mes2[[#This Row],[NETO GRAVADO]]*0.21)</f>
        <v>36470.9058</v>
      </c>
      <c r="J101" s="371"/>
      <c r="K101" s="371"/>
      <c r="L101" s="371"/>
      <c r="M101" s="371"/>
      <c r="N101" s="391"/>
      <c r="O101" s="371"/>
      <c r="P101" s="372">
        <f>SUM(compras_mes2[[#This Row],[NETO GRAVADO]:[Otros / No Grav.]])</f>
        <v>210141.88580000002</v>
      </c>
      <c r="Q101" s="373" t="str">
        <f>IFERROR(IF(compras_mes2[[#This Row],[CUIT]]="","-",VLOOKUP(compras_mes2[[#This Row],[CUIT]],Lista_CUIT[#All],3,0)),"CUIT NO CARGADO")</f>
        <v>Productos Ortopedicos</v>
      </c>
      <c r="R101" s="373">
        <f>IFERROR(IF(compras_mes2[[#This Row],[CUIT]]="","-",VLOOKUP(compras_mes2[[#This Row],[CUIT]],Lista_CUIT[#All],4,0)),"CUIT NO CARGADO")</f>
        <v>0</v>
      </c>
      <c r="S101">
        <v>60139.02</v>
      </c>
    </row>
    <row r="102" spans="2:19">
      <c r="B102" s="365">
        <v>45345</v>
      </c>
      <c r="C102" s="366">
        <v>1</v>
      </c>
      <c r="D102" s="367">
        <v>1</v>
      </c>
      <c r="E102" s="368">
        <v>2865</v>
      </c>
      <c r="F102" s="280">
        <v>30715141201</v>
      </c>
      <c r="G102" s="369" t="str">
        <f>IFERROR(IF(compras_mes2[[#This Row],[CUIT]]="","-",VLOOKUP(compras_mes2[[#This Row],[CUIT]],Lista_CUIT[#All],2,0)),"CUIT NO CARGADO")</f>
        <v>REHAB S.R.L.</v>
      </c>
      <c r="H102" s="370">
        <v>10756810.939999999</v>
      </c>
      <c r="I102" s="371">
        <f>IF(compras_mes2[[#This Row],[NETO GRAVADO]]="","",compras_mes2[[#This Row],[NETO GRAVADO]]*0.21)</f>
        <v>2258930.2974</v>
      </c>
      <c r="J102" s="371"/>
      <c r="K102" s="371"/>
      <c r="L102" s="371"/>
      <c r="M102" s="371"/>
      <c r="N102" s="391"/>
      <c r="O102" s="371"/>
      <c r="P102" s="372">
        <f>SUM(compras_mes2[[#This Row],[NETO GRAVADO]:[Otros / No Grav.]])</f>
        <v>13015741.237399999</v>
      </c>
      <c r="Q102" s="373" t="str">
        <f>IFERROR(IF(compras_mes2[[#This Row],[CUIT]]="","-",VLOOKUP(compras_mes2[[#This Row],[CUIT]],Lista_CUIT[#All],3,0)),"CUIT NO CARGADO")</f>
        <v>Productos Ortopedicos</v>
      </c>
      <c r="R102" s="373">
        <f>IFERROR(IF(compras_mes2[[#This Row],[CUIT]]="","-",VLOOKUP(compras_mes2[[#This Row],[CUIT]],Lista_CUIT[#All],4,0)),"CUIT NO CARGADO")</f>
        <v>0</v>
      </c>
      <c r="S102">
        <v>7600.6</v>
      </c>
    </row>
    <row r="103" spans="2:19">
      <c r="B103" s="365">
        <v>45351</v>
      </c>
      <c r="C103" s="366">
        <v>1</v>
      </c>
      <c r="D103" s="367">
        <v>1</v>
      </c>
      <c r="E103" s="368">
        <v>2881</v>
      </c>
      <c r="F103" s="280">
        <v>30715141201</v>
      </c>
      <c r="G103" s="369" t="str">
        <f>IFERROR(IF(compras_mes2[[#This Row],[CUIT]]="","-",VLOOKUP(compras_mes2[[#This Row],[CUIT]],Lista_CUIT[#All],2,0)),"CUIT NO CARGADO")</f>
        <v>REHAB S.R.L.</v>
      </c>
      <c r="H103" s="370">
        <v>43025</v>
      </c>
      <c r="I103" s="371">
        <f>IF(compras_mes2[[#This Row],[NETO GRAVADO]]="","",compras_mes2[[#This Row],[NETO GRAVADO]]*0.21)</f>
        <v>9035.25</v>
      </c>
      <c r="J103" s="371"/>
      <c r="K103" s="371"/>
      <c r="L103" s="371"/>
      <c r="M103" s="371"/>
      <c r="N103" s="391"/>
      <c r="O103" s="371"/>
      <c r="P103" s="372">
        <f>SUM(compras_mes2[[#This Row],[NETO GRAVADO]:[Otros / No Grav.]])</f>
        <v>52060.25</v>
      </c>
      <c r="Q103" s="373" t="str">
        <f>IFERROR(IF(compras_mes2[[#This Row],[CUIT]]="","-",VLOOKUP(compras_mes2[[#This Row],[CUIT]],Lista_CUIT[#All],3,0)),"CUIT NO CARGADO")</f>
        <v>Productos Ortopedicos</v>
      </c>
      <c r="R103" s="373">
        <f>IFERROR(IF(compras_mes2[[#This Row],[CUIT]]="","-",VLOOKUP(compras_mes2[[#This Row],[CUIT]],Lista_CUIT[#All],4,0)),"CUIT NO CARGADO")</f>
        <v>0</v>
      </c>
      <c r="S103">
        <v>79900</v>
      </c>
    </row>
    <row r="104" spans="2:19" ht="14.45" customHeight="1">
      <c r="B104" s="365">
        <v>45351</v>
      </c>
      <c r="C104" s="366">
        <v>1</v>
      </c>
      <c r="D104" s="367">
        <v>1</v>
      </c>
      <c r="E104" s="368">
        <v>2879</v>
      </c>
      <c r="F104" s="280">
        <v>30715141201</v>
      </c>
      <c r="G104" s="369" t="str">
        <f>IFERROR(IF(compras_mes2[[#This Row],[CUIT]]="","-",VLOOKUP(compras_mes2[[#This Row],[CUIT]],Lista_CUIT[#All],2,0)),"CUIT NO CARGADO")</f>
        <v>REHAB S.R.L.</v>
      </c>
      <c r="H104" s="370">
        <v>4569959</v>
      </c>
      <c r="I104" s="371">
        <f>IF(compras_mes2[[#This Row],[NETO GRAVADO]]="","",compras_mes2[[#This Row],[NETO GRAVADO]]*0.21)</f>
        <v>959691.39</v>
      </c>
      <c r="J104" s="371"/>
      <c r="K104" s="371"/>
      <c r="L104" s="371"/>
      <c r="M104" s="371"/>
      <c r="N104" s="391"/>
      <c r="O104" s="371"/>
      <c r="P104" s="372">
        <f>SUM(compras_mes2[[#This Row],[NETO GRAVADO]:[Otros / No Grav.]])</f>
        <v>5529650.3899999997</v>
      </c>
      <c r="Q104" s="373" t="str">
        <f>IFERROR(IF(compras_mes2[[#This Row],[CUIT]]="","-",VLOOKUP(compras_mes2[[#This Row],[CUIT]],Lista_CUIT[#All],3,0)),"CUIT NO CARGADO")</f>
        <v>Productos Ortopedicos</v>
      </c>
      <c r="R104" s="373">
        <f>IFERROR(IF(compras_mes2[[#This Row],[CUIT]]="","-",VLOOKUP(compras_mes2[[#This Row],[CUIT]],Lista_CUIT[#All],4,0)),"CUIT NO CARGADO")</f>
        <v>0</v>
      </c>
      <c r="S104">
        <v>15000.01</v>
      </c>
    </row>
    <row r="105" spans="2:19" ht="14.45" customHeight="1">
      <c r="B105" s="365">
        <v>45351</v>
      </c>
      <c r="C105" s="366">
        <v>1</v>
      </c>
      <c r="D105" s="367">
        <v>1</v>
      </c>
      <c r="E105" s="368">
        <v>2882</v>
      </c>
      <c r="F105" s="280">
        <v>30715141201</v>
      </c>
      <c r="G105" s="369" t="str">
        <f>IFERROR(IF(compras_mes2[[#This Row],[CUIT]]="","-",VLOOKUP(compras_mes2[[#This Row],[CUIT]],Lista_CUIT[#All],2,0)),"CUIT NO CARGADO")</f>
        <v>REHAB S.R.L.</v>
      </c>
      <c r="H105" s="370">
        <v>43025</v>
      </c>
      <c r="I105" s="371">
        <f>IF(compras_mes2[[#This Row],[NETO GRAVADO]]="","",compras_mes2[[#This Row],[NETO GRAVADO]]*0.21)</f>
        <v>9035.25</v>
      </c>
      <c r="J105" s="371"/>
      <c r="K105" s="371"/>
      <c r="L105" s="371"/>
      <c r="M105" s="371"/>
      <c r="N105" s="391"/>
      <c r="O105" s="371"/>
      <c r="P105" s="372">
        <f>SUM(compras_mes2[[#This Row],[NETO GRAVADO]:[Otros / No Grav.]])</f>
        <v>52060.25</v>
      </c>
      <c r="Q105" s="373" t="str">
        <f>IFERROR(IF(compras_mes2[[#This Row],[CUIT]]="","-",VLOOKUP(compras_mes2[[#This Row],[CUIT]],Lista_CUIT[#All],3,0)),"CUIT NO CARGADO")</f>
        <v>Productos Ortopedicos</v>
      </c>
      <c r="R105" s="373">
        <f>IFERROR(IF(compras_mes2[[#This Row],[CUIT]]="","-",VLOOKUP(compras_mes2[[#This Row],[CUIT]],Lista_CUIT[#All],4,0)),"CUIT NO CARGADO")</f>
        <v>0</v>
      </c>
      <c r="S105">
        <v>559160</v>
      </c>
    </row>
    <row r="106" spans="2:19" ht="15" customHeight="1">
      <c r="B106" s="365">
        <v>45351</v>
      </c>
      <c r="C106" s="366">
        <v>1</v>
      </c>
      <c r="D106" s="367">
        <v>1</v>
      </c>
      <c r="E106" s="368">
        <v>2883</v>
      </c>
      <c r="F106" s="280">
        <v>30715141201</v>
      </c>
      <c r="G106" s="369" t="str">
        <f>IFERROR(IF(compras_mes2[[#This Row],[CUIT]]="","-",VLOOKUP(compras_mes2[[#This Row],[CUIT]],Lista_CUIT[#All],2,0)),"CUIT NO CARGADO")</f>
        <v>REHAB S.R.L.</v>
      </c>
      <c r="H106" s="370">
        <v>43025</v>
      </c>
      <c r="I106" s="371">
        <f>IF(compras_mes2[[#This Row],[NETO GRAVADO]]="","",compras_mes2[[#This Row],[NETO GRAVADO]]*0.21)</f>
        <v>9035.25</v>
      </c>
      <c r="J106" s="371"/>
      <c r="K106" s="371"/>
      <c r="L106" s="371"/>
      <c r="M106" s="371"/>
      <c r="N106" s="391"/>
      <c r="O106" s="371"/>
      <c r="P106" s="372">
        <f>SUM(compras_mes2[[#This Row],[NETO GRAVADO]:[Otros / No Grav.]])</f>
        <v>52060.25</v>
      </c>
      <c r="Q106" s="373" t="str">
        <f>IFERROR(IF(compras_mes2[[#This Row],[CUIT]]="","-",VLOOKUP(compras_mes2[[#This Row],[CUIT]],Lista_CUIT[#All],3,0)),"CUIT NO CARGADO")</f>
        <v>Productos Ortopedicos</v>
      </c>
      <c r="R106" s="373">
        <f>IFERROR(IF(compras_mes2[[#This Row],[CUIT]]="","-",VLOOKUP(compras_mes2[[#This Row],[CUIT]],Lista_CUIT[#All],4,0)),"CUIT NO CARGADO")</f>
        <v>0</v>
      </c>
      <c r="S106">
        <v>27700</v>
      </c>
    </row>
    <row r="107" spans="2:19" ht="15" customHeight="1">
      <c r="B107" s="374">
        <v>45328</v>
      </c>
      <c r="C107" s="375">
        <v>1</v>
      </c>
      <c r="D107" s="376">
        <v>6</v>
      </c>
      <c r="E107" s="377">
        <v>24065</v>
      </c>
      <c r="F107" s="378">
        <v>30712450408</v>
      </c>
      <c r="G107" s="379" t="str">
        <f>IFERROR(IF(compras_mes2[[#This Row],[CUIT]]="","-",VLOOKUP(compras_mes2[[#This Row],[CUIT]],Lista_CUIT[#All],2,0)),"CUIT NO CARGADO")</f>
        <v>TECNORTH SA</v>
      </c>
      <c r="H107" s="380">
        <v>398346.28</v>
      </c>
      <c r="I107" s="381">
        <f>IF(compras_mes2[[#This Row],[NETO GRAVADO]]="","",compras_mes2[[#This Row],[NETO GRAVADO]]*0.21)</f>
        <v>83652.718800000002</v>
      </c>
      <c r="J107" s="381"/>
      <c r="K107" s="381"/>
      <c r="L107" s="381"/>
      <c r="M107" s="381"/>
      <c r="N107" s="381"/>
      <c r="O107" s="381"/>
      <c r="P107" s="382">
        <f>SUM(compras_mes2[[#This Row],[NETO GRAVADO]:[Otros / No Grav.]])</f>
        <v>481998.99880000006</v>
      </c>
      <c r="Q107" s="383" t="str">
        <f>IFERROR(IF(compras_mes2[[#This Row],[CUIT]]="","-",VLOOKUP(compras_mes2[[#This Row],[CUIT]],Lista_CUIT[#All],3,0)),"CUIT NO CARGADO")</f>
        <v>Productos Ortopedicos</v>
      </c>
      <c r="R107" s="383">
        <f>IFERROR(IF(compras_mes2[[#This Row],[CUIT]]="","-",VLOOKUP(compras_mes2[[#This Row],[CUIT]],Lista_CUIT[#All],4,0)),"CUIT NO CARGADO")</f>
        <v>0</v>
      </c>
      <c r="S107">
        <v>797172.81</v>
      </c>
    </row>
    <row r="108" spans="2:19" ht="15" customHeight="1">
      <c r="B108" s="365">
        <v>45323</v>
      </c>
      <c r="C108" s="366">
        <v>1</v>
      </c>
      <c r="D108" s="367">
        <v>15</v>
      </c>
      <c r="E108" s="368">
        <v>2823</v>
      </c>
      <c r="F108" s="280">
        <v>30688140923</v>
      </c>
      <c r="G108" s="369" t="str">
        <f>IFERROR(IF(compras_mes2[[#This Row],[CUIT]]="","-",VLOOKUP(compras_mes2[[#This Row],[CUIT]],Lista_CUIT[#All],2,0)),"CUIT NO CARGADO")</f>
        <v>COLTEX SRL</v>
      </c>
      <c r="H108" s="370">
        <v>59816.800000000003</v>
      </c>
      <c r="I108" s="371">
        <f>IF(compras_mes2[[#This Row],[NETO GRAVADO]]="","",compras_mes2[[#This Row],[NETO GRAVADO]]*0.21)</f>
        <v>12561.528</v>
      </c>
      <c r="J108" s="371"/>
      <c r="K108" s="371"/>
      <c r="L108" s="371"/>
      <c r="M108" s="371"/>
      <c r="N108" s="391"/>
      <c r="O108" s="371"/>
      <c r="P108" s="372">
        <f>SUM(compras_mes2[[#This Row],[NETO GRAVADO]:[Otros / No Grav.]])</f>
        <v>72378.328000000009</v>
      </c>
      <c r="Q108" s="373" t="str">
        <f>IFERROR(IF(compras_mes2[[#This Row],[CUIT]]="","-",VLOOKUP(compras_mes2[[#This Row],[CUIT]],Lista_CUIT[#All],3,0)),"CUIT NO CARGADO")</f>
        <v>Productos Ortopedicos</v>
      </c>
      <c r="R108" s="373">
        <f>IFERROR(IF(compras_mes2[[#This Row],[CUIT]]="","-",VLOOKUP(compras_mes2[[#This Row],[CUIT]],Lista_CUIT[#All],4,0)),"CUIT NO CARGADO")</f>
        <v>0</v>
      </c>
      <c r="S108">
        <v>52060.25</v>
      </c>
    </row>
    <row r="109" spans="2:19" ht="15" customHeight="1">
      <c r="B109" s="365">
        <v>45323</v>
      </c>
      <c r="C109" s="366">
        <v>1</v>
      </c>
      <c r="D109" s="367">
        <v>2</v>
      </c>
      <c r="E109" s="368">
        <v>325</v>
      </c>
      <c r="F109" s="280">
        <v>20272865869</v>
      </c>
      <c r="G109" s="369" t="str">
        <f>IFERROR(IF(compras_mes2[[#This Row],[CUIT]]="","-",VLOOKUP(compras_mes2[[#This Row],[CUIT]],Lista_CUIT[#All],2,0)),"CUIT NO CARGADO")</f>
        <v>DI FEO MARTIN EZEQUIEL</v>
      </c>
      <c r="H109" s="370">
        <v>173950</v>
      </c>
      <c r="I109" s="371">
        <f>IF(compras_mes2[[#This Row],[NETO GRAVADO]]="","",compras_mes2[[#This Row],[NETO GRAVADO]]*0.21)</f>
        <v>36529.5</v>
      </c>
      <c r="J109" s="371"/>
      <c r="K109" s="371"/>
      <c r="L109" s="371"/>
      <c r="M109" s="371"/>
      <c r="N109" s="391"/>
      <c r="O109" s="371"/>
      <c r="P109" s="372">
        <f>SUM(compras_mes2[[#This Row],[NETO GRAVADO]:[Otros / No Grav.]])</f>
        <v>210479.5</v>
      </c>
      <c r="Q109" s="373" t="str">
        <f>IFERROR(IF(compras_mes2[[#This Row],[CUIT]]="","-",VLOOKUP(compras_mes2[[#This Row],[CUIT]],Lista_CUIT[#All],3,0)),"CUIT NO CARGADO")</f>
        <v>Productos Ortopedicos</v>
      </c>
      <c r="R109" s="373">
        <f>IFERROR(IF(compras_mes2[[#This Row],[CUIT]]="","-",VLOOKUP(compras_mes2[[#This Row],[CUIT]],Lista_CUIT[#All],4,0)),"CUIT NO CARGADO")</f>
        <v>0</v>
      </c>
      <c r="S109" s="138">
        <v>5529650.3899999997</v>
      </c>
    </row>
    <row r="110" spans="2:19" ht="15" customHeight="1">
      <c r="B110" s="365">
        <v>45324</v>
      </c>
      <c r="C110" s="366">
        <v>1</v>
      </c>
      <c r="D110" s="367">
        <v>2</v>
      </c>
      <c r="E110" s="368">
        <v>328</v>
      </c>
      <c r="F110" s="280">
        <v>20272865869</v>
      </c>
      <c r="G110" s="369" t="str">
        <f>IFERROR(IF(compras_mes2[[#This Row],[CUIT]]="","-",VLOOKUP(compras_mes2[[#This Row],[CUIT]],Lista_CUIT[#All],2,0)),"CUIT NO CARGADO")</f>
        <v>DI FEO MARTIN EZEQUIEL</v>
      </c>
      <c r="H110" s="370">
        <v>19700</v>
      </c>
      <c r="I110" s="371">
        <f>IF(compras_mes2[[#This Row],[NETO GRAVADO]]="","",compras_mes2[[#This Row],[NETO GRAVADO]]*0.21)</f>
        <v>4137</v>
      </c>
      <c r="J110" s="371"/>
      <c r="K110" s="371"/>
      <c r="L110" s="371"/>
      <c r="M110" s="371"/>
      <c r="N110" s="391"/>
      <c r="O110" s="371"/>
      <c r="P110" s="372">
        <f>SUM(compras_mes2[[#This Row],[NETO GRAVADO]:[Otros / No Grav.]])</f>
        <v>23837</v>
      </c>
      <c r="Q110" s="373" t="str">
        <f>IFERROR(IF(compras_mes2[[#This Row],[CUIT]]="","-",VLOOKUP(compras_mes2[[#This Row],[CUIT]],Lista_CUIT[#All],3,0)),"CUIT NO CARGADO")</f>
        <v>Productos Ortopedicos</v>
      </c>
      <c r="R110" s="373">
        <f>IFERROR(IF(compras_mes2[[#This Row],[CUIT]]="","-",VLOOKUP(compras_mes2[[#This Row],[CUIT]],Lista_CUIT[#All],4,0)),"CUIT NO CARGADO")</f>
        <v>0</v>
      </c>
      <c r="S110">
        <v>24020.92</v>
      </c>
    </row>
    <row r="111" spans="2:19">
      <c r="B111" s="365">
        <v>45329</v>
      </c>
      <c r="C111" s="366">
        <v>1</v>
      </c>
      <c r="D111" s="367">
        <v>2</v>
      </c>
      <c r="E111" s="368">
        <v>334</v>
      </c>
      <c r="F111" s="280">
        <v>20272865869</v>
      </c>
      <c r="G111" s="369" t="str">
        <f>IFERROR(IF(compras_mes2[[#This Row],[CUIT]]="","-",VLOOKUP(compras_mes2[[#This Row],[CUIT]],Lista_CUIT[#All],2,0)),"CUIT NO CARGADO")</f>
        <v>DI FEO MARTIN EZEQUIEL</v>
      </c>
      <c r="H111" s="370">
        <v>18950</v>
      </c>
      <c r="I111" s="371">
        <f>IF(compras_mes2[[#This Row],[NETO GRAVADO]]="","",compras_mes2[[#This Row],[NETO GRAVADO]]*0.21)</f>
        <v>3979.5</v>
      </c>
      <c r="J111" s="371"/>
      <c r="K111" s="371"/>
      <c r="L111" s="371"/>
      <c r="M111" s="371"/>
      <c r="N111" s="391"/>
      <c r="O111" s="371"/>
      <c r="P111" s="372">
        <f>SUM(compras_mes2[[#This Row],[NETO GRAVADO]:[Otros / No Grav.]])</f>
        <v>22929.5</v>
      </c>
      <c r="Q111" s="373" t="str">
        <f>IFERROR(IF(compras_mes2[[#This Row],[CUIT]]="","-",VLOOKUP(compras_mes2[[#This Row],[CUIT]],Lista_CUIT[#All],3,0)),"CUIT NO CARGADO")</f>
        <v>Productos Ortopedicos</v>
      </c>
      <c r="R111" s="373">
        <f>IFERROR(IF(compras_mes2[[#This Row],[CUIT]]="","-",VLOOKUP(compras_mes2[[#This Row],[CUIT]],Lista_CUIT[#All],4,0)),"CUIT NO CARGADO")</f>
        <v>0</v>
      </c>
      <c r="S111">
        <v>52060.25</v>
      </c>
    </row>
    <row r="112" spans="2:19">
      <c r="B112" s="365">
        <v>45330</v>
      </c>
      <c r="C112" s="366">
        <v>1</v>
      </c>
      <c r="D112" s="367">
        <v>8</v>
      </c>
      <c r="E112" s="368">
        <v>1583</v>
      </c>
      <c r="F112" s="280">
        <v>30708973501</v>
      </c>
      <c r="G112" s="369" t="str">
        <f>IFERROR(IF(compras_mes2[[#This Row],[CUIT]]="","-",VLOOKUP(compras_mes2[[#This Row],[CUIT]],Lista_CUIT[#All],2,0)),"CUIT NO CARGADO")</f>
        <v>ASIAL SRL</v>
      </c>
      <c r="H112" s="370">
        <v>668067</v>
      </c>
      <c r="I112" s="371">
        <f>IF(compras_mes2[[#This Row],[NETO GRAVADO]]="","",compras_mes2[[#This Row],[NETO GRAVADO]]*0.21)</f>
        <v>140294.07</v>
      </c>
      <c r="J112" s="371"/>
      <c r="K112" s="371"/>
      <c r="L112" s="371"/>
      <c r="M112" s="371"/>
      <c r="N112" s="391"/>
      <c r="O112" s="371"/>
      <c r="P112" s="372">
        <f>SUM(compras_mes2[[#This Row],[NETO GRAVADO]:[Otros / No Grav.]])</f>
        <v>808361.07000000007</v>
      </c>
      <c r="Q112" s="373" t="str">
        <f>IFERROR(IF(compras_mes2[[#This Row],[CUIT]]="","-",VLOOKUP(compras_mes2[[#This Row],[CUIT]],Lista_CUIT[#All],3,0)),"CUIT NO CARGADO")</f>
        <v>Productos Ortopedicos</v>
      </c>
      <c r="R112" s="373">
        <f>IFERROR(IF(compras_mes2[[#This Row],[CUIT]]="","-",VLOOKUP(compras_mes2[[#This Row],[CUIT]],Lista_CUIT[#All],4,0)),"CUIT NO CARGADO")</f>
        <v>0</v>
      </c>
      <c r="S112">
        <v>97034.5</v>
      </c>
    </row>
    <row r="113" spans="2:19">
      <c r="B113" s="365">
        <v>45336</v>
      </c>
      <c r="C113" s="366">
        <v>1</v>
      </c>
      <c r="D113" s="367">
        <v>7</v>
      </c>
      <c r="E113" s="368">
        <v>1059</v>
      </c>
      <c r="F113" s="280">
        <v>30712187316</v>
      </c>
      <c r="G113" s="369" t="str">
        <f>IFERROR(IF(compras_mes2[[#This Row],[CUIT]]="","-",VLOOKUP(compras_mes2[[#This Row],[CUIT]],Lista_CUIT[#All],2,0)),"CUIT NO CARGADO")</f>
        <v>ITALOMED PRODUCTOS SRL</v>
      </c>
      <c r="H113" s="370">
        <v>187466.6</v>
      </c>
      <c r="I113" s="371">
        <f>IF(compras_mes2[[#This Row],[NETO GRAVADO]]="","",compras_mes2[[#This Row],[NETO GRAVADO]]*0.21)</f>
        <v>39367.985999999997</v>
      </c>
      <c r="J113" s="371"/>
      <c r="K113" s="371"/>
      <c r="L113" s="371"/>
      <c r="M113" s="371"/>
      <c r="N113" s="391"/>
      <c r="O113" s="371"/>
      <c r="P113" s="372">
        <f>SUM(compras_mes2[[#This Row],[NETO GRAVADO]:[Otros / No Grav.]])</f>
        <v>226834.58600000001</v>
      </c>
      <c r="Q113" s="373" t="str">
        <f>IFERROR(IF(compras_mes2[[#This Row],[CUIT]]="","-",VLOOKUP(compras_mes2[[#This Row],[CUIT]],Lista_CUIT[#All],3,0)),"CUIT NO CARGADO")</f>
        <v>Productos Ortopedicos</v>
      </c>
      <c r="R113" s="373">
        <f>IFERROR(IF(compras_mes2[[#This Row],[CUIT]]="","-",VLOOKUP(compras_mes2[[#This Row],[CUIT]],Lista_CUIT[#All],4,0)),"CUIT NO CARGADO")</f>
        <v>0</v>
      </c>
      <c r="S113">
        <v>52060.25</v>
      </c>
    </row>
    <row r="114" spans="2:19">
      <c r="B114" s="365">
        <v>45337</v>
      </c>
      <c r="C114" s="366">
        <v>1</v>
      </c>
      <c r="D114" s="367">
        <v>7</v>
      </c>
      <c r="E114" s="368">
        <v>1063</v>
      </c>
      <c r="F114" s="280">
        <v>30712187316</v>
      </c>
      <c r="G114" s="369" t="str">
        <f>IFERROR(IF(compras_mes2[[#This Row],[CUIT]]="","-",VLOOKUP(compras_mes2[[#This Row],[CUIT]],Lista_CUIT[#All],2,0)),"CUIT NO CARGADO")</f>
        <v>ITALOMED PRODUCTOS SRL</v>
      </c>
      <c r="H114" s="370">
        <v>187466.6</v>
      </c>
      <c r="I114" s="371">
        <f>IF(compras_mes2[[#This Row],[NETO GRAVADO]]="","",compras_mes2[[#This Row],[NETO GRAVADO]]*0.21)</f>
        <v>39367.985999999997</v>
      </c>
      <c r="J114" s="371"/>
      <c r="K114" s="371"/>
      <c r="L114" s="371"/>
      <c r="M114" s="371"/>
      <c r="N114" s="391"/>
      <c r="O114" s="371"/>
      <c r="P114" s="372">
        <f>SUM(compras_mes2[[#This Row],[NETO GRAVADO]:[Otros / No Grav.]])</f>
        <v>226834.58600000001</v>
      </c>
      <c r="Q114" s="373" t="str">
        <f>IFERROR(IF(compras_mes2[[#This Row],[CUIT]]="","-",VLOOKUP(compras_mes2[[#This Row],[CUIT]],Lista_CUIT[#All],3,0)),"CUIT NO CARGADO")</f>
        <v>Productos Ortopedicos</v>
      </c>
      <c r="R114" s="373">
        <f>IFERROR(IF(compras_mes2[[#This Row],[CUIT]]="","-",VLOOKUP(compras_mes2[[#This Row],[CUIT]],Lista_CUIT[#All],4,0)),"CUIT NO CARGADO")</f>
        <v>0</v>
      </c>
      <c r="S114">
        <v>32636</v>
      </c>
    </row>
    <row r="115" spans="2:19">
      <c r="B115" s="374">
        <v>45337</v>
      </c>
      <c r="C115" s="375">
        <v>1</v>
      </c>
      <c r="D115" s="376">
        <v>2</v>
      </c>
      <c r="E115" s="377">
        <v>828</v>
      </c>
      <c r="F115" s="378">
        <v>20140958213</v>
      </c>
      <c r="G115" s="379" t="str">
        <f>IFERROR(IF(compras_mes2[[#This Row],[CUIT]]="","-",VLOOKUP(compras_mes2[[#This Row],[CUIT]],Lista_CUIT[#All],2,0)),"CUIT NO CARGADO")</f>
        <v>ESPAÑA ALEJANDRO JORGE</v>
      </c>
      <c r="H115" s="380">
        <v>825619.86</v>
      </c>
      <c r="I115" s="381">
        <f>IF(compras_mes2[[#This Row],[NETO GRAVADO]]="","",compras_mes2[[#This Row],[NETO GRAVADO]]*0.21)</f>
        <v>173380.17059999998</v>
      </c>
      <c r="J115" s="381"/>
      <c r="K115" s="381"/>
      <c r="L115" s="381"/>
      <c r="M115" s="381"/>
      <c r="N115" s="381"/>
      <c r="O115" s="381"/>
      <c r="P115" s="382">
        <f>SUM(compras_mes2[[#This Row],[NETO GRAVADO]:[Otros / No Grav.]])</f>
        <v>999000.03059999994</v>
      </c>
      <c r="Q115" s="383" t="str">
        <f>IFERROR(IF(compras_mes2[[#This Row],[CUIT]]="","-",VLOOKUP(compras_mes2[[#This Row],[CUIT]],Lista_CUIT[#All],3,0)),"CUIT NO CARGADO")</f>
        <v>Productos Ortopedicos</v>
      </c>
      <c r="R115" s="383">
        <f>IFERROR(IF(compras_mes2[[#This Row],[CUIT]]="","-",VLOOKUP(compras_mes2[[#This Row],[CUIT]],Lista_CUIT[#All],4,0)),"CUIT NO CARGADO")</f>
        <v>0</v>
      </c>
      <c r="S115">
        <v>4217.0200000000004</v>
      </c>
    </row>
    <row r="116" spans="2:19">
      <c r="B116" s="365">
        <v>45337</v>
      </c>
      <c r="C116" s="366">
        <v>1</v>
      </c>
      <c r="D116" s="367">
        <v>2</v>
      </c>
      <c r="E116" s="368">
        <v>343</v>
      </c>
      <c r="F116" s="280">
        <v>20272865869</v>
      </c>
      <c r="G116" s="369" t="str">
        <f>IFERROR(IF(compras_mes2[[#This Row],[CUIT]]="","-",VLOOKUP(compras_mes2[[#This Row],[CUIT]],Lista_CUIT[#All],2,0)),"CUIT NO CARGADO")</f>
        <v>DI FEO MARTIN EZEQUIEL</v>
      </c>
      <c r="H116" s="370">
        <v>45850</v>
      </c>
      <c r="I116" s="371">
        <f>IF(compras_mes2[[#This Row],[NETO GRAVADO]]="","",compras_mes2[[#This Row],[NETO GRAVADO]]*0.21)</f>
        <v>9628.5</v>
      </c>
      <c r="J116" s="371"/>
      <c r="K116" s="371"/>
      <c r="L116" s="371"/>
      <c r="M116" s="371"/>
      <c r="N116" s="391"/>
      <c r="O116" s="371"/>
      <c r="P116" s="372">
        <f>SUM(compras_mes2[[#This Row],[NETO GRAVADO]:[Otros / No Grav.]])</f>
        <v>55478.5</v>
      </c>
      <c r="Q116" s="373" t="str">
        <f>IFERROR(IF(compras_mes2[[#This Row],[CUIT]]="","-",VLOOKUP(compras_mes2[[#This Row],[CUIT]],Lista_CUIT[#All],3,0)),"CUIT NO CARGADO")</f>
        <v>Productos Ortopedicos</v>
      </c>
      <c r="R116" s="373">
        <f>IFERROR(IF(compras_mes2[[#This Row],[CUIT]]="","-",VLOOKUP(compras_mes2[[#This Row],[CUIT]],Lista_CUIT[#All],4,0)),"CUIT NO CARGADO")</f>
        <v>0</v>
      </c>
      <c r="S116">
        <v>300</v>
      </c>
    </row>
    <row r="117" spans="2:19">
      <c r="B117" s="365">
        <v>45338</v>
      </c>
      <c r="C117" s="366">
        <v>1</v>
      </c>
      <c r="D117" s="367">
        <v>7</v>
      </c>
      <c r="E117" s="368">
        <v>28430</v>
      </c>
      <c r="F117" s="280">
        <v>20271532483</v>
      </c>
      <c r="G117" s="369" t="str">
        <f>IFERROR(IF(compras_mes2[[#This Row],[CUIT]]="","-",VLOOKUP(compras_mes2[[#This Row],[CUIT]],Lista_CUIT[#All],2,0)),"CUIT NO CARGADO")</f>
        <v>DIEGO MARTIN RIOS</v>
      </c>
      <c r="H117" s="370">
        <v>1514308.44</v>
      </c>
      <c r="I117" s="371">
        <f>IF(compras_mes2[[#This Row],[NETO GRAVADO]]="","",compras_mes2[[#This Row],[NETO GRAVADO]]*0.21)</f>
        <v>318004.77239999996</v>
      </c>
      <c r="J117" s="371"/>
      <c r="K117" s="371"/>
      <c r="L117" s="371"/>
      <c r="M117" s="371"/>
      <c r="N117" s="391"/>
      <c r="O117" s="371">
        <v>60572.34</v>
      </c>
      <c r="P117" s="372">
        <f>SUM(compras_mes2[[#This Row],[NETO GRAVADO]:[Otros / No Grav.]])</f>
        <v>1892885.5523999999</v>
      </c>
      <c r="Q117" s="373" t="str">
        <f>IFERROR(IF(compras_mes2[[#This Row],[CUIT]]="","-",VLOOKUP(compras_mes2[[#This Row],[CUIT]],Lista_CUIT[#All],3,0)),"CUIT NO CARGADO")</f>
        <v>Productos Ortopedicos</v>
      </c>
      <c r="R117" s="373">
        <f>IFERROR(IF(compras_mes2[[#This Row],[CUIT]]="","-",VLOOKUP(compras_mes2[[#This Row],[CUIT]],Lista_CUIT[#All],4,0)),"CUIT NO CARGADO")</f>
        <v>0</v>
      </c>
      <c r="S117">
        <v>14401.64</v>
      </c>
    </row>
    <row r="118" spans="2:19" s="56" customFormat="1" ht="18.600000000000001" customHeight="1">
      <c r="B118" s="365">
        <v>45338</v>
      </c>
      <c r="C118" s="366">
        <v>1</v>
      </c>
      <c r="D118" s="367">
        <v>2</v>
      </c>
      <c r="E118" s="368">
        <v>52198</v>
      </c>
      <c r="F118" s="280">
        <v>30707986189</v>
      </c>
      <c r="G118" s="369" t="str">
        <f>IFERROR(IF(compras_mes2[[#This Row],[CUIT]]="","-",VLOOKUP(compras_mes2[[#This Row],[CUIT]],Lista_CUIT[#All],2,0)),"CUIT NO CARGADO")</f>
        <v>CIERRER, ABROJO &amp; HERRAJES SRL</v>
      </c>
      <c r="H118" s="370">
        <v>95205.64</v>
      </c>
      <c r="I118" s="371">
        <f>IF(compras_mes2[[#This Row],[NETO GRAVADO]]="","",compras_mes2[[#This Row],[NETO GRAVADO]]*0.21)</f>
        <v>19993.184399999998</v>
      </c>
      <c r="J118" s="371"/>
      <c r="K118" s="371"/>
      <c r="L118" s="371"/>
      <c r="M118" s="371"/>
      <c r="N118" s="391"/>
      <c r="O118" s="371"/>
      <c r="P118" s="372">
        <f>SUM(compras_mes2[[#This Row],[NETO GRAVADO]:[Otros / No Grav.]])</f>
        <v>115198.8244</v>
      </c>
      <c r="Q118" s="373" t="str">
        <f>IFERROR(IF(compras_mes2[[#This Row],[CUIT]]="","-",VLOOKUP(compras_mes2[[#This Row],[CUIT]],Lista_CUIT[#All],3,0)),"CUIT NO CARGADO")</f>
        <v>Productos Ortopedicos</v>
      </c>
      <c r="R118" s="373">
        <f>IFERROR(IF(compras_mes2[[#This Row],[CUIT]]="","-",VLOOKUP(compras_mes2[[#This Row],[CUIT]],Lista_CUIT[#All],4,0)),"CUIT NO CARGADO")</f>
        <v>0</v>
      </c>
      <c r="S118" s="56">
        <v>1497.93</v>
      </c>
    </row>
    <row r="119" spans="2:19">
      <c r="B119" s="365">
        <v>45344</v>
      </c>
      <c r="C119" s="366">
        <v>1</v>
      </c>
      <c r="D119" s="367">
        <v>2</v>
      </c>
      <c r="E119" s="368">
        <v>352</v>
      </c>
      <c r="F119" s="280">
        <v>20272865869</v>
      </c>
      <c r="G119" s="369" t="str">
        <f>IFERROR(IF(compras_mes2[[#This Row],[CUIT]]="","-",VLOOKUP(compras_mes2[[#This Row],[CUIT]],Lista_CUIT[#All],2,0)),"CUIT NO CARGADO")</f>
        <v>DI FEO MARTIN EZEQUIEL</v>
      </c>
      <c r="H119" s="370">
        <v>58850</v>
      </c>
      <c r="I119" s="371">
        <f>IF(compras_mes2[[#This Row],[NETO GRAVADO]]="","",compras_mes2[[#This Row],[NETO GRAVADO]]*0.21)</f>
        <v>12358.5</v>
      </c>
      <c r="J119" s="371"/>
      <c r="K119" s="371"/>
      <c r="L119" s="371"/>
      <c r="M119" s="371"/>
      <c r="N119" s="391"/>
      <c r="O119" s="371"/>
      <c r="P119" s="372">
        <f>SUM(compras_mes2[[#This Row],[NETO GRAVADO]:[Otros / No Grav.]])</f>
        <v>71208.5</v>
      </c>
      <c r="Q119" s="373" t="str">
        <f>IFERROR(IF(compras_mes2[[#This Row],[CUIT]]="","-",VLOOKUP(compras_mes2[[#This Row],[CUIT]],Lista_CUIT[#All],3,0)),"CUIT NO CARGADO")</f>
        <v>Productos Ortopedicos</v>
      </c>
      <c r="R119" s="373">
        <f>IFERROR(IF(compras_mes2[[#This Row],[CUIT]]="","-",VLOOKUP(compras_mes2[[#This Row],[CUIT]],Lista_CUIT[#All],4,0)),"CUIT NO CARGADO")</f>
        <v>0</v>
      </c>
      <c r="S119">
        <v>17920</v>
      </c>
    </row>
    <row r="120" spans="2:19">
      <c r="B120" s="365">
        <v>45345</v>
      </c>
      <c r="C120" s="366">
        <v>1</v>
      </c>
      <c r="D120" s="367">
        <v>7</v>
      </c>
      <c r="E120" s="368">
        <v>28454</v>
      </c>
      <c r="F120" s="280">
        <v>20271532483</v>
      </c>
      <c r="G120" s="369" t="str">
        <f>IFERROR(IF(compras_mes2[[#This Row],[CUIT]]="","-",VLOOKUP(compras_mes2[[#This Row],[CUIT]],Lista_CUIT[#All],2,0)),"CUIT NO CARGADO")</f>
        <v>DIEGO MARTIN RIOS</v>
      </c>
      <c r="H120" s="370">
        <v>524424.31999999995</v>
      </c>
      <c r="I120" s="371">
        <f>IF(compras_mes2[[#This Row],[NETO GRAVADO]]="","",compras_mes2[[#This Row],[NETO GRAVADO]]*0.21)</f>
        <v>110129.10719999998</v>
      </c>
      <c r="J120" s="371"/>
      <c r="K120" s="371"/>
      <c r="L120" s="371"/>
      <c r="M120" s="371"/>
      <c r="N120" s="391"/>
      <c r="O120" s="371">
        <v>20976.97</v>
      </c>
      <c r="P120" s="372">
        <f>SUM(compras_mes2[[#This Row],[NETO GRAVADO]:[Otros / No Grav.]])</f>
        <v>655530.39719999989</v>
      </c>
      <c r="Q120" s="373" t="str">
        <f>IFERROR(IF(compras_mes2[[#This Row],[CUIT]]="","-",VLOOKUP(compras_mes2[[#This Row],[CUIT]],Lista_CUIT[#All],3,0)),"CUIT NO CARGADO")</f>
        <v>Productos Ortopedicos</v>
      </c>
      <c r="R120" s="373">
        <f>IFERROR(IF(compras_mes2[[#This Row],[CUIT]]="","-",VLOOKUP(compras_mes2[[#This Row],[CUIT]],Lista_CUIT[#All],4,0)),"CUIT NO CARGADO")</f>
        <v>0</v>
      </c>
      <c r="S120">
        <v>127875.3</v>
      </c>
    </row>
    <row r="121" spans="2:19">
      <c r="B121" s="365">
        <v>45345</v>
      </c>
      <c r="C121" s="366">
        <v>1</v>
      </c>
      <c r="D121" s="367">
        <v>7</v>
      </c>
      <c r="E121" s="368">
        <v>1073</v>
      </c>
      <c r="F121" s="280">
        <v>30712187316</v>
      </c>
      <c r="G121" s="369" t="str">
        <f>IFERROR(IF(compras_mes2[[#This Row],[CUIT]]="","-",VLOOKUP(compras_mes2[[#This Row],[CUIT]],Lista_CUIT[#All],2,0)),"CUIT NO CARGADO")</f>
        <v>ITALOMED PRODUCTOS SRL</v>
      </c>
      <c r="H121" s="370">
        <v>180215.87</v>
      </c>
      <c r="I121" s="371">
        <f>IF(compras_mes2[[#This Row],[NETO GRAVADO]]="","",compras_mes2[[#This Row],[NETO GRAVADO]]*0.21)</f>
        <v>37845.332699999999</v>
      </c>
      <c r="J121" s="371"/>
      <c r="K121" s="371"/>
      <c r="L121" s="371"/>
      <c r="M121" s="371"/>
      <c r="N121" s="391"/>
      <c r="O121" s="371"/>
      <c r="P121" s="372">
        <f>SUM(compras_mes2[[#This Row],[NETO GRAVADO]:[Otros / No Grav.]])</f>
        <v>218061.20269999999</v>
      </c>
      <c r="Q121" s="373" t="str">
        <f>IFERROR(IF(compras_mes2[[#This Row],[CUIT]]="","-",VLOOKUP(compras_mes2[[#This Row],[CUIT]],Lista_CUIT[#All],3,0)),"CUIT NO CARGADO")</f>
        <v>Productos Ortopedicos</v>
      </c>
      <c r="R121" s="373">
        <f>IFERROR(IF(compras_mes2[[#This Row],[CUIT]]="","-",VLOOKUP(compras_mes2[[#This Row],[CUIT]],Lista_CUIT[#All],4,0)),"CUIT NO CARGADO")</f>
        <v>0</v>
      </c>
      <c r="S121">
        <v>4038.75</v>
      </c>
    </row>
    <row r="122" spans="2:19">
      <c r="B122" s="365">
        <v>45351</v>
      </c>
      <c r="C122" s="366">
        <v>1</v>
      </c>
      <c r="D122" s="367">
        <v>7</v>
      </c>
      <c r="E122" s="368">
        <v>28476</v>
      </c>
      <c r="F122" s="280">
        <v>20271532483</v>
      </c>
      <c r="G122" s="369" t="str">
        <f>IFERROR(IF(compras_mes2[[#This Row],[CUIT]]="","-",VLOOKUP(compras_mes2[[#This Row],[CUIT]],Lista_CUIT[#All],2,0)),"CUIT NO CARGADO")</f>
        <v>DIEGO MARTIN RIOS</v>
      </c>
      <c r="H122" s="370">
        <v>637738.25</v>
      </c>
      <c r="I122" s="371">
        <f>IF(compras_mes2[[#This Row],[NETO GRAVADO]]="","",compras_mes2[[#This Row],[NETO GRAVADO]]*0.21)</f>
        <v>133925.0325</v>
      </c>
      <c r="J122" s="371"/>
      <c r="K122" s="371"/>
      <c r="L122" s="371"/>
      <c r="M122" s="371"/>
      <c r="N122" s="391"/>
      <c r="O122" s="371">
        <v>25509.53</v>
      </c>
      <c r="P122" s="372">
        <f>SUM(compras_mes2[[#This Row],[NETO GRAVADO]:[Otros / No Grav.]])</f>
        <v>797172.8125</v>
      </c>
      <c r="Q122" s="373" t="str">
        <f>IFERROR(IF(compras_mes2[[#This Row],[CUIT]]="","-",VLOOKUP(compras_mes2[[#This Row],[CUIT]],Lista_CUIT[#All],3,0)),"CUIT NO CARGADO")</f>
        <v>Productos Ortopedicos</v>
      </c>
      <c r="R122" s="373">
        <f>IFERROR(IF(compras_mes2[[#This Row],[CUIT]]="","-",VLOOKUP(compras_mes2[[#This Row],[CUIT]],Lista_CUIT[#All],4,0)),"CUIT NO CARGADO")</f>
        <v>0</v>
      </c>
      <c r="S122">
        <v>59112</v>
      </c>
    </row>
    <row r="123" spans="2:19">
      <c r="B123" s="365">
        <v>45351</v>
      </c>
      <c r="C123" s="366">
        <v>1</v>
      </c>
      <c r="D123" s="367">
        <v>15</v>
      </c>
      <c r="E123" s="368">
        <v>2904</v>
      </c>
      <c r="F123" s="280">
        <v>30688140923</v>
      </c>
      <c r="G123" s="369" t="str">
        <f>IFERROR(IF(compras_mes2[[#This Row],[CUIT]]="","-",VLOOKUP(compras_mes2[[#This Row],[CUIT]],Lista_CUIT[#All],2,0)),"CUIT NO CARGADO")</f>
        <v>COLTEX SRL</v>
      </c>
      <c r="H123" s="370">
        <v>80193.8</v>
      </c>
      <c r="I123" s="371">
        <f>IF(compras_mes2[[#This Row],[NETO GRAVADO]]="","",compras_mes2[[#This Row],[NETO GRAVADO]]*0.21)</f>
        <v>16840.698</v>
      </c>
      <c r="J123" s="371"/>
      <c r="K123" s="371"/>
      <c r="L123" s="371"/>
      <c r="M123" s="371"/>
      <c r="N123" s="391"/>
      <c r="O123" s="371"/>
      <c r="P123" s="372">
        <f>SUM(compras_mes2[[#This Row],[NETO GRAVADO]:[Otros / No Grav.]])</f>
        <v>97034.498000000007</v>
      </c>
      <c r="Q123" s="373" t="str">
        <f>IFERROR(IF(compras_mes2[[#This Row],[CUIT]]="","-",VLOOKUP(compras_mes2[[#This Row],[CUIT]],Lista_CUIT[#All],3,0)),"CUIT NO CARGADO")</f>
        <v>Productos Ortopedicos</v>
      </c>
      <c r="R123" s="373">
        <f>IFERROR(IF(compras_mes2[[#This Row],[CUIT]]="","-",VLOOKUP(compras_mes2[[#This Row],[CUIT]],Lista_CUIT[#All],4,0)),"CUIT NO CARGADO")</f>
        <v>0</v>
      </c>
      <c r="S123">
        <v>8597.24</v>
      </c>
    </row>
    <row r="124" spans="2:19">
      <c r="B124" s="365">
        <v>45351</v>
      </c>
      <c r="C124" s="366">
        <v>1</v>
      </c>
      <c r="D124" s="367">
        <v>2</v>
      </c>
      <c r="E124" s="368">
        <v>371</v>
      </c>
      <c r="F124" s="280">
        <v>20272865869</v>
      </c>
      <c r="G124" s="369" t="str">
        <f>IFERROR(IF(compras_mes2[[#This Row],[CUIT]]="","-",VLOOKUP(compras_mes2[[#This Row],[CUIT]],Lista_CUIT[#All],2,0)),"CUIT NO CARGADO")</f>
        <v>DI FEO MARTIN EZEQUIEL</v>
      </c>
      <c r="H124" s="370">
        <v>105682.07</v>
      </c>
      <c r="I124" s="371">
        <f>IF(compras_mes2[[#This Row],[NETO GRAVADO]]="","",compras_mes2[[#This Row],[NETO GRAVADO]]*0.21)</f>
        <v>22193.234700000001</v>
      </c>
      <c r="J124" s="371"/>
      <c r="K124" s="371"/>
      <c r="L124" s="371"/>
      <c r="M124" s="371"/>
      <c r="N124" s="391"/>
      <c r="O124" s="371"/>
      <c r="P124" s="372">
        <f>SUM(compras_mes2[[#This Row],[NETO GRAVADO]:[Otros / No Grav.]])</f>
        <v>127875.30470000001</v>
      </c>
      <c r="Q124" s="373" t="str">
        <f>IFERROR(IF(compras_mes2[[#This Row],[CUIT]]="","-",VLOOKUP(compras_mes2[[#This Row],[CUIT]],Lista_CUIT[#All],3,0)),"CUIT NO CARGADO")</f>
        <v>Productos Ortopedicos</v>
      </c>
      <c r="R124" s="373">
        <f>IFERROR(IF(compras_mes2[[#This Row],[CUIT]]="","-",VLOOKUP(compras_mes2[[#This Row],[CUIT]],Lista_CUIT[#All],4,0)),"CUIT NO CARGADO")</f>
        <v>0</v>
      </c>
      <c r="S124" t="s">
        <v>2280</v>
      </c>
    </row>
    <row r="125" spans="2:19">
      <c r="B125" s="374">
        <v>45329</v>
      </c>
      <c r="C125" s="375">
        <v>1</v>
      </c>
      <c r="D125" s="376">
        <v>105</v>
      </c>
      <c r="E125" s="377">
        <v>1431786</v>
      </c>
      <c r="F125" s="378">
        <v>30537882871</v>
      </c>
      <c r="G125" s="379" t="str">
        <f>IFERROR(IF(compras_mes2[[#This Row],[CUIT]]="","-",VLOOKUP(compras_mes2[[#This Row],[CUIT]],Lista_CUIT[#All],2,0)),"CUIT NO CARGADO")</f>
        <v>EL JUMILIANO SA</v>
      </c>
      <c r="H125" s="380">
        <v>5785.12</v>
      </c>
      <c r="I125" s="381">
        <f>IF(compras_mes2[[#This Row],[NETO GRAVADO]]="","",compras_mes2[[#This Row],[NETO GRAVADO]]*0.21)</f>
        <v>1214.8751999999999</v>
      </c>
      <c r="J125" s="381"/>
      <c r="K125" s="381"/>
      <c r="L125" s="381"/>
      <c r="M125" s="381"/>
      <c r="N125" s="381">
        <v>231.41</v>
      </c>
      <c r="O125" s="381"/>
      <c r="P125" s="382">
        <f>SUM(compras_mes2[[#This Row],[NETO GRAVADO]:[Otros / No Grav.]])</f>
        <v>7231.4051999999992</v>
      </c>
      <c r="Q125" s="383" t="str">
        <f>IFERROR(IF(compras_mes2[[#This Row],[CUIT]]="","-",VLOOKUP(compras_mes2[[#This Row],[CUIT]],Lista_CUIT[#All],3,0)),"CUIT NO CARGADO")</f>
        <v>Productos OrtopedicosS</v>
      </c>
      <c r="R125" s="383">
        <f>IFERROR(IF(compras_mes2[[#This Row],[CUIT]]="","-",VLOOKUP(compras_mes2[[#This Row],[CUIT]],Lista_CUIT[#All],4,0)),"CUIT NO CARGADO")</f>
        <v>0</v>
      </c>
    </row>
    <row r="126" spans="2:19">
      <c r="B126" s="374">
        <v>45323</v>
      </c>
      <c r="C126" s="375">
        <v>1</v>
      </c>
      <c r="D126" s="376">
        <v>1326</v>
      </c>
      <c r="E126" s="377">
        <v>363481</v>
      </c>
      <c r="F126" s="378">
        <v>30663288497</v>
      </c>
      <c r="G126" s="379" t="str">
        <f>IFERROR(IF(compras_mes2[[#This Row],[CUIT]]="","-",VLOOKUP(compras_mes2[[#This Row],[CUIT]],Lista_CUIT[#All],2,0)),"CUIT NO CARGADO")</f>
        <v>AMX ARG SA</v>
      </c>
      <c r="H126" s="380">
        <v>17700</v>
      </c>
      <c r="I126" s="381">
        <v>1354.6</v>
      </c>
      <c r="J126" s="381">
        <v>3037.5</v>
      </c>
      <c r="K126" s="381"/>
      <c r="L126" s="381"/>
      <c r="M126" s="381"/>
      <c r="N126" s="381">
        <v>708</v>
      </c>
      <c r="O126" s="381">
        <f>592.1+531</f>
        <v>1123.0999999999999</v>
      </c>
      <c r="P126" s="382">
        <f>SUM(compras_mes2[[#This Row],[NETO GRAVADO]:[Otros / No Grav.]])</f>
        <v>23923.199999999997</v>
      </c>
      <c r="Q126" s="383" t="str">
        <f>IFERROR(IF(compras_mes2[[#This Row],[CUIT]]="","-",VLOOKUP(compras_mes2[[#This Row],[CUIT]],Lista_CUIT[#All],3,0)),"CUIT NO CARGADO")</f>
        <v>Servicios Gas-Luz-Agua-Internet</v>
      </c>
      <c r="R126" s="383">
        <f>IFERROR(IF(compras_mes2[[#This Row],[CUIT]]="","-",VLOOKUP(compras_mes2[[#This Row],[CUIT]],Lista_CUIT[#All],4,0)),"CUIT NO CARGADO")</f>
        <v>0</v>
      </c>
    </row>
    <row r="127" spans="2:19">
      <c r="B127" s="374">
        <v>45331</v>
      </c>
      <c r="C127" s="375">
        <v>1</v>
      </c>
      <c r="D127" s="376">
        <v>3101</v>
      </c>
      <c r="E127" s="377">
        <v>37371</v>
      </c>
      <c r="F127" s="378">
        <v>30678814357</v>
      </c>
      <c r="G127" s="379" t="str">
        <f>IFERROR(IF(compras_mes2[[#This Row],[CUIT]]="","-",VLOOKUP(compras_mes2[[#This Row],[CUIT]],Lista_CUIT[#All],2,0)),"CUIT NO CARGADO")</f>
        <v>TELEFONICA MOVILES ARG SA</v>
      </c>
      <c r="H127" s="380">
        <v>29664.38</v>
      </c>
      <c r="I127" s="381"/>
      <c r="J127" s="381">
        <v>8009.38</v>
      </c>
      <c r="K127" s="381"/>
      <c r="L127" s="381">
        <v>889.93</v>
      </c>
      <c r="M127" s="381"/>
      <c r="N127" s="381">
        <v>1186.58</v>
      </c>
      <c r="O127" s="381"/>
      <c r="P127" s="382">
        <f>SUM(compras_mes2[[#This Row],[NETO GRAVADO]:[Otros / No Grav.]])</f>
        <v>39750.270000000004</v>
      </c>
      <c r="Q127" s="383" t="str">
        <f>IFERROR(IF(compras_mes2[[#This Row],[CUIT]]="","-",VLOOKUP(compras_mes2[[#This Row],[CUIT]],Lista_CUIT[#All],3,0)),"CUIT NO CARGADO")</f>
        <v>Servicios Gas-Luz-Agua-Internet</v>
      </c>
      <c r="R127" s="383">
        <f>IFERROR(IF(compras_mes2[[#This Row],[CUIT]]="","-",VLOOKUP(compras_mes2[[#This Row],[CUIT]],Lista_CUIT[#All],4,0)),"CUIT NO CARGADO")</f>
        <v>0</v>
      </c>
    </row>
    <row r="128" spans="2:19">
      <c r="B128" s="365">
        <v>45341</v>
      </c>
      <c r="C128" s="366">
        <v>1</v>
      </c>
      <c r="D128" s="367">
        <v>4264</v>
      </c>
      <c r="E128" s="368">
        <v>3447616</v>
      </c>
      <c r="F128" s="280">
        <v>30639453738</v>
      </c>
      <c r="G128" s="369" t="str">
        <f>IFERROR(IF(compras_mes2[[#This Row],[CUIT]]="","-",VLOOKUP(compras_mes2[[#This Row],[CUIT]],Lista_CUIT[#All],2,0)),"CUIT NO CARGADO")</f>
        <v>TELECOM ARGENTINA SA</v>
      </c>
      <c r="H128" s="370">
        <v>43942.15</v>
      </c>
      <c r="I128" s="371">
        <f>IF(compras_mes2[[#This Row],[NETO GRAVADO]]="","",compras_mes2[[#This Row],[NETO GRAVADO]]*0.21)</f>
        <v>9227.8515000000007</v>
      </c>
      <c r="J128" s="371"/>
      <c r="K128" s="371"/>
      <c r="L128" s="371">
        <v>1318.26</v>
      </c>
      <c r="M128" s="371">
        <v>1757.69</v>
      </c>
      <c r="N128" s="391"/>
      <c r="O128" s="371"/>
      <c r="P128" s="372">
        <f>SUM(compras_mes2[[#This Row],[NETO GRAVADO]:[Otros / No Grav.]])</f>
        <v>56245.951500000003</v>
      </c>
      <c r="Q128" s="373" t="str">
        <f>IFERROR(IF(compras_mes2[[#This Row],[CUIT]]="","-",VLOOKUP(compras_mes2[[#This Row],[CUIT]],Lista_CUIT[#All],3,0)),"CUIT NO CARGADO")</f>
        <v>Servicios Gas-Luz-Agua-Internet</v>
      </c>
      <c r="R128" s="373">
        <f>IFERROR(IF(compras_mes2[[#This Row],[CUIT]]="","-",VLOOKUP(compras_mes2[[#This Row],[CUIT]],Lista_CUIT[#All],4,0)),"CUIT NO CARGADO")</f>
        <v>0</v>
      </c>
    </row>
    <row r="129" spans="2:18">
      <c r="B129" s="365">
        <v>45343</v>
      </c>
      <c r="C129" s="366">
        <v>1</v>
      </c>
      <c r="D129" s="367">
        <v>5</v>
      </c>
      <c r="E129" s="368">
        <v>2975521</v>
      </c>
      <c r="F129" s="280">
        <v>30702652975</v>
      </c>
      <c r="G129" s="369" t="str">
        <f>IFERROR(IF(compras_mes2[[#This Row],[CUIT]]="","-",VLOOKUP(compras_mes2[[#This Row],[CUIT]],Lista_CUIT[#All],2,0)),"CUIT NO CARGADO")</f>
        <v>NSS SA</v>
      </c>
      <c r="H129" s="370">
        <v>27697.64</v>
      </c>
      <c r="I129" s="371">
        <f>IF(compras_mes2[[#This Row],[NETO GRAVADO]]="","",compras_mes2[[#This Row],[NETO GRAVADO]]*0.21)</f>
        <v>5816.5043999999998</v>
      </c>
      <c r="J129" s="371"/>
      <c r="K129" s="371"/>
      <c r="L129" s="371"/>
      <c r="M129" s="371"/>
      <c r="N129" s="391">
        <v>1107.9100000000001</v>
      </c>
      <c r="O129" s="371"/>
      <c r="P129" s="372">
        <f>SUM(compras_mes2[[#This Row],[NETO GRAVADO]:[Otros / No Grav.]])</f>
        <v>34622.054400000001</v>
      </c>
      <c r="Q129" s="373" t="str">
        <f>IFERROR(IF(compras_mes2[[#This Row],[CUIT]]="","-",VLOOKUP(compras_mes2[[#This Row],[CUIT]],Lista_CUIT[#All],3,0)),"CUIT NO CARGADO")</f>
        <v>Servicios Gas-Luz-Agua-Internet</v>
      </c>
      <c r="R129" s="373">
        <f>IFERROR(IF(compras_mes2[[#This Row],[CUIT]]="","-",VLOOKUP(compras_mes2[[#This Row],[CUIT]],Lista_CUIT[#All],4,0)),"CUIT NO CARGADO")</f>
        <v>0</v>
      </c>
    </row>
    <row r="130" spans="2:18" ht="26.1" customHeight="1">
      <c r="B130" s="374">
        <v>45351</v>
      </c>
      <c r="C130" s="375">
        <v>1</v>
      </c>
      <c r="D130" s="376">
        <v>20</v>
      </c>
      <c r="E130" s="377">
        <v>177661</v>
      </c>
      <c r="F130" s="378">
        <v>30696850972</v>
      </c>
      <c r="G130" s="379" t="str">
        <f>IFERROR(IF(compras_mes2[[#This Row],[CUIT]]="","-",VLOOKUP(compras_mes2[[#This Row],[CUIT]],Lista_CUIT[#All],2,0)),"CUIT NO CARGADO")</f>
        <v>CPS COMUNICACIONES SA</v>
      </c>
      <c r="H130" s="380">
        <v>10993.62</v>
      </c>
      <c r="I130" s="381"/>
      <c r="J130" s="381">
        <v>2968.28</v>
      </c>
      <c r="K130" s="381"/>
      <c r="L130" s="381"/>
      <c r="M130" s="381"/>
      <c r="N130" s="381">
        <v>439.74</v>
      </c>
      <c r="O130" s="381"/>
      <c r="P130" s="382">
        <f>SUM(compras_mes2[[#This Row],[NETO GRAVADO]:[Otros / No Grav.]])</f>
        <v>14401.640000000001</v>
      </c>
      <c r="Q130" s="383" t="str">
        <f>IFERROR(IF(compras_mes2[[#This Row],[CUIT]]="","-",VLOOKUP(compras_mes2[[#This Row],[CUIT]],Lista_CUIT[#All],3,0)),"CUIT NO CARGADO")</f>
        <v>Servicios Gas-Luz-Agua-Internet</v>
      </c>
      <c r="R130" s="383">
        <f>IFERROR(IF(compras_mes2[[#This Row],[CUIT]]="","-",VLOOKUP(compras_mes2[[#This Row],[CUIT]],Lista_CUIT[#All],4,0)),"CUIT NO CARGADO")</f>
        <v>0</v>
      </c>
    </row>
    <row r="131" spans="2:18">
      <c r="B131" s="358" t="s">
        <v>110</v>
      </c>
      <c r="C131" s="358"/>
      <c r="D131" s="358"/>
      <c r="E131" s="358"/>
      <c r="F131" s="358"/>
      <c r="G131" s="359"/>
      <c r="H131" s="360">
        <f>SUBTOTAL(109,compras_mes2[NETO GRAVADO])</f>
        <v>57139477.159999982</v>
      </c>
      <c r="I131" s="360">
        <f>SUBTOTAL(109,compras_mes2[IVA 21 %])</f>
        <v>11326891.329600003</v>
      </c>
      <c r="J131" s="360">
        <f>SUBTOTAL(109,compras_mes2[IVA 27%])</f>
        <v>14015.160000000002</v>
      </c>
      <c r="K131" s="360">
        <f>SUBTOTAL(109,compras_mes2[IVA 10,5%])</f>
        <v>330749.15000000002</v>
      </c>
      <c r="L131" s="360">
        <f>SUBTOTAL(109,compras_mes2[PERC. IVA])</f>
        <v>3719.7200000000003</v>
      </c>
      <c r="M131" s="360">
        <f>SUBTOTAL(109,compras_mes2[PERC IIBB 
BS AS])</f>
        <v>1757.69</v>
      </c>
      <c r="N131" s="360">
        <f>SUBTOTAL(109,compras_mes2[PERC. IIBB CABA])</f>
        <v>294467.37999999995</v>
      </c>
      <c r="O131" s="360">
        <f>SUBTOTAL(109,compras_mes2[Otros / No Grav.])</f>
        <v>161600.79999999999</v>
      </c>
      <c r="P131" s="360">
        <f>SUBTOTAL(109,compras_mes2[TOTAL])</f>
        <v>69272678.389599994</v>
      </c>
      <c r="Q131" s="358"/>
      <c r="R131" s="358"/>
    </row>
    <row r="132" spans="2:18" ht="17.25" customHeight="1">
      <c r="B132" s="40"/>
      <c r="C132" s="41"/>
      <c r="D132" s="42"/>
      <c r="E132" s="43"/>
      <c r="F132" s="44"/>
      <c r="G132" s="45"/>
      <c r="H132" s="46"/>
      <c r="I132" s="47"/>
      <c r="J132" s="47"/>
      <c r="K132" s="47"/>
      <c r="L132" s="47"/>
      <c r="M132" s="47"/>
      <c r="N132" s="47"/>
      <c r="O132" s="47"/>
      <c r="P132" s="48"/>
      <c r="Q132" s="49"/>
      <c r="R132" s="49"/>
    </row>
    <row r="133" spans="2:18" ht="21.75" customHeight="1">
      <c r="B133" s="40"/>
      <c r="C133" s="41"/>
      <c r="D133" s="42"/>
      <c r="E133" s="43"/>
      <c r="F133" s="44"/>
      <c r="G133" s="45"/>
      <c r="H133" s="46"/>
      <c r="I133" s="47"/>
      <c r="J133" s="47"/>
      <c r="K133" s="47"/>
      <c r="L133" s="47"/>
      <c r="M133" s="47"/>
      <c r="N133" s="47"/>
      <c r="O133" s="47"/>
      <c r="P133" s="48"/>
      <c r="Q133" s="49"/>
      <c r="R133" s="49"/>
    </row>
    <row r="134" spans="2:18">
      <c r="B134" s="40"/>
      <c r="C134" s="41"/>
      <c r="D134" s="42"/>
      <c r="E134" s="43"/>
      <c r="F134" s="44"/>
      <c r="G134" s="45"/>
      <c r="H134" s="46"/>
      <c r="I134" s="47"/>
      <c r="J134" s="47"/>
      <c r="K134" s="47"/>
      <c r="L134" s="47"/>
      <c r="M134" s="47"/>
      <c r="N134" s="47"/>
      <c r="O134" s="47"/>
      <c r="P134" s="48"/>
      <c r="Q134" s="49"/>
      <c r="R134" s="49"/>
    </row>
    <row r="135" spans="2:18">
      <c r="B135" s="40"/>
      <c r="C135" s="41"/>
      <c r="D135" s="42"/>
      <c r="E135" s="43"/>
      <c r="F135" s="44"/>
      <c r="G135" s="45"/>
      <c r="H135" s="46"/>
      <c r="I135" s="47"/>
      <c r="J135" s="47"/>
      <c r="K135" s="47"/>
      <c r="L135" s="47"/>
    </row>
    <row r="136" spans="2:18" ht="21">
      <c r="D136" s="665" t="s">
        <v>15</v>
      </c>
      <c r="E136" s="665"/>
      <c r="F136" s="665"/>
      <c r="G136" s="665"/>
      <c r="H136" s="665"/>
      <c r="I136" s="665"/>
      <c r="J136" s="665"/>
      <c r="K136" s="665"/>
      <c r="L136" s="665"/>
    </row>
    <row r="137" spans="2:18" ht="15.75">
      <c r="D137" s="73" t="s">
        <v>0</v>
      </c>
      <c r="E137" s="74" t="s">
        <v>26</v>
      </c>
      <c r="F137" s="74" t="s">
        <v>16</v>
      </c>
      <c r="G137" s="74" t="s">
        <v>5</v>
      </c>
      <c r="H137" s="74" t="s">
        <v>17</v>
      </c>
      <c r="I137" s="74" t="s">
        <v>7</v>
      </c>
      <c r="J137" s="75" t="s">
        <v>18</v>
      </c>
      <c r="K137" s="75" t="s">
        <v>19</v>
      </c>
      <c r="L137" s="76" t="s">
        <v>20</v>
      </c>
    </row>
    <row r="138" spans="2:18">
      <c r="D138" s="394">
        <v>45351</v>
      </c>
      <c r="E138" s="397">
        <v>29022024</v>
      </c>
      <c r="F138" s="395" t="s">
        <v>2169</v>
      </c>
      <c r="G138" s="396">
        <f>24+150+100+325+325+150+325+90+175+500</f>
        <v>2164</v>
      </c>
      <c r="H138" s="396">
        <f>extracto_banco_mes2[[#This Row],[NETO]]*0.21</f>
        <v>454.44</v>
      </c>
      <c r="I138" s="396"/>
      <c r="J138" s="396">
        <v>248</v>
      </c>
      <c r="K138" s="396"/>
      <c r="L138" s="396"/>
    </row>
    <row r="139" spans="2:18">
      <c r="D139" s="394">
        <v>45343</v>
      </c>
      <c r="E139" s="397">
        <v>21022024</v>
      </c>
      <c r="F139" s="395" t="s">
        <v>2282</v>
      </c>
      <c r="G139" s="396">
        <v>80</v>
      </c>
      <c r="H139" s="396">
        <f>extracto_banco_mes2[[#This Row],[NETO]]*0.21</f>
        <v>16.8</v>
      </c>
      <c r="I139" s="396"/>
      <c r="J139" s="396"/>
      <c r="K139" s="396"/>
      <c r="L139" s="396"/>
    </row>
    <row r="140" spans="2:18">
      <c r="D140" s="50">
        <v>45344</v>
      </c>
      <c r="E140" s="397">
        <v>22022024</v>
      </c>
      <c r="F140" s="395" t="s">
        <v>2283</v>
      </c>
      <c r="G140" s="81">
        <v>214</v>
      </c>
      <c r="H140" s="81">
        <f>extracto_banco_mes2[[#This Row],[NETO]]*0.21</f>
        <v>44.94</v>
      </c>
      <c r="I140" s="81"/>
      <c r="J140" s="81">
        <v>663.4</v>
      </c>
      <c r="K140" s="81"/>
      <c r="L140" s="81"/>
    </row>
    <row r="141" spans="2:18">
      <c r="D141" s="50">
        <v>45351</v>
      </c>
      <c r="E141" s="397">
        <v>20240229</v>
      </c>
      <c r="F141" s="80" t="s">
        <v>2284</v>
      </c>
      <c r="G141" s="81">
        <f>553.5+1089+2602.8+468+738+475.2+963+184.5+1017+1818+401.4+540+184.5+255.6+1089+553.5+369+369+490.5+314+684+289.6+342.8+368.8+391.2+430.4+1001.2+359.6+190+490+532.4+29.6+478+554+407.2+865.2</f>
        <v>21889.5</v>
      </c>
      <c r="H141" s="81">
        <f>extracto_banco_mes2[[#This Row],[NETO]]*0.21</f>
        <v>4596.7950000000001</v>
      </c>
      <c r="I141" s="81"/>
      <c r="J141" s="81">
        <f>754.91+1485.28+2382.44+638.3+1006.55+648.12+1313.43+251.64+1387.08+503.28+503.28+668.99</f>
        <v>11543.300000000001</v>
      </c>
      <c r="K141" s="81">
        <f>16.2+78.08</f>
        <v>94.28</v>
      </c>
      <c r="L141" s="81"/>
    </row>
    <row r="142" spans="2:18">
      <c r="D142" s="50"/>
      <c r="E142" s="397"/>
      <c r="F142" s="80"/>
      <c r="G142" s="81"/>
      <c r="H142" s="81">
        <f>extracto_banco_mes2[[#This Row],[NETO]]*0.21</f>
        <v>0</v>
      </c>
      <c r="I142" s="81"/>
      <c r="J142" s="81"/>
      <c r="K142" s="81"/>
      <c r="L142" s="81"/>
    </row>
    <row r="143" spans="2:18">
      <c r="D143" s="82" t="s">
        <v>110</v>
      </c>
      <c r="E143" s="80"/>
      <c r="F143" s="80"/>
      <c r="G143" s="83">
        <f>SUBTOTAL(109,extracto_banco_mes2[NETO])</f>
        <v>24347.5</v>
      </c>
      <c r="H143" s="83">
        <f>SUBTOTAL(109,extracto_banco_mes2[IVA 21%])</f>
        <v>5112.9750000000004</v>
      </c>
      <c r="I143" s="83">
        <f>SUBTOTAL(109,extracto_banco_mes2[IVA 10,5%])</f>
        <v>0</v>
      </c>
      <c r="J143" s="83">
        <f>SUBTOTAL(109,extracto_banco_mes2[RET IIBB CABA])</f>
        <v>12454.7</v>
      </c>
      <c r="K143" s="83">
        <f>SUBTOTAL(109,extracto_banco_mes2[PERC IVA])</f>
        <v>94.28</v>
      </c>
      <c r="L143" s="83">
        <f>SUBTOTAL(109,extracto_banco_mes2[PERC IIBB])</f>
        <v>0</v>
      </c>
    </row>
    <row r="147" spans="4:11" ht="21">
      <c r="D147" s="665" t="s">
        <v>25</v>
      </c>
      <c r="E147" s="665"/>
      <c r="F147" s="665"/>
      <c r="G147" s="665"/>
      <c r="H147" s="665"/>
      <c r="I147" s="665"/>
      <c r="J147" s="665"/>
      <c r="K147" s="665"/>
    </row>
    <row r="148" spans="4:11">
      <c r="D148" s="51" t="s">
        <v>0</v>
      </c>
      <c r="E148" s="51" t="s">
        <v>2</v>
      </c>
      <c r="F148" s="51" t="s">
        <v>74</v>
      </c>
      <c r="G148" s="51" t="s">
        <v>3</v>
      </c>
      <c r="H148" s="51" t="s">
        <v>4</v>
      </c>
      <c r="I148" s="52" t="s">
        <v>10</v>
      </c>
      <c r="J148" s="51" t="s">
        <v>13</v>
      </c>
      <c r="K148" s="51" t="s">
        <v>38</v>
      </c>
    </row>
    <row r="149" spans="4:11">
      <c r="D149" s="50">
        <v>45324</v>
      </c>
      <c r="E149" s="133">
        <v>3</v>
      </c>
      <c r="F149" s="133">
        <v>300</v>
      </c>
      <c r="G149" s="134">
        <v>23306035444</v>
      </c>
      <c r="H149" s="135" t="str">
        <f>IFERROR(IF(factura_c_mes2[[#This Row],[CUIT]]="","-",VLOOKUP(factura_c_mes2[[#This Row],[CUIT]],Lista_CUIT[#All],2,0)),"CUIT NO CARGADO")</f>
        <v>NADIA TARANTINO</v>
      </c>
      <c r="I149" s="137">
        <v>52000</v>
      </c>
      <c r="J149" s="136" t="str">
        <f>IFERROR(IF(factura_c_mes2[[#This Row],[CUIT]]="","-",VLOOKUP(factura_c_mes2[[#This Row],[CUIT]],Lista_CUIT[#All],3,0)),"CUIT NO CARGADO")</f>
        <v>GASTOS CONTABLES</v>
      </c>
      <c r="K149" s="136">
        <f>IFERROR(IF(factura_c_mes2[[#This Row],[CUIT]]="","-",VLOOKUP(factura_c_mes2[[#This Row],[CUIT]],Lista_CUIT[#All],4,0)),"CUIT NO CARGADO")</f>
        <v>0</v>
      </c>
    </row>
    <row r="150" spans="4:11">
      <c r="D150" s="50">
        <v>45327</v>
      </c>
      <c r="E150" s="133">
        <v>1</v>
      </c>
      <c r="F150" s="133">
        <v>58</v>
      </c>
      <c r="G150" s="134">
        <v>20403969886</v>
      </c>
      <c r="H150" s="135" t="str">
        <f>IFERROR(IF(factura_c_mes2[[#This Row],[CUIT]]="","-",VLOOKUP(factura_c_mes2[[#This Row],[CUIT]],Lista_CUIT[#All],2,0)),"CUIT NO CARGADO")</f>
        <v>DEL GESSO FRANCO JESUS</v>
      </c>
      <c r="I150" s="137">
        <v>415000</v>
      </c>
      <c r="J150" s="136" t="str">
        <f>IFERROR(IF(factura_c_mes2[[#This Row],[CUIT]]="","-",VLOOKUP(factura_c_mes2[[#This Row],[CUIT]],Lista_CUIT[#All],3,0)),"CUIT NO CARGADO")</f>
        <v>GASTOS ADMINISTRATIVOS</v>
      </c>
      <c r="K150" s="136">
        <f>IFERROR(IF(factura_c_mes2[[#This Row],[CUIT]]="","-",VLOOKUP(factura_c_mes2[[#This Row],[CUIT]],Lista_CUIT[#All],4,0)),"CUIT NO CARGADO")</f>
        <v>0</v>
      </c>
    </row>
    <row r="151" spans="4:11">
      <c r="D151" s="50">
        <v>45327</v>
      </c>
      <c r="E151" s="133">
        <v>2</v>
      </c>
      <c r="F151" s="133">
        <v>250</v>
      </c>
      <c r="G151" s="134">
        <v>27265832178</v>
      </c>
      <c r="H151" s="135" t="str">
        <f>IFERROR(IF(factura_c_mes2[[#This Row],[CUIT]]="","-",VLOOKUP(factura_c_mes2[[#This Row],[CUIT]],Lista_CUIT[#All],2,0)),"CUIT NO CARGADO")</f>
        <v>BLASCO MARIA GUADALUPE</v>
      </c>
      <c r="I151" s="137">
        <v>150000</v>
      </c>
      <c r="J151" s="136" t="str">
        <f>IFERROR(IF(factura_c_mes2[[#This Row],[CUIT]]="","-",VLOOKUP(factura_c_mes2[[#This Row],[CUIT]],Lista_CUIT[#All],3,0)),"CUIT NO CARGADO")</f>
        <v>Productos Ortopedicos</v>
      </c>
      <c r="K151" s="136">
        <f>IFERROR(IF(factura_c_mes2[[#This Row],[CUIT]]="","-",VLOOKUP(factura_c_mes2[[#This Row],[CUIT]],Lista_CUIT[#All],4,0)),"CUIT NO CARGADO")</f>
        <v>0</v>
      </c>
    </row>
    <row r="152" spans="4:11">
      <c r="D152" s="50">
        <v>45327</v>
      </c>
      <c r="E152" s="133">
        <v>3</v>
      </c>
      <c r="F152" s="133">
        <v>816</v>
      </c>
      <c r="G152" s="134">
        <v>20086277523</v>
      </c>
      <c r="H152" s="135" t="str">
        <f>IFERROR(IF(factura_c_mes2[[#This Row],[CUIT]]="","-",VLOOKUP(factura_c_mes2[[#This Row],[CUIT]],Lista_CUIT[#All],2,0)),"CUIT NO CARGADO")</f>
        <v>BOTINDARI JUAN CARLOS</v>
      </c>
      <c r="I152" s="137">
        <v>210000</v>
      </c>
      <c r="J152" s="136" t="str">
        <f>IFERROR(IF(factura_c_mes2[[#This Row],[CUIT]]="","-",VLOOKUP(factura_c_mes2[[#This Row],[CUIT]],Lista_CUIT[#All],3,0)),"CUIT NO CARGADO")</f>
        <v>HONORARIOS</v>
      </c>
      <c r="K152" s="136">
        <f>IFERROR(IF(factura_c_mes2[[#This Row],[CUIT]]="","-",VLOOKUP(factura_c_mes2[[#This Row],[CUIT]],Lista_CUIT[#All],4,0)),"CUIT NO CARGADO")</f>
        <v>0</v>
      </c>
    </row>
    <row r="153" spans="4:11">
      <c r="D153" s="50">
        <v>45327</v>
      </c>
      <c r="E153" s="133">
        <v>1</v>
      </c>
      <c r="F153" s="133">
        <v>57</v>
      </c>
      <c r="G153" s="134">
        <v>20403969886</v>
      </c>
      <c r="H153" s="135" t="str">
        <f>IFERROR(IF(factura_c_mes2[[#This Row],[CUIT]]="","-",VLOOKUP(factura_c_mes2[[#This Row],[CUIT]],Lista_CUIT[#All],2,0)),"CUIT NO CARGADO")</f>
        <v>DEL GESSO FRANCO JESUS</v>
      </c>
      <c r="I153" s="137">
        <v>380970</v>
      </c>
      <c r="J153" s="136" t="str">
        <f>IFERROR(IF(factura_c_mes2[[#This Row],[CUIT]]="","-",VLOOKUP(factura_c_mes2[[#This Row],[CUIT]],Lista_CUIT[#All],3,0)),"CUIT NO CARGADO")</f>
        <v>GASTOS ADMINISTRATIVOS</v>
      </c>
      <c r="K153" s="136">
        <f>IFERROR(IF(factura_c_mes2[[#This Row],[CUIT]]="","-",VLOOKUP(factura_c_mes2[[#This Row],[CUIT]],Lista_CUIT[#All],4,0)),"CUIT NO CARGADO")</f>
        <v>0</v>
      </c>
    </row>
    <row r="154" spans="4:11">
      <c r="D154" s="50">
        <v>45328</v>
      </c>
      <c r="E154" s="133">
        <v>1</v>
      </c>
      <c r="F154" s="133">
        <v>61</v>
      </c>
      <c r="G154" s="134">
        <v>20299835260</v>
      </c>
      <c r="H154" s="135" t="str">
        <f>IFERROR(IF(factura_c_mes2[[#This Row],[CUIT]]="","-",VLOOKUP(factura_c_mes2[[#This Row],[CUIT]],Lista_CUIT[#All],2,0)),"CUIT NO CARGADO")</f>
        <v>MALGAREJO NICOLAS EMILIO</v>
      </c>
      <c r="I154" s="137">
        <v>235000</v>
      </c>
      <c r="J154" s="136" t="str">
        <f>IFERROR(IF(factura_c_mes2[[#This Row],[CUIT]]="","-",VLOOKUP(factura_c_mes2[[#This Row],[CUIT]],Lista_CUIT[#All],3,0)),"CUIT NO CARGADO")</f>
        <v>Productos Ortopedicos</v>
      </c>
      <c r="K154" s="136">
        <f>IFERROR(IF(factura_c_mes2[[#This Row],[CUIT]]="","-",VLOOKUP(factura_c_mes2[[#This Row],[CUIT]],Lista_CUIT[#All],4,0)),"CUIT NO CARGADO")</f>
        <v>0</v>
      </c>
    </row>
    <row r="155" spans="4:11">
      <c r="D155" s="50">
        <v>45328</v>
      </c>
      <c r="E155" s="133">
        <v>3</v>
      </c>
      <c r="F155" s="133">
        <v>869</v>
      </c>
      <c r="G155" s="134">
        <v>20216451679</v>
      </c>
      <c r="H155" s="135" t="str">
        <f>IFERROR(IF(factura_c_mes2[[#This Row],[CUIT]]="","-",VLOOKUP(factura_c_mes2[[#This Row],[CUIT]],Lista_CUIT[#All],2,0)),"CUIT NO CARGADO")</f>
        <v>VAZQUEZ RICARDO OSCAR</v>
      </c>
      <c r="I155" s="137">
        <v>140000</v>
      </c>
      <c r="J155" s="136" t="str">
        <f>IFERROR(IF(factura_c_mes2[[#This Row],[CUIT]]="","-",VLOOKUP(factura_c_mes2[[#This Row],[CUIT]],Lista_CUIT[#All],3,0)),"CUIT NO CARGADO")</f>
        <v>Productos Ortopedicos</v>
      </c>
      <c r="K155" s="136">
        <f>IFERROR(IF(factura_c_mes2[[#This Row],[CUIT]]="","-",VLOOKUP(factura_c_mes2[[#This Row],[CUIT]],Lista_CUIT[#All],4,0)),"CUIT NO CARGADO")</f>
        <v>0</v>
      </c>
    </row>
    <row r="156" spans="4:11">
      <c r="D156" s="50">
        <v>45328</v>
      </c>
      <c r="E156" s="133">
        <v>1</v>
      </c>
      <c r="F156" s="133">
        <v>62</v>
      </c>
      <c r="G156" s="134">
        <v>20299835260</v>
      </c>
      <c r="H156" s="135" t="str">
        <f>IFERROR(IF(factura_c_mes2[[#This Row],[CUIT]]="","-",VLOOKUP(factura_c_mes2[[#This Row],[CUIT]],Lista_CUIT[#All],2,0)),"CUIT NO CARGADO")</f>
        <v>MALGAREJO NICOLAS EMILIO</v>
      </c>
      <c r="I156" s="137">
        <v>215000</v>
      </c>
      <c r="J156" s="136" t="str">
        <f>IFERROR(IF(factura_c_mes2[[#This Row],[CUIT]]="","-",VLOOKUP(factura_c_mes2[[#This Row],[CUIT]],Lista_CUIT[#All],3,0)),"CUIT NO CARGADO")</f>
        <v>Productos Ortopedicos</v>
      </c>
      <c r="K156" s="136">
        <f>IFERROR(IF(factura_c_mes2[[#This Row],[CUIT]]="","-",VLOOKUP(factura_c_mes2[[#This Row],[CUIT]],Lista_CUIT[#All],4,0)),"CUIT NO CARGADO")</f>
        <v>0</v>
      </c>
    </row>
    <row r="157" spans="4:11">
      <c r="D157" s="50">
        <v>45329</v>
      </c>
      <c r="E157" s="133">
        <v>2</v>
      </c>
      <c r="F157" s="133">
        <v>110</v>
      </c>
      <c r="G157" s="134">
        <v>20220423655</v>
      </c>
      <c r="H157" s="135" t="str">
        <f>IFERROR(IF(factura_c_mes2[[#This Row],[CUIT]]="","-",VLOOKUP(factura_c_mes2[[#This Row],[CUIT]],Lista_CUIT[#All],2,0)),"CUIT NO CARGADO")</f>
        <v>LANDRO FERNANDO GABRIEL</v>
      </c>
      <c r="I157" s="137">
        <v>353780</v>
      </c>
      <c r="J157" s="136" t="str">
        <f>IFERROR(IF(factura_c_mes2[[#This Row],[CUIT]]="","-",VLOOKUP(factura_c_mes2[[#This Row],[CUIT]],Lista_CUIT[#All],3,0)),"CUIT NO CARGADO")</f>
        <v>GESTION COBRANZAS</v>
      </c>
      <c r="K157" s="136">
        <f>IFERROR(IF(factura_c_mes2[[#This Row],[CUIT]]="","-",VLOOKUP(factura_c_mes2[[#This Row],[CUIT]],Lista_CUIT[#All],4,0)),"CUIT NO CARGADO")</f>
        <v>0</v>
      </c>
    </row>
    <row r="158" spans="4:11">
      <c r="D158" s="50">
        <v>45329</v>
      </c>
      <c r="E158" s="133">
        <v>2</v>
      </c>
      <c r="F158" s="133">
        <v>109</v>
      </c>
      <c r="G158" s="134">
        <v>20220423655</v>
      </c>
      <c r="H158" s="135" t="str">
        <f>IFERROR(IF(factura_c_mes2[[#This Row],[CUIT]]="","-",VLOOKUP(factura_c_mes2[[#This Row],[CUIT]],Lista_CUIT[#All],2,0)),"CUIT NO CARGADO")</f>
        <v>LANDRO FERNANDO GABRIEL</v>
      </c>
      <c r="I158" s="137">
        <v>370520</v>
      </c>
      <c r="J158" s="136" t="str">
        <f>IFERROR(IF(factura_c_mes2[[#This Row],[CUIT]]="","-",VLOOKUP(factura_c_mes2[[#This Row],[CUIT]],Lista_CUIT[#All],3,0)),"CUIT NO CARGADO")</f>
        <v>GESTION COBRANZAS</v>
      </c>
      <c r="K158" s="136">
        <f>IFERROR(IF(factura_c_mes2[[#This Row],[CUIT]]="","-",VLOOKUP(factura_c_mes2[[#This Row],[CUIT]],Lista_CUIT[#All],4,0)),"CUIT NO CARGADO")</f>
        <v>0</v>
      </c>
    </row>
    <row r="159" spans="4:11">
      <c r="D159" s="50">
        <v>45331</v>
      </c>
      <c r="E159" s="133">
        <v>1</v>
      </c>
      <c r="F159" s="133">
        <v>122</v>
      </c>
      <c r="G159" s="134">
        <v>27338342840</v>
      </c>
      <c r="H159" s="135" t="str">
        <f>IFERROR(IF(factura_c_mes2[[#This Row],[CUIT]]="","-",VLOOKUP(factura_c_mes2[[#This Row],[CUIT]],Lista_CUIT[#All],2,0)),"CUIT NO CARGADO")</f>
        <v>CANCINO PAMELA RITA</v>
      </c>
      <c r="I159" s="137">
        <v>196000</v>
      </c>
      <c r="J159" s="136" t="str">
        <f>IFERROR(IF(factura_c_mes2[[#This Row],[CUIT]]="","-",VLOOKUP(factura_c_mes2[[#This Row],[CUIT]],Lista_CUIT[#All],3,0)),"CUIT NO CARGADO")</f>
        <v>Productos Ortopedicos</v>
      </c>
      <c r="K159" s="136">
        <f>IFERROR(IF(factura_c_mes2[[#This Row],[CUIT]]="","-",VLOOKUP(factura_c_mes2[[#This Row],[CUIT]],Lista_CUIT[#All],4,0)),"CUIT NO CARGADO")</f>
        <v>0</v>
      </c>
    </row>
    <row r="160" spans="4:11">
      <c r="D160" s="50">
        <v>45335</v>
      </c>
      <c r="E160" s="133">
        <v>1</v>
      </c>
      <c r="F160" s="133">
        <v>196</v>
      </c>
      <c r="G160" s="134">
        <v>27217606255</v>
      </c>
      <c r="H160" s="135" t="str">
        <f>IFERROR(IF(factura_c_mes2[[#This Row],[CUIT]]="","-",VLOOKUP(factura_c_mes2[[#This Row],[CUIT]],Lista_CUIT[#All],2,0)),"CUIT NO CARGADO")</f>
        <v>SAPUNA MARIAN KARINA</v>
      </c>
      <c r="I160" s="137">
        <v>69700</v>
      </c>
      <c r="J160" s="136" t="str">
        <f>IFERROR(IF(factura_c_mes2[[#This Row],[CUIT]]="","-",VLOOKUP(factura_c_mes2[[#This Row],[CUIT]],Lista_CUIT[#All],3,0)),"CUIT NO CARGADO")</f>
        <v>MANTENIMIENTO</v>
      </c>
      <c r="K160" s="136">
        <f>IFERROR(IF(factura_c_mes2[[#This Row],[CUIT]]="","-",VLOOKUP(factura_c_mes2[[#This Row],[CUIT]],Lista_CUIT[#All],4,0)),"CUIT NO CARGADO")</f>
        <v>0</v>
      </c>
    </row>
    <row r="161" spans="4:11">
      <c r="D161" s="50">
        <v>45335</v>
      </c>
      <c r="E161" s="133">
        <v>1</v>
      </c>
      <c r="F161" s="133">
        <v>195</v>
      </c>
      <c r="G161" s="134">
        <v>27217606255</v>
      </c>
      <c r="H161" s="135" t="str">
        <f>IFERROR(IF(factura_c_mes2[[#This Row],[CUIT]]="","-",VLOOKUP(factura_c_mes2[[#This Row],[CUIT]],Lista_CUIT[#All],2,0)),"CUIT NO CARGADO")</f>
        <v>SAPUNA MARIAN KARINA</v>
      </c>
      <c r="I161" s="137">
        <v>110500</v>
      </c>
      <c r="J161" s="136" t="str">
        <f>IFERROR(IF(factura_c_mes2[[#This Row],[CUIT]]="","-",VLOOKUP(factura_c_mes2[[#This Row],[CUIT]],Lista_CUIT[#All],3,0)),"CUIT NO CARGADO")</f>
        <v>MANTENIMIENTO</v>
      </c>
      <c r="K161" s="136">
        <f>IFERROR(IF(factura_c_mes2[[#This Row],[CUIT]]="","-",VLOOKUP(factura_c_mes2[[#This Row],[CUIT]],Lista_CUIT[#All],4,0)),"CUIT NO CARGADO")</f>
        <v>0</v>
      </c>
    </row>
    <row r="162" spans="4:11">
      <c r="D162" s="50">
        <v>45336</v>
      </c>
      <c r="E162" s="133">
        <v>1</v>
      </c>
      <c r="F162" s="133">
        <v>197</v>
      </c>
      <c r="G162" s="134">
        <v>27217606255</v>
      </c>
      <c r="H162" s="135" t="str">
        <f>IFERROR(IF(factura_c_mes2[[#This Row],[CUIT]]="","-",VLOOKUP(factura_c_mes2[[#This Row],[CUIT]],Lista_CUIT[#All],2,0)),"CUIT NO CARGADO")</f>
        <v>SAPUNA MARIAN KARINA</v>
      </c>
      <c r="I162" s="137">
        <v>78640</v>
      </c>
      <c r="J162" s="136" t="str">
        <f>IFERROR(IF(factura_c_mes2[[#This Row],[CUIT]]="","-",VLOOKUP(factura_c_mes2[[#This Row],[CUIT]],Lista_CUIT[#All],3,0)),"CUIT NO CARGADO")</f>
        <v>MANTENIMIENTO</v>
      </c>
      <c r="K162" s="136">
        <f>IFERROR(IF(factura_c_mes2[[#This Row],[CUIT]]="","-",VLOOKUP(factura_c_mes2[[#This Row],[CUIT]],Lista_CUIT[#All],4,0)),"CUIT NO CARGADO")</f>
        <v>0</v>
      </c>
    </row>
    <row r="163" spans="4:11">
      <c r="D163" s="50">
        <v>45337</v>
      </c>
      <c r="E163" s="133">
        <v>1</v>
      </c>
      <c r="F163" s="133">
        <v>6</v>
      </c>
      <c r="G163" s="134">
        <v>27443612705</v>
      </c>
      <c r="H163" s="135" t="str">
        <f>IFERROR(IF(factura_c_mes2[[#This Row],[CUIT]]="","-",VLOOKUP(factura_c_mes2[[#This Row],[CUIT]],Lista_CUIT[#All],2,0)),"CUIT NO CARGADO")</f>
        <v>MIGOYA MORIONDO MARIA INES</v>
      </c>
      <c r="I163" s="137">
        <v>300000</v>
      </c>
      <c r="J163" s="136" t="str">
        <f>IFERROR(IF(factura_c_mes2[[#This Row],[CUIT]]="","-",VLOOKUP(factura_c_mes2[[#This Row],[CUIT]],Lista_CUIT[#All],3,0)),"CUIT NO CARGADO")</f>
        <v>ALQUILERES PAGADOS</v>
      </c>
      <c r="K163" s="136">
        <f>IFERROR(IF(factura_c_mes2[[#This Row],[CUIT]]="","-",VLOOKUP(factura_c_mes2[[#This Row],[CUIT]],Lista_CUIT[#All],4,0)),"CUIT NO CARGADO")</f>
        <v>0</v>
      </c>
    </row>
    <row r="164" spans="4:11">
      <c r="D164" s="50">
        <v>45337</v>
      </c>
      <c r="E164" s="133">
        <v>1</v>
      </c>
      <c r="F164" s="133">
        <v>198</v>
      </c>
      <c r="G164" s="134">
        <v>27217606255</v>
      </c>
      <c r="H164" s="135" t="str">
        <f>IFERROR(IF(factura_c_mes2[[#This Row],[CUIT]]="","-",VLOOKUP(factura_c_mes2[[#This Row],[CUIT]],Lista_CUIT[#All],2,0)),"CUIT NO CARGADO")</f>
        <v>SAPUNA MARIAN KARINA</v>
      </c>
      <c r="I164" s="137">
        <v>62352.85</v>
      </c>
      <c r="J164" s="136" t="str">
        <f>IFERROR(IF(factura_c_mes2[[#This Row],[CUIT]]="","-",VLOOKUP(factura_c_mes2[[#This Row],[CUIT]],Lista_CUIT[#All],3,0)),"CUIT NO CARGADO")</f>
        <v>MANTENIMIENTO</v>
      </c>
      <c r="K164" s="136">
        <f>IFERROR(IF(factura_c_mes2[[#This Row],[CUIT]]="","-",VLOOKUP(factura_c_mes2[[#This Row],[CUIT]],Lista_CUIT[#All],4,0)),"CUIT NO CARGADO")</f>
        <v>0</v>
      </c>
    </row>
    <row r="165" spans="4:11">
      <c r="D165" s="50">
        <v>45338</v>
      </c>
      <c r="E165" s="133">
        <v>1</v>
      </c>
      <c r="F165" s="133">
        <v>200</v>
      </c>
      <c r="G165" s="134">
        <v>27217606255</v>
      </c>
      <c r="H165" s="135" t="str">
        <f>IFERROR(IF(factura_c_mes2[[#This Row],[CUIT]]="","-",VLOOKUP(factura_c_mes2[[#This Row],[CUIT]],Lista_CUIT[#All],2,0)),"CUIT NO CARGADO")</f>
        <v>SAPUNA MARIAN KARINA</v>
      </c>
      <c r="I165" s="137">
        <v>36473.79</v>
      </c>
      <c r="J165" s="136" t="str">
        <f>IFERROR(IF(factura_c_mes2[[#This Row],[CUIT]]="","-",VLOOKUP(factura_c_mes2[[#This Row],[CUIT]],Lista_CUIT[#All],3,0)),"CUIT NO CARGADO")</f>
        <v>MANTENIMIENTO</v>
      </c>
      <c r="K165" s="136">
        <f>IFERROR(IF(factura_c_mes2[[#This Row],[CUIT]]="","-",VLOOKUP(factura_c_mes2[[#This Row],[CUIT]],Lista_CUIT[#All],4,0)),"CUIT NO CARGADO")</f>
        <v>0</v>
      </c>
    </row>
    <row r="166" spans="4:11">
      <c r="D166" s="50">
        <v>45338</v>
      </c>
      <c r="E166" s="133">
        <v>1</v>
      </c>
      <c r="F166" s="133">
        <v>199</v>
      </c>
      <c r="G166" s="134">
        <v>27217606255</v>
      </c>
      <c r="H166" s="135" t="str">
        <f>IFERROR(IF(factura_c_mes2[[#This Row],[CUIT]]="","-",VLOOKUP(factura_c_mes2[[#This Row],[CUIT]],Lista_CUIT[#All],2,0)),"CUIT NO CARGADO")</f>
        <v>SAPUNA MARIAN KARINA</v>
      </c>
      <c r="I166" s="137">
        <v>41820.120000000003</v>
      </c>
      <c r="J166" s="136" t="str">
        <f>IFERROR(IF(factura_c_mes2[[#This Row],[CUIT]]="","-",VLOOKUP(factura_c_mes2[[#This Row],[CUIT]],Lista_CUIT[#All],3,0)),"CUIT NO CARGADO")</f>
        <v>MANTENIMIENTO</v>
      </c>
      <c r="K166" s="136">
        <f>IFERROR(IF(factura_c_mes2[[#This Row],[CUIT]]="","-",VLOOKUP(factura_c_mes2[[#This Row],[CUIT]],Lista_CUIT[#All],4,0)),"CUIT NO CARGADO")</f>
        <v>0</v>
      </c>
    </row>
    <row r="167" spans="4:11">
      <c r="D167" s="50">
        <v>45339</v>
      </c>
      <c r="E167" s="133">
        <v>1</v>
      </c>
      <c r="F167" s="133">
        <v>201</v>
      </c>
      <c r="G167" s="134">
        <v>27217606255</v>
      </c>
      <c r="H167" s="135" t="str">
        <f>IFERROR(IF(factura_c_mes2[[#This Row],[CUIT]]="","-",VLOOKUP(factura_c_mes2[[#This Row],[CUIT]],Lista_CUIT[#All],2,0)),"CUIT NO CARGADO")</f>
        <v>SAPUNA MARIAN KARINA</v>
      </c>
      <c r="I167" s="137">
        <v>40513.24</v>
      </c>
      <c r="J167" s="136" t="str">
        <f>IFERROR(IF(factura_c_mes2[[#This Row],[CUIT]]="","-",VLOOKUP(factura_c_mes2[[#This Row],[CUIT]],Lista_CUIT[#All],3,0)),"CUIT NO CARGADO")</f>
        <v>MANTENIMIENTO</v>
      </c>
      <c r="K167" s="136">
        <f>IFERROR(IF(factura_c_mes2[[#This Row],[CUIT]]="","-",VLOOKUP(factura_c_mes2[[#This Row],[CUIT]],Lista_CUIT[#All],4,0)),"CUIT NO CARGADO")</f>
        <v>0</v>
      </c>
    </row>
    <row r="168" spans="4:11">
      <c r="D168" s="50">
        <v>45341</v>
      </c>
      <c r="E168" s="133">
        <v>3</v>
      </c>
      <c r="F168" s="133">
        <v>303</v>
      </c>
      <c r="G168" s="134">
        <v>23306035444</v>
      </c>
      <c r="H168" s="135" t="str">
        <f>IFERROR(IF(factura_c_mes2[[#This Row],[CUIT]]="","-",VLOOKUP(factura_c_mes2[[#This Row],[CUIT]],Lista_CUIT[#All],2,0)),"CUIT NO CARGADO")</f>
        <v>NADIA TARANTINO</v>
      </c>
      <c r="I168" s="364">
        <v>171100</v>
      </c>
      <c r="J168" s="136" t="str">
        <f>IFERROR(IF(factura_c_mes2[[#This Row],[CUIT]]="","-",VLOOKUP(factura_c_mes2[[#This Row],[CUIT]],Lista_CUIT[#All],3,0)),"CUIT NO CARGADO")</f>
        <v>GASTOS CONTABLES</v>
      </c>
      <c r="K168" s="136">
        <f>IFERROR(IF(factura_c_mes2[[#This Row],[CUIT]]="","-",VLOOKUP(factura_c_mes2[[#This Row],[CUIT]],Lista_CUIT[#All],4,0)),"CUIT NO CARGADO")</f>
        <v>0</v>
      </c>
    </row>
    <row r="169" spans="4:11">
      <c r="D169" s="50">
        <v>45341</v>
      </c>
      <c r="E169" s="133">
        <v>2</v>
      </c>
      <c r="F169" s="133">
        <v>253</v>
      </c>
      <c r="G169" s="134">
        <v>27265832178</v>
      </c>
      <c r="H169" s="135" t="str">
        <f>IFERROR(IF(factura_c_mes2[[#This Row],[CUIT]]="","-",VLOOKUP(factura_c_mes2[[#This Row],[CUIT]],Lista_CUIT[#All],2,0)),"CUIT NO CARGADO")</f>
        <v>BLASCO MARIA GUADALUPE</v>
      </c>
      <c r="I169" s="137">
        <v>150000</v>
      </c>
      <c r="J169" s="136" t="str">
        <f>IFERROR(IF(factura_c_mes2[[#This Row],[CUIT]]="","-",VLOOKUP(factura_c_mes2[[#This Row],[CUIT]],Lista_CUIT[#All],3,0)),"CUIT NO CARGADO")</f>
        <v>Productos Ortopedicos</v>
      </c>
      <c r="K169" s="136">
        <f>IFERROR(IF(factura_c_mes2[[#This Row],[CUIT]]="","-",VLOOKUP(factura_c_mes2[[#This Row],[CUIT]],Lista_CUIT[#All],4,0)),"CUIT NO CARGADO")</f>
        <v>0</v>
      </c>
    </row>
    <row r="170" spans="4:11">
      <c r="D170" s="50">
        <v>45341</v>
      </c>
      <c r="E170" s="133">
        <v>3</v>
      </c>
      <c r="F170" s="133">
        <v>871</v>
      </c>
      <c r="G170" s="134">
        <v>20216451679</v>
      </c>
      <c r="H170" s="135" t="str">
        <f>IFERROR(IF(factura_c_mes2[[#This Row],[CUIT]]="","-",VLOOKUP(factura_c_mes2[[#This Row],[CUIT]],Lista_CUIT[#All],2,0)),"CUIT NO CARGADO")</f>
        <v>VAZQUEZ RICARDO OSCAR</v>
      </c>
      <c r="I170" s="137">
        <v>190000</v>
      </c>
      <c r="J170" s="136" t="str">
        <f>IFERROR(IF(factura_c_mes2[[#This Row],[CUIT]]="","-",VLOOKUP(factura_c_mes2[[#This Row],[CUIT]],Lista_CUIT[#All],3,0)),"CUIT NO CARGADO")</f>
        <v>Productos Ortopedicos</v>
      </c>
      <c r="K170" s="136">
        <f>IFERROR(IF(factura_c_mes2[[#This Row],[CUIT]]="","-",VLOOKUP(factura_c_mes2[[#This Row],[CUIT]],Lista_CUIT[#All],4,0)),"CUIT NO CARGADO")</f>
        <v>0</v>
      </c>
    </row>
    <row r="171" spans="4:11">
      <c r="D171" s="50">
        <v>45343</v>
      </c>
      <c r="E171" s="133">
        <v>3</v>
      </c>
      <c r="F171" s="133">
        <v>8310</v>
      </c>
      <c r="G171" s="134">
        <v>20167634436</v>
      </c>
      <c r="H171" s="135" t="str">
        <f>IFERROR(IF(factura_c_mes2[[#This Row],[CUIT]]="","-",VLOOKUP(factura_c_mes2[[#This Row],[CUIT]],Lista_CUIT[#All],2,0)),"CUIT NO CARGADO")</f>
        <v>DEMARIA AUGUSTO CARLOS</v>
      </c>
      <c r="I171" s="137">
        <v>4570</v>
      </c>
      <c r="J171" s="136" t="str">
        <f>IFERROR(IF(factura_c_mes2[[#This Row],[CUIT]]="","-",VLOOKUP(factura_c_mes2[[#This Row],[CUIT]],Lista_CUIT[#All],3,0)),"CUIT NO CARGADO")</f>
        <v>Gastos Varios</v>
      </c>
      <c r="K171" s="136">
        <f>IFERROR(IF(factura_c_mes2[[#This Row],[CUIT]]="","-",VLOOKUP(factura_c_mes2[[#This Row],[CUIT]],Lista_CUIT[#All],4,0)),"CUIT NO CARGADO")</f>
        <v>0</v>
      </c>
    </row>
    <row r="172" spans="4:11">
      <c r="D172" s="50">
        <v>45344</v>
      </c>
      <c r="E172" s="133">
        <v>1</v>
      </c>
      <c r="F172" s="133">
        <v>63</v>
      </c>
      <c r="G172" s="134">
        <v>23281233084</v>
      </c>
      <c r="H172" s="135" t="str">
        <f>IFERROR(IF(factura_c_mes2[[#This Row],[CUIT]]="","-",VLOOKUP(factura_c_mes2[[#This Row],[CUIT]],Lista_CUIT[#All],2,0)),"CUIT NO CARGADO")</f>
        <v>DRUETTA ANDREA MARIEL</v>
      </c>
      <c r="I172" s="137">
        <v>107900</v>
      </c>
      <c r="J172" s="136" t="str">
        <f>IFERROR(IF(factura_c_mes2[[#This Row],[CUIT]]="","-",VLOOKUP(factura_c_mes2[[#This Row],[CUIT]],Lista_CUIT[#All],3,0)),"CUIT NO CARGADO")</f>
        <v>HONORARIOS TECNICOS</v>
      </c>
      <c r="K172" s="136">
        <f>IFERROR(IF(factura_c_mes2[[#This Row],[CUIT]]="","-",VLOOKUP(factura_c_mes2[[#This Row],[CUIT]],Lista_CUIT[#All],4,0)),"CUIT NO CARGADO")</f>
        <v>0</v>
      </c>
    </row>
    <row r="173" spans="4:11">
      <c r="D173" s="50">
        <v>45351</v>
      </c>
      <c r="E173" s="133">
        <v>1</v>
      </c>
      <c r="F173" s="133">
        <v>124</v>
      </c>
      <c r="G173" s="134">
        <v>27338342840</v>
      </c>
      <c r="H173" s="135" t="str">
        <f>IFERROR(IF(factura_c_mes2[[#This Row],[CUIT]]="","-",VLOOKUP(factura_c_mes2[[#This Row],[CUIT]],Lista_CUIT[#All],2,0)),"CUIT NO CARGADO")</f>
        <v>CANCINO PAMELA RITA</v>
      </c>
      <c r="I173" s="137">
        <v>373000</v>
      </c>
      <c r="J173" s="136" t="str">
        <f>IFERROR(IF(factura_c_mes2[[#This Row],[CUIT]]="","-",VLOOKUP(factura_c_mes2[[#This Row],[CUIT]],Lista_CUIT[#All],3,0)),"CUIT NO CARGADO")</f>
        <v>Productos Ortopedicos</v>
      </c>
      <c r="K173" s="136">
        <f>IFERROR(IF(factura_c_mes2[[#This Row],[CUIT]]="","-",VLOOKUP(factura_c_mes2[[#This Row],[CUIT]],Lista_CUIT[#All],4,0)),"CUIT NO CARGADO")</f>
        <v>0</v>
      </c>
    </row>
    <row r="174" spans="4:11">
      <c r="D174" s="50">
        <v>45350</v>
      </c>
      <c r="E174" s="133">
        <v>7</v>
      </c>
      <c r="F174" s="133">
        <v>8700</v>
      </c>
      <c r="G174" s="134">
        <v>20262744672</v>
      </c>
      <c r="H174" s="135" t="str">
        <f>IFERROR(IF(factura_c_mes2[[#This Row],[CUIT]]="","-",VLOOKUP(factura_c_mes2[[#This Row],[CUIT]],Lista_CUIT[#All],2,0)),"CUIT NO CARGADO")</f>
        <v>CENTURION MARCO ANTONIO</v>
      </c>
      <c r="I174" s="137">
        <v>204000</v>
      </c>
      <c r="J174" s="136">
        <f>IFERROR(IF(factura_c_mes2[[#This Row],[CUIT]]="","-",VLOOKUP(factura_c_mes2[[#This Row],[CUIT]],Lista_CUIT[#All],3,0)),"CUIT NO CARGADO")</f>
        <v>0</v>
      </c>
      <c r="K174" s="136">
        <f>IFERROR(IF(factura_c_mes2[[#This Row],[CUIT]]="","-",VLOOKUP(factura_c_mes2[[#This Row],[CUIT]],Lista_CUIT[#All],4,0)),"CUIT NO CARGADO")</f>
        <v>0</v>
      </c>
    </row>
    <row r="175" spans="4:11">
      <c r="D175" s="50">
        <v>45329</v>
      </c>
      <c r="E175" s="133">
        <v>12</v>
      </c>
      <c r="F175" s="133">
        <v>18</v>
      </c>
      <c r="G175" s="134">
        <v>27202892936</v>
      </c>
      <c r="H175" s="135" t="str">
        <f>IFERROR(IF(factura_c_mes2[[#This Row],[CUIT]]="","-",VLOOKUP(factura_c_mes2[[#This Row],[CUIT]],Lista_CUIT[#All],2,0)),"CUIT NO CARGADO")</f>
        <v>Moriondo, Adriana Ines</v>
      </c>
      <c r="I175" s="137">
        <v>1633905.58</v>
      </c>
      <c r="J175" s="136" t="str">
        <f>IFERROR(IF(factura_c_mes2[[#This Row],[CUIT]]="","-",VLOOKUP(factura_c_mes2[[#This Row],[CUIT]],Lista_CUIT[#All],3,0)),"CUIT NO CARGADO")</f>
        <v>Licencia Marca</v>
      </c>
      <c r="K175" s="136">
        <f>IFERROR(IF(factura_c_mes2[[#This Row],[CUIT]]="","-",VLOOKUP(factura_c_mes2[[#This Row],[CUIT]],Lista_CUIT[#All],4,0)),"CUIT NO CARGADO")</f>
        <v>0</v>
      </c>
    </row>
    <row r="176" spans="4:11">
      <c r="D176" s="50"/>
      <c r="E176" s="133"/>
      <c r="F176" s="133"/>
      <c r="G176" s="134"/>
      <c r="H176" s="135" t="str">
        <f>IFERROR(IF(factura_c_mes2[[#This Row],[CUIT]]="","-",VLOOKUP(factura_c_mes2[[#This Row],[CUIT]],Lista_CUIT[#All],2,0)),"CUIT NO CARGADO")</f>
        <v>-</v>
      </c>
      <c r="I176" s="137"/>
      <c r="J176" s="136" t="str">
        <f>IFERROR(IF(factura_c_mes2[[#This Row],[CUIT]]="","-",VLOOKUP(factura_c_mes2[[#This Row],[CUIT]],Lista_CUIT[#All],3,0)),"CUIT NO CARGADO")</f>
        <v>-</v>
      </c>
      <c r="K176" s="136" t="str">
        <f>IFERROR(IF(factura_c_mes2[[#This Row],[CUIT]]="","-",VLOOKUP(factura_c_mes2[[#This Row],[CUIT]],Lista_CUIT[#All],4,0)),"CUIT NO CARGADO")</f>
        <v>-</v>
      </c>
    </row>
    <row r="177" spans="2:18">
      <c r="D177" s="50"/>
      <c r="E177" s="133"/>
      <c r="F177" s="133"/>
      <c r="G177" s="134"/>
      <c r="H177" s="135" t="str">
        <f>IFERROR(IF(factura_c_mes2[[#This Row],[CUIT]]="","-",VLOOKUP(factura_c_mes2[[#This Row],[CUIT]],Lista_CUIT[#All],2,0)),"CUIT NO CARGADO")</f>
        <v>-</v>
      </c>
      <c r="I177" s="137"/>
      <c r="J177" s="136" t="str">
        <f>IFERROR(IF(factura_c_mes2[[#This Row],[CUIT]]="","-",VLOOKUP(factura_c_mes2[[#This Row],[CUIT]],Lista_CUIT[#All],3,0)),"CUIT NO CARGADO")</f>
        <v>-</v>
      </c>
      <c r="K177" s="136" t="str">
        <f>IFERROR(IF(factura_c_mes2[[#This Row],[CUIT]]="","-",VLOOKUP(factura_c_mes2[[#This Row],[CUIT]],Lista_CUIT[#All],4,0)),"CUIT NO CARGADO")</f>
        <v>-</v>
      </c>
    </row>
    <row r="178" spans="2:18">
      <c r="D178" s="50"/>
      <c r="E178" s="133"/>
      <c r="F178" s="133"/>
      <c r="G178" s="134"/>
      <c r="H178" s="135" t="str">
        <f>IFERROR(IF(factura_c_mes2[[#This Row],[CUIT]]="","-",VLOOKUP(factura_c_mes2[[#This Row],[CUIT]],Lista_CUIT[#All],2,0)),"CUIT NO CARGADO")</f>
        <v>-</v>
      </c>
      <c r="I178" s="137"/>
      <c r="J178" s="136" t="str">
        <f>IFERROR(IF(factura_c_mes2[[#This Row],[CUIT]]="","-",VLOOKUP(factura_c_mes2[[#This Row],[CUIT]],Lista_CUIT[#All],3,0)),"CUIT NO CARGADO")</f>
        <v>-</v>
      </c>
      <c r="K178" s="136" t="str">
        <f>IFERROR(IF(factura_c_mes2[[#This Row],[CUIT]]="","-",VLOOKUP(factura_c_mes2[[#This Row],[CUIT]],Lista_CUIT[#All],4,0)),"CUIT NO CARGADO")</f>
        <v>-</v>
      </c>
    </row>
    <row r="179" spans="2:18">
      <c r="D179" s="50"/>
      <c r="E179" s="133"/>
      <c r="F179" s="133"/>
      <c r="G179" s="134"/>
      <c r="H179" s="135" t="str">
        <f>IFERROR(IF(factura_c_mes2[[#This Row],[CUIT]]="","-",VLOOKUP(factura_c_mes2[[#This Row],[CUIT]],Lista_CUIT[#All],2,0)),"CUIT NO CARGADO")</f>
        <v>-</v>
      </c>
      <c r="I179" s="137"/>
      <c r="J179" s="136" t="str">
        <f>IFERROR(IF(factura_c_mes2[[#This Row],[CUIT]]="","-",VLOOKUP(factura_c_mes2[[#This Row],[CUIT]],Lista_CUIT[#All],3,0)),"CUIT NO CARGADO")</f>
        <v>-</v>
      </c>
      <c r="K179" s="136" t="str">
        <f>IFERROR(IF(factura_c_mes2[[#This Row],[CUIT]]="","-",VLOOKUP(factura_c_mes2[[#This Row],[CUIT]],Lista_CUIT[#All],4,0)),"CUIT NO CARGADO")</f>
        <v>-</v>
      </c>
    </row>
    <row r="180" spans="2:18">
      <c r="D180" s="361" t="s">
        <v>110</v>
      </c>
      <c r="E180" s="361"/>
      <c r="F180" s="361"/>
      <c r="G180" s="361"/>
      <c r="H180" s="362"/>
      <c r="I180" s="363">
        <f>SUBTOTAL(109,factura_c_mes2[TOTAL])</f>
        <v>6292745.5800000001</v>
      </c>
      <c r="J180" s="361"/>
      <c r="K180" s="361"/>
    </row>
    <row r="181" spans="2:18">
      <c r="B181" s="56"/>
      <c r="C181" s="56"/>
      <c r="G181" s="35"/>
      <c r="L181" s="56"/>
      <c r="M181" s="56"/>
      <c r="N181" s="56"/>
      <c r="O181" s="56"/>
      <c r="P181" s="56"/>
      <c r="Q181" s="56"/>
      <c r="R181" s="56"/>
    </row>
    <row r="186" spans="2:18" ht="26.25">
      <c r="B186" s="673" t="s">
        <v>29</v>
      </c>
      <c r="C186" s="673"/>
      <c r="D186" s="673"/>
      <c r="E186" s="673"/>
      <c r="F186" s="673"/>
      <c r="G186" s="673"/>
      <c r="H186" s="673"/>
      <c r="I186" s="673"/>
      <c r="J186" s="673"/>
      <c r="K186" s="669">
        <f>N1</f>
        <v>45323</v>
      </c>
      <c r="L186" s="669"/>
      <c r="M186" s="669"/>
    </row>
    <row r="188" spans="2:18" ht="21">
      <c r="B188" s="666" t="s">
        <v>30</v>
      </c>
      <c r="C188" s="666"/>
    </row>
    <row r="189" spans="2:18" ht="15.75">
      <c r="B189" s="60" t="s">
        <v>0</v>
      </c>
      <c r="C189" s="61" t="s">
        <v>1</v>
      </c>
      <c r="D189" s="61" t="s">
        <v>21</v>
      </c>
      <c r="E189" s="61" t="s">
        <v>22</v>
      </c>
      <c r="F189" s="61" t="s">
        <v>3</v>
      </c>
      <c r="G189" s="61" t="s">
        <v>4</v>
      </c>
      <c r="H189" s="61" t="s">
        <v>23</v>
      </c>
      <c r="I189" s="61" t="s">
        <v>17</v>
      </c>
      <c r="J189" s="61" t="s">
        <v>7</v>
      </c>
      <c r="K189" s="61" t="s">
        <v>24</v>
      </c>
      <c r="L189" s="61" t="s">
        <v>10</v>
      </c>
      <c r="M189" s="62" t="s">
        <v>38</v>
      </c>
    </row>
    <row r="190" spans="2:18">
      <c r="B190" s="40"/>
      <c r="C190" s="41"/>
      <c r="D190" s="42"/>
      <c r="E190" s="43"/>
      <c r="F190" s="44"/>
      <c r="G190" s="98" t="str">
        <f>IFERROR(IF(venta_a_mes2[[#This Row],[CUIT]]="","-",VLOOKUP(venta_a_mes2[[#This Row],[CUIT]],Lista_CUIT[#All],2,0)),"CUIT NO CARGADO")</f>
        <v>-</v>
      </c>
      <c r="H190" s="99"/>
      <c r="I190" s="100">
        <f>venta_a_mes2[[#This Row],[IMPORTE NETO]]*0.21</f>
        <v>0</v>
      </c>
      <c r="J190" s="65"/>
      <c r="K190" s="65"/>
      <c r="L190" s="65">
        <f>SUM(venta_a_mes2[[#This Row],[IMPORTE NETO]:[EXENTO]])</f>
        <v>0</v>
      </c>
      <c r="M190" s="59"/>
    </row>
    <row r="191" spans="2:18">
      <c r="B191" s="40"/>
      <c r="C191" s="41"/>
      <c r="D191" s="42"/>
      <c r="E191" s="43"/>
      <c r="F191" s="44"/>
      <c r="G191" s="98" t="str">
        <f>IFERROR(IF(venta_a_mes2[[#This Row],[CUIT]]="","-",VLOOKUP(venta_a_mes2[[#This Row],[CUIT]],Lista_CUIT[#All],2,0)),"CUIT NO CARGADO")</f>
        <v>-</v>
      </c>
      <c r="H191" s="99"/>
      <c r="I191" s="100">
        <f>venta_a_mes2[[#This Row],[IMPORTE NETO]]*0.21</f>
        <v>0</v>
      </c>
      <c r="J191" s="65"/>
      <c r="K191" s="65"/>
      <c r="L191" s="65">
        <f>SUM(venta_a_mes2[[#This Row],[IMPORTE NETO]:[EXENTO]])</f>
        <v>0</v>
      </c>
      <c r="M191" s="59"/>
    </row>
    <row r="192" spans="2:18">
      <c r="B192" s="40"/>
      <c r="C192" s="41"/>
      <c r="D192" s="42"/>
      <c r="E192" s="43"/>
      <c r="F192" s="44"/>
      <c r="G192" s="98" t="str">
        <f>IFERROR(IF(venta_a_mes2[[#This Row],[CUIT]]="","-",VLOOKUP(venta_a_mes2[[#This Row],[CUIT]],Lista_CUIT[#All],2,0)),"CUIT NO CARGADO")</f>
        <v>-</v>
      </c>
      <c r="H192" s="99"/>
      <c r="I192" s="100">
        <f>venta_a_mes2[[#This Row],[IMPORTE NETO]]*0.21</f>
        <v>0</v>
      </c>
      <c r="J192" s="65"/>
      <c r="K192" s="65"/>
      <c r="L192" s="65">
        <f>SUM(venta_a_mes2[[#This Row],[IMPORTE NETO]:[EXENTO]])</f>
        <v>0</v>
      </c>
      <c r="M192" s="59"/>
    </row>
    <row r="193" spans="2:13">
      <c r="B193" s="40"/>
      <c r="C193" s="41"/>
      <c r="D193" s="42"/>
      <c r="E193" s="43"/>
      <c r="F193" s="44"/>
      <c r="G193" s="98" t="str">
        <f>IFERROR(IF(venta_a_mes2[[#This Row],[CUIT]]="","-",VLOOKUP(venta_a_mes2[[#This Row],[CUIT]],Lista_CUIT[#All],2,0)),"CUIT NO CARGADO")</f>
        <v>-</v>
      </c>
      <c r="H193" s="99"/>
      <c r="I193" s="100">
        <f>venta_a_mes2[[#This Row],[IMPORTE NETO]]*0.21</f>
        <v>0</v>
      </c>
      <c r="J193" s="65"/>
      <c r="K193" s="65"/>
      <c r="L193" s="65">
        <f>SUM(venta_a_mes2[[#This Row],[IMPORTE NETO]:[EXENTO]])</f>
        <v>0</v>
      </c>
      <c r="M193" s="59"/>
    </row>
    <row r="194" spans="2:13">
      <c r="B194" s="40"/>
      <c r="C194" s="41"/>
      <c r="D194" s="42"/>
      <c r="E194" s="43"/>
      <c r="F194" s="44"/>
      <c r="G194" s="98" t="str">
        <f>IFERROR(IF(venta_a_mes2[[#This Row],[CUIT]]="","-",VLOOKUP(venta_a_mes2[[#This Row],[CUIT]],Lista_CUIT[#All],2,0)),"CUIT NO CARGADO")</f>
        <v>-</v>
      </c>
      <c r="H194" s="99"/>
      <c r="I194" s="100">
        <f>venta_a_mes2[[#This Row],[IMPORTE NETO]]*0.21</f>
        <v>0</v>
      </c>
      <c r="J194" s="65"/>
      <c r="K194" s="65"/>
      <c r="L194" s="65">
        <f>SUM(venta_a_mes2[[#This Row],[IMPORTE NETO]:[EXENTO]])</f>
        <v>0</v>
      </c>
      <c r="M194" s="59"/>
    </row>
    <row r="195" spans="2:13">
      <c r="B195" s="40"/>
      <c r="C195" s="41"/>
      <c r="D195" s="42"/>
      <c r="E195" s="43"/>
      <c r="F195" s="44"/>
      <c r="G195" s="98" t="str">
        <f>IFERROR(IF(venta_a_mes2[[#This Row],[CUIT]]="","-",VLOOKUP(venta_a_mes2[[#This Row],[CUIT]],Lista_CUIT[#All],2,0)),"CUIT NO CARGADO")</f>
        <v>-</v>
      </c>
      <c r="H195" s="99"/>
      <c r="I195" s="100">
        <f>venta_a_mes2[[#This Row],[IMPORTE NETO]]*0.21</f>
        <v>0</v>
      </c>
      <c r="J195" s="65"/>
      <c r="K195" s="65"/>
      <c r="L195" s="65">
        <f>SUM(venta_a_mes2[[#This Row],[IMPORTE NETO]:[EXENTO]])</f>
        <v>0</v>
      </c>
      <c r="M195" s="59"/>
    </row>
    <row r="196" spans="2:13">
      <c r="B196" s="40"/>
      <c r="C196" s="41"/>
      <c r="D196" s="42"/>
      <c r="E196" s="43"/>
      <c r="F196" s="44"/>
      <c r="G196" s="98" t="str">
        <f>IFERROR(IF(venta_a_mes2[[#This Row],[CUIT]]="","-",VLOOKUP(venta_a_mes2[[#This Row],[CUIT]],Lista_CUIT[#All],2,0)),"CUIT NO CARGADO")</f>
        <v>-</v>
      </c>
      <c r="H196" s="99"/>
      <c r="I196" s="100">
        <f>venta_a_mes2[[#This Row],[IMPORTE NETO]]*0.21</f>
        <v>0</v>
      </c>
      <c r="J196" s="65"/>
      <c r="K196" s="65"/>
      <c r="L196" s="65">
        <f>SUM(venta_a_mes2[[#This Row],[IMPORTE NETO]:[EXENTO]])</f>
        <v>0</v>
      </c>
      <c r="M196" s="63"/>
    </row>
    <row r="197" spans="2:13">
      <c r="B197" s="101"/>
      <c r="C197" s="102"/>
      <c r="D197" s="103"/>
      <c r="E197" s="104"/>
      <c r="F197" s="105"/>
      <c r="G197" s="98" t="str">
        <f>IFERROR(IF(venta_a_mes2[[#This Row],[CUIT]]="","-",VLOOKUP(venta_a_mes2[[#This Row],[CUIT]],Lista_CUIT[#All],2,0)),"CUIT NO CARGADO")</f>
        <v>-</v>
      </c>
      <c r="H197" s="106"/>
      <c r="I197" s="107">
        <f>venta_a_mes2[[#This Row],[IMPORTE NETO]]*0.21</f>
        <v>0</v>
      </c>
      <c r="J197" s="72"/>
      <c r="K197" s="72"/>
      <c r="L197" s="72">
        <f>SUM(venta_a_mes2[[#This Row],[IMPORTE NETO]:[EXENTO]])</f>
        <v>0</v>
      </c>
      <c r="M197" s="63"/>
    </row>
    <row r="198" spans="2:13">
      <c r="B198" s="108"/>
      <c r="C198" s="109"/>
      <c r="D198" s="110"/>
      <c r="E198" s="111"/>
      <c r="F198" s="112"/>
      <c r="G198" s="98" t="str">
        <f>IFERROR(IF(venta_a_mes2[[#This Row],[CUIT]]="","-",VLOOKUP(venta_a_mes2[[#This Row],[CUIT]],Lista_CUIT[#All],2,0)),"CUIT NO CARGADO")</f>
        <v>-</v>
      </c>
      <c r="H198" s="99"/>
      <c r="I198" s="100">
        <f>venta_a_mes2[[#This Row],[IMPORTE NETO]]*0.21</f>
        <v>0</v>
      </c>
      <c r="J198" s="65"/>
      <c r="K198" s="65"/>
      <c r="L198" s="65">
        <f>SUM(venta_a_mes2[[#This Row],[IMPORTE NETO]:[EXENTO]])</f>
        <v>0</v>
      </c>
      <c r="M198" s="59"/>
    </row>
    <row r="199" spans="2:13">
      <c r="B199" s="101"/>
      <c r="C199" s="102"/>
      <c r="D199" s="103"/>
      <c r="E199" s="104"/>
      <c r="F199" s="105"/>
      <c r="G199" s="139" t="str">
        <f>IFERROR(IF(venta_a_mes2[[#This Row],[CUIT]]="","-",VLOOKUP(venta_a_mes2[[#This Row],[CUIT]],Lista_CUIT[#All],2,0)),"CUIT NO CARGADO")</f>
        <v>-</v>
      </c>
      <c r="H199" s="106"/>
      <c r="I199" s="107">
        <f>venta_a_mes2[[#This Row],[IMPORTE NETO]]*0.21</f>
        <v>0</v>
      </c>
      <c r="J199" s="72"/>
      <c r="K199" s="72"/>
      <c r="L199" s="72">
        <f>SUM(venta_a_mes2[[#This Row],[IMPORTE NETO]:[EXENTO]])</f>
        <v>0</v>
      </c>
      <c r="M199" s="63"/>
    </row>
    <row r="200" spans="2:13">
      <c r="B200" s="108"/>
      <c r="C200" s="109"/>
      <c r="D200" s="110"/>
      <c r="E200" s="111"/>
      <c r="F200" s="112"/>
      <c r="G200" s="98" t="str">
        <f>IFERROR(IF(venta_a_mes2[[#This Row],[CUIT]]="","-",VLOOKUP(venta_a_mes2[[#This Row],[CUIT]],Lista_CUIT[#All],2,0)),"CUIT NO CARGADO")</f>
        <v>-</v>
      </c>
      <c r="H200" s="99"/>
      <c r="I200" s="100">
        <f>venta_a_mes2[[#This Row],[IMPORTE NETO]]*0.21</f>
        <v>0</v>
      </c>
      <c r="J200" s="65"/>
      <c r="K200" s="65"/>
      <c r="L200" s="65">
        <f>SUM(venta_a_mes2[[#This Row],[IMPORTE NETO]:[EXENTO]])</f>
        <v>0</v>
      </c>
      <c r="M200" s="59"/>
    </row>
    <row r="201" spans="2:13">
      <c r="B201" s="108"/>
      <c r="C201" s="109"/>
      <c r="D201" s="110"/>
      <c r="E201" s="111"/>
      <c r="F201" s="112"/>
      <c r="G201" s="98" t="str">
        <f>IFERROR(IF(venta_a_mes2[[#This Row],[CUIT]]="","-",VLOOKUP(venta_a_mes2[[#This Row],[CUIT]],Lista_CUIT[#All],2,0)),"CUIT NO CARGADO")</f>
        <v>-</v>
      </c>
      <c r="H201" s="99"/>
      <c r="I201" s="100">
        <f>venta_a_mes2[[#This Row],[IMPORTE NETO]]*0.21</f>
        <v>0</v>
      </c>
      <c r="J201" s="65"/>
      <c r="K201" s="65"/>
      <c r="L201" s="65">
        <f>SUM(venta_a_mes2[[#This Row],[IMPORTE NETO]:[EXENTO]])</f>
        <v>0</v>
      </c>
      <c r="M201" s="59"/>
    </row>
    <row r="202" spans="2:13">
      <c r="B202" s="108"/>
      <c r="C202" s="109"/>
      <c r="D202" s="110"/>
      <c r="E202" s="111"/>
      <c r="F202" s="112"/>
      <c r="G202" s="98" t="str">
        <f>IFERROR(IF(venta_a_mes2[[#This Row],[CUIT]]="","-",VLOOKUP(venta_a_mes2[[#This Row],[CUIT]],Lista_CUIT[#All],2,0)),"CUIT NO CARGADO")</f>
        <v>-</v>
      </c>
      <c r="H202" s="99"/>
      <c r="I202" s="100">
        <f>venta_a_mes2[[#This Row],[IMPORTE NETO]]*0.21</f>
        <v>0</v>
      </c>
      <c r="J202" s="65"/>
      <c r="K202" s="65"/>
      <c r="L202" s="65">
        <f>SUM(venta_a_mes2[[#This Row],[IMPORTE NETO]:[EXENTO]])</f>
        <v>0</v>
      </c>
      <c r="M202" s="59"/>
    </row>
    <row r="203" spans="2:13">
      <c r="B203" s="108"/>
      <c r="C203" s="109"/>
      <c r="D203" s="110"/>
      <c r="E203" s="111"/>
      <c r="F203" s="112"/>
      <c r="G203" s="98" t="str">
        <f>IFERROR(IF(venta_a_mes2[[#This Row],[CUIT]]="","-",VLOOKUP(venta_a_mes2[[#This Row],[CUIT]],Lista_CUIT[#All],2,0)),"CUIT NO CARGADO")</f>
        <v>-</v>
      </c>
      <c r="H203" s="99"/>
      <c r="I203" s="100">
        <f>venta_a_mes2[[#This Row],[IMPORTE NETO]]*0.21</f>
        <v>0</v>
      </c>
      <c r="J203" s="65"/>
      <c r="K203" s="65"/>
      <c r="L203" s="65">
        <f>SUM(venta_a_mes2[[#This Row],[IMPORTE NETO]:[EXENTO]])</f>
        <v>0</v>
      </c>
      <c r="M203" s="59"/>
    </row>
    <row r="204" spans="2:13">
      <c r="B204" s="108"/>
      <c r="C204" s="109"/>
      <c r="D204" s="110"/>
      <c r="E204" s="111"/>
      <c r="F204" s="112"/>
      <c r="G204" s="98" t="str">
        <f>IFERROR(IF(venta_a_mes2[[#This Row],[CUIT]]="","-",VLOOKUP(venta_a_mes2[[#This Row],[CUIT]],Lista_CUIT[#All],2,0)),"CUIT NO CARGADO")</f>
        <v>-</v>
      </c>
      <c r="H204" s="99"/>
      <c r="I204" s="100">
        <f>venta_a_mes2[[#This Row],[IMPORTE NETO]]*0.21</f>
        <v>0</v>
      </c>
      <c r="J204" s="65"/>
      <c r="K204" s="65"/>
      <c r="L204" s="65">
        <f>SUM(venta_a_mes2[[#This Row],[IMPORTE NETO]:[EXENTO]])</f>
        <v>0</v>
      </c>
      <c r="M204" s="59"/>
    </row>
    <row r="205" spans="2:13">
      <c r="B205" s="108"/>
      <c r="C205" s="109"/>
      <c r="D205" s="110"/>
      <c r="E205" s="111"/>
      <c r="F205" s="112"/>
      <c r="G205" s="98" t="str">
        <f>IFERROR(IF(venta_a_mes2[[#This Row],[CUIT]]="","-",VLOOKUP(venta_a_mes2[[#This Row],[CUIT]],Lista_CUIT[#All],2,0)),"CUIT NO CARGADO")</f>
        <v>-</v>
      </c>
      <c r="H205" s="99"/>
      <c r="I205" s="100">
        <f>venta_a_mes2[[#This Row],[IMPORTE NETO]]*0.21</f>
        <v>0</v>
      </c>
      <c r="J205" s="65"/>
      <c r="K205" s="65"/>
      <c r="L205" s="65">
        <f>SUM(venta_a_mes2[[#This Row],[IMPORTE NETO]:[EXENTO]])</f>
        <v>0</v>
      </c>
      <c r="M205" s="59"/>
    </row>
    <row r="206" spans="2:13">
      <c r="B206" s="108"/>
      <c r="C206" s="109"/>
      <c r="D206" s="110"/>
      <c r="E206" s="111"/>
      <c r="F206" s="112"/>
      <c r="G206" s="98" t="str">
        <f>IFERROR(IF(venta_a_mes2[[#This Row],[CUIT]]="","-",VLOOKUP(venta_a_mes2[[#This Row],[CUIT]],Lista_CUIT[#All],2,0)),"CUIT NO CARGADO")</f>
        <v>-</v>
      </c>
      <c r="H206" s="99"/>
      <c r="I206" s="100">
        <f>venta_a_mes2[[#This Row],[IMPORTE NETO]]*0.21</f>
        <v>0</v>
      </c>
      <c r="J206" s="65"/>
      <c r="K206" s="65"/>
      <c r="L206" s="65">
        <f>SUM(venta_a_mes2[[#This Row],[IMPORTE NETO]:[EXENTO]])</f>
        <v>0</v>
      </c>
      <c r="M206" s="59"/>
    </row>
    <row r="207" spans="2:13">
      <c r="B207" s="108"/>
      <c r="C207" s="109"/>
      <c r="D207" s="110"/>
      <c r="E207" s="111"/>
      <c r="F207" s="112"/>
      <c r="G207" s="98" t="str">
        <f>IFERROR(IF(venta_a_mes2[[#This Row],[CUIT]]="","-",VLOOKUP(venta_a_mes2[[#This Row],[CUIT]],Lista_CUIT[#All],2,0)),"CUIT NO CARGADO")</f>
        <v>-</v>
      </c>
      <c r="H207" s="99"/>
      <c r="I207" s="100">
        <f>venta_a_mes2[[#This Row],[IMPORTE NETO]]*0.21</f>
        <v>0</v>
      </c>
      <c r="J207" s="65"/>
      <c r="K207" s="65"/>
      <c r="L207" s="65">
        <f>SUM(venta_a_mes2[[#This Row],[IMPORTE NETO]:[EXENTO]])</f>
        <v>0</v>
      </c>
      <c r="M207" s="59"/>
    </row>
    <row r="208" spans="2:13">
      <c r="B208" s="108"/>
      <c r="C208" s="109"/>
      <c r="D208" s="110"/>
      <c r="E208" s="111"/>
      <c r="F208" s="112"/>
      <c r="G208" s="98" t="str">
        <f>IFERROR(IF(venta_a_mes2[[#This Row],[CUIT]]="","-",VLOOKUP(venta_a_mes2[[#This Row],[CUIT]],Lista_CUIT[#All],2,0)),"CUIT NO CARGADO")</f>
        <v>-</v>
      </c>
      <c r="H208" s="99"/>
      <c r="I208" s="100">
        <f>venta_a_mes2[[#This Row],[IMPORTE NETO]]*0.21</f>
        <v>0</v>
      </c>
      <c r="J208" s="65"/>
      <c r="K208" s="65"/>
      <c r="L208" s="65">
        <f>SUM(venta_a_mes2[[#This Row],[IMPORTE NETO]:[EXENTO]])</f>
        <v>0</v>
      </c>
      <c r="M208" s="59"/>
    </row>
    <row r="209" spans="2:13">
      <c r="B209" s="108"/>
      <c r="C209" s="109"/>
      <c r="D209" s="110"/>
      <c r="E209" s="111"/>
      <c r="F209" s="112"/>
      <c r="G209" s="98" t="str">
        <f>IFERROR(IF(venta_a_mes2[[#This Row],[CUIT]]="","-",VLOOKUP(venta_a_mes2[[#This Row],[CUIT]],Lista_CUIT[#All],2,0)),"CUIT NO CARGADO")</f>
        <v>-</v>
      </c>
      <c r="H209" s="99"/>
      <c r="I209" s="100">
        <f>venta_a_mes2[[#This Row],[IMPORTE NETO]]*0.21</f>
        <v>0</v>
      </c>
      <c r="J209" s="65"/>
      <c r="K209" s="65"/>
      <c r="L209" s="65">
        <f>SUM(venta_a_mes2[[#This Row],[IMPORTE NETO]:[EXENTO]])</f>
        <v>0</v>
      </c>
      <c r="M209" s="59"/>
    </row>
    <row r="210" spans="2:13">
      <c r="B210" s="108"/>
      <c r="C210" s="109"/>
      <c r="D210" s="110"/>
      <c r="E210" s="111"/>
      <c r="F210" s="112"/>
      <c r="G210" s="98" t="str">
        <f>IFERROR(IF(venta_a_mes2[[#This Row],[CUIT]]="","-",VLOOKUP(venta_a_mes2[[#This Row],[CUIT]],Lista_CUIT[#All],2,0)),"CUIT NO CARGADO")</f>
        <v>-</v>
      </c>
      <c r="H210" s="99"/>
      <c r="I210" s="100">
        <f>venta_a_mes2[[#This Row],[IMPORTE NETO]]*0.21</f>
        <v>0</v>
      </c>
      <c r="J210" s="65"/>
      <c r="K210" s="65"/>
      <c r="L210" s="65">
        <f>SUM(venta_a_mes2[[#This Row],[IMPORTE NETO]:[EXENTO]])</f>
        <v>0</v>
      </c>
      <c r="M210" s="59"/>
    </row>
    <row r="211" spans="2:13">
      <c r="B211" s="108"/>
      <c r="C211" s="109"/>
      <c r="D211" s="110"/>
      <c r="E211" s="111"/>
      <c r="F211" s="112"/>
      <c r="G211" s="98" t="str">
        <f>IFERROR(IF(venta_a_mes2[[#This Row],[CUIT]]="","-",VLOOKUP(venta_a_mes2[[#This Row],[CUIT]],Lista_CUIT[#All],2,0)),"CUIT NO CARGADO")</f>
        <v>-</v>
      </c>
      <c r="H211" s="99"/>
      <c r="I211" s="100">
        <f>venta_a_mes2[[#This Row],[IMPORTE NETO]]*0.21</f>
        <v>0</v>
      </c>
      <c r="J211" s="65"/>
      <c r="K211" s="65"/>
      <c r="L211" s="65">
        <f>SUM(venta_a_mes2[[#This Row],[IMPORTE NETO]:[EXENTO]])</f>
        <v>0</v>
      </c>
      <c r="M211" s="59"/>
    </row>
    <row r="212" spans="2:13">
      <c r="B212" s="108"/>
      <c r="C212" s="109"/>
      <c r="D212" s="110"/>
      <c r="E212" s="111"/>
      <c r="F212" s="112"/>
      <c r="G212" s="98" t="str">
        <f>IFERROR(IF(venta_a_mes2[[#This Row],[CUIT]]="","-",VLOOKUP(venta_a_mes2[[#This Row],[CUIT]],Lista_CUIT[#All],2,0)),"CUIT NO CARGADO")</f>
        <v>-</v>
      </c>
      <c r="H212" s="99"/>
      <c r="I212" s="100">
        <f>venta_a_mes2[[#This Row],[IMPORTE NETO]]*0.21</f>
        <v>0</v>
      </c>
      <c r="J212" s="65"/>
      <c r="K212" s="65"/>
      <c r="L212" s="65">
        <f>SUM(venta_a_mes2[[#This Row],[IMPORTE NETO]:[EXENTO]])</f>
        <v>0</v>
      </c>
      <c r="M212" s="59"/>
    </row>
    <row r="213" spans="2:13">
      <c r="B213" s="108"/>
      <c r="C213" s="109"/>
      <c r="D213" s="110"/>
      <c r="E213" s="111"/>
      <c r="F213" s="112"/>
      <c r="G213" s="98" t="str">
        <f>IFERROR(IF(venta_a_mes2[[#This Row],[CUIT]]="","-",VLOOKUP(venta_a_mes2[[#This Row],[CUIT]],Lista_CUIT[#All],2,0)),"CUIT NO CARGADO")</f>
        <v>-</v>
      </c>
      <c r="H213" s="99"/>
      <c r="I213" s="100">
        <f>venta_a_mes2[[#This Row],[IMPORTE NETO]]*0.21</f>
        <v>0</v>
      </c>
      <c r="J213" s="65"/>
      <c r="K213" s="65"/>
      <c r="L213" s="65">
        <f>SUM(venta_a_mes2[[#This Row],[IMPORTE NETO]:[EXENTO]])</f>
        <v>0</v>
      </c>
      <c r="M213" s="59"/>
    </row>
    <row r="214" spans="2:13">
      <c r="B214" s="108"/>
      <c r="C214" s="109"/>
      <c r="D214" s="110"/>
      <c r="E214" s="111"/>
      <c r="F214" s="112"/>
      <c r="G214" s="98" t="str">
        <f>IFERROR(IF(venta_a_mes2[[#This Row],[CUIT]]="","-",VLOOKUP(venta_a_mes2[[#This Row],[CUIT]],Lista_CUIT[#All],2,0)),"CUIT NO CARGADO")</f>
        <v>-</v>
      </c>
      <c r="H214" s="99"/>
      <c r="I214" s="100">
        <f>venta_a_mes2[[#This Row],[IMPORTE NETO]]*0.21</f>
        <v>0</v>
      </c>
      <c r="J214" s="65"/>
      <c r="K214" s="65"/>
      <c r="L214" s="65">
        <f>SUM(venta_a_mes2[[#This Row],[IMPORTE NETO]:[EXENTO]])</f>
        <v>0</v>
      </c>
      <c r="M214" s="59"/>
    </row>
    <row r="215" spans="2:13">
      <c r="B215" s="108"/>
      <c r="C215" s="109"/>
      <c r="D215" s="110"/>
      <c r="E215" s="111"/>
      <c r="F215" s="112"/>
      <c r="G215" s="98" t="str">
        <f>IFERROR(IF(venta_a_mes2[[#This Row],[CUIT]]="","-",VLOOKUP(venta_a_mes2[[#This Row],[CUIT]],Lista_CUIT[#All],2,0)),"CUIT NO CARGADO")</f>
        <v>-</v>
      </c>
      <c r="H215" s="99"/>
      <c r="I215" s="100">
        <f>venta_a_mes2[[#This Row],[IMPORTE NETO]]*0.21</f>
        <v>0</v>
      </c>
      <c r="J215" s="65"/>
      <c r="K215" s="65"/>
      <c r="L215" s="65">
        <f>SUM(venta_a_mes2[[#This Row],[IMPORTE NETO]:[EXENTO]])</f>
        <v>0</v>
      </c>
      <c r="M215" s="59"/>
    </row>
    <row r="216" spans="2:13">
      <c r="B216" s="108"/>
      <c r="C216" s="109"/>
      <c r="D216" s="110"/>
      <c r="E216" s="111"/>
      <c r="F216" s="112"/>
      <c r="G216" s="98" t="str">
        <f>IFERROR(IF(venta_a_mes2[[#This Row],[CUIT]]="","-",VLOOKUP(venta_a_mes2[[#This Row],[CUIT]],Lista_CUIT[#All],2,0)),"CUIT NO CARGADO")</f>
        <v>-</v>
      </c>
      <c r="H216" s="99"/>
      <c r="I216" s="100">
        <f>venta_a_mes2[[#This Row],[IMPORTE NETO]]*0.21</f>
        <v>0</v>
      </c>
      <c r="J216" s="65"/>
      <c r="K216" s="65"/>
      <c r="L216" s="65">
        <f>SUM(venta_a_mes2[[#This Row],[IMPORTE NETO]:[EXENTO]])</f>
        <v>0</v>
      </c>
      <c r="M216" s="59"/>
    </row>
    <row r="217" spans="2:13">
      <c r="B217" s="108"/>
      <c r="C217" s="109"/>
      <c r="D217" s="110"/>
      <c r="E217" s="111"/>
      <c r="F217" s="112"/>
      <c r="G217" s="98" t="str">
        <f>IFERROR(IF(venta_a_mes2[[#This Row],[CUIT]]="","-",VLOOKUP(venta_a_mes2[[#This Row],[CUIT]],Lista_CUIT[#All],2,0)),"CUIT NO CARGADO")</f>
        <v>-</v>
      </c>
      <c r="H217" s="99"/>
      <c r="I217" s="100">
        <f>venta_a_mes2[[#This Row],[IMPORTE NETO]]*0.21</f>
        <v>0</v>
      </c>
      <c r="J217" s="65"/>
      <c r="K217" s="65"/>
      <c r="L217" s="65">
        <f>SUM(venta_a_mes2[[#This Row],[IMPORTE NETO]:[EXENTO]])</f>
        <v>0</v>
      </c>
      <c r="M217" s="59"/>
    </row>
    <row r="218" spans="2:13">
      <c r="B218" s="108"/>
      <c r="C218" s="109"/>
      <c r="D218" s="110"/>
      <c r="E218" s="111"/>
      <c r="F218" s="112"/>
      <c r="G218" s="98" t="str">
        <f>IFERROR(IF(venta_a_mes2[[#This Row],[CUIT]]="","-",VLOOKUP(venta_a_mes2[[#This Row],[CUIT]],Lista_CUIT[#All],2,0)),"CUIT NO CARGADO")</f>
        <v>-</v>
      </c>
      <c r="H218" s="99"/>
      <c r="I218" s="100">
        <f>venta_a_mes2[[#This Row],[IMPORTE NETO]]*0.21</f>
        <v>0</v>
      </c>
      <c r="J218" s="65"/>
      <c r="K218" s="65"/>
      <c r="L218" s="65">
        <f>SUM(venta_a_mes2[[#This Row],[IMPORTE NETO]:[EXENTO]])</f>
        <v>0</v>
      </c>
      <c r="M218" s="59"/>
    </row>
    <row r="219" spans="2:13">
      <c r="B219" s="108"/>
      <c r="C219" s="109"/>
      <c r="D219" s="110"/>
      <c r="E219" s="111"/>
      <c r="F219" s="112"/>
      <c r="G219" s="98" t="str">
        <f>IFERROR(IF(venta_a_mes2[[#This Row],[CUIT]]="","-",VLOOKUP(venta_a_mes2[[#This Row],[CUIT]],Lista_CUIT[#All],2,0)),"CUIT NO CARGADO")</f>
        <v>-</v>
      </c>
      <c r="H219" s="99"/>
      <c r="I219" s="100">
        <f>venta_a_mes2[[#This Row],[IMPORTE NETO]]*0.21</f>
        <v>0</v>
      </c>
      <c r="J219" s="65"/>
      <c r="K219" s="65"/>
      <c r="L219" s="65">
        <f>SUM(venta_a_mes2[[#This Row],[IMPORTE NETO]:[EXENTO]])</f>
        <v>0</v>
      </c>
      <c r="M219" s="59"/>
    </row>
    <row r="220" spans="2:13">
      <c r="B220" s="108"/>
      <c r="C220" s="109"/>
      <c r="D220" s="110"/>
      <c r="E220" s="111"/>
      <c r="F220" s="112"/>
      <c r="G220" s="98" t="str">
        <f>IFERROR(IF(venta_a_mes2[[#This Row],[CUIT]]="","-",VLOOKUP(venta_a_mes2[[#This Row],[CUIT]],Lista_CUIT[#All],2,0)),"CUIT NO CARGADO")</f>
        <v>-</v>
      </c>
      <c r="H220" s="99"/>
      <c r="I220" s="100">
        <f>venta_a_mes2[[#This Row],[IMPORTE NETO]]*0.21</f>
        <v>0</v>
      </c>
      <c r="J220" s="65"/>
      <c r="K220" s="65"/>
      <c r="L220" s="65">
        <f>SUM(venta_a_mes2[[#This Row],[IMPORTE NETO]:[EXENTO]])</f>
        <v>0</v>
      </c>
      <c r="M220" s="59"/>
    </row>
    <row r="221" spans="2:13">
      <c r="B221" s="108"/>
      <c r="C221" s="109"/>
      <c r="D221" s="110"/>
      <c r="E221" s="111"/>
      <c r="F221" s="112"/>
      <c r="G221" s="98" t="str">
        <f>IFERROR(IF(venta_a_mes2[[#This Row],[CUIT]]="","-",VLOOKUP(venta_a_mes2[[#This Row],[CUIT]],Lista_CUIT[#All],2,0)),"CUIT NO CARGADO")</f>
        <v>-</v>
      </c>
      <c r="H221" s="99"/>
      <c r="I221" s="100">
        <f>venta_a_mes2[[#This Row],[IMPORTE NETO]]*0.21</f>
        <v>0</v>
      </c>
      <c r="J221" s="65"/>
      <c r="K221" s="65"/>
      <c r="L221" s="65">
        <f>SUM(venta_a_mes2[[#This Row],[IMPORTE NETO]:[EXENTO]])</f>
        <v>0</v>
      </c>
      <c r="M221" s="59"/>
    </row>
    <row r="222" spans="2:13">
      <c r="B222" s="108"/>
      <c r="C222" s="109"/>
      <c r="D222" s="110"/>
      <c r="E222" s="111"/>
      <c r="F222" s="112"/>
      <c r="G222" s="98" t="str">
        <f>IFERROR(IF(venta_a_mes2[[#This Row],[CUIT]]="","-",VLOOKUP(venta_a_mes2[[#This Row],[CUIT]],Lista_CUIT[#All],2,0)),"CUIT NO CARGADO")</f>
        <v>-</v>
      </c>
      <c r="H222" s="99"/>
      <c r="I222" s="100">
        <f>venta_a_mes2[[#This Row],[IMPORTE NETO]]*0.21</f>
        <v>0</v>
      </c>
      <c r="J222" s="65"/>
      <c r="K222" s="65"/>
      <c r="L222" s="65">
        <f>SUM(venta_a_mes2[[#This Row],[IMPORTE NETO]:[EXENTO]])</f>
        <v>0</v>
      </c>
      <c r="M222" s="59"/>
    </row>
    <row r="223" spans="2:13">
      <c r="B223" s="108"/>
      <c r="C223" s="109"/>
      <c r="D223" s="110"/>
      <c r="E223" s="111"/>
      <c r="F223" s="112"/>
      <c r="G223" s="98" t="str">
        <f>IFERROR(IF(venta_a_mes2[[#This Row],[CUIT]]="","-",VLOOKUP(venta_a_mes2[[#This Row],[CUIT]],Lista_CUIT[#All],2,0)),"CUIT NO CARGADO")</f>
        <v>-</v>
      </c>
      <c r="H223" s="99"/>
      <c r="I223" s="100">
        <f>venta_a_mes2[[#This Row],[IMPORTE NETO]]*0.21</f>
        <v>0</v>
      </c>
      <c r="J223" s="65"/>
      <c r="K223" s="65"/>
      <c r="L223" s="65">
        <f>SUM(venta_a_mes2[[#This Row],[IMPORTE NETO]:[EXENTO]])</f>
        <v>0</v>
      </c>
      <c r="M223" s="59"/>
    </row>
    <row r="224" spans="2:13">
      <c r="B224" s="108"/>
      <c r="C224" s="109"/>
      <c r="D224" s="110"/>
      <c r="E224" s="111"/>
      <c r="F224" s="112"/>
      <c r="G224" s="98" t="str">
        <f>IFERROR(IF(venta_a_mes2[[#This Row],[CUIT]]="","-",VLOOKUP(venta_a_mes2[[#This Row],[CUIT]],Lista_CUIT[#All],2,0)),"CUIT NO CARGADO")</f>
        <v>-</v>
      </c>
      <c r="H224" s="99"/>
      <c r="I224" s="100">
        <f>venta_a_mes2[[#This Row],[IMPORTE NETO]]*0.21</f>
        <v>0</v>
      </c>
      <c r="J224" s="65"/>
      <c r="K224" s="65"/>
      <c r="L224" s="65">
        <f>SUM(venta_a_mes2[[#This Row],[IMPORTE NETO]:[EXENTO]])</f>
        <v>0</v>
      </c>
      <c r="M224" s="59"/>
    </row>
    <row r="225" spans="2:13">
      <c r="B225" s="108"/>
      <c r="C225" s="109"/>
      <c r="D225" s="110"/>
      <c r="E225" s="111"/>
      <c r="F225" s="112"/>
      <c r="G225" s="98" t="str">
        <f>IFERROR(IF(venta_a_mes2[[#This Row],[CUIT]]="","-",VLOOKUP(venta_a_mes2[[#This Row],[CUIT]],Lista_CUIT[#All],2,0)),"CUIT NO CARGADO")</f>
        <v>-</v>
      </c>
      <c r="H225" s="99"/>
      <c r="I225" s="100">
        <f>venta_a_mes2[[#This Row],[IMPORTE NETO]]*0.21</f>
        <v>0</v>
      </c>
      <c r="J225" s="65"/>
      <c r="K225" s="65"/>
      <c r="L225" s="65">
        <f>SUM(venta_a_mes2[[#This Row],[IMPORTE NETO]:[EXENTO]])</f>
        <v>0</v>
      </c>
      <c r="M225" s="59"/>
    </row>
    <row r="226" spans="2:13">
      <c r="B226" s="108"/>
      <c r="C226" s="109"/>
      <c r="D226" s="110"/>
      <c r="E226" s="111"/>
      <c r="F226" s="112"/>
      <c r="G226" s="98" t="str">
        <f>IFERROR(IF(venta_a_mes2[[#This Row],[CUIT]]="","-",VLOOKUP(venta_a_mes2[[#This Row],[CUIT]],Lista_CUIT[#All],2,0)),"CUIT NO CARGADO")</f>
        <v>-</v>
      </c>
      <c r="H226" s="99"/>
      <c r="I226" s="100">
        <f>venta_a_mes2[[#This Row],[IMPORTE NETO]]*0.21</f>
        <v>0</v>
      </c>
      <c r="J226" s="65"/>
      <c r="K226" s="65"/>
      <c r="L226" s="65">
        <f>SUM(venta_a_mes2[[#This Row],[IMPORTE NETO]:[EXENTO]])</f>
        <v>0</v>
      </c>
      <c r="M226" s="59"/>
    </row>
    <row r="227" spans="2:13">
      <c r="B227" s="108"/>
      <c r="C227" s="109"/>
      <c r="D227" s="110"/>
      <c r="E227" s="111"/>
      <c r="F227" s="112"/>
      <c r="G227" s="98" t="str">
        <f>IFERROR(IF(venta_a_mes2[[#This Row],[CUIT]]="","-",VLOOKUP(venta_a_mes2[[#This Row],[CUIT]],Lista_CUIT[#All],2,0)),"CUIT NO CARGADO")</f>
        <v>-</v>
      </c>
      <c r="H227" s="99"/>
      <c r="I227" s="100">
        <f>venta_a_mes2[[#This Row],[IMPORTE NETO]]*0.21</f>
        <v>0</v>
      </c>
      <c r="J227" s="65"/>
      <c r="K227" s="65"/>
      <c r="L227" s="65">
        <f>SUM(venta_a_mes2[[#This Row],[IMPORTE NETO]:[EXENTO]])</f>
        <v>0</v>
      </c>
      <c r="M227" s="59"/>
    </row>
    <row r="228" spans="2:13">
      <c r="B228" s="108"/>
      <c r="C228" s="109"/>
      <c r="D228" s="110"/>
      <c r="E228" s="111"/>
      <c r="F228" s="112"/>
      <c r="G228" s="98" t="str">
        <f>IFERROR(IF(venta_a_mes2[[#This Row],[CUIT]]="","-",VLOOKUP(venta_a_mes2[[#This Row],[CUIT]],Lista_CUIT[#All],2,0)),"CUIT NO CARGADO")</f>
        <v>-</v>
      </c>
      <c r="H228" s="99"/>
      <c r="I228" s="100">
        <f>venta_a_mes2[[#This Row],[IMPORTE NETO]]*0.21</f>
        <v>0</v>
      </c>
      <c r="J228" s="65"/>
      <c r="K228" s="65"/>
      <c r="L228" s="65">
        <f>SUM(venta_a_mes2[[#This Row],[IMPORTE NETO]:[EXENTO]])</f>
        <v>0</v>
      </c>
      <c r="M228" s="59"/>
    </row>
    <row r="229" spans="2:13">
      <c r="B229" s="108"/>
      <c r="C229" s="109"/>
      <c r="D229" s="110"/>
      <c r="E229" s="111"/>
      <c r="F229" s="112"/>
      <c r="G229" s="98" t="str">
        <f>IFERROR(IF(venta_a_mes2[[#This Row],[CUIT]]="","-",VLOOKUP(venta_a_mes2[[#This Row],[CUIT]],Lista_CUIT[#All],2,0)),"CUIT NO CARGADO")</f>
        <v>-</v>
      </c>
      <c r="H229" s="99"/>
      <c r="I229" s="100">
        <f>venta_a_mes2[[#This Row],[IMPORTE NETO]]*0.21</f>
        <v>0</v>
      </c>
      <c r="J229" s="65"/>
      <c r="K229" s="65"/>
      <c r="L229" s="65">
        <f>SUM(venta_a_mes2[[#This Row],[IMPORTE NETO]:[EXENTO]])</f>
        <v>0</v>
      </c>
      <c r="M229" s="59"/>
    </row>
    <row r="230" spans="2:13">
      <c r="B230" s="108"/>
      <c r="C230" s="109"/>
      <c r="D230" s="110"/>
      <c r="E230" s="111"/>
      <c r="F230" s="112"/>
      <c r="G230" s="98" t="str">
        <f>IFERROR(IF(venta_a_mes2[[#This Row],[CUIT]]="","-",VLOOKUP(venta_a_mes2[[#This Row],[CUIT]],Lista_CUIT[#All],2,0)),"CUIT NO CARGADO")</f>
        <v>-</v>
      </c>
      <c r="H230" s="99"/>
      <c r="I230" s="100">
        <f>venta_a_mes2[[#This Row],[IMPORTE NETO]]*0.21</f>
        <v>0</v>
      </c>
      <c r="J230" s="65"/>
      <c r="K230" s="65"/>
      <c r="L230" s="65">
        <f>SUM(venta_a_mes2[[#This Row],[IMPORTE NETO]:[EXENTO]])</f>
        <v>0</v>
      </c>
      <c r="M230" s="59"/>
    </row>
    <row r="231" spans="2:13">
      <c r="B231" s="108"/>
      <c r="C231" s="109"/>
      <c r="D231" s="110"/>
      <c r="E231" s="111"/>
      <c r="F231" s="112"/>
      <c r="G231" s="98" t="str">
        <f>IFERROR(IF(venta_a_mes2[[#This Row],[CUIT]]="","-",VLOOKUP(venta_a_mes2[[#This Row],[CUIT]],Lista_CUIT[#All],2,0)),"CUIT NO CARGADO")</f>
        <v>-</v>
      </c>
      <c r="H231" s="99"/>
      <c r="I231" s="100">
        <f>venta_a_mes2[[#This Row],[IMPORTE NETO]]*0.21</f>
        <v>0</v>
      </c>
      <c r="J231" s="65"/>
      <c r="K231" s="65"/>
      <c r="L231" s="65">
        <f>SUM(venta_a_mes2[[#This Row],[IMPORTE NETO]:[EXENTO]])</f>
        <v>0</v>
      </c>
      <c r="M231" s="59"/>
    </row>
    <row r="232" spans="2:13">
      <c r="B232" s="108"/>
      <c r="C232" s="109"/>
      <c r="D232" s="110"/>
      <c r="E232" s="111"/>
      <c r="F232" s="112"/>
      <c r="G232" s="98" t="str">
        <f>IFERROR(IF(venta_a_mes2[[#This Row],[CUIT]]="","-",VLOOKUP(venta_a_mes2[[#This Row],[CUIT]],Lista_CUIT[#All],2,0)),"CUIT NO CARGADO")</f>
        <v>-</v>
      </c>
      <c r="H232" s="99"/>
      <c r="I232" s="100">
        <f>venta_a_mes2[[#This Row],[IMPORTE NETO]]*0.21</f>
        <v>0</v>
      </c>
      <c r="J232" s="65"/>
      <c r="K232" s="65"/>
      <c r="L232" s="65">
        <f>SUM(venta_a_mes2[[#This Row],[IMPORTE NETO]:[EXENTO]])</f>
        <v>0</v>
      </c>
      <c r="M232" s="59"/>
    </row>
    <row r="233" spans="2:13">
      <c r="B233" s="108"/>
      <c r="C233" s="109"/>
      <c r="D233" s="110"/>
      <c r="E233" s="111"/>
      <c r="F233" s="112"/>
      <c r="G233" s="98" t="str">
        <f>IFERROR(IF(venta_a_mes2[[#This Row],[CUIT]]="","-",VLOOKUP(venta_a_mes2[[#This Row],[CUIT]],Lista_CUIT[#All],2,0)),"CUIT NO CARGADO")</f>
        <v>-</v>
      </c>
      <c r="H233" s="99"/>
      <c r="I233" s="100">
        <f>venta_a_mes2[[#This Row],[IMPORTE NETO]]*0.21</f>
        <v>0</v>
      </c>
      <c r="J233" s="65"/>
      <c r="K233" s="65"/>
      <c r="L233" s="65">
        <f>SUM(venta_a_mes2[[#This Row],[IMPORTE NETO]:[EXENTO]])</f>
        <v>0</v>
      </c>
      <c r="M233" s="59"/>
    </row>
    <row r="234" spans="2:13">
      <c r="B234" s="101"/>
      <c r="C234" s="102"/>
      <c r="D234" s="103"/>
      <c r="E234" s="104"/>
      <c r="F234" s="105"/>
      <c r="G234" s="139" t="str">
        <f>IFERROR(IF(venta_a_mes2[[#This Row],[CUIT]]="","-",VLOOKUP(venta_a_mes2[[#This Row],[CUIT]],Lista_CUIT[#All],2,0)),"CUIT NO CARGADO")</f>
        <v>-</v>
      </c>
      <c r="H234" s="106"/>
      <c r="I234" s="107">
        <f>venta_a_mes2[[#This Row],[IMPORTE NETO]]*0.21</f>
        <v>0</v>
      </c>
      <c r="J234" s="72"/>
      <c r="K234" s="72"/>
      <c r="L234" s="72">
        <f>SUM(venta_a_mes2[[#This Row],[IMPORTE NETO]:[EXENTO]])</f>
        <v>0</v>
      </c>
      <c r="M234" s="63"/>
    </row>
    <row r="235" spans="2:13">
      <c r="B235" s="108"/>
      <c r="C235" s="109"/>
      <c r="D235" s="110"/>
      <c r="E235" s="111"/>
      <c r="F235" s="112"/>
      <c r="G235" s="98" t="str">
        <f>IFERROR(IF(venta_a_mes2[[#This Row],[CUIT]]="","-",VLOOKUP(venta_a_mes2[[#This Row],[CUIT]],Lista_CUIT[#All],2,0)),"CUIT NO CARGADO")</f>
        <v>-</v>
      </c>
      <c r="H235" s="99"/>
      <c r="I235" s="100">
        <f>venta_a_mes2[[#This Row],[IMPORTE NETO]]*0.21</f>
        <v>0</v>
      </c>
      <c r="J235" s="65"/>
      <c r="K235" s="65"/>
      <c r="L235" s="65">
        <f>SUM(venta_a_mes2[[#This Row],[IMPORTE NETO]:[EXENTO]])</f>
        <v>0</v>
      </c>
      <c r="M235" s="59"/>
    </row>
    <row r="236" spans="2:13">
      <c r="B236" s="108"/>
      <c r="C236" s="109"/>
      <c r="D236" s="110"/>
      <c r="E236" s="111"/>
      <c r="F236" s="112"/>
      <c r="G236" s="98" t="str">
        <f>IFERROR(IF(venta_a_mes2[[#This Row],[CUIT]]="","-",VLOOKUP(venta_a_mes2[[#This Row],[CUIT]],Lista_CUIT[#All],2,0)),"CUIT NO CARGADO")</f>
        <v>-</v>
      </c>
      <c r="H236" s="99"/>
      <c r="I236" s="100">
        <f>venta_a_mes2[[#This Row],[IMPORTE NETO]]*0.21</f>
        <v>0</v>
      </c>
      <c r="J236" s="65"/>
      <c r="K236" s="65"/>
      <c r="L236" s="65">
        <f>SUM(venta_a_mes2[[#This Row],[IMPORTE NETO]:[EXENTO]])</f>
        <v>0</v>
      </c>
      <c r="M236" s="59"/>
    </row>
    <row r="237" spans="2:13">
      <c r="B237" s="108"/>
      <c r="C237" s="109"/>
      <c r="D237" s="110"/>
      <c r="E237" s="111"/>
      <c r="F237" s="112"/>
      <c r="G237" s="98" t="str">
        <f>IFERROR(IF(venta_a_mes2[[#This Row],[CUIT]]="","-",VLOOKUP(venta_a_mes2[[#This Row],[CUIT]],Lista_CUIT[#All],2,0)),"CUIT NO CARGADO")</f>
        <v>-</v>
      </c>
      <c r="H237" s="99"/>
      <c r="I237" s="100">
        <f>venta_a_mes2[[#This Row],[IMPORTE NETO]]*0.21</f>
        <v>0</v>
      </c>
      <c r="J237" s="65"/>
      <c r="K237" s="65"/>
      <c r="L237" s="65">
        <f>SUM(venta_a_mes2[[#This Row],[IMPORTE NETO]:[EXENTO]])</f>
        <v>0</v>
      </c>
      <c r="M237" s="59"/>
    </row>
    <row r="238" spans="2:13">
      <c r="B238" s="108"/>
      <c r="C238" s="109"/>
      <c r="D238" s="110"/>
      <c r="E238" s="111"/>
      <c r="F238" s="112"/>
      <c r="G238" s="98" t="str">
        <f>IFERROR(IF(venta_a_mes2[[#This Row],[CUIT]]="","-",VLOOKUP(venta_a_mes2[[#This Row],[CUIT]],Lista_CUIT[#All],2,0)),"CUIT NO CARGADO")</f>
        <v>-</v>
      </c>
      <c r="H238" s="99"/>
      <c r="I238" s="100">
        <f>venta_a_mes2[[#This Row],[IMPORTE NETO]]*0.21</f>
        <v>0</v>
      </c>
      <c r="J238" s="65"/>
      <c r="K238" s="65"/>
      <c r="L238" s="65">
        <f>SUM(venta_a_mes2[[#This Row],[IMPORTE NETO]:[EXENTO]])</f>
        <v>0</v>
      </c>
      <c r="M238" s="59"/>
    </row>
    <row r="239" spans="2:13">
      <c r="B239" s="108"/>
      <c r="C239" s="109"/>
      <c r="D239" s="110"/>
      <c r="E239" s="111"/>
      <c r="F239" s="112"/>
      <c r="G239" s="98" t="str">
        <f>IFERROR(IF(venta_a_mes2[[#This Row],[CUIT]]="","-",VLOOKUP(venta_a_mes2[[#This Row],[CUIT]],Lista_CUIT[#All],2,0)),"CUIT NO CARGADO")</f>
        <v>-</v>
      </c>
      <c r="H239" s="99"/>
      <c r="I239" s="100">
        <f>venta_a_mes2[[#This Row],[IMPORTE NETO]]*0.21</f>
        <v>0</v>
      </c>
      <c r="J239" s="65"/>
      <c r="K239" s="65"/>
      <c r="L239" s="65">
        <f>SUM(venta_a_mes2[[#This Row],[IMPORTE NETO]:[EXENTO]])</f>
        <v>0</v>
      </c>
      <c r="M239" s="59"/>
    </row>
    <row r="240" spans="2:13">
      <c r="B240" s="108"/>
      <c r="C240" s="109"/>
      <c r="D240" s="110"/>
      <c r="E240" s="111"/>
      <c r="F240" s="112"/>
      <c r="G240" s="98" t="str">
        <f>IFERROR(IF(venta_a_mes2[[#This Row],[CUIT]]="","-",VLOOKUP(venta_a_mes2[[#This Row],[CUIT]],Lista_CUIT[#All],2,0)),"CUIT NO CARGADO")</f>
        <v>-</v>
      </c>
      <c r="H240" s="99"/>
      <c r="I240" s="100">
        <f>venta_a_mes2[[#This Row],[IMPORTE NETO]]*0.21</f>
        <v>0</v>
      </c>
      <c r="J240" s="65"/>
      <c r="K240" s="65"/>
      <c r="L240" s="65">
        <f>SUM(venta_a_mes2[[#This Row],[IMPORTE NETO]:[EXENTO]])</f>
        <v>0</v>
      </c>
      <c r="M240" s="59"/>
    </row>
    <row r="241" spans="2:13">
      <c r="B241" s="108"/>
      <c r="C241" s="109"/>
      <c r="D241" s="110"/>
      <c r="E241" s="111"/>
      <c r="F241" s="112"/>
      <c r="G241" s="98" t="str">
        <f>IFERROR(IF(venta_a_mes2[[#This Row],[CUIT]]="","-",VLOOKUP(venta_a_mes2[[#This Row],[CUIT]],Lista_CUIT[#All],2,0)),"CUIT NO CARGADO")</f>
        <v>-</v>
      </c>
      <c r="H241" s="99"/>
      <c r="I241" s="100">
        <f>venta_a_mes2[[#This Row],[IMPORTE NETO]]*0.21</f>
        <v>0</v>
      </c>
      <c r="J241" s="65"/>
      <c r="K241" s="65"/>
      <c r="L241" s="65">
        <f>SUM(venta_a_mes2[[#This Row],[IMPORTE NETO]:[EXENTO]])</f>
        <v>0</v>
      </c>
      <c r="M241" s="59"/>
    </row>
    <row r="242" spans="2:13">
      <c r="B242" s="66" t="s">
        <v>110</v>
      </c>
      <c r="C242" s="67"/>
      <c r="D242" s="67"/>
      <c r="E242" s="67"/>
      <c r="F242" s="67"/>
      <c r="G242" s="67"/>
      <c r="H242" s="69">
        <f>SUBTOTAL(109,venta_a_mes2[IMPORTE NETO])</f>
        <v>0</v>
      </c>
      <c r="I242" s="70">
        <f>SUBTOTAL(109,venta_a_mes2[IVA 21%])</f>
        <v>0</v>
      </c>
      <c r="J242" s="71">
        <f>SUBTOTAL(109,venta_a_mes2[IVA 10,5%])</f>
        <v>0</v>
      </c>
      <c r="K242" s="71">
        <f>SUBTOTAL(109,venta_a_mes2[EXENTO])</f>
        <v>0</v>
      </c>
      <c r="L242" s="71">
        <f>SUBTOTAL(109,venta_a_mes2[TOTAL])</f>
        <v>0</v>
      </c>
      <c r="M242" s="68">
        <f>SUBTOTAL(103,venta_a_mes2[Provincia])</f>
        <v>0</v>
      </c>
    </row>
    <row r="243" spans="2:13" ht="21">
      <c r="B243" s="666" t="s">
        <v>31</v>
      </c>
      <c r="C243" s="666"/>
    </row>
    <row r="244" spans="2:13" ht="15.75">
      <c r="B244" s="60" t="s">
        <v>0</v>
      </c>
      <c r="C244" s="61" t="s">
        <v>1</v>
      </c>
      <c r="D244" s="61" t="s">
        <v>21</v>
      </c>
      <c r="E244" s="61" t="s">
        <v>22</v>
      </c>
      <c r="F244" s="61" t="s">
        <v>3</v>
      </c>
      <c r="G244" s="61" t="s">
        <v>4</v>
      </c>
      <c r="H244" s="61" t="s">
        <v>23</v>
      </c>
      <c r="I244" s="61" t="s">
        <v>17</v>
      </c>
      <c r="J244" s="61" t="s">
        <v>7</v>
      </c>
      <c r="K244" s="61" t="s">
        <v>24</v>
      </c>
      <c r="L244" s="61" t="s">
        <v>10</v>
      </c>
      <c r="M244" s="62" t="s">
        <v>38</v>
      </c>
    </row>
    <row r="245" spans="2:13">
      <c r="B245" s="40"/>
      <c r="C245" s="41"/>
      <c r="D245" s="42"/>
      <c r="E245" s="43"/>
      <c r="F245" s="44"/>
      <c r="G245" s="1" t="str">
        <f>IFERROR(IF(ventas_b_mes2[[#This Row],[CUIT]]="","-",VLOOKUP(ventas_b_mes2[[#This Row],[CUIT]],Lista_CUIT[#All],2,0)),"CUIT NO CARGADO")</f>
        <v>-</v>
      </c>
      <c r="H245" s="64"/>
      <c r="I245" s="64">
        <f>ventas_b_mes2[[#This Row],[IMPORTE NETO]]*0.21</f>
        <v>0</v>
      </c>
      <c r="J245" s="64"/>
      <c r="K245" s="64"/>
      <c r="L245" s="64">
        <f>SUM(ventas_b_mes2[[#This Row],[IMPORTE NETO]:[EXENTO]])</f>
        <v>0</v>
      </c>
      <c r="M245" s="59"/>
    </row>
    <row r="246" spans="2:13">
      <c r="B246" s="40"/>
      <c r="C246" s="41"/>
      <c r="D246" s="42"/>
      <c r="E246" s="43"/>
      <c r="F246" s="44"/>
      <c r="G246" s="1" t="str">
        <f>IFERROR(IF(ventas_b_mes2[[#This Row],[CUIT]]="","-",VLOOKUP(ventas_b_mes2[[#This Row],[CUIT]],Lista_CUIT[#All],2,0)),"CUIT NO CARGADO")</f>
        <v>-</v>
      </c>
      <c r="H246" s="64"/>
      <c r="I246" s="64">
        <f>ventas_b_mes2[[#This Row],[IMPORTE NETO]]*0.21</f>
        <v>0</v>
      </c>
      <c r="J246" s="64"/>
      <c r="K246" s="64"/>
      <c r="L246" s="64">
        <f>SUM(ventas_b_mes2[[#This Row],[IMPORTE NETO]:[EXENTO]])</f>
        <v>0</v>
      </c>
      <c r="M246" s="59"/>
    </row>
    <row r="247" spans="2:13">
      <c r="B247" s="40"/>
      <c r="C247" s="41"/>
      <c r="D247" s="42"/>
      <c r="E247" s="43"/>
      <c r="F247" s="44"/>
      <c r="G247" s="1" t="str">
        <f>IFERROR(IF(ventas_b_mes2[[#This Row],[CUIT]]="","-",VLOOKUP(ventas_b_mes2[[#This Row],[CUIT]],Lista_CUIT[#All],2,0)),"CUIT NO CARGADO")</f>
        <v>-</v>
      </c>
      <c r="H247" s="64"/>
      <c r="I247" s="64">
        <f>ventas_b_mes2[[#This Row],[IMPORTE NETO]]*0.21</f>
        <v>0</v>
      </c>
      <c r="J247" s="64"/>
      <c r="K247" s="64"/>
      <c r="L247" s="64">
        <f>SUM(ventas_b_mes2[[#This Row],[IMPORTE NETO]:[EXENTO]])</f>
        <v>0</v>
      </c>
      <c r="M247" s="59"/>
    </row>
    <row r="248" spans="2:13">
      <c r="B248" s="40"/>
      <c r="C248" s="41"/>
      <c r="D248" s="42"/>
      <c r="E248" s="43"/>
      <c r="F248" s="44"/>
      <c r="G248" s="1" t="str">
        <f>IFERROR(IF(ventas_b_mes2[[#This Row],[CUIT]]="","-",VLOOKUP(ventas_b_mes2[[#This Row],[CUIT]],Lista_CUIT[#All],2,0)),"CUIT NO CARGADO")</f>
        <v>-</v>
      </c>
      <c r="H248" s="64"/>
      <c r="I248" s="64">
        <f>ventas_b_mes2[[#This Row],[IMPORTE NETO]]*0.21</f>
        <v>0</v>
      </c>
      <c r="J248" s="64"/>
      <c r="K248" s="64"/>
      <c r="L248" s="64">
        <f>SUM(ventas_b_mes2[[#This Row],[IMPORTE NETO]:[EXENTO]])</f>
        <v>0</v>
      </c>
      <c r="M248" s="59"/>
    </row>
    <row r="249" spans="2:13">
      <c r="B249" s="40"/>
      <c r="C249" s="41"/>
      <c r="D249" s="42"/>
      <c r="E249" s="43"/>
      <c r="F249" s="44"/>
      <c r="G249" s="1" t="str">
        <f>IFERROR(IF(ventas_b_mes2[[#This Row],[CUIT]]="","-",VLOOKUP(ventas_b_mes2[[#This Row],[CUIT]],Lista_CUIT[#All],2,0)),"CUIT NO CARGADO")</f>
        <v>-</v>
      </c>
      <c r="H249" s="64"/>
      <c r="I249" s="64">
        <f>ventas_b_mes2[[#This Row],[IMPORTE NETO]]*0.21</f>
        <v>0</v>
      </c>
      <c r="J249" s="64"/>
      <c r="K249" s="64"/>
      <c r="L249" s="64">
        <f>SUM(ventas_b_mes2[[#This Row],[IMPORTE NETO]:[EXENTO]])</f>
        <v>0</v>
      </c>
      <c r="M249" s="59"/>
    </row>
    <row r="250" spans="2:13">
      <c r="B250" s="40"/>
      <c r="C250" s="41"/>
      <c r="D250" s="42"/>
      <c r="E250" s="43"/>
      <c r="F250" s="44"/>
      <c r="G250" s="1" t="str">
        <f>IFERROR(IF(ventas_b_mes2[[#This Row],[CUIT]]="","-",VLOOKUP(ventas_b_mes2[[#This Row],[CUIT]],Lista_CUIT[#All],2,0)),"CUIT NO CARGADO")</f>
        <v>-</v>
      </c>
      <c r="H250" s="64"/>
      <c r="I250" s="64">
        <f>ventas_b_mes2[[#This Row],[IMPORTE NETO]]*0.21</f>
        <v>0</v>
      </c>
      <c r="J250" s="64"/>
      <c r="K250" s="64"/>
      <c r="L250" s="64">
        <f>SUM(ventas_b_mes2[[#This Row],[IMPORTE NETO]:[EXENTO]])</f>
        <v>0</v>
      </c>
      <c r="M250" s="59"/>
    </row>
    <row r="251" spans="2:13">
      <c r="B251" s="140"/>
      <c r="C251" s="41"/>
      <c r="D251" s="142"/>
      <c r="E251" s="143"/>
      <c r="F251" s="144"/>
      <c r="G251" s="1" t="str">
        <f>IFERROR(IF(ventas_b_mes2[[#This Row],[CUIT]]="","-",VLOOKUP(ventas_b_mes2[[#This Row],[CUIT]],Lista_CUIT[#All],2,0)),"CUIT NO CARGADO")</f>
        <v>-</v>
      </c>
      <c r="H251" s="64"/>
      <c r="I251" s="145">
        <f>ventas_b_mes2[[#This Row],[IMPORTE NETO]]*0.21</f>
        <v>0</v>
      </c>
      <c r="J251" s="146"/>
      <c r="K251" s="146"/>
      <c r="L251" s="146">
        <f>SUM(ventas_b_mes2[[#This Row],[IMPORTE NETO]:[EXENTO]])</f>
        <v>0</v>
      </c>
      <c r="M251" s="59"/>
    </row>
    <row r="252" spans="2:13">
      <c r="B252" s="140"/>
      <c r="C252" s="41"/>
      <c r="D252" s="142"/>
      <c r="E252" s="143"/>
      <c r="F252" s="144"/>
      <c r="G252" s="1" t="str">
        <f>IFERROR(IF(ventas_b_mes2[[#This Row],[CUIT]]="","-",VLOOKUP(ventas_b_mes2[[#This Row],[CUIT]],Lista_CUIT[#All],2,0)),"CUIT NO CARGADO")</f>
        <v>-</v>
      </c>
      <c r="H252" s="64"/>
      <c r="I252" s="145">
        <f>ventas_b_mes2[[#This Row],[IMPORTE NETO]]*0.21</f>
        <v>0</v>
      </c>
      <c r="J252" s="146"/>
      <c r="K252" s="146"/>
      <c r="L252" s="146">
        <f>SUM(ventas_b_mes2[[#This Row],[IMPORTE NETO]:[EXENTO]])</f>
        <v>0</v>
      </c>
      <c r="M252" s="59"/>
    </row>
    <row r="253" spans="2:13">
      <c r="B253" s="140"/>
      <c r="C253" s="41"/>
      <c r="D253" s="142"/>
      <c r="E253" s="143"/>
      <c r="F253" s="144"/>
      <c r="G253" s="1" t="str">
        <f>IFERROR(IF(ventas_b_mes2[[#This Row],[CUIT]]="","-",VLOOKUP(ventas_b_mes2[[#This Row],[CUIT]],Lista_CUIT[#All],2,0)),"CUIT NO CARGADO")</f>
        <v>-</v>
      </c>
      <c r="H253" s="64"/>
      <c r="I253" s="145">
        <f>ventas_b_mes2[[#This Row],[IMPORTE NETO]]*0.21</f>
        <v>0</v>
      </c>
      <c r="J253" s="146"/>
      <c r="K253" s="146"/>
      <c r="L253" s="146">
        <f>SUM(ventas_b_mes2[[#This Row],[IMPORTE NETO]:[EXENTO]])</f>
        <v>0</v>
      </c>
      <c r="M253" s="59"/>
    </row>
    <row r="254" spans="2:13">
      <c r="B254" s="140"/>
      <c r="C254" s="41"/>
      <c r="D254" s="142"/>
      <c r="E254" s="143"/>
      <c r="F254" s="144"/>
      <c r="G254" s="1" t="str">
        <f>IFERROR(IF(ventas_b_mes2[[#This Row],[CUIT]]="","-",VLOOKUP(ventas_b_mes2[[#This Row],[CUIT]],Lista_CUIT[#All],2,0)),"CUIT NO CARGADO")</f>
        <v>-</v>
      </c>
      <c r="H254" s="64"/>
      <c r="I254" s="145">
        <f>ventas_b_mes2[[#This Row],[IMPORTE NETO]]*0.21</f>
        <v>0</v>
      </c>
      <c r="J254" s="146"/>
      <c r="K254" s="146"/>
      <c r="L254" s="146">
        <f>SUM(ventas_b_mes2[[#This Row],[IMPORTE NETO]:[EXENTO]])</f>
        <v>0</v>
      </c>
      <c r="M254" s="59"/>
    </row>
    <row r="255" spans="2:13">
      <c r="B255" s="140"/>
      <c r="C255" s="41"/>
      <c r="D255" s="142"/>
      <c r="E255" s="143"/>
      <c r="F255" s="144"/>
      <c r="G255" s="1" t="str">
        <f>IFERROR(IF(ventas_b_mes2[[#This Row],[CUIT]]="","-",VLOOKUP(ventas_b_mes2[[#This Row],[CUIT]],Lista_CUIT[#All],2,0)),"CUIT NO CARGADO")</f>
        <v>-</v>
      </c>
      <c r="H255" s="64"/>
      <c r="I255" s="145">
        <f>ventas_b_mes2[[#This Row],[IMPORTE NETO]]*0.21</f>
        <v>0</v>
      </c>
      <c r="J255" s="146"/>
      <c r="K255" s="146"/>
      <c r="L255" s="146">
        <f>SUM(ventas_b_mes2[[#This Row],[IMPORTE NETO]:[EXENTO]])</f>
        <v>0</v>
      </c>
      <c r="M255" s="59"/>
    </row>
    <row r="256" spans="2:13">
      <c r="B256" s="140"/>
      <c r="C256" s="41"/>
      <c r="D256" s="142"/>
      <c r="E256" s="143"/>
      <c r="F256" s="144"/>
      <c r="G256" s="1" t="str">
        <f>IFERROR(IF(ventas_b_mes2[[#This Row],[CUIT]]="","-",VLOOKUP(ventas_b_mes2[[#This Row],[CUIT]],Lista_CUIT[#All],2,0)),"CUIT NO CARGADO")</f>
        <v>-</v>
      </c>
      <c r="H256" s="64"/>
      <c r="I256" s="145">
        <f>ventas_b_mes2[[#This Row],[IMPORTE NETO]]*0.21</f>
        <v>0</v>
      </c>
      <c r="J256" s="146"/>
      <c r="K256" s="146"/>
      <c r="L256" s="146">
        <f>SUM(ventas_b_mes2[[#This Row],[IMPORTE NETO]:[EXENTO]])</f>
        <v>0</v>
      </c>
      <c r="M256" s="59"/>
    </row>
    <row r="257" spans="2:13">
      <c r="B257" s="140"/>
      <c r="C257" s="41"/>
      <c r="D257" s="142"/>
      <c r="E257" s="143"/>
      <c r="F257" s="144"/>
      <c r="G257" s="1" t="str">
        <f>IFERROR(IF(ventas_b_mes2[[#This Row],[CUIT]]="","-",VLOOKUP(ventas_b_mes2[[#This Row],[CUIT]],Lista_CUIT[#All],2,0)),"CUIT NO CARGADO")</f>
        <v>-</v>
      </c>
      <c r="H257" s="64"/>
      <c r="I257" s="145">
        <f>ventas_b_mes2[[#This Row],[IMPORTE NETO]]*0.21</f>
        <v>0</v>
      </c>
      <c r="J257" s="146"/>
      <c r="K257" s="146"/>
      <c r="L257" s="146">
        <f>SUM(ventas_b_mes2[[#This Row],[IMPORTE NETO]:[EXENTO]])</f>
        <v>0</v>
      </c>
      <c r="M257" s="59"/>
    </row>
    <row r="258" spans="2:13">
      <c r="B258" s="140"/>
      <c r="C258" s="41"/>
      <c r="D258" s="142"/>
      <c r="E258" s="143"/>
      <c r="F258" s="144"/>
      <c r="G258" s="1" t="str">
        <f>IFERROR(IF(ventas_b_mes2[[#This Row],[CUIT]]="","-",VLOOKUP(ventas_b_mes2[[#This Row],[CUIT]],Lista_CUIT[#All],2,0)),"CUIT NO CARGADO")</f>
        <v>-</v>
      </c>
      <c r="H258" s="64"/>
      <c r="I258" s="145">
        <f>ventas_b_mes2[[#This Row],[IMPORTE NETO]]*0.21</f>
        <v>0</v>
      </c>
      <c r="J258" s="146"/>
      <c r="K258" s="146"/>
      <c r="L258" s="146">
        <f>SUM(ventas_b_mes2[[#This Row],[IMPORTE NETO]:[EXENTO]])</f>
        <v>0</v>
      </c>
      <c r="M258" s="59"/>
    </row>
    <row r="259" spans="2:13">
      <c r="B259" s="140"/>
      <c r="C259" s="41"/>
      <c r="D259" s="142"/>
      <c r="E259" s="143"/>
      <c r="F259" s="144"/>
      <c r="G259" s="1" t="str">
        <f>IFERROR(IF(ventas_b_mes2[[#This Row],[CUIT]]="","-",VLOOKUP(ventas_b_mes2[[#This Row],[CUIT]],Lista_CUIT[#All],2,0)),"CUIT NO CARGADO")</f>
        <v>-</v>
      </c>
      <c r="H259" s="64"/>
      <c r="I259" s="145">
        <f>ventas_b_mes2[[#This Row],[IMPORTE NETO]]*0.21</f>
        <v>0</v>
      </c>
      <c r="J259" s="146"/>
      <c r="K259" s="146"/>
      <c r="L259" s="146">
        <f>SUM(ventas_b_mes2[[#This Row],[IMPORTE NETO]:[EXENTO]])</f>
        <v>0</v>
      </c>
      <c r="M259" s="59"/>
    </row>
    <row r="260" spans="2:13">
      <c r="B260" s="140"/>
      <c r="C260" s="41"/>
      <c r="D260" s="142"/>
      <c r="E260" s="143"/>
      <c r="F260" s="144"/>
      <c r="G260" s="1" t="str">
        <f>IFERROR(IF(ventas_b_mes2[[#This Row],[CUIT]]="","-",VLOOKUP(ventas_b_mes2[[#This Row],[CUIT]],Lista_CUIT[#All],2,0)),"CUIT NO CARGADO")</f>
        <v>-</v>
      </c>
      <c r="H260" s="64"/>
      <c r="I260" s="145">
        <f>ventas_b_mes2[[#This Row],[IMPORTE NETO]]*0.21</f>
        <v>0</v>
      </c>
      <c r="J260" s="146"/>
      <c r="K260" s="146"/>
      <c r="L260" s="146">
        <f>SUM(ventas_b_mes2[[#This Row],[IMPORTE NETO]:[EXENTO]])</f>
        <v>0</v>
      </c>
      <c r="M260" s="59"/>
    </row>
    <row r="261" spans="2:13">
      <c r="B261" s="140"/>
      <c r="C261" s="41"/>
      <c r="D261" s="142"/>
      <c r="E261" s="143"/>
      <c r="F261" s="144"/>
      <c r="G261" s="1" t="str">
        <f>IFERROR(IF(ventas_b_mes2[[#This Row],[CUIT]]="","-",VLOOKUP(ventas_b_mes2[[#This Row],[CUIT]],Lista_CUIT[#All],2,0)),"CUIT NO CARGADO")</f>
        <v>-</v>
      </c>
      <c r="H261" s="64"/>
      <c r="I261" s="145">
        <f>ventas_b_mes2[[#This Row],[IMPORTE NETO]]*0.21</f>
        <v>0</v>
      </c>
      <c r="J261" s="146"/>
      <c r="K261" s="146"/>
      <c r="L261" s="146">
        <f>SUM(ventas_b_mes2[[#This Row],[IMPORTE NETO]:[EXENTO]])</f>
        <v>0</v>
      </c>
      <c r="M261" s="59"/>
    </row>
    <row r="262" spans="2:13">
      <c r="B262" s="140"/>
      <c r="C262" s="41"/>
      <c r="D262" s="142"/>
      <c r="E262" s="143"/>
      <c r="F262" s="144"/>
      <c r="G262" s="1" t="str">
        <f>IFERROR(IF(ventas_b_mes2[[#This Row],[CUIT]]="","-",VLOOKUP(ventas_b_mes2[[#This Row],[CUIT]],Lista_CUIT[#All],2,0)),"CUIT NO CARGADO")</f>
        <v>-</v>
      </c>
      <c r="H262" s="64"/>
      <c r="I262" s="145">
        <f>ventas_b_mes2[[#This Row],[IMPORTE NETO]]*0.21</f>
        <v>0</v>
      </c>
      <c r="J262" s="146"/>
      <c r="K262" s="146"/>
      <c r="L262" s="146">
        <f>SUM(ventas_b_mes2[[#This Row],[IMPORTE NETO]:[EXENTO]])</f>
        <v>0</v>
      </c>
      <c r="M262" s="59"/>
    </row>
    <row r="263" spans="2:13">
      <c r="B263" s="140"/>
      <c r="C263" s="41"/>
      <c r="D263" s="142"/>
      <c r="E263" s="143"/>
      <c r="F263" s="144"/>
      <c r="G263" s="1" t="str">
        <f>IFERROR(IF(ventas_b_mes2[[#This Row],[CUIT]]="","-",VLOOKUP(ventas_b_mes2[[#This Row],[CUIT]],Lista_CUIT[#All],2,0)),"CUIT NO CARGADO")</f>
        <v>-</v>
      </c>
      <c r="H263" s="64"/>
      <c r="I263" s="145">
        <f>ventas_b_mes2[[#This Row],[IMPORTE NETO]]*0.21</f>
        <v>0</v>
      </c>
      <c r="J263" s="146"/>
      <c r="K263" s="146"/>
      <c r="L263" s="146">
        <f>SUM(ventas_b_mes2[[#This Row],[IMPORTE NETO]:[EXENTO]])</f>
        <v>0</v>
      </c>
      <c r="M263" s="59"/>
    </row>
    <row r="264" spans="2:13">
      <c r="B264" s="140"/>
      <c r="C264" s="41"/>
      <c r="D264" s="142"/>
      <c r="E264" s="143"/>
      <c r="F264" s="144"/>
      <c r="G264" s="1" t="str">
        <f>IFERROR(IF(ventas_b_mes2[[#This Row],[CUIT]]="","-",VLOOKUP(ventas_b_mes2[[#This Row],[CUIT]],Lista_CUIT[#All],2,0)),"CUIT NO CARGADO")</f>
        <v>-</v>
      </c>
      <c r="H264" s="64"/>
      <c r="I264" s="145">
        <f>ventas_b_mes2[[#This Row],[IMPORTE NETO]]*0.21</f>
        <v>0</v>
      </c>
      <c r="J264" s="146"/>
      <c r="K264" s="146"/>
      <c r="L264" s="146">
        <f>SUM(ventas_b_mes2[[#This Row],[IMPORTE NETO]:[EXENTO]])</f>
        <v>0</v>
      </c>
      <c r="M264" s="59"/>
    </row>
    <row r="265" spans="2:13">
      <c r="B265" s="140"/>
      <c r="C265" s="41"/>
      <c r="D265" s="142"/>
      <c r="E265" s="143"/>
      <c r="F265" s="144"/>
      <c r="G265" s="1" t="str">
        <f>IFERROR(IF(ventas_b_mes2[[#This Row],[CUIT]]="","-",VLOOKUP(ventas_b_mes2[[#This Row],[CUIT]],Lista_CUIT[#All],2,0)),"CUIT NO CARGADO")</f>
        <v>-</v>
      </c>
      <c r="H265" s="64"/>
      <c r="I265" s="145">
        <f>ventas_b_mes2[[#This Row],[IMPORTE NETO]]*0.21</f>
        <v>0</v>
      </c>
      <c r="J265" s="146"/>
      <c r="K265" s="146"/>
      <c r="L265" s="146">
        <f>SUM(ventas_b_mes2[[#This Row],[IMPORTE NETO]:[EXENTO]])</f>
        <v>0</v>
      </c>
      <c r="M265" s="59"/>
    </row>
    <row r="266" spans="2:13">
      <c r="B266" s="140"/>
      <c r="C266" s="41"/>
      <c r="D266" s="142"/>
      <c r="E266" s="143"/>
      <c r="F266" s="144"/>
      <c r="G266" s="1" t="str">
        <f>IFERROR(IF(ventas_b_mes2[[#This Row],[CUIT]]="","-",VLOOKUP(ventas_b_mes2[[#This Row],[CUIT]],Lista_CUIT[#All],2,0)),"CUIT NO CARGADO")</f>
        <v>-</v>
      </c>
      <c r="H266" s="64"/>
      <c r="I266" s="145">
        <f>ventas_b_mes2[[#This Row],[IMPORTE NETO]]*0.21</f>
        <v>0</v>
      </c>
      <c r="J266" s="146"/>
      <c r="K266" s="146"/>
      <c r="L266" s="146">
        <f>SUM(ventas_b_mes2[[#This Row],[IMPORTE NETO]:[EXENTO]])</f>
        <v>0</v>
      </c>
      <c r="M266" s="59"/>
    </row>
    <row r="267" spans="2:13">
      <c r="B267" s="140"/>
      <c r="C267" s="41"/>
      <c r="D267" s="142"/>
      <c r="E267" s="143"/>
      <c r="F267" s="144"/>
      <c r="G267" s="1" t="str">
        <f>IFERROR(IF(ventas_b_mes2[[#This Row],[CUIT]]="","-",VLOOKUP(ventas_b_mes2[[#This Row],[CUIT]],Lista_CUIT[#All],2,0)),"CUIT NO CARGADO")</f>
        <v>-</v>
      </c>
      <c r="H267" s="64"/>
      <c r="I267" s="145">
        <f>ventas_b_mes2[[#This Row],[IMPORTE NETO]]*0.21</f>
        <v>0</v>
      </c>
      <c r="J267" s="146"/>
      <c r="K267" s="146"/>
      <c r="L267" s="146">
        <f>SUM(ventas_b_mes2[[#This Row],[IMPORTE NETO]:[EXENTO]])</f>
        <v>0</v>
      </c>
      <c r="M267" s="59"/>
    </row>
    <row r="268" spans="2:13">
      <c r="B268" s="140"/>
      <c r="C268" s="41"/>
      <c r="D268" s="142"/>
      <c r="E268" s="143"/>
      <c r="F268" s="144"/>
      <c r="G268" s="1" t="str">
        <f>IFERROR(IF(ventas_b_mes2[[#This Row],[CUIT]]="","-",VLOOKUP(ventas_b_mes2[[#This Row],[CUIT]],Lista_CUIT[#All],2,0)),"CUIT NO CARGADO")</f>
        <v>-</v>
      </c>
      <c r="H268" s="64"/>
      <c r="I268" s="145">
        <f>ventas_b_mes2[[#This Row],[IMPORTE NETO]]*0.21</f>
        <v>0</v>
      </c>
      <c r="J268" s="146"/>
      <c r="K268" s="146"/>
      <c r="L268" s="146">
        <f>SUM(ventas_b_mes2[[#This Row],[IMPORTE NETO]:[EXENTO]])</f>
        <v>0</v>
      </c>
      <c r="M268" s="59"/>
    </row>
    <row r="269" spans="2:13">
      <c r="B269" s="140"/>
      <c r="C269" s="41"/>
      <c r="D269" s="142"/>
      <c r="E269" s="143"/>
      <c r="F269" s="144"/>
      <c r="G269" s="1" t="str">
        <f>IFERROR(IF(ventas_b_mes2[[#This Row],[CUIT]]="","-",VLOOKUP(ventas_b_mes2[[#This Row],[CUIT]],Lista_CUIT[#All],2,0)),"CUIT NO CARGADO")</f>
        <v>-</v>
      </c>
      <c r="H269" s="64"/>
      <c r="I269" s="145">
        <f>ventas_b_mes2[[#This Row],[IMPORTE NETO]]*0.21</f>
        <v>0</v>
      </c>
      <c r="J269" s="146"/>
      <c r="K269" s="146"/>
      <c r="L269" s="146">
        <f>SUM(ventas_b_mes2[[#This Row],[IMPORTE NETO]:[EXENTO]])</f>
        <v>0</v>
      </c>
      <c r="M269" s="59"/>
    </row>
    <row r="270" spans="2:13">
      <c r="B270" s="140"/>
      <c r="C270" s="41"/>
      <c r="D270" s="142"/>
      <c r="E270" s="143"/>
      <c r="F270" s="144"/>
      <c r="G270" s="1" t="str">
        <f>IFERROR(IF(ventas_b_mes2[[#This Row],[CUIT]]="","-",VLOOKUP(ventas_b_mes2[[#This Row],[CUIT]],Lista_CUIT[#All],2,0)),"CUIT NO CARGADO")</f>
        <v>-</v>
      </c>
      <c r="H270" s="64"/>
      <c r="I270" s="145">
        <f>ventas_b_mes2[[#This Row],[IMPORTE NETO]]*0.21</f>
        <v>0</v>
      </c>
      <c r="J270" s="146"/>
      <c r="K270" s="146"/>
      <c r="L270" s="146">
        <f>SUM(ventas_b_mes2[[#This Row],[IMPORTE NETO]:[EXENTO]])</f>
        <v>0</v>
      </c>
      <c r="M270" s="59"/>
    </row>
    <row r="271" spans="2:13">
      <c r="B271" s="140"/>
      <c r="C271" s="41"/>
      <c r="D271" s="142"/>
      <c r="E271" s="143"/>
      <c r="F271" s="144"/>
      <c r="G271" s="1" t="str">
        <f>IFERROR(IF(ventas_b_mes2[[#This Row],[CUIT]]="","-",VLOOKUP(ventas_b_mes2[[#This Row],[CUIT]],Lista_CUIT[#All],2,0)),"CUIT NO CARGADO")</f>
        <v>-</v>
      </c>
      <c r="H271" s="64"/>
      <c r="I271" s="145">
        <f>ventas_b_mes2[[#This Row],[IMPORTE NETO]]*0.21</f>
        <v>0</v>
      </c>
      <c r="J271" s="146"/>
      <c r="K271" s="146"/>
      <c r="L271" s="146">
        <f>SUM(ventas_b_mes2[[#This Row],[IMPORTE NETO]:[EXENTO]])</f>
        <v>0</v>
      </c>
      <c r="M271" s="59"/>
    </row>
    <row r="272" spans="2:13">
      <c r="B272" s="140"/>
      <c r="C272" s="41"/>
      <c r="D272" s="142"/>
      <c r="E272" s="143"/>
      <c r="F272" s="144"/>
      <c r="G272" s="1" t="str">
        <f>IFERROR(IF(ventas_b_mes2[[#This Row],[CUIT]]="","-",VLOOKUP(ventas_b_mes2[[#This Row],[CUIT]],Lista_CUIT[#All],2,0)),"CUIT NO CARGADO")</f>
        <v>-</v>
      </c>
      <c r="H272" s="64"/>
      <c r="I272" s="145">
        <f>ventas_b_mes2[[#This Row],[IMPORTE NETO]]*0.21</f>
        <v>0</v>
      </c>
      <c r="J272" s="146"/>
      <c r="K272" s="146"/>
      <c r="L272" s="146">
        <f>SUM(ventas_b_mes2[[#This Row],[IMPORTE NETO]:[EXENTO]])</f>
        <v>0</v>
      </c>
      <c r="M272" s="59"/>
    </row>
    <row r="273" spans="2:13">
      <c r="B273" s="140"/>
      <c r="C273" s="41"/>
      <c r="D273" s="142"/>
      <c r="E273" s="143"/>
      <c r="F273" s="144"/>
      <c r="G273" s="1" t="str">
        <f>IFERROR(IF(ventas_b_mes2[[#This Row],[CUIT]]="","-",VLOOKUP(ventas_b_mes2[[#This Row],[CUIT]],Lista_CUIT[#All],2,0)),"CUIT NO CARGADO")</f>
        <v>-</v>
      </c>
      <c r="H273" s="64"/>
      <c r="I273" s="145">
        <f>ventas_b_mes2[[#This Row],[IMPORTE NETO]]*0.21</f>
        <v>0</v>
      </c>
      <c r="J273" s="146"/>
      <c r="K273" s="146"/>
      <c r="L273" s="146">
        <f>SUM(ventas_b_mes2[[#This Row],[IMPORTE NETO]:[EXENTO]])</f>
        <v>0</v>
      </c>
      <c r="M273" s="59"/>
    </row>
    <row r="274" spans="2:13">
      <c r="B274" s="140"/>
      <c r="C274" s="41"/>
      <c r="D274" s="142"/>
      <c r="E274" s="143"/>
      <c r="F274" s="144"/>
      <c r="G274" s="1" t="str">
        <f>IFERROR(IF(ventas_b_mes2[[#This Row],[CUIT]]="","-",VLOOKUP(ventas_b_mes2[[#This Row],[CUIT]],Lista_CUIT[#All],2,0)),"CUIT NO CARGADO")</f>
        <v>-</v>
      </c>
      <c r="H274" s="64"/>
      <c r="I274" s="145">
        <f>ventas_b_mes2[[#This Row],[IMPORTE NETO]]*0.21</f>
        <v>0</v>
      </c>
      <c r="J274" s="146"/>
      <c r="K274" s="146"/>
      <c r="L274" s="146">
        <f>SUM(ventas_b_mes2[[#This Row],[IMPORTE NETO]:[EXENTO]])</f>
        <v>0</v>
      </c>
      <c r="M274" s="59"/>
    </row>
    <row r="275" spans="2:13">
      <c r="B275" s="140"/>
      <c r="C275" s="41"/>
      <c r="D275" s="142"/>
      <c r="E275" s="143"/>
      <c r="F275" s="144"/>
      <c r="G275" s="1" t="str">
        <f>IFERROR(IF(ventas_b_mes2[[#This Row],[CUIT]]="","-",VLOOKUP(ventas_b_mes2[[#This Row],[CUIT]],Lista_CUIT[#All],2,0)),"CUIT NO CARGADO")</f>
        <v>-</v>
      </c>
      <c r="H275" s="64"/>
      <c r="I275" s="145">
        <f>ventas_b_mes2[[#This Row],[IMPORTE NETO]]*0.21</f>
        <v>0</v>
      </c>
      <c r="J275" s="146"/>
      <c r="K275" s="146"/>
      <c r="L275" s="146">
        <f>SUM(ventas_b_mes2[[#This Row],[IMPORTE NETO]:[EXENTO]])</f>
        <v>0</v>
      </c>
      <c r="M275" s="59"/>
    </row>
    <row r="276" spans="2:13">
      <c r="B276" s="140"/>
      <c r="C276" s="41"/>
      <c r="D276" s="142"/>
      <c r="E276" s="143"/>
      <c r="F276" s="144"/>
      <c r="G276" s="1" t="str">
        <f>IFERROR(IF(ventas_b_mes2[[#This Row],[CUIT]]="","-",VLOOKUP(ventas_b_mes2[[#This Row],[CUIT]],Lista_CUIT[#All],2,0)),"CUIT NO CARGADO")</f>
        <v>-</v>
      </c>
      <c r="H276" s="64"/>
      <c r="I276" s="145">
        <f>ventas_b_mes2[[#This Row],[IMPORTE NETO]]*0.21</f>
        <v>0</v>
      </c>
      <c r="J276" s="146"/>
      <c r="K276" s="146"/>
      <c r="L276" s="146">
        <f>SUM(ventas_b_mes2[[#This Row],[IMPORTE NETO]:[EXENTO]])</f>
        <v>0</v>
      </c>
      <c r="M276" s="59"/>
    </row>
    <row r="277" spans="2:13">
      <c r="B277" s="140"/>
      <c r="C277" s="41"/>
      <c r="D277" s="142"/>
      <c r="E277" s="143"/>
      <c r="F277" s="144"/>
      <c r="G277" s="1" t="str">
        <f>IFERROR(IF(ventas_b_mes2[[#This Row],[CUIT]]="","-",VLOOKUP(ventas_b_mes2[[#This Row],[CUIT]],Lista_CUIT[#All],2,0)),"CUIT NO CARGADO")</f>
        <v>-</v>
      </c>
      <c r="H277" s="64"/>
      <c r="I277" s="145">
        <f>ventas_b_mes2[[#This Row],[IMPORTE NETO]]*0.21</f>
        <v>0</v>
      </c>
      <c r="J277" s="146"/>
      <c r="K277" s="146"/>
      <c r="L277" s="146">
        <f>SUM(ventas_b_mes2[[#This Row],[IMPORTE NETO]:[EXENTO]])</f>
        <v>0</v>
      </c>
      <c r="M277" s="59"/>
    </row>
    <row r="278" spans="2:13">
      <c r="B278" s="140"/>
      <c r="C278" s="41"/>
      <c r="D278" s="142"/>
      <c r="E278" s="143"/>
      <c r="F278" s="144"/>
      <c r="G278" s="1" t="str">
        <f>IFERROR(IF(ventas_b_mes2[[#This Row],[CUIT]]="","-",VLOOKUP(ventas_b_mes2[[#This Row],[CUIT]],Lista_CUIT[#All],2,0)),"CUIT NO CARGADO")</f>
        <v>-</v>
      </c>
      <c r="H278" s="64"/>
      <c r="I278" s="145">
        <f>ventas_b_mes2[[#This Row],[IMPORTE NETO]]*0.21</f>
        <v>0</v>
      </c>
      <c r="J278" s="146"/>
      <c r="K278" s="146"/>
      <c r="L278" s="146">
        <f>SUM(ventas_b_mes2[[#This Row],[IMPORTE NETO]:[EXENTO]])</f>
        <v>0</v>
      </c>
      <c r="M278" s="59"/>
    </row>
    <row r="279" spans="2:13">
      <c r="B279" s="140"/>
      <c r="C279" s="41"/>
      <c r="D279" s="142"/>
      <c r="E279" s="143"/>
      <c r="F279" s="144"/>
      <c r="G279" s="1" t="str">
        <f>IFERROR(IF(ventas_b_mes2[[#This Row],[CUIT]]="","-",VLOOKUP(ventas_b_mes2[[#This Row],[CUIT]],Lista_CUIT[#All],2,0)),"CUIT NO CARGADO")</f>
        <v>-</v>
      </c>
      <c r="H279" s="64"/>
      <c r="I279" s="145">
        <f>ventas_b_mes2[[#This Row],[IMPORTE NETO]]*0.21</f>
        <v>0</v>
      </c>
      <c r="J279" s="146"/>
      <c r="K279" s="146"/>
      <c r="L279" s="146">
        <f>SUM(ventas_b_mes2[[#This Row],[IMPORTE NETO]:[EXENTO]])</f>
        <v>0</v>
      </c>
      <c r="M279" s="59"/>
    </row>
    <row r="280" spans="2:13">
      <c r="B280" s="140"/>
      <c r="C280" s="41"/>
      <c r="D280" s="142"/>
      <c r="E280" s="143"/>
      <c r="F280" s="144"/>
      <c r="G280" s="1" t="str">
        <f>IFERROR(IF(ventas_b_mes2[[#This Row],[CUIT]]="","-",VLOOKUP(ventas_b_mes2[[#This Row],[CUIT]],Lista_CUIT[#All],2,0)),"CUIT NO CARGADO")</f>
        <v>-</v>
      </c>
      <c r="H280" s="64"/>
      <c r="I280" s="145">
        <f>ventas_b_mes2[[#This Row],[IMPORTE NETO]]*0.21</f>
        <v>0</v>
      </c>
      <c r="J280" s="146"/>
      <c r="K280" s="146"/>
      <c r="L280" s="146">
        <f>SUM(ventas_b_mes2[[#This Row],[IMPORTE NETO]:[EXENTO]])</f>
        <v>0</v>
      </c>
      <c r="M280" s="59"/>
    </row>
    <row r="281" spans="2:13">
      <c r="B281" s="140"/>
      <c r="C281" s="41"/>
      <c r="D281" s="142"/>
      <c r="E281" s="143"/>
      <c r="F281" s="144"/>
      <c r="G281" s="1" t="str">
        <f>IFERROR(IF(ventas_b_mes2[[#This Row],[CUIT]]="","-",VLOOKUP(ventas_b_mes2[[#This Row],[CUIT]],Lista_CUIT[#All],2,0)),"CUIT NO CARGADO")</f>
        <v>-</v>
      </c>
      <c r="H281" s="64"/>
      <c r="I281" s="145">
        <f>ventas_b_mes2[[#This Row],[IMPORTE NETO]]*0.21</f>
        <v>0</v>
      </c>
      <c r="J281" s="146"/>
      <c r="K281" s="146"/>
      <c r="L281" s="146">
        <f>SUM(ventas_b_mes2[[#This Row],[IMPORTE NETO]:[EXENTO]])</f>
        <v>0</v>
      </c>
      <c r="M281" s="59"/>
    </row>
    <row r="282" spans="2:13">
      <c r="B282" s="140"/>
      <c r="C282" s="41"/>
      <c r="D282" s="142"/>
      <c r="E282" s="143"/>
      <c r="F282" s="144"/>
      <c r="G282" s="1" t="str">
        <f>IFERROR(IF(ventas_b_mes2[[#This Row],[CUIT]]="","-",VLOOKUP(ventas_b_mes2[[#This Row],[CUIT]],Lista_CUIT[#All],2,0)),"CUIT NO CARGADO")</f>
        <v>-</v>
      </c>
      <c r="H282" s="64"/>
      <c r="I282" s="145">
        <f>ventas_b_mes2[[#This Row],[IMPORTE NETO]]*0.21</f>
        <v>0</v>
      </c>
      <c r="J282" s="146"/>
      <c r="K282" s="146"/>
      <c r="L282" s="146">
        <f>SUM(ventas_b_mes2[[#This Row],[IMPORTE NETO]:[EXENTO]])</f>
        <v>0</v>
      </c>
      <c r="M282" s="59"/>
    </row>
    <row r="283" spans="2:13">
      <c r="B283" s="140"/>
      <c r="C283" s="41"/>
      <c r="D283" s="142"/>
      <c r="E283" s="143"/>
      <c r="F283" s="144"/>
      <c r="G283" s="1" t="str">
        <f>IFERROR(IF(ventas_b_mes2[[#This Row],[CUIT]]="","-",VLOOKUP(ventas_b_mes2[[#This Row],[CUIT]],Lista_CUIT[#All],2,0)),"CUIT NO CARGADO")</f>
        <v>-</v>
      </c>
      <c r="H283" s="64"/>
      <c r="I283" s="145">
        <f>ventas_b_mes2[[#This Row],[IMPORTE NETO]]*0.21</f>
        <v>0</v>
      </c>
      <c r="J283" s="146"/>
      <c r="K283" s="146"/>
      <c r="L283" s="146">
        <f>SUM(ventas_b_mes2[[#This Row],[IMPORTE NETO]:[EXENTO]])</f>
        <v>0</v>
      </c>
      <c r="M283" s="59"/>
    </row>
    <row r="284" spans="2:13">
      <c r="B284" s="140"/>
      <c r="C284" s="41"/>
      <c r="D284" s="142"/>
      <c r="E284" s="143"/>
      <c r="F284" s="144"/>
      <c r="G284" s="1" t="str">
        <f>IFERROR(IF(ventas_b_mes2[[#This Row],[CUIT]]="","-",VLOOKUP(ventas_b_mes2[[#This Row],[CUIT]],Lista_CUIT[#All],2,0)),"CUIT NO CARGADO")</f>
        <v>-</v>
      </c>
      <c r="H284" s="64"/>
      <c r="I284" s="145">
        <f>ventas_b_mes2[[#This Row],[IMPORTE NETO]]*0.21</f>
        <v>0</v>
      </c>
      <c r="J284" s="146"/>
      <c r="K284" s="146"/>
      <c r="L284" s="146">
        <f>SUM(ventas_b_mes2[[#This Row],[IMPORTE NETO]:[EXENTO]])</f>
        <v>0</v>
      </c>
      <c r="M284" s="59"/>
    </row>
    <row r="285" spans="2:13">
      <c r="B285" s="140"/>
      <c r="C285" s="41"/>
      <c r="D285" s="142"/>
      <c r="E285" s="143"/>
      <c r="F285" s="144"/>
      <c r="G285" s="1" t="str">
        <f>IFERROR(IF(ventas_b_mes2[[#This Row],[CUIT]]="","-",VLOOKUP(ventas_b_mes2[[#This Row],[CUIT]],Lista_CUIT[#All],2,0)),"CUIT NO CARGADO")</f>
        <v>-</v>
      </c>
      <c r="H285" s="64"/>
      <c r="I285" s="145">
        <f>ventas_b_mes2[[#This Row],[IMPORTE NETO]]*0.21</f>
        <v>0</v>
      </c>
      <c r="J285" s="146"/>
      <c r="K285" s="146"/>
      <c r="L285" s="146">
        <f>SUM(ventas_b_mes2[[#This Row],[IMPORTE NETO]:[EXENTO]])</f>
        <v>0</v>
      </c>
      <c r="M285" s="59"/>
    </row>
    <row r="286" spans="2:13">
      <c r="B286" s="140"/>
      <c r="C286" s="41"/>
      <c r="D286" s="142"/>
      <c r="E286" s="143"/>
      <c r="F286" s="144"/>
      <c r="G286" s="1" t="str">
        <f>IFERROR(IF(ventas_b_mes2[[#This Row],[CUIT]]="","-",VLOOKUP(ventas_b_mes2[[#This Row],[CUIT]],Lista_CUIT[#All],2,0)),"CUIT NO CARGADO")</f>
        <v>-</v>
      </c>
      <c r="H286" s="64"/>
      <c r="I286" s="145">
        <f>ventas_b_mes2[[#This Row],[IMPORTE NETO]]*0.21</f>
        <v>0</v>
      </c>
      <c r="J286" s="146"/>
      <c r="K286" s="146"/>
      <c r="L286" s="146">
        <f>SUM(ventas_b_mes2[[#This Row],[IMPORTE NETO]:[EXENTO]])</f>
        <v>0</v>
      </c>
      <c r="M286" s="59"/>
    </row>
    <row r="287" spans="2:13">
      <c r="B287" s="140"/>
      <c r="C287" s="41"/>
      <c r="D287" s="142"/>
      <c r="E287" s="143"/>
      <c r="F287" s="144"/>
      <c r="G287" s="1" t="str">
        <f>IFERROR(IF(ventas_b_mes2[[#This Row],[CUIT]]="","-",VLOOKUP(ventas_b_mes2[[#This Row],[CUIT]],Lista_CUIT[#All],2,0)),"CUIT NO CARGADO")</f>
        <v>-</v>
      </c>
      <c r="H287" s="64"/>
      <c r="I287" s="145">
        <f>ventas_b_mes2[[#This Row],[IMPORTE NETO]]*0.21</f>
        <v>0</v>
      </c>
      <c r="J287" s="146"/>
      <c r="K287" s="146"/>
      <c r="L287" s="146">
        <f>SUM(ventas_b_mes2[[#This Row],[IMPORTE NETO]:[EXENTO]])</f>
        <v>0</v>
      </c>
      <c r="M287" s="59"/>
    </row>
    <row r="288" spans="2:13">
      <c r="B288" s="140"/>
      <c r="C288" s="41"/>
      <c r="D288" s="142"/>
      <c r="E288" s="143"/>
      <c r="F288" s="144"/>
      <c r="G288" s="1" t="str">
        <f>IFERROR(IF(ventas_b_mes2[[#This Row],[CUIT]]="","-",VLOOKUP(ventas_b_mes2[[#This Row],[CUIT]],Lista_CUIT[#All],2,0)),"CUIT NO CARGADO")</f>
        <v>-</v>
      </c>
      <c r="H288" s="64"/>
      <c r="I288" s="145">
        <f>ventas_b_mes2[[#This Row],[IMPORTE NETO]]*0.21</f>
        <v>0</v>
      </c>
      <c r="J288" s="146"/>
      <c r="K288" s="146"/>
      <c r="L288" s="146">
        <f>SUM(ventas_b_mes2[[#This Row],[IMPORTE NETO]:[EXENTO]])</f>
        <v>0</v>
      </c>
      <c r="M288" s="59"/>
    </row>
    <row r="289" spans="2:13">
      <c r="B289" s="140"/>
      <c r="C289" s="41"/>
      <c r="D289" s="142"/>
      <c r="E289" s="143"/>
      <c r="F289" s="144"/>
      <c r="G289" s="1" t="str">
        <f>IFERROR(IF(ventas_b_mes2[[#This Row],[CUIT]]="","-",VLOOKUP(ventas_b_mes2[[#This Row],[CUIT]],Lista_CUIT[#All],2,0)),"CUIT NO CARGADO")</f>
        <v>-</v>
      </c>
      <c r="H289" s="64"/>
      <c r="I289" s="145">
        <f>ventas_b_mes2[[#This Row],[IMPORTE NETO]]*0.21</f>
        <v>0</v>
      </c>
      <c r="J289" s="146"/>
      <c r="K289" s="146"/>
      <c r="L289" s="146">
        <f>SUM(ventas_b_mes2[[#This Row],[IMPORTE NETO]:[EXENTO]])</f>
        <v>0</v>
      </c>
      <c r="M289" s="59"/>
    </row>
    <row r="290" spans="2:13">
      <c r="B290" s="140"/>
      <c r="C290" s="41"/>
      <c r="D290" s="142"/>
      <c r="E290" s="143"/>
      <c r="F290" s="144"/>
      <c r="G290" s="1" t="str">
        <f>IFERROR(IF(ventas_b_mes2[[#This Row],[CUIT]]="","-",VLOOKUP(ventas_b_mes2[[#This Row],[CUIT]],Lista_CUIT[#All],2,0)),"CUIT NO CARGADO")</f>
        <v>-</v>
      </c>
      <c r="H290" s="64"/>
      <c r="I290" s="145">
        <f>ventas_b_mes2[[#This Row],[IMPORTE NETO]]*0.21</f>
        <v>0</v>
      </c>
      <c r="J290" s="146"/>
      <c r="K290" s="146"/>
      <c r="L290" s="146">
        <f>SUM(ventas_b_mes2[[#This Row],[IMPORTE NETO]:[EXENTO]])</f>
        <v>0</v>
      </c>
      <c r="M290" s="59"/>
    </row>
    <row r="291" spans="2:13">
      <c r="B291" s="140"/>
      <c r="C291" s="41"/>
      <c r="D291" s="142"/>
      <c r="E291" s="143"/>
      <c r="F291" s="144"/>
      <c r="G291" s="1" t="str">
        <f>IFERROR(IF(ventas_b_mes2[[#This Row],[CUIT]]="","-",VLOOKUP(ventas_b_mes2[[#This Row],[CUIT]],Lista_CUIT[#All],2,0)),"CUIT NO CARGADO")</f>
        <v>-</v>
      </c>
      <c r="H291" s="64"/>
      <c r="I291" s="145">
        <f>ventas_b_mes2[[#This Row],[IMPORTE NETO]]*0.21</f>
        <v>0</v>
      </c>
      <c r="J291" s="146"/>
      <c r="K291" s="146"/>
      <c r="L291" s="146">
        <f>SUM(ventas_b_mes2[[#This Row],[IMPORTE NETO]:[EXENTO]])</f>
        <v>0</v>
      </c>
      <c r="M291" s="59"/>
    </row>
    <row r="292" spans="2:13">
      <c r="B292" s="140"/>
      <c r="C292" s="41"/>
      <c r="D292" s="142"/>
      <c r="E292" s="143"/>
      <c r="F292" s="144"/>
      <c r="G292" s="1" t="str">
        <f>IFERROR(IF(ventas_b_mes2[[#This Row],[CUIT]]="","-",VLOOKUP(ventas_b_mes2[[#This Row],[CUIT]],Lista_CUIT[#All],2,0)),"CUIT NO CARGADO")</f>
        <v>-</v>
      </c>
      <c r="H292" s="64"/>
      <c r="I292" s="145">
        <f>ventas_b_mes2[[#This Row],[IMPORTE NETO]]*0.21</f>
        <v>0</v>
      </c>
      <c r="J292" s="146"/>
      <c r="K292" s="146"/>
      <c r="L292" s="146">
        <f>SUM(ventas_b_mes2[[#This Row],[IMPORTE NETO]:[EXENTO]])</f>
        <v>0</v>
      </c>
      <c r="M292" s="59"/>
    </row>
    <row r="293" spans="2:13">
      <c r="B293" s="140"/>
      <c r="C293" s="41"/>
      <c r="D293" s="142"/>
      <c r="E293" s="143"/>
      <c r="F293" s="144"/>
      <c r="G293" s="1" t="str">
        <f>IFERROR(IF(ventas_b_mes2[[#This Row],[CUIT]]="","-",VLOOKUP(ventas_b_mes2[[#This Row],[CUIT]],Lista_CUIT[#All],2,0)),"CUIT NO CARGADO")</f>
        <v>-</v>
      </c>
      <c r="H293" s="64"/>
      <c r="I293" s="145">
        <f>ventas_b_mes2[[#This Row],[IMPORTE NETO]]*0.21</f>
        <v>0</v>
      </c>
      <c r="J293" s="146"/>
      <c r="K293" s="146"/>
      <c r="L293" s="146">
        <f>SUM(ventas_b_mes2[[#This Row],[IMPORTE NETO]:[EXENTO]])</f>
        <v>0</v>
      </c>
      <c r="M293" s="59"/>
    </row>
    <row r="294" spans="2:13">
      <c r="B294" s="140"/>
      <c r="C294" s="41"/>
      <c r="D294" s="142"/>
      <c r="E294" s="143"/>
      <c r="F294" s="144"/>
      <c r="G294" s="1" t="str">
        <f>IFERROR(IF(ventas_b_mes2[[#This Row],[CUIT]]="","-",VLOOKUP(ventas_b_mes2[[#This Row],[CUIT]],Lista_CUIT[#All],2,0)),"CUIT NO CARGADO")</f>
        <v>-</v>
      </c>
      <c r="H294" s="64"/>
      <c r="I294" s="145">
        <f>ventas_b_mes2[[#This Row],[IMPORTE NETO]]*0.21</f>
        <v>0</v>
      </c>
      <c r="J294" s="146"/>
      <c r="K294" s="146"/>
      <c r="L294" s="146">
        <f>SUM(ventas_b_mes2[[#This Row],[IMPORTE NETO]:[EXENTO]])</f>
        <v>0</v>
      </c>
      <c r="M294" s="59"/>
    </row>
    <row r="295" spans="2:13">
      <c r="B295" s="140"/>
      <c r="C295" s="41"/>
      <c r="D295" s="142"/>
      <c r="E295" s="143"/>
      <c r="F295" s="144"/>
      <c r="G295" s="1" t="str">
        <f>IFERROR(IF(ventas_b_mes2[[#This Row],[CUIT]]="","-",VLOOKUP(ventas_b_mes2[[#This Row],[CUIT]],Lista_CUIT[#All],2,0)),"CUIT NO CARGADO")</f>
        <v>-</v>
      </c>
      <c r="H295" s="64"/>
      <c r="I295" s="145">
        <f>ventas_b_mes2[[#This Row],[IMPORTE NETO]]*0.21</f>
        <v>0</v>
      </c>
      <c r="J295" s="146"/>
      <c r="K295" s="146"/>
      <c r="L295" s="146">
        <f>SUM(ventas_b_mes2[[#This Row],[IMPORTE NETO]:[EXENTO]])</f>
        <v>0</v>
      </c>
      <c r="M295" s="59"/>
    </row>
    <row r="296" spans="2:13">
      <c r="B296" s="140"/>
      <c r="C296" s="41"/>
      <c r="D296" s="142"/>
      <c r="E296" s="143"/>
      <c r="F296" s="144"/>
      <c r="G296" s="1" t="str">
        <f>IFERROR(IF(ventas_b_mes2[[#This Row],[CUIT]]="","-",VLOOKUP(ventas_b_mes2[[#This Row],[CUIT]],Lista_CUIT[#All],2,0)),"CUIT NO CARGADO")</f>
        <v>-</v>
      </c>
      <c r="H296" s="64"/>
      <c r="I296" s="145">
        <f>ventas_b_mes2[[#This Row],[IMPORTE NETO]]*0.21</f>
        <v>0</v>
      </c>
      <c r="J296" s="146"/>
      <c r="K296" s="146"/>
      <c r="L296" s="146">
        <f>SUM(ventas_b_mes2[[#This Row],[IMPORTE NETO]:[EXENTO]])</f>
        <v>0</v>
      </c>
      <c r="M296" s="59"/>
    </row>
    <row r="297" spans="2:13">
      <c r="B297" s="140"/>
      <c r="C297" s="41"/>
      <c r="D297" s="142"/>
      <c r="E297" s="143"/>
      <c r="F297" s="144"/>
      <c r="G297" s="1" t="str">
        <f>IFERROR(IF(ventas_b_mes2[[#This Row],[CUIT]]="","-",VLOOKUP(ventas_b_mes2[[#This Row],[CUIT]],Lista_CUIT[#All],2,0)),"CUIT NO CARGADO")</f>
        <v>-</v>
      </c>
      <c r="H297" s="64"/>
      <c r="I297" s="145">
        <f>ventas_b_mes2[[#This Row],[IMPORTE NETO]]*0.21</f>
        <v>0</v>
      </c>
      <c r="J297" s="146"/>
      <c r="K297" s="146"/>
      <c r="L297" s="146">
        <f>SUM(ventas_b_mes2[[#This Row],[IMPORTE NETO]:[EXENTO]])</f>
        <v>0</v>
      </c>
      <c r="M297" s="59"/>
    </row>
    <row r="298" spans="2:13">
      <c r="B298" s="140"/>
      <c r="C298" s="41"/>
      <c r="D298" s="142"/>
      <c r="E298" s="143"/>
      <c r="F298" s="144"/>
      <c r="G298" s="1" t="str">
        <f>IFERROR(IF(ventas_b_mes2[[#This Row],[CUIT]]="","-",VLOOKUP(ventas_b_mes2[[#This Row],[CUIT]],Lista_CUIT[#All],2,0)),"CUIT NO CARGADO")</f>
        <v>-</v>
      </c>
      <c r="H298" s="64"/>
      <c r="I298" s="145">
        <f>ventas_b_mes2[[#This Row],[IMPORTE NETO]]*0.21</f>
        <v>0</v>
      </c>
      <c r="J298" s="146"/>
      <c r="K298" s="146"/>
      <c r="L298" s="146">
        <f>SUM(ventas_b_mes2[[#This Row],[IMPORTE NETO]:[EXENTO]])</f>
        <v>0</v>
      </c>
      <c r="M298" s="59"/>
    </row>
    <row r="299" spans="2:13">
      <c r="B299" s="140"/>
      <c r="C299" s="41"/>
      <c r="D299" s="142"/>
      <c r="E299" s="143"/>
      <c r="F299" s="144"/>
      <c r="G299" s="1" t="str">
        <f>IFERROR(IF(ventas_b_mes2[[#This Row],[CUIT]]="","-",VLOOKUP(ventas_b_mes2[[#This Row],[CUIT]],Lista_CUIT[#All],2,0)),"CUIT NO CARGADO")</f>
        <v>-</v>
      </c>
      <c r="H299" s="64"/>
      <c r="I299" s="145">
        <f>ventas_b_mes2[[#This Row],[IMPORTE NETO]]*0.21</f>
        <v>0</v>
      </c>
      <c r="J299" s="146"/>
      <c r="K299" s="146"/>
      <c r="L299" s="146">
        <f>SUM(ventas_b_mes2[[#This Row],[IMPORTE NETO]:[EXENTO]])</f>
        <v>0</v>
      </c>
      <c r="M299" s="59"/>
    </row>
    <row r="300" spans="2:13">
      <c r="B300" s="140"/>
      <c r="C300" s="41"/>
      <c r="D300" s="142"/>
      <c r="E300" s="143"/>
      <c r="F300" s="144"/>
      <c r="G300" s="1" t="str">
        <f>IFERROR(IF(ventas_b_mes2[[#This Row],[CUIT]]="","-",VLOOKUP(ventas_b_mes2[[#This Row],[CUIT]],Lista_CUIT[#All],2,0)),"CUIT NO CARGADO")</f>
        <v>-</v>
      </c>
      <c r="H300" s="64"/>
      <c r="I300" s="145">
        <f>ventas_b_mes2[[#This Row],[IMPORTE NETO]]*0.21</f>
        <v>0</v>
      </c>
      <c r="J300" s="146"/>
      <c r="K300" s="146"/>
      <c r="L300" s="146">
        <f>SUM(ventas_b_mes2[[#This Row],[IMPORTE NETO]:[EXENTO]])</f>
        <v>0</v>
      </c>
      <c r="M300" s="59"/>
    </row>
    <row r="301" spans="2:13">
      <c r="B301" s="140"/>
      <c r="C301" s="41"/>
      <c r="D301" s="142"/>
      <c r="E301" s="143"/>
      <c r="F301" s="144"/>
      <c r="G301" s="1" t="str">
        <f>IFERROR(IF(ventas_b_mes2[[#This Row],[CUIT]]="","-",VLOOKUP(ventas_b_mes2[[#This Row],[CUIT]],Lista_CUIT[#All],2,0)),"CUIT NO CARGADO")</f>
        <v>-</v>
      </c>
      <c r="H301" s="64"/>
      <c r="I301" s="145">
        <f>ventas_b_mes2[[#This Row],[IMPORTE NETO]]*0.21</f>
        <v>0</v>
      </c>
      <c r="J301" s="146"/>
      <c r="K301" s="146"/>
      <c r="L301" s="146">
        <f>SUM(ventas_b_mes2[[#This Row],[IMPORTE NETO]:[EXENTO]])</f>
        <v>0</v>
      </c>
      <c r="M301" s="59"/>
    </row>
    <row r="302" spans="2:13">
      <c r="B302" s="140"/>
      <c r="C302" s="41"/>
      <c r="D302" s="142"/>
      <c r="E302" s="143"/>
      <c r="F302" s="144"/>
      <c r="G302" s="1" t="str">
        <f>IFERROR(IF(ventas_b_mes2[[#This Row],[CUIT]]="","-",VLOOKUP(ventas_b_mes2[[#This Row],[CUIT]],Lista_CUIT[#All],2,0)),"CUIT NO CARGADO")</f>
        <v>-</v>
      </c>
      <c r="H302" s="64"/>
      <c r="I302" s="145">
        <f>ventas_b_mes2[[#This Row],[IMPORTE NETO]]*0.21</f>
        <v>0</v>
      </c>
      <c r="J302" s="146"/>
      <c r="K302" s="146"/>
      <c r="L302" s="146">
        <f>SUM(ventas_b_mes2[[#This Row],[IMPORTE NETO]:[EXENTO]])</f>
        <v>0</v>
      </c>
      <c r="M302" s="59"/>
    </row>
    <row r="303" spans="2:13">
      <c r="B303" s="140"/>
      <c r="C303" s="41"/>
      <c r="D303" s="142"/>
      <c r="E303" s="143"/>
      <c r="F303" s="144"/>
      <c r="G303" s="1" t="str">
        <f>IFERROR(IF(ventas_b_mes2[[#This Row],[CUIT]]="","-",VLOOKUP(ventas_b_mes2[[#This Row],[CUIT]],Lista_CUIT[#All],2,0)),"CUIT NO CARGADO")</f>
        <v>-</v>
      </c>
      <c r="H303" s="64"/>
      <c r="I303" s="145">
        <f>ventas_b_mes2[[#This Row],[IMPORTE NETO]]*0.21</f>
        <v>0</v>
      </c>
      <c r="J303" s="146"/>
      <c r="K303" s="146"/>
      <c r="L303" s="146">
        <f>SUM(ventas_b_mes2[[#This Row],[IMPORTE NETO]:[EXENTO]])</f>
        <v>0</v>
      </c>
      <c r="M303" s="59"/>
    </row>
    <row r="304" spans="2:13">
      <c r="B304" s="140"/>
      <c r="C304" s="41"/>
      <c r="D304" s="142"/>
      <c r="E304" s="143"/>
      <c r="F304" s="144"/>
      <c r="G304" s="1" t="str">
        <f>IFERROR(IF(ventas_b_mes2[[#This Row],[CUIT]]="","-",VLOOKUP(ventas_b_mes2[[#This Row],[CUIT]],Lista_CUIT[#All],2,0)),"CUIT NO CARGADO")</f>
        <v>-</v>
      </c>
      <c r="H304" s="64"/>
      <c r="I304" s="145">
        <f>ventas_b_mes2[[#This Row],[IMPORTE NETO]]*0.21</f>
        <v>0</v>
      </c>
      <c r="J304" s="146"/>
      <c r="K304" s="146"/>
      <c r="L304" s="146">
        <f>SUM(ventas_b_mes2[[#This Row],[IMPORTE NETO]:[EXENTO]])</f>
        <v>0</v>
      </c>
      <c r="M304" s="59"/>
    </row>
    <row r="305" spans="2:13">
      <c r="B305" s="140"/>
      <c r="C305" s="41"/>
      <c r="D305" s="142"/>
      <c r="E305" s="143"/>
      <c r="F305" s="144"/>
      <c r="G305" s="1" t="str">
        <f>IFERROR(IF(ventas_b_mes2[[#This Row],[CUIT]]="","-",VLOOKUP(ventas_b_mes2[[#This Row],[CUIT]],Lista_CUIT[#All],2,0)),"CUIT NO CARGADO")</f>
        <v>-</v>
      </c>
      <c r="H305" s="64"/>
      <c r="I305" s="145">
        <f>ventas_b_mes2[[#This Row],[IMPORTE NETO]]*0.21</f>
        <v>0</v>
      </c>
      <c r="J305" s="146"/>
      <c r="K305" s="146"/>
      <c r="L305" s="146">
        <f>SUM(ventas_b_mes2[[#This Row],[IMPORTE NETO]:[EXENTO]])</f>
        <v>0</v>
      </c>
      <c r="M305" s="59"/>
    </row>
    <row r="306" spans="2:13">
      <c r="B306" s="140"/>
      <c r="C306" s="41"/>
      <c r="D306" s="142"/>
      <c r="E306" s="143"/>
      <c r="F306" s="144"/>
      <c r="G306" s="1" t="str">
        <f>IFERROR(IF(ventas_b_mes2[[#This Row],[CUIT]]="","-",VLOOKUP(ventas_b_mes2[[#This Row],[CUIT]],Lista_CUIT[#All],2,0)),"CUIT NO CARGADO")</f>
        <v>-</v>
      </c>
      <c r="H306" s="64"/>
      <c r="I306" s="145">
        <f>ventas_b_mes2[[#This Row],[IMPORTE NETO]]*0.21</f>
        <v>0</v>
      </c>
      <c r="J306" s="146"/>
      <c r="K306" s="146"/>
      <c r="L306" s="146">
        <f>SUM(ventas_b_mes2[[#This Row],[IMPORTE NETO]:[EXENTO]])</f>
        <v>0</v>
      </c>
      <c r="M306" s="59"/>
    </row>
    <row r="307" spans="2:13">
      <c r="B307" s="140"/>
      <c r="C307" s="41"/>
      <c r="D307" s="142"/>
      <c r="E307" s="143"/>
      <c r="F307" s="144"/>
      <c r="G307" s="1" t="str">
        <f>IFERROR(IF(ventas_b_mes2[[#This Row],[CUIT]]="","-",VLOOKUP(ventas_b_mes2[[#This Row],[CUIT]],Lista_CUIT[#All],2,0)),"CUIT NO CARGADO")</f>
        <v>-</v>
      </c>
      <c r="H307" s="64"/>
      <c r="I307" s="145">
        <f>ventas_b_mes2[[#This Row],[IMPORTE NETO]]*0.21</f>
        <v>0</v>
      </c>
      <c r="J307" s="146"/>
      <c r="K307" s="146"/>
      <c r="L307" s="146">
        <f>SUM(ventas_b_mes2[[#This Row],[IMPORTE NETO]:[EXENTO]])</f>
        <v>0</v>
      </c>
      <c r="M307" s="59"/>
    </row>
    <row r="308" spans="2:13">
      <c r="B308" s="140"/>
      <c r="C308" s="41"/>
      <c r="D308" s="142"/>
      <c r="E308" s="143"/>
      <c r="F308" s="144"/>
      <c r="G308" s="1" t="str">
        <f>IFERROR(IF(ventas_b_mes2[[#This Row],[CUIT]]="","-",VLOOKUP(ventas_b_mes2[[#This Row],[CUIT]],Lista_CUIT[#All],2,0)),"CUIT NO CARGADO")</f>
        <v>-</v>
      </c>
      <c r="H308" s="64"/>
      <c r="I308" s="145">
        <f>ventas_b_mes2[[#This Row],[IMPORTE NETO]]*0.21</f>
        <v>0</v>
      </c>
      <c r="J308" s="146"/>
      <c r="K308" s="146"/>
      <c r="L308" s="146">
        <f>SUM(ventas_b_mes2[[#This Row],[IMPORTE NETO]:[EXENTO]])</f>
        <v>0</v>
      </c>
      <c r="M308" s="59"/>
    </row>
    <row r="309" spans="2:13">
      <c r="B309" s="140"/>
      <c r="C309" s="41"/>
      <c r="D309" s="142"/>
      <c r="E309" s="143"/>
      <c r="F309" s="144"/>
      <c r="G309" s="1" t="str">
        <f>IFERROR(IF(ventas_b_mes2[[#This Row],[CUIT]]="","-",VLOOKUP(ventas_b_mes2[[#This Row],[CUIT]],Lista_CUIT[#All],2,0)),"CUIT NO CARGADO")</f>
        <v>-</v>
      </c>
      <c r="H309" s="64"/>
      <c r="I309" s="145">
        <f>ventas_b_mes2[[#This Row],[IMPORTE NETO]]*0.21</f>
        <v>0</v>
      </c>
      <c r="J309" s="146"/>
      <c r="K309" s="146"/>
      <c r="L309" s="146">
        <f>SUM(ventas_b_mes2[[#This Row],[IMPORTE NETO]:[EXENTO]])</f>
        <v>0</v>
      </c>
      <c r="M309" s="59"/>
    </row>
    <row r="310" spans="2:13">
      <c r="B310" s="140"/>
      <c r="C310" s="41"/>
      <c r="D310" s="142"/>
      <c r="E310" s="143"/>
      <c r="F310" s="144"/>
      <c r="G310" s="1" t="str">
        <f>IFERROR(IF(ventas_b_mes2[[#This Row],[CUIT]]="","-",VLOOKUP(ventas_b_mes2[[#This Row],[CUIT]],Lista_CUIT[#All],2,0)),"CUIT NO CARGADO")</f>
        <v>-</v>
      </c>
      <c r="H310" s="64"/>
      <c r="I310" s="145">
        <f>ventas_b_mes2[[#This Row],[IMPORTE NETO]]*0.21</f>
        <v>0</v>
      </c>
      <c r="J310" s="146"/>
      <c r="K310" s="146"/>
      <c r="L310" s="146">
        <f>SUM(ventas_b_mes2[[#This Row],[IMPORTE NETO]:[EXENTO]])</f>
        <v>0</v>
      </c>
      <c r="M310" s="59"/>
    </row>
    <row r="311" spans="2:13">
      <c r="B311" s="140"/>
      <c r="C311" s="41"/>
      <c r="D311" s="142"/>
      <c r="E311" s="143"/>
      <c r="F311" s="144"/>
      <c r="G311" s="1" t="str">
        <f>IFERROR(IF(ventas_b_mes2[[#This Row],[CUIT]]="","-",VLOOKUP(ventas_b_mes2[[#This Row],[CUIT]],Lista_CUIT[#All],2,0)),"CUIT NO CARGADO")</f>
        <v>-</v>
      </c>
      <c r="H311" s="64"/>
      <c r="I311" s="145">
        <f>ventas_b_mes2[[#This Row],[IMPORTE NETO]]*0.21</f>
        <v>0</v>
      </c>
      <c r="J311" s="146"/>
      <c r="K311" s="146"/>
      <c r="L311" s="146">
        <f>SUM(ventas_b_mes2[[#This Row],[IMPORTE NETO]:[EXENTO]])</f>
        <v>0</v>
      </c>
      <c r="M311" s="59"/>
    </row>
    <row r="312" spans="2:13">
      <c r="B312" s="140"/>
      <c r="C312" s="41"/>
      <c r="D312" s="142"/>
      <c r="E312" s="143"/>
      <c r="F312" s="144"/>
      <c r="G312" s="1" t="str">
        <f>IFERROR(IF(ventas_b_mes2[[#This Row],[CUIT]]="","-",VLOOKUP(ventas_b_mes2[[#This Row],[CUIT]],Lista_CUIT[#All],2,0)),"CUIT NO CARGADO")</f>
        <v>-</v>
      </c>
      <c r="H312" s="64"/>
      <c r="I312" s="145">
        <f>ventas_b_mes2[[#This Row],[IMPORTE NETO]]*0.21</f>
        <v>0</v>
      </c>
      <c r="J312" s="146"/>
      <c r="K312" s="146"/>
      <c r="L312" s="146">
        <f>SUM(ventas_b_mes2[[#This Row],[IMPORTE NETO]:[EXENTO]])</f>
        <v>0</v>
      </c>
      <c r="M312" s="59"/>
    </row>
    <row r="313" spans="2:13">
      <c r="B313" s="140"/>
      <c r="C313" s="41"/>
      <c r="D313" s="142"/>
      <c r="E313" s="143"/>
      <c r="F313" s="144"/>
      <c r="G313" s="1" t="str">
        <f>IFERROR(IF(ventas_b_mes2[[#This Row],[CUIT]]="","-",VLOOKUP(ventas_b_mes2[[#This Row],[CUIT]],Lista_CUIT[#All],2,0)),"CUIT NO CARGADO")</f>
        <v>-</v>
      </c>
      <c r="H313" s="64"/>
      <c r="I313" s="145">
        <f>ventas_b_mes2[[#This Row],[IMPORTE NETO]]*0.21</f>
        <v>0</v>
      </c>
      <c r="J313" s="146"/>
      <c r="K313" s="146"/>
      <c r="L313" s="146">
        <f>SUM(ventas_b_mes2[[#This Row],[IMPORTE NETO]:[EXENTO]])</f>
        <v>0</v>
      </c>
      <c r="M313" s="59"/>
    </row>
    <row r="314" spans="2:13">
      <c r="B314" s="140"/>
      <c r="C314" s="41"/>
      <c r="D314" s="142"/>
      <c r="E314" s="143"/>
      <c r="F314" s="144"/>
      <c r="G314" s="1" t="str">
        <f>IFERROR(IF(ventas_b_mes2[[#This Row],[CUIT]]="","-",VLOOKUP(ventas_b_mes2[[#This Row],[CUIT]],Lista_CUIT[#All],2,0)),"CUIT NO CARGADO")</f>
        <v>-</v>
      </c>
      <c r="H314" s="64"/>
      <c r="I314" s="145">
        <f>ventas_b_mes2[[#This Row],[IMPORTE NETO]]*0.21</f>
        <v>0</v>
      </c>
      <c r="J314" s="146"/>
      <c r="K314" s="146"/>
      <c r="L314" s="146">
        <f>SUM(ventas_b_mes2[[#This Row],[IMPORTE NETO]:[EXENTO]])</f>
        <v>0</v>
      </c>
      <c r="M314" s="59"/>
    </row>
    <row r="315" spans="2:13">
      <c r="B315" s="140"/>
      <c r="C315" s="41"/>
      <c r="D315" s="142"/>
      <c r="E315" s="143"/>
      <c r="F315" s="144"/>
      <c r="G315" s="1" t="str">
        <f>IFERROR(IF(ventas_b_mes2[[#This Row],[CUIT]]="","-",VLOOKUP(ventas_b_mes2[[#This Row],[CUIT]],Lista_CUIT[#All],2,0)),"CUIT NO CARGADO")</f>
        <v>-</v>
      </c>
      <c r="H315" s="64"/>
      <c r="I315" s="145">
        <f>ventas_b_mes2[[#This Row],[IMPORTE NETO]]*0.21</f>
        <v>0</v>
      </c>
      <c r="J315" s="146"/>
      <c r="K315" s="146"/>
      <c r="L315" s="146">
        <f>SUM(ventas_b_mes2[[#This Row],[IMPORTE NETO]:[EXENTO]])</f>
        <v>0</v>
      </c>
      <c r="M315" s="59"/>
    </row>
    <row r="316" spans="2:13">
      <c r="B316" s="147"/>
      <c r="C316" s="41"/>
      <c r="D316" s="148"/>
      <c r="E316" s="149"/>
      <c r="F316" s="150"/>
      <c r="G316" s="151" t="str">
        <f>IFERROR(IF(ventas_b_mes2[[#This Row],[CUIT]]="","-",VLOOKUP(ventas_b_mes2[[#This Row],[CUIT]],Lista_CUIT[#All],2,0)),"CUIT NO CARGADO")</f>
        <v>-</v>
      </c>
      <c r="H316" s="152"/>
      <c r="I316" s="153">
        <f>ventas_b_mes2[[#This Row],[IMPORTE NETO]]*0.21</f>
        <v>0</v>
      </c>
      <c r="J316" s="154"/>
      <c r="K316" s="154"/>
      <c r="L316" s="154">
        <f>SUM(ventas_b_mes2[[#This Row],[IMPORTE NETO]:[EXENTO]])</f>
        <v>0</v>
      </c>
      <c r="M316" s="63"/>
    </row>
    <row r="317" spans="2:13">
      <c r="B317" s="147"/>
      <c r="C317" s="41"/>
      <c r="D317" s="148"/>
      <c r="E317" s="149"/>
      <c r="F317" s="150"/>
      <c r="G317" s="151" t="str">
        <f>IFERROR(IF(ventas_b_mes2[[#This Row],[CUIT]]="","-",VLOOKUP(ventas_b_mes2[[#This Row],[CUIT]],Lista_CUIT[#All],2,0)),"CUIT NO CARGADO")</f>
        <v>-</v>
      </c>
      <c r="H317" s="152"/>
      <c r="I317" s="153">
        <f>ventas_b_mes2[[#This Row],[IMPORTE NETO]]*0.21</f>
        <v>0</v>
      </c>
      <c r="J317" s="154"/>
      <c r="K317" s="154"/>
      <c r="L317" s="154">
        <f>SUM(ventas_b_mes2[[#This Row],[IMPORTE NETO]:[EXENTO]])</f>
        <v>0</v>
      </c>
      <c r="M317" s="63"/>
    </row>
    <row r="318" spans="2:13">
      <c r="B318" s="147"/>
      <c r="C318" s="41"/>
      <c r="D318" s="148"/>
      <c r="E318" s="149"/>
      <c r="F318" s="150"/>
      <c r="G318" s="151" t="str">
        <f>IFERROR(IF(ventas_b_mes2[[#This Row],[CUIT]]="","-",VLOOKUP(ventas_b_mes2[[#This Row],[CUIT]],Lista_CUIT[#All],2,0)),"CUIT NO CARGADO")</f>
        <v>-</v>
      </c>
      <c r="H318" s="152"/>
      <c r="I318" s="153">
        <f>ventas_b_mes2[[#This Row],[IMPORTE NETO]]*0.21</f>
        <v>0</v>
      </c>
      <c r="J318" s="154"/>
      <c r="K318" s="154"/>
      <c r="L318" s="154">
        <f>SUM(ventas_b_mes2[[#This Row],[IMPORTE NETO]:[EXENTO]])</f>
        <v>0</v>
      </c>
      <c r="M318" s="63"/>
    </row>
    <row r="319" spans="2:13">
      <c r="B319" s="147"/>
      <c r="C319" s="41"/>
      <c r="D319" s="148"/>
      <c r="E319" s="149"/>
      <c r="F319" s="150"/>
      <c r="G319" s="151" t="str">
        <f>IFERROR(IF(ventas_b_mes2[[#This Row],[CUIT]]="","-",VLOOKUP(ventas_b_mes2[[#This Row],[CUIT]],Lista_CUIT[#All],2,0)),"CUIT NO CARGADO")</f>
        <v>-</v>
      </c>
      <c r="H319" s="152"/>
      <c r="I319" s="153">
        <f>ventas_b_mes2[[#This Row],[IMPORTE NETO]]*0.21</f>
        <v>0</v>
      </c>
      <c r="J319" s="154"/>
      <c r="K319" s="154"/>
      <c r="L319" s="154">
        <f>SUM(ventas_b_mes2[[#This Row],[IMPORTE NETO]:[EXENTO]])</f>
        <v>0</v>
      </c>
      <c r="M319" s="63"/>
    </row>
    <row r="320" spans="2:13">
      <c r="B320" s="147"/>
      <c r="C320" s="41"/>
      <c r="D320" s="148"/>
      <c r="E320" s="149"/>
      <c r="F320" s="150"/>
      <c r="G320" s="151" t="str">
        <f>IFERROR(IF(ventas_b_mes2[[#This Row],[CUIT]]="","-",VLOOKUP(ventas_b_mes2[[#This Row],[CUIT]],Lista_CUIT[#All],2,0)),"CUIT NO CARGADO")</f>
        <v>-</v>
      </c>
      <c r="H320" s="152"/>
      <c r="I320" s="153">
        <f>ventas_b_mes2[[#This Row],[IMPORTE NETO]]*0.21</f>
        <v>0</v>
      </c>
      <c r="J320" s="154"/>
      <c r="K320" s="154"/>
      <c r="L320" s="154">
        <f>SUM(ventas_b_mes2[[#This Row],[IMPORTE NETO]:[EXENTO]])</f>
        <v>0</v>
      </c>
      <c r="M320" s="63"/>
    </row>
    <row r="321" spans="2:13">
      <c r="B321" s="147"/>
      <c r="C321" s="41"/>
      <c r="D321" s="148"/>
      <c r="E321" s="149"/>
      <c r="F321" s="150"/>
      <c r="G321" s="151" t="str">
        <f>IFERROR(IF(ventas_b_mes2[[#This Row],[CUIT]]="","-",VLOOKUP(ventas_b_mes2[[#This Row],[CUIT]],Lista_CUIT[#All],2,0)),"CUIT NO CARGADO")</f>
        <v>-</v>
      </c>
      <c r="H321" s="152"/>
      <c r="I321" s="153">
        <f>ventas_b_mes2[[#This Row],[IMPORTE NETO]]*0.21</f>
        <v>0</v>
      </c>
      <c r="J321" s="154"/>
      <c r="K321" s="154"/>
      <c r="L321" s="154">
        <f>SUM(ventas_b_mes2[[#This Row],[IMPORTE NETO]:[EXENTO]])</f>
        <v>0</v>
      </c>
      <c r="M321" s="63"/>
    </row>
    <row r="322" spans="2:13">
      <c r="B322" s="147"/>
      <c r="C322" s="41"/>
      <c r="D322" s="148"/>
      <c r="E322" s="149"/>
      <c r="F322" s="150"/>
      <c r="G322" s="151" t="str">
        <f>IFERROR(IF(ventas_b_mes2[[#This Row],[CUIT]]="","-",VLOOKUP(ventas_b_mes2[[#This Row],[CUIT]],Lista_CUIT[#All],2,0)),"CUIT NO CARGADO")</f>
        <v>-</v>
      </c>
      <c r="H322" s="152"/>
      <c r="I322" s="153">
        <f>ventas_b_mes2[[#This Row],[IMPORTE NETO]]*0.21</f>
        <v>0</v>
      </c>
      <c r="J322" s="154"/>
      <c r="K322" s="154"/>
      <c r="L322" s="154">
        <f>SUM(ventas_b_mes2[[#This Row],[IMPORTE NETO]:[EXENTO]])</f>
        <v>0</v>
      </c>
      <c r="M322" s="63"/>
    </row>
    <row r="323" spans="2:13">
      <c r="B323" s="140"/>
      <c r="C323" s="41"/>
      <c r="D323" s="142"/>
      <c r="E323" s="143"/>
      <c r="F323" s="144"/>
      <c r="G323" s="1" t="str">
        <f>IFERROR(IF(ventas_b_mes2[[#This Row],[CUIT]]="","-",VLOOKUP(ventas_b_mes2[[#This Row],[CUIT]],Lista_CUIT[#All],2,0)),"CUIT NO CARGADO")</f>
        <v>-</v>
      </c>
      <c r="H323" s="64"/>
      <c r="I323" s="145">
        <f>ventas_b_mes2[[#This Row],[IMPORTE NETO]]*0.21</f>
        <v>0</v>
      </c>
      <c r="J323" s="146"/>
      <c r="K323" s="146"/>
      <c r="L323" s="146">
        <f>SUM(ventas_b_mes2[[#This Row],[IMPORTE NETO]:[EXENTO]])</f>
        <v>0</v>
      </c>
      <c r="M323" s="59"/>
    </row>
    <row r="324" spans="2:13">
      <c r="B324" s="140"/>
      <c r="C324" s="41"/>
      <c r="D324" s="142"/>
      <c r="E324" s="143"/>
      <c r="F324" s="144"/>
      <c r="G324" s="1" t="str">
        <f>IFERROR(IF(ventas_b_mes2[[#This Row],[CUIT]]="","-",VLOOKUP(ventas_b_mes2[[#This Row],[CUIT]],Lista_CUIT[#All],2,0)),"CUIT NO CARGADO")</f>
        <v>-</v>
      </c>
      <c r="H324" s="64"/>
      <c r="I324" s="145">
        <f>ventas_b_mes2[[#This Row],[IMPORTE NETO]]*0.21</f>
        <v>0</v>
      </c>
      <c r="J324" s="146"/>
      <c r="K324" s="146"/>
      <c r="L324" s="146">
        <f>SUM(ventas_b_mes2[[#This Row],[IMPORTE NETO]:[EXENTO]])</f>
        <v>0</v>
      </c>
      <c r="M324" s="59"/>
    </row>
    <row r="325" spans="2:13">
      <c r="B325" s="140"/>
      <c r="C325" s="41"/>
      <c r="D325" s="142"/>
      <c r="E325" s="143"/>
      <c r="F325" s="144"/>
      <c r="G325" s="1" t="str">
        <f>IFERROR(IF(ventas_b_mes2[[#This Row],[CUIT]]="","-",VLOOKUP(ventas_b_mes2[[#This Row],[CUIT]],Lista_CUIT[#All],2,0)),"CUIT NO CARGADO")</f>
        <v>-</v>
      </c>
      <c r="H325" s="64"/>
      <c r="I325" s="145">
        <f>ventas_b_mes2[[#This Row],[IMPORTE NETO]]*0.21</f>
        <v>0</v>
      </c>
      <c r="J325" s="146"/>
      <c r="K325" s="146"/>
      <c r="L325" s="146">
        <f>SUM(ventas_b_mes2[[#This Row],[IMPORTE NETO]:[EXENTO]])</f>
        <v>0</v>
      </c>
      <c r="M325" s="59"/>
    </row>
    <row r="326" spans="2:13">
      <c r="B326" s="140"/>
      <c r="C326" s="41"/>
      <c r="D326" s="142"/>
      <c r="E326" s="143"/>
      <c r="F326" s="144"/>
      <c r="G326" s="1" t="str">
        <f>IFERROR(IF(ventas_b_mes2[[#This Row],[CUIT]]="","-",VLOOKUP(ventas_b_mes2[[#This Row],[CUIT]],Lista_CUIT[#All],2,0)),"CUIT NO CARGADO")</f>
        <v>-</v>
      </c>
      <c r="H326" s="64"/>
      <c r="I326" s="145">
        <f>ventas_b_mes2[[#This Row],[IMPORTE NETO]]*0.21</f>
        <v>0</v>
      </c>
      <c r="J326" s="146"/>
      <c r="K326" s="146"/>
      <c r="L326" s="146">
        <f>SUM(ventas_b_mes2[[#This Row],[IMPORTE NETO]:[EXENTO]])</f>
        <v>0</v>
      </c>
      <c r="M326" s="59"/>
    </row>
    <row r="327" spans="2:13">
      <c r="B327" s="140"/>
      <c r="C327" s="41"/>
      <c r="D327" s="142"/>
      <c r="E327" s="143"/>
      <c r="F327" s="144"/>
      <c r="G327" s="1" t="str">
        <f>IFERROR(IF(ventas_b_mes2[[#This Row],[CUIT]]="","-",VLOOKUP(ventas_b_mes2[[#This Row],[CUIT]],Lista_CUIT[#All],2,0)),"CUIT NO CARGADO")</f>
        <v>-</v>
      </c>
      <c r="H327" s="64"/>
      <c r="I327" s="145">
        <f>ventas_b_mes2[[#This Row],[IMPORTE NETO]]*0.21</f>
        <v>0</v>
      </c>
      <c r="J327" s="146"/>
      <c r="K327" s="146"/>
      <c r="L327" s="146">
        <f>SUM(ventas_b_mes2[[#This Row],[IMPORTE NETO]:[EXENTO]])</f>
        <v>0</v>
      </c>
      <c r="M327" s="59"/>
    </row>
    <row r="328" spans="2:13">
      <c r="B328" s="140"/>
      <c r="C328" s="41"/>
      <c r="D328" s="142"/>
      <c r="E328" s="143"/>
      <c r="F328" s="144"/>
      <c r="G328" s="1" t="str">
        <f>IFERROR(IF(ventas_b_mes2[[#This Row],[CUIT]]="","-",VLOOKUP(ventas_b_mes2[[#This Row],[CUIT]],Lista_CUIT[#All],2,0)),"CUIT NO CARGADO")</f>
        <v>-</v>
      </c>
      <c r="H328" s="64"/>
      <c r="I328" s="145">
        <f>ventas_b_mes2[[#This Row],[IMPORTE NETO]]*0.21</f>
        <v>0</v>
      </c>
      <c r="J328" s="146"/>
      <c r="K328" s="146"/>
      <c r="L328" s="146">
        <f>SUM(ventas_b_mes2[[#This Row],[IMPORTE NETO]:[EXENTO]])</f>
        <v>0</v>
      </c>
      <c r="M328" s="59"/>
    </row>
    <row r="329" spans="2:13">
      <c r="B329" s="140"/>
      <c r="C329" s="41"/>
      <c r="D329" s="142"/>
      <c r="E329" s="143"/>
      <c r="F329" s="144"/>
      <c r="G329" s="1" t="str">
        <f>IFERROR(IF(ventas_b_mes2[[#This Row],[CUIT]]="","-",VLOOKUP(ventas_b_mes2[[#This Row],[CUIT]],Lista_CUIT[#All],2,0)),"CUIT NO CARGADO")</f>
        <v>-</v>
      </c>
      <c r="H329" s="64"/>
      <c r="I329" s="145">
        <f>ventas_b_mes2[[#This Row],[IMPORTE NETO]]*0.21</f>
        <v>0</v>
      </c>
      <c r="J329" s="146"/>
      <c r="K329" s="146"/>
      <c r="L329" s="146">
        <f>SUM(ventas_b_mes2[[#This Row],[IMPORTE NETO]:[EXENTO]])</f>
        <v>0</v>
      </c>
      <c r="M329" s="59"/>
    </row>
    <row r="330" spans="2:13">
      <c r="B330" s="140"/>
      <c r="C330" s="41"/>
      <c r="D330" s="142"/>
      <c r="E330" s="143"/>
      <c r="F330" s="144"/>
      <c r="G330" s="1" t="str">
        <f>IFERROR(IF(ventas_b_mes2[[#This Row],[CUIT]]="","-",VLOOKUP(ventas_b_mes2[[#This Row],[CUIT]],Lista_CUIT[#All],2,0)),"CUIT NO CARGADO")</f>
        <v>-</v>
      </c>
      <c r="H330" s="64"/>
      <c r="I330" s="145">
        <f>ventas_b_mes2[[#This Row],[IMPORTE NETO]]*0.21</f>
        <v>0</v>
      </c>
      <c r="J330" s="146"/>
      <c r="K330" s="146"/>
      <c r="L330" s="146">
        <f>SUM(ventas_b_mes2[[#This Row],[IMPORTE NETO]:[EXENTO]])</f>
        <v>0</v>
      </c>
      <c r="M330" s="59"/>
    </row>
    <row r="331" spans="2:13">
      <c r="B331" s="140"/>
      <c r="C331" s="41"/>
      <c r="D331" s="142"/>
      <c r="E331" s="143"/>
      <c r="F331" s="144"/>
      <c r="G331" s="1" t="str">
        <f>IFERROR(IF(ventas_b_mes2[[#This Row],[CUIT]]="","-",VLOOKUP(ventas_b_mes2[[#This Row],[CUIT]],Lista_CUIT[#All],2,0)),"CUIT NO CARGADO")</f>
        <v>-</v>
      </c>
      <c r="H331" s="64"/>
      <c r="I331" s="145">
        <f>ventas_b_mes2[[#This Row],[IMPORTE NETO]]*0.21</f>
        <v>0</v>
      </c>
      <c r="J331" s="146"/>
      <c r="K331" s="146"/>
      <c r="L331" s="146">
        <f>SUM(ventas_b_mes2[[#This Row],[IMPORTE NETO]:[EXENTO]])</f>
        <v>0</v>
      </c>
      <c r="M331" s="59"/>
    </row>
    <row r="332" spans="2:13">
      <c r="B332" s="140"/>
      <c r="C332" s="41"/>
      <c r="D332" s="142"/>
      <c r="E332" s="143"/>
      <c r="F332" s="144"/>
      <c r="G332" s="1" t="str">
        <f>IFERROR(IF(ventas_b_mes2[[#This Row],[CUIT]]="","-",VLOOKUP(ventas_b_mes2[[#This Row],[CUIT]],Lista_CUIT[#All],2,0)),"CUIT NO CARGADO")</f>
        <v>-</v>
      </c>
      <c r="H332" s="64"/>
      <c r="I332" s="145">
        <f>ventas_b_mes2[[#This Row],[IMPORTE NETO]]*0.21</f>
        <v>0</v>
      </c>
      <c r="J332" s="146"/>
      <c r="K332" s="146"/>
      <c r="L332" s="146">
        <f>SUM(ventas_b_mes2[[#This Row],[IMPORTE NETO]:[EXENTO]])</f>
        <v>0</v>
      </c>
      <c r="M332" s="59"/>
    </row>
    <row r="333" spans="2:13">
      <c r="B333" s="140"/>
      <c r="C333" s="41"/>
      <c r="D333" s="142"/>
      <c r="E333" s="143"/>
      <c r="F333" s="144"/>
      <c r="G333" s="1" t="str">
        <f>IFERROR(IF(ventas_b_mes2[[#This Row],[CUIT]]="","-",VLOOKUP(ventas_b_mes2[[#This Row],[CUIT]],Lista_CUIT[#All],2,0)),"CUIT NO CARGADO")</f>
        <v>-</v>
      </c>
      <c r="H333" s="64"/>
      <c r="I333" s="145">
        <f>ventas_b_mes2[[#This Row],[IMPORTE NETO]]*0.21</f>
        <v>0</v>
      </c>
      <c r="J333" s="146"/>
      <c r="K333" s="146"/>
      <c r="L333" s="146">
        <f>SUM(ventas_b_mes2[[#This Row],[IMPORTE NETO]:[EXENTO]])</f>
        <v>0</v>
      </c>
      <c r="M333" s="59"/>
    </row>
    <row r="334" spans="2:13">
      <c r="B334" s="140"/>
      <c r="C334" s="41"/>
      <c r="D334" s="142"/>
      <c r="E334" s="143"/>
      <c r="F334" s="144"/>
      <c r="G334" s="1" t="str">
        <f>IFERROR(IF(ventas_b_mes2[[#This Row],[CUIT]]="","-",VLOOKUP(ventas_b_mes2[[#This Row],[CUIT]],Lista_CUIT[#All],2,0)),"CUIT NO CARGADO")</f>
        <v>-</v>
      </c>
      <c r="H334" s="64"/>
      <c r="I334" s="145">
        <f>ventas_b_mes2[[#This Row],[IMPORTE NETO]]*0.21</f>
        <v>0</v>
      </c>
      <c r="J334" s="146"/>
      <c r="K334" s="146"/>
      <c r="L334" s="146">
        <f>SUM(ventas_b_mes2[[#This Row],[IMPORTE NETO]:[EXENTO]])</f>
        <v>0</v>
      </c>
      <c r="M334" s="59"/>
    </row>
    <row r="335" spans="2:13">
      <c r="B335" s="140"/>
      <c r="C335" s="41"/>
      <c r="D335" s="142"/>
      <c r="E335" s="143"/>
      <c r="F335" s="144"/>
      <c r="G335" s="1" t="str">
        <f>IFERROR(IF(ventas_b_mes2[[#This Row],[CUIT]]="","-",VLOOKUP(ventas_b_mes2[[#This Row],[CUIT]],Lista_CUIT[#All],2,0)),"CUIT NO CARGADO")</f>
        <v>-</v>
      </c>
      <c r="H335" s="64"/>
      <c r="I335" s="145">
        <f>ventas_b_mes2[[#This Row],[IMPORTE NETO]]*0.21</f>
        <v>0</v>
      </c>
      <c r="J335" s="146"/>
      <c r="K335" s="146"/>
      <c r="L335" s="146">
        <f>SUM(ventas_b_mes2[[#This Row],[IMPORTE NETO]:[EXENTO]])</f>
        <v>0</v>
      </c>
      <c r="M335" s="59"/>
    </row>
    <row r="336" spans="2:13">
      <c r="B336" s="140"/>
      <c r="C336" s="41"/>
      <c r="D336" s="142"/>
      <c r="E336" s="143"/>
      <c r="F336" s="144"/>
      <c r="G336" s="1" t="str">
        <f>IFERROR(IF(ventas_b_mes2[[#This Row],[CUIT]]="","-",VLOOKUP(ventas_b_mes2[[#This Row],[CUIT]],Lista_CUIT[#All],2,0)),"CUIT NO CARGADO")</f>
        <v>-</v>
      </c>
      <c r="H336" s="64"/>
      <c r="I336" s="145">
        <f>ventas_b_mes2[[#This Row],[IMPORTE NETO]]*0.21</f>
        <v>0</v>
      </c>
      <c r="J336" s="146"/>
      <c r="K336" s="146"/>
      <c r="L336" s="146">
        <f>SUM(ventas_b_mes2[[#This Row],[IMPORTE NETO]:[EXENTO]])</f>
        <v>0</v>
      </c>
      <c r="M336" s="59"/>
    </row>
    <row r="337" spans="2:13">
      <c r="B337" s="140"/>
      <c r="C337" s="41"/>
      <c r="D337" s="142"/>
      <c r="E337" s="143"/>
      <c r="F337" s="144"/>
      <c r="G337" s="1" t="str">
        <f>IFERROR(IF(ventas_b_mes2[[#This Row],[CUIT]]="","-",VLOOKUP(ventas_b_mes2[[#This Row],[CUIT]],Lista_CUIT[#All],2,0)),"CUIT NO CARGADO")</f>
        <v>-</v>
      </c>
      <c r="H337" s="64"/>
      <c r="I337" s="145">
        <f>ventas_b_mes2[[#This Row],[IMPORTE NETO]]*0.21</f>
        <v>0</v>
      </c>
      <c r="J337" s="146"/>
      <c r="K337" s="146"/>
      <c r="L337" s="146">
        <f>SUM(ventas_b_mes2[[#This Row],[IMPORTE NETO]:[EXENTO]])</f>
        <v>0</v>
      </c>
      <c r="M337" s="59"/>
    </row>
    <row r="338" spans="2:13">
      <c r="B338" s="140"/>
      <c r="C338" s="41"/>
      <c r="D338" s="142"/>
      <c r="E338" s="143"/>
      <c r="F338" s="144"/>
      <c r="G338" s="1" t="str">
        <f>IFERROR(IF(ventas_b_mes2[[#This Row],[CUIT]]="","-",VLOOKUP(ventas_b_mes2[[#This Row],[CUIT]],Lista_CUIT[#All],2,0)),"CUIT NO CARGADO")</f>
        <v>-</v>
      </c>
      <c r="H338" s="64"/>
      <c r="I338" s="145">
        <f>ventas_b_mes2[[#This Row],[IMPORTE NETO]]*0.21</f>
        <v>0</v>
      </c>
      <c r="J338" s="146"/>
      <c r="K338" s="146"/>
      <c r="L338" s="146">
        <f>SUM(ventas_b_mes2[[#This Row],[IMPORTE NETO]:[EXENTO]])</f>
        <v>0</v>
      </c>
      <c r="M338" s="59"/>
    </row>
    <row r="339" spans="2:13">
      <c r="B339" s="140"/>
      <c r="C339" s="41"/>
      <c r="D339" s="142"/>
      <c r="E339" s="143"/>
      <c r="F339" s="144"/>
      <c r="G339" s="1" t="str">
        <f>IFERROR(IF(ventas_b_mes2[[#This Row],[CUIT]]="","-",VLOOKUP(ventas_b_mes2[[#This Row],[CUIT]],Lista_CUIT[#All],2,0)),"CUIT NO CARGADO")</f>
        <v>-</v>
      </c>
      <c r="H339" s="64"/>
      <c r="I339" s="145">
        <f>ventas_b_mes2[[#This Row],[IMPORTE NETO]]*0.21</f>
        <v>0</v>
      </c>
      <c r="J339" s="146"/>
      <c r="K339" s="146"/>
      <c r="L339" s="146">
        <f>SUM(ventas_b_mes2[[#This Row],[IMPORTE NETO]:[EXENTO]])</f>
        <v>0</v>
      </c>
      <c r="M339" s="59"/>
    </row>
    <row r="340" spans="2:13">
      <c r="B340" s="140"/>
      <c r="C340" s="41"/>
      <c r="D340" s="142"/>
      <c r="E340" s="143"/>
      <c r="F340" s="144"/>
      <c r="G340" s="1" t="str">
        <f>IFERROR(IF(ventas_b_mes2[[#This Row],[CUIT]]="","-",VLOOKUP(ventas_b_mes2[[#This Row],[CUIT]],Lista_CUIT[#All],2,0)),"CUIT NO CARGADO")</f>
        <v>-</v>
      </c>
      <c r="H340" s="64"/>
      <c r="I340" s="145">
        <f>ventas_b_mes2[[#This Row],[IMPORTE NETO]]*0.21</f>
        <v>0</v>
      </c>
      <c r="J340" s="146"/>
      <c r="K340" s="146"/>
      <c r="L340" s="146">
        <f>SUM(ventas_b_mes2[[#This Row],[IMPORTE NETO]:[EXENTO]])</f>
        <v>0</v>
      </c>
      <c r="M340" s="59"/>
    </row>
    <row r="341" spans="2:13">
      <c r="B341" s="140"/>
      <c r="C341" s="41"/>
      <c r="D341" s="142"/>
      <c r="E341" s="143"/>
      <c r="F341" s="144"/>
      <c r="G341" s="1" t="str">
        <f>IFERROR(IF(ventas_b_mes2[[#This Row],[CUIT]]="","-",VLOOKUP(ventas_b_mes2[[#This Row],[CUIT]],Lista_CUIT[#All],2,0)),"CUIT NO CARGADO")</f>
        <v>-</v>
      </c>
      <c r="H341" s="64"/>
      <c r="I341" s="145">
        <f>ventas_b_mes2[[#This Row],[IMPORTE NETO]]*0.21</f>
        <v>0</v>
      </c>
      <c r="J341" s="146"/>
      <c r="K341" s="146"/>
      <c r="L341" s="146">
        <f>SUM(ventas_b_mes2[[#This Row],[IMPORTE NETO]:[EXENTO]])</f>
        <v>0</v>
      </c>
      <c r="M341" s="59"/>
    </row>
    <row r="342" spans="2:13">
      <c r="B342" s="140"/>
      <c r="C342" s="41"/>
      <c r="D342" s="142"/>
      <c r="E342" s="143"/>
      <c r="F342" s="144"/>
      <c r="G342" s="1" t="str">
        <f>IFERROR(IF(ventas_b_mes2[[#This Row],[CUIT]]="","-",VLOOKUP(ventas_b_mes2[[#This Row],[CUIT]],Lista_CUIT[#All],2,0)),"CUIT NO CARGADO")</f>
        <v>-</v>
      </c>
      <c r="H342" s="64"/>
      <c r="I342" s="145">
        <f>ventas_b_mes2[[#This Row],[IMPORTE NETO]]*0.21</f>
        <v>0</v>
      </c>
      <c r="J342" s="146"/>
      <c r="K342" s="146"/>
      <c r="L342" s="146">
        <f>SUM(ventas_b_mes2[[#This Row],[IMPORTE NETO]:[EXENTO]])</f>
        <v>0</v>
      </c>
      <c r="M342" s="59"/>
    </row>
    <row r="343" spans="2:13">
      <c r="B343" s="140"/>
      <c r="C343" s="41"/>
      <c r="D343" s="142"/>
      <c r="E343" s="143"/>
      <c r="F343" s="144"/>
      <c r="G343" s="1" t="str">
        <f>IFERROR(IF(ventas_b_mes2[[#This Row],[CUIT]]="","-",VLOOKUP(ventas_b_mes2[[#This Row],[CUIT]],Lista_CUIT[#All],2,0)),"CUIT NO CARGADO")</f>
        <v>-</v>
      </c>
      <c r="H343" s="64"/>
      <c r="I343" s="145">
        <f>ventas_b_mes2[[#This Row],[IMPORTE NETO]]*0.21</f>
        <v>0</v>
      </c>
      <c r="J343" s="146"/>
      <c r="K343" s="146"/>
      <c r="L343" s="146">
        <f>SUM(ventas_b_mes2[[#This Row],[IMPORTE NETO]:[EXENTO]])</f>
        <v>0</v>
      </c>
      <c r="M343" s="59"/>
    </row>
    <row r="344" spans="2:13">
      <c r="B344" s="140"/>
      <c r="C344" s="41"/>
      <c r="D344" s="142"/>
      <c r="E344" s="143"/>
      <c r="F344" s="144"/>
      <c r="G344" s="1" t="str">
        <f>IFERROR(IF(ventas_b_mes2[[#This Row],[CUIT]]="","-",VLOOKUP(ventas_b_mes2[[#This Row],[CUIT]],Lista_CUIT[#All],2,0)),"CUIT NO CARGADO")</f>
        <v>-</v>
      </c>
      <c r="H344" s="64"/>
      <c r="I344" s="145">
        <f>ventas_b_mes2[[#This Row],[IMPORTE NETO]]*0.21</f>
        <v>0</v>
      </c>
      <c r="J344" s="146"/>
      <c r="K344" s="146"/>
      <c r="L344" s="146">
        <f>SUM(ventas_b_mes2[[#This Row],[IMPORTE NETO]:[EXENTO]])</f>
        <v>0</v>
      </c>
      <c r="M344" s="59"/>
    </row>
    <row r="345" spans="2:13">
      <c r="B345" s="140"/>
      <c r="C345" s="41"/>
      <c r="D345" s="142"/>
      <c r="E345" s="143"/>
      <c r="F345" s="144"/>
      <c r="G345" s="1" t="str">
        <f>IFERROR(IF(ventas_b_mes2[[#This Row],[CUIT]]="","-",VLOOKUP(ventas_b_mes2[[#This Row],[CUIT]],Lista_CUIT[#All],2,0)),"CUIT NO CARGADO")</f>
        <v>-</v>
      </c>
      <c r="H345" s="64"/>
      <c r="I345" s="145">
        <f>ventas_b_mes2[[#This Row],[IMPORTE NETO]]*0.21</f>
        <v>0</v>
      </c>
      <c r="J345" s="146"/>
      <c r="K345" s="146"/>
      <c r="L345" s="146">
        <f>SUM(ventas_b_mes2[[#This Row],[IMPORTE NETO]:[EXENTO]])</f>
        <v>0</v>
      </c>
      <c r="M345" s="59"/>
    </row>
    <row r="346" spans="2:13">
      <c r="B346" s="140"/>
      <c r="C346" s="41"/>
      <c r="D346" s="142"/>
      <c r="E346" s="143"/>
      <c r="F346" s="144"/>
      <c r="G346" s="1" t="str">
        <f>IFERROR(IF(ventas_b_mes2[[#This Row],[CUIT]]="","-",VLOOKUP(ventas_b_mes2[[#This Row],[CUIT]],Lista_CUIT[#All],2,0)),"CUIT NO CARGADO")</f>
        <v>-</v>
      </c>
      <c r="H346" s="64"/>
      <c r="I346" s="145">
        <f>ventas_b_mes2[[#This Row],[IMPORTE NETO]]*0.21</f>
        <v>0</v>
      </c>
      <c r="J346" s="146"/>
      <c r="K346" s="146"/>
      <c r="L346" s="146">
        <f>SUM(ventas_b_mes2[[#This Row],[IMPORTE NETO]:[EXENTO]])</f>
        <v>0</v>
      </c>
      <c r="M346" s="59"/>
    </row>
    <row r="347" spans="2:13">
      <c r="B347" s="140"/>
      <c r="C347" s="41"/>
      <c r="D347" s="142"/>
      <c r="E347" s="143"/>
      <c r="F347" s="144"/>
      <c r="G347" s="1" t="str">
        <f>IFERROR(IF(ventas_b_mes2[[#This Row],[CUIT]]="","-",VLOOKUP(ventas_b_mes2[[#This Row],[CUIT]],Lista_CUIT[#All],2,0)),"CUIT NO CARGADO")</f>
        <v>-</v>
      </c>
      <c r="H347" s="64"/>
      <c r="I347" s="145">
        <f>ventas_b_mes2[[#This Row],[IMPORTE NETO]]*0.21</f>
        <v>0</v>
      </c>
      <c r="J347" s="146"/>
      <c r="K347" s="146"/>
      <c r="L347" s="146">
        <f>SUM(ventas_b_mes2[[#This Row],[IMPORTE NETO]:[EXENTO]])</f>
        <v>0</v>
      </c>
      <c r="M347" s="59"/>
    </row>
    <row r="348" spans="2:13">
      <c r="B348" s="140"/>
      <c r="C348" s="41"/>
      <c r="D348" s="142"/>
      <c r="E348" s="143"/>
      <c r="F348" s="144"/>
      <c r="G348" s="1" t="str">
        <f>IFERROR(IF(ventas_b_mes2[[#This Row],[CUIT]]="","-",VLOOKUP(ventas_b_mes2[[#This Row],[CUIT]],Lista_CUIT[#All],2,0)),"CUIT NO CARGADO")</f>
        <v>-</v>
      </c>
      <c r="H348" s="64"/>
      <c r="I348" s="145">
        <f>ventas_b_mes2[[#This Row],[IMPORTE NETO]]*0.21</f>
        <v>0</v>
      </c>
      <c r="J348" s="146"/>
      <c r="K348" s="146"/>
      <c r="L348" s="146">
        <f>SUM(ventas_b_mes2[[#This Row],[IMPORTE NETO]:[EXENTO]])</f>
        <v>0</v>
      </c>
      <c r="M348" s="59"/>
    </row>
    <row r="349" spans="2:13">
      <c r="B349" s="140"/>
      <c r="C349" s="41"/>
      <c r="D349" s="142"/>
      <c r="E349" s="143"/>
      <c r="F349" s="144"/>
      <c r="G349" s="1" t="str">
        <f>IFERROR(IF(ventas_b_mes2[[#This Row],[CUIT]]="","-",VLOOKUP(ventas_b_mes2[[#This Row],[CUIT]],Lista_CUIT[#All],2,0)),"CUIT NO CARGADO")</f>
        <v>-</v>
      </c>
      <c r="H349" s="64"/>
      <c r="I349" s="145">
        <f>ventas_b_mes2[[#This Row],[IMPORTE NETO]]*0.21</f>
        <v>0</v>
      </c>
      <c r="J349" s="146"/>
      <c r="K349" s="146"/>
      <c r="L349" s="146">
        <f>SUM(ventas_b_mes2[[#This Row],[IMPORTE NETO]:[EXENTO]])</f>
        <v>0</v>
      </c>
      <c r="M349" s="59"/>
    </row>
    <row r="350" spans="2:13">
      <c r="B350" s="140"/>
      <c r="C350" s="41"/>
      <c r="D350" s="142"/>
      <c r="E350" s="143"/>
      <c r="F350" s="144"/>
      <c r="G350" s="1" t="str">
        <f>IFERROR(IF(ventas_b_mes2[[#This Row],[CUIT]]="","-",VLOOKUP(ventas_b_mes2[[#This Row],[CUIT]],Lista_CUIT[#All],2,0)),"CUIT NO CARGADO")</f>
        <v>-</v>
      </c>
      <c r="H350" s="64"/>
      <c r="I350" s="145">
        <f>ventas_b_mes2[[#This Row],[IMPORTE NETO]]*0.21</f>
        <v>0</v>
      </c>
      <c r="J350" s="146"/>
      <c r="K350" s="146"/>
      <c r="L350" s="146">
        <f>SUM(ventas_b_mes2[[#This Row],[IMPORTE NETO]:[EXENTO]])</f>
        <v>0</v>
      </c>
      <c r="M350" s="59"/>
    </row>
    <row r="351" spans="2:13">
      <c r="B351" s="140"/>
      <c r="C351" s="41"/>
      <c r="D351" s="142"/>
      <c r="E351" s="143"/>
      <c r="F351" s="144"/>
      <c r="G351" s="1" t="str">
        <f>IFERROR(IF(ventas_b_mes2[[#This Row],[CUIT]]="","-",VLOOKUP(ventas_b_mes2[[#This Row],[CUIT]],Lista_CUIT[#All],2,0)),"CUIT NO CARGADO")</f>
        <v>-</v>
      </c>
      <c r="H351" s="64"/>
      <c r="I351" s="145">
        <f>ventas_b_mes2[[#This Row],[IMPORTE NETO]]*0.21</f>
        <v>0</v>
      </c>
      <c r="J351" s="146"/>
      <c r="K351" s="146"/>
      <c r="L351" s="146">
        <f>SUM(ventas_b_mes2[[#This Row],[IMPORTE NETO]:[EXENTO]])</f>
        <v>0</v>
      </c>
      <c r="M351" s="59"/>
    </row>
    <row r="352" spans="2:13">
      <c r="B352" s="140"/>
      <c r="C352" s="41"/>
      <c r="D352" s="142"/>
      <c r="E352" s="143"/>
      <c r="F352" s="144"/>
      <c r="G352" s="1" t="str">
        <f>IFERROR(IF(ventas_b_mes2[[#This Row],[CUIT]]="","-",VLOOKUP(ventas_b_mes2[[#This Row],[CUIT]],Lista_CUIT[#All],2,0)),"CUIT NO CARGADO")</f>
        <v>-</v>
      </c>
      <c r="H352" s="64"/>
      <c r="I352" s="145">
        <f>ventas_b_mes2[[#This Row],[IMPORTE NETO]]*0.21</f>
        <v>0</v>
      </c>
      <c r="J352" s="146"/>
      <c r="K352" s="146"/>
      <c r="L352" s="146">
        <f>SUM(ventas_b_mes2[[#This Row],[IMPORTE NETO]:[EXENTO]])</f>
        <v>0</v>
      </c>
      <c r="M352" s="59"/>
    </row>
    <row r="353" spans="2:13">
      <c r="B353" s="140"/>
      <c r="C353" s="41"/>
      <c r="D353" s="142"/>
      <c r="E353" s="143"/>
      <c r="F353" s="144"/>
      <c r="G353" s="1" t="str">
        <f>IFERROR(IF(ventas_b_mes2[[#This Row],[CUIT]]="","-",VLOOKUP(ventas_b_mes2[[#This Row],[CUIT]],Lista_CUIT[#All],2,0)),"CUIT NO CARGADO")</f>
        <v>-</v>
      </c>
      <c r="H353" s="64"/>
      <c r="I353" s="145">
        <f>ventas_b_mes2[[#This Row],[IMPORTE NETO]]*0.21</f>
        <v>0</v>
      </c>
      <c r="J353" s="146"/>
      <c r="K353" s="146"/>
      <c r="L353" s="146">
        <f>SUM(ventas_b_mes2[[#This Row],[IMPORTE NETO]:[EXENTO]])</f>
        <v>0</v>
      </c>
      <c r="M353" s="59"/>
    </row>
    <row r="354" spans="2:13">
      <c r="B354" s="140"/>
      <c r="C354" s="41"/>
      <c r="D354" s="142"/>
      <c r="E354" s="143"/>
      <c r="F354" s="144"/>
      <c r="G354" s="1" t="str">
        <f>IFERROR(IF(ventas_b_mes2[[#This Row],[CUIT]]="","-",VLOOKUP(ventas_b_mes2[[#This Row],[CUIT]],Lista_CUIT[#All],2,0)),"CUIT NO CARGADO")</f>
        <v>-</v>
      </c>
      <c r="H354" s="64"/>
      <c r="I354" s="145">
        <f>ventas_b_mes2[[#This Row],[IMPORTE NETO]]*0.21</f>
        <v>0</v>
      </c>
      <c r="J354" s="146"/>
      <c r="K354" s="146"/>
      <c r="L354" s="146">
        <f>SUM(ventas_b_mes2[[#This Row],[IMPORTE NETO]:[EXENTO]])</f>
        <v>0</v>
      </c>
      <c r="M354" s="59"/>
    </row>
    <row r="355" spans="2:13">
      <c r="B355" s="140"/>
      <c r="C355" s="41"/>
      <c r="D355" s="142"/>
      <c r="E355" s="143"/>
      <c r="F355" s="144"/>
      <c r="G355" s="1" t="str">
        <f>IFERROR(IF(ventas_b_mes2[[#This Row],[CUIT]]="","-",VLOOKUP(ventas_b_mes2[[#This Row],[CUIT]],Lista_CUIT[#All],2,0)),"CUIT NO CARGADO")</f>
        <v>-</v>
      </c>
      <c r="H355" s="64"/>
      <c r="I355" s="145">
        <f>ventas_b_mes2[[#This Row],[IMPORTE NETO]]*0.21</f>
        <v>0</v>
      </c>
      <c r="J355" s="146"/>
      <c r="K355" s="146"/>
      <c r="L355" s="146">
        <f>SUM(ventas_b_mes2[[#This Row],[IMPORTE NETO]:[EXENTO]])</f>
        <v>0</v>
      </c>
      <c r="M355" s="59"/>
    </row>
    <row r="356" spans="2:13">
      <c r="B356" s="140"/>
      <c r="C356" s="41"/>
      <c r="D356" s="142"/>
      <c r="E356" s="143"/>
      <c r="F356" s="144"/>
      <c r="G356" s="1" t="str">
        <f>IFERROR(IF(ventas_b_mes2[[#This Row],[CUIT]]="","-",VLOOKUP(ventas_b_mes2[[#This Row],[CUIT]],Lista_CUIT[#All],2,0)),"CUIT NO CARGADO")</f>
        <v>-</v>
      </c>
      <c r="H356" s="64"/>
      <c r="I356" s="145">
        <f>ventas_b_mes2[[#This Row],[IMPORTE NETO]]*0.21</f>
        <v>0</v>
      </c>
      <c r="J356" s="146"/>
      <c r="K356" s="146"/>
      <c r="L356" s="146">
        <f>SUM(ventas_b_mes2[[#This Row],[IMPORTE NETO]:[EXENTO]])</f>
        <v>0</v>
      </c>
      <c r="M356" s="59"/>
    </row>
    <row r="357" spans="2:13">
      <c r="B357" s="140"/>
      <c r="C357" s="41"/>
      <c r="D357" s="142"/>
      <c r="E357" s="143"/>
      <c r="F357" s="144"/>
      <c r="G357" s="1" t="str">
        <f>IFERROR(IF(ventas_b_mes2[[#This Row],[CUIT]]="","-",VLOOKUP(ventas_b_mes2[[#This Row],[CUIT]],Lista_CUIT[#All],2,0)),"CUIT NO CARGADO")</f>
        <v>-</v>
      </c>
      <c r="H357" s="64"/>
      <c r="I357" s="145">
        <f>ventas_b_mes2[[#This Row],[IMPORTE NETO]]*0.21</f>
        <v>0</v>
      </c>
      <c r="J357" s="146"/>
      <c r="K357" s="146"/>
      <c r="L357" s="146">
        <f>SUM(ventas_b_mes2[[#This Row],[IMPORTE NETO]:[EXENTO]])</f>
        <v>0</v>
      </c>
      <c r="M357" s="59"/>
    </row>
    <row r="358" spans="2:13">
      <c r="B358" s="140"/>
      <c r="C358" s="41"/>
      <c r="D358" s="142"/>
      <c r="E358" s="143"/>
      <c r="F358" s="144"/>
      <c r="G358" s="1" t="str">
        <f>IFERROR(IF(ventas_b_mes2[[#This Row],[CUIT]]="","-",VLOOKUP(ventas_b_mes2[[#This Row],[CUIT]],Lista_CUIT[#All],2,0)),"CUIT NO CARGADO")</f>
        <v>-</v>
      </c>
      <c r="H358" s="64"/>
      <c r="I358" s="145">
        <f>ventas_b_mes2[[#This Row],[IMPORTE NETO]]*0.21</f>
        <v>0</v>
      </c>
      <c r="J358" s="146"/>
      <c r="K358" s="146"/>
      <c r="L358" s="146">
        <f>SUM(ventas_b_mes2[[#This Row],[IMPORTE NETO]:[EXENTO]])</f>
        <v>0</v>
      </c>
      <c r="M358" s="59"/>
    </row>
    <row r="359" spans="2:13">
      <c r="B359" s="140"/>
      <c r="C359" s="41"/>
      <c r="D359" s="142"/>
      <c r="E359" s="143"/>
      <c r="F359" s="144"/>
      <c r="G359" s="1" t="str">
        <f>IFERROR(IF(ventas_b_mes2[[#This Row],[CUIT]]="","-",VLOOKUP(ventas_b_mes2[[#This Row],[CUIT]],Lista_CUIT[#All],2,0)),"CUIT NO CARGADO")</f>
        <v>-</v>
      </c>
      <c r="H359" s="64"/>
      <c r="I359" s="145">
        <f>ventas_b_mes2[[#This Row],[IMPORTE NETO]]*0.21</f>
        <v>0</v>
      </c>
      <c r="J359" s="146"/>
      <c r="K359" s="146"/>
      <c r="L359" s="146">
        <f>SUM(ventas_b_mes2[[#This Row],[IMPORTE NETO]:[EXENTO]])</f>
        <v>0</v>
      </c>
      <c r="M359" s="59"/>
    </row>
    <row r="360" spans="2:13">
      <c r="B360" s="140"/>
      <c r="C360" s="41"/>
      <c r="D360" s="142"/>
      <c r="E360" s="143"/>
      <c r="F360" s="144"/>
      <c r="G360" s="1" t="str">
        <f>IFERROR(IF(ventas_b_mes2[[#This Row],[CUIT]]="","-",VLOOKUP(ventas_b_mes2[[#This Row],[CUIT]],Lista_CUIT[#All],2,0)),"CUIT NO CARGADO")</f>
        <v>-</v>
      </c>
      <c r="H360" s="64"/>
      <c r="I360" s="145">
        <f>ventas_b_mes2[[#This Row],[IMPORTE NETO]]*0.21</f>
        <v>0</v>
      </c>
      <c r="J360" s="146"/>
      <c r="K360" s="146"/>
      <c r="L360" s="146">
        <f>SUM(ventas_b_mes2[[#This Row],[IMPORTE NETO]:[EXENTO]])</f>
        <v>0</v>
      </c>
      <c r="M360" s="59"/>
    </row>
    <row r="361" spans="2:13">
      <c r="B361" s="140"/>
      <c r="C361" s="41"/>
      <c r="D361" s="142"/>
      <c r="E361" s="143"/>
      <c r="F361" s="144"/>
      <c r="G361" s="1" t="str">
        <f>IFERROR(IF(ventas_b_mes2[[#This Row],[CUIT]]="","-",VLOOKUP(ventas_b_mes2[[#This Row],[CUIT]],Lista_CUIT[#All],2,0)),"CUIT NO CARGADO")</f>
        <v>-</v>
      </c>
      <c r="H361" s="64"/>
      <c r="I361" s="145">
        <f>ventas_b_mes2[[#This Row],[IMPORTE NETO]]*0.21</f>
        <v>0</v>
      </c>
      <c r="J361" s="146"/>
      <c r="K361" s="146"/>
      <c r="L361" s="146">
        <f>SUM(ventas_b_mes2[[#This Row],[IMPORTE NETO]:[EXENTO]])</f>
        <v>0</v>
      </c>
      <c r="M361" s="59"/>
    </row>
    <row r="362" spans="2:13">
      <c r="B362" s="140"/>
      <c r="C362" s="41"/>
      <c r="D362" s="142"/>
      <c r="E362" s="143"/>
      <c r="F362" s="144"/>
      <c r="G362" s="1" t="str">
        <f>IFERROR(IF(ventas_b_mes2[[#This Row],[CUIT]]="","-",VLOOKUP(ventas_b_mes2[[#This Row],[CUIT]],Lista_CUIT[#All],2,0)),"CUIT NO CARGADO")</f>
        <v>-</v>
      </c>
      <c r="H362" s="64"/>
      <c r="I362" s="145">
        <f>ventas_b_mes2[[#This Row],[IMPORTE NETO]]*0.21</f>
        <v>0</v>
      </c>
      <c r="J362" s="146"/>
      <c r="K362" s="146"/>
      <c r="L362" s="146">
        <f>SUM(ventas_b_mes2[[#This Row],[IMPORTE NETO]:[EXENTO]])</f>
        <v>0</v>
      </c>
      <c r="M362" s="59"/>
    </row>
    <row r="363" spans="2:13">
      <c r="B363" s="140"/>
      <c r="C363" s="41"/>
      <c r="D363" s="142"/>
      <c r="E363" s="143"/>
      <c r="F363" s="144"/>
      <c r="G363" s="1" t="str">
        <f>IFERROR(IF(ventas_b_mes2[[#This Row],[CUIT]]="","-",VLOOKUP(ventas_b_mes2[[#This Row],[CUIT]],Lista_CUIT[#All],2,0)),"CUIT NO CARGADO")</f>
        <v>-</v>
      </c>
      <c r="H363" s="64"/>
      <c r="I363" s="145">
        <f>ventas_b_mes2[[#This Row],[IMPORTE NETO]]*0.21</f>
        <v>0</v>
      </c>
      <c r="J363" s="146"/>
      <c r="K363" s="146"/>
      <c r="L363" s="146">
        <f>SUM(ventas_b_mes2[[#This Row],[IMPORTE NETO]:[EXENTO]])</f>
        <v>0</v>
      </c>
      <c r="M363" s="59"/>
    </row>
    <row r="364" spans="2:13">
      <c r="B364" s="140"/>
      <c r="C364" s="41"/>
      <c r="D364" s="142"/>
      <c r="E364" s="143"/>
      <c r="F364" s="144"/>
      <c r="G364" s="1" t="str">
        <f>IFERROR(IF(ventas_b_mes2[[#This Row],[CUIT]]="","-",VLOOKUP(ventas_b_mes2[[#This Row],[CUIT]],Lista_CUIT[#All],2,0)),"CUIT NO CARGADO")</f>
        <v>-</v>
      </c>
      <c r="H364" s="64"/>
      <c r="I364" s="145">
        <f>ventas_b_mes2[[#This Row],[IMPORTE NETO]]*0.21</f>
        <v>0</v>
      </c>
      <c r="J364" s="146"/>
      <c r="K364" s="146"/>
      <c r="L364" s="146">
        <f>SUM(ventas_b_mes2[[#This Row],[IMPORTE NETO]:[EXENTO]])</f>
        <v>0</v>
      </c>
      <c r="M364" s="59"/>
    </row>
    <row r="365" spans="2:13">
      <c r="B365" s="140"/>
      <c r="C365" s="41"/>
      <c r="D365" s="142"/>
      <c r="E365" s="143"/>
      <c r="F365" s="144"/>
      <c r="G365" s="1" t="str">
        <f>IFERROR(IF(ventas_b_mes2[[#This Row],[CUIT]]="","-",VLOOKUP(ventas_b_mes2[[#This Row],[CUIT]],Lista_CUIT[#All],2,0)),"CUIT NO CARGADO")</f>
        <v>-</v>
      </c>
      <c r="H365" s="64"/>
      <c r="I365" s="145">
        <f>ventas_b_mes2[[#This Row],[IMPORTE NETO]]*0.21</f>
        <v>0</v>
      </c>
      <c r="J365" s="146"/>
      <c r="K365" s="146"/>
      <c r="L365" s="146">
        <f>SUM(ventas_b_mes2[[#This Row],[IMPORTE NETO]:[EXENTO]])</f>
        <v>0</v>
      </c>
      <c r="M365" s="59"/>
    </row>
    <row r="366" spans="2:13">
      <c r="B366" s="140"/>
      <c r="C366" s="41"/>
      <c r="D366" s="142"/>
      <c r="E366" s="143"/>
      <c r="F366" s="144"/>
      <c r="G366" s="1" t="str">
        <f>IFERROR(IF(ventas_b_mes2[[#This Row],[CUIT]]="","-",VLOOKUP(ventas_b_mes2[[#This Row],[CUIT]],Lista_CUIT[#All],2,0)),"CUIT NO CARGADO")</f>
        <v>-</v>
      </c>
      <c r="H366" s="64"/>
      <c r="I366" s="145">
        <f>ventas_b_mes2[[#This Row],[IMPORTE NETO]]*0.21</f>
        <v>0</v>
      </c>
      <c r="J366" s="146"/>
      <c r="K366" s="146"/>
      <c r="L366" s="146">
        <f>SUM(ventas_b_mes2[[#This Row],[IMPORTE NETO]:[EXENTO]])</f>
        <v>0</v>
      </c>
      <c r="M366" s="59"/>
    </row>
    <row r="367" spans="2:13">
      <c r="B367" s="140"/>
      <c r="C367" s="41"/>
      <c r="D367" s="142"/>
      <c r="E367" s="143"/>
      <c r="F367" s="144"/>
      <c r="G367" s="1" t="str">
        <f>IFERROR(IF(ventas_b_mes2[[#This Row],[CUIT]]="","-",VLOOKUP(ventas_b_mes2[[#This Row],[CUIT]],Lista_CUIT[#All],2,0)),"CUIT NO CARGADO")</f>
        <v>-</v>
      </c>
      <c r="H367" s="64"/>
      <c r="I367" s="145">
        <f>ventas_b_mes2[[#This Row],[IMPORTE NETO]]*0.21</f>
        <v>0</v>
      </c>
      <c r="J367" s="146"/>
      <c r="K367" s="146"/>
      <c r="L367" s="146">
        <f>SUM(ventas_b_mes2[[#This Row],[IMPORTE NETO]:[EXENTO]])</f>
        <v>0</v>
      </c>
      <c r="M367" s="59"/>
    </row>
    <row r="368" spans="2:13">
      <c r="B368" s="140"/>
      <c r="C368" s="41"/>
      <c r="D368" s="142"/>
      <c r="E368" s="143"/>
      <c r="F368" s="144"/>
      <c r="G368" s="1" t="str">
        <f>IFERROR(IF(ventas_b_mes2[[#This Row],[CUIT]]="","-",VLOOKUP(ventas_b_mes2[[#This Row],[CUIT]],Lista_CUIT[#All],2,0)),"CUIT NO CARGADO")</f>
        <v>-</v>
      </c>
      <c r="H368" s="64"/>
      <c r="I368" s="145">
        <f>ventas_b_mes2[[#This Row],[IMPORTE NETO]]*0.21</f>
        <v>0</v>
      </c>
      <c r="J368" s="146"/>
      <c r="K368" s="146"/>
      <c r="L368" s="146">
        <f>SUM(ventas_b_mes2[[#This Row],[IMPORTE NETO]:[EXENTO]])</f>
        <v>0</v>
      </c>
      <c r="M368" s="59"/>
    </row>
    <row r="369" spans="2:13">
      <c r="B369" s="140"/>
      <c r="C369" s="41"/>
      <c r="D369" s="142"/>
      <c r="E369" s="143"/>
      <c r="F369" s="144"/>
      <c r="G369" s="1" t="str">
        <f>IFERROR(IF(ventas_b_mes2[[#This Row],[CUIT]]="","-",VLOOKUP(ventas_b_mes2[[#This Row],[CUIT]],Lista_CUIT[#All],2,0)),"CUIT NO CARGADO")</f>
        <v>-</v>
      </c>
      <c r="H369" s="64"/>
      <c r="I369" s="145">
        <f>ventas_b_mes2[[#This Row],[IMPORTE NETO]]*0.21</f>
        <v>0</v>
      </c>
      <c r="J369" s="146"/>
      <c r="K369" s="146"/>
      <c r="L369" s="146">
        <f>SUM(ventas_b_mes2[[#This Row],[IMPORTE NETO]:[EXENTO]])</f>
        <v>0</v>
      </c>
      <c r="M369" s="59"/>
    </row>
    <row r="370" spans="2:13">
      <c r="B370" s="140"/>
      <c r="C370" s="41"/>
      <c r="D370" s="142"/>
      <c r="E370" s="143"/>
      <c r="F370" s="144"/>
      <c r="G370" s="1" t="str">
        <f>IFERROR(IF(ventas_b_mes2[[#This Row],[CUIT]]="","-",VLOOKUP(ventas_b_mes2[[#This Row],[CUIT]],Lista_CUIT[#All],2,0)),"CUIT NO CARGADO")</f>
        <v>-</v>
      </c>
      <c r="H370" s="64"/>
      <c r="I370" s="145">
        <f>ventas_b_mes2[[#This Row],[IMPORTE NETO]]*0.21</f>
        <v>0</v>
      </c>
      <c r="J370" s="146"/>
      <c r="K370" s="146"/>
      <c r="L370" s="146">
        <f>SUM(ventas_b_mes2[[#This Row],[IMPORTE NETO]:[EXENTO]])</f>
        <v>0</v>
      </c>
      <c r="M370" s="59"/>
    </row>
    <row r="371" spans="2:13">
      <c r="B371" s="140"/>
      <c r="C371" s="41"/>
      <c r="D371" s="142"/>
      <c r="E371" s="143"/>
      <c r="F371" s="144"/>
      <c r="G371" s="1" t="str">
        <f>IFERROR(IF(ventas_b_mes2[[#This Row],[CUIT]]="","-",VLOOKUP(ventas_b_mes2[[#This Row],[CUIT]],Lista_CUIT[#All],2,0)),"CUIT NO CARGADO")</f>
        <v>-</v>
      </c>
      <c r="H371" s="64"/>
      <c r="I371" s="145">
        <f>ventas_b_mes2[[#This Row],[IMPORTE NETO]]*0.21</f>
        <v>0</v>
      </c>
      <c r="J371" s="146"/>
      <c r="K371" s="146"/>
      <c r="L371" s="146">
        <f>SUM(ventas_b_mes2[[#This Row],[IMPORTE NETO]:[EXENTO]])</f>
        <v>0</v>
      </c>
      <c r="M371" s="59"/>
    </row>
    <row r="372" spans="2:13">
      <c r="B372" s="140"/>
      <c r="C372" s="41"/>
      <c r="D372" s="142"/>
      <c r="E372" s="143"/>
      <c r="F372" s="144"/>
      <c r="G372" s="1" t="str">
        <f>IFERROR(IF(ventas_b_mes2[[#This Row],[CUIT]]="","-",VLOOKUP(ventas_b_mes2[[#This Row],[CUIT]],Lista_CUIT[#All],2,0)),"CUIT NO CARGADO")</f>
        <v>-</v>
      </c>
      <c r="H372" s="64"/>
      <c r="I372" s="145">
        <f>ventas_b_mes2[[#This Row],[IMPORTE NETO]]*0.21</f>
        <v>0</v>
      </c>
      <c r="J372" s="146"/>
      <c r="K372" s="146"/>
      <c r="L372" s="146">
        <f>SUM(ventas_b_mes2[[#This Row],[IMPORTE NETO]:[EXENTO]])</f>
        <v>0</v>
      </c>
      <c r="M372" s="59"/>
    </row>
    <row r="373" spans="2:13">
      <c r="B373" s="140"/>
      <c r="C373" s="41"/>
      <c r="D373" s="142"/>
      <c r="E373" s="143"/>
      <c r="F373" s="144"/>
      <c r="G373" s="1" t="str">
        <f>IFERROR(IF(ventas_b_mes2[[#This Row],[CUIT]]="","-",VLOOKUP(ventas_b_mes2[[#This Row],[CUIT]],Lista_CUIT[#All],2,0)),"CUIT NO CARGADO")</f>
        <v>-</v>
      </c>
      <c r="H373" s="64"/>
      <c r="I373" s="145">
        <f>ventas_b_mes2[[#This Row],[IMPORTE NETO]]*0.21</f>
        <v>0</v>
      </c>
      <c r="J373" s="146"/>
      <c r="K373" s="146"/>
      <c r="L373" s="146">
        <f>SUM(ventas_b_mes2[[#This Row],[IMPORTE NETO]:[EXENTO]])</f>
        <v>0</v>
      </c>
      <c r="M373" s="59"/>
    </row>
    <row r="374" spans="2:13">
      <c r="B374" s="140"/>
      <c r="C374" s="41"/>
      <c r="D374" s="142"/>
      <c r="E374" s="143"/>
      <c r="F374" s="144"/>
      <c r="G374" s="1" t="str">
        <f>IFERROR(IF(ventas_b_mes2[[#This Row],[CUIT]]="","-",VLOOKUP(ventas_b_mes2[[#This Row],[CUIT]],Lista_CUIT[#All],2,0)),"CUIT NO CARGADO")</f>
        <v>-</v>
      </c>
      <c r="H374" s="64"/>
      <c r="I374" s="145">
        <f>ventas_b_mes2[[#This Row],[IMPORTE NETO]]*0.21</f>
        <v>0</v>
      </c>
      <c r="J374" s="146"/>
      <c r="K374" s="146"/>
      <c r="L374" s="146">
        <f>SUM(ventas_b_mes2[[#This Row],[IMPORTE NETO]:[EXENTO]])</f>
        <v>0</v>
      </c>
      <c r="M374" s="59"/>
    </row>
    <row r="375" spans="2:13">
      <c r="B375" s="140"/>
      <c r="C375" s="41"/>
      <c r="D375" s="142"/>
      <c r="E375" s="143"/>
      <c r="F375" s="144"/>
      <c r="G375" s="1" t="str">
        <f>IFERROR(IF(ventas_b_mes2[[#This Row],[CUIT]]="","-",VLOOKUP(ventas_b_mes2[[#This Row],[CUIT]],Lista_CUIT[#All],2,0)),"CUIT NO CARGADO")</f>
        <v>-</v>
      </c>
      <c r="H375" s="64"/>
      <c r="I375" s="145">
        <f>ventas_b_mes2[[#This Row],[IMPORTE NETO]]*0.21</f>
        <v>0</v>
      </c>
      <c r="J375" s="146"/>
      <c r="K375" s="146"/>
      <c r="L375" s="146">
        <f>SUM(ventas_b_mes2[[#This Row],[IMPORTE NETO]:[EXENTO]])</f>
        <v>0</v>
      </c>
      <c r="M375" s="59"/>
    </row>
    <row r="376" spans="2:13">
      <c r="B376" s="140"/>
      <c r="C376" s="41"/>
      <c r="D376" s="142"/>
      <c r="E376" s="143"/>
      <c r="F376" s="144"/>
      <c r="G376" s="1" t="str">
        <f>IFERROR(IF(ventas_b_mes2[[#This Row],[CUIT]]="","-",VLOOKUP(ventas_b_mes2[[#This Row],[CUIT]],Lista_CUIT[#All],2,0)),"CUIT NO CARGADO")</f>
        <v>-</v>
      </c>
      <c r="H376" s="64"/>
      <c r="I376" s="145">
        <f>ventas_b_mes2[[#This Row],[IMPORTE NETO]]*0.21</f>
        <v>0</v>
      </c>
      <c r="J376" s="146"/>
      <c r="K376" s="146"/>
      <c r="L376" s="146">
        <f>SUM(ventas_b_mes2[[#This Row],[IMPORTE NETO]:[EXENTO]])</f>
        <v>0</v>
      </c>
      <c r="M376" s="59"/>
    </row>
    <row r="377" spans="2:13">
      <c r="B377" s="140"/>
      <c r="C377" s="41"/>
      <c r="D377" s="142"/>
      <c r="E377" s="143"/>
      <c r="F377" s="144"/>
      <c r="G377" s="1" t="str">
        <f>IFERROR(IF(ventas_b_mes2[[#This Row],[CUIT]]="","-",VLOOKUP(ventas_b_mes2[[#This Row],[CUIT]],Lista_CUIT[#All],2,0)),"CUIT NO CARGADO")</f>
        <v>-</v>
      </c>
      <c r="H377" s="64"/>
      <c r="I377" s="145">
        <f>ventas_b_mes2[[#This Row],[IMPORTE NETO]]*0.21</f>
        <v>0</v>
      </c>
      <c r="J377" s="146"/>
      <c r="K377" s="146"/>
      <c r="L377" s="146">
        <f>SUM(ventas_b_mes2[[#This Row],[IMPORTE NETO]:[EXENTO]])</f>
        <v>0</v>
      </c>
      <c r="M377" s="59"/>
    </row>
    <row r="378" spans="2:13">
      <c r="B378" s="140"/>
      <c r="C378" s="41"/>
      <c r="D378" s="142"/>
      <c r="E378" s="143"/>
      <c r="F378" s="144"/>
      <c r="G378" s="1" t="str">
        <f>IFERROR(IF(ventas_b_mes2[[#This Row],[CUIT]]="","-",VLOOKUP(ventas_b_mes2[[#This Row],[CUIT]],Lista_CUIT[#All],2,0)),"CUIT NO CARGADO")</f>
        <v>-</v>
      </c>
      <c r="H378" s="64"/>
      <c r="I378" s="145">
        <f>ventas_b_mes2[[#This Row],[IMPORTE NETO]]*0.21</f>
        <v>0</v>
      </c>
      <c r="J378" s="146"/>
      <c r="K378" s="146"/>
      <c r="L378" s="146">
        <f>SUM(ventas_b_mes2[[#This Row],[IMPORTE NETO]:[EXENTO]])</f>
        <v>0</v>
      </c>
      <c r="M378" s="59"/>
    </row>
    <row r="379" spans="2:13">
      <c r="B379" s="140"/>
      <c r="C379" s="41"/>
      <c r="D379" s="142"/>
      <c r="E379" s="143"/>
      <c r="F379" s="144"/>
      <c r="G379" s="1" t="str">
        <f>IFERROR(IF(ventas_b_mes2[[#This Row],[CUIT]]="","-",VLOOKUP(ventas_b_mes2[[#This Row],[CUIT]],Lista_CUIT[#All],2,0)),"CUIT NO CARGADO")</f>
        <v>-</v>
      </c>
      <c r="H379" s="64"/>
      <c r="I379" s="145">
        <f>ventas_b_mes2[[#This Row],[IMPORTE NETO]]*0.21</f>
        <v>0</v>
      </c>
      <c r="J379" s="146"/>
      <c r="K379" s="146"/>
      <c r="L379" s="146">
        <f>SUM(ventas_b_mes2[[#This Row],[IMPORTE NETO]:[EXENTO]])</f>
        <v>0</v>
      </c>
      <c r="M379" s="59"/>
    </row>
    <row r="380" spans="2:13">
      <c r="B380" s="140"/>
      <c r="C380" s="41"/>
      <c r="D380" s="142"/>
      <c r="E380" s="143"/>
      <c r="F380" s="144"/>
      <c r="G380" s="1" t="str">
        <f>IFERROR(IF(ventas_b_mes2[[#This Row],[CUIT]]="","-",VLOOKUP(ventas_b_mes2[[#This Row],[CUIT]],Lista_CUIT[#All],2,0)),"CUIT NO CARGADO")</f>
        <v>-</v>
      </c>
      <c r="H380" s="64"/>
      <c r="I380" s="145">
        <f>ventas_b_mes2[[#This Row],[IMPORTE NETO]]*0.21</f>
        <v>0</v>
      </c>
      <c r="J380" s="146"/>
      <c r="K380" s="146"/>
      <c r="L380" s="146">
        <f>SUM(ventas_b_mes2[[#This Row],[IMPORTE NETO]:[EXENTO]])</f>
        <v>0</v>
      </c>
      <c r="M380" s="59"/>
    </row>
    <row r="381" spans="2:13">
      <c r="B381" s="140"/>
      <c r="C381" s="41"/>
      <c r="D381" s="142"/>
      <c r="E381" s="143"/>
      <c r="F381" s="144"/>
      <c r="G381" s="1" t="str">
        <f>IFERROR(IF(ventas_b_mes2[[#This Row],[CUIT]]="","-",VLOOKUP(ventas_b_mes2[[#This Row],[CUIT]],Lista_CUIT[#All],2,0)),"CUIT NO CARGADO")</f>
        <v>-</v>
      </c>
      <c r="H381" s="64"/>
      <c r="I381" s="145">
        <f>ventas_b_mes2[[#This Row],[IMPORTE NETO]]*0.21</f>
        <v>0</v>
      </c>
      <c r="J381" s="146"/>
      <c r="K381" s="146"/>
      <c r="L381" s="146">
        <f>SUM(ventas_b_mes2[[#This Row],[IMPORTE NETO]:[EXENTO]])</f>
        <v>0</v>
      </c>
      <c r="M381" s="59"/>
    </row>
    <row r="382" spans="2:13">
      <c r="B382" s="140"/>
      <c r="C382" s="41"/>
      <c r="D382" s="142"/>
      <c r="E382" s="143"/>
      <c r="F382" s="144"/>
      <c r="G382" s="1" t="str">
        <f>IFERROR(IF(ventas_b_mes2[[#This Row],[CUIT]]="","-",VLOOKUP(ventas_b_mes2[[#This Row],[CUIT]],Lista_CUIT[#All],2,0)),"CUIT NO CARGADO")</f>
        <v>-</v>
      </c>
      <c r="H382" s="64"/>
      <c r="I382" s="145">
        <f>ventas_b_mes2[[#This Row],[IMPORTE NETO]]*0.21</f>
        <v>0</v>
      </c>
      <c r="J382" s="146"/>
      <c r="K382" s="146"/>
      <c r="L382" s="146">
        <f>SUM(ventas_b_mes2[[#This Row],[IMPORTE NETO]:[EXENTO]])</f>
        <v>0</v>
      </c>
      <c r="M382" s="59"/>
    </row>
    <row r="383" spans="2:13">
      <c r="B383" s="140"/>
      <c r="C383" s="41"/>
      <c r="D383" s="142"/>
      <c r="E383" s="143"/>
      <c r="F383" s="144"/>
      <c r="G383" s="1" t="str">
        <f>IFERROR(IF(ventas_b_mes2[[#This Row],[CUIT]]="","-",VLOOKUP(ventas_b_mes2[[#This Row],[CUIT]],Lista_CUIT[#All],2,0)),"CUIT NO CARGADO")</f>
        <v>-</v>
      </c>
      <c r="H383" s="64"/>
      <c r="I383" s="145">
        <f>ventas_b_mes2[[#This Row],[IMPORTE NETO]]*0.21</f>
        <v>0</v>
      </c>
      <c r="J383" s="146"/>
      <c r="K383" s="146"/>
      <c r="L383" s="146">
        <f>SUM(ventas_b_mes2[[#This Row],[IMPORTE NETO]:[EXENTO]])</f>
        <v>0</v>
      </c>
      <c r="M383" s="59"/>
    </row>
    <row r="384" spans="2:13">
      <c r="B384" s="140"/>
      <c r="C384" s="41"/>
      <c r="D384" s="142"/>
      <c r="E384" s="143"/>
      <c r="F384" s="144"/>
      <c r="G384" s="1" t="str">
        <f>IFERROR(IF(ventas_b_mes2[[#This Row],[CUIT]]="","-",VLOOKUP(ventas_b_mes2[[#This Row],[CUIT]],Lista_CUIT[#All],2,0)),"CUIT NO CARGADO")</f>
        <v>-</v>
      </c>
      <c r="H384" s="64"/>
      <c r="I384" s="145">
        <f>ventas_b_mes2[[#This Row],[IMPORTE NETO]]*0.21</f>
        <v>0</v>
      </c>
      <c r="J384" s="146"/>
      <c r="K384" s="146"/>
      <c r="L384" s="146">
        <f>SUM(ventas_b_mes2[[#This Row],[IMPORTE NETO]:[EXENTO]])</f>
        <v>0</v>
      </c>
      <c r="M384" s="59"/>
    </row>
    <row r="385" spans="2:13">
      <c r="B385" s="140"/>
      <c r="C385" s="41"/>
      <c r="D385" s="142"/>
      <c r="E385" s="143"/>
      <c r="F385" s="144"/>
      <c r="G385" s="1" t="str">
        <f>IFERROR(IF(ventas_b_mes2[[#This Row],[CUIT]]="","-",VLOOKUP(ventas_b_mes2[[#This Row],[CUIT]],Lista_CUIT[#All],2,0)),"CUIT NO CARGADO")</f>
        <v>-</v>
      </c>
      <c r="H385" s="64"/>
      <c r="I385" s="145">
        <f>ventas_b_mes2[[#This Row],[IMPORTE NETO]]*0.21</f>
        <v>0</v>
      </c>
      <c r="J385" s="146"/>
      <c r="K385" s="146"/>
      <c r="L385" s="146">
        <f>SUM(ventas_b_mes2[[#This Row],[IMPORTE NETO]:[EXENTO]])</f>
        <v>0</v>
      </c>
      <c r="M385" s="59"/>
    </row>
    <row r="386" spans="2:13">
      <c r="B386" s="140"/>
      <c r="C386" s="41"/>
      <c r="D386" s="142"/>
      <c r="E386" s="143"/>
      <c r="F386" s="144"/>
      <c r="G386" s="1" t="str">
        <f>IFERROR(IF(ventas_b_mes2[[#This Row],[CUIT]]="","-",VLOOKUP(ventas_b_mes2[[#This Row],[CUIT]],Lista_CUIT[#All],2,0)),"CUIT NO CARGADO")</f>
        <v>-</v>
      </c>
      <c r="H386" s="64"/>
      <c r="I386" s="145">
        <f>ventas_b_mes2[[#This Row],[IMPORTE NETO]]*0.21</f>
        <v>0</v>
      </c>
      <c r="J386" s="146"/>
      <c r="K386" s="146"/>
      <c r="L386" s="146">
        <f>SUM(ventas_b_mes2[[#This Row],[IMPORTE NETO]:[EXENTO]])</f>
        <v>0</v>
      </c>
      <c r="M386" s="59"/>
    </row>
    <row r="387" spans="2:13">
      <c r="B387" s="140"/>
      <c r="C387" s="41"/>
      <c r="D387" s="142"/>
      <c r="E387" s="143"/>
      <c r="F387" s="144"/>
      <c r="G387" s="1" t="str">
        <f>IFERROR(IF(ventas_b_mes2[[#This Row],[CUIT]]="","-",VLOOKUP(ventas_b_mes2[[#This Row],[CUIT]],Lista_CUIT[#All],2,0)),"CUIT NO CARGADO")</f>
        <v>-</v>
      </c>
      <c r="H387" s="64"/>
      <c r="I387" s="145">
        <f>ventas_b_mes2[[#This Row],[IMPORTE NETO]]*0.21</f>
        <v>0</v>
      </c>
      <c r="J387" s="146"/>
      <c r="K387" s="146"/>
      <c r="L387" s="146">
        <f>SUM(ventas_b_mes2[[#This Row],[IMPORTE NETO]:[EXENTO]])</f>
        <v>0</v>
      </c>
      <c r="M387" s="59"/>
    </row>
    <row r="388" spans="2:13">
      <c r="B388" s="140"/>
      <c r="C388" s="41"/>
      <c r="D388" s="142"/>
      <c r="E388" s="143"/>
      <c r="F388" s="144"/>
      <c r="G388" s="1" t="str">
        <f>IFERROR(IF(ventas_b_mes2[[#This Row],[CUIT]]="","-",VLOOKUP(ventas_b_mes2[[#This Row],[CUIT]],Lista_CUIT[#All],2,0)),"CUIT NO CARGADO")</f>
        <v>-</v>
      </c>
      <c r="H388" s="64"/>
      <c r="I388" s="145">
        <f>ventas_b_mes2[[#This Row],[IMPORTE NETO]]*0.21</f>
        <v>0</v>
      </c>
      <c r="J388" s="146"/>
      <c r="K388" s="146"/>
      <c r="L388" s="146">
        <f>SUM(ventas_b_mes2[[#This Row],[IMPORTE NETO]:[EXENTO]])</f>
        <v>0</v>
      </c>
      <c r="M388" s="59"/>
    </row>
    <row r="389" spans="2:13">
      <c r="B389" s="140"/>
      <c r="C389" s="41"/>
      <c r="D389" s="142"/>
      <c r="E389" s="143"/>
      <c r="F389" s="144"/>
      <c r="G389" s="1" t="str">
        <f>IFERROR(IF(ventas_b_mes2[[#This Row],[CUIT]]="","-",VLOOKUP(ventas_b_mes2[[#This Row],[CUIT]],Lista_CUIT[#All],2,0)),"CUIT NO CARGADO")</f>
        <v>-</v>
      </c>
      <c r="H389" s="64"/>
      <c r="I389" s="145">
        <f>ventas_b_mes2[[#This Row],[IMPORTE NETO]]*0.21</f>
        <v>0</v>
      </c>
      <c r="J389" s="146"/>
      <c r="K389" s="146"/>
      <c r="L389" s="146">
        <f>SUM(ventas_b_mes2[[#This Row],[IMPORTE NETO]:[EXENTO]])</f>
        <v>0</v>
      </c>
      <c r="M389" s="59"/>
    </row>
    <row r="390" spans="2:13">
      <c r="B390" s="140"/>
      <c r="C390" s="41"/>
      <c r="D390" s="142"/>
      <c r="E390" s="143"/>
      <c r="F390" s="144"/>
      <c r="G390" s="1" t="str">
        <f>IFERROR(IF(ventas_b_mes2[[#This Row],[CUIT]]="","-",VLOOKUP(ventas_b_mes2[[#This Row],[CUIT]],Lista_CUIT[#All],2,0)),"CUIT NO CARGADO")</f>
        <v>-</v>
      </c>
      <c r="H390" s="64"/>
      <c r="I390" s="145">
        <f>ventas_b_mes2[[#This Row],[IMPORTE NETO]]*0.21</f>
        <v>0</v>
      </c>
      <c r="J390" s="146"/>
      <c r="K390" s="146"/>
      <c r="L390" s="146">
        <f>SUM(ventas_b_mes2[[#This Row],[IMPORTE NETO]:[EXENTO]])</f>
        <v>0</v>
      </c>
      <c r="M390" s="59"/>
    </row>
    <row r="391" spans="2:13">
      <c r="B391" s="140"/>
      <c r="C391" s="41"/>
      <c r="D391" s="142"/>
      <c r="E391" s="143"/>
      <c r="F391" s="144"/>
      <c r="G391" s="1" t="str">
        <f>IFERROR(IF(ventas_b_mes2[[#This Row],[CUIT]]="","-",VLOOKUP(ventas_b_mes2[[#This Row],[CUIT]],Lista_CUIT[#All],2,0)),"CUIT NO CARGADO")</f>
        <v>-</v>
      </c>
      <c r="H391" s="64"/>
      <c r="I391" s="145">
        <f>ventas_b_mes2[[#This Row],[IMPORTE NETO]]*0.21</f>
        <v>0</v>
      </c>
      <c r="J391" s="146"/>
      <c r="K391" s="146"/>
      <c r="L391" s="146">
        <f>SUM(ventas_b_mes2[[#This Row],[IMPORTE NETO]:[EXENTO]])</f>
        <v>0</v>
      </c>
      <c r="M391" s="59"/>
    </row>
    <row r="392" spans="2:13">
      <c r="B392" s="140"/>
      <c r="C392" s="41"/>
      <c r="D392" s="142"/>
      <c r="E392" s="143"/>
      <c r="F392" s="144"/>
      <c r="G392" s="1" t="str">
        <f>IFERROR(IF(ventas_b_mes2[[#This Row],[CUIT]]="","-",VLOOKUP(ventas_b_mes2[[#This Row],[CUIT]],Lista_CUIT[#All],2,0)),"CUIT NO CARGADO")</f>
        <v>-</v>
      </c>
      <c r="H392" s="64"/>
      <c r="I392" s="145">
        <f>ventas_b_mes2[[#This Row],[IMPORTE NETO]]*0.21</f>
        <v>0</v>
      </c>
      <c r="J392" s="146"/>
      <c r="K392" s="146"/>
      <c r="L392" s="146">
        <f>SUM(ventas_b_mes2[[#This Row],[IMPORTE NETO]:[EXENTO]])</f>
        <v>0</v>
      </c>
      <c r="M392" s="59"/>
    </row>
    <row r="393" spans="2:13">
      <c r="B393" s="140"/>
      <c r="C393" s="41"/>
      <c r="D393" s="142"/>
      <c r="E393" s="143"/>
      <c r="F393" s="144"/>
      <c r="G393" s="1" t="str">
        <f>IFERROR(IF(ventas_b_mes2[[#This Row],[CUIT]]="","-",VLOOKUP(ventas_b_mes2[[#This Row],[CUIT]],Lista_CUIT[#All],2,0)),"CUIT NO CARGADO")</f>
        <v>-</v>
      </c>
      <c r="H393" s="64"/>
      <c r="I393" s="145">
        <f>ventas_b_mes2[[#This Row],[IMPORTE NETO]]*0.21</f>
        <v>0</v>
      </c>
      <c r="J393" s="146"/>
      <c r="K393" s="146"/>
      <c r="L393" s="146">
        <f>SUM(ventas_b_mes2[[#This Row],[IMPORTE NETO]:[EXENTO]])</f>
        <v>0</v>
      </c>
      <c r="M393" s="59"/>
    </row>
    <row r="394" spans="2:13">
      <c r="B394" s="140"/>
      <c r="C394" s="41"/>
      <c r="D394" s="142"/>
      <c r="E394" s="143"/>
      <c r="F394" s="144"/>
      <c r="G394" s="1" t="str">
        <f>IFERROR(IF(ventas_b_mes2[[#This Row],[CUIT]]="","-",VLOOKUP(ventas_b_mes2[[#This Row],[CUIT]],Lista_CUIT[#All],2,0)),"CUIT NO CARGADO")</f>
        <v>-</v>
      </c>
      <c r="H394" s="64"/>
      <c r="I394" s="145">
        <f>ventas_b_mes2[[#This Row],[IMPORTE NETO]]*0.21</f>
        <v>0</v>
      </c>
      <c r="J394" s="146"/>
      <c r="K394" s="146"/>
      <c r="L394" s="146">
        <f>SUM(ventas_b_mes2[[#This Row],[IMPORTE NETO]:[EXENTO]])</f>
        <v>0</v>
      </c>
      <c r="M394" s="59"/>
    </row>
    <row r="395" spans="2:13">
      <c r="B395" s="140"/>
      <c r="C395" s="41"/>
      <c r="D395" s="142"/>
      <c r="E395" s="143"/>
      <c r="F395" s="144"/>
      <c r="G395" s="1" t="str">
        <f>IFERROR(IF(ventas_b_mes2[[#This Row],[CUIT]]="","-",VLOOKUP(ventas_b_mes2[[#This Row],[CUIT]],Lista_CUIT[#All],2,0)),"CUIT NO CARGADO")</f>
        <v>-</v>
      </c>
      <c r="H395" s="64"/>
      <c r="I395" s="145">
        <f>ventas_b_mes2[[#This Row],[IMPORTE NETO]]*0.21</f>
        <v>0</v>
      </c>
      <c r="J395" s="146"/>
      <c r="K395" s="146"/>
      <c r="L395" s="146">
        <f>SUM(ventas_b_mes2[[#This Row],[IMPORTE NETO]:[EXENTO]])</f>
        <v>0</v>
      </c>
      <c r="M395" s="59"/>
    </row>
    <row r="396" spans="2:13">
      <c r="B396" s="140"/>
      <c r="C396" s="41"/>
      <c r="D396" s="142"/>
      <c r="E396" s="143"/>
      <c r="F396" s="144"/>
      <c r="G396" s="1" t="str">
        <f>IFERROR(IF(ventas_b_mes2[[#This Row],[CUIT]]="","-",VLOOKUP(ventas_b_mes2[[#This Row],[CUIT]],Lista_CUIT[#All],2,0)),"CUIT NO CARGADO")</f>
        <v>-</v>
      </c>
      <c r="H396" s="64"/>
      <c r="I396" s="145">
        <f>ventas_b_mes2[[#This Row],[IMPORTE NETO]]*0.21</f>
        <v>0</v>
      </c>
      <c r="J396" s="146"/>
      <c r="K396" s="146"/>
      <c r="L396" s="146">
        <f>SUM(ventas_b_mes2[[#This Row],[IMPORTE NETO]:[EXENTO]])</f>
        <v>0</v>
      </c>
      <c r="M396" s="59"/>
    </row>
    <row r="397" spans="2:13">
      <c r="B397" s="140"/>
      <c r="C397" s="41"/>
      <c r="D397" s="142"/>
      <c r="E397" s="143"/>
      <c r="F397" s="144"/>
      <c r="G397" s="1" t="str">
        <f>IFERROR(IF(ventas_b_mes2[[#This Row],[CUIT]]="","-",VLOOKUP(ventas_b_mes2[[#This Row],[CUIT]],Lista_CUIT[#All],2,0)),"CUIT NO CARGADO")</f>
        <v>-</v>
      </c>
      <c r="H397" s="64"/>
      <c r="I397" s="145">
        <f>ventas_b_mes2[[#This Row],[IMPORTE NETO]]*0.21</f>
        <v>0</v>
      </c>
      <c r="J397" s="146"/>
      <c r="K397" s="146"/>
      <c r="L397" s="146">
        <f>SUM(ventas_b_mes2[[#This Row],[IMPORTE NETO]:[EXENTO]])</f>
        <v>0</v>
      </c>
      <c r="M397" s="59"/>
    </row>
    <row r="398" spans="2:13">
      <c r="B398" s="140"/>
      <c r="C398" s="41"/>
      <c r="D398" s="142"/>
      <c r="E398" s="143"/>
      <c r="F398" s="144"/>
      <c r="G398" s="1" t="str">
        <f>IFERROR(IF(ventas_b_mes2[[#This Row],[CUIT]]="","-",VLOOKUP(ventas_b_mes2[[#This Row],[CUIT]],Lista_CUIT[#All],2,0)),"CUIT NO CARGADO")</f>
        <v>-</v>
      </c>
      <c r="H398" s="64"/>
      <c r="I398" s="145">
        <f>ventas_b_mes2[[#This Row],[IMPORTE NETO]]*0.21</f>
        <v>0</v>
      </c>
      <c r="J398" s="146"/>
      <c r="K398" s="146"/>
      <c r="L398" s="146">
        <f>SUM(ventas_b_mes2[[#This Row],[IMPORTE NETO]:[EXENTO]])</f>
        <v>0</v>
      </c>
      <c r="M398" s="59"/>
    </row>
    <row r="399" spans="2:13">
      <c r="B399" s="140"/>
      <c r="C399" s="41"/>
      <c r="D399" s="142"/>
      <c r="E399" s="143"/>
      <c r="F399" s="144"/>
      <c r="G399" s="1" t="str">
        <f>IFERROR(IF(ventas_b_mes2[[#This Row],[CUIT]]="","-",VLOOKUP(ventas_b_mes2[[#This Row],[CUIT]],Lista_CUIT[#All],2,0)),"CUIT NO CARGADO")</f>
        <v>-</v>
      </c>
      <c r="H399" s="64"/>
      <c r="I399" s="145">
        <f>ventas_b_mes2[[#This Row],[IMPORTE NETO]]*0.21</f>
        <v>0</v>
      </c>
      <c r="J399" s="146"/>
      <c r="K399" s="146"/>
      <c r="L399" s="146">
        <f>SUM(ventas_b_mes2[[#This Row],[IMPORTE NETO]:[EXENTO]])</f>
        <v>0</v>
      </c>
      <c r="M399" s="59"/>
    </row>
    <row r="400" spans="2:13">
      <c r="B400" s="140"/>
      <c r="C400" s="41"/>
      <c r="D400" s="142"/>
      <c r="E400" s="143"/>
      <c r="F400" s="144"/>
      <c r="G400" s="1" t="str">
        <f>IFERROR(IF(ventas_b_mes2[[#This Row],[CUIT]]="","-",VLOOKUP(ventas_b_mes2[[#This Row],[CUIT]],Lista_CUIT[#All],2,0)),"CUIT NO CARGADO")</f>
        <v>-</v>
      </c>
      <c r="H400" s="64"/>
      <c r="I400" s="145">
        <f>ventas_b_mes2[[#This Row],[IMPORTE NETO]]*0.21</f>
        <v>0</v>
      </c>
      <c r="J400" s="146"/>
      <c r="K400" s="146"/>
      <c r="L400" s="146">
        <f>SUM(ventas_b_mes2[[#This Row],[IMPORTE NETO]:[EXENTO]])</f>
        <v>0</v>
      </c>
      <c r="M400" s="59"/>
    </row>
    <row r="401" spans="2:13">
      <c r="B401" s="140"/>
      <c r="C401" s="41"/>
      <c r="D401" s="142"/>
      <c r="E401" s="143"/>
      <c r="F401" s="144"/>
      <c r="G401" s="1" t="str">
        <f>IFERROR(IF(ventas_b_mes2[[#This Row],[CUIT]]="","-",VLOOKUP(ventas_b_mes2[[#This Row],[CUIT]],Lista_CUIT[#All],2,0)),"CUIT NO CARGADO")</f>
        <v>-</v>
      </c>
      <c r="H401" s="64"/>
      <c r="I401" s="145">
        <f>ventas_b_mes2[[#This Row],[IMPORTE NETO]]*0.21</f>
        <v>0</v>
      </c>
      <c r="J401" s="146"/>
      <c r="K401" s="146"/>
      <c r="L401" s="146">
        <f>SUM(ventas_b_mes2[[#This Row],[IMPORTE NETO]:[EXENTO]])</f>
        <v>0</v>
      </c>
      <c r="M401" s="59"/>
    </row>
    <row r="402" spans="2:13">
      <c r="B402" s="140"/>
      <c r="C402" s="41"/>
      <c r="D402" s="142"/>
      <c r="E402" s="143"/>
      <c r="F402" s="144"/>
      <c r="G402" s="1" t="str">
        <f>IFERROR(IF(ventas_b_mes2[[#This Row],[CUIT]]="","-",VLOOKUP(ventas_b_mes2[[#This Row],[CUIT]],Lista_CUIT[#All],2,0)),"CUIT NO CARGADO")</f>
        <v>-</v>
      </c>
      <c r="H402" s="64"/>
      <c r="I402" s="145">
        <f>ventas_b_mes2[[#This Row],[IMPORTE NETO]]*0.21</f>
        <v>0</v>
      </c>
      <c r="J402" s="146"/>
      <c r="K402" s="146"/>
      <c r="L402" s="146">
        <f>SUM(ventas_b_mes2[[#This Row],[IMPORTE NETO]:[EXENTO]])</f>
        <v>0</v>
      </c>
      <c r="M402" s="59"/>
    </row>
    <row r="403" spans="2:13">
      <c r="B403" s="140"/>
      <c r="C403" s="41"/>
      <c r="D403" s="142"/>
      <c r="E403" s="143"/>
      <c r="F403" s="144"/>
      <c r="G403" s="1" t="str">
        <f>IFERROR(IF(ventas_b_mes2[[#This Row],[CUIT]]="","-",VLOOKUP(ventas_b_mes2[[#This Row],[CUIT]],Lista_CUIT[#All],2,0)),"CUIT NO CARGADO")</f>
        <v>-</v>
      </c>
      <c r="H403" s="64"/>
      <c r="I403" s="145">
        <f>ventas_b_mes2[[#This Row],[IMPORTE NETO]]*0.21</f>
        <v>0</v>
      </c>
      <c r="J403" s="146"/>
      <c r="K403" s="146"/>
      <c r="L403" s="146">
        <f>SUM(ventas_b_mes2[[#This Row],[IMPORTE NETO]:[EXENTO]])</f>
        <v>0</v>
      </c>
      <c r="M403" s="59"/>
    </row>
    <row r="404" spans="2:13">
      <c r="B404" s="140"/>
      <c r="C404" s="41"/>
      <c r="D404" s="142"/>
      <c r="E404" s="143"/>
      <c r="F404" s="144"/>
      <c r="G404" s="1" t="str">
        <f>IFERROR(IF(ventas_b_mes2[[#This Row],[CUIT]]="","-",VLOOKUP(ventas_b_mes2[[#This Row],[CUIT]],Lista_CUIT[#All],2,0)),"CUIT NO CARGADO")</f>
        <v>-</v>
      </c>
      <c r="H404" s="64"/>
      <c r="I404" s="145">
        <f>ventas_b_mes2[[#This Row],[IMPORTE NETO]]*0.21</f>
        <v>0</v>
      </c>
      <c r="J404" s="146"/>
      <c r="K404" s="146"/>
      <c r="L404" s="146">
        <f>SUM(ventas_b_mes2[[#This Row],[IMPORTE NETO]:[EXENTO]])</f>
        <v>0</v>
      </c>
      <c r="M404" s="59"/>
    </row>
    <row r="405" spans="2:13">
      <c r="B405" s="140"/>
      <c r="C405" s="41"/>
      <c r="D405" s="142"/>
      <c r="E405" s="143"/>
      <c r="F405" s="144"/>
      <c r="G405" s="1" t="str">
        <f>IFERROR(IF(ventas_b_mes2[[#This Row],[CUIT]]="","-",VLOOKUP(ventas_b_mes2[[#This Row],[CUIT]],Lista_CUIT[#All],2,0)),"CUIT NO CARGADO")</f>
        <v>-</v>
      </c>
      <c r="H405" s="64"/>
      <c r="I405" s="145">
        <f>ventas_b_mes2[[#This Row],[IMPORTE NETO]]*0.21</f>
        <v>0</v>
      </c>
      <c r="J405" s="146"/>
      <c r="K405" s="146"/>
      <c r="L405" s="146">
        <f>SUM(ventas_b_mes2[[#This Row],[IMPORTE NETO]:[EXENTO]])</f>
        <v>0</v>
      </c>
      <c r="M405" s="59"/>
    </row>
    <row r="406" spans="2:13">
      <c r="B406" s="140"/>
      <c r="C406" s="41"/>
      <c r="D406" s="142"/>
      <c r="E406" s="143"/>
      <c r="F406" s="144"/>
      <c r="G406" s="1" t="str">
        <f>IFERROR(IF(ventas_b_mes2[[#This Row],[CUIT]]="","-",VLOOKUP(ventas_b_mes2[[#This Row],[CUIT]],Lista_CUIT[#All],2,0)),"CUIT NO CARGADO")</f>
        <v>-</v>
      </c>
      <c r="H406" s="64"/>
      <c r="I406" s="145">
        <f>ventas_b_mes2[[#This Row],[IMPORTE NETO]]*0.21</f>
        <v>0</v>
      </c>
      <c r="J406" s="146"/>
      <c r="K406" s="146"/>
      <c r="L406" s="146">
        <f>SUM(ventas_b_mes2[[#This Row],[IMPORTE NETO]:[EXENTO]])</f>
        <v>0</v>
      </c>
      <c r="M406" s="59"/>
    </row>
    <row r="407" spans="2:13">
      <c r="B407" s="140"/>
      <c r="C407" s="41"/>
      <c r="D407" s="142"/>
      <c r="E407" s="143"/>
      <c r="F407" s="144"/>
      <c r="G407" s="1" t="str">
        <f>IFERROR(IF(ventas_b_mes2[[#This Row],[CUIT]]="","-",VLOOKUP(ventas_b_mes2[[#This Row],[CUIT]],Lista_CUIT[#All],2,0)),"CUIT NO CARGADO")</f>
        <v>-</v>
      </c>
      <c r="H407" s="64"/>
      <c r="I407" s="145">
        <f>ventas_b_mes2[[#This Row],[IMPORTE NETO]]*0.21</f>
        <v>0</v>
      </c>
      <c r="J407" s="146"/>
      <c r="K407" s="146"/>
      <c r="L407" s="146">
        <f>SUM(ventas_b_mes2[[#This Row],[IMPORTE NETO]:[EXENTO]])</f>
        <v>0</v>
      </c>
      <c r="M407" s="59"/>
    </row>
    <row r="408" spans="2:13">
      <c r="B408" s="140"/>
      <c r="C408" s="41"/>
      <c r="D408" s="142"/>
      <c r="E408" s="143"/>
      <c r="F408" s="144"/>
      <c r="G408" s="1" t="str">
        <f>IFERROR(IF(ventas_b_mes2[[#This Row],[CUIT]]="","-",VLOOKUP(ventas_b_mes2[[#This Row],[CUIT]],Lista_CUIT[#All],2,0)),"CUIT NO CARGADO")</f>
        <v>-</v>
      </c>
      <c r="H408" s="64"/>
      <c r="I408" s="145">
        <f>ventas_b_mes2[[#This Row],[IMPORTE NETO]]*0.21</f>
        <v>0</v>
      </c>
      <c r="J408" s="146"/>
      <c r="K408" s="146"/>
      <c r="L408" s="146">
        <f>SUM(ventas_b_mes2[[#This Row],[IMPORTE NETO]:[EXENTO]])</f>
        <v>0</v>
      </c>
      <c r="M408" s="59"/>
    </row>
    <row r="409" spans="2:13">
      <c r="B409" s="140"/>
      <c r="C409" s="41"/>
      <c r="D409" s="142"/>
      <c r="E409" s="143"/>
      <c r="F409" s="144"/>
      <c r="G409" s="1" t="str">
        <f>IFERROR(IF(ventas_b_mes2[[#This Row],[CUIT]]="","-",VLOOKUP(ventas_b_mes2[[#This Row],[CUIT]],Lista_CUIT[#All],2,0)),"CUIT NO CARGADO")</f>
        <v>-</v>
      </c>
      <c r="H409" s="64"/>
      <c r="I409" s="145">
        <f>ventas_b_mes2[[#This Row],[IMPORTE NETO]]*0.21</f>
        <v>0</v>
      </c>
      <c r="J409" s="146"/>
      <c r="K409" s="146"/>
      <c r="L409" s="146">
        <f>SUM(ventas_b_mes2[[#This Row],[IMPORTE NETO]:[EXENTO]])</f>
        <v>0</v>
      </c>
      <c r="M409" s="59"/>
    </row>
    <row r="410" spans="2:13">
      <c r="B410" s="140"/>
      <c r="C410" s="41"/>
      <c r="D410" s="142"/>
      <c r="E410" s="143"/>
      <c r="F410" s="144"/>
      <c r="G410" s="1" t="str">
        <f>IFERROR(IF(ventas_b_mes2[[#This Row],[CUIT]]="","-",VLOOKUP(ventas_b_mes2[[#This Row],[CUIT]],Lista_CUIT[#All],2,0)),"CUIT NO CARGADO")</f>
        <v>-</v>
      </c>
      <c r="H410" s="64"/>
      <c r="I410" s="145">
        <f>ventas_b_mes2[[#This Row],[IMPORTE NETO]]*0.21</f>
        <v>0</v>
      </c>
      <c r="J410" s="146"/>
      <c r="K410" s="146"/>
      <c r="L410" s="146">
        <f>SUM(ventas_b_mes2[[#This Row],[IMPORTE NETO]:[EXENTO]])</f>
        <v>0</v>
      </c>
      <c r="M410" s="59"/>
    </row>
    <row r="411" spans="2:13">
      <c r="B411" s="140"/>
      <c r="C411" s="41"/>
      <c r="D411" s="142"/>
      <c r="E411" s="143"/>
      <c r="F411" s="144"/>
      <c r="G411" s="1" t="str">
        <f>IFERROR(IF(ventas_b_mes2[[#This Row],[CUIT]]="","-",VLOOKUP(ventas_b_mes2[[#This Row],[CUIT]],Lista_CUIT[#All],2,0)),"CUIT NO CARGADO")</f>
        <v>-</v>
      </c>
      <c r="H411" s="64"/>
      <c r="I411" s="145">
        <f>ventas_b_mes2[[#This Row],[IMPORTE NETO]]*0.21</f>
        <v>0</v>
      </c>
      <c r="J411" s="146"/>
      <c r="K411" s="146"/>
      <c r="L411" s="146">
        <f>SUM(ventas_b_mes2[[#This Row],[IMPORTE NETO]:[EXENTO]])</f>
        <v>0</v>
      </c>
      <c r="M411" s="59"/>
    </row>
    <row r="412" spans="2:13">
      <c r="B412" s="140"/>
      <c r="C412" s="41"/>
      <c r="D412" s="142"/>
      <c r="E412" s="143"/>
      <c r="F412" s="144"/>
      <c r="G412" s="1" t="str">
        <f>IFERROR(IF(ventas_b_mes2[[#This Row],[CUIT]]="","-",VLOOKUP(ventas_b_mes2[[#This Row],[CUIT]],Lista_CUIT[#All],2,0)),"CUIT NO CARGADO")</f>
        <v>-</v>
      </c>
      <c r="H412" s="64"/>
      <c r="I412" s="145">
        <f>ventas_b_mes2[[#This Row],[IMPORTE NETO]]*0.21</f>
        <v>0</v>
      </c>
      <c r="J412" s="146"/>
      <c r="K412" s="146"/>
      <c r="L412" s="146">
        <f>SUM(ventas_b_mes2[[#This Row],[IMPORTE NETO]:[EXENTO]])</f>
        <v>0</v>
      </c>
      <c r="M412" s="59"/>
    </row>
    <row r="413" spans="2:13">
      <c r="B413" s="140"/>
      <c r="C413" s="41"/>
      <c r="D413" s="142"/>
      <c r="E413" s="143"/>
      <c r="F413" s="144"/>
      <c r="G413" s="1" t="str">
        <f>IFERROR(IF(ventas_b_mes2[[#This Row],[CUIT]]="","-",VLOOKUP(ventas_b_mes2[[#This Row],[CUIT]],Lista_CUIT[#All],2,0)),"CUIT NO CARGADO")</f>
        <v>-</v>
      </c>
      <c r="H413" s="64"/>
      <c r="I413" s="145">
        <f>ventas_b_mes2[[#This Row],[IMPORTE NETO]]*0.21</f>
        <v>0</v>
      </c>
      <c r="J413" s="146"/>
      <c r="K413" s="146"/>
      <c r="L413" s="146">
        <f>SUM(ventas_b_mes2[[#This Row],[IMPORTE NETO]:[EXENTO]])</f>
        <v>0</v>
      </c>
      <c r="M413" s="59"/>
    </row>
    <row r="414" spans="2:13">
      <c r="B414" s="140"/>
      <c r="C414" s="41"/>
      <c r="D414" s="142"/>
      <c r="E414" s="143"/>
      <c r="F414" s="144"/>
      <c r="G414" s="1" t="str">
        <f>IFERROR(IF(ventas_b_mes2[[#This Row],[CUIT]]="","-",VLOOKUP(ventas_b_mes2[[#This Row],[CUIT]],Lista_CUIT[#All],2,0)),"CUIT NO CARGADO")</f>
        <v>-</v>
      </c>
      <c r="H414" s="64"/>
      <c r="I414" s="145">
        <f>ventas_b_mes2[[#This Row],[IMPORTE NETO]]*0.21</f>
        <v>0</v>
      </c>
      <c r="J414" s="146"/>
      <c r="K414" s="146"/>
      <c r="L414" s="146">
        <f>SUM(ventas_b_mes2[[#This Row],[IMPORTE NETO]:[EXENTO]])</f>
        <v>0</v>
      </c>
      <c r="M414" s="59"/>
    </row>
    <row r="415" spans="2:13">
      <c r="B415" s="140"/>
      <c r="C415" s="41"/>
      <c r="D415" s="142"/>
      <c r="E415" s="143"/>
      <c r="F415" s="144"/>
      <c r="G415" s="1" t="str">
        <f>IFERROR(IF(ventas_b_mes2[[#This Row],[CUIT]]="","-",VLOOKUP(ventas_b_mes2[[#This Row],[CUIT]],Lista_CUIT[#All],2,0)),"CUIT NO CARGADO")</f>
        <v>-</v>
      </c>
      <c r="H415" s="64"/>
      <c r="I415" s="145">
        <f>ventas_b_mes2[[#This Row],[IMPORTE NETO]]*0.21</f>
        <v>0</v>
      </c>
      <c r="J415" s="146"/>
      <c r="K415" s="146"/>
      <c r="L415" s="146">
        <f>SUM(ventas_b_mes2[[#This Row],[IMPORTE NETO]:[EXENTO]])</f>
        <v>0</v>
      </c>
      <c r="M415" s="59"/>
    </row>
    <row r="416" spans="2:13">
      <c r="B416" s="140"/>
      <c r="C416" s="41"/>
      <c r="D416" s="142"/>
      <c r="E416" s="143"/>
      <c r="F416" s="144"/>
      <c r="G416" s="1" t="str">
        <f>IFERROR(IF(ventas_b_mes2[[#This Row],[CUIT]]="","-",VLOOKUP(ventas_b_mes2[[#This Row],[CUIT]],Lista_CUIT[#All],2,0)),"CUIT NO CARGADO")</f>
        <v>-</v>
      </c>
      <c r="H416" s="64"/>
      <c r="I416" s="145">
        <f>ventas_b_mes2[[#This Row],[IMPORTE NETO]]*0.21</f>
        <v>0</v>
      </c>
      <c r="J416" s="146"/>
      <c r="K416" s="146"/>
      <c r="L416" s="146">
        <f>SUM(ventas_b_mes2[[#This Row],[IMPORTE NETO]:[EXENTO]])</f>
        <v>0</v>
      </c>
      <c r="M416" s="59"/>
    </row>
    <row r="417" spans="2:13">
      <c r="B417" s="140"/>
      <c r="C417" s="41"/>
      <c r="D417" s="142"/>
      <c r="E417" s="143"/>
      <c r="F417" s="144"/>
      <c r="G417" s="1" t="str">
        <f>IFERROR(IF(ventas_b_mes2[[#This Row],[CUIT]]="","-",VLOOKUP(ventas_b_mes2[[#This Row],[CUIT]],Lista_CUIT[#All],2,0)),"CUIT NO CARGADO")</f>
        <v>-</v>
      </c>
      <c r="H417" s="64"/>
      <c r="I417" s="145">
        <f>ventas_b_mes2[[#This Row],[IMPORTE NETO]]*0.21</f>
        <v>0</v>
      </c>
      <c r="J417" s="146"/>
      <c r="K417" s="146"/>
      <c r="L417" s="146">
        <f>SUM(ventas_b_mes2[[#This Row],[IMPORTE NETO]:[EXENTO]])</f>
        <v>0</v>
      </c>
      <c r="M417" s="59"/>
    </row>
    <row r="418" spans="2:13">
      <c r="B418" s="140"/>
      <c r="C418" s="41"/>
      <c r="D418" s="142"/>
      <c r="E418" s="143"/>
      <c r="F418" s="144"/>
      <c r="G418" s="1" t="str">
        <f>IFERROR(IF(ventas_b_mes2[[#This Row],[CUIT]]="","-",VLOOKUP(ventas_b_mes2[[#This Row],[CUIT]],Lista_CUIT[#All],2,0)),"CUIT NO CARGADO")</f>
        <v>-</v>
      </c>
      <c r="H418" s="64"/>
      <c r="I418" s="145">
        <f>ventas_b_mes2[[#This Row],[IMPORTE NETO]]*0.21</f>
        <v>0</v>
      </c>
      <c r="J418" s="146"/>
      <c r="K418" s="146"/>
      <c r="L418" s="146">
        <f>SUM(ventas_b_mes2[[#This Row],[IMPORTE NETO]:[EXENTO]])</f>
        <v>0</v>
      </c>
      <c r="M418" s="59"/>
    </row>
    <row r="419" spans="2:13">
      <c r="B419" s="140"/>
      <c r="C419" s="41"/>
      <c r="D419" s="142"/>
      <c r="E419" s="143"/>
      <c r="F419" s="144"/>
      <c r="G419" s="1" t="str">
        <f>IFERROR(IF(ventas_b_mes2[[#This Row],[CUIT]]="","-",VLOOKUP(ventas_b_mes2[[#This Row],[CUIT]],Lista_CUIT[#All],2,0)),"CUIT NO CARGADO")</f>
        <v>-</v>
      </c>
      <c r="H419" s="64"/>
      <c r="I419" s="145">
        <f>ventas_b_mes2[[#This Row],[IMPORTE NETO]]*0.21</f>
        <v>0</v>
      </c>
      <c r="J419" s="146"/>
      <c r="K419" s="146"/>
      <c r="L419" s="146">
        <f>SUM(ventas_b_mes2[[#This Row],[IMPORTE NETO]:[EXENTO]])</f>
        <v>0</v>
      </c>
      <c r="M419" s="59"/>
    </row>
    <row r="420" spans="2:13">
      <c r="B420" s="140"/>
      <c r="C420" s="41"/>
      <c r="D420" s="142"/>
      <c r="E420" s="143"/>
      <c r="F420" s="144"/>
      <c r="G420" s="1" t="str">
        <f>IFERROR(IF(ventas_b_mes2[[#This Row],[CUIT]]="","-",VLOOKUP(ventas_b_mes2[[#This Row],[CUIT]],Lista_CUIT[#All],2,0)),"CUIT NO CARGADO")</f>
        <v>-</v>
      </c>
      <c r="H420" s="64"/>
      <c r="I420" s="145">
        <f>ventas_b_mes2[[#This Row],[IMPORTE NETO]]*0.21</f>
        <v>0</v>
      </c>
      <c r="J420" s="146"/>
      <c r="K420" s="146"/>
      <c r="L420" s="146">
        <f>SUM(ventas_b_mes2[[#This Row],[IMPORTE NETO]:[EXENTO]])</f>
        <v>0</v>
      </c>
      <c r="M420" s="59"/>
    </row>
    <row r="421" spans="2:13">
      <c r="B421" s="140"/>
      <c r="C421" s="41"/>
      <c r="D421" s="142"/>
      <c r="E421" s="143"/>
      <c r="F421" s="144"/>
      <c r="G421" s="1" t="str">
        <f>IFERROR(IF(ventas_b_mes2[[#This Row],[CUIT]]="","-",VLOOKUP(ventas_b_mes2[[#This Row],[CUIT]],Lista_CUIT[#All],2,0)),"CUIT NO CARGADO")</f>
        <v>-</v>
      </c>
      <c r="H421" s="64"/>
      <c r="I421" s="145">
        <f>ventas_b_mes2[[#This Row],[IMPORTE NETO]]*0.21</f>
        <v>0</v>
      </c>
      <c r="J421" s="146"/>
      <c r="K421" s="146"/>
      <c r="L421" s="146">
        <f>SUM(ventas_b_mes2[[#This Row],[IMPORTE NETO]:[EXENTO]])</f>
        <v>0</v>
      </c>
      <c r="M421" s="59"/>
    </row>
    <row r="422" spans="2:13">
      <c r="B422" s="140"/>
      <c r="C422" s="41"/>
      <c r="D422" s="142"/>
      <c r="E422" s="143"/>
      <c r="F422" s="144"/>
      <c r="G422" s="1" t="str">
        <f>IFERROR(IF(ventas_b_mes2[[#This Row],[CUIT]]="","-",VLOOKUP(ventas_b_mes2[[#This Row],[CUIT]],Lista_CUIT[#All],2,0)),"CUIT NO CARGADO")</f>
        <v>-</v>
      </c>
      <c r="H422" s="64"/>
      <c r="I422" s="145">
        <f>ventas_b_mes2[[#This Row],[IMPORTE NETO]]*0.21</f>
        <v>0</v>
      </c>
      <c r="J422" s="146"/>
      <c r="K422" s="146"/>
      <c r="L422" s="146">
        <f>SUM(ventas_b_mes2[[#This Row],[IMPORTE NETO]:[EXENTO]])</f>
        <v>0</v>
      </c>
      <c r="M422" s="59"/>
    </row>
    <row r="423" spans="2:13">
      <c r="B423" s="140"/>
      <c r="C423" s="41"/>
      <c r="D423" s="142"/>
      <c r="E423" s="143"/>
      <c r="F423" s="144"/>
      <c r="G423" s="1" t="str">
        <f>IFERROR(IF(ventas_b_mes2[[#This Row],[CUIT]]="","-",VLOOKUP(ventas_b_mes2[[#This Row],[CUIT]],Lista_CUIT[#All],2,0)),"CUIT NO CARGADO")</f>
        <v>-</v>
      </c>
      <c r="H423" s="64"/>
      <c r="I423" s="145">
        <f>ventas_b_mes2[[#This Row],[IMPORTE NETO]]*0.21</f>
        <v>0</v>
      </c>
      <c r="J423" s="146"/>
      <c r="K423" s="146"/>
      <c r="L423" s="146">
        <f>SUM(ventas_b_mes2[[#This Row],[IMPORTE NETO]:[EXENTO]])</f>
        <v>0</v>
      </c>
      <c r="M423" s="59"/>
    </row>
    <row r="424" spans="2:13">
      <c r="B424" s="140"/>
      <c r="C424" s="41"/>
      <c r="D424" s="142"/>
      <c r="E424" s="143"/>
      <c r="F424" s="144"/>
      <c r="G424" s="1" t="str">
        <f>IFERROR(IF(ventas_b_mes2[[#This Row],[CUIT]]="","-",VLOOKUP(ventas_b_mes2[[#This Row],[CUIT]],Lista_CUIT[#All],2,0)),"CUIT NO CARGADO")</f>
        <v>-</v>
      </c>
      <c r="H424" s="64"/>
      <c r="I424" s="145">
        <f>ventas_b_mes2[[#This Row],[IMPORTE NETO]]*0.21</f>
        <v>0</v>
      </c>
      <c r="J424" s="146"/>
      <c r="K424" s="146"/>
      <c r="L424" s="146">
        <f>SUM(ventas_b_mes2[[#This Row],[IMPORTE NETO]:[EXENTO]])</f>
        <v>0</v>
      </c>
      <c r="M424" s="59"/>
    </row>
    <row r="425" spans="2:13">
      <c r="B425" s="140"/>
      <c r="C425" s="41"/>
      <c r="D425" s="142"/>
      <c r="E425" s="143"/>
      <c r="F425" s="144"/>
      <c r="G425" s="1" t="str">
        <f>IFERROR(IF(ventas_b_mes2[[#This Row],[CUIT]]="","-",VLOOKUP(ventas_b_mes2[[#This Row],[CUIT]],Lista_CUIT[#All],2,0)),"CUIT NO CARGADO")</f>
        <v>-</v>
      </c>
      <c r="H425" s="64"/>
      <c r="I425" s="145">
        <f>ventas_b_mes2[[#This Row],[IMPORTE NETO]]*0.21</f>
        <v>0</v>
      </c>
      <c r="J425" s="146"/>
      <c r="K425" s="146"/>
      <c r="L425" s="146">
        <f>SUM(ventas_b_mes2[[#This Row],[IMPORTE NETO]:[EXENTO]])</f>
        <v>0</v>
      </c>
      <c r="M425" s="59"/>
    </row>
    <row r="426" spans="2:13">
      <c r="B426" s="140"/>
      <c r="C426" s="41"/>
      <c r="D426" s="142"/>
      <c r="E426" s="143"/>
      <c r="F426" s="144"/>
      <c r="G426" s="1" t="str">
        <f>IFERROR(IF(ventas_b_mes2[[#This Row],[CUIT]]="","-",VLOOKUP(ventas_b_mes2[[#This Row],[CUIT]],Lista_CUIT[#All],2,0)),"CUIT NO CARGADO")</f>
        <v>-</v>
      </c>
      <c r="H426" s="64"/>
      <c r="I426" s="145">
        <f>ventas_b_mes2[[#This Row],[IMPORTE NETO]]*0.21</f>
        <v>0</v>
      </c>
      <c r="J426" s="146"/>
      <c r="K426" s="146"/>
      <c r="L426" s="146">
        <f>SUM(ventas_b_mes2[[#This Row],[IMPORTE NETO]:[EXENTO]])</f>
        <v>0</v>
      </c>
      <c r="M426" s="59"/>
    </row>
    <row r="427" spans="2:13">
      <c r="B427" s="140"/>
      <c r="C427" s="41"/>
      <c r="D427" s="142"/>
      <c r="E427" s="143"/>
      <c r="F427" s="144"/>
      <c r="G427" s="1" t="str">
        <f>IFERROR(IF(ventas_b_mes2[[#This Row],[CUIT]]="","-",VLOOKUP(ventas_b_mes2[[#This Row],[CUIT]],Lista_CUIT[#All],2,0)),"CUIT NO CARGADO")</f>
        <v>-</v>
      </c>
      <c r="H427" s="64"/>
      <c r="I427" s="145">
        <f>ventas_b_mes2[[#This Row],[IMPORTE NETO]]*0.21</f>
        <v>0</v>
      </c>
      <c r="J427" s="146"/>
      <c r="K427" s="146"/>
      <c r="L427" s="146">
        <f>SUM(ventas_b_mes2[[#This Row],[IMPORTE NETO]:[EXENTO]])</f>
        <v>0</v>
      </c>
      <c r="M427" s="59"/>
    </row>
    <row r="428" spans="2:13">
      <c r="B428" s="140"/>
      <c r="C428" s="41"/>
      <c r="D428" s="142"/>
      <c r="E428" s="143"/>
      <c r="F428" s="144"/>
      <c r="G428" s="1" t="str">
        <f>IFERROR(IF(ventas_b_mes2[[#This Row],[CUIT]]="","-",VLOOKUP(ventas_b_mes2[[#This Row],[CUIT]],Lista_CUIT[#All],2,0)),"CUIT NO CARGADO")</f>
        <v>-</v>
      </c>
      <c r="H428" s="64"/>
      <c r="I428" s="145">
        <f>ventas_b_mes2[[#This Row],[IMPORTE NETO]]*0.21</f>
        <v>0</v>
      </c>
      <c r="J428" s="146"/>
      <c r="K428" s="146"/>
      <c r="L428" s="146">
        <f>SUM(ventas_b_mes2[[#This Row],[IMPORTE NETO]:[EXENTO]])</f>
        <v>0</v>
      </c>
      <c r="M428" s="59"/>
    </row>
    <row r="429" spans="2:13">
      <c r="B429" s="140"/>
      <c r="C429" s="41"/>
      <c r="D429" s="142"/>
      <c r="E429" s="143"/>
      <c r="F429" s="144"/>
      <c r="G429" s="1" t="str">
        <f>IFERROR(IF(ventas_b_mes2[[#This Row],[CUIT]]="","-",VLOOKUP(ventas_b_mes2[[#This Row],[CUIT]],Lista_CUIT[#All],2,0)),"CUIT NO CARGADO")</f>
        <v>-</v>
      </c>
      <c r="H429" s="64"/>
      <c r="I429" s="145">
        <f>ventas_b_mes2[[#This Row],[IMPORTE NETO]]*0.21</f>
        <v>0</v>
      </c>
      <c r="J429" s="146"/>
      <c r="K429" s="146"/>
      <c r="L429" s="146">
        <f>SUM(ventas_b_mes2[[#This Row],[IMPORTE NETO]:[EXENTO]])</f>
        <v>0</v>
      </c>
      <c r="M429" s="59"/>
    </row>
    <row r="430" spans="2:13">
      <c r="B430" s="140"/>
      <c r="C430" s="41"/>
      <c r="D430" s="142"/>
      <c r="E430" s="143"/>
      <c r="F430" s="144"/>
      <c r="G430" s="1" t="str">
        <f>IFERROR(IF(ventas_b_mes2[[#This Row],[CUIT]]="","-",VLOOKUP(ventas_b_mes2[[#This Row],[CUIT]],Lista_CUIT[#All],2,0)),"CUIT NO CARGADO")</f>
        <v>-</v>
      </c>
      <c r="H430" s="64"/>
      <c r="I430" s="145">
        <f>ventas_b_mes2[[#This Row],[IMPORTE NETO]]*0.21</f>
        <v>0</v>
      </c>
      <c r="J430" s="146"/>
      <c r="K430" s="146"/>
      <c r="L430" s="146">
        <f>SUM(ventas_b_mes2[[#This Row],[IMPORTE NETO]:[EXENTO]])</f>
        <v>0</v>
      </c>
      <c r="M430" s="59"/>
    </row>
    <row r="431" spans="2:13">
      <c r="B431" s="140"/>
      <c r="C431" s="41"/>
      <c r="D431" s="142"/>
      <c r="E431" s="143"/>
      <c r="F431" s="144"/>
      <c r="G431" s="1" t="str">
        <f>IFERROR(IF(ventas_b_mes2[[#This Row],[CUIT]]="","-",VLOOKUP(ventas_b_mes2[[#This Row],[CUIT]],Lista_CUIT[#All],2,0)),"CUIT NO CARGADO")</f>
        <v>-</v>
      </c>
      <c r="H431" s="64"/>
      <c r="I431" s="145">
        <f>ventas_b_mes2[[#This Row],[IMPORTE NETO]]*0.21</f>
        <v>0</v>
      </c>
      <c r="J431" s="146"/>
      <c r="K431" s="146"/>
      <c r="L431" s="146">
        <f>SUM(ventas_b_mes2[[#This Row],[IMPORTE NETO]:[EXENTO]])</f>
        <v>0</v>
      </c>
      <c r="M431" s="59"/>
    </row>
    <row r="432" spans="2:13">
      <c r="B432" s="140"/>
      <c r="C432" s="41"/>
      <c r="D432" s="142"/>
      <c r="E432" s="143"/>
      <c r="F432" s="144"/>
      <c r="G432" s="1" t="str">
        <f>IFERROR(IF(ventas_b_mes2[[#This Row],[CUIT]]="","-",VLOOKUP(ventas_b_mes2[[#This Row],[CUIT]],Lista_CUIT[#All],2,0)),"CUIT NO CARGADO")</f>
        <v>-</v>
      </c>
      <c r="H432" s="64"/>
      <c r="I432" s="145">
        <f>ventas_b_mes2[[#This Row],[IMPORTE NETO]]*0.21</f>
        <v>0</v>
      </c>
      <c r="J432" s="146"/>
      <c r="K432" s="146"/>
      <c r="L432" s="146">
        <f>SUM(ventas_b_mes2[[#This Row],[IMPORTE NETO]:[EXENTO]])</f>
        <v>0</v>
      </c>
      <c r="M432" s="59"/>
    </row>
    <row r="433" spans="2:13">
      <c r="B433" s="140"/>
      <c r="C433" s="41"/>
      <c r="D433" s="142"/>
      <c r="E433" s="143"/>
      <c r="F433" s="144"/>
      <c r="G433" s="1" t="str">
        <f>IFERROR(IF(ventas_b_mes2[[#This Row],[CUIT]]="","-",VLOOKUP(ventas_b_mes2[[#This Row],[CUIT]],Lista_CUIT[#All],2,0)),"CUIT NO CARGADO")</f>
        <v>-</v>
      </c>
      <c r="H433" s="64"/>
      <c r="I433" s="145">
        <f>ventas_b_mes2[[#This Row],[IMPORTE NETO]]*0.21</f>
        <v>0</v>
      </c>
      <c r="J433" s="146"/>
      <c r="K433" s="146"/>
      <c r="L433" s="146">
        <f>SUM(ventas_b_mes2[[#This Row],[IMPORTE NETO]:[EXENTO]])</f>
        <v>0</v>
      </c>
      <c r="M433" s="59"/>
    </row>
    <row r="434" spans="2:13">
      <c r="B434" s="140"/>
      <c r="C434" s="41"/>
      <c r="D434" s="142"/>
      <c r="E434" s="143"/>
      <c r="F434" s="144"/>
      <c r="G434" s="1" t="str">
        <f>IFERROR(IF(ventas_b_mes2[[#This Row],[CUIT]]="","-",VLOOKUP(ventas_b_mes2[[#This Row],[CUIT]],Lista_CUIT[#All],2,0)),"CUIT NO CARGADO")</f>
        <v>-</v>
      </c>
      <c r="H434" s="64"/>
      <c r="I434" s="145">
        <f>ventas_b_mes2[[#This Row],[IMPORTE NETO]]*0.21</f>
        <v>0</v>
      </c>
      <c r="J434" s="146"/>
      <c r="K434" s="146"/>
      <c r="L434" s="146">
        <f>SUM(ventas_b_mes2[[#This Row],[IMPORTE NETO]:[EXENTO]])</f>
        <v>0</v>
      </c>
      <c r="M434" s="59"/>
    </row>
    <row r="435" spans="2:13">
      <c r="B435" s="140"/>
      <c r="C435" s="41"/>
      <c r="D435" s="142"/>
      <c r="E435" s="143"/>
      <c r="F435" s="144"/>
      <c r="G435" s="1" t="str">
        <f>IFERROR(IF(ventas_b_mes2[[#This Row],[CUIT]]="","-",VLOOKUP(ventas_b_mes2[[#This Row],[CUIT]],Lista_CUIT[#All],2,0)),"CUIT NO CARGADO")</f>
        <v>-</v>
      </c>
      <c r="H435" s="64"/>
      <c r="I435" s="145">
        <f>ventas_b_mes2[[#This Row],[IMPORTE NETO]]*0.21</f>
        <v>0</v>
      </c>
      <c r="J435" s="146"/>
      <c r="K435" s="146"/>
      <c r="L435" s="146">
        <f>SUM(ventas_b_mes2[[#This Row],[IMPORTE NETO]:[EXENTO]])</f>
        <v>0</v>
      </c>
      <c r="M435" s="59"/>
    </row>
    <row r="436" spans="2:13">
      <c r="B436" s="140"/>
      <c r="C436" s="41"/>
      <c r="D436" s="142"/>
      <c r="E436" s="143"/>
      <c r="F436" s="144"/>
      <c r="G436" s="1" t="str">
        <f>IFERROR(IF(ventas_b_mes2[[#This Row],[CUIT]]="","-",VLOOKUP(ventas_b_mes2[[#This Row],[CUIT]],Lista_CUIT[#All],2,0)),"CUIT NO CARGADO")</f>
        <v>-</v>
      </c>
      <c r="H436" s="64"/>
      <c r="I436" s="145">
        <f>ventas_b_mes2[[#This Row],[IMPORTE NETO]]*0.21</f>
        <v>0</v>
      </c>
      <c r="J436" s="146"/>
      <c r="K436" s="146"/>
      <c r="L436" s="146">
        <f>SUM(ventas_b_mes2[[#This Row],[IMPORTE NETO]:[EXENTO]])</f>
        <v>0</v>
      </c>
      <c r="M436" s="59"/>
    </row>
    <row r="437" spans="2:13">
      <c r="B437" s="140"/>
      <c r="C437" s="41"/>
      <c r="D437" s="142"/>
      <c r="E437" s="143"/>
      <c r="F437" s="144"/>
      <c r="G437" s="1" t="str">
        <f>IFERROR(IF(ventas_b_mes2[[#This Row],[CUIT]]="","-",VLOOKUP(ventas_b_mes2[[#This Row],[CUIT]],Lista_CUIT[#All],2,0)),"CUIT NO CARGADO")</f>
        <v>-</v>
      </c>
      <c r="H437" s="64"/>
      <c r="I437" s="145">
        <f>ventas_b_mes2[[#This Row],[IMPORTE NETO]]*0.21</f>
        <v>0</v>
      </c>
      <c r="J437" s="146"/>
      <c r="K437" s="146"/>
      <c r="L437" s="146">
        <f>SUM(ventas_b_mes2[[#This Row],[IMPORTE NETO]:[EXENTO]])</f>
        <v>0</v>
      </c>
      <c r="M437" s="59"/>
    </row>
    <row r="438" spans="2:13">
      <c r="B438" s="140"/>
      <c r="C438" s="41"/>
      <c r="D438" s="142"/>
      <c r="E438" s="143"/>
      <c r="F438" s="144"/>
      <c r="G438" s="1" t="str">
        <f>IFERROR(IF(ventas_b_mes2[[#This Row],[CUIT]]="","-",VLOOKUP(ventas_b_mes2[[#This Row],[CUIT]],Lista_CUIT[#All],2,0)),"CUIT NO CARGADO")</f>
        <v>-</v>
      </c>
      <c r="H438" s="64"/>
      <c r="I438" s="145">
        <f>ventas_b_mes2[[#This Row],[IMPORTE NETO]]*0.21</f>
        <v>0</v>
      </c>
      <c r="J438" s="146"/>
      <c r="K438" s="146"/>
      <c r="L438" s="146">
        <f>SUM(ventas_b_mes2[[#This Row],[IMPORTE NETO]:[EXENTO]])</f>
        <v>0</v>
      </c>
      <c r="M438" s="59"/>
    </row>
    <row r="439" spans="2:13">
      <c r="B439" s="140"/>
      <c r="C439" s="41"/>
      <c r="D439" s="142"/>
      <c r="E439" s="143"/>
      <c r="F439" s="144"/>
      <c r="G439" s="1" t="str">
        <f>IFERROR(IF(ventas_b_mes2[[#This Row],[CUIT]]="","-",VLOOKUP(ventas_b_mes2[[#This Row],[CUIT]],Lista_CUIT[#All],2,0)),"CUIT NO CARGADO")</f>
        <v>-</v>
      </c>
      <c r="H439" s="64"/>
      <c r="I439" s="145">
        <f>ventas_b_mes2[[#This Row],[IMPORTE NETO]]*0.21</f>
        <v>0</v>
      </c>
      <c r="J439" s="146"/>
      <c r="K439" s="146"/>
      <c r="L439" s="146">
        <f>SUM(ventas_b_mes2[[#This Row],[IMPORTE NETO]:[EXENTO]])</f>
        <v>0</v>
      </c>
      <c r="M439" s="59"/>
    </row>
    <row r="440" spans="2:13">
      <c r="B440" s="140"/>
      <c r="C440" s="41"/>
      <c r="D440" s="142"/>
      <c r="E440" s="143"/>
      <c r="F440" s="144"/>
      <c r="G440" s="1" t="str">
        <f>IFERROR(IF(ventas_b_mes2[[#This Row],[CUIT]]="","-",VLOOKUP(ventas_b_mes2[[#This Row],[CUIT]],Lista_CUIT[#All],2,0)),"CUIT NO CARGADO")</f>
        <v>-</v>
      </c>
      <c r="H440" s="64"/>
      <c r="I440" s="145">
        <f>ventas_b_mes2[[#This Row],[IMPORTE NETO]]*0.21</f>
        <v>0</v>
      </c>
      <c r="J440" s="146"/>
      <c r="K440" s="146"/>
      <c r="L440" s="146">
        <f>SUM(ventas_b_mes2[[#This Row],[IMPORTE NETO]:[EXENTO]])</f>
        <v>0</v>
      </c>
      <c r="M440" s="59"/>
    </row>
    <row r="441" spans="2:13">
      <c r="B441" s="140"/>
      <c r="C441" s="41"/>
      <c r="D441" s="142"/>
      <c r="E441" s="143"/>
      <c r="F441" s="144"/>
      <c r="G441" s="1" t="str">
        <f>IFERROR(IF(ventas_b_mes2[[#This Row],[CUIT]]="","-",VLOOKUP(ventas_b_mes2[[#This Row],[CUIT]],Lista_CUIT[#All],2,0)),"CUIT NO CARGADO")</f>
        <v>-</v>
      </c>
      <c r="H441" s="64"/>
      <c r="I441" s="145">
        <f>ventas_b_mes2[[#This Row],[IMPORTE NETO]]*0.21</f>
        <v>0</v>
      </c>
      <c r="J441" s="146"/>
      <c r="K441" s="146"/>
      <c r="L441" s="146">
        <f>SUM(ventas_b_mes2[[#This Row],[IMPORTE NETO]:[EXENTO]])</f>
        <v>0</v>
      </c>
      <c r="M441" s="59"/>
    </row>
    <row r="442" spans="2:13">
      <c r="B442" s="140"/>
      <c r="C442" s="41"/>
      <c r="D442" s="142"/>
      <c r="E442" s="143"/>
      <c r="F442" s="144"/>
      <c r="G442" s="1" t="str">
        <f>IFERROR(IF(ventas_b_mes2[[#This Row],[CUIT]]="","-",VLOOKUP(ventas_b_mes2[[#This Row],[CUIT]],Lista_CUIT[#All],2,0)),"CUIT NO CARGADO")</f>
        <v>-</v>
      </c>
      <c r="H442" s="64"/>
      <c r="I442" s="145">
        <f>ventas_b_mes2[[#This Row],[IMPORTE NETO]]*0.21</f>
        <v>0</v>
      </c>
      <c r="J442" s="146"/>
      <c r="K442" s="146"/>
      <c r="L442" s="146">
        <f>SUM(ventas_b_mes2[[#This Row],[IMPORTE NETO]:[EXENTO]])</f>
        <v>0</v>
      </c>
      <c r="M442" s="59"/>
    </row>
    <row r="443" spans="2:13">
      <c r="B443" s="140"/>
      <c r="C443" s="41"/>
      <c r="D443" s="142"/>
      <c r="E443" s="143"/>
      <c r="F443" s="144"/>
      <c r="G443" s="1" t="str">
        <f>IFERROR(IF(ventas_b_mes2[[#This Row],[CUIT]]="","-",VLOOKUP(ventas_b_mes2[[#This Row],[CUIT]],Lista_CUIT[#All],2,0)),"CUIT NO CARGADO")</f>
        <v>-</v>
      </c>
      <c r="H443" s="64"/>
      <c r="I443" s="145">
        <f>ventas_b_mes2[[#This Row],[IMPORTE NETO]]*0.21</f>
        <v>0</v>
      </c>
      <c r="J443" s="146"/>
      <c r="K443" s="146"/>
      <c r="L443" s="146">
        <f>SUM(ventas_b_mes2[[#This Row],[IMPORTE NETO]:[EXENTO]])</f>
        <v>0</v>
      </c>
      <c r="M443" s="59"/>
    </row>
    <row r="444" spans="2:13">
      <c r="B444" s="140"/>
      <c r="C444" s="41"/>
      <c r="D444" s="142"/>
      <c r="E444" s="143"/>
      <c r="F444" s="144"/>
      <c r="G444" s="1" t="str">
        <f>IFERROR(IF(ventas_b_mes2[[#This Row],[CUIT]]="","-",VLOOKUP(ventas_b_mes2[[#This Row],[CUIT]],Lista_CUIT[#All],2,0)),"CUIT NO CARGADO")</f>
        <v>-</v>
      </c>
      <c r="H444" s="64"/>
      <c r="I444" s="145">
        <f>ventas_b_mes2[[#This Row],[IMPORTE NETO]]*0.21</f>
        <v>0</v>
      </c>
      <c r="J444" s="146"/>
      <c r="K444" s="146"/>
      <c r="L444" s="146">
        <f>SUM(ventas_b_mes2[[#This Row],[IMPORTE NETO]:[EXENTO]])</f>
        <v>0</v>
      </c>
      <c r="M444" s="59"/>
    </row>
    <row r="445" spans="2:13">
      <c r="B445" s="140"/>
      <c r="C445" s="41"/>
      <c r="D445" s="142"/>
      <c r="E445" s="143"/>
      <c r="F445" s="144"/>
      <c r="G445" s="1" t="str">
        <f>IFERROR(IF(ventas_b_mes2[[#This Row],[CUIT]]="","-",VLOOKUP(ventas_b_mes2[[#This Row],[CUIT]],Lista_CUIT[#All],2,0)),"CUIT NO CARGADO")</f>
        <v>-</v>
      </c>
      <c r="H445" s="64"/>
      <c r="I445" s="145">
        <f>ventas_b_mes2[[#This Row],[IMPORTE NETO]]*0.21</f>
        <v>0</v>
      </c>
      <c r="J445" s="146"/>
      <c r="K445" s="146"/>
      <c r="L445" s="146">
        <f>SUM(ventas_b_mes2[[#This Row],[IMPORTE NETO]:[EXENTO]])</f>
        <v>0</v>
      </c>
      <c r="M445" s="59"/>
    </row>
    <row r="446" spans="2:13">
      <c r="B446" s="140"/>
      <c r="C446" s="41"/>
      <c r="D446" s="142"/>
      <c r="E446" s="143"/>
      <c r="F446" s="144"/>
      <c r="G446" s="1" t="str">
        <f>IFERROR(IF(ventas_b_mes2[[#This Row],[CUIT]]="","-",VLOOKUP(ventas_b_mes2[[#This Row],[CUIT]],Lista_CUIT[#All],2,0)),"CUIT NO CARGADO")</f>
        <v>-</v>
      </c>
      <c r="H446" s="64"/>
      <c r="I446" s="145">
        <f>ventas_b_mes2[[#This Row],[IMPORTE NETO]]*0.21</f>
        <v>0</v>
      </c>
      <c r="J446" s="146"/>
      <c r="K446" s="146"/>
      <c r="L446" s="146">
        <f>SUM(ventas_b_mes2[[#This Row],[IMPORTE NETO]:[EXENTO]])</f>
        <v>0</v>
      </c>
      <c r="M446" s="59"/>
    </row>
    <row r="447" spans="2:13">
      <c r="B447" s="140"/>
      <c r="C447" s="41"/>
      <c r="D447" s="142"/>
      <c r="E447" s="143"/>
      <c r="F447" s="144"/>
      <c r="G447" s="1" t="str">
        <f>IFERROR(IF(ventas_b_mes2[[#This Row],[CUIT]]="","-",VLOOKUP(ventas_b_mes2[[#This Row],[CUIT]],Lista_CUIT[#All],2,0)),"CUIT NO CARGADO")</f>
        <v>-</v>
      </c>
      <c r="H447" s="64"/>
      <c r="I447" s="145">
        <f>ventas_b_mes2[[#This Row],[IMPORTE NETO]]*0.21</f>
        <v>0</v>
      </c>
      <c r="J447" s="146"/>
      <c r="K447" s="146"/>
      <c r="L447" s="146">
        <f>SUM(ventas_b_mes2[[#This Row],[IMPORTE NETO]:[EXENTO]])</f>
        <v>0</v>
      </c>
      <c r="M447" s="59"/>
    </row>
    <row r="448" spans="2:13">
      <c r="B448" s="140"/>
      <c r="C448" s="41"/>
      <c r="D448" s="142"/>
      <c r="E448" s="143"/>
      <c r="F448" s="144"/>
      <c r="G448" s="1" t="str">
        <f>IFERROR(IF(ventas_b_mes2[[#This Row],[CUIT]]="","-",VLOOKUP(ventas_b_mes2[[#This Row],[CUIT]],Lista_CUIT[#All],2,0)),"CUIT NO CARGADO")</f>
        <v>-</v>
      </c>
      <c r="H448" s="64"/>
      <c r="I448" s="145">
        <f>ventas_b_mes2[[#This Row],[IMPORTE NETO]]*0.21</f>
        <v>0</v>
      </c>
      <c r="J448" s="146"/>
      <c r="K448" s="146"/>
      <c r="L448" s="146">
        <f>SUM(ventas_b_mes2[[#This Row],[IMPORTE NETO]:[EXENTO]])</f>
        <v>0</v>
      </c>
      <c r="M448" s="59"/>
    </row>
    <row r="449" spans="2:13">
      <c r="B449" s="140"/>
      <c r="C449" s="41"/>
      <c r="D449" s="142"/>
      <c r="E449" s="143"/>
      <c r="F449" s="144"/>
      <c r="G449" s="1" t="str">
        <f>IFERROR(IF(ventas_b_mes2[[#This Row],[CUIT]]="","-",VLOOKUP(ventas_b_mes2[[#This Row],[CUIT]],Lista_CUIT[#All],2,0)),"CUIT NO CARGADO")</f>
        <v>-</v>
      </c>
      <c r="H449" s="64"/>
      <c r="I449" s="145">
        <f>ventas_b_mes2[[#This Row],[IMPORTE NETO]]*0.21</f>
        <v>0</v>
      </c>
      <c r="J449" s="146"/>
      <c r="K449" s="146"/>
      <c r="L449" s="146">
        <f>SUM(ventas_b_mes2[[#This Row],[IMPORTE NETO]:[EXENTO]])</f>
        <v>0</v>
      </c>
      <c r="M449" s="59"/>
    </row>
    <row r="450" spans="2:13">
      <c r="B450" s="140"/>
      <c r="C450" s="41"/>
      <c r="D450" s="142"/>
      <c r="E450" s="143"/>
      <c r="F450" s="144"/>
      <c r="G450" s="1" t="str">
        <f>IFERROR(IF(ventas_b_mes2[[#This Row],[CUIT]]="","-",VLOOKUP(ventas_b_mes2[[#This Row],[CUIT]],Lista_CUIT[#All],2,0)),"CUIT NO CARGADO")</f>
        <v>-</v>
      </c>
      <c r="H450" s="64"/>
      <c r="I450" s="145">
        <f>ventas_b_mes2[[#This Row],[IMPORTE NETO]]*0.21</f>
        <v>0</v>
      </c>
      <c r="J450" s="146"/>
      <c r="K450" s="146"/>
      <c r="L450" s="146">
        <f>SUM(ventas_b_mes2[[#This Row],[IMPORTE NETO]:[EXENTO]])</f>
        <v>0</v>
      </c>
      <c r="M450" s="59"/>
    </row>
    <row r="451" spans="2:13">
      <c r="B451" s="140"/>
      <c r="C451" s="41"/>
      <c r="D451" s="142"/>
      <c r="E451" s="143"/>
      <c r="F451" s="144"/>
      <c r="G451" s="1" t="str">
        <f>IFERROR(IF(ventas_b_mes2[[#This Row],[CUIT]]="","-",VLOOKUP(ventas_b_mes2[[#This Row],[CUIT]],Lista_CUIT[#All],2,0)),"CUIT NO CARGADO")</f>
        <v>-</v>
      </c>
      <c r="H451" s="64"/>
      <c r="I451" s="145">
        <f>ventas_b_mes2[[#This Row],[IMPORTE NETO]]*0.21</f>
        <v>0</v>
      </c>
      <c r="J451" s="146"/>
      <c r="K451" s="146"/>
      <c r="L451" s="146">
        <f>SUM(ventas_b_mes2[[#This Row],[IMPORTE NETO]:[EXENTO]])</f>
        <v>0</v>
      </c>
      <c r="M451" s="59"/>
    </row>
    <row r="452" spans="2:13">
      <c r="B452" s="140"/>
      <c r="C452" s="41"/>
      <c r="D452" s="142"/>
      <c r="E452" s="143"/>
      <c r="F452" s="144"/>
      <c r="G452" s="1" t="str">
        <f>IFERROR(IF(ventas_b_mes2[[#This Row],[CUIT]]="","-",VLOOKUP(ventas_b_mes2[[#This Row],[CUIT]],Lista_CUIT[#All],2,0)),"CUIT NO CARGADO")</f>
        <v>-</v>
      </c>
      <c r="H452" s="64"/>
      <c r="I452" s="145">
        <f>ventas_b_mes2[[#This Row],[IMPORTE NETO]]*0.21</f>
        <v>0</v>
      </c>
      <c r="J452" s="146"/>
      <c r="K452" s="146"/>
      <c r="L452" s="146">
        <f>SUM(ventas_b_mes2[[#This Row],[IMPORTE NETO]:[EXENTO]])</f>
        <v>0</v>
      </c>
      <c r="M452" s="59"/>
    </row>
    <row r="453" spans="2:13">
      <c r="B453" s="140"/>
      <c r="C453" s="41"/>
      <c r="D453" s="142"/>
      <c r="E453" s="143"/>
      <c r="F453" s="144"/>
      <c r="G453" s="1" t="str">
        <f>IFERROR(IF(ventas_b_mes2[[#This Row],[CUIT]]="","-",VLOOKUP(ventas_b_mes2[[#This Row],[CUIT]],Lista_CUIT[#All],2,0)),"CUIT NO CARGADO")</f>
        <v>-</v>
      </c>
      <c r="H453" s="64"/>
      <c r="I453" s="145">
        <f>ventas_b_mes2[[#This Row],[IMPORTE NETO]]*0.21</f>
        <v>0</v>
      </c>
      <c r="J453" s="146"/>
      <c r="K453" s="146"/>
      <c r="L453" s="146">
        <f>SUM(ventas_b_mes2[[#This Row],[IMPORTE NETO]:[EXENTO]])</f>
        <v>0</v>
      </c>
      <c r="M453" s="59"/>
    </row>
    <row r="454" spans="2:13">
      <c r="B454" s="140"/>
      <c r="C454" s="41"/>
      <c r="D454" s="142"/>
      <c r="E454" s="143"/>
      <c r="F454" s="144"/>
      <c r="G454" s="1" t="str">
        <f>IFERROR(IF(ventas_b_mes2[[#This Row],[CUIT]]="","-",VLOOKUP(ventas_b_mes2[[#This Row],[CUIT]],Lista_CUIT[#All],2,0)),"CUIT NO CARGADO")</f>
        <v>-</v>
      </c>
      <c r="H454" s="64"/>
      <c r="I454" s="145">
        <f>ventas_b_mes2[[#This Row],[IMPORTE NETO]]*0.21</f>
        <v>0</v>
      </c>
      <c r="J454" s="146"/>
      <c r="K454" s="146"/>
      <c r="L454" s="146">
        <f>SUM(ventas_b_mes2[[#This Row],[IMPORTE NETO]:[EXENTO]])</f>
        <v>0</v>
      </c>
      <c r="M454" s="59"/>
    </row>
    <row r="455" spans="2:13">
      <c r="B455" s="140"/>
      <c r="C455" s="41"/>
      <c r="D455" s="142"/>
      <c r="E455" s="143"/>
      <c r="F455" s="144"/>
      <c r="G455" s="1" t="str">
        <f>IFERROR(IF(ventas_b_mes2[[#This Row],[CUIT]]="","-",VLOOKUP(ventas_b_mes2[[#This Row],[CUIT]],Lista_CUIT[#All],2,0)),"CUIT NO CARGADO")</f>
        <v>-</v>
      </c>
      <c r="H455" s="64"/>
      <c r="I455" s="145">
        <f>ventas_b_mes2[[#This Row],[IMPORTE NETO]]*0.21</f>
        <v>0</v>
      </c>
      <c r="J455" s="146"/>
      <c r="K455" s="146"/>
      <c r="L455" s="146">
        <f>SUM(ventas_b_mes2[[#This Row],[IMPORTE NETO]:[EXENTO]])</f>
        <v>0</v>
      </c>
      <c r="M455" s="59"/>
    </row>
    <row r="456" spans="2:13">
      <c r="B456" s="140"/>
      <c r="C456" s="41"/>
      <c r="D456" s="142"/>
      <c r="E456" s="143"/>
      <c r="F456" s="144"/>
      <c r="G456" s="1" t="str">
        <f>IFERROR(IF(ventas_b_mes2[[#This Row],[CUIT]]="","-",VLOOKUP(ventas_b_mes2[[#This Row],[CUIT]],Lista_CUIT[#All],2,0)),"CUIT NO CARGADO")</f>
        <v>-</v>
      </c>
      <c r="H456" s="64"/>
      <c r="I456" s="145">
        <f>ventas_b_mes2[[#This Row],[IMPORTE NETO]]*0.21</f>
        <v>0</v>
      </c>
      <c r="J456" s="146"/>
      <c r="K456" s="146"/>
      <c r="L456" s="146">
        <f>SUM(ventas_b_mes2[[#This Row],[IMPORTE NETO]:[EXENTO]])</f>
        <v>0</v>
      </c>
      <c r="M456" s="59"/>
    </row>
    <row r="457" spans="2:13">
      <c r="B457" s="140"/>
      <c r="C457" s="41"/>
      <c r="D457" s="142"/>
      <c r="E457" s="143"/>
      <c r="F457" s="144"/>
      <c r="G457" s="1" t="str">
        <f>IFERROR(IF(ventas_b_mes2[[#This Row],[CUIT]]="","-",VLOOKUP(ventas_b_mes2[[#This Row],[CUIT]],Lista_CUIT[#All],2,0)),"CUIT NO CARGADO")</f>
        <v>-</v>
      </c>
      <c r="H457" s="64"/>
      <c r="I457" s="145">
        <f>ventas_b_mes2[[#This Row],[IMPORTE NETO]]*0.21</f>
        <v>0</v>
      </c>
      <c r="J457" s="146"/>
      <c r="K457" s="146"/>
      <c r="L457" s="146">
        <f>SUM(ventas_b_mes2[[#This Row],[IMPORTE NETO]:[EXENTO]])</f>
        <v>0</v>
      </c>
      <c r="M457" s="59"/>
    </row>
    <row r="458" spans="2:13">
      <c r="B458" s="140"/>
      <c r="C458" s="41"/>
      <c r="D458" s="142"/>
      <c r="E458" s="143"/>
      <c r="F458" s="144"/>
      <c r="G458" s="1" t="str">
        <f>IFERROR(IF(ventas_b_mes2[[#This Row],[CUIT]]="","-",VLOOKUP(ventas_b_mes2[[#This Row],[CUIT]],Lista_CUIT[#All],2,0)),"CUIT NO CARGADO")</f>
        <v>-</v>
      </c>
      <c r="H458" s="64"/>
      <c r="I458" s="145">
        <f>ventas_b_mes2[[#This Row],[IMPORTE NETO]]*0.21</f>
        <v>0</v>
      </c>
      <c r="J458" s="146"/>
      <c r="K458" s="146"/>
      <c r="L458" s="146">
        <f>SUM(ventas_b_mes2[[#This Row],[IMPORTE NETO]:[EXENTO]])</f>
        <v>0</v>
      </c>
      <c r="M458" s="59"/>
    </row>
    <row r="459" spans="2:13">
      <c r="B459" s="140"/>
      <c r="C459" s="41"/>
      <c r="D459" s="142"/>
      <c r="E459" s="143"/>
      <c r="F459" s="144"/>
      <c r="G459" s="1" t="str">
        <f>IFERROR(IF(ventas_b_mes2[[#This Row],[CUIT]]="","-",VLOOKUP(ventas_b_mes2[[#This Row],[CUIT]],Lista_CUIT[#All],2,0)),"CUIT NO CARGADO")</f>
        <v>-</v>
      </c>
      <c r="H459" s="64"/>
      <c r="I459" s="145">
        <f>ventas_b_mes2[[#This Row],[IMPORTE NETO]]*0.21</f>
        <v>0</v>
      </c>
      <c r="J459" s="146"/>
      <c r="K459" s="146"/>
      <c r="L459" s="146">
        <f>SUM(ventas_b_mes2[[#This Row],[IMPORTE NETO]:[EXENTO]])</f>
        <v>0</v>
      </c>
      <c r="M459" s="59"/>
    </row>
    <row r="460" spans="2:13">
      <c r="B460" s="140"/>
      <c r="C460" s="41"/>
      <c r="D460" s="142"/>
      <c r="E460" s="143"/>
      <c r="F460" s="144"/>
      <c r="G460" s="1" t="str">
        <f>IFERROR(IF(ventas_b_mes2[[#This Row],[CUIT]]="","-",VLOOKUP(ventas_b_mes2[[#This Row],[CUIT]],Lista_CUIT[#All],2,0)),"CUIT NO CARGADO")</f>
        <v>-</v>
      </c>
      <c r="H460" s="64"/>
      <c r="I460" s="145">
        <f>ventas_b_mes2[[#This Row],[IMPORTE NETO]]*0.21</f>
        <v>0</v>
      </c>
      <c r="J460" s="146"/>
      <c r="K460" s="146"/>
      <c r="L460" s="146">
        <f>SUM(ventas_b_mes2[[#This Row],[IMPORTE NETO]:[EXENTO]])</f>
        <v>0</v>
      </c>
      <c r="M460" s="59"/>
    </row>
    <row r="461" spans="2:13">
      <c r="B461" s="140"/>
      <c r="C461" s="41"/>
      <c r="D461" s="142"/>
      <c r="E461" s="143"/>
      <c r="F461" s="144"/>
      <c r="G461" s="1" t="str">
        <f>IFERROR(IF(ventas_b_mes2[[#This Row],[CUIT]]="","-",VLOOKUP(ventas_b_mes2[[#This Row],[CUIT]],Lista_CUIT[#All],2,0)),"CUIT NO CARGADO")</f>
        <v>-</v>
      </c>
      <c r="H461" s="64"/>
      <c r="I461" s="145">
        <f>ventas_b_mes2[[#This Row],[IMPORTE NETO]]*0.21</f>
        <v>0</v>
      </c>
      <c r="J461" s="146"/>
      <c r="K461" s="146"/>
      <c r="L461" s="146">
        <f>SUM(ventas_b_mes2[[#This Row],[IMPORTE NETO]:[EXENTO]])</f>
        <v>0</v>
      </c>
      <c r="M461" s="59"/>
    </row>
    <row r="462" spans="2:13">
      <c r="B462" s="140"/>
      <c r="C462" s="41"/>
      <c r="D462" s="142"/>
      <c r="E462" s="143"/>
      <c r="F462" s="144"/>
      <c r="G462" s="1" t="str">
        <f>IFERROR(IF(ventas_b_mes2[[#This Row],[CUIT]]="","-",VLOOKUP(ventas_b_mes2[[#This Row],[CUIT]],Lista_CUIT[#All],2,0)),"CUIT NO CARGADO")</f>
        <v>-</v>
      </c>
      <c r="H462" s="64"/>
      <c r="I462" s="145">
        <f>ventas_b_mes2[[#This Row],[IMPORTE NETO]]*0.21</f>
        <v>0</v>
      </c>
      <c r="J462" s="146"/>
      <c r="K462" s="146"/>
      <c r="L462" s="146">
        <f>SUM(ventas_b_mes2[[#This Row],[IMPORTE NETO]:[EXENTO]])</f>
        <v>0</v>
      </c>
      <c r="M462" s="59"/>
    </row>
    <row r="463" spans="2:13">
      <c r="B463" s="140"/>
      <c r="C463" s="41"/>
      <c r="D463" s="142"/>
      <c r="E463" s="143"/>
      <c r="F463" s="144"/>
      <c r="G463" s="1" t="str">
        <f>IFERROR(IF(ventas_b_mes2[[#This Row],[CUIT]]="","-",VLOOKUP(ventas_b_mes2[[#This Row],[CUIT]],Lista_CUIT[#All],2,0)),"CUIT NO CARGADO")</f>
        <v>-</v>
      </c>
      <c r="H463" s="64"/>
      <c r="I463" s="145">
        <f>ventas_b_mes2[[#This Row],[IMPORTE NETO]]*0.21</f>
        <v>0</v>
      </c>
      <c r="J463" s="146"/>
      <c r="K463" s="146"/>
      <c r="L463" s="146">
        <f>SUM(ventas_b_mes2[[#This Row],[IMPORTE NETO]:[EXENTO]])</f>
        <v>0</v>
      </c>
      <c r="M463" s="59"/>
    </row>
    <row r="464" spans="2:13">
      <c r="B464" s="140"/>
      <c r="C464" s="41"/>
      <c r="D464" s="142"/>
      <c r="E464" s="143"/>
      <c r="F464" s="144"/>
      <c r="G464" s="1" t="str">
        <f>IFERROR(IF(ventas_b_mes2[[#This Row],[CUIT]]="","-",VLOOKUP(ventas_b_mes2[[#This Row],[CUIT]],Lista_CUIT[#All],2,0)),"CUIT NO CARGADO")</f>
        <v>-</v>
      </c>
      <c r="H464" s="64"/>
      <c r="I464" s="145">
        <f>ventas_b_mes2[[#This Row],[IMPORTE NETO]]*0.21</f>
        <v>0</v>
      </c>
      <c r="J464" s="146"/>
      <c r="K464" s="146"/>
      <c r="L464" s="146">
        <f>SUM(ventas_b_mes2[[#This Row],[IMPORTE NETO]:[EXENTO]])</f>
        <v>0</v>
      </c>
      <c r="M464" s="59"/>
    </row>
    <row r="465" spans="2:13">
      <c r="B465" s="140"/>
      <c r="C465" s="41"/>
      <c r="D465" s="142"/>
      <c r="E465" s="143"/>
      <c r="F465" s="144"/>
      <c r="G465" s="1" t="str">
        <f>IFERROR(IF(ventas_b_mes2[[#This Row],[CUIT]]="","-",VLOOKUP(ventas_b_mes2[[#This Row],[CUIT]],Lista_CUIT[#All],2,0)),"CUIT NO CARGADO")</f>
        <v>-</v>
      </c>
      <c r="H465" s="64"/>
      <c r="I465" s="145">
        <f>ventas_b_mes2[[#This Row],[IMPORTE NETO]]*0.21</f>
        <v>0</v>
      </c>
      <c r="J465" s="146"/>
      <c r="K465" s="146"/>
      <c r="L465" s="146">
        <f>SUM(ventas_b_mes2[[#This Row],[IMPORTE NETO]:[EXENTO]])</f>
        <v>0</v>
      </c>
      <c r="M465" s="59"/>
    </row>
    <row r="466" spans="2:13">
      <c r="B466" s="140"/>
      <c r="C466" s="41"/>
      <c r="D466" s="142"/>
      <c r="E466" s="143"/>
      <c r="F466" s="144"/>
      <c r="G466" s="1" t="str">
        <f>IFERROR(IF(ventas_b_mes2[[#This Row],[CUIT]]="","-",VLOOKUP(ventas_b_mes2[[#This Row],[CUIT]],Lista_CUIT[#All],2,0)),"CUIT NO CARGADO")</f>
        <v>-</v>
      </c>
      <c r="H466" s="64"/>
      <c r="I466" s="145">
        <f>ventas_b_mes2[[#This Row],[IMPORTE NETO]]*0.21</f>
        <v>0</v>
      </c>
      <c r="J466" s="146"/>
      <c r="K466" s="146"/>
      <c r="L466" s="146">
        <f>SUM(ventas_b_mes2[[#This Row],[IMPORTE NETO]:[EXENTO]])</f>
        <v>0</v>
      </c>
      <c r="M466" s="59"/>
    </row>
    <row r="467" spans="2:13">
      <c r="B467" s="140"/>
      <c r="C467" s="41"/>
      <c r="D467" s="142"/>
      <c r="E467" s="143"/>
      <c r="F467" s="144"/>
      <c r="G467" s="1" t="str">
        <f>IFERROR(IF(ventas_b_mes2[[#This Row],[CUIT]]="","-",VLOOKUP(ventas_b_mes2[[#This Row],[CUIT]],Lista_CUIT[#All],2,0)),"CUIT NO CARGADO")</f>
        <v>-</v>
      </c>
      <c r="H467" s="64"/>
      <c r="I467" s="145">
        <f>ventas_b_mes2[[#This Row],[IMPORTE NETO]]*0.21</f>
        <v>0</v>
      </c>
      <c r="J467" s="146"/>
      <c r="K467" s="146"/>
      <c r="L467" s="146">
        <f>SUM(ventas_b_mes2[[#This Row],[IMPORTE NETO]:[EXENTO]])</f>
        <v>0</v>
      </c>
      <c r="M467" s="59"/>
    </row>
    <row r="468" spans="2:13">
      <c r="B468" s="140"/>
      <c r="C468" s="41"/>
      <c r="D468" s="142"/>
      <c r="E468" s="143"/>
      <c r="F468" s="144"/>
      <c r="G468" s="1" t="str">
        <f>IFERROR(IF(ventas_b_mes2[[#This Row],[CUIT]]="","-",VLOOKUP(ventas_b_mes2[[#This Row],[CUIT]],Lista_CUIT[#All],2,0)),"CUIT NO CARGADO")</f>
        <v>-</v>
      </c>
      <c r="H468" s="64"/>
      <c r="I468" s="145">
        <f>ventas_b_mes2[[#This Row],[IMPORTE NETO]]*0.21</f>
        <v>0</v>
      </c>
      <c r="J468" s="146"/>
      <c r="K468" s="146"/>
      <c r="L468" s="146">
        <f>SUM(ventas_b_mes2[[#This Row],[IMPORTE NETO]:[EXENTO]])</f>
        <v>0</v>
      </c>
      <c r="M468" s="59"/>
    </row>
    <row r="469" spans="2:13">
      <c r="B469" s="140"/>
      <c r="C469" s="41"/>
      <c r="D469" s="142"/>
      <c r="E469" s="143"/>
      <c r="F469" s="144"/>
      <c r="G469" s="1" t="str">
        <f>IFERROR(IF(ventas_b_mes2[[#This Row],[CUIT]]="","-",VLOOKUP(ventas_b_mes2[[#This Row],[CUIT]],Lista_CUIT[#All],2,0)),"CUIT NO CARGADO")</f>
        <v>-</v>
      </c>
      <c r="H469" s="64"/>
      <c r="I469" s="145">
        <f>ventas_b_mes2[[#This Row],[IMPORTE NETO]]*0.21</f>
        <v>0</v>
      </c>
      <c r="J469" s="146"/>
      <c r="K469" s="146"/>
      <c r="L469" s="146">
        <f>SUM(ventas_b_mes2[[#This Row],[IMPORTE NETO]:[EXENTO]])</f>
        <v>0</v>
      </c>
      <c r="M469" s="59"/>
    </row>
    <row r="470" spans="2:13">
      <c r="B470" s="140"/>
      <c r="C470" s="141"/>
      <c r="D470" s="142"/>
      <c r="E470" s="143"/>
      <c r="F470" s="144"/>
      <c r="G470" s="1" t="str">
        <f>IFERROR(IF(ventas_b_mes2[[#This Row],[CUIT]]="","-",VLOOKUP(ventas_b_mes2[[#This Row],[CUIT]],Lista_CUIT[#All],2,0)),"CUIT NO CARGADO")</f>
        <v>-</v>
      </c>
      <c r="H470" s="64"/>
      <c r="I470" s="145">
        <f>ventas_b_mes2[[#This Row],[IMPORTE NETO]]*0.21</f>
        <v>0</v>
      </c>
      <c r="J470" s="146"/>
      <c r="K470" s="146"/>
      <c r="L470" s="146">
        <f>SUM(ventas_b_mes2[[#This Row],[IMPORTE NETO]:[EXENTO]])</f>
        <v>0</v>
      </c>
      <c r="M470" s="59"/>
    </row>
    <row r="471" spans="2:13">
      <c r="B471" s="140"/>
      <c r="C471" s="141"/>
      <c r="D471" s="142"/>
      <c r="E471" s="143"/>
      <c r="F471" s="144"/>
      <c r="G471" s="1" t="str">
        <f>IFERROR(IF(ventas_b_mes2[[#This Row],[CUIT]]="","-",VLOOKUP(ventas_b_mes2[[#This Row],[CUIT]],Lista_CUIT[#All],2,0)),"CUIT NO CARGADO")</f>
        <v>-</v>
      </c>
      <c r="H471" s="64"/>
      <c r="I471" s="145">
        <f>ventas_b_mes2[[#This Row],[IMPORTE NETO]]*0.21</f>
        <v>0</v>
      </c>
      <c r="J471" s="146"/>
      <c r="K471" s="146"/>
      <c r="L471" s="146">
        <f>SUM(ventas_b_mes2[[#This Row],[IMPORTE NETO]:[EXENTO]])</f>
        <v>0</v>
      </c>
      <c r="M471" s="59"/>
    </row>
    <row r="472" spans="2:13" ht="15.75" thickBot="1">
      <c r="B472" s="66" t="s">
        <v>110</v>
      </c>
      <c r="C472" s="67"/>
      <c r="D472" s="67"/>
      <c r="E472" s="67"/>
      <c r="F472" s="67"/>
      <c r="G472" s="67"/>
      <c r="H472" s="77">
        <f>SUBTOTAL(109,ventas_b_mes2[IMPORTE NETO])</f>
        <v>0</v>
      </c>
      <c r="I472" s="77">
        <f>SUBTOTAL(109,ventas_b_mes2[IVA 21%])</f>
        <v>0</v>
      </c>
      <c r="J472" s="78">
        <f>SUBTOTAL(109,ventas_b_mes2[IVA 10,5%])</f>
        <v>0</v>
      </c>
      <c r="K472" s="78">
        <f>SUBTOTAL(109,ventas_b_mes2[EXENTO])</f>
        <v>0</v>
      </c>
      <c r="L472" s="78">
        <f>SUBTOTAL(109,ventas_b_mes2[TOTAL])</f>
        <v>0</v>
      </c>
      <c r="M472" s="68">
        <f>SUBTOTAL(103,ventas_b_mes2[Provincia])</f>
        <v>0</v>
      </c>
    </row>
    <row r="473" spans="2:13" ht="15.75" thickTop="1">
      <c r="C473" s="663" t="s">
        <v>66</v>
      </c>
      <c r="D473" s="663"/>
      <c r="E473" s="663"/>
      <c r="F473" s="663"/>
      <c r="G473" s="663"/>
      <c r="H473" s="32"/>
      <c r="I473" s="32"/>
      <c r="J473" s="32"/>
    </row>
    <row r="474" spans="2:13" ht="15.75">
      <c r="C474" s="113" t="s">
        <v>67</v>
      </c>
      <c r="D474" s="114" t="s">
        <v>68</v>
      </c>
      <c r="E474" s="114" t="s">
        <v>112</v>
      </c>
      <c r="F474" s="114" t="s">
        <v>3</v>
      </c>
      <c r="G474" s="114" t="s">
        <v>4</v>
      </c>
      <c r="H474" s="115" t="s">
        <v>69</v>
      </c>
      <c r="I474" s="115" t="s">
        <v>70</v>
      </c>
      <c r="J474" s="115" t="s">
        <v>71</v>
      </c>
      <c r="K474" s="115" t="s">
        <v>72</v>
      </c>
      <c r="L474" s="115" t="s">
        <v>73</v>
      </c>
    </row>
    <row r="475" spans="2:13">
      <c r="C475" s="116"/>
      <c r="D475" s="117"/>
      <c r="E475" s="117"/>
      <c r="F475" s="118"/>
      <c r="G475" s="53" t="str">
        <f>IFERROR(IF(Retenciones_mes2[[#This Row],[CUIT]]="","-",VLOOKUP(Retenciones_mes2[[#This Row],[CUIT]],Lista_CUIT[#All],2,0)),"CUIT NO CARGADO")</f>
        <v>-</v>
      </c>
      <c r="H475" s="119"/>
      <c r="I475" s="119"/>
      <c r="J475" s="119"/>
      <c r="K475" s="119"/>
      <c r="L475" s="119"/>
    </row>
    <row r="476" spans="2:13">
      <c r="C476" s="116"/>
      <c r="D476" s="117"/>
      <c r="E476" s="117"/>
      <c r="F476" s="118"/>
      <c r="G476" s="53" t="str">
        <f>IFERROR(IF(Retenciones_mes2[[#This Row],[CUIT]]="","-",VLOOKUP(Retenciones_mes2[[#This Row],[CUIT]],Lista_CUIT[#All],2,0)),"CUIT NO CARGADO")</f>
        <v>-</v>
      </c>
      <c r="H476" s="119"/>
      <c r="I476" s="119"/>
      <c r="J476" s="119"/>
      <c r="K476" s="119"/>
      <c r="L476" s="119"/>
    </row>
    <row r="477" spans="2:13">
      <c r="C477" s="116"/>
      <c r="D477" s="117"/>
      <c r="E477" s="117"/>
      <c r="F477" s="118"/>
      <c r="G477" s="53" t="str">
        <f>IFERROR(IF(Retenciones_mes2[[#This Row],[CUIT]]="","-",VLOOKUP(Retenciones_mes2[[#This Row],[CUIT]],Lista_CUIT[#All],2,0)),"CUIT NO CARGADO")</f>
        <v>-</v>
      </c>
      <c r="H477" s="119"/>
      <c r="I477" s="119"/>
      <c r="J477" s="119"/>
      <c r="K477" s="119"/>
      <c r="L477" s="119"/>
    </row>
    <row r="478" spans="2:13">
      <c r="C478" s="116"/>
      <c r="D478" s="117"/>
      <c r="E478" s="117"/>
      <c r="F478" s="118"/>
      <c r="G478" s="53" t="str">
        <f>IFERROR(IF(Retenciones_mes2[[#This Row],[CUIT]]="","-",VLOOKUP(Retenciones_mes2[[#This Row],[CUIT]],Lista_CUIT[#All],2,0)),"CUIT NO CARGADO")</f>
        <v>-</v>
      </c>
      <c r="H478" s="119"/>
      <c r="I478" s="119"/>
      <c r="J478" s="119"/>
      <c r="K478" s="119"/>
      <c r="L478" s="119"/>
    </row>
    <row r="479" spans="2:13">
      <c r="C479" s="116"/>
      <c r="D479" s="117"/>
      <c r="E479" s="117"/>
      <c r="F479" s="118"/>
      <c r="G479" s="53" t="str">
        <f>IFERROR(IF(Retenciones_mes2[[#This Row],[CUIT]]="","-",VLOOKUP(Retenciones_mes2[[#This Row],[CUIT]],Lista_CUIT[#All],2,0)),"CUIT NO CARGADO")</f>
        <v>-</v>
      </c>
    </row>
    <row r="480" spans="2:13">
      <c r="C480" s="116"/>
      <c r="D480" s="156"/>
      <c r="E480" s="156"/>
      <c r="F480" s="118"/>
      <c r="G480" s="158" t="str">
        <f>IFERROR(IF(Retenciones_mes2[[#This Row],[CUIT]]="","-",VLOOKUP(Retenciones_mes2[[#This Row],[CUIT]],Lista_CUIT[#All],2,0)),"CUIT NO CARGADO")</f>
        <v>-</v>
      </c>
      <c r="H480" s="159"/>
      <c r="I480" s="159"/>
      <c r="J480" s="159"/>
      <c r="K480" s="159"/>
      <c r="L480" s="159"/>
    </row>
    <row r="481" spans="3:12">
      <c r="C481" s="116"/>
      <c r="D481" s="156"/>
      <c r="E481" s="156"/>
      <c r="F481" s="118"/>
      <c r="G481" s="158" t="str">
        <f>IFERROR(IF(Retenciones_mes2[[#This Row],[CUIT]]="","-",VLOOKUP(Retenciones_mes2[[#This Row],[CUIT]],Lista_CUIT[#All],2,0)),"CUIT NO CARGADO")</f>
        <v>-</v>
      </c>
      <c r="H481" s="159"/>
      <c r="I481" s="159"/>
      <c r="J481" s="159"/>
      <c r="K481" s="159"/>
      <c r="L481" s="159"/>
    </row>
    <row r="482" spans="3:12">
      <c r="C482" s="116"/>
      <c r="D482" s="156"/>
      <c r="E482" s="156"/>
      <c r="F482" s="118"/>
      <c r="G482" s="158" t="str">
        <f>IFERROR(IF(Retenciones_mes2[[#This Row],[CUIT]]="","-",VLOOKUP(Retenciones_mes2[[#This Row],[CUIT]],Lista_CUIT[#All],2,0)),"CUIT NO CARGADO")</f>
        <v>-</v>
      </c>
      <c r="H482" s="159"/>
      <c r="I482" s="159"/>
      <c r="J482" s="159"/>
      <c r="K482" s="159"/>
      <c r="L482" s="159"/>
    </row>
    <row r="483" spans="3:12">
      <c r="C483" s="116"/>
      <c r="D483" s="156"/>
      <c r="E483" s="156"/>
      <c r="F483" s="118"/>
      <c r="G483" s="158" t="str">
        <f>IFERROR(IF(Retenciones_mes2[[#This Row],[CUIT]]="","-",VLOOKUP(Retenciones_mes2[[#This Row],[CUIT]],Lista_CUIT[#All],2,0)),"CUIT NO CARGADO")</f>
        <v>-</v>
      </c>
      <c r="H483" s="159"/>
      <c r="I483" s="159"/>
      <c r="J483" s="159"/>
      <c r="K483" s="159"/>
      <c r="L483" s="159"/>
    </row>
    <row r="484" spans="3:12">
      <c r="C484" s="155"/>
      <c r="D484" s="156"/>
      <c r="E484" s="156"/>
      <c r="F484" s="157"/>
      <c r="G484" s="158" t="str">
        <f>IFERROR(IF(Retenciones_mes2[[#This Row],[CUIT]]="","-",VLOOKUP(Retenciones_mes2[[#This Row],[CUIT]],Lista_CUIT[#All],2,0)),"CUIT NO CARGADO")</f>
        <v>-</v>
      </c>
      <c r="H484" s="159"/>
      <c r="I484" s="159"/>
      <c r="J484" s="159"/>
      <c r="K484" s="159"/>
      <c r="L484" s="159"/>
    </row>
    <row r="485" spans="3:12">
      <c r="C485" s="155"/>
      <c r="D485" s="156"/>
      <c r="E485" s="156"/>
      <c r="F485" s="157"/>
      <c r="G485" s="158" t="str">
        <f>IFERROR(IF(Retenciones_mes2[[#This Row],[CUIT]]="","-",VLOOKUP(Retenciones_mes2[[#This Row],[CUIT]],Lista_CUIT[#All],2,0)),"CUIT NO CARGADO")</f>
        <v>-</v>
      </c>
      <c r="H485" s="159"/>
      <c r="I485" s="159"/>
      <c r="J485" s="159"/>
      <c r="K485" s="159"/>
      <c r="L485" s="159"/>
    </row>
    <row r="486" spans="3:12">
      <c r="C486" s="155"/>
      <c r="D486" s="156"/>
      <c r="E486" s="156"/>
      <c r="F486" s="157"/>
      <c r="G486" s="158" t="str">
        <f>IFERROR(IF(Retenciones_mes2[[#This Row],[CUIT]]="","-",VLOOKUP(Retenciones_mes2[[#This Row],[CUIT]],Lista_CUIT[#All],2,0)),"CUIT NO CARGADO")</f>
        <v>-</v>
      </c>
      <c r="H486" s="159"/>
      <c r="I486" s="159"/>
      <c r="J486" s="159"/>
      <c r="K486" s="159"/>
      <c r="L486" s="159"/>
    </row>
    <row r="487" spans="3:12">
      <c r="C487" s="155"/>
      <c r="D487" s="156"/>
      <c r="E487" s="156"/>
      <c r="F487" s="157"/>
      <c r="G487" s="158" t="str">
        <f>IFERROR(IF(Retenciones_mes2[[#This Row],[CUIT]]="","-",VLOOKUP(Retenciones_mes2[[#This Row],[CUIT]],Lista_CUIT[#All],2,0)),"CUIT NO CARGADO")</f>
        <v>-</v>
      </c>
      <c r="H487" s="159"/>
      <c r="I487" s="159"/>
      <c r="J487" s="159"/>
      <c r="K487" s="159"/>
      <c r="L487" s="159"/>
    </row>
    <row r="488" spans="3:12">
      <c r="C488" s="155"/>
      <c r="D488" s="156"/>
      <c r="E488" s="156"/>
      <c r="F488" s="157"/>
      <c r="G488" s="158" t="str">
        <f>IFERROR(IF(Retenciones_mes2[[#This Row],[CUIT]]="","-",VLOOKUP(Retenciones_mes2[[#This Row],[CUIT]],Lista_CUIT[#All],2,0)),"CUIT NO CARGADO")</f>
        <v>-</v>
      </c>
      <c r="H488" s="159"/>
      <c r="I488" s="159"/>
      <c r="J488" s="159"/>
      <c r="K488" s="159"/>
      <c r="L488" s="159"/>
    </row>
    <row r="489" spans="3:12">
      <c r="C489" s="155"/>
      <c r="D489" s="156"/>
      <c r="E489" s="156"/>
      <c r="F489" s="157"/>
      <c r="G489" s="158" t="str">
        <f>IFERROR(IF(Retenciones_mes2[[#This Row],[CUIT]]="","-",VLOOKUP(Retenciones_mes2[[#This Row],[CUIT]],Lista_CUIT[#All],2,0)),"CUIT NO CARGADO")</f>
        <v>-</v>
      </c>
      <c r="H489" s="159"/>
      <c r="I489" s="159"/>
      <c r="J489" s="159"/>
      <c r="K489" s="159"/>
      <c r="L489" s="159"/>
    </row>
    <row r="490" spans="3:12">
      <c r="C490" s="155"/>
      <c r="D490" s="156"/>
      <c r="E490" s="156"/>
      <c r="F490" s="157"/>
      <c r="G490" s="158" t="str">
        <f>IFERROR(IF(Retenciones_mes2[[#This Row],[CUIT]]="","-",VLOOKUP(Retenciones_mes2[[#This Row],[CUIT]],Lista_CUIT[#All],2,0)),"CUIT NO CARGADO")</f>
        <v>-</v>
      </c>
      <c r="H490" s="159"/>
      <c r="I490" s="159"/>
      <c r="J490" s="159"/>
      <c r="K490" s="159"/>
      <c r="L490" s="159"/>
    </row>
    <row r="491" spans="3:12">
      <c r="C491" s="155"/>
      <c r="D491" s="156"/>
      <c r="E491" s="156"/>
      <c r="F491" s="157"/>
      <c r="G491" s="158" t="str">
        <f>IFERROR(IF(Retenciones_mes2[[#This Row],[CUIT]]="","-",VLOOKUP(Retenciones_mes2[[#This Row],[CUIT]],Lista_CUIT[#All],2,0)),"CUIT NO CARGADO")</f>
        <v>-</v>
      </c>
      <c r="H491" s="159"/>
      <c r="I491" s="159"/>
      <c r="J491" s="159"/>
      <c r="K491" s="159"/>
      <c r="L491" s="159"/>
    </row>
    <row r="492" spans="3:12">
      <c r="C492" s="155"/>
      <c r="D492" s="156"/>
      <c r="E492" s="156"/>
      <c r="F492" s="157"/>
      <c r="G492" s="158" t="str">
        <f>IFERROR(IF(Retenciones_mes2[[#This Row],[CUIT]]="","-",VLOOKUP(Retenciones_mes2[[#This Row],[CUIT]],Lista_CUIT[#All],2,0)),"CUIT NO CARGADO")</f>
        <v>-</v>
      </c>
      <c r="H492" s="159"/>
      <c r="I492" s="159"/>
      <c r="J492" s="159"/>
      <c r="K492" s="159"/>
      <c r="L492" s="159"/>
    </row>
    <row r="493" spans="3:12">
      <c r="C493" s="155"/>
      <c r="D493" s="156"/>
      <c r="E493" s="156"/>
      <c r="F493" s="157"/>
      <c r="G493" s="158" t="str">
        <f>IFERROR(IF(Retenciones_mes2[[#This Row],[CUIT]]="","-",VLOOKUP(Retenciones_mes2[[#This Row],[CUIT]],Lista_CUIT[#All],2,0)),"CUIT NO CARGADO")</f>
        <v>-</v>
      </c>
      <c r="H493" s="159"/>
      <c r="I493" s="159"/>
      <c r="J493" s="159"/>
      <c r="K493" s="159"/>
      <c r="L493" s="159"/>
    </row>
    <row r="494" spans="3:12">
      <c r="C494" s="155"/>
      <c r="D494" s="156"/>
      <c r="E494" s="156"/>
      <c r="F494" s="157"/>
      <c r="G494" s="158" t="str">
        <f>IFERROR(IF(Retenciones_mes2[[#This Row],[CUIT]]="","-",VLOOKUP(Retenciones_mes2[[#This Row],[CUIT]],Lista_CUIT[#All],2,0)),"CUIT NO CARGADO")</f>
        <v>-</v>
      </c>
      <c r="H494" s="159"/>
      <c r="I494" s="159"/>
      <c r="J494" s="159"/>
      <c r="K494" s="159"/>
      <c r="L494" s="159"/>
    </row>
    <row r="495" spans="3:12">
      <c r="C495" s="155"/>
      <c r="D495" s="156"/>
      <c r="E495" s="156"/>
      <c r="F495" s="157"/>
      <c r="G495" s="158" t="str">
        <f>IFERROR(IF(Retenciones_mes2[[#This Row],[CUIT]]="","-",VLOOKUP(Retenciones_mes2[[#This Row],[CUIT]],Lista_CUIT[#All],2,0)),"CUIT NO CARGADO")</f>
        <v>-</v>
      </c>
      <c r="H495" s="159"/>
      <c r="I495" s="159"/>
      <c r="J495" s="159"/>
      <c r="K495" s="159"/>
      <c r="L495" s="159"/>
    </row>
    <row r="496" spans="3:12">
      <c r="C496" s="155"/>
      <c r="D496" s="156"/>
      <c r="E496" s="156"/>
      <c r="F496" s="157"/>
      <c r="G496" s="158" t="str">
        <f>IFERROR(IF(Retenciones_mes2[[#This Row],[CUIT]]="","-",VLOOKUP(Retenciones_mes2[[#This Row],[CUIT]],Lista_CUIT[#All],2,0)),"CUIT NO CARGADO")</f>
        <v>-</v>
      </c>
      <c r="H496" s="159"/>
      <c r="I496" s="159"/>
      <c r="J496" s="159"/>
      <c r="K496" s="159"/>
      <c r="L496" s="159"/>
    </row>
    <row r="497" spans="3:12">
      <c r="C497" s="155"/>
      <c r="D497" s="156"/>
      <c r="E497" s="156"/>
      <c r="F497" s="157"/>
      <c r="G497" s="158" t="str">
        <f>IFERROR(IF(Retenciones_mes2[[#This Row],[CUIT]]="","-",VLOOKUP(Retenciones_mes2[[#This Row],[CUIT]],Lista_CUIT[#All],2,0)),"CUIT NO CARGADO")</f>
        <v>-</v>
      </c>
      <c r="H497" s="159"/>
      <c r="I497" s="159"/>
      <c r="J497" s="159"/>
      <c r="K497" s="159"/>
      <c r="L497" s="159"/>
    </row>
    <row r="498" spans="3:12">
      <c r="C498" s="155"/>
      <c r="D498" s="156"/>
      <c r="E498" s="156"/>
      <c r="F498" s="157"/>
      <c r="G498" s="158" t="str">
        <f>IFERROR(IF(Retenciones_mes2[[#This Row],[CUIT]]="","-",VLOOKUP(Retenciones_mes2[[#This Row],[CUIT]],Lista_CUIT[#All],2,0)),"CUIT NO CARGADO")</f>
        <v>-</v>
      </c>
      <c r="H498" s="159"/>
      <c r="I498" s="159"/>
      <c r="J498" s="159"/>
      <c r="K498" s="159"/>
      <c r="L498" s="159"/>
    </row>
    <row r="499" spans="3:12">
      <c r="C499" s="155"/>
      <c r="D499" s="156"/>
      <c r="E499" s="156"/>
      <c r="F499" s="157"/>
      <c r="G499" s="158" t="str">
        <f>IFERROR(IF(Retenciones_mes2[[#This Row],[CUIT]]="","-",VLOOKUP(Retenciones_mes2[[#This Row],[CUIT]],Lista_CUIT[#All],2,0)),"CUIT NO CARGADO")</f>
        <v>-</v>
      </c>
      <c r="H499" s="159"/>
      <c r="I499" s="159"/>
      <c r="J499" s="159"/>
      <c r="K499" s="159"/>
      <c r="L499" s="159"/>
    </row>
    <row r="500" spans="3:12">
      <c r="C500" s="155"/>
      <c r="D500" s="156"/>
      <c r="E500" s="156"/>
      <c r="F500" s="157"/>
      <c r="G500" s="158" t="str">
        <f>IFERROR(IF(Retenciones_mes2[[#This Row],[CUIT]]="","-",VLOOKUP(Retenciones_mes2[[#This Row],[CUIT]],Lista_CUIT[#All],2,0)),"CUIT NO CARGADO")</f>
        <v>-</v>
      </c>
      <c r="H500" s="159"/>
      <c r="I500" s="159"/>
      <c r="J500" s="159"/>
      <c r="K500" s="159"/>
      <c r="L500" s="159"/>
    </row>
    <row r="501" spans="3:12">
      <c r="C501" s="155"/>
      <c r="D501" s="156"/>
      <c r="E501" s="156"/>
      <c r="F501" s="157"/>
      <c r="G501" s="158" t="str">
        <f>IFERROR(IF(Retenciones_mes2[[#This Row],[CUIT]]="","-",VLOOKUP(Retenciones_mes2[[#This Row],[CUIT]],Lista_CUIT[#All],2,0)),"CUIT NO CARGADO")</f>
        <v>-</v>
      </c>
      <c r="H501" s="159"/>
      <c r="I501" s="159"/>
      <c r="J501" s="159"/>
      <c r="K501" s="159"/>
      <c r="L501" s="159"/>
    </row>
  </sheetData>
  <mergeCells count="20">
    <mergeCell ref="C473:G473"/>
    <mergeCell ref="B4:E4"/>
    <mergeCell ref="G4:H4"/>
    <mergeCell ref="J4:K4"/>
    <mergeCell ref="M4:N4"/>
    <mergeCell ref="D147:K147"/>
    <mergeCell ref="B186:J186"/>
    <mergeCell ref="K186:M186"/>
    <mergeCell ref="B188:C188"/>
    <mergeCell ref="B243:C243"/>
    <mergeCell ref="P4:R4"/>
    <mergeCell ref="D136:L136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45:L471">
      <formula1>IF($C245=8,H245&lt;0,H245&gt;=0)</formula1>
    </dataValidation>
    <dataValidation type="custom" allowBlank="1" showInputMessage="1" showErrorMessage="1" sqref="L192:L194">
      <formula1>IF($C94=3,L94&lt;0,L94&gt;=0)</formula1>
    </dataValidation>
    <dataValidation type="custom" allowBlank="1" showInputMessage="1" showErrorMessage="1" sqref="L190:L191">
      <formula1>IF($C9=3,L9&lt;0,L9&gt;=0)</formula1>
    </dataValidation>
    <dataValidation type="whole" allowBlank="1" showInputMessage="1" showErrorMessage="1" sqref="C245:C471">
      <formula1>6</formula1>
      <formula2>8</formula2>
    </dataValidation>
    <dataValidation type="custom" allowBlank="1" showInputMessage="1" showErrorMessage="1" sqref="H190:K190 H192:K192 H194:K194 H196:K196">
      <formula1>IF($C190=3,H190&lt;0,H190&gt;=0)</formula1>
    </dataValidation>
    <dataValidation type="whole" allowBlank="1" showInputMessage="1" showErrorMessage="1" sqref="C132:C135 C190:C241 C9:C130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M54:O54 H54:K54 H55:O121 O49 H50:O53 H49:M49 O15 H9:O14 H16:O48 H15:M15">
      <formula1>IF($C9=3,H9&lt;0,H9&gt;=0)</formula1>
    </dataValidation>
    <dataValidation type="date" allowBlank="1" showInputMessage="1" showErrorMessage="1" sqref="B9:B130 D138:D142 B190:B241 B132:B135 B245:B471 D149:D179">
      <formula1>40179</formula1>
      <formula2>TODAY()</formula2>
    </dataValidation>
    <dataValidation type="whole" allowBlank="1" showInputMessage="1" showErrorMessage="1" sqref="F9:F130 F190:F241 F245:F471 G149:G179">
      <formula1>20000000000</formula1>
      <formula2>33999999999</formula2>
    </dataValidation>
    <dataValidation type="whole" allowBlank="1" showInputMessage="1" showErrorMessage="1" sqref="E9:E130 E190:E241 E245:E471 F149:F179">
      <formula1>1</formula1>
      <formula2>99999999</formula2>
    </dataValidation>
    <dataValidation type="whole" allowBlank="1" showInputMessage="1" showErrorMessage="1" sqref="D9:D130 D190:D241 D245:D471 E149:E179">
      <formula1>1</formula1>
      <formula2>9999</formula2>
    </dataValidation>
    <dataValidation type="custom" allowBlank="1" showInputMessage="1" showErrorMessage="1" sqref="L195:L196">
      <formula1>IF($C131=3,L131&lt;0,L131&gt;=0)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0.79998168889431442"/>
  </sheetPr>
  <dimension ref="A1:Z218"/>
  <sheetViews>
    <sheetView showGridLines="0" topLeftCell="D112" zoomScaleNormal="100" workbookViewId="0">
      <selection activeCell="P128" sqref="P128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0" customWidth="1"/>
    <col min="11" max="11" width="11.7109375" customWidth="1"/>
    <col min="12" max="12" width="13.5703125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29.140625" customWidth="1"/>
    <col min="18" max="18" width="14.42578125" customWidth="1"/>
    <col min="19" max="19" width="10.42578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EDATE('Ene-24'!N1,2)</f>
        <v>45352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SUM(compras_mes3[[#Totals],[NETO GRAVADO]])+extracto_banco_mes3[[#Totals],[NETO]]</f>
        <v>37501223.07</v>
      </c>
      <c r="C4" s="671"/>
      <c r="D4" s="671"/>
      <c r="E4" s="671"/>
      <c r="F4" s="39"/>
      <c r="G4" s="672">
        <f>compras_mes3[[#Totals],[IVA 21 %]]+compras_mes3[[#Totals],[IVA 27%]]+compras_mes3[[#Totals],[IVA 10,5%]]+extracto_banco_mes3[[#Totals],[IVA 21%]]+extracto_banco_mes3[[#Totals],[IVA 10,5%]]</f>
        <v>7731772.4826999987</v>
      </c>
      <c r="H4" s="672"/>
      <c r="I4" s="39"/>
      <c r="J4" s="661">
        <f>venta_a_mes3[[#Totals],[IMPORTE NETO]]+ventas_b_mes3[[#Totals],[IMPORTE NETO]]</f>
        <v>0</v>
      </c>
      <c r="K4" s="661"/>
      <c r="L4" s="39"/>
      <c r="M4" s="661">
        <f>venta_a_mes3[[#Totals],[IVA 21%]]+venta_a_mes3[[#Totals],[IVA 10,5%]]+ventas_b_mes3[[#Totals],[IVA 21%]]+ventas_b_mes3[[#Totals],[IVA 10,5%]]</f>
        <v>0</v>
      </c>
      <c r="N4" s="661"/>
      <c r="O4" s="39"/>
      <c r="P4" s="674">
        <f>G4-M4</f>
        <v>7731772.4826999987</v>
      </c>
      <c r="Q4" s="675"/>
      <c r="R4" s="675"/>
    </row>
    <row r="5" spans="1:26" ht="13.35" customHeight="1"/>
    <row r="6" spans="1:26" ht="11.1" customHeight="1"/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>
        <v>45358</v>
      </c>
      <c r="C9" s="41">
        <v>1</v>
      </c>
      <c r="D9" s="42">
        <v>12</v>
      </c>
      <c r="E9" s="43">
        <v>1708429</v>
      </c>
      <c r="F9" s="44">
        <v>30709776564</v>
      </c>
      <c r="G9" s="45" t="str">
        <f>IFERROR(IF(compras_mes3[[#This Row],[CUIT]]="","-",VLOOKUP(compras_mes3[[#This Row],[CUIT]],Lista_CUIT[#All],2,0)),"CUIT NO CARGADO")</f>
        <v>PROSEGUR ACTIVA ARG SA</v>
      </c>
      <c r="H9" s="46">
        <v>79792.38</v>
      </c>
      <c r="I9" s="46">
        <f>IF(compras_mes3[[#This Row],[NETO GRAVADO]]="","",compras_mes3[[#This Row],[NETO GRAVADO]]*0.21)</f>
        <v>16756.399799999999</v>
      </c>
      <c r="J9" s="85"/>
      <c r="K9" s="85"/>
      <c r="L9" s="85"/>
      <c r="M9" s="85"/>
      <c r="N9" s="85"/>
      <c r="O9" s="85">
        <v>3191.69</v>
      </c>
      <c r="P9" s="48">
        <f>SUM(compras_mes3[[#This Row],[NETO GRAVADO]:[Otros / No Grav.]])</f>
        <v>99740.469800000006</v>
      </c>
      <c r="Q9" s="49" t="str">
        <f>IFERROR(IF(compras_mes3[[#This Row],[CUIT]]="","-",VLOOKUP(compras_mes3[[#This Row],[CUIT]],Lista_CUIT[#All],3,0)),"CUIT NO CARGADO")</f>
        <v>Servicio Seguridad</v>
      </c>
      <c r="R9" s="49">
        <f>IFERROR(IF(compras_mes3[[#This Row],[CUIT]]="","-",VLOOKUP(compras_mes3[[#This Row],[CUIT]],Lista_CUIT[#All],4,0)),"CUIT NO CARGADO")</f>
        <v>0</v>
      </c>
    </row>
    <row r="10" spans="1:26">
      <c r="B10" s="40">
        <v>45352</v>
      </c>
      <c r="C10" s="41">
        <v>1</v>
      </c>
      <c r="D10" s="42">
        <v>2</v>
      </c>
      <c r="E10" s="43">
        <v>204</v>
      </c>
      <c r="F10" s="44">
        <v>30605344352</v>
      </c>
      <c r="G10" s="45" t="str">
        <f>IFERROR(IF(compras_mes3[[#This Row],[CUIT]]="","-",VLOOKUP(compras_mes3[[#This Row],[CUIT]],Lista_CUIT[#All],2,0)),"CUIT NO CARGADO")</f>
        <v>CONSORCIO BARTOLME MITRE 2466</v>
      </c>
      <c r="H10" s="46">
        <v>575000</v>
      </c>
      <c r="I10" s="46">
        <f>IF(compras_mes3[[#This Row],[NETO GRAVADO]]="","",compras_mes3[[#This Row],[NETO GRAVADO]]*0.21)</f>
        <v>120750</v>
      </c>
      <c r="J10" s="85"/>
      <c r="K10" s="85"/>
      <c r="L10" s="85"/>
      <c r="M10" s="85"/>
      <c r="N10" s="85"/>
      <c r="O10" s="85">
        <v>0</v>
      </c>
      <c r="P10" s="48">
        <f>SUM(compras_mes3[[#This Row],[NETO GRAVADO]:[Otros / No Grav.]])</f>
        <v>695750</v>
      </c>
      <c r="Q10" s="49" t="str">
        <f>IFERROR(IF(compras_mes3[[#This Row],[CUIT]]="","-",VLOOKUP(compras_mes3[[#This Row],[CUIT]],Lista_CUIT[#All],3,0)),"CUIT NO CARGADO")</f>
        <v>ALQUILERES PAGADOS</v>
      </c>
      <c r="R10" s="49">
        <f>IFERROR(IF(compras_mes3[[#This Row],[CUIT]]="","-",VLOOKUP(compras_mes3[[#This Row],[CUIT]],Lista_CUIT[#All],4,0)),"CUIT NO CARGADO")</f>
        <v>0</v>
      </c>
    </row>
    <row r="11" spans="1:26">
      <c r="B11" s="40">
        <v>45358</v>
      </c>
      <c r="C11" s="41">
        <v>1</v>
      </c>
      <c r="D11" s="42">
        <v>1001</v>
      </c>
      <c r="E11" s="43">
        <v>383</v>
      </c>
      <c r="F11" s="44">
        <v>30707370552</v>
      </c>
      <c r="G11" s="45" t="str">
        <f>IFERROR(IF(compras_mes3[[#This Row],[CUIT]]="","-",VLOOKUP(compras_mes3[[#This Row],[CUIT]],Lista_CUIT[#All],2,0)),"CUIT NO CARGADO")</f>
        <v>RAKE SA</v>
      </c>
      <c r="H11" s="46">
        <v>409090.91</v>
      </c>
      <c r="I11" s="46">
        <f>IF(compras_mes3[[#This Row],[NETO GRAVADO]]="","",compras_mes3[[#This Row],[NETO GRAVADO]]*0.21)</f>
        <v>85909.091099999991</v>
      </c>
      <c r="J11" s="85"/>
      <c r="K11" s="85"/>
      <c r="L11" s="85"/>
      <c r="M11" s="85"/>
      <c r="N11" s="85"/>
      <c r="O11" s="85">
        <v>0</v>
      </c>
      <c r="P11" s="48">
        <f>SUM(compras_mes3[[#This Row],[NETO GRAVADO]:[Otros / No Grav.]])</f>
        <v>495000.00109999999</v>
      </c>
      <c r="Q11" s="49" t="str">
        <f>IFERROR(IF(compras_mes3[[#This Row],[CUIT]]="","-",VLOOKUP(compras_mes3[[#This Row],[CUIT]],Lista_CUIT[#All],3,0)),"CUIT NO CARGADO")</f>
        <v>ALQUILERES PAGADOS</v>
      </c>
      <c r="R11" s="49">
        <f>IFERROR(IF(compras_mes3[[#This Row],[CUIT]]="","-",VLOOKUP(compras_mes3[[#This Row],[CUIT]],Lista_CUIT[#All],4,0)),"CUIT NO CARGADO")</f>
        <v>0</v>
      </c>
    </row>
    <row r="12" spans="1:26">
      <c r="B12" s="40">
        <v>45358</v>
      </c>
      <c r="C12" s="41">
        <v>1</v>
      </c>
      <c r="D12" s="42">
        <v>1001</v>
      </c>
      <c r="E12" s="43">
        <v>382</v>
      </c>
      <c r="F12" s="44">
        <v>30707370552</v>
      </c>
      <c r="G12" s="45" t="str">
        <f>IFERROR(IF(compras_mes3[[#This Row],[CUIT]]="","-",VLOOKUP(compras_mes3[[#This Row],[CUIT]],Lista_CUIT[#All],2,0)),"CUIT NO CARGADO")</f>
        <v>RAKE SA</v>
      </c>
      <c r="H12" s="46">
        <v>301487.59999999998</v>
      </c>
      <c r="I12" s="46">
        <f>IF(compras_mes3[[#This Row],[NETO GRAVADO]]="","",compras_mes3[[#This Row],[NETO GRAVADO]]*0.21)</f>
        <v>63312.395999999993</v>
      </c>
      <c r="J12" s="85"/>
      <c r="K12" s="85"/>
      <c r="L12" s="85"/>
      <c r="M12" s="85"/>
      <c r="N12" s="85"/>
      <c r="O12" s="85">
        <v>0</v>
      </c>
      <c r="P12" s="48">
        <f>SUM(compras_mes3[[#This Row],[NETO GRAVADO]:[Otros / No Grav.]])</f>
        <v>364799.99599999998</v>
      </c>
      <c r="Q12" s="49" t="str">
        <f>IFERROR(IF(compras_mes3[[#This Row],[CUIT]]="","-",VLOOKUP(compras_mes3[[#This Row],[CUIT]],Lista_CUIT[#All],3,0)),"CUIT NO CARGADO")</f>
        <v>ALQUILERES PAGADOS</v>
      </c>
      <c r="R12" s="49">
        <f>IFERROR(IF(compras_mes3[[#This Row],[CUIT]]="","-",VLOOKUP(compras_mes3[[#This Row],[CUIT]],Lista_CUIT[#All],4,0)),"CUIT NO CARGADO")</f>
        <v>0</v>
      </c>
    </row>
    <row r="13" spans="1:26">
      <c r="B13" s="40">
        <v>45358</v>
      </c>
      <c r="C13" s="41">
        <v>1</v>
      </c>
      <c r="D13" s="42">
        <v>1001</v>
      </c>
      <c r="E13" s="43">
        <v>384</v>
      </c>
      <c r="F13" s="44">
        <v>30707370552</v>
      </c>
      <c r="G13" s="45" t="str">
        <f>IFERROR(IF(compras_mes3[[#This Row],[CUIT]]="","-",VLOOKUP(compras_mes3[[#This Row],[CUIT]],Lista_CUIT[#All],2,0)),"CUIT NO CARGADO")</f>
        <v>RAKE SA</v>
      </c>
      <c r="H13" s="46">
        <v>266322.32</v>
      </c>
      <c r="I13" s="46">
        <f>IF(compras_mes3[[#This Row],[NETO GRAVADO]]="","",compras_mes3[[#This Row],[NETO GRAVADO]]*0.21)</f>
        <v>55927.6872</v>
      </c>
      <c r="J13" s="85"/>
      <c r="K13" s="85"/>
      <c r="L13" s="85"/>
      <c r="M13" s="85"/>
      <c r="N13" s="85"/>
      <c r="O13" s="85">
        <v>0</v>
      </c>
      <c r="P13" s="48">
        <f>SUM(compras_mes3[[#This Row],[NETO GRAVADO]:[Otros / No Grav.]])</f>
        <v>322250.00719999999</v>
      </c>
      <c r="Q13" s="49" t="str">
        <f>IFERROR(IF(compras_mes3[[#This Row],[CUIT]]="","-",VLOOKUP(compras_mes3[[#This Row],[CUIT]],Lista_CUIT[#All],3,0)),"CUIT NO CARGADO")</f>
        <v>ALQUILERES PAGADOS</v>
      </c>
      <c r="R13" s="49">
        <f>IFERROR(IF(compras_mes3[[#This Row],[CUIT]]="","-",VLOOKUP(compras_mes3[[#This Row],[CUIT]],Lista_CUIT[#All],4,0)),"CUIT NO CARGADO")</f>
        <v>0</v>
      </c>
    </row>
    <row r="14" spans="1:26">
      <c r="B14" s="40">
        <v>45357</v>
      </c>
      <c r="C14" s="41">
        <v>1</v>
      </c>
      <c r="D14" s="42">
        <v>1</v>
      </c>
      <c r="E14" s="43">
        <v>755</v>
      </c>
      <c r="F14" s="44">
        <v>30715048066</v>
      </c>
      <c r="G14" s="45" t="str">
        <f>IFERROR(IF(compras_mes3[[#This Row],[CUIT]]="","-",VLOOKUP(compras_mes3[[#This Row],[CUIT]],Lista_CUIT[#All],2,0)),"CUIT NO CARGADO")</f>
        <v>ROLLS Y EMPANADAS SA</v>
      </c>
      <c r="H14" s="46">
        <v>745330</v>
      </c>
      <c r="I14" s="46">
        <f>IF(compras_mes3[[#This Row],[NETO GRAVADO]]="","",compras_mes3[[#This Row],[NETO GRAVADO]]*0.21)</f>
        <v>156519.29999999999</v>
      </c>
      <c r="J14" s="85"/>
      <c r="K14" s="85"/>
      <c r="L14" s="85"/>
      <c r="M14" s="85"/>
      <c r="N14" s="85"/>
      <c r="O14" s="85">
        <v>0</v>
      </c>
      <c r="P14" s="48">
        <f>SUM(compras_mes3[[#This Row],[NETO GRAVADO]:[Otros / No Grav.]])</f>
        <v>901849.3</v>
      </c>
      <c r="Q14" s="49" t="str">
        <f>IFERROR(IF(compras_mes3[[#This Row],[CUIT]]="","-",VLOOKUP(compras_mes3[[#This Row],[CUIT]],Lista_CUIT[#All],3,0)),"CUIT NO CARGADO")</f>
        <v>Catering</v>
      </c>
      <c r="R14" s="49">
        <f>IFERROR(IF(compras_mes3[[#This Row],[CUIT]]="","-",VLOOKUP(compras_mes3[[#This Row],[CUIT]],Lista_CUIT[#All],4,0)),"CUIT NO CARGADO")</f>
        <v>0</v>
      </c>
    </row>
    <row r="15" spans="1:26">
      <c r="B15" s="40">
        <v>45362</v>
      </c>
      <c r="C15" s="41">
        <v>1</v>
      </c>
      <c r="D15" s="42">
        <v>18</v>
      </c>
      <c r="E15" s="43">
        <v>964</v>
      </c>
      <c r="F15" s="44">
        <v>20211408511</v>
      </c>
      <c r="G15" s="45" t="str">
        <f>IFERROR(IF(compras_mes3[[#This Row],[CUIT]]="","-",VLOOKUP(compras_mes3[[#This Row],[CUIT]],Lista_CUIT[#All],2,0)),"CUIT NO CARGADO")</f>
        <v>GABRIEL ALEJANDRO SEGAL</v>
      </c>
      <c r="H15" s="46">
        <v>426520.19</v>
      </c>
      <c r="I15" s="46">
        <v>35349.160000000003</v>
      </c>
      <c r="J15" s="85"/>
      <c r="K15" s="85">
        <v>27110.04</v>
      </c>
      <c r="L15" s="85"/>
      <c r="M15" s="85"/>
      <c r="N15" s="85"/>
      <c r="O15" s="85">
        <v>17060.810000000001</v>
      </c>
      <c r="P15" s="48">
        <f>SUM(compras_mes3[[#This Row],[NETO GRAVADO]:[Otros / No Grav.]])</f>
        <v>506040.19999999995</v>
      </c>
      <c r="Q15" s="49" t="str">
        <f>IFERROR(IF(compras_mes3[[#This Row],[CUIT]]="","-",VLOOKUP(compras_mes3[[#This Row],[CUIT]],Lista_CUIT[#All],3,0)),"CUIT NO CARGADO")</f>
        <v>COMBUSTIBLE</v>
      </c>
      <c r="R15" s="49">
        <f>IFERROR(IF(compras_mes3[[#This Row],[CUIT]]="","-",VLOOKUP(compras_mes3[[#This Row],[CUIT]],Lista_CUIT[#All],4,0)),"CUIT NO CARGADO")</f>
        <v>0</v>
      </c>
    </row>
    <row r="16" spans="1:26">
      <c r="B16" s="40">
        <v>45370</v>
      </c>
      <c r="C16" s="41">
        <v>1</v>
      </c>
      <c r="D16" s="42">
        <v>7964</v>
      </c>
      <c r="E16" s="43">
        <v>24081</v>
      </c>
      <c r="F16" s="44">
        <v>30678774495</v>
      </c>
      <c r="G16" s="45" t="str">
        <f>IFERROR(IF(compras_mes3[[#This Row],[CUIT]]="","-",VLOOKUP(compras_mes3[[#This Row],[CUIT]],Lista_CUIT[#All],2,0)),"CUIT NO CARGADO")</f>
        <v>OPER. DE EST. DE SERV. SA</v>
      </c>
      <c r="H16" s="46">
        <v>60129.440000000002</v>
      </c>
      <c r="I16" s="46">
        <f>IF(compras_mes3[[#This Row],[NETO GRAVADO]]="","",compras_mes3[[#This Row],[NETO GRAVADO]]*0.21)</f>
        <v>12627.1824</v>
      </c>
      <c r="J16" s="85"/>
      <c r="K16" s="85"/>
      <c r="L16" s="85"/>
      <c r="M16" s="85"/>
      <c r="N16" s="85">
        <v>4113.42</v>
      </c>
      <c r="O16" s="85">
        <v>1927.29</v>
      </c>
      <c r="P16" s="48">
        <f>SUM(compras_mes3[[#This Row],[NETO GRAVADO]:[Otros / No Grav.]])</f>
        <v>78797.332399999999</v>
      </c>
      <c r="Q16" s="49" t="str">
        <f>IFERROR(IF(compras_mes3[[#This Row],[CUIT]]="","-",VLOOKUP(compras_mes3[[#This Row],[CUIT]],Lista_CUIT[#All],3,0)),"CUIT NO CARGADO")</f>
        <v>COMBUSTIBLE</v>
      </c>
      <c r="R16" s="49">
        <f>IFERROR(IF(compras_mes3[[#This Row],[CUIT]]="","-",VLOOKUP(compras_mes3[[#This Row],[CUIT]],Lista_CUIT[#All],4,0)),"CUIT NO CARGADO")</f>
        <v>0</v>
      </c>
    </row>
    <row r="17" spans="2:18">
      <c r="B17" s="40">
        <v>45364</v>
      </c>
      <c r="C17" s="41">
        <v>1</v>
      </c>
      <c r="D17" s="42">
        <v>100</v>
      </c>
      <c r="E17" s="43">
        <v>171189</v>
      </c>
      <c r="F17" s="44">
        <v>30537679855</v>
      </c>
      <c r="G17" s="45" t="str">
        <f>IFERROR(IF(compras_mes3[[#This Row],[CUIT]]="","-",VLOOKUP(compras_mes3[[#This Row],[CUIT]],Lista_CUIT[#All],2,0)),"CUIT NO CARGADO")</f>
        <v>ESTACION LIMA SA</v>
      </c>
      <c r="H17" s="46">
        <v>59511.79</v>
      </c>
      <c r="I17" s="46">
        <f>IF(compras_mes3[[#This Row],[NETO GRAVADO]]="","",compras_mes3[[#This Row],[NETO GRAVADO]]*0.21)</f>
        <v>12497.475899999999</v>
      </c>
      <c r="J17" s="85"/>
      <c r="K17" s="85"/>
      <c r="L17" s="85"/>
      <c r="M17" s="85"/>
      <c r="N17" s="85">
        <v>2540.13</v>
      </c>
      <c r="O17" s="85">
        <v>3991.37</v>
      </c>
      <c r="P17" s="48">
        <f>SUM(compras_mes3[[#This Row],[NETO GRAVADO]:[Otros / No Grav.]])</f>
        <v>78540.765899999999</v>
      </c>
      <c r="Q17" s="49" t="str">
        <f>IFERROR(IF(compras_mes3[[#This Row],[CUIT]]="","-",VLOOKUP(compras_mes3[[#This Row],[CUIT]],Lista_CUIT[#All],3,0)),"CUIT NO CARGADO")</f>
        <v>COMBUSTIBLE</v>
      </c>
      <c r="R17" s="49">
        <f>IFERROR(IF(compras_mes3[[#This Row],[CUIT]]="","-",VLOOKUP(compras_mes3[[#This Row],[CUIT]],Lista_CUIT[#All],4,0)),"CUIT NO CARGADO")</f>
        <v>0</v>
      </c>
    </row>
    <row r="18" spans="2:18">
      <c r="B18" s="40">
        <v>45358</v>
      </c>
      <c r="C18" s="41">
        <v>1</v>
      </c>
      <c r="D18" s="42">
        <v>9060</v>
      </c>
      <c r="E18" s="43">
        <v>21555</v>
      </c>
      <c r="F18" s="44">
        <v>30678774495</v>
      </c>
      <c r="G18" s="45" t="str">
        <f>IFERROR(IF(compras_mes3[[#This Row],[CUIT]]="","-",VLOOKUP(compras_mes3[[#This Row],[CUIT]],Lista_CUIT[#All],2,0)),"CUIT NO CARGADO")</f>
        <v>OPER. DE EST. DE SERV. SA</v>
      </c>
      <c r="H18" s="46">
        <v>38744.17</v>
      </c>
      <c r="I18" s="46">
        <f>IF(compras_mes3[[#This Row],[NETO GRAVADO]]="","",compras_mes3[[#This Row],[NETO GRAVADO]]*0.21)</f>
        <v>8136.2756999999992</v>
      </c>
      <c r="J18" s="85"/>
      <c r="K18" s="85"/>
      <c r="L18" s="85"/>
      <c r="M18" s="85"/>
      <c r="N18" s="85"/>
      <c r="O18" s="85">
        <v>3119.55</v>
      </c>
      <c r="P18" s="48">
        <f>SUM(compras_mes3[[#This Row],[NETO GRAVADO]:[Otros / No Grav.]])</f>
        <v>49999.995699999999</v>
      </c>
      <c r="Q18" s="49" t="str">
        <f>IFERROR(IF(compras_mes3[[#This Row],[CUIT]]="","-",VLOOKUP(compras_mes3[[#This Row],[CUIT]],Lista_CUIT[#All],3,0)),"CUIT NO CARGADO")</f>
        <v>COMBUSTIBLE</v>
      </c>
      <c r="R18" s="49">
        <f>IFERROR(IF(compras_mes3[[#This Row],[CUIT]]="","-",VLOOKUP(compras_mes3[[#This Row],[CUIT]],Lista_CUIT[#All],4,0)),"CUIT NO CARGADO")</f>
        <v>0</v>
      </c>
    </row>
    <row r="19" spans="2:18">
      <c r="B19" s="40">
        <v>45353</v>
      </c>
      <c r="C19" s="41">
        <v>1</v>
      </c>
      <c r="D19" s="42">
        <v>6</v>
      </c>
      <c r="E19" s="43">
        <v>2924</v>
      </c>
      <c r="F19" s="44">
        <v>33712276539</v>
      </c>
      <c r="G19" s="45" t="str">
        <f>IFERROR(IF(compras_mes3[[#This Row],[CUIT]]="","-",VLOOKUP(compras_mes3[[#This Row],[CUIT]],Lista_CUIT[#All],2,0)),"CUIT NO CARGADO")</f>
        <v>CASTAÑO AUTOVOX SRL</v>
      </c>
      <c r="H19" s="46">
        <v>35180.1</v>
      </c>
      <c r="I19" s="46">
        <f>IF(compras_mes3[[#This Row],[NETO GRAVADO]]="","",compras_mes3[[#This Row],[NETO GRAVADO]]*0.21)</f>
        <v>7387.820999999999</v>
      </c>
      <c r="J19" s="85"/>
      <c r="K19" s="85"/>
      <c r="L19" s="85"/>
      <c r="M19" s="85"/>
      <c r="N19" s="85"/>
      <c r="O19" s="85">
        <v>2041.26</v>
      </c>
      <c r="P19" s="48">
        <f>SUM(compras_mes3[[#This Row],[NETO GRAVADO]:[Otros / No Grav.]])</f>
        <v>44609.180999999997</v>
      </c>
      <c r="Q19" s="49" t="str">
        <f>IFERROR(IF(compras_mes3[[#This Row],[CUIT]]="","-",VLOOKUP(compras_mes3[[#This Row],[CUIT]],Lista_CUIT[#All],3,0)),"CUIT NO CARGADO")</f>
        <v>COMBUSTIBLE</v>
      </c>
      <c r="R19" s="49">
        <f>IFERROR(IF(compras_mes3[[#This Row],[CUIT]]="","-",VLOOKUP(compras_mes3[[#This Row],[CUIT]],Lista_CUIT[#All],4,0)),"CUIT NO CARGADO")</f>
        <v>0</v>
      </c>
    </row>
    <row r="20" spans="2:18">
      <c r="B20" s="40">
        <v>45376</v>
      </c>
      <c r="C20" s="41">
        <v>1</v>
      </c>
      <c r="D20" s="42">
        <v>6</v>
      </c>
      <c r="E20" s="43">
        <v>17313</v>
      </c>
      <c r="F20" s="44">
        <v>33715594949</v>
      </c>
      <c r="G20" s="45" t="str">
        <f>IFERROR(IF(compras_mes3[[#This Row],[CUIT]]="","-",VLOOKUP(compras_mes3[[#This Row],[CUIT]],Lista_CUIT[#All],2,0)),"CUIT NO CARGADO")</f>
        <v>SOMOS ENERGIA SA</v>
      </c>
      <c r="H20" s="46">
        <v>32592.240000000002</v>
      </c>
      <c r="I20" s="46">
        <f>IF(compras_mes3[[#This Row],[NETO GRAVADO]]="","",compras_mes3[[#This Row],[NETO GRAVADO]]*0.21)</f>
        <v>6844.3703999999998</v>
      </c>
      <c r="J20" s="85"/>
      <c r="K20" s="85"/>
      <c r="L20" s="85"/>
      <c r="M20" s="85"/>
      <c r="N20" s="85">
        <v>57.77</v>
      </c>
      <c r="O20" s="85">
        <v>506.61</v>
      </c>
      <c r="P20" s="48">
        <f>SUM(compras_mes3[[#This Row],[NETO GRAVADO]:[Otros / No Grav.]])</f>
        <v>40000.990400000002</v>
      </c>
      <c r="Q20" s="49" t="str">
        <f>IFERROR(IF(compras_mes3[[#This Row],[CUIT]]="","-",VLOOKUP(compras_mes3[[#This Row],[CUIT]],Lista_CUIT[#All],3,0)),"CUIT NO CARGADO")</f>
        <v>COMBUSTIBLE</v>
      </c>
      <c r="R20" s="49">
        <f>IFERROR(IF(compras_mes3[[#This Row],[CUIT]]="","-",VLOOKUP(compras_mes3[[#This Row],[CUIT]],Lista_CUIT[#All],4,0)),"CUIT NO CARGADO")</f>
        <v>0</v>
      </c>
    </row>
    <row r="21" spans="2:18">
      <c r="B21" s="40">
        <v>45366</v>
      </c>
      <c r="C21" s="41">
        <v>1</v>
      </c>
      <c r="D21" s="42">
        <v>7152</v>
      </c>
      <c r="E21" s="43">
        <v>27019</v>
      </c>
      <c r="F21" s="44">
        <v>30678774495</v>
      </c>
      <c r="G21" s="45" t="str">
        <f>IFERROR(IF(compras_mes3[[#This Row],[CUIT]]="","-",VLOOKUP(compras_mes3[[#This Row],[CUIT]],Lista_CUIT[#All],2,0)),"CUIT NO CARGADO")</f>
        <v>OPER. DE EST. DE SERV. SA</v>
      </c>
      <c r="H21" s="46">
        <v>32216.99</v>
      </c>
      <c r="I21" s="46">
        <f>IF(compras_mes3[[#This Row],[NETO GRAVADO]]="","",compras_mes3[[#This Row],[NETO GRAVADO]]*0.21)</f>
        <v>6765.5679</v>
      </c>
      <c r="J21" s="85"/>
      <c r="K21" s="85"/>
      <c r="L21" s="85"/>
      <c r="M21" s="85"/>
      <c r="N21" s="85"/>
      <c r="O21" s="85">
        <v>4218.46</v>
      </c>
      <c r="P21" s="48">
        <f>SUM(compras_mes3[[#This Row],[NETO GRAVADO]:[Otros / No Grav.]])</f>
        <v>43201.017899999999</v>
      </c>
      <c r="Q21" s="49" t="str">
        <f>IFERROR(IF(compras_mes3[[#This Row],[CUIT]]="","-",VLOOKUP(compras_mes3[[#This Row],[CUIT]],Lista_CUIT[#All],3,0)),"CUIT NO CARGADO")</f>
        <v>COMBUSTIBLE</v>
      </c>
      <c r="R21" s="49">
        <f>IFERROR(IF(compras_mes3[[#This Row],[CUIT]]="","-",VLOOKUP(compras_mes3[[#This Row],[CUIT]],Lista_CUIT[#All],4,0)),"CUIT NO CARGADO")</f>
        <v>0</v>
      </c>
    </row>
    <row r="22" spans="2:18">
      <c r="B22" s="40">
        <v>45376</v>
      </c>
      <c r="C22" s="41">
        <v>1</v>
      </c>
      <c r="D22" s="42">
        <v>4546</v>
      </c>
      <c r="E22" s="43">
        <v>624</v>
      </c>
      <c r="F22" s="44">
        <v>30516186670</v>
      </c>
      <c r="G22" s="45" t="str">
        <f>IFERROR(IF(compras_mes3[[#This Row],[CUIT]]="","-",VLOOKUP(compras_mes3[[#This Row],[CUIT]],Lista_CUIT[#All],2,0)),"CUIT NO CARGADO")</f>
        <v>DEHEZA SAICF E I</v>
      </c>
      <c r="H22" s="46">
        <v>31681.98</v>
      </c>
      <c r="I22" s="46">
        <f>IF(compras_mes3[[#This Row],[NETO GRAVADO]]="","",compras_mes3[[#This Row],[NETO GRAVADO]]*0.21)</f>
        <v>6653.2157999999999</v>
      </c>
      <c r="J22" s="85"/>
      <c r="K22" s="85"/>
      <c r="L22" s="85">
        <v>950.46</v>
      </c>
      <c r="M22" s="85"/>
      <c r="N22" s="85">
        <v>1429.99</v>
      </c>
      <c r="O22" s="85">
        <v>4067.8</v>
      </c>
      <c r="P22" s="48">
        <f>SUM(compras_mes3[[#This Row],[NETO GRAVADO]:[Otros / No Grav.]])</f>
        <v>44783.445800000001</v>
      </c>
      <c r="Q22" s="49" t="str">
        <f>IFERROR(IF(compras_mes3[[#This Row],[CUIT]]="","-",VLOOKUP(compras_mes3[[#This Row],[CUIT]],Lista_CUIT[#All],3,0)),"CUIT NO CARGADO")</f>
        <v>COMBUSTIBLE</v>
      </c>
      <c r="R22" s="49">
        <f>IFERROR(IF(compras_mes3[[#This Row],[CUIT]]="","-",VLOOKUP(compras_mes3[[#This Row],[CUIT]],Lista_CUIT[#All],4,0)),"CUIT NO CARGADO")</f>
        <v>0</v>
      </c>
    </row>
    <row r="23" spans="2:18">
      <c r="B23" s="40">
        <v>45376</v>
      </c>
      <c r="C23" s="41">
        <v>1</v>
      </c>
      <c r="D23" s="42">
        <v>2031</v>
      </c>
      <c r="E23" s="43">
        <v>145411</v>
      </c>
      <c r="F23" s="44">
        <v>30516186670</v>
      </c>
      <c r="G23" s="45" t="str">
        <f>IFERROR(IF(compras_mes3[[#This Row],[CUIT]]="","-",VLOOKUP(compras_mes3[[#This Row],[CUIT]],Lista_CUIT[#All],2,0)),"CUIT NO CARGADO")</f>
        <v>DEHEZA SAICF E I</v>
      </c>
      <c r="H23" s="46">
        <v>31681.98</v>
      </c>
      <c r="I23" s="46">
        <f>IF(compras_mes3[[#This Row],[NETO GRAVADO]]="","",compras_mes3[[#This Row],[NETO GRAVADO]]*0.21)</f>
        <v>6653.2157999999999</v>
      </c>
      <c r="J23" s="85"/>
      <c r="K23" s="85"/>
      <c r="L23" s="85">
        <v>950.46</v>
      </c>
      <c r="M23" s="85"/>
      <c r="N23" s="85">
        <v>1429.99</v>
      </c>
      <c r="O23" s="85">
        <v>4067.8</v>
      </c>
      <c r="P23" s="48">
        <f>SUM(compras_mes3[[#This Row],[NETO GRAVADO]:[Otros / No Grav.]])</f>
        <v>44783.445800000001</v>
      </c>
      <c r="Q23" s="49" t="str">
        <f>IFERROR(IF(compras_mes3[[#This Row],[CUIT]]="","-",VLOOKUP(compras_mes3[[#This Row],[CUIT]],Lista_CUIT[#All],3,0)),"CUIT NO CARGADO")</f>
        <v>COMBUSTIBLE</v>
      </c>
      <c r="R23" s="49">
        <f>IFERROR(IF(compras_mes3[[#This Row],[CUIT]]="","-",VLOOKUP(compras_mes3[[#This Row],[CUIT]],Lista_CUIT[#All],4,0)),"CUIT NO CARGADO")</f>
        <v>0</v>
      </c>
    </row>
    <row r="24" spans="2:18">
      <c r="B24" s="40">
        <v>45361</v>
      </c>
      <c r="C24" s="41">
        <v>1</v>
      </c>
      <c r="D24" s="42">
        <v>6</v>
      </c>
      <c r="E24" s="43">
        <v>17174</v>
      </c>
      <c r="F24" s="44">
        <v>33715594949</v>
      </c>
      <c r="G24" s="45" t="str">
        <f>IFERROR(IF(compras_mes3[[#This Row],[CUIT]]="","-",VLOOKUP(compras_mes3[[#This Row],[CUIT]],Lista_CUIT[#All],2,0)),"CUIT NO CARGADO")</f>
        <v>SOMOS ENERGIA SA</v>
      </c>
      <c r="H24" s="46">
        <v>27702.71</v>
      </c>
      <c r="I24" s="85">
        <f>IF(compras_mes3[[#This Row],[NETO GRAVADO]]="","",compras_mes3[[#This Row],[NETO GRAVADO]]*0.21)</f>
        <v>5817.5690999999997</v>
      </c>
      <c r="J24" s="85"/>
      <c r="K24" s="85"/>
      <c r="L24" s="85"/>
      <c r="M24" s="85"/>
      <c r="N24" s="85"/>
      <c r="O24" s="85">
        <v>479.7</v>
      </c>
      <c r="P24" s="48">
        <f>SUM(compras_mes3[[#This Row],[NETO GRAVADO]:[Otros / No Grav.]])</f>
        <v>33999.979099999997</v>
      </c>
      <c r="Q24" s="49" t="str">
        <f>IFERROR(IF(compras_mes3[[#This Row],[CUIT]]="","-",VLOOKUP(compras_mes3[[#This Row],[CUIT]],Lista_CUIT[#All],3,0)),"CUIT NO CARGADO")</f>
        <v>COMBUSTIBLE</v>
      </c>
      <c r="R24" s="49">
        <f>IFERROR(IF(compras_mes3[[#This Row],[CUIT]]="","-",VLOOKUP(compras_mes3[[#This Row],[CUIT]],Lista_CUIT[#All],4,0)),"CUIT NO CARGADO")</f>
        <v>0</v>
      </c>
    </row>
    <row r="25" spans="2:18">
      <c r="B25" s="40">
        <v>45352</v>
      </c>
      <c r="C25" s="41">
        <v>1</v>
      </c>
      <c r="D25" s="42">
        <v>6870</v>
      </c>
      <c r="E25" s="43">
        <v>22911</v>
      </c>
      <c r="F25" s="44">
        <v>30678774495</v>
      </c>
      <c r="G25" s="45" t="str">
        <f>IFERROR(IF(compras_mes3[[#This Row],[CUIT]]="","-",VLOOKUP(compras_mes3[[#This Row],[CUIT]],Lista_CUIT[#All],2,0)),"CUIT NO CARGADO")</f>
        <v>OPER. DE EST. DE SERV. SA</v>
      </c>
      <c r="H25" s="46">
        <v>24738.68</v>
      </c>
      <c r="I25" s="46">
        <f>IF(compras_mes3[[#This Row],[NETO GRAVADO]]="","",compras_mes3[[#This Row],[NETO GRAVADO]]*0.21)</f>
        <v>5195.1228000000001</v>
      </c>
      <c r="J25" s="85"/>
      <c r="K25" s="85"/>
      <c r="L25" s="85"/>
      <c r="M25" s="85"/>
      <c r="N25" s="85"/>
      <c r="O25" s="85">
        <v>2226.19</v>
      </c>
      <c r="P25" s="48">
        <f>SUM(compras_mes3[[#This Row],[NETO GRAVADO]:[Otros / No Grav.]])</f>
        <v>32159.9928</v>
      </c>
      <c r="Q25" s="49" t="str">
        <f>IFERROR(IF(compras_mes3[[#This Row],[CUIT]]="","-",VLOOKUP(compras_mes3[[#This Row],[CUIT]],Lista_CUIT[#All],3,0)),"CUIT NO CARGADO")</f>
        <v>COMBUSTIBLE</v>
      </c>
      <c r="R25" s="49">
        <f>IFERROR(IF(compras_mes3[[#This Row],[CUIT]]="","-",VLOOKUP(compras_mes3[[#This Row],[CUIT]],Lista_CUIT[#All],4,0)),"CUIT NO CARGADO")</f>
        <v>0</v>
      </c>
    </row>
    <row r="26" spans="2:18">
      <c r="B26" s="40">
        <v>45358</v>
      </c>
      <c r="C26" s="41">
        <v>1</v>
      </c>
      <c r="D26" s="42">
        <v>9060</v>
      </c>
      <c r="E26" s="43">
        <v>21557</v>
      </c>
      <c r="F26" s="44">
        <v>30678774495</v>
      </c>
      <c r="G26" s="45" t="str">
        <f>IFERROR(IF(compras_mes3[[#This Row],[CUIT]]="","-",VLOOKUP(compras_mes3[[#This Row],[CUIT]],Lista_CUIT[#All],2,0)),"CUIT NO CARGADO")</f>
        <v>OPER. DE EST. DE SERV. SA</v>
      </c>
      <c r="H26" s="46">
        <v>21865.67</v>
      </c>
      <c r="I26" s="46">
        <f>IF(compras_mes3[[#This Row],[NETO GRAVADO]]="","",compras_mes3[[#This Row],[NETO GRAVADO]]*0.21)</f>
        <v>4591.7906999999996</v>
      </c>
      <c r="J26" s="85"/>
      <c r="K26" s="85"/>
      <c r="L26" s="85"/>
      <c r="M26" s="85"/>
      <c r="N26" s="85"/>
      <c r="O26" s="85">
        <v>1760.55</v>
      </c>
      <c r="P26" s="48">
        <f>SUM(compras_mes3[[#This Row],[NETO GRAVADO]:[Otros / No Grav.]])</f>
        <v>28218.010699999995</v>
      </c>
      <c r="Q26" s="49" t="str">
        <f>IFERROR(IF(compras_mes3[[#This Row],[CUIT]]="","-",VLOOKUP(compras_mes3[[#This Row],[CUIT]],Lista_CUIT[#All],3,0)),"CUIT NO CARGADO")</f>
        <v>COMBUSTIBLE</v>
      </c>
      <c r="R26" s="49">
        <f>IFERROR(IF(compras_mes3[[#This Row],[CUIT]]="","-",VLOOKUP(compras_mes3[[#This Row],[CUIT]],Lista_CUIT[#All],4,0)),"CUIT NO CARGADO")</f>
        <v>0</v>
      </c>
    </row>
    <row r="27" spans="2:18">
      <c r="B27" s="40">
        <v>45369</v>
      </c>
      <c r="C27" s="41">
        <v>1</v>
      </c>
      <c r="D27" s="42">
        <v>1</v>
      </c>
      <c r="E27" s="43">
        <v>2094</v>
      </c>
      <c r="F27" s="44">
        <v>30717179389</v>
      </c>
      <c r="G27" s="45" t="str">
        <f>IFERROR(IF(compras_mes3[[#This Row],[CUIT]]="","-",VLOOKUP(compras_mes3[[#This Row],[CUIT]],Lista_CUIT[#All],2,0)),"CUIT NO CARGADO")</f>
        <v>NICOLAS TOBIAS SEQUEIRA Y MARIA GABRIELA RATTNER SOCIEDAD DE LA SECCION IV LGS</v>
      </c>
      <c r="H27" s="46">
        <v>19008.259999999998</v>
      </c>
      <c r="I27" s="46">
        <f>IF(compras_mes3[[#This Row],[NETO GRAVADO]]="","",compras_mes3[[#This Row],[NETO GRAVADO]]*0.21)</f>
        <v>3991.7345999999993</v>
      </c>
      <c r="J27" s="85"/>
      <c r="K27" s="85"/>
      <c r="L27" s="85"/>
      <c r="M27" s="85"/>
      <c r="N27" s="85"/>
      <c r="O27" s="85">
        <v>0</v>
      </c>
      <c r="P27" s="48">
        <f>SUM(compras_mes3[[#This Row],[NETO GRAVADO]:[Otros / No Grav.]])</f>
        <v>22999.994599999998</v>
      </c>
      <c r="Q27" s="49" t="str">
        <f>IFERROR(IF(compras_mes3[[#This Row],[CUIT]]="","-",VLOOKUP(compras_mes3[[#This Row],[CUIT]],Lista_CUIT[#All],3,0)),"CUIT NO CARGADO")</f>
        <v>COMBUSTIBLE</v>
      </c>
      <c r="R27" s="49">
        <f>IFERROR(IF(compras_mes3[[#This Row],[CUIT]]="","-",VLOOKUP(compras_mes3[[#This Row],[CUIT]],Lista_CUIT[#All],4,0)),"CUIT NO CARGADO")</f>
        <v>0</v>
      </c>
    </row>
    <row r="28" spans="2:18">
      <c r="B28" s="40">
        <v>45362</v>
      </c>
      <c r="C28" s="41">
        <v>1</v>
      </c>
      <c r="D28" s="42">
        <v>9038</v>
      </c>
      <c r="E28" s="43">
        <v>20719</v>
      </c>
      <c r="F28" s="44">
        <v>30678774495</v>
      </c>
      <c r="G28" s="45" t="str">
        <f>IFERROR(IF(compras_mes3[[#This Row],[CUIT]]="","-",VLOOKUP(compras_mes3[[#This Row],[CUIT]],Lista_CUIT[#All],2,0)),"CUIT NO CARGADO")</f>
        <v>OPER. DE EST. DE SERV. SA</v>
      </c>
      <c r="H28" s="46">
        <v>10074.08</v>
      </c>
      <c r="I28" s="46">
        <f>IF(compras_mes3[[#This Row],[NETO GRAVADO]]="","",compras_mes3[[#This Row],[NETO GRAVADO]]*0.21)</f>
        <v>2115.5567999999998</v>
      </c>
      <c r="J28" s="85"/>
      <c r="K28" s="85"/>
      <c r="L28" s="85"/>
      <c r="M28" s="85"/>
      <c r="N28" s="85"/>
      <c r="O28" s="85">
        <v>810.36</v>
      </c>
      <c r="P28" s="48">
        <f>SUM(compras_mes3[[#This Row],[NETO GRAVADO]:[Otros / No Grav.]])</f>
        <v>12999.996800000001</v>
      </c>
      <c r="Q28" s="49" t="str">
        <f>IFERROR(IF(compras_mes3[[#This Row],[CUIT]]="","-",VLOOKUP(compras_mes3[[#This Row],[CUIT]],Lista_CUIT[#All],3,0)),"CUIT NO CARGADO")</f>
        <v>COMBUSTIBLE</v>
      </c>
      <c r="R28" s="49">
        <f>IFERROR(IF(compras_mes3[[#This Row],[CUIT]]="","-",VLOOKUP(compras_mes3[[#This Row],[CUIT]],Lista_CUIT[#All],4,0)),"CUIT NO CARGADO")</f>
        <v>0</v>
      </c>
    </row>
    <row r="29" spans="2:18">
      <c r="B29" s="40">
        <v>45371</v>
      </c>
      <c r="C29" s="41">
        <v>1</v>
      </c>
      <c r="D29" s="42">
        <v>6</v>
      </c>
      <c r="E29" s="43">
        <v>524</v>
      </c>
      <c r="F29" s="44">
        <v>30616031143</v>
      </c>
      <c r="G29" s="45" t="str">
        <f>IFERROR(IF(compras_mes3[[#This Row],[CUIT]]="","-",VLOOKUP(compras_mes3[[#This Row],[CUIT]],Lista_CUIT[#All],2,0)),"CUIT NO CARGADO")</f>
        <v>TRAFE SUDAMERICANA SA</v>
      </c>
      <c r="H29" s="46">
        <v>5041.32</v>
      </c>
      <c r="I29" s="46">
        <f>IF(compras_mes3[[#This Row],[NETO GRAVADO]]="","",compras_mes3[[#This Row],[NETO GRAVADO]]*0.21)</f>
        <v>1058.6771999999999</v>
      </c>
      <c r="J29" s="85"/>
      <c r="K29" s="85"/>
      <c r="L29" s="85"/>
      <c r="M29" s="85"/>
      <c r="N29" s="85"/>
      <c r="O29" s="85">
        <v>0</v>
      </c>
      <c r="P29" s="48">
        <f>SUM(compras_mes3[[#This Row],[NETO GRAVADO]:[Otros / No Grav.]])</f>
        <v>6099.9971999999998</v>
      </c>
      <c r="Q29" s="49" t="str">
        <f>IFERROR(IF(compras_mes3[[#This Row],[CUIT]]="","-",VLOOKUP(compras_mes3[[#This Row],[CUIT]],Lista_CUIT[#All],3,0)),"CUIT NO CARGADO")</f>
        <v>COMBUSTIBLE</v>
      </c>
      <c r="R29" s="49">
        <f>IFERROR(IF(compras_mes3[[#This Row],[CUIT]]="","-",VLOOKUP(compras_mes3[[#This Row],[CUIT]],Lista_CUIT[#All],4,0)),"CUIT NO CARGADO")</f>
        <v>0</v>
      </c>
    </row>
    <row r="30" spans="2:18">
      <c r="B30" s="40">
        <v>45376</v>
      </c>
      <c r="C30" s="41">
        <v>3</v>
      </c>
      <c r="D30" s="42">
        <v>2031</v>
      </c>
      <c r="E30" s="43">
        <v>1080</v>
      </c>
      <c r="F30" s="44">
        <v>30516186670</v>
      </c>
      <c r="G30" s="45" t="str">
        <f>IFERROR(IF(compras_mes3[[#This Row],[CUIT]]="","-",VLOOKUP(compras_mes3[[#This Row],[CUIT]],Lista_CUIT[#All],2,0)),"CUIT NO CARGADO")</f>
        <v>DEHEZA SAICF E I</v>
      </c>
      <c r="H30" s="46">
        <v>-31681.98</v>
      </c>
      <c r="I30" s="46">
        <f>IF(compras_mes3[[#This Row],[NETO GRAVADO]]="","",compras_mes3[[#This Row],[NETO GRAVADO]]*0.21)</f>
        <v>-6653.2157999999999</v>
      </c>
      <c r="J30" s="85"/>
      <c r="K30" s="85"/>
      <c r="L30" s="85">
        <v>-950.46</v>
      </c>
      <c r="M30" s="85"/>
      <c r="N30" s="85">
        <v>-1429.99</v>
      </c>
      <c r="O30" s="85">
        <v>-4067.8</v>
      </c>
      <c r="P30" s="48">
        <f>SUM(compras_mes3[[#This Row],[NETO GRAVADO]:[Otros / No Grav.]])</f>
        <v>-44783.445800000001</v>
      </c>
      <c r="Q30" s="49" t="str">
        <f>IFERROR(IF(compras_mes3[[#This Row],[CUIT]]="","-",VLOOKUP(compras_mes3[[#This Row],[CUIT]],Lista_CUIT[#All],3,0)),"CUIT NO CARGADO")</f>
        <v>COMBUSTIBLE</v>
      </c>
      <c r="R30" s="49">
        <f>IFERROR(IF(compras_mes3[[#This Row],[CUIT]]="","-",VLOOKUP(compras_mes3[[#This Row],[CUIT]],Lista_CUIT[#All],4,0)),"CUIT NO CARGADO")</f>
        <v>0</v>
      </c>
    </row>
    <row r="31" spans="2:18">
      <c r="B31" s="40">
        <v>45362</v>
      </c>
      <c r="C31" s="41">
        <v>1</v>
      </c>
      <c r="D31" s="42">
        <v>3</v>
      </c>
      <c r="E31" s="43">
        <v>143</v>
      </c>
      <c r="F31" s="44">
        <v>20334976433</v>
      </c>
      <c r="G31" s="45" t="str">
        <f>IFERROR(IF(compras_mes3[[#This Row],[CUIT]]="","-",VLOOKUP(compras_mes3[[#This Row],[CUIT]],Lista_CUIT[#All],2,0)),"CUIT NO CARGADO")</f>
        <v>NARDOMARINO EZEQUIEL EDUARDO</v>
      </c>
      <c r="H31" s="46">
        <v>114000</v>
      </c>
      <c r="I31" s="46">
        <f>IF(compras_mes3[[#This Row],[NETO GRAVADO]]="","",compras_mes3[[#This Row],[NETO GRAVADO]]*0.21)</f>
        <v>23940</v>
      </c>
      <c r="J31" s="85"/>
      <c r="K31" s="85"/>
      <c r="L31" s="85"/>
      <c r="M31" s="85"/>
      <c r="N31" s="85"/>
      <c r="O31" s="85">
        <v>0</v>
      </c>
      <c r="P31" s="48">
        <f>SUM(compras_mes3[[#This Row],[NETO GRAVADO]:[Otros / No Grav.]])</f>
        <v>137940</v>
      </c>
      <c r="Q31" s="49" t="str">
        <f>IFERROR(IF(compras_mes3[[#This Row],[CUIT]]="","-",VLOOKUP(compras_mes3[[#This Row],[CUIT]],Lista_CUIT[#All],3,0)),"CUIT NO CARGADO")</f>
        <v>FLETE</v>
      </c>
      <c r="R31" s="49">
        <f>IFERROR(IF(compras_mes3[[#This Row],[CUIT]]="","-",VLOOKUP(compras_mes3[[#This Row],[CUIT]],Lista_CUIT[#All],4,0)),"CUIT NO CARGADO")</f>
        <v>0</v>
      </c>
    </row>
    <row r="32" spans="2:18">
      <c r="B32" s="40">
        <v>45374</v>
      </c>
      <c r="C32" s="41">
        <v>1</v>
      </c>
      <c r="D32" s="42">
        <v>3</v>
      </c>
      <c r="E32" s="43">
        <v>146</v>
      </c>
      <c r="F32" s="44">
        <v>20334976433</v>
      </c>
      <c r="G32" s="45" t="str">
        <f>IFERROR(IF(compras_mes3[[#This Row],[CUIT]]="","-",VLOOKUP(compras_mes3[[#This Row],[CUIT]],Lista_CUIT[#All],2,0)),"CUIT NO CARGADO")</f>
        <v>NARDOMARINO EZEQUIEL EDUARDO</v>
      </c>
      <c r="H32" s="46">
        <v>114000</v>
      </c>
      <c r="I32" s="46">
        <f>IF(compras_mes3[[#This Row],[NETO GRAVADO]]="","",compras_mes3[[#This Row],[NETO GRAVADO]]*0.21)</f>
        <v>23940</v>
      </c>
      <c r="J32" s="85"/>
      <c r="K32" s="85"/>
      <c r="L32" s="85"/>
      <c r="M32" s="85"/>
      <c r="N32" s="85"/>
      <c r="O32" s="85">
        <v>0</v>
      </c>
      <c r="P32" s="48">
        <f>SUM(compras_mes3[[#This Row],[NETO GRAVADO]:[Otros / No Grav.]])</f>
        <v>137940</v>
      </c>
      <c r="Q32" s="49" t="str">
        <f>IFERROR(IF(compras_mes3[[#This Row],[CUIT]]="","-",VLOOKUP(compras_mes3[[#This Row],[CUIT]],Lista_CUIT[#All],3,0)),"CUIT NO CARGADO")</f>
        <v>FLETE</v>
      </c>
      <c r="R32" s="49">
        <f>IFERROR(IF(compras_mes3[[#This Row],[CUIT]]="","-",VLOOKUP(compras_mes3[[#This Row],[CUIT]],Lista_CUIT[#All],4,0)),"CUIT NO CARGADO")</f>
        <v>0</v>
      </c>
    </row>
    <row r="33" spans="2:18">
      <c r="B33" s="40">
        <v>45369</v>
      </c>
      <c r="C33" s="41">
        <v>1</v>
      </c>
      <c r="D33" s="42">
        <v>3</v>
      </c>
      <c r="E33" s="43">
        <v>144</v>
      </c>
      <c r="F33" s="44">
        <v>20334976433</v>
      </c>
      <c r="G33" s="45" t="str">
        <f>IFERROR(IF(compras_mes3[[#This Row],[CUIT]]="","-",VLOOKUP(compras_mes3[[#This Row],[CUIT]],Lista_CUIT[#All],2,0)),"CUIT NO CARGADO")</f>
        <v>NARDOMARINO EZEQUIEL EDUARDO</v>
      </c>
      <c r="H33" s="46">
        <v>90000</v>
      </c>
      <c r="I33" s="46">
        <f>IF(compras_mes3[[#This Row],[NETO GRAVADO]]="","",compras_mes3[[#This Row],[NETO GRAVADO]]*0.21)</f>
        <v>18900</v>
      </c>
      <c r="J33" s="85"/>
      <c r="K33" s="85"/>
      <c r="L33" s="85"/>
      <c r="M33" s="85"/>
      <c r="N33" s="85"/>
      <c r="O33" s="85">
        <v>0</v>
      </c>
      <c r="P33" s="48">
        <f>SUM(compras_mes3[[#This Row],[NETO GRAVADO]:[Otros / No Grav.]])</f>
        <v>108900</v>
      </c>
      <c r="Q33" s="49" t="str">
        <f>IFERROR(IF(compras_mes3[[#This Row],[CUIT]]="","-",VLOOKUP(compras_mes3[[#This Row],[CUIT]],Lista_CUIT[#All],3,0)),"CUIT NO CARGADO")</f>
        <v>FLETE</v>
      </c>
      <c r="R33" s="49">
        <f>IFERROR(IF(compras_mes3[[#This Row],[CUIT]]="","-",VLOOKUP(compras_mes3[[#This Row],[CUIT]],Lista_CUIT[#All],4,0)),"CUIT NO CARGADO")</f>
        <v>0</v>
      </c>
    </row>
    <row r="34" spans="2:18">
      <c r="B34" s="40">
        <v>45372</v>
      </c>
      <c r="C34" s="41">
        <v>1</v>
      </c>
      <c r="D34" s="42">
        <v>9</v>
      </c>
      <c r="E34" s="43">
        <v>3542</v>
      </c>
      <c r="F34" s="44">
        <v>30709904872</v>
      </c>
      <c r="G34" s="45" t="str">
        <f>IFERROR(IF(compras_mes3[[#This Row],[CUIT]]="","-",VLOOKUP(compras_mes3[[#This Row],[CUIT]],Lista_CUIT[#All],2,0)),"CUIT NO CARGADO")</f>
        <v>LOGISTICA DE LA COSTA SA</v>
      </c>
      <c r="H34" s="46">
        <v>81330</v>
      </c>
      <c r="I34" s="46">
        <f>IF(compras_mes3[[#This Row],[NETO GRAVADO]]="","",compras_mes3[[#This Row],[NETO GRAVADO]]*0.21)</f>
        <v>17079.3</v>
      </c>
      <c r="J34" s="85"/>
      <c r="K34" s="85"/>
      <c r="L34" s="85"/>
      <c r="M34" s="85"/>
      <c r="N34" s="85"/>
      <c r="O34" s="85">
        <v>0</v>
      </c>
      <c r="P34" s="48">
        <f>SUM(compras_mes3[[#This Row],[NETO GRAVADO]:[Otros / No Grav.]])</f>
        <v>98409.3</v>
      </c>
      <c r="Q34" s="49" t="str">
        <f>IFERROR(IF(compras_mes3[[#This Row],[CUIT]]="","-",VLOOKUP(compras_mes3[[#This Row],[CUIT]],Lista_CUIT[#All],3,0)),"CUIT NO CARGADO")</f>
        <v>FLETE</v>
      </c>
      <c r="R34" s="49">
        <f>IFERROR(IF(compras_mes3[[#This Row],[CUIT]]="","-",VLOOKUP(compras_mes3[[#This Row],[CUIT]],Lista_CUIT[#All],4,0)),"CUIT NO CARGADO")</f>
        <v>0</v>
      </c>
    </row>
    <row r="35" spans="2:18">
      <c r="B35" s="40">
        <v>45355</v>
      </c>
      <c r="C35" s="41">
        <v>1</v>
      </c>
      <c r="D35" s="42">
        <v>3</v>
      </c>
      <c r="E35" s="43">
        <v>141</v>
      </c>
      <c r="F35" s="44">
        <v>20334976433</v>
      </c>
      <c r="G35" s="45" t="str">
        <f>IFERROR(IF(compras_mes3[[#This Row],[CUIT]]="","-",VLOOKUP(compras_mes3[[#This Row],[CUIT]],Lista_CUIT[#All],2,0)),"CUIT NO CARGADO")</f>
        <v>NARDOMARINO EZEQUIEL EDUARDO</v>
      </c>
      <c r="H35" s="46">
        <v>72000</v>
      </c>
      <c r="I35" s="46">
        <f>IF(compras_mes3[[#This Row],[NETO GRAVADO]]="","",compras_mes3[[#This Row],[NETO GRAVADO]]*0.21)</f>
        <v>15120</v>
      </c>
      <c r="J35" s="85"/>
      <c r="K35" s="85"/>
      <c r="L35" s="85"/>
      <c r="M35" s="85"/>
      <c r="N35" s="85"/>
      <c r="O35" s="85">
        <v>0</v>
      </c>
      <c r="P35" s="48">
        <f>SUM(compras_mes3[[#This Row],[NETO GRAVADO]:[Otros / No Grav.]])</f>
        <v>87120</v>
      </c>
      <c r="Q35" s="49" t="str">
        <f>IFERROR(IF(compras_mes3[[#This Row],[CUIT]]="","-",VLOOKUP(compras_mes3[[#This Row],[CUIT]],Lista_CUIT[#All],3,0)),"CUIT NO CARGADO")</f>
        <v>FLETE</v>
      </c>
      <c r="R35" s="49">
        <f>IFERROR(IF(compras_mes3[[#This Row],[CUIT]]="","-",VLOOKUP(compras_mes3[[#This Row],[CUIT]],Lista_CUIT[#All],4,0)),"CUIT NO CARGADO")</f>
        <v>0</v>
      </c>
    </row>
    <row r="36" spans="2:18">
      <c r="B36" s="40">
        <v>45352</v>
      </c>
      <c r="C36" s="41">
        <v>1</v>
      </c>
      <c r="D36" s="42">
        <v>500</v>
      </c>
      <c r="E36" s="43">
        <v>1516191</v>
      </c>
      <c r="F36" s="44">
        <v>30654118767</v>
      </c>
      <c r="G36" s="45" t="str">
        <f>IFERROR(IF(compras_mes3[[#This Row],[CUIT]]="","-",VLOOKUP(compras_mes3[[#This Row],[CUIT]],Lista_CUIT[#All],2,0)),"CUIT NO CARGADO")</f>
        <v>SOLUCIONES MULTIMEDIA SA</v>
      </c>
      <c r="H36" s="46">
        <v>42116</v>
      </c>
      <c r="I36" s="46">
        <f>IF(compras_mes3[[#This Row],[NETO GRAVADO]]="","",compras_mes3[[#This Row],[NETO GRAVADO]]*0.21)</f>
        <v>8844.36</v>
      </c>
      <c r="J36" s="85"/>
      <c r="K36" s="85"/>
      <c r="L36" s="85"/>
      <c r="M36" s="85"/>
      <c r="N36" s="85">
        <v>1684.64</v>
      </c>
      <c r="O36" s="85">
        <v>0</v>
      </c>
      <c r="P36" s="48">
        <f>SUM(compras_mes3[[#This Row],[NETO GRAVADO]:[Otros / No Grav.]])</f>
        <v>52645</v>
      </c>
      <c r="Q36" s="49" t="str">
        <f>IFERROR(IF(compras_mes3[[#This Row],[CUIT]]="","-",VLOOKUP(compras_mes3[[#This Row],[CUIT]],Lista_CUIT[#All],3,0)),"CUIT NO CARGADO")</f>
        <v>GASTOS ADMINISTRATIVOS</v>
      </c>
      <c r="R36" s="49">
        <f>IFERROR(IF(compras_mes3[[#This Row],[CUIT]]="","-",VLOOKUP(compras_mes3[[#This Row],[CUIT]],Lista_CUIT[#All],4,0)),"CUIT NO CARGADO")</f>
        <v>0</v>
      </c>
    </row>
    <row r="37" spans="2:18">
      <c r="B37" s="40">
        <v>45380</v>
      </c>
      <c r="C37" s="41">
        <v>1</v>
      </c>
      <c r="D37" s="42">
        <v>23</v>
      </c>
      <c r="E37" s="43">
        <v>2243668</v>
      </c>
      <c r="F37" s="44">
        <v>30703088534</v>
      </c>
      <c r="G37" s="45" t="str">
        <f>IFERROR(IF(compras_mes3[[#This Row],[CUIT]]="","-",VLOOKUP(compras_mes3[[#This Row],[CUIT]],Lista_CUIT[#All],2,0)),"CUIT NO CARGADO")</f>
        <v>MERCADO LIBRE SRL</v>
      </c>
      <c r="H37" s="46">
        <v>21731.439999999999</v>
      </c>
      <c r="I37" s="46">
        <f>IF(compras_mes3[[#This Row],[NETO GRAVADO]]="","",compras_mes3[[#This Row],[NETO GRAVADO]]*0.21)</f>
        <v>4563.6023999999998</v>
      </c>
      <c r="J37" s="85"/>
      <c r="K37" s="85"/>
      <c r="L37" s="85"/>
      <c r="M37" s="85"/>
      <c r="N37" s="85"/>
      <c r="O37" s="85">
        <v>1521.2</v>
      </c>
      <c r="P37" s="48">
        <f>SUM(compras_mes3[[#This Row],[NETO GRAVADO]:[Otros / No Grav.]])</f>
        <v>27816.242399999999</v>
      </c>
      <c r="Q37" s="49" t="str">
        <f>IFERROR(IF(compras_mes3[[#This Row],[CUIT]]="","-",VLOOKUP(compras_mes3[[#This Row],[CUIT]],Lista_CUIT[#All],3,0)),"CUIT NO CARGADO")</f>
        <v>GASTOS COMERCIALIZACION</v>
      </c>
      <c r="R37" s="49">
        <f>IFERROR(IF(compras_mes3[[#This Row],[CUIT]]="","-",VLOOKUP(compras_mes3[[#This Row],[CUIT]],Lista_CUIT[#All],4,0)),"CUIT NO CARGADO")</f>
        <v>0</v>
      </c>
    </row>
    <row r="38" spans="2:18">
      <c r="B38" s="40">
        <v>45380</v>
      </c>
      <c r="C38" s="41">
        <v>1</v>
      </c>
      <c r="D38" s="42">
        <v>11</v>
      </c>
      <c r="E38" s="43">
        <v>3719843</v>
      </c>
      <c r="F38" s="44">
        <v>30703088534</v>
      </c>
      <c r="G38" s="45" t="str">
        <f>IFERROR(IF(compras_mes3[[#This Row],[CUIT]]="","-",VLOOKUP(compras_mes3[[#This Row],[CUIT]],Lista_CUIT[#All],2,0)),"CUIT NO CARGADO")</f>
        <v>MERCADO LIBRE SRL</v>
      </c>
      <c r="H38" s="46">
        <v>18905.79</v>
      </c>
      <c r="I38" s="46">
        <f>IF(compras_mes3[[#This Row],[NETO GRAVADO]]="","",compras_mes3[[#This Row],[NETO GRAVADO]]*0.21)</f>
        <v>3970.2159000000001</v>
      </c>
      <c r="J38" s="85"/>
      <c r="K38" s="85"/>
      <c r="L38" s="85"/>
      <c r="M38" s="85"/>
      <c r="N38" s="85"/>
      <c r="O38" s="85">
        <v>1323.4</v>
      </c>
      <c r="P38" s="48">
        <f>SUM(compras_mes3[[#This Row],[NETO GRAVADO]:[Otros / No Grav.]])</f>
        <v>24199.405900000002</v>
      </c>
      <c r="Q38" s="49" t="str">
        <f>IFERROR(IF(compras_mes3[[#This Row],[CUIT]]="","-",VLOOKUP(compras_mes3[[#This Row],[CUIT]],Lista_CUIT[#All],3,0)),"CUIT NO CARGADO")</f>
        <v>GASTOS COMERCIALIZACION</v>
      </c>
      <c r="R38" s="49">
        <f>IFERROR(IF(compras_mes3[[#This Row],[CUIT]]="","-",VLOOKUP(compras_mes3[[#This Row],[CUIT]],Lista_CUIT[#All],4,0)),"CUIT NO CARGADO")</f>
        <v>0</v>
      </c>
    </row>
    <row r="39" spans="2:18">
      <c r="B39" s="40">
        <v>45380</v>
      </c>
      <c r="C39" s="41">
        <v>3</v>
      </c>
      <c r="D39" s="42">
        <v>23</v>
      </c>
      <c r="E39" s="43">
        <v>91922</v>
      </c>
      <c r="F39" s="44">
        <v>30703088534</v>
      </c>
      <c r="G39" s="45" t="str">
        <f>IFERROR(IF(compras_mes3[[#This Row],[CUIT]]="","-",VLOOKUP(compras_mes3[[#This Row],[CUIT]],Lista_CUIT[#All],2,0)),"CUIT NO CARGADO")</f>
        <v>MERCADO LIBRE SRL</v>
      </c>
      <c r="H39" s="46">
        <v>-112.83</v>
      </c>
      <c r="I39" s="46">
        <f>IF(compras_mes3[[#This Row],[NETO GRAVADO]]="","",compras_mes3[[#This Row],[NETO GRAVADO]]*0.21)</f>
        <v>-23.694299999999998</v>
      </c>
      <c r="J39" s="85"/>
      <c r="K39" s="85"/>
      <c r="L39" s="85"/>
      <c r="M39" s="85"/>
      <c r="N39" s="85"/>
      <c r="O39" s="85">
        <v>-3.38</v>
      </c>
      <c r="P39" s="48">
        <f>SUM(compras_mes3[[#This Row],[NETO GRAVADO]:[Otros / No Grav.]])</f>
        <v>-139.90429999999998</v>
      </c>
      <c r="Q39" s="49" t="str">
        <f>IFERROR(IF(compras_mes3[[#This Row],[CUIT]]="","-",VLOOKUP(compras_mes3[[#This Row],[CUIT]],Lista_CUIT[#All],3,0)),"CUIT NO CARGADO")</f>
        <v>GASTOS COMERCIALIZACION</v>
      </c>
      <c r="R39" s="49">
        <f>IFERROR(IF(compras_mes3[[#This Row],[CUIT]]="","-",VLOOKUP(compras_mes3[[#This Row],[CUIT]],Lista_CUIT[#All],4,0)),"CUIT NO CARGADO")</f>
        <v>0</v>
      </c>
    </row>
    <row r="40" spans="2:18">
      <c r="B40" s="40">
        <v>45364</v>
      </c>
      <c r="C40" s="41">
        <v>1</v>
      </c>
      <c r="D40" s="42">
        <v>16893</v>
      </c>
      <c r="E40" s="43">
        <v>760</v>
      </c>
      <c r="F40" s="44">
        <v>30687310434</v>
      </c>
      <c r="G40" s="45" t="str">
        <f>IFERROR(IF(compras_mes3[[#This Row],[CUIT]]="","-",VLOOKUP(compras_mes3[[#This Row],[CUIT]],Lista_CUIT[#All],2,0)),"CUIT NO CARGADO")</f>
        <v>INC SA</v>
      </c>
      <c r="H40" s="46">
        <v>242735.02</v>
      </c>
      <c r="I40" s="46">
        <f>IF(compras_mes3[[#This Row],[NETO GRAVADO]]="","",compras_mes3[[#This Row],[NETO GRAVADO]]*0.21)</f>
        <v>50974.354199999994</v>
      </c>
      <c r="J40" s="85"/>
      <c r="K40" s="85"/>
      <c r="L40" s="85">
        <v>7282.05</v>
      </c>
      <c r="M40" s="85"/>
      <c r="N40" s="85">
        <v>9746.82</v>
      </c>
      <c r="O40" s="85">
        <v>935.42</v>
      </c>
      <c r="P40" s="48">
        <f>SUM(compras_mes3[[#This Row],[NETO GRAVADO]:[Otros / No Grav.]])</f>
        <v>311673.66419999994</v>
      </c>
      <c r="Q40" s="49" t="str">
        <f>IFERROR(IF(compras_mes3[[#This Row],[CUIT]]="","-",VLOOKUP(compras_mes3[[#This Row],[CUIT]],Lista_CUIT[#All],3,0)),"CUIT NO CARGADO")</f>
        <v>Gastos Varios</v>
      </c>
      <c r="R40" s="49">
        <f>IFERROR(IF(compras_mes3[[#This Row],[CUIT]]="","-",VLOOKUP(compras_mes3[[#This Row],[CUIT]],Lista_CUIT[#All],4,0)),"CUIT NO CARGADO")</f>
        <v>0</v>
      </c>
    </row>
    <row r="41" spans="2:18">
      <c r="B41" s="40">
        <v>45369</v>
      </c>
      <c r="C41" s="41">
        <v>1</v>
      </c>
      <c r="D41" s="42">
        <v>120</v>
      </c>
      <c r="E41" s="43">
        <v>4143</v>
      </c>
      <c r="F41" s="44">
        <v>30587197215</v>
      </c>
      <c r="G41" s="45" t="str">
        <f>IFERROR(IF(compras_mes3[[#This Row],[CUIT]]="","-",VLOOKUP(compras_mes3[[#This Row],[CUIT]],Lista_CUIT[#All],2,0)),"CUIT NO CARGADO")</f>
        <v>PANATEL SOCIEDAD ANONIMA</v>
      </c>
      <c r="H41" s="46">
        <v>56198.35</v>
      </c>
      <c r="I41" s="46">
        <f>IF(compras_mes3[[#This Row],[NETO GRAVADO]]="","",compras_mes3[[#This Row],[NETO GRAVADO]]*0.21)</f>
        <v>11801.653499999999</v>
      </c>
      <c r="J41" s="85"/>
      <c r="K41" s="85"/>
      <c r="L41" s="85"/>
      <c r="M41" s="85"/>
      <c r="N41" s="85"/>
      <c r="O41" s="85">
        <v>2247.9299999999998</v>
      </c>
      <c r="P41" s="48">
        <f>SUM(compras_mes3[[#This Row],[NETO GRAVADO]:[Otros / No Grav.]])</f>
        <v>70247.933499999985</v>
      </c>
      <c r="Q41" s="49" t="str">
        <f>IFERROR(IF(compras_mes3[[#This Row],[CUIT]]="","-",VLOOKUP(compras_mes3[[#This Row],[CUIT]],Lista_CUIT[#All],3,0)),"CUIT NO CARGADO")</f>
        <v>Gastos Varios</v>
      </c>
      <c r="R41" s="49">
        <f>IFERROR(IF(compras_mes3[[#This Row],[CUIT]]="","-",VLOOKUP(compras_mes3[[#This Row],[CUIT]],Lista_CUIT[#All],4,0)),"CUIT NO CARGADO")</f>
        <v>0</v>
      </c>
    </row>
    <row r="42" spans="2:18">
      <c r="B42" s="40">
        <v>45369</v>
      </c>
      <c r="C42" s="41">
        <v>1</v>
      </c>
      <c r="D42" s="42">
        <v>120</v>
      </c>
      <c r="E42" s="43">
        <v>4144</v>
      </c>
      <c r="F42" s="44">
        <v>30587197215</v>
      </c>
      <c r="G42" s="45" t="str">
        <f>IFERROR(IF(compras_mes3[[#This Row],[CUIT]]="","-",VLOOKUP(compras_mes3[[#This Row],[CUIT]],Lista_CUIT[#All],2,0)),"CUIT NO CARGADO")</f>
        <v>PANATEL SOCIEDAD ANONIMA</v>
      </c>
      <c r="H42" s="46">
        <v>56198.35</v>
      </c>
      <c r="I42" s="46">
        <f>IF(compras_mes3[[#This Row],[NETO GRAVADO]]="","",compras_mes3[[#This Row],[NETO GRAVADO]]*0.21)</f>
        <v>11801.653499999999</v>
      </c>
      <c r="J42" s="85"/>
      <c r="K42" s="85"/>
      <c r="L42" s="85"/>
      <c r="M42" s="85"/>
      <c r="N42" s="85"/>
      <c r="O42" s="85">
        <v>2247.96</v>
      </c>
      <c r="P42" s="48">
        <f>SUM(compras_mes3[[#This Row],[NETO GRAVADO]:[Otros / No Grav.]])</f>
        <v>70247.963499999998</v>
      </c>
      <c r="Q42" s="49" t="str">
        <f>IFERROR(IF(compras_mes3[[#This Row],[CUIT]]="","-",VLOOKUP(compras_mes3[[#This Row],[CUIT]],Lista_CUIT[#All],3,0)),"CUIT NO CARGADO")</f>
        <v>Gastos Varios</v>
      </c>
      <c r="R42" s="49">
        <f>IFERROR(IF(compras_mes3[[#This Row],[CUIT]]="","-",VLOOKUP(compras_mes3[[#This Row],[CUIT]],Lista_CUIT[#All],4,0)),"CUIT NO CARGADO")</f>
        <v>0</v>
      </c>
    </row>
    <row r="43" spans="2:18">
      <c r="B43" s="40">
        <v>45353</v>
      </c>
      <c r="C43" s="41">
        <v>1</v>
      </c>
      <c r="D43" s="42">
        <v>11</v>
      </c>
      <c r="E43" s="43">
        <v>988</v>
      </c>
      <c r="F43" s="44">
        <v>30710374801</v>
      </c>
      <c r="G43" s="45" t="str">
        <f>IFERROR(IF(compras_mes3[[#This Row],[CUIT]]="","-",VLOOKUP(compras_mes3[[#This Row],[CUIT]],Lista_CUIT[#All],2,0)),"CUIT NO CARGADO")</f>
        <v>DISTRIBUIDORA LARREA SA</v>
      </c>
      <c r="H43" s="46">
        <v>49586.78</v>
      </c>
      <c r="I43" s="46">
        <f>IF(compras_mes3[[#This Row],[NETO GRAVADO]]="","",compras_mes3[[#This Row],[NETO GRAVADO]]*0.21)</f>
        <v>10413.2238</v>
      </c>
      <c r="J43" s="85"/>
      <c r="K43" s="85"/>
      <c r="L43" s="85"/>
      <c r="M43" s="85"/>
      <c r="N43" s="85"/>
      <c r="O43" s="85">
        <v>0</v>
      </c>
      <c r="P43" s="48">
        <f>SUM(compras_mes3[[#This Row],[NETO GRAVADO]:[Otros / No Grav.]])</f>
        <v>60000.003799999999</v>
      </c>
      <c r="Q43" s="49" t="str">
        <f>IFERROR(IF(compras_mes3[[#This Row],[CUIT]]="","-",VLOOKUP(compras_mes3[[#This Row],[CUIT]],Lista_CUIT[#All],3,0)),"CUIT NO CARGADO")</f>
        <v>gastos varios</v>
      </c>
      <c r="R43" s="49">
        <f>IFERROR(IF(compras_mes3[[#This Row],[CUIT]]="","-",VLOOKUP(compras_mes3[[#This Row],[CUIT]],Lista_CUIT[#All],4,0)),"CUIT NO CARGADO")</f>
        <v>0</v>
      </c>
    </row>
    <row r="44" spans="2:18">
      <c r="B44" s="40">
        <v>45357</v>
      </c>
      <c r="C44" s="41">
        <v>1</v>
      </c>
      <c r="D44" s="42">
        <v>32</v>
      </c>
      <c r="E44" s="43">
        <v>3</v>
      </c>
      <c r="F44" s="44">
        <v>30709583278</v>
      </c>
      <c r="G44" s="45" t="str">
        <f>IFERROR(IF(compras_mes3[[#This Row],[CUIT]]="","-",VLOOKUP(compras_mes3[[#This Row],[CUIT]],Lista_CUIT[#All],2,0)),"CUIT NO CARGADO")</f>
        <v>TAVO'S S.A</v>
      </c>
      <c r="H44" s="46">
        <v>40578.51</v>
      </c>
      <c r="I44" s="46">
        <f>IF(compras_mes3[[#This Row],[NETO GRAVADO]]="","",compras_mes3[[#This Row],[NETO GRAVADO]]*0.21)</f>
        <v>8521.4871000000003</v>
      </c>
      <c r="J44" s="85"/>
      <c r="K44" s="85"/>
      <c r="L44" s="85"/>
      <c r="M44" s="85"/>
      <c r="N44" s="85"/>
      <c r="O44" s="85">
        <v>0</v>
      </c>
      <c r="P44" s="48">
        <f>SUM(compras_mes3[[#This Row],[NETO GRAVADO]:[Otros / No Grav.]])</f>
        <v>49099.997100000001</v>
      </c>
      <c r="Q44" s="49" t="str">
        <f>IFERROR(IF(compras_mes3[[#This Row],[CUIT]]="","-",VLOOKUP(compras_mes3[[#This Row],[CUIT]],Lista_CUIT[#All],3,0)),"CUIT NO CARGADO")</f>
        <v>Gastos Varios</v>
      </c>
      <c r="R44" s="49">
        <f>IFERROR(IF(compras_mes3[[#This Row],[CUIT]]="","-",VLOOKUP(compras_mes3[[#This Row],[CUIT]],Lista_CUIT[#All],4,0)),"CUIT NO CARGADO")</f>
        <v>0</v>
      </c>
    </row>
    <row r="45" spans="2:18">
      <c r="B45" s="40">
        <v>45368</v>
      </c>
      <c r="C45" s="41">
        <v>1</v>
      </c>
      <c r="D45" s="42">
        <v>5</v>
      </c>
      <c r="E45" s="43">
        <v>26</v>
      </c>
      <c r="F45" s="44">
        <v>20929183143</v>
      </c>
      <c r="G45" s="45" t="str">
        <f>IFERROR(IF(compras_mes3[[#This Row],[CUIT]]="","-",VLOOKUP(compras_mes3[[#This Row],[CUIT]],Lista_CUIT[#All],2,0)),"CUIT NO CARGADO")</f>
        <v>MA JUN</v>
      </c>
      <c r="H45" s="46">
        <v>35000</v>
      </c>
      <c r="I45" s="46">
        <f>IF(compras_mes3[[#This Row],[NETO GRAVADO]]="","",compras_mes3[[#This Row],[NETO GRAVADO]]*0.21)</f>
        <v>7350</v>
      </c>
      <c r="J45" s="85"/>
      <c r="K45" s="85"/>
      <c r="L45" s="85"/>
      <c r="M45" s="85"/>
      <c r="N45" s="85"/>
      <c r="O45" s="85">
        <v>0</v>
      </c>
      <c r="P45" s="48">
        <f>SUM(compras_mes3[[#This Row],[NETO GRAVADO]:[Otros / No Grav.]])</f>
        <v>42350</v>
      </c>
      <c r="Q45" s="49" t="str">
        <f>IFERROR(IF(compras_mes3[[#This Row],[CUIT]]="","-",VLOOKUP(compras_mes3[[#This Row],[CUIT]],Lista_CUIT[#All],3,0)),"CUIT NO CARGADO")</f>
        <v>Gastos Varios</v>
      </c>
      <c r="R45" s="49">
        <f>IFERROR(IF(compras_mes3[[#This Row],[CUIT]]="","-",VLOOKUP(compras_mes3[[#This Row],[CUIT]],Lista_CUIT[#All],4,0)),"CUIT NO CARGADO")</f>
        <v>0</v>
      </c>
    </row>
    <row r="46" spans="2:18">
      <c r="B46" s="40">
        <v>45362</v>
      </c>
      <c r="C46" s="41">
        <v>1</v>
      </c>
      <c r="D46" s="42">
        <v>9</v>
      </c>
      <c r="E46" s="43">
        <v>17946</v>
      </c>
      <c r="F46" s="44">
        <v>30711633959</v>
      </c>
      <c r="G46" s="45" t="str">
        <f>IFERROR(IF(compras_mes3[[#This Row],[CUIT]]="","-",VLOOKUP(compras_mes3[[#This Row],[CUIT]],Lista_CUIT[#All],2,0)),"CUIT NO CARGADO")</f>
        <v>GIFT CARD ARGENTINA S.A.</v>
      </c>
      <c r="H46" s="46">
        <v>28925.62</v>
      </c>
      <c r="I46" s="46">
        <f>IF(compras_mes3[[#This Row],[NETO GRAVADO]]="","",compras_mes3[[#This Row],[NETO GRAVADO]]*0.21)</f>
        <v>6074.3801999999996</v>
      </c>
      <c r="J46" s="85"/>
      <c r="K46" s="85"/>
      <c r="L46" s="85"/>
      <c r="M46" s="85"/>
      <c r="N46" s="85"/>
      <c r="O46" s="85">
        <v>0</v>
      </c>
      <c r="P46" s="48">
        <f>SUM(compras_mes3[[#This Row],[NETO GRAVADO]:[Otros / No Grav.]])</f>
        <v>35000.000199999995</v>
      </c>
      <c r="Q46" s="49" t="str">
        <f>IFERROR(IF(compras_mes3[[#This Row],[CUIT]]="","-",VLOOKUP(compras_mes3[[#This Row],[CUIT]],Lista_CUIT[#All],3,0)),"CUIT NO CARGADO")</f>
        <v>Gastos Varios</v>
      </c>
      <c r="R46" s="49">
        <f>IFERROR(IF(compras_mes3[[#This Row],[CUIT]]="","-",VLOOKUP(compras_mes3[[#This Row],[CUIT]],Lista_CUIT[#All],4,0)),"CUIT NO CARGADO")</f>
        <v>0</v>
      </c>
    </row>
    <row r="47" spans="2:18">
      <c r="B47" s="40">
        <v>45382</v>
      </c>
      <c r="C47" s="41">
        <v>1</v>
      </c>
      <c r="D47" s="42">
        <v>6</v>
      </c>
      <c r="E47" s="43">
        <v>16051140</v>
      </c>
      <c r="F47" s="44">
        <v>30620177497</v>
      </c>
      <c r="G47" s="45" t="str">
        <f>IFERROR(IF(compras_mes3[[#This Row],[CUIT]]="","-",VLOOKUP(compras_mes3[[#This Row],[CUIT]],Lista_CUIT[#All],2,0)),"CUIT NO CARGADO")</f>
        <v>POSNET SOCIEDAD DE RESPONSABILIDAD LIMITADA</v>
      </c>
      <c r="H47" s="46">
        <v>16884</v>
      </c>
      <c r="I47" s="46">
        <f>IF(compras_mes3[[#This Row],[NETO GRAVADO]]="","",compras_mes3[[#This Row],[NETO GRAVADO]]*0.21)</f>
        <v>3545.64</v>
      </c>
      <c r="J47" s="85"/>
      <c r="K47" s="85"/>
      <c r="L47" s="85"/>
      <c r="M47" s="85"/>
      <c r="N47" s="85">
        <v>1181.8800000000001</v>
      </c>
      <c r="O47" s="85">
        <v>0</v>
      </c>
      <c r="P47" s="48">
        <f>SUM(compras_mes3[[#This Row],[NETO GRAVADO]:[Otros / No Grav.]])</f>
        <v>21611.52</v>
      </c>
      <c r="Q47" s="49" t="str">
        <f>IFERROR(IF(compras_mes3[[#This Row],[CUIT]]="","-",VLOOKUP(compras_mes3[[#This Row],[CUIT]],Lista_CUIT[#All],3,0)),"CUIT NO CARGADO")</f>
        <v>Gastos Varios</v>
      </c>
      <c r="R47" s="49">
        <f>IFERROR(IF(compras_mes3[[#This Row],[CUIT]]="","-",VLOOKUP(compras_mes3[[#This Row],[CUIT]],Lista_CUIT[#All],4,0)),"CUIT NO CARGADO")</f>
        <v>0</v>
      </c>
    </row>
    <row r="48" spans="2:18">
      <c r="B48" s="40">
        <v>45369</v>
      </c>
      <c r="C48" s="41">
        <v>1</v>
      </c>
      <c r="D48" s="42">
        <v>2</v>
      </c>
      <c r="E48" s="43">
        <v>15192</v>
      </c>
      <c r="F48" s="44">
        <v>30716763656</v>
      </c>
      <c r="G48" s="45" t="str">
        <f>IFERROR(IF(compras_mes3[[#This Row],[CUIT]]="","-",VLOOKUP(compras_mes3[[#This Row],[CUIT]],Lista_CUIT[#All],2,0)),"CUIT NO CARGADO")</f>
        <v>WOW TOTAL PRINT S.A</v>
      </c>
      <c r="H48" s="46">
        <v>12643.88</v>
      </c>
      <c r="I48" s="46">
        <f>IF(compras_mes3[[#This Row],[NETO GRAVADO]]="","",compras_mes3[[#This Row],[NETO GRAVADO]]*0.21)</f>
        <v>2655.2147999999997</v>
      </c>
      <c r="J48" s="85"/>
      <c r="K48" s="85"/>
      <c r="L48" s="85"/>
      <c r="M48" s="85"/>
      <c r="N48" s="85"/>
      <c r="O48" s="85">
        <v>0</v>
      </c>
      <c r="P48" s="48">
        <f>SUM(compras_mes3[[#This Row],[NETO GRAVADO]:[Otros / No Grav.]])</f>
        <v>15299.094799999999</v>
      </c>
      <c r="Q48" s="49" t="str">
        <f>IFERROR(IF(compras_mes3[[#This Row],[CUIT]]="","-",VLOOKUP(compras_mes3[[#This Row],[CUIT]],Lista_CUIT[#All],3,0)),"CUIT NO CARGADO")</f>
        <v>Gastos Varios</v>
      </c>
      <c r="R48" s="49">
        <f>IFERROR(IF(compras_mes3[[#This Row],[CUIT]]="","-",VLOOKUP(compras_mes3[[#This Row],[CUIT]],Lista_CUIT[#All],4,0)),"CUIT NO CARGADO")</f>
        <v>0</v>
      </c>
    </row>
    <row r="49" spans="2:18">
      <c r="B49" s="40">
        <v>45376</v>
      </c>
      <c r="C49" s="41">
        <v>1</v>
      </c>
      <c r="D49" s="42">
        <v>3</v>
      </c>
      <c r="E49" s="43">
        <v>6812</v>
      </c>
      <c r="F49" s="44">
        <v>33708218699</v>
      </c>
      <c r="G49" s="45" t="str">
        <f>IFERROR(IF(compras_mes3[[#This Row],[CUIT]]="","-",VLOOKUP(compras_mes3[[#This Row],[CUIT]],Lista_CUIT[#All],2,0)),"CUIT NO CARGADO")</f>
        <v>MANGGINI PABLO Y MANGGINI ULISES SOC. DE HECHO.</v>
      </c>
      <c r="H49" s="46">
        <v>9500</v>
      </c>
      <c r="I49" s="46">
        <f>IF(compras_mes3[[#This Row],[NETO GRAVADO]]="","",compras_mes3[[#This Row],[NETO GRAVADO]]*0.21)</f>
        <v>1995</v>
      </c>
      <c r="J49" s="85"/>
      <c r="K49" s="85"/>
      <c r="L49" s="85"/>
      <c r="M49" s="85"/>
      <c r="N49" s="85"/>
      <c r="O49" s="85">
        <v>0</v>
      </c>
      <c r="P49" s="48">
        <f>SUM(compras_mes3[[#This Row],[NETO GRAVADO]:[Otros / No Grav.]])</f>
        <v>11495</v>
      </c>
      <c r="Q49" s="49" t="str">
        <f>IFERROR(IF(compras_mes3[[#This Row],[CUIT]]="","-",VLOOKUP(compras_mes3[[#This Row],[CUIT]],Lista_CUIT[#All],3,0)),"CUIT NO CARGADO")</f>
        <v>Gastos Varios</v>
      </c>
      <c r="R49" s="49">
        <f>IFERROR(IF(compras_mes3[[#This Row],[CUIT]]="","-",VLOOKUP(compras_mes3[[#This Row],[CUIT]],Lista_CUIT[#All],4,0)),"CUIT NO CARGADO")</f>
        <v>0</v>
      </c>
    </row>
    <row r="50" spans="2:18">
      <c r="B50" s="40">
        <v>45365</v>
      </c>
      <c r="C50" s="41">
        <v>1</v>
      </c>
      <c r="D50" s="42">
        <v>98</v>
      </c>
      <c r="E50" s="43">
        <v>3082</v>
      </c>
      <c r="F50" s="44">
        <v>30709300705</v>
      </c>
      <c r="G50" s="45" t="str">
        <f>IFERROR(IF(compras_mes3[[#This Row],[CUIT]]="","-",VLOOKUP(compras_mes3[[#This Row],[CUIT]],Lista_CUIT[#All],2,0)),"CUIT NO CARGADO")</f>
        <v>ATECUB S.A.</v>
      </c>
      <c r="H50" s="46">
        <v>7854.55</v>
      </c>
      <c r="I50" s="46">
        <f>IF(compras_mes3[[#This Row],[NETO GRAVADO]]="","",compras_mes3[[#This Row],[NETO GRAVADO]]*0.21)</f>
        <v>1649.4555</v>
      </c>
      <c r="J50" s="85"/>
      <c r="K50" s="85"/>
      <c r="L50" s="85"/>
      <c r="M50" s="85"/>
      <c r="N50" s="85"/>
      <c r="O50" s="85">
        <v>0</v>
      </c>
      <c r="P50" s="48">
        <f>SUM(compras_mes3[[#This Row],[NETO GRAVADO]:[Otros / No Grav.]])</f>
        <v>9504.0054999999993</v>
      </c>
      <c r="Q50" s="49" t="str">
        <f>IFERROR(IF(compras_mes3[[#This Row],[CUIT]]="","-",VLOOKUP(compras_mes3[[#This Row],[CUIT]],Lista_CUIT[#All],3,0)),"CUIT NO CARGADO")</f>
        <v>Gastos Varios</v>
      </c>
      <c r="R50" s="49">
        <f>IFERROR(IF(compras_mes3[[#This Row],[CUIT]]="","-",VLOOKUP(compras_mes3[[#This Row],[CUIT]],Lista_CUIT[#All],4,0)),"CUIT NO CARGADO")</f>
        <v>0</v>
      </c>
    </row>
    <row r="51" spans="2:18">
      <c r="B51" s="40">
        <v>45373</v>
      </c>
      <c r="C51" s="41">
        <v>1</v>
      </c>
      <c r="D51" s="42">
        <v>7</v>
      </c>
      <c r="E51" s="43">
        <v>2811</v>
      </c>
      <c r="F51" s="44">
        <v>20284183534</v>
      </c>
      <c r="G51" s="45" t="str">
        <f>IFERROR(IF(compras_mes3[[#This Row],[CUIT]]="","-",VLOOKUP(compras_mes3[[#This Row],[CUIT]],Lista_CUIT[#All],2,0)),"CUIT NO CARGADO")</f>
        <v>FURLANETTO MARTIN</v>
      </c>
      <c r="H51" s="46">
        <v>7066.15</v>
      </c>
      <c r="I51" s="46">
        <f>IF(compras_mes3[[#This Row],[NETO GRAVADO]]="","",compras_mes3[[#This Row],[NETO GRAVADO]]*0.21)</f>
        <v>1483.8915</v>
      </c>
      <c r="J51" s="85"/>
      <c r="K51" s="85"/>
      <c r="L51" s="85"/>
      <c r="M51" s="85"/>
      <c r="N51" s="85"/>
      <c r="O51" s="85">
        <v>0</v>
      </c>
      <c r="P51" s="48">
        <f>SUM(compras_mes3[[#This Row],[NETO GRAVADO]:[Otros / No Grav.]])</f>
        <v>8550.0414999999994</v>
      </c>
      <c r="Q51" s="49" t="str">
        <f>IFERROR(IF(compras_mes3[[#This Row],[CUIT]]="","-",VLOOKUP(compras_mes3[[#This Row],[CUIT]],Lista_CUIT[#All],3,0)),"CUIT NO CARGADO")</f>
        <v>gastos varios</v>
      </c>
      <c r="R51" s="49">
        <f>IFERROR(IF(compras_mes3[[#This Row],[CUIT]]="","-",VLOOKUP(compras_mes3[[#This Row],[CUIT]],Lista_CUIT[#All],4,0)),"CUIT NO CARGADO")</f>
        <v>0</v>
      </c>
    </row>
    <row r="52" spans="2:18">
      <c r="B52" s="40">
        <v>45361</v>
      </c>
      <c r="C52" s="41">
        <v>1</v>
      </c>
      <c r="D52" s="42">
        <v>2189</v>
      </c>
      <c r="E52" s="43">
        <v>66906</v>
      </c>
      <c r="F52" s="44">
        <v>30548083156</v>
      </c>
      <c r="G52" s="45" t="str">
        <f>IFERROR(IF(compras_mes3[[#This Row],[CUIT]]="","-",VLOOKUP(compras_mes3[[#This Row],[CUIT]],Lista_CUIT[#All],2,0)),"CUIT NO CARGADO")</f>
        <v>COTO CICSA</v>
      </c>
      <c r="H52" s="46">
        <v>6686.24</v>
      </c>
      <c r="I52" s="46">
        <f>IF(compras_mes3[[#This Row],[NETO GRAVADO]]="","",compras_mes3[[#This Row],[NETO GRAVADO]]*0.21)</f>
        <v>1404.1103999999998</v>
      </c>
      <c r="J52" s="85"/>
      <c r="K52" s="85"/>
      <c r="L52" s="85"/>
      <c r="M52" s="85"/>
      <c r="N52" s="85"/>
      <c r="O52" s="85">
        <v>421.98</v>
      </c>
      <c r="P52" s="48">
        <f>SUM(compras_mes3[[#This Row],[NETO GRAVADO]:[Otros / No Grav.]])</f>
        <v>8512.3303999999989</v>
      </c>
      <c r="Q52" s="49" t="str">
        <f>IFERROR(IF(compras_mes3[[#This Row],[CUIT]]="","-",VLOOKUP(compras_mes3[[#This Row],[CUIT]],Lista_CUIT[#All],3,0)),"CUIT NO CARGADO")</f>
        <v>Gastos Varios</v>
      </c>
      <c r="R52" s="49">
        <f>IFERROR(IF(compras_mes3[[#This Row],[CUIT]]="","-",VLOOKUP(compras_mes3[[#This Row],[CUIT]],Lista_CUIT[#All],4,0)),"CUIT NO CARGADO")</f>
        <v>0</v>
      </c>
    </row>
    <row r="53" spans="2:18">
      <c r="B53" s="40">
        <v>45369</v>
      </c>
      <c r="C53" s="41">
        <v>1</v>
      </c>
      <c r="D53" s="42">
        <v>5</v>
      </c>
      <c r="E53" s="43">
        <v>1231</v>
      </c>
      <c r="F53" s="44">
        <v>30710374801</v>
      </c>
      <c r="G53" s="45" t="str">
        <f>IFERROR(IF(compras_mes3[[#This Row],[CUIT]]="","-",VLOOKUP(compras_mes3[[#This Row],[CUIT]],Lista_CUIT[#All],2,0)),"CUIT NO CARGADO")</f>
        <v>DISTRIBUIDORA LARREA SA</v>
      </c>
      <c r="H53" s="46">
        <v>6628.1</v>
      </c>
      <c r="I53" s="46">
        <f>IF(compras_mes3[[#This Row],[NETO GRAVADO]]="","",compras_mes3[[#This Row],[NETO GRAVADO]]*0.21)</f>
        <v>1391.9010000000001</v>
      </c>
      <c r="J53" s="85"/>
      <c r="K53" s="85"/>
      <c r="L53" s="85"/>
      <c r="M53" s="85"/>
      <c r="N53" s="85"/>
      <c r="O53" s="85">
        <v>0</v>
      </c>
      <c r="P53" s="48">
        <f>SUM(compras_mes3[[#This Row],[NETO GRAVADO]:[Otros / No Grav.]])</f>
        <v>8020.0010000000002</v>
      </c>
      <c r="Q53" s="49" t="str">
        <f>IFERROR(IF(compras_mes3[[#This Row],[CUIT]]="","-",VLOOKUP(compras_mes3[[#This Row],[CUIT]],Lista_CUIT[#All],3,0)),"CUIT NO CARGADO")</f>
        <v>gastos varios</v>
      </c>
      <c r="R53" s="49">
        <f>IFERROR(IF(compras_mes3[[#This Row],[CUIT]]="","-",VLOOKUP(compras_mes3[[#This Row],[CUIT]],Lista_CUIT[#All],4,0)),"CUIT NO CARGADO")</f>
        <v>0</v>
      </c>
    </row>
    <row r="54" spans="2:18">
      <c r="B54" s="40">
        <v>45359</v>
      </c>
      <c r="C54" s="41">
        <v>1</v>
      </c>
      <c r="D54" s="42">
        <v>11</v>
      </c>
      <c r="E54" s="43">
        <v>1000</v>
      </c>
      <c r="F54" s="44">
        <v>30710374801</v>
      </c>
      <c r="G54" s="45" t="str">
        <f>IFERROR(IF(compras_mes3[[#This Row],[CUIT]]="","-",VLOOKUP(compras_mes3[[#This Row],[CUIT]],Lista_CUIT[#All],2,0)),"CUIT NO CARGADO")</f>
        <v>DISTRIBUIDORA LARREA SA</v>
      </c>
      <c r="H54" s="46">
        <v>5768.6</v>
      </c>
      <c r="I54" s="46">
        <f>IF(compras_mes3[[#This Row],[NETO GRAVADO]]="","",compras_mes3[[#This Row],[NETO GRAVADO]]*0.21)</f>
        <v>1211.4059999999999</v>
      </c>
      <c r="J54" s="85"/>
      <c r="K54" s="85"/>
      <c r="L54" s="85"/>
      <c r="M54" s="85"/>
      <c r="N54" s="85"/>
      <c r="O54" s="85">
        <v>0</v>
      </c>
      <c r="P54" s="48">
        <f>SUM(compras_mes3[[#This Row],[NETO GRAVADO]:[Otros / No Grav.]])</f>
        <v>6980.0060000000003</v>
      </c>
      <c r="Q54" s="49" t="str">
        <f>IFERROR(IF(compras_mes3[[#This Row],[CUIT]]="","-",VLOOKUP(compras_mes3[[#This Row],[CUIT]],Lista_CUIT[#All],3,0)),"CUIT NO CARGADO")</f>
        <v>gastos varios</v>
      </c>
      <c r="R54" s="49">
        <f>IFERROR(IF(compras_mes3[[#This Row],[CUIT]]="","-",VLOOKUP(compras_mes3[[#This Row],[CUIT]],Lista_CUIT[#All],4,0)),"CUIT NO CARGADO")</f>
        <v>0</v>
      </c>
    </row>
    <row r="55" spans="2:18">
      <c r="B55" s="40">
        <v>45358</v>
      </c>
      <c r="C55" s="41">
        <v>1</v>
      </c>
      <c r="D55" s="42">
        <v>4</v>
      </c>
      <c r="E55" s="43">
        <v>928</v>
      </c>
      <c r="F55" s="44">
        <v>20202500138</v>
      </c>
      <c r="G55" s="45" t="str">
        <f>IFERROR(IF(compras_mes3[[#This Row],[CUIT]]="","-",VLOOKUP(compras_mes3[[#This Row],[CUIT]],Lista_CUIT[#All],2,0)),"CUIT NO CARGADO")</f>
        <v>RAMBAUD DIEGO GABRIEL</v>
      </c>
      <c r="H55" s="46">
        <v>3553.72</v>
      </c>
      <c r="I55" s="46">
        <f>IF(compras_mes3[[#This Row],[NETO GRAVADO]]="","",compras_mes3[[#This Row],[NETO GRAVADO]]*0.21)</f>
        <v>746.2811999999999</v>
      </c>
      <c r="J55" s="85"/>
      <c r="K55" s="85"/>
      <c r="L55" s="85"/>
      <c r="M55" s="85"/>
      <c r="N55" s="85"/>
      <c r="O55" s="85">
        <v>0</v>
      </c>
      <c r="P55" s="48">
        <f>SUM(compras_mes3[[#This Row],[NETO GRAVADO]:[Otros / No Grav.]])</f>
        <v>4300.0011999999997</v>
      </c>
      <c r="Q55" s="49" t="str">
        <f>IFERROR(IF(compras_mes3[[#This Row],[CUIT]]="","-",VLOOKUP(compras_mes3[[#This Row],[CUIT]],Lista_CUIT[#All],3,0)),"CUIT NO CARGADO")</f>
        <v>GASTOS VARIOS</v>
      </c>
      <c r="R55" s="49">
        <f>IFERROR(IF(compras_mes3[[#This Row],[CUIT]]="","-",VLOOKUP(compras_mes3[[#This Row],[CUIT]],Lista_CUIT[#All],4,0)),"CUIT NO CARGADO")</f>
        <v>0</v>
      </c>
    </row>
    <row r="56" spans="2:18">
      <c r="B56" s="40">
        <v>45371</v>
      </c>
      <c r="C56" s="41">
        <v>1</v>
      </c>
      <c r="D56" s="42">
        <v>113</v>
      </c>
      <c r="E56" s="43">
        <v>3523244</v>
      </c>
      <c r="F56" s="44">
        <v>30577207190</v>
      </c>
      <c r="G56" s="45" t="str">
        <f>IFERROR(IF(compras_mes3[[#This Row],[CUIT]]="","-",VLOOKUP(compras_mes3[[#This Row],[CUIT]],Lista_CUIT[#All],2,0)),"CUIT NO CARGADO")</f>
        <v>COORDINACION ECOLOGICA AREA METROPOLITANA SOCIEDAD DEL ESTADO</v>
      </c>
      <c r="H56" s="46">
        <v>1900.83</v>
      </c>
      <c r="I56" s="46">
        <f>IF(compras_mes3[[#This Row],[NETO GRAVADO]]="","",compras_mes3[[#This Row],[NETO GRAVADO]]*0.21)</f>
        <v>399.17429999999996</v>
      </c>
      <c r="J56" s="85"/>
      <c r="K56" s="85"/>
      <c r="L56" s="85"/>
      <c r="M56" s="85"/>
      <c r="N56" s="85"/>
      <c r="O56" s="85">
        <v>0</v>
      </c>
      <c r="P56" s="48">
        <f>SUM(compras_mes3[[#This Row],[NETO GRAVADO]:[Otros / No Grav.]])</f>
        <v>2300.0043000000001</v>
      </c>
      <c r="Q56" s="49" t="str">
        <f>IFERROR(IF(compras_mes3[[#This Row],[CUIT]]="","-",VLOOKUP(compras_mes3[[#This Row],[CUIT]],Lista_CUIT[#All],3,0)),"CUIT NO CARGADO")</f>
        <v>gastos varios</v>
      </c>
      <c r="R56" s="49">
        <f>IFERROR(IF(compras_mes3[[#This Row],[CUIT]]="","-",VLOOKUP(compras_mes3[[#This Row],[CUIT]],Lista_CUIT[#All],4,0)),"CUIT NO CARGADO")</f>
        <v>0</v>
      </c>
    </row>
    <row r="57" spans="2:18">
      <c r="B57" s="40">
        <v>45366</v>
      </c>
      <c r="C57" s="41">
        <v>1</v>
      </c>
      <c r="D57" s="42">
        <v>4</v>
      </c>
      <c r="E57" s="43">
        <v>4608</v>
      </c>
      <c r="F57" s="44">
        <v>20113613646</v>
      </c>
      <c r="G57" s="45" t="str">
        <f>IFERROR(IF(compras_mes3[[#This Row],[CUIT]]="","-",VLOOKUP(compras_mes3[[#This Row],[CUIT]],Lista_CUIT[#All],2,0)),"CUIT NO CARGADO")</f>
        <v>PIETRUSZKA ALBERTO</v>
      </c>
      <c r="H57" s="46">
        <v>1652.89</v>
      </c>
      <c r="I57" s="46">
        <f>IF(compras_mes3[[#This Row],[NETO GRAVADO]]="","",compras_mes3[[#This Row],[NETO GRAVADO]]*0.21)</f>
        <v>347.1069</v>
      </c>
      <c r="J57" s="85"/>
      <c r="K57" s="85"/>
      <c r="L57" s="85"/>
      <c r="M57" s="85"/>
      <c r="N57" s="85"/>
      <c r="O57" s="85">
        <v>0</v>
      </c>
      <c r="P57" s="48">
        <f>SUM(compras_mes3[[#This Row],[NETO GRAVADO]:[Otros / No Grav.]])</f>
        <v>1999.9969000000001</v>
      </c>
      <c r="Q57" s="49" t="str">
        <f>IFERROR(IF(compras_mes3[[#This Row],[CUIT]]="","-",VLOOKUP(compras_mes3[[#This Row],[CUIT]],Lista_CUIT[#All],3,0)),"CUIT NO CARGADO")</f>
        <v>Gastos Varios</v>
      </c>
      <c r="R57" s="49">
        <f>IFERROR(IF(compras_mes3[[#This Row],[CUIT]]="","-",VLOOKUP(compras_mes3[[#This Row],[CUIT]],Lista_CUIT[#All],4,0)),"CUIT NO CARGADO")</f>
        <v>0</v>
      </c>
    </row>
    <row r="58" spans="2:18">
      <c r="B58" s="40">
        <v>45378</v>
      </c>
      <c r="C58" s="41">
        <v>1</v>
      </c>
      <c r="D58" s="42">
        <v>4</v>
      </c>
      <c r="E58" s="43">
        <v>4621</v>
      </c>
      <c r="F58" s="44">
        <v>20113613646</v>
      </c>
      <c r="G58" s="45" t="str">
        <f>IFERROR(IF(compras_mes3[[#This Row],[CUIT]]="","-",VLOOKUP(compras_mes3[[#This Row],[CUIT]],Lista_CUIT[#All],2,0)),"CUIT NO CARGADO")</f>
        <v>PIETRUSZKA ALBERTO</v>
      </c>
      <c r="H58" s="46">
        <v>826.45</v>
      </c>
      <c r="I58" s="46">
        <f>IF(compras_mes3[[#This Row],[NETO GRAVADO]]="","",compras_mes3[[#This Row],[NETO GRAVADO]]*0.21)</f>
        <v>173.55449999999999</v>
      </c>
      <c r="J58" s="85"/>
      <c r="K58" s="85"/>
      <c r="L58" s="85"/>
      <c r="M58" s="85"/>
      <c r="N58" s="85"/>
      <c r="O58" s="85">
        <v>0</v>
      </c>
      <c r="P58" s="48">
        <f>SUM(compras_mes3[[#This Row],[NETO GRAVADO]:[Otros / No Grav.]])</f>
        <v>1000.0045</v>
      </c>
      <c r="Q58" s="49" t="str">
        <f>IFERROR(IF(compras_mes3[[#This Row],[CUIT]]="","-",VLOOKUP(compras_mes3[[#This Row],[CUIT]],Lista_CUIT[#All],3,0)),"CUIT NO CARGADO")</f>
        <v>Gastos Varios</v>
      </c>
      <c r="R58" s="49">
        <f>IFERROR(IF(compras_mes3[[#This Row],[CUIT]]="","-",VLOOKUP(compras_mes3[[#This Row],[CUIT]],Lista_CUIT[#All],4,0)),"CUIT NO CARGADO")</f>
        <v>0</v>
      </c>
    </row>
    <row r="59" spans="2:18">
      <c r="B59" s="40">
        <v>45373</v>
      </c>
      <c r="C59" s="41">
        <v>1</v>
      </c>
      <c r="D59" s="42">
        <v>6</v>
      </c>
      <c r="E59" s="43">
        <v>1385</v>
      </c>
      <c r="F59" s="44">
        <v>30716815710</v>
      </c>
      <c r="G59" s="45" t="str">
        <f>IFERROR(IF(compras_mes3[[#This Row],[CUIT]]="","-",VLOOKUP(compras_mes3[[#This Row],[CUIT]],Lista_CUIT[#All],2,0)),"CUIT NO CARGADO")</f>
        <v>PAPELERA GEOPEL SRL</v>
      </c>
      <c r="H59" s="46">
        <v>7500</v>
      </c>
      <c r="I59" s="85">
        <f>IF(compras_mes3[[#This Row],[NETO GRAVADO]]="","",compras_mes3[[#This Row],[NETO GRAVADO]]*0.21)</f>
        <v>1575</v>
      </c>
      <c r="J59" s="85"/>
      <c r="K59" s="85"/>
      <c r="L59" s="85"/>
      <c r="M59" s="85"/>
      <c r="N59" s="85"/>
      <c r="O59" s="85">
        <v>0</v>
      </c>
      <c r="P59" s="48">
        <f>SUM(compras_mes3[[#This Row],[NETO GRAVADO]:[Otros / No Grav.]])</f>
        <v>9075</v>
      </c>
      <c r="Q59" s="49" t="str">
        <f>IFERROR(IF(compras_mes3[[#This Row],[CUIT]]="","-",VLOOKUP(compras_mes3[[#This Row],[CUIT]],Lista_CUIT[#All],3,0)),"CUIT NO CARGADO")</f>
        <v>LIBRERÍA</v>
      </c>
      <c r="R59" s="49">
        <f>IFERROR(IF(compras_mes3[[#This Row],[CUIT]]="","-",VLOOKUP(compras_mes3[[#This Row],[CUIT]],Lista_CUIT[#All],4,0)),"CUIT NO CARGADO")</f>
        <v>0</v>
      </c>
    </row>
    <row r="60" spans="2:18">
      <c r="B60" s="40">
        <v>45369</v>
      </c>
      <c r="C60" s="41">
        <v>1</v>
      </c>
      <c r="D60" s="42">
        <v>6</v>
      </c>
      <c r="E60" s="43">
        <v>1378</v>
      </c>
      <c r="F60" s="44">
        <v>30716815710</v>
      </c>
      <c r="G60" s="45" t="str">
        <f>IFERROR(IF(compras_mes3[[#This Row],[CUIT]]="","-",VLOOKUP(compras_mes3[[#This Row],[CUIT]],Lista_CUIT[#All],2,0)),"CUIT NO CARGADO")</f>
        <v>PAPELERA GEOPEL SRL</v>
      </c>
      <c r="H60" s="46">
        <v>7100</v>
      </c>
      <c r="I60" s="46">
        <f>IF(compras_mes3[[#This Row],[NETO GRAVADO]]="","",compras_mes3[[#This Row],[NETO GRAVADO]]*0.21)</f>
        <v>1491</v>
      </c>
      <c r="J60" s="85"/>
      <c r="K60" s="85"/>
      <c r="L60" s="85"/>
      <c r="M60" s="85"/>
      <c r="N60" s="85"/>
      <c r="O60" s="85">
        <v>0</v>
      </c>
      <c r="P60" s="48">
        <f>SUM(compras_mes3[[#This Row],[NETO GRAVADO]:[Otros / No Grav.]])</f>
        <v>8591</v>
      </c>
      <c r="Q60" s="49" t="str">
        <f>IFERROR(IF(compras_mes3[[#This Row],[CUIT]]="","-",VLOOKUP(compras_mes3[[#This Row],[CUIT]],Lista_CUIT[#All],3,0)),"CUIT NO CARGADO")</f>
        <v>LIBRERÍA</v>
      </c>
      <c r="R60" s="49">
        <f>IFERROR(IF(compras_mes3[[#This Row],[CUIT]]="","-",VLOOKUP(compras_mes3[[#This Row],[CUIT]],Lista_CUIT[#All],4,0)),"CUIT NO CARGADO")</f>
        <v>0</v>
      </c>
    </row>
    <row r="61" spans="2:18">
      <c r="B61" s="40">
        <v>45371</v>
      </c>
      <c r="C61" s="41">
        <v>1</v>
      </c>
      <c r="D61" s="42">
        <v>3</v>
      </c>
      <c r="E61" s="43">
        <v>332073</v>
      </c>
      <c r="F61" s="44">
        <v>33643358749</v>
      </c>
      <c r="G61" s="45" t="str">
        <f>IFERROR(IF(compras_mes3[[#This Row],[CUIT]]="","-",VLOOKUP(compras_mes3[[#This Row],[CUIT]],Lista_CUIT[#All],2,0)),"CUIT NO CARGADO")</f>
        <v>POLYTECH S A</v>
      </c>
      <c r="H61" s="46">
        <v>40378.28</v>
      </c>
      <c r="I61" s="46"/>
      <c r="J61" s="85"/>
      <c r="K61" s="85">
        <v>4239.72</v>
      </c>
      <c r="L61" s="85"/>
      <c r="M61" s="85"/>
      <c r="N61" s="85"/>
      <c r="O61" s="85">
        <v>0</v>
      </c>
      <c r="P61" s="48">
        <f>SUM(compras_mes3[[#This Row],[NETO GRAVADO]:[Otros / No Grav.]])</f>
        <v>44618</v>
      </c>
      <c r="Q61" s="49" t="str">
        <f>IFERROR(IF(compras_mes3[[#This Row],[CUIT]]="","-",VLOOKUP(compras_mes3[[#This Row],[CUIT]],Lista_CUIT[#All],3,0)),"CUIT NO CARGADO")</f>
        <v>LIBRERÍA</v>
      </c>
      <c r="R61" s="49">
        <f>IFERROR(IF(compras_mes3[[#This Row],[CUIT]]="","-",VLOOKUP(compras_mes3[[#This Row],[CUIT]],Lista_CUIT[#All],4,0)),"CUIT NO CARGADO")</f>
        <v>0</v>
      </c>
    </row>
    <row r="62" spans="2:18">
      <c r="B62" s="40">
        <v>45362</v>
      </c>
      <c r="C62" s="41">
        <v>1</v>
      </c>
      <c r="D62" s="42">
        <v>12</v>
      </c>
      <c r="E62" s="43">
        <v>19</v>
      </c>
      <c r="F62" s="44">
        <v>27202892936</v>
      </c>
      <c r="G62" s="45" t="str">
        <f>IFERROR(IF(compras_mes3[[#This Row],[CUIT]]="","-",VLOOKUP(compras_mes3[[#This Row],[CUIT]],Lista_CUIT[#All],2,0)),"CUIT NO CARGADO")</f>
        <v>Moriondo, Adriana Ines</v>
      </c>
      <c r="H62" s="46">
        <v>1428808.24</v>
      </c>
      <c r="I62" s="46">
        <f>IF(compras_mes3[[#This Row],[NETO GRAVADO]]="","",compras_mes3[[#This Row],[NETO GRAVADO]]*0.21)</f>
        <v>300049.7304</v>
      </c>
      <c r="J62" s="85"/>
      <c r="K62" s="85"/>
      <c r="L62" s="85"/>
      <c r="M62" s="85"/>
      <c r="N62" s="85"/>
      <c r="O62" s="85">
        <v>0</v>
      </c>
      <c r="P62" s="48">
        <f>SUM(compras_mes3[[#This Row],[NETO GRAVADO]:[Otros / No Grav.]])</f>
        <v>1728857.9704</v>
      </c>
      <c r="Q62" s="49" t="str">
        <f>IFERROR(IF(compras_mes3[[#This Row],[CUIT]]="","-",VLOOKUP(compras_mes3[[#This Row],[CUIT]],Lista_CUIT[#All],3,0)),"CUIT NO CARGADO")</f>
        <v>Licencia Marca</v>
      </c>
      <c r="R62" s="49">
        <f>IFERROR(IF(compras_mes3[[#This Row],[CUIT]]="","-",VLOOKUP(compras_mes3[[#This Row],[CUIT]],Lista_CUIT[#All],4,0)),"CUIT NO CARGADO")</f>
        <v>0</v>
      </c>
    </row>
    <row r="63" spans="2:18">
      <c r="B63" s="40">
        <v>45372</v>
      </c>
      <c r="C63" s="41">
        <v>1</v>
      </c>
      <c r="D63" s="42">
        <v>12</v>
      </c>
      <c r="E63" s="43">
        <v>474</v>
      </c>
      <c r="F63" s="44">
        <v>30714950750</v>
      </c>
      <c r="G63" s="45" t="str">
        <f>IFERROR(IF(compras_mes3[[#This Row],[CUIT]]="","-",VLOOKUP(compras_mes3[[#This Row],[CUIT]],Lista_CUIT[#All],2,0)),"CUIT NO CARGADO")</f>
        <v>VIENTOS ARGENTINOS SRL</v>
      </c>
      <c r="H63" s="46">
        <v>1101592.67</v>
      </c>
      <c r="I63" s="46"/>
      <c r="J63" s="85"/>
      <c r="K63" s="85">
        <v>115667.23</v>
      </c>
      <c r="L63" s="85"/>
      <c r="M63" s="85"/>
      <c r="N63" s="85"/>
      <c r="O63" s="85">
        <v>0</v>
      </c>
      <c r="P63" s="48">
        <f>SUM(compras_mes3[[#This Row],[NETO GRAVADO]:[Otros / No Grav.]])</f>
        <v>1217259.8999999999</v>
      </c>
      <c r="Q63" s="49" t="str">
        <f>IFERROR(IF(compras_mes3[[#This Row],[CUIT]]="","-",VLOOKUP(compras_mes3[[#This Row],[CUIT]],Lista_CUIT[#All],3,0)),"CUIT NO CARGADO")</f>
        <v>MANTENIMIENTO</v>
      </c>
      <c r="R63" s="49">
        <f>IFERROR(IF(compras_mes3[[#This Row],[CUIT]]="","-",VLOOKUP(compras_mes3[[#This Row],[CUIT]],Lista_CUIT[#All],4,0)),"CUIT NO CARGADO")</f>
        <v>0</v>
      </c>
    </row>
    <row r="64" spans="2:18">
      <c r="B64" s="40">
        <v>45372</v>
      </c>
      <c r="C64" s="41">
        <v>1</v>
      </c>
      <c r="D64" s="42">
        <v>5001</v>
      </c>
      <c r="E64" s="43">
        <v>133782</v>
      </c>
      <c r="F64" s="44">
        <v>30696692951</v>
      </c>
      <c r="G64" s="45" t="str">
        <f>IFERROR(IF(compras_mes3[[#This Row],[CUIT]]="","-",VLOOKUP(compras_mes3[[#This Row],[CUIT]],Lista_CUIT[#All],2,0)),"CUIT NO CARGADO")</f>
        <v>CEVEN SA</v>
      </c>
      <c r="H64" s="46">
        <v>31733.88</v>
      </c>
      <c r="I64" s="46">
        <f>IF(compras_mes3[[#This Row],[NETO GRAVADO]]="","",compras_mes3[[#This Row],[NETO GRAVADO]]*0.21)</f>
        <v>6664.1148000000003</v>
      </c>
      <c r="J64" s="85"/>
      <c r="K64" s="85"/>
      <c r="L64" s="85"/>
      <c r="M64" s="85"/>
      <c r="N64" s="85"/>
      <c r="O64" s="85">
        <v>0</v>
      </c>
      <c r="P64" s="48">
        <f>SUM(compras_mes3[[#This Row],[NETO GRAVADO]:[Otros / No Grav.]])</f>
        <v>38397.9948</v>
      </c>
      <c r="Q64" s="49" t="str">
        <f>IFERROR(IF(compras_mes3[[#This Row],[CUIT]]="","-",VLOOKUP(compras_mes3[[#This Row],[CUIT]],Lista_CUIT[#All],3,0)),"CUIT NO CARGADO")</f>
        <v>Mantenimiento</v>
      </c>
      <c r="R64" s="49">
        <f>IFERROR(IF(compras_mes3[[#This Row],[CUIT]]="","-",VLOOKUP(compras_mes3[[#This Row],[CUIT]],Lista_CUIT[#All],4,0)),"CUIT NO CARGADO")</f>
        <v>0</v>
      </c>
    </row>
    <row r="65" spans="2:18">
      <c r="B65" s="40">
        <v>45369</v>
      </c>
      <c r="C65" s="41">
        <v>1</v>
      </c>
      <c r="D65" s="42">
        <v>3</v>
      </c>
      <c r="E65" s="43">
        <v>4038</v>
      </c>
      <c r="F65" s="44">
        <v>20184052858</v>
      </c>
      <c r="G65" s="45" t="str">
        <f>IFERROR(IF(compras_mes3[[#This Row],[CUIT]]="","-",VLOOKUP(compras_mes3[[#This Row],[CUIT]],Lista_CUIT[#All],2,0)),"CUIT NO CARGADO")</f>
        <v>ABOUD PABLO DANIEL</v>
      </c>
      <c r="H65" s="46">
        <v>9297.52</v>
      </c>
      <c r="I65" s="46">
        <f>IF(compras_mes3[[#This Row],[NETO GRAVADO]]="","",compras_mes3[[#This Row],[NETO GRAVADO]]*0.21)</f>
        <v>1952.4792</v>
      </c>
      <c r="J65" s="85"/>
      <c r="K65" s="85"/>
      <c r="L65" s="85"/>
      <c r="M65" s="85"/>
      <c r="N65" s="85"/>
      <c r="O65" s="85">
        <v>0</v>
      </c>
      <c r="P65" s="48">
        <f>SUM(compras_mes3[[#This Row],[NETO GRAVADO]:[Otros / No Grav.]])</f>
        <v>11249.9992</v>
      </c>
      <c r="Q65" s="49" t="str">
        <f>IFERROR(IF(compras_mes3[[#This Row],[CUIT]]="","-",VLOOKUP(compras_mes3[[#This Row],[CUIT]],Lista_CUIT[#All],3,0)),"CUIT NO CARGADO")</f>
        <v>MANTENIMIENTO</v>
      </c>
      <c r="R65" s="49">
        <f>IFERROR(IF(compras_mes3[[#This Row],[CUIT]]="","-",VLOOKUP(compras_mes3[[#This Row],[CUIT]],Lista_CUIT[#All],4,0)),"CUIT NO CARGADO")</f>
        <v>0</v>
      </c>
    </row>
    <row r="66" spans="2:18">
      <c r="B66" s="40">
        <v>45355</v>
      </c>
      <c r="C66" s="41">
        <v>1</v>
      </c>
      <c r="D66" s="42">
        <v>5011</v>
      </c>
      <c r="E66" s="43">
        <v>587056</v>
      </c>
      <c r="F66" s="44">
        <v>30574876474</v>
      </c>
      <c r="G66" s="45" t="str">
        <f>IFERROR(IF(compras_mes3[[#This Row],[CUIT]]="","-",VLOOKUP(compras_mes3[[#This Row],[CUIT]],Lista_CUIT[#All],2,0)),"CUIT NO CARGADO")</f>
        <v>AUTOP. URBANAS SA</v>
      </c>
      <c r="H66" s="46">
        <v>10244.73</v>
      </c>
      <c r="I66" s="46">
        <f>IF(compras_mes3[[#This Row],[NETO GRAVADO]]="","",compras_mes3[[#This Row],[NETO GRAVADO]]*0.21)</f>
        <v>2151.3932999999997</v>
      </c>
      <c r="J66" s="85"/>
      <c r="K66" s="85"/>
      <c r="L66" s="85"/>
      <c r="M66" s="85"/>
      <c r="N66" s="85">
        <v>307.33999999999997</v>
      </c>
      <c r="O66" s="85">
        <v>1024.47</v>
      </c>
      <c r="P66" s="48">
        <f>SUM(compras_mes3[[#This Row],[NETO GRAVADO]:[Otros / No Grav.]])</f>
        <v>13727.933299999999</v>
      </c>
      <c r="Q66" s="49" t="str">
        <f>IFERROR(IF(compras_mes3[[#This Row],[CUIT]]="","-",VLOOKUP(compras_mes3[[#This Row],[CUIT]],Lista_CUIT[#All],3,0)),"CUIT NO CARGADO")</f>
        <v>PEAJE</v>
      </c>
      <c r="R66" s="49">
        <f>IFERROR(IF(compras_mes3[[#This Row],[CUIT]]="","-",VLOOKUP(compras_mes3[[#This Row],[CUIT]],Lista_CUIT[#All],4,0)),"CUIT NO CARGADO")</f>
        <v>0</v>
      </c>
    </row>
    <row r="67" spans="2:18">
      <c r="B67" s="40">
        <v>45369</v>
      </c>
      <c r="C67" s="41">
        <v>1</v>
      </c>
      <c r="D67" s="42">
        <v>5011</v>
      </c>
      <c r="E67" s="43">
        <v>592686</v>
      </c>
      <c r="F67" s="44">
        <v>30574876474</v>
      </c>
      <c r="G67" s="45" t="str">
        <f>IFERROR(IF(compras_mes3[[#This Row],[CUIT]]="","-",VLOOKUP(compras_mes3[[#This Row],[CUIT]],Lista_CUIT[#All],2,0)),"CUIT NO CARGADO")</f>
        <v>AUTOP. URBANAS SA</v>
      </c>
      <c r="H67" s="46">
        <v>6254.37</v>
      </c>
      <c r="I67" s="46">
        <f>IF(compras_mes3[[#This Row],[NETO GRAVADO]]="","",compras_mes3[[#This Row],[NETO GRAVADO]]*0.21)</f>
        <v>1313.4177</v>
      </c>
      <c r="J67" s="85"/>
      <c r="K67" s="85"/>
      <c r="L67" s="85"/>
      <c r="M67" s="85"/>
      <c r="N67" s="85">
        <v>625.42999999999995</v>
      </c>
      <c r="O67" s="85">
        <v>187.63</v>
      </c>
      <c r="P67" s="48">
        <f>SUM(compras_mes3[[#This Row],[NETO GRAVADO]:[Otros / No Grav.]])</f>
        <v>8380.8476999999984</v>
      </c>
      <c r="Q67" s="49" t="str">
        <f>IFERROR(IF(compras_mes3[[#This Row],[CUIT]]="","-",VLOOKUP(compras_mes3[[#This Row],[CUIT]],Lista_CUIT[#All],3,0)),"CUIT NO CARGADO")</f>
        <v>PEAJE</v>
      </c>
      <c r="R67" s="49">
        <f>IFERROR(IF(compras_mes3[[#This Row],[CUIT]]="","-",VLOOKUP(compras_mes3[[#This Row],[CUIT]],Lista_CUIT[#All],4,0)),"CUIT NO CARGADO")</f>
        <v>0</v>
      </c>
    </row>
    <row r="68" spans="2:18">
      <c r="B68" s="40">
        <v>45355</v>
      </c>
      <c r="C68" s="41">
        <v>1</v>
      </c>
      <c r="D68" s="42">
        <v>711</v>
      </c>
      <c r="E68" s="43">
        <v>5405893</v>
      </c>
      <c r="F68" s="44">
        <v>30677237119</v>
      </c>
      <c r="G68" s="45" t="str">
        <f>IFERROR(IF(compras_mes3[[#This Row],[CUIT]]="","-",VLOOKUP(compras_mes3[[#This Row],[CUIT]],Lista_CUIT[#All],2,0)),"CUIT NO CARGADO")</f>
        <v>AUTOPISTAS DEL SOL SA</v>
      </c>
      <c r="H68" s="46">
        <v>2809.88</v>
      </c>
      <c r="I68" s="46">
        <f>IF(compras_mes3[[#This Row],[NETO GRAVADO]]="","",compras_mes3[[#This Row],[NETO GRAVADO]]*0.21)</f>
        <v>590.07479999999998</v>
      </c>
      <c r="J68" s="85"/>
      <c r="K68" s="85"/>
      <c r="L68" s="85"/>
      <c r="M68" s="85"/>
      <c r="N68" s="85">
        <v>112.4</v>
      </c>
      <c r="O68" s="85">
        <v>84.3</v>
      </c>
      <c r="P68" s="48">
        <f>SUM(compras_mes3[[#This Row],[NETO GRAVADO]:[Otros / No Grav.]])</f>
        <v>3596.6548000000003</v>
      </c>
      <c r="Q68" s="49" t="str">
        <f>IFERROR(IF(compras_mes3[[#This Row],[CUIT]]="","-",VLOOKUP(compras_mes3[[#This Row],[CUIT]],Lista_CUIT[#All],3,0)),"CUIT NO CARGADO")</f>
        <v>PEAJE</v>
      </c>
      <c r="R68" s="49">
        <f>IFERROR(IF(compras_mes3[[#This Row],[CUIT]]="","-",VLOOKUP(compras_mes3[[#This Row],[CUIT]],Lista_CUIT[#All],4,0)),"CUIT NO CARGADO")</f>
        <v>0</v>
      </c>
    </row>
    <row r="69" spans="2:18">
      <c r="B69" s="40">
        <v>45357</v>
      </c>
      <c r="C69" s="41">
        <v>1</v>
      </c>
      <c r="D69" s="42">
        <v>700</v>
      </c>
      <c r="E69" s="43">
        <v>1517326</v>
      </c>
      <c r="F69" s="44">
        <v>30715804812</v>
      </c>
      <c r="G69" s="45" t="str">
        <f>IFERROR(IF(compras_mes3[[#This Row],[CUIT]]="","-",VLOOKUP(compras_mes3[[#This Row],[CUIT]],Lista_CUIT[#All],2,0)),"CUIT NO CARGADO")</f>
        <v>CORREDORES VIALES SOCIEDAD ANONIMA</v>
      </c>
      <c r="H69" s="46">
        <v>1900.83</v>
      </c>
      <c r="I69" s="46">
        <f>IF(compras_mes3[[#This Row],[NETO GRAVADO]]="","",compras_mes3[[#This Row],[NETO GRAVADO]]*0.21)</f>
        <v>399.17429999999996</v>
      </c>
      <c r="J69" s="85"/>
      <c r="K69" s="85"/>
      <c r="L69" s="85"/>
      <c r="M69" s="85"/>
      <c r="N69" s="85"/>
      <c r="O69" s="85">
        <v>0</v>
      </c>
      <c r="P69" s="48">
        <f>SUM(compras_mes3[[#This Row],[NETO GRAVADO]:[Otros / No Grav.]])</f>
        <v>2300.0043000000001</v>
      </c>
      <c r="Q69" s="49" t="str">
        <f>IFERROR(IF(compras_mes3[[#This Row],[CUIT]]="","-",VLOOKUP(compras_mes3[[#This Row],[CUIT]],Lista_CUIT[#All],3,0)),"CUIT NO CARGADO")</f>
        <v>PEAJE</v>
      </c>
      <c r="R69" s="49">
        <f>IFERROR(IF(compras_mes3[[#This Row],[CUIT]]="","-",VLOOKUP(compras_mes3[[#This Row],[CUIT]],Lista_CUIT[#All],4,0)),"CUIT NO CARGADO")</f>
        <v>0</v>
      </c>
    </row>
    <row r="70" spans="2:18">
      <c r="B70" s="40">
        <v>45368</v>
      </c>
      <c r="C70" s="41">
        <v>1</v>
      </c>
      <c r="D70" s="42">
        <v>629</v>
      </c>
      <c r="E70" s="43">
        <v>4970959</v>
      </c>
      <c r="F70" s="44">
        <v>30663498513</v>
      </c>
      <c r="G70" s="45" t="str">
        <f>IFERROR(IF(compras_mes3[[#This Row],[CUIT]]="","-",VLOOKUP(compras_mes3[[#This Row],[CUIT]],Lista_CUIT[#All],2,0)),"CUIT NO CARGADO")</f>
        <v>GRUPO CONCES. DEL OESTE SA</v>
      </c>
      <c r="H70" s="46">
        <v>1900.81</v>
      </c>
      <c r="I70" s="46">
        <f>IF(compras_mes3[[#This Row],[NETO GRAVADO]]="","",compras_mes3[[#This Row],[NETO GRAVADO]]*0.21)</f>
        <v>399.17009999999999</v>
      </c>
      <c r="J70" s="85"/>
      <c r="K70" s="85"/>
      <c r="L70" s="85"/>
      <c r="M70" s="85"/>
      <c r="N70" s="85"/>
      <c r="O70" s="85">
        <v>76.06</v>
      </c>
      <c r="P70" s="48">
        <f>SUM(compras_mes3[[#This Row],[NETO GRAVADO]:[Otros / No Grav.]])</f>
        <v>2376.0400999999997</v>
      </c>
      <c r="Q70" s="49" t="str">
        <f>IFERROR(IF(compras_mes3[[#This Row],[CUIT]]="","-",VLOOKUP(compras_mes3[[#This Row],[CUIT]],Lista_CUIT[#All],3,0)),"CUIT NO CARGADO")</f>
        <v>PEAJE</v>
      </c>
      <c r="R70" s="49">
        <f>IFERROR(IF(compras_mes3[[#This Row],[CUIT]]="","-",VLOOKUP(compras_mes3[[#This Row],[CUIT]],Lista_CUIT[#All],4,0)),"CUIT NO CARGADO")</f>
        <v>0</v>
      </c>
    </row>
    <row r="71" spans="2:18">
      <c r="B71" s="40">
        <v>45368</v>
      </c>
      <c r="C71" s="41">
        <v>1</v>
      </c>
      <c r="D71" s="42">
        <v>711</v>
      </c>
      <c r="E71" s="43">
        <v>5461105</v>
      </c>
      <c r="F71" s="44">
        <v>30677237119</v>
      </c>
      <c r="G71" s="45" t="str">
        <f>IFERROR(IF(compras_mes3[[#This Row],[CUIT]]="","-",VLOOKUP(compras_mes3[[#This Row],[CUIT]],Lista_CUIT[#All],2,0)),"CUIT NO CARGADO")</f>
        <v>AUTOPISTAS DEL SOL SA</v>
      </c>
      <c r="H71" s="46">
        <v>1735.52</v>
      </c>
      <c r="I71" s="46">
        <f>IF(compras_mes3[[#This Row],[NETO GRAVADO]]="","",compras_mes3[[#This Row],[NETO GRAVADO]]*0.21)</f>
        <v>364.45920000000001</v>
      </c>
      <c r="J71" s="85"/>
      <c r="K71" s="85"/>
      <c r="L71" s="85"/>
      <c r="M71" s="85"/>
      <c r="N71" s="85"/>
      <c r="O71" s="85">
        <v>69.42</v>
      </c>
      <c r="P71" s="48">
        <f>SUM(compras_mes3[[#This Row],[NETO GRAVADO]:[Otros / No Grav.]])</f>
        <v>2169.3991999999998</v>
      </c>
      <c r="Q71" s="49" t="str">
        <f>IFERROR(IF(compras_mes3[[#This Row],[CUIT]]="","-",VLOOKUP(compras_mes3[[#This Row],[CUIT]],Lista_CUIT[#All],3,0)),"CUIT NO CARGADO")</f>
        <v>PEAJE</v>
      </c>
      <c r="R71" s="49">
        <f>IFERROR(IF(compras_mes3[[#This Row],[CUIT]]="","-",VLOOKUP(compras_mes3[[#This Row],[CUIT]],Lista_CUIT[#All],4,0)),"CUIT NO CARGADO")</f>
        <v>0</v>
      </c>
    </row>
    <row r="72" spans="2:18">
      <c r="B72" s="40">
        <v>45365</v>
      </c>
      <c r="C72" s="41">
        <v>1</v>
      </c>
      <c r="D72" s="42">
        <v>503</v>
      </c>
      <c r="E72" s="43">
        <v>1249080</v>
      </c>
      <c r="F72" s="44">
        <v>30639935872</v>
      </c>
      <c r="G72" s="45" t="str">
        <f>IFERROR(IF(compras_mes3[[#This Row],[CUIT]]="","-",VLOOKUP(compras_mes3[[#This Row],[CUIT]],Lista_CUIT[#All],2,0)),"CUIT NO CARGADO")</f>
        <v>CAMINOS DEL RIO URUGUAY S A DE CONSTRUCCIONES Y CONCESIONES VIALES</v>
      </c>
      <c r="H72" s="46">
        <v>1198.3399999999999</v>
      </c>
      <c r="I72" s="46">
        <f>IF(compras_mes3[[#This Row],[NETO GRAVADO]]="","",compras_mes3[[#This Row],[NETO GRAVADO]]*0.21)</f>
        <v>251.65139999999997</v>
      </c>
      <c r="J72" s="85"/>
      <c r="K72" s="85"/>
      <c r="L72" s="85"/>
      <c r="M72" s="85"/>
      <c r="N72" s="85"/>
      <c r="O72" s="85">
        <v>47.93</v>
      </c>
      <c r="P72" s="48">
        <f>SUM(compras_mes3[[#This Row],[NETO GRAVADO]:[Otros / No Grav.]])</f>
        <v>1497.9213999999999</v>
      </c>
      <c r="Q72" s="49" t="str">
        <f>IFERROR(IF(compras_mes3[[#This Row],[CUIT]]="","-",VLOOKUP(compras_mes3[[#This Row],[CUIT]],Lista_CUIT[#All],3,0)),"CUIT NO CARGADO")</f>
        <v>PEAJE</v>
      </c>
      <c r="R72" s="49">
        <f>IFERROR(IF(compras_mes3[[#This Row],[CUIT]]="","-",VLOOKUP(compras_mes3[[#This Row],[CUIT]],Lista_CUIT[#All],4,0)),"CUIT NO CARGADO")</f>
        <v>0</v>
      </c>
    </row>
    <row r="73" spans="2:18">
      <c r="B73" s="40">
        <v>45372</v>
      </c>
      <c r="C73" s="41">
        <v>1</v>
      </c>
      <c r="D73" s="42">
        <v>700</v>
      </c>
      <c r="E73" s="43">
        <v>1547426</v>
      </c>
      <c r="F73" s="44">
        <v>30715804812</v>
      </c>
      <c r="G73" s="45" t="str">
        <f>IFERROR(IF(compras_mes3[[#This Row],[CUIT]]="","-",VLOOKUP(compras_mes3[[#This Row],[CUIT]],Lista_CUIT[#All],2,0)),"CUIT NO CARGADO")</f>
        <v>CORREDORES VIALES SOCIEDAD ANONIMA</v>
      </c>
      <c r="H73" s="46">
        <v>1115.7</v>
      </c>
      <c r="I73" s="46">
        <f>IF(compras_mes3[[#This Row],[NETO GRAVADO]]="","",compras_mes3[[#This Row],[NETO GRAVADO]]*0.21)</f>
        <v>234.297</v>
      </c>
      <c r="J73" s="85"/>
      <c r="K73" s="85"/>
      <c r="L73" s="85"/>
      <c r="M73" s="85"/>
      <c r="N73" s="85"/>
      <c r="O73" s="85">
        <v>0</v>
      </c>
      <c r="P73" s="48">
        <f>SUM(compras_mes3[[#This Row],[NETO GRAVADO]:[Otros / No Grav.]])</f>
        <v>1349.9970000000001</v>
      </c>
      <c r="Q73" s="49" t="str">
        <f>IFERROR(IF(compras_mes3[[#This Row],[CUIT]]="","-",VLOOKUP(compras_mes3[[#This Row],[CUIT]],Lista_CUIT[#All],3,0)),"CUIT NO CARGADO")</f>
        <v>PEAJE</v>
      </c>
      <c r="R73" s="49">
        <f>IFERROR(IF(compras_mes3[[#This Row],[CUIT]]="","-",VLOOKUP(compras_mes3[[#This Row],[CUIT]],Lista_CUIT[#All],4,0)),"CUIT NO CARGADO")</f>
        <v>0</v>
      </c>
    </row>
    <row r="74" spans="2:18">
      <c r="B74" s="40">
        <v>45369</v>
      </c>
      <c r="C74" s="41">
        <v>1</v>
      </c>
      <c r="D74" s="42">
        <v>5009</v>
      </c>
      <c r="E74" s="43">
        <v>883390</v>
      </c>
      <c r="F74" s="44">
        <v>30574876474</v>
      </c>
      <c r="G74" s="45" t="str">
        <f>IFERROR(IF(compras_mes3[[#This Row],[CUIT]]="","-",VLOOKUP(compras_mes3[[#This Row],[CUIT]],Lista_CUIT[#All],2,0)),"CUIT NO CARGADO")</f>
        <v>AUTOP. URBANAS SA</v>
      </c>
      <c r="H74" s="46">
        <v>980.82</v>
      </c>
      <c r="I74" s="46">
        <f>IF(compras_mes3[[#This Row],[NETO GRAVADO]]="","",compras_mes3[[#This Row],[NETO GRAVADO]]*0.21)</f>
        <v>205.97220000000002</v>
      </c>
      <c r="J74" s="85"/>
      <c r="K74" s="85"/>
      <c r="L74" s="85"/>
      <c r="M74" s="85"/>
      <c r="N74" s="85"/>
      <c r="O74" s="85">
        <v>98.08</v>
      </c>
      <c r="P74" s="48">
        <f>SUM(compras_mes3[[#This Row],[NETO GRAVADO]:[Otros / No Grav.]])</f>
        <v>1284.8722</v>
      </c>
      <c r="Q74" s="49" t="str">
        <f>IFERROR(IF(compras_mes3[[#This Row],[CUIT]]="","-",VLOOKUP(compras_mes3[[#This Row],[CUIT]],Lista_CUIT[#All],3,0)),"CUIT NO CARGADO")</f>
        <v>PEAJE</v>
      </c>
      <c r="R74" s="49">
        <f>IFERROR(IF(compras_mes3[[#This Row],[CUIT]]="","-",VLOOKUP(compras_mes3[[#This Row],[CUIT]],Lista_CUIT[#All],4,0)),"CUIT NO CARGADO")</f>
        <v>0</v>
      </c>
    </row>
    <row r="75" spans="2:18">
      <c r="B75" s="40">
        <v>45366</v>
      </c>
      <c r="C75" s="41">
        <v>1</v>
      </c>
      <c r="D75" s="42">
        <v>104</v>
      </c>
      <c r="E75" s="43">
        <v>5378752</v>
      </c>
      <c r="F75" s="44">
        <v>30715804812</v>
      </c>
      <c r="G75" s="45" t="str">
        <f>IFERROR(IF(compras_mes3[[#This Row],[CUIT]]="","-",VLOOKUP(compras_mes3[[#This Row],[CUIT]],Lista_CUIT[#All],2,0)),"CUIT NO CARGADO")</f>
        <v>CORREDORES VIALES SOCIEDAD ANONIMA</v>
      </c>
      <c r="H75" s="46">
        <v>495.86</v>
      </c>
      <c r="I75" s="46">
        <f>IF(compras_mes3[[#This Row],[NETO GRAVADO]]="","",compras_mes3[[#This Row],[NETO GRAVADO]]*0.21)</f>
        <v>104.1306</v>
      </c>
      <c r="J75" s="85"/>
      <c r="K75" s="85"/>
      <c r="L75" s="85"/>
      <c r="M75" s="85"/>
      <c r="N75" s="85"/>
      <c r="O75" s="85">
        <v>0</v>
      </c>
      <c r="P75" s="48">
        <f>SUM(compras_mes3[[#This Row],[NETO GRAVADO]:[Otros / No Grav.]])</f>
        <v>599.99059999999997</v>
      </c>
      <c r="Q75" s="49" t="str">
        <f>IFERROR(IF(compras_mes3[[#This Row],[CUIT]]="","-",VLOOKUP(compras_mes3[[#This Row],[CUIT]],Lista_CUIT[#All],3,0)),"CUIT NO CARGADO")</f>
        <v>PEAJE</v>
      </c>
      <c r="R75" s="49">
        <f>IFERROR(IF(compras_mes3[[#This Row],[CUIT]]="","-",VLOOKUP(compras_mes3[[#This Row],[CUIT]],Lista_CUIT[#All],4,0)),"CUIT NO CARGADO")</f>
        <v>0</v>
      </c>
    </row>
    <row r="76" spans="2:18">
      <c r="B76" s="40">
        <v>45355</v>
      </c>
      <c r="C76" s="41">
        <v>1</v>
      </c>
      <c r="D76" s="42">
        <v>629</v>
      </c>
      <c r="E76" s="43">
        <v>4933987</v>
      </c>
      <c r="F76" s="44">
        <v>30663498513</v>
      </c>
      <c r="G76" s="45" t="str">
        <f>IFERROR(IF(compras_mes3[[#This Row],[CUIT]]="","-",VLOOKUP(compras_mes3[[#This Row],[CUIT]],Lista_CUIT[#All],2,0)),"CUIT NO CARGADO")</f>
        <v>GRUPO CONCES. DEL OESTE SA</v>
      </c>
      <c r="H76" s="46">
        <v>454.54</v>
      </c>
      <c r="I76" s="46">
        <f>IF(compras_mes3[[#This Row],[NETO GRAVADO]]="","",compras_mes3[[#This Row],[NETO GRAVADO]]*0.21)</f>
        <v>95.453400000000002</v>
      </c>
      <c r="J76" s="85"/>
      <c r="K76" s="85"/>
      <c r="L76" s="85"/>
      <c r="M76" s="85"/>
      <c r="N76" s="85"/>
      <c r="O76" s="85">
        <v>0</v>
      </c>
      <c r="P76" s="48">
        <f>SUM(compras_mes3[[#This Row],[NETO GRAVADO]:[Otros / No Grav.]])</f>
        <v>549.99340000000007</v>
      </c>
      <c r="Q76" s="49" t="str">
        <f>IFERROR(IF(compras_mes3[[#This Row],[CUIT]]="","-",VLOOKUP(compras_mes3[[#This Row],[CUIT]],Lista_CUIT[#All],3,0)),"CUIT NO CARGADO")</f>
        <v>PEAJE</v>
      </c>
      <c r="R76" s="49">
        <f>IFERROR(IF(compras_mes3[[#This Row],[CUIT]]="","-",VLOOKUP(compras_mes3[[#This Row],[CUIT]],Lista_CUIT[#All],4,0)),"CUIT NO CARGADO")</f>
        <v>0</v>
      </c>
    </row>
    <row r="77" spans="2:18">
      <c r="B77" s="40">
        <v>45357</v>
      </c>
      <c r="C77" s="41">
        <v>1</v>
      </c>
      <c r="D77" s="42">
        <v>700</v>
      </c>
      <c r="E77" s="43">
        <v>1517327</v>
      </c>
      <c r="F77" s="44">
        <v>30715804812</v>
      </c>
      <c r="G77" s="45" t="str">
        <f>IFERROR(IF(compras_mes3[[#This Row],[CUIT]]="","-",VLOOKUP(compras_mes3[[#This Row],[CUIT]],Lista_CUIT[#All],2,0)),"CUIT NO CARGADO")</f>
        <v>CORREDORES VIALES SOCIEDAD ANONIMA</v>
      </c>
      <c r="H77" s="46">
        <v>206.61</v>
      </c>
      <c r="I77" s="46">
        <f>IF(compras_mes3[[#This Row],[NETO GRAVADO]]="","",compras_mes3[[#This Row],[NETO GRAVADO]]*0.21)</f>
        <v>43.388100000000001</v>
      </c>
      <c r="J77" s="85"/>
      <c r="K77" s="85"/>
      <c r="L77" s="85"/>
      <c r="M77" s="85"/>
      <c r="N77" s="85"/>
      <c r="O77" s="85">
        <v>0</v>
      </c>
      <c r="P77" s="48">
        <f>SUM(compras_mes3[[#This Row],[NETO GRAVADO]:[Otros / No Grav.]])</f>
        <v>249.99810000000002</v>
      </c>
      <c r="Q77" s="49" t="str">
        <f>IFERROR(IF(compras_mes3[[#This Row],[CUIT]]="","-",VLOOKUP(compras_mes3[[#This Row],[CUIT]],Lista_CUIT[#All],3,0)),"CUIT NO CARGADO")</f>
        <v>PEAJE</v>
      </c>
      <c r="R77" s="49">
        <f>IFERROR(IF(compras_mes3[[#This Row],[CUIT]]="","-",VLOOKUP(compras_mes3[[#This Row],[CUIT]],Lista_CUIT[#All],4,0)),"CUIT NO CARGADO")</f>
        <v>0</v>
      </c>
    </row>
    <row r="78" spans="2:18">
      <c r="B78" s="40">
        <v>45370</v>
      </c>
      <c r="C78" s="41">
        <v>1</v>
      </c>
      <c r="D78" s="42">
        <v>5</v>
      </c>
      <c r="E78" s="43">
        <v>1328</v>
      </c>
      <c r="F78" s="44">
        <v>20242126158</v>
      </c>
      <c r="G78" s="45" t="str">
        <f>IFERROR(IF(compras_mes3[[#This Row],[CUIT]]="","-",VLOOKUP(compras_mes3[[#This Row],[CUIT]],Lista_CUIT[#All],2,0)),"CUIT NO CARGADO")</f>
        <v>IALLONARDO SERGIO</v>
      </c>
      <c r="H78" s="46">
        <v>75000</v>
      </c>
      <c r="I78" s="46">
        <f>IF(compras_mes3[[#This Row],[NETO GRAVADO]]="","",compras_mes3[[#This Row],[NETO GRAVADO]]*0.21)</f>
        <v>15750</v>
      </c>
      <c r="J78" s="85"/>
      <c r="K78" s="85"/>
      <c r="L78" s="85"/>
      <c r="M78" s="85"/>
      <c r="N78" s="85"/>
      <c r="O78" s="85">
        <v>0</v>
      </c>
      <c r="P78" s="48">
        <f>SUM(compras_mes3[[#This Row],[NETO GRAVADO]:[Otros / No Grav.]])</f>
        <v>90750</v>
      </c>
      <c r="Q78" s="49" t="str">
        <f>IFERROR(IF(compras_mes3[[#This Row],[CUIT]]="","-",VLOOKUP(compras_mes3[[#This Row],[CUIT]],Lista_CUIT[#All],3,0)),"CUIT NO CARGADO")</f>
        <v>PROD ORTOP P/ALQ</v>
      </c>
      <c r="R78" s="49">
        <f>IFERROR(IF(compras_mes3[[#This Row],[CUIT]]="","-",VLOOKUP(compras_mes3[[#This Row],[CUIT]],Lista_CUIT[#All],4,0)),"CUIT NO CARGADO")</f>
        <v>0</v>
      </c>
    </row>
    <row r="79" spans="2:18">
      <c r="B79" s="40">
        <v>45356</v>
      </c>
      <c r="C79" s="41">
        <v>1</v>
      </c>
      <c r="D79" s="42">
        <v>1</v>
      </c>
      <c r="E79" s="43">
        <v>2892</v>
      </c>
      <c r="F79" s="44">
        <v>30715141201</v>
      </c>
      <c r="G79" s="45" t="str">
        <f>IFERROR(IF(compras_mes3[[#This Row],[CUIT]]="","-",VLOOKUP(compras_mes3[[#This Row],[CUIT]],Lista_CUIT[#All],2,0)),"CUIT NO CARGADO")</f>
        <v>REHAB S.R.L.</v>
      </c>
      <c r="H79" s="46">
        <v>5218010.3600000003</v>
      </c>
      <c r="I79" s="46">
        <f>IF(compras_mes3[[#This Row],[NETO GRAVADO]]="","",compras_mes3[[#This Row],[NETO GRAVADO]]*0.21)</f>
        <v>1095782.1756</v>
      </c>
      <c r="J79" s="85"/>
      <c r="K79" s="85"/>
      <c r="L79" s="85"/>
      <c r="M79" s="85"/>
      <c r="N79" s="85"/>
      <c r="O79" s="85">
        <v>0</v>
      </c>
      <c r="P79" s="48">
        <f>SUM(compras_mes3[[#This Row],[NETO GRAVADO]:[Otros / No Grav.]])</f>
        <v>6313792.5356000001</v>
      </c>
      <c r="Q79" s="49" t="str">
        <f>IFERROR(IF(compras_mes3[[#This Row],[CUIT]]="","-",VLOOKUP(compras_mes3[[#This Row],[CUIT]],Lista_CUIT[#All],3,0)),"CUIT NO CARGADO")</f>
        <v>Productos Ortopedicos</v>
      </c>
      <c r="R79" s="49">
        <f>IFERROR(IF(compras_mes3[[#This Row],[CUIT]]="","-",VLOOKUP(compras_mes3[[#This Row],[CUIT]],Lista_CUIT[#All],4,0)),"CUIT NO CARGADO")</f>
        <v>0</v>
      </c>
    </row>
    <row r="80" spans="2:18" s="56" customFormat="1" ht="18.600000000000001" customHeight="1">
      <c r="B80" s="40">
        <v>45355</v>
      </c>
      <c r="C80" s="41">
        <v>1</v>
      </c>
      <c r="D80" s="42">
        <v>5</v>
      </c>
      <c r="E80" s="43">
        <v>1572</v>
      </c>
      <c r="F80" s="44">
        <v>30712187316</v>
      </c>
      <c r="G80" s="45" t="str">
        <f>IFERROR(IF(compras_mes3[[#This Row],[CUIT]]="","-",VLOOKUP(compras_mes3[[#This Row],[CUIT]],Lista_CUIT[#All],2,0)),"CUIT NO CARGADO")</f>
        <v>ITALOMED PRODUCTOS SRL</v>
      </c>
      <c r="H80" s="46">
        <v>5016354.3</v>
      </c>
      <c r="I80" s="46">
        <f>IF(compras_mes3[[#This Row],[NETO GRAVADO]]="","",compras_mes3[[#This Row],[NETO GRAVADO]]*0.21)</f>
        <v>1053434.4029999999</v>
      </c>
      <c r="J80" s="85"/>
      <c r="K80" s="85"/>
      <c r="L80" s="85"/>
      <c r="M80" s="85"/>
      <c r="N80" s="85"/>
      <c r="O80" s="85">
        <v>0</v>
      </c>
      <c r="P80" s="48">
        <f>SUM(compras_mes3[[#This Row],[NETO GRAVADO]:[Otros / No Grav.]])</f>
        <v>6069788.7029999997</v>
      </c>
      <c r="Q80" s="49" t="str">
        <f>IFERROR(IF(compras_mes3[[#This Row],[CUIT]]="","-",VLOOKUP(compras_mes3[[#This Row],[CUIT]],Lista_CUIT[#All],3,0)),"CUIT NO CARGADO")</f>
        <v>Productos Ortopedicos</v>
      </c>
      <c r="R80" s="49">
        <f>IFERROR(IF(compras_mes3[[#This Row],[CUIT]]="","-",VLOOKUP(compras_mes3[[#This Row],[CUIT]],Lista_CUIT[#All],4,0)),"CUIT NO CARGADO")</f>
        <v>0</v>
      </c>
    </row>
    <row r="81" spans="2:18">
      <c r="B81" s="40">
        <v>45358</v>
      </c>
      <c r="C81" s="41">
        <v>1</v>
      </c>
      <c r="D81" s="42">
        <v>2</v>
      </c>
      <c r="E81" s="43">
        <v>7542</v>
      </c>
      <c r="F81" s="44">
        <v>30694549817</v>
      </c>
      <c r="G81" s="45" t="str">
        <f>IFERROR(IF(compras_mes3[[#This Row],[CUIT]]="","-",VLOOKUP(compras_mes3[[#This Row],[CUIT]],Lista_CUIT[#All],2,0)),"CUIT NO CARGADO")</f>
        <v>DISEÑOS JERY SRL</v>
      </c>
      <c r="H81" s="46">
        <v>3857639.55</v>
      </c>
      <c r="I81" s="46">
        <f>IF(compras_mes3[[#This Row],[NETO GRAVADO]]="","",compras_mes3[[#This Row],[NETO GRAVADO]]*0.21)</f>
        <v>810104.3054999999</v>
      </c>
      <c r="J81" s="85"/>
      <c r="K81" s="85"/>
      <c r="L81" s="85"/>
      <c r="M81" s="85"/>
      <c r="N81" s="85"/>
      <c r="O81" s="85">
        <v>0</v>
      </c>
      <c r="P81" s="48">
        <f>SUM(compras_mes3[[#This Row],[NETO GRAVADO]:[Otros / No Grav.]])</f>
        <v>4667743.8554999996</v>
      </c>
      <c r="Q81" s="49" t="str">
        <f>IFERROR(IF(compras_mes3[[#This Row],[CUIT]]="","-",VLOOKUP(compras_mes3[[#This Row],[CUIT]],Lista_CUIT[#All],3,0)),"CUIT NO CARGADO")</f>
        <v>Productos Ortopedicos</v>
      </c>
      <c r="R81" s="49">
        <f>IFERROR(IF(compras_mes3[[#This Row],[CUIT]]="","-",VLOOKUP(compras_mes3[[#This Row],[CUIT]],Lista_CUIT[#All],4,0)),"CUIT NO CARGADO")</f>
        <v>0</v>
      </c>
    </row>
    <row r="82" spans="2:18">
      <c r="B82" s="40">
        <v>45357</v>
      </c>
      <c r="C82" s="41">
        <v>1</v>
      </c>
      <c r="D82" s="42">
        <v>5</v>
      </c>
      <c r="E82" s="43">
        <v>152267</v>
      </c>
      <c r="F82" s="44">
        <v>30598960093</v>
      </c>
      <c r="G82" s="45" t="str">
        <f>IFERROR(IF(compras_mes3[[#This Row],[CUIT]]="","-",VLOOKUP(compras_mes3[[#This Row],[CUIT]],Lista_CUIT[#All],2,0)),"CUIT NO CARGADO")</f>
        <v>SILVESTRIN FABRIS SRL</v>
      </c>
      <c r="H82" s="46">
        <v>2249091.5</v>
      </c>
      <c r="I82" s="46">
        <f>IF(compras_mes3[[#This Row],[NETO GRAVADO]]="","",compras_mes3[[#This Row],[NETO GRAVADO]]*0.21)</f>
        <v>472309.21499999997</v>
      </c>
      <c r="J82" s="85"/>
      <c r="K82" s="85"/>
      <c r="L82" s="85"/>
      <c r="M82" s="85"/>
      <c r="N82" s="85">
        <v>89963.66</v>
      </c>
      <c r="O82" s="85">
        <v>0</v>
      </c>
      <c r="P82" s="48">
        <f>SUM(compras_mes3[[#This Row],[NETO GRAVADO]:[Otros / No Grav.]])</f>
        <v>2811364.375</v>
      </c>
      <c r="Q82" s="49" t="str">
        <f>IFERROR(IF(compras_mes3[[#This Row],[CUIT]]="","-",VLOOKUP(compras_mes3[[#This Row],[CUIT]],Lista_CUIT[#All],3,0)),"CUIT NO CARGADO")</f>
        <v>Productos Ortopedicos</v>
      </c>
      <c r="R82" s="49">
        <f>IFERROR(IF(compras_mes3[[#This Row],[CUIT]]="","-",VLOOKUP(compras_mes3[[#This Row],[CUIT]],Lista_CUIT[#All],4,0)),"CUIT NO CARGADO")</f>
        <v>0</v>
      </c>
    </row>
    <row r="83" spans="2:18">
      <c r="B83" s="40">
        <v>45358</v>
      </c>
      <c r="C83" s="41">
        <v>1</v>
      </c>
      <c r="D83" s="42">
        <v>2</v>
      </c>
      <c r="E83" s="43">
        <v>7541</v>
      </c>
      <c r="F83" s="44">
        <v>30694549817</v>
      </c>
      <c r="G83" s="45" t="str">
        <f>IFERROR(IF(compras_mes3[[#This Row],[CUIT]]="","-",VLOOKUP(compras_mes3[[#This Row],[CUIT]],Lista_CUIT[#All],2,0)),"CUIT NO CARGADO")</f>
        <v>DISEÑOS JERY SRL</v>
      </c>
      <c r="H83" s="46">
        <v>1919896.89</v>
      </c>
      <c r="I83" s="46">
        <f>IF(compras_mes3[[#This Row],[NETO GRAVADO]]="","",compras_mes3[[#This Row],[NETO GRAVADO]]*0.21)</f>
        <v>403178.34689999995</v>
      </c>
      <c r="J83" s="85"/>
      <c r="K83" s="85"/>
      <c r="L83" s="85"/>
      <c r="M83" s="85"/>
      <c r="N83" s="85"/>
      <c r="O83" s="85">
        <v>0</v>
      </c>
      <c r="P83" s="48">
        <f>SUM(compras_mes3[[#This Row],[NETO GRAVADO]:[Otros / No Grav.]])</f>
        <v>2323075.2368999999</v>
      </c>
      <c r="Q83" s="49" t="str">
        <f>IFERROR(IF(compras_mes3[[#This Row],[CUIT]]="","-",VLOOKUP(compras_mes3[[#This Row],[CUIT]],Lista_CUIT[#All],3,0)),"CUIT NO CARGADO")</f>
        <v>Productos Ortopedicos</v>
      </c>
      <c r="R83" s="49">
        <f>IFERROR(IF(compras_mes3[[#This Row],[CUIT]]="","-",VLOOKUP(compras_mes3[[#This Row],[CUIT]],Lista_CUIT[#All],4,0)),"CUIT NO CARGADO")</f>
        <v>0</v>
      </c>
    </row>
    <row r="84" spans="2:18" ht="14.45" customHeight="1">
      <c r="B84" s="40">
        <v>45359</v>
      </c>
      <c r="C84" s="41">
        <v>1</v>
      </c>
      <c r="D84" s="42">
        <v>1</v>
      </c>
      <c r="E84" s="43">
        <v>2907</v>
      </c>
      <c r="F84" s="44">
        <v>30715141201</v>
      </c>
      <c r="G84" s="45" t="str">
        <f>IFERROR(IF(compras_mes3[[#This Row],[CUIT]]="","-",VLOOKUP(compras_mes3[[#This Row],[CUIT]],Lista_CUIT[#All],2,0)),"CUIT NO CARGADO")</f>
        <v>REHAB S.R.L.</v>
      </c>
      <c r="H84" s="46">
        <v>1763108.93</v>
      </c>
      <c r="I84" s="46">
        <f>IF(compras_mes3[[#This Row],[NETO GRAVADO]]="","",compras_mes3[[#This Row],[NETO GRAVADO]]*0.21)</f>
        <v>370252.87529999996</v>
      </c>
      <c r="J84" s="85"/>
      <c r="K84" s="85"/>
      <c r="L84" s="85"/>
      <c r="M84" s="85"/>
      <c r="N84" s="85"/>
      <c r="O84" s="85">
        <v>0</v>
      </c>
      <c r="P84" s="48">
        <f>SUM(compras_mes3[[#This Row],[NETO GRAVADO]:[Otros / No Grav.]])</f>
        <v>2133361.8053000001</v>
      </c>
      <c r="Q84" s="49" t="str">
        <f>IFERROR(IF(compras_mes3[[#This Row],[CUIT]]="","-",VLOOKUP(compras_mes3[[#This Row],[CUIT]],Lista_CUIT[#All],3,0)),"CUIT NO CARGADO")</f>
        <v>Productos Ortopedicos</v>
      </c>
      <c r="R84" s="49">
        <f>IFERROR(IF(compras_mes3[[#This Row],[CUIT]]="","-",VLOOKUP(compras_mes3[[#This Row],[CUIT]],Lista_CUIT[#All],4,0)),"CUIT NO CARGADO")</f>
        <v>0</v>
      </c>
    </row>
    <row r="85" spans="2:18">
      <c r="B85" s="40">
        <v>45366</v>
      </c>
      <c r="C85" s="41">
        <v>1</v>
      </c>
      <c r="D85" s="42">
        <v>6</v>
      </c>
      <c r="E85" s="43">
        <v>52017</v>
      </c>
      <c r="F85" s="44">
        <v>30710177658</v>
      </c>
      <c r="G85" s="45" t="str">
        <f>IFERROR(IF(compras_mes3[[#This Row],[CUIT]]="","-",VLOOKUP(compras_mes3[[#This Row],[CUIT]],Lista_CUIT[#All],2,0)),"CUIT NO CARGADO")</f>
        <v>TARGET MEDICAL SA</v>
      </c>
      <c r="H85" s="46">
        <v>1666000</v>
      </c>
      <c r="I85" s="46">
        <f>IF(compras_mes3[[#This Row],[NETO GRAVADO]]="","",compras_mes3[[#This Row],[NETO GRAVADO]]*0.21)</f>
        <v>349860</v>
      </c>
      <c r="J85" s="85"/>
      <c r="K85" s="85"/>
      <c r="L85" s="85"/>
      <c r="M85" s="85"/>
      <c r="N85" s="85">
        <v>66640</v>
      </c>
      <c r="O85" s="85">
        <v>0</v>
      </c>
      <c r="P85" s="48">
        <f>SUM(compras_mes3[[#This Row],[NETO GRAVADO]:[Otros / No Grav.]])</f>
        <v>2082500</v>
      </c>
      <c r="Q85" s="49" t="str">
        <f>IFERROR(IF(compras_mes3[[#This Row],[CUIT]]="","-",VLOOKUP(compras_mes3[[#This Row],[CUIT]],Lista_CUIT[#All],3,0)),"CUIT NO CARGADO")</f>
        <v>Productos Ortopedicos</v>
      </c>
      <c r="R85" s="49">
        <f>IFERROR(IF(compras_mes3[[#This Row],[CUIT]]="","-",VLOOKUP(compras_mes3[[#This Row],[CUIT]],Lista_CUIT[#All],4,0)),"CUIT NO CARGADO")</f>
        <v>0</v>
      </c>
    </row>
    <row r="86" spans="2:18">
      <c r="B86" s="40">
        <v>45366</v>
      </c>
      <c r="C86" s="41">
        <v>1</v>
      </c>
      <c r="D86" s="42">
        <v>2</v>
      </c>
      <c r="E86" s="43">
        <v>9632</v>
      </c>
      <c r="F86" s="44">
        <v>30714331082</v>
      </c>
      <c r="G86" s="45" t="str">
        <f>IFERROR(IF(compras_mes3[[#This Row],[CUIT]]="","-",VLOOKUP(compras_mes3[[#This Row],[CUIT]],Lista_CUIT[#All],2,0)),"CUIT NO CARGADO")</f>
        <v>ORTOPEDIA CASA ESCALADA SRL</v>
      </c>
      <c r="H86" s="46">
        <v>1421647.2</v>
      </c>
      <c r="I86" s="46">
        <f>IF(compras_mes3[[#This Row],[NETO GRAVADO]]="","",compras_mes3[[#This Row],[NETO GRAVADO]]*0.21)</f>
        <v>298545.91199999995</v>
      </c>
      <c r="J86" s="85"/>
      <c r="K86" s="85"/>
      <c r="L86" s="85"/>
      <c r="M86" s="85"/>
      <c r="N86" s="85"/>
      <c r="O86" s="85">
        <v>0</v>
      </c>
      <c r="P86" s="48">
        <f>SUM(compras_mes3[[#This Row],[NETO GRAVADO]:[Otros / No Grav.]])</f>
        <v>1720193.112</v>
      </c>
      <c r="Q86" s="49" t="str">
        <f>IFERROR(IF(compras_mes3[[#This Row],[CUIT]]="","-",VLOOKUP(compras_mes3[[#This Row],[CUIT]],Lista_CUIT[#All],3,0)),"CUIT NO CARGADO")</f>
        <v>Productos Ortopedicos</v>
      </c>
      <c r="R86" s="49">
        <f>IFERROR(IF(compras_mes3[[#This Row],[CUIT]]="","-",VLOOKUP(compras_mes3[[#This Row],[CUIT]],Lista_CUIT[#All],4,0)),"CUIT NO CARGADO")</f>
        <v>0</v>
      </c>
    </row>
    <row r="87" spans="2:18" ht="14.45" customHeight="1">
      <c r="B87" s="40">
        <v>45366</v>
      </c>
      <c r="C87" s="41">
        <v>1</v>
      </c>
      <c r="D87" s="42">
        <v>2</v>
      </c>
      <c r="E87" s="43">
        <v>9631</v>
      </c>
      <c r="F87" s="44">
        <v>30714331082</v>
      </c>
      <c r="G87" s="45" t="str">
        <f>IFERROR(IF(compras_mes3[[#This Row],[CUIT]]="","-",VLOOKUP(compras_mes3[[#This Row],[CUIT]],Lista_CUIT[#All],2,0)),"CUIT NO CARGADO")</f>
        <v>ORTOPEDIA CASA ESCALADA SRL</v>
      </c>
      <c r="H87" s="46">
        <v>1385818.65</v>
      </c>
      <c r="I87" s="46">
        <f>IF(compras_mes3[[#This Row],[NETO GRAVADO]]="","",compras_mes3[[#This Row],[NETO GRAVADO]]*0.21)</f>
        <v>291021.91649999999</v>
      </c>
      <c r="J87" s="85"/>
      <c r="K87" s="85"/>
      <c r="L87" s="85"/>
      <c r="M87" s="85"/>
      <c r="N87" s="85"/>
      <c r="O87" s="85">
        <v>0</v>
      </c>
      <c r="P87" s="48">
        <f>SUM(compras_mes3[[#This Row],[NETO GRAVADO]:[Otros / No Grav.]])</f>
        <v>1676840.5665</v>
      </c>
      <c r="Q87" s="49" t="str">
        <f>IFERROR(IF(compras_mes3[[#This Row],[CUIT]]="","-",VLOOKUP(compras_mes3[[#This Row],[CUIT]],Lista_CUIT[#All],3,0)),"CUIT NO CARGADO")</f>
        <v>Productos Ortopedicos</v>
      </c>
      <c r="R87" s="49">
        <f>IFERROR(IF(compras_mes3[[#This Row],[CUIT]]="","-",VLOOKUP(compras_mes3[[#This Row],[CUIT]],Lista_CUIT[#All],4,0)),"CUIT NO CARGADO")</f>
        <v>0</v>
      </c>
    </row>
    <row r="88" spans="2:18" ht="14.45" customHeight="1">
      <c r="B88" s="40">
        <v>45370</v>
      </c>
      <c r="C88" s="41">
        <v>1</v>
      </c>
      <c r="D88" s="42">
        <v>6</v>
      </c>
      <c r="E88" s="43">
        <v>52045</v>
      </c>
      <c r="F88" s="44">
        <v>30710177658</v>
      </c>
      <c r="G88" s="45" t="str">
        <f>IFERROR(IF(compras_mes3[[#This Row],[CUIT]]="","-",VLOOKUP(compras_mes3[[#This Row],[CUIT]],Lista_CUIT[#All],2,0)),"CUIT NO CARGADO")</f>
        <v>TARGET MEDICAL SA</v>
      </c>
      <c r="H88" s="46">
        <v>1206388.8</v>
      </c>
      <c r="I88" s="46">
        <f>IF(compras_mes3[[#This Row],[NETO GRAVADO]]="","",compras_mes3[[#This Row],[NETO GRAVADO]]*0.21)</f>
        <v>253341.64799999999</v>
      </c>
      <c r="J88" s="85"/>
      <c r="K88" s="85"/>
      <c r="L88" s="85"/>
      <c r="M88" s="85"/>
      <c r="N88" s="85"/>
      <c r="O88" s="85">
        <v>0</v>
      </c>
      <c r="P88" s="48">
        <f>SUM(compras_mes3[[#This Row],[NETO GRAVADO]:[Otros / No Grav.]])</f>
        <v>1459730.4480000001</v>
      </c>
      <c r="Q88" s="49" t="str">
        <f>IFERROR(IF(compras_mes3[[#This Row],[CUIT]]="","-",VLOOKUP(compras_mes3[[#This Row],[CUIT]],Lista_CUIT[#All],3,0)),"CUIT NO CARGADO")</f>
        <v>Productos Ortopedicos</v>
      </c>
      <c r="R88" s="49">
        <f>IFERROR(IF(compras_mes3[[#This Row],[CUIT]]="","-",VLOOKUP(compras_mes3[[#This Row],[CUIT]],Lista_CUIT[#All],4,0)),"CUIT NO CARGADO")</f>
        <v>0</v>
      </c>
    </row>
    <row r="89" spans="2:18" ht="15" customHeight="1">
      <c r="B89" s="40">
        <v>45358</v>
      </c>
      <c r="C89" s="41">
        <v>1</v>
      </c>
      <c r="D89" s="42">
        <v>5</v>
      </c>
      <c r="E89" s="43">
        <v>2815</v>
      </c>
      <c r="F89" s="44">
        <v>33714662819</v>
      </c>
      <c r="G89" s="45" t="str">
        <f>IFERROR(IF(compras_mes3[[#This Row],[CUIT]]="","-",VLOOKUP(compras_mes3[[#This Row],[CUIT]],Lista_CUIT[#All],2,0)),"CUIT NO CARGADO")</f>
        <v>AYUDAS TECNICAS SRL</v>
      </c>
      <c r="H89" s="46">
        <v>887299</v>
      </c>
      <c r="I89" s="46">
        <f>IF(compras_mes3[[#This Row],[NETO GRAVADO]]="","",compras_mes3[[#This Row],[NETO GRAVADO]]*0.21)</f>
        <v>186332.78999999998</v>
      </c>
      <c r="J89" s="85"/>
      <c r="K89" s="85"/>
      <c r="L89" s="85"/>
      <c r="M89" s="85"/>
      <c r="N89" s="85"/>
      <c r="O89" s="85">
        <v>0</v>
      </c>
      <c r="P89" s="48">
        <f>SUM(compras_mes3[[#This Row],[NETO GRAVADO]:[Otros / No Grav.]])</f>
        <v>1073631.79</v>
      </c>
      <c r="Q89" s="49" t="str">
        <f>IFERROR(IF(compras_mes3[[#This Row],[CUIT]]="","-",VLOOKUP(compras_mes3[[#This Row],[CUIT]],Lista_CUIT[#All],3,0)),"CUIT NO CARGADO")</f>
        <v>Productos Ortopedicos</v>
      </c>
      <c r="R89" s="49">
        <f>IFERROR(IF(compras_mes3[[#This Row],[CUIT]]="","-",VLOOKUP(compras_mes3[[#This Row],[CUIT]],Lista_CUIT[#All],4,0)),"CUIT NO CARGADO")</f>
        <v>0</v>
      </c>
    </row>
    <row r="90" spans="2:18" ht="15" customHeight="1">
      <c r="B90" s="40">
        <v>45371</v>
      </c>
      <c r="C90" s="41">
        <v>1</v>
      </c>
      <c r="D90" s="42">
        <v>6</v>
      </c>
      <c r="E90" s="43">
        <v>52070</v>
      </c>
      <c r="F90" s="44">
        <v>30710177658</v>
      </c>
      <c r="G90" s="45" t="str">
        <f>IFERROR(IF(compras_mes3[[#This Row],[CUIT]]="","-",VLOOKUP(compras_mes3[[#This Row],[CUIT]],Lista_CUIT[#All],2,0)),"CUIT NO CARGADO")</f>
        <v>TARGET MEDICAL SA</v>
      </c>
      <c r="H90" s="46">
        <v>573079.07999999996</v>
      </c>
      <c r="I90" s="46">
        <f>IF(compras_mes3[[#This Row],[NETO GRAVADO]]="","",compras_mes3[[#This Row],[NETO GRAVADO]]*0.21)</f>
        <v>120346.60679999998</v>
      </c>
      <c r="J90" s="85"/>
      <c r="K90" s="85"/>
      <c r="L90" s="85"/>
      <c r="M90" s="85"/>
      <c r="N90" s="85"/>
      <c r="O90" s="85">
        <v>0</v>
      </c>
      <c r="P90" s="48">
        <f>SUM(compras_mes3[[#This Row],[NETO GRAVADO]:[Otros / No Grav.]])</f>
        <v>693425.68679999991</v>
      </c>
      <c r="Q90" s="49" t="str">
        <f>IFERROR(IF(compras_mes3[[#This Row],[CUIT]]="","-",VLOOKUP(compras_mes3[[#This Row],[CUIT]],Lista_CUIT[#All],3,0)),"CUIT NO CARGADO")</f>
        <v>Productos Ortopedicos</v>
      </c>
      <c r="R90" s="49">
        <f>IFERROR(IF(compras_mes3[[#This Row],[CUIT]]="","-",VLOOKUP(compras_mes3[[#This Row],[CUIT]],Lista_CUIT[#All],4,0)),"CUIT NO CARGADO")</f>
        <v>0</v>
      </c>
    </row>
    <row r="91" spans="2:18" ht="15" customHeight="1">
      <c r="B91" s="40">
        <v>45358</v>
      </c>
      <c r="C91" s="41">
        <v>1</v>
      </c>
      <c r="D91" s="42">
        <v>2</v>
      </c>
      <c r="E91" s="43">
        <v>9596</v>
      </c>
      <c r="F91" s="44">
        <v>30714331082</v>
      </c>
      <c r="G91" s="45" t="str">
        <f>IFERROR(IF(compras_mes3[[#This Row],[CUIT]]="","-",VLOOKUP(compras_mes3[[#This Row],[CUIT]],Lista_CUIT[#All],2,0)),"CUIT NO CARGADO")</f>
        <v>ORTOPEDIA CASA ESCALADA SRL</v>
      </c>
      <c r="H91" s="46">
        <v>401020.2</v>
      </c>
      <c r="I91" s="46">
        <f>IF(compras_mes3[[#This Row],[NETO GRAVADO]]="","",compras_mes3[[#This Row],[NETO GRAVADO]]*0.21)</f>
        <v>84214.241999999998</v>
      </c>
      <c r="J91" s="85"/>
      <c r="K91" s="85"/>
      <c r="L91" s="85"/>
      <c r="M91" s="85"/>
      <c r="N91" s="85"/>
      <c r="O91" s="85">
        <v>0</v>
      </c>
      <c r="P91" s="48">
        <f>SUM(compras_mes3[[#This Row],[NETO GRAVADO]:[Otros / No Grav.]])</f>
        <v>485234.44200000004</v>
      </c>
      <c r="Q91" s="49" t="str">
        <f>IFERROR(IF(compras_mes3[[#This Row],[CUIT]]="","-",VLOOKUP(compras_mes3[[#This Row],[CUIT]],Lista_CUIT[#All],3,0)),"CUIT NO CARGADO")</f>
        <v>Productos Ortopedicos</v>
      </c>
      <c r="R91" s="49">
        <f>IFERROR(IF(compras_mes3[[#This Row],[CUIT]]="","-",VLOOKUP(compras_mes3[[#This Row],[CUIT]],Lista_CUIT[#All],4,0)),"CUIT NO CARGADO")</f>
        <v>0</v>
      </c>
    </row>
    <row r="92" spans="2:18" ht="15" customHeight="1">
      <c r="B92" s="40">
        <v>45371</v>
      </c>
      <c r="C92" s="41">
        <v>1</v>
      </c>
      <c r="D92" s="42">
        <v>1</v>
      </c>
      <c r="E92" s="43">
        <v>2975</v>
      </c>
      <c r="F92" s="44">
        <v>30715141201</v>
      </c>
      <c r="G92" s="45" t="str">
        <f>IFERROR(IF(compras_mes3[[#This Row],[CUIT]]="","-",VLOOKUP(compras_mes3[[#This Row],[CUIT]],Lista_CUIT[#All],2,0)),"CUIT NO CARGADO")</f>
        <v>REHAB S.R.L.</v>
      </c>
      <c r="H92" s="46">
        <v>398750.62</v>
      </c>
      <c r="I92" s="46">
        <f>IF(compras_mes3[[#This Row],[NETO GRAVADO]]="","",compras_mes3[[#This Row],[NETO GRAVADO]]*0.21)</f>
        <v>83737.6302</v>
      </c>
      <c r="J92" s="85"/>
      <c r="K92" s="85"/>
      <c r="L92" s="85"/>
      <c r="M92" s="85"/>
      <c r="N92" s="85"/>
      <c r="O92" s="85">
        <v>0</v>
      </c>
      <c r="P92" s="48">
        <f>SUM(compras_mes3[[#This Row],[NETO GRAVADO]:[Otros / No Grav.]])</f>
        <v>482488.25020000001</v>
      </c>
      <c r="Q92" s="49" t="str">
        <f>IFERROR(IF(compras_mes3[[#This Row],[CUIT]]="","-",VLOOKUP(compras_mes3[[#This Row],[CUIT]],Lista_CUIT[#All],3,0)),"CUIT NO CARGADO")</f>
        <v>Productos Ortopedicos</v>
      </c>
      <c r="R92" s="49">
        <f>IFERROR(IF(compras_mes3[[#This Row],[CUIT]]="","-",VLOOKUP(compras_mes3[[#This Row],[CUIT]],Lista_CUIT[#All],4,0)),"CUIT NO CARGADO")</f>
        <v>0</v>
      </c>
    </row>
    <row r="93" spans="2:18" ht="15" customHeight="1">
      <c r="B93" s="40">
        <v>45357</v>
      </c>
      <c r="C93" s="41">
        <v>1</v>
      </c>
      <c r="D93" s="42">
        <v>8</v>
      </c>
      <c r="E93" s="43">
        <v>1598</v>
      </c>
      <c r="F93" s="44">
        <v>30708973501</v>
      </c>
      <c r="G93" s="45" t="str">
        <f>IFERROR(IF(compras_mes3[[#This Row],[CUIT]]="","-",VLOOKUP(compras_mes3[[#This Row],[CUIT]],Lista_CUIT[#All],2,0)),"CUIT NO CARGADO")</f>
        <v>ASIAL SRL</v>
      </c>
      <c r="H93" s="46">
        <v>387585</v>
      </c>
      <c r="I93" s="46">
        <f>IF(compras_mes3[[#This Row],[NETO GRAVADO]]="","",compras_mes3[[#This Row],[NETO GRAVADO]]*0.21)</f>
        <v>81392.849999999991</v>
      </c>
      <c r="J93" s="85"/>
      <c r="K93" s="85"/>
      <c r="L93" s="85"/>
      <c r="M93" s="85"/>
      <c r="N93" s="85"/>
      <c r="O93" s="85">
        <v>0</v>
      </c>
      <c r="P93" s="48">
        <f>SUM(compras_mes3[[#This Row],[NETO GRAVADO]:[Otros / No Grav.]])</f>
        <v>468977.85</v>
      </c>
      <c r="Q93" s="49" t="str">
        <f>IFERROR(IF(compras_mes3[[#This Row],[CUIT]]="","-",VLOOKUP(compras_mes3[[#This Row],[CUIT]],Lista_CUIT[#All],3,0)),"CUIT NO CARGADO")</f>
        <v>Productos Ortopedicos</v>
      </c>
      <c r="R93" s="49">
        <f>IFERROR(IF(compras_mes3[[#This Row],[CUIT]]="","-",VLOOKUP(compras_mes3[[#This Row],[CUIT]],Lista_CUIT[#All],4,0)),"CUIT NO CARGADO")</f>
        <v>0</v>
      </c>
    </row>
    <row r="94" spans="2:18">
      <c r="B94" s="40">
        <v>45370</v>
      </c>
      <c r="C94" s="41">
        <v>1</v>
      </c>
      <c r="D94" s="42">
        <v>2</v>
      </c>
      <c r="E94" s="43">
        <v>9643</v>
      </c>
      <c r="F94" s="44">
        <v>30714331082</v>
      </c>
      <c r="G94" s="45" t="str">
        <f>IFERROR(IF(compras_mes3[[#This Row],[CUIT]]="","-",VLOOKUP(compras_mes3[[#This Row],[CUIT]],Lista_CUIT[#All],2,0)),"CUIT NO CARGADO")</f>
        <v>ORTOPEDIA CASA ESCALADA SRL</v>
      </c>
      <c r="H94" s="46">
        <v>284218.2</v>
      </c>
      <c r="I94" s="46">
        <f>IF(compras_mes3[[#This Row],[NETO GRAVADO]]="","",compras_mes3[[#This Row],[NETO GRAVADO]]*0.21)</f>
        <v>59685.822</v>
      </c>
      <c r="J94" s="85"/>
      <c r="K94" s="85"/>
      <c r="L94" s="85"/>
      <c r="M94" s="85"/>
      <c r="N94" s="85"/>
      <c r="O94" s="85">
        <v>0</v>
      </c>
      <c r="P94" s="48">
        <f>SUM(compras_mes3[[#This Row],[NETO GRAVADO]:[Otros / No Grav.]])</f>
        <v>343904.022</v>
      </c>
      <c r="Q94" s="49" t="str">
        <f>IFERROR(IF(compras_mes3[[#This Row],[CUIT]]="","-",VLOOKUP(compras_mes3[[#This Row],[CUIT]],Lista_CUIT[#All],3,0)),"CUIT NO CARGADO")</f>
        <v>Productos Ortopedicos</v>
      </c>
      <c r="R94" s="49">
        <f>IFERROR(IF(compras_mes3[[#This Row],[CUIT]]="","-",VLOOKUP(compras_mes3[[#This Row],[CUIT]],Lista_CUIT[#All],4,0)),"CUIT NO CARGADO")</f>
        <v>0</v>
      </c>
    </row>
    <row r="95" spans="2:18">
      <c r="B95" s="40">
        <v>45373</v>
      </c>
      <c r="C95" s="41">
        <v>1</v>
      </c>
      <c r="D95" s="42">
        <v>17</v>
      </c>
      <c r="E95" s="43">
        <v>1768</v>
      </c>
      <c r="F95" s="44">
        <v>30711764921</v>
      </c>
      <c r="G95" s="45" t="str">
        <f>IFERROR(IF(compras_mes3[[#This Row],[CUIT]]="","-",VLOOKUP(compras_mes3[[#This Row],[CUIT]],Lista_CUIT[#All],2,0)),"CUIT NO CARGADO")</f>
        <v>RELIEF CENTER SRL</v>
      </c>
      <c r="H95" s="46">
        <v>240992</v>
      </c>
      <c r="I95" s="46">
        <f>IF(compras_mes3[[#This Row],[NETO GRAVADO]]="","",compras_mes3[[#This Row],[NETO GRAVADO]]*0.21)</f>
        <v>50608.32</v>
      </c>
      <c r="J95" s="85"/>
      <c r="K95" s="85"/>
      <c r="L95" s="85"/>
      <c r="M95" s="85"/>
      <c r="N95" s="85"/>
      <c r="O95" s="85">
        <v>0</v>
      </c>
      <c r="P95" s="48">
        <f>SUM(compras_mes3[[#This Row],[NETO GRAVADO]:[Otros / No Grav.]])</f>
        <v>291600.32</v>
      </c>
      <c r="Q95" s="49" t="str">
        <f>IFERROR(IF(compras_mes3[[#This Row],[CUIT]]="","-",VLOOKUP(compras_mes3[[#This Row],[CUIT]],Lista_CUIT[#All],3,0)),"CUIT NO CARGADO")</f>
        <v>Productos Ortopedicos</v>
      </c>
      <c r="R95" s="49">
        <f>IFERROR(IF(compras_mes3[[#This Row],[CUIT]]="","-",VLOOKUP(compras_mes3[[#This Row],[CUIT]],Lista_CUIT[#All],4,0)),"CUIT NO CARGADO")</f>
        <v>0</v>
      </c>
    </row>
    <row r="96" spans="2:18">
      <c r="B96" s="40">
        <v>45369</v>
      </c>
      <c r="C96" s="41">
        <v>1</v>
      </c>
      <c r="D96" s="42">
        <v>8</v>
      </c>
      <c r="E96" s="43">
        <v>260</v>
      </c>
      <c r="F96" s="44">
        <v>30643518364</v>
      </c>
      <c r="G96" s="45" t="str">
        <f>IFERROR(IF(compras_mes3[[#This Row],[CUIT]]="","-",VLOOKUP(compras_mes3[[#This Row],[CUIT]],Lista_CUIT[#All],2,0)),"CUIT NO CARGADO")</f>
        <v>FARMACIA DE MEDRANO SCS</v>
      </c>
      <c r="H96" s="46">
        <v>209940</v>
      </c>
      <c r="I96" s="46">
        <f>IF(compras_mes3[[#This Row],[NETO GRAVADO]]="","",compras_mes3[[#This Row],[NETO GRAVADO]]*0.21)</f>
        <v>44087.4</v>
      </c>
      <c r="J96" s="85"/>
      <c r="K96" s="85"/>
      <c r="L96" s="85"/>
      <c r="M96" s="85"/>
      <c r="N96" s="85"/>
      <c r="O96" s="85">
        <v>0</v>
      </c>
      <c r="P96" s="48">
        <f>SUM(compras_mes3[[#This Row],[NETO GRAVADO]:[Otros / No Grav.]])</f>
        <v>254027.4</v>
      </c>
      <c r="Q96" s="49" t="str">
        <f>IFERROR(IF(compras_mes3[[#This Row],[CUIT]]="","-",VLOOKUP(compras_mes3[[#This Row],[CUIT]],Lista_CUIT[#All],3,0)),"CUIT NO CARGADO")</f>
        <v>Productos Ortopedicos</v>
      </c>
      <c r="R96" s="49">
        <f>IFERROR(IF(compras_mes3[[#This Row],[CUIT]]="","-",VLOOKUP(compras_mes3[[#This Row],[CUIT]],Lista_CUIT[#All],4,0)),"CUIT NO CARGADO")</f>
        <v>0</v>
      </c>
    </row>
    <row r="97" spans="2:18">
      <c r="B97" s="40">
        <v>45374</v>
      </c>
      <c r="C97" s="41">
        <v>1</v>
      </c>
      <c r="D97" s="42">
        <v>4</v>
      </c>
      <c r="E97" s="43">
        <v>90486</v>
      </c>
      <c r="F97" s="44">
        <v>30708534907</v>
      </c>
      <c r="G97" s="45" t="str">
        <f>IFERROR(IF(compras_mes3[[#This Row],[CUIT]]="","-",VLOOKUP(compras_mes3[[#This Row],[CUIT]],Lista_CUIT[#All],2,0)),"CUIT NO CARGADO")</f>
        <v>VZH SRL</v>
      </c>
      <c r="H97" s="46">
        <v>207893</v>
      </c>
      <c r="I97" s="46">
        <f>IF(compras_mes3[[#This Row],[NETO GRAVADO]]="","",compras_mes3[[#This Row],[NETO GRAVADO]]*0.21)</f>
        <v>43657.53</v>
      </c>
      <c r="J97" s="85"/>
      <c r="K97" s="85"/>
      <c r="L97" s="85"/>
      <c r="M97" s="85"/>
      <c r="N97" s="85"/>
      <c r="O97" s="85">
        <v>8315.7199999999993</v>
      </c>
      <c r="P97" s="48">
        <f>SUM(compras_mes3[[#This Row],[NETO GRAVADO]:[Otros / No Grav.]])</f>
        <v>259866.25</v>
      </c>
      <c r="Q97" s="49" t="str">
        <f>IFERROR(IF(compras_mes3[[#This Row],[CUIT]]="","-",VLOOKUP(compras_mes3[[#This Row],[CUIT]],Lista_CUIT[#All],3,0)),"CUIT NO CARGADO")</f>
        <v>Productos Ortopedicos</v>
      </c>
      <c r="R97" s="49">
        <f>IFERROR(IF(compras_mes3[[#This Row],[CUIT]]="","-",VLOOKUP(compras_mes3[[#This Row],[CUIT]],Lista_CUIT[#All],4,0)),"CUIT NO CARGADO")</f>
        <v>0</v>
      </c>
    </row>
    <row r="98" spans="2:18">
      <c r="B98" s="40">
        <v>45373</v>
      </c>
      <c r="C98" s="41">
        <v>1</v>
      </c>
      <c r="D98" s="42">
        <v>17</v>
      </c>
      <c r="E98" s="43">
        <v>1767</v>
      </c>
      <c r="F98" s="44">
        <v>30711764921</v>
      </c>
      <c r="G98" s="45" t="str">
        <f>IFERROR(IF(compras_mes3[[#This Row],[CUIT]]="","-",VLOOKUP(compras_mes3[[#This Row],[CUIT]],Lista_CUIT[#All],2,0)),"CUIT NO CARGADO")</f>
        <v>RELIEF CENTER SRL</v>
      </c>
      <c r="H98" s="46">
        <v>200786</v>
      </c>
      <c r="I98" s="46">
        <f>IF(compras_mes3[[#This Row],[NETO GRAVADO]]="","",compras_mes3[[#This Row],[NETO GRAVADO]]*0.21)</f>
        <v>42165.06</v>
      </c>
      <c r="J98" s="85"/>
      <c r="K98" s="85"/>
      <c r="L98" s="85"/>
      <c r="M98" s="85"/>
      <c r="N98" s="85"/>
      <c r="O98" s="85">
        <v>0</v>
      </c>
      <c r="P98" s="48">
        <f>SUM(compras_mes3[[#This Row],[NETO GRAVADO]:[Otros / No Grav.]])</f>
        <v>242951.06</v>
      </c>
      <c r="Q98" s="49" t="str">
        <f>IFERROR(IF(compras_mes3[[#This Row],[CUIT]]="","-",VLOOKUP(compras_mes3[[#This Row],[CUIT]],Lista_CUIT[#All],3,0)),"CUIT NO CARGADO")</f>
        <v>Productos Ortopedicos</v>
      </c>
      <c r="R98" s="49">
        <f>IFERROR(IF(compras_mes3[[#This Row],[CUIT]]="","-",VLOOKUP(compras_mes3[[#This Row],[CUIT]],Lista_CUIT[#All],4,0)),"CUIT NO CARGADO")</f>
        <v>0</v>
      </c>
    </row>
    <row r="99" spans="2:18">
      <c r="B99" s="40">
        <v>45369</v>
      </c>
      <c r="C99" s="41">
        <v>1</v>
      </c>
      <c r="D99" s="42">
        <v>6</v>
      </c>
      <c r="E99" s="43">
        <v>80632</v>
      </c>
      <c r="F99" s="44">
        <v>30711553564</v>
      </c>
      <c r="G99" s="45" t="str">
        <f>IFERROR(IF(compras_mes3[[#This Row],[CUIT]]="","-",VLOOKUP(compras_mes3[[#This Row],[CUIT]],Lista_CUIT[#All],2,0)),"CUIT NO CARGADO")</f>
        <v>SALUD TEX S.A</v>
      </c>
      <c r="H99" s="46">
        <v>173960</v>
      </c>
      <c r="I99" s="46">
        <f>IF(compras_mes3[[#This Row],[NETO GRAVADO]]="","",compras_mes3[[#This Row],[NETO GRAVADO]]*0.21)</f>
        <v>36531.599999999999</v>
      </c>
      <c r="J99" s="85"/>
      <c r="K99" s="85"/>
      <c r="L99" s="85"/>
      <c r="M99" s="85"/>
      <c r="N99" s="85"/>
      <c r="O99" s="85">
        <v>0</v>
      </c>
      <c r="P99" s="48">
        <f>SUM(compras_mes3[[#This Row],[NETO GRAVADO]:[Otros / No Grav.]])</f>
        <v>210491.6</v>
      </c>
      <c r="Q99" s="49" t="str">
        <f>IFERROR(IF(compras_mes3[[#This Row],[CUIT]]="","-",VLOOKUP(compras_mes3[[#This Row],[CUIT]],Lista_CUIT[#All],3,0)),"CUIT NO CARGADO")</f>
        <v>Productos Ortopedicos</v>
      </c>
      <c r="R99" s="49">
        <f>IFERROR(IF(compras_mes3[[#This Row],[CUIT]]="","-",VLOOKUP(compras_mes3[[#This Row],[CUIT]],Lista_CUIT[#All],4,0)),"CUIT NO CARGADO")</f>
        <v>0</v>
      </c>
    </row>
    <row r="100" spans="2:18">
      <c r="B100" s="40">
        <v>45359</v>
      </c>
      <c r="C100" s="41">
        <v>1</v>
      </c>
      <c r="D100" s="42">
        <v>2</v>
      </c>
      <c r="E100" s="43">
        <v>8151</v>
      </c>
      <c r="F100" s="44">
        <v>30643862928</v>
      </c>
      <c r="G100" s="45" t="str">
        <f>IFERROR(IF(compras_mes3[[#This Row],[CUIT]]="","-",VLOOKUP(compras_mes3[[#This Row],[CUIT]],Lista_CUIT[#All],2,0)),"CUIT NO CARGADO")</f>
        <v>OUTLANDISH SRL</v>
      </c>
      <c r="H100" s="46">
        <v>131980.17000000001</v>
      </c>
      <c r="I100" s="46">
        <f>IF(compras_mes3[[#This Row],[NETO GRAVADO]]="","",compras_mes3[[#This Row],[NETO GRAVADO]]*0.21)</f>
        <v>27715.835700000003</v>
      </c>
      <c r="J100" s="85"/>
      <c r="K100" s="85"/>
      <c r="L100" s="85"/>
      <c r="M100" s="85"/>
      <c r="N100" s="85"/>
      <c r="O100" s="85">
        <v>0</v>
      </c>
      <c r="P100" s="48">
        <f>SUM(compras_mes3[[#This Row],[NETO GRAVADO]:[Otros / No Grav.]])</f>
        <v>159696.00570000001</v>
      </c>
      <c r="Q100" s="49" t="str">
        <f>IFERROR(IF(compras_mes3[[#This Row],[CUIT]]="","-",VLOOKUP(compras_mes3[[#This Row],[CUIT]],Lista_CUIT[#All],3,0)),"CUIT NO CARGADO")</f>
        <v>Productos Ortopedicos</v>
      </c>
      <c r="R100" s="49">
        <f>IFERROR(IF(compras_mes3[[#This Row],[CUIT]]="","-",VLOOKUP(compras_mes3[[#This Row],[CUIT]],Lista_CUIT[#All],4,0)),"CUIT NO CARGADO")</f>
        <v>0</v>
      </c>
    </row>
    <row r="101" spans="2:18" s="56" customFormat="1" ht="18.600000000000001" customHeight="1">
      <c r="B101" s="40">
        <v>45358</v>
      </c>
      <c r="C101" s="41">
        <v>1</v>
      </c>
      <c r="D101" s="42">
        <v>2</v>
      </c>
      <c r="E101" s="43">
        <v>383</v>
      </c>
      <c r="F101" s="44">
        <v>20272865869</v>
      </c>
      <c r="G101" s="45" t="str">
        <f>IFERROR(IF(compras_mes3[[#This Row],[CUIT]]="","-",VLOOKUP(compras_mes3[[#This Row],[CUIT]],Lista_CUIT[#All],2,0)),"CUIT NO CARGADO")</f>
        <v>DI FEO MARTIN EZEQUIEL</v>
      </c>
      <c r="H101" s="46">
        <v>95900</v>
      </c>
      <c r="I101" s="46">
        <f>IF(compras_mes3[[#This Row],[NETO GRAVADO]]="","",compras_mes3[[#This Row],[NETO GRAVADO]]*0.21)</f>
        <v>20139</v>
      </c>
      <c r="J101" s="85"/>
      <c r="K101" s="85"/>
      <c r="L101" s="85"/>
      <c r="M101" s="85"/>
      <c r="N101" s="85"/>
      <c r="O101" s="85">
        <v>0</v>
      </c>
      <c r="P101" s="48">
        <f>SUM(compras_mes3[[#This Row],[NETO GRAVADO]:[Otros / No Grav.]])</f>
        <v>116039</v>
      </c>
      <c r="Q101" s="49" t="str">
        <f>IFERROR(IF(compras_mes3[[#This Row],[CUIT]]="","-",VLOOKUP(compras_mes3[[#This Row],[CUIT]],Lista_CUIT[#All],3,0)),"CUIT NO CARGADO")</f>
        <v>Productos Ortopedicos</v>
      </c>
      <c r="R101" s="49">
        <f>IFERROR(IF(compras_mes3[[#This Row],[CUIT]]="","-",VLOOKUP(compras_mes3[[#This Row],[CUIT]],Lista_CUIT[#All],4,0)),"CUIT NO CARGADO")</f>
        <v>0</v>
      </c>
    </row>
    <row r="102" spans="2:18">
      <c r="B102" s="40">
        <v>45365</v>
      </c>
      <c r="C102" s="41">
        <v>1</v>
      </c>
      <c r="D102" s="42">
        <v>2</v>
      </c>
      <c r="E102" s="43">
        <v>399</v>
      </c>
      <c r="F102" s="44">
        <v>20272865869</v>
      </c>
      <c r="G102" s="45" t="str">
        <f>IFERROR(IF(compras_mes3[[#This Row],[CUIT]]="","-",VLOOKUP(compras_mes3[[#This Row],[CUIT]],Lista_CUIT[#All],2,0)),"CUIT NO CARGADO")</f>
        <v>DI FEO MARTIN EZEQUIEL</v>
      </c>
      <c r="H102" s="46">
        <v>93480</v>
      </c>
      <c r="I102" s="46">
        <f>IF(compras_mes3[[#This Row],[NETO GRAVADO]]="","",compras_mes3[[#This Row],[NETO GRAVADO]]*0.21)</f>
        <v>19630.8</v>
      </c>
      <c r="J102" s="85"/>
      <c r="K102" s="85"/>
      <c r="L102" s="85"/>
      <c r="M102" s="85"/>
      <c r="N102" s="85"/>
      <c r="O102" s="85">
        <v>0</v>
      </c>
      <c r="P102" s="48">
        <f>SUM(compras_mes3[[#This Row],[NETO GRAVADO]:[Otros / No Grav.]])</f>
        <v>113110.8</v>
      </c>
      <c r="Q102" s="49" t="str">
        <f>IFERROR(IF(compras_mes3[[#This Row],[CUIT]]="","-",VLOOKUP(compras_mes3[[#This Row],[CUIT]],Lista_CUIT[#All],3,0)),"CUIT NO CARGADO")</f>
        <v>Productos Ortopedicos</v>
      </c>
      <c r="R102" s="49">
        <f>IFERROR(IF(compras_mes3[[#This Row],[CUIT]]="","-",VLOOKUP(compras_mes3[[#This Row],[CUIT]],Lista_CUIT[#All],4,0)),"CUIT NO CARGADO")</f>
        <v>0</v>
      </c>
    </row>
    <row r="103" spans="2:18">
      <c r="B103" s="40">
        <v>45371</v>
      </c>
      <c r="C103" s="41">
        <v>1</v>
      </c>
      <c r="D103" s="42">
        <v>6</v>
      </c>
      <c r="E103" s="43">
        <v>80675</v>
      </c>
      <c r="F103" s="44">
        <v>30711553564</v>
      </c>
      <c r="G103" s="45" t="str">
        <f>IFERROR(IF(compras_mes3[[#This Row],[CUIT]]="","-",VLOOKUP(compras_mes3[[#This Row],[CUIT]],Lista_CUIT[#All],2,0)),"CUIT NO CARGADO")</f>
        <v>SALUD TEX S.A</v>
      </c>
      <c r="H103" s="46">
        <v>89130</v>
      </c>
      <c r="I103" s="46">
        <f>IF(compras_mes3[[#This Row],[NETO GRAVADO]]="","",compras_mes3[[#This Row],[NETO GRAVADO]]*0.21)</f>
        <v>18717.3</v>
      </c>
      <c r="J103" s="85"/>
      <c r="K103" s="85"/>
      <c r="L103" s="85"/>
      <c r="M103" s="85"/>
      <c r="N103" s="85"/>
      <c r="O103" s="85">
        <v>0</v>
      </c>
      <c r="P103" s="48">
        <f>SUM(compras_mes3[[#This Row],[NETO GRAVADO]:[Otros / No Grav.]])</f>
        <v>107847.3</v>
      </c>
      <c r="Q103" s="49" t="str">
        <f>IFERROR(IF(compras_mes3[[#This Row],[CUIT]]="","-",VLOOKUP(compras_mes3[[#This Row],[CUIT]],Lista_CUIT[#All],3,0)),"CUIT NO CARGADO")</f>
        <v>Productos Ortopedicos</v>
      </c>
      <c r="R103" s="49">
        <f>IFERROR(IF(compras_mes3[[#This Row],[CUIT]]="","-",VLOOKUP(compras_mes3[[#This Row],[CUIT]],Lista_CUIT[#All],4,0)),"CUIT NO CARGADO")</f>
        <v>0</v>
      </c>
    </row>
    <row r="104" spans="2:18">
      <c r="B104" s="40">
        <v>45357</v>
      </c>
      <c r="C104" s="41">
        <v>1</v>
      </c>
      <c r="D104" s="42">
        <v>6</v>
      </c>
      <c r="E104" s="43">
        <v>51882</v>
      </c>
      <c r="F104" s="44">
        <v>30710177658</v>
      </c>
      <c r="G104" s="45" t="str">
        <f>IFERROR(IF(compras_mes3[[#This Row],[CUIT]]="","-",VLOOKUP(compras_mes3[[#This Row],[CUIT]],Lista_CUIT[#All],2,0)),"CUIT NO CARGADO")</f>
        <v>TARGET MEDICAL SA</v>
      </c>
      <c r="H104" s="46">
        <v>71600</v>
      </c>
      <c r="I104" s="46">
        <f>IF(compras_mes3[[#This Row],[NETO GRAVADO]]="","",compras_mes3[[#This Row],[NETO GRAVADO]]*0.21)</f>
        <v>15036</v>
      </c>
      <c r="J104" s="85"/>
      <c r="K104" s="85"/>
      <c r="L104" s="85"/>
      <c r="M104" s="85"/>
      <c r="N104" s="85"/>
      <c r="O104" s="85">
        <v>0</v>
      </c>
      <c r="P104" s="48">
        <f>SUM(compras_mes3[[#This Row],[NETO GRAVADO]:[Otros / No Grav.]])</f>
        <v>86636</v>
      </c>
      <c r="Q104" s="49" t="str">
        <f>IFERROR(IF(compras_mes3[[#This Row],[CUIT]]="","-",VLOOKUP(compras_mes3[[#This Row],[CUIT]],Lista_CUIT[#All],3,0)),"CUIT NO CARGADO")</f>
        <v>Productos Ortopedicos</v>
      </c>
      <c r="R104" s="49">
        <f>IFERROR(IF(compras_mes3[[#This Row],[CUIT]]="","-",VLOOKUP(compras_mes3[[#This Row],[CUIT]],Lista_CUIT[#All],4,0)),"CUIT NO CARGADO")</f>
        <v>0</v>
      </c>
    </row>
    <row r="105" spans="2:18">
      <c r="B105" s="40">
        <v>45371</v>
      </c>
      <c r="C105" s="41">
        <v>1</v>
      </c>
      <c r="D105" s="42">
        <v>7</v>
      </c>
      <c r="E105" s="43">
        <v>28523</v>
      </c>
      <c r="F105" s="44">
        <v>20271532483</v>
      </c>
      <c r="G105" s="45" t="str">
        <f>IFERROR(IF(compras_mes3[[#This Row],[CUIT]]="","-",VLOOKUP(compras_mes3[[#This Row],[CUIT]],Lista_CUIT[#All],2,0)),"CUIT NO CARGADO")</f>
        <v>DIEGO MARTIN RIOS</v>
      </c>
      <c r="H105" s="46">
        <v>65207.9</v>
      </c>
      <c r="I105" s="46">
        <f>IF(compras_mes3[[#This Row],[NETO GRAVADO]]="","",compras_mes3[[#This Row],[NETO GRAVADO]]*0.21)</f>
        <v>13693.659</v>
      </c>
      <c r="J105" s="85"/>
      <c r="K105" s="85"/>
      <c r="L105" s="85"/>
      <c r="M105" s="85"/>
      <c r="N105" s="85">
        <v>2608.3200000000002</v>
      </c>
      <c r="O105" s="85">
        <v>0</v>
      </c>
      <c r="P105" s="48">
        <f>SUM(compras_mes3[[#This Row],[NETO GRAVADO]:[Otros / No Grav.]])</f>
        <v>81509.879000000015</v>
      </c>
      <c r="Q105" s="49" t="str">
        <f>IFERROR(IF(compras_mes3[[#This Row],[CUIT]]="","-",VLOOKUP(compras_mes3[[#This Row],[CUIT]],Lista_CUIT[#All],3,0)),"CUIT NO CARGADO")</f>
        <v>Productos Ortopedicos</v>
      </c>
      <c r="R105" s="49">
        <f>IFERROR(IF(compras_mes3[[#This Row],[CUIT]]="","-",VLOOKUP(compras_mes3[[#This Row],[CUIT]],Lista_CUIT[#All],4,0)),"CUIT NO CARGADO")</f>
        <v>0</v>
      </c>
    </row>
    <row r="106" spans="2:18">
      <c r="B106" s="40">
        <v>45362</v>
      </c>
      <c r="C106" s="41">
        <v>1</v>
      </c>
      <c r="D106" s="42">
        <v>7</v>
      </c>
      <c r="E106" s="43">
        <v>28501</v>
      </c>
      <c r="F106" s="44">
        <v>20271532483</v>
      </c>
      <c r="G106" s="45" t="str">
        <f>IFERROR(IF(compras_mes3[[#This Row],[CUIT]]="","-",VLOOKUP(compras_mes3[[#This Row],[CUIT]],Lista_CUIT[#All],2,0)),"CUIT NO CARGADO")</f>
        <v>DIEGO MARTIN RIOS</v>
      </c>
      <c r="H106" s="46">
        <v>48850</v>
      </c>
      <c r="I106" s="46">
        <f>IF(compras_mes3[[#This Row],[NETO GRAVADO]]="","",compras_mes3[[#This Row],[NETO GRAVADO]]*0.21)</f>
        <v>10258.5</v>
      </c>
      <c r="J106" s="85"/>
      <c r="K106" s="85"/>
      <c r="L106" s="85"/>
      <c r="M106" s="85"/>
      <c r="N106" s="85">
        <v>1954</v>
      </c>
      <c r="O106" s="85">
        <v>0</v>
      </c>
      <c r="P106" s="48">
        <f>SUM(compras_mes3[[#This Row],[NETO GRAVADO]:[Otros / No Grav.]])</f>
        <v>61062.5</v>
      </c>
      <c r="Q106" s="49" t="str">
        <f>IFERROR(IF(compras_mes3[[#This Row],[CUIT]]="","-",VLOOKUP(compras_mes3[[#This Row],[CUIT]],Lista_CUIT[#All],3,0)),"CUIT NO CARGADO")</f>
        <v>Productos Ortopedicos</v>
      </c>
      <c r="R106" s="49">
        <f>IFERROR(IF(compras_mes3[[#This Row],[CUIT]]="","-",VLOOKUP(compras_mes3[[#This Row],[CUIT]],Lista_CUIT[#All],4,0)),"CUIT NO CARGADO")</f>
        <v>0</v>
      </c>
    </row>
    <row r="107" spans="2:18">
      <c r="B107" s="40">
        <v>45359</v>
      </c>
      <c r="C107" s="41">
        <v>1</v>
      </c>
      <c r="D107" s="42">
        <v>1</v>
      </c>
      <c r="E107" s="43">
        <v>2908</v>
      </c>
      <c r="F107" s="44">
        <v>30715141201</v>
      </c>
      <c r="G107" s="45" t="str">
        <f>IFERROR(IF(compras_mes3[[#This Row],[CUIT]]="","-",VLOOKUP(compras_mes3[[#This Row],[CUIT]],Lista_CUIT[#All],2,0)),"CUIT NO CARGADO")</f>
        <v>REHAB S.R.L.</v>
      </c>
      <c r="H107" s="46">
        <v>43150</v>
      </c>
      <c r="I107" s="46">
        <f>IF(compras_mes3[[#This Row],[NETO GRAVADO]]="","",compras_mes3[[#This Row],[NETO GRAVADO]]*0.21)</f>
        <v>9061.5</v>
      </c>
      <c r="J107" s="85"/>
      <c r="K107" s="85"/>
      <c r="L107" s="85"/>
      <c r="M107" s="85"/>
      <c r="N107" s="85"/>
      <c r="O107" s="85">
        <v>0</v>
      </c>
      <c r="P107" s="48">
        <f>SUM(compras_mes3[[#This Row],[NETO GRAVADO]:[Otros / No Grav.]])</f>
        <v>52211.5</v>
      </c>
      <c r="Q107" s="49" t="str">
        <f>IFERROR(IF(compras_mes3[[#This Row],[CUIT]]="","-",VLOOKUP(compras_mes3[[#This Row],[CUIT]],Lista_CUIT[#All],3,0)),"CUIT NO CARGADO")</f>
        <v>Productos Ortopedicos</v>
      </c>
      <c r="R107" s="49">
        <f>IFERROR(IF(compras_mes3[[#This Row],[CUIT]]="","-",VLOOKUP(compras_mes3[[#This Row],[CUIT]],Lista_CUIT[#All],4,0)),"CUIT NO CARGADO")</f>
        <v>0</v>
      </c>
    </row>
    <row r="108" spans="2:18">
      <c r="B108" s="40">
        <v>45370</v>
      </c>
      <c r="C108" s="41">
        <v>1</v>
      </c>
      <c r="D108" s="42">
        <v>1</v>
      </c>
      <c r="E108" s="43">
        <v>2967</v>
      </c>
      <c r="F108" s="44">
        <v>30715141201</v>
      </c>
      <c r="G108" s="45" t="str">
        <f>IFERROR(IF(compras_mes3[[#This Row],[CUIT]]="","-",VLOOKUP(compras_mes3[[#This Row],[CUIT]],Lista_CUIT[#All],2,0)),"CUIT NO CARGADO")</f>
        <v>REHAB S.R.L.</v>
      </c>
      <c r="H108" s="46">
        <v>30706.99</v>
      </c>
      <c r="I108" s="46">
        <f>IF(compras_mes3[[#This Row],[NETO GRAVADO]]="","",compras_mes3[[#This Row],[NETO GRAVADO]]*0.21)</f>
        <v>6448.4678999999996</v>
      </c>
      <c r="J108" s="85"/>
      <c r="K108" s="85"/>
      <c r="L108" s="85"/>
      <c r="M108" s="85"/>
      <c r="N108" s="85"/>
      <c r="O108" s="85">
        <v>0</v>
      </c>
      <c r="P108" s="48">
        <f>SUM(compras_mes3[[#This Row],[NETO GRAVADO]:[Otros / No Grav.]])</f>
        <v>37155.457900000001</v>
      </c>
      <c r="Q108" s="49" t="str">
        <f>IFERROR(IF(compras_mes3[[#This Row],[CUIT]]="","-",VLOOKUP(compras_mes3[[#This Row],[CUIT]],Lista_CUIT[#All],3,0)),"CUIT NO CARGADO")</f>
        <v>Productos Ortopedicos</v>
      </c>
      <c r="R108" s="49">
        <f>IFERROR(IF(compras_mes3[[#This Row],[CUIT]]="","-",VLOOKUP(compras_mes3[[#This Row],[CUIT]],Lista_CUIT[#All],4,0)),"CUIT NO CARGADO")</f>
        <v>0</v>
      </c>
    </row>
    <row r="109" spans="2:18">
      <c r="B109" s="40">
        <v>45372</v>
      </c>
      <c r="C109" s="41">
        <v>1</v>
      </c>
      <c r="D109" s="42">
        <v>2</v>
      </c>
      <c r="E109" s="43">
        <v>5550</v>
      </c>
      <c r="F109" s="44">
        <v>30717172651</v>
      </c>
      <c r="G109" s="45" t="str">
        <f>IFERROR(IF(compras_mes3[[#This Row],[CUIT]]="","-",VLOOKUP(compras_mes3[[#This Row],[CUIT]],Lista_CUIT[#All],2,0)),"CUIT NO CARGADO")</f>
        <v>WHITE SALUD S.R.L.</v>
      </c>
      <c r="H109" s="46">
        <v>14732.23</v>
      </c>
      <c r="I109" s="46">
        <f>IF(compras_mes3[[#This Row],[NETO GRAVADO]]="","",compras_mes3[[#This Row],[NETO GRAVADO]]*0.21)</f>
        <v>3093.7682999999997</v>
      </c>
      <c r="J109" s="85"/>
      <c r="K109" s="85"/>
      <c r="L109" s="85"/>
      <c r="M109" s="85"/>
      <c r="N109" s="85"/>
      <c r="O109" s="85">
        <v>0</v>
      </c>
      <c r="P109" s="48">
        <f>SUM(compras_mes3[[#This Row],[NETO GRAVADO]:[Otros / No Grav.]])</f>
        <v>17825.998299999999</v>
      </c>
      <c r="Q109" s="49" t="str">
        <f>IFERROR(IF(compras_mes3[[#This Row],[CUIT]]="","-",VLOOKUP(compras_mes3[[#This Row],[CUIT]],Lista_CUIT[#All],3,0)),"CUIT NO CARGADO")</f>
        <v>Productos Ortopedicos</v>
      </c>
      <c r="R109" s="49">
        <f>IFERROR(IF(compras_mes3[[#This Row],[CUIT]]="","-",VLOOKUP(compras_mes3[[#This Row],[CUIT]],Lista_CUIT[#All],4,0)),"CUIT NO CARGADO")</f>
        <v>0</v>
      </c>
    </row>
    <row r="110" spans="2:18">
      <c r="B110" s="40">
        <v>45376</v>
      </c>
      <c r="C110" s="41">
        <v>1</v>
      </c>
      <c r="D110" s="42">
        <v>17</v>
      </c>
      <c r="E110" s="43">
        <v>1772</v>
      </c>
      <c r="F110" s="44">
        <v>30711764921</v>
      </c>
      <c r="G110" s="45" t="str">
        <f>IFERROR(IF(compras_mes3[[#This Row],[CUIT]]="","-",VLOOKUP(compras_mes3[[#This Row],[CUIT]],Lista_CUIT[#All],2,0)),"CUIT NO CARGADO")</f>
        <v>RELIEF CENTER SRL</v>
      </c>
      <c r="H110" s="46">
        <v>14344</v>
      </c>
      <c r="I110" s="46">
        <f>IF(compras_mes3[[#This Row],[NETO GRAVADO]]="","",compras_mes3[[#This Row],[NETO GRAVADO]]*0.21)</f>
        <v>3012.24</v>
      </c>
      <c r="J110" s="85"/>
      <c r="K110" s="85"/>
      <c r="L110" s="85"/>
      <c r="M110" s="85"/>
      <c r="N110" s="85"/>
      <c r="O110" s="85">
        <v>0</v>
      </c>
      <c r="P110" s="48">
        <f>SUM(compras_mes3[[#This Row],[NETO GRAVADO]:[Otros / No Grav.]])</f>
        <v>17356.239999999998</v>
      </c>
      <c r="Q110" s="49" t="str">
        <f>IFERROR(IF(compras_mes3[[#This Row],[CUIT]]="","-",VLOOKUP(compras_mes3[[#This Row],[CUIT]],Lista_CUIT[#All],3,0)),"CUIT NO CARGADO")</f>
        <v>Productos Ortopedicos</v>
      </c>
      <c r="R110" s="49">
        <f>IFERROR(IF(compras_mes3[[#This Row],[CUIT]]="","-",VLOOKUP(compras_mes3[[#This Row],[CUIT]],Lista_CUIT[#All],4,0)),"CUIT NO CARGADO")</f>
        <v>0</v>
      </c>
    </row>
    <row r="111" spans="2:18">
      <c r="B111" s="40">
        <v>45372</v>
      </c>
      <c r="C111" s="41">
        <v>1</v>
      </c>
      <c r="D111" s="42">
        <v>2</v>
      </c>
      <c r="E111" s="43">
        <v>410</v>
      </c>
      <c r="F111" s="44">
        <v>20272865869</v>
      </c>
      <c r="G111" s="45" t="str">
        <f>IFERROR(IF(compras_mes3[[#This Row],[CUIT]]="","-",VLOOKUP(compras_mes3[[#This Row],[CUIT]],Lista_CUIT[#All],2,0)),"CUIT NO CARGADO")</f>
        <v>DI FEO MARTIN EZEQUIEL</v>
      </c>
      <c r="H111" s="46">
        <v>8300</v>
      </c>
      <c r="I111" s="46">
        <f>IF(compras_mes3[[#This Row],[NETO GRAVADO]]="","",compras_mes3[[#This Row],[NETO GRAVADO]]*0.21)</f>
        <v>1743</v>
      </c>
      <c r="J111" s="85"/>
      <c r="K111" s="85"/>
      <c r="L111" s="85"/>
      <c r="M111" s="85"/>
      <c r="N111" s="85"/>
      <c r="O111" s="85">
        <v>0</v>
      </c>
      <c r="P111" s="48">
        <f>SUM(compras_mes3[[#This Row],[NETO GRAVADO]:[Otros / No Grav.]])</f>
        <v>10043</v>
      </c>
      <c r="Q111" s="49" t="str">
        <f>IFERROR(IF(compras_mes3[[#This Row],[CUIT]]="","-",VLOOKUP(compras_mes3[[#This Row],[CUIT]],Lista_CUIT[#All],3,0)),"CUIT NO CARGADO")</f>
        <v>Productos Ortopedicos</v>
      </c>
      <c r="R111" s="49">
        <f>IFERROR(IF(compras_mes3[[#This Row],[CUIT]]="","-",VLOOKUP(compras_mes3[[#This Row],[CUIT]],Lista_CUIT[#All],4,0)),"CUIT NO CARGADO")</f>
        <v>0</v>
      </c>
    </row>
    <row r="112" spans="2:18">
      <c r="B112" s="40">
        <v>45373</v>
      </c>
      <c r="C112" s="41">
        <v>3</v>
      </c>
      <c r="D112" s="42">
        <v>17</v>
      </c>
      <c r="E112" s="43">
        <v>216</v>
      </c>
      <c r="F112" s="44">
        <v>30711764921</v>
      </c>
      <c r="G112" s="45" t="str">
        <f>IFERROR(IF(compras_mes3[[#This Row],[CUIT]]="","-",VLOOKUP(compras_mes3[[#This Row],[CUIT]],Lista_CUIT[#All],2,0)),"CUIT NO CARGADO")</f>
        <v>RELIEF CENTER SRL</v>
      </c>
      <c r="H112" s="46">
        <v>-200786</v>
      </c>
      <c r="I112" s="46">
        <f>IF(compras_mes3[[#This Row],[NETO GRAVADO]]="","",compras_mes3[[#This Row],[NETO GRAVADO]]*0.21)</f>
        <v>-42165.06</v>
      </c>
      <c r="J112" s="85"/>
      <c r="K112" s="85"/>
      <c r="L112" s="85"/>
      <c r="M112" s="85"/>
      <c r="N112" s="85"/>
      <c r="O112" s="85"/>
      <c r="P112" s="48">
        <f>SUM(compras_mes3[[#This Row],[NETO GRAVADO]:[Otros / No Grav.]])</f>
        <v>-242951.06</v>
      </c>
      <c r="Q112" s="49" t="str">
        <f>IFERROR(IF(compras_mes3[[#This Row],[CUIT]]="","-",VLOOKUP(compras_mes3[[#This Row],[CUIT]],Lista_CUIT[#All],3,0)),"CUIT NO CARGADO")</f>
        <v>Productos Ortopedicos</v>
      </c>
      <c r="R112" s="49">
        <f>IFERROR(IF(compras_mes3[[#This Row],[CUIT]]="","-",VLOOKUP(compras_mes3[[#This Row],[CUIT]],Lista_CUIT[#All],4,0)),"CUIT NO CARGADO")</f>
        <v>0</v>
      </c>
    </row>
    <row r="113" spans="2:18">
      <c r="B113" s="40">
        <v>45365</v>
      </c>
      <c r="C113" s="41">
        <v>1</v>
      </c>
      <c r="D113" s="42">
        <v>3</v>
      </c>
      <c r="E113" s="43">
        <v>2698</v>
      </c>
      <c r="F113" s="44">
        <v>30716036894</v>
      </c>
      <c r="G113" s="45" t="str">
        <f>IFERROR(IF(compras_mes3[[#This Row],[CUIT]]="","-",VLOOKUP(compras_mes3[[#This Row],[CUIT]],Lista_CUIT[#All],2,0)),"CUIT NO CARGADO")</f>
        <v>MS GLOBAL LINK S.A.</v>
      </c>
      <c r="H113" s="46">
        <v>68107.63</v>
      </c>
      <c r="I113" s="46">
        <f>IF(compras_mes3[[#This Row],[NETO GRAVADO]]="","",compras_mes3[[#This Row],[NETO GRAVADO]]*0.21)</f>
        <v>14302.6023</v>
      </c>
      <c r="J113" s="85"/>
      <c r="K113" s="85"/>
      <c r="L113" s="85"/>
      <c r="M113" s="85"/>
      <c r="N113" s="85"/>
      <c r="O113" s="85">
        <v>0</v>
      </c>
      <c r="P113" s="48">
        <f>SUM(compras_mes3[[#This Row],[NETO GRAVADO]:[Otros / No Grav.]])</f>
        <v>82410.232300000003</v>
      </c>
      <c r="Q113" s="49" t="str">
        <f>IFERROR(IF(compras_mes3[[#This Row],[CUIT]]="","-",VLOOKUP(compras_mes3[[#This Row],[CUIT]],Lista_CUIT[#All],3,0)),"CUIT NO CARGADO")</f>
        <v>Productos Ortopedicos</v>
      </c>
      <c r="R113" s="49">
        <f>IFERROR(IF(compras_mes3[[#This Row],[CUIT]]="","-",VLOOKUP(compras_mes3[[#This Row],[CUIT]],Lista_CUIT[#All],4,0)),"CUIT NO CARGADO")</f>
        <v>0</v>
      </c>
    </row>
    <row r="114" spans="2:18">
      <c r="B114" s="40">
        <v>45370</v>
      </c>
      <c r="C114" s="41">
        <v>1</v>
      </c>
      <c r="D114" s="42">
        <v>4264</v>
      </c>
      <c r="E114" s="43">
        <v>3583812</v>
      </c>
      <c r="F114" s="44">
        <v>30639453738</v>
      </c>
      <c r="G114" s="45" t="str">
        <f>IFERROR(IF(compras_mes3[[#This Row],[CUIT]]="","-",VLOOKUP(compras_mes3[[#This Row],[CUIT]],Lista_CUIT[#All],2,0)),"CUIT NO CARGADO")</f>
        <v>TELECOM ARGENTINA SA</v>
      </c>
      <c r="H114" s="46">
        <v>50545.45</v>
      </c>
      <c r="I114" s="46">
        <f>IF(compras_mes3[[#This Row],[NETO GRAVADO]]="","",compras_mes3[[#This Row],[NETO GRAVADO]]*0.21)</f>
        <v>10614.544499999998</v>
      </c>
      <c r="J114" s="85"/>
      <c r="K114" s="85"/>
      <c r="L114" s="85"/>
      <c r="M114" s="85"/>
      <c r="N114" s="85"/>
      <c r="O114" s="85">
        <v>3538.18</v>
      </c>
      <c r="P114" s="48">
        <f>SUM(compras_mes3[[#This Row],[NETO GRAVADO]:[Otros / No Grav.]])</f>
        <v>64698.174499999994</v>
      </c>
      <c r="Q114" s="49" t="str">
        <f>IFERROR(IF(compras_mes3[[#This Row],[CUIT]]="","-",VLOOKUP(compras_mes3[[#This Row],[CUIT]],Lista_CUIT[#All],3,0)),"CUIT NO CARGADO")</f>
        <v>Servicios Gas-Luz-Agua-Internet</v>
      </c>
      <c r="R114" s="49">
        <f>IFERROR(IF(compras_mes3[[#This Row],[CUIT]]="","-",VLOOKUP(compras_mes3[[#This Row],[CUIT]],Lista_CUIT[#All],4,0)),"CUIT NO CARGADO")</f>
        <v>0</v>
      </c>
    </row>
    <row r="115" spans="2:18">
      <c r="B115" s="40">
        <v>45360</v>
      </c>
      <c r="C115" s="41">
        <v>1</v>
      </c>
      <c r="D115" s="42">
        <v>3101</v>
      </c>
      <c r="E115" s="43">
        <v>58006</v>
      </c>
      <c r="F115" s="44">
        <v>30678814357</v>
      </c>
      <c r="G115" s="45" t="str">
        <f>IFERROR(IF(compras_mes3[[#This Row],[CUIT]]="","-",VLOOKUP(compras_mes3[[#This Row],[CUIT]],Lista_CUIT[#All],2,0)),"CUIT NO CARGADO")</f>
        <v>TELEFONICA MOVILES ARG SA</v>
      </c>
      <c r="H115" s="46">
        <v>31265.51</v>
      </c>
      <c r="I115" s="46"/>
      <c r="J115" s="85">
        <v>8441.69</v>
      </c>
      <c r="K115" s="85"/>
      <c r="L115" s="85">
        <v>937.97</v>
      </c>
      <c r="M115" s="85"/>
      <c r="N115" s="85">
        <v>1250.6199999999999</v>
      </c>
      <c r="O115" s="85">
        <v>0</v>
      </c>
      <c r="P115" s="48">
        <f>SUM(compras_mes3[[#This Row],[NETO GRAVADO]:[Otros / No Grav.]])</f>
        <v>41895.79</v>
      </c>
      <c r="Q115" s="49" t="str">
        <f>IFERROR(IF(compras_mes3[[#This Row],[CUIT]]="","-",VLOOKUP(compras_mes3[[#This Row],[CUIT]],Lista_CUIT[#All],3,0)),"CUIT NO CARGADO")</f>
        <v>Servicios Gas-Luz-Agua-Internet</v>
      </c>
      <c r="R115" s="49">
        <f>IFERROR(IF(compras_mes3[[#This Row],[CUIT]]="","-",VLOOKUP(compras_mes3[[#This Row],[CUIT]],Lista_CUIT[#All],4,0)),"CUIT NO CARGADO")</f>
        <v>0</v>
      </c>
    </row>
    <row r="116" spans="2:18">
      <c r="B116" s="40">
        <v>45372</v>
      </c>
      <c r="C116" s="41">
        <v>1</v>
      </c>
      <c r="D116" s="42">
        <v>5</v>
      </c>
      <c r="E116" s="43">
        <v>2997478</v>
      </c>
      <c r="F116" s="44">
        <v>30702652975</v>
      </c>
      <c r="G116" s="45" t="str">
        <f>IFERROR(IF(compras_mes3[[#This Row],[CUIT]]="","-",VLOOKUP(compras_mes3[[#This Row],[CUIT]],Lista_CUIT[#All],2,0)),"CUIT NO CARGADO")</f>
        <v>NSS SA</v>
      </c>
      <c r="H116" s="46">
        <v>27697.64</v>
      </c>
      <c r="I116" s="46">
        <f>IF(compras_mes3[[#This Row],[NETO GRAVADO]]="","",compras_mes3[[#This Row],[NETO GRAVADO]]*0.21)</f>
        <v>5816.5043999999998</v>
      </c>
      <c r="J116" s="85"/>
      <c r="K116" s="85"/>
      <c r="L116" s="85"/>
      <c r="M116" s="85"/>
      <c r="N116" s="85">
        <v>1109.9100000000001</v>
      </c>
      <c r="O116" s="85">
        <v>0</v>
      </c>
      <c r="P116" s="48">
        <f>SUM(compras_mes3[[#This Row],[NETO GRAVADO]:[Otros / No Grav.]])</f>
        <v>34624.054400000001</v>
      </c>
      <c r="Q116" s="49" t="str">
        <f>IFERROR(IF(compras_mes3[[#This Row],[CUIT]]="","-",VLOOKUP(compras_mes3[[#This Row],[CUIT]],Lista_CUIT[#All],3,0)),"CUIT NO CARGADO")</f>
        <v>Servicios Gas-Luz-Agua-Internet</v>
      </c>
      <c r="R116" s="49">
        <f>IFERROR(IF(compras_mes3[[#This Row],[CUIT]]="","-",VLOOKUP(compras_mes3[[#This Row],[CUIT]],Lista_CUIT[#All],4,0)),"CUIT NO CARGADO")</f>
        <v>0</v>
      </c>
    </row>
    <row r="117" spans="2:18">
      <c r="B117" s="40">
        <v>45352</v>
      </c>
      <c r="C117" s="41">
        <v>1</v>
      </c>
      <c r="D117" s="42">
        <v>1326</v>
      </c>
      <c r="E117" s="43">
        <v>530005</v>
      </c>
      <c r="F117" s="44">
        <v>30663288497</v>
      </c>
      <c r="G117" s="45" t="str">
        <f>IFERROR(IF(compras_mes3[[#This Row],[CUIT]]="","-",VLOOKUP(compras_mes3[[#This Row],[CUIT]],Lista_CUIT[#All],2,0)),"CUIT NO CARGADO")</f>
        <v>AMX ARG SA</v>
      </c>
      <c r="H117" s="46">
        <v>22950</v>
      </c>
      <c r="I117" s="46">
        <v>1905.75</v>
      </c>
      <c r="J117" s="85">
        <v>3746.25</v>
      </c>
      <c r="K117" s="85"/>
      <c r="L117" s="85"/>
      <c r="M117" s="85"/>
      <c r="N117" s="85">
        <v>918</v>
      </c>
      <c r="O117" s="85">
        <v>1418.76</v>
      </c>
      <c r="P117" s="48">
        <f>SUM(compras_mes3[[#This Row],[NETO GRAVADO]:[Otros / No Grav.]])</f>
        <v>30938.76</v>
      </c>
      <c r="Q117" s="49" t="str">
        <f>IFERROR(IF(compras_mes3[[#This Row],[CUIT]]="","-",VLOOKUP(compras_mes3[[#This Row],[CUIT]],Lista_CUIT[#All],3,0)),"CUIT NO CARGADO")</f>
        <v>Servicios Gas-Luz-Agua-Internet</v>
      </c>
      <c r="R117" s="49">
        <f>IFERROR(IF(compras_mes3[[#This Row],[CUIT]]="","-",VLOOKUP(compras_mes3[[#This Row],[CUIT]],Lista_CUIT[#All],4,0)),"CUIT NO CARGADO")</f>
        <v>0</v>
      </c>
    </row>
    <row r="118" spans="2:18">
      <c r="B118" s="40">
        <v>45382</v>
      </c>
      <c r="C118" s="41">
        <v>1</v>
      </c>
      <c r="D118" s="42">
        <v>20</v>
      </c>
      <c r="E118" s="43">
        <v>180632</v>
      </c>
      <c r="F118" s="44">
        <v>30696850972</v>
      </c>
      <c r="G118" s="45" t="str">
        <f>IFERROR(IF(compras_mes3[[#This Row],[CUIT]]="","-",VLOOKUP(compras_mes3[[#This Row],[CUIT]],Lista_CUIT[#All],2,0)),"CUIT NO CARGADO")</f>
        <v>CPS COMUNICACIONES SA</v>
      </c>
      <c r="H118" s="46">
        <v>13736.55</v>
      </c>
      <c r="I118" s="46"/>
      <c r="J118" s="85">
        <v>3708.87</v>
      </c>
      <c r="K118" s="85"/>
      <c r="L118" s="85"/>
      <c r="M118" s="85"/>
      <c r="N118" s="85">
        <v>549.47</v>
      </c>
      <c r="O118" s="85">
        <v>0</v>
      </c>
      <c r="P118" s="48">
        <f>SUM(compras_mes3[[#This Row],[NETO GRAVADO]:[Otros / No Grav.]])</f>
        <v>17994.89</v>
      </c>
      <c r="Q118" s="49" t="str">
        <f>IFERROR(IF(compras_mes3[[#This Row],[CUIT]]="","-",VLOOKUP(compras_mes3[[#This Row],[CUIT]],Lista_CUIT[#All],3,0)),"CUIT NO CARGADO")</f>
        <v>Servicios Gas-Luz-Agua-Internet</v>
      </c>
      <c r="R118" s="49">
        <f>IFERROR(IF(compras_mes3[[#This Row],[CUIT]]="","-",VLOOKUP(compras_mes3[[#This Row],[CUIT]],Lista_CUIT[#All],4,0)),"CUIT NO CARGADO")</f>
        <v>0</v>
      </c>
    </row>
    <row r="119" spans="2:18">
      <c r="B119" s="40">
        <v>45377</v>
      </c>
      <c r="C119" s="41">
        <v>1</v>
      </c>
      <c r="D119" s="42">
        <v>1099</v>
      </c>
      <c r="E119" s="43">
        <v>8687</v>
      </c>
      <c r="F119" s="44">
        <v>30663288497</v>
      </c>
      <c r="G119" s="45" t="str">
        <f>IFERROR(IF(compras_mes3[[#This Row],[CUIT]]="","-",VLOOKUP(compras_mes3[[#This Row],[CUIT]],Lista_CUIT[#All],2,0)),"CUIT NO CARGADO")</f>
        <v>AMX ARG SA</v>
      </c>
      <c r="H119" s="46">
        <v>4957.8500000000004</v>
      </c>
      <c r="I119" s="46">
        <f>IF(compras_mes3[[#This Row],[NETO GRAVADO]]="","",compras_mes3[[#This Row],[NETO GRAVADO]]*0.21)</f>
        <v>1041.1485</v>
      </c>
      <c r="J119" s="85"/>
      <c r="K119" s="85"/>
      <c r="L119" s="85"/>
      <c r="M119" s="85"/>
      <c r="N119" s="85"/>
      <c r="O119" s="85">
        <v>0</v>
      </c>
      <c r="P119" s="48">
        <f>SUM(compras_mes3[[#This Row],[NETO GRAVADO]:[Otros / No Grav.]])</f>
        <v>5998.9985000000006</v>
      </c>
      <c r="Q119" s="49" t="str">
        <f>IFERROR(IF(compras_mes3[[#This Row],[CUIT]]="","-",VLOOKUP(compras_mes3[[#This Row],[CUIT]],Lista_CUIT[#All],3,0)),"CUIT NO CARGADO")</f>
        <v>Servicios Gas-Luz-Agua-Internet</v>
      </c>
      <c r="R119" s="49">
        <f>IFERROR(IF(compras_mes3[[#This Row],[CUIT]]="","-",VLOOKUP(compras_mes3[[#This Row],[CUIT]],Lista_CUIT[#All],4,0)),"CUIT NO CARGADO")</f>
        <v>0</v>
      </c>
    </row>
    <row r="120" spans="2:18" ht="18" customHeight="1">
      <c r="B120" s="95" t="s">
        <v>110</v>
      </c>
      <c r="C120" s="95"/>
      <c r="D120" s="95"/>
      <c r="E120" s="95"/>
      <c r="F120" s="95"/>
      <c r="G120" s="96"/>
      <c r="H120" s="97">
        <f>SUBTOTAL(109,compras_mes3[NETO GRAVADO])</f>
        <v>37472233.07</v>
      </c>
      <c r="I120" s="97">
        <f>SUBTOTAL(109,compras_mes3[IVA 21 %])</f>
        <v>7562770.7826999985</v>
      </c>
      <c r="J120" s="97">
        <f>SUBTOTAL(109,compras_mes3[IVA 27%])</f>
        <v>15896.810000000001</v>
      </c>
      <c r="K120" s="97">
        <f>SUBTOTAL(109,compras_mes3[IVA 10,5%])</f>
        <v>147016.99</v>
      </c>
      <c r="L120" s="97">
        <f>SUBTOTAL(109,compras_mes3[PERC. IVA])</f>
        <v>9170.48</v>
      </c>
      <c r="M120" s="97">
        <f>SUBTOTAL(109,compras_mes3[PERC IIBB 
BS AS])</f>
        <v>0</v>
      </c>
      <c r="N120" s="97">
        <f>SUBTOTAL(109,compras_mes3[PERC. IIBB CABA])</f>
        <v>186793.80000000002</v>
      </c>
      <c r="O120" s="97">
        <f>SUBTOTAL(109,compras_mes3[Otros / No Grav.])</f>
        <v>68956.7</v>
      </c>
      <c r="P120" s="97">
        <f>SUBTOTAL(109,compras_mes3[TOTAL])</f>
        <v>45462838.632699996</v>
      </c>
      <c r="Q120" s="95"/>
      <c r="R120" s="95"/>
    </row>
    <row r="121" spans="2:18">
      <c r="B121" s="40"/>
      <c r="C121" s="41"/>
      <c r="D121" s="42"/>
      <c r="E121" s="43"/>
      <c r="F121" s="44"/>
      <c r="G121" s="45"/>
      <c r="H121" s="46"/>
      <c r="I121" s="47"/>
      <c r="J121" s="47"/>
      <c r="K121" s="47"/>
      <c r="L121" s="47"/>
      <c r="M121" s="47"/>
      <c r="N121" s="47"/>
      <c r="O121" s="47"/>
      <c r="P121" s="48"/>
      <c r="Q121" s="49"/>
      <c r="R121" s="49"/>
    </row>
    <row r="122" spans="2:18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  <c r="M122" s="47"/>
      <c r="N122" s="47"/>
      <c r="O122" s="47"/>
      <c r="P122" s="48"/>
      <c r="Q122" s="49"/>
      <c r="R122" s="49"/>
    </row>
    <row r="123" spans="2:18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  <c r="M123" s="47"/>
      <c r="N123" s="47"/>
      <c r="O123" s="47"/>
      <c r="P123" s="48"/>
      <c r="Q123" s="49"/>
      <c r="R123" s="49"/>
    </row>
    <row r="124" spans="2:18">
      <c r="B124" s="40"/>
      <c r="C124" s="41"/>
      <c r="D124" s="42"/>
      <c r="E124" s="43"/>
      <c r="F124" s="44"/>
      <c r="G124" s="45"/>
      <c r="H124" s="46"/>
      <c r="I124" s="47"/>
      <c r="J124" s="47"/>
      <c r="K124" s="47"/>
      <c r="L124" s="47"/>
    </row>
    <row r="125" spans="2:18" ht="21">
      <c r="D125" s="665" t="s">
        <v>15</v>
      </c>
      <c r="E125" s="665"/>
      <c r="F125" s="665"/>
      <c r="G125" s="665"/>
      <c r="H125" s="665"/>
      <c r="I125" s="665"/>
      <c r="J125" s="665"/>
      <c r="K125" s="665"/>
      <c r="L125" s="665"/>
    </row>
    <row r="126" spans="2:18" ht="15.75">
      <c r="D126" s="73" t="s">
        <v>0</v>
      </c>
      <c r="E126" s="74" t="s">
        <v>26</v>
      </c>
      <c r="F126" s="74" t="s">
        <v>16</v>
      </c>
      <c r="G126" s="74" t="s">
        <v>5</v>
      </c>
      <c r="H126" s="74" t="s">
        <v>17</v>
      </c>
      <c r="I126" s="74" t="s">
        <v>7</v>
      </c>
      <c r="J126" s="75" t="s">
        <v>18</v>
      </c>
      <c r="K126" s="75" t="s">
        <v>19</v>
      </c>
      <c r="L126" s="76" t="s">
        <v>20</v>
      </c>
      <c r="M126" s="399" t="s">
        <v>10</v>
      </c>
    </row>
    <row r="127" spans="2:18">
      <c r="D127" s="50">
        <v>45382</v>
      </c>
      <c r="E127" s="170">
        <v>50858944</v>
      </c>
      <c r="F127" s="80" t="s">
        <v>2169</v>
      </c>
      <c r="G127" s="81">
        <f>24+6200+150+150+16+150+150+300+150+150+150+150+150+800+150</f>
        <v>8840</v>
      </c>
      <c r="H127" s="81">
        <f>extracto_banco_mes3[[#This Row],[NETO]]*0.21</f>
        <v>1856.3999999999999</v>
      </c>
      <c r="I127" s="81"/>
      <c r="J127" s="81"/>
      <c r="K127" s="81">
        <v>186</v>
      </c>
      <c r="L127" s="81"/>
      <c r="M127" s="398">
        <f>extracto_banco_mes3[[#This Row],[PERC IIBB]]+extracto_banco_mes3[[#This Row],[PERC IVA]]+extracto_banco_mes3[[#This Row],[NETO]]+extracto_banco_mes3[[#This Row],[IVA 10,5%]]+extracto_banco_mes3[[#This Row],[IVA 21%]]</f>
        <v>10882.4</v>
      </c>
    </row>
    <row r="128" spans="2:18">
      <c r="D128" s="50">
        <v>45377</v>
      </c>
      <c r="E128" s="170">
        <v>26032024</v>
      </c>
      <c r="F128" s="80" t="s">
        <v>2170</v>
      </c>
      <c r="G128" s="81">
        <f>25+100+500+25+1500+18000</f>
        <v>20150</v>
      </c>
      <c r="H128" s="81">
        <f>extracto_banco_mes3[[#This Row],[NETO]]*0.21</f>
        <v>4231.5</v>
      </c>
      <c r="I128" s="81"/>
      <c r="J128" s="81"/>
      <c r="K128" s="81">
        <v>540</v>
      </c>
      <c r="L128" s="81"/>
      <c r="M128" s="398">
        <f>extracto_banco_mes3[[#This Row],[PERC IIBB]]+extracto_banco_mes3[[#This Row],[PERC IVA]]+extracto_banco_mes3[[#This Row],[NETO]]+extracto_banco_mes3[[#This Row],[IVA 10,5%]]+extracto_banco_mes3[[#This Row],[IVA 21%]]</f>
        <v>24921.5</v>
      </c>
    </row>
    <row r="129" spans="4:13">
      <c r="D129" s="50"/>
      <c r="E129" s="170"/>
      <c r="F129" s="80" t="s">
        <v>2283</v>
      </c>
      <c r="G129" s="81"/>
      <c r="H129" s="81">
        <f>extracto_banco_mes3[[#This Row],[NETO]]*0.21</f>
        <v>0</v>
      </c>
      <c r="I129" s="81"/>
      <c r="J129" s="81"/>
      <c r="K129" s="81"/>
      <c r="L129" s="81"/>
      <c r="M129" s="398">
        <f>extracto_banco_mes3[[#This Row],[PERC IIBB]]+extracto_banco_mes3[[#This Row],[PERC IVA]]+extracto_banco_mes3[[#This Row],[NETO]]+extracto_banco_mes3[[#This Row],[IVA 10,5%]]+extracto_banco_mes3[[#This Row],[IVA 21%]]</f>
        <v>0</v>
      </c>
    </row>
    <row r="130" spans="4:13">
      <c r="D130" s="50"/>
      <c r="E130" s="43"/>
      <c r="F130" s="80" t="s">
        <v>2284</v>
      </c>
      <c r="G130" s="81"/>
      <c r="H130" s="81">
        <f>extracto_banco_mes3[[#This Row],[NETO]]*0.21</f>
        <v>0</v>
      </c>
      <c r="I130" s="81"/>
      <c r="J130" s="81"/>
      <c r="K130" s="81"/>
      <c r="L130" s="81"/>
      <c r="M130" s="398">
        <f>extracto_banco_mes3[[#This Row],[PERC IIBB]]+extracto_banco_mes3[[#This Row],[PERC IVA]]+extracto_banco_mes3[[#This Row],[NETO]]+extracto_banco_mes3[[#This Row],[IVA 10,5%]]+extracto_banco_mes3[[#This Row],[IVA 21%]]</f>
        <v>0</v>
      </c>
    </row>
    <row r="131" spans="4:13">
      <c r="D131" s="82" t="s">
        <v>110</v>
      </c>
      <c r="E131" s="80"/>
      <c r="F131" s="80"/>
      <c r="G131" s="83">
        <f>SUBTOTAL(109,extracto_banco_mes3[NETO])</f>
        <v>28990</v>
      </c>
      <c r="H131" s="83">
        <f>SUBTOTAL(109,extracto_banco_mes3[IVA 21%])</f>
        <v>6087.9</v>
      </c>
      <c r="I131" s="83">
        <f>SUBTOTAL(109,extracto_banco_mes3[IVA 10,5%])</f>
        <v>0</v>
      </c>
      <c r="J131" s="83">
        <f>SUBTOTAL(109,extracto_banco_mes3[RET IIBB CABA])</f>
        <v>0</v>
      </c>
      <c r="K131" s="83">
        <f>SUBTOTAL(109,extracto_banco_mes3[PERC IVA])</f>
        <v>726</v>
      </c>
      <c r="L131" s="83">
        <f>SUBTOTAL(109,extracto_banco_mes3[PERC IIBB])</f>
        <v>0</v>
      </c>
      <c r="M131" s="288"/>
    </row>
    <row r="132" spans="4:13" ht="17.25" customHeight="1"/>
    <row r="134" spans="4:13" ht="21">
      <c r="D134" s="665" t="s">
        <v>25</v>
      </c>
      <c r="E134" s="665"/>
      <c r="F134" s="665"/>
      <c r="G134" s="665"/>
      <c r="H134" s="665"/>
      <c r="I134" s="665"/>
      <c r="J134" s="665"/>
      <c r="K134" s="665"/>
    </row>
    <row r="135" spans="4:13" ht="25.5" customHeight="1">
      <c r="D135" s="51" t="s">
        <v>0</v>
      </c>
      <c r="E135" s="51" t="s">
        <v>2</v>
      </c>
      <c r="F135" s="51" t="s">
        <v>74</v>
      </c>
      <c r="G135" s="51" t="s">
        <v>3</v>
      </c>
      <c r="H135" s="51" t="s">
        <v>4</v>
      </c>
      <c r="I135" s="52" t="s">
        <v>10</v>
      </c>
      <c r="J135" s="51" t="s">
        <v>13</v>
      </c>
      <c r="K135" s="51" t="s">
        <v>38</v>
      </c>
    </row>
    <row r="136" spans="4:13" ht="24" customHeight="1">
      <c r="D136" s="40">
        <v>45354</v>
      </c>
      <c r="E136" s="172">
        <v>3</v>
      </c>
      <c r="F136" s="172">
        <v>305</v>
      </c>
      <c r="G136" s="157">
        <v>23306035444</v>
      </c>
      <c r="H136" s="158" t="str">
        <f>IFERROR(IF(factura_c_mes3[[#This Row],[CUIT]]="","-",VLOOKUP(factura_c_mes3[[#This Row],[CUIT]],Lista_CUIT[#All],2,0)),"CUIT NO CARGADO")</f>
        <v>NADIA TARANTINO</v>
      </c>
      <c r="I136" s="173">
        <v>52000</v>
      </c>
      <c r="J136" s="174" t="str">
        <f>IFERROR(IF(factura_c_mes3[[#This Row],[CUIT]]="","-",VLOOKUP(factura_c_mes3[[#This Row],[CUIT]],Lista_CUIT[#All],3,0)),"CUIT NO CARGADO")</f>
        <v>GASTOS CONTABLES</v>
      </c>
      <c r="K136" s="174">
        <f>IFERROR(IF(factura_c_mes3[[#This Row],[CUIT]]="","-",VLOOKUP(factura_c_mes3[[#This Row],[CUIT]],Lista_CUIT[#All],4,0)),"CUIT NO CARGADO")</f>
        <v>0</v>
      </c>
    </row>
    <row r="137" spans="4:13">
      <c r="D137" s="40">
        <v>45355</v>
      </c>
      <c r="E137" s="172">
        <v>3</v>
      </c>
      <c r="F137" s="172">
        <v>824</v>
      </c>
      <c r="G137" s="157">
        <v>20086277523</v>
      </c>
      <c r="H137" s="158" t="str">
        <f>IFERROR(IF(factura_c_mes3[[#This Row],[CUIT]]="","-",VLOOKUP(factura_c_mes3[[#This Row],[CUIT]],Lista_CUIT[#All],2,0)),"CUIT NO CARGADO")</f>
        <v>BOTINDARI JUAN CARLOS</v>
      </c>
      <c r="I137" s="173">
        <v>230000</v>
      </c>
      <c r="J137" s="174" t="str">
        <f>IFERROR(IF(factura_c_mes3[[#This Row],[CUIT]]="","-",VLOOKUP(factura_c_mes3[[#This Row],[CUIT]],Lista_CUIT[#All],3,0)),"CUIT NO CARGADO")</f>
        <v>HONORARIOS</v>
      </c>
      <c r="K137" s="174">
        <f>IFERROR(IF(factura_c_mes3[[#This Row],[CUIT]]="","-",VLOOKUP(factura_c_mes3[[#This Row],[CUIT]],Lista_CUIT[#All],4,0)),"CUIT NO CARGADO")</f>
        <v>0</v>
      </c>
    </row>
    <row r="138" spans="4:13" ht="20.25" customHeight="1">
      <c r="D138" s="40">
        <v>45355</v>
      </c>
      <c r="E138" s="172">
        <v>2</v>
      </c>
      <c r="F138" s="172">
        <v>257</v>
      </c>
      <c r="G138" s="157">
        <v>27265832178</v>
      </c>
      <c r="H138" s="158" t="str">
        <f>IFERROR(IF(factura_c_mes3[[#This Row],[CUIT]]="","-",VLOOKUP(factura_c_mes3[[#This Row],[CUIT]],Lista_CUIT[#All],2,0)),"CUIT NO CARGADO")</f>
        <v>BLASCO MARIA GUADALUPE</v>
      </c>
      <c r="I138" s="173">
        <v>150000</v>
      </c>
      <c r="J138" s="174" t="str">
        <f>IFERROR(IF(factura_c_mes3[[#This Row],[CUIT]]="","-",VLOOKUP(factura_c_mes3[[#This Row],[CUIT]],Lista_CUIT[#All],3,0)),"CUIT NO CARGADO")</f>
        <v>Productos Ortopedicos</v>
      </c>
      <c r="K138" s="174">
        <f>IFERROR(IF(factura_c_mes3[[#This Row],[CUIT]]="","-",VLOOKUP(factura_c_mes3[[#This Row],[CUIT]],Lista_CUIT[#All],4,0)),"CUIT NO CARGADO")</f>
        <v>0</v>
      </c>
    </row>
    <row r="139" spans="4:13">
      <c r="D139" s="40">
        <v>45357</v>
      </c>
      <c r="E139" s="172">
        <v>1</v>
      </c>
      <c r="F139" s="172">
        <v>2</v>
      </c>
      <c r="G139" s="157">
        <v>20464199633</v>
      </c>
      <c r="H139" s="158" t="str">
        <f>IFERROR(IF(factura_c_mes3[[#This Row],[CUIT]]="","-",VLOOKUP(factura_c_mes3[[#This Row],[CUIT]],Lista_CUIT[#All],2,0)),"CUIT NO CARGADO")</f>
        <v>OVIEDO JIMENEZ TIZIANO LIONEL</v>
      </c>
      <c r="I139" s="173">
        <v>141000</v>
      </c>
      <c r="J139" s="174" t="str">
        <f>IFERROR(IF(factura_c_mes3[[#This Row],[CUIT]]="","-",VLOOKUP(factura_c_mes3[[#This Row],[CUIT]],Lista_CUIT[#All],3,0)),"CUIT NO CARGADO")</f>
        <v>Productos Ortopedicos</v>
      </c>
      <c r="K139" s="174">
        <f>IFERROR(IF(factura_c_mes3[[#This Row],[CUIT]]="","-",VLOOKUP(factura_c_mes3[[#This Row],[CUIT]],Lista_CUIT[#All],4,0)),"CUIT NO CARGADO")</f>
        <v>0</v>
      </c>
    </row>
    <row r="140" spans="4:13">
      <c r="D140" s="40">
        <v>45362</v>
      </c>
      <c r="E140" s="172">
        <v>2</v>
      </c>
      <c r="F140" s="172">
        <v>112</v>
      </c>
      <c r="G140" s="157">
        <v>20220423655</v>
      </c>
      <c r="H140" s="158" t="str">
        <f>IFERROR(IF(factura_c_mes3[[#This Row],[CUIT]]="","-",VLOOKUP(factura_c_mes3[[#This Row],[CUIT]],Lista_CUIT[#All],2,0)),"CUIT NO CARGADO")</f>
        <v>LANDRO FERNANDO GABRIEL</v>
      </c>
      <c r="I140" s="173">
        <v>528260</v>
      </c>
      <c r="J140" s="174" t="str">
        <f>IFERROR(IF(factura_c_mes3[[#This Row],[CUIT]]="","-",VLOOKUP(factura_c_mes3[[#This Row],[CUIT]],Lista_CUIT[#All],3,0)),"CUIT NO CARGADO")</f>
        <v>GESTION COBRANZAS</v>
      </c>
      <c r="K140" s="174">
        <f>IFERROR(IF(factura_c_mes3[[#This Row],[CUIT]]="","-",VLOOKUP(factura_c_mes3[[#This Row],[CUIT]],Lista_CUIT[#All],4,0)),"CUIT NO CARGADO")</f>
        <v>0</v>
      </c>
    </row>
    <row r="141" spans="4:13">
      <c r="D141" s="40">
        <v>45362</v>
      </c>
      <c r="E141" s="172">
        <v>2</v>
      </c>
      <c r="F141" s="172">
        <v>111</v>
      </c>
      <c r="G141" s="157">
        <v>20220423655</v>
      </c>
      <c r="H141" s="158" t="str">
        <f>IFERROR(IF(factura_c_mes3[[#This Row],[CUIT]]="","-",VLOOKUP(factura_c_mes3[[#This Row],[CUIT]],Lista_CUIT[#All],2,0)),"CUIT NO CARGADO")</f>
        <v>LANDRO FERNANDO GABRIEL</v>
      </c>
      <c r="I141" s="173">
        <v>514960</v>
      </c>
      <c r="J141" s="174" t="str">
        <f>IFERROR(IF(factura_c_mes3[[#This Row],[CUIT]]="","-",VLOOKUP(factura_c_mes3[[#This Row],[CUIT]],Lista_CUIT[#All],3,0)),"CUIT NO CARGADO")</f>
        <v>GESTION COBRANZAS</v>
      </c>
      <c r="K141" s="174">
        <f>IFERROR(IF(factura_c_mes3[[#This Row],[CUIT]]="","-",VLOOKUP(factura_c_mes3[[#This Row],[CUIT]],Lista_CUIT[#All],4,0)),"CUIT NO CARGADO")</f>
        <v>0</v>
      </c>
    </row>
    <row r="142" spans="4:13">
      <c r="D142" s="40">
        <v>45362</v>
      </c>
      <c r="E142" s="172">
        <v>1</v>
      </c>
      <c r="F142" s="172">
        <v>59</v>
      </c>
      <c r="G142" s="157">
        <v>20403969886</v>
      </c>
      <c r="H142" s="158" t="str">
        <f>IFERROR(IF(factura_c_mes3[[#This Row],[CUIT]]="","-",VLOOKUP(factura_c_mes3[[#This Row],[CUIT]],Lista_CUIT[#All],2,0)),"CUIT NO CARGADO")</f>
        <v>DEL GESSO FRANCO JESUS</v>
      </c>
      <c r="I142" s="173">
        <v>425155</v>
      </c>
      <c r="J142" s="174" t="str">
        <f>IFERROR(IF(factura_c_mes3[[#This Row],[CUIT]]="","-",VLOOKUP(factura_c_mes3[[#This Row],[CUIT]],Lista_CUIT[#All],3,0)),"CUIT NO CARGADO")</f>
        <v>GASTOS ADMINISTRATIVOS</v>
      </c>
      <c r="K142" s="174">
        <f>IFERROR(IF(factura_c_mes3[[#This Row],[CUIT]]="","-",VLOOKUP(factura_c_mes3[[#This Row],[CUIT]],Lista_CUIT[#All],4,0)),"CUIT NO CARGADO")</f>
        <v>0</v>
      </c>
    </row>
    <row r="143" spans="4:13">
      <c r="D143" s="40">
        <v>45365</v>
      </c>
      <c r="E143" s="172">
        <v>1</v>
      </c>
      <c r="F143" s="172">
        <v>7</v>
      </c>
      <c r="G143" s="157">
        <v>27443612705</v>
      </c>
      <c r="H143" s="158" t="str">
        <f>IFERROR(IF(factura_c_mes3[[#This Row],[CUIT]]="","-",VLOOKUP(factura_c_mes3[[#This Row],[CUIT]],Lista_CUIT[#All],2,0)),"CUIT NO CARGADO")</f>
        <v>MIGOYA MORIONDO MARIA INES</v>
      </c>
      <c r="I143" s="173">
        <v>300000</v>
      </c>
      <c r="J143" s="174" t="str">
        <f>IFERROR(IF(factura_c_mes3[[#This Row],[CUIT]]="","-",VLOOKUP(factura_c_mes3[[#This Row],[CUIT]],Lista_CUIT[#All],3,0)),"CUIT NO CARGADO")</f>
        <v>ALQUILERES PAGADOS</v>
      </c>
      <c r="K143" s="174">
        <f>IFERROR(IF(factura_c_mes3[[#This Row],[CUIT]]="","-",VLOOKUP(factura_c_mes3[[#This Row],[CUIT]],Lista_CUIT[#All],4,0)),"CUIT NO CARGADO")</f>
        <v>0</v>
      </c>
    </row>
    <row r="144" spans="4:13">
      <c r="D144" s="40">
        <v>45366</v>
      </c>
      <c r="E144" s="172">
        <v>1</v>
      </c>
      <c r="F144" s="172">
        <v>127</v>
      </c>
      <c r="G144" s="157">
        <v>27338342840</v>
      </c>
      <c r="H144" s="158" t="str">
        <f>IFERROR(IF(factura_c_mes3[[#This Row],[CUIT]]="","-",VLOOKUP(factura_c_mes3[[#This Row],[CUIT]],Lista_CUIT[#All],2,0)),"CUIT NO CARGADO")</f>
        <v>CANCINO PAMELA RITA</v>
      </c>
      <c r="I144" s="173">
        <v>273000</v>
      </c>
      <c r="J144" s="174" t="str">
        <f>IFERROR(IF(factura_c_mes3[[#This Row],[CUIT]]="","-",VLOOKUP(factura_c_mes3[[#This Row],[CUIT]],Lista_CUIT[#All],3,0)),"CUIT NO CARGADO")</f>
        <v>Productos Ortopedicos</v>
      </c>
      <c r="K144" s="174">
        <f>IFERROR(IF(factura_c_mes3[[#This Row],[CUIT]]="","-",VLOOKUP(factura_c_mes3[[#This Row],[CUIT]],Lista_CUIT[#All],4,0)),"CUIT NO CARGADO")</f>
        <v>0</v>
      </c>
    </row>
    <row r="145" spans="4:11">
      <c r="D145" s="40">
        <v>45366</v>
      </c>
      <c r="E145" s="172">
        <v>1</v>
      </c>
      <c r="F145" s="172">
        <v>202</v>
      </c>
      <c r="G145" s="157">
        <v>27217606255</v>
      </c>
      <c r="H145" s="158" t="str">
        <f>IFERROR(IF(factura_c_mes3[[#This Row],[CUIT]]="","-",VLOOKUP(factura_c_mes3[[#This Row],[CUIT]],Lista_CUIT[#All],2,0)),"CUIT NO CARGADO")</f>
        <v>SAPUNA MARIAN KARINA</v>
      </c>
      <c r="I145" s="173">
        <v>42770.58</v>
      </c>
      <c r="J145" s="174" t="str">
        <f>IFERROR(IF(factura_c_mes3[[#This Row],[CUIT]]="","-",VLOOKUP(factura_c_mes3[[#This Row],[CUIT]],Lista_CUIT[#All],3,0)),"CUIT NO CARGADO")</f>
        <v>MANTENIMIENTO</v>
      </c>
      <c r="K145" s="174">
        <f>IFERROR(IF(factura_c_mes3[[#This Row],[CUIT]]="","-",VLOOKUP(factura_c_mes3[[#This Row],[CUIT]],Lista_CUIT[#All],4,0)),"CUIT NO CARGADO")</f>
        <v>0</v>
      </c>
    </row>
    <row r="146" spans="4:11">
      <c r="D146" s="40">
        <v>45367</v>
      </c>
      <c r="E146" s="172">
        <v>1</v>
      </c>
      <c r="F146" s="172">
        <v>203</v>
      </c>
      <c r="G146" s="157">
        <v>27217606255</v>
      </c>
      <c r="H146" s="158" t="str">
        <f>IFERROR(IF(factura_c_mes3[[#This Row],[CUIT]]="","-",VLOOKUP(factura_c_mes3[[#This Row],[CUIT]],Lista_CUIT[#All],2,0)),"CUIT NO CARGADO")</f>
        <v>SAPUNA MARIAN KARINA</v>
      </c>
      <c r="I146" s="173">
        <v>37302.74</v>
      </c>
      <c r="J146" s="174" t="str">
        <f>IFERROR(IF(factura_c_mes3[[#This Row],[CUIT]]="","-",VLOOKUP(factura_c_mes3[[#This Row],[CUIT]],Lista_CUIT[#All],3,0)),"CUIT NO CARGADO")</f>
        <v>MANTENIMIENTO</v>
      </c>
      <c r="K146" s="174">
        <f>IFERROR(IF(factura_c_mes3[[#This Row],[CUIT]]="","-",VLOOKUP(factura_c_mes3[[#This Row],[CUIT]],Lista_CUIT[#All],4,0)),"CUIT NO CARGADO")</f>
        <v>0</v>
      </c>
    </row>
    <row r="147" spans="4:11">
      <c r="D147" s="40">
        <v>45369</v>
      </c>
      <c r="E147" s="172">
        <v>2</v>
      </c>
      <c r="F147" s="172">
        <v>499</v>
      </c>
      <c r="G147" s="157">
        <v>27299725761</v>
      </c>
      <c r="H147" s="158" t="str">
        <f>IFERROR(IF(factura_c_mes3[[#This Row],[CUIT]]="","-",VLOOKUP(factura_c_mes3[[#This Row],[CUIT]],Lista_CUIT[#All],2,0)),"CUIT NO CARGADO")</f>
        <v>TURSARKISIAN MISISIAN VERONICA GEMA</v>
      </c>
      <c r="I147" s="173">
        <v>250000</v>
      </c>
      <c r="J147" s="174" t="str">
        <f>IFERROR(IF(factura_c_mes3[[#This Row],[CUIT]]="","-",VLOOKUP(factura_c_mes3[[#This Row],[CUIT]],Lista_CUIT[#All],3,0)),"CUIT NO CARGADO")</f>
        <v>Productos Ortopedicos</v>
      </c>
      <c r="K147" s="174">
        <f>IFERROR(IF(factura_c_mes3[[#This Row],[CUIT]]="","-",VLOOKUP(factura_c_mes3[[#This Row],[CUIT]],Lista_CUIT[#All],4,0)),"CUIT NO CARGADO")</f>
        <v>0</v>
      </c>
    </row>
    <row r="148" spans="4:11">
      <c r="D148" s="40">
        <v>45369</v>
      </c>
      <c r="E148" s="172">
        <v>2</v>
      </c>
      <c r="F148" s="172">
        <v>498</v>
      </c>
      <c r="G148" s="157">
        <v>27299725761</v>
      </c>
      <c r="H148" s="158" t="str">
        <f>IFERROR(IF(factura_c_mes3[[#This Row],[CUIT]]="","-",VLOOKUP(factura_c_mes3[[#This Row],[CUIT]],Lista_CUIT[#All],2,0)),"CUIT NO CARGADO")</f>
        <v>TURSARKISIAN MISISIAN VERONICA GEMA</v>
      </c>
      <c r="I148" s="173">
        <v>290000</v>
      </c>
      <c r="J148" s="174" t="str">
        <f>IFERROR(IF(factura_c_mes3[[#This Row],[CUIT]]="","-",VLOOKUP(factura_c_mes3[[#This Row],[CUIT]],Lista_CUIT[#All],3,0)),"CUIT NO CARGADO")</f>
        <v>Productos Ortopedicos</v>
      </c>
      <c r="K148" s="174">
        <f>IFERROR(IF(factura_c_mes3[[#This Row],[CUIT]]="","-",VLOOKUP(factura_c_mes3[[#This Row],[CUIT]],Lista_CUIT[#All],4,0)),"CUIT NO CARGADO")</f>
        <v>0</v>
      </c>
    </row>
    <row r="149" spans="4:11">
      <c r="D149" s="40">
        <v>45369</v>
      </c>
      <c r="E149" s="172">
        <v>1</v>
      </c>
      <c r="F149" s="172">
        <v>204</v>
      </c>
      <c r="G149" s="157">
        <v>27217606255</v>
      </c>
      <c r="H149" s="158" t="str">
        <f>IFERROR(IF(factura_c_mes3[[#This Row],[CUIT]]="","-",VLOOKUP(factura_c_mes3[[#This Row],[CUIT]],Lista_CUIT[#All],2,0)),"CUIT NO CARGADO")</f>
        <v>SAPUNA MARIAN KARINA</v>
      </c>
      <c r="I149" s="173">
        <v>41434</v>
      </c>
      <c r="J149" s="174" t="str">
        <f>IFERROR(IF(factura_c_mes3[[#This Row],[CUIT]]="","-",VLOOKUP(factura_c_mes3[[#This Row],[CUIT]],Lista_CUIT[#All],3,0)),"CUIT NO CARGADO")</f>
        <v>MANTENIMIENTO</v>
      </c>
      <c r="K149" s="174">
        <f>IFERROR(IF(factura_c_mes3[[#This Row],[CUIT]]="","-",VLOOKUP(factura_c_mes3[[#This Row],[CUIT]],Lista_CUIT[#All],4,0)),"CUIT NO CARGADO")</f>
        <v>0</v>
      </c>
    </row>
    <row r="150" spans="4:11">
      <c r="D150" s="40">
        <v>45369</v>
      </c>
      <c r="E150" s="172">
        <v>1</v>
      </c>
      <c r="F150" s="172">
        <v>64</v>
      </c>
      <c r="G150" s="157">
        <v>23281233084</v>
      </c>
      <c r="H150" s="158" t="str">
        <f>IFERROR(IF(factura_c_mes3[[#This Row],[CUIT]]="","-",VLOOKUP(factura_c_mes3[[#This Row],[CUIT]],Lista_CUIT[#All],2,0)),"CUIT NO CARGADO")</f>
        <v>DRUETTA ANDREA MARIEL</v>
      </c>
      <c r="I150" s="173">
        <v>107900</v>
      </c>
      <c r="J150" s="174" t="str">
        <f>IFERROR(IF(factura_c_mes3[[#This Row],[CUIT]]="","-",VLOOKUP(factura_c_mes3[[#This Row],[CUIT]],Lista_CUIT[#All],3,0)),"CUIT NO CARGADO")</f>
        <v>HONORARIOS TECNICOS</v>
      </c>
      <c r="K150" s="174">
        <f>IFERROR(IF(factura_c_mes3[[#This Row],[CUIT]]="","-",VLOOKUP(factura_c_mes3[[#This Row],[CUIT]],Lista_CUIT[#All],4,0)),"CUIT NO CARGADO")</f>
        <v>0</v>
      </c>
    </row>
    <row r="151" spans="4:11">
      <c r="D151" s="40">
        <v>45369</v>
      </c>
      <c r="E151" s="172">
        <v>2</v>
      </c>
      <c r="F151" s="172">
        <v>260</v>
      </c>
      <c r="G151" s="157">
        <v>27265832178</v>
      </c>
      <c r="H151" s="158" t="str">
        <f>IFERROR(IF(factura_c_mes3[[#This Row],[CUIT]]="","-",VLOOKUP(factura_c_mes3[[#This Row],[CUIT]],Lista_CUIT[#All],2,0)),"CUIT NO CARGADO")</f>
        <v>BLASCO MARIA GUADALUPE</v>
      </c>
      <c r="I151" s="173">
        <v>150000</v>
      </c>
      <c r="J151" s="174" t="str">
        <f>IFERROR(IF(factura_c_mes3[[#This Row],[CUIT]]="","-",VLOOKUP(factura_c_mes3[[#This Row],[CUIT]],Lista_CUIT[#All],3,0)),"CUIT NO CARGADO")</f>
        <v>Productos Ortopedicos</v>
      </c>
      <c r="K151" s="174">
        <f>IFERROR(IF(factura_c_mes3[[#This Row],[CUIT]]="","-",VLOOKUP(factura_c_mes3[[#This Row],[CUIT]],Lista_CUIT[#All],4,0)),"CUIT NO CARGADO")</f>
        <v>0</v>
      </c>
    </row>
    <row r="152" spans="4:11">
      <c r="D152" s="40">
        <v>45370</v>
      </c>
      <c r="E152" s="172">
        <v>2</v>
      </c>
      <c r="F152" s="172">
        <v>1966</v>
      </c>
      <c r="G152" s="157">
        <v>20923867903</v>
      </c>
      <c r="H152" s="158" t="str">
        <f>IFERROR(IF(factura_c_mes3[[#This Row],[CUIT]]="","-",VLOOKUP(factura_c_mes3[[#This Row],[CUIT]],Lista_CUIT[#All],2,0)),"CUIT NO CARGADO")</f>
        <v>NUÑEZ GONZALEZ JORGE ESTEBAN</v>
      </c>
      <c r="I152" s="173">
        <v>7800</v>
      </c>
      <c r="J152" s="174">
        <f>IFERROR(IF(factura_c_mes3[[#This Row],[CUIT]]="","-",VLOOKUP(factura_c_mes3[[#This Row],[CUIT]],Lista_CUIT[#All],3,0)),"CUIT NO CARGADO")</f>
        <v>0</v>
      </c>
      <c r="K152" s="174">
        <f>IFERROR(IF(factura_c_mes3[[#This Row],[CUIT]]="","-",VLOOKUP(factura_c_mes3[[#This Row],[CUIT]],Lista_CUIT[#All],4,0)),"CUIT NO CARGADO")</f>
        <v>0</v>
      </c>
    </row>
    <row r="153" spans="4:11">
      <c r="D153" s="40">
        <v>45370</v>
      </c>
      <c r="E153" s="172">
        <v>3</v>
      </c>
      <c r="F153" s="172">
        <v>883</v>
      </c>
      <c r="G153" s="157">
        <v>20216451679</v>
      </c>
      <c r="H153" s="158" t="str">
        <f>IFERROR(IF(factura_c_mes3[[#This Row],[CUIT]]="","-",VLOOKUP(factura_c_mes3[[#This Row],[CUIT]],Lista_CUIT[#All],2,0)),"CUIT NO CARGADO")</f>
        <v>VAZQUEZ RICARDO OSCAR</v>
      </c>
      <c r="I153" s="173">
        <v>160000</v>
      </c>
      <c r="J153" s="174" t="str">
        <f>IFERROR(IF(factura_c_mes3[[#This Row],[CUIT]]="","-",VLOOKUP(factura_c_mes3[[#This Row],[CUIT]],Lista_CUIT[#All],3,0)),"CUIT NO CARGADO")</f>
        <v>Productos Ortopedicos</v>
      </c>
      <c r="K153" s="174">
        <f>IFERROR(IF(factura_c_mes3[[#This Row],[CUIT]]="","-",VLOOKUP(factura_c_mes3[[#This Row],[CUIT]],Lista_CUIT[#All],4,0)),"CUIT NO CARGADO")</f>
        <v>0</v>
      </c>
    </row>
    <row r="154" spans="4:11">
      <c r="D154" s="40">
        <v>45370</v>
      </c>
      <c r="E154" s="172">
        <v>1</v>
      </c>
      <c r="F154" s="172">
        <v>205</v>
      </c>
      <c r="G154" s="157">
        <v>27217606255</v>
      </c>
      <c r="H154" s="158" t="str">
        <f>IFERROR(IF(factura_c_mes3[[#This Row],[CUIT]]="","-",VLOOKUP(factura_c_mes3[[#This Row],[CUIT]],Lista_CUIT[#All],2,0)),"CUIT NO CARGADO")</f>
        <v>SAPUNA MARIAN KARINA</v>
      </c>
      <c r="I154" s="173">
        <v>113011.36</v>
      </c>
      <c r="J154" s="174" t="str">
        <f>IFERROR(IF(factura_c_mes3[[#This Row],[CUIT]]="","-",VLOOKUP(factura_c_mes3[[#This Row],[CUIT]],Lista_CUIT[#All],3,0)),"CUIT NO CARGADO")</f>
        <v>MANTENIMIENTO</v>
      </c>
      <c r="K154" s="174">
        <f>IFERROR(IF(factura_c_mes3[[#This Row],[CUIT]]="","-",VLOOKUP(factura_c_mes3[[#This Row],[CUIT]],Lista_CUIT[#All],4,0)),"CUIT NO CARGADO")</f>
        <v>0</v>
      </c>
    </row>
    <row r="155" spans="4:11">
      <c r="D155" s="40">
        <v>45371</v>
      </c>
      <c r="E155" s="172">
        <v>1</v>
      </c>
      <c r="F155" s="172">
        <v>2</v>
      </c>
      <c r="G155" s="157">
        <v>27443612713</v>
      </c>
      <c r="H155" s="158" t="str">
        <f>IFERROR(IF(factura_c_mes3[[#This Row],[CUIT]]="","-",VLOOKUP(factura_c_mes3[[#This Row],[CUIT]],Lista_CUIT[#All],2,0)),"CUIT NO CARGADO")</f>
        <v>MIGOYA MORIONDO SOFIA</v>
      </c>
      <c r="I155" s="173">
        <v>350000</v>
      </c>
      <c r="J155" s="174" t="str">
        <f>IFERROR(IF(factura_c_mes3[[#This Row],[CUIT]]="","-",VLOOKUP(factura_c_mes3[[#This Row],[CUIT]],Lista_CUIT[#All],3,0)),"CUIT NO CARGADO")</f>
        <v>Alquiler</v>
      </c>
      <c r="K155" s="174">
        <f>IFERROR(IF(factura_c_mes3[[#This Row],[CUIT]]="","-",VLOOKUP(factura_c_mes3[[#This Row],[CUIT]],Lista_CUIT[#All],4,0)),"CUIT NO CARGADO")</f>
        <v>0</v>
      </c>
    </row>
    <row r="156" spans="4:11">
      <c r="D156" s="40">
        <v>45371</v>
      </c>
      <c r="E156" s="172">
        <v>1</v>
      </c>
      <c r="F156" s="172">
        <v>206</v>
      </c>
      <c r="G156" s="157">
        <v>27217606255</v>
      </c>
      <c r="H156" s="158" t="str">
        <f>IFERROR(IF(factura_c_mes3[[#This Row],[CUIT]]="","-",VLOOKUP(factura_c_mes3[[#This Row],[CUIT]],Lista_CUIT[#All],2,0)),"CUIT NO CARGADO")</f>
        <v>SAPUNA MARIAN KARINA</v>
      </c>
      <c r="I156" s="173">
        <v>71284.09</v>
      </c>
      <c r="J156" s="174" t="str">
        <f>IFERROR(IF(factura_c_mes3[[#This Row],[CUIT]]="","-",VLOOKUP(factura_c_mes3[[#This Row],[CUIT]],Lista_CUIT[#All],3,0)),"CUIT NO CARGADO")</f>
        <v>MANTENIMIENTO</v>
      </c>
      <c r="K156" s="174">
        <f>IFERROR(IF(factura_c_mes3[[#This Row],[CUIT]]="","-",VLOOKUP(factura_c_mes3[[#This Row],[CUIT]],Lista_CUIT[#All],4,0)),"CUIT NO CARGADO")</f>
        <v>0</v>
      </c>
    </row>
    <row r="157" spans="4:11">
      <c r="D157" s="40">
        <v>45372</v>
      </c>
      <c r="E157" s="172">
        <v>1</v>
      </c>
      <c r="F157" s="172">
        <v>207</v>
      </c>
      <c r="G157" s="157">
        <v>27217606255</v>
      </c>
      <c r="H157" s="158" t="str">
        <f>IFERROR(IF(factura_c_mes3[[#This Row],[CUIT]]="","-",VLOOKUP(factura_c_mes3[[#This Row],[CUIT]],Lista_CUIT[#All],2,0)),"CUIT NO CARGADO")</f>
        <v>SAPUNA MARIAN KARINA</v>
      </c>
      <c r="I157" s="173">
        <v>80427.27</v>
      </c>
      <c r="J157" s="174" t="str">
        <f>IFERROR(IF(factura_c_mes3[[#This Row],[CUIT]]="","-",VLOOKUP(factura_c_mes3[[#This Row],[CUIT]],Lista_CUIT[#All],3,0)),"CUIT NO CARGADO")</f>
        <v>MANTENIMIENTO</v>
      </c>
      <c r="K157" s="174">
        <f>IFERROR(IF(factura_c_mes3[[#This Row],[CUIT]]="","-",VLOOKUP(factura_c_mes3[[#This Row],[CUIT]],Lista_CUIT[#All],4,0)),"CUIT NO CARGADO")</f>
        <v>0</v>
      </c>
    </row>
    <row r="158" spans="4:11">
      <c r="D158" s="40">
        <v>45373</v>
      </c>
      <c r="E158" s="172">
        <v>2</v>
      </c>
      <c r="F158" s="172">
        <v>657</v>
      </c>
      <c r="G158" s="157">
        <v>27294612845</v>
      </c>
      <c r="H158" s="158" t="str">
        <f>IFERROR(IF(factura_c_mes3[[#This Row],[CUIT]]="","-",VLOOKUP(factura_c_mes3[[#This Row],[CUIT]],Lista_CUIT[#All],2,0)),"CUIT NO CARGADO")</f>
        <v>VASTA LUCILA</v>
      </c>
      <c r="I158" s="173">
        <v>1400000</v>
      </c>
      <c r="J158" s="174" t="str">
        <f>IFERROR(IF(factura_c_mes3[[#This Row],[CUIT]]="","-",VLOOKUP(factura_c_mes3[[#This Row],[CUIT]],Lista_CUIT[#All],3,0)),"CUIT NO CARGADO")</f>
        <v>Productos Ortopedicos</v>
      </c>
      <c r="K158" s="174">
        <f>IFERROR(IF(factura_c_mes3[[#This Row],[CUIT]]="","-",VLOOKUP(factura_c_mes3[[#This Row],[CUIT]],Lista_CUIT[#All],4,0)),"CUIT NO CARGADO")</f>
        <v>0</v>
      </c>
    </row>
    <row r="159" spans="4:11">
      <c r="D159" s="40">
        <v>45373</v>
      </c>
      <c r="E159" s="172">
        <v>1</v>
      </c>
      <c r="F159" s="172">
        <v>208</v>
      </c>
      <c r="G159" s="157">
        <v>27217606255</v>
      </c>
      <c r="H159" s="158" t="str">
        <f>IFERROR(IF(factura_c_mes3[[#This Row],[CUIT]]="","-",VLOOKUP(factura_c_mes3[[#This Row],[CUIT]],Lista_CUIT[#All],2,0)),"CUIT NO CARGADO")</f>
        <v>SAPUNA MARIAN KARINA</v>
      </c>
      <c r="I159" s="173">
        <v>63769.96</v>
      </c>
      <c r="J159" s="174" t="str">
        <f>IFERROR(IF(factura_c_mes3[[#This Row],[CUIT]]="","-",VLOOKUP(factura_c_mes3[[#This Row],[CUIT]],Lista_CUIT[#All],3,0)),"CUIT NO CARGADO")</f>
        <v>MANTENIMIENTO</v>
      </c>
      <c r="K159" s="174">
        <f>IFERROR(IF(factura_c_mes3[[#This Row],[CUIT]]="","-",VLOOKUP(factura_c_mes3[[#This Row],[CUIT]],Lista_CUIT[#All],4,0)),"CUIT NO CARGADO")</f>
        <v>0</v>
      </c>
    </row>
    <row r="160" spans="4:11">
      <c r="D160" s="40">
        <v>45377</v>
      </c>
      <c r="E160" s="172">
        <v>3</v>
      </c>
      <c r="F160" s="172">
        <v>889</v>
      </c>
      <c r="G160" s="157">
        <v>20216451679</v>
      </c>
      <c r="H160" s="158" t="str">
        <f>IFERROR(IF(factura_c_mes3[[#This Row],[CUIT]]="","-",VLOOKUP(factura_c_mes3[[#This Row],[CUIT]],Lista_CUIT[#All],2,0)),"CUIT NO CARGADO")</f>
        <v>VAZQUEZ RICARDO OSCAR</v>
      </c>
      <c r="I160" s="173">
        <v>160000</v>
      </c>
      <c r="J160" s="174" t="str">
        <f>IFERROR(IF(factura_c_mes3[[#This Row],[CUIT]]="","-",VLOOKUP(factura_c_mes3[[#This Row],[CUIT]],Lista_CUIT[#All],3,0)),"CUIT NO CARGADO")</f>
        <v>Productos Ortopedicos</v>
      </c>
      <c r="K160" s="174">
        <f>IFERROR(IF(factura_c_mes3[[#This Row],[CUIT]]="","-",VLOOKUP(factura_c_mes3[[#This Row],[CUIT]],Lista_CUIT[#All],4,0)),"CUIT NO CARGADO")</f>
        <v>0</v>
      </c>
    </row>
    <row r="161" spans="2:18">
      <c r="D161" s="40">
        <v>45378</v>
      </c>
      <c r="E161" s="172">
        <v>1</v>
      </c>
      <c r="F161" s="172">
        <v>129</v>
      </c>
      <c r="G161" s="157">
        <v>27338342840</v>
      </c>
      <c r="H161" s="158" t="str">
        <f>IFERROR(IF(factura_c_mes3[[#This Row],[CUIT]]="","-",VLOOKUP(factura_c_mes3[[#This Row],[CUIT]],Lista_CUIT[#All],2,0)),"CUIT NO CARGADO")</f>
        <v>CANCINO PAMELA RITA</v>
      </c>
      <c r="I161" s="173">
        <v>101000</v>
      </c>
      <c r="J161" s="174" t="str">
        <f>IFERROR(IF(factura_c_mes3[[#This Row],[CUIT]]="","-",VLOOKUP(factura_c_mes3[[#This Row],[CUIT]],Lista_CUIT[#All],3,0)),"CUIT NO CARGADO")</f>
        <v>Productos Ortopedicos</v>
      </c>
      <c r="K161" s="174">
        <f>IFERROR(IF(factura_c_mes3[[#This Row],[CUIT]]="","-",VLOOKUP(factura_c_mes3[[#This Row],[CUIT]],Lista_CUIT[#All],4,0)),"CUIT NO CARGADO")</f>
        <v>0</v>
      </c>
    </row>
    <row r="162" spans="2:18">
      <c r="D162" s="40"/>
      <c r="E162" s="172"/>
      <c r="F162" s="172"/>
      <c r="G162" s="157"/>
      <c r="H162" s="158" t="str">
        <f>IFERROR(IF(factura_c_mes3[[#This Row],[CUIT]]="","-",VLOOKUP(factura_c_mes3[[#This Row],[CUIT]],Lista_CUIT[#All],2,0)),"CUIT NO CARGADO")</f>
        <v>-</v>
      </c>
      <c r="I162" s="173"/>
      <c r="J162" s="174" t="str">
        <f>IFERROR(IF(factura_c_mes3[[#This Row],[CUIT]]="","-",VLOOKUP(factura_c_mes3[[#This Row],[CUIT]],Lista_CUIT[#All],3,0)),"CUIT NO CARGADO")</f>
        <v>-</v>
      </c>
      <c r="K162" s="174" t="str">
        <f>IFERROR(IF(factura_c_mes3[[#This Row],[CUIT]]="","-",VLOOKUP(factura_c_mes3[[#This Row],[CUIT]],Lista_CUIT[#All],4,0)),"CUIT NO CARGADO")</f>
        <v>-</v>
      </c>
    </row>
    <row r="163" spans="2:18">
      <c r="D163" s="40"/>
      <c r="E163" s="172"/>
      <c r="F163" s="172"/>
      <c r="G163" s="157"/>
      <c r="H163" s="158" t="str">
        <f>IFERROR(IF(factura_c_mes3[[#This Row],[CUIT]]="","-",VLOOKUP(factura_c_mes3[[#This Row],[CUIT]],Lista_CUIT[#All],2,0)),"CUIT NO CARGADO")</f>
        <v>-</v>
      </c>
      <c r="I163" s="173"/>
      <c r="J163" s="174" t="str">
        <f>IFERROR(IF(factura_c_mes3[[#This Row],[CUIT]]="","-",VLOOKUP(factura_c_mes3[[#This Row],[CUIT]],Lista_CUIT[#All],3,0)),"CUIT NO CARGADO")</f>
        <v>-</v>
      </c>
      <c r="K163" s="174" t="str">
        <f>IFERROR(IF(factura_c_mes3[[#This Row],[CUIT]]="","-",VLOOKUP(factura_c_mes3[[#This Row],[CUIT]],Lista_CUIT[#All],4,0)),"CUIT NO CARGADO")</f>
        <v>-</v>
      </c>
    </row>
    <row r="164" spans="2:18">
      <c r="D164" s="40"/>
      <c r="E164" s="172"/>
      <c r="F164" s="172"/>
      <c r="G164" s="157"/>
      <c r="H164" s="158" t="str">
        <f>IFERROR(IF(factura_c_mes3[[#This Row],[CUIT]]="","-",VLOOKUP(factura_c_mes3[[#This Row],[CUIT]],Lista_CUIT[#All],2,0)),"CUIT NO CARGADO")</f>
        <v>-</v>
      </c>
      <c r="I164" s="173"/>
      <c r="J164" s="174" t="str">
        <f>IFERROR(IF(factura_c_mes3[[#This Row],[CUIT]]="","-",VLOOKUP(factura_c_mes3[[#This Row],[CUIT]],Lista_CUIT[#All],3,0)),"CUIT NO CARGADO")</f>
        <v>-</v>
      </c>
      <c r="K164" s="174" t="str">
        <f>IFERROR(IF(factura_c_mes3[[#This Row],[CUIT]]="","-",VLOOKUP(factura_c_mes3[[#This Row],[CUIT]],Lista_CUIT[#All],4,0)),"CUIT NO CARGADO")</f>
        <v>-</v>
      </c>
    </row>
    <row r="165" spans="2:18">
      <c r="D165" s="40"/>
      <c r="E165" s="172"/>
      <c r="F165" s="172"/>
      <c r="G165" s="157"/>
      <c r="H165" s="158" t="str">
        <f>IFERROR(IF(factura_c_mes3[[#This Row],[CUIT]]="","-",VLOOKUP(factura_c_mes3[[#This Row],[CUIT]],Lista_CUIT[#All],2,0)),"CUIT NO CARGADO")</f>
        <v>-</v>
      </c>
      <c r="I165" s="173"/>
      <c r="J165" s="174" t="str">
        <f>IFERROR(IF(factura_c_mes3[[#This Row],[CUIT]]="","-",VLOOKUP(factura_c_mes3[[#This Row],[CUIT]],Lista_CUIT[#All],3,0)),"CUIT NO CARGADO")</f>
        <v>-</v>
      </c>
      <c r="K165" s="174" t="str">
        <f>IFERROR(IF(factura_c_mes3[[#This Row],[CUIT]]="","-",VLOOKUP(factura_c_mes3[[#This Row],[CUIT]],Lista_CUIT[#All],4,0)),"CUIT NO CARGADO")</f>
        <v>-</v>
      </c>
    </row>
    <row r="166" spans="2:18">
      <c r="D166" s="40"/>
      <c r="E166" s="172"/>
      <c r="F166" s="172"/>
      <c r="G166" s="157"/>
      <c r="H166" s="158" t="str">
        <f>IFERROR(IF(factura_c_mes3[[#This Row],[CUIT]]="","-",VLOOKUP(factura_c_mes3[[#This Row],[CUIT]],Lista_CUIT[#All],2,0)),"CUIT NO CARGADO")</f>
        <v>-</v>
      </c>
      <c r="I166" s="173"/>
      <c r="J166" s="174" t="str">
        <f>IFERROR(IF(factura_c_mes3[[#This Row],[CUIT]]="","-",VLOOKUP(factura_c_mes3[[#This Row],[CUIT]],Lista_CUIT[#All],3,0)),"CUIT NO CARGADO")</f>
        <v>-</v>
      </c>
      <c r="K166" s="174" t="str">
        <f>IFERROR(IF(factura_c_mes3[[#This Row],[CUIT]]="","-",VLOOKUP(factura_c_mes3[[#This Row],[CUIT]],Lista_CUIT[#All],4,0)),"CUIT NO CARGADO")</f>
        <v>-</v>
      </c>
    </row>
    <row r="167" spans="2:18">
      <c r="D167" s="40"/>
      <c r="E167" s="172"/>
      <c r="F167" s="172"/>
      <c r="G167" s="157"/>
      <c r="H167" s="158" t="str">
        <f>IFERROR(IF(factura_c_mes3[[#This Row],[CUIT]]="","-",VLOOKUP(factura_c_mes3[[#This Row],[CUIT]],Lista_CUIT[#All],2,0)),"CUIT NO CARGADO")</f>
        <v>-</v>
      </c>
      <c r="I167" s="173"/>
      <c r="J167" s="174" t="str">
        <f>IFERROR(IF(factura_c_mes3[[#This Row],[CUIT]]="","-",VLOOKUP(factura_c_mes3[[#This Row],[CUIT]],Lista_CUIT[#All],3,0)),"CUIT NO CARGADO")</f>
        <v>-</v>
      </c>
      <c r="K167" s="174" t="str">
        <f>IFERROR(IF(factura_c_mes3[[#This Row],[CUIT]]="","-",VLOOKUP(factura_c_mes3[[#This Row],[CUIT]],Lista_CUIT[#All],4,0)),"CUIT NO CARGADO")</f>
        <v>-</v>
      </c>
    </row>
    <row r="168" spans="2:18" hidden="1">
      <c r="D168" s="40">
        <v>45016</v>
      </c>
      <c r="E168" s="172">
        <v>1</v>
      </c>
      <c r="F168" s="172">
        <v>226</v>
      </c>
      <c r="G168" s="157">
        <v>27368203829</v>
      </c>
      <c r="H168" s="158" t="str">
        <f>IFERROR(IF(factura_c_mes3[[#This Row],[CUIT]]="","-",VLOOKUP(factura_c_mes3[[#This Row],[CUIT]],Lista_CUIT[#All],2,0)),"CUIT NO CARGADO")</f>
        <v>PROFETI NOEMI GISELE</v>
      </c>
      <c r="I168" s="173">
        <v>70200</v>
      </c>
      <c r="J168" s="174" t="str">
        <f>IFERROR(IF(factura_c_mes3[[#This Row],[CUIT]]="","-",VLOOKUP(factura_c_mes3[[#This Row],[CUIT]],Lista_CUIT[#All],3,0)),"CUIT NO CARGADO")</f>
        <v>MANTENIMIENTO</v>
      </c>
      <c r="K168" s="174" t="str">
        <f>IFERROR(IF(factura_c_mes3[[#This Row],[CUIT]]="","-",VLOOKUP(factura_c_mes3[[#This Row],[CUIT]],Lista_CUIT[#All],4,0)),"CUIT NO CARGADO")</f>
        <v>BUENOS AIRES</v>
      </c>
    </row>
    <row r="169" spans="2:18" hidden="1">
      <c r="D169" s="40" t="s">
        <v>2192</v>
      </c>
      <c r="E169" s="172">
        <v>1</v>
      </c>
      <c r="F169" s="172">
        <v>130</v>
      </c>
      <c r="G169" s="157">
        <v>27217606255</v>
      </c>
      <c r="H169" s="158" t="str">
        <f>IFERROR(IF(factura_c_mes3[[#This Row],[CUIT]]="","-",VLOOKUP(factura_c_mes3[[#This Row],[CUIT]],Lista_CUIT[#All],2,0)),"CUIT NO CARGADO")</f>
        <v>SAPUNA MARIAN KARINA</v>
      </c>
      <c r="I169" s="173">
        <v>44327</v>
      </c>
      <c r="J169" s="174" t="str">
        <f>IFERROR(IF(factura_c_mes3[[#This Row],[CUIT]]="","-",VLOOKUP(factura_c_mes3[[#This Row],[CUIT]],Lista_CUIT[#All],3,0)),"CUIT NO CARGADO")</f>
        <v>MANTENIMIENTO</v>
      </c>
      <c r="K169" s="174">
        <f>IFERROR(IF(factura_c_mes3[[#This Row],[CUIT]]="","-",VLOOKUP(factura_c_mes3[[#This Row],[CUIT]],Lista_CUIT[#All],4,0)),"CUIT NO CARGADO")</f>
        <v>0</v>
      </c>
    </row>
    <row r="170" spans="2:18" hidden="1">
      <c r="D170" s="40"/>
      <c r="E170" s="172"/>
      <c r="F170" s="172"/>
      <c r="G170" s="157"/>
      <c r="H170" s="158" t="str">
        <f>IFERROR(IF(factura_c_mes3[[#This Row],[CUIT]]="","-",VLOOKUP(factura_c_mes3[[#This Row],[CUIT]],Lista_CUIT[#All],2,0)),"CUIT NO CARGADO")</f>
        <v>-</v>
      </c>
      <c r="I170" s="173"/>
      <c r="J170" s="174" t="str">
        <f>IFERROR(IF(factura_c_mes3[[#This Row],[CUIT]]="","-",VLOOKUP(factura_c_mes3[[#This Row],[CUIT]],Lista_CUIT[#All],3,0)),"CUIT NO CARGADO")</f>
        <v>-</v>
      </c>
      <c r="K170" s="174" t="str">
        <f>IFERROR(IF(factura_c_mes3[[#This Row],[CUIT]]="","-",VLOOKUP(factura_c_mes3[[#This Row],[CUIT]],Lista_CUIT[#All],4,0)),"CUIT NO CARGADO")</f>
        <v>-</v>
      </c>
    </row>
    <row r="171" spans="2:18" hidden="1">
      <c r="D171" s="40"/>
      <c r="E171" s="172"/>
      <c r="F171" s="172"/>
      <c r="G171" s="157"/>
      <c r="H171" s="158" t="str">
        <f>IFERROR(IF(factura_c_mes3[[#This Row],[CUIT]]="","-",VLOOKUP(factura_c_mes3[[#This Row],[CUIT]],Lista_CUIT[#All],2,0)),"CUIT NO CARGADO")</f>
        <v>-</v>
      </c>
      <c r="I171" s="173"/>
      <c r="J171" s="174" t="str">
        <f>IFERROR(IF(factura_c_mes3[[#This Row],[CUIT]]="","-",VLOOKUP(factura_c_mes3[[#This Row],[CUIT]],Lista_CUIT[#All],3,0)),"CUIT NO CARGADO")</f>
        <v>-</v>
      </c>
      <c r="K171" s="174" t="str">
        <f>IFERROR(IF(factura_c_mes3[[#This Row],[CUIT]]="","-",VLOOKUP(factura_c_mes3[[#This Row],[CUIT]],Lista_CUIT[#All],4,0)),"CUIT NO CARGADO")</f>
        <v>-</v>
      </c>
    </row>
    <row r="172" spans="2:18">
      <c r="D172" s="40"/>
      <c r="E172" s="172"/>
      <c r="F172" s="172"/>
      <c r="G172" s="157"/>
      <c r="H172" s="158" t="str">
        <f>IFERROR(IF(factura_c_mes3[[#This Row],[CUIT]]="","-",VLOOKUP(factura_c_mes3[[#This Row],[CUIT]],Lista_CUIT[#All],2,0)),"CUIT NO CARGADO")</f>
        <v>-</v>
      </c>
      <c r="I172" s="173"/>
      <c r="J172" s="174" t="str">
        <f>IFERROR(IF(factura_c_mes3[[#This Row],[CUIT]]="","-",VLOOKUP(factura_c_mes3[[#This Row],[CUIT]],Lista_CUIT[#All],3,0)),"CUIT NO CARGADO")</f>
        <v>-</v>
      </c>
      <c r="K172" s="174" t="str">
        <f>IFERROR(IF(factura_c_mes3[[#This Row],[CUIT]]="","-",VLOOKUP(factura_c_mes3[[#This Row],[CUIT]],Lista_CUIT[#All],4,0)),"CUIT NO CARGADO")</f>
        <v>-</v>
      </c>
    </row>
    <row r="173" spans="2:18">
      <c r="D173" s="55" t="s">
        <v>110</v>
      </c>
      <c r="E173" s="55"/>
      <c r="F173" s="55"/>
      <c r="G173" s="55"/>
      <c r="H173" s="57"/>
      <c r="I173" s="58">
        <f>SUBTOTAL(109,factura_c_mes3[TOTAL])</f>
        <v>6041075</v>
      </c>
      <c r="J173" s="55"/>
      <c r="K173" s="55"/>
    </row>
    <row r="174" spans="2:18">
      <c r="B174" s="56"/>
      <c r="C174" s="56"/>
      <c r="L174" s="56"/>
      <c r="M174" s="56"/>
      <c r="N174" s="56"/>
      <c r="O174" s="56"/>
      <c r="P174" s="56"/>
      <c r="Q174" s="56"/>
      <c r="R174" s="56"/>
    </row>
    <row r="179" spans="2:13" ht="26.25">
      <c r="B179" s="673" t="s">
        <v>29</v>
      </c>
      <c r="C179" s="673"/>
      <c r="D179" s="673"/>
      <c r="E179" s="673"/>
      <c r="F179" s="673"/>
      <c r="G179" s="673"/>
      <c r="H179" s="673"/>
      <c r="I179" s="673"/>
      <c r="J179" s="673"/>
      <c r="K179" s="669">
        <f>N1</f>
        <v>45352</v>
      </c>
      <c r="L179" s="669"/>
      <c r="M179" s="669"/>
    </row>
    <row r="181" spans="2:13" ht="21">
      <c r="B181" s="666" t="s">
        <v>30</v>
      </c>
      <c r="C181" s="666"/>
    </row>
    <row r="182" spans="2:13" ht="31.5">
      <c r="B182" s="60" t="s">
        <v>0</v>
      </c>
      <c r="C182" s="61" t="s">
        <v>1</v>
      </c>
      <c r="D182" s="61" t="s">
        <v>21</v>
      </c>
      <c r="E182" s="61" t="s">
        <v>22</v>
      </c>
      <c r="F182" s="61" t="s">
        <v>3</v>
      </c>
      <c r="G182" s="61" t="s">
        <v>4</v>
      </c>
      <c r="H182" s="61" t="s">
        <v>23</v>
      </c>
      <c r="I182" s="61" t="s">
        <v>17</v>
      </c>
      <c r="J182" s="61" t="s">
        <v>7</v>
      </c>
      <c r="K182" s="61" t="s">
        <v>24</v>
      </c>
      <c r="L182" s="61" t="s">
        <v>10</v>
      </c>
      <c r="M182" s="62" t="s">
        <v>38</v>
      </c>
    </row>
    <row r="183" spans="2:13">
      <c r="B183" s="40"/>
      <c r="C183" s="41"/>
      <c r="D183" s="42"/>
      <c r="E183" s="43"/>
      <c r="F183" s="44"/>
      <c r="G183" s="98" t="str">
        <f>IFERROR(IF(venta_a_mes3[[#This Row],[CUIT]]="","-",VLOOKUP(venta_a_mes3[[#This Row],[CUIT]],Lista_CUIT[#All],2,0)),"CUIT NO CARGADO")</f>
        <v>-</v>
      </c>
      <c r="H183" s="99"/>
      <c r="I183" s="100">
        <f>venta_a_mes3[[#This Row],[IMPORTE NETO]]*0.21</f>
        <v>0</v>
      </c>
      <c r="J183" s="65"/>
      <c r="K183" s="65"/>
      <c r="L183" s="65">
        <f>SUM(venta_a_mes3[[#This Row],[IMPORTE NETO]:[EXENTO]])</f>
        <v>0</v>
      </c>
      <c r="M183" s="59"/>
    </row>
    <row r="184" spans="2:13">
      <c r="B184" s="40"/>
      <c r="C184" s="41"/>
      <c r="D184" s="42"/>
      <c r="E184" s="43"/>
      <c r="F184" s="44"/>
      <c r="G184" s="98" t="str">
        <f>IFERROR(IF(venta_a_mes3[[#This Row],[CUIT]]="","-",VLOOKUP(venta_a_mes3[[#This Row],[CUIT]],Lista_CUIT[#All],2,0)),"CUIT NO CARGADO")</f>
        <v>-</v>
      </c>
      <c r="H184" s="99"/>
      <c r="I184" s="100">
        <f>venta_a_mes3[[#This Row],[IMPORTE NETO]]*0.21</f>
        <v>0</v>
      </c>
      <c r="J184" s="65"/>
      <c r="K184" s="65"/>
      <c r="L184" s="65">
        <f>SUM(venta_a_mes3[[#This Row],[IMPORTE NETO]:[EXENTO]])</f>
        <v>0</v>
      </c>
      <c r="M184" s="59"/>
    </row>
    <row r="185" spans="2:13">
      <c r="B185" s="40"/>
      <c r="C185" s="41"/>
      <c r="D185" s="42"/>
      <c r="E185" s="43"/>
      <c r="F185" s="44"/>
      <c r="G185" s="98" t="str">
        <f>IFERROR(IF(venta_a_mes3[[#This Row],[CUIT]]="","-",VLOOKUP(venta_a_mes3[[#This Row],[CUIT]],Lista_CUIT[#All],2,0)),"CUIT NO CARGADO")</f>
        <v>-</v>
      </c>
      <c r="H185" s="99"/>
      <c r="I185" s="100">
        <f>venta_a_mes3[[#This Row],[IMPORTE NETO]]*0.21</f>
        <v>0</v>
      </c>
      <c r="J185" s="65"/>
      <c r="K185" s="65"/>
      <c r="L185" s="65">
        <f>SUM(venta_a_mes3[[#This Row],[IMPORTE NETO]:[EXENTO]])</f>
        <v>0</v>
      </c>
      <c r="M185" s="59"/>
    </row>
    <row r="186" spans="2:13">
      <c r="B186" s="40"/>
      <c r="C186" s="41"/>
      <c r="D186" s="42"/>
      <c r="E186" s="43"/>
      <c r="F186" s="44"/>
      <c r="G186" s="98" t="str">
        <f>IFERROR(IF(venta_a_mes3[[#This Row],[CUIT]]="","-",VLOOKUP(venta_a_mes3[[#This Row],[CUIT]],Lista_CUIT[#All],2,0)),"CUIT NO CARGADO")</f>
        <v>-</v>
      </c>
      <c r="H186" s="99"/>
      <c r="I186" s="100">
        <f>venta_a_mes3[[#This Row],[IMPORTE NETO]]*0.21</f>
        <v>0</v>
      </c>
      <c r="J186" s="65"/>
      <c r="K186" s="65"/>
      <c r="L186" s="65">
        <f>SUM(venta_a_mes3[[#This Row],[IMPORTE NETO]:[EXENTO]])</f>
        <v>0</v>
      </c>
      <c r="M186" s="59"/>
    </row>
    <row r="187" spans="2:13">
      <c r="B187" s="40"/>
      <c r="C187" s="41"/>
      <c r="D187" s="42"/>
      <c r="E187" s="43"/>
      <c r="F187" s="44"/>
      <c r="G187" s="98" t="str">
        <f>IFERROR(IF(venta_a_mes3[[#This Row],[CUIT]]="","-",VLOOKUP(venta_a_mes3[[#This Row],[CUIT]],Lista_CUIT[#All],2,0)),"CUIT NO CARGADO")</f>
        <v>-</v>
      </c>
      <c r="H187" s="99"/>
      <c r="I187" s="100">
        <f>venta_a_mes3[[#This Row],[IMPORTE NETO]]*0.21</f>
        <v>0</v>
      </c>
      <c r="J187" s="65"/>
      <c r="K187" s="65"/>
      <c r="L187" s="65">
        <f>SUM(venta_a_mes3[[#This Row],[IMPORTE NETO]:[EXENTO]])</f>
        <v>0</v>
      </c>
      <c r="M187" s="59"/>
    </row>
    <row r="188" spans="2:13">
      <c r="B188" s="40"/>
      <c r="C188" s="41"/>
      <c r="D188" s="42"/>
      <c r="E188" s="43"/>
      <c r="F188" s="44"/>
      <c r="G188" s="98" t="str">
        <f>IFERROR(IF(venta_a_mes3[[#This Row],[CUIT]]="","-",VLOOKUP(venta_a_mes3[[#This Row],[CUIT]],Lista_CUIT[#All],2,0)),"CUIT NO CARGADO")</f>
        <v>-</v>
      </c>
      <c r="H188" s="99"/>
      <c r="I188" s="100">
        <f>venta_a_mes3[[#This Row],[IMPORTE NETO]]*0.21</f>
        <v>0</v>
      </c>
      <c r="J188" s="65"/>
      <c r="K188" s="65"/>
      <c r="L188" s="65">
        <f>SUM(venta_a_mes3[[#This Row],[IMPORTE NETO]:[EXENTO]])</f>
        <v>0</v>
      </c>
      <c r="M188" s="59"/>
    </row>
    <row r="189" spans="2:13">
      <c r="B189" s="40"/>
      <c r="C189" s="41"/>
      <c r="D189" s="42"/>
      <c r="E189" s="43"/>
      <c r="F189" s="44"/>
      <c r="G189" s="98" t="str">
        <f>IFERROR(IF(venta_a_mes3[[#This Row],[CUIT]]="","-",VLOOKUP(venta_a_mes3[[#This Row],[CUIT]],Lista_CUIT[#All],2,0)),"CUIT NO CARGADO")</f>
        <v>-</v>
      </c>
      <c r="H189" s="99"/>
      <c r="I189" s="100">
        <f>venta_a_mes3[[#This Row],[IMPORTE NETO]]*0.21</f>
        <v>0</v>
      </c>
      <c r="J189" s="65"/>
      <c r="K189" s="65"/>
      <c r="L189" s="65">
        <f>SUM(venta_a_mes3[[#This Row],[IMPORTE NETO]:[EXENTO]])</f>
        <v>0</v>
      </c>
      <c r="M189" s="63"/>
    </row>
    <row r="190" spans="2:13">
      <c r="B190" s="101"/>
      <c r="C190" s="102"/>
      <c r="D190" s="103"/>
      <c r="E190" s="104"/>
      <c r="F190" s="105"/>
      <c r="G190" s="98" t="str">
        <f>IFERROR(IF(venta_a_mes3[[#This Row],[CUIT]]="","-",VLOOKUP(venta_a_mes3[[#This Row],[CUIT]],Lista_CUIT[#All],2,0)),"CUIT NO CARGADO")</f>
        <v>-</v>
      </c>
      <c r="H190" s="106"/>
      <c r="I190" s="107">
        <f>venta_a_mes3[[#This Row],[IMPORTE NETO]]*0.21</f>
        <v>0</v>
      </c>
      <c r="J190" s="72"/>
      <c r="K190" s="72"/>
      <c r="L190" s="72">
        <f>SUM(venta_a_mes3[[#This Row],[IMPORTE NETO]:[EXENTO]])</f>
        <v>0</v>
      </c>
      <c r="M190" s="63"/>
    </row>
    <row r="191" spans="2:13">
      <c r="B191" s="108"/>
      <c r="C191" s="109"/>
      <c r="D191" s="110"/>
      <c r="E191" s="111"/>
      <c r="F191" s="112"/>
      <c r="G191" s="98" t="str">
        <f>IFERROR(IF(venta_a_mes3[[#This Row],[CUIT]]="","-",VLOOKUP(venta_a_mes3[[#This Row],[CUIT]],Lista_CUIT[#All],2,0)),"CUIT NO CARGADO")</f>
        <v>-</v>
      </c>
      <c r="H191" s="99"/>
      <c r="I191" s="100">
        <f>venta_a_mes3[[#This Row],[IMPORTE NETO]]*0.21</f>
        <v>0</v>
      </c>
      <c r="J191" s="65"/>
      <c r="K191" s="65"/>
      <c r="L191" s="65">
        <f>SUM(venta_a_mes3[[#This Row],[IMPORTE NETO]:[EXENTO]])</f>
        <v>0</v>
      </c>
      <c r="M191" s="59"/>
    </row>
    <row r="192" spans="2:13">
      <c r="B192" s="66" t="s">
        <v>110</v>
      </c>
      <c r="C192" s="67"/>
      <c r="D192" s="67"/>
      <c r="E192" s="67"/>
      <c r="F192" s="67"/>
      <c r="G192" s="67"/>
      <c r="H192" s="69">
        <f>SUBTOTAL(109,venta_a_mes3[IMPORTE NETO])</f>
        <v>0</v>
      </c>
      <c r="I192" s="70">
        <f>SUBTOTAL(109,venta_a_mes3[IVA 21%])</f>
        <v>0</v>
      </c>
      <c r="J192" s="71">
        <f>SUBTOTAL(109,venta_a_mes3[IVA 10,5%])</f>
        <v>0</v>
      </c>
      <c r="K192" s="71">
        <f>SUBTOTAL(109,venta_a_mes3[EXENTO])</f>
        <v>0</v>
      </c>
      <c r="L192" s="71">
        <f>SUBTOTAL(109,venta_a_mes3[TOTAL])</f>
        <v>0</v>
      </c>
      <c r="M192" s="68">
        <f>SUBTOTAL(103,venta_a_mes3[Provincia])</f>
        <v>0</v>
      </c>
    </row>
    <row r="195" spans="2:13" ht="21">
      <c r="B195" s="666" t="s">
        <v>31</v>
      </c>
      <c r="C195" s="666"/>
    </row>
    <row r="196" spans="2:13" ht="31.5">
      <c r="B196" s="60" t="s">
        <v>0</v>
      </c>
      <c r="C196" s="61" t="s">
        <v>1</v>
      </c>
      <c r="D196" s="61" t="s">
        <v>21</v>
      </c>
      <c r="E196" s="61" t="s">
        <v>22</v>
      </c>
      <c r="F196" s="61" t="s">
        <v>3</v>
      </c>
      <c r="G196" s="61" t="s">
        <v>4</v>
      </c>
      <c r="H196" s="61" t="s">
        <v>23</v>
      </c>
      <c r="I196" s="61" t="s">
        <v>17</v>
      </c>
      <c r="J196" s="61" t="s">
        <v>7</v>
      </c>
      <c r="K196" s="61" t="s">
        <v>24</v>
      </c>
      <c r="L196" s="61" t="s">
        <v>10</v>
      </c>
      <c r="M196" s="62" t="s">
        <v>38</v>
      </c>
    </row>
    <row r="197" spans="2:13">
      <c r="B197" s="40"/>
      <c r="C197" s="41"/>
      <c r="D197" s="42"/>
      <c r="E197" s="43"/>
      <c r="F197" s="44"/>
      <c r="G197" s="1" t="str">
        <f>IFERROR(IF(ventas_b_mes3[[#This Row],[CUIT]]="","-",VLOOKUP(ventas_b_mes3[[#This Row],[CUIT]],Lista_CUIT[#All],2,0)),"CUIT NO CARGADO")</f>
        <v>-</v>
      </c>
      <c r="H197" s="64"/>
      <c r="I197" s="64"/>
      <c r="J197" s="64"/>
      <c r="K197" s="64"/>
      <c r="L197" s="64">
        <f>SUM(ventas_b_mes3[[#This Row],[IMPORTE NETO]:[EXENTO]])</f>
        <v>0</v>
      </c>
      <c r="M197" s="59"/>
    </row>
    <row r="198" spans="2:13">
      <c r="B198" s="40"/>
      <c r="C198" s="41"/>
      <c r="D198" s="42"/>
      <c r="E198" s="43"/>
      <c r="F198" s="44"/>
      <c r="G198" s="1"/>
      <c r="H198" s="64"/>
      <c r="I198" s="64"/>
      <c r="J198" s="64"/>
      <c r="K198" s="64"/>
      <c r="L198" s="64">
        <f>SUM(ventas_b_mes3[[#This Row],[IMPORTE NETO]:[EXENTO]])</f>
        <v>0</v>
      </c>
      <c r="M198" s="59"/>
    </row>
    <row r="199" spans="2:13">
      <c r="B199" s="40"/>
      <c r="C199" s="41"/>
      <c r="D199" s="42"/>
      <c r="E199" s="43"/>
      <c r="F199" s="44"/>
      <c r="G199" s="1"/>
      <c r="H199" s="64"/>
      <c r="I199" s="64"/>
      <c r="J199" s="64"/>
      <c r="K199" s="64"/>
      <c r="L199" s="64">
        <f>SUM(ventas_b_mes3[[#This Row],[IMPORTE NETO]:[EXENTO]])</f>
        <v>0</v>
      </c>
      <c r="M199" s="59"/>
    </row>
    <row r="200" spans="2:13">
      <c r="B200" s="40"/>
      <c r="C200" s="41"/>
      <c r="D200" s="42"/>
      <c r="E200" s="43"/>
      <c r="F200" s="44"/>
      <c r="G200" s="1"/>
      <c r="H200" s="64"/>
      <c r="I200" s="64"/>
      <c r="J200" s="64"/>
      <c r="K200" s="64"/>
      <c r="L200" s="64">
        <f>SUM(ventas_b_mes3[[#This Row],[IMPORTE NETO]:[EXENTO]])</f>
        <v>0</v>
      </c>
      <c r="M200" s="59"/>
    </row>
    <row r="201" spans="2:13">
      <c r="B201" s="40"/>
      <c r="C201" s="41"/>
      <c r="D201" s="42"/>
      <c r="E201" s="43"/>
      <c r="F201" s="44"/>
      <c r="G201" s="1"/>
      <c r="H201" s="64"/>
      <c r="I201" s="64"/>
      <c r="J201" s="64"/>
      <c r="K201" s="64"/>
      <c r="L201" s="64">
        <f>SUM(ventas_b_mes3[[#This Row],[IMPORTE NETO]:[EXENTO]])</f>
        <v>0</v>
      </c>
      <c r="M201" s="59"/>
    </row>
    <row r="202" spans="2:13">
      <c r="B202" s="40"/>
      <c r="C202" s="41"/>
      <c r="D202" s="42"/>
      <c r="E202" s="43"/>
      <c r="F202" s="44"/>
      <c r="G202" s="1"/>
      <c r="H202" s="64"/>
      <c r="I202" s="64"/>
      <c r="J202" s="64"/>
      <c r="K202" s="64"/>
      <c r="L202" s="64">
        <f>SUM(ventas_b_mes3[[#This Row],[IMPORTE NETO]:[EXENTO]])</f>
        <v>0</v>
      </c>
      <c r="M202" s="59"/>
    </row>
    <row r="203" spans="2:13">
      <c r="B203" s="66" t="s">
        <v>110</v>
      </c>
      <c r="C203" s="67"/>
      <c r="D203" s="67"/>
      <c r="E203" s="67"/>
      <c r="F203" s="67"/>
      <c r="G203" s="67"/>
      <c r="H203" s="77">
        <f>SUBTOTAL(109,ventas_b_mes3[IMPORTE NETO])</f>
        <v>0</v>
      </c>
      <c r="I203" s="77">
        <f>SUBTOTAL(109,ventas_b_mes3[IVA 21%])</f>
        <v>0</v>
      </c>
      <c r="J203" s="78">
        <f>SUBTOTAL(109,ventas_b_mes3[IVA 10,5%])</f>
        <v>0</v>
      </c>
      <c r="K203" s="78">
        <f>SUBTOTAL(109,ventas_b_mes3[EXENTO])</f>
        <v>0</v>
      </c>
      <c r="L203" s="78">
        <f>SUBTOTAL(109,ventas_b_mes3[TOTAL])</f>
        <v>0</v>
      </c>
      <c r="M203" s="68">
        <f>SUBTOTAL(103,ventas_b_mes3[Provincia])</f>
        <v>0</v>
      </c>
    </row>
    <row r="210" spans="3:12" ht="15.75" thickBot="1"/>
    <row r="211" spans="3:12" ht="15.75" thickTop="1">
      <c r="C211" s="663" t="s">
        <v>66</v>
      </c>
      <c r="D211" s="663"/>
      <c r="E211" s="663"/>
      <c r="F211" s="663"/>
      <c r="G211" s="663"/>
      <c r="H211" s="32"/>
      <c r="I211" s="32"/>
      <c r="J211" s="32"/>
    </row>
    <row r="212" spans="3:12" ht="15.75">
      <c r="C212" s="113" t="s">
        <v>67</v>
      </c>
      <c r="D212" s="114" t="s">
        <v>68</v>
      </c>
      <c r="E212" s="114" t="s">
        <v>112</v>
      </c>
      <c r="F212" s="114" t="s">
        <v>3</v>
      </c>
      <c r="G212" s="114" t="s">
        <v>4</v>
      </c>
      <c r="H212" s="115" t="s">
        <v>69</v>
      </c>
      <c r="I212" s="115" t="s">
        <v>70</v>
      </c>
      <c r="J212" s="115" t="s">
        <v>71</v>
      </c>
      <c r="K212" s="115" t="s">
        <v>72</v>
      </c>
      <c r="L212" s="115" t="s">
        <v>73</v>
      </c>
    </row>
    <row r="213" spans="3:12">
      <c r="C213" s="116"/>
      <c r="D213" s="117"/>
      <c r="E213" s="117"/>
      <c r="F213" s="118"/>
      <c r="G213" s="53" t="str">
        <f>IFERROR(IF(Retenciones_mes3[[#This Row],[CUIT]]="","-",VLOOKUP(Retenciones_mes3[[#This Row],[CUIT]],Lista_CUIT[#All],2,0)),"CUIT NO CARGADO")</f>
        <v>-</v>
      </c>
      <c r="H213" s="119"/>
      <c r="I213" s="119">
        <v>9597.94</v>
      </c>
      <c r="J213" s="119">
        <v>914.09</v>
      </c>
      <c r="K213" s="119"/>
      <c r="L213" s="119"/>
    </row>
    <row r="214" spans="3:12">
      <c r="C214" s="116"/>
      <c r="D214" s="117"/>
      <c r="E214" s="117"/>
      <c r="F214" s="118"/>
      <c r="G214" s="53" t="str">
        <f>IFERROR(IF(Retenciones_mes3[[#This Row],[CUIT]]="","-",VLOOKUP(Retenciones_mes3[[#This Row],[CUIT]],Lista_CUIT[#All],2,0)),"CUIT NO CARGADO")</f>
        <v>-</v>
      </c>
      <c r="H214" s="119"/>
      <c r="I214" s="119"/>
      <c r="J214" s="119"/>
      <c r="K214" s="119"/>
      <c r="L214" s="119"/>
    </row>
    <row r="215" spans="3:12">
      <c r="C215" s="116"/>
      <c r="D215" s="117"/>
      <c r="E215" s="117"/>
      <c r="F215" s="118"/>
      <c r="G215" s="53" t="str">
        <f>IFERROR(IF(Retenciones_mes3[[#This Row],[CUIT]]="","-",VLOOKUP(Retenciones_mes3[[#This Row],[CUIT]],Lista_CUIT[#All],2,0)),"CUIT NO CARGADO")</f>
        <v>-</v>
      </c>
      <c r="H215" s="119"/>
      <c r="I215" s="119"/>
      <c r="J215" s="119"/>
      <c r="K215" s="119"/>
      <c r="L215" s="119"/>
    </row>
    <row r="216" spans="3:12">
      <c r="C216" s="116"/>
      <c r="D216" s="117"/>
      <c r="E216" s="117"/>
      <c r="F216" s="118"/>
      <c r="G216" s="53" t="str">
        <f>IFERROR(IF(Retenciones_mes3[[#This Row],[CUIT]]="","-",VLOOKUP(Retenciones_mes3[[#This Row],[CUIT]],Lista_CUIT[#All],2,0)),"CUIT NO CARGADO")</f>
        <v>-</v>
      </c>
      <c r="H216" s="119"/>
      <c r="I216" s="119"/>
      <c r="J216" s="119"/>
      <c r="K216" s="119"/>
      <c r="L216" s="119"/>
    </row>
    <row r="217" spans="3:12">
      <c r="D217" s="117"/>
      <c r="E217" s="117"/>
      <c r="G217" s="53" t="str">
        <f>IFERROR(IF(Retenciones_mes3[[#This Row],[CUIT]]="","-",VLOOKUP(Retenciones_mes3[[#This Row],[CUIT]],Lista_CUIT[#All],2,0)),"CUIT NO CARGADO")</f>
        <v>-</v>
      </c>
    </row>
    <row r="218" spans="3:12">
      <c r="C218" s="33"/>
    </row>
  </sheetData>
  <mergeCells count="20">
    <mergeCell ref="C211:G211"/>
    <mergeCell ref="B4:E4"/>
    <mergeCell ref="G4:H4"/>
    <mergeCell ref="J4:K4"/>
    <mergeCell ref="M4:N4"/>
    <mergeCell ref="D134:K134"/>
    <mergeCell ref="B179:J179"/>
    <mergeCell ref="K179:M179"/>
    <mergeCell ref="B181:C181"/>
    <mergeCell ref="B195:C195"/>
    <mergeCell ref="P4:R4"/>
    <mergeCell ref="D125:L125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183:D191 D197:D202 E136:E172 D9:D119">
      <formula1>1</formula1>
      <formula2>9999</formula2>
    </dataValidation>
    <dataValidation type="whole" allowBlank="1" showInputMessage="1" showErrorMessage="1" sqref="E183:E191 E197:E202 F136:F172 E9:E119">
      <formula1>1</formula1>
      <formula2>99999999</formula2>
    </dataValidation>
    <dataValidation type="whole" allowBlank="1" showInputMessage="1" showErrorMessage="1" sqref="F183:F191 F197:F202 G136:G172 F9:F119">
      <formula1>20000000000</formula1>
      <formula2>33999999999</formula2>
    </dataValidation>
    <dataValidation type="date" allowBlank="1" showInputMessage="1" showErrorMessage="1" sqref="D127:D130 B183:B191 B121:B124 B197:B202 D136:D172 B9:B119">
      <formula1>40179</formula1>
      <formula2>TODAY()</formula2>
    </dataValidation>
    <dataValidation type="whole" allowBlank="1" showInputMessage="1" showErrorMessage="1" sqref="C121:C124 C183:C191 C9:C119">
      <formula1>1</formula1>
      <formula2>3</formula2>
    </dataValidation>
    <dataValidation type="custom" allowBlank="1" showInputMessage="1" showErrorMessage="1" sqref="H183:K183 H185:K185 H187:K187 H189:K189">
      <formula1>IF($C183=3,H183&lt;0,H183&gt;=0)</formula1>
    </dataValidation>
    <dataValidation type="whole" allowBlank="1" showInputMessage="1" showErrorMessage="1" sqref="C197:C202">
      <formula1>6</formula1>
      <formula2>8</formula2>
    </dataValidation>
    <dataValidation type="custom" allowBlank="1" showInputMessage="1" showErrorMessage="1" sqref="L183:L184">
      <formula1>IF($C9=3,L9&lt;0,L9&gt;=0)</formula1>
    </dataValidation>
    <dataValidation type="custom" allowBlank="1" showInputMessage="1" showErrorMessage="1" sqref="L185:L187">
      <formula1>IF($C77=3,L77&lt;0,L77&gt;=0)</formula1>
    </dataValidation>
    <dataValidation type="custom" allowBlank="1" showInputMessage="1" showErrorMessage="1" sqref="H197:L202">
      <formula1>IF($C197=8,H197&lt;0,H197&gt;=0)</formula1>
    </dataValidation>
    <dataValidation type="custom" allowBlank="1" showInputMessage="1" showErrorMessage="1" sqref="L188:L189">
      <formula1>IF($C120=3,L120&lt;0,L120&gt;=0)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9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0.79998168889431442"/>
  </sheetPr>
  <dimension ref="A1:Z535"/>
  <sheetViews>
    <sheetView showGridLines="0" topLeftCell="B122" zoomScale="80" zoomScaleNormal="80" workbookViewId="0">
      <selection activeCell="D133" sqref="D133:F134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5.42578125" customWidth="1"/>
    <col min="6" max="6" width="17.5703125" customWidth="1"/>
    <col min="7" max="7" width="32.42578125" customWidth="1"/>
    <col min="8" max="8" width="33" customWidth="1"/>
    <col min="9" max="9" width="17.5703125" customWidth="1"/>
    <col min="10" max="10" width="17.8554687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28.710937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EDATE('Ene-24'!N1,3)</f>
        <v>45383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SUM(compras_mes4[[#Totals],[NETO GRAVADO]])+extracto_banco_mes4[[#Totals],[NETO]]</f>
        <v>82092008.550000012</v>
      </c>
      <c r="C4" s="671"/>
      <c r="D4" s="671"/>
      <c r="E4" s="671"/>
      <c r="F4" s="39"/>
      <c r="G4" s="672">
        <f>compras_mes4[[#Totals],[IVA 21 %]]+compras_mes4[[#Totals],[IVA 27%]]+compras_mes4[[#Totals],[IVA 10,5%]]+extracto_banco_mes4[[#Totals],[IVA 21%]]+extracto_banco_mes4[[#Totals],[IVA 10,5%]]</f>
        <v>15820815.566799998</v>
      </c>
      <c r="H4" s="672"/>
      <c r="I4" s="39"/>
      <c r="J4" s="661">
        <f>venta_a_mes4[[#Totals],[IMPORTE NETO]]+ventas_b_mes4[[#Totals],[IMPORTE NETO]]</f>
        <v>30156054.629999992</v>
      </c>
      <c r="K4" s="661"/>
      <c r="L4" s="39"/>
      <c r="M4" s="661">
        <f>venta_a_mes4[[#Totals],[IVA 21%]]+venta_a_mes4[[#Totals],[IVA 10,5%]]+ventas_b_mes4[[#Totals],[IVA 21%]]+ventas_b_mes4[[#Totals],[IVA 10,5%]]</f>
        <v>6332771.4722999986</v>
      </c>
      <c r="N4" s="661"/>
      <c r="O4" s="39"/>
      <c r="P4" s="674">
        <f>G4-M4</f>
        <v>9488044.0944999997</v>
      </c>
      <c r="Q4" s="675"/>
      <c r="R4" s="675"/>
    </row>
    <row r="5" spans="1:26" ht="13.35" customHeight="1"/>
    <row r="6" spans="1:26" ht="33" customHeight="1"/>
    <row r="7" spans="1:26" s="2" customFormat="1" ht="28.5" customHeight="1">
      <c r="B7" s="40"/>
      <c r="C7" s="41"/>
      <c r="D7" s="42"/>
      <c r="E7" s="43"/>
      <c r="F7" s="44"/>
      <c r="G7" s="177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40">
        <v>45393</v>
      </c>
      <c r="C9" s="41">
        <v>1</v>
      </c>
      <c r="D9" s="42">
        <v>11</v>
      </c>
      <c r="E9" s="43">
        <v>1660252</v>
      </c>
      <c r="F9" s="44">
        <v>30709776564</v>
      </c>
      <c r="G9" s="45" t="str">
        <f>IFERROR(IF(compras_mes4[[#This Row],[CUIT]]="","-",VLOOKUP(compras_mes4[[#This Row],[CUIT]],Lista_CUIT[#All],2,0)),"CUIT NO CARGADO")</f>
        <v>PROSEGUR ACTIVA ARG SA</v>
      </c>
      <c r="H9" s="46">
        <v>87771.62</v>
      </c>
      <c r="I9" s="85">
        <f>IF(compras_mes4[[#This Row],[NETO GRAVADO]]="","",compras_mes4[[#This Row],[NETO GRAVADO]]*0.21)</f>
        <v>18432.040199999999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106203.6602</v>
      </c>
      <c r="Q9" s="49" t="str">
        <f>IFERROR(IF(compras_mes4[[#This Row],[CUIT]]="","-",VLOOKUP(compras_mes4[[#This Row],[CUIT]],Lista_CUIT[#All],3,0)),"CUIT NO CARGADO")</f>
        <v>Servicio Seguridad</v>
      </c>
      <c r="R9" s="49">
        <f>IFERROR(IF(compras_mes4[[#This Row],[CUIT]]="","-",VLOOKUP(compras_mes4[[#This Row],[CUIT]],Lista_CUIT[#All],4,0)),"CUIT NO CARGADO")</f>
        <v>0</v>
      </c>
    </row>
    <row r="10" spans="1:26">
      <c r="B10" s="40">
        <v>45385</v>
      </c>
      <c r="C10" s="41">
        <v>1</v>
      </c>
      <c r="D10" s="42">
        <v>1001</v>
      </c>
      <c r="E10" s="43">
        <v>403</v>
      </c>
      <c r="F10" s="44">
        <v>30707370552</v>
      </c>
      <c r="G10" s="45" t="str">
        <f>IFERROR(IF(compras_mes4[[#This Row],[CUIT]]="","-",VLOOKUP(compras_mes4[[#This Row],[CUIT]],Lista_CUIT[#All],2,0)),"CUIT NO CARGADO")</f>
        <v>RAKE SA</v>
      </c>
      <c r="H10" s="46">
        <v>343471.07</v>
      </c>
      <c r="I10" s="85">
        <f>IF(compras_mes4[[#This Row],[NETO GRAVADO]]="","",compras_mes4[[#This Row],[NETO GRAVADO]]*0.21)</f>
        <v>72128.924700000003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415599.99470000004</v>
      </c>
      <c r="Q10" s="49" t="str">
        <f>IFERROR(IF(compras_mes4[[#This Row],[CUIT]]="","-",VLOOKUP(compras_mes4[[#This Row],[CUIT]],Lista_CUIT[#All],3,0)),"CUIT NO CARGADO")</f>
        <v>ALQUILERES PAGADOS</v>
      </c>
      <c r="R10" s="49">
        <f>IFERROR(IF(compras_mes4[[#This Row],[CUIT]]="","-",VLOOKUP(compras_mes4[[#This Row],[CUIT]],Lista_CUIT[#All],4,0)),"CUIT NO CARGADO")</f>
        <v>0</v>
      </c>
    </row>
    <row r="11" spans="1:26">
      <c r="B11" s="40">
        <v>45385</v>
      </c>
      <c r="C11" s="41">
        <v>1</v>
      </c>
      <c r="D11" s="42">
        <v>1001</v>
      </c>
      <c r="E11" s="43">
        <v>402</v>
      </c>
      <c r="F11" s="44">
        <v>30707370552</v>
      </c>
      <c r="G11" s="45" t="str">
        <f>IFERROR(IF(compras_mes4[[#This Row],[CUIT]]="","-",VLOOKUP(compras_mes4[[#This Row],[CUIT]],Lista_CUIT[#All],2,0)),"CUIT NO CARGADO")</f>
        <v>RAKE SA</v>
      </c>
      <c r="H11" s="46">
        <v>491735.54</v>
      </c>
      <c r="I11" s="85">
        <f>IF(compras_mes4[[#This Row],[NETO GRAVADO]]="","",compras_mes4[[#This Row],[NETO GRAVADO]]*0.21)</f>
        <v>103264.46339999999</v>
      </c>
      <c r="J11" s="85"/>
      <c r="K11" s="85"/>
      <c r="L11" s="85"/>
      <c r="M11" s="85"/>
      <c r="N11" s="85"/>
      <c r="O11" s="85"/>
      <c r="P11" s="48">
        <f>SUM(compras_mes4[[#This Row],[NETO GRAVADO]:[Otros / No Grav.]])</f>
        <v>595000.00339999993</v>
      </c>
      <c r="Q11" s="49" t="str">
        <f>IFERROR(IF(compras_mes4[[#This Row],[CUIT]]="","-",VLOOKUP(compras_mes4[[#This Row],[CUIT]],Lista_CUIT[#All],3,0)),"CUIT NO CARGADO")</f>
        <v>ALQUILERES PAGADOS</v>
      </c>
      <c r="R11" s="49">
        <f>IFERROR(IF(compras_mes4[[#This Row],[CUIT]]="","-",VLOOKUP(compras_mes4[[#This Row],[CUIT]],Lista_CUIT[#All],4,0)),"CUIT NO CARGADO")</f>
        <v>0</v>
      </c>
    </row>
    <row r="12" spans="1:26">
      <c r="B12" s="40">
        <v>45386</v>
      </c>
      <c r="C12" s="41">
        <v>1</v>
      </c>
      <c r="D12" s="42">
        <v>2</v>
      </c>
      <c r="E12" s="43">
        <v>206</v>
      </c>
      <c r="F12" s="44">
        <v>30605344352</v>
      </c>
      <c r="G12" s="45" t="str">
        <f>IFERROR(IF(compras_mes4[[#This Row],[CUIT]]="","-",VLOOKUP(compras_mes4[[#This Row],[CUIT]],Lista_CUIT[#All],2,0)),"CUIT NO CARGADO")</f>
        <v>CONSORCIO BARTOLME MITRE 2466</v>
      </c>
      <c r="H12" s="46">
        <v>575000</v>
      </c>
      <c r="I12" s="85">
        <f>IF(compras_mes4[[#This Row],[NETO GRAVADO]]="","",compras_mes4[[#This Row],[NETO GRAVADO]]*0.21)</f>
        <v>120750</v>
      </c>
      <c r="J12" s="85"/>
      <c r="K12" s="85"/>
      <c r="L12" s="85"/>
      <c r="M12" s="85"/>
      <c r="N12" s="85"/>
      <c r="O12" s="85"/>
      <c r="P12" s="48">
        <f>SUM(compras_mes4[[#This Row],[NETO GRAVADO]:[Otros / No Grav.]])</f>
        <v>695750</v>
      </c>
      <c r="Q12" s="49" t="str">
        <f>IFERROR(IF(compras_mes4[[#This Row],[CUIT]]="","-",VLOOKUP(compras_mes4[[#This Row],[CUIT]],Lista_CUIT[#All],3,0)),"CUIT NO CARGADO")</f>
        <v>ALQUILERES PAGADOS</v>
      </c>
      <c r="R12" s="49">
        <f>IFERROR(IF(compras_mes4[[#This Row],[CUIT]]="","-",VLOOKUP(compras_mes4[[#This Row],[CUIT]],Lista_CUIT[#All],4,0)),"CUIT NO CARGADO")</f>
        <v>0</v>
      </c>
    </row>
    <row r="13" spans="1:26">
      <c r="B13" s="40">
        <v>45397</v>
      </c>
      <c r="C13" s="41">
        <v>1</v>
      </c>
      <c r="D13" s="42">
        <v>1</v>
      </c>
      <c r="E13" s="43">
        <v>775</v>
      </c>
      <c r="F13" s="44">
        <v>30715048066</v>
      </c>
      <c r="G13" s="45" t="str">
        <f>IFERROR(IF(compras_mes4[[#This Row],[CUIT]]="","-",VLOOKUP(compras_mes4[[#This Row],[CUIT]],Lista_CUIT[#All],2,0)),"CUIT NO CARGADO")</f>
        <v>ROLLS Y EMPANADAS SA</v>
      </c>
      <c r="H13" s="46">
        <v>531580</v>
      </c>
      <c r="I13" s="85">
        <f>IF(compras_mes4[[#This Row],[NETO GRAVADO]]="","",compras_mes4[[#This Row],[NETO GRAVADO]]*0.21)</f>
        <v>111631.8</v>
      </c>
      <c r="J13" s="85"/>
      <c r="K13" s="85"/>
      <c r="L13" s="85"/>
      <c r="M13" s="85"/>
      <c r="N13" s="85"/>
      <c r="O13" s="85"/>
      <c r="P13" s="48">
        <f>SUM(compras_mes4[[#This Row],[NETO GRAVADO]:[Otros / No Grav.]])</f>
        <v>643211.80000000005</v>
      </c>
      <c r="Q13" s="49" t="str">
        <f>IFERROR(IF(compras_mes4[[#This Row],[CUIT]]="","-",VLOOKUP(compras_mes4[[#This Row],[CUIT]],Lista_CUIT[#All],3,0)),"CUIT NO CARGADO")</f>
        <v>Catering</v>
      </c>
      <c r="R13" s="49">
        <f>IFERROR(IF(compras_mes4[[#This Row],[CUIT]]="","-",VLOOKUP(compras_mes4[[#This Row],[CUIT]],Lista_CUIT[#All],4,0)),"CUIT NO CARGADO")</f>
        <v>0</v>
      </c>
    </row>
    <row r="14" spans="1:26">
      <c r="B14" s="40">
        <v>45385</v>
      </c>
      <c r="C14" s="41">
        <v>1</v>
      </c>
      <c r="D14" s="42">
        <v>9044</v>
      </c>
      <c r="E14" s="43">
        <v>26066</v>
      </c>
      <c r="F14" s="44">
        <v>30678774495</v>
      </c>
      <c r="G14" s="45" t="str">
        <f>IFERROR(IF(compras_mes4[[#This Row],[CUIT]]="","-",VLOOKUP(compras_mes4[[#This Row],[CUIT]],Lista_CUIT[#All],2,0)),"CUIT NO CARGADO")</f>
        <v>OPER. DE EST. DE SERV. SA</v>
      </c>
      <c r="H14" s="46">
        <v>30778.23</v>
      </c>
      <c r="I14" s="85">
        <f>IF(compras_mes4[[#This Row],[NETO GRAVADO]]="","",compras_mes4[[#This Row],[NETO GRAVADO]]*0.21)</f>
        <v>6463.4282999999996</v>
      </c>
      <c r="J14" s="85"/>
      <c r="K14" s="85"/>
      <c r="L14" s="85"/>
      <c r="M14" s="85"/>
      <c r="N14" s="85"/>
      <c r="O14" s="85"/>
      <c r="P14" s="48">
        <f>SUM(compras_mes4[[#This Row],[NETO GRAVADO]:[Otros / No Grav.]])</f>
        <v>37241.658299999996</v>
      </c>
      <c r="Q14" s="49" t="str">
        <f>IFERROR(IF(compras_mes4[[#This Row],[CUIT]]="","-",VLOOKUP(compras_mes4[[#This Row],[CUIT]],Lista_CUIT[#All],3,0)),"CUIT NO CARGADO")</f>
        <v>COMBUSTIBLE</v>
      </c>
      <c r="R14" s="49">
        <f>IFERROR(IF(compras_mes4[[#This Row],[CUIT]]="","-",VLOOKUP(compras_mes4[[#This Row],[CUIT]],Lista_CUIT[#All],4,0)),"CUIT NO CARGADO")</f>
        <v>0</v>
      </c>
    </row>
    <row r="15" spans="1:26">
      <c r="B15" s="40">
        <v>45385</v>
      </c>
      <c r="C15" s="41">
        <v>1</v>
      </c>
      <c r="D15" s="42">
        <v>13</v>
      </c>
      <c r="E15" s="43">
        <v>6844</v>
      </c>
      <c r="F15" s="44">
        <v>30709208221</v>
      </c>
      <c r="G15" s="45" t="str">
        <f>IFERROR(IF(compras_mes4[[#This Row],[CUIT]]="","-",VLOOKUP(compras_mes4[[#This Row],[CUIT]],Lista_CUIT[#All],2,0)),"CUIT NO CARGADO")</f>
        <v>GNC MONTE GRANDE S.R.L.</v>
      </c>
      <c r="H15" s="46">
        <v>30931.03</v>
      </c>
      <c r="I15" s="85">
        <f>IF(compras_mes4[[#This Row],[NETO GRAVADO]]="","",compras_mes4[[#This Row],[NETO GRAVADO]]*0.21)</f>
        <v>6495.5162999999993</v>
      </c>
      <c r="J15" s="85"/>
      <c r="K15" s="85"/>
      <c r="L15" s="85"/>
      <c r="M15" s="85"/>
      <c r="N15" s="85"/>
      <c r="O15" s="85"/>
      <c r="P15" s="48">
        <f>SUM(compras_mes4[[#This Row],[NETO GRAVADO]:[Otros / No Grav.]])</f>
        <v>37426.546300000002</v>
      </c>
      <c r="Q15" s="49" t="str">
        <f>IFERROR(IF(compras_mes4[[#This Row],[CUIT]]="","-",VLOOKUP(compras_mes4[[#This Row],[CUIT]],Lista_CUIT[#All],3,0)),"CUIT NO CARGADO")</f>
        <v>COMBUSTIBLE</v>
      </c>
      <c r="R15" s="49">
        <f>IFERROR(IF(compras_mes4[[#This Row],[CUIT]]="","-",VLOOKUP(compras_mes4[[#This Row],[CUIT]],Lista_CUIT[#All],4,0)),"CUIT NO CARGADO")</f>
        <v>0</v>
      </c>
    </row>
    <row r="16" spans="1:26">
      <c r="B16" s="40">
        <v>45386</v>
      </c>
      <c r="C16" s="41">
        <v>1</v>
      </c>
      <c r="D16" s="42">
        <v>6</v>
      </c>
      <c r="E16" s="43">
        <v>17389</v>
      </c>
      <c r="F16" s="44">
        <v>33715594949</v>
      </c>
      <c r="G16" s="45" t="str">
        <f>IFERROR(IF(compras_mes4[[#This Row],[CUIT]]="","-",VLOOKUP(compras_mes4[[#This Row],[CUIT]],Lista_CUIT[#All],2,0)),"CUIT NO CARGADO")</f>
        <v>SOMOS ENERGIA SA</v>
      </c>
      <c r="H16" s="46">
        <v>45931.29</v>
      </c>
      <c r="I16" s="85">
        <f>IF(compras_mes4[[#This Row],[NETO GRAVADO]]="","",compras_mes4[[#This Row],[NETO GRAVADO]]*0.21)</f>
        <v>9645.5709000000006</v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55576.8609</v>
      </c>
      <c r="Q16" s="49" t="str">
        <f>IFERROR(IF(compras_mes4[[#This Row],[CUIT]]="","-",VLOOKUP(compras_mes4[[#This Row],[CUIT]],Lista_CUIT[#All],3,0)),"CUIT NO CARGADO")</f>
        <v>COMBUSTIBLE</v>
      </c>
      <c r="R16" s="49">
        <f>IFERROR(IF(compras_mes4[[#This Row],[CUIT]]="","-",VLOOKUP(compras_mes4[[#This Row],[CUIT]],Lista_CUIT[#All],4,0)),"CUIT NO CARGADO")</f>
        <v>0</v>
      </c>
    </row>
    <row r="17" spans="2:18">
      <c r="B17" s="40">
        <v>45393</v>
      </c>
      <c r="C17" s="41">
        <v>1</v>
      </c>
      <c r="D17" s="42">
        <v>9040</v>
      </c>
      <c r="E17" s="43">
        <v>23237</v>
      </c>
      <c r="F17" s="44">
        <v>30678774495</v>
      </c>
      <c r="G17" s="45" t="str">
        <f>IFERROR(IF(compras_mes4[[#This Row],[CUIT]]="","-",VLOOKUP(compras_mes4[[#This Row],[CUIT]],Lista_CUIT[#All],2,0)),"CUIT NO CARGADO")</f>
        <v>OPER. DE EST. DE SERV. SA</v>
      </c>
      <c r="H17" s="46">
        <v>58533.68</v>
      </c>
      <c r="I17" s="85">
        <f>IF(compras_mes4[[#This Row],[NETO GRAVADO]]="","",compras_mes4[[#This Row],[NETO GRAVADO]]*0.21)</f>
        <v>12292.0728</v>
      </c>
      <c r="J17" s="85"/>
      <c r="K17" s="85"/>
      <c r="L17" s="85"/>
      <c r="M17" s="85"/>
      <c r="N17" s="85"/>
      <c r="O17" s="85"/>
      <c r="P17" s="48">
        <f>SUM(compras_mes4[[#This Row],[NETO GRAVADO]:[Otros / No Grav.]])</f>
        <v>70825.752800000002</v>
      </c>
      <c r="Q17" s="49" t="str">
        <f>IFERROR(IF(compras_mes4[[#This Row],[CUIT]]="","-",VLOOKUP(compras_mes4[[#This Row],[CUIT]],Lista_CUIT[#All],3,0)),"CUIT NO CARGADO")</f>
        <v>COMBUSTIBLE</v>
      </c>
      <c r="R17" s="49">
        <f>IFERROR(IF(compras_mes4[[#This Row],[CUIT]]="","-",VLOOKUP(compras_mes4[[#This Row],[CUIT]],Lista_CUIT[#All],4,0)),"CUIT NO CARGADO")</f>
        <v>0</v>
      </c>
    </row>
    <row r="18" spans="2:18">
      <c r="B18" s="40">
        <v>45397</v>
      </c>
      <c r="C18" s="41">
        <v>1</v>
      </c>
      <c r="D18" s="42">
        <v>2019</v>
      </c>
      <c r="E18" s="43">
        <v>205661</v>
      </c>
      <c r="F18" s="44">
        <v>30516186670</v>
      </c>
      <c r="G18" s="45" t="str">
        <f>IFERROR(IF(compras_mes4[[#This Row],[CUIT]]="","-",VLOOKUP(compras_mes4[[#This Row],[CUIT]],Lista_CUIT[#All],2,0)),"CUIT NO CARGADO")</f>
        <v>DEHEZA SAICF E I</v>
      </c>
      <c r="H18" s="46">
        <v>29930.400000000001</v>
      </c>
      <c r="I18" s="85">
        <f>IF(compras_mes4[[#This Row],[NETO GRAVADO]]="","",compras_mes4[[#This Row],[NETO GRAVADO]]*0.21)</f>
        <v>6285.384</v>
      </c>
      <c r="J18" s="85"/>
      <c r="K18" s="85"/>
      <c r="L18" s="85"/>
      <c r="M18" s="85"/>
      <c r="N18" s="85"/>
      <c r="O18" s="85"/>
      <c r="P18" s="48">
        <f>SUM(compras_mes4[[#This Row],[NETO GRAVADO]:[Otros / No Grav.]])</f>
        <v>36215.784</v>
      </c>
      <c r="Q18" s="49" t="str">
        <f>IFERROR(IF(compras_mes4[[#This Row],[CUIT]]="","-",VLOOKUP(compras_mes4[[#This Row],[CUIT]],Lista_CUIT[#All],3,0)),"CUIT NO CARGADO")</f>
        <v>COMBUSTIBLE</v>
      </c>
      <c r="R18" s="49">
        <f>IFERROR(IF(compras_mes4[[#This Row],[CUIT]]="","-",VLOOKUP(compras_mes4[[#This Row],[CUIT]],Lista_CUIT[#All],4,0)),"CUIT NO CARGADO")</f>
        <v>0</v>
      </c>
    </row>
    <row r="19" spans="2:18">
      <c r="B19" s="40">
        <v>45398</v>
      </c>
      <c r="C19" s="41">
        <v>1</v>
      </c>
      <c r="D19" s="42">
        <v>6</v>
      </c>
      <c r="E19" s="43">
        <v>17545</v>
      </c>
      <c r="F19" s="44">
        <v>33715594949</v>
      </c>
      <c r="G19" s="45" t="str">
        <f>IFERROR(IF(compras_mes4[[#This Row],[CUIT]]="","-",VLOOKUP(compras_mes4[[#This Row],[CUIT]],Lista_CUIT[#All],2,0)),"CUIT NO CARGADO")</f>
        <v>SOMOS ENERGIA SA</v>
      </c>
      <c r="H19" s="46">
        <v>17382.86</v>
      </c>
      <c r="I19" s="85">
        <f>IF(compras_mes4[[#This Row],[NETO GRAVADO]]="","",compras_mes4[[#This Row],[NETO GRAVADO]]*0.21)</f>
        <v>3650.4005999999999</v>
      </c>
      <c r="J19" s="85"/>
      <c r="K19" s="85"/>
      <c r="L19" s="85"/>
      <c r="M19" s="85"/>
      <c r="N19" s="85"/>
      <c r="O19" s="85"/>
      <c r="P19" s="48">
        <f>SUM(compras_mes4[[#This Row],[NETO GRAVADO]:[Otros / No Grav.]])</f>
        <v>21033.260600000001</v>
      </c>
      <c r="Q19" s="49" t="str">
        <f>IFERROR(IF(compras_mes4[[#This Row],[CUIT]]="","-",VLOOKUP(compras_mes4[[#This Row],[CUIT]],Lista_CUIT[#All],3,0)),"CUIT NO CARGADO")</f>
        <v>COMBUSTIBLE</v>
      </c>
      <c r="R19" s="49">
        <f>IFERROR(IF(compras_mes4[[#This Row],[CUIT]]="","-",VLOOKUP(compras_mes4[[#This Row],[CUIT]],Lista_CUIT[#All],4,0)),"CUIT NO CARGADO")</f>
        <v>0</v>
      </c>
    </row>
    <row r="20" spans="2:18">
      <c r="B20" s="40">
        <v>45400</v>
      </c>
      <c r="C20" s="41">
        <v>1</v>
      </c>
      <c r="D20" s="42">
        <v>6</v>
      </c>
      <c r="E20" s="43">
        <v>17599</v>
      </c>
      <c r="F20" s="44">
        <v>33715594949</v>
      </c>
      <c r="G20" s="45" t="str">
        <f>IFERROR(IF(compras_mes4[[#This Row],[CUIT]]="","-",VLOOKUP(compras_mes4[[#This Row],[CUIT]],Lista_CUIT[#All],2,0)),"CUIT NO CARGADO")</f>
        <v>SOMOS ENERGIA SA</v>
      </c>
      <c r="H20" s="46">
        <v>30419.95</v>
      </c>
      <c r="I20" s="85">
        <f>IF(compras_mes4[[#This Row],[NETO GRAVADO]]="","",compras_mes4[[#This Row],[NETO GRAVADO]]*0.21)</f>
        <v>6388.1894999999995</v>
      </c>
      <c r="J20" s="85"/>
      <c r="K20" s="85"/>
      <c r="L20" s="85"/>
      <c r="M20" s="85"/>
      <c r="N20" s="85"/>
      <c r="O20" s="85"/>
      <c r="P20" s="48">
        <f>SUM(compras_mes4[[#This Row],[NETO GRAVADO]:[Otros / No Grav.]])</f>
        <v>36808.139499999997</v>
      </c>
      <c r="Q20" s="49" t="str">
        <f>IFERROR(IF(compras_mes4[[#This Row],[CUIT]]="","-",VLOOKUP(compras_mes4[[#This Row],[CUIT]],Lista_CUIT[#All],3,0)),"CUIT NO CARGADO")</f>
        <v>COMBUSTIBLE</v>
      </c>
      <c r="R20" s="49">
        <f>IFERROR(IF(compras_mes4[[#This Row],[CUIT]]="","-",VLOOKUP(compras_mes4[[#This Row],[CUIT]],Lista_CUIT[#All],4,0)),"CUIT NO CARGADO")</f>
        <v>0</v>
      </c>
    </row>
    <row r="21" spans="2:18">
      <c r="B21" s="40">
        <v>45406</v>
      </c>
      <c r="C21" s="41">
        <v>1</v>
      </c>
      <c r="D21" s="42">
        <v>24</v>
      </c>
      <c r="E21" s="43">
        <v>16669</v>
      </c>
      <c r="F21" s="44">
        <v>20139793170</v>
      </c>
      <c r="G21" s="45" t="str">
        <f>IFERROR(IF(compras_mes4[[#This Row],[CUIT]]="","-",VLOOKUP(compras_mes4[[#This Row],[CUIT]],Lista_CUIT[#All],2,0)),"CUIT NO CARGADO")</f>
        <v>IACONO JUAN</v>
      </c>
      <c r="H21" s="46">
        <v>60028.29</v>
      </c>
      <c r="I21" s="85">
        <f>IF(compras_mes4[[#This Row],[NETO GRAVADO]]="","",compras_mes4[[#This Row],[NETO GRAVADO]]*0.21)</f>
        <v>12605.9409</v>
      </c>
      <c r="J21" s="85"/>
      <c r="K21" s="85"/>
      <c r="L21" s="85"/>
      <c r="M21" s="85"/>
      <c r="N21" s="85"/>
      <c r="O21" s="85"/>
      <c r="P21" s="48">
        <f>SUM(compras_mes4[[#This Row],[NETO GRAVADO]:[Otros / No Grav.]])</f>
        <v>72634.230899999995</v>
      </c>
      <c r="Q21" s="49" t="str">
        <f>IFERROR(IF(compras_mes4[[#This Row],[CUIT]]="","-",VLOOKUP(compras_mes4[[#This Row],[CUIT]],Lista_CUIT[#All],3,0)),"CUIT NO CARGADO")</f>
        <v>COMBUSTIBLE</v>
      </c>
      <c r="R21" s="49">
        <f>IFERROR(IF(compras_mes4[[#This Row],[CUIT]]="","-",VLOOKUP(compras_mes4[[#This Row],[CUIT]],Lista_CUIT[#All],4,0)),"CUIT NO CARGADO")</f>
        <v>0</v>
      </c>
    </row>
    <row r="22" spans="2:18">
      <c r="B22" s="40">
        <v>45406</v>
      </c>
      <c r="C22" s="41">
        <v>1</v>
      </c>
      <c r="D22" s="42">
        <v>24</v>
      </c>
      <c r="E22" s="43">
        <v>16686</v>
      </c>
      <c r="F22" s="44">
        <v>20139793170</v>
      </c>
      <c r="G22" s="45" t="str">
        <f>IFERROR(IF(compras_mes4[[#This Row],[CUIT]]="","-",VLOOKUP(compras_mes4[[#This Row],[CUIT]],Lista_CUIT[#All],2,0)),"CUIT NO CARGADO")</f>
        <v>IACONO JUAN</v>
      </c>
      <c r="H22" s="46">
        <v>36277</v>
      </c>
      <c r="I22" s="85">
        <f>IF(compras_mes4[[#This Row],[NETO GRAVADO]]="","",compras_mes4[[#This Row],[NETO GRAVADO]]*0.21)</f>
        <v>7618.17</v>
      </c>
      <c r="J22" s="85"/>
      <c r="K22" s="85"/>
      <c r="L22" s="85"/>
      <c r="M22" s="85"/>
      <c r="N22" s="85"/>
      <c r="O22" s="85"/>
      <c r="P22" s="48">
        <f>SUM(compras_mes4[[#This Row],[NETO GRAVADO]:[Otros / No Grav.]])</f>
        <v>43895.17</v>
      </c>
      <c r="Q22" s="49" t="str">
        <f>IFERROR(IF(compras_mes4[[#This Row],[CUIT]]="","-",VLOOKUP(compras_mes4[[#This Row],[CUIT]],Lista_CUIT[#All],3,0)),"CUIT NO CARGADO")</f>
        <v>COMBUSTIBLE</v>
      </c>
      <c r="R22" s="49">
        <f>IFERROR(IF(compras_mes4[[#This Row],[CUIT]]="","-",VLOOKUP(compras_mes4[[#This Row],[CUIT]],Lista_CUIT[#All],4,0)),"CUIT NO CARGADO")</f>
        <v>0</v>
      </c>
    </row>
    <row r="23" spans="2:18">
      <c r="B23" s="40">
        <v>45412</v>
      </c>
      <c r="C23" s="41">
        <v>1</v>
      </c>
      <c r="D23" s="42">
        <v>6</v>
      </c>
      <c r="E23" s="43">
        <v>17754</v>
      </c>
      <c r="F23" s="44">
        <v>33715594949</v>
      </c>
      <c r="G23" s="45" t="str">
        <f>IFERROR(IF(compras_mes4[[#This Row],[CUIT]]="","-",VLOOKUP(compras_mes4[[#This Row],[CUIT]],Lista_CUIT[#All],2,0)),"CUIT NO CARGADO")</f>
        <v>SOMOS ENERGIA SA</v>
      </c>
      <c r="H23" s="46">
        <v>21728.560000000001</v>
      </c>
      <c r="I23" s="85">
        <f>IF(compras_mes4[[#This Row],[NETO GRAVADO]]="","",compras_mes4[[#This Row],[NETO GRAVADO]]*0.21)</f>
        <v>4562.9975999999997</v>
      </c>
      <c r="J23" s="85"/>
      <c r="K23" s="85"/>
      <c r="L23" s="85"/>
      <c r="M23" s="85"/>
      <c r="N23" s="85"/>
      <c r="O23" s="85">
        <v>3708.47</v>
      </c>
      <c r="P23" s="48">
        <f>SUM(compras_mes4[[#This Row],[NETO GRAVADO]:[Otros / No Grav.]])</f>
        <v>30000.027600000001</v>
      </c>
      <c r="Q23" s="49" t="str">
        <f>IFERROR(IF(compras_mes4[[#This Row],[CUIT]]="","-",VLOOKUP(compras_mes4[[#This Row],[CUIT]],Lista_CUIT[#All],3,0)),"CUIT NO CARGADO")</f>
        <v>COMBUSTIBLE</v>
      </c>
      <c r="R23" s="49">
        <f>IFERROR(IF(compras_mes4[[#This Row],[CUIT]]="","-",VLOOKUP(compras_mes4[[#This Row],[CUIT]],Lista_CUIT[#All],4,0)),"CUIT NO CARGADO")</f>
        <v>0</v>
      </c>
    </row>
    <row r="24" spans="2:18">
      <c r="B24" s="40">
        <v>45406</v>
      </c>
      <c r="C24" s="41">
        <v>1</v>
      </c>
      <c r="D24" s="42">
        <v>8</v>
      </c>
      <c r="E24" s="43">
        <v>10984</v>
      </c>
      <c r="F24" s="44">
        <v>30710386001</v>
      </c>
      <c r="G24" s="45" t="str">
        <f>IFERROR(IF(compras_mes4[[#This Row],[CUIT]]="","-",VLOOKUP(compras_mes4[[#This Row],[CUIT]],Lista_CUIT[#All],2,0)),"CUIT NO CARGADO")</f>
        <v>REGET-M3 S.R.L.</v>
      </c>
      <c r="H24" s="46">
        <v>37190.080000000002</v>
      </c>
      <c r="I24" s="85">
        <f>IF(compras_mes4[[#This Row],[NETO GRAVADO]]="","",compras_mes4[[#This Row],[NETO GRAVADO]]*0.21)</f>
        <v>7809.9168</v>
      </c>
      <c r="J24" s="85"/>
      <c r="K24" s="85"/>
      <c r="L24" s="85"/>
      <c r="M24" s="85"/>
      <c r="N24" s="85"/>
      <c r="O24" s="222"/>
      <c r="P24" s="48">
        <f>SUM(compras_mes4[[#This Row],[NETO GRAVADO]:[Otros / No Grav.]])</f>
        <v>44999.996800000001</v>
      </c>
      <c r="Q24" s="49" t="str">
        <f>IFERROR(IF(compras_mes4[[#This Row],[CUIT]]="","-",VLOOKUP(compras_mes4[[#This Row],[CUIT]],Lista_CUIT[#All],3,0)),"CUIT NO CARGADO")</f>
        <v>FLETE</v>
      </c>
      <c r="R24" s="49">
        <f>IFERROR(IF(compras_mes4[[#This Row],[CUIT]]="","-",VLOOKUP(compras_mes4[[#This Row],[CUIT]],Lista_CUIT[#All],4,0)),"CUIT NO CARGADO")</f>
        <v>0</v>
      </c>
    </row>
    <row r="25" spans="2:18">
      <c r="B25" s="40">
        <v>45408</v>
      </c>
      <c r="C25" s="41">
        <v>1</v>
      </c>
      <c r="D25" s="42">
        <v>8</v>
      </c>
      <c r="E25" s="43">
        <v>10988</v>
      </c>
      <c r="F25" s="44">
        <v>30710386001</v>
      </c>
      <c r="G25" s="45" t="str">
        <f>IFERROR(IF(compras_mes4[[#This Row],[CUIT]]="","-",VLOOKUP(compras_mes4[[#This Row],[CUIT]],Lista_CUIT[#All],2,0)),"CUIT NO CARGADO")</f>
        <v>REGET-M3 S.R.L.</v>
      </c>
      <c r="H25" s="46">
        <v>53719.01</v>
      </c>
      <c r="I25" s="85">
        <f>IF(compras_mes4[[#This Row],[NETO GRAVADO]]="","",compras_mes4[[#This Row],[NETO GRAVADO]]*0.21)</f>
        <v>11280.992099999999</v>
      </c>
      <c r="J25" s="85"/>
      <c r="K25" s="85"/>
      <c r="L25" s="85"/>
      <c r="M25" s="85"/>
      <c r="N25" s="85"/>
      <c r="O25" s="85"/>
      <c r="P25" s="48">
        <f>SUM(compras_mes4[[#This Row],[NETO GRAVADO]:[Otros / No Grav.]])</f>
        <v>65000.002099999998</v>
      </c>
      <c r="Q25" s="49" t="str">
        <f>IFERROR(IF(compras_mes4[[#This Row],[CUIT]]="","-",VLOOKUP(compras_mes4[[#This Row],[CUIT]],Lista_CUIT[#All],3,0)),"CUIT NO CARGADO")</f>
        <v>FLETE</v>
      </c>
      <c r="R25" s="49">
        <f>IFERROR(IF(compras_mes4[[#This Row],[CUIT]]="","-",VLOOKUP(compras_mes4[[#This Row],[CUIT]],Lista_CUIT[#All],4,0)),"CUIT NO CARGADO")</f>
        <v>0</v>
      </c>
    </row>
    <row r="26" spans="2:18">
      <c r="B26" s="40">
        <v>45408</v>
      </c>
      <c r="C26" s="41">
        <v>3</v>
      </c>
      <c r="D26" s="42">
        <v>8</v>
      </c>
      <c r="E26" s="43">
        <v>274</v>
      </c>
      <c r="F26" s="44">
        <v>30710386001</v>
      </c>
      <c r="G26" s="45" t="str">
        <f>IFERROR(IF(compras_mes4[[#This Row],[CUIT]]="","-",VLOOKUP(compras_mes4[[#This Row],[CUIT]],Lista_CUIT[#All],2,0)),"CUIT NO CARGADO")</f>
        <v>REGET-M3 S.R.L.</v>
      </c>
      <c r="H26" s="46">
        <v>-37190.080000000002</v>
      </c>
      <c r="I26" s="85">
        <f>IF(compras_mes4[[#This Row],[NETO GRAVADO]]="","",compras_mes4[[#This Row],[NETO GRAVADO]]*0.21)</f>
        <v>-7809.9168</v>
      </c>
      <c r="J26" s="85"/>
      <c r="K26" s="85"/>
      <c r="L26" s="85"/>
      <c r="M26" s="85"/>
      <c r="N26" s="85"/>
      <c r="O26" s="85"/>
      <c r="P26" s="48">
        <f>SUM(compras_mes4[[#This Row],[NETO GRAVADO]:[Otros / No Grav.]])</f>
        <v>-44999.996800000001</v>
      </c>
      <c r="Q26" s="49" t="str">
        <f>IFERROR(IF(compras_mes4[[#This Row],[CUIT]]="","-",VLOOKUP(compras_mes4[[#This Row],[CUIT]],Lista_CUIT[#All],3,0)),"CUIT NO CARGADO")</f>
        <v>FLETE</v>
      </c>
      <c r="R26" s="49">
        <f>IFERROR(IF(compras_mes4[[#This Row],[CUIT]]="","-",VLOOKUP(compras_mes4[[#This Row],[CUIT]],Lista_CUIT[#All],4,0)),"CUIT NO CARGADO")</f>
        <v>0</v>
      </c>
    </row>
    <row r="27" spans="2:18">
      <c r="B27" s="40">
        <v>45385</v>
      </c>
      <c r="C27" s="41">
        <v>1</v>
      </c>
      <c r="D27" s="42">
        <v>3</v>
      </c>
      <c r="E27" s="43">
        <v>148</v>
      </c>
      <c r="F27" s="44">
        <v>20334976433</v>
      </c>
      <c r="G27" s="45" t="str">
        <f>IFERROR(IF(compras_mes4[[#This Row],[CUIT]]="","-",VLOOKUP(compras_mes4[[#This Row],[CUIT]],Lista_CUIT[#All],2,0)),"CUIT NO CARGADO")</f>
        <v>NARDOMARINO EZEQUIEL EDUARDO</v>
      </c>
      <c r="H27" s="46">
        <v>72000</v>
      </c>
      <c r="I27" s="85">
        <f>IF(compras_mes4[[#This Row],[NETO GRAVADO]]="","",compras_mes4[[#This Row],[NETO GRAVADO]]*0.21)</f>
        <v>15120</v>
      </c>
      <c r="J27" s="85"/>
      <c r="K27" s="85"/>
      <c r="L27" s="85"/>
      <c r="M27" s="85"/>
      <c r="N27" s="85"/>
      <c r="O27" s="85"/>
      <c r="P27" s="48">
        <f>SUM(compras_mes4[[#This Row],[NETO GRAVADO]:[Otros / No Grav.]])</f>
        <v>87120</v>
      </c>
      <c r="Q27" s="49" t="str">
        <f>IFERROR(IF(compras_mes4[[#This Row],[CUIT]]="","-",VLOOKUP(compras_mes4[[#This Row],[CUIT]],Lista_CUIT[#All],3,0)),"CUIT NO CARGADO")</f>
        <v>FLETE</v>
      </c>
      <c r="R27" s="49">
        <f>IFERROR(IF(compras_mes4[[#This Row],[CUIT]]="","-",VLOOKUP(compras_mes4[[#This Row],[CUIT]],Lista_CUIT[#All],4,0)),"CUIT NO CARGADO")</f>
        <v>0</v>
      </c>
    </row>
    <row r="28" spans="2:18">
      <c r="B28" s="40">
        <v>45391</v>
      </c>
      <c r="C28" s="41">
        <v>1</v>
      </c>
      <c r="D28" s="42">
        <v>3</v>
      </c>
      <c r="E28" s="43">
        <v>149</v>
      </c>
      <c r="F28" s="44">
        <v>20334976433</v>
      </c>
      <c r="G28" s="45" t="str">
        <f>IFERROR(IF(compras_mes4[[#This Row],[CUIT]]="","-",VLOOKUP(compras_mes4[[#This Row],[CUIT]],Lista_CUIT[#All],2,0)),"CUIT NO CARGADO")</f>
        <v>NARDOMARINO EZEQUIEL EDUARDO</v>
      </c>
      <c r="H28" s="46">
        <v>120000</v>
      </c>
      <c r="I28" s="85">
        <f>IF(compras_mes4[[#This Row],[NETO GRAVADO]]="","",compras_mes4[[#This Row],[NETO GRAVADO]]*0.21)</f>
        <v>25200</v>
      </c>
      <c r="J28" s="85"/>
      <c r="K28" s="85"/>
      <c r="L28" s="85"/>
      <c r="M28" s="85"/>
      <c r="N28" s="85"/>
      <c r="O28" s="85"/>
      <c r="P28" s="48">
        <f>SUM(compras_mes4[[#This Row],[NETO GRAVADO]:[Otros / No Grav.]])</f>
        <v>145200</v>
      </c>
      <c r="Q28" s="49" t="str">
        <f>IFERROR(IF(compras_mes4[[#This Row],[CUIT]]="","-",VLOOKUP(compras_mes4[[#This Row],[CUIT]],Lista_CUIT[#All],3,0)),"CUIT NO CARGADO")</f>
        <v>FLETE</v>
      </c>
      <c r="R28" s="49">
        <f>IFERROR(IF(compras_mes4[[#This Row],[CUIT]]="","-",VLOOKUP(compras_mes4[[#This Row],[CUIT]],Lista_CUIT[#All],4,0)),"CUIT NO CARGADO")</f>
        <v>0</v>
      </c>
    </row>
    <row r="29" spans="2:18">
      <c r="B29" s="40">
        <v>45400</v>
      </c>
      <c r="C29" s="41">
        <v>1</v>
      </c>
      <c r="D29" s="42">
        <v>11</v>
      </c>
      <c r="E29" s="43">
        <v>89309</v>
      </c>
      <c r="F29" s="44">
        <v>30526582884</v>
      </c>
      <c r="G29" s="45" t="str">
        <f>IFERROR(IF(compras_mes4[[#This Row],[CUIT]]="","-",VLOOKUP(compras_mes4[[#This Row],[CUIT]],Lista_CUIT[#All],2,0)),"CUIT NO CARGADO")</f>
        <v>EXPRESO MAR DEL PLATA S.A.</v>
      </c>
      <c r="H29" s="46">
        <v>18545.45</v>
      </c>
      <c r="I29" s="85">
        <f>IF(compras_mes4[[#This Row],[NETO GRAVADO]]="","",compras_mes4[[#This Row],[NETO GRAVADO]]*0.21)</f>
        <v>3894.5445</v>
      </c>
      <c r="J29" s="85"/>
      <c r="K29" s="85"/>
      <c r="L29" s="85"/>
      <c r="M29" s="85"/>
      <c r="N29" s="85"/>
      <c r="O29" s="85"/>
      <c r="P29" s="48">
        <f>SUM(compras_mes4[[#This Row],[NETO GRAVADO]:[Otros / No Grav.]])</f>
        <v>22439.994500000001</v>
      </c>
      <c r="Q29" s="49" t="str">
        <f>IFERROR(IF(compras_mes4[[#This Row],[CUIT]]="","-",VLOOKUP(compras_mes4[[#This Row],[CUIT]],Lista_CUIT[#All],3,0)),"CUIT NO CARGADO")</f>
        <v>FLETE</v>
      </c>
      <c r="R29" s="49">
        <f>IFERROR(IF(compras_mes4[[#This Row],[CUIT]]="","-",VLOOKUP(compras_mes4[[#This Row],[CUIT]],Lista_CUIT[#All],4,0)),"CUIT NO CARGADO")</f>
        <v>0</v>
      </c>
    </row>
    <row r="30" spans="2:18">
      <c r="B30" s="40">
        <v>45404</v>
      </c>
      <c r="C30" s="41">
        <v>1</v>
      </c>
      <c r="D30" s="42">
        <v>3</v>
      </c>
      <c r="E30" s="43">
        <v>151</v>
      </c>
      <c r="F30" s="44">
        <v>20334976433</v>
      </c>
      <c r="G30" s="45" t="str">
        <f>IFERROR(IF(compras_mes4[[#This Row],[CUIT]]="","-",VLOOKUP(compras_mes4[[#This Row],[CUIT]],Lista_CUIT[#All],2,0)),"CUIT NO CARGADO")</f>
        <v>NARDOMARINO EZEQUIEL EDUARDO</v>
      </c>
      <c r="H30" s="46">
        <v>195000</v>
      </c>
      <c r="I30" s="85">
        <f>IF(compras_mes4[[#This Row],[NETO GRAVADO]]="","",compras_mes4[[#This Row],[NETO GRAVADO]]*0.21)</f>
        <v>40950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235950</v>
      </c>
      <c r="Q30" s="49" t="str">
        <f>IFERROR(IF(compras_mes4[[#This Row],[CUIT]]="","-",VLOOKUP(compras_mes4[[#This Row],[CUIT]],Lista_CUIT[#All],3,0)),"CUIT NO CARGADO")</f>
        <v>FLETE</v>
      </c>
      <c r="R30" s="49">
        <f>IFERROR(IF(compras_mes4[[#This Row],[CUIT]]="","-",VLOOKUP(compras_mes4[[#This Row],[CUIT]],Lista_CUIT[#All],4,0)),"CUIT NO CARGADO")</f>
        <v>0</v>
      </c>
    </row>
    <row r="31" spans="2:18">
      <c r="B31" s="40">
        <v>45408</v>
      </c>
      <c r="C31" s="41">
        <v>1</v>
      </c>
      <c r="D31" s="42">
        <v>3</v>
      </c>
      <c r="E31" s="43">
        <v>50087</v>
      </c>
      <c r="F31" s="44">
        <v>30577744579</v>
      </c>
      <c r="G31" s="45" t="str">
        <f>IFERROR(IF(compras_mes4[[#This Row],[CUIT]]="","-",VLOOKUP(compras_mes4[[#This Row],[CUIT]],Lista_CUIT[#All],2,0)),"CUIT NO CARGADO")</f>
        <v>EXPRESO TROLE SRL</v>
      </c>
      <c r="H31" s="46">
        <v>31818.17</v>
      </c>
      <c r="I31" s="85">
        <f>IF(compras_mes4[[#This Row],[NETO GRAVADO]]="","",compras_mes4[[#This Row],[NETO GRAVADO]]*0.21)</f>
        <v>6681.8156999999992</v>
      </c>
      <c r="J31" s="85"/>
      <c r="K31" s="85"/>
      <c r="L31" s="85"/>
      <c r="M31" s="85"/>
      <c r="N31" s="85"/>
      <c r="O31" s="85"/>
      <c r="P31" s="48">
        <f>SUM(compras_mes4[[#This Row],[NETO GRAVADO]:[Otros / No Grav.]])</f>
        <v>38499.985699999997</v>
      </c>
      <c r="Q31" s="49" t="str">
        <f>IFERROR(IF(compras_mes4[[#This Row],[CUIT]]="","-",VLOOKUP(compras_mes4[[#This Row],[CUIT]],Lista_CUIT[#All],3,0)),"CUIT NO CARGADO")</f>
        <v>FLETE</v>
      </c>
      <c r="R31" s="49">
        <f>IFERROR(IF(compras_mes4[[#This Row],[CUIT]]="","-",VLOOKUP(compras_mes4[[#This Row],[CUIT]],Lista_CUIT[#All],4,0)),"CUIT NO CARGADO")</f>
        <v>0</v>
      </c>
    </row>
    <row r="32" spans="2:18">
      <c r="B32" s="40">
        <v>45408</v>
      </c>
      <c r="C32" s="41">
        <v>1</v>
      </c>
      <c r="D32" s="42">
        <v>3</v>
      </c>
      <c r="E32" s="43">
        <v>152</v>
      </c>
      <c r="F32" s="44">
        <v>20334976433</v>
      </c>
      <c r="G32" s="45" t="str">
        <f>IFERROR(IF(compras_mes4[[#This Row],[CUIT]]="","-",VLOOKUP(compras_mes4[[#This Row],[CUIT]],Lista_CUIT[#All],2,0)),"CUIT NO CARGADO")</f>
        <v>NARDOMARINO EZEQUIEL EDUARDO</v>
      </c>
      <c r="H32" s="46">
        <v>102000</v>
      </c>
      <c r="I32" s="85">
        <f>IF(compras_mes4[[#This Row],[NETO GRAVADO]]="","",compras_mes4[[#This Row],[NETO GRAVADO]]*0.21)</f>
        <v>21420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123420</v>
      </c>
      <c r="Q32" s="49" t="str">
        <f>IFERROR(IF(compras_mes4[[#This Row],[CUIT]]="","-",VLOOKUP(compras_mes4[[#This Row],[CUIT]],Lista_CUIT[#All],3,0)),"CUIT NO CARGADO")</f>
        <v>FLETE</v>
      </c>
      <c r="R32" s="49">
        <f>IFERROR(IF(compras_mes4[[#This Row],[CUIT]]="","-",VLOOKUP(compras_mes4[[#This Row],[CUIT]],Lista_CUIT[#All],4,0)),"CUIT NO CARGADO")</f>
        <v>0</v>
      </c>
    </row>
    <row r="33" spans="2:18">
      <c r="B33" s="40">
        <v>45412</v>
      </c>
      <c r="C33" s="41">
        <v>1</v>
      </c>
      <c r="D33" s="42">
        <v>11</v>
      </c>
      <c r="E33" s="43">
        <v>89530</v>
      </c>
      <c r="F33" s="44">
        <v>30526582884</v>
      </c>
      <c r="G33" s="45" t="str">
        <f>IFERROR(IF(compras_mes4[[#This Row],[CUIT]]="","-",VLOOKUP(compras_mes4[[#This Row],[CUIT]],Lista_CUIT[#All],2,0)),"CUIT NO CARGADO")</f>
        <v>EXPRESO MAR DEL PLATA S.A.</v>
      </c>
      <c r="H33" s="46">
        <v>16297.52</v>
      </c>
      <c r="I33" s="85">
        <f>IF(compras_mes4[[#This Row],[NETO GRAVADO]]="","",compras_mes4[[#This Row],[NETO GRAVADO]]*0.21)</f>
        <v>3422.4791999999998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19719.999199999998</v>
      </c>
      <c r="Q33" s="49" t="str">
        <f>IFERROR(IF(compras_mes4[[#This Row],[CUIT]]="","-",VLOOKUP(compras_mes4[[#This Row],[CUIT]],Lista_CUIT[#All],3,0)),"CUIT NO CARGADO")</f>
        <v>FLETE</v>
      </c>
      <c r="R33" s="49">
        <f>IFERROR(IF(compras_mes4[[#This Row],[CUIT]]="","-",VLOOKUP(compras_mes4[[#This Row],[CUIT]],Lista_CUIT[#All],4,0)),"CUIT NO CARGADO")</f>
        <v>0</v>
      </c>
    </row>
    <row r="34" spans="2:18">
      <c r="B34" s="40">
        <v>45385</v>
      </c>
      <c r="C34" s="41">
        <v>1</v>
      </c>
      <c r="D34" s="42">
        <v>500</v>
      </c>
      <c r="E34" s="43">
        <v>1535132</v>
      </c>
      <c r="F34" s="44">
        <v>30654118767</v>
      </c>
      <c r="G34" s="45" t="str">
        <f>IFERROR(IF(compras_mes4[[#This Row],[CUIT]]="","-",VLOOKUP(compras_mes4[[#This Row],[CUIT]],Lista_CUIT[#All],2,0)),"CUIT NO CARGADO")</f>
        <v>SOLUCIONES MULTIMEDIA SA</v>
      </c>
      <c r="H34" s="46">
        <v>51431.199999999997</v>
      </c>
      <c r="I34" s="85">
        <f>IF(compras_mes4[[#This Row],[NETO GRAVADO]]="","",compras_mes4[[#This Row],[NETO GRAVADO]]*0.21)</f>
        <v>10800.552</v>
      </c>
      <c r="J34" s="85"/>
      <c r="K34" s="85"/>
      <c r="L34" s="85"/>
      <c r="M34" s="85"/>
      <c r="N34" s="85"/>
      <c r="O34" s="85"/>
      <c r="P34" s="48">
        <f>SUM(compras_mes4[[#This Row],[NETO GRAVADO]:[Otros / No Grav.]])</f>
        <v>62231.751999999993</v>
      </c>
      <c r="Q34" s="49" t="str">
        <f>IFERROR(IF(compras_mes4[[#This Row],[CUIT]]="","-",VLOOKUP(compras_mes4[[#This Row],[CUIT]],Lista_CUIT[#All],3,0)),"CUIT NO CARGADO")</f>
        <v>GASTOS ADMINISTRATIVOS</v>
      </c>
      <c r="R34" s="49">
        <f>IFERROR(IF(compras_mes4[[#This Row],[CUIT]]="","-",VLOOKUP(compras_mes4[[#This Row],[CUIT]],Lista_CUIT[#All],4,0)),"CUIT NO CARGADO")</f>
        <v>0</v>
      </c>
    </row>
    <row r="35" spans="2:18">
      <c r="B35" s="40">
        <v>45411</v>
      </c>
      <c r="C35" s="41">
        <v>1</v>
      </c>
      <c r="D35" s="42">
        <v>7</v>
      </c>
      <c r="E35" s="43">
        <v>119721</v>
      </c>
      <c r="F35" s="44">
        <v>20181426846</v>
      </c>
      <c r="G35" s="45" t="str">
        <f>IFERROR(IF(compras_mes4[[#This Row],[CUIT]]="","-",VLOOKUP(compras_mes4[[#This Row],[CUIT]],Lista_CUIT[#All],2,0)),"CUIT NO CARGADO")</f>
        <v>GRIDEL WALTER DIEGO</v>
      </c>
      <c r="H35" s="46">
        <v>6814.05</v>
      </c>
      <c r="I35" s="85">
        <f>IF(compras_mes4[[#This Row],[NETO GRAVADO]]="","",compras_mes4[[#This Row],[NETO GRAVADO]]*0.21)</f>
        <v>1430.9504999999999</v>
      </c>
      <c r="J35" s="85"/>
      <c r="K35" s="85"/>
      <c r="L35" s="85"/>
      <c r="M35" s="85"/>
      <c r="N35" s="85"/>
      <c r="O35" s="85"/>
      <c r="P35" s="48">
        <f>SUM(compras_mes4[[#This Row],[NETO GRAVADO]:[Otros / No Grav.]])</f>
        <v>8245.0005000000001</v>
      </c>
      <c r="Q35" s="49" t="str">
        <f>IFERROR(IF(compras_mes4[[#This Row],[CUIT]]="","-",VLOOKUP(compras_mes4[[#This Row],[CUIT]],Lista_CUIT[#All],3,0)),"CUIT NO CARGADO")</f>
        <v>GASTOS ADMINISTRATIVOS</v>
      </c>
      <c r="R35" s="49">
        <f>IFERROR(IF(compras_mes4[[#This Row],[CUIT]]="","-",VLOOKUP(compras_mes4[[#This Row],[CUIT]],Lista_CUIT[#All],4,0)),"CUIT NO CARGADO")</f>
        <v>0</v>
      </c>
    </row>
    <row r="36" spans="2:18">
      <c r="B36" s="40">
        <v>45411</v>
      </c>
      <c r="C36" s="41">
        <v>1</v>
      </c>
      <c r="D36" s="42">
        <v>23</v>
      </c>
      <c r="E36" s="43">
        <v>2346348</v>
      </c>
      <c r="F36" s="44">
        <v>30703088534</v>
      </c>
      <c r="G36" s="45" t="str">
        <f>IFERROR(IF(compras_mes4[[#This Row],[CUIT]]="","-",VLOOKUP(compras_mes4[[#This Row],[CUIT]],Lista_CUIT[#All],2,0)),"CUIT NO CARGADO")</f>
        <v>MERCADO LIBRE SRL</v>
      </c>
      <c r="H36" s="46">
        <v>909.79</v>
      </c>
      <c r="I36" s="85">
        <f>IF(compras_mes4[[#This Row],[NETO GRAVADO]]="","",compras_mes4[[#This Row],[NETO GRAVADO]]*0.21)</f>
        <v>191.05589999999998</v>
      </c>
      <c r="J36" s="85"/>
      <c r="K36" s="85"/>
      <c r="L36" s="85"/>
      <c r="M36" s="85"/>
      <c r="N36" s="85"/>
      <c r="O36" s="85"/>
      <c r="P36" s="48">
        <f>SUM(compras_mes4[[#This Row],[NETO GRAVADO]:[Otros / No Grav.]])</f>
        <v>1100.8459</v>
      </c>
      <c r="Q36" s="49" t="str">
        <f>IFERROR(IF(compras_mes4[[#This Row],[CUIT]]="","-",VLOOKUP(compras_mes4[[#This Row],[CUIT]],Lista_CUIT[#All],3,0)),"CUIT NO CARGADO")</f>
        <v>GASTOS COMERCIALIZACION</v>
      </c>
      <c r="R36" s="49">
        <f>IFERROR(IF(compras_mes4[[#This Row],[CUIT]]="","-",VLOOKUP(compras_mes4[[#This Row],[CUIT]],Lista_CUIT[#All],4,0)),"CUIT NO CARGADO")</f>
        <v>0</v>
      </c>
    </row>
    <row r="37" spans="2:18">
      <c r="B37" s="40">
        <v>45411</v>
      </c>
      <c r="C37" s="41">
        <v>1</v>
      </c>
      <c r="D37" s="42">
        <v>23</v>
      </c>
      <c r="E37" s="43">
        <v>2345778</v>
      </c>
      <c r="F37" s="44">
        <v>30703088534</v>
      </c>
      <c r="G37" s="45" t="str">
        <f>IFERROR(IF(compras_mes4[[#This Row],[CUIT]]="","-",VLOOKUP(compras_mes4[[#This Row],[CUIT]],Lista_CUIT[#All],2,0)),"CUIT NO CARGADO")</f>
        <v>MERCADO LIBRE SRL</v>
      </c>
      <c r="H37" s="46">
        <v>23305.56</v>
      </c>
      <c r="I37" s="85">
        <f>IF(compras_mes4[[#This Row],[NETO GRAVADO]]="","",compras_mes4[[#This Row],[NETO GRAVADO]]*0.21)</f>
        <v>4894.1675999999998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28199.727600000002</v>
      </c>
      <c r="Q37" s="49" t="str">
        <f>IFERROR(IF(compras_mes4[[#This Row],[CUIT]]="","-",VLOOKUP(compras_mes4[[#This Row],[CUIT]],Lista_CUIT[#All],3,0)),"CUIT NO CARGADO")</f>
        <v>GASTOS COMERCIALIZACION</v>
      </c>
      <c r="R37" s="49">
        <f>IFERROR(IF(compras_mes4[[#This Row],[CUIT]]="","-",VLOOKUP(compras_mes4[[#This Row],[CUIT]],Lista_CUIT[#All],4,0)),"CUIT NO CARGADO")</f>
        <v>0</v>
      </c>
    </row>
    <row r="38" spans="2:18">
      <c r="B38" s="40">
        <v>45411</v>
      </c>
      <c r="C38" s="41">
        <v>3</v>
      </c>
      <c r="D38" s="42">
        <v>23</v>
      </c>
      <c r="E38" s="43">
        <v>93120</v>
      </c>
      <c r="F38" s="44">
        <v>30703088534</v>
      </c>
      <c r="G38" s="45" t="str">
        <f>IFERROR(IF(compras_mes4[[#This Row],[CUIT]]="","-",VLOOKUP(compras_mes4[[#This Row],[CUIT]],Lista_CUIT[#All],2,0)),"CUIT NO CARGADO")</f>
        <v>MERCADO LIBRE SRL</v>
      </c>
      <c r="H38" s="46">
        <v>-909.79</v>
      </c>
      <c r="I38" s="85">
        <f>IF(compras_mes4[[#This Row],[NETO GRAVADO]]="","",compras_mes4[[#This Row],[NETO GRAVADO]]*0.21)</f>
        <v>-191.05589999999998</v>
      </c>
      <c r="J38" s="85"/>
      <c r="K38" s="85"/>
      <c r="L38" s="85"/>
      <c r="M38" s="85"/>
      <c r="N38" s="85"/>
      <c r="O38" s="85"/>
      <c r="P38" s="48">
        <f>SUM(compras_mes4[[#This Row],[NETO GRAVADO]:[Otros / No Grav.]])</f>
        <v>-1100.8459</v>
      </c>
      <c r="Q38" s="49" t="str">
        <f>IFERROR(IF(compras_mes4[[#This Row],[CUIT]]="","-",VLOOKUP(compras_mes4[[#This Row],[CUIT]],Lista_CUIT[#All],3,0)),"CUIT NO CARGADO")</f>
        <v>GASTOS COMERCIALIZACION</v>
      </c>
      <c r="R38" s="49">
        <f>IFERROR(IF(compras_mes4[[#This Row],[CUIT]]="","-",VLOOKUP(compras_mes4[[#This Row],[CUIT]],Lista_CUIT[#All],4,0)),"CUIT NO CARGADO")</f>
        <v>0</v>
      </c>
    </row>
    <row r="39" spans="2:18">
      <c r="B39" s="40">
        <v>45412</v>
      </c>
      <c r="C39" s="41">
        <v>3</v>
      </c>
      <c r="D39" s="42">
        <v>23</v>
      </c>
      <c r="E39" s="43">
        <v>93431</v>
      </c>
      <c r="F39" s="44">
        <v>30703088534</v>
      </c>
      <c r="G39" s="45" t="str">
        <f>IFERROR(IF(compras_mes4[[#This Row],[CUIT]]="","-",VLOOKUP(compras_mes4[[#This Row],[CUIT]],Lista_CUIT[#All],2,0)),"CUIT NO CARGADO")</f>
        <v>MERCADO LIBRE SRL</v>
      </c>
      <c r="H39" s="46">
        <v>-909.79</v>
      </c>
      <c r="I39" s="85">
        <f>IF(compras_mes4[[#This Row],[NETO GRAVADO]]="","",compras_mes4[[#This Row],[NETO GRAVADO]]*0.21)</f>
        <v>-191.05589999999998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-1100.8459</v>
      </c>
      <c r="Q39" s="49" t="str">
        <f>IFERROR(IF(compras_mes4[[#This Row],[CUIT]]="","-",VLOOKUP(compras_mes4[[#This Row],[CUIT]],Lista_CUIT[#All],3,0)),"CUIT NO CARGADO")</f>
        <v>GASTOS COMERCIALIZACION</v>
      </c>
      <c r="R39" s="49">
        <f>IFERROR(IF(compras_mes4[[#This Row],[CUIT]]="","-",VLOOKUP(compras_mes4[[#This Row],[CUIT]],Lista_CUIT[#All],4,0)),"CUIT NO CARGADO")</f>
        <v>0</v>
      </c>
    </row>
    <row r="40" spans="2:18">
      <c r="B40" s="40">
        <v>45393</v>
      </c>
      <c r="C40" s="41">
        <v>1</v>
      </c>
      <c r="D40" s="42">
        <v>7</v>
      </c>
      <c r="E40" s="43">
        <v>2842</v>
      </c>
      <c r="F40" s="44">
        <v>20284183534</v>
      </c>
      <c r="G40" s="45" t="str">
        <f>IFERROR(IF(compras_mes4[[#This Row],[CUIT]]="","-",VLOOKUP(compras_mes4[[#This Row],[CUIT]],Lista_CUIT[#All],2,0)),"CUIT NO CARGADO")</f>
        <v>FURLANETTO MARTIN</v>
      </c>
      <c r="H40" s="46">
        <v>8099.17</v>
      </c>
      <c r="I40" s="85">
        <f>IF(compras_mes4[[#This Row],[NETO GRAVADO]]="","",compras_mes4[[#This Row],[NETO GRAVADO]]*0.21)</f>
        <v>1700.8256999999999</v>
      </c>
      <c r="J40" s="85"/>
      <c r="K40" s="85"/>
      <c r="L40" s="85"/>
      <c r="M40" s="85"/>
      <c r="N40" s="85"/>
      <c r="O40" s="85"/>
      <c r="P40" s="48">
        <f>SUM(compras_mes4[[#This Row],[NETO GRAVADO]:[Otros / No Grav.]])</f>
        <v>9799.9956999999995</v>
      </c>
      <c r="Q40" s="49" t="str">
        <f>IFERROR(IF(compras_mes4[[#This Row],[CUIT]]="","-",VLOOKUP(compras_mes4[[#This Row],[CUIT]],Lista_CUIT[#All],3,0)),"CUIT NO CARGADO")</f>
        <v>gastos varios</v>
      </c>
      <c r="R40" s="49">
        <f>IFERROR(IF(compras_mes4[[#This Row],[CUIT]]="","-",VLOOKUP(compras_mes4[[#This Row],[CUIT]],Lista_CUIT[#All],4,0)),"CUIT NO CARGADO")</f>
        <v>0</v>
      </c>
    </row>
    <row r="41" spans="2:18">
      <c r="B41" s="40">
        <v>45394</v>
      </c>
      <c r="C41" s="41">
        <v>1</v>
      </c>
      <c r="D41" s="42">
        <v>11</v>
      </c>
      <c r="E41" s="43">
        <v>26509</v>
      </c>
      <c r="F41" s="44">
        <v>30710804245</v>
      </c>
      <c r="G41" s="45" t="str">
        <f>IFERROR(IF(compras_mes4[[#This Row],[CUIT]]="","-",VLOOKUP(compras_mes4[[#This Row],[CUIT]],Lista_CUIT[#All],2,0)),"CUIT NO CARGADO")</f>
        <v>HIERROS TORRENT S.A.</v>
      </c>
      <c r="H41" s="46">
        <v>20733.88</v>
      </c>
      <c r="I41" s="85">
        <f>IF(compras_mes4[[#This Row],[NETO GRAVADO]]="","",compras_mes4[[#This Row],[NETO GRAVADO]]*0.21)</f>
        <v>4354.1148000000003</v>
      </c>
      <c r="J41" s="85"/>
      <c r="K41" s="85"/>
      <c r="L41" s="85"/>
      <c r="M41" s="85"/>
      <c r="N41" s="85"/>
      <c r="O41" s="85"/>
      <c r="P41" s="48">
        <f>SUM(compras_mes4[[#This Row],[NETO GRAVADO]:[Otros / No Grav.]])</f>
        <v>25087.9948</v>
      </c>
      <c r="Q41" s="49" t="str">
        <f>IFERROR(IF(compras_mes4[[#This Row],[CUIT]]="","-",VLOOKUP(compras_mes4[[#This Row],[CUIT]],Lista_CUIT[#All],3,0)),"CUIT NO CARGADO")</f>
        <v>Gastos Varios</v>
      </c>
      <c r="R41" s="49">
        <f>IFERROR(IF(compras_mes4[[#This Row],[CUIT]]="","-",VLOOKUP(compras_mes4[[#This Row],[CUIT]],Lista_CUIT[#All],4,0)),"CUIT NO CARGADO")</f>
        <v>0</v>
      </c>
    </row>
    <row r="42" spans="2:18">
      <c r="B42" s="40">
        <v>45394</v>
      </c>
      <c r="C42" s="41">
        <v>1</v>
      </c>
      <c r="D42" s="42">
        <v>7</v>
      </c>
      <c r="E42" s="43">
        <v>1</v>
      </c>
      <c r="F42" s="44">
        <v>23147835019</v>
      </c>
      <c r="G42" s="45" t="str">
        <f>IFERROR(IF(compras_mes4[[#This Row],[CUIT]]="","-",VLOOKUP(compras_mes4[[#This Row],[CUIT]],Lista_CUIT[#All],2,0)),"CUIT NO CARGADO")</f>
        <v>GUERRY JOSE ADOLFO</v>
      </c>
      <c r="H42" s="46"/>
      <c r="I42" s="85" t="str">
        <f>IF(compras_mes4[[#This Row],[NETO GRAVADO]]="","",compras_mes4[[#This Row],[NETO GRAVADO]]*0.21)</f>
        <v/>
      </c>
      <c r="J42" s="85"/>
      <c r="K42" s="85"/>
      <c r="L42" s="85"/>
      <c r="M42" s="85"/>
      <c r="N42" s="85"/>
      <c r="O42" s="85">
        <v>59100</v>
      </c>
      <c r="P42" s="48">
        <f>SUM(compras_mes4[[#This Row],[NETO GRAVADO]:[Otros / No Grav.]])</f>
        <v>59100</v>
      </c>
      <c r="Q42" s="49" t="str">
        <f>IFERROR(IF(compras_mes4[[#This Row],[CUIT]]="","-",VLOOKUP(compras_mes4[[#This Row],[CUIT]],Lista_CUIT[#All],3,0)),"CUIT NO CARGADO")</f>
        <v>Gastos Varios</v>
      </c>
      <c r="R42" s="49">
        <f>IFERROR(IF(compras_mes4[[#This Row],[CUIT]]="","-",VLOOKUP(compras_mes4[[#This Row],[CUIT]],Lista_CUIT[#All],4,0)),"CUIT NO CARGADO")</f>
        <v>0</v>
      </c>
    </row>
    <row r="43" spans="2:18">
      <c r="B43" s="40">
        <v>45397</v>
      </c>
      <c r="C43" s="41">
        <v>1</v>
      </c>
      <c r="D43" s="42">
        <v>18</v>
      </c>
      <c r="E43" s="43">
        <v>1760</v>
      </c>
      <c r="F43" s="44">
        <v>27940269100</v>
      </c>
      <c r="G43" s="45" t="str">
        <f>IFERROR(IF(compras_mes4[[#This Row],[CUIT]]="","-",VLOOKUP(compras_mes4[[#This Row],[CUIT]],Lista_CUIT[#All],2,0)),"CUIT NO CARGADO")</f>
        <v>LIN YUMEI</v>
      </c>
      <c r="H43" s="46">
        <v>35537.19</v>
      </c>
      <c r="I43" s="85">
        <f>IF(compras_mes4[[#This Row],[NETO GRAVADO]]="","",compras_mes4[[#This Row],[NETO GRAVADO]]*0.21)</f>
        <v>7462.8099000000002</v>
      </c>
      <c r="J43" s="85"/>
      <c r="K43" s="85"/>
      <c r="L43" s="85"/>
      <c r="M43" s="85"/>
      <c r="N43" s="85"/>
      <c r="O43" s="85"/>
      <c r="P43" s="48">
        <f>SUM(compras_mes4[[#This Row],[NETO GRAVADO]:[Otros / No Grav.]])</f>
        <v>42999.999900000003</v>
      </c>
      <c r="Q43" s="49" t="str">
        <f>IFERROR(IF(compras_mes4[[#This Row],[CUIT]]="","-",VLOOKUP(compras_mes4[[#This Row],[CUIT]],Lista_CUIT[#All],3,0)),"CUIT NO CARGADO")</f>
        <v>Gastos Varios</v>
      </c>
      <c r="R43" s="49">
        <f>IFERROR(IF(compras_mes4[[#This Row],[CUIT]]="","-",VLOOKUP(compras_mes4[[#This Row],[CUIT]],Lista_CUIT[#All],4,0)),"CUIT NO CARGADO")</f>
        <v>0</v>
      </c>
    </row>
    <row r="44" spans="2:18">
      <c r="B44" s="40">
        <v>45398</v>
      </c>
      <c r="C44" s="41">
        <v>1</v>
      </c>
      <c r="D44" s="42">
        <v>3</v>
      </c>
      <c r="E44" s="43">
        <v>6936</v>
      </c>
      <c r="F44" s="44">
        <v>33708218699</v>
      </c>
      <c r="G44" s="45" t="str">
        <f>IFERROR(IF(compras_mes4[[#This Row],[CUIT]]="","-",VLOOKUP(compras_mes4[[#This Row],[CUIT]],Lista_CUIT[#All],2,0)),"CUIT NO CARGADO")</f>
        <v>MANGGINI PABLO Y MANGGINI ULISES SOC. DE HECHO.</v>
      </c>
      <c r="H44" s="46">
        <v>9500</v>
      </c>
      <c r="I44" s="85">
        <f>IF(compras_mes4[[#This Row],[NETO GRAVADO]]="","",compras_mes4[[#This Row],[NETO GRAVADO]]*0.21)</f>
        <v>1995</v>
      </c>
      <c r="J44" s="85"/>
      <c r="K44" s="85"/>
      <c r="L44" s="85"/>
      <c r="M44" s="85"/>
      <c r="N44" s="85"/>
      <c r="O44" s="85"/>
      <c r="P44" s="48">
        <f>SUM(compras_mes4[[#This Row],[NETO GRAVADO]:[Otros / No Grav.]])</f>
        <v>11495</v>
      </c>
      <c r="Q44" s="49" t="str">
        <f>IFERROR(IF(compras_mes4[[#This Row],[CUIT]]="","-",VLOOKUP(compras_mes4[[#This Row],[CUIT]],Lista_CUIT[#All],3,0)),"CUIT NO CARGADO")</f>
        <v>Gastos Varios</v>
      </c>
      <c r="R44" s="49">
        <f>IFERROR(IF(compras_mes4[[#This Row],[CUIT]]="","-",VLOOKUP(compras_mes4[[#This Row],[CUIT]],Lista_CUIT[#All],4,0)),"CUIT NO CARGADO")</f>
        <v>0</v>
      </c>
    </row>
    <row r="45" spans="2:18">
      <c r="B45" s="40">
        <v>45399</v>
      </c>
      <c r="C45" s="41">
        <v>1</v>
      </c>
      <c r="D45" s="42">
        <v>113</v>
      </c>
      <c r="E45" s="43">
        <v>3555248</v>
      </c>
      <c r="F45" s="44">
        <v>30577207190</v>
      </c>
      <c r="G45" s="45" t="str">
        <f>IFERROR(IF(compras_mes4[[#This Row],[CUIT]]="","-",VLOOKUP(compras_mes4[[#This Row],[CUIT]],Lista_CUIT[#All],2,0)),"CUIT NO CARGADO")</f>
        <v>COORDINACION ECOLOGICA AREA METROPOLITANA SOCIEDAD DEL ESTADO</v>
      </c>
      <c r="H45" s="46">
        <v>826.45</v>
      </c>
      <c r="I45" s="85">
        <f>IF(compras_mes4[[#This Row],[NETO GRAVADO]]="","",compras_mes4[[#This Row],[NETO GRAVADO]]*0.21)</f>
        <v>173.55449999999999</v>
      </c>
      <c r="J45" s="85"/>
      <c r="K45" s="85"/>
      <c r="L45" s="85"/>
      <c r="M45" s="85"/>
      <c r="N45" s="85"/>
      <c r="O45" s="85"/>
      <c r="P45" s="48">
        <f>SUM(compras_mes4[[#This Row],[NETO GRAVADO]:[Otros / No Grav.]])</f>
        <v>1000.0045</v>
      </c>
      <c r="Q45" s="49" t="str">
        <f>IFERROR(IF(compras_mes4[[#This Row],[CUIT]]="","-",VLOOKUP(compras_mes4[[#This Row],[CUIT]],Lista_CUIT[#All],3,0)),"CUIT NO CARGADO")</f>
        <v>gastos varios</v>
      </c>
      <c r="R45" s="49">
        <f>IFERROR(IF(compras_mes4[[#This Row],[CUIT]]="","-",VLOOKUP(compras_mes4[[#This Row],[CUIT]],Lista_CUIT[#All],4,0)),"CUIT NO CARGADO")</f>
        <v>0</v>
      </c>
    </row>
    <row r="46" spans="2:18">
      <c r="B46" s="40">
        <v>45404</v>
      </c>
      <c r="C46" s="41">
        <v>1</v>
      </c>
      <c r="D46" s="42">
        <v>120</v>
      </c>
      <c r="E46" s="43">
        <v>4289</v>
      </c>
      <c r="F46" s="44">
        <v>30587197215</v>
      </c>
      <c r="G46" s="45" t="str">
        <f>IFERROR(IF(compras_mes4[[#This Row],[CUIT]]="","-",VLOOKUP(compras_mes4[[#This Row],[CUIT]],Lista_CUIT[#All],2,0)),"CUIT NO CARGADO")</f>
        <v>PANATEL SOCIEDAD ANONIMA</v>
      </c>
      <c r="H46" s="46">
        <v>56198.35</v>
      </c>
      <c r="I46" s="85">
        <f>IF(compras_mes4[[#This Row],[NETO GRAVADO]]="","",compras_mes4[[#This Row],[NETO GRAVADO]]*0.21)</f>
        <v>11801.653499999999</v>
      </c>
      <c r="J46" s="85"/>
      <c r="K46" s="85"/>
      <c r="L46" s="85"/>
      <c r="M46" s="85"/>
      <c r="N46" s="85"/>
      <c r="O46" s="85">
        <v>2247.9299999999998</v>
      </c>
      <c r="P46" s="48">
        <f>SUM(compras_mes4[[#This Row],[NETO GRAVADO]:[Otros / No Grav.]])</f>
        <v>70247.933499999985</v>
      </c>
      <c r="Q46" s="49" t="str">
        <f>IFERROR(IF(compras_mes4[[#This Row],[CUIT]]="","-",VLOOKUP(compras_mes4[[#This Row],[CUIT]],Lista_CUIT[#All],3,0)),"CUIT NO CARGADO")</f>
        <v>Gastos Varios</v>
      </c>
      <c r="R46" s="49">
        <f>IFERROR(IF(compras_mes4[[#This Row],[CUIT]]="","-",VLOOKUP(compras_mes4[[#This Row],[CUIT]],Lista_CUIT[#All],4,0)),"CUIT NO CARGADO")</f>
        <v>0</v>
      </c>
    </row>
    <row r="47" spans="2:18">
      <c r="B47" s="40">
        <v>45405</v>
      </c>
      <c r="C47" s="41">
        <v>1</v>
      </c>
      <c r="D47" s="42">
        <v>7</v>
      </c>
      <c r="E47" s="43">
        <v>2873</v>
      </c>
      <c r="F47" s="44">
        <v>20284183534</v>
      </c>
      <c r="G47" s="45" t="str">
        <f>IFERROR(IF(compras_mes4[[#This Row],[CUIT]]="","-",VLOOKUP(compras_mes4[[#This Row],[CUIT]],Lista_CUIT[#All],2,0)),"CUIT NO CARGADO")</f>
        <v>FURLANETTO MARTIN</v>
      </c>
      <c r="H47" s="46">
        <v>3066.13</v>
      </c>
      <c r="I47" s="85">
        <f>IF(compras_mes4[[#This Row],[NETO GRAVADO]]="","",compras_mes4[[#This Row],[NETO GRAVADO]]*0.21)</f>
        <v>643.88729999999998</v>
      </c>
      <c r="J47" s="85"/>
      <c r="K47" s="85"/>
      <c r="L47" s="85"/>
      <c r="M47" s="85"/>
      <c r="N47" s="85"/>
      <c r="O47" s="85"/>
      <c r="P47" s="48">
        <f>SUM(compras_mes4[[#This Row],[NETO GRAVADO]:[Otros / No Grav.]])</f>
        <v>3710.0173</v>
      </c>
      <c r="Q47" s="49" t="str">
        <f>IFERROR(IF(compras_mes4[[#This Row],[CUIT]]="","-",VLOOKUP(compras_mes4[[#This Row],[CUIT]],Lista_CUIT[#All],3,0)),"CUIT NO CARGADO")</f>
        <v>gastos varios</v>
      </c>
      <c r="R47" s="49">
        <f>IFERROR(IF(compras_mes4[[#This Row],[CUIT]]="","-",VLOOKUP(compras_mes4[[#This Row],[CUIT]],Lista_CUIT[#All],4,0)),"CUIT NO CARGADO")</f>
        <v>0</v>
      </c>
    </row>
    <row r="48" spans="2:18">
      <c r="B48" s="89">
        <v>45405</v>
      </c>
      <c r="C48" s="41">
        <v>1</v>
      </c>
      <c r="D48" s="90">
        <v>5</v>
      </c>
      <c r="E48" s="91">
        <v>1548</v>
      </c>
      <c r="F48" s="92">
        <v>30714712604</v>
      </c>
      <c r="G48" s="93" t="str">
        <f>IFERROR(IF(compras_mes4[[#This Row],[CUIT]]="","-",VLOOKUP(compras_mes4[[#This Row],[CUIT]],Lista_CUIT[#All],2,0)),"CUIT NO CARGADO")</f>
        <v>DONATO ALFREDO ENRIQUE Y PENSEL FRANCISCO JAVIER SOCIEDAD DE HECHO</v>
      </c>
      <c r="H48" s="94">
        <v>34177.69</v>
      </c>
      <c r="I48" s="85">
        <f>IF(compras_mes4[[#This Row],[NETO GRAVADO]]="","",compras_mes4[[#This Row],[NETO GRAVADO]]*0.21)</f>
        <v>7177.3149000000003</v>
      </c>
      <c r="J48" s="86"/>
      <c r="K48" s="86"/>
      <c r="L48" s="86"/>
      <c r="M48" s="86"/>
      <c r="N48" s="86"/>
      <c r="O48" s="86"/>
      <c r="P48" s="87">
        <f>SUM(compras_mes4[[#This Row],[NETO GRAVADO]:[Otros / No Grav.]])</f>
        <v>41355.0049</v>
      </c>
      <c r="Q48" s="88" t="str">
        <f>IFERROR(IF(compras_mes4[[#This Row],[CUIT]]="","-",VLOOKUP(compras_mes4[[#This Row],[CUIT]],Lista_CUIT[#All],3,0)),"CUIT NO CARGADO")</f>
        <v>gastos varios</v>
      </c>
      <c r="R48" s="88">
        <f>IFERROR(IF(compras_mes4[[#This Row],[CUIT]]="","-",VLOOKUP(compras_mes4[[#This Row],[CUIT]],Lista_CUIT[#All],4,0)),"CUIT NO CARGADO")</f>
        <v>0</v>
      </c>
    </row>
    <row r="49" spans="2:18">
      <c r="B49" s="40">
        <v>45405</v>
      </c>
      <c r="C49" s="41">
        <v>1</v>
      </c>
      <c r="D49" s="42">
        <v>5</v>
      </c>
      <c r="E49" s="43">
        <v>27</v>
      </c>
      <c r="F49" s="44">
        <v>20929183143</v>
      </c>
      <c r="G49" s="45" t="str">
        <f>IFERROR(IF(compras_mes4[[#This Row],[CUIT]]="","-",VLOOKUP(compras_mes4[[#This Row],[CUIT]],Lista_CUIT[#All],2,0)),"CUIT NO CARGADO")</f>
        <v>MA JUN</v>
      </c>
      <c r="H49" s="46">
        <v>35000</v>
      </c>
      <c r="I49" s="85">
        <f>IF(compras_mes4[[#This Row],[NETO GRAVADO]]="","",compras_mes4[[#This Row],[NETO GRAVADO]]*0.21)</f>
        <v>7350</v>
      </c>
      <c r="J49" s="85"/>
      <c r="K49" s="85"/>
      <c r="L49" s="85"/>
      <c r="M49" s="85"/>
      <c r="N49" s="85"/>
      <c r="O49" s="85"/>
      <c r="P49" s="48">
        <f>SUM(compras_mes4[[#This Row],[NETO GRAVADO]:[Otros / No Grav.]])</f>
        <v>42350</v>
      </c>
      <c r="Q49" s="49" t="str">
        <f>IFERROR(IF(compras_mes4[[#This Row],[CUIT]]="","-",VLOOKUP(compras_mes4[[#This Row],[CUIT]],Lista_CUIT[#All],3,0)),"CUIT NO CARGADO")</f>
        <v>Gastos Varios</v>
      </c>
      <c r="R49" s="49">
        <f>IFERROR(IF(compras_mes4[[#This Row],[CUIT]]="","-",VLOOKUP(compras_mes4[[#This Row],[CUIT]],Lista_CUIT[#All],4,0)),"CUIT NO CARGADO")</f>
        <v>0</v>
      </c>
    </row>
    <row r="50" spans="2:18">
      <c r="B50" s="40">
        <v>45407</v>
      </c>
      <c r="C50" s="41">
        <v>1</v>
      </c>
      <c r="D50" s="42">
        <v>27</v>
      </c>
      <c r="E50" s="43">
        <v>266</v>
      </c>
      <c r="F50" s="44">
        <v>20330194651</v>
      </c>
      <c r="G50" s="45" t="str">
        <f>IFERROR(IF(compras_mes4[[#This Row],[CUIT]]="","-",VLOOKUP(compras_mes4[[#This Row],[CUIT]],Lista_CUIT[#All],2,0)),"CUIT NO CARGADO")</f>
        <v>PARADELA LUCAS MARIANO</v>
      </c>
      <c r="H50" s="46">
        <v>16528.93</v>
      </c>
      <c r="I50" s="85">
        <f>IF(compras_mes4[[#This Row],[NETO GRAVADO]]="","",compras_mes4[[#This Row],[NETO GRAVADO]]*0.21)</f>
        <v>3471.0753</v>
      </c>
      <c r="J50" s="85"/>
      <c r="K50" s="85"/>
      <c r="L50" s="85"/>
      <c r="M50" s="85"/>
      <c r="N50" s="85"/>
      <c r="O50" s="85"/>
      <c r="P50" s="48">
        <f>SUM(compras_mes4[[#This Row],[NETO GRAVADO]:[Otros / No Grav.]])</f>
        <v>20000.005300000001</v>
      </c>
      <c r="Q50" s="49" t="str">
        <f>IFERROR(IF(compras_mes4[[#This Row],[CUIT]]="","-",VLOOKUP(compras_mes4[[#This Row],[CUIT]],Lista_CUIT[#All],3,0)),"CUIT NO CARGADO")</f>
        <v>Gastos Varios</v>
      </c>
      <c r="R50" s="49">
        <f>IFERROR(IF(compras_mes4[[#This Row],[CUIT]]="","-",VLOOKUP(compras_mes4[[#This Row],[CUIT]],Lista_CUIT[#All],4,0)),"CUIT NO CARGADO")</f>
        <v>0</v>
      </c>
    </row>
    <row r="51" spans="2:18">
      <c r="B51" s="40">
        <v>45410</v>
      </c>
      <c r="C51" s="41">
        <v>1</v>
      </c>
      <c r="D51" s="42">
        <v>2189</v>
      </c>
      <c r="E51" s="43">
        <v>69420</v>
      </c>
      <c r="F51" s="44">
        <v>30548083156</v>
      </c>
      <c r="G51" s="45" t="str">
        <f>IFERROR(IF(compras_mes4[[#This Row],[CUIT]]="","-",VLOOKUP(compras_mes4[[#This Row],[CUIT]],Lista_CUIT[#All],2,0)),"CUIT NO CARGADO")</f>
        <v>COTO CICSA</v>
      </c>
      <c r="H51" s="46">
        <v>4602.6099999999997</v>
      </c>
      <c r="I51" s="85">
        <f>IF(compras_mes4[[#This Row],[NETO GRAVADO]]="","",compras_mes4[[#This Row],[NETO GRAVADO]]*0.21)</f>
        <v>966.54809999999986</v>
      </c>
      <c r="J51" s="85"/>
      <c r="K51" s="85"/>
      <c r="L51" s="85"/>
      <c r="M51" s="85"/>
      <c r="N51" s="85"/>
      <c r="O51" s="85"/>
      <c r="P51" s="48">
        <f>SUM(compras_mes4[[#This Row],[NETO GRAVADO]:[Otros / No Grav.]])</f>
        <v>5569.1580999999996</v>
      </c>
      <c r="Q51" s="49" t="str">
        <f>IFERROR(IF(compras_mes4[[#This Row],[CUIT]]="","-",VLOOKUP(compras_mes4[[#This Row],[CUIT]],Lista_CUIT[#All],3,0)),"CUIT NO CARGADO")</f>
        <v>Gastos Varios</v>
      </c>
      <c r="R51" s="49">
        <f>IFERROR(IF(compras_mes4[[#This Row],[CUIT]]="","-",VLOOKUP(compras_mes4[[#This Row],[CUIT]],Lista_CUIT[#All],4,0)),"CUIT NO CARGADO")</f>
        <v>0</v>
      </c>
    </row>
    <row r="52" spans="2:18">
      <c r="B52" s="40">
        <v>45412</v>
      </c>
      <c r="C52" s="41">
        <v>1</v>
      </c>
      <c r="D52" s="42">
        <v>6</v>
      </c>
      <c r="E52" s="43">
        <v>16328572</v>
      </c>
      <c r="F52" s="44">
        <v>30620177497</v>
      </c>
      <c r="G52" s="45" t="str">
        <f>IFERROR(IF(compras_mes4[[#This Row],[CUIT]]="","-",VLOOKUP(compras_mes4[[#This Row],[CUIT]],Lista_CUIT[#All],2,0)),"CUIT NO CARGADO")</f>
        <v>POSNET SOCIEDAD DE RESPONSABILIDAD LIMITADA</v>
      </c>
      <c r="H52" s="46">
        <v>19112.689999999999</v>
      </c>
      <c r="I52" s="85">
        <f>IF(compras_mes4[[#This Row],[NETO GRAVADO]]="","",compras_mes4[[#This Row],[NETO GRAVADO]]*0.21)</f>
        <v>4013.6648999999998</v>
      </c>
      <c r="J52" s="85"/>
      <c r="K52" s="85"/>
      <c r="L52" s="85"/>
      <c r="M52" s="85"/>
      <c r="N52" s="85"/>
      <c r="O52" s="85"/>
      <c r="P52" s="48">
        <f>SUM(compras_mes4[[#This Row],[NETO GRAVADO]:[Otros / No Grav.]])</f>
        <v>23126.354899999998</v>
      </c>
      <c r="Q52" s="49" t="str">
        <f>IFERROR(IF(compras_mes4[[#This Row],[CUIT]]="","-",VLOOKUP(compras_mes4[[#This Row],[CUIT]],Lista_CUIT[#All],3,0)),"CUIT NO CARGADO")</f>
        <v>Gastos Varios</v>
      </c>
      <c r="R52" s="49">
        <f>IFERROR(IF(compras_mes4[[#This Row],[CUIT]]="","-",VLOOKUP(compras_mes4[[#This Row],[CUIT]],Lista_CUIT[#All],4,0)),"CUIT NO CARGADO")</f>
        <v>0</v>
      </c>
    </row>
    <row r="53" spans="2:18">
      <c r="B53" s="40">
        <v>45412</v>
      </c>
      <c r="C53" s="41">
        <v>1</v>
      </c>
      <c r="D53" s="42">
        <v>6136</v>
      </c>
      <c r="E53" s="43">
        <v>10264</v>
      </c>
      <c r="F53" s="44">
        <v>33707675069</v>
      </c>
      <c r="G53" s="45" t="str">
        <f>IFERROR(IF(compras_mes4[[#This Row],[CUIT]]="","-",VLOOKUP(compras_mes4[[#This Row],[CUIT]],Lista_CUIT[#All],2,0)),"CUIT NO CARGADO")</f>
        <v>BUS PACK S.A.</v>
      </c>
      <c r="H53" s="46">
        <v>8181.81</v>
      </c>
      <c r="I53" s="85">
        <f>IF(compras_mes4[[#This Row],[NETO GRAVADO]]="","",compras_mes4[[#This Row],[NETO GRAVADO]]*0.21)</f>
        <v>1718.1801</v>
      </c>
      <c r="J53" s="85"/>
      <c r="K53" s="85"/>
      <c r="L53" s="85"/>
      <c r="M53" s="85"/>
      <c r="N53" s="85"/>
      <c r="O53" s="85"/>
      <c r="P53" s="48">
        <f>SUM(compras_mes4[[#This Row],[NETO GRAVADO]:[Otros / No Grav.]])</f>
        <v>9899.9901000000009</v>
      </c>
      <c r="Q53" s="49" t="str">
        <f>IFERROR(IF(compras_mes4[[#This Row],[CUIT]]="","-",VLOOKUP(compras_mes4[[#This Row],[CUIT]],Lista_CUIT[#All],3,0)),"CUIT NO CARGADO")</f>
        <v>Gastos Varios</v>
      </c>
      <c r="R53" s="49">
        <f>IFERROR(IF(compras_mes4[[#This Row],[CUIT]]="","-",VLOOKUP(compras_mes4[[#This Row],[CUIT]],Lista_CUIT[#All],4,0)),"CUIT NO CARGADO")</f>
        <v>0</v>
      </c>
    </row>
    <row r="54" spans="2:18">
      <c r="B54" s="40">
        <v>45398</v>
      </c>
      <c r="C54" s="41">
        <v>1</v>
      </c>
      <c r="D54" s="42">
        <v>6</v>
      </c>
      <c r="E54" s="43">
        <v>1420</v>
      </c>
      <c r="F54" s="44">
        <v>30716815710</v>
      </c>
      <c r="G54" s="45" t="str">
        <f>IFERROR(IF(compras_mes4[[#This Row],[CUIT]]="","-",VLOOKUP(compras_mes4[[#This Row],[CUIT]],Lista_CUIT[#All],2,0)),"CUIT NO CARGADO")</f>
        <v>PAPELERA GEOPEL SRL</v>
      </c>
      <c r="H54" s="46">
        <v>18300</v>
      </c>
      <c r="I54" s="85">
        <f>IF(compras_mes4[[#This Row],[NETO GRAVADO]]="","",compras_mes4[[#This Row],[NETO GRAVADO]]*0.21)</f>
        <v>3843</v>
      </c>
      <c r="J54" s="85"/>
      <c r="K54" s="85"/>
      <c r="L54" s="85"/>
      <c r="M54" s="85"/>
      <c r="N54" s="85"/>
      <c r="O54" s="85"/>
      <c r="P54" s="48">
        <f>SUM(compras_mes4[[#This Row],[NETO GRAVADO]:[Otros / No Grav.]])</f>
        <v>22143</v>
      </c>
      <c r="Q54" s="49" t="str">
        <f>IFERROR(IF(compras_mes4[[#This Row],[CUIT]]="","-",VLOOKUP(compras_mes4[[#This Row],[CUIT]],Lista_CUIT[#All],3,0)),"CUIT NO CARGADO")</f>
        <v>LIBRERÍA</v>
      </c>
      <c r="R54" s="49">
        <f>IFERROR(IF(compras_mes4[[#This Row],[CUIT]]="","-",VLOOKUP(compras_mes4[[#This Row],[CUIT]],Lista_CUIT[#All],4,0)),"CUIT NO CARGADO")</f>
        <v>0</v>
      </c>
    </row>
    <row r="55" spans="2:18">
      <c r="B55" s="40">
        <v>45406</v>
      </c>
      <c r="C55" s="41">
        <v>1</v>
      </c>
      <c r="D55" s="42">
        <v>6</v>
      </c>
      <c r="E55" s="43">
        <v>1431</v>
      </c>
      <c r="F55" s="44">
        <v>30716815710</v>
      </c>
      <c r="G55" s="45" t="str">
        <f>IFERROR(IF(compras_mes4[[#This Row],[CUIT]]="","-",VLOOKUP(compras_mes4[[#This Row],[CUIT]],Lista_CUIT[#All],2,0)),"CUIT NO CARGADO")</f>
        <v>PAPELERA GEOPEL SRL</v>
      </c>
      <c r="H55" s="46">
        <v>8200</v>
      </c>
      <c r="I55" s="85">
        <f>IF(compras_mes4[[#This Row],[NETO GRAVADO]]="","",compras_mes4[[#This Row],[NETO GRAVADO]]*0.21)</f>
        <v>1722</v>
      </c>
      <c r="J55" s="85"/>
      <c r="K55" s="85"/>
      <c r="L55" s="85"/>
      <c r="M55" s="85"/>
      <c r="N55" s="85"/>
      <c r="O55" s="85"/>
      <c r="P55" s="48">
        <f>SUM(compras_mes4[[#This Row],[NETO GRAVADO]:[Otros / No Grav.]])</f>
        <v>9922</v>
      </c>
      <c r="Q55" s="49" t="str">
        <f>IFERROR(IF(compras_mes4[[#This Row],[CUIT]]="","-",VLOOKUP(compras_mes4[[#This Row],[CUIT]],Lista_CUIT[#All],3,0)),"CUIT NO CARGADO")</f>
        <v>LIBRERÍA</v>
      </c>
      <c r="R55" s="49">
        <f>IFERROR(IF(compras_mes4[[#This Row],[CUIT]]="","-",VLOOKUP(compras_mes4[[#This Row],[CUIT]],Lista_CUIT[#All],4,0)),"CUIT NO CARGADO")</f>
        <v>0</v>
      </c>
    </row>
    <row r="56" spans="2:18">
      <c r="B56" s="40">
        <v>45412</v>
      </c>
      <c r="C56" s="41">
        <v>1</v>
      </c>
      <c r="D56" s="42">
        <v>6</v>
      </c>
      <c r="E56" s="43">
        <v>1441</v>
      </c>
      <c r="F56" s="44">
        <v>30716815710</v>
      </c>
      <c r="G56" s="45" t="str">
        <f>IFERROR(IF(compras_mes4[[#This Row],[CUIT]]="","-",VLOOKUP(compras_mes4[[#This Row],[CUIT]],Lista_CUIT[#All],2,0)),"CUIT NO CARGADO")</f>
        <v>PAPELERA GEOPEL SRL</v>
      </c>
      <c r="H56" s="46">
        <v>21100</v>
      </c>
      <c r="I56" s="85">
        <f>IF(compras_mes4[[#This Row],[NETO GRAVADO]]="","",compras_mes4[[#This Row],[NETO GRAVADO]]*0.21)</f>
        <v>4431</v>
      </c>
      <c r="J56" s="85"/>
      <c r="K56" s="85"/>
      <c r="L56" s="85"/>
      <c r="M56" s="85"/>
      <c r="N56" s="85"/>
      <c r="O56" s="85"/>
      <c r="P56" s="48">
        <f>SUM(compras_mes4[[#This Row],[NETO GRAVADO]:[Otros / No Grav.]])</f>
        <v>25531</v>
      </c>
      <c r="Q56" s="49" t="str">
        <f>IFERROR(IF(compras_mes4[[#This Row],[CUIT]]="","-",VLOOKUP(compras_mes4[[#This Row],[CUIT]],Lista_CUIT[#All],3,0)),"CUIT NO CARGADO")</f>
        <v>LIBRERÍA</v>
      </c>
      <c r="R56" s="49">
        <f>IFERROR(IF(compras_mes4[[#This Row],[CUIT]]="","-",VLOOKUP(compras_mes4[[#This Row],[CUIT]],Lista_CUIT[#All],4,0)),"CUIT NO CARGADO")</f>
        <v>0</v>
      </c>
    </row>
    <row r="57" spans="2:18">
      <c r="B57" s="40">
        <v>45400</v>
      </c>
      <c r="C57" s="41">
        <v>1</v>
      </c>
      <c r="D57" s="42">
        <v>12</v>
      </c>
      <c r="E57" s="43">
        <v>20</v>
      </c>
      <c r="F57" s="44">
        <v>27202892936</v>
      </c>
      <c r="G57" s="45" t="str">
        <f>IFERROR(IF(compras_mes4[[#This Row],[CUIT]]="","-",VLOOKUP(compras_mes4[[#This Row],[CUIT]],Lista_CUIT[#All],2,0)),"CUIT NO CARGADO")</f>
        <v>Moriondo, Adriana Ines</v>
      </c>
      <c r="H57" s="46">
        <v>1309006.81</v>
      </c>
      <c r="I57" s="85">
        <f>IF(compras_mes4[[#This Row],[NETO GRAVADO]]="","",compras_mes4[[#This Row],[NETO GRAVADO]]*0.21)</f>
        <v>274891.4301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1583898.2401000001</v>
      </c>
      <c r="Q57" s="49" t="str">
        <f>IFERROR(IF(compras_mes4[[#This Row],[CUIT]]="","-",VLOOKUP(compras_mes4[[#This Row],[CUIT]],Lista_CUIT[#All],3,0)),"CUIT NO CARGADO")</f>
        <v>Licencia Marca</v>
      </c>
      <c r="R57" s="49">
        <f>IFERROR(IF(compras_mes4[[#This Row],[CUIT]]="","-",VLOOKUP(compras_mes4[[#This Row],[CUIT]],Lista_CUIT[#All],4,0)),"CUIT NO CARGADO")</f>
        <v>0</v>
      </c>
    </row>
    <row r="58" spans="2:18">
      <c r="B58" s="405">
        <v>45390</v>
      </c>
      <c r="C58" s="41">
        <v>1</v>
      </c>
      <c r="D58" s="406">
        <v>4</v>
      </c>
      <c r="E58" s="407">
        <v>3992</v>
      </c>
      <c r="F58" s="408">
        <v>20076573949</v>
      </c>
      <c r="G58" s="409" t="str">
        <f>IFERROR(IF(compras_mes4[[#This Row],[CUIT]]="","-",VLOOKUP(compras_mes4[[#This Row],[CUIT]],Lista_CUIT[#All],2,0)),"CUIT NO CARGADO")</f>
        <v>MEDEOT OSVALDO LUCIO</v>
      </c>
      <c r="H58" s="410">
        <v>2479.34</v>
      </c>
      <c r="I58" s="411">
        <f>IF(compras_mes4[[#This Row],[NETO GRAVADO]]="","",compras_mes4[[#This Row],[NETO GRAVADO]]*0.21)</f>
        <v>520.66139999999996</v>
      </c>
      <c r="J58" s="411"/>
      <c r="K58" s="411"/>
      <c r="L58" s="411"/>
      <c r="M58" s="411"/>
      <c r="N58" s="411"/>
      <c r="O58" s="411"/>
      <c r="P58" s="412">
        <f>SUM(compras_mes4[[#This Row],[NETO GRAVADO]:[Otros / No Grav.]])</f>
        <v>3000.0014000000001</v>
      </c>
      <c r="Q58" s="413" t="str">
        <f>IFERROR(IF(compras_mes4[[#This Row],[CUIT]]="","-",VLOOKUP(compras_mes4[[#This Row],[CUIT]],Lista_CUIT[#All],3,0)),"CUIT NO CARGADO")</f>
        <v>Mantenimiento</v>
      </c>
      <c r="R58" s="413">
        <f>IFERROR(IF(compras_mes4[[#This Row],[CUIT]]="","-",VLOOKUP(compras_mes4[[#This Row],[CUIT]],Lista_CUIT[#All],4,0)),"CUIT NO CARGADO")</f>
        <v>0</v>
      </c>
    </row>
    <row r="59" spans="2:18">
      <c r="B59" s="40">
        <v>45391</v>
      </c>
      <c r="C59" s="41">
        <v>1</v>
      </c>
      <c r="D59" s="42">
        <v>2</v>
      </c>
      <c r="E59" s="43">
        <v>1984</v>
      </c>
      <c r="F59" s="44">
        <v>20238470502</v>
      </c>
      <c r="G59" s="45" t="str">
        <f>IFERROR(IF(compras_mes4[[#This Row],[CUIT]]="","-",VLOOKUP(compras_mes4[[#This Row],[CUIT]],Lista_CUIT[#All],2,0)),"CUIT NO CARGADO")</f>
        <v>ALCOCER MARIO DANIEL</v>
      </c>
      <c r="H59" s="46">
        <v>1500000</v>
      </c>
      <c r="I59" s="85">
        <f>IF(compras_mes4[[#This Row],[NETO GRAVADO]]="","",compras_mes4[[#This Row],[NETO GRAVADO]]*0.21)</f>
        <v>315000</v>
      </c>
      <c r="J59" s="85"/>
      <c r="K59" s="85"/>
      <c r="L59" s="85"/>
      <c r="M59" s="85"/>
      <c r="N59" s="85"/>
      <c r="O59" s="85"/>
      <c r="P59" s="48">
        <f>SUM(compras_mes4[[#This Row],[NETO GRAVADO]:[Otros / No Grav.]])</f>
        <v>1815000</v>
      </c>
      <c r="Q59" s="49" t="str">
        <f>IFERROR(IF(compras_mes4[[#This Row],[CUIT]]="","-",VLOOKUP(compras_mes4[[#This Row],[CUIT]],Lista_CUIT[#All],3,0)),"CUIT NO CARGADO")</f>
        <v>Mantenimiento</v>
      </c>
      <c r="R59" s="49">
        <f>IFERROR(IF(compras_mes4[[#This Row],[CUIT]]="","-",VLOOKUP(compras_mes4[[#This Row],[CUIT]],Lista_CUIT[#All],4,0)),"CUIT NO CARGADO")</f>
        <v>0</v>
      </c>
    </row>
    <row r="60" spans="2:18">
      <c r="B60" s="40">
        <v>45394</v>
      </c>
      <c r="C60" s="41">
        <v>1</v>
      </c>
      <c r="D60" s="42">
        <v>12</v>
      </c>
      <c r="E60" s="43">
        <v>477</v>
      </c>
      <c r="F60" s="44">
        <v>30714950750</v>
      </c>
      <c r="G60" s="45" t="str">
        <f>IFERROR(IF(compras_mes4[[#This Row],[CUIT]]="","-",VLOOKUP(compras_mes4[[#This Row],[CUIT]],Lista_CUIT[#All],2,0)),"CUIT NO CARGADO")</f>
        <v>VIENTOS ARGENTINOS SRL</v>
      </c>
      <c r="H60" s="46">
        <v>181438.92</v>
      </c>
      <c r="I60" s="85"/>
      <c r="J60" s="85"/>
      <c r="K60" s="85">
        <f>compras_mes4[[#This Row],[NETO GRAVADO]]*10.5/100</f>
        <v>19051.086600000002</v>
      </c>
      <c r="L60" s="85"/>
      <c r="M60" s="85"/>
      <c r="N60" s="85"/>
      <c r="O60" s="85"/>
      <c r="P60" s="48">
        <f>SUM(compras_mes4[[#This Row],[NETO GRAVADO]:[Otros / No Grav.]])</f>
        <v>200490.00660000002</v>
      </c>
      <c r="Q60" s="49" t="str">
        <f>IFERROR(IF(compras_mes4[[#This Row],[CUIT]]="","-",VLOOKUP(compras_mes4[[#This Row],[CUIT]],Lista_CUIT[#All],3,0)),"CUIT NO CARGADO")</f>
        <v>MANTENIMIENTO</v>
      </c>
      <c r="R60" s="49">
        <f>IFERROR(IF(compras_mes4[[#This Row],[CUIT]]="","-",VLOOKUP(compras_mes4[[#This Row],[CUIT]],Lista_CUIT[#All],4,0)),"CUIT NO CARGADO")</f>
        <v>0</v>
      </c>
    </row>
    <row r="61" spans="2:18">
      <c r="B61" s="40">
        <v>45400</v>
      </c>
      <c r="C61" s="41">
        <v>1</v>
      </c>
      <c r="D61" s="42">
        <v>3</v>
      </c>
      <c r="E61" s="43">
        <v>4070</v>
      </c>
      <c r="F61" s="44">
        <v>20184052858</v>
      </c>
      <c r="G61" s="45" t="str">
        <f>IFERROR(IF(compras_mes4[[#This Row],[CUIT]]="","-",VLOOKUP(compras_mes4[[#This Row],[CUIT]],Lista_CUIT[#All],2,0)),"CUIT NO CARGADO")</f>
        <v>ABOUD PABLO DANIEL</v>
      </c>
      <c r="H61" s="46">
        <v>12396.67</v>
      </c>
      <c r="I61" s="85">
        <f>IF(compras_mes4[[#This Row],[NETO GRAVADO]]="","",compras_mes4[[#This Row],[NETO GRAVADO]]*0.21)</f>
        <v>2603.3006999999998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14999.9707</v>
      </c>
      <c r="Q61" s="49" t="str">
        <f>IFERROR(IF(compras_mes4[[#This Row],[CUIT]]="","-",VLOOKUP(compras_mes4[[#This Row],[CUIT]],Lista_CUIT[#All],3,0)),"CUIT NO CARGADO")</f>
        <v>MANTENIMIENTO</v>
      </c>
      <c r="R61" s="49">
        <f>IFERROR(IF(compras_mes4[[#This Row],[CUIT]]="","-",VLOOKUP(compras_mes4[[#This Row],[CUIT]],Lista_CUIT[#All],4,0)),"CUIT NO CARGADO")</f>
        <v>0</v>
      </c>
    </row>
    <row r="62" spans="2:18">
      <c r="B62" s="40">
        <v>45411</v>
      </c>
      <c r="C62" s="41">
        <v>1</v>
      </c>
      <c r="D62" s="42">
        <v>5</v>
      </c>
      <c r="E62" s="43">
        <v>14395</v>
      </c>
      <c r="F62" s="44">
        <v>20316749942</v>
      </c>
      <c r="G62" s="45" t="str">
        <f>IFERROR(IF(compras_mes4[[#This Row],[CUIT]]="","-",VLOOKUP(compras_mes4[[#This Row],[CUIT]],Lista_CUIT[#All],2,0)),"CUIT NO CARGADO")</f>
        <v>PASTORIZA ALEJANDRO JAVIER</v>
      </c>
      <c r="H62" s="46">
        <v>254537.19</v>
      </c>
      <c r="I62" s="85">
        <f>IF(compras_mes4[[#This Row],[NETO GRAVADO]]="","",compras_mes4[[#This Row],[NETO GRAVADO]]*0.21)</f>
        <v>53452.8099</v>
      </c>
      <c r="J62" s="85"/>
      <c r="K62" s="85"/>
      <c r="L62" s="85"/>
      <c r="M62" s="85"/>
      <c r="N62" s="85"/>
      <c r="O62" s="85"/>
      <c r="P62" s="48">
        <f>SUM(compras_mes4[[#This Row],[NETO GRAVADO]:[Otros / No Grav.]])</f>
        <v>307989.9999</v>
      </c>
      <c r="Q62" s="49" t="str">
        <f>IFERROR(IF(compras_mes4[[#This Row],[CUIT]]="","-",VLOOKUP(compras_mes4[[#This Row],[CUIT]],Lista_CUIT[#All],3,0)),"CUIT NO CARGADO")</f>
        <v>Mantenimiento</v>
      </c>
      <c r="R62" s="49">
        <f>IFERROR(IF(compras_mes4[[#This Row],[CUIT]]="","-",VLOOKUP(compras_mes4[[#This Row],[CUIT]],Lista_CUIT[#All],4,0)),"CUIT NO CARGADO")</f>
        <v>0</v>
      </c>
    </row>
    <row r="63" spans="2:18">
      <c r="B63" s="40">
        <v>45385</v>
      </c>
      <c r="C63" s="41">
        <v>1</v>
      </c>
      <c r="D63" s="42">
        <v>629</v>
      </c>
      <c r="E63" s="43">
        <v>5010632</v>
      </c>
      <c r="F63" s="44">
        <v>30663498513</v>
      </c>
      <c r="G63" s="45" t="str">
        <f>IFERROR(IF(compras_mes4[[#This Row],[CUIT]]="","-",VLOOKUP(compras_mes4[[#This Row],[CUIT]],Lista_CUIT[#All],2,0)),"CUIT NO CARGADO")</f>
        <v>GRUPO CONCES. DEL OESTE SA</v>
      </c>
      <c r="H63" s="46">
        <v>702.47</v>
      </c>
      <c r="I63" s="85">
        <f>IF(compras_mes4[[#This Row],[NETO GRAVADO]]="","",compras_mes4[[#This Row],[NETO GRAVADO]]*0.21)</f>
        <v>147.5187</v>
      </c>
      <c r="J63" s="85"/>
      <c r="K63" s="85"/>
      <c r="L63" s="85"/>
      <c r="M63" s="85"/>
      <c r="N63" s="85"/>
      <c r="O63" s="85"/>
      <c r="P63" s="48">
        <f>SUM(compras_mes4[[#This Row],[NETO GRAVADO]:[Otros / No Grav.]])</f>
        <v>849.98869999999999</v>
      </c>
      <c r="Q63" s="49" t="str">
        <f>IFERROR(IF(compras_mes4[[#This Row],[CUIT]]="","-",VLOOKUP(compras_mes4[[#This Row],[CUIT]],Lista_CUIT[#All],3,0)),"CUIT NO CARGADO")</f>
        <v>PEAJE</v>
      </c>
      <c r="R63" s="49">
        <f>IFERROR(IF(compras_mes4[[#This Row],[CUIT]]="","-",VLOOKUP(compras_mes4[[#This Row],[CUIT]],Lista_CUIT[#All],4,0)),"CUIT NO CARGADO")</f>
        <v>0</v>
      </c>
    </row>
    <row r="64" spans="2:18">
      <c r="B64" s="40">
        <v>45385</v>
      </c>
      <c r="C64" s="41">
        <v>1</v>
      </c>
      <c r="D64" s="42">
        <v>711</v>
      </c>
      <c r="E64" s="43">
        <v>5519755</v>
      </c>
      <c r="F64" s="44">
        <v>30677237119</v>
      </c>
      <c r="G64" s="45" t="str">
        <f>IFERROR(IF(compras_mes4[[#This Row],[CUIT]]="","-",VLOOKUP(compras_mes4[[#This Row],[CUIT]],Lista_CUIT[#All],2,0)),"CUIT NO CARGADO")</f>
        <v>AUTOPISTAS DEL SOL SA</v>
      </c>
      <c r="H64" s="46">
        <v>2768.56</v>
      </c>
      <c r="I64" s="85">
        <f>IF(compras_mes4[[#This Row],[NETO GRAVADO]]="","",compras_mes4[[#This Row],[NETO GRAVADO]]*0.21)</f>
        <v>581.39760000000001</v>
      </c>
      <c r="J64" s="85"/>
      <c r="K64" s="85"/>
      <c r="L64" s="85"/>
      <c r="M64" s="85"/>
      <c r="N64" s="85"/>
      <c r="O64" s="85">
        <v>83.06</v>
      </c>
      <c r="P64" s="48">
        <f>SUM(compras_mes4[[#This Row],[NETO GRAVADO]:[Otros / No Grav.]])</f>
        <v>3433.0175999999997</v>
      </c>
      <c r="Q64" s="49" t="str">
        <f>IFERROR(IF(compras_mes4[[#This Row],[CUIT]]="","-",VLOOKUP(compras_mes4[[#This Row],[CUIT]],Lista_CUIT[#All],3,0)),"CUIT NO CARGADO")</f>
        <v>PEAJE</v>
      </c>
      <c r="R64" s="49">
        <f>IFERROR(IF(compras_mes4[[#This Row],[CUIT]]="","-",VLOOKUP(compras_mes4[[#This Row],[CUIT]],Lista_CUIT[#All],4,0)),"CUIT NO CARGADO")</f>
        <v>0</v>
      </c>
    </row>
    <row r="65" spans="2:18">
      <c r="B65" s="40">
        <v>45386</v>
      </c>
      <c r="C65" s="41">
        <v>1</v>
      </c>
      <c r="D65" s="406">
        <v>5015</v>
      </c>
      <c r="E65" s="43">
        <v>598852</v>
      </c>
      <c r="F65" s="44">
        <v>30574876474</v>
      </c>
      <c r="G65" s="45" t="str">
        <f>IFERROR(IF(compras_mes4[[#This Row],[CUIT]]="","-",VLOOKUP(compras_mes4[[#This Row],[CUIT]],Lista_CUIT[#All],2,0)),"CUIT NO CARGADO")</f>
        <v>AUTOP. URBANAS SA</v>
      </c>
      <c r="H65" s="46">
        <v>7669.27</v>
      </c>
      <c r="I65" s="85">
        <f>IF(compras_mes4[[#This Row],[NETO GRAVADO]]="","",compras_mes4[[#This Row],[NETO GRAVADO]]*0.21)</f>
        <v>1610.5467000000001</v>
      </c>
      <c r="J65" s="85"/>
      <c r="K65" s="85"/>
      <c r="L65" s="85"/>
      <c r="M65" s="85"/>
      <c r="N65" s="85"/>
      <c r="O65" s="85"/>
      <c r="P65" s="48">
        <f>SUM(compras_mes4[[#This Row],[NETO GRAVADO]:[Otros / No Grav.]])</f>
        <v>9279.8167000000012</v>
      </c>
      <c r="Q65" s="49" t="str">
        <f>IFERROR(IF(compras_mes4[[#This Row],[CUIT]]="","-",VLOOKUP(compras_mes4[[#This Row],[CUIT]],Lista_CUIT[#All],3,0)),"CUIT NO CARGADO")</f>
        <v>PEAJE</v>
      </c>
      <c r="R65" s="49">
        <f>IFERROR(IF(compras_mes4[[#This Row],[CUIT]]="","-",VLOOKUP(compras_mes4[[#This Row],[CUIT]],Lista_CUIT[#All],4,0)),"CUIT NO CARGADO")</f>
        <v>0</v>
      </c>
    </row>
    <row r="66" spans="2:18" s="56" customFormat="1" ht="18.600000000000001" customHeight="1">
      <c r="B66" s="40">
        <v>45390</v>
      </c>
      <c r="C66" s="41">
        <v>1</v>
      </c>
      <c r="D66" s="42">
        <v>700</v>
      </c>
      <c r="E66" s="43">
        <v>1580171</v>
      </c>
      <c r="F66" s="44">
        <v>30715804812</v>
      </c>
      <c r="G66" s="45" t="str">
        <f>IFERROR(IF(compras_mes4[[#This Row],[CUIT]]="","-",VLOOKUP(compras_mes4[[#This Row],[CUIT]],Lista_CUIT[#All],2,0)),"CUIT NO CARGADO")</f>
        <v>CORREDORES VIALES SOCIEDAD ANONIMA</v>
      </c>
      <c r="H66" s="46">
        <v>950.41</v>
      </c>
      <c r="I66" s="85">
        <f>IF(compras_mes4[[#This Row],[NETO GRAVADO]]="","",compras_mes4[[#This Row],[NETO GRAVADO]]*0.21)</f>
        <v>199.58609999999999</v>
      </c>
      <c r="J66" s="85"/>
      <c r="K66" s="85"/>
      <c r="L66" s="85"/>
      <c r="M66" s="85"/>
      <c r="N66" s="85"/>
      <c r="O66" s="85"/>
      <c r="P66" s="48">
        <f>SUM(compras_mes4[[#This Row],[NETO GRAVADO]:[Otros / No Grav.]])</f>
        <v>1149.9960999999998</v>
      </c>
      <c r="Q66" s="49" t="str">
        <f>IFERROR(IF(compras_mes4[[#This Row],[CUIT]]="","-",VLOOKUP(compras_mes4[[#This Row],[CUIT]],Lista_CUIT[#All],3,0)),"CUIT NO CARGADO")</f>
        <v>PEAJE</v>
      </c>
      <c r="R66" s="49">
        <f>IFERROR(IF(compras_mes4[[#This Row],[CUIT]]="","-",VLOOKUP(compras_mes4[[#This Row],[CUIT]],Lista_CUIT[#All],4,0)),"CUIT NO CARGADO")</f>
        <v>0</v>
      </c>
    </row>
    <row r="67" spans="2:18">
      <c r="B67" s="40">
        <v>45399</v>
      </c>
      <c r="C67" s="41">
        <v>1</v>
      </c>
      <c r="D67" s="42">
        <v>629</v>
      </c>
      <c r="E67" s="43">
        <v>5049610</v>
      </c>
      <c r="F67" s="44">
        <v>30663498513</v>
      </c>
      <c r="G67" s="45" t="str">
        <f>IFERROR(IF(compras_mes4[[#This Row],[CUIT]]="","-",VLOOKUP(compras_mes4[[#This Row],[CUIT]],Lista_CUIT[#All],2,0)),"CUIT NO CARGADO")</f>
        <v>GRUPO CONCES. DEL OESTE SA</v>
      </c>
      <c r="H67" s="46">
        <v>826.44</v>
      </c>
      <c r="I67" s="85">
        <f>IF(compras_mes4[[#This Row],[NETO GRAVADO]]="","",compras_mes4[[#This Row],[NETO GRAVADO]]*0.21)</f>
        <v>173.55240000000001</v>
      </c>
      <c r="J67" s="85"/>
      <c r="K67" s="85"/>
      <c r="L67" s="85"/>
      <c r="M67" s="85"/>
      <c r="N67" s="85"/>
      <c r="O67" s="222"/>
      <c r="P67" s="48">
        <f>SUM(compras_mes4[[#This Row],[NETO GRAVADO]:[Otros / No Grav.]])</f>
        <v>999.99240000000009</v>
      </c>
      <c r="Q67" s="49" t="str">
        <f>IFERROR(IF(compras_mes4[[#This Row],[CUIT]]="","-",VLOOKUP(compras_mes4[[#This Row],[CUIT]],Lista_CUIT[#All],3,0)),"CUIT NO CARGADO")</f>
        <v>PEAJE</v>
      </c>
      <c r="R67" s="49">
        <f>IFERROR(IF(compras_mes4[[#This Row],[CUIT]]="","-",VLOOKUP(compras_mes4[[#This Row],[CUIT]],Lista_CUIT[#All],4,0)),"CUIT NO CARGADO")</f>
        <v>0</v>
      </c>
    </row>
    <row r="68" spans="2:18">
      <c r="B68" s="40">
        <v>45399</v>
      </c>
      <c r="C68" s="41">
        <v>1</v>
      </c>
      <c r="D68" s="42">
        <v>711</v>
      </c>
      <c r="E68" s="43">
        <v>5577642</v>
      </c>
      <c r="F68" s="44">
        <v>30677237119</v>
      </c>
      <c r="G68" s="45" t="str">
        <f>IFERROR(IF(compras_mes4[[#This Row],[CUIT]]="","-",VLOOKUP(compras_mes4[[#This Row],[CUIT]],Lista_CUIT[#All],2,0)),"CUIT NO CARGADO")</f>
        <v>AUTOPISTAS DEL SOL SA</v>
      </c>
      <c r="H68" s="46">
        <v>2231.38</v>
      </c>
      <c r="I68" s="85">
        <f>IF(compras_mes4[[#This Row],[NETO GRAVADO]]="","",compras_mes4[[#This Row],[NETO GRAVADO]]*0.21)</f>
        <v>468.58980000000003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2699.9698000000003</v>
      </c>
      <c r="Q68" s="49" t="str">
        <f>IFERROR(IF(compras_mes4[[#This Row],[CUIT]]="","-",VLOOKUP(compras_mes4[[#This Row],[CUIT]],Lista_CUIT[#All],3,0)),"CUIT NO CARGADO")</f>
        <v>PEAJE</v>
      </c>
      <c r="R68" s="49">
        <f>IFERROR(IF(compras_mes4[[#This Row],[CUIT]]="","-",VLOOKUP(compras_mes4[[#This Row],[CUIT]],Lista_CUIT[#All],4,0)),"CUIT NO CARGADO")</f>
        <v>0</v>
      </c>
    </row>
    <row r="69" spans="2:18">
      <c r="B69" s="40">
        <v>45399</v>
      </c>
      <c r="C69" s="41">
        <v>1</v>
      </c>
      <c r="D69" s="42">
        <v>5009</v>
      </c>
      <c r="E69" s="43">
        <v>904421</v>
      </c>
      <c r="F69" s="44">
        <v>30574876474</v>
      </c>
      <c r="G69" s="45" t="str">
        <f>IFERROR(IF(compras_mes4[[#This Row],[CUIT]]="","-",VLOOKUP(compras_mes4[[#This Row],[CUIT]],Lista_CUIT[#All],2,0)),"CUIT NO CARGADO")</f>
        <v>AUTOP. URBANAS SA</v>
      </c>
      <c r="H69" s="46">
        <v>2452.02</v>
      </c>
      <c r="I69" s="85">
        <f>IF(compras_mes4[[#This Row],[NETO GRAVADO]]="","",compras_mes4[[#This Row],[NETO GRAVADO]]*0.21)</f>
        <v>514.92419999999993</v>
      </c>
      <c r="J69" s="85"/>
      <c r="K69" s="85"/>
      <c r="L69" s="85"/>
      <c r="M69" s="85"/>
      <c r="N69" s="85"/>
      <c r="O69" s="85"/>
      <c r="P69" s="48">
        <f>SUM(compras_mes4[[#This Row],[NETO GRAVADO]:[Otros / No Grav.]])</f>
        <v>2966.9441999999999</v>
      </c>
      <c r="Q69" s="49" t="str">
        <f>IFERROR(IF(compras_mes4[[#This Row],[CUIT]]="","-",VLOOKUP(compras_mes4[[#This Row],[CUIT]],Lista_CUIT[#All],3,0)),"CUIT NO CARGADO")</f>
        <v>PEAJE</v>
      </c>
      <c r="R69" s="49">
        <f>IFERROR(IF(compras_mes4[[#This Row],[CUIT]]="","-",VLOOKUP(compras_mes4[[#This Row],[CUIT]],Lista_CUIT[#All],4,0)),"CUIT NO CARGADO")</f>
        <v>0</v>
      </c>
    </row>
    <row r="70" spans="2:18">
      <c r="B70" s="40">
        <v>45399</v>
      </c>
      <c r="C70" s="41">
        <v>1</v>
      </c>
      <c r="D70" s="42">
        <v>5015</v>
      </c>
      <c r="E70" s="43">
        <v>603406</v>
      </c>
      <c r="F70" s="44">
        <v>30574876474</v>
      </c>
      <c r="G70" s="45" t="str">
        <f>IFERROR(IF(compras_mes4[[#This Row],[CUIT]]="","-",VLOOKUP(compras_mes4[[#This Row],[CUIT]],Lista_CUIT[#All],2,0)),"CUIT NO CARGADO")</f>
        <v>AUTOP. URBANAS SA</v>
      </c>
      <c r="H70" s="46">
        <v>10932.84</v>
      </c>
      <c r="I70" s="85">
        <f>IF(compras_mes4[[#This Row],[NETO GRAVADO]]="","",compras_mes4[[#This Row],[NETO GRAVADO]]*0.21)</f>
        <v>2295.8964000000001</v>
      </c>
      <c r="J70" s="85"/>
      <c r="K70" s="85"/>
      <c r="L70" s="85"/>
      <c r="M70" s="85"/>
      <c r="N70" s="85"/>
      <c r="O70" s="85"/>
      <c r="P70" s="48">
        <f>SUM(compras_mes4[[#This Row],[NETO GRAVADO]:[Otros / No Grav.]])</f>
        <v>13228.7364</v>
      </c>
      <c r="Q70" s="49" t="str">
        <f>IFERROR(IF(compras_mes4[[#This Row],[CUIT]]="","-",VLOOKUP(compras_mes4[[#This Row],[CUIT]],Lista_CUIT[#All],3,0)),"CUIT NO CARGADO")</f>
        <v>PEAJE</v>
      </c>
      <c r="R70" s="49">
        <f>IFERROR(IF(compras_mes4[[#This Row],[CUIT]]="","-",VLOOKUP(compras_mes4[[#This Row],[CUIT]],Lista_CUIT[#All],4,0)),"CUIT NO CARGADO")</f>
        <v>0</v>
      </c>
    </row>
    <row r="71" spans="2:18">
      <c r="B71" s="89">
        <v>45406</v>
      </c>
      <c r="C71" s="41">
        <v>1</v>
      </c>
      <c r="D71" s="90">
        <v>700</v>
      </c>
      <c r="E71" s="91">
        <v>1611688</v>
      </c>
      <c r="F71" s="92">
        <v>30715804812</v>
      </c>
      <c r="G71" s="93" t="str">
        <f>IFERROR(IF(compras_mes4[[#This Row],[CUIT]]="","-",VLOOKUP(compras_mes4[[#This Row],[CUIT]],Lista_CUIT[#All],2,0)),"CUIT NO CARGADO")</f>
        <v>CORREDORES VIALES SOCIEDAD ANONIMA</v>
      </c>
      <c r="H71" s="94">
        <v>991.73</v>
      </c>
      <c r="I71" s="85">
        <f>IF(compras_mes4[[#This Row],[NETO GRAVADO]]="","",compras_mes4[[#This Row],[NETO GRAVADO]]*0.21)</f>
        <v>208.26329999999999</v>
      </c>
      <c r="J71" s="86"/>
      <c r="K71" s="86"/>
      <c r="L71" s="86"/>
      <c r="M71" s="86"/>
      <c r="N71" s="86"/>
      <c r="O71" s="86"/>
      <c r="P71" s="87">
        <f>SUM(compras_mes4[[#This Row],[NETO GRAVADO]:[Otros / No Grav.]])</f>
        <v>1199.9933000000001</v>
      </c>
      <c r="Q71" s="88" t="str">
        <f>IFERROR(IF(compras_mes4[[#This Row],[CUIT]]="","-",VLOOKUP(compras_mes4[[#This Row],[CUIT]],Lista_CUIT[#All],3,0)),"CUIT NO CARGADO")</f>
        <v>PEAJE</v>
      </c>
      <c r="R71" s="88">
        <f>IFERROR(IF(compras_mes4[[#This Row],[CUIT]]="","-",VLOOKUP(compras_mes4[[#This Row],[CUIT]],Lista_CUIT[#All],4,0)),"CUIT NO CARGADO")</f>
        <v>0</v>
      </c>
    </row>
    <row r="72" spans="2:18">
      <c r="B72" s="40">
        <v>45406</v>
      </c>
      <c r="C72" s="41">
        <v>1</v>
      </c>
      <c r="D72" s="42">
        <v>700</v>
      </c>
      <c r="E72" s="43">
        <v>1611689</v>
      </c>
      <c r="F72" s="44">
        <v>30715804812</v>
      </c>
      <c r="G72" s="45" t="str">
        <f>IFERROR(IF(compras_mes4[[#This Row],[CUIT]]="","-",VLOOKUP(compras_mes4[[#This Row],[CUIT]],Lista_CUIT[#All],2,0)),"CUIT NO CARGADO")</f>
        <v>CORREDORES VIALES SOCIEDAD ANONIMA</v>
      </c>
      <c r="H72" s="46">
        <v>413.22</v>
      </c>
      <c r="I72" s="85">
        <f>IF(compras_mes4[[#This Row],[NETO GRAVADO]]="","",compras_mes4[[#This Row],[NETO GRAVADO]]*0.21)</f>
        <v>86.776200000000003</v>
      </c>
      <c r="J72" s="85"/>
      <c r="K72" s="85"/>
      <c r="L72" s="85"/>
      <c r="M72" s="85"/>
      <c r="N72" s="85"/>
      <c r="O72" s="85"/>
      <c r="P72" s="48">
        <f>SUM(compras_mes4[[#This Row],[NETO GRAVADO]:[Otros / No Grav.]])</f>
        <v>499.99620000000004</v>
      </c>
      <c r="Q72" s="49" t="str">
        <f>IFERROR(IF(compras_mes4[[#This Row],[CUIT]]="","-",VLOOKUP(compras_mes4[[#This Row],[CUIT]],Lista_CUIT[#All],3,0)),"CUIT NO CARGADO")</f>
        <v>PEAJE</v>
      </c>
      <c r="R72" s="49">
        <f>IFERROR(IF(compras_mes4[[#This Row],[CUIT]]="","-",VLOOKUP(compras_mes4[[#This Row],[CUIT]],Lista_CUIT[#All],4,0)),"CUIT NO CARGADO")</f>
        <v>0</v>
      </c>
    </row>
    <row r="73" spans="2:18">
      <c r="B73" s="40">
        <v>45391</v>
      </c>
      <c r="C73" s="41">
        <v>1</v>
      </c>
      <c r="D73" s="42">
        <v>5</v>
      </c>
      <c r="E73" s="43">
        <v>1369</v>
      </c>
      <c r="F73" s="44">
        <v>20242126158</v>
      </c>
      <c r="G73" s="45" t="str">
        <f>IFERROR(IF(compras_mes4[[#This Row],[CUIT]]="","-",VLOOKUP(compras_mes4[[#This Row],[CUIT]],Lista_CUIT[#All],2,0)),"CUIT NO CARGADO")</f>
        <v>IALLONARDO SERGIO</v>
      </c>
      <c r="H73" s="46">
        <v>1121472</v>
      </c>
      <c r="I73" s="85"/>
      <c r="J73" s="85"/>
      <c r="K73" s="85">
        <f>compras_mes4[[#This Row],[NETO GRAVADO]]*10.5/100</f>
        <v>117754.56</v>
      </c>
      <c r="L73" s="85"/>
      <c r="M73" s="85"/>
      <c r="N73" s="85"/>
      <c r="O73" s="85"/>
      <c r="P73" s="48">
        <f>SUM(compras_mes4[[#This Row],[NETO GRAVADO]:[Otros / No Grav.]])</f>
        <v>1239226.56</v>
      </c>
      <c r="Q73" s="49" t="str">
        <f>IFERROR(IF(compras_mes4[[#This Row],[CUIT]]="","-",VLOOKUP(compras_mes4[[#This Row],[CUIT]],Lista_CUIT[#All],3,0)),"CUIT NO CARGADO")</f>
        <v>PROD ORTOP P/ALQ</v>
      </c>
      <c r="R73" s="49">
        <f>IFERROR(IF(compras_mes4[[#This Row],[CUIT]]="","-",VLOOKUP(compras_mes4[[#This Row],[CUIT]],Lista_CUIT[#All],4,0)),"CUIT NO CARGADO")</f>
        <v>0</v>
      </c>
    </row>
    <row r="74" spans="2:18">
      <c r="B74" s="40">
        <v>45404</v>
      </c>
      <c r="C74" s="41">
        <v>1</v>
      </c>
      <c r="D74" s="42">
        <v>2</v>
      </c>
      <c r="E74" s="43">
        <v>1104</v>
      </c>
      <c r="F74" s="44">
        <v>20168707534</v>
      </c>
      <c r="G74" s="45" t="str">
        <f>IFERROR(IF(compras_mes4[[#This Row],[CUIT]]="","-",VLOOKUP(compras_mes4[[#This Row],[CUIT]],Lista_CUIT[#All],2,0)),"CUIT NO CARGADO")</f>
        <v>GONZALEZ ALFREDO HUGO</v>
      </c>
      <c r="H74" s="46">
        <v>1600000</v>
      </c>
      <c r="I74" s="85">
        <f>IF(compras_mes4[[#This Row],[NETO GRAVADO]]="","",compras_mes4[[#This Row],[NETO GRAVADO]]*0.21)</f>
        <v>336000</v>
      </c>
      <c r="J74" s="85"/>
      <c r="K74" s="85"/>
      <c r="L74" s="85"/>
      <c r="M74" s="85"/>
      <c r="N74" s="85"/>
      <c r="O74" s="85"/>
      <c r="P74" s="48">
        <f>SUM(compras_mes4[[#This Row],[NETO GRAVADO]:[Otros / No Grav.]])</f>
        <v>1936000</v>
      </c>
      <c r="Q74" s="49" t="str">
        <f>IFERROR(IF(compras_mes4[[#This Row],[CUIT]]="","-",VLOOKUP(compras_mes4[[#This Row],[CUIT]],Lista_CUIT[#All],3,0)),"CUIT NO CARGADO")</f>
        <v>Productos Ortopedicos</v>
      </c>
      <c r="R74" s="49">
        <f>IFERROR(IF(compras_mes4[[#This Row],[CUIT]]="","-",VLOOKUP(compras_mes4[[#This Row],[CUIT]],Lista_CUIT[#All],4,0)),"CUIT NO CARGADO")</f>
        <v>0</v>
      </c>
    </row>
    <row r="75" spans="2:18">
      <c r="B75" s="40">
        <v>45385</v>
      </c>
      <c r="C75" s="41">
        <v>1</v>
      </c>
      <c r="D75" s="42">
        <v>1</v>
      </c>
      <c r="E75" s="43">
        <v>3043</v>
      </c>
      <c r="F75" s="44">
        <v>30715141201</v>
      </c>
      <c r="G75" s="45" t="str">
        <f>IFERROR(IF(compras_mes4[[#This Row],[CUIT]]="","-",VLOOKUP(compras_mes4[[#This Row],[CUIT]],Lista_CUIT[#All],2,0)),"CUIT NO CARGADO")</f>
        <v>REHAB S.R.L.</v>
      </c>
      <c r="H75" s="46">
        <v>4077039.6</v>
      </c>
      <c r="I75" s="85">
        <f>IF(compras_mes4[[#This Row],[NETO GRAVADO]]="","",compras_mes4[[#This Row],[NETO GRAVADO]]*0.21)</f>
        <v>856178.31599999999</v>
      </c>
      <c r="J75" s="85"/>
      <c r="K75" s="85"/>
      <c r="L75" s="85"/>
      <c r="M75" s="85"/>
      <c r="N75" s="85"/>
      <c r="O75" s="85"/>
      <c r="P75" s="48">
        <f>SUM(compras_mes4[[#This Row],[NETO GRAVADO]:[Otros / No Grav.]])</f>
        <v>4933217.9160000002</v>
      </c>
      <c r="Q75" s="49" t="str">
        <f>IFERROR(IF(compras_mes4[[#This Row],[CUIT]]="","-",VLOOKUP(compras_mes4[[#This Row],[CUIT]],Lista_CUIT[#All],3,0)),"CUIT NO CARGADO")</f>
        <v>Productos Ortopedicos</v>
      </c>
      <c r="R75" s="49">
        <f>IFERROR(IF(compras_mes4[[#This Row],[CUIT]]="","-",VLOOKUP(compras_mes4[[#This Row],[CUIT]],Lista_CUIT[#All],4,0)),"CUIT NO CARGADO")</f>
        <v>0</v>
      </c>
    </row>
    <row r="76" spans="2:18">
      <c r="B76" s="405">
        <v>45385</v>
      </c>
      <c r="C76" s="41">
        <v>1</v>
      </c>
      <c r="D76" s="406">
        <v>1</v>
      </c>
      <c r="E76" s="407">
        <v>3044</v>
      </c>
      <c r="F76" s="408">
        <v>30715141201</v>
      </c>
      <c r="G76" s="409" t="str">
        <f>IFERROR(IF(compras_mes4[[#This Row],[CUIT]]="","-",VLOOKUP(compras_mes4[[#This Row],[CUIT]],Lista_CUIT[#All],2,0)),"CUIT NO CARGADO")</f>
        <v>REHAB S.R.L.</v>
      </c>
      <c r="H76" s="410">
        <v>2980928.4</v>
      </c>
      <c r="I76" s="411">
        <f>IF(compras_mes4[[#This Row],[NETO GRAVADO]]="","",compras_mes4[[#This Row],[NETO GRAVADO]]*0.21)</f>
        <v>625994.96399999992</v>
      </c>
      <c r="J76" s="411"/>
      <c r="K76" s="411"/>
      <c r="L76" s="411"/>
      <c r="M76" s="411"/>
      <c r="N76" s="411"/>
      <c r="O76" s="411"/>
      <c r="P76" s="412">
        <f>SUM(compras_mes4[[#This Row],[NETO GRAVADO]:[Otros / No Grav.]])</f>
        <v>3606923.3640000001</v>
      </c>
      <c r="Q76" s="413" t="str">
        <f>IFERROR(IF(compras_mes4[[#This Row],[CUIT]]="","-",VLOOKUP(compras_mes4[[#This Row],[CUIT]],Lista_CUIT[#All],3,0)),"CUIT NO CARGADO")</f>
        <v>Productos Ortopedicos</v>
      </c>
      <c r="R76" s="413">
        <f>IFERROR(IF(compras_mes4[[#This Row],[CUIT]]="","-",VLOOKUP(compras_mes4[[#This Row],[CUIT]],Lista_CUIT[#All],4,0)),"CUIT NO CARGADO")</f>
        <v>0</v>
      </c>
    </row>
    <row r="77" spans="2:18">
      <c r="B77" s="40">
        <v>45385</v>
      </c>
      <c r="C77" s="41">
        <v>1</v>
      </c>
      <c r="D77" s="42">
        <v>1</v>
      </c>
      <c r="E77" s="43">
        <v>3041</v>
      </c>
      <c r="F77" s="44">
        <v>30715141201</v>
      </c>
      <c r="G77" s="45" t="str">
        <f>IFERROR(IF(compras_mes4[[#This Row],[CUIT]]="","-",VLOOKUP(compras_mes4[[#This Row],[CUIT]],Lista_CUIT[#All],2,0)),"CUIT NO CARGADO")</f>
        <v>REHAB S.R.L.</v>
      </c>
      <c r="H77" s="46">
        <v>1175472.6599999999</v>
      </c>
      <c r="I77" s="85">
        <f>IF(compras_mes4[[#This Row],[NETO GRAVADO]]="","",compras_mes4[[#This Row],[NETO GRAVADO]]*0.21)</f>
        <v>246849.25859999997</v>
      </c>
      <c r="J77" s="85"/>
      <c r="K77" s="85"/>
      <c r="L77" s="85"/>
      <c r="M77" s="85"/>
      <c r="N77" s="85"/>
      <c r="O77" s="85"/>
      <c r="P77" s="48">
        <f>SUM(compras_mes4[[#This Row],[NETO GRAVADO]:[Otros / No Grav.]])</f>
        <v>1422321.9186</v>
      </c>
      <c r="Q77" s="49" t="str">
        <f>IFERROR(IF(compras_mes4[[#This Row],[CUIT]]="","-",VLOOKUP(compras_mes4[[#This Row],[CUIT]],Lista_CUIT[#All],3,0)),"CUIT NO CARGADO")</f>
        <v>Productos Ortopedicos</v>
      </c>
      <c r="R77" s="49">
        <f>IFERROR(IF(compras_mes4[[#This Row],[CUIT]]="","-",VLOOKUP(compras_mes4[[#This Row],[CUIT]],Lista_CUIT[#All],4,0)),"CUIT NO CARGADO")</f>
        <v>0</v>
      </c>
    </row>
    <row r="78" spans="2:18">
      <c r="B78" s="40">
        <v>45385</v>
      </c>
      <c r="C78" s="41">
        <v>1</v>
      </c>
      <c r="D78" s="406">
        <v>1</v>
      </c>
      <c r="E78" s="43">
        <v>3035</v>
      </c>
      <c r="F78" s="44">
        <v>30715141201</v>
      </c>
      <c r="G78" s="45" t="str">
        <f>IFERROR(IF(compras_mes4[[#This Row],[CUIT]]="","-",VLOOKUP(compras_mes4[[#This Row],[CUIT]],Lista_CUIT[#All],2,0)),"CUIT NO CARGADO")</f>
        <v>REHAB S.R.L.</v>
      </c>
      <c r="H78" s="46">
        <v>251934.36</v>
      </c>
      <c r="I78" s="85">
        <f>IF(compras_mes4[[#This Row],[NETO GRAVADO]]="","",compras_mes4[[#This Row],[NETO GRAVADO]]*0.21)</f>
        <v>52906.215599999996</v>
      </c>
      <c r="J78" s="85"/>
      <c r="K78" s="85"/>
      <c r="L78" s="85"/>
      <c r="M78" s="85"/>
      <c r="N78" s="85"/>
      <c r="O78" s="85"/>
      <c r="P78" s="48">
        <f>SUM(compras_mes4[[#This Row],[NETO GRAVADO]:[Otros / No Grav.]])</f>
        <v>304840.57559999998</v>
      </c>
      <c r="Q78" s="49" t="str">
        <f>IFERROR(IF(compras_mes4[[#This Row],[CUIT]]="","-",VLOOKUP(compras_mes4[[#This Row],[CUIT]],Lista_CUIT[#All],3,0)),"CUIT NO CARGADO")</f>
        <v>Productos Ortopedicos</v>
      </c>
      <c r="R78" s="49">
        <f>IFERROR(IF(compras_mes4[[#This Row],[CUIT]]="","-",VLOOKUP(compras_mes4[[#This Row],[CUIT]],Lista_CUIT[#All],4,0)),"CUIT NO CARGADO")</f>
        <v>0</v>
      </c>
    </row>
    <row r="79" spans="2:18">
      <c r="B79" s="40">
        <v>45385</v>
      </c>
      <c r="C79" s="41">
        <v>1</v>
      </c>
      <c r="D79" s="406">
        <v>1</v>
      </c>
      <c r="E79" s="43">
        <v>3042</v>
      </c>
      <c r="F79" s="44">
        <v>30715141201</v>
      </c>
      <c r="G79" s="45" t="str">
        <f>IFERROR(IF(compras_mes4[[#This Row],[CUIT]]="","-",VLOOKUP(compras_mes4[[#This Row],[CUIT]],Lista_CUIT[#All],2,0)),"CUIT NO CARGADO")</f>
        <v>REHAB S.R.L.</v>
      </c>
      <c r="H79" s="46">
        <v>6630255.5999999996</v>
      </c>
      <c r="I79" s="85">
        <f>IF(compras_mes4[[#This Row],[NETO GRAVADO]]="","",compras_mes4[[#This Row],[NETO GRAVADO]]*0.21)</f>
        <v>1392353.676</v>
      </c>
      <c r="J79" s="85"/>
      <c r="K79" s="85"/>
      <c r="L79" s="85"/>
      <c r="M79" s="85"/>
      <c r="N79" s="85"/>
      <c r="O79" s="85"/>
      <c r="P79" s="48">
        <f>SUM(compras_mes4[[#This Row],[NETO GRAVADO]:[Otros / No Grav.]])</f>
        <v>8022609.2759999996</v>
      </c>
      <c r="Q79" s="49" t="str">
        <f>IFERROR(IF(compras_mes4[[#This Row],[CUIT]]="","-",VLOOKUP(compras_mes4[[#This Row],[CUIT]],Lista_CUIT[#All],3,0)),"CUIT NO CARGADO")</f>
        <v>Productos Ortopedicos</v>
      </c>
      <c r="R79" s="49">
        <f>IFERROR(IF(compras_mes4[[#This Row],[CUIT]]="","-",VLOOKUP(compras_mes4[[#This Row],[CUIT]],Lista_CUIT[#All],4,0)),"CUIT NO CARGADO")</f>
        <v>0</v>
      </c>
    </row>
    <row r="80" spans="2:18">
      <c r="B80" s="40">
        <v>45385</v>
      </c>
      <c r="C80" s="41">
        <v>1</v>
      </c>
      <c r="D80" s="42">
        <v>1</v>
      </c>
      <c r="E80" s="43">
        <v>3036</v>
      </c>
      <c r="F80" s="44">
        <v>30715141201</v>
      </c>
      <c r="G80" s="45" t="str">
        <f>IFERROR(IF(compras_mes4[[#This Row],[CUIT]]="","-",VLOOKUP(compras_mes4[[#This Row],[CUIT]],Lista_CUIT[#All],2,0)),"CUIT NO CARGADO")</f>
        <v>REHAB S.R.L.</v>
      </c>
      <c r="H80" s="46">
        <v>305593.12</v>
      </c>
      <c r="I80" s="85">
        <f>IF(compras_mes4[[#This Row],[NETO GRAVADO]]="","",compras_mes4[[#This Row],[NETO GRAVADO]]*0.21)</f>
        <v>64174.555199999995</v>
      </c>
      <c r="J80" s="85"/>
      <c r="K80" s="85"/>
      <c r="L80" s="85"/>
      <c r="M80" s="85"/>
      <c r="N80" s="85"/>
      <c r="O80" s="85"/>
      <c r="P80" s="48">
        <f>SUM(compras_mes4[[#This Row],[NETO GRAVADO]:[Otros / No Grav.]])</f>
        <v>369767.6752</v>
      </c>
      <c r="Q80" s="49" t="str">
        <f>IFERROR(IF(compras_mes4[[#This Row],[CUIT]]="","-",VLOOKUP(compras_mes4[[#This Row],[CUIT]],Lista_CUIT[#All],3,0)),"CUIT NO CARGADO")</f>
        <v>Productos Ortopedicos</v>
      </c>
      <c r="R80" s="49">
        <f>IFERROR(IF(compras_mes4[[#This Row],[CUIT]]="","-",VLOOKUP(compras_mes4[[#This Row],[CUIT]],Lista_CUIT[#All],4,0)),"CUIT NO CARGADO")</f>
        <v>0</v>
      </c>
    </row>
    <row r="81" spans="2:18">
      <c r="B81" s="40">
        <v>45386</v>
      </c>
      <c r="C81" s="41">
        <v>1</v>
      </c>
      <c r="D81" s="406">
        <v>1</v>
      </c>
      <c r="E81" s="43">
        <v>3050</v>
      </c>
      <c r="F81" s="44">
        <v>30715141201</v>
      </c>
      <c r="G81" s="45" t="str">
        <f>IFERROR(IF(compras_mes4[[#This Row],[CUIT]]="","-",VLOOKUP(compras_mes4[[#This Row],[CUIT]],Lista_CUIT[#All],2,0)),"CUIT NO CARGADO")</f>
        <v>REHAB S.R.L.</v>
      </c>
      <c r="H81" s="46">
        <v>438375</v>
      </c>
      <c r="I81" s="85">
        <f>IF(compras_mes4[[#This Row],[NETO GRAVADO]]="","",compras_mes4[[#This Row],[NETO GRAVADO]]*0.21)</f>
        <v>92058.75</v>
      </c>
      <c r="J81" s="85"/>
      <c r="K81" s="85"/>
      <c r="L81" s="85"/>
      <c r="M81" s="85"/>
      <c r="N81" s="85"/>
      <c r="O81" s="85"/>
      <c r="P81" s="48">
        <f>SUM(compras_mes4[[#This Row],[NETO GRAVADO]:[Otros / No Grav.]])</f>
        <v>530433.75</v>
      </c>
      <c r="Q81" s="49" t="str">
        <f>IFERROR(IF(compras_mes4[[#This Row],[CUIT]]="","-",VLOOKUP(compras_mes4[[#This Row],[CUIT]],Lista_CUIT[#All],3,0)),"CUIT NO CARGADO")</f>
        <v>Productos Ortopedicos</v>
      </c>
      <c r="R81" s="49">
        <f>IFERROR(IF(compras_mes4[[#This Row],[CUIT]]="","-",VLOOKUP(compras_mes4[[#This Row],[CUIT]],Lista_CUIT[#All],4,0)),"CUIT NO CARGADO")</f>
        <v>0</v>
      </c>
    </row>
    <row r="82" spans="2:18">
      <c r="B82" s="40">
        <v>45386</v>
      </c>
      <c r="C82" s="41">
        <v>1</v>
      </c>
      <c r="D82" s="42">
        <v>2</v>
      </c>
      <c r="E82" s="43">
        <v>429</v>
      </c>
      <c r="F82" s="44">
        <v>20272865869</v>
      </c>
      <c r="G82" s="45" t="str">
        <f>IFERROR(IF(compras_mes4[[#This Row],[CUIT]]="","-",VLOOKUP(compras_mes4[[#This Row],[CUIT]],Lista_CUIT[#All],2,0)),"CUIT NO CARGADO")</f>
        <v>DI FEO MARTIN EZEQUIEL</v>
      </c>
      <c r="H82" s="46">
        <v>268260</v>
      </c>
      <c r="I82" s="85">
        <f>IF(compras_mes4[[#This Row],[NETO GRAVADO]]="","",compras_mes4[[#This Row],[NETO GRAVADO]]*0.21)</f>
        <v>56334.6</v>
      </c>
      <c r="J82" s="85"/>
      <c r="K82" s="85"/>
      <c r="L82" s="85"/>
      <c r="M82" s="85"/>
      <c r="N82" s="85"/>
      <c r="O82" s="85"/>
      <c r="P82" s="48">
        <f>SUM(compras_mes4[[#This Row],[NETO GRAVADO]:[Otros / No Grav.]])</f>
        <v>324594.59999999998</v>
      </c>
      <c r="Q82" s="49" t="str">
        <f>IFERROR(IF(compras_mes4[[#This Row],[CUIT]]="","-",VLOOKUP(compras_mes4[[#This Row],[CUIT]],Lista_CUIT[#All],3,0)),"CUIT NO CARGADO")</f>
        <v>Productos Ortopedicos</v>
      </c>
      <c r="R82" s="49">
        <f>IFERROR(IF(compras_mes4[[#This Row],[CUIT]]="","-",VLOOKUP(compras_mes4[[#This Row],[CUIT]],Lista_CUIT[#All],4,0)),"CUIT NO CARGADO")</f>
        <v>0</v>
      </c>
    </row>
    <row r="83" spans="2:18" ht="14.45" customHeight="1">
      <c r="B83" s="40">
        <v>45387</v>
      </c>
      <c r="C83" s="41">
        <v>1</v>
      </c>
      <c r="D83" s="42">
        <v>8</v>
      </c>
      <c r="E83" s="43">
        <v>1612</v>
      </c>
      <c r="F83" s="44">
        <v>30708973501</v>
      </c>
      <c r="G83" s="45" t="str">
        <f>IFERROR(IF(compras_mes4[[#This Row],[CUIT]]="","-",VLOOKUP(compras_mes4[[#This Row],[CUIT]],Lista_CUIT[#All],2,0)),"CUIT NO CARGADO")</f>
        <v>ASIAL SRL</v>
      </c>
      <c r="H83" s="46">
        <v>359170</v>
      </c>
      <c r="I83" s="85">
        <f>IF(compras_mes4[[#This Row],[NETO GRAVADO]]="","",compras_mes4[[#This Row],[NETO GRAVADO]]*0.21)</f>
        <v>75425.7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434595.7</v>
      </c>
      <c r="Q83" s="49" t="str">
        <f>IFERROR(IF(compras_mes4[[#This Row],[CUIT]]="","-",VLOOKUP(compras_mes4[[#This Row],[CUIT]],Lista_CUIT[#All],3,0)),"CUIT NO CARGADO")</f>
        <v>Productos Ortopedicos</v>
      </c>
      <c r="R83" s="49">
        <f>IFERROR(IF(compras_mes4[[#This Row],[CUIT]]="","-",VLOOKUP(compras_mes4[[#This Row],[CUIT]],Lista_CUIT[#All],4,0)),"CUIT NO CARGADO")</f>
        <v>0</v>
      </c>
    </row>
    <row r="84" spans="2:18">
      <c r="B84" s="405">
        <v>45390</v>
      </c>
      <c r="C84" s="41">
        <v>1</v>
      </c>
      <c r="D84" s="406">
        <v>6</v>
      </c>
      <c r="E84" s="407">
        <v>52203</v>
      </c>
      <c r="F84" s="408">
        <v>30710177658</v>
      </c>
      <c r="G84" s="409" t="str">
        <f>IFERROR(IF(compras_mes4[[#This Row],[CUIT]]="","-",VLOOKUP(compras_mes4[[#This Row],[CUIT]],Lista_CUIT[#All],2,0)),"CUIT NO CARGADO")</f>
        <v>TARGET MEDICAL SA</v>
      </c>
      <c r="H84" s="410">
        <v>3381000</v>
      </c>
      <c r="I84" s="411">
        <f>IF(compras_mes4[[#This Row],[NETO GRAVADO]]="","",compras_mes4[[#This Row],[NETO GRAVADO]]*0.21)</f>
        <v>710010</v>
      </c>
      <c r="J84" s="411"/>
      <c r="K84" s="411"/>
      <c r="L84" s="411"/>
      <c r="M84" s="411"/>
      <c r="N84" s="411"/>
      <c r="O84" s="411">
        <v>138454.39999999999</v>
      </c>
      <c r="P84" s="412">
        <f>SUM(compras_mes4[[#This Row],[NETO GRAVADO]:[Otros / No Grav.]])</f>
        <v>4229464.4000000004</v>
      </c>
      <c r="Q84" s="413" t="str">
        <f>IFERROR(IF(compras_mes4[[#This Row],[CUIT]]="","-",VLOOKUP(compras_mes4[[#This Row],[CUIT]],Lista_CUIT[#All],3,0)),"CUIT NO CARGADO")</f>
        <v>Productos Ortopedicos</v>
      </c>
      <c r="R84" s="413">
        <f>IFERROR(IF(compras_mes4[[#This Row],[CUIT]]="","-",VLOOKUP(compras_mes4[[#This Row],[CUIT]],Lista_CUIT[#All],4,0)),"CUIT NO CARGADO")</f>
        <v>0</v>
      </c>
    </row>
    <row r="85" spans="2:18">
      <c r="B85" s="40">
        <v>45391</v>
      </c>
      <c r="C85" s="41">
        <v>1</v>
      </c>
      <c r="D85" s="42">
        <v>6</v>
      </c>
      <c r="E85" s="43">
        <v>61072</v>
      </c>
      <c r="F85" s="44">
        <v>30591633984</v>
      </c>
      <c r="G85" s="45" t="str">
        <f>IFERROR(IF(compras_mes4[[#This Row],[CUIT]]="","-",VLOOKUP(compras_mes4[[#This Row],[CUIT]],Lista_CUIT[#All],2,0)),"CUIT NO CARGADO")</f>
        <v>PANTYMED SA</v>
      </c>
      <c r="H85" s="46">
        <v>170221</v>
      </c>
      <c r="I85" s="85">
        <f>IF(compras_mes4[[#This Row],[NETO GRAVADO]]="","",compras_mes4[[#This Row],[NETO GRAVADO]]*0.21)</f>
        <v>35746.409999999996</v>
      </c>
      <c r="J85" s="85"/>
      <c r="K85" s="85"/>
      <c r="L85" s="85"/>
      <c r="M85" s="85"/>
      <c r="N85" s="85"/>
      <c r="O85" s="85"/>
      <c r="P85" s="48">
        <f>SUM(compras_mes4[[#This Row],[NETO GRAVADO]:[Otros / No Grav.]])</f>
        <v>205967.41</v>
      </c>
      <c r="Q85" s="49" t="str">
        <f>IFERROR(IF(compras_mes4[[#This Row],[CUIT]]="","-",VLOOKUP(compras_mes4[[#This Row],[CUIT]],Lista_CUIT[#All],3,0)),"CUIT NO CARGADO")</f>
        <v>Productos Ortopedicos</v>
      </c>
      <c r="R85" s="49">
        <f>IFERROR(IF(compras_mes4[[#This Row],[CUIT]]="","-",VLOOKUP(compras_mes4[[#This Row],[CUIT]],Lista_CUIT[#All],4,0)),"CUIT NO CARGADO")</f>
        <v>0</v>
      </c>
    </row>
    <row r="86" spans="2:18" ht="14.45" customHeight="1">
      <c r="B86" s="40">
        <v>45391</v>
      </c>
      <c r="C86" s="41">
        <v>1</v>
      </c>
      <c r="D86" s="42">
        <v>6</v>
      </c>
      <c r="E86" s="43">
        <v>52215</v>
      </c>
      <c r="F86" s="44">
        <v>30710177658</v>
      </c>
      <c r="G86" s="45" t="str">
        <f>IFERROR(IF(compras_mes4[[#This Row],[CUIT]]="","-",VLOOKUP(compras_mes4[[#This Row],[CUIT]],Lista_CUIT[#All],2,0)),"CUIT NO CARGADO")</f>
        <v>TARGET MEDICAL SA</v>
      </c>
      <c r="H86" s="46">
        <v>604032.18999999994</v>
      </c>
      <c r="I86" s="85">
        <f>IF(compras_mes4[[#This Row],[NETO GRAVADO]]="","",compras_mes4[[#This Row],[NETO GRAVADO]]*0.21)</f>
        <v>126846.75989999999</v>
      </c>
      <c r="J86" s="85"/>
      <c r="K86" s="85"/>
      <c r="L86" s="85"/>
      <c r="M86" s="85"/>
      <c r="N86" s="85"/>
      <c r="O86" s="85"/>
      <c r="P86" s="48">
        <f>SUM(compras_mes4[[#This Row],[NETO GRAVADO]:[Otros / No Grav.]])</f>
        <v>730878.94989999989</v>
      </c>
      <c r="Q86" s="49" t="str">
        <f>IFERROR(IF(compras_mes4[[#This Row],[CUIT]]="","-",VLOOKUP(compras_mes4[[#This Row],[CUIT]],Lista_CUIT[#All],3,0)),"CUIT NO CARGADO")</f>
        <v>Productos Ortopedicos</v>
      </c>
      <c r="R86" s="49">
        <f>IFERROR(IF(compras_mes4[[#This Row],[CUIT]]="","-",VLOOKUP(compras_mes4[[#This Row],[CUIT]],Lista_CUIT[#All],4,0)),"CUIT NO CARGADO")</f>
        <v>0</v>
      </c>
    </row>
    <row r="87" spans="2:18" ht="14.45" customHeight="1">
      <c r="B87" s="40">
        <v>45392</v>
      </c>
      <c r="C87" s="41">
        <v>1</v>
      </c>
      <c r="D87" s="42">
        <v>6</v>
      </c>
      <c r="E87" s="43">
        <v>81100</v>
      </c>
      <c r="F87" s="44">
        <v>30711553564</v>
      </c>
      <c r="G87" s="45" t="str">
        <f>IFERROR(IF(compras_mes4[[#This Row],[CUIT]]="","-",VLOOKUP(compras_mes4[[#This Row],[CUIT]],Lista_CUIT[#All],2,0)),"CUIT NO CARGADO")</f>
        <v>SALUD TEX S.A</v>
      </c>
      <c r="H87" s="46">
        <v>456950</v>
      </c>
      <c r="I87" s="85">
        <f>IF(compras_mes4[[#This Row],[NETO GRAVADO]]="","",compras_mes4[[#This Row],[NETO GRAVADO]]*0.21)</f>
        <v>95959.5</v>
      </c>
      <c r="J87" s="85"/>
      <c r="K87" s="85"/>
      <c r="L87" s="85"/>
      <c r="M87" s="85"/>
      <c r="N87" s="85"/>
      <c r="O87" s="85"/>
      <c r="P87" s="48">
        <f>SUM(compras_mes4[[#This Row],[NETO GRAVADO]:[Otros / No Grav.]])</f>
        <v>552909.5</v>
      </c>
      <c r="Q87" s="49" t="str">
        <f>IFERROR(IF(compras_mes4[[#This Row],[CUIT]]="","-",VLOOKUP(compras_mes4[[#This Row],[CUIT]],Lista_CUIT[#All],3,0)),"CUIT NO CARGADO")</f>
        <v>Productos Ortopedicos</v>
      </c>
      <c r="R87" s="49">
        <f>IFERROR(IF(compras_mes4[[#This Row],[CUIT]]="","-",VLOOKUP(compras_mes4[[#This Row],[CUIT]],Lista_CUIT[#All],4,0)),"CUIT NO CARGADO")</f>
        <v>0</v>
      </c>
    </row>
    <row r="88" spans="2:18" ht="15" customHeight="1">
      <c r="B88" s="40">
        <v>45392</v>
      </c>
      <c r="C88" s="41">
        <v>1</v>
      </c>
      <c r="D88" s="42">
        <v>4</v>
      </c>
      <c r="E88" s="43">
        <v>69106</v>
      </c>
      <c r="F88" s="44">
        <v>33709738459</v>
      </c>
      <c r="G88" s="45" t="str">
        <f>IFERROR(IF(compras_mes4[[#This Row],[CUIT]]="","-",VLOOKUP(compras_mes4[[#This Row],[CUIT]],Lista_CUIT[#All],2,0)),"CUIT NO CARGADO")</f>
        <v>ORTOPEDICOS ALFOLATEX S.A</v>
      </c>
      <c r="H88" s="46">
        <v>301192.78000000003</v>
      </c>
      <c r="I88" s="85">
        <f>IF(compras_mes4[[#This Row],[NETO GRAVADO]]="","",compras_mes4[[#This Row],[NETO GRAVADO]]*0.21)</f>
        <v>63250.483800000002</v>
      </c>
      <c r="J88" s="85"/>
      <c r="K88" s="85"/>
      <c r="L88" s="85"/>
      <c r="M88" s="85"/>
      <c r="N88" s="85"/>
      <c r="O88" s="85"/>
      <c r="P88" s="48">
        <f>SUM(compras_mes4[[#This Row],[NETO GRAVADO]:[Otros / No Grav.]])</f>
        <v>364443.26380000002</v>
      </c>
      <c r="Q88" s="49" t="str">
        <f>IFERROR(IF(compras_mes4[[#This Row],[CUIT]]="","-",VLOOKUP(compras_mes4[[#This Row],[CUIT]],Lista_CUIT[#All],3,0)),"CUIT NO CARGADO")</f>
        <v>Productos Ortopedicos</v>
      </c>
      <c r="R88" s="49">
        <f>IFERROR(IF(compras_mes4[[#This Row],[CUIT]]="","-",VLOOKUP(compras_mes4[[#This Row],[CUIT]],Lista_CUIT[#All],4,0)),"CUIT NO CARGADO")</f>
        <v>0</v>
      </c>
    </row>
    <row r="89" spans="2:18" ht="15" customHeight="1">
      <c r="B89" s="40">
        <v>45393</v>
      </c>
      <c r="C89" s="41">
        <v>1</v>
      </c>
      <c r="D89" s="42">
        <v>2</v>
      </c>
      <c r="E89" s="43">
        <v>442</v>
      </c>
      <c r="F89" s="44">
        <v>20272865869</v>
      </c>
      <c r="G89" s="45" t="str">
        <f>IFERROR(IF(compras_mes4[[#This Row],[CUIT]]="","-",VLOOKUP(compras_mes4[[#This Row],[CUIT]],Lista_CUIT[#All],2,0)),"CUIT NO CARGADO")</f>
        <v>DI FEO MARTIN EZEQUIEL</v>
      </c>
      <c r="H89" s="46">
        <v>95740</v>
      </c>
      <c r="I89" s="85">
        <f>IF(compras_mes4[[#This Row],[NETO GRAVADO]]="","",compras_mes4[[#This Row],[NETO GRAVADO]]*0.21)</f>
        <v>20105.399999999998</v>
      </c>
      <c r="J89" s="85"/>
      <c r="K89" s="85"/>
      <c r="L89" s="85"/>
      <c r="M89" s="85"/>
      <c r="N89" s="85"/>
      <c r="O89" s="85"/>
      <c r="P89" s="48">
        <f>SUM(compras_mes4[[#This Row],[NETO GRAVADO]:[Otros / No Grav.]])</f>
        <v>115845.4</v>
      </c>
      <c r="Q89" s="49" t="str">
        <f>IFERROR(IF(compras_mes4[[#This Row],[CUIT]]="","-",VLOOKUP(compras_mes4[[#This Row],[CUIT]],Lista_CUIT[#All],3,0)),"CUIT NO CARGADO")</f>
        <v>Productos Ortopedicos</v>
      </c>
      <c r="R89" s="49">
        <f>IFERROR(IF(compras_mes4[[#This Row],[CUIT]]="","-",VLOOKUP(compras_mes4[[#This Row],[CUIT]],Lista_CUIT[#All],4,0)),"CUIT NO CARGADO")</f>
        <v>0</v>
      </c>
    </row>
    <row r="90" spans="2:18" ht="15" customHeight="1">
      <c r="B90" s="40">
        <v>45393</v>
      </c>
      <c r="C90" s="41">
        <v>1</v>
      </c>
      <c r="D90" s="42">
        <v>1</v>
      </c>
      <c r="E90" s="43">
        <v>3088</v>
      </c>
      <c r="F90" s="44">
        <v>30715141201</v>
      </c>
      <c r="G90" s="45" t="str">
        <f>IFERROR(IF(compras_mes4[[#This Row],[CUIT]]="","-",VLOOKUP(compras_mes4[[#This Row],[CUIT]],Lista_CUIT[#All],2,0)),"CUIT NO CARGADO")</f>
        <v>REHAB S.R.L.</v>
      </c>
      <c r="H90" s="46">
        <v>7717491.9000000004</v>
      </c>
      <c r="I90" s="85">
        <f>IF(compras_mes4[[#This Row],[NETO GRAVADO]]="","",compras_mes4[[#This Row],[NETO GRAVADO]]*0.21)</f>
        <v>1620673.2990000001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9338165.199000001</v>
      </c>
      <c r="Q90" s="49" t="str">
        <f>IFERROR(IF(compras_mes4[[#This Row],[CUIT]]="","-",VLOOKUP(compras_mes4[[#This Row],[CUIT]],Lista_CUIT[#All],3,0)),"CUIT NO CARGADO")</f>
        <v>Productos Ortopedicos</v>
      </c>
      <c r="R90" s="49">
        <f>IFERROR(IF(compras_mes4[[#This Row],[CUIT]]="","-",VLOOKUP(compras_mes4[[#This Row],[CUIT]],Lista_CUIT[#All],4,0)),"CUIT NO CARGADO")</f>
        <v>0</v>
      </c>
    </row>
    <row r="91" spans="2:18" ht="15" customHeight="1">
      <c r="B91" s="40">
        <v>45393</v>
      </c>
      <c r="C91" s="41">
        <v>1</v>
      </c>
      <c r="D91" s="42">
        <v>1</v>
      </c>
      <c r="E91" s="43">
        <v>3089</v>
      </c>
      <c r="F91" s="44">
        <v>30715141201</v>
      </c>
      <c r="G91" s="45" t="str">
        <f>IFERROR(IF(compras_mes4[[#This Row],[CUIT]]="","-",VLOOKUP(compras_mes4[[#This Row],[CUIT]],Lista_CUIT[#All],2,0)),"CUIT NO CARGADO")</f>
        <v>REHAB S.R.L.</v>
      </c>
      <c r="H91" s="46">
        <v>273731.7</v>
      </c>
      <c r="I91" s="85">
        <f>IF(compras_mes4[[#This Row],[NETO GRAVADO]]="","",compras_mes4[[#This Row],[NETO GRAVADO]]*0.21)</f>
        <v>57483.656999999999</v>
      </c>
      <c r="J91" s="85"/>
      <c r="K91" s="85"/>
      <c r="L91" s="85"/>
      <c r="M91" s="85"/>
      <c r="N91" s="85"/>
      <c r="O91" s="85"/>
      <c r="P91" s="48">
        <f>SUM(compras_mes4[[#This Row],[NETO GRAVADO]:[Otros / No Grav.]])</f>
        <v>331215.35700000002</v>
      </c>
      <c r="Q91" s="49" t="str">
        <f>IFERROR(IF(compras_mes4[[#This Row],[CUIT]]="","-",VLOOKUP(compras_mes4[[#This Row],[CUIT]],Lista_CUIT[#All],3,0)),"CUIT NO CARGADO")</f>
        <v>Productos Ortopedicos</v>
      </c>
      <c r="R91" s="49">
        <f>IFERROR(IF(compras_mes4[[#This Row],[CUIT]]="","-",VLOOKUP(compras_mes4[[#This Row],[CUIT]],Lista_CUIT[#All],4,0)),"CUIT NO CARGADO")</f>
        <v>0</v>
      </c>
    </row>
    <row r="92" spans="2:18" ht="15" customHeight="1">
      <c r="B92" s="40">
        <v>45394</v>
      </c>
      <c r="C92" s="41">
        <v>1</v>
      </c>
      <c r="D92" s="42">
        <v>5</v>
      </c>
      <c r="E92" s="43">
        <v>1637</v>
      </c>
      <c r="F92" s="44">
        <v>30712187316</v>
      </c>
      <c r="G92" s="45" t="str">
        <f>IFERROR(IF(compras_mes4[[#This Row],[CUIT]]="","-",VLOOKUP(compras_mes4[[#This Row],[CUIT]],Lista_CUIT[#All],2,0)),"CUIT NO CARGADO")</f>
        <v>ITALOMED PRODUCTOS SRL</v>
      </c>
      <c r="H92" s="46">
        <v>4823417.5999999996</v>
      </c>
      <c r="I92" s="85">
        <f>IF(compras_mes4[[#This Row],[NETO GRAVADO]]="","",compras_mes4[[#This Row],[NETO GRAVADO]]*0.21)</f>
        <v>1012917.6959999999</v>
      </c>
      <c r="J92" s="85"/>
      <c r="K92" s="85"/>
      <c r="L92" s="85"/>
      <c r="M92" s="85"/>
      <c r="N92" s="85"/>
      <c r="O92" s="85"/>
      <c r="P92" s="48">
        <f>SUM(compras_mes4[[#This Row],[NETO GRAVADO]:[Otros / No Grav.]])</f>
        <v>5836335.2959999992</v>
      </c>
      <c r="Q92" s="49" t="str">
        <f>IFERROR(IF(compras_mes4[[#This Row],[CUIT]]="","-",VLOOKUP(compras_mes4[[#This Row],[CUIT]],Lista_CUIT[#All],3,0)),"CUIT NO CARGADO")</f>
        <v>Productos Ortopedicos</v>
      </c>
      <c r="R92" s="49">
        <f>IFERROR(IF(compras_mes4[[#This Row],[CUIT]]="","-",VLOOKUP(compras_mes4[[#This Row],[CUIT]],Lista_CUIT[#All],4,0)),"CUIT NO CARGADO")</f>
        <v>0</v>
      </c>
    </row>
    <row r="93" spans="2:18">
      <c r="B93" s="40">
        <v>45398</v>
      </c>
      <c r="C93" s="41">
        <v>1</v>
      </c>
      <c r="D93" s="42">
        <v>2</v>
      </c>
      <c r="E93" s="43">
        <v>24245</v>
      </c>
      <c r="F93" s="44">
        <v>23233422029</v>
      </c>
      <c r="G93" s="45" t="str">
        <f>IFERROR(IF(compras_mes4[[#This Row],[CUIT]]="","-",VLOOKUP(compras_mes4[[#This Row],[CUIT]],Lista_CUIT[#All],2,0)),"CUIT NO CARGADO")</f>
        <v>RODOLFO SCHULZE</v>
      </c>
      <c r="H93" s="46">
        <v>114574.05</v>
      </c>
      <c r="I93" s="85">
        <f>IF(compras_mes4[[#This Row],[NETO GRAVADO]]="","",compras_mes4[[#This Row],[NETO GRAVADO]]*0.21)</f>
        <v>24060.550500000001</v>
      </c>
      <c r="J93" s="85"/>
      <c r="K93" s="85"/>
      <c r="L93" s="85"/>
      <c r="M93" s="85"/>
      <c r="N93" s="85"/>
      <c r="O93" s="85"/>
      <c r="P93" s="48">
        <f>SUM(compras_mes4[[#This Row],[NETO GRAVADO]:[Otros / No Grav.]])</f>
        <v>138634.6005</v>
      </c>
      <c r="Q93" s="49" t="str">
        <f>IFERROR(IF(compras_mes4[[#This Row],[CUIT]]="","-",VLOOKUP(compras_mes4[[#This Row],[CUIT]],Lista_CUIT[#All],3,0)),"CUIT NO CARGADO")</f>
        <v>Productos Ortopedicos</v>
      </c>
      <c r="R93" s="49">
        <f>IFERROR(IF(compras_mes4[[#This Row],[CUIT]]="","-",VLOOKUP(compras_mes4[[#This Row],[CUIT]],Lista_CUIT[#All],4,0)),"CUIT NO CARGADO")</f>
        <v>0</v>
      </c>
    </row>
    <row r="94" spans="2:18">
      <c r="B94" s="40">
        <v>45398</v>
      </c>
      <c r="C94" s="41">
        <v>1</v>
      </c>
      <c r="D94" s="42">
        <v>2</v>
      </c>
      <c r="E94" s="43">
        <v>7563</v>
      </c>
      <c r="F94" s="44">
        <v>30694549817</v>
      </c>
      <c r="G94" s="45" t="str">
        <f>IFERROR(IF(compras_mes4[[#This Row],[CUIT]]="","-",VLOOKUP(compras_mes4[[#This Row],[CUIT]],Lista_CUIT[#All],2,0)),"CUIT NO CARGADO")</f>
        <v>DISEÑOS JERY SRL</v>
      </c>
      <c r="H94" s="46">
        <v>3144847.94</v>
      </c>
      <c r="I94" s="85">
        <f>IF(compras_mes4[[#This Row],[NETO GRAVADO]]="","",compras_mes4[[#This Row],[NETO GRAVADO]]*0.21)</f>
        <v>660418.06739999994</v>
      </c>
      <c r="J94" s="85"/>
      <c r="K94" s="85"/>
      <c r="L94" s="85"/>
      <c r="M94" s="85"/>
      <c r="N94" s="85"/>
      <c r="O94" s="85"/>
      <c r="P94" s="48">
        <f>SUM(compras_mes4[[#This Row],[NETO GRAVADO]:[Otros / No Grav.]])</f>
        <v>3805266.0074</v>
      </c>
      <c r="Q94" s="49" t="str">
        <f>IFERROR(IF(compras_mes4[[#This Row],[CUIT]]="","-",VLOOKUP(compras_mes4[[#This Row],[CUIT]],Lista_CUIT[#All],3,0)),"CUIT NO CARGADO")</f>
        <v>Productos Ortopedicos</v>
      </c>
      <c r="R94" s="49">
        <f>IFERROR(IF(compras_mes4[[#This Row],[CUIT]]="","-",VLOOKUP(compras_mes4[[#This Row],[CUIT]],Lista_CUIT[#All],4,0)),"CUIT NO CARGADO")</f>
        <v>0</v>
      </c>
    </row>
    <row r="95" spans="2:18">
      <c r="B95" s="40">
        <v>45399</v>
      </c>
      <c r="C95" s="41">
        <v>1</v>
      </c>
      <c r="D95" s="42">
        <v>6</v>
      </c>
      <c r="E95" s="43">
        <v>52313</v>
      </c>
      <c r="F95" s="44">
        <v>30710177658</v>
      </c>
      <c r="G95" s="45" t="str">
        <f>IFERROR(IF(compras_mes4[[#This Row],[CUIT]]="","-",VLOOKUP(compras_mes4[[#This Row],[CUIT]],Lista_CUIT[#All],2,0)),"CUIT NO CARGADO")</f>
        <v>TARGET MEDICAL SA</v>
      </c>
      <c r="H95" s="46">
        <v>62380</v>
      </c>
      <c r="I95" s="85">
        <f>IF(compras_mes4[[#This Row],[NETO GRAVADO]]="","",compras_mes4[[#This Row],[NETO GRAVADO]]*0.21)</f>
        <v>13099.8</v>
      </c>
      <c r="J95" s="85"/>
      <c r="K95" s="85"/>
      <c r="L95" s="85"/>
      <c r="M95" s="85"/>
      <c r="N95" s="85"/>
      <c r="O95" s="85"/>
      <c r="P95" s="48">
        <f>SUM(compras_mes4[[#This Row],[NETO GRAVADO]:[Otros / No Grav.]])</f>
        <v>75479.8</v>
      </c>
      <c r="Q95" s="49" t="str">
        <f>IFERROR(IF(compras_mes4[[#This Row],[CUIT]]="","-",VLOOKUP(compras_mes4[[#This Row],[CUIT]],Lista_CUIT[#All],3,0)),"CUIT NO CARGADO")</f>
        <v>Productos Ortopedicos</v>
      </c>
      <c r="R95" s="49">
        <f>IFERROR(IF(compras_mes4[[#This Row],[CUIT]]="","-",VLOOKUP(compras_mes4[[#This Row],[CUIT]],Lista_CUIT[#All],4,0)),"CUIT NO CARGADO")</f>
        <v>0</v>
      </c>
    </row>
    <row r="96" spans="2:18">
      <c r="B96" s="40">
        <v>45399</v>
      </c>
      <c r="C96" s="41">
        <v>1</v>
      </c>
      <c r="D96" s="42">
        <v>2</v>
      </c>
      <c r="E96" s="43">
        <v>859</v>
      </c>
      <c r="F96" s="44">
        <v>20140958213</v>
      </c>
      <c r="G96" s="45" t="str">
        <f>IFERROR(IF(compras_mes4[[#This Row],[CUIT]]="","-",VLOOKUP(compras_mes4[[#This Row],[CUIT]],Lista_CUIT[#All],2,0)),"CUIT NO CARGADO")</f>
        <v>ESPAÑA ALEJANDRO JORGE</v>
      </c>
      <c r="H96" s="46">
        <v>1644628.1</v>
      </c>
      <c r="I96" s="85">
        <f>IF(compras_mes4[[#This Row],[NETO GRAVADO]]="","",compras_mes4[[#This Row],[NETO GRAVADO]]*0.21)</f>
        <v>345371.90100000001</v>
      </c>
      <c r="J96" s="85"/>
      <c r="K96" s="85"/>
      <c r="L96" s="85"/>
      <c r="M96" s="85"/>
      <c r="N96" s="85"/>
      <c r="O96" s="85"/>
      <c r="P96" s="48">
        <f>SUM(compras_mes4[[#This Row],[NETO GRAVADO]:[Otros / No Grav.]])</f>
        <v>1990000.0010000002</v>
      </c>
      <c r="Q96" s="49" t="str">
        <f>IFERROR(IF(compras_mes4[[#This Row],[CUIT]]="","-",VLOOKUP(compras_mes4[[#This Row],[CUIT]],Lista_CUIT[#All],3,0)),"CUIT NO CARGADO")</f>
        <v>Productos Ortopedicos</v>
      </c>
      <c r="R96" s="49">
        <f>IFERROR(IF(compras_mes4[[#This Row],[CUIT]]="","-",VLOOKUP(compras_mes4[[#This Row],[CUIT]],Lista_CUIT[#All],4,0)),"CUIT NO CARGADO")</f>
        <v>0</v>
      </c>
    </row>
    <row r="97" spans="2:18">
      <c r="B97" s="40">
        <v>45399</v>
      </c>
      <c r="C97" s="41">
        <v>1</v>
      </c>
      <c r="D97" s="42">
        <v>5</v>
      </c>
      <c r="E97" s="43">
        <v>153291</v>
      </c>
      <c r="F97" s="44">
        <v>30598960093</v>
      </c>
      <c r="G97" s="45" t="str">
        <f>IFERROR(IF(compras_mes4[[#This Row],[CUIT]]="","-",VLOOKUP(compras_mes4[[#This Row],[CUIT]],Lista_CUIT[#All],2,0)),"CUIT NO CARGADO")</f>
        <v>SILVESTRIN FABRIS SRL</v>
      </c>
      <c r="H97" s="46">
        <v>1290261.75</v>
      </c>
      <c r="I97" s="85">
        <f>IF(compras_mes4[[#This Row],[NETO GRAVADO]]="","",compras_mes4[[#This Row],[NETO GRAVADO]]*0.21)</f>
        <v>270954.96749999997</v>
      </c>
      <c r="J97" s="85"/>
      <c r="K97" s="85"/>
      <c r="L97" s="85"/>
      <c r="M97" s="85"/>
      <c r="N97" s="85"/>
      <c r="O97" s="85">
        <v>51610.47</v>
      </c>
      <c r="P97" s="48">
        <f>SUM(compras_mes4[[#This Row],[NETO GRAVADO]:[Otros / No Grav.]])</f>
        <v>1612827.1875</v>
      </c>
      <c r="Q97" s="49" t="str">
        <f>IFERROR(IF(compras_mes4[[#This Row],[CUIT]]="","-",VLOOKUP(compras_mes4[[#This Row],[CUIT]],Lista_CUIT[#All],3,0)),"CUIT NO CARGADO")</f>
        <v>Productos Ortopedicos</v>
      </c>
      <c r="R97" s="49">
        <f>IFERROR(IF(compras_mes4[[#This Row],[CUIT]]="","-",VLOOKUP(compras_mes4[[#This Row],[CUIT]],Lista_CUIT[#All],4,0)),"CUIT NO CARGADO")</f>
        <v>0</v>
      </c>
    </row>
    <row r="98" spans="2:18">
      <c r="B98" s="40">
        <v>45400</v>
      </c>
      <c r="C98" s="41">
        <v>1</v>
      </c>
      <c r="D98" s="42">
        <v>2</v>
      </c>
      <c r="E98" s="43">
        <v>460</v>
      </c>
      <c r="F98" s="44">
        <v>20272865869</v>
      </c>
      <c r="G98" s="45" t="str">
        <f>IFERROR(IF(compras_mes4[[#This Row],[CUIT]]="","-",VLOOKUP(compras_mes4[[#This Row],[CUIT]],Lista_CUIT[#All],2,0)),"CUIT NO CARGADO")</f>
        <v>DI FEO MARTIN EZEQUIEL</v>
      </c>
      <c r="H98" s="46">
        <v>69750</v>
      </c>
      <c r="I98" s="85">
        <f>IF(compras_mes4[[#This Row],[NETO GRAVADO]]="","",compras_mes4[[#This Row],[NETO GRAVADO]]*0.21)</f>
        <v>14647.5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84397.5</v>
      </c>
      <c r="Q98" s="49" t="str">
        <f>IFERROR(IF(compras_mes4[[#This Row],[CUIT]]="","-",VLOOKUP(compras_mes4[[#This Row],[CUIT]],Lista_CUIT[#All],3,0)),"CUIT NO CARGADO")</f>
        <v>Productos Ortopedicos</v>
      </c>
      <c r="R98" s="49">
        <f>IFERROR(IF(compras_mes4[[#This Row],[CUIT]]="","-",VLOOKUP(compras_mes4[[#This Row],[CUIT]],Lista_CUIT[#All],4,0)),"CUIT NO CARGADO")</f>
        <v>0</v>
      </c>
    </row>
    <row r="99" spans="2:18" s="56" customFormat="1" ht="18.600000000000001" customHeight="1">
      <c r="B99" s="40">
        <v>45400</v>
      </c>
      <c r="C99" s="41">
        <v>1</v>
      </c>
      <c r="D99" s="42">
        <v>1</v>
      </c>
      <c r="E99" s="43">
        <v>3127</v>
      </c>
      <c r="F99" s="44">
        <v>30715141201</v>
      </c>
      <c r="G99" s="45" t="str">
        <f>IFERROR(IF(compras_mes4[[#This Row],[CUIT]]="","-",VLOOKUP(compras_mes4[[#This Row],[CUIT]],Lista_CUIT[#All],2,0)),"CUIT NO CARGADO")</f>
        <v>REHAB S.R.L.</v>
      </c>
      <c r="H99" s="46">
        <v>243846</v>
      </c>
      <c r="I99" s="85">
        <f>IF(compras_mes4[[#This Row],[NETO GRAVADO]]="","",compras_mes4[[#This Row],[NETO GRAVADO]]*0.21)</f>
        <v>51207.659999999996</v>
      </c>
      <c r="J99" s="85"/>
      <c r="K99" s="85"/>
      <c r="L99" s="85"/>
      <c r="M99" s="85"/>
      <c r="N99" s="85"/>
      <c r="O99" s="222"/>
      <c r="P99" s="48">
        <f>SUM(compras_mes4[[#This Row],[NETO GRAVADO]:[Otros / No Grav.]])</f>
        <v>295053.65999999997</v>
      </c>
      <c r="Q99" s="49" t="str">
        <f>IFERROR(IF(compras_mes4[[#This Row],[CUIT]]="","-",VLOOKUP(compras_mes4[[#This Row],[CUIT]],Lista_CUIT[#All],3,0)),"CUIT NO CARGADO")</f>
        <v>Productos Ortopedicos</v>
      </c>
      <c r="R99" s="49">
        <f>IFERROR(IF(compras_mes4[[#This Row],[CUIT]]="","-",VLOOKUP(compras_mes4[[#This Row],[CUIT]],Lista_CUIT[#All],4,0)),"CUIT NO CARGADO")</f>
        <v>0</v>
      </c>
    </row>
    <row r="100" spans="2:18">
      <c r="B100" s="40">
        <v>45401</v>
      </c>
      <c r="C100" s="41">
        <v>1</v>
      </c>
      <c r="D100" s="42">
        <v>1</v>
      </c>
      <c r="E100" s="43">
        <v>3145</v>
      </c>
      <c r="F100" s="44">
        <v>30715141201</v>
      </c>
      <c r="G100" s="45" t="str">
        <f>IFERROR(IF(compras_mes4[[#This Row],[CUIT]]="","-",VLOOKUP(compras_mes4[[#This Row],[CUIT]],Lista_CUIT[#All],2,0)),"CUIT NO CARGADO")</f>
        <v>REHAB S.R.L.</v>
      </c>
      <c r="H100" s="46">
        <v>115375</v>
      </c>
      <c r="I100" s="85">
        <f>IF(compras_mes4[[#This Row],[NETO GRAVADO]]="","",compras_mes4[[#This Row],[NETO GRAVADO]]*0.21)</f>
        <v>24228.75</v>
      </c>
      <c r="J100" s="85"/>
      <c r="K100" s="85"/>
      <c r="L100" s="85"/>
      <c r="M100" s="85"/>
      <c r="N100" s="85"/>
      <c r="O100" s="85"/>
      <c r="P100" s="48">
        <f>SUM(compras_mes4[[#This Row],[NETO GRAVADO]:[Otros / No Grav.]])</f>
        <v>139603.75</v>
      </c>
      <c r="Q100" s="49" t="str">
        <f>IFERROR(IF(compras_mes4[[#This Row],[CUIT]]="","-",VLOOKUP(compras_mes4[[#This Row],[CUIT]],Lista_CUIT[#All],3,0)),"CUIT NO CARGADO")</f>
        <v>Productos Ortopedicos</v>
      </c>
      <c r="R100" s="49">
        <f>IFERROR(IF(compras_mes4[[#This Row],[CUIT]]="","-",VLOOKUP(compras_mes4[[#This Row],[CUIT]],Lista_CUIT[#All],4,0)),"CUIT NO CARGADO")</f>
        <v>0</v>
      </c>
    </row>
    <row r="101" spans="2:18">
      <c r="B101" s="40">
        <v>45401</v>
      </c>
      <c r="C101" s="41">
        <v>1</v>
      </c>
      <c r="D101" s="42">
        <v>1</v>
      </c>
      <c r="E101" s="43">
        <v>3149</v>
      </c>
      <c r="F101" s="44">
        <v>30715141201</v>
      </c>
      <c r="G101" s="45" t="str">
        <f>IFERROR(IF(compras_mes4[[#This Row],[CUIT]]="","-",VLOOKUP(compras_mes4[[#This Row],[CUIT]],Lista_CUIT[#All],2,0)),"CUIT NO CARGADO")</f>
        <v>REHAB S.R.L.</v>
      </c>
      <c r="H101" s="46">
        <v>260708.21</v>
      </c>
      <c r="I101" s="85">
        <f>IF(compras_mes4[[#This Row],[NETO GRAVADO]]="","",compras_mes4[[#This Row],[NETO GRAVADO]]*0.21)</f>
        <v>54748.724099999999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315456.93410000001</v>
      </c>
      <c r="Q101" s="49" t="str">
        <f>IFERROR(IF(compras_mes4[[#This Row],[CUIT]]="","-",VLOOKUP(compras_mes4[[#This Row],[CUIT]],Lista_CUIT[#All],3,0)),"CUIT NO CARGADO")</f>
        <v>Productos Ortopedicos</v>
      </c>
      <c r="R101" s="49">
        <f>IFERROR(IF(compras_mes4[[#This Row],[CUIT]]="","-",VLOOKUP(compras_mes4[[#This Row],[CUIT]],Lista_CUIT[#All],4,0)),"CUIT NO CARGADO")</f>
        <v>0</v>
      </c>
    </row>
    <row r="102" spans="2:18">
      <c r="B102" s="40">
        <v>45404</v>
      </c>
      <c r="C102" s="41">
        <v>1</v>
      </c>
      <c r="D102" s="42">
        <v>4</v>
      </c>
      <c r="E102" s="43">
        <v>2364</v>
      </c>
      <c r="F102" s="44">
        <v>30715668994</v>
      </c>
      <c r="G102" s="45" t="str">
        <f>IFERROR(IF(compras_mes4[[#This Row],[CUIT]]="","-",VLOOKUP(compras_mes4[[#This Row],[CUIT]],Lista_CUIT[#All],2,0)),"CUIT NO CARGADO")</f>
        <v>SS METAL MECANICA SRL</v>
      </c>
      <c r="H102" s="46">
        <v>12244964.880000001</v>
      </c>
      <c r="I102" s="85"/>
      <c r="J102" s="85"/>
      <c r="K102" s="85">
        <f>compras_mes4[[#This Row],[NETO GRAVADO]]*10.5/100</f>
        <v>1285721.3124000002</v>
      </c>
      <c r="L102" s="85"/>
      <c r="M102" s="85"/>
      <c r="N102" s="85"/>
      <c r="O102" s="85"/>
      <c r="P102" s="48">
        <f>SUM(compras_mes4[[#This Row],[NETO GRAVADO]:[Otros / No Grav.]])</f>
        <v>13530686.192400001</v>
      </c>
      <c r="Q102" s="49" t="str">
        <f>IFERROR(IF(compras_mes4[[#This Row],[CUIT]]="","-",VLOOKUP(compras_mes4[[#This Row],[CUIT]],Lista_CUIT[#All],3,0)),"CUIT NO CARGADO")</f>
        <v>Productos Ortopedicos</v>
      </c>
      <c r="R102" s="49">
        <f>IFERROR(IF(compras_mes4[[#This Row],[CUIT]]="","-",VLOOKUP(compras_mes4[[#This Row],[CUIT]],Lista_CUIT[#All],4,0)),"CUIT NO CARGADO")</f>
        <v>0</v>
      </c>
    </row>
    <row r="103" spans="2:18">
      <c r="B103" s="40">
        <v>45405</v>
      </c>
      <c r="C103" s="41">
        <v>1</v>
      </c>
      <c r="D103" s="42">
        <v>40</v>
      </c>
      <c r="E103" s="43">
        <v>1235</v>
      </c>
      <c r="F103" s="44">
        <v>30711091552</v>
      </c>
      <c r="G103" s="45" t="str">
        <f>IFERROR(IF(compras_mes4[[#This Row],[CUIT]]="","-",VLOOKUP(compras_mes4[[#This Row],[CUIT]],Lista_CUIT[#All],2,0)),"CUIT NO CARGADO")</f>
        <v>BIGBOX S.A.</v>
      </c>
      <c r="H103" s="46">
        <v>53719.01</v>
      </c>
      <c r="I103" s="85">
        <f>IF(compras_mes4[[#This Row],[NETO GRAVADO]]="","",compras_mes4[[#This Row],[NETO GRAVADO]]*0.21)</f>
        <v>11280.992099999999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65000.002099999998</v>
      </c>
      <c r="Q103" s="49" t="str">
        <f>IFERROR(IF(compras_mes4[[#This Row],[CUIT]]="","-",VLOOKUP(compras_mes4[[#This Row],[CUIT]],Lista_CUIT[#All],3,0)),"CUIT NO CARGADO")</f>
        <v>Productos Ortopedicos</v>
      </c>
      <c r="R103" s="49">
        <f>IFERROR(IF(compras_mes4[[#This Row],[CUIT]]="","-",VLOOKUP(compras_mes4[[#This Row],[CUIT]],Lista_CUIT[#All],4,0)),"CUIT NO CARGADO")</f>
        <v>0</v>
      </c>
    </row>
    <row r="104" spans="2:18">
      <c r="B104" s="40">
        <v>45406</v>
      </c>
      <c r="C104" s="41">
        <v>1</v>
      </c>
      <c r="D104" s="42">
        <v>2</v>
      </c>
      <c r="E104" s="43">
        <v>9786</v>
      </c>
      <c r="F104" s="44">
        <v>30714331082</v>
      </c>
      <c r="G104" s="45" t="str">
        <f>IFERROR(IF(compras_mes4[[#This Row],[CUIT]]="","-",VLOOKUP(compras_mes4[[#This Row],[CUIT]],Lista_CUIT[#All],2,0)),"CUIT NO CARGADO")</f>
        <v>ORTOPEDIA CASA ESCALADA SRL</v>
      </c>
      <c r="H104" s="46">
        <v>1501054.02</v>
      </c>
      <c r="I104" s="85">
        <f>IF(compras_mes4[[#This Row],[NETO GRAVADO]]="","",compras_mes4[[#This Row],[NETO GRAVADO]]*0.21)</f>
        <v>315221.34419999999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1816275.3642</v>
      </c>
      <c r="Q104" s="49" t="str">
        <f>IFERROR(IF(compras_mes4[[#This Row],[CUIT]]="","-",VLOOKUP(compras_mes4[[#This Row],[CUIT]],Lista_CUIT[#All],3,0)),"CUIT NO CARGADO")</f>
        <v>Productos Ortopedicos</v>
      </c>
      <c r="R104" s="49">
        <f>IFERROR(IF(compras_mes4[[#This Row],[CUIT]]="","-",VLOOKUP(compras_mes4[[#This Row],[CUIT]],Lista_CUIT[#All],4,0)),"CUIT NO CARGADO")</f>
        <v>0</v>
      </c>
    </row>
    <row r="105" spans="2:18">
      <c r="B105" s="40">
        <v>45407</v>
      </c>
      <c r="C105" s="41">
        <v>1</v>
      </c>
      <c r="D105" s="42">
        <v>1</v>
      </c>
      <c r="E105" s="43">
        <v>3186</v>
      </c>
      <c r="F105" s="44">
        <v>30715141201</v>
      </c>
      <c r="G105" s="45" t="str">
        <f>IFERROR(IF(compras_mes4[[#This Row],[CUIT]]="","-",VLOOKUP(compras_mes4[[#This Row],[CUIT]],Lista_CUIT[#All],2,0)),"CUIT NO CARGADO")</f>
        <v>REHAB S.R.L.</v>
      </c>
      <c r="H105" s="46">
        <v>2521472.33</v>
      </c>
      <c r="I105" s="85">
        <f>IF(compras_mes4[[#This Row],[NETO GRAVADO]]="","",compras_mes4[[#This Row],[NETO GRAVADO]]*0.21)</f>
        <v>529509.18929999997</v>
      </c>
      <c r="J105" s="85"/>
      <c r="K105" s="85"/>
      <c r="L105" s="85"/>
      <c r="M105" s="85"/>
      <c r="N105" s="85"/>
      <c r="O105" s="85"/>
      <c r="P105" s="48">
        <f>SUM(compras_mes4[[#This Row],[NETO GRAVADO]:[Otros / No Grav.]])</f>
        <v>3050981.5192999998</v>
      </c>
      <c r="Q105" s="49" t="str">
        <f>IFERROR(IF(compras_mes4[[#This Row],[CUIT]]="","-",VLOOKUP(compras_mes4[[#This Row],[CUIT]],Lista_CUIT[#All],3,0)),"CUIT NO CARGADO")</f>
        <v>Productos Ortopedicos</v>
      </c>
      <c r="R105" s="49">
        <f>IFERROR(IF(compras_mes4[[#This Row],[CUIT]]="","-",VLOOKUP(compras_mes4[[#This Row],[CUIT]],Lista_CUIT[#All],4,0)),"CUIT NO CARGADO")</f>
        <v>0</v>
      </c>
    </row>
    <row r="106" spans="2:18">
      <c r="B106" s="40">
        <v>45407</v>
      </c>
      <c r="C106" s="41">
        <v>1</v>
      </c>
      <c r="D106" s="42">
        <v>1</v>
      </c>
      <c r="E106" s="43">
        <v>3187</v>
      </c>
      <c r="F106" s="44">
        <v>30715141201</v>
      </c>
      <c r="G106" s="45" t="str">
        <f>IFERROR(IF(compras_mes4[[#This Row],[CUIT]]="","-",VLOOKUP(compras_mes4[[#This Row],[CUIT]],Lista_CUIT[#All],2,0)),"CUIT NO CARGADO")</f>
        <v>REHAB S.R.L.</v>
      </c>
      <c r="H106" s="46">
        <v>782324.26</v>
      </c>
      <c r="I106" s="85">
        <f>IF(compras_mes4[[#This Row],[NETO GRAVADO]]="","",compras_mes4[[#This Row],[NETO GRAVADO]]*0.21)</f>
        <v>164288.09459999998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946612.35459999996</v>
      </c>
      <c r="Q106" s="49" t="str">
        <f>IFERROR(IF(compras_mes4[[#This Row],[CUIT]]="","-",VLOOKUP(compras_mes4[[#This Row],[CUIT]],Lista_CUIT[#All],3,0)),"CUIT NO CARGADO")</f>
        <v>Productos Ortopedicos</v>
      </c>
      <c r="R106" s="49">
        <f>IFERROR(IF(compras_mes4[[#This Row],[CUIT]]="","-",VLOOKUP(compras_mes4[[#This Row],[CUIT]],Lista_CUIT[#All],4,0)),"CUIT NO CARGADO")</f>
        <v>0</v>
      </c>
    </row>
    <row r="107" spans="2:18">
      <c r="B107" s="40">
        <v>45407</v>
      </c>
      <c r="C107" s="41">
        <v>1</v>
      </c>
      <c r="D107" s="42">
        <v>2</v>
      </c>
      <c r="E107" s="43">
        <v>474</v>
      </c>
      <c r="F107" s="44">
        <v>20272865869</v>
      </c>
      <c r="G107" s="45" t="str">
        <f>IFERROR(IF(compras_mes4[[#This Row],[CUIT]]="","-",VLOOKUP(compras_mes4[[#This Row],[CUIT]],Lista_CUIT[#All],2,0)),"CUIT NO CARGADO")</f>
        <v>DI FEO MARTIN EZEQUIEL</v>
      </c>
      <c r="H107" s="46">
        <v>129310</v>
      </c>
      <c r="I107" s="85">
        <f>IF(compras_mes4[[#This Row],[NETO GRAVADO]]="","",compras_mes4[[#This Row],[NETO GRAVADO]]*0.21)</f>
        <v>27155.1</v>
      </c>
      <c r="J107" s="85"/>
      <c r="K107" s="85"/>
      <c r="L107" s="85"/>
      <c r="M107" s="85"/>
      <c r="N107" s="85"/>
      <c r="O107" s="85"/>
      <c r="P107" s="48">
        <f>SUM(compras_mes4[[#This Row],[NETO GRAVADO]:[Otros / No Grav.]])</f>
        <v>156465.1</v>
      </c>
      <c r="Q107" s="49" t="str">
        <f>IFERROR(IF(compras_mes4[[#This Row],[CUIT]]="","-",VLOOKUP(compras_mes4[[#This Row],[CUIT]],Lista_CUIT[#All],3,0)),"CUIT NO CARGADO")</f>
        <v>Productos Ortopedicos</v>
      </c>
      <c r="R107" s="49">
        <f>IFERROR(IF(compras_mes4[[#This Row],[CUIT]]="","-",VLOOKUP(compras_mes4[[#This Row],[CUIT]],Lista_CUIT[#All],4,0)),"CUIT NO CARGADO")</f>
        <v>0</v>
      </c>
    </row>
    <row r="108" spans="2:18">
      <c r="B108" s="40">
        <v>45408</v>
      </c>
      <c r="C108" s="41">
        <v>1</v>
      </c>
      <c r="D108" s="42">
        <v>1</v>
      </c>
      <c r="E108" s="43">
        <v>3205</v>
      </c>
      <c r="F108" s="44">
        <v>30715141201</v>
      </c>
      <c r="G108" s="45" t="str">
        <f>IFERROR(IF(compras_mes4[[#This Row],[CUIT]]="","-",VLOOKUP(compras_mes4[[#This Row],[CUIT]],Lista_CUIT[#All],2,0)),"CUIT NO CARGADO")</f>
        <v>REHAB S.R.L.</v>
      </c>
      <c r="H108" s="46">
        <v>143835</v>
      </c>
      <c r="I108" s="85">
        <f>IF(compras_mes4[[#This Row],[NETO GRAVADO]]="","",compras_mes4[[#This Row],[NETO GRAVADO]]*0.21)</f>
        <v>30205.35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174040.35</v>
      </c>
      <c r="Q108" s="49" t="str">
        <f>IFERROR(IF(compras_mes4[[#This Row],[CUIT]]="","-",VLOOKUP(compras_mes4[[#This Row],[CUIT]],Lista_CUIT[#All],3,0)),"CUIT NO CARGADO")</f>
        <v>Productos Ortopedicos</v>
      </c>
      <c r="R108" s="49">
        <f>IFERROR(IF(compras_mes4[[#This Row],[CUIT]]="","-",VLOOKUP(compras_mes4[[#This Row],[CUIT]],Lista_CUIT[#All],4,0)),"CUIT NO CARGADO")</f>
        <v>0</v>
      </c>
    </row>
    <row r="109" spans="2:18">
      <c r="B109" s="40">
        <v>45408</v>
      </c>
      <c r="C109" s="41">
        <v>1</v>
      </c>
      <c r="D109" s="42">
        <v>1</v>
      </c>
      <c r="E109" s="43">
        <v>3202</v>
      </c>
      <c r="F109" s="44">
        <v>30715141201</v>
      </c>
      <c r="G109" s="45" t="str">
        <f>IFERROR(IF(compras_mes4[[#This Row],[CUIT]]="","-",VLOOKUP(compras_mes4[[#This Row],[CUIT]],Lista_CUIT[#All],2,0)),"CUIT NO CARGADO")</f>
        <v>REHAB S.R.L.</v>
      </c>
      <c r="H109" s="46">
        <v>968912.7</v>
      </c>
      <c r="I109" s="85">
        <f>IF(compras_mes4[[#This Row],[NETO GRAVADO]]="","",compras_mes4[[#This Row],[NETO GRAVADO]]*0.21)</f>
        <v>203471.66699999999</v>
      </c>
      <c r="J109" s="85"/>
      <c r="K109" s="85"/>
      <c r="L109" s="85"/>
      <c r="M109" s="85"/>
      <c r="N109" s="85"/>
      <c r="O109" s="85"/>
      <c r="P109" s="48">
        <f>SUM(compras_mes4[[#This Row],[NETO GRAVADO]:[Otros / No Grav.]])</f>
        <v>1172384.3669999999</v>
      </c>
      <c r="Q109" s="49" t="str">
        <f>IFERROR(IF(compras_mes4[[#This Row],[CUIT]]="","-",VLOOKUP(compras_mes4[[#This Row],[CUIT]],Lista_CUIT[#All],3,0)),"CUIT NO CARGADO")</f>
        <v>Productos Ortopedicos</v>
      </c>
      <c r="R109" s="49">
        <f>IFERROR(IF(compras_mes4[[#This Row],[CUIT]]="","-",VLOOKUP(compras_mes4[[#This Row],[CUIT]],Lista_CUIT[#All],4,0)),"CUIT NO CARGADO")</f>
        <v>0</v>
      </c>
    </row>
    <row r="110" spans="2:18">
      <c r="B110" s="40">
        <v>45408</v>
      </c>
      <c r="C110" s="41">
        <v>1</v>
      </c>
      <c r="D110" s="42">
        <v>1</v>
      </c>
      <c r="E110" s="43">
        <v>3203</v>
      </c>
      <c r="F110" s="44">
        <v>30715141201</v>
      </c>
      <c r="G110" s="45" t="str">
        <f>IFERROR(IF(compras_mes4[[#This Row],[CUIT]]="","-",VLOOKUP(compras_mes4[[#This Row],[CUIT]],Lista_CUIT[#All],2,0)),"CUIT NO CARGADO")</f>
        <v>REHAB S.R.L.</v>
      </c>
      <c r="H110" s="46">
        <v>628117.51</v>
      </c>
      <c r="I110" s="85">
        <f>IF(compras_mes4[[#This Row],[NETO GRAVADO]]="","",compras_mes4[[#This Row],[NETO GRAVADO]]*0.21)</f>
        <v>131904.6771</v>
      </c>
      <c r="J110" s="85"/>
      <c r="K110" s="85"/>
      <c r="L110" s="85"/>
      <c r="M110" s="85"/>
      <c r="N110" s="85"/>
      <c r="O110" s="85"/>
      <c r="P110" s="48">
        <f>SUM(compras_mes4[[#This Row],[NETO GRAVADO]:[Otros / No Grav.]])</f>
        <v>760022.18709999998</v>
      </c>
      <c r="Q110" s="49" t="str">
        <f>IFERROR(IF(compras_mes4[[#This Row],[CUIT]]="","-",VLOOKUP(compras_mes4[[#This Row],[CUIT]],Lista_CUIT[#All],3,0)),"CUIT NO CARGADO")</f>
        <v>Productos Ortopedicos</v>
      </c>
      <c r="R110" s="49">
        <f>IFERROR(IF(compras_mes4[[#This Row],[CUIT]]="","-",VLOOKUP(compras_mes4[[#This Row],[CUIT]],Lista_CUIT[#All],4,0)),"CUIT NO CARGADO")</f>
        <v>0</v>
      </c>
    </row>
    <row r="111" spans="2:18">
      <c r="B111" s="40">
        <v>45411</v>
      </c>
      <c r="C111" s="41">
        <v>1</v>
      </c>
      <c r="D111" s="42">
        <v>1</v>
      </c>
      <c r="E111" s="43">
        <v>3215</v>
      </c>
      <c r="F111" s="44">
        <v>30715141201</v>
      </c>
      <c r="G111" s="45" t="str">
        <f>IFERROR(IF(compras_mes4[[#This Row],[CUIT]]="","-",VLOOKUP(compras_mes4[[#This Row],[CUIT]],Lista_CUIT[#All],2,0)),"CUIT NO CARGADO")</f>
        <v>REHAB S.R.L.</v>
      </c>
      <c r="H111" s="46">
        <v>6468494.0999999996</v>
      </c>
      <c r="I111" s="85">
        <f>IF(compras_mes4[[#This Row],[NETO GRAVADO]]="","",compras_mes4[[#This Row],[NETO GRAVADO]]*0.21)</f>
        <v>1358383.7609999999</v>
      </c>
      <c r="J111" s="85"/>
      <c r="K111" s="85"/>
      <c r="L111" s="85"/>
      <c r="M111" s="85"/>
      <c r="N111" s="85"/>
      <c r="O111" s="85"/>
      <c r="P111" s="48">
        <f>SUM(compras_mes4[[#This Row],[NETO GRAVADO]:[Otros / No Grav.]])</f>
        <v>7826877.8609999996</v>
      </c>
      <c r="Q111" s="49" t="str">
        <f>IFERROR(IF(compras_mes4[[#This Row],[CUIT]]="","-",VLOOKUP(compras_mes4[[#This Row],[CUIT]],Lista_CUIT[#All],3,0)),"CUIT NO CARGADO")</f>
        <v>Productos Ortopedicos</v>
      </c>
      <c r="R111" s="49">
        <f>IFERROR(IF(compras_mes4[[#This Row],[CUIT]]="","-",VLOOKUP(compras_mes4[[#This Row],[CUIT]],Lista_CUIT[#All],4,0)),"CUIT NO CARGADO")</f>
        <v>0</v>
      </c>
    </row>
    <row r="112" spans="2:18">
      <c r="B112" s="40">
        <v>45411</v>
      </c>
      <c r="C112" s="41">
        <v>1</v>
      </c>
      <c r="D112" s="42">
        <v>1</v>
      </c>
      <c r="E112" s="43">
        <v>396</v>
      </c>
      <c r="F112" s="44">
        <v>30717874133</v>
      </c>
      <c r="G112" s="45" t="str">
        <f>IFERROR(IF(compras_mes4[[#This Row],[CUIT]]="","-",VLOOKUP(compras_mes4[[#This Row],[CUIT]],Lista_CUIT[#All],2,0)),"CUIT NO CARGADO")</f>
        <v>GRUPO ORTOPEDIA MODELO 5028</v>
      </c>
      <c r="H112" s="46">
        <v>64876.05</v>
      </c>
      <c r="I112" s="85">
        <f>IF(compras_mes4[[#This Row],[NETO GRAVADO]]="","",compras_mes4[[#This Row],[NETO GRAVADO]]*0.21)</f>
        <v>13623.970499999999</v>
      </c>
      <c r="J112" s="85"/>
      <c r="K112" s="85"/>
      <c r="L112" s="85"/>
      <c r="M112" s="85"/>
      <c r="N112" s="85"/>
      <c r="O112" s="85"/>
      <c r="P112" s="48">
        <f>SUM(compras_mes4[[#This Row],[NETO GRAVADO]:[Otros / No Grav.]])</f>
        <v>78500.020499999999</v>
      </c>
      <c r="Q112" s="49" t="str">
        <f>IFERROR(IF(compras_mes4[[#This Row],[CUIT]]="","-",VLOOKUP(compras_mes4[[#This Row],[CUIT]],Lista_CUIT[#All],3,0)),"CUIT NO CARGADO")</f>
        <v>Productos Ortopedicos</v>
      </c>
      <c r="R112" s="49">
        <f>IFERROR(IF(compras_mes4[[#This Row],[CUIT]]="","-",VLOOKUP(compras_mes4[[#This Row],[CUIT]],Lista_CUIT[#All],4,0)),"CUIT NO CARGADO")</f>
        <v>0</v>
      </c>
    </row>
    <row r="113" spans="2:18">
      <c r="B113" s="40">
        <v>45412</v>
      </c>
      <c r="C113" s="41">
        <v>1</v>
      </c>
      <c r="D113" s="42">
        <v>1</v>
      </c>
      <c r="E113" s="43">
        <v>3228</v>
      </c>
      <c r="F113" s="44">
        <v>30715141201</v>
      </c>
      <c r="G113" s="45" t="str">
        <f>IFERROR(IF(compras_mes4[[#This Row],[CUIT]]="","-",VLOOKUP(compras_mes4[[#This Row],[CUIT]],Lista_CUIT[#All],2,0)),"CUIT NO CARGADO")</f>
        <v>REHAB S.R.L.</v>
      </c>
      <c r="H113" s="46">
        <v>194274.38</v>
      </c>
      <c r="I113" s="85">
        <f>IF(compras_mes4[[#This Row],[NETO GRAVADO]]="","",compras_mes4[[#This Row],[NETO GRAVADO]]*0.21)</f>
        <v>40797.6198</v>
      </c>
      <c r="J113" s="85"/>
      <c r="K113" s="85"/>
      <c r="L113" s="85"/>
      <c r="M113" s="85"/>
      <c r="N113" s="85"/>
      <c r="O113" s="85"/>
      <c r="P113" s="48">
        <f>SUM(compras_mes4[[#This Row],[NETO GRAVADO]:[Otros / No Grav.]])</f>
        <v>235071.99979999999</v>
      </c>
      <c r="Q113" s="49" t="str">
        <f>IFERROR(IF(compras_mes4[[#This Row],[CUIT]]="","-",VLOOKUP(compras_mes4[[#This Row],[CUIT]],Lista_CUIT[#All],3,0)),"CUIT NO CARGADO")</f>
        <v>Productos Ortopedicos</v>
      </c>
      <c r="R113" s="49">
        <f>IFERROR(IF(compras_mes4[[#This Row],[CUIT]]="","-",VLOOKUP(compras_mes4[[#This Row],[CUIT]],Lista_CUIT[#All],4,0)),"CUIT NO CARGADO")</f>
        <v>0</v>
      </c>
    </row>
    <row r="114" spans="2:18">
      <c r="B114" s="40">
        <v>45412</v>
      </c>
      <c r="C114" s="41">
        <v>1</v>
      </c>
      <c r="D114" s="42">
        <v>1</v>
      </c>
      <c r="E114" s="43">
        <v>3223</v>
      </c>
      <c r="F114" s="44">
        <v>30715141201</v>
      </c>
      <c r="G114" s="45" t="str">
        <f>IFERROR(IF(compras_mes4[[#This Row],[CUIT]]="","-",VLOOKUP(compras_mes4[[#This Row],[CUIT]],Lista_CUIT[#All],2,0)),"CUIT NO CARGADO")</f>
        <v>REHAB S.R.L.</v>
      </c>
      <c r="H114" s="46">
        <v>7615619.7699999996</v>
      </c>
      <c r="I114" s="85">
        <f>IF(compras_mes4[[#This Row],[NETO GRAVADO]]="","",compras_mes4[[#This Row],[NETO GRAVADO]]*0.21)</f>
        <v>1599280.1516999998</v>
      </c>
      <c r="J114" s="85"/>
      <c r="K114" s="85"/>
      <c r="L114" s="85"/>
      <c r="M114" s="85"/>
      <c r="N114" s="85"/>
      <c r="O114" s="85"/>
      <c r="P114" s="48">
        <f>SUM(compras_mes4[[#This Row],[NETO GRAVADO]:[Otros / No Grav.]])</f>
        <v>9214899.9216999989</v>
      </c>
      <c r="Q114" s="49" t="str">
        <f>IFERROR(IF(compras_mes4[[#This Row],[CUIT]]="","-",VLOOKUP(compras_mes4[[#This Row],[CUIT]],Lista_CUIT[#All],3,0)),"CUIT NO CARGADO")</f>
        <v>Productos Ortopedicos</v>
      </c>
      <c r="R114" s="49">
        <f>IFERROR(IF(compras_mes4[[#This Row],[CUIT]]="","-",VLOOKUP(compras_mes4[[#This Row],[CUIT]],Lista_CUIT[#All],4,0)),"CUIT NO CARGADO")</f>
        <v>0</v>
      </c>
    </row>
    <row r="115" spans="2:18">
      <c r="B115" s="40">
        <v>45390</v>
      </c>
      <c r="C115" s="41">
        <v>3</v>
      </c>
      <c r="D115" s="42">
        <v>6</v>
      </c>
      <c r="E115" s="43">
        <v>2283</v>
      </c>
      <c r="F115" s="44">
        <v>30710177658</v>
      </c>
      <c r="G115" s="45" t="str">
        <f>IFERROR(IF(compras_mes4[[#This Row],[CUIT]]="","-",VLOOKUP(compras_mes4[[#This Row],[CUIT]],Lista_CUIT[#All],2,0)),"CUIT NO CARGADO")</f>
        <v>TARGET MEDICAL SA</v>
      </c>
      <c r="H115" s="46">
        <v>-1666000</v>
      </c>
      <c r="I115" s="85">
        <f>IF(compras_mes4[[#This Row],[NETO GRAVADO]]="","",compras_mes4[[#This Row],[NETO GRAVADO]]*0.21)</f>
        <v>-349860</v>
      </c>
      <c r="J115" s="85"/>
      <c r="K115" s="85"/>
      <c r="L115" s="85"/>
      <c r="M115" s="85"/>
      <c r="N115" s="85"/>
      <c r="O115" s="85"/>
      <c r="P115" s="48">
        <f>SUM(compras_mes4[[#This Row],[NETO GRAVADO]:[Otros / No Grav.]])</f>
        <v>-2015860</v>
      </c>
      <c r="Q115" s="49" t="str">
        <f>IFERROR(IF(compras_mes4[[#This Row],[CUIT]]="","-",VLOOKUP(compras_mes4[[#This Row],[CUIT]],Lista_CUIT[#All],3,0)),"CUIT NO CARGADO")</f>
        <v>Productos Ortopedicos</v>
      </c>
      <c r="R115" s="49">
        <f>IFERROR(IF(compras_mes4[[#This Row],[CUIT]]="","-",VLOOKUP(compras_mes4[[#This Row],[CUIT]],Lista_CUIT[#All],4,0)),"CUIT NO CARGADO")</f>
        <v>0</v>
      </c>
    </row>
    <row r="116" spans="2:18">
      <c r="B116" s="40">
        <v>45394</v>
      </c>
      <c r="C116" s="41">
        <v>3</v>
      </c>
      <c r="D116" s="42">
        <v>7</v>
      </c>
      <c r="E116" s="43">
        <v>992</v>
      </c>
      <c r="F116" s="44">
        <v>20271532483</v>
      </c>
      <c r="G116" s="45" t="str">
        <f>IFERROR(IF(compras_mes4[[#This Row],[CUIT]]="","-",VLOOKUP(compras_mes4[[#This Row],[CUIT]],Lista_CUIT[#All],2,0)),"CUIT NO CARGADO")</f>
        <v>DIEGO MARTIN RIOS</v>
      </c>
      <c r="H116" s="46">
        <v>-1422859.16</v>
      </c>
      <c r="I116" s="85">
        <f>IF(compras_mes4[[#This Row],[NETO GRAVADO]]="","",compras_mes4[[#This Row],[NETO GRAVADO]]*0.21)</f>
        <v>-298800.42359999998</v>
      </c>
      <c r="J116" s="85"/>
      <c r="K116" s="85"/>
      <c r="L116" s="85"/>
      <c r="M116" s="85"/>
      <c r="N116" s="85"/>
      <c r="O116" s="85"/>
      <c r="P116" s="48">
        <f>SUM(compras_mes4[[#This Row],[NETO GRAVADO]:[Otros / No Grav.]])</f>
        <v>-1721659.5836</v>
      </c>
      <c r="Q116" s="49" t="str">
        <f>IFERROR(IF(compras_mes4[[#This Row],[CUIT]]="","-",VLOOKUP(compras_mes4[[#This Row],[CUIT]],Lista_CUIT[#All],3,0)),"CUIT NO CARGADO")</f>
        <v>Productos Ortopedicos</v>
      </c>
      <c r="R116" s="49">
        <f>IFERROR(IF(compras_mes4[[#This Row],[CUIT]]="","-",VLOOKUP(compras_mes4[[#This Row],[CUIT]],Lista_CUIT[#All],4,0)),"CUIT NO CARGADO")</f>
        <v>0</v>
      </c>
    </row>
    <row r="117" spans="2:18">
      <c r="B117" s="40">
        <v>45400</v>
      </c>
      <c r="C117" s="41">
        <v>3</v>
      </c>
      <c r="D117" s="42">
        <v>6</v>
      </c>
      <c r="E117" s="43">
        <v>11505</v>
      </c>
      <c r="F117" s="44">
        <v>30711553564</v>
      </c>
      <c r="G117" s="45" t="str">
        <f>IFERROR(IF(compras_mes4[[#This Row],[CUIT]]="","-",VLOOKUP(compras_mes4[[#This Row],[CUIT]],Lista_CUIT[#All],2,0)),"CUIT NO CARGADO")</f>
        <v>SALUD TEX S.A</v>
      </c>
      <c r="H117" s="46">
        <v>-22847.8</v>
      </c>
      <c r="I117" s="85">
        <f>IF(compras_mes4[[#This Row],[NETO GRAVADO]]="","",compras_mes4[[#This Row],[NETO GRAVADO]]*0.21)</f>
        <v>-4798.0379999999996</v>
      </c>
      <c r="J117" s="85"/>
      <c r="K117" s="85"/>
      <c r="L117" s="85"/>
      <c r="M117" s="85"/>
      <c r="N117" s="85"/>
      <c r="O117" s="85"/>
      <c r="P117" s="48">
        <f>SUM(compras_mes4[[#This Row],[NETO GRAVADO]:[Otros / No Grav.]])</f>
        <v>-27645.838</v>
      </c>
      <c r="Q117" s="49" t="str">
        <f>IFERROR(IF(compras_mes4[[#This Row],[CUIT]]="","-",VLOOKUP(compras_mes4[[#This Row],[CUIT]],Lista_CUIT[#All],3,0)),"CUIT NO CARGADO")</f>
        <v>Productos Ortopedicos</v>
      </c>
      <c r="R117" s="49">
        <f>IFERROR(IF(compras_mes4[[#This Row],[CUIT]]="","-",VLOOKUP(compras_mes4[[#This Row],[CUIT]],Lista_CUIT[#All],4,0)),"CUIT NO CARGADO")</f>
        <v>0</v>
      </c>
    </row>
    <row r="118" spans="2:18">
      <c r="B118" s="89">
        <v>45391</v>
      </c>
      <c r="C118" s="41">
        <v>1</v>
      </c>
      <c r="D118" s="42">
        <v>105</v>
      </c>
      <c r="E118" s="91">
        <v>1474391</v>
      </c>
      <c r="F118" s="92">
        <v>30537882871</v>
      </c>
      <c r="G118" s="93" t="str">
        <f>IFERROR(IF(compras_mes4[[#This Row],[CUIT]]="","-",VLOOKUP(compras_mes4[[#This Row],[CUIT]],Lista_CUIT[#All],2,0)),"CUIT NO CARGADO")</f>
        <v>EL JUMILIANO SA</v>
      </c>
      <c r="H118" s="94">
        <v>8132.23</v>
      </c>
      <c r="I118" s="85">
        <f>IF(compras_mes4[[#This Row],[NETO GRAVADO]]="","",compras_mes4[[#This Row],[NETO GRAVADO]]*0.21)</f>
        <v>1707.7683</v>
      </c>
      <c r="J118" s="86"/>
      <c r="K118" s="86"/>
      <c r="L118" s="86"/>
      <c r="M118" s="86"/>
      <c r="N118" s="86"/>
      <c r="O118" s="86"/>
      <c r="P118" s="87">
        <f>SUM(compras_mes4[[#This Row],[NETO GRAVADO]:[Otros / No Grav.]])</f>
        <v>9839.9982999999993</v>
      </c>
      <c r="Q118" s="88" t="str">
        <f>IFERROR(IF(compras_mes4[[#This Row],[CUIT]]="","-",VLOOKUP(compras_mes4[[#This Row],[CUIT]],Lista_CUIT[#All],3,0)),"CUIT NO CARGADO")</f>
        <v>Productos OrtopedicosS</v>
      </c>
      <c r="R118" s="88">
        <f>IFERROR(IF(compras_mes4[[#This Row],[CUIT]]="","-",VLOOKUP(compras_mes4[[#This Row],[CUIT]],Lista_CUIT[#All],4,0)),"CUIT NO CARGADO")</f>
        <v>0</v>
      </c>
    </row>
    <row r="119" spans="2:18">
      <c r="B119" s="40">
        <v>45405</v>
      </c>
      <c r="C119" s="41">
        <v>1</v>
      </c>
      <c r="D119" s="42">
        <v>4</v>
      </c>
      <c r="E119" s="43">
        <v>109</v>
      </c>
      <c r="F119" s="44">
        <v>20317488476</v>
      </c>
      <c r="G119" s="45" t="str">
        <f>IFERROR(IF(compras_mes4[[#This Row],[CUIT]]="","-",VLOOKUP(compras_mes4[[#This Row],[CUIT]],Lista_CUIT[#All],2,0)),"CUIT NO CARGADO")</f>
        <v>MIGUEL ANGEL VILLALBA</v>
      </c>
      <c r="H119" s="46">
        <v>851000</v>
      </c>
      <c r="I119" s="85">
        <f>IF(compras_mes4[[#This Row],[NETO GRAVADO]]="","",compras_mes4[[#This Row],[NETO GRAVADO]]*0.21)</f>
        <v>178710</v>
      </c>
      <c r="J119" s="85"/>
      <c r="K119" s="85"/>
      <c r="L119" s="85"/>
      <c r="M119" s="85"/>
      <c r="N119" s="85"/>
      <c r="O119" s="85"/>
      <c r="P119" s="48">
        <f>SUM(compras_mes4[[#This Row],[NETO GRAVADO]:[Otros / No Grav.]])</f>
        <v>1029710</v>
      </c>
      <c r="Q119" s="49" t="str">
        <f>IFERROR(IF(compras_mes4[[#This Row],[CUIT]]="","-",VLOOKUP(compras_mes4[[#This Row],[CUIT]],Lista_CUIT[#All],3,0)),"CUIT NO CARGADO")</f>
        <v>Recupero P. Ortopedicos</v>
      </c>
      <c r="R119" s="49">
        <f>IFERROR(IF(compras_mes4[[#This Row],[CUIT]]="","-",VLOOKUP(compras_mes4[[#This Row],[CUIT]],Lista_CUIT[#All],4,0)),"CUIT NO CARGADO")</f>
        <v>0</v>
      </c>
    </row>
    <row r="120" spans="2:18">
      <c r="B120" s="40">
        <v>45393</v>
      </c>
      <c r="C120" s="41">
        <v>1</v>
      </c>
      <c r="D120" s="42">
        <v>401</v>
      </c>
      <c r="E120" s="43">
        <v>5</v>
      </c>
      <c r="F120" s="44">
        <v>30716234114</v>
      </c>
      <c r="G120" s="45" t="str">
        <f>IFERROR(IF(compras_mes4[[#This Row],[CUIT]]="","-",VLOOKUP(compras_mes4[[#This Row],[CUIT]],Lista_CUIT[#All],2,0)),"CUIT NO CARGADO")</f>
        <v>UZUMAKI S.A.S.</v>
      </c>
      <c r="H120" s="46">
        <v>176900</v>
      </c>
      <c r="I120" s="85">
        <f>IF(compras_mes4[[#This Row],[NETO GRAVADO]]="","",compras_mes4[[#This Row],[NETO GRAVADO]]*0.21)</f>
        <v>37149</v>
      </c>
      <c r="J120" s="85"/>
      <c r="K120" s="85"/>
      <c r="L120" s="85"/>
      <c r="M120" s="85"/>
      <c r="N120" s="85"/>
      <c r="O120" s="85"/>
      <c r="P120" s="48">
        <f>SUM(compras_mes4[[#This Row],[NETO GRAVADO]:[Otros / No Grav.]])</f>
        <v>214049</v>
      </c>
      <c r="Q120" s="49" t="str">
        <f>IFERROR(IF(compras_mes4[[#This Row],[CUIT]]="","-",VLOOKUP(compras_mes4[[#This Row],[CUIT]],Lista_CUIT[#All],3,0)),"CUIT NO CARGADO")</f>
        <v>Productos Ortopedicos</v>
      </c>
      <c r="R120" s="49">
        <f>IFERROR(IF(compras_mes4[[#This Row],[CUIT]]="","-",VLOOKUP(compras_mes4[[#This Row],[CUIT]],Lista_CUIT[#All],4,0)),"CUIT NO CARGADO")</f>
        <v>0</v>
      </c>
    </row>
    <row r="121" spans="2:18">
      <c r="B121" s="40">
        <v>45383</v>
      </c>
      <c r="C121" s="41">
        <v>1</v>
      </c>
      <c r="D121" s="42">
        <v>1326</v>
      </c>
      <c r="E121" s="43">
        <v>694642</v>
      </c>
      <c r="F121" s="44">
        <v>30663288497</v>
      </c>
      <c r="G121" s="45" t="str">
        <f>IFERROR(IF(compras_mes4[[#This Row],[CUIT]]="","-",VLOOKUP(compras_mes4[[#This Row],[CUIT]],Lista_CUIT[#All],2,0)),"CUIT NO CARGADO")</f>
        <v>AMX ARG SA</v>
      </c>
      <c r="H121" s="46">
        <v>28680</v>
      </c>
      <c r="I121" s="85">
        <v>2381.4</v>
      </c>
      <c r="J121" s="85">
        <v>4681.8</v>
      </c>
      <c r="K121" s="85"/>
      <c r="L121" s="85"/>
      <c r="M121" s="85"/>
      <c r="N121" s="85"/>
      <c r="O121" s="85">
        <v>2920.23</v>
      </c>
      <c r="P121" s="48">
        <f>SUM(compras_mes4[[#This Row],[NETO GRAVADO]:[Otros / No Grav.]])</f>
        <v>38663.430000000008</v>
      </c>
      <c r="Q121" s="49" t="str">
        <f>IFERROR(IF(compras_mes4[[#This Row],[CUIT]]="","-",VLOOKUP(compras_mes4[[#This Row],[CUIT]],Lista_CUIT[#All],3,0)),"CUIT NO CARGADO")</f>
        <v>Servicios Gas-Luz-Agua-Internet</v>
      </c>
      <c r="R121" s="49">
        <f>IFERROR(IF(compras_mes4[[#This Row],[CUIT]]="","-",VLOOKUP(compras_mes4[[#This Row],[CUIT]],Lista_CUIT[#All],4,0)),"CUIT NO CARGADO")</f>
        <v>0</v>
      </c>
    </row>
    <row r="122" spans="2:18">
      <c r="B122" s="40">
        <v>45391</v>
      </c>
      <c r="C122" s="41">
        <v>1</v>
      </c>
      <c r="D122" s="42">
        <v>3101</v>
      </c>
      <c r="E122" s="43">
        <v>77830</v>
      </c>
      <c r="F122" s="44">
        <v>30678814357</v>
      </c>
      <c r="G122" s="45" t="str">
        <f>IFERROR(IF(compras_mes4[[#This Row],[CUIT]]="","-",VLOOKUP(compras_mes4[[#This Row],[CUIT]],Lista_CUIT[#All],2,0)),"CUIT NO CARGADO")</f>
        <v>TELEFONICA MOVILES ARG SA</v>
      </c>
      <c r="H122" s="46">
        <v>36132.25</v>
      </c>
      <c r="I122" s="85"/>
      <c r="J122" s="85">
        <v>9755.7099999999991</v>
      </c>
      <c r="K122" s="85"/>
      <c r="L122" s="85"/>
      <c r="M122" s="85"/>
      <c r="N122" s="85"/>
      <c r="O122" s="85">
        <v>2529.2600000000002</v>
      </c>
      <c r="P122" s="48">
        <f>SUM(compras_mes4[[#This Row],[NETO GRAVADO]:[Otros / No Grav.]])</f>
        <v>48417.22</v>
      </c>
      <c r="Q122" s="49" t="str">
        <f>IFERROR(IF(compras_mes4[[#This Row],[CUIT]]="","-",VLOOKUP(compras_mes4[[#This Row],[CUIT]],Lista_CUIT[#All],3,0)),"CUIT NO CARGADO")</f>
        <v>Servicios Gas-Luz-Agua-Internet</v>
      </c>
      <c r="R122" s="49">
        <f>IFERROR(IF(compras_mes4[[#This Row],[CUIT]]="","-",VLOOKUP(compras_mes4[[#This Row],[CUIT]],Lista_CUIT[#All],4,0)),"CUIT NO CARGADO")</f>
        <v>0</v>
      </c>
    </row>
    <row r="123" spans="2:18">
      <c r="B123" s="40">
        <v>45400</v>
      </c>
      <c r="C123" s="41">
        <v>1</v>
      </c>
      <c r="D123" s="42">
        <v>4264</v>
      </c>
      <c r="E123" s="43">
        <v>3718556</v>
      </c>
      <c r="F123" s="44">
        <v>30639453738</v>
      </c>
      <c r="G123" s="45" t="str">
        <f>IFERROR(IF(compras_mes4[[#This Row],[CUIT]]="","-",VLOOKUP(compras_mes4[[#This Row],[CUIT]],Lista_CUIT[#All],2,0)),"CUIT NO CARGADO")</f>
        <v>TELECOM ARGENTINA SA</v>
      </c>
      <c r="H123" s="46">
        <v>55603.31</v>
      </c>
      <c r="I123" s="85">
        <f>IF(compras_mes4[[#This Row],[NETO GRAVADO]]="","",compras_mes4[[#This Row],[NETO GRAVADO]]*0.21)</f>
        <v>11676.695099999999</v>
      </c>
      <c r="J123" s="85"/>
      <c r="K123" s="85"/>
      <c r="L123" s="85"/>
      <c r="M123" s="85"/>
      <c r="N123" s="85"/>
      <c r="O123" s="85">
        <v>3892.24</v>
      </c>
      <c r="P123" s="48">
        <f>SUM(compras_mes4[[#This Row],[NETO GRAVADO]:[Otros / No Grav.]])</f>
        <v>71172.2451</v>
      </c>
      <c r="Q123" s="49" t="str">
        <f>IFERROR(IF(compras_mes4[[#This Row],[CUIT]]="","-",VLOOKUP(compras_mes4[[#This Row],[CUIT]],Lista_CUIT[#All],3,0)),"CUIT NO CARGADO")</f>
        <v>Servicios Gas-Luz-Agua-Internet</v>
      </c>
      <c r="R123" s="49">
        <f>IFERROR(IF(compras_mes4[[#This Row],[CUIT]]="","-",VLOOKUP(compras_mes4[[#This Row],[CUIT]],Lista_CUIT[#All],4,0)),"CUIT NO CARGADO")</f>
        <v>0</v>
      </c>
    </row>
    <row r="124" spans="2:18">
      <c r="B124" s="40">
        <v>45404</v>
      </c>
      <c r="C124" s="41">
        <v>1</v>
      </c>
      <c r="D124" s="42">
        <v>5</v>
      </c>
      <c r="E124" s="43">
        <v>3013895</v>
      </c>
      <c r="F124" s="44">
        <v>30702652975</v>
      </c>
      <c r="G124" s="45" t="str">
        <f>IFERROR(IF(compras_mes4[[#This Row],[CUIT]]="","-",VLOOKUP(compras_mes4[[#This Row],[CUIT]],Lista_CUIT[#All],2,0)),"CUIT NO CARGADO")</f>
        <v>NSS SA</v>
      </c>
      <c r="H124" s="46">
        <v>27693.23</v>
      </c>
      <c r="I124" s="85">
        <f>IF(compras_mes4[[#This Row],[NETO GRAVADO]]="","",compras_mes4[[#This Row],[NETO GRAVADO]]*0.21)</f>
        <v>5815.5783000000001</v>
      </c>
      <c r="J124" s="85"/>
      <c r="K124" s="85"/>
      <c r="L124" s="85"/>
      <c r="M124" s="85"/>
      <c r="N124" s="85"/>
      <c r="O124" s="85">
        <v>1107.73</v>
      </c>
      <c r="P124" s="48">
        <f>SUM(compras_mes4[[#This Row],[NETO GRAVADO]:[Otros / No Grav.]])</f>
        <v>34616.5383</v>
      </c>
      <c r="Q124" s="49" t="str">
        <f>IFERROR(IF(compras_mes4[[#This Row],[CUIT]]="","-",VLOOKUP(compras_mes4[[#This Row],[CUIT]],Lista_CUIT[#All],3,0)),"CUIT NO CARGADO")</f>
        <v>Servicios Gas-Luz-Agua-Internet</v>
      </c>
      <c r="R124" s="49">
        <f>IFERROR(IF(compras_mes4[[#This Row],[CUIT]]="","-",VLOOKUP(compras_mes4[[#This Row],[CUIT]],Lista_CUIT[#All],4,0)),"CUIT NO CARGADO")</f>
        <v>0</v>
      </c>
    </row>
    <row r="125" spans="2:18">
      <c r="B125" s="40">
        <v>45412</v>
      </c>
      <c r="C125" s="41">
        <v>1</v>
      </c>
      <c r="D125" s="42">
        <v>20</v>
      </c>
      <c r="E125" s="43">
        <v>183552</v>
      </c>
      <c r="F125" s="44">
        <v>30696850972</v>
      </c>
      <c r="G125" s="45" t="str">
        <f>IFERROR(IF(compras_mes4[[#This Row],[CUIT]]="","-",VLOOKUP(compras_mes4[[#This Row],[CUIT]],Lista_CUIT[#All],2,0)),"CUIT NO CARGADO")</f>
        <v>CPS COMUNICACIONES SA</v>
      </c>
      <c r="H125" s="46">
        <v>13539.88</v>
      </c>
      <c r="I125" s="85"/>
      <c r="J125" s="85">
        <f>compras_mes4[[#This Row],[NETO GRAVADO]]*27/100</f>
        <v>3655.7675999999997</v>
      </c>
      <c r="K125" s="85"/>
      <c r="L125" s="85"/>
      <c r="M125" s="85"/>
      <c r="N125" s="85"/>
      <c r="O125" s="85">
        <v>541.6</v>
      </c>
      <c r="P125" s="48">
        <f>SUM(compras_mes4[[#This Row],[NETO GRAVADO]:[Otros / No Grav.]])</f>
        <v>17737.247599999999</v>
      </c>
      <c r="Q125" s="49" t="str">
        <f>IFERROR(IF(compras_mes4[[#This Row],[CUIT]]="","-",VLOOKUP(compras_mes4[[#This Row],[CUIT]],Lista_CUIT[#All],3,0)),"CUIT NO CARGADO")</f>
        <v>Servicios Gas-Luz-Agua-Internet</v>
      </c>
      <c r="R125" s="49">
        <f>IFERROR(IF(compras_mes4[[#This Row],[CUIT]]="","-",VLOOKUP(compras_mes4[[#This Row],[CUIT]],Lista_CUIT[#All],4,0)),"CUIT NO CARGADO")</f>
        <v>0</v>
      </c>
    </row>
    <row r="126" spans="2:18">
      <c r="B126" s="95" t="s">
        <v>110</v>
      </c>
      <c r="C126" s="95"/>
      <c r="D126" s="95"/>
      <c r="E126" s="95"/>
      <c r="F126" s="95"/>
      <c r="G126" s="96"/>
      <c r="H126" s="97">
        <f>SUBTOTAL(109,compras_mes4[NETO GRAVADO])</f>
        <v>82052079.770000011</v>
      </c>
      <c r="I126" s="97">
        <f>SUBTOTAL(109,compras_mes4[IVA 21 %])</f>
        <v>14371810.286399998</v>
      </c>
      <c r="J126" s="97">
        <f>SUBTOTAL(109,compras_mes4[IVA 27%])</f>
        <v>18093.277599999998</v>
      </c>
      <c r="K126" s="97">
        <f>SUBTOTAL(109,compras_mes4[IVA 10,5%])</f>
        <v>1422526.9590000003</v>
      </c>
      <c r="L126" s="97">
        <f>SUBTOTAL(109,compras_mes4[PERC. IVA])</f>
        <v>0</v>
      </c>
      <c r="M126" s="97">
        <f>SUBTOTAL(109,compras_mes4[PERC IIBB 
BS AS])</f>
        <v>0</v>
      </c>
      <c r="N126" s="97">
        <f>SUBTOTAL(109,compras_mes4[PERC. IIBB CABA])</f>
        <v>0</v>
      </c>
      <c r="O126" s="97">
        <f>SUBTOTAL(109,compras_mes4[Otros / No Grav.])</f>
        <v>266195.38999999996</v>
      </c>
      <c r="P126" s="97">
        <f>SUBTOTAL(109,compras_mes4[TOTAL])</f>
        <v>98130705.682999983</v>
      </c>
      <c r="Q126" s="95"/>
      <c r="R126" s="95"/>
    </row>
    <row r="127" spans="2:18">
      <c r="B127" s="40"/>
      <c r="C127" s="41"/>
      <c r="D127" s="42"/>
      <c r="E127" s="43"/>
      <c r="F127" s="44"/>
      <c r="G127" s="45"/>
      <c r="H127" s="46"/>
      <c r="I127" s="47"/>
      <c r="J127" s="47"/>
      <c r="K127" s="47"/>
      <c r="L127" s="47"/>
      <c r="M127" s="47"/>
      <c r="N127" s="47"/>
      <c r="O127" s="47"/>
      <c r="P127" s="48"/>
      <c r="Q127" s="49"/>
      <c r="R127" s="49"/>
    </row>
    <row r="128" spans="2:18">
      <c r="B128" s="40"/>
      <c r="C128" s="41"/>
      <c r="D128" s="42"/>
      <c r="E128" s="43"/>
      <c r="F128" s="44"/>
      <c r="G128" s="45"/>
      <c r="H128" s="46"/>
      <c r="I128" s="47"/>
      <c r="J128" s="47"/>
      <c r="K128" s="47"/>
      <c r="L128" s="47"/>
      <c r="M128" s="47"/>
      <c r="N128" s="47"/>
      <c r="O128" s="47"/>
      <c r="P128" s="48"/>
      <c r="Q128" s="49"/>
      <c r="R128" s="49"/>
    </row>
    <row r="129" spans="2:18">
      <c r="B129" s="40"/>
      <c r="C129" s="41"/>
      <c r="D129" s="42"/>
      <c r="E129" s="43"/>
      <c r="F129" s="44"/>
      <c r="G129" s="45"/>
      <c r="H129" s="46"/>
      <c r="I129" s="47"/>
      <c r="J129" s="47"/>
      <c r="K129" s="47"/>
      <c r="L129" s="47"/>
      <c r="M129" s="47"/>
      <c r="N129" s="47"/>
      <c r="O129" s="47"/>
      <c r="P129" s="48"/>
      <c r="Q129" s="49"/>
      <c r="R129" s="49"/>
    </row>
    <row r="130" spans="2:18">
      <c r="B130" s="40"/>
      <c r="C130" s="41"/>
      <c r="D130" s="42"/>
      <c r="E130" s="43"/>
      <c r="F130" s="44"/>
      <c r="G130" s="45"/>
      <c r="H130" s="46"/>
      <c r="I130" s="47"/>
      <c r="J130" s="47"/>
      <c r="K130" s="47"/>
      <c r="L130" s="47"/>
    </row>
    <row r="131" spans="2:18" ht="21">
      <c r="D131" s="665" t="s">
        <v>15</v>
      </c>
      <c r="E131" s="665"/>
      <c r="F131" s="665"/>
      <c r="G131" s="665"/>
      <c r="H131" s="665"/>
      <c r="I131" s="665"/>
      <c r="J131" s="665"/>
      <c r="K131" s="665"/>
      <c r="L131" s="665"/>
    </row>
    <row r="132" spans="2:18" ht="15.75">
      <c r="D132" s="73" t="s">
        <v>0</v>
      </c>
      <c r="E132" s="74" t="s">
        <v>26</v>
      </c>
      <c r="F132" s="74" t="s">
        <v>16</v>
      </c>
      <c r="G132" s="74" t="s">
        <v>5</v>
      </c>
      <c r="H132" s="74" t="s">
        <v>17</v>
      </c>
      <c r="I132" s="74" t="s">
        <v>7</v>
      </c>
      <c r="J132" s="75" t="s">
        <v>18</v>
      </c>
      <c r="K132" s="75" t="s">
        <v>19</v>
      </c>
      <c r="L132" s="76" t="s">
        <v>20</v>
      </c>
    </row>
    <row r="133" spans="2:18">
      <c r="D133" s="50">
        <v>45412</v>
      </c>
      <c r="E133" s="170">
        <v>512662317</v>
      </c>
      <c r="F133" s="80" t="s">
        <v>2169</v>
      </c>
      <c r="G133" s="81">
        <v>11610</v>
      </c>
      <c r="H133" s="81">
        <f>extracto_banco_mes4[[#This Row],[NETO]]*0.21</f>
        <v>2438.1</v>
      </c>
      <c r="I133" s="81"/>
      <c r="J133" s="81"/>
      <c r="K133" s="81">
        <v>285</v>
      </c>
      <c r="L133" s="81">
        <v>380</v>
      </c>
    </row>
    <row r="134" spans="2:18">
      <c r="D134" s="50">
        <v>45412</v>
      </c>
      <c r="E134" s="80">
        <v>30042024</v>
      </c>
      <c r="F134" s="80" t="s">
        <v>2170</v>
      </c>
      <c r="G134" s="81">
        <v>20175</v>
      </c>
      <c r="H134" s="81">
        <f>extracto_banco_mes4[[#This Row],[NETO]]*0.21</f>
        <v>4236.75</v>
      </c>
      <c r="I134" s="81"/>
      <c r="J134" s="81"/>
      <c r="K134" s="81"/>
      <c r="L134" s="81">
        <v>540</v>
      </c>
    </row>
    <row r="135" spans="2:18">
      <c r="D135" s="400">
        <v>45407</v>
      </c>
      <c r="E135" s="80">
        <v>514446568</v>
      </c>
      <c r="F135" s="401" t="s">
        <v>2284</v>
      </c>
      <c r="G135" s="402">
        <v>8143.78</v>
      </c>
      <c r="H135" s="402">
        <f>extracto_banco_mes4[[#This Row],[NETO]]*0.21</f>
        <v>1710.1937999999998</v>
      </c>
      <c r="I135" s="402"/>
      <c r="J135" s="402">
        <v>23613.200000000001</v>
      </c>
      <c r="K135" s="402"/>
      <c r="L135" s="402"/>
    </row>
    <row r="136" spans="2:18">
      <c r="D136" s="403" t="s">
        <v>110</v>
      </c>
      <c r="E136" s="401"/>
      <c r="F136" s="401"/>
      <c r="G136" s="404">
        <f>SUBTOTAL(109,extracto_banco_mes4[NETO])</f>
        <v>39928.78</v>
      </c>
      <c r="H136" s="404">
        <f>SUBTOTAL(109,extracto_banco_mes4[IVA 21%])</f>
        <v>8385.0437999999995</v>
      </c>
      <c r="I136" s="404">
        <f>SUBTOTAL(109,extracto_banco_mes4[IVA 10,5%])</f>
        <v>0</v>
      </c>
      <c r="J136" s="404">
        <f>SUBTOTAL(109,extracto_banco_mes4[RET IIBB CABA])</f>
        <v>23613.200000000001</v>
      </c>
      <c r="K136" s="404">
        <f>SUBTOTAL(109,extracto_banco_mes4[PERC IVA])</f>
        <v>285</v>
      </c>
      <c r="L136" s="404">
        <f>SUBTOTAL(109,extracto_banco_mes4[PERC IIBB])</f>
        <v>920</v>
      </c>
    </row>
    <row r="138" spans="2:18" ht="17.25" customHeight="1"/>
    <row r="139" spans="2:18" ht="21">
      <c r="D139" s="665" t="s">
        <v>25</v>
      </c>
      <c r="E139" s="665"/>
      <c r="F139" s="665"/>
      <c r="G139" s="665"/>
      <c r="H139" s="665"/>
      <c r="I139" s="665"/>
      <c r="J139" s="665"/>
      <c r="K139" s="665"/>
    </row>
    <row r="140" spans="2:18">
      <c r="D140" s="51" t="s">
        <v>0</v>
      </c>
      <c r="E140" s="51" t="s">
        <v>2</v>
      </c>
      <c r="F140" s="51" t="s">
        <v>74</v>
      </c>
      <c r="G140" s="51" t="s">
        <v>3</v>
      </c>
      <c r="H140" s="51" t="s">
        <v>4</v>
      </c>
      <c r="I140" s="52" t="s">
        <v>10</v>
      </c>
      <c r="J140" s="51" t="s">
        <v>13</v>
      </c>
      <c r="K140" s="51" t="s">
        <v>38</v>
      </c>
    </row>
    <row r="141" spans="2:18">
      <c r="D141" s="50">
        <v>45383</v>
      </c>
      <c r="E141" s="42">
        <v>2</v>
      </c>
      <c r="F141" s="175">
        <v>264</v>
      </c>
      <c r="G141" s="44">
        <v>27265832178</v>
      </c>
      <c r="H141" s="53" t="str">
        <f>IFERROR(IF(factura_c_mes4[[#This Row],[CUIT]]="","-",VLOOKUP(factura_c_mes4[[#This Row],[CUIT]],Lista_CUIT[#All],2,0)),"CUIT NO CARGADO")</f>
        <v>BLASCO MARIA GUADALUPE</v>
      </c>
      <c r="I141" s="81">
        <v>150000</v>
      </c>
      <c r="J141" s="54" t="str">
        <f>IFERROR(IF(factura_c_mes4[[#This Row],[CUIT]]="","-",VLOOKUP(factura_c_mes4[[#This Row],[CUIT]],Lista_CUIT[#All],3,0)),"CUIT NO CARGADO")</f>
        <v>Productos Ortopedicos</v>
      </c>
      <c r="K141" s="54">
        <f>IFERROR(IF(factura_c_mes4[[#This Row],[CUIT]]="","-",VLOOKUP(factura_c_mes4[[#This Row],[CUIT]],Lista_CUIT[#All],4,0)),"CUIT NO CARGADO")</f>
        <v>0</v>
      </c>
    </row>
    <row r="142" spans="2:18">
      <c r="D142" s="50">
        <v>45385</v>
      </c>
      <c r="E142" s="175">
        <v>3</v>
      </c>
      <c r="F142" s="175">
        <v>833</v>
      </c>
      <c r="G142" s="118">
        <v>20086277523</v>
      </c>
      <c r="H142" s="53" t="str">
        <f>IFERROR(IF(factura_c_mes4[[#This Row],[CUIT]]="","-",VLOOKUP(factura_c_mes4[[#This Row],[CUIT]],Lista_CUIT[#All],2,0)),"CUIT NO CARGADO")</f>
        <v>BOTINDARI JUAN CARLOS</v>
      </c>
      <c r="I142" s="176">
        <v>250000</v>
      </c>
      <c r="J142" s="54" t="str">
        <f>IFERROR(IF(factura_c_mes4[[#This Row],[CUIT]]="","-",VLOOKUP(factura_c_mes4[[#This Row],[CUIT]],Lista_CUIT[#All],3,0)),"CUIT NO CARGADO")</f>
        <v>HONORARIOS</v>
      </c>
      <c r="K142" s="54">
        <f>IFERROR(IF(factura_c_mes4[[#This Row],[CUIT]]="","-",VLOOKUP(factura_c_mes4[[#This Row],[CUIT]],Lista_CUIT[#All],4,0)),"CUIT NO CARGADO")</f>
        <v>0</v>
      </c>
    </row>
    <row r="143" spans="2:18">
      <c r="D143" s="50">
        <v>45385</v>
      </c>
      <c r="E143" s="175">
        <v>1</v>
      </c>
      <c r="F143" s="175">
        <v>3</v>
      </c>
      <c r="G143" s="118">
        <v>20464199633</v>
      </c>
      <c r="H143" s="53" t="str">
        <f>IFERROR(IF(factura_c_mes4[[#This Row],[CUIT]]="","-",VLOOKUP(factura_c_mes4[[#This Row],[CUIT]],Lista_CUIT[#All],2,0)),"CUIT NO CARGADO")</f>
        <v>OVIEDO JIMENEZ TIZIANO LIONEL</v>
      </c>
      <c r="I143" s="176">
        <v>248000</v>
      </c>
      <c r="J143" s="54" t="str">
        <f>IFERROR(IF(factura_c_mes4[[#This Row],[CUIT]]="","-",VLOOKUP(factura_c_mes4[[#This Row],[CUIT]],Lista_CUIT[#All],3,0)),"CUIT NO CARGADO")</f>
        <v>Productos Ortopedicos</v>
      </c>
      <c r="K143" s="54">
        <f>IFERROR(IF(factura_c_mes4[[#This Row],[CUIT]]="","-",VLOOKUP(factura_c_mes4[[#This Row],[CUIT]],Lista_CUIT[#All],4,0)),"CUIT NO CARGADO")</f>
        <v>0</v>
      </c>
    </row>
    <row r="144" spans="2:18">
      <c r="D144" s="50">
        <v>45385</v>
      </c>
      <c r="E144" s="175">
        <v>3</v>
      </c>
      <c r="F144" s="175">
        <v>310</v>
      </c>
      <c r="G144" s="118">
        <v>23306035444</v>
      </c>
      <c r="H144" s="53" t="str">
        <f>IFERROR(IF(factura_c_mes4[[#This Row],[CUIT]]="","-",VLOOKUP(factura_c_mes4[[#This Row],[CUIT]],Lista_CUIT[#All],2,0)),"CUIT NO CARGADO")</f>
        <v>NADIA TARANTINO</v>
      </c>
      <c r="I144" s="176">
        <v>52000</v>
      </c>
      <c r="J144" s="54" t="str">
        <f>IFERROR(IF(factura_c_mes4[[#This Row],[CUIT]]="","-",VLOOKUP(factura_c_mes4[[#This Row],[CUIT]],Lista_CUIT[#All],3,0)),"CUIT NO CARGADO")</f>
        <v>GASTOS CONTABLES</v>
      </c>
      <c r="K144" s="54">
        <f>IFERROR(IF(factura_c_mes4[[#This Row],[CUIT]]="","-",VLOOKUP(factura_c_mes4[[#This Row],[CUIT]],Lista_CUIT[#All],4,0)),"CUIT NO CARGADO")</f>
        <v>0</v>
      </c>
    </row>
    <row r="145" spans="4:11">
      <c r="D145" s="50">
        <v>45391</v>
      </c>
      <c r="E145" s="175">
        <v>5</v>
      </c>
      <c r="F145" s="175">
        <v>161</v>
      </c>
      <c r="G145" s="118">
        <v>27062343449</v>
      </c>
      <c r="H145" s="53" t="str">
        <f>IFERROR(IF(factura_c_mes4[[#This Row],[CUIT]]="","-",VLOOKUP(factura_c_mes4[[#This Row],[CUIT]],Lista_CUIT[#All],2,0)),"CUIT NO CARGADO")</f>
        <v>FERREIRS LILISNS INES</v>
      </c>
      <c r="I145" s="176">
        <v>345000</v>
      </c>
      <c r="J145" s="54" t="str">
        <f>IFERROR(IF(factura_c_mes4[[#This Row],[CUIT]]="","-",VLOOKUP(factura_c_mes4[[#This Row],[CUIT]],Lista_CUIT[#All],3,0)),"CUIT NO CARGADO")</f>
        <v>ALQUILERES PAGADOS</v>
      </c>
      <c r="K145" s="54">
        <f>IFERROR(IF(factura_c_mes4[[#This Row],[CUIT]]="","-",VLOOKUP(factura_c_mes4[[#This Row],[CUIT]],Lista_CUIT[#All],4,0)),"CUIT NO CARGADO")</f>
        <v>0</v>
      </c>
    </row>
    <row r="146" spans="4:11">
      <c r="D146" s="50">
        <v>45391</v>
      </c>
      <c r="E146" s="175">
        <v>5</v>
      </c>
      <c r="F146" s="175">
        <v>162</v>
      </c>
      <c r="G146" s="118">
        <v>27062343449</v>
      </c>
      <c r="H146" s="53" t="str">
        <f>IFERROR(IF(factura_c_mes4[[#This Row],[CUIT]]="","-",VLOOKUP(factura_c_mes4[[#This Row],[CUIT]],Lista_CUIT[#All],2,0)),"CUIT NO CARGADO")</f>
        <v>FERREIRS LILISNS INES</v>
      </c>
      <c r="I146" s="176">
        <v>100000</v>
      </c>
      <c r="J146" s="54" t="str">
        <f>IFERROR(IF(factura_c_mes4[[#This Row],[CUIT]]="","-",VLOOKUP(factura_c_mes4[[#This Row],[CUIT]],Lista_CUIT[#All],3,0)),"CUIT NO CARGADO")</f>
        <v>ALQUILERES PAGADOS</v>
      </c>
      <c r="K146" s="54">
        <f>IFERROR(IF(factura_c_mes4[[#This Row],[CUIT]]="","-",VLOOKUP(factura_c_mes4[[#This Row],[CUIT]],Lista_CUIT[#All],4,0)),"CUIT NO CARGADO")</f>
        <v>0</v>
      </c>
    </row>
    <row r="147" spans="4:11">
      <c r="D147" s="50">
        <v>45391</v>
      </c>
      <c r="E147" s="175">
        <v>3</v>
      </c>
      <c r="F147" s="175">
        <v>169</v>
      </c>
      <c r="G147" s="118">
        <v>20940052301</v>
      </c>
      <c r="H147" s="53" t="str">
        <f>IFERROR(IF(factura_c_mes4[[#This Row],[CUIT]]="","-",VLOOKUP(factura_c_mes4[[#This Row],[CUIT]],Lista_CUIT[#All],2,0)),"CUIT NO CARGADO")</f>
        <v>CUIT NO CARGADO</v>
      </c>
      <c r="I147" s="176">
        <v>107220</v>
      </c>
      <c r="J147" s="54" t="str">
        <f>IFERROR(IF(factura_c_mes4[[#This Row],[CUIT]]="","-",VLOOKUP(factura_c_mes4[[#This Row],[CUIT]],Lista_CUIT[#All],3,0)),"CUIT NO CARGADO")</f>
        <v>CUIT NO CARGADO</v>
      </c>
      <c r="K147" s="54" t="str">
        <f>IFERROR(IF(factura_c_mes4[[#This Row],[CUIT]]="","-",VLOOKUP(factura_c_mes4[[#This Row],[CUIT]],Lista_CUIT[#All],4,0)),"CUIT NO CARGADO")</f>
        <v>CUIT NO CARGADO</v>
      </c>
    </row>
    <row r="148" spans="4:11">
      <c r="D148" s="50">
        <v>45392</v>
      </c>
      <c r="E148" s="175">
        <v>1</v>
      </c>
      <c r="F148" s="175">
        <v>61</v>
      </c>
      <c r="G148" s="118">
        <v>20403969886</v>
      </c>
      <c r="H148" s="53" t="str">
        <f>IFERROR(IF(factura_c_mes4[[#This Row],[CUIT]]="","-",VLOOKUP(factura_c_mes4[[#This Row],[CUIT]],Lista_CUIT[#All],2,0)),"CUIT NO CARGADO")</f>
        <v>DEL GESSO FRANCO JESUS</v>
      </c>
      <c r="I148" s="176">
        <v>423710</v>
      </c>
      <c r="J148" s="54" t="str">
        <f>IFERROR(IF(factura_c_mes4[[#This Row],[CUIT]]="","-",VLOOKUP(factura_c_mes4[[#This Row],[CUIT]],Lista_CUIT[#All],3,0)),"CUIT NO CARGADO")</f>
        <v>GASTOS ADMINISTRATIVOS</v>
      </c>
      <c r="K148" s="54">
        <f>IFERROR(IF(factura_c_mes4[[#This Row],[CUIT]]="","-",VLOOKUP(factura_c_mes4[[#This Row],[CUIT]],Lista_CUIT[#All],4,0)),"CUIT NO CARGADO")</f>
        <v>0</v>
      </c>
    </row>
    <row r="149" spans="4:11" ht="19.350000000000001" customHeight="1">
      <c r="D149" s="50">
        <v>45392</v>
      </c>
      <c r="E149" s="175">
        <v>1</v>
      </c>
      <c r="F149" s="175">
        <v>65</v>
      </c>
      <c r="G149" s="118">
        <v>23281233084</v>
      </c>
      <c r="H149" s="53" t="str">
        <f>IFERROR(IF(factura_c_mes4[[#This Row],[CUIT]]="","-",VLOOKUP(factura_c_mes4[[#This Row],[CUIT]],Lista_CUIT[#All],2,0)),"CUIT NO CARGADO")</f>
        <v>DRUETTA ANDREA MARIEL</v>
      </c>
      <c r="I149" s="176">
        <v>107900</v>
      </c>
      <c r="J149" s="54" t="str">
        <f>IFERROR(IF(factura_c_mes4[[#This Row],[CUIT]]="","-",VLOOKUP(factura_c_mes4[[#This Row],[CUIT]],Lista_CUIT[#All],3,0)),"CUIT NO CARGADO")</f>
        <v>HONORARIOS TECNICOS</v>
      </c>
      <c r="K149" s="54">
        <f>IFERROR(IF(factura_c_mes4[[#This Row],[CUIT]]="","-",VLOOKUP(factura_c_mes4[[#This Row],[CUIT]],Lista_CUIT[#All],4,0)),"CUIT NO CARGADO")</f>
        <v>0</v>
      </c>
    </row>
    <row r="150" spans="4:11">
      <c r="D150" s="50">
        <v>45392</v>
      </c>
      <c r="E150" s="175">
        <v>1</v>
      </c>
      <c r="F150" s="175">
        <v>60</v>
      </c>
      <c r="G150" s="118">
        <v>20403969886</v>
      </c>
      <c r="H150" s="53" t="str">
        <f>IFERROR(IF(factura_c_mes4[[#This Row],[CUIT]]="","-",VLOOKUP(factura_c_mes4[[#This Row],[CUIT]],Lista_CUIT[#All],2,0)),"CUIT NO CARGADO")</f>
        <v>DEL GESSO FRANCO JESUS</v>
      </c>
      <c r="I150" s="176">
        <v>415000</v>
      </c>
      <c r="J150" s="54" t="str">
        <f>IFERROR(IF(factura_c_mes4[[#This Row],[CUIT]]="","-",VLOOKUP(factura_c_mes4[[#This Row],[CUIT]],Lista_CUIT[#All],3,0)),"CUIT NO CARGADO")</f>
        <v>GASTOS ADMINISTRATIVOS</v>
      </c>
      <c r="K150" s="54">
        <f>IFERROR(IF(factura_c_mes4[[#This Row],[CUIT]]="","-",VLOOKUP(factura_c_mes4[[#This Row],[CUIT]],Lista_CUIT[#All],4,0)),"CUIT NO CARGADO")</f>
        <v>0</v>
      </c>
    </row>
    <row r="151" spans="4:11">
      <c r="D151" s="50">
        <v>45395</v>
      </c>
      <c r="E151" s="175">
        <v>2</v>
      </c>
      <c r="F151" s="175">
        <v>114</v>
      </c>
      <c r="G151" s="118">
        <v>20220423655</v>
      </c>
      <c r="H151" s="53" t="str">
        <f>IFERROR(IF(factura_c_mes4[[#This Row],[CUIT]]="","-",VLOOKUP(factura_c_mes4[[#This Row],[CUIT]],Lista_CUIT[#All],2,0)),"CUIT NO CARGADO")</f>
        <v>LANDRO FERNANDO GABRIEL</v>
      </c>
      <c r="I151" s="176">
        <v>442720</v>
      </c>
      <c r="J151" s="54" t="str">
        <f>IFERROR(IF(factura_c_mes4[[#This Row],[CUIT]]="","-",VLOOKUP(factura_c_mes4[[#This Row],[CUIT]],Lista_CUIT[#All],3,0)),"CUIT NO CARGADO")</f>
        <v>GESTION COBRANZAS</v>
      </c>
      <c r="K151" s="54">
        <f>IFERROR(IF(factura_c_mes4[[#This Row],[CUIT]]="","-",VLOOKUP(factura_c_mes4[[#This Row],[CUIT]],Lista_CUIT[#All],4,0)),"CUIT NO CARGADO")</f>
        <v>0</v>
      </c>
    </row>
    <row r="152" spans="4:11">
      <c r="D152" s="50">
        <v>45395</v>
      </c>
      <c r="E152" s="175">
        <v>3</v>
      </c>
      <c r="F152" s="175">
        <v>900</v>
      </c>
      <c r="G152" s="118">
        <v>20216451679</v>
      </c>
      <c r="H152" s="53" t="str">
        <f>IFERROR(IF(factura_c_mes4[[#This Row],[CUIT]]="","-",VLOOKUP(factura_c_mes4[[#This Row],[CUIT]],Lista_CUIT[#All],2,0)),"CUIT NO CARGADO")</f>
        <v>VAZQUEZ RICARDO OSCAR</v>
      </c>
      <c r="I152" s="176">
        <v>290000</v>
      </c>
      <c r="J152" s="54" t="str">
        <f>IFERROR(IF(factura_c_mes4[[#This Row],[CUIT]]="","-",VLOOKUP(factura_c_mes4[[#This Row],[CUIT]],Lista_CUIT[#All],3,0)),"CUIT NO CARGADO")</f>
        <v>Productos Ortopedicos</v>
      </c>
      <c r="K152" s="54">
        <f>IFERROR(IF(factura_c_mes4[[#This Row],[CUIT]]="","-",VLOOKUP(factura_c_mes4[[#This Row],[CUIT]],Lista_CUIT[#All],4,0)),"CUIT NO CARGADO")</f>
        <v>0</v>
      </c>
    </row>
    <row r="153" spans="4:11">
      <c r="D153" s="50">
        <v>45395</v>
      </c>
      <c r="E153" s="175">
        <v>2</v>
      </c>
      <c r="F153" s="175">
        <v>113</v>
      </c>
      <c r="G153" s="118">
        <v>20220423655</v>
      </c>
      <c r="H153" s="53" t="str">
        <f>IFERROR(IF(factura_c_mes4[[#This Row],[CUIT]]="","-",VLOOKUP(factura_c_mes4[[#This Row],[CUIT]],Lista_CUIT[#All],2,0)),"CUIT NO CARGADO")</f>
        <v>LANDRO FERNANDO GABRIEL</v>
      </c>
      <c r="I153" s="176">
        <v>469470</v>
      </c>
      <c r="J153" s="54" t="str">
        <f>IFERROR(IF(factura_c_mes4[[#This Row],[CUIT]]="","-",VLOOKUP(factura_c_mes4[[#This Row],[CUIT]],Lista_CUIT[#All],3,0)),"CUIT NO CARGADO")</f>
        <v>GESTION COBRANZAS</v>
      </c>
      <c r="K153" s="54">
        <f>IFERROR(IF(factura_c_mes4[[#This Row],[CUIT]]="","-",VLOOKUP(factura_c_mes4[[#This Row],[CUIT]],Lista_CUIT[#All],4,0)),"CUIT NO CARGADO")</f>
        <v>0</v>
      </c>
    </row>
    <row r="154" spans="4:11">
      <c r="D154" s="50">
        <v>45398</v>
      </c>
      <c r="E154" s="175">
        <v>1</v>
      </c>
      <c r="F154" s="175">
        <v>3</v>
      </c>
      <c r="G154" s="118">
        <v>27443612713</v>
      </c>
      <c r="H154" s="53" t="str">
        <f>IFERROR(IF(factura_c_mes4[[#This Row],[CUIT]]="","-",VLOOKUP(factura_c_mes4[[#This Row],[CUIT]],Lista_CUIT[#All],2,0)),"CUIT NO CARGADO")</f>
        <v>MIGOYA MORIONDO SOFIA</v>
      </c>
      <c r="I154" s="176">
        <v>450000</v>
      </c>
      <c r="J154" s="54" t="str">
        <f>IFERROR(IF(factura_c_mes4[[#This Row],[CUIT]]="","-",VLOOKUP(factura_c_mes4[[#This Row],[CUIT]],Lista_CUIT[#All],3,0)),"CUIT NO CARGADO")</f>
        <v>Alquiler</v>
      </c>
      <c r="K154" s="54">
        <f>IFERROR(IF(factura_c_mes4[[#This Row],[CUIT]]="","-",VLOOKUP(factura_c_mes4[[#This Row],[CUIT]],Lista_CUIT[#All],4,0)),"CUIT NO CARGADO")</f>
        <v>0</v>
      </c>
    </row>
    <row r="155" spans="4:11">
      <c r="D155" s="50">
        <v>45398</v>
      </c>
      <c r="E155" s="175">
        <v>1</v>
      </c>
      <c r="F155" s="175">
        <v>209</v>
      </c>
      <c r="G155" s="118">
        <v>27217606255</v>
      </c>
      <c r="H155" s="53" t="str">
        <f>IFERROR(IF(factura_c_mes4[[#This Row],[CUIT]]="","-",VLOOKUP(factura_c_mes4[[#This Row],[CUIT]],Lista_CUIT[#All],2,0)),"CUIT NO CARGADO")</f>
        <v>SAPUNA MARIAN KARINA</v>
      </c>
      <c r="I155" s="176">
        <v>49423.78</v>
      </c>
      <c r="J155" s="54" t="str">
        <f>IFERROR(IF(factura_c_mes4[[#This Row],[CUIT]]="","-",VLOOKUP(factura_c_mes4[[#This Row],[CUIT]],Lista_CUIT[#All],3,0)),"CUIT NO CARGADO")</f>
        <v>MANTENIMIENTO</v>
      </c>
      <c r="K155" s="54">
        <f>IFERROR(IF(factura_c_mes4[[#This Row],[CUIT]]="","-",VLOOKUP(factura_c_mes4[[#This Row],[CUIT]],Lista_CUIT[#All],4,0)),"CUIT NO CARGADO")</f>
        <v>0</v>
      </c>
    </row>
    <row r="156" spans="4:11">
      <c r="D156" s="50">
        <v>45398</v>
      </c>
      <c r="E156" s="175">
        <v>1</v>
      </c>
      <c r="F156" s="175">
        <v>8</v>
      </c>
      <c r="G156" s="118">
        <v>27443612705</v>
      </c>
      <c r="H156" s="53" t="str">
        <f>IFERROR(IF(factura_c_mes4[[#This Row],[CUIT]]="","-",VLOOKUP(factura_c_mes4[[#This Row],[CUIT]],Lista_CUIT[#All],2,0)),"CUIT NO CARGADO")</f>
        <v>MIGOYA MORIONDO MARIA INES</v>
      </c>
      <c r="I156" s="176">
        <v>300000</v>
      </c>
      <c r="J156" s="54" t="str">
        <f>IFERROR(IF(factura_c_mes4[[#This Row],[CUIT]]="","-",VLOOKUP(factura_c_mes4[[#This Row],[CUIT]],Lista_CUIT[#All],3,0)),"CUIT NO CARGADO")</f>
        <v>ALQUILERES PAGADOS</v>
      </c>
      <c r="K156" s="54">
        <f>IFERROR(IF(factura_c_mes4[[#This Row],[CUIT]]="","-",VLOOKUP(factura_c_mes4[[#This Row],[CUIT]],Lista_CUIT[#All],4,0)),"CUIT NO CARGADO")</f>
        <v>0</v>
      </c>
    </row>
    <row r="157" spans="4:11">
      <c r="D157" s="50">
        <v>45399</v>
      </c>
      <c r="E157" s="175">
        <v>1</v>
      </c>
      <c r="F157" s="175">
        <v>211</v>
      </c>
      <c r="G157" s="118">
        <v>27217606255</v>
      </c>
      <c r="H157" s="53" t="str">
        <f>IFERROR(IF(factura_c_mes4[[#This Row],[CUIT]]="","-",VLOOKUP(factura_c_mes4[[#This Row],[CUIT]],Lista_CUIT[#All],2,0)),"CUIT NO CARGADO")</f>
        <v>SAPUNA MARIAN KARINA</v>
      </c>
      <c r="I157" s="176">
        <v>47879.29</v>
      </c>
      <c r="J157" s="54" t="str">
        <f>IFERROR(IF(factura_c_mes4[[#This Row],[CUIT]]="","-",VLOOKUP(factura_c_mes4[[#This Row],[CUIT]],Lista_CUIT[#All],3,0)),"CUIT NO CARGADO")</f>
        <v>MANTENIMIENTO</v>
      </c>
      <c r="K157" s="54">
        <f>IFERROR(IF(factura_c_mes4[[#This Row],[CUIT]]="","-",VLOOKUP(factura_c_mes4[[#This Row],[CUIT]],Lista_CUIT[#All],4,0)),"CUIT NO CARGADO")</f>
        <v>0</v>
      </c>
    </row>
    <row r="158" spans="4:11">
      <c r="D158" s="50">
        <v>45399</v>
      </c>
      <c r="E158" s="175">
        <v>2</v>
      </c>
      <c r="F158" s="175">
        <v>1</v>
      </c>
      <c r="G158" s="118">
        <v>20299835260</v>
      </c>
      <c r="H158" s="53" t="str">
        <f>IFERROR(IF(factura_c_mes4[[#This Row],[CUIT]]="","-",VLOOKUP(factura_c_mes4[[#This Row],[CUIT]],Lista_CUIT[#All],2,0)),"CUIT NO CARGADO")</f>
        <v>MALGAREJO NICOLAS EMILIO</v>
      </c>
      <c r="I158" s="176">
        <v>320000</v>
      </c>
      <c r="J158" s="54" t="str">
        <f>IFERROR(IF(factura_c_mes4[[#This Row],[CUIT]]="","-",VLOOKUP(factura_c_mes4[[#This Row],[CUIT]],Lista_CUIT[#All],3,0)),"CUIT NO CARGADO")</f>
        <v>Productos Ortopedicos</v>
      </c>
      <c r="K158" s="54">
        <f>IFERROR(IF(factura_c_mes4[[#This Row],[CUIT]]="","-",VLOOKUP(factura_c_mes4[[#This Row],[CUIT]],Lista_CUIT[#All],4,0)),"CUIT NO CARGADO")</f>
        <v>0</v>
      </c>
    </row>
    <row r="159" spans="4:11">
      <c r="D159" s="50">
        <v>45399</v>
      </c>
      <c r="E159" s="175">
        <v>1</v>
      </c>
      <c r="F159" s="175">
        <v>210</v>
      </c>
      <c r="G159" s="118">
        <v>27217606255</v>
      </c>
      <c r="H159" s="53" t="str">
        <f>IFERROR(IF(factura_c_mes4[[#This Row],[CUIT]]="","-",VLOOKUP(factura_c_mes4[[#This Row],[CUIT]],Lista_CUIT[#All],2,0)),"CUIT NO CARGADO")</f>
        <v>SAPUNA MARIAN KARINA</v>
      </c>
      <c r="I159" s="176">
        <v>43105.39</v>
      </c>
      <c r="J159" s="54" t="str">
        <f>IFERROR(IF(factura_c_mes4[[#This Row],[CUIT]]="","-",VLOOKUP(factura_c_mes4[[#This Row],[CUIT]],Lista_CUIT[#All],3,0)),"CUIT NO CARGADO")</f>
        <v>MANTENIMIENTO</v>
      </c>
      <c r="K159" s="54">
        <f>IFERROR(IF(factura_c_mes4[[#This Row],[CUIT]]="","-",VLOOKUP(factura_c_mes4[[#This Row],[CUIT]],Lista_CUIT[#All],4,0)),"CUIT NO CARGADO")</f>
        <v>0</v>
      </c>
    </row>
    <row r="160" spans="4:11">
      <c r="D160" s="50">
        <v>45400</v>
      </c>
      <c r="E160" s="175">
        <v>3</v>
      </c>
      <c r="F160" s="175">
        <v>3111</v>
      </c>
      <c r="G160" s="118">
        <v>20345359444</v>
      </c>
      <c r="H160" s="53" t="str">
        <f>IFERROR(IF(factura_c_mes4[[#This Row],[CUIT]]="","-",VLOOKUP(factura_c_mes4[[#This Row],[CUIT]],Lista_CUIT[#All],2,0)),"CUIT NO CARGADO")</f>
        <v>CUIT NO CARGADO</v>
      </c>
      <c r="I160" s="176">
        <v>5000</v>
      </c>
      <c r="J160" s="54" t="str">
        <f>IFERROR(IF(factura_c_mes4[[#This Row],[CUIT]]="","-",VLOOKUP(factura_c_mes4[[#This Row],[CUIT]],Lista_CUIT[#All],3,0)),"CUIT NO CARGADO")</f>
        <v>CUIT NO CARGADO</v>
      </c>
      <c r="K160" s="54" t="str">
        <f>IFERROR(IF(factura_c_mes4[[#This Row],[CUIT]]="","-",VLOOKUP(factura_c_mes4[[#This Row],[CUIT]],Lista_CUIT[#All],4,0)),"CUIT NO CARGADO")</f>
        <v>CUIT NO CARGADO</v>
      </c>
    </row>
    <row r="161" spans="4:11">
      <c r="D161" s="50">
        <v>45400</v>
      </c>
      <c r="E161" s="175">
        <v>1</v>
      </c>
      <c r="F161" s="175">
        <v>189</v>
      </c>
      <c r="G161" s="118">
        <v>20181517957</v>
      </c>
      <c r="H161" s="53" t="str">
        <f>IFERROR(IF(factura_c_mes4[[#This Row],[CUIT]]="","-",VLOOKUP(factura_c_mes4[[#This Row],[CUIT]],Lista_CUIT[#All],2,0)),"CUIT NO CARGADO")</f>
        <v>MAZAFFRE DANIEL ALBERTO</v>
      </c>
      <c r="I161" s="176">
        <v>101334</v>
      </c>
      <c r="J161" s="54" t="str">
        <f>IFERROR(IF(factura_c_mes4[[#This Row],[CUIT]]="","-",VLOOKUP(factura_c_mes4[[#This Row],[CUIT]],Lista_CUIT[#All],3,0)),"CUIT NO CARGADO")</f>
        <v>Productos Ortopedicos</v>
      </c>
      <c r="K161" s="54">
        <f>IFERROR(IF(factura_c_mes4[[#This Row],[CUIT]]="","-",VLOOKUP(factura_c_mes4[[#This Row],[CUIT]],Lista_CUIT[#All],4,0)),"CUIT NO CARGADO")</f>
        <v>0</v>
      </c>
    </row>
    <row r="162" spans="4:11">
      <c r="D162" s="50">
        <v>45400</v>
      </c>
      <c r="E162" s="175">
        <v>1</v>
      </c>
      <c r="F162" s="175">
        <v>214</v>
      </c>
      <c r="G162" s="118">
        <v>27217606255</v>
      </c>
      <c r="H162" s="53" t="str">
        <f>IFERROR(IF(factura_c_mes4[[#This Row],[CUIT]]="","-",VLOOKUP(factura_c_mes4[[#This Row],[CUIT]],Lista_CUIT[#All],2,0)),"CUIT NO CARGADO")</f>
        <v>SAPUNA MARIAN KARINA</v>
      </c>
      <c r="I162" s="176">
        <v>92938.18</v>
      </c>
      <c r="J162" s="54" t="str">
        <f>IFERROR(IF(factura_c_mes4[[#This Row],[CUIT]]="","-",VLOOKUP(factura_c_mes4[[#This Row],[CUIT]],Lista_CUIT[#All],3,0)),"CUIT NO CARGADO")</f>
        <v>MANTENIMIENTO</v>
      </c>
      <c r="K162" s="54">
        <f>IFERROR(IF(factura_c_mes4[[#This Row],[CUIT]]="","-",VLOOKUP(factura_c_mes4[[#This Row],[CUIT]],Lista_CUIT[#All],4,0)),"CUIT NO CARGADO")</f>
        <v>0</v>
      </c>
    </row>
    <row r="163" spans="4:11">
      <c r="D163" s="50">
        <v>45400</v>
      </c>
      <c r="E163" s="175">
        <v>1</v>
      </c>
      <c r="F163" s="175">
        <v>213</v>
      </c>
      <c r="G163" s="118">
        <v>27217606255</v>
      </c>
      <c r="H163" s="53" t="str">
        <f>IFERROR(IF(factura_c_mes4[[#This Row],[CUIT]]="","-",VLOOKUP(factura_c_mes4[[#This Row],[CUIT]],Lista_CUIT[#All],2,0)),"CUIT NO CARGADO")</f>
        <v>SAPUNA MARIAN KARINA</v>
      </c>
      <c r="I163" s="176">
        <v>82372.73</v>
      </c>
      <c r="J163" s="54" t="str">
        <f>IFERROR(IF(factura_c_mes4[[#This Row],[CUIT]]="","-",VLOOKUP(factura_c_mes4[[#This Row],[CUIT]],Lista_CUIT[#All],3,0)),"CUIT NO CARGADO")</f>
        <v>MANTENIMIENTO</v>
      </c>
      <c r="K163" s="54">
        <f>IFERROR(IF(factura_c_mes4[[#This Row],[CUIT]]="","-",VLOOKUP(factura_c_mes4[[#This Row],[CUIT]],Lista_CUIT[#All],4,0)),"CUIT NO CARGADO")</f>
        <v>0</v>
      </c>
    </row>
    <row r="164" spans="4:11">
      <c r="D164" s="50">
        <v>45400</v>
      </c>
      <c r="E164" s="175">
        <v>1</v>
      </c>
      <c r="F164" s="175">
        <v>212</v>
      </c>
      <c r="G164" s="118">
        <v>27217606255</v>
      </c>
      <c r="H164" s="53" t="str">
        <f>IFERROR(IF(factura_c_mes4[[#This Row],[CUIT]]="","-",VLOOKUP(factura_c_mes4[[#This Row],[CUIT]],Lista_CUIT[#All],2,0)),"CUIT NO CARGADO")</f>
        <v>SAPUNA MARIAN KARINA</v>
      </c>
      <c r="I164" s="176">
        <v>130590.9</v>
      </c>
      <c r="J164" s="54" t="str">
        <f>IFERROR(IF(factura_c_mes4[[#This Row],[CUIT]]="","-",VLOOKUP(factura_c_mes4[[#This Row],[CUIT]],Lista_CUIT[#All],3,0)),"CUIT NO CARGADO")</f>
        <v>MANTENIMIENTO</v>
      </c>
      <c r="K164" s="54">
        <f>IFERROR(IF(factura_c_mes4[[#This Row],[CUIT]]="","-",VLOOKUP(factura_c_mes4[[#This Row],[CUIT]],Lista_CUIT[#All],4,0)),"CUIT NO CARGADO")</f>
        <v>0</v>
      </c>
    </row>
    <row r="165" spans="4:11">
      <c r="D165" s="50">
        <v>45401</v>
      </c>
      <c r="E165" s="175">
        <v>1</v>
      </c>
      <c r="F165" s="175">
        <v>215</v>
      </c>
      <c r="G165" s="118">
        <v>27217606255</v>
      </c>
      <c r="H165" s="53" t="str">
        <f>IFERROR(IF(factura_c_mes4[[#This Row],[CUIT]]="","-",VLOOKUP(factura_c_mes4[[#This Row],[CUIT]],Lista_CUIT[#All],2,0)),"CUIT NO CARGADO")</f>
        <v>SAPUNA MARIAN KARINA</v>
      </c>
      <c r="I165" s="176">
        <v>73689.73</v>
      </c>
      <c r="J165" s="54" t="str">
        <f>IFERROR(IF(factura_c_mes4[[#This Row],[CUIT]]="","-",VLOOKUP(factura_c_mes4[[#This Row],[CUIT]],Lista_CUIT[#All],3,0)),"CUIT NO CARGADO")</f>
        <v>MANTENIMIENTO</v>
      </c>
      <c r="K165" s="54">
        <f>IFERROR(IF(factura_c_mes4[[#This Row],[CUIT]]="","-",VLOOKUP(factura_c_mes4[[#This Row],[CUIT]],Lista_CUIT[#All],4,0)),"CUIT NO CARGADO")</f>
        <v>0</v>
      </c>
    </row>
    <row r="166" spans="4:11">
      <c r="D166" s="50">
        <v>45404</v>
      </c>
      <c r="E166" s="175">
        <v>10</v>
      </c>
      <c r="F166" s="175">
        <v>9</v>
      </c>
      <c r="G166" s="118">
        <v>27207433867</v>
      </c>
      <c r="H166" s="53" t="str">
        <f>IFERROR(IF(factura_c_mes4[[#This Row],[CUIT]]="","-",VLOOKUP(factura_c_mes4[[#This Row],[CUIT]],Lista_CUIT[#All],2,0)),"CUIT NO CARGADO")</f>
        <v xml:space="preserve">CIGNONI ALEJANDRA FABIANA </v>
      </c>
      <c r="I166" s="176">
        <v>100000</v>
      </c>
      <c r="J166" s="54" t="str">
        <f>IFERROR(IF(factura_c_mes4[[#This Row],[CUIT]]="","-",VLOOKUP(factura_c_mes4[[#This Row],[CUIT]],Lista_CUIT[#All],3,0)),"CUIT NO CARGADO")</f>
        <v>HONORARIOS CONTABLES</v>
      </c>
      <c r="K166" s="54">
        <f>IFERROR(IF(factura_c_mes4[[#This Row],[CUIT]]="","-",VLOOKUP(factura_c_mes4[[#This Row],[CUIT]],Lista_CUIT[#All],4,0)),"CUIT NO CARGADO")</f>
        <v>0</v>
      </c>
    </row>
    <row r="167" spans="4:11">
      <c r="D167" s="50">
        <v>45404</v>
      </c>
      <c r="E167" s="175">
        <v>2</v>
      </c>
      <c r="F167" s="175">
        <v>268</v>
      </c>
      <c r="G167" s="118">
        <v>27265832178</v>
      </c>
      <c r="H167" s="53" t="str">
        <f>IFERROR(IF(factura_c_mes4[[#This Row],[CUIT]]="","-",VLOOKUP(factura_c_mes4[[#This Row],[CUIT]],Lista_CUIT[#All],2,0)),"CUIT NO CARGADO")</f>
        <v>BLASCO MARIA GUADALUPE</v>
      </c>
      <c r="I167" s="176">
        <v>150000</v>
      </c>
      <c r="J167" s="54" t="str">
        <f>IFERROR(IF(factura_c_mes4[[#This Row],[CUIT]]="","-",VLOOKUP(factura_c_mes4[[#This Row],[CUIT]],Lista_CUIT[#All],3,0)),"CUIT NO CARGADO")</f>
        <v>Productos Ortopedicos</v>
      </c>
      <c r="K167" s="54">
        <f>IFERROR(IF(factura_c_mes4[[#This Row],[CUIT]]="","-",VLOOKUP(factura_c_mes4[[#This Row],[CUIT]],Lista_CUIT[#All],4,0)),"CUIT NO CARGADO")</f>
        <v>0</v>
      </c>
    </row>
    <row r="168" spans="4:11">
      <c r="D168" s="50">
        <v>45407</v>
      </c>
      <c r="E168" s="175">
        <v>1</v>
      </c>
      <c r="F168" s="175">
        <v>131</v>
      </c>
      <c r="G168" s="118">
        <v>27338342840</v>
      </c>
      <c r="H168" s="53" t="str">
        <f>IFERROR(IF(factura_c_mes4[[#This Row],[CUIT]]="","-",VLOOKUP(factura_c_mes4[[#This Row],[CUIT]],Lista_CUIT[#All],2,0)),"CUIT NO CARGADO")</f>
        <v>CANCINO PAMELA RITA</v>
      </c>
      <c r="I168" s="176">
        <v>126000</v>
      </c>
      <c r="J168" s="54" t="str">
        <f>IFERROR(IF(factura_c_mes4[[#This Row],[CUIT]]="","-",VLOOKUP(factura_c_mes4[[#This Row],[CUIT]],Lista_CUIT[#All],3,0)),"CUIT NO CARGADO")</f>
        <v>Productos Ortopedicos</v>
      </c>
      <c r="K168" s="54">
        <f>IFERROR(IF(factura_c_mes4[[#This Row],[CUIT]]="","-",VLOOKUP(factura_c_mes4[[#This Row],[CUIT]],Lista_CUIT[#All],4,0)),"CUIT NO CARGADO")</f>
        <v>0</v>
      </c>
    </row>
    <row r="169" spans="4:11">
      <c r="D169" s="50">
        <v>45411</v>
      </c>
      <c r="E169" s="175">
        <v>1</v>
      </c>
      <c r="F169" s="175">
        <v>4</v>
      </c>
      <c r="G169" s="118">
        <v>20464199633</v>
      </c>
      <c r="H169" s="53" t="str">
        <f>IFERROR(IF(factura_c_mes4[[#This Row],[CUIT]]="","-",VLOOKUP(factura_c_mes4[[#This Row],[CUIT]],Lista_CUIT[#All],2,0)),"CUIT NO CARGADO")</f>
        <v>OVIEDO JIMENEZ TIZIANO LIONEL</v>
      </c>
      <c r="I169" s="176">
        <v>348800</v>
      </c>
      <c r="J169" s="54" t="str">
        <f>IFERROR(IF(factura_c_mes4[[#This Row],[CUIT]]="","-",VLOOKUP(factura_c_mes4[[#This Row],[CUIT]],Lista_CUIT[#All],3,0)),"CUIT NO CARGADO")</f>
        <v>Productos Ortopedicos</v>
      </c>
      <c r="K169" s="54">
        <f>IFERROR(IF(factura_c_mes4[[#This Row],[CUIT]]="","-",VLOOKUP(factura_c_mes4[[#This Row],[CUIT]],Lista_CUIT[#All],4,0)),"CUIT NO CARGADO")</f>
        <v>0</v>
      </c>
    </row>
    <row r="170" spans="4:11">
      <c r="D170" s="50"/>
      <c r="E170" s="175"/>
      <c r="F170" s="175"/>
      <c r="G170" s="118"/>
      <c r="H170" s="53" t="str">
        <f>IFERROR(IF(factura_c_mes4[[#This Row],[CUIT]]="","-",VLOOKUP(factura_c_mes4[[#This Row],[CUIT]],Lista_CUIT[#All],2,0)),"CUIT NO CARGADO")</f>
        <v>-</v>
      </c>
      <c r="I170" s="176"/>
      <c r="J170" s="54" t="str">
        <f>IFERROR(IF(factura_c_mes4[[#This Row],[CUIT]]="","-",VLOOKUP(factura_c_mes4[[#This Row],[CUIT]],Lista_CUIT[#All],3,0)),"CUIT NO CARGADO")</f>
        <v>-</v>
      </c>
      <c r="K170" s="54" t="str">
        <f>IFERROR(IF(factura_c_mes4[[#This Row],[CUIT]]="","-",VLOOKUP(factura_c_mes4[[#This Row],[CUIT]],Lista_CUIT[#All],4,0)),"CUIT NO CARGADO")</f>
        <v>-</v>
      </c>
    </row>
    <row r="171" spans="4:11">
      <c r="D171" s="50"/>
      <c r="E171" s="175"/>
      <c r="F171" s="175"/>
      <c r="G171" s="118"/>
      <c r="H171" s="53" t="str">
        <f>IFERROR(IF(factura_c_mes4[[#This Row],[CUIT]]="","-",VLOOKUP(factura_c_mes4[[#This Row],[CUIT]],Lista_CUIT[#All],2,0)),"CUIT NO CARGADO")</f>
        <v>-</v>
      </c>
      <c r="I171" s="176"/>
      <c r="J171" s="54" t="str">
        <f>IFERROR(IF(factura_c_mes4[[#This Row],[CUIT]]="","-",VLOOKUP(factura_c_mes4[[#This Row],[CUIT]],Lista_CUIT[#All],3,0)),"CUIT NO CARGADO")</f>
        <v>-</v>
      </c>
      <c r="K171" s="54" t="str">
        <f>IFERROR(IF(factura_c_mes4[[#This Row],[CUIT]]="","-",VLOOKUP(factura_c_mes4[[#This Row],[CUIT]],Lista_CUIT[#All],4,0)),"CUIT NO CARGADO")</f>
        <v>-</v>
      </c>
    </row>
    <row r="172" spans="4:11">
      <c r="D172" s="50"/>
      <c r="E172" s="175"/>
      <c r="F172" s="175"/>
      <c r="G172" s="118"/>
      <c r="H172" s="53" t="str">
        <f>IFERROR(IF(factura_c_mes4[[#This Row],[CUIT]]="","-",VLOOKUP(factura_c_mes4[[#This Row],[CUIT]],Lista_CUIT[#All],2,0)),"CUIT NO CARGADO")</f>
        <v>-</v>
      </c>
      <c r="I172" s="176"/>
      <c r="J172" s="54" t="str">
        <f>IFERROR(IF(factura_c_mes4[[#This Row],[CUIT]]="","-",VLOOKUP(factura_c_mes4[[#This Row],[CUIT]],Lista_CUIT[#All],3,0)),"CUIT NO CARGADO")</f>
        <v>-</v>
      </c>
      <c r="K172" s="54" t="str">
        <f>IFERROR(IF(factura_c_mes4[[#This Row],[CUIT]]="","-",VLOOKUP(factura_c_mes4[[#This Row],[CUIT]],Lista_CUIT[#All],4,0)),"CUIT NO CARGADO")</f>
        <v>-</v>
      </c>
    </row>
    <row r="173" spans="4:11">
      <c r="D173" s="50"/>
      <c r="E173" s="175"/>
      <c r="F173" s="175"/>
      <c r="G173" s="118"/>
      <c r="H173" s="53" t="str">
        <f>IFERROR(IF(factura_c_mes4[[#This Row],[CUIT]]="","-",VLOOKUP(factura_c_mes4[[#This Row],[CUIT]],Lista_CUIT[#All],2,0)),"CUIT NO CARGADO")</f>
        <v>-</v>
      </c>
      <c r="I173" s="176"/>
      <c r="J173" s="54" t="str">
        <f>IFERROR(IF(factura_c_mes4[[#This Row],[CUIT]]="","-",VLOOKUP(factura_c_mes4[[#This Row],[CUIT]],Lista_CUIT[#All],3,0)),"CUIT NO CARGADO")</f>
        <v>-</v>
      </c>
      <c r="K173" s="54" t="str">
        <f>IFERROR(IF(factura_c_mes4[[#This Row],[CUIT]]="","-",VLOOKUP(factura_c_mes4[[#This Row],[CUIT]],Lista_CUIT[#All],4,0)),"CUIT NO CARGADO")</f>
        <v>-</v>
      </c>
    </row>
    <row r="174" spans="4:11">
      <c r="D174" s="50"/>
      <c r="E174" s="175"/>
      <c r="F174" s="175"/>
      <c r="G174" s="118"/>
      <c r="H174" s="53" t="str">
        <f>IFERROR(IF(factura_c_mes4[[#This Row],[CUIT]]="","-",VLOOKUP(factura_c_mes4[[#This Row],[CUIT]],Lista_CUIT[#All],2,0)),"CUIT NO CARGADO")</f>
        <v>-</v>
      </c>
      <c r="I174" s="176"/>
      <c r="J174" s="54" t="str">
        <f>IFERROR(IF(factura_c_mes4[[#This Row],[CUIT]]="","-",VLOOKUP(factura_c_mes4[[#This Row],[CUIT]],Lista_CUIT[#All],3,0)),"CUIT NO CARGADO")</f>
        <v>-</v>
      </c>
      <c r="K174" s="54" t="str">
        <f>IFERROR(IF(factura_c_mes4[[#This Row],[CUIT]]="","-",VLOOKUP(factura_c_mes4[[#This Row],[CUIT]],Lista_CUIT[#All],4,0)),"CUIT NO CARGADO")</f>
        <v>-</v>
      </c>
    </row>
    <row r="175" spans="4:11">
      <c r="D175" s="50"/>
      <c r="E175" s="175"/>
      <c r="F175" s="175"/>
      <c r="G175" s="118"/>
      <c r="H175" s="53" t="str">
        <f>IFERROR(IF(factura_c_mes4[[#This Row],[CUIT]]="","-",VLOOKUP(factura_c_mes4[[#This Row],[CUIT]],Lista_CUIT[#All],2,0)),"CUIT NO CARGADO")</f>
        <v>-</v>
      </c>
      <c r="I175" s="176"/>
      <c r="J175" s="54" t="str">
        <f>IFERROR(IF(factura_c_mes4[[#This Row],[CUIT]]="","-",VLOOKUP(factura_c_mes4[[#This Row],[CUIT]],Lista_CUIT[#All],3,0)),"CUIT NO CARGADO")</f>
        <v>-</v>
      </c>
      <c r="K175" s="54" t="str">
        <f>IFERROR(IF(factura_c_mes4[[#This Row],[CUIT]]="","-",VLOOKUP(factura_c_mes4[[#This Row],[CUIT]],Lista_CUIT[#All],4,0)),"CUIT NO CARGADO")</f>
        <v>-</v>
      </c>
    </row>
    <row r="176" spans="4:11">
      <c r="D176" s="50"/>
      <c r="E176" s="175"/>
      <c r="F176" s="175"/>
      <c r="G176" s="118"/>
      <c r="H176" s="53" t="str">
        <f>IFERROR(IF(factura_c_mes4[[#This Row],[CUIT]]="","-",VLOOKUP(factura_c_mes4[[#This Row],[CUIT]],Lista_CUIT[#All],2,0)),"CUIT NO CARGADO")</f>
        <v>-</v>
      </c>
      <c r="I176" s="176"/>
      <c r="J176" s="54" t="str">
        <f>IFERROR(IF(factura_c_mes4[[#This Row],[CUIT]]="","-",VLOOKUP(factura_c_mes4[[#This Row],[CUIT]],Lista_CUIT[#All],3,0)),"CUIT NO CARGADO")</f>
        <v>-</v>
      </c>
      <c r="K176" s="54" t="str">
        <f>IFERROR(IF(factura_c_mes4[[#This Row],[CUIT]]="","-",VLOOKUP(factura_c_mes4[[#This Row],[CUIT]],Lista_CUIT[#All],4,0)),"CUIT NO CARGADO")</f>
        <v>-</v>
      </c>
    </row>
    <row r="177" spans="2:18">
      <c r="D177" s="50"/>
      <c r="E177" s="175"/>
      <c r="F177" s="175"/>
      <c r="G177" s="118"/>
      <c r="H177" s="53" t="str">
        <f>IFERROR(IF(factura_c_mes4[[#This Row],[CUIT]]="","-",VLOOKUP(factura_c_mes4[[#This Row],[CUIT]],Lista_CUIT[#All],2,0)),"CUIT NO CARGADO")</f>
        <v>-</v>
      </c>
      <c r="I177" s="176"/>
      <c r="J177" s="54" t="str">
        <f>IFERROR(IF(factura_c_mes4[[#This Row],[CUIT]]="","-",VLOOKUP(factura_c_mes4[[#This Row],[CUIT]],Lista_CUIT[#All],3,0)),"CUIT NO CARGADO")</f>
        <v>-</v>
      </c>
      <c r="K177" s="54" t="str">
        <f>IFERROR(IF(factura_c_mes4[[#This Row],[CUIT]]="","-",VLOOKUP(factura_c_mes4[[#This Row],[CUIT]],Lista_CUIT[#All],4,0)),"CUIT NO CARGADO")</f>
        <v>-</v>
      </c>
    </row>
    <row r="178" spans="2:18">
      <c r="D178" s="50"/>
      <c r="E178" s="175"/>
      <c r="F178" s="175"/>
      <c r="G178" s="118"/>
      <c r="H178" s="53" t="str">
        <f>IFERROR(IF(factura_c_mes4[[#This Row],[CUIT]]="","-",VLOOKUP(factura_c_mes4[[#This Row],[CUIT]],Lista_CUIT[#All],2,0)),"CUIT NO CARGADO")</f>
        <v>-</v>
      </c>
      <c r="I178" s="176"/>
      <c r="J178" s="54" t="str">
        <f>IFERROR(IF(factura_c_mes4[[#This Row],[CUIT]]="","-",VLOOKUP(factura_c_mes4[[#This Row],[CUIT]],Lista_CUIT[#All],3,0)),"CUIT NO CARGADO")</f>
        <v>-</v>
      </c>
      <c r="K178" s="54" t="str">
        <f>IFERROR(IF(factura_c_mes4[[#This Row],[CUIT]]="","-",VLOOKUP(factura_c_mes4[[#This Row],[CUIT]],Lista_CUIT[#All],4,0)),"CUIT NO CARGADO")</f>
        <v>-</v>
      </c>
    </row>
    <row r="179" spans="2:18">
      <c r="D179" s="50"/>
      <c r="E179" s="175"/>
      <c r="F179" s="175"/>
      <c r="G179" s="118"/>
      <c r="H179" s="53" t="str">
        <f>IFERROR(IF(factura_c_mes4[[#This Row],[CUIT]]="","-",VLOOKUP(factura_c_mes4[[#This Row],[CUIT]],Lista_CUIT[#All],2,0)),"CUIT NO CARGADO")</f>
        <v>-</v>
      </c>
      <c r="I179" s="176"/>
      <c r="J179" s="54" t="str">
        <f>IFERROR(IF(factura_c_mes4[[#This Row],[CUIT]]="","-",VLOOKUP(factura_c_mes4[[#This Row],[CUIT]],Lista_CUIT[#All],3,0)),"CUIT NO CARGADO")</f>
        <v>-</v>
      </c>
      <c r="K179" s="54" t="str">
        <f>IFERROR(IF(factura_c_mes4[[#This Row],[CUIT]]="","-",VLOOKUP(factura_c_mes4[[#This Row],[CUIT]],Lista_CUIT[#All],4,0)),"CUIT NO CARGADO")</f>
        <v>-</v>
      </c>
    </row>
    <row r="180" spans="2:18">
      <c r="D180" s="50"/>
      <c r="E180" s="175"/>
      <c r="F180" s="175"/>
      <c r="G180" s="118"/>
      <c r="H180" s="53" t="str">
        <f>IFERROR(IF(factura_c_mes4[[#This Row],[CUIT]]="","-",VLOOKUP(factura_c_mes4[[#This Row],[CUIT]],Lista_CUIT[#All],2,0)),"CUIT NO CARGADO")</f>
        <v>-</v>
      </c>
      <c r="I180" s="176"/>
      <c r="J180" s="54" t="str">
        <f>IFERROR(IF(factura_c_mes4[[#This Row],[CUIT]]="","-",VLOOKUP(factura_c_mes4[[#This Row],[CUIT]],Lista_CUIT[#All],3,0)),"CUIT NO CARGADO")</f>
        <v>-</v>
      </c>
      <c r="K180" s="54" t="str">
        <f>IFERROR(IF(factura_c_mes4[[#This Row],[CUIT]]="","-",VLOOKUP(factura_c_mes4[[#This Row],[CUIT]],Lista_CUIT[#All],4,0)),"CUIT NO CARGADO")</f>
        <v>-</v>
      </c>
    </row>
    <row r="181" spans="2:18">
      <c r="D181" s="50"/>
      <c r="E181" s="175"/>
      <c r="F181" s="175"/>
      <c r="G181" s="118"/>
      <c r="H181" s="53" t="str">
        <f>IFERROR(IF(factura_c_mes4[[#This Row],[CUIT]]="","-",VLOOKUP(factura_c_mes4[[#This Row],[CUIT]],Lista_CUIT[#All],2,0)),"CUIT NO CARGADO")</f>
        <v>-</v>
      </c>
      <c r="I181" s="176"/>
      <c r="J181" s="54" t="str">
        <f>IFERROR(IF(factura_c_mes4[[#This Row],[CUIT]]="","-",VLOOKUP(factura_c_mes4[[#This Row],[CUIT]],Lista_CUIT[#All],3,0)),"CUIT NO CARGADO")</f>
        <v>-</v>
      </c>
      <c r="K181" s="54" t="str">
        <f>IFERROR(IF(factura_c_mes4[[#This Row],[CUIT]]="","-",VLOOKUP(factura_c_mes4[[#This Row],[CUIT]],Lista_CUIT[#All],4,0)),"CUIT NO CARGADO")</f>
        <v>-</v>
      </c>
    </row>
    <row r="182" spans="2:18">
      <c r="D182" s="50"/>
      <c r="E182" s="175"/>
      <c r="F182" s="175"/>
      <c r="G182" s="118"/>
      <c r="H182" s="53" t="str">
        <f>IFERROR(IF(factura_c_mes4[[#This Row],[CUIT]]="","-",VLOOKUP(factura_c_mes4[[#This Row],[CUIT]],Lista_CUIT[#All],2,0)),"CUIT NO CARGADO")</f>
        <v>-</v>
      </c>
      <c r="I182" s="176"/>
      <c r="J182" s="54" t="str">
        <f>IFERROR(IF(factura_c_mes4[[#This Row],[CUIT]]="","-",VLOOKUP(factura_c_mes4[[#This Row],[CUIT]],Lista_CUIT[#All],3,0)),"CUIT NO CARGADO")</f>
        <v>-</v>
      </c>
      <c r="K182" s="54" t="str">
        <f>IFERROR(IF(factura_c_mes4[[#This Row],[CUIT]]="","-",VLOOKUP(factura_c_mes4[[#This Row],[CUIT]],Lista_CUIT[#All],4,0)),"CUIT NO CARGADO")</f>
        <v>-</v>
      </c>
    </row>
    <row r="183" spans="2:18">
      <c r="D183" s="50"/>
      <c r="E183" s="175"/>
      <c r="F183" s="175"/>
      <c r="G183" s="118"/>
      <c r="H183" s="53" t="str">
        <f>IFERROR(IF(factura_c_mes4[[#This Row],[CUIT]]="","-",VLOOKUP(factura_c_mes4[[#This Row],[CUIT]],Lista_CUIT[#All],2,0)),"CUIT NO CARGADO")</f>
        <v>-</v>
      </c>
      <c r="I183" s="176"/>
      <c r="J183" s="54" t="str">
        <f>IFERROR(IF(factura_c_mes4[[#This Row],[CUIT]]="","-",VLOOKUP(factura_c_mes4[[#This Row],[CUIT]],Lista_CUIT[#All],3,0)),"CUIT NO CARGADO")</f>
        <v>-</v>
      </c>
      <c r="K183" s="54" t="str">
        <f>IFERROR(IF(factura_c_mes4[[#This Row],[CUIT]]="","-",VLOOKUP(factura_c_mes4[[#This Row],[CUIT]],Lista_CUIT[#All],4,0)),"CUIT NO CARGADO")</f>
        <v>-</v>
      </c>
    </row>
    <row r="184" spans="2:18">
      <c r="D184" s="50"/>
      <c r="E184" s="175"/>
      <c r="F184" s="175"/>
      <c r="G184" s="118"/>
      <c r="H184" s="53" t="str">
        <f>IFERROR(IF(factura_c_mes4[[#This Row],[CUIT]]="","-",VLOOKUP(factura_c_mes4[[#This Row],[CUIT]],Lista_CUIT[#All],2,0)),"CUIT NO CARGADO")</f>
        <v>-</v>
      </c>
      <c r="I184" s="176"/>
      <c r="J184" s="54" t="str">
        <f>IFERROR(IF(factura_c_mes4[[#This Row],[CUIT]]="","-",VLOOKUP(factura_c_mes4[[#This Row],[CUIT]],Lista_CUIT[#All],3,0)),"CUIT NO CARGADO")</f>
        <v>-</v>
      </c>
      <c r="K184" s="54" t="str">
        <f>IFERROR(IF(factura_c_mes4[[#This Row],[CUIT]]="","-",VLOOKUP(factura_c_mes4[[#This Row],[CUIT]],Lista_CUIT[#All],4,0)),"CUIT NO CARGADO")</f>
        <v>-</v>
      </c>
    </row>
    <row r="185" spans="2:18">
      <c r="D185" s="50"/>
      <c r="E185" s="175"/>
      <c r="F185" s="175"/>
      <c r="G185" s="118"/>
      <c r="H185" s="53" t="str">
        <f>IFERROR(IF(factura_c_mes4[[#This Row],[CUIT]]="","-",VLOOKUP(factura_c_mes4[[#This Row],[CUIT]],Lista_CUIT[#All],2,0)),"CUIT NO CARGADO")</f>
        <v>-</v>
      </c>
      <c r="I185" s="176"/>
      <c r="J185" s="54" t="str">
        <f>IFERROR(IF(factura_c_mes4[[#This Row],[CUIT]]="","-",VLOOKUP(factura_c_mes4[[#This Row],[CUIT]],Lista_CUIT[#All],3,0)),"CUIT NO CARGADO")</f>
        <v>-</v>
      </c>
      <c r="K185" s="54" t="str">
        <f>IFERROR(IF(factura_c_mes4[[#This Row],[CUIT]]="","-",VLOOKUP(factura_c_mes4[[#This Row],[CUIT]],Lista_CUIT[#All],4,0)),"CUIT NO CARGADO")</f>
        <v>-</v>
      </c>
    </row>
    <row r="186" spans="2:18">
      <c r="D186" s="50"/>
      <c r="E186" s="175"/>
      <c r="F186" s="175"/>
      <c r="G186" s="118"/>
      <c r="H186" s="53" t="str">
        <f>IFERROR(IF(factura_c_mes4[[#This Row],[CUIT]]="","-",VLOOKUP(factura_c_mes4[[#This Row],[CUIT]],Lista_CUIT[#All],2,0)),"CUIT NO CARGADO")</f>
        <v>-</v>
      </c>
      <c r="I186" s="176"/>
      <c r="J186" s="54" t="str">
        <f>IFERROR(IF(factura_c_mes4[[#This Row],[CUIT]]="","-",VLOOKUP(factura_c_mes4[[#This Row],[CUIT]],Lista_CUIT[#All],3,0)),"CUIT NO CARGADO")</f>
        <v>-</v>
      </c>
      <c r="K186" s="54" t="str">
        <f>IFERROR(IF(factura_c_mes4[[#This Row],[CUIT]]="","-",VLOOKUP(factura_c_mes4[[#This Row],[CUIT]],Lista_CUIT[#All],4,0)),"CUIT NO CARGADO")</f>
        <v>-</v>
      </c>
    </row>
    <row r="187" spans="2:18">
      <c r="D187" s="50"/>
      <c r="E187" s="42"/>
      <c r="F187" s="43"/>
      <c r="G187" s="44"/>
      <c r="H187" s="53" t="str">
        <f>IFERROR(IF(factura_c_mes4[[#This Row],[CUIT]]="","-",VLOOKUP(factura_c_mes4[[#This Row],[CUIT]],Lista_CUIT[#All],2,0)),"CUIT NO CARGADO")</f>
        <v>-</v>
      </c>
      <c r="I187" s="81"/>
      <c r="J187" s="54" t="str">
        <f>IFERROR(IF(factura_c_mes4[[#This Row],[CUIT]]="","-",VLOOKUP(factura_c_mes4[[#This Row],[CUIT]],Lista_CUIT[#All],3,0)),"CUIT NO CARGADO")</f>
        <v>-</v>
      </c>
      <c r="K187" s="54" t="str">
        <f>IFERROR(IF(factura_c_mes4[[#This Row],[CUIT]]="","-",VLOOKUP(factura_c_mes4[[#This Row],[CUIT]],Lista_CUIT[#All],4,0)),"CUIT NO CARGADO")</f>
        <v>-</v>
      </c>
    </row>
    <row r="188" spans="2:18">
      <c r="D188" s="55" t="s">
        <v>110</v>
      </c>
      <c r="E188" s="55"/>
      <c r="F188" s="55"/>
      <c r="G188" s="55"/>
      <c r="H188" s="57"/>
      <c r="I188" s="58">
        <f>SUBTOTAL(109,factura_c_mes4[TOTAL])</f>
        <v>5822154</v>
      </c>
      <c r="J188" s="55"/>
      <c r="K188" s="55"/>
    </row>
    <row r="189" spans="2:18">
      <c r="B189" s="56"/>
      <c r="C189" s="56"/>
      <c r="L189" s="56"/>
      <c r="M189" s="56"/>
      <c r="N189" s="56"/>
      <c r="O189" s="56"/>
      <c r="P189" s="56"/>
      <c r="Q189" s="56"/>
      <c r="R189" s="56"/>
    </row>
    <row r="194" spans="2:13" ht="26.25">
      <c r="B194" s="673" t="s">
        <v>29</v>
      </c>
      <c r="C194" s="673"/>
      <c r="D194" s="673"/>
      <c r="E194" s="673"/>
      <c r="F194" s="673"/>
      <c r="G194" s="673"/>
      <c r="H194" s="673"/>
      <c r="I194" s="673"/>
      <c r="J194" s="673"/>
      <c r="K194" s="669">
        <f>N1</f>
        <v>45383</v>
      </c>
      <c r="L194" s="669"/>
      <c r="M194" s="669"/>
    </row>
    <row r="196" spans="2:13" ht="21">
      <c r="B196" s="666" t="s">
        <v>30</v>
      </c>
      <c r="C196" s="666"/>
    </row>
    <row r="197" spans="2:13" ht="15.75">
      <c r="B197" s="60" t="s">
        <v>0</v>
      </c>
      <c r="C197" s="61" t="s">
        <v>1</v>
      </c>
      <c r="D197" s="61" t="s">
        <v>21</v>
      </c>
      <c r="E197" s="61" t="s">
        <v>22</v>
      </c>
      <c r="F197" s="61" t="s">
        <v>3</v>
      </c>
      <c r="G197" s="61" t="s">
        <v>4</v>
      </c>
      <c r="H197" s="61" t="s">
        <v>23</v>
      </c>
      <c r="I197" s="61" t="s">
        <v>17</v>
      </c>
      <c r="J197" s="61" t="s">
        <v>7</v>
      </c>
      <c r="K197" s="61" t="s">
        <v>24</v>
      </c>
      <c r="L197" s="61" t="s">
        <v>10</v>
      </c>
      <c r="M197" s="62" t="s">
        <v>38</v>
      </c>
    </row>
    <row r="198" spans="2:13">
      <c r="B198" s="40">
        <v>45019</v>
      </c>
      <c r="C198" s="41">
        <v>1</v>
      </c>
      <c r="D198" s="42">
        <v>7</v>
      </c>
      <c r="E198" s="43">
        <v>1402</v>
      </c>
      <c r="F198" s="44">
        <v>30608716390</v>
      </c>
      <c r="G198" s="98" t="str">
        <f>IFERROR(IF(venta_a_mes4[[#This Row],[CUIT]]="","-",VLOOKUP(venta_a_mes4[[#This Row],[CUIT]],Lista_CUIT[#All],2,0)),"CUIT NO CARGADO")</f>
        <v>OBRA SOCIAL DEL PERSONAL DE LAS TELECOMUNICACIONES DE LA REP. ARGENTINA</v>
      </c>
      <c r="H198" s="99">
        <v>1487.6</v>
      </c>
      <c r="I198" s="100">
        <f>venta_a_mes4[[#This Row],[IMPORTE NETO]]*0.21</f>
        <v>312.39599999999996</v>
      </c>
      <c r="J198" s="65"/>
      <c r="K198" s="65"/>
      <c r="L198" s="65">
        <f>SUM(venta_a_mes4[[#This Row],[IMPORTE NETO]:[EXENTO]])</f>
        <v>1799.9959999999999</v>
      </c>
      <c r="M198" s="59"/>
    </row>
    <row r="199" spans="2:13">
      <c r="B199" s="40">
        <v>45019</v>
      </c>
      <c r="C199" s="41">
        <v>1</v>
      </c>
      <c r="D199" s="42">
        <v>7</v>
      </c>
      <c r="E199" s="43">
        <v>1400</v>
      </c>
      <c r="F199" s="44">
        <v>30707612971</v>
      </c>
      <c r="G199" s="98" t="str">
        <f>IFERROR(IF(venta_a_mes4[[#This Row],[CUIT]]="","-",VLOOKUP(venta_a_mes4[[#This Row],[CUIT]],Lista_CUIT[#All],2,0)),"CUIT NO CARGADO")</f>
        <v>CENTRO MEDICO AMENABAR SRL</v>
      </c>
      <c r="H199" s="99">
        <v>8796.31</v>
      </c>
      <c r="I199" s="100">
        <f>venta_a_mes4[[#This Row],[IMPORTE NETO]]*0.21</f>
        <v>1847.2250999999999</v>
      </c>
      <c r="J199" s="65"/>
      <c r="K199" s="65"/>
      <c r="L199" s="65">
        <f>SUM(venta_a_mes4[[#This Row],[IMPORTE NETO]:[EXENTO]])</f>
        <v>10643.535099999999</v>
      </c>
      <c r="M199" s="59"/>
    </row>
    <row r="200" spans="2:13">
      <c r="B200" s="40">
        <v>45019</v>
      </c>
      <c r="C200" s="41">
        <v>1</v>
      </c>
      <c r="D200" s="42">
        <v>7</v>
      </c>
      <c r="E200" s="43">
        <v>1401</v>
      </c>
      <c r="F200" s="44">
        <v>30707118454</v>
      </c>
      <c r="G200" s="98" t="str">
        <f>IFERROR(IF(venta_a_mes4[[#This Row],[CUIT]]="","-",VLOOKUP(venta_a_mes4[[#This Row],[CUIT]],Lista_CUIT[#All],2,0)),"CUIT NO CARGADO")</f>
        <v>Ensalud S.A</v>
      </c>
      <c r="H200" s="99">
        <v>4003.3</v>
      </c>
      <c r="I200" s="100">
        <f>venta_a_mes4[[#This Row],[IMPORTE NETO]]*0.21</f>
        <v>840.69299999999998</v>
      </c>
      <c r="J200" s="65"/>
      <c r="K200" s="65"/>
      <c r="L200" s="65">
        <f>SUM(venta_a_mes4[[#This Row],[IMPORTE NETO]:[EXENTO]])</f>
        <v>4843.9930000000004</v>
      </c>
      <c r="M200" s="59"/>
    </row>
    <row r="201" spans="2:13">
      <c r="B201" s="40">
        <v>45019</v>
      </c>
      <c r="C201" s="41">
        <v>1</v>
      </c>
      <c r="D201" s="42">
        <v>7</v>
      </c>
      <c r="E201" s="43">
        <v>1399</v>
      </c>
      <c r="F201" s="44">
        <v>30715186655</v>
      </c>
      <c r="G201" s="98" t="str">
        <f>IFERROR(IF(venta_a_mes4[[#This Row],[CUIT]]="","-",VLOOKUP(venta_a_mes4[[#This Row],[CUIT]],Lista_CUIT[#All],2,0)),"CUIT NO CARGADO")</f>
        <v>Amparo Salud S.R.L.</v>
      </c>
      <c r="H201" s="99">
        <v>3512.4</v>
      </c>
      <c r="I201" s="100">
        <f>venta_a_mes4[[#This Row],[IMPORTE NETO]]*0.21</f>
        <v>737.60400000000004</v>
      </c>
      <c r="J201" s="65"/>
      <c r="K201" s="65"/>
      <c r="L201" s="65">
        <f>SUM(venta_a_mes4[[#This Row],[IMPORTE NETO]:[EXENTO]])</f>
        <v>4250.0039999999999</v>
      </c>
      <c r="M201" s="59"/>
    </row>
    <row r="202" spans="2:13">
      <c r="B202" s="40">
        <v>45019</v>
      </c>
      <c r="C202" s="41">
        <v>1</v>
      </c>
      <c r="D202" s="42">
        <v>7</v>
      </c>
      <c r="E202" s="43">
        <v>1398</v>
      </c>
      <c r="F202" s="44">
        <v>30715186655</v>
      </c>
      <c r="G202" s="98" t="str">
        <f>IFERROR(IF(venta_a_mes4[[#This Row],[CUIT]]="","-",VLOOKUP(venta_a_mes4[[#This Row],[CUIT]],Lista_CUIT[#All],2,0)),"CUIT NO CARGADO")</f>
        <v>Amparo Salud S.R.L.</v>
      </c>
      <c r="H202" s="99">
        <v>58674.1</v>
      </c>
      <c r="I202" s="100">
        <f>venta_a_mes4[[#This Row],[IMPORTE NETO]]*0.21</f>
        <v>12321.561</v>
      </c>
      <c r="J202" s="65"/>
      <c r="K202" s="65"/>
      <c r="L202" s="65">
        <f>SUM(venta_a_mes4[[#This Row],[IMPORTE NETO]:[EXENTO]])</f>
        <v>70995.660999999993</v>
      </c>
      <c r="M202" s="59"/>
    </row>
    <row r="203" spans="2:13">
      <c r="B203" s="40">
        <v>45019</v>
      </c>
      <c r="C203" s="41">
        <v>1</v>
      </c>
      <c r="D203" s="42">
        <v>7</v>
      </c>
      <c r="E203" s="43">
        <v>1403</v>
      </c>
      <c r="F203" s="44">
        <v>30608716390</v>
      </c>
      <c r="G203" s="98" t="str">
        <f>IFERROR(IF(venta_a_mes4[[#This Row],[CUIT]]="","-",VLOOKUP(venta_a_mes4[[#This Row],[CUIT]],Lista_CUIT[#All],2,0)),"CUIT NO CARGADO")</f>
        <v>OBRA SOCIAL DEL PERSONAL DE LAS TELECOMUNICACIONES DE LA REP. ARGENTINA</v>
      </c>
      <c r="H203" s="99">
        <v>6033.06</v>
      </c>
      <c r="I203" s="100">
        <f>venta_a_mes4[[#This Row],[IMPORTE NETO]]*0.21</f>
        <v>1266.9426000000001</v>
      </c>
      <c r="J203" s="65"/>
      <c r="K203" s="65"/>
      <c r="L203" s="65">
        <f>SUM(venta_a_mes4[[#This Row],[IMPORTE NETO]:[EXENTO]])</f>
        <v>7300.0026000000007</v>
      </c>
      <c r="M203" s="59"/>
    </row>
    <row r="204" spans="2:13">
      <c r="B204" s="40">
        <v>45020</v>
      </c>
      <c r="C204" s="41">
        <v>1</v>
      </c>
      <c r="D204" s="42">
        <v>7</v>
      </c>
      <c r="E204" s="43">
        <v>1404</v>
      </c>
      <c r="F204" s="44">
        <v>30522428163</v>
      </c>
      <c r="G204" s="98" t="str">
        <f>IFERROR(IF(venta_a_mes4[[#This Row],[CUIT]]="","-",VLOOKUP(venta_a_mes4[[#This Row],[CUIT]],Lista_CUIT[#All],2,0)),"CUIT NO CARGADO")</f>
        <v>GALENO ARGENTINA SA</v>
      </c>
      <c r="H204" s="99">
        <v>3681.09</v>
      </c>
      <c r="I204" s="100">
        <f>venta_a_mes4[[#This Row],[IMPORTE NETO]]*0.21</f>
        <v>773.02890000000002</v>
      </c>
      <c r="J204" s="65"/>
      <c r="K204" s="65"/>
      <c r="L204" s="65">
        <f>SUM(venta_a_mes4[[#This Row],[IMPORTE NETO]:[EXENTO]])</f>
        <v>4454.1189000000004</v>
      </c>
      <c r="M204" s="63"/>
    </row>
    <row r="205" spans="2:13">
      <c r="B205" s="101">
        <v>45021</v>
      </c>
      <c r="C205" s="41">
        <v>1</v>
      </c>
      <c r="D205" s="103">
        <v>7</v>
      </c>
      <c r="E205" s="104">
        <v>1407</v>
      </c>
      <c r="F205" s="105">
        <v>30546771314</v>
      </c>
      <c r="G205" s="98" t="str">
        <f>IFERROR(IF(venta_a_mes4[[#This Row],[CUIT]]="","-",VLOOKUP(venta_a_mes4[[#This Row],[CUIT]],Lista_CUIT[#All],2,0)),"CUIT NO CARGADO")</f>
        <v>MEDICUS S.A DE ASIST. MEDICA</v>
      </c>
      <c r="H205" s="106">
        <v>9813.2199999999993</v>
      </c>
      <c r="I205" s="107">
        <f>venta_a_mes4[[#This Row],[IMPORTE NETO]]*0.21</f>
        <v>2060.7761999999998</v>
      </c>
      <c r="J205" s="72"/>
      <c r="K205" s="72"/>
      <c r="L205" s="72">
        <f>SUM(venta_a_mes4[[#This Row],[IMPORTE NETO]:[EXENTO]])</f>
        <v>11873.9962</v>
      </c>
      <c r="M205" s="63"/>
    </row>
    <row r="206" spans="2:13">
      <c r="B206" s="108">
        <v>45021</v>
      </c>
      <c r="C206" s="41">
        <v>1</v>
      </c>
      <c r="D206" s="110">
        <v>7</v>
      </c>
      <c r="E206" s="111">
        <v>1406</v>
      </c>
      <c r="F206" s="112">
        <v>30710538014</v>
      </c>
      <c r="G206" s="98" t="str">
        <f>IFERROR(IF(venta_a_mes4[[#This Row],[CUIT]]="","-",VLOOKUP(venta_a_mes4[[#This Row],[CUIT]],Lista_CUIT[#All],2,0)),"CUIT NO CARGADO")</f>
        <v>Hc Homecare Internacion Domiciliaria S.A.</v>
      </c>
      <c r="H206" s="99">
        <v>23828.93</v>
      </c>
      <c r="I206" s="100">
        <f>venta_a_mes4[[#This Row],[IMPORTE NETO]]*0.21</f>
        <v>5004.0752999999995</v>
      </c>
      <c r="J206" s="65"/>
      <c r="K206" s="65"/>
      <c r="L206" s="65">
        <f>SUM(venta_a_mes4[[#This Row],[IMPORTE NETO]:[EXENTO]])</f>
        <v>28833.005300000001</v>
      </c>
      <c r="M206" s="59"/>
    </row>
    <row r="207" spans="2:13">
      <c r="B207" s="194">
        <v>45021</v>
      </c>
      <c r="C207" s="41">
        <v>1</v>
      </c>
      <c r="D207" s="195">
        <v>7</v>
      </c>
      <c r="E207" s="196">
        <v>1405</v>
      </c>
      <c r="F207" s="197">
        <v>30522428163</v>
      </c>
      <c r="G207" s="198" t="str">
        <f>IFERROR(IF(venta_a_mes4[[#This Row],[CUIT]]="","-",VLOOKUP(venta_a_mes4[[#This Row],[CUIT]],Lista_CUIT[#All],2,0)),"CUIT NO CARGADO")</f>
        <v>GALENO ARGENTINA SA</v>
      </c>
      <c r="H207" s="199">
        <v>177503.17</v>
      </c>
      <c r="I207" s="200">
        <f>venta_a_mes4[[#This Row],[IMPORTE NETO]]*0.21</f>
        <v>37275.665699999998</v>
      </c>
      <c r="J207" s="201"/>
      <c r="K207" s="201"/>
      <c r="L207" s="201">
        <f>SUM(venta_a_mes4[[#This Row],[IMPORTE NETO]:[EXENTO]])</f>
        <v>214778.8357</v>
      </c>
      <c r="M207" s="202"/>
    </row>
    <row r="208" spans="2:13">
      <c r="B208" s="194">
        <v>45021</v>
      </c>
      <c r="C208" s="41">
        <v>1</v>
      </c>
      <c r="D208" s="195">
        <v>7</v>
      </c>
      <c r="E208" s="196">
        <v>1408</v>
      </c>
      <c r="F208" s="197">
        <v>30713669004</v>
      </c>
      <c r="G208" s="198" t="str">
        <f>IFERROR(IF(venta_a_mes4[[#This Row],[CUIT]]="","-",VLOOKUP(venta_a_mes4[[#This Row],[CUIT]],Lista_CUIT[#All],2,0)),"CUIT NO CARGADO")</f>
        <v>Medincare Argentina S.A.</v>
      </c>
      <c r="H208" s="199">
        <v>13541.32</v>
      </c>
      <c r="I208" s="200">
        <f>venta_a_mes4[[#This Row],[IMPORTE NETO]]*0.21</f>
        <v>2843.6771999999996</v>
      </c>
      <c r="J208" s="201"/>
      <c r="K208" s="201"/>
      <c r="L208" s="201">
        <f>SUM(venta_a_mes4[[#This Row],[IMPORTE NETO]:[EXENTO]])</f>
        <v>16384.997199999998</v>
      </c>
      <c r="M208" s="202"/>
    </row>
    <row r="209" spans="2:13">
      <c r="B209" s="184">
        <v>45026</v>
      </c>
      <c r="C209" s="41">
        <v>1</v>
      </c>
      <c r="D209" s="186">
        <v>7</v>
      </c>
      <c r="E209" s="187">
        <v>1411</v>
      </c>
      <c r="F209" s="188">
        <v>30546771314</v>
      </c>
      <c r="G209" s="189" t="str">
        <f>IFERROR(IF(venta_a_mes4[[#This Row],[CUIT]]="","-",VLOOKUP(venta_a_mes4[[#This Row],[CUIT]],Lista_CUIT[#All],2,0)),"CUIT NO CARGADO")</f>
        <v>MEDICUS S.A DE ASIST. MEDICA</v>
      </c>
      <c r="H209" s="190">
        <v>10247.92</v>
      </c>
      <c r="I209" s="191">
        <f>venta_a_mes4[[#This Row],[IMPORTE NETO]]*0.21</f>
        <v>2152.0632000000001</v>
      </c>
      <c r="J209" s="192"/>
      <c r="K209" s="192"/>
      <c r="L209" s="192">
        <f>SUM(venta_a_mes4[[#This Row],[IMPORTE NETO]:[EXENTO]])</f>
        <v>12399.983200000001</v>
      </c>
      <c r="M209" s="193"/>
    </row>
    <row r="210" spans="2:13">
      <c r="B210" s="184">
        <v>45026</v>
      </c>
      <c r="C210" s="41">
        <v>1</v>
      </c>
      <c r="D210" s="186">
        <v>7</v>
      </c>
      <c r="E210" s="187">
        <v>1412</v>
      </c>
      <c r="F210" s="188">
        <v>30608716390</v>
      </c>
      <c r="G210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10" s="190">
        <v>1280.99</v>
      </c>
      <c r="I210" s="191">
        <f>venta_a_mes4[[#This Row],[IMPORTE NETO]]*0.21</f>
        <v>269.00790000000001</v>
      </c>
      <c r="J210" s="192"/>
      <c r="K210" s="192"/>
      <c r="L210" s="192">
        <f>SUM(venta_a_mes4[[#This Row],[IMPORTE NETO]:[EXENTO]])</f>
        <v>1549.9979000000001</v>
      </c>
      <c r="M210" s="193"/>
    </row>
    <row r="211" spans="2:13">
      <c r="B211" s="184">
        <v>45026</v>
      </c>
      <c r="C211" s="41">
        <v>1</v>
      </c>
      <c r="D211" s="186">
        <v>7</v>
      </c>
      <c r="E211" s="187">
        <v>1410</v>
      </c>
      <c r="F211" s="188">
        <v>30683032227</v>
      </c>
      <c r="G211" s="189" t="str">
        <f>IFERROR(IF(venta_a_mes4[[#This Row],[CUIT]]="","-",VLOOKUP(venta_a_mes4[[#This Row],[CUIT]],Lista_CUIT[#All],2,0)),"CUIT NO CARGADO")</f>
        <v>OBRA SOCIAL UNION PERSONAL DE LA UNION DEL PERSONAL CIVIL D</v>
      </c>
      <c r="H211" s="190">
        <v>21671.65</v>
      </c>
      <c r="I211" s="191">
        <f>venta_a_mes4[[#This Row],[IMPORTE NETO]]*0.21</f>
        <v>4551.0465000000004</v>
      </c>
      <c r="J211" s="192"/>
      <c r="K211" s="192"/>
      <c r="L211" s="192">
        <f>SUM(venta_a_mes4[[#This Row],[IMPORTE NETO]:[EXENTO]])</f>
        <v>26222.696500000002</v>
      </c>
      <c r="M211" s="193"/>
    </row>
    <row r="212" spans="2:13">
      <c r="B212" s="184">
        <v>45026</v>
      </c>
      <c r="C212" s="41">
        <v>1</v>
      </c>
      <c r="D212" s="186">
        <v>7</v>
      </c>
      <c r="E212" s="187">
        <v>1409</v>
      </c>
      <c r="F212" s="188">
        <v>30683032227</v>
      </c>
      <c r="G212" s="189" t="str">
        <f>IFERROR(IF(venta_a_mes4[[#This Row],[CUIT]]="","-",VLOOKUP(venta_a_mes4[[#This Row],[CUIT]],Lista_CUIT[#All],2,0)),"CUIT NO CARGADO")</f>
        <v>OBRA SOCIAL UNION PERSONAL DE LA UNION DEL PERSONAL CIVIL D</v>
      </c>
      <c r="H212" s="190">
        <v>245305.54</v>
      </c>
      <c r="I212" s="191">
        <f>venta_a_mes4[[#This Row],[IMPORTE NETO]]*0.21</f>
        <v>51514.163399999998</v>
      </c>
      <c r="J212" s="192"/>
      <c r="K212" s="192"/>
      <c r="L212" s="192">
        <f>SUM(venta_a_mes4[[#This Row],[IMPORTE NETO]:[EXENTO]])</f>
        <v>296819.7034</v>
      </c>
      <c r="M212" s="193"/>
    </row>
    <row r="213" spans="2:13">
      <c r="B213" s="184">
        <v>45028</v>
      </c>
      <c r="C213" s="41">
        <v>1</v>
      </c>
      <c r="D213" s="186">
        <v>7</v>
      </c>
      <c r="E213" s="187">
        <v>1418</v>
      </c>
      <c r="F213" s="188">
        <v>30710961790</v>
      </c>
      <c r="G213" s="189" t="str">
        <f>IFERROR(IF(venta_a_mes4[[#This Row],[CUIT]]="","-",VLOOKUP(venta_a_mes4[[#This Row],[CUIT]],Lista_CUIT[#All],2,0)),"CUIT NO CARGADO")</f>
        <v>CUIT NO CARGADO</v>
      </c>
      <c r="H213" s="190">
        <v>45380.99</v>
      </c>
      <c r="I213" s="191">
        <f>venta_a_mes4[[#This Row],[IMPORTE NETO]]*0.21</f>
        <v>9530.0078999999987</v>
      </c>
      <c r="J213" s="192"/>
      <c r="K213" s="192"/>
      <c r="L213" s="192">
        <f>SUM(venta_a_mes4[[#This Row],[IMPORTE NETO]:[EXENTO]])</f>
        <v>54910.997899999995</v>
      </c>
      <c r="M213" s="193"/>
    </row>
    <row r="214" spans="2:13">
      <c r="B214" s="184">
        <v>45028</v>
      </c>
      <c r="C214" s="41">
        <v>1</v>
      </c>
      <c r="D214" s="186">
        <v>7</v>
      </c>
      <c r="E214" s="187">
        <v>1417</v>
      </c>
      <c r="F214" s="188">
        <v>30645337979</v>
      </c>
      <c r="G214" s="189" t="str">
        <f>IFERROR(IF(venta_a_mes4[[#This Row],[CUIT]]="","-",VLOOKUP(venta_a_mes4[[#This Row],[CUIT]],Lista_CUIT[#All],2,0)),"CUIT NO CARGADO")</f>
        <v>ALEXANDER FLEMING SA</v>
      </c>
      <c r="H214" s="190">
        <v>10705.79</v>
      </c>
      <c r="I214" s="191">
        <f>venta_a_mes4[[#This Row],[IMPORTE NETO]]*0.21</f>
        <v>2248.2159000000001</v>
      </c>
      <c r="J214" s="192"/>
      <c r="K214" s="192"/>
      <c r="L214" s="192">
        <f>SUM(venta_a_mes4[[#This Row],[IMPORTE NETO]:[EXENTO]])</f>
        <v>12954.0059</v>
      </c>
      <c r="M214" s="193"/>
    </row>
    <row r="215" spans="2:13">
      <c r="B215" s="184">
        <v>45028</v>
      </c>
      <c r="C215" s="41">
        <v>1</v>
      </c>
      <c r="D215" s="186">
        <v>7</v>
      </c>
      <c r="E215" s="187">
        <v>1414</v>
      </c>
      <c r="F215" s="188">
        <v>30711244383</v>
      </c>
      <c r="G215" s="189" t="str">
        <f>IFERROR(IF(venta_a_mes4[[#This Row],[CUIT]]="","-",VLOOKUP(venta_a_mes4[[#This Row],[CUIT]],Lista_CUIT[#All],2,0)),"CUIT NO CARGADO")</f>
        <v>LOGIN DOOR SA</v>
      </c>
      <c r="H215" s="190">
        <v>5623.97</v>
      </c>
      <c r="I215" s="191">
        <f>venta_a_mes4[[#This Row],[IMPORTE NETO]]*0.21</f>
        <v>1181.0337</v>
      </c>
      <c r="J215" s="192"/>
      <c r="K215" s="192"/>
      <c r="L215" s="192">
        <f>SUM(venta_a_mes4[[#This Row],[IMPORTE NETO]:[EXENTO]])</f>
        <v>6805.0037000000002</v>
      </c>
      <c r="M215" s="193"/>
    </row>
    <row r="216" spans="2:13">
      <c r="B216" s="184">
        <v>45028</v>
      </c>
      <c r="C216" s="41">
        <v>1</v>
      </c>
      <c r="D216" s="186">
        <v>7</v>
      </c>
      <c r="E216" s="187">
        <v>1415</v>
      </c>
      <c r="F216" s="188">
        <v>30608716390</v>
      </c>
      <c r="G216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16" s="190">
        <v>19421.490000000002</v>
      </c>
      <c r="I216" s="191">
        <f>venta_a_mes4[[#This Row],[IMPORTE NETO]]*0.21</f>
        <v>4078.5129000000002</v>
      </c>
      <c r="J216" s="192"/>
      <c r="K216" s="192"/>
      <c r="L216" s="192">
        <f>SUM(venta_a_mes4[[#This Row],[IMPORTE NETO]:[EXENTO]])</f>
        <v>23500.002900000003</v>
      </c>
      <c r="M216" s="193"/>
    </row>
    <row r="217" spans="2:13">
      <c r="B217" s="184">
        <v>45028</v>
      </c>
      <c r="C217" s="41">
        <v>1</v>
      </c>
      <c r="D217" s="186">
        <v>7</v>
      </c>
      <c r="E217" s="187">
        <v>1413</v>
      </c>
      <c r="F217" s="188">
        <v>30657418877</v>
      </c>
      <c r="G217" s="189" t="str">
        <f>IFERROR(IF(venta_a_mes4[[#This Row],[CUIT]]="","-",VLOOKUP(venta_a_mes4[[#This Row],[CUIT]],Lista_CUIT[#All],2,0)),"CUIT NO CARGADO")</f>
        <v>FUNDAC EMPRESARIA MADERERA</v>
      </c>
      <c r="H217" s="190">
        <v>2892.56</v>
      </c>
      <c r="I217" s="191">
        <f>venta_a_mes4[[#This Row],[IMPORTE NETO]]*0.21</f>
        <v>607.43759999999997</v>
      </c>
      <c r="J217" s="192"/>
      <c r="K217" s="192"/>
      <c r="L217" s="192">
        <f>SUM(venta_a_mes4[[#This Row],[IMPORTE NETO]:[EXENTO]])</f>
        <v>3499.9975999999997</v>
      </c>
      <c r="M217" s="193"/>
    </row>
    <row r="218" spans="2:13">
      <c r="B218" s="184">
        <v>45028</v>
      </c>
      <c r="C218" s="41">
        <v>1</v>
      </c>
      <c r="D218" s="186">
        <v>5</v>
      </c>
      <c r="E218" s="187">
        <v>133</v>
      </c>
      <c r="F218" s="188">
        <v>30708436506</v>
      </c>
      <c r="G218" s="189" t="str">
        <f>IFERROR(IF(venta_a_mes4[[#This Row],[CUIT]]="","-",VLOOKUP(venta_a_mes4[[#This Row],[CUIT]],Lista_CUIT[#All],2,0)),"CUIT NO CARGADO")</f>
        <v>Autonavi Srl</v>
      </c>
      <c r="H218" s="190">
        <v>8033.06</v>
      </c>
      <c r="I218" s="191">
        <f>venta_a_mes4[[#This Row],[IMPORTE NETO]]*0.21</f>
        <v>1686.9426000000001</v>
      </c>
      <c r="J218" s="192"/>
      <c r="K218" s="192"/>
      <c r="L218" s="192">
        <f>SUM(venta_a_mes4[[#This Row],[IMPORTE NETO]:[EXENTO]])</f>
        <v>9720.0025999999998</v>
      </c>
      <c r="M218" s="193"/>
    </row>
    <row r="219" spans="2:13">
      <c r="B219" s="184">
        <v>45028</v>
      </c>
      <c r="C219" s="41">
        <v>1</v>
      </c>
      <c r="D219" s="186">
        <v>7</v>
      </c>
      <c r="E219" s="187">
        <v>1416</v>
      </c>
      <c r="F219" s="188">
        <v>30608716390</v>
      </c>
      <c r="G219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19" s="190">
        <v>1239.67</v>
      </c>
      <c r="I219" s="191">
        <f>venta_a_mes4[[#This Row],[IMPORTE NETO]]*0.21</f>
        <v>260.33069999999998</v>
      </c>
      <c r="J219" s="192"/>
      <c r="K219" s="192"/>
      <c r="L219" s="192">
        <f>SUM(venta_a_mes4[[#This Row],[IMPORTE NETO]:[EXENTO]])</f>
        <v>1500.0007000000001</v>
      </c>
      <c r="M219" s="193"/>
    </row>
    <row r="220" spans="2:13">
      <c r="B220" s="184">
        <v>45034</v>
      </c>
      <c r="C220" s="41">
        <v>1</v>
      </c>
      <c r="D220" s="186">
        <v>7</v>
      </c>
      <c r="E220" s="187">
        <v>1421</v>
      </c>
      <c r="F220" s="188">
        <v>30608716390</v>
      </c>
      <c r="G220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20" s="190">
        <v>3471.06</v>
      </c>
      <c r="I220" s="191">
        <f>venta_a_mes4[[#This Row],[IMPORTE NETO]]*0.21</f>
        <v>728.92259999999999</v>
      </c>
      <c r="J220" s="192"/>
      <c r="K220" s="192"/>
      <c r="L220" s="192">
        <f>SUM(venta_a_mes4[[#This Row],[IMPORTE NETO]:[EXENTO]])</f>
        <v>4199.9826000000003</v>
      </c>
      <c r="M220" s="193"/>
    </row>
    <row r="221" spans="2:13">
      <c r="B221" s="184">
        <v>45034</v>
      </c>
      <c r="C221" s="41">
        <v>1</v>
      </c>
      <c r="D221" s="186">
        <v>7</v>
      </c>
      <c r="E221" s="187">
        <v>1419</v>
      </c>
      <c r="F221" s="188">
        <v>30522428163</v>
      </c>
      <c r="G221" s="189" t="str">
        <f>IFERROR(IF(venta_a_mes4[[#This Row],[CUIT]]="","-",VLOOKUP(venta_a_mes4[[#This Row],[CUIT]],Lista_CUIT[#All],2,0)),"CUIT NO CARGADO")</f>
        <v>GALENO ARGENTINA SA</v>
      </c>
      <c r="H221" s="190">
        <v>137123.82</v>
      </c>
      <c r="I221" s="191">
        <f>venta_a_mes4[[#This Row],[IMPORTE NETO]]*0.21</f>
        <v>28796.002199999999</v>
      </c>
      <c r="J221" s="192"/>
      <c r="K221" s="192"/>
      <c r="L221" s="192">
        <f>SUM(venta_a_mes4[[#This Row],[IMPORTE NETO]:[EXENTO]])</f>
        <v>165919.8222</v>
      </c>
      <c r="M221" s="193"/>
    </row>
    <row r="222" spans="2:13">
      <c r="B222" s="184">
        <v>45034</v>
      </c>
      <c r="C222" s="41">
        <v>1</v>
      </c>
      <c r="D222" s="186">
        <v>7</v>
      </c>
      <c r="E222" s="187">
        <v>1420</v>
      </c>
      <c r="F222" s="188">
        <v>30522428163</v>
      </c>
      <c r="G222" s="189" t="str">
        <f>IFERROR(IF(venta_a_mes4[[#This Row],[CUIT]]="","-",VLOOKUP(venta_a_mes4[[#This Row],[CUIT]],Lista_CUIT[#All],2,0)),"CUIT NO CARGADO")</f>
        <v>GALENO ARGENTINA SA</v>
      </c>
      <c r="H222" s="190">
        <v>20138.34</v>
      </c>
      <c r="I222" s="191">
        <f>venta_a_mes4[[#This Row],[IMPORTE NETO]]*0.21</f>
        <v>4229.0514000000003</v>
      </c>
      <c r="J222" s="192"/>
      <c r="K222" s="192"/>
      <c r="L222" s="192">
        <f>SUM(venta_a_mes4[[#This Row],[IMPORTE NETO]:[EXENTO]])</f>
        <v>24367.3914</v>
      </c>
      <c r="M222" s="193"/>
    </row>
    <row r="223" spans="2:13">
      <c r="B223" s="184">
        <v>45035</v>
      </c>
      <c r="C223" s="41">
        <v>1</v>
      </c>
      <c r="D223" s="186">
        <v>7</v>
      </c>
      <c r="E223" s="187">
        <v>1423</v>
      </c>
      <c r="F223" s="188">
        <v>30608716390</v>
      </c>
      <c r="G223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23" s="190">
        <v>3471.08</v>
      </c>
      <c r="I223" s="191">
        <f>venta_a_mes4[[#This Row],[IMPORTE NETO]]*0.21</f>
        <v>728.92679999999996</v>
      </c>
      <c r="J223" s="192"/>
      <c r="K223" s="192"/>
      <c r="L223" s="192">
        <f>SUM(venta_a_mes4[[#This Row],[IMPORTE NETO]:[EXENTO]])</f>
        <v>4200.0068000000001</v>
      </c>
      <c r="M223" s="193"/>
    </row>
    <row r="224" spans="2:13">
      <c r="B224" s="184">
        <v>45035</v>
      </c>
      <c r="C224" s="41">
        <v>1</v>
      </c>
      <c r="D224" s="186">
        <v>7</v>
      </c>
      <c r="E224" s="187">
        <v>1427</v>
      </c>
      <c r="F224" s="188">
        <v>30709016012</v>
      </c>
      <c r="G224" s="189" t="str">
        <f>IFERROR(IF(venta_a_mes4[[#This Row],[CUIT]]="","-",VLOOKUP(venta_a_mes4[[#This Row],[CUIT]],Lista_CUIT[#All],2,0)),"CUIT NO CARGADO")</f>
        <v>MGR IMPLANTES S.A</v>
      </c>
      <c r="H224" s="190">
        <v>10008.26</v>
      </c>
      <c r="I224" s="191">
        <f>venta_a_mes4[[#This Row],[IMPORTE NETO]]*0.21</f>
        <v>2101.7345999999998</v>
      </c>
      <c r="J224" s="192"/>
      <c r="K224" s="192"/>
      <c r="L224" s="192">
        <f>SUM(venta_a_mes4[[#This Row],[IMPORTE NETO]:[EXENTO]])</f>
        <v>12109.9946</v>
      </c>
      <c r="M224" s="193"/>
    </row>
    <row r="225" spans="2:13">
      <c r="B225" s="184">
        <v>45035</v>
      </c>
      <c r="C225" s="41">
        <v>1</v>
      </c>
      <c r="D225" s="186">
        <v>7</v>
      </c>
      <c r="E225" s="187">
        <v>1426</v>
      </c>
      <c r="F225" s="188">
        <v>30608716390</v>
      </c>
      <c r="G225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25" s="190">
        <v>1710.74</v>
      </c>
      <c r="I225" s="191">
        <f>venta_a_mes4[[#This Row],[IMPORTE NETO]]*0.21</f>
        <v>359.25540000000001</v>
      </c>
      <c r="J225" s="192"/>
      <c r="K225" s="192"/>
      <c r="L225" s="192">
        <f>SUM(venta_a_mes4[[#This Row],[IMPORTE NETO]:[EXENTO]])</f>
        <v>2069.9953999999998</v>
      </c>
      <c r="M225" s="193"/>
    </row>
    <row r="226" spans="2:13">
      <c r="B226" s="184">
        <v>45035</v>
      </c>
      <c r="C226" s="41">
        <v>1</v>
      </c>
      <c r="D226" s="186">
        <v>7</v>
      </c>
      <c r="E226" s="187">
        <v>1422</v>
      </c>
      <c r="F226" s="188">
        <v>30608716390</v>
      </c>
      <c r="G226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26" s="190">
        <v>1140.5</v>
      </c>
      <c r="I226" s="191">
        <f>venta_a_mes4[[#This Row],[IMPORTE NETO]]*0.21</f>
        <v>239.505</v>
      </c>
      <c r="J226" s="192"/>
      <c r="K226" s="192"/>
      <c r="L226" s="192">
        <f>SUM(venta_a_mes4[[#This Row],[IMPORTE NETO]:[EXENTO]])</f>
        <v>1380.0050000000001</v>
      </c>
      <c r="M226" s="193"/>
    </row>
    <row r="227" spans="2:13">
      <c r="B227" s="184">
        <v>45035</v>
      </c>
      <c r="C227" s="41">
        <v>1</v>
      </c>
      <c r="D227" s="186">
        <v>7</v>
      </c>
      <c r="E227" s="187">
        <v>1424</v>
      </c>
      <c r="F227" s="188">
        <v>30608716390</v>
      </c>
      <c r="G227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27" s="190">
        <v>1487.6</v>
      </c>
      <c r="I227" s="191">
        <f>venta_a_mes4[[#This Row],[IMPORTE NETO]]*0.21</f>
        <v>312.39599999999996</v>
      </c>
      <c r="J227" s="192"/>
      <c r="K227" s="192"/>
      <c r="L227" s="192">
        <f>SUM(venta_a_mes4[[#This Row],[IMPORTE NETO]:[EXENTO]])</f>
        <v>1799.9959999999999</v>
      </c>
      <c r="M227" s="193"/>
    </row>
    <row r="228" spans="2:13">
      <c r="B228" s="184">
        <v>45035</v>
      </c>
      <c r="C228" s="41">
        <v>1</v>
      </c>
      <c r="D228" s="186">
        <v>7</v>
      </c>
      <c r="E228" s="187">
        <v>1425</v>
      </c>
      <c r="F228" s="188">
        <v>30608716390</v>
      </c>
      <c r="G228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28" s="190">
        <v>4049.58</v>
      </c>
      <c r="I228" s="191">
        <f>venta_a_mes4[[#This Row],[IMPORTE NETO]]*0.21</f>
        <v>850.41179999999997</v>
      </c>
      <c r="J228" s="192"/>
      <c r="K228" s="192"/>
      <c r="L228" s="192">
        <f>SUM(venta_a_mes4[[#This Row],[IMPORTE NETO]:[EXENTO]])</f>
        <v>4899.9917999999998</v>
      </c>
      <c r="M228" s="193"/>
    </row>
    <row r="229" spans="2:13">
      <c r="B229" s="184">
        <v>45036</v>
      </c>
      <c r="C229" s="41">
        <v>1</v>
      </c>
      <c r="D229" s="186">
        <v>7</v>
      </c>
      <c r="E229" s="187">
        <v>1428</v>
      </c>
      <c r="F229" s="188">
        <v>30522428163</v>
      </c>
      <c r="G229" s="189" t="str">
        <f>IFERROR(IF(venta_a_mes4[[#This Row],[CUIT]]="","-",VLOOKUP(venta_a_mes4[[#This Row],[CUIT]],Lista_CUIT[#All],2,0)),"CUIT NO CARGADO")</f>
        <v>GALENO ARGENTINA SA</v>
      </c>
      <c r="H229" s="190">
        <v>48958.68</v>
      </c>
      <c r="I229" s="191">
        <f>venta_a_mes4[[#This Row],[IMPORTE NETO]]*0.21</f>
        <v>10281.3228</v>
      </c>
      <c r="J229" s="192"/>
      <c r="K229" s="192"/>
      <c r="L229" s="192">
        <f>SUM(venta_a_mes4[[#This Row],[IMPORTE NETO]:[EXENTO]])</f>
        <v>59240.002800000002</v>
      </c>
      <c r="M229" s="193"/>
    </row>
    <row r="230" spans="2:13">
      <c r="B230" s="184">
        <v>45036</v>
      </c>
      <c r="C230" s="41">
        <v>1</v>
      </c>
      <c r="D230" s="186">
        <v>7</v>
      </c>
      <c r="E230" s="187">
        <v>1429</v>
      </c>
      <c r="F230" s="188">
        <v>30522428163</v>
      </c>
      <c r="G230" s="189" t="str">
        <f>IFERROR(IF(venta_a_mes4[[#This Row],[CUIT]]="","-",VLOOKUP(venta_a_mes4[[#This Row],[CUIT]],Lista_CUIT[#All],2,0)),"CUIT NO CARGADO")</f>
        <v>GALENO ARGENTINA SA</v>
      </c>
      <c r="H230" s="190">
        <v>17206.61</v>
      </c>
      <c r="I230" s="191">
        <f>venta_a_mes4[[#This Row],[IMPORTE NETO]]*0.21</f>
        <v>3613.3881000000001</v>
      </c>
      <c r="J230" s="192"/>
      <c r="K230" s="192"/>
      <c r="L230" s="192">
        <f>SUM(venta_a_mes4[[#This Row],[IMPORTE NETO]:[EXENTO]])</f>
        <v>20819.998100000001</v>
      </c>
      <c r="M230" s="193"/>
    </row>
    <row r="231" spans="2:13">
      <c r="B231" s="184">
        <v>45019</v>
      </c>
      <c r="C231" s="41">
        <v>1</v>
      </c>
      <c r="D231" s="186">
        <v>6</v>
      </c>
      <c r="E231" s="187">
        <v>332</v>
      </c>
      <c r="F231" s="188">
        <v>30522428163</v>
      </c>
      <c r="G231" s="189" t="str">
        <f>IFERROR(IF(venta_a_mes4[[#This Row],[CUIT]]="","-",VLOOKUP(venta_a_mes4[[#This Row],[CUIT]],Lista_CUIT[#All],2,0)),"CUIT NO CARGADO")</f>
        <v>GALENO ARGENTINA SA</v>
      </c>
      <c r="H231" s="190">
        <v>2042975.19</v>
      </c>
      <c r="I231" s="191">
        <f>venta_a_mes4[[#This Row],[IMPORTE NETO]]*0.21</f>
        <v>429024.78989999997</v>
      </c>
      <c r="J231" s="192"/>
      <c r="K231" s="192"/>
      <c r="L231" s="192">
        <f>SUM(venta_a_mes4[[#This Row],[IMPORTE NETO]:[EXENTO]])</f>
        <v>2471999.9798999997</v>
      </c>
      <c r="M231" s="193"/>
    </row>
    <row r="232" spans="2:13">
      <c r="B232" s="184">
        <v>45020</v>
      </c>
      <c r="C232" s="41">
        <v>1</v>
      </c>
      <c r="D232" s="186">
        <v>6</v>
      </c>
      <c r="E232" s="187">
        <v>334</v>
      </c>
      <c r="F232" s="188">
        <v>30522428163</v>
      </c>
      <c r="G232" s="189" t="str">
        <f>IFERROR(IF(venta_a_mes4[[#This Row],[CUIT]]="","-",VLOOKUP(venta_a_mes4[[#This Row],[CUIT]],Lista_CUIT[#All],2,0)),"CUIT NO CARGADO")</f>
        <v>GALENO ARGENTINA SA</v>
      </c>
      <c r="H232" s="190">
        <v>4398512.4000000004</v>
      </c>
      <c r="I232" s="191">
        <f>venta_a_mes4[[#This Row],[IMPORTE NETO]]*0.21</f>
        <v>923687.60400000005</v>
      </c>
      <c r="J232" s="192"/>
      <c r="K232" s="192"/>
      <c r="L232" s="192">
        <f>SUM(venta_a_mes4[[#This Row],[IMPORTE NETO]:[EXENTO]])</f>
        <v>5322200.0040000007</v>
      </c>
      <c r="M232" s="193"/>
    </row>
    <row r="233" spans="2:13">
      <c r="B233" s="184">
        <v>45020</v>
      </c>
      <c r="C233" s="41">
        <v>1</v>
      </c>
      <c r="D233" s="186">
        <v>6</v>
      </c>
      <c r="E233" s="187">
        <v>333</v>
      </c>
      <c r="F233" s="188">
        <v>30522428163</v>
      </c>
      <c r="G233" s="189" t="str">
        <f>IFERROR(IF(venta_a_mes4[[#This Row],[CUIT]]="","-",VLOOKUP(venta_a_mes4[[#This Row],[CUIT]],Lista_CUIT[#All],2,0)),"CUIT NO CARGADO")</f>
        <v>GALENO ARGENTINA SA</v>
      </c>
      <c r="H233" s="190">
        <v>297527.82</v>
      </c>
      <c r="I233" s="191">
        <f>venta_a_mes4[[#This Row],[IMPORTE NETO]]*0.21</f>
        <v>62480.842199999999</v>
      </c>
      <c r="J233" s="192"/>
      <c r="K233" s="192"/>
      <c r="L233" s="192">
        <f>SUM(venta_a_mes4[[#This Row],[IMPORTE NETO]:[EXENTO]])</f>
        <v>360008.66220000002</v>
      </c>
      <c r="M233" s="193"/>
    </row>
    <row r="234" spans="2:13">
      <c r="B234" s="184">
        <v>45021</v>
      </c>
      <c r="C234" s="41">
        <v>1</v>
      </c>
      <c r="D234" s="186">
        <v>6</v>
      </c>
      <c r="E234" s="187">
        <v>335</v>
      </c>
      <c r="F234" s="188">
        <v>30522428163</v>
      </c>
      <c r="G234" s="189" t="str">
        <f>IFERROR(IF(venta_a_mes4[[#This Row],[CUIT]]="","-",VLOOKUP(venta_a_mes4[[#This Row],[CUIT]],Lista_CUIT[#All],2,0)),"CUIT NO CARGADO")</f>
        <v>GALENO ARGENTINA SA</v>
      </c>
      <c r="H234" s="190">
        <v>2177449.15</v>
      </c>
      <c r="I234" s="191">
        <f>venta_a_mes4[[#This Row],[IMPORTE NETO]]*0.21</f>
        <v>457264.32149999996</v>
      </c>
      <c r="J234" s="192"/>
      <c r="K234" s="192"/>
      <c r="L234" s="192">
        <f>SUM(venta_a_mes4[[#This Row],[IMPORTE NETO]:[EXENTO]])</f>
        <v>2634713.4715</v>
      </c>
      <c r="M234" s="193"/>
    </row>
    <row r="235" spans="2:13">
      <c r="B235" s="184">
        <v>45029</v>
      </c>
      <c r="C235" s="41">
        <v>1</v>
      </c>
      <c r="D235" s="186">
        <v>6</v>
      </c>
      <c r="E235" s="187">
        <v>336</v>
      </c>
      <c r="F235" s="188">
        <v>30522428163</v>
      </c>
      <c r="G235" s="189" t="str">
        <f>IFERROR(IF(venta_a_mes4[[#This Row],[CUIT]]="","-",VLOOKUP(venta_a_mes4[[#This Row],[CUIT]],Lista_CUIT[#All],2,0)),"CUIT NO CARGADO")</f>
        <v>GALENO ARGENTINA SA</v>
      </c>
      <c r="H235" s="190">
        <v>4200537.1900000004</v>
      </c>
      <c r="I235" s="191">
        <f>venta_a_mes4[[#This Row],[IMPORTE NETO]]*0.21</f>
        <v>882112.80990000011</v>
      </c>
      <c r="J235" s="192"/>
      <c r="K235" s="192"/>
      <c r="L235" s="192">
        <f>SUM(venta_a_mes4[[#This Row],[IMPORTE NETO]:[EXENTO]])</f>
        <v>5082649.9999000002</v>
      </c>
      <c r="M235" s="193"/>
    </row>
    <row r="236" spans="2:13">
      <c r="B236" s="184">
        <v>45030</v>
      </c>
      <c r="C236" s="41">
        <v>1</v>
      </c>
      <c r="D236" s="186">
        <v>6</v>
      </c>
      <c r="E236" s="187">
        <v>337</v>
      </c>
      <c r="F236" s="188">
        <v>30522428163</v>
      </c>
      <c r="G236" s="189" t="str">
        <f>IFERROR(IF(venta_a_mes4[[#This Row],[CUIT]]="","-",VLOOKUP(venta_a_mes4[[#This Row],[CUIT]],Lista_CUIT[#All],2,0)),"CUIT NO CARGADO")</f>
        <v>GALENO ARGENTINA SA</v>
      </c>
      <c r="H236" s="190">
        <v>2838760.16</v>
      </c>
      <c r="I236" s="191">
        <f>venta_a_mes4[[#This Row],[IMPORTE NETO]]*0.21</f>
        <v>596139.63360000006</v>
      </c>
      <c r="J236" s="192"/>
      <c r="K236" s="192"/>
      <c r="L236" s="192">
        <f>SUM(venta_a_mes4[[#This Row],[IMPORTE NETO]:[EXENTO]])</f>
        <v>3434899.7936000004</v>
      </c>
      <c r="M236" s="193"/>
    </row>
    <row r="237" spans="2:13">
      <c r="B237" s="184">
        <v>45036</v>
      </c>
      <c r="C237" s="41">
        <v>1</v>
      </c>
      <c r="D237" s="186">
        <v>6</v>
      </c>
      <c r="E237" s="187">
        <v>338</v>
      </c>
      <c r="F237" s="188">
        <v>30522428163</v>
      </c>
      <c r="G237" s="189" t="str">
        <f>IFERROR(IF(venta_a_mes4[[#This Row],[CUIT]]="","-",VLOOKUP(venta_a_mes4[[#This Row],[CUIT]],Lista_CUIT[#All],2,0)),"CUIT NO CARGADO")</f>
        <v>GALENO ARGENTINA SA</v>
      </c>
      <c r="H237" s="190">
        <v>1982644.63</v>
      </c>
      <c r="I237" s="191">
        <f>venta_a_mes4[[#This Row],[IMPORTE NETO]]*0.21</f>
        <v>416355.37229999999</v>
      </c>
      <c r="J237" s="192"/>
      <c r="K237" s="192"/>
      <c r="L237" s="192">
        <f>SUM(venta_a_mes4[[#This Row],[IMPORTE NETO]:[EXENTO]])</f>
        <v>2399000.0022999998</v>
      </c>
      <c r="M237" s="193"/>
    </row>
    <row r="238" spans="2:13">
      <c r="B238" s="184">
        <v>45037</v>
      </c>
      <c r="C238" s="41">
        <v>1</v>
      </c>
      <c r="D238" s="186">
        <v>6</v>
      </c>
      <c r="E238" s="187">
        <v>339</v>
      </c>
      <c r="F238" s="188">
        <v>30522428163</v>
      </c>
      <c r="G238" s="189" t="str">
        <f>IFERROR(IF(venta_a_mes4[[#This Row],[CUIT]]="","-",VLOOKUP(venta_a_mes4[[#This Row],[CUIT]],Lista_CUIT[#All],2,0)),"CUIT NO CARGADO")</f>
        <v>GALENO ARGENTINA SA</v>
      </c>
      <c r="H238" s="190">
        <v>4890126.45</v>
      </c>
      <c r="I238" s="191">
        <f>venta_a_mes4[[#This Row],[IMPORTE NETO]]*0.21</f>
        <v>1026926.5545</v>
      </c>
      <c r="J238" s="192"/>
      <c r="K238" s="192"/>
      <c r="L238" s="192">
        <f>SUM(venta_a_mes4[[#This Row],[IMPORTE NETO]:[EXENTO]])</f>
        <v>5917053.0044999998</v>
      </c>
      <c r="M238" s="193"/>
    </row>
    <row r="239" spans="2:13">
      <c r="B239" s="184">
        <v>45037</v>
      </c>
      <c r="C239" s="41">
        <v>1</v>
      </c>
      <c r="D239" s="186">
        <v>6</v>
      </c>
      <c r="E239" s="187">
        <v>340</v>
      </c>
      <c r="F239" s="188">
        <v>30522428163</v>
      </c>
      <c r="G239" s="189" t="str">
        <f>IFERROR(IF(venta_a_mes4[[#This Row],[CUIT]]="","-",VLOOKUP(venta_a_mes4[[#This Row],[CUIT]],Lista_CUIT[#All],2,0)),"CUIT NO CARGADO")</f>
        <v>GALENO ARGENTINA SA</v>
      </c>
      <c r="H239" s="190">
        <v>869586.76</v>
      </c>
      <c r="I239" s="191">
        <f>venta_a_mes4[[#This Row],[IMPORTE NETO]]*0.21</f>
        <v>182613.21959999998</v>
      </c>
      <c r="J239" s="192"/>
      <c r="K239" s="192"/>
      <c r="L239" s="192">
        <f>SUM(venta_a_mes4[[#This Row],[IMPORTE NETO]:[EXENTO]])</f>
        <v>1052199.9796</v>
      </c>
      <c r="M239" s="193"/>
    </row>
    <row r="240" spans="2:13">
      <c r="B240" s="184">
        <v>45037</v>
      </c>
      <c r="C240" s="41">
        <v>1</v>
      </c>
      <c r="D240" s="186">
        <v>6</v>
      </c>
      <c r="E240" s="187">
        <v>341</v>
      </c>
      <c r="F240" s="188">
        <v>30522428163</v>
      </c>
      <c r="G240" s="189" t="str">
        <f>IFERROR(IF(venta_a_mes4[[#This Row],[CUIT]]="","-",VLOOKUP(venta_a_mes4[[#This Row],[CUIT]],Lista_CUIT[#All],2,0)),"CUIT NO CARGADO")</f>
        <v>GALENO ARGENTINA SA</v>
      </c>
      <c r="H240" s="190">
        <v>3516859.5</v>
      </c>
      <c r="I240" s="191">
        <f>venta_a_mes4[[#This Row],[IMPORTE NETO]]*0.21</f>
        <v>738540.495</v>
      </c>
      <c r="J240" s="192"/>
      <c r="K240" s="192"/>
      <c r="L240" s="192">
        <f>SUM(venta_a_mes4[[#This Row],[IMPORTE NETO]:[EXENTO]])</f>
        <v>4255399.9950000001</v>
      </c>
      <c r="M240" s="193"/>
    </row>
    <row r="241" spans="2:13">
      <c r="B241" s="184">
        <v>45042</v>
      </c>
      <c r="C241" s="185">
        <v>3</v>
      </c>
      <c r="D241" s="186">
        <v>6</v>
      </c>
      <c r="E241" s="187">
        <v>27</v>
      </c>
      <c r="F241" s="188">
        <v>30522428163</v>
      </c>
      <c r="G241" s="189" t="str">
        <f>IFERROR(IF(venta_a_mes4[[#This Row],[CUIT]]="","-",VLOOKUP(venta_a_mes4[[#This Row],[CUIT]],Lista_CUIT[#All],2,0)),"CUIT NO CARGADO")</f>
        <v>GALENO ARGENTINA SA</v>
      </c>
      <c r="H241" s="190">
        <v>-247107.44</v>
      </c>
      <c r="I241" s="191">
        <f>venta_a_mes4[[#This Row],[IMPORTE NETO]]*0.21</f>
        <v>-51892.562399999995</v>
      </c>
      <c r="J241" s="192"/>
      <c r="K241" s="192"/>
      <c r="L241" s="192">
        <f>SUM(venta_a_mes4[[#This Row],[IMPORTE NETO]:[EXENTO]])</f>
        <v>-299000.0024</v>
      </c>
      <c r="M241" s="193"/>
    </row>
    <row r="242" spans="2:13">
      <c r="B242" s="184">
        <v>45042</v>
      </c>
      <c r="C242" s="185">
        <v>3</v>
      </c>
      <c r="D242" s="186">
        <v>6</v>
      </c>
      <c r="E242" s="187">
        <v>24</v>
      </c>
      <c r="F242" s="188">
        <v>30522428163</v>
      </c>
      <c r="G242" s="189" t="str">
        <f>IFERROR(IF(venta_a_mes4[[#This Row],[CUIT]]="","-",VLOOKUP(venta_a_mes4[[#This Row],[CUIT]],Lista_CUIT[#All],2,0)),"CUIT NO CARGADO")</f>
        <v>GALENO ARGENTINA SA</v>
      </c>
      <c r="H242" s="190">
        <v>-14809.5</v>
      </c>
      <c r="I242" s="191">
        <f>venta_a_mes4[[#This Row],[IMPORTE NETO]]*0.21</f>
        <v>-3109.9949999999999</v>
      </c>
      <c r="J242" s="192"/>
      <c r="K242" s="192"/>
      <c r="L242" s="192">
        <f>SUM(venta_a_mes4[[#This Row],[IMPORTE NETO]:[EXENTO]])</f>
        <v>-17919.494999999999</v>
      </c>
      <c r="M242" s="193"/>
    </row>
    <row r="243" spans="2:13">
      <c r="B243" s="184">
        <v>45042</v>
      </c>
      <c r="C243" s="185">
        <v>3</v>
      </c>
      <c r="D243" s="186">
        <v>6</v>
      </c>
      <c r="E243" s="187">
        <v>26</v>
      </c>
      <c r="F243" s="188">
        <v>30522428163</v>
      </c>
      <c r="G243" s="189" t="str">
        <f>IFERROR(IF(venta_a_mes4[[#This Row],[CUIT]]="","-",VLOOKUP(venta_a_mes4[[#This Row],[CUIT]],Lista_CUIT[#All],2,0)),"CUIT NO CARGADO")</f>
        <v>GALENO ARGENTINA SA</v>
      </c>
      <c r="H243" s="190">
        <v>-7355.37</v>
      </c>
      <c r="I243" s="191">
        <f>venta_a_mes4[[#This Row],[IMPORTE NETO]]*0.21</f>
        <v>-1544.6277</v>
      </c>
      <c r="J243" s="192"/>
      <c r="K243" s="192"/>
      <c r="L243" s="192">
        <f>SUM(venta_a_mes4[[#This Row],[IMPORTE NETO]:[EXENTO]])</f>
        <v>-8899.9976999999999</v>
      </c>
      <c r="M243" s="193"/>
    </row>
    <row r="244" spans="2:13">
      <c r="B244" s="184">
        <v>45042</v>
      </c>
      <c r="C244" s="185">
        <v>3</v>
      </c>
      <c r="D244" s="186">
        <v>6</v>
      </c>
      <c r="E244" s="187">
        <v>25</v>
      </c>
      <c r="F244" s="188">
        <v>30522428163</v>
      </c>
      <c r="G244" s="189" t="str">
        <f>IFERROR(IF(venta_a_mes4[[#This Row],[CUIT]]="","-",VLOOKUP(venta_a_mes4[[#This Row],[CUIT]],Lista_CUIT[#All],2,0)),"CUIT NO CARGADO")</f>
        <v>GALENO ARGENTINA SA</v>
      </c>
      <c r="H244" s="190">
        <v>-38829.17</v>
      </c>
      <c r="I244" s="191">
        <f>venta_a_mes4[[#This Row],[IMPORTE NETO]]*0.21</f>
        <v>-8154.1256999999996</v>
      </c>
      <c r="J244" s="192"/>
      <c r="K244" s="192"/>
      <c r="L244" s="192">
        <f>SUM(venta_a_mes4[[#This Row],[IMPORTE NETO]:[EXENTO]])</f>
        <v>-46983.295699999995</v>
      </c>
      <c r="M244" s="193"/>
    </row>
    <row r="245" spans="2:13">
      <c r="B245" s="184">
        <v>45042</v>
      </c>
      <c r="C245" s="185">
        <v>3</v>
      </c>
      <c r="D245" s="186">
        <v>6</v>
      </c>
      <c r="E245" s="187">
        <v>23</v>
      </c>
      <c r="F245" s="188">
        <v>30522428163</v>
      </c>
      <c r="G245" s="189" t="str">
        <f>IFERROR(IF(venta_a_mes4[[#This Row],[CUIT]]="","-",VLOOKUP(venta_a_mes4[[#This Row],[CUIT]],Lista_CUIT[#All],2,0)),"CUIT NO CARGADO")</f>
        <v>GALENO ARGENTINA SA</v>
      </c>
      <c r="H245" s="190">
        <v>-8101.62</v>
      </c>
      <c r="I245" s="191">
        <f>venta_a_mes4[[#This Row],[IMPORTE NETO]]*0.21</f>
        <v>-1701.3401999999999</v>
      </c>
      <c r="J245" s="192"/>
      <c r="K245" s="192"/>
      <c r="L245" s="192">
        <f>SUM(venta_a_mes4[[#This Row],[IMPORTE NETO]:[EXENTO]])</f>
        <v>-9802.9601999999995</v>
      </c>
      <c r="M245" s="193"/>
    </row>
    <row r="246" spans="2:13">
      <c r="B246" s="184">
        <v>45042</v>
      </c>
      <c r="C246" s="185">
        <v>3</v>
      </c>
      <c r="D246" s="186">
        <v>6</v>
      </c>
      <c r="E246" s="187">
        <v>28</v>
      </c>
      <c r="F246" s="188">
        <v>30522428163</v>
      </c>
      <c r="G246" s="189" t="str">
        <f>IFERROR(IF(venta_a_mes4[[#This Row],[CUIT]]="","-",VLOOKUP(venta_a_mes4[[#This Row],[CUIT]],Lista_CUIT[#All],2,0)),"CUIT NO CARGADO")</f>
        <v>GALENO ARGENTINA SA</v>
      </c>
      <c r="H246" s="190">
        <v>-122314.05</v>
      </c>
      <c r="I246" s="191">
        <f>venta_a_mes4[[#This Row],[IMPORTE NETO]]*0.21</f>
        <v>-25685.950499999999</v>
      </c>
      <c r="J246" s="192"/>
      <c r="K246" s="192"/>
      <c r="L246" s="192">
        <f>SUM(venta_a_mes4[[#This Row],[IMPORTE NETO]:[EXENTO]])</f>
        <v>-148000.00049999999</v>
      </c>
      <c r="M246" s="193"/>
    </row>
    <row r="247" spans="2:13">
      <c r="B247" s="184">
        <v>45042</v>
      </c>
      <c r="C247" s="185">
        <v>3</v>
      </c>
      <c r="D247" s="186">
        <v>6</v>
      </c>
      <c r="E247" s="187">
        <v>21</v>
      </c>
      <c r="F247" s="188">
        <v>30522428163</v>
      </c>
      <c r="G247" s="189" t="str">
        <f>IFERROR(IF(venta_a_mes4[[#This Row],[CUIT]]="","-",VLOOKUP(venta_a_mes4[[#This Row],[CUIT]],Lista_CUIT[#All],2,0)),"CUIT NO CARGADO")</f>
        <v>GALENO ARGENTINA SA</v>
      </c>
      <c r="H247" s="190">
        <v>-13667.1</v>
      </c>
      <c r="I247" s="191">
        <f>venta_a_mes4[[#This Row],[IMPORTE NETO]]*0.21</f>
        <v>-2870.0909999999999</v>
      </c>
      <c r="J247" s="192"/>
      <c r="K247" s="192"/>
      <c r="L247" s="192">
        <f>SUM(venta_a_mes4[[#This Row],[IMPORTE NETO]:[EXENTO]])</f>
        <v>-16537.190999999999</v>
      </c>
      <c r="M247" s="193"/>
    </row>
    <row r="248" spans="2:13">
      <c r="B248" s="184">
        <v>45042</v>
      </c>
      <c r="C248" s="185">
        <v>3</v>
      </c>
      <c r="D248" s="186">
        <v>6</v>
      </c>
      <c r="E248" s="187">
        <v>22</v>
      </c>
      <c r="F248" s="188">
        <v>30522428163</v>
      </c>
      <c r="G248" s="189" t="str">
        <f>IFERROR(IF(venta_a_mes4[[#This Row],[CUIT]]="","-",VLOOKUP(venta_a_mes4[[#This Row],[CUIT]],Lista_CUIT[#All],2,0)),"CUIT NO CARGADO")</f>
        <v>GALENO ARGENTINA SA</v>
      </c>
      <c r="H248" s="190">
        <v>-6831.6</v>
      </c>
      <c r="I248" s="191">
        <f>venta_a_mes4[[#This Row],[IMPORTE NETO]]*0.21</f>
        <v>-1434.636</v>
      </c>
      <c r="J248" s="192"/>
      <c r="K248" s="192"/>
      <c r="L248" s="192">
        <f>SUM(venta_a_mes4[[#This Row],[IMPORTE NETO]:[EXENTO]])</f>
        <v>-8266.2360000000008</v>
      </c>
      <c r="M248" s="193"/>
    </row>
    <row r="249" spans="2:13">
      <c r="B249" s="184">
        <v>45028</v>
      </c>
      <c r="C249" s="185">
        <v>3</v>
      </c>
      <c r="D249" s="186">
        <v>7</v>
      </c>
      <c r="E249" s="187">
        <v>86</v>
      </c>
      <c r="F249" s="188">
        <v>30608716390</v>
      </c>
      <c r="G249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49" s="190">
        <v>-1239.67</v>
      </c>
      <c r="I249" s="191">
        <f>venta_a_mes4[[#This Row],[IMPORTE NETO]]*0.21</f>
        <v>-260.33069999999998</v>
      </c>
      <c r="J249" s="192"/>
      <c r="K249" s="192"/>
      <c r="L249" s="192">
        <f>SUM(venta_a_mes4[[#This Row],[IMPORTE NETO]:[EXENTO]])</f>
        <v>-1500.0007000000001</v>
      </c>
      <c r="M249" s="193"/>
    </row>
    <row r="250" spans="2:13">
      <c r="B250" s="184">
        <v>45028</v>
      </c>
      <c r="C250" s="185">
        <v>3</v>
      </c>
      <c r="D250" s="186">
        <v>7</v>
      </c>
      <c r="E250" s="187">
        <v>85</v>
      </c>
      <c r="F250" s="188">
        <v>30608716390</v>
      </c>
      <c r="G250" s="189" t="str">
        <f>IFERROR(IF(venta_a_mes4[[#This Row],[CUIT]]="","-",VLOOKUP(venta_a_mes4[[#This Row],[CUIT]],Lista_CUIT[#All],2,0)),"CUIT NO CARGADO")</f>
        <v>OBRA SOCIAL DEL PERSONAL DE LAS TELECOMUNICACIONES DE LA REP. ARGENTINA</v>
      </c>
      <c r="H250" s="190">
        <v>-19421.490000000002</v>
      </c>
      <c r="I250" s="191">
        <f>venta_a_mes4[[#This Row],[IMPORTE NETO]]*0.21</f>
        <v>-4078.5129000000002</v>
      </c>
      <c r="J250" s="192"/>
      <c r="K250" s="192"/>
      <c r="L250" s="192">
        <f>SUM(venta_a_mes4[[#This Row],[IMPORTE NETO]:[EXENTO]])</f>
        <v>-23500.002900000003</v>
      </c>
      <c r="M250" s="193"/>
    </row>
    <row r="251" spans="2:13">
      <c r="B251" s="184">
        <v>45030</v>
      </c>
      <c r="C251" s="185">
        <v>3</v>
      </c>
      <c r="D251" s="186">
        <v>7</v>
      </c>
      <c r="E251" s="187">
        <v>87</v>
      </c>
      <c r="F251" s="188">
        <v>30710538014</v>
      </c>
      <c r="G251" s="189" t="str">
        <f>IFERROR(IF(venta_a_mes4[[#This Row],[CUIT]]="","-",VLOOKUP(venta_a_mes4[[#This Row],[CUIT]],Lista_CUIT[#All],2,0)),"CUIT NO CARGADO")</f>
        <v>Hc Homecare Internacion Domiciliaria S.A.</v>
      </c>
      <c r="H251" s="190">
        <v>-952.89</v>
      </c>
      <c r="I251" s="191">
        <f>venta_a_mes4[[#This Row],[IMPORTE NETO]]*0.21</f>
        <v>-200.1069</v>
      </c>
      <c r="J251" s="192"/>
      <c r="K251" s="192"/>
      <c r="L251" s="192">
        <f>SUM(venta_a_mes4[[#This Row],[IMPORTE NETO]:[EXENTO]])</f>
        <v>-1152.9969000000001</v>
      </c>
      <c r="M251" s="193"/>
    </row>
    <row r="252" spans="2:13">
      <c r="B252" s="184">
        <v>45042</v>
      </c>
      <c r="C252" s="185">
        <v>3</v>
      </c>
      <c r="D252" s="186">
        <v>7</v>
      </c>
      <c r="E252" s="187">
        <v>89</v>
      </c>
      <c r="F252" s="188">
        <v>30522428163</v>
      </c>
      <c r="G252" s="189" t="str">
        <f>IFERROR(IF(venta_a_mes4[[#This Row],[CUIT]]="","-",VLOOKUP(venta_a_mes4[[#This Row],[CUIT]],Lista_CUIT[#All],2,0)),"CUIT NO CARGADO")</f>
        <v>GALENO ARGENTINA SA</v>
      </c>
      <c r="H252" s="190">
        <v>-5454.55</v>
      </c>
      <c r="I252" s="191">
        <f>venta_a_mes4[[#This Row],[IMPORTE NETO]]*0.21</f>
        <v>-1145.4555</v>
      </c>
      <c r="J252" s="192"/>
      <c r="K252" s="192"/>
      <c r="L252" s="192">
        <f>SUM(venta_a_mes4[[#This Row],[IMPORTE NETO]:[EXENTO]])</f>
        <v>-6600.0055000000002</v>
      </c>
      <c r="M252" s="193"/>
    </row>
    <row r="253" spans="2:13">
      <c r="B253" s="184">
        <v>45042</v>
      </c>
      <c r="C253" s="185">
        <v>3</v>
      </c>
      <c r="D253" s="186">
        <v>7</v>
      </c>
      <c r="E253" s="187">
        <v>88</v>
      </c>
      <c r="F253" s="188">
        <v>30522428163</v>
      </c>
      <c r="G253" s="189" t="str">
        <f>IFERROR(IF(venta_a_mes4[[#This Row],[CUIT]]="","-",VLOOKUP(venta_a_mes4[[#This Row],[CUIT]],Lista_CUIT[#All],2,0)),"CUIT NO CARGADO")</f>
        <v>GALENO ARGENTINA SA</v>
      </c>
      <c r="H253" s="190">
        <v>-62926.44</v>
      </c>
      <c r="I253" s="191">
        <f>venta_a_mes4[[#This Row],[IMPORTE NETO]]*0.21</f>
        <v>-13214.5524</v>
      </c>
      <c r="J253" s="192"/>
      <c r="K253" s="192"/>
      <c r="L253" s="192">
        <f>SUM(venta_a_mes4[[#This Row],[IMPORTE NETO]:[EXENTO]])</f>
        <v>-76140.992400000003</v>
      </c>
      <c r="M253" s="193"/>
    </row>
    <row r="254" spans="2:13">
      <c r="B254" s="184"/>
      <c r="C254" s="185"/>
      <c r="D254" s="186"/>
      <c r="E254" s="187"/>
      <c r="F254" s="188"/>
      <c r="G254" s="189" t="str">
        <f>IFERROR(IF(venta_a_mes4[[#This Row],[CUIT]]="","-",VLOOKUP(venta_a_mes4[[#This Row],[CUIT]],Lista_CUIT[#All],2,0)),"CUIT NO CARGADO")</f>
        <v>-</v>
      </c>
      <c r="H254" s="190"/>
      <c r="I254" s="191">
        <f>venta_a_mes4[[#This Row],[IMPORTE NETO]]*0.21</f>
        <v>0</v>
      </c>
      <c r="J254" s="192"/>
      <c r="K254" s="192"/>
      <c r="L254" s="192">
        <f>SUM(venta_a_mes4[[#This Row],[IMPORTE NETO]:[EXENTO]])</f>
        <v>0</v>
      </c>
      <c r="M254" s="193"/>
    </row>
    <row r="255" spans="2:13">
      <c r="B255" s="184"/>
      <c r="C255" s="185"/>
      <c r="D255" s="186"/>
      <c r="E255" s="187"/>
      <c r="F255" s="188"/>
      <c r="G255" s="189" t="str">
        <f>IFERROR(IF(venta_a_mes4[[#This Row],[CUIT]]="","-",VLOOKUP(venta_a_mes4[[#This Row],[CUIT]],Lista_CUIT[#All],2,0)),"CUIT NO CARGADO")</f>
        <v>-</v>
      </c>
      <c r="H255" s="190"/>
      <c r="I255" s="191">
        <f>venta_a_mes4[[#This Row],[IMPORTE NETO]]*0.21</f>
        <v>0</v>
      </c>
      <c r="J255" s="192"/>
      <c r="K255" s="192"/>
      <c r="L255" s="192">
        <f>SUM(venta_a_mes4[[#This Row],[IMPORTE NETO]:[EXENTO]])</f>
        <v>0</v>
      </c>
      <c r="M255" s="193"/>
    </row>
    <row r="256" spans="2:13">
      <c r="B256" s="184"/>
      <c r="C256" s="185"/>
      <c r="D256" s="186"/>
      <c r="E256" s="187"/>
      <c r="F256" s="188"/>
      <c r="G256" s="189" t="str">
        <f>IFERROR(IF(venta_a_mes4[[#This Row],[CUIT]]="","-",VLOOKUP(venta_a_mes4[[#This Row],[CUIT]],Lista_CUIT[#All],2,0)),"CUIT NO CARGADO")</f>
        <v>-</v>
      </c>
      <c r="H256" s="190"/>
      <c r="I256" s="191">
        <f>venta_a_mes4[[#This Row],[IMPORTE NETO]]*0.21</f>
        <v>0</v>
      </c>
      <c r="J256" s="192"/>
      <c r="K256" s="192"/>
      <c r="L256" s="192">
        <f>SUM(venta_a_mes4[[#This Row],[IMPORTE NETO]:[EXENTO]])</f>
        <v>0</v>
      </c>
      <c r="M256" s="193"/>
    </row>
    <row r="257" spans="2:13">
      <c r="B257" s="184"/>
      <c r="C257" s="185"/>
      <c r="D257" s="186"/>
      <c r="E257" s="187"/>
      <c r="F257" s="188"/>
      <c r="G257" s="189" t="str">
        <f>IFERROR(IF(venta_a_mes4[[#This Row],[CUIT]]="","-",VLOOKUP(venta_a_mes4[[#This Row],[CUIT]],Lista_CUIT[#All],2,0)),"CUIT NO CARGADO")</f>
        <v>-</v>
      </c>
      <c r="H257" s="190"/>
      <c r="I257" s="191">
        <f>venta_a_mes4[[#This Row],[IMPORTE NETO]]*0.21</f>
        <v>0</v>
      </c>
      <c r="J257" s="192"/>
      <c r="K257" s="192"/>
      <c r="L257" s="192">
        <f>SUM(venta_a_mes4[[#This Row],[IMPORTE NETO]:[EXENTO]])</f>
        <v>0</v>
      </c>
      <c r="M257" s="193"/>
    </row>
    <row r="258" spans="2:13">
      <c r="B258" s="184"/>
      <c r="C258" s="185"/>
      <c r="D258" s="186"/>
      <c r="E258" s="187"/>
      <c r="F258" s="188"/>
      <c r="G258" s="189" t="str">
        <f>IFERROR(IF(venta_a_mes4[[#This Row],[CUIT]]="","-",VLOOKUP(venta_a_mes4[[#This Row],[CUIT]],Lista_CUIT[#All],2,0)),"CUIT NO CARGADO")</f>
        <v>-</v>
      </c>
      <c r="H258" s="190"/>
      <c r="I258" s="191">
        <f>venta_a_mes4[[#This Row],[IMPORTE NETO]]*0.21</f>
        <v>0</v>
      </c>
      <c r="J258" s="192"/>
      <c r="K258" s="192"/>
      <c r="L258" s="192">
        <f>SUM(venta_a_mes4[[#This Row],[IMPORTE NETO]:[EXENTO]])</f>
        <v>0</v>
      </c>
      <c r="M258" s="193"/>
    </row>
    <row r="259" spans="2:13">
      <c r="B259" s="184"/>
      <c r="C259" s="185"/>
      <c r="D259" s="186"/>
      <c r="E259" s="187"/>
      <c r="F259" s="188"/>
      <c r="G259" s="189" t="str">
        <f>IFERROR(IF(venta_a_mes4[[#This Row],[CUIT]]="","-",VLOOKUP(venta_a_mes4[[#This Row],[CUIT]],Lista_CUIT[#All],2,0)),"CUIT NO CARGADO")</f>
        <v>-</v>
      </c>
      <c r="H259" s="190"/>
      <c r="I259" s="191">
        <f>venta_a_mes4[[#This Row],[IMPORTE NETO]]*0.21</f>
        <v>0</v>
      </c>
      <c r="J259" s="192"/>
      <c r="K259" s="192"/>
      <c r="L259" s="192">
        <f>SUM(venta_a_mes4[[#This Row],[IMPORTE NETO]:[EXENTO]])</f>
        <v>0</v>
      </c>
      <c r="M259" s="193"/>
    </row>
    <row r="260" spans="2:13">
      <c r="B260" s="184"/>
      <c r="C260" s="185"/>
      <c r="D260" s="186"/>
      <c r="E260" s="187"/>
      <c r="F260" s="188"/>
      <c r="G260" s="189" t="str">
        <f>IFERROR(IF(venta_a_mes4[[#This Row],[CUIT]]="","-",VLOOKUP(venta_a_mes4[[#This Row],[CUIT]],Lista_CUIT[#All],2,0)),"CUIT NO CARGADO")</f>
        <v>-</v>
      </c>
      <c r="H260" s="190"/>
      <c r="I260" s="191">
        <f>venta_a_mes4[[#This Row],[IMPORTE NETO]]*0.21</f>
        <v>0</v>
      </c>
      <c r="J260" s="192"/>
      <c r="K260" s="192"/>
      <c r="L260" s="192">
        <f>SUM(venta_a_mes4[[#This Row],[IMPORTE NETO]:[EXENTO]])</f>
        <v>0</v>
      </c>
      <c r="M260" s="193"/>
    </row>
    <row r="261" spans="2:13">
      <c r="B261" s="178" t="s">
        <v>110</v>
      </c>
      <c r="C261" s="179"/>
      <c r="D261" s="179"/>
      <c r="E261" s="179"/>
      <c r="F261" s="179"/>
      <c r="G261" s="179"/>
      <c r="H261" s="180">
        <f>SUBTOTAL(109,venta_a_mes4[IMPORTE NETO])</f>
        <v>27597412.75999999</v>
      </c>
      <c r="I261" s="181">
        <f>SUBTOTAL(109,venta_a_mes4[IVA 21%])</f>
        <v>5795456.6795999985</v>
      </c>
      <c r="J261" s="182">
        <f>SUBTOTAL(109,venta_a_mes4[IVA 10,5%])</f>
        <v>0</v>
      </c>
      <c r="K261" s="182">
        <f>SUBTOTAL(109,venta_a_mes4[EXENTO])</f>
        <v>0</v>
      </c>
      <c r="L261" s="182">
        <f>SUBTOTAL(109,venta_a_mes4[TOTAL])</f>
        <v>33392869.439600006</v>
      </c>
      <c r="M261" s="183">
        <f>SUBTOTAL(103,venta_a_mes4[Provincia])</f>
        <v>0</v>
      </c>
    </row>
    <row r="262" spans="2:13" ht="21">
      <c r="B262" s="666" t="s">
        <v>31</v>
      </c>
      <c r="C262" s="666"/>
    </row>
    <row r="263" spans="2:13" ht="15.75">
      <c r="B263" s="60" t="s">
        <v>0</v>
      </c>
      <c r="C263" s="61" t="s">
        <v>1</v>
      </c>
      <c r="D263" s="61" t="s">
        <v>21</v>
      </c>
      <c r="E263" s="61" t="s">
        <v>22</v>
      </c>
      <c r="F263" s="61" t="s">
        <v>3</v>
      </c>
      <c r="G263" s="61" t="s">
        <v>4</v>
      </c>
      <c r="H263" s="61" t="s">
        <v>23</v>
      </c>
      <c r="I263" s="61" t="s">
        <v>17</v>
      </c>
      <c r="J263" s="61" t="s">
        <v>7</v>
      </c>
      <c r="K263" s="61" t="s">
        <v>24</v>
      </c>
      <c r="L263" s="61" t="s">
        <v>10</v>
      </c>
      <c r="M263" s="62" t="s">
        <v>38</v>
      </c>
    </row>
    <row r="264" spans="2:13">
      <c r="B264" s="40">
        <v>45019</v>
      </c>
      <c r="C264" s="41">
        <v>6</v>
      </c>
      <c r="D264" s="42">
        <v>5</v>
      </c>
      <c r="E264" s="43">
        <v>7654</v>
      </c>
      <c r="F264" s="44"/>
      <c r="G264" s="1" t="str">
        <f>IFERROR(IF(ventas_b_mes4[[#This Row],[CUIT]]="","-",VLOOKUP(ventas_b_mes4[[#This Row],[CUIT]],Lista_CUIT[#All],2,0)),"CUIT NO CARGADO")</f>
        <v>-</v>
      </c>
      <c r="H264" s="64">
        <v>12892.56</v>
      </c>
      <c r="I264" s="64">
        <f>ventas_b_mes4[[#This Row],[IMPORTE NETO]]*0.21</f>
        <v>2707.4375999999997</v>
      </c>
      <c r="J264" s="64"/>
      <c r="K264" s="64"/>
      <c r="L264" s="64">
        <f>SUM(ventas_b_mes4[[#This Row],[IMPORTE NETO]:[EXENTO]])</f>
        <v>15599.997599999999</v>
      </c>
      <c r="M264" s="59"/>
    </row>
    <row r="265" spans="2:13">
      <c r="B265" s="40">
        <v>45019</v>
      </c>
      <c r="C265" s="41">
        <v>6</v>
      </c>
      <c r="D265" s="42">
        <v>5</v>
      </c>
      <c r="E265" s="43">
        <v>7647</v>
      </c>
      <c r="F265" s="44"/>
      <c r="G265" s="1"/>
      <c r="H265" s="64">
        <v>7272.73</v>
      </c>
      <c r="I265" s="64">
        <f>ventas_b_mes4[[#This Row],[IMPORTE NETO]]*0.21</f>
        <v>1527.2732999999998</v>
      </c>
      <c r="J265" s="64"/>
      <c r="K265" s="64"/>
      <c r="L265" s="64">
        <f>SUM(ventas_b_mes4[[#This Row],[IMPORTE NETO]:[EXENTO]])</f>
        <v>8800.0033000000003</v>
      </c>
      <c r="M265" s="59"/>
    </row>
    <row r="266" spans="2:13">
      <c r="B266" s="40">
        <v>45019</v>
      </c>
      <c r="C266" s="41">
        <v>6</v>
      </c>
      <c r="D266" s="42">
        <v>5</v>
      </c>
      <c r="E266" s="43">
        <v>7644</v>
      </c>
      <c r="F266" s="44"/>
      <c r="G266" s="1"/>
      <c r="H266" s="64">
        <v>3884.3</v>
      </c>
      <c r="I266" s="64">
        <f>ventas_b_mes4[[#This Row],[IMPORTE NETO]]*0.21</f>
        <v>815.70299999999997</v>
      </c>
      <c r="J266" s="64"/>
      <c r="K266" s="64"/>
      <c r="L266" s="64">
        <f>SUM(ventas_b_mes4[[#This Row],[IMPORTE NETO]:[EXENTO]])</f>
        <v>4700.0030000000006</v>
      </c>
      <c r="M266" s="59"/>
    </row>
    <row r="267" spans="2:13">
      <c r="B267" s="40">
        <v>45019</v>
      </c>
      <c r="C267" s="41">
        <v>6</v>
      </c>
      <c r="D267" s="42">
        <v>5</v>
      </c>
      <c r="E267" s="43">
        <v>7645</v>
      </c>
      <c r="F267" s="44"/>
      <c r="G267" s="1"/>
      <c r="H267" s="64">
        <v>4958.68</v>
      </c>
      <c r="I267" s="64">
        <f>ventas_b_mes4[[#This Row],[IMPORTE NETO]]*0.21</f>
        <v>1041.3227999999999</v>
      </c>
      <c r="J267" s="64"/>
      <c r="K267" s="64"/>
      <c r="L267" s="64">
        <f>SUM(ventas_b_mes4[[#This Row],[IMPORTE NETO]:[EXENTO]])</f>
        <v>6000.0028000000002</v>
      </c>
      <c r="M267" s="59"/>
    </row>
    <row r="268" spans="2:13">
      <c r="B268" s="40">
        <v>45019</v>
      </c>
      <c r="C268" s="41">
        <v>6</v>
      </c>
      <c r="D268" s="42">
        <v>5</v>
      </c>
      <c r="E268" s="43">
        <v>7655</v>
      </c>
      <c r="F268" s="44"/>
      <c r="G268" s="1"/>
      <c r="H268" s="64">
        <v>4504.13</v>
      </c>
      <c r="I268" s="64">
        <f>ventas_b_mes4[[#This Row],[IMPORTE NETO]]*0.21</f>
        <v>945.8673</v>
      </c>
      <c r="J268" s="64"/>
      <c r="K268" s="64"/>
      <c r="L268" s="64">
        <f>SUM(ventas_b_mes4[[#This Row],[IMPORTE NETO]:[EXENTO]])</f>
        <v>5449.9973</v>
      </c>
      <c r="M268" s="59"/>
    </row>
    <row r="269" spans="2:13">
      <c r="B269" s="205">
        <v>45019</v>
      </c>
      <c r="C269" s="41">
        <v>6</v>
      </c>
      <c r="D269" s="207">
        <v>5</v>
      </c>
      <c r="E269" s="208">
        <v>7649</v>
      </c>
      <c r="F269" s="209"/>
      <c r="G269" s="210" t="str">
        <f>IFERROR(IF(ventas_b_mes4[[#This Row],[CUIT]]="","-",VLOOKUP(ventas_b_mes4[[#This Row],[CUIT]],Lista_CUIT[#All],2,0)),"CUIT NO CARGADO")</f>
        <v>-</v>
      </c>
      <c r="H269" s="211">
        <v>2314.0500000000002</v>
      </c>
      <c r="I269" s="212">
        <f>ventas_b_mes4[[#This Row],[IMPORTE NETO]]*0.21</f>
        <v>485.95050000000003</v>
      </c>
      <c r="J269" s="213"/>
      <c r="K269" s="213"/>
      <c r="L269" s="213">
        <f>SUM(ventas_b_mes4[[#This Row],[IMPORTE NETO]:[EXENTO]])</f>
        <v>2800.0005000000001</v>
      </c>
      <c r="M269" s="193"/>
    </row>
    <row r="270" spans="2:13">
      <c r="B270" s="205">
        <v>45019</v>
      </c>
      <c r="C270" s="41">
        <v>6</v>
      </c>
      <c r="D270" s="207">
        <v>5</v>
      </c>
      <c r="E270" s="208">
        <v>7650</v>
      </c>
      <c r="F270" s="209"/>
      <c r="G270" s="210" t="str">
        <f>IFERROR(IF(ventas_b_mes4[[#This Row],[CUIT]]="","-",VLOOKUP(ventas_b_mes4[[#This Row],[CUIT]],Lista_CUIT[#All],2,0)),"CUIT NO CARGADO")</f>
        <v>-</v>
      </c>
      <c r="H270" s="211">
        <v>8264.4699999999993</v>
      </c>
      <c r="I270" s="212">
        <f>ventas_b_mes4[[#This Row],[IMPORTE NETO]]*0.21</f>
        <v>1735.5386999999998</v>
      </c>
      <c r="J270" s="213"/>
      <c r="K270" s="213"/>
      <c r="L270" s="213">
        <f>SUM(ventas_b_mes4[[#This Row],[IMPORTE NETO]:[EXENTO]])</f>
        <v>10000.008699999998</v>
      </c>
      <c r="M270" s="193"/>
    </row>
    <row r="271" spans="2:13">
      <c r="B271" s="205">
        <v>45019</v>
      </c>
      <c r="C271" s="41">
        <v>6</v>
      </c>
      <c r="D271" s="207">
        <v>5</v>
      </c>
      <c r="E271" s="208">
        <v>7651</v>
      </c>
      <c r="F271" s="209"/>
      <c r="G271" s="210" t="str">
        <f>IFERROR(IF(ventas_b_mes4[[#This Row],[CUIT]]="","-",VLOOKUP(ventas_b_mes4[[#This Row],[CUIT]],Lista_CUIT[#All],2,0)),"CUIT NO CARGADO")</f>
        <v>-</v>
      </c>
      <c r="H271" s="211">
        <v>2231.4</v>
      </c>
      <c r="I271" s="212">
        <f>ventas_b_mes4[[#This Row],[IMPORTE NETO]]*0.21</f>
        <v>468.59399999999999</v>
      </c>
      <c r="J271" s="213"/>
      <c r="K271" s="213"/>
      <c r="L271" s="213">
        <f>SUM(ventas_b_mes4[[#This Row],[IMPORTE NETO]:[EXENTO]])</f>
        <v>2699.9940000000001</v>
      </c>
      <c r="M271" s="193"/>
    </row>
    <row r="272" spans="2:13">
      <c r="B272" s="205">
        <v>45019</v>
      </c>
      <c r="C272" s="41">
        <v>6</v>
      </c>
      <c r="D272" s="207">
        <v>7</v>
      </c>
      <c r="E272" s="208">
        <v>4229</v>
      </c>
      <c r="F272" s="209">
        <v>26542077</v>
      </c>
      <c r="G272" s="210" t="str">
        <f>IFERROR(IF(ventas_b_mes4[[#This Row],[CUIT]]="","-",VLOOKUP(ventas_b_mes4[[#This Row],[CUIT]],Lista_CUIT[#All],2,0)),"CUIT NO CARGADO")</f>
        <v>GABRIELA VANINA GALLO</v>
      </c>
      <c r="H272" s="211">
        <v>8677.69</v>
      </c>
      <c r="I272" s="212">
        <f>ventas_b_mes4[[#This Row],[IMPORTE NETO]]*0.21</f>
        <v>1822.3149000000001</v>
      </c>
      <c r="J272" s="213"/>
      <c r="K272" s="213"/>
      <c r="L272" s="213">
        <f>SUM(ventas_b_mes4[[#This Row],[IMPORTE NETO]:[EXENTO]])</f>
        <v>10500.0049</v>
      </c>
      <c r="M272" s="193"/>
    </row>
    <row r="273" spans="2:13">
      <c r="B273" s="205">
        <v>45019</v>
      </c>
      <c r="C273" s="41">
        <v>6</v>
      </c>
      <c r="D273" s="207">
        <v>5</v>
      </c>
      <c r="E273" s="208">
        <v>7648</v>
      </c>
      <c r="F273" s="209"/>
      <c r="G273" s="210" t="str">
        <f>IFERROR(IF(ventas_b_mes4[[#This Row],[CUIT]]="","-",VLOOKUP(ventas_b_mes4[[#This Row],[CUIT]],Lista_CUIT[#All],2,0)),"CUIT NO CARGADO")</f>
        <v>-</v>
      </c>
      <c r="H273" s="211">
        <v>6446.28</v>
      </c>
      <c r="I273" s="212">
        <f>ventas_b_mes4[[#This Row],[IMPORTE NETO]]*0.21</f>
        <v>1353.7187999999999</v>
      </c>
      <c r="J273" s="213"/>
      <c r="K273" s="213"/>
      <c r="L273" s="213">
        <f>SUM(ventas_b_mes4[[#This Row],[IMPORTE NETO]:[EXENTO]])</f>
        <v>7799.9987999999994</v>
      </c>
      <c r="M273" s="193"/>
    </row>
    <row r="274" spans="2:13">
      <c r="B274" s="205">
        <v>45019</v>
      </c>
      <c r="C274" s="41">
        <v>6</v>
      </c>
      <c r="D274" s="207">
        <v>5</v>
      </c>
      <c r="E274" s="208">
        <v>7653</v>
      </c>
      <c r="F274" s="209"/>
      <c r="G274" s="210" t="str">
        <f>IFERROR(IF(ventas_b_mes4[[#This Row],[CUIT]]="","-",VLOOKUP(ventas_b_mes4[[#This Row],[CUIT]],Lista_CUIT[#All],2,0)),"CUIT NO CARGADO")</f>
        <v>-</v>
      </c>
      <c r="H274" s="211">
        <v>15694.21</v>
      </c>
      <c r="I274" s="212">
        <f>ventas_b_mes4[[#This Row],[IMPORTE NETO]]*0.21</f>
        <v>3295.7840999999999</v>
      </c>
      <c r="J274" s="213"/>
      <c r="K274" s="213"/>
      <c r="L274" s="213">
        <f>SUM(ventas_b_mes4[[#This Row],[IMPORTE NETO]:[EXENTO]])</f>
        <v>18989.9941</v>
      </c>
      <c r="M274" s="193"/>
    </row>
    <row r="275" spans="2:13">
      <c r="B275" s="205">
        <v>45019</v>
      </c>
      <c r="C275" s="41">
        <v>6</v>
      </c>
      <c r="D275" s="207">
        <v>5</v>
      </c>
      <c r="E275" s="208">
        <v>7646</v>
      </c>
      <c r="F275" s="209"/>
      <c r="G275" s="210" t="str">
        <f>IFERROR(IF(ventas_b_mes4[[#This Row],[CUIT]]="","-",VLOOKUP(ventas_b_mes4[[#This Row],[CUIT]],Lista_CUIT[#All],2,0)),"CUIT NO CARGADO")</f>
        <v>-</v>
      </c>
      <c r="H275" s="211">
        <v>9710.75</v>
      </c>
      <c r="I275" s="212">
        <f>ventas_b_mes4[[#This Row],[IMPORTE NETO]]*0.21</f>
        <v>2039.2574999999999</v>
      </c>
      <c r="J275" s="213"/>
      <c r="K275" s="213"/>
      <c r="L275" s="213">
        <f>SUM(ventas_b_mes4[[#This Row],[IMPORTE NETO]:[EXENTO]])</f>
        <v>11750.0075</v>
      </c>
      <c r="M275" s="193"/>
    </row>
    <row r="276" spans="2:13">
      <c r="B276" s="205">
        <v>45019</v>
      </c>
      <c r="C276" s="41">
        <v>6</v>
      </c>
      <c r="D276" s="207">
        <v>5</v>
      </c>
      <c r="E276" s="208">
        <v>7652</v>
      </c>
      <c r="F276" s="209"/>
      <c r="G276" s="210" t="str">
        <f>IFERROR(IF(ventas_b_mes4[[#This Row],[CUIT]]="","-",VLOOKUP(ventas_b_mes4[[#This Row],[CUIT]],Lista_CUIT[#All],2,0)),"CUIT NO CARGADO")</f>
        <v>-</v>
      </c>
      <c r="H276" s="211">
        <v>7768.6</v>
      </c>
      <c r="I276" s="212">
        <f>ventas_b_mes4[[#This Row],[IMPORTE NETO]]*0.21</f>
        <v>1631.4059999999999</v>
      </c>
      <c r="J276" s="213"/>
      <c r="K276" s="213"/>
      <c r="L276" s="213">
        <f>SUM(ventas_b_mes4[[#This Row],[IMPORTE NETO]:[EXENTO]])</f>
        <v>9400.0060000000012</v>
      </c>
      <c r="M276" s="193"/>
    </row>
    <row r="277" spans="2:13">
      <c r="B277" s="205">
        <v>45019</v>
      </c>
      <c r="C277" s="41">
        <v>6</v>
      </c>
      <c r="D277" s="207">
        <v>7</v>
      </c>
      <c r="E277" s="208">
        <v>4230</v>
      </c>
      <c r="F277" s="209"/>
      <c r="G277" s="210" t="str">
        <f>IFERROR(IF(ventas_b_mes4[[#This Row],[CUIT]]="","-",VLOOKUP(ventas_b_mes4[[#This Row],[CUIT]],Lista_CUIT[#All],2,0)),"CUIT NO CARGADO")</f>
        <v>-</v>
      </c>
      <c r="H277" s="211">
        <v>5950.41</v>
      </c>
      <c r="I277" s="212">
        <f>ventas_b_mes4[[#This Row],[IMPORTE NETO]]*0.21</f>
        <v>1249.5861</v>
      </c>
      <c r="J277" s="213"/>
      <c r="K277" s="213"/>
      <c r="L277" s="213">
        <f>SUM(ventas_b_mes4[[#This Row],[IMPORTE NETO]:[EXENTO]])</f>
        <v>7199.9961000000003</v>
      </c>
      <c r="M277" s="193"/>
    </row>
    <row r="278" spans="2:13">
      <c r="B278" s="205">
        <v>45020</v>
      </c>
      <c r="C278" s="41">
        <v>6</v>
      </c>
      <c r="D278" s="207">
        <v>7</v>
      </c>
      <c r="E278" s="208">
        <v>4232</v>
      </c>
      <c r="F278" s="209"/>
      <c r="G278" s="210" t="str">
        <f>IFERROR(IF(ventas_b_mes4[[#This Row],[CUIT]]="","-",VLOOKUP(ventas_b_mes4[[#This Row],[CUIT]],Lista_CUIT[#All],2,0)),"CUIT NO CARGADO")</f>
        <v>-</v>
      </c>
      <c r="H278" s="211">
        <v>1487.6</v>
      </c>
      <c r="I278" s="212">
        <f>ventas_b_mes4[[#This Row],[IMPORTE NETO]]*0.21</f>
        <v>312.39599999999996</v>
      </c>
      <c r="J278" s="213"/>
      <c r="K278" s="213"/>
      <c r="L278" s="213">
        <f>SUM(ventas_b_mes4[[#This Row],[IMPORTE NETO]:[EXENTO]])</f>
        <v>1799.9959999999999</v>
      </c>
      <c r="M278" s="193"/>
    </row>
    <row r="279" spans="2:13">
      <c r="B279" s="205">
        <v>45020</v>
      </c>
      <c r="C279" s="41">
        <v>6</v>
      </c>
      <c r="D279" s="207">
        <v>5</v>
      </c>
      <c r="E279" s="208">
        <v>7658</v>
      </c>
      <c r="F279" s="209"/>
      <c r="G279" s="210" t="str">
        <f>IFERROR(IF(ventas_b_mes4[[#This Row],[CUIT]]="","-",VLOOKUP(ventas_b_mes4[[#This Row],[CUIT]],Lista_CUIT[#All],2,0)),"CUIT NO CARGADO")</f>
        <v>-</v>
      </c>
      <c r="H279" s="211">
        <v>6198.35</v>
      </c>
      <c r="I279" s="212">
        <f>ventas_b_mes4[[#This Row],[IMPORTE NETO]]*0.21</f>
        <v>1301.6535000000001</v>
      </c>
      <c r="J279" s="213"/>
      <c r="K279" s="213"/>
      <c r="L279" s="213">
        <f>SUM(ventas_b_mes4[[#This Row],[IMPORTE NETO]:[EXENTO]])</f>
        <v>7500.0035000000007</v>
      </c>
      <c r="M279" s="193"/>
    </row>
    <row r="280" spans="2:13">
      <c r="B280" s="205">
        <v>45020</v>
      </c>
      <c r="C280" s="41">
        <v>6</v>
      </c>
      <c r="D280" s="207">
        <v>5</v>
      </c>
      <c r="E280" s="208">
        <v>7665</v>
      </c>
      <c r="F280" s="209"/>
      <c r="G280" s="210" t="str">
        <f>IFERROR(IF(ventas_b_mes4[[#This Row],[CUIT]]="","-",VLOOKUP(ventas_b_mes4[[#This Row],[CUIT]],Lista_CUIT[#All],2,0)),"CUIT NO CARGADO")</f>
        <v>-</v>
      </c>
      <c r="H280" s="211">
        <v>2727.27</v>
      </c>
      <c r="I280" s="212">
        <f>ventas_b_mes4[[#This Row],[IMPORTE NETO]]*0.21</f>
        <v>572.72669999999994</v>
      </c>
      <c r="J280" s="213"/>
      <c r="K280" s="213"/>
      <c r="L280" s="213">
        <f>SUM(ventas_b_mes4[[#This Row],[IMPORTE NETO]:[EXENTO]])</f>
        <v>3299.9966999999997</v>
      </c>
      <c r="M280" s="193"/>
    </row>
    <row r="281" spans="2:13">
      <c r="B281" s="205">
        <v>45020</v>
      </c>
      <c r="C281" s="41">
        <v>6</v>
      </c>
      <c r="D281" s="207">
        <v>5</v>
      </c>
      <c r="E281" s="208">
        <v>7661</v>
      </c>
      <c r="F281" s="209"/>
      <c r="G281" s="210" t="str">
        <f>IFERROR(IF(ventas_b_mes4[[#This Row],[CUIT]]="","-",VLOOKUP(ventas_b_mes4[[#This Row],[CUIT]],Lista_CUIT[#All],2,0)),"CUIT NO CARGADO")</f>
        <v>-</v>
      </c>
      <c r="H281" s="211">
        <v>7727.27</v>
      </c>
      <c r="I281" s="212">
        <f>ventas_b_mes4[[#This Row],[IMPORTE NETO]]*0.21</f>
        <v>1622.7266999999999</v>
      </c>
      <c r="J281" s="213"/>
      <c r="K281" s="213"/>
      <c r="L281" s="213">
        <f>SUM(ventas_b_mes4[[#This Row],[IMPORTE NETO]:[EXENTO]])</f>
        <v>9349.9966999999997</v>
      </c>
      <c r="M281" s="193"/>
    </row>
    <row r="282" spans="2:13">
      <c r="B282" s="205">
        <v>45020</v>
      </c>
      <c r="C282" s="41">
        <v>6</v>
      </c>
      <c r="D282" s="207">
        <v>5</v>
      </c>
      <c r="E282" s="208">
        <v>7659</v>
      </c>
      <c r="F282" s="209"/>
      <c r="G282" s="210" t="str">
        <f>IFERROR(IF(ventas_b_mes4[[#This Row],[CUIT]]="","-",VLOOKUP(ventas_b_mes4[[#This Row],[CUIT]],Lista_CUIT[#All],2,0)),"CUIT NO CARGADO")</f>
        <v>-</v>
      </c>
      <c r="H282" s="211">
        <v>3884.3</v>
      </c>
      <c r="I282" s="212">
        <f>ventas_b_mes4[[#This Row],[IMPORTE NETO]]*0.21</f>
        <v>815.70299999999997</v>
      </c>
      <c r="J282" s="213"/>
      <c r="K282" s="213"/>
      <c r="L282" s="213">
        <f>SUM(ventas_b_mes4[[#This Row],[IMPORTE NETO]:[EXENTO]])</f>
        <v>4700.0030000000006</v>
      </c>
      <c r="M282" s="193"/>
    </row>
    <row r="283" spans="2:13">
      <c r="B283" s="205">
        <v>45020</v>
      </c>
      <c r="C283" s="41">
        <v>6</v>
      </c>
      <c r="D283" s="207">
        <v>5</v>
      </c>
      <c r="E283" s="208">
        <v>7666</v>
      </c>
      <c r="F283" s="209"/>
      <c r="G283" s="210" t="str">
        <f>IFERROR(IF(ventas_b_mes4[[#This Row],[CUIT]]="","-",VLOOKUP(ventas_b_mes4[[#This Row],[CUIT]],Lista_CUIT[#All],2,0)),"CUIT NO CARGADO")</f>
        <v>-</v>
      </c>
      <c r="H283" s="211">
        <v>4132.2299999999996</v>
      </c>
      <c r="I283" s="212">
        <f>ventas_b_mes4[[#This Row],[IMPORTE NETO]]*0.21</f>
        <v>867.76829999999984</v>
      </c>
      <c r="J283" s="213"/>
      <c r="K283" s="213"/>
      <c r="L283" s="213">
        <f>SUM(ventas_b_mes4[[#This Row],[IMPORTE NETO]:[EXENTO]])</f>
        <v>4999.9982999999993</v>
      </c>
      <c r="M283" s="193"/>
    </row>
    <row r="284" spans="2:13">
      <c r="B284" s="205">
        <v>45020</v>
      </c>
      <c r="C284" s="41">
        <v>6</v>
      </c>
      <c r="D284" s="207">
        <v>5</v>
      </c>
      <c r="E284" s="208">
        <v>7663</v>
      </c>
      <c r="F284" s="209"/>
      <c r="G284" s="210" t="str">
        <f>IFERROR(IF(ventas_b_mes4[[#This Row],[CUIT]]="","-",VLOOKUP(ventas_b_mes4[[#This Row],[CUIT]],Lista_CUIT[#All],2,0)),"CUIT NO CARGADO")</f>
        <v>-</v>
      </c>
      <c r="H284" s="211">
        <v>1735.54</v>
      </c>
      <c r="I284" s="212">
        <f>ventas_b_mes4[[#This Row],[IMPORTE NETO]]*0.21</f>
        <v>364.46339999999998</v>
      </c>
      <c r="J284" s="213"/>
      <c r="K284" s="213"/>
      <c r="L284" s="213">
        <f>SUM(ventas_b_mes4[[#This Row],[IMPORTE NETO]:[EXENTO]])</f>
        <v>2100.0034000000001</v>
      </c>
      <c r="M284" s="193"/>
    </row>
    <row r="285" spans="2:13">
      <c r="B285" s="205">
        <v>45020</v>
      </c>
      <c r="C285" s="41">
        <v>6</v>
      </c>
      <c r="D285" s="207">
        <v>5</v>
      </c>
      <c r="E285" s="208">
        <v>7660</v>
      </c>
      <c r="F285" s="209"/>
      <c r="G285" s="210" t="str">
        <f>IFERROR(IF(ventas_b_mes4[[#This Row],[CUIT]]="","-",VLOOKUP(ventas_b_mes4[[#This Row],[CUIT]],Lista_CUIT[#All],2,0)),"CUIT NO CARGADO")</f>
        <v>-</v>
      </c>
      <c r="H285" s="211">
        <v>21074.38</v>
      </c>
      <c r="I285" s="212">
        <f>ventas_b_mes4[[#This Row],[IMPORTE NETO]]*0.21</f>
        <v>4425.6198000000004</v>
      </c>
      <c r="J285" s="213"/>
      <c r="K285" s="213"/>
      <c r="L285" s="213">
        <f>SUM(ventas_b_mes4[[#This Row],[IMPORTE NETO]:[EXENTO]])</f>
        <v>25499.999800000001</v>
      </c>
      <c r="M285" s="193"/>
    </row>
    <row r="286" spans="2:13">
      <c r="B286" s="205">
        <v>45020</v>
      </c>
      <c r="C286" s="41">
        <v>6</v>
      </c>
      <c r="D286" s="207">
        <v>5</v>
      </c>
      <c r="E286" s="208">
        <v>7664</v>
      </c>
      <c r="F286" s="209"/>
      <c r="G286" s="210" t="str">
        <f>IFERROR(IF(ventas_b_mes4[[#This Row],[CUIT]]="","-",VLOOKUP(ventas_b_mes4[[#This Row],[CUIT]],Lista_CUIT[#All],2,0)),"CUIT NO CARGADO")</f>
        <v>-</v>
      </c>
      <c r="H286" s="211">
        <v>4132.2299999999996</v>
      </c>
      <c r="I286" s="212">
        <f>ventas_b_mes4[[#This Row],[IMPORTE NETO]]*0.21</f>
        <v>867.76829999999984</v>
      </c>
      <c r="J286" s="213"/>
      <c r="K286" s="213"/>
      <c r="L286" s="213">
        <f>SUM(ventas_b_mes4[[#This Row],[IMPORTE NETO]:[EXENTO]])</f>
        <v>4999.9982999999993</v>
      </c>
      <c r="M286" s="193"/>
    </row>
    <row r="287" spans="2:13">
      <c r="B287" s="205">
        <v>45020</v>
      </c>
      <c r="C287" s="41">
        <v>6</v>
      </c>
      <c r="D287" s="207">
        <v>5</v>
      </c>
      <c r="E287" s="208">
        <v>7657</v>
      </c>
      <c r="F287" s="209"/>
      <c r="G287" s="210" t="str">
        <f>IFERROR(IF(ventas_b_mes4[[#This Row],[CUIT]]="","-",VLOOKUP(ventas_b_mes4[[#This Row],[CUIT]],Lista_CUIT[#All],2,0)),"CUIT NO CARGADO")</f>
        <v>-</v>
      </c>
      <c r="H287" s="211">
        <v>5537.19</v>
      </c>
      <c r="I287" s="212">
        <f>ventas_b_mes4[[#This Row],[IMPORTE NETO]]*0.21</f>
        <v>1162.8099</v>
      </c>
      <c r="J287" s="213"/>
      <c r="K287" s="213"/>
      <c r="L287" s="213">
        <f>SUM(ventas_b_mes4[[#This Row],[IMPORTE NETO]:[EXENTO]])</f>
        <v>6699.9998999999998</v>
      </c>
      <c r="M287" s="193"/>
    </row>
    <row r="288" spans="2:13">
      <c r="B288" s="205">
        <v>45020</v>
      </c>
      <c r="C288" s="41">
        <v>6</v>
      </c>
      <c r="D288" s="207">
        <v>7</v>
      </c>
      <c r="E288" s="208">
        <v>4231</v>
      </c>
      <c r="F288" s="209"/>
      <c r="G288" s="210" t="str">
        <f>IFERROR(IF(ventas_b_mes4[[#This Row],[CUIT]]="","-",VLOOKUP(ventas_b_mes4[[#This Row],[CUIT]],Lista_CUIT[#All],2,0)),"CUIT NO CARGADO")</f>
        <v>-</v>
      </c>
      <c r="H288" s="211">
        <v>3471.07</v>
      </c>
      <c r="I288" s="212">
        <f>ventas_b_mes4[[#This Row],[IMPORTE NETO]]*0.21</f>
        <v>728.92470000000003</v>
      </c>
      <c r="J288" s="213"/>
      <c r="K288" s="213"/>
      <c r="L288" s="213">
        <f>SUM(ventas_b_mes4[[#This Row],[IMPORTE NETO]:[EXENTO]])</f>
        <v>4199.9947000000002</v>
      </c>
      <c r="M288" s="193"/>
    </row>
    <row r="289" spans="2:13">
      <c r="B289" s="205">
        <v>45020</v>
      </c>
      <c r="C289" s="41">
        <v>6</v>
      </c>
      <c r="D289" s="207">
        <v>5</v>
      </c>
      <c r="E289" s="208">
        <v>7662</v>
      </c>
      <c r="F289" s="209"/>
      <c r="G289" s="210" t="str">
        <f>IFERROR(IF(ventas_b_mes4[[#This Row],[CUIT]]="","-",VLOOKUP(ventas_b_mes4[[#This Row],[CUIT]],Lista_CUIT[#All],2,0)),"CUIT NO CARGADO")</f>
        <v>-</v>
      </c>
      <c r="H289" s="211">
        <v>2727.27</v>
      </c>
      <c r="I289" s="212">
        <f>ventas_b_mes4[[#This Row],[IMPORTE NETO]]*0.21</f>
        <v>572.72669999999994</v>
      </c>
      <c r="J289" s="213"/>
      <c r="K289" s="213"/>
      <c r="L289" s="213">
        <f>SUM(ventas_b_mes4[[#This Row],[IMPORTE NETO]:[EXENTO]])</f>
        <v>3299.9966999999997</v>
      </c>
      <c r="M289" s="193"/>
    </row>
    <row r="290" spans="2:13">
      <c r="B290" s="205">
        <v>45020</v>
      </c>
      <c r="C290" s="41">
        <v>6</v>
      </c>
      <c r="D290" s="207">
        <v>7</v>
      </c>
      <c r="E290" s="208">
        <v>4233</v>
      </c>
      <c r="F290" s="209"/>
      <c r="G290" s="210" t="str">
        <f>IFERROR(IF(ventas_b_mes4[[#This Row],[CUIT]]="","-",VLOOKUP(ventas_b_mes4[[#This Row],[CUIT]],Lista_CUIT[#All],2,0)),"CUIT NO CARGADO")</f>
        <v>-</v>
      </c>
      <c r="H290" s="211">
        <v>6446.28</v>
      </c>
      <c r="I290" s="212">
        <f>ventas_b_mes4[[#This Row],[IMPORTE NETO]]*0.21</f>
        <v>1353.7187999999999</v>
      </c>
      <c r="J290" s="213"/>
      <c r="K290" s="213"/>
      <c r="L290" s="213">
        <f>SUM(ventas_b_mes4[[#This Row],[IMPORTE NETO]:[EXENTO]])</f>
        <v>7799.9987999999994</v>
      </c>
      <c r="M290" s="193"/>
    </row>
    <row r="291" spans="2:13">
      <c r="B291" s="205">
        <v>45020</v>
      </c>
      <c r="C291" s="41">
        <v>6</v>
      </c>
      <c r="D291" s="207">
        <v>5</v>
      </c>
      <c r="E291" s="208">
        <v>7656</v>
      </c>
      <c r="F291" s="209"/>
      <c r="G291" s="210" t="str">
        <f>IFERROR(IF(ventas_b_mes4[[#This Row],[CUIT]]="","-",VLOOKUP(ventas_b_mes4[[#This Row],[CUIT]],Lista_CUIT[#All],2,0)),"CUIT NO CARGADO")</f>
        <v>-</v>
      </c>
      <c r="H291" s="211">
        <v>3884.3</v>
      </c>
      <c r="I291" s="212">
        <f>ventas_b_mes4[[#This Row],[IMPORTE NETO]]*0.21</f>
        <v>815.70299999999997</v>
      </c>
      <c r="J291" s="213"/>
      <c r="K291" s="213"/>
      <c r="L291" s="213">
        <f>SUM(ventas_b_mes4[[#This Row],[IMPORTE NETO]:[EXENTO]])</f>
        <v>4700.0030000000006</v>
      </c>
      <c r="M291" s="193"/>
    </row>
    <row r="292" spans="2:13">
      <c r="B292" s="205">
        <v>45021</v>
      </c>
      <c r="C292" s="41">
        <v>6</v>
      </c>
      <c r="D292" s="207">
        <v>5</v>
      </c>
      <c r="E292" s="208">
        <v>7672</v>
      </c>
      <c r="F292" s="209"/>
      <c r="G292" s="210" t="str">
        <f>IFERROR(IF(ventas_b_mes4[[#This Row],[CUIT]]="","-",VLOOKUP(ventas_b_mes4[[#This Row],[CUIT]],Lista_CUIT[#All],2,0)),"CUIT NO CARGADO")</f>
        <v>-</v>
      </c>
      <c r="H292" s="211">
        <v>3884.3</v>
      </c>
      <c r="I292" s="212">
        <f>ventas_b_mes4[[#This Row],[IMPORTE NETO]]*0.21</f>
        <v>815.70299999999997</v>
      </c>
      <c r="J292" s="213"/>
      <c r="K292" s="213"/>
      <c r="L292" s="213">
        <f>SUM(ventas_b_mes4[[#This Row],[IMPORTE NETO]:[EXENTO]])</f>
        <v>4700.0030000000006</v>
      </c>
      <c r="M292" s="193"/>
    </row>
    <row r="293" spans="2:13">
      <c r="B293" s="205">
        <v>45021</v>
      </c>
      <c r="C293" s="41">
        <v>6</v>
      </c>
      <c r="D293" s="207">
        <v>5</v>
      </c>
      <c r="E293" s="208">
        <v>7671</v>
      </c>
      <c r="F293" s="209"/>
      <c r="G293" s="210" t="str">
        <f>IFERROR(IF(ventas_b_mes4[[#This Row],[CUIT]]="","-",VLOOKUP(ventas_b_mes4[[#This Row],[CUIT]],Lista_CUIT[#All],2,0)),"CUIT NO CARGADO")</f>
        <v>-</v>
      </c>
      <c r="H293" s="211">
        <v>6198.35</v>
      </c>
      <c r="I293" s="212">
        <f>ventas_b_mes4[[#This Row],[IMPORTE NETO]]*0.21</f>
        <v>1301.6535000000001</v>
      </c>
      <c r="J293" s="213"/>
      <c r="K293" s="213"/>
      <c r="L293" s="213">
        <f>SUM(ventas_b_mes4[[#This Row],[IMPORTE NETO]:[EXENTO]])</f>
        <v>7500.0035000000007</v>
      </c>
      <c r="M293" s="193"/>
    </row>
    <row r="294" spans="2:13">
      <c r="B294" s="205">
        <v>45021</v>
      </c>
      <c r="C294" s="41">
        <v>6</v>
      </c>
      <c r="D294" s="207">
        <v>7</v>
      </c>
      <c r="E294" s="208">
        <v>4234</v>
      </c>
      <c r="F294" s="209"/>
      <c r="G294" s="210" t="str">
        <f>IFERROR(IF(ventas_b_mes4[[#This Row],[CUIT]]="","-",VLOOKUP(ventas_b_mes4[[#This Row],[CUIT]],Lista_CUIT[#All],2,0)),"CUIT NO CARGADO")</f>
        <v>-</v>
      </c>
      <c r="H294" s="211">
        <v>4628.1000000000004</v>
      </c>
      <c r="I294" s="212">
        <f>ventas_b_mes4[[#This Row],[IMPORTE NETO]]*0.21</f>
        <v>971.90100000000007</v>
      </c>
      <c r="J294" s="213"/>
      <c r="K294" s="213"/>
      <c r="L294" s="213">
        <f>SUM(ventas_b_mes4[[#This Row],[IMPORTE NETO]:[EXENTO]])</f>
        <v>5600.0010000000002</v>
      </c>
      <c r="M294" s="193"/>
    </row>
    <row r="295" spans="2:13">
      <c r="B295" s="205">
        <v>45021</v>
      </c>
      <c r="C295" s="41">
        <v>6</v>
      </c>
      <c r="D295" s="207">
        <v>5</v>
      </c>
      <c r="E295" s="208">
        <v>7668</v>
      </c>
      <c r="F295" s="209"/>
      <c r="G295" s="210" t="str">
        <f>IFERROR(IF(ventas_b_mes4[[#This Row],[CUIT]]="","-",VLOOKUP(ventas_b_mes4[[#This Row],[CUIT]],Lista_CUIT[#All],2,0)),"CUIT NO CARGADO")</f>
        <v>-</v>
      </c>
      <c r="H295" s="211">
        <v>4132.2299999999996</v>
      </c>
      <c r="I295" s="212">
        <f>ventas_b_mes4[[#This Row],[IMPORTE NETO]]*0.21</f>
        <v>867.76829999999984</v>
      </c>
      <c r="J295" s="213"/>
      <c r="K295" s="213"/>
      <c r="L295" s="213">
        <f>SUM(ventas_b_mes4[[#This Row],[IMPORTE NETO]:[EXENTO]])</f>
        <v>4999.9982999999993</v>
      </c>
      <c r="M295" s="193"/>
    </row>
    <row r="296" spans="2:13">
      <c r="B296" s="40">
        <v>45021</v>
      </c>
      <c r="C296" s="41">
        <v>6</v>
      </c>
      <c r="D296" s="42">
        <v>5</v>
      </c>
      <c r="E296" s="43">
        <v>7670</v>
      </c>
      <c r="F296" s="44"/>
      <c r="G296" s="1"/>
      <c r="H296" s="64">
        <v>23041.32</v>
      </c>
      <c r="I296" s="64">
        <f>ventas_b_mes4[[#This Row],[IMPORTE NETO]]*0.21</f>
        <v>4838.6772000000001</v>
      </c>
      <c r="J296" s="64"/>
      <c r="K296" s="64"/>
      <c r="L296" s="64">
        <f>SUM(ventas_b_mes4[[#This Row],[IMPORTE NETO]:[EXENTO]])</f>
        <v>27879.997199999998</v>
      </c>
      <c r="M296" s="59"/>
    </row>
    <row r="297" spans="2:13">
      <c r="B297" s="214">
        <v>45021</v>
      </c>
      <c r="C297" s="41">
        <v>6</v>
      </c>
      <c r="D297" s="215">
        <v>5</v>
      </c>
      <c r="E297" s="216">
        <v>7669</v>
      </c>
      <c r="F297" s="217"/>
      <c r="G297" s="218" t="str">
        <f>IFERROR(IF(ventas_b_mes4[[#This Row],[CUIT]]="","-",VLOOKUP(ventas_b_mes4[[#This Row],[CUIT]],Lista_CUIT[#All],2,0)),"CUIT NO CARGADO")</f>
        <v>-</v>
      </c>
      <c r="H297" s="219">
        <v>2842.97</v>
      </c>
      <c r="I297" s="220">
        <f>ventas_b_mes4[[#This Row],[IMPORTE NETO]]*0.21</f>
        <v>597.02369999999996</v>
      </c>
      <c r="J297" s="221"/>
      <c r="K297" s="221"/>
      <c r="L297" s="221">
        <f>SUM(ventas_b_mes4[[#This Row],[IMPORTE NETO]:[EXENTO]])</f>
        <v>3439.9937</v>
      </c>
      <c r="M297" s="202"/>
    </row>
    <row r="298" spans="2:13">
      <c r="B298" s="214">
        <v>45021</v>
      </c>
      <c r="C298" s="41">
        <v>6</v>
      </c>
      <c r="D298" s="215">
        <v>5</v>
      </c>
      <c r="E298" s="216">
        <v>7667</v>
      </c>
      <c r="F298" s="217"/>
      <c r="G298" s="218" t="str">
        <f>IFERROR(IF(ventas_b_mes4[[#This Row],[CUIT]]="","-",VLOOKUP(ventas_b_mes4[[#This Row],[CUIT]],Lista_CUIT[#All],2,0)),"CUIT NO CARGADO")</f>
        <v>-</v>
      </c>
      <c r="H298" s="219">
        <v>21074.38</v>
      </c>
      <c r="I298" s="220">
        <f>ventas_b_mes4[[#This Row],[IMPORTE NETO]]*0.21</f>
        <v>4425.6198000000004</v>
      </c>
      <c r="J298" s="221"/>
      <c r="K298" s="221"/>
      <c r="L298" s="221">
        <f>SUM(ventas_b_mes4[[#This Row],[IMPORTE NETO]:[EXENTO]])</f>
        <v>25499.999800000001</v>
      </c>
      <c r="M298" s="202"/>
    </row>
    <row r="299" spans="2:13">
      <c r="B299" s="214">
        <v>45021</v>
      </c>
      <c r="C299" s="41">
        <v>6</v>
      </c>
      <c r="D299" s="215">
        <v>5</v>
      </c>
      <c r="E299" s="216">
        <v>7673</v>
      </c>
      <c r="F299" s="217"/>
      <c r="G299" s="218" t="str">
        <f>IFERROR(IF(ventas_b_mes4[[#This Row],[CUIT]]="","-",VLOOKUP(ventas_b_mes4[[#This Row],[CUIT]],Lista_CUIT[#All],2,0)),"CUIT NO CARGADO")</f>
        <v>-</v>
      </c>
      <c r="H299" s="219">
        <v>4876.03</v>
      </c>
      <c r="I299" s="220">
        <f>ventas_b_mes4[[#This Row],[IMPORTE NETO]]*0.21</f>
        <v>1023.9662999999999</v>
      </c>
      <c r="J299" s="221"/>
      <c r="K299" s="221"/>
      <c r="L299" s="221">
        <f>SUM(ventas_b_mes4[[#This Row],[IMPORTE NETO]:[EXENTO]])</f>
        <v>5899.9962999999998</v>
      </c>
      <c r="M299" s="202"/>
    </row>
    <row r="300" spans="2:13">
      <c r="B300" s="214">
        <v>45026</v>
      </c>
      <c r="C300" s="41">
        <v>6</v>
      </c>
      <c r="D300" s="215">
        <v>7</v>
      </c>
      <c r="E300" s="216">
        <v>4235</v>
      </c>
      <c r="F300" s="217"/>
      <c r="G300" s="218" t="str">
        <f>IFERROR(IF(ventas_b_mes4[[#This Row],[CUIT]]="","-",VLOOKUP(ventas_b_mes4[[#This Row],[CUIT]],Lista_CUIT[#All],2,0)),"CUIT NO CARGADO")</f>
        <v>-</v>
      </c>
      <c r="H300" s="219">
        <v>3719.01</v>
      </c>
      <c r="I300" s="220">
        <f>ventas_b_mes4[[#This Row],[IMPORTE NETO]]*0.21</f>
        <v>780.99210000000005</v>
      </c>
      <c r="J300" s="221"/>
      <c r="K300" s="221"/>
      <c r="L300" s="221">
        <f>SUM(ventas_b_mes4[[#This Row],[IMPORTE NETO]:[EXENTO]])</f>
        <v>4500.0021000000006</v>
      </c>
      <c r="M300" s="202"/>
    </row>
    <row r="301" spans="2:13">
      <c r="B301" s="214">
        <v>45026</v>
      </c>
      <c r="C301" s="41">
        <v>6</v>
      </c>
      <c r="D301" s="215">
        <v>5</v>
      </c>
      <c r="E301" s="216">
        <v>7676</v>
      </c>
      <c r="F301" s="217"/>
      <c r="G301" s="218" t="str">
        <f>IFERROR(IF(ventas_b_mes4[[#This Row],[CUIT]]="","-",VLOOKUP(ventas_b_mes4[[#This Row],[CUIT]],Lista_CUIT[#All],2,0)),"CUIT NO CARGADO")</f>
        <v>-</v>
      </c>
      <c r="H301" s="219">
        <v>5851.24</v>
      </c>
      <c r="I301" s="220">
        <f>ventas_b_mes4[[#This Row],[IMPORTE NETO]]*0.21</f>
        <v>1228.7603999999999</v>
      </c>
      <c r="J301" s="221"/>
      <c r="K301" s="221"/>
      <c r="L301" s="221">
        <f>SUM(ventas_b_mes4[[#This Row],[IMPORTE NETO]:[EXENTO]])</f>
        <v>7080.0003999999999</v>
      </c>
      <c r="M301" s="202"/>
    </row>
    <row r="302" spans="2:13">
      <c r="B302" s="214">
        <v>45026</v>
      </c>
      <c r="C302" s="41">
        <v>6</v>
      </c>
      <c r="D302" s="215">
        <v>5</v>
      </c>
      <c r="E302" s="216">
        <v>7675</v>
      </c>
      <c r="F302" s="217"/>
      <c r="G302" s="218" t="str">
        <f>IFERROR(IF(ventas_b_mes4[[#This Row],[CUIT]]="","-",VLOOKUP(ventas_b_mes4[[#This Row],[CUIT]],Lista_CUIT[#All],2,0)),"CUIT NO CARGADO")</f>
        <v>-</v>
      </c>
      <c r="H302" s="219">
        <v>15289.26</v>
      </c>
      <c r="I302" s="220">
        <f>ventas_b_mes4[[#This Row],[IMPORTE NETO]]*0.21</f>
        <v>3210.7446</v>
      </c>
      <c r="J302" s="221"/>
      <c r="K302" s="221"/>
      <c r="L302" s="221">
        <f>SUM(ventas_b_mes4[[#This Row],[IMPORTE NETO]:[EXENTO]])</f>
        <v>18500.0046</v>
      </c>
      <c r="M302" s="202"/>
    </row>
    <row r="303" spans="2:13">
      <c r="B303" s="214">
        <v>45026</v>
      </c>
      <c r="C303" s="41">
        <v>6</v>
      </c>
      <c r="D303" s="215">
        <v>5</v>
      </c>
      <c r="E303" s="216">
        <v>7674</v>
      </c>
      <c r="F303" s="217"/>
      <c r="G303" s="218" t="str">
        <f>IFERROR(IF(ventas_b_mes4[[#This Row],[CUIT]]="","-",VLOOKUP(ventas_b_mes4[[#This Row],[CUIT]],Lista_CUIT[#All],2,0)),"CUIT NO CARGADO")</f>
        <v>-</v>
      </c>
      <c r="H303" s="219">
        <v>1322.31</v>
      </c>
      <c r="I303" s="220">
        <f>ventas_b_mes4[[#This Row],[IMPORTE NETO]]*0.21</f>
        <v>277.68509999999998</v>
      </c>
      <c r="J303" s="221"/>
      <c r="K303" s="221"/>
      <c r="L303" s="221">
        <f>SUM(ventas_b_mes4[[#This Row],[IMPORTE NETO]:[EXENTO]])</f>
        <v>1599.9950999999999</v>
      </c>
      <c r="M303" s="202"/>
    </row>
    <row r="304" spans="2:13">
      <c r="B304" s="205">
        <v>45026</v>
      </c>
      <c r="C304" s="41">
        <v>6</v>
      </c>
      <c r="D304" s="207">
        <v>5</v>
      </c>
      <c r="E304" s="208">
        <v>7678</v>
      </c>
      <c r="F304" s="209"/>
      <c r="G304" s="210" t="str">
        <f>IFERROR(IF(ventas_b_mes4[[#This Row],[CUIT]]="","-",VLOOKUP(ventas_b_mes4[[#This Row],[CUIT]],Lista_CUIT[#All],2,0)),"CUIT NO CARGADO")</f>
        <v>-</v>
      </c>
      <c r="H304" s="211">
        <v>2727.27</v>
      </c>
      <c r="I304" s="212">
        <f>ventas_b_mes4[[#This Row],[IMPORTE NETO]]*0.21</f>
        <v>572.72669999999994</v>
      </c>
      <c r="J304" s="213"/>
      <c r="K304" s="213"/>
      <c r="L304" s="213">
        <f>SUM(ventas_b_mes4[[#This Row],[IMPORTE NETO]:[EXENTO]])</f>
        <v>3299.9966999999997</v>
      </c>
      <c r="M304" s="193"/>
    </row>
    <row r="305" spans="2:13">
      <c r="B305" s="205">
        <v>45026</v>
      </c>
      <c r="C305" s="41">
        <v>6</v>
      </c>
      <c r="D305" s="207">
        <v>5</v>
      </c>
      <c r="E305" s="208">
        <v>7683</v>
      </c>
      <c r="F305" s="209"/>
      <c r="G305" s="210" t="str">
        <f>IFERROR(IF(ventas_b_mes4[[#This Row],[CUIT]]="","-",VLOOKUP(ventas_b_mes4[[#This Row],[CUIT]],Lista_CUIT[#All],2,0)),"CUIT NO CARGADO")</f>
        <v>-</v>
      </c>
      <c r="H305" s="211">
        <v>6280.99</v>
      </c>
      <c r="I305" s="212">
        <f>ventas_b_mes4[[#This Row],[IMPORTE NETO]]*0.21</f>
        <v>1319.0078999999998</v>
      </c>
      <c r="J305" s="213"/>
      <c r="K305" s="213"/>
      <c r="L305" s="213">
        <f>SUM(ventas_b_mes4[[#This Row],[IMPORTE NETO]:[EXENTO]])</f>
        <v>7599.9978999999994</v>
      </c>
      <c r="M305" s="193"/>
    </row>
    <row r="306" spans="2:13">
      <c r="B306" s="205">
        <v>45026</v>
      </c>
      <c r="C306" s="41">
        <v>6</v>
      </c>
      <c r="D306" s="207">
        <v>5</v>
      </c>
      <c r="E306" s="208">
        <v>7682</v>
      </c>
      <c r="F306" s="209"/>
      <c r="G306" s="210" t="str">
        <f>IFERROR(IF(ventas_b_mes4[[#This Row],[CUIT]]="","-",VLOOKUP(ventas_b_mes4[[#This Row],[CUIT]],Lista_CUIT[#All],2,0)),"CUIT NO CARGADO")</f>
        <v>-</v>
      </c>
      <c r="H306" s="211">
        <v>5785.12</v>
      </c>
      <c r="I306" s="212">
        <f>ventas_b_mes4[[#This Row],[IMPORTE NETO]]*0.21</f>
        <v>1214.8751999999999</v>
      </c>
      <c r="J306" s="213"/>
      <c r="K306" s="213"/>
      <c r="L306" s="213">
        <f>SUM(ventas_b_mes4[[#This Row],[IMPORTE NETO]:[EXENTO]])</f>
        <v>6999.9951999999994</v>
      </c>
      <c r="M306" s="193"/>
    </row>
    <row r="307" spans="2:13">
      <c r="B307" s="205">
        <v>45026</v>
      </c>
      <c r="C307" s="41">
        <v>6</v>
      </c>
      <c r="D307" s="207">
        <v>5</v>
      </c>
      <c r="E307" s="208">
        <v>7677</v>
      </c>
      <c r="F307" s="209"/>
      <c r="G307" s="210" t="str">
        <f>IFERROR(IF(ventas_b_mes4[[#This Row],[CUIT]]="","-",VLOOKUP(ventas_b_mes4[[#This Row],[CUIT]],Lista_CUIT[#All],2,0)),"CUIT NO CARGADO")</f>
        <v>-</v>
      </c>
      <c r="H307" s="211">
        <v>2644.63</v>
      </c>
      <c r="I307" s="212">
        <f>ventas_b_mes4[[#This Row],[IMPORTE NETO]]*0.21</f>
        <v>555.3723</v>
      </c>
      <c r="J307" s="213"/>
      <c r="K307" s="213"/>
      <c r="L307" s="213">
        <f>SUM(ventas_b_mes4[[#This Row],[IMPORTE NETO]:[EXENTO]])</f>
        <v>3200.0023000000001</v>
      </c>
      <c r="M307" s="193"/>
    </row>
    <row r="308" spans="2:13">
      <c r="B308" s="205">
        <v>45026</v>
      </c>
      <c r="C308" s="41">
        <v>6</v>
      </c>
      <c r="D308" s="207">
        <v>5</v>
      </c>
      <c r="E308" s="208">
        <v>7680</v>
      </c>
      <c r="F308" s="209"/>
      <c r="G308" s="210" t="str">
        <f>IFERROR(IF(ventas_b_mes4[[#This Row],[CUIT]]="","-",VLOOKUP(ventas_b_mes4[[#This Row],[CUIT]],Lista_CUIT[#All],2,0)),"CUIT NO CARGADO")</f>
        <v>-</v>
      </c>
      <c r="H308" s="211">
        <v>3884.3</v>
      </c>
      <c r="I308" s="212">
        <f>ventas_b_mes4[[#This Row],[IMPORTE NETO]]*0.21</f>
        <v>815.70299999999997</v>
      </c>
      <c r="J308" s="213"/>
      <c r="K308" s="213"/>
      <c r="L308" s="213">
        <f>SUM(ventas_b_mes4[[#This Row],[IMPORTE NETO]:[EXENTO]])</f>
        <v>4700.0030000000006</v>
      </c>
      <c r="M308" s="193"/>
    </row>
    <row r="309" spans="2:13">
      <c r="B309" s="205">
        <v>45026</v>
      </c>
      <c r="C309" s="41">
        <v>6</v>
      </c>
      <c r="D309" s="207">
        <v>5</v>
      </c>
      <c r="E309" s="208">
        <v>7679</v>
      </c>
      <c r="F309" s="209"/>
      <c r="G309" s="210" t="str">
        <f>IFERROR(IF(ventas_b_mes4[[#This Row],[CUIT]]="","-",VLOOKUP(ventas_b_mes4[[#This Row],[CUIT]],Lista_CUIT[#All],2,0)),"CUIT NO CARGADO")</f>
        <v>-</v>
      </c>
      <c r="H309" s="211">
        <v>4876.03</v>
      </c>
      <c r="I309" s="212">
        <f>ventas_b_mes4[[#This Row],[IMPORTE NETO]]*0.21</f>
        <v>1023.9662999999999</v>
      </c>
      <c r="J309" s="213"/>
      <c r="K309" s="213"/>
      <c r="L309" s="213">
        <f>SUM(ventas_b_mes4[[#This Row],[IMPORTE NETO]:[EXENTO]])</f>
        <v>5899.9962999999998</v>
      </c>
      <c r="M309" s="193"/>
    </row>
    <row r="310" spans="2:13">
      <c r="B310" s="205">
        <v>45026</v>
      </c>
      <c r="C310" s="41">
        <v>6</v>
      </c>
      <c r="D310" s="207">
        <v>5</v>
      </c>
      <c r="E310" s="208">
        <v>7681</v>
      </c>
      <c r="F310" s="209"/>
      <c r="G310" s="210" t="str">
        <f>IFERROR(IF(ventas_b_mes4[[#This Row],[CUIT]]="","-",VLOOKUP(ventas_b_mes4[[#This Row],[CUIT]],Lista_CUIT[#All],2,0)),"CUIT NO CARGADO")</f>
        <v>-</v>
      </c>
      <c r="H310" s="211">
        <v>4132.2299999999996</v>
      </c>
      <c r="I310" s="212">
        <f>ventas_b_mes4[[#This Row],[IMPORTE NETO]]*0.21</f>
        <v>867.76829999999984</v>
      </c>
      <c r="J310" s="213"/>
      <c r="K310" s="213"/>
      <c r="L310" s="213">
        <f>SUM(ventas_b_mes4[[#This Row],[IMPORTE NETO]:[EXENTO]])</f>
        <v>4999.9982999999993</v>
      </c>
      <c r="M310" s="193"/>
    </row>
    <row r="311" spans="2:13">
      <c r="B311" s="205">
        <v>45027</v>
      </c>
      <c r="C311" s="41">
        <v>6</v>
      </c>
      <c r="D311" s="207">
        <v>5</v>
      </c>
      <c r="E311" s="208">
        <v>7686</v>
      </c>
      <c r="F311" s="209"/>
      <c r="G311" s="210" t="str">
        <f>IFERROR(IF(ventas_b_mes4[[#This Row],[CUIT]]="","-",VLOOKUP(ventas_b_mes4[[#This Row],[CUIT]],Lista_CUIT[#All],2,0)),"CUIT NO CARGADO")</f>
        <v>-</v>
      </c>
      <c r="H311" s="211">
        <v>7768.6</v>
      </c>
      <c r="I311" s="212">
        <f>ventas_b_mes4[[#This Row],[IMPORTE NETO]]*0.21</f>
        <v>1631.4059999999999</v>
      </c>
      <c r="J311" s="213"/>
      <c r="K311" s="213"/>
      <c r="L311" s="213">
        <f>SUM(ventas_b_mes4[[#This Row],[IMPORTE NETO]:[EXENTO]])</f>
        <v>9400.0060000000012</v>
      </c>
      <c r="M311" s="193"/>
    </row>
    <row r="312" spans="2:13">
      <c r="B312" s="205">
        <v>45027</v>
      </c>
      <c r="C312" s="41">
        <v>6</v>
      </c>
      <c r="D312" s="207">
        <v>7</v>
      </c>
      <c r="E312" s="208">
        <v>4236</v>
      </c>
      <c r="F312" s="209"/>
      <c r="G312" s="210" t="str">
        <f>IFERROR(IF(ventas_b_mes4[[#This Row],[CUIT]]="","-",VLOOKUP(ventas_b_mes4[[#This Row],[CUIT]],Lista_CUIT[#All],2,0)),"CUIT NO CARGADO")</f>
        <v>-</v>
      </c>
      <c r="H312" s="211">
        <v>218291.75</v>
      </c>
      <c r="I312" s="212">
        <f>ventas_b_mes4[[#This Row],[IMPORTE NETO]]*0.21</f>
        <v>45841.267500000002</v>
      </c>
      <c r="J312" s="213"/>
      <c r="K312" s="213"/>
      <c r="L312" s="213">
        <f>SUM(ventas_b_mes4[[#This Row],[IMPORTE NETO]:[EXENTO]])</f>
        <v>264133.01750000002</v>
      </c>
      <c r="M312" s="193"/>
    </row>
    <row r="313" spans="2:13">
      <c r="B313" s="205">
        <v>45027</v>
      </c>
      <c r="C313" s="41">
        <v>6</v>
      </c>
      <c r="D313" s="207">
        <v>5</v>
      </c>
      <c r="E313" s="208">
        <v>7691</v>
      </c>
      <c r="F313" s="209"/>
      <c r="G313" s="210" t="str">
        <f>IFERROR(IF(ventas_b_mes4[[#This Row],[CUIT]]="","-",VLOOKUP(ventas_b_mes4[[#This Row],[CUIT]],Lista_CUIT[#All],2,0)),"CUIT NO CARGADO")</f>
        <v>-</v>
      </c>
      <c r="H313" s="211">
        <v>2479.34</v>
      </c>
      <c r="I313" s="212">
        <f>ventas_b_mes4[[#This Row],[IMPORTE NETO]]*0.21</f>
        <v>520.66139999999996</v>
      </c>
      <c r="J313" s="213"/>
      <c r="K313" s="213"/>
      <c r="L313" s="213">
        <f>SUM(ventas_b_mes4[[#This Row],[IMPORTE NETO]:[EXENTO]])</f>
        <v>3000.0014000000001</v>
      </c>
      <c r="M313" s="193"/>
    </row>
    <row r="314" spans="2:13">
      <c r="B314" s="205">
        <v>45027</v>
      </c>
      <c r="C314" s="41">
        <v>6</v>
      </c>
      <c r="D314" s="207">
        <v>5</v>
      </c>
      <c r="E314" s="208">
        <v>7688</v>
      </c>
      <c r="F314" s="209"/>
      <c r="G314" s="210" t="str">
        <f>IFERROR(IF(ventas_b_mes4[[#This Row],[CUIT]]="","-",VLOOKUP(ventas_b_mes4[[#This Row],[CUIT]],Lista_CUIT[#All],2,0)),"CUIT NO CARGADO")</f>
        <v>-</v>
      </c>
      <c r="H314" s="211">
        <v>15041.33</v>
      </c>
      <c r="I314" s="212">
        <f>ventas_b_mes4[[#This Row],[IMPORTE NETO]]*0.21</f>
        <v>3158.6792999999998</v>
      </c>
      <c r="J314" s="213"/>
      <c r="K314" s="213"/>
      <c r="L314" s="213">
        <f>SUM(ventas_b_mes4[[#This Row],[IMPORTE NETO]:[EXENTO]])</f>
        <v>18200.009299999998</v>
      </c>
      <c r="M314" s="193"/>
    </row>
    <row r="315" spans="2:13">
      <c r="B315" s="205">
        <v>45027</v>
      </c>
      <c r="C315" s="41">
        <v>6</v>
      </c>
      <c r="D315" s="207">
        <v>5</v>
      </c>
      <c r="E315" s="208">
        <v>7684</v>
      </c>
      <c r="F315" s="209"/>
      <c r="G315" s="210" t="str">
        <f>IFERROR(IF(ventas_b_mes4[[#This Row],[CUIT]]="","-",VLOOKUP(ventas_b_mes4[[#This Row],[CUIT]],Lista_CUIT[#All],2,0)),"CUIT NO CARGADO")</f>
        <v>-</v>
      </c>
      <c r="H315" s="211">
        <v>4330.58</v>
      </c>
      <c r="I315" s="212">
        <f>ventas_b_mes4[[#This Row],[IMPORTE NETO]]*0.21</f>
        <v>909.42179999999996</v>
      </c>
      <c r="J315" s="213"/>
      <c r="K315" s="213"/>
      <c r="L315" s="213">
        <f>SUM(ventas_b_mes4[[#This Row],[IMPORTE NETO]:[EXENTO]])</f>
        <v>5240.0018</v>
      </c>
      <c r="M315" s="193"/>
    </row>
    <row r="316" spans="2:13">
      <c r="B316" s="205">
        <v>45027</v>
      </c>
      <c r="C316" s="41">
        <v>6</v>
      </c>
      <c r="D316" s="207">
        <v>5</v>
      </c>
      <c r="E316" s="208">
        <v>7685</v>
      </c>
      <c r="F316" s="209"/>
      <c r="G316" s="210" t="str">
        <f>IFERROR(IF(ventas_b_mes4[[#This Row],[CUIT]]="","-",VLOOKUP(ventas_b_mes4[[#This Row],[CUIT]],Lista_CUIT[#All],2,0)),"CUIT NO CARGADO")</f>
        <v>-</v>
      </c>
      <c r="H316" s="211">
        <v>5702.48</v>
      </c>
      <c r="I316" s="212">
        <f>ventas_b_mes4[[#This Row],[IMPORTE NETO]]*0.21</f>
        <v>1197.5207999999998</v>
      </c>
      <c r="J316" s="213"/>
      <c r="K316" s="213"/>
      <c r="L316" s="213">
        <f>SUM(ventas_b_mes4[[#This Row],[IMPORTE NETO]:[EXENTO]])</f>
        <v>6900.0007999999998</v>
      </c>
      <c r="M316" s="193"/>
    </row>
    <row r="317" spans="2:13">
      <c r="B317" s="205">
        <v>45027</v>
      </c>
      <c r="C317" s="41">
        <v>6</v>
      </c>
      <c r="D317" s="207">
        <v>5</v>
      </c>
      <c r="E317" s="208">
        <v>7696</v>
      </c>
      <c r="F317" s="209"/>
      <c r="G317" s="210" t="str">
        <f>IFERROR(IF(ventas_b_mes4[[#This Row],[CUIT]]="","-",VLOOKUP(ventas_b_mes4[[#This Row],[CUIT]],Lista_CUIT[#All],2,0)),"CUIT NO CARGADO")</f>
        <v>-</v>
      </c>
      <c r="H317" s="211">
        <v>10000</v>
      </c>
      <c r="I317" s="212">
        <f>ventas_b_mes4[[#This Row],[IMPORTE NETO]]*0.21</f>
        <v>2100</v>
      </c>
      <c r="J317" s="213"/>
      <c r="K317" s="213"/>
      <c r="L317" s="213">
        <f>SUM(ventas_b_mes4[[#This Row],[IMPORTE NETO]:[EXENTO]])</f>
        <v>12100</v>
      </c>
      <c r="M317" s="193"/>
    </row>
    <row r="318" spans="2:13">
      <c r="B318" s="205">
        <v>45027</v>
      </c>
      <c r="C318" s="41">
        <v>6</v>
      </c>
      <c r="D318" s="207">
        <v>5</v>
      </c>
      <c r="E318" s="208">
        <v>7690</v>
      </c>
      <c r="F318" s="209"/>
      <c r="G318" s="210" t="str">
        <f>IFERROR(IF(ventas_b_mes4[[#This Row],[CUIT]]="","-",VLOOKUP(ventas_b_mes4[[#This Row],[CUIT]],Lista_CUIT[#All],2,0)),"CUIT NO CARGADO")</f>
        <v>-</v>
      </c>
      <c r="H318" s="211">
        <v>2396.69</v>
      </c>
      <c r="I318" s="212">
        <f>ventas_b_mes4[[#This Row],[IMPORTE NETO]]*0.21</f>
        <v>503.30489999999998</v>
      </c>
      <c r="J318" s="213"/>
      <c r="K318" s="213"/>
      <c r="L318" s="213">
        <f>SUM(ventas_b_mes4[[#This Row],[IMPORTE NETO]:[EXENTO]])</f>
        <v>2899.9949000000001</v>
      </c>
      <c r="M318" s="193"/>
    </row>
    <row r="319" spans="2:13">
      <c r="B319" s="205">
        <v>45027</v>
      </c>
      <c r="C319" s="41">
        <v>6</v>
      </c>
      <c r="D319" s="207">
        <v>5</v>
      </c>
      <c r="E319" s="208">
        <v>7694</v>
      </c>
      <c r="F319" s="209"/>
      <c r="G319" s="210" t="str">
        <f>IFERROR(IF(ventas_b_mes4[[#This Row],[CUIT]]="","-",VLOOKUP(ventas_b_mes4[[#This Row],[CUIT]],Lista_CUIT[#All],2,0)),"CUIT NO CARGADO")</f>
        <v>-</v>
      </c>
      <c r="H319" s="211">
        <v>2231.4</v>
      </c>
      <c r="I319" s="212">
        <f>ventas_b_mes4[[#This Row],[IMPORTE NETO]]*0.21</f>
        <v>468.59399999999999</v>
      </c>
      <c r="J319" s="213"/>
      <c r="K319" s="213"/>
      <c r="L319" s="213">
        <f>SUM(ventas_b_mes4[[#This Row],[IMPORTE NETO]:[EXENTO]])</f>
        <v>2699.9940000000001</v>
      </c>
      <c r="M319" s="193"/>
    </row>
    <row r="320" spans="2:13">
      <c r="B320" s="205">
        <v>45027</v>
      </c>
      <c r="C320" s="41">
        <v>6</v>
      </c>
      <c r="D320" s="207">
        <v>5</v>
      </c>
      <c r="E320" s="208">
        <v>7692</v>
      </c>
      <c r="F320" s="209"/>
      <c r="G320" s="210" t="str">
        <f>IFERROR(IF(ventas_b_mes4[[#This Row],[CUIT]]="","-",VLOOKUP(ventas_b_mes4[[#This Row],[CUIT]],Lista_CUIT[#All],2,0)),"CUIT NO CARGADO")</f>
        <v>-</v>
      </c>
      <c r="H320" s="211">
        <v>7024.79</v>
      </c>
      <c r="I320" s="212">
        <f>ventas_b_mes4[[#This Row],[IMPORTE NETO]]*0.21</f>
        <v>1475.2058999999999</v>
      </c>
      <c r="J320" s="213"/>
      <c r="K320" s="213"/>
      <c r="L320" s="213">
        <f>SUM(ventas_b_mes4[[#This Row],[IMPORTE NETO]:[EXENTO]])</f>
        <v>8499.9958999999999</v>
      </c>
      <c r="M320" s="193"/>
    </row>
    <row r="321" spans="2:13">
      <c r="B321" s="205">
        <v>45027</v>
      </c>
      <c r="C321" s="41">
        <v>6</v>
      </c>
      <c r="D321" s="207">
        <v>5</v>
      </c>
      <c r="E321" s="208">
        <v>7689</v>
      </c>
      <c r="F321" s="209"/>
      <c r="G321" s="210" t="str">
        <f>IFERROR(IF(ventas_b_mes4[[#This Row],[CUIT]]="","-",VLOOKUP(ventas_b_mes4[[#This Row],[CUIT]],Lista_CUIT[#All],2,0)),"CUIT NO CARGADO")</f>
        <v>-</v>
      </c>
      <c r="H321" s="211">
        <v>7272.73</v>
      </c>
      <c r="I321" s="212">
        <f>ventas_b_mes4[[#This Row],[IMPORTE NETO]]*0.21</f>
        <v>1527.2732999999998</v>
      </c>
      <c r="J321" s="213"/>
      <c r="K321" s="213"/>
      <c r="L321" s="213">
        <f>SUM(ventas_b_mes4[[#This Row],[IMPORTE NETO]:[EXENTO]])</f>
        <v>8800.0033000000003</v>
      </c>
      <c r="M321" s="193"/>
    </row>
    <row r="322" spans="2:13">
      <c r="B322" s="205">
        <v>45027</v>
      </c>
      <c r="C322" s="41">
        <v>6</v>
      </c>
      <c r="D322" s="207">
        <v>5</v>
      </c>
      <c r="E322" s="208">
        <v>7687</v>
      </c>
      <c r="F322" s="209"/>
      <c r="G322" s="210" t="str">
        <f>IFERROR(IF(ventas_b_mes4[[#This Row],[CUIT]]="","-",VLOOKUP(ventas_b_mes4[[#This Row],[CUIT]],Lista_CUIT[#All],2,0)),"CUIT NO CARGADO")</f>
        <v>-</v>
      </c>
      <c r="H322" s="211">
        <v>6297.52</v>
      </c>
      <c r="I322" s="212">
        <f>ventas_b_mes4[[#This Row],[IMPORTE NETO]]*0.21</f>
        <v>1322.4792</v>
      </c>
      <c r="J322" s="213"/>
      <c r="K322" s="213"/>
      <c r="L322" s="213">
        <f>SUM(ventas_b_mes4[[#This Row],[IMPORTE NETO]:[EXENTO]])</f>
        <v>7619.9992000000002</v>
      </c>
      <c r="M322" s="193"/>
    </row>
    <row r="323" spans="2:13">
      <c r="B323" s="205">
        <v>45027</v>
      </c>
      <c r="C323" s="41">
        <v>6</v>
      </c>
      <c r="D323" s="207">
        <v>5</v>
      </c>
      <c r="E323" s="208">
        <v>7693</v>
      </c>
      <c r="F323" s="209"/>
      <c r="G323" s="210" t="str">
        <f>IFERROR(IF(ventas_b_mes4[[#This Row],[CUIT]]="","-",VLOOKUP(ventas_b_mes4[[#This Row],[CUIT]],Lista_CUIT[#All],2,0)),"CUIT NO CARGADO")</f>
        <v>-</v>
      </c>
      <c r="H323" s="211">
        <v>7272.73</v>
      </c>
      <c r="I323" s="212">
        <f>ventas_b_mes4[[#This Row],[IMPORTE NETO]]*0.21</f>
        <v>1527.2732999999998</v>
      </c>
      <c r="J323" s="213"/>
      <c r="K323" s="213"/>
      <c r="L323" s="213">
        <f>SUM(ventas_b_mes4[[#This Row],[IMPORTE NETO]:[EXENTO]])</f>
        <v>8800.0033000000003</v>
      </c>
      <c r="M323" s="193"/>
    </row>
    <row r="324" spans="2:13">
      <c r="B324" s="205">
        <v>45027</v>
      </c>
      <c r="C324" s="41">
        <v>6</v>
      </c>
      <c r="D324" s="207">
        <v>5</v>
      </c>
      <c r="E324" s="208">
        <v>7695</v>
      </c>
      <c r="F324" s="209"/>
      <c r="G324" s="210" t="str">
        <f>IFERROR(IF(ventas_b_mes4[[#This Row],[CUIT]]="","-",VLOOKUP(ventas_b_mes4[[#This Row],[CUIT]],Lista_CUIT[#All],2,0)),"CUIT NO CARGADO")</f>
        <v>-</v>
      </c>
      <c r="H324" s="211">
        <v>1652.89</v>
      </c>
      <c r="I324" s="212">
        <f>ventas_b_mes4[[#This Row],[IMPORTE NETO]]*0.21</f>
        <v>347.1069</v>
      </c>
      <c r="J324" s="213"/>
      <c r="K324" s="213"/>
      <c r="L324" s="213">
        <f>SUM(ventas_b_mes4[[#This Row],[IMPORTE NETO]:[EXENTO]])</f>
        <v>1999.9969000000001</v>
      </c>
      <c r="M324" s="193"/>
    </row>
    <row r="325" spans="2:13">
      <c r="B325" s="205">
        <v>45028</v>
      </c>
      <c r="C325" s="41">
        <v>6</v>
      </c>
      <c r="D325" s="207">
        <v>7</v>
      </c>
      <c r="E325" s="208">
        <v>4242</v>
      </c>
      <c r="F325" s="209"/>
      <c r="G325" s="210" t="str">
        <f>IFERROR(IF(ventas_b_mes4[[#This Row],[CUIT]]="","-",VLOOKUP(ventas_b_mes4[[#This Row],[CUIT]],Lista_CUIT[#All],2,0)),"CUIT NO CARGADO")</f>
        <v>-</v>
      </c>
      <c r="H325" s="211">
        <v>5371.9</v>
      </c>
      <c r="I325" s="212">
        <f>ventas_b_mes4[[#This Row],[IMPORTE NETO]]*0.21</f>
        <v>1128.0989999999999</v>
      </c>
      <c r="J325" s="213"/>
      <c r="K325" s="213"/>
      <c r="L325" s="213">
        <f>SUM(ventas_b_mes4[[#This Row],[IMPORTE NETO]:[EXENTO]])</f>
        <v>6499.9989999999998</v>
      </c>
      <c r="M325" s="193"/>
    </row>
    <row r="326" spans="2:13">
      <c r="B326" s="205">
        <v>45028</v>
      </c>
      <c r="C326" s="41">
        <v>6</v>
      </c>
      <c r="D326" s="207">
        <v>7</v>
      </c>
      <c r="E326" s="208">
        <v>4238</v>
      </c>
      <c r="F326" s="209"/>
      <c r="G326" s="210" t="str">
        <f>IFERROR(IF(ventas_b_mes4[[#This Row],[CUIT]]="","-",VLOOKUP(ventas_b_mes4[[#This Row],[CUIT]],Lista_CUIT[#All],2,0)),"CUIT NO CARGADO")</f>
        <v>-</v>
      </c>
      <c r="H326" s="211">
        <v>46649.59</v>
      </c>
      <c r="I326" s="212">
        <f>ventas_b_mes4[[#This Row],[IMPORTE NETO]]*0.21</f>
        <v>9796.4138999999996</v>
      </c>
      <c r="J326" s="213"/>
      <c r="K326" s="213"/>
      <c r="L326" s="213">
        <f>SUM(ventas_b_mes4[[#This Row],[IMPORTE NETO]:[EXENTO]])</f>
        <v>56446.003899999996</v>
      </c>
      <c r="M326" s="193"/>
    </row>
    <row r="327" spans="2:13">
      <c r="B327" s="205">
        <v>45028</v>
      </c>
      <c r="C327" s="41">
        <v>6</v>
      </c>
      <c r="D327" s="207">
        <v>5</v>
      </c>
      <c r="E327" s="208">
        <v>7706</v>
      </c>
      <c r="F327" s="209"/>
      <c r="G327" s="210" t="str">
        <f>IFERROR(IF(ventas_b_mes4[[#This Row],[CUIT]]="","-",VLOOKUP(ventas_b_mes4[[#This Row],[CUIT]],Lista_CUIT[#All],2,0)),"CUIT NO CARGADO")</f>
        <v>-</v>
      </c>
      <c r="H327" s="211">
        <v>2066.12</v>
      </c>
      <c r="I327" s="212">
        <f>ventas_b_mes4[[#This Row],[IMPORTE NETO]]*0.21</f>
        <v>433.88519999999994</v>
      </c>
      <c r="J327" s="213"/>
      <c r="K327" s="213"/>
      <c r="L327" s="213">
        <f>SUM(ventas_b_mes4[[#This Row],[IMPORTE NETO]:[EXENTO]])</f>
        <v>2500.0051999999996</v>
      </c>
      <c r="M327" s="193"/>
    </row>
    <row r="328" spans="2:13">
      <c r="B328" s="205">
        <v>45028</v>
      </c>
      <c r="C328" s="41">
        <v>6</v>
      </c>
      <c r="D328" s="207">
        <v>7</v>
      </c>
      <c r="E328" s="208">
        <v>4243</v>
      </c>
      <c r="F328" s="209"/>
      <c r="G328" s="210" t="str">
        <f>IFERROR(IF(ventas_b_mes4[[#This Row],[CUIT]]="","-",VLOOKUP(ventas_b_mes4[[#This Row],[CUIT]],Lista_CUIT[#All],2,0)),"CUIT NO CARGADO")</f>
        <v>-</v>
      </c>
      <c r="H328" s="211">
        <v>2479.34</v>
      </c>
      <c r="I328" s="212">
        <f>ventas_b_mes4[[#This Row],[IMPORTE NETO]]*0.21</f>
        <v>520.66139999999996</v>
      </c>
      <c r="J328" s="213"/>
      <c r="K328" s="213"/>
      <c r="L328" s="213">
        <f>SUM(ventas_b_mes4[[#This Row],[IMPORTE NETO]:[EXENTO]])</f>
        <v>3000.0014000000001</v>
      </c>
      <c r="M328" s="193"/>
    </row>
    <row r="329" spans="2:13">
      <c r="B329" s="205">
        <v>45028</v>
      </c>
      <c r="C329" s="41">
        <v>6</v>
      </c>
      <c r="D329" s="207">
        <v>7</v>
      </c>
      <c r="E329" s="208">
        <v>4247</v>
      </c>
      <c r="F329" s="209"/>
      <c r="G329" s="210" t="str">
        <f>IFERROR(IF(ventas_b_mes4[[#This Row],[CUIT]]="","-",VLOOKUP(ventas_b_mes4[[#This Row],[CUIT]],Lista_CUIT[#All],2,0)),"CUIT NO CARGADO")</f>
        <v>-</v>
      </c>
      <c r="H329" s="211">
        <v>3305.79</v>
      </c>
      <c r="I329" s="212">
        <f>ventas_b_mes4[[#This Row],[IMPORTE NETO]]*0.21</f>
        <v>694.21589999999992</v>
      </c>
      <c r="J329" s="213"/>
      <c r="K329" s="213"/>
      <c r="L329" s="213">
        <f>SUM(ventas_b_mes4[[#This Row],[IMPORTE NETO]:[EXENTO]])</f>
        <v>4000.0059000000001</v>
      </c>
      <c r="M329" s="193"/>
    </row>
    <row r="330" spans="2:13">
      <c r="B330" s="205">
        <v>45028</v>
      </c>
      <c r="C330" s="41">
        <v>6</v>
      </c>
      <c r="D330" s="207">
        <v>5</v>
      </c>
      <c r="E330" s="208">
        <v>7698</v>
      </c>
      <c r="F330" s="209"/>
      <c r="G330" s="210" t="str">
        <f>IFERROR(IF(ventas_b_mes4[[#This Row],[CUIT]]="","-",VLOOKUP(ventas_b_mes4[[#This Row],[CUIT]],Lista_CUIT[#All],2,0)),"CUIT NO CARGADO")</f>
        <v>-</v>
      </c>
      <c r="H330" s="211">
        <v>3884.3</v>
      </c>
      <c r="I330" s="212">
        <f>ventas_b_mes4[[#This Row],[IMPORTE NETO]]*0.21</f>
        <v>815.70299999999997</v>
      </c>
      <c r="J330" s="213"/>
      <c r="K330" s="213"/>
      <c r="L330" s="213">
        <f>SUM(ventas_b_mes4[[#This Row],[IMPORTE NETO]:[EXENTO]])</f>
        <v>4700.0030000000006</v>
      </c>
      <c r="M330" s="193"/>
    </row>
    <row r="331" spans="2:13">
      <c r="B331" s="205">
        <v>45028</v>
      </c>
      <c r="C331" s="41">
        <v>6</v>
      </c>
      <c r="D331" s="207">
        <v>5</v>
      </c>
      <c r="E331" s="208">
        <v>7703</v>
      </c>
      <c r="F331" s="209"/>
      <c r="G331" s="210" t="str">
        <f>IFERROR(IF(ventas_b_mes4[[#This Row],[CUIT]]="","-",VLOOKUP(ventas_b_mes4[[#This Row],[CUIT]],Lista_CUIT[#All],2,0)),"CUIT NO CARGADO")</f>
        <v>-</v>
      </c>
      <c r="H331" s="211">
        <v>2396.69</v>
      </c>
      <c r="I331" s="212">
        <f>ventas_b_mes4[[#This Row],[IMPORTE NETO]]*0.21</f>
        <v>503.30489999999998</v>
      </c>
      <c r="J331" s="213"/>
      <c r="K331" s="213"/>
      <c r="L331" s="213">
        <f>SUM(ventas_b_mes4[[#This Row],[IMPORTE NETO]:[EXENTO]])</f>
        <v>2899.9949000000001</v>
      </c>
      <c r="M331" s="193"/>
    </row>
    <row r="332" spans="2:13">
      <c r="B332" s="205">
        <v>45028</v>
      </c>
      <c r="C332" s="41">
        <v>6</v>
      </c>
      <c r="D332" s="207">
        <v>5</v>
      </c>
      <c r="E332" s="208">
        <v>7702</v>
      </c>
      <c r="F332" s="209"/>
      <c r="G332" s="210" t="str">
        <f>IFERROR(IF(ventas_b_mes4[[#This Row],[CUIT]]="","-",VLOOKUP(ventas_b_mes4[[#This Row],[CUIT]],Lista_CUIT[#All],2,0)),"CUIT NO CARGADO")</f>
        <v>-</v>
      </c>
      <c r="H332" s="211">
        <v>6652.89</v>
      </c>
      <c r="I332" s="212">
        <f>ventas_b_mes4[[#This Row],[IMPORTE NETO]]*0.21</f>
        <v>1397.1069</v>
      </c>
      <c r="J332" s="213"/>
      <c r="K332" s="213"/>
      <c r="L332" s="213">
        <f>SUM(ventas_b_mes4[[#This Row],[IMPORTE NETO]:[EXENTO]])</f>
        <v>8049.9969000000001</v>
      </c>
      <c r="M332" s="193"/>
    </row>
    <row r="333" spans="2:13">
      <c r="B333" s="205">
        <v>45028</v>
      </c>
      <c r="C333" s="41">
        <v>6</v>
      </c>
      <c r="D333" s="207">
        <v>7</v>
      </c>
      <c r="E333" s="208">
        <v>4241</v>
      </c>
      <c r="F333" s="209"/>
      <c r="G333" s="210" t="str">
        <f>IFERROR(IF(ventas_b_mes4[[#This Row],[CUIT]]="","-",VLOOKUP(ventas_b_mes4[[#This Row],[CUIT]],Lista_CUIT[#All],2,0)),"CUIT NO CARGADO")</f>
        <v>-</v>
      </c>
      <c r="H333" s="211">
        <v>3471.08</v>
      </c>
      <c r="I333" s="212">
        <f>ventas_b_mes4[[#This Row],[IMPORTE NETO]]*0.21</f>
        <v>728.92679999999996</v>
      </c>
      <c r="J333" s="213"/>
      <c r="K333" s="213"/>
      <c r="L333" s="213">
        <f>SUM(ventas_b_mes4[[#This Row],[IMPORTE NETO]:[EXENTO]])</f>
        <v>4200.0068000000001</v>
      </c>
      <c r="M333" s="193"/>
    </row>
    <row r="334" spans="2:13">
      <c r="B334" s="205">
        <v>45028</v>
      </c>
      <c r="C334" s="41">
        <v>6</v>
      </c>
      <c r="D334" s="207">
        <v>7</v>
      </c>
      <c r="E334" s="208">
        <v>4240</v>
      </c>
      <c r="F334" s="209"/>
      <c r="G334" s="210" t="str">
        <f>IFERROR(IF(ventas_b_mes4[[#This Row],[CUIT]]="","-",VLOOKUP(ventas_b_mes4[[#This Row],[CUIT]],Lista_CUIT[#All],2,0)),"CUIT NO CARGADO")</f>
        <v>-</v>
      </c>
      <c r="H334" s="211">
        <v>3140.5</v>
      </c>
      <c r="I334" s="212">
        <f>ventas_b_mes4[[#This Row],[IMPORTE NETO]]*0.21</f>
        <v>659.505</v>
      </c>
      <c r="J334" s="213"/>
      <c r="K334" s="213"/>
      <c r="L334" s="213">
        <f>SUM(ventas_b_mes4[[#This Row],[IMPORTE NETO]:[EXENTO]])</f>
        <v>3800.0050000000001</v>
      </c>
      <c r="M334" s="193"/>
    </row>
    <row r="335" spans="2:13">
      <c r="B335" s="205">
        <v>45028</v>
      </c>
      <c r="C335" s="41">
        <v>6</v>
      </c>
      <c r="D335" s="207">
        <v>5</v>
      </c>
      <c r="E335" s="208">
        <v>7707</v>
      </c>
      <c r="F335" s="209"/>
      <c r="G335" s="210" t="str">
        <f>IFERROR(IF(ventas_b_mes4[[#This Row],[CUIT]]="","-",VLOOKUP(ventas_b_mes4[[#This Row],[CUIT]],Lista_CUIT[#All],2,0)),"CUIT NO CARGADO")</f>
        <v>-</v>
      </c>
      <c r="H335" s="211">
        <v>2066.12</v>
      </c>
      <c r="I335" s="212">
        <f>ventas_b_mes4[[#This Row],[IMPORTE NETO]]*0.21</f>
        <v>433.88519999999994</v>
      </c>
      <c r="J335" s="213"/>
      <c r="K335" s="213"/>
      <c r="L335" s="213">
        <f>SUM(ventas_b_mes4[[#This Row],[IMPORTE NETO]:[EXENTO]])</f>
        <v>2500.0051999999996</v>
      </c>
      <c r="M335" s="193"/>
    </row>
    <row r="336" spans="2:13">
      <c r="B336" s="205">
        <v>45028</v>
      </c>
      <c r="C336" s="41">
        <v>6</v>
      </c>
      <c r="D336" s="207">
        <v>5</v>
      </c>
      <c r="E336" s="208">
        <v>7705</v>
      </c>
      <c r="F336" s="209"/>
      <c r="G336" s="210" t="str">
        <f>IFERROR(IF(ventas_b_mes4[[#This Row],[CUIT]]="","-",VLOOKUP(ventas_b_mes4[[#This Row],[CUIT]],Lista_CUIT[#All],2,0)),"CUIT NO CARGADO")</f>
        <v>-</v>
      </c>
      <c r="H336" s="211">
        <v>5785.12</v>
      </c>
      <c r="I336" s="212">
        <f>ventas_b_mes4[[#This Row],[IMPORTE NETO]]*0.21</f>
        <v>1214.8751999999999</v>
      </c>
      <c r="J336" s="213"/>
      <c r="K336" s="213"/>
      <c r="L336" s="213">
        <f>SUM(ventas_b_mes4[[#This Row],[IMPORTE NETO]:[EXENTO]])</f>
        <v>6999.9951999999994</v>
      </c>
      <c r="M336" s="193"/>
    </row>
    <row r="337" spans="2:13">
      <c r="B337" s="205">
        <v>45028</v>
      </c>
      <c r="C337" s="41">
        <v>6</v>
      </c>
      <c r="D337" s="207">
        <v>5</v>
      </c>
      <c r="E337" s="208">
        <v>7700</v>
      </c>
      <c r="F337" s="209"/>
      <c r="G337" s="210" t="str">
        <f>IFERROR(IF(ventas_b_mes4[[#This Row],[CUIT]]="","-",VLOOKUP(ventas_b_mes4[[#This Row],[CUIT]],Lista_CUIT[#All],2,0)),"CUIT NO CARGADO")</f>
        <v>-</v>
      </c>
      <c r="H337" s="211">
        <v>12148.76</v>
      </c>
      <c r="I337" s="212">
        <f>ventas_b_mes4[[#This Row],[IMPORTE NETO]]*0.21</f>
        <v>2551.2395999999999</v>
      </c>
      <c r="J337" s="213"/>
      <c r="K337" s="213"/>
      <c r="L337" s="213">
        <f>SUM(ventas_b_mes4[[#This Row],[IMPORTE NETO]:[EXENTO]])</f>
        <v>14699.999599999999</v>
      </c>
      <c r="M337" s="193"/>
    </row>
    <row r="338" spans="2:13">
      <c r="B338" s="205">
        <v>45028</v>
      </c>
      <c r="C338" s="41">
        <v>6</v>
      </c>
      <c r="D338" s="207">
        <v>7</v>
      </c>
      <c r="E338" s="208">
        <v>4244</v>
      </c>
      <c r="F338" s="209"/>
      <c r="G338" s="210" t="str">
        <f>IFERROR(IF(ventas_b_mes4[[#This Row],[CUIT]]="","-",VLOOKUP(ventas_b_mes4[[#This Row],[CUIT]],Lista_CUIT[#All],2,0)),"CUIT NO CARGADO")</f>
        <v>-</v>
      </c>
      <c r="H338" s="211">
        <v>14876.03</v>
      </c>
      <c r="I338" s="212">
        <f>ventas_b_mes4[[#This Row],[IMPORTE NETO]]*0.21</f>
        <v>3123.9663</v>
      </c>
      <c r="J338" s="213"/>
      <c r="K338" s="213"/>
      <c r="L338" s="213">
        <f>SUM(ventas_b_mes4[[#This Row],[IMPORTE NETO]:[EXENTO]])</f>
        <v>17999.996299999999</v>
      </c>
      <c r="M338" s="193"/>
    </row>
    <row r="339" spans="2:13">
      <c r="B339" s="205">
        <v>45028</v>
      </c>
      <c r="C339" s="41">
        <v>6</v>
      </c>
      <c r="D339" s="207">
        <v>5</v>
      </c>
      <c r="E339" s="208">
        <v>7697</v>
      </c>
      <c r="F339" s="209"/>
      <c r="G339" s="210" t="str">
        <f>IFERROR(IF(ventas_b_mes4[[#This Row],[CUIT]]="","-",VLOOKUP(ventas_b_mes4[[#This Row],[CUIT]],Lista_CUIT[#All],2,0)),"CUIT NO CARGADO")</f>
        <v>-</v>
      </c>
      <c r="H339" s="211">
        <v>6198.35</v>
      </c>
      <c r="I339" s="212">
        <f>ventas_b_mes4[[#This Row],[IMPORTE NETO]]*0.21</f>
        <v>1301.6535000000001</v>
      </c>
      <c r="J339" s="213"/>
      <c r="K339" s="213"/>
      <c r="L339" s="213">
        <f>SUM(ventas_b_mes4[[#This Row],[IMPORTE NETO]:[EXENTO]])</f>
        <v>7500.0035000000007</v>
      </c>
      <c r="M339" s="193"/>
    </row>
    <row r="340" spans="2:13">
      <c r="B340" s="205">
        <v>45028</v>
      </c>
      <c r="C340" s="41">
        <v>6</v>
      </c>
      <c r="D340" s="207">
        <v>5</v>
      </c>
      <c r="E340" s="208">
        <v>7699</v>
      </c>
      <c r="F340" s="209"/>
      <c r="G340" s="210" t="str">
        <f>IFERROR(IF(ventas_b_mes4[[#This Row],[CUIT]]="","-",VLOOKUP(ventas_b_mes4[[#This Row],[CUIT]],Lista_CUIT[#All],2,0)),"CUIT NO CARGADO")</f>
        <v>-</v>
      </c>
      <c r="H340" s="211">
        <v>2314.0500000000002</v>
      </c>
      <c r="I340" s="212">
        <f>ventas_b_mes4[[#This Row],[IMPORTE NETO]]*0.21</f>
        <v>485.95050000000003</v>
      </c>
      <c r="J340" s="213"/>
      <c r="K340" s="213"/>
      <c r="L340" s="213">
        <f>SUM(ventas_b_mes4[[#This Row],[IMPORTE NETO]:[EXENTO]])</f>
        <v>2800.0005000000001</v>
      </c>
      <c r="M340" s="193"/>
    </row>
    <row r="341" spans="2:13">
      <c r="B341" s="205">
        <v>45028</v>
      </c>
      <c r="C341" s="41">
        <v>6</v>
      </c>
      <c r="D341" s="207">
        <v>7</v>
      </c>
      <c r="E341" s="208">
        <v>4237</v>
      </c>
      <c r="F341" s="209"/>
      <c r="G341" s="210" t="str">
        <f>IFERROR(IF(ventas_b_mes4[[#This Row],[CUIT]]="","-",VLOOKUP(ventas_b_mes4[[#This Row],[CUIT]],Lista_CUIT[#All],2,0)),"CUIT NO CARGADO")</f>
        <v>-</v>
      </c>
      <c r="H341" s="211">
        <v>314049.59000000003</v>
      </c>
      <c r="I341" s="212">
        <f>ventas_b_mes4[[#This Row],[IMPORTE NETO]]*0.21</f>
        <v>65950.4139</v>
      </c>
      <c r="J341" s="213"/>
      <c r="K341" s="213"/>
      <c r="L341" s="213">
        <f>SUM(ventas_b_mes4[[#This Row],[IMPORTE NETO]:[EXENTO]])</f>
        <v>380000.00390000001</v>
      </c>
      <c r="M341" s="193"/>
    </row>
    <row r="342" spans="2:13">
      <c r="B342" s="205">
        <v>45028</v>
      </c>
      <c r="C342" s="41">
        <v>6</v>
      </c>
      <c r="D342" s="207">
        <v>7</v>
      </c>
      <c r="E342" s="208">
        <v>4246</v>
      </c>
      <c r="F342" s="209"/>
      <c r="G342" s="210" t="str">
        <f>IFERROR(IF(ventas_b_mes4[[#This Row],[CUIT]]="","-",VLOOKUP(ventas_b_mes4[[#This Row],[CUIT]],Lista_CUIT[#All],2,0)),"CUIT NO CARGADO")</f>
        <v>-</v>
      </c>
      <c r="H342" s="211">
        <v>21942.16</v>
      </c>
      <c r="I342" s="212">
        <f>ventas_b_mes4[[#This Row],[IMPORTE NETO]]*0.21</f>
        <v>4607.8535999999995</v>
      </c>
      <c r="J342" s="213"/>
      <c r="K342" s="213"/>
      <c r="L342" s="213">
        <f>SUM(ventas_b_mes4[[#This Row],[IMPORTE NETO]:[EXENTO]])</f>
        <v>26550.013599999998</v>
      </c>
      <c r="M342" s="193"/>
    </row>
    <row r="343" spans="2:13">
      <c r="B343" s="205">
        <v>45028</v>
      </c>
      <c r="C343" s="41">
        <v>6</v>
      </c>
      <c r="D343" s="207">
        <v>7</v>
      </c>
      <c r="E343" s="208">
        <v>4239</v>
      </c>
      <c r="F343" s="209"/>
      <c r="G343" s="210" t="str">
        <f>IFERROR(IF(ventas_b_mes4[[#This Row],[CUIT]]="","-",VLOOKUP(ventas_b_mes4[[#This Row],[CUIT]],Lista_CUIT[#All],2,0)),"CUIT NO CARGADO")</f>
        <v>-</v>
      </c>
      <c r="H343" s="211">
        <v>5454.54</v>
      </c>
      <c r="I343" s="212">
        <f>ventas_b_mes4[[#This Row],[IMPORTE NETO]]*0.21</f>
        <v>1145.4533999999999</v>
      </c>
      <c r="J343" s="213"/>
      <c r="K343" s="213"/>
      <c r="L343" s="213">
        <f>SUM(ventas_b_mes4[[#This Row],[IMPORTE NETO]:[EXENTO]])</f>
        <v>6599.9933999999994</v>
      </c>
      <c r="M343" s="193"/>
    </row>
    <row r="344" spans="2:13">
      <c r="B344" s="205">
        <v>45028</v>
      </c>
      <c r="C344" s="41">
        <v>6</v>
      </c>
      <c r="D344" s="207">
        <v>5</v>
      </c>
      <c r="E344" s="208">
        <v>7701</v>
      </c>
      <c r="F344" s="209"/>
      <c r="G344" s="210" t="str">
        <f>IFERROR(IF(ventas_b_mes4[[#This Row],[CUIT]]="","-",VLOOKUP(ventas_b_mes4[[#This Row],[CUIT]],Lista_CUIT[#All],2,0)),"CUIT NO CARGADO")</f>
        <v>-</v>
      </c>
      <c r="H344" s="211">
        <v>12148.76</v>
      </c>
      <c r="I344" s="212">
        <f>ventas_b_mes4[[#This Row],[IMPORTE NETO]]*0.21</f>
        <v>2551.2395999999999</v>
      </c>
      <c r="J344" s="213"/>
      <c r="K344" s="213"/>
      <c r="L344" s="213">
        <f>SUM(ventas_b_mes4[[#This Row],[IMPORTE NETO]:[EXENTO]])</f>
        <v>14699.999599999999</v>
      </c>
      <c r="M344" s="193"/>
    </row>
    <row r="345" spans="2:13">
      <c r="B345" s="205">
        <v>45028</v>
      </c>
      <c r="C345" s="41">
        <v>6</v>
      </c>
      <c r="D345" s="207">
        <v>7</v>
      </c>
      <c r="E345" s="208">
        <v>4245</v>
      </c>
      <c r="F345" s="209"/>
      <c r="G345" s="210" t="str">
        <f>IFERROR(IF(ventas_b_mes4[[#This Row],[CUIT]]="","-",VLOOKUP(ventas_b_mes4[[#This Row],[CUIT]],Lista_CUIT[#All],2,0)),"CUIT NO CARGADO")</f>
        <v>-</v>
      </c>
      <c r="H345" s="211">
        <v>21742.15</v>
      </c>
      <c r="I345" s="212">
        <f>ventas_b_mes4[[#This Row],[IMPORTE NETO]]*0.21</f>
        <v>4565.8514999999998</v>
      </c>
      <c r="J345" s="213"/>
      <c r="K345" s="213"/>
      <c r="L345" s="213">
        <f>SUM(ventas_b_mes4[[#This Row],[IMPORTE NETO]:[EXENTO]])</f>
        <v>26308.001500000002</v>
      </c>
      <c r="M345" s="193"/>
    </row>
    <row r="346" spans="2:13">
      <c r="B346" s="205">
        <v>45028</v>
      </c>
      <c r="C346" s="41">
        <v>6</v>
      </c>
      <c r="D346" s="207">
        <v>5</v>
      </c>
      <c r="E346" s="208">
        <v>7704</v>
      </c>
      <c r="F346" s="209"/>
      <c r="G346" s="210" t="str">
        <f>IFERROR(IF(ventas_b_mes4[[#This Row],[CUIT]]="","-",VLOOKUP(ventas_b_mes4[[#This Row],[CUIT]],Lista_CUIT[#All],2,0)),"CUIT NO CARGADO")</f>
        <v>-</v>
      </c>
      <c r="H346" s="211">
        <v>3223.14</v>
      </c>
      <c r="I346" s="212">
        <f>ventas_b_mes4[[#This Row],[IMPORTE NETO]]*0.21</f>
        <v>676.85939999999994</v>
      </c>
      <c r="J346" s="213"/>
      <c r="K346" s="213"/>
      <c r="L346" s="213">
        <f>SUM(ventas_b_mes4[[#This Row],[IMPORTE NETO]:[EXENTO]])</f>
        <v>3899.9993999999997</v>
      </c>
      <c r="M346" s="193"/>
    </row>
    <row r="347" spans="2:13">
      <c r="B347" s="205">
        <v>45029</v>
      </c>
      <c r="C347" s="41">
        <v>6</v>
      </c>
      <c r="D347" s="207">
        <v>5</v>
      </c>
      <c r="E347" s="208">
        <v>7711</v>
      </c>
      <c r="F347" s="209"/>
      <c r="G347" s="210" t="str">
        <f>IFERROR(IF(ventas_b_mes4[[#This Row],[CUIT]]="","-",VLOOKUP(ventas_b_mes4[[#This Row],[CUIT]],Lista_CUIT[#All],2,0)),"CUIT NO CARGADO")</f>
        <v>-</v>
      </c>
      <c r="H347" s="211">
        <v>3966.94</v>
      </c>
      <c r="I347" s="212">
        <f>ventas_b_mes4[[#This Row],[IMPORTE NETO]]*0.21</f>
        <v>833.05740000000003</v>
      </c>
      <c r="J347" s="213"/>
      <c r="K347" s="213"/>
      <c r="L347" s="213">
        <f>SUM(ventas_b_mes4[[#This Row],[IMPORTE NETO]:[EXENTO]])</f>
        <v>4799.9974000000002</v>
      </c>
      <c r="M347" s="193"/>
    </row>
    <row r="348" spans="2:13">
      <c r="B348" s="205">
        <v>45029</v>
      </c>
      <c r="C348" s="41">
        <v>6</v>
      </c>
      <c r="D348" s="207">
        <v>7</v>
      </c>
      <c r="E348" s="208">
        <v>4248</v>
      </c>
      <c r="F348" s="209"/>
      <c r="G348" s="210" t="str">
        <f>IFERROR(IF(ventas_b_mes4[[#This Row],[CUIT]]="","-",VLOOKUP(ventas_b_mes4[[#This Row],[CUIT]],Lista_CUIT[#All],2,0)),"CUIT NO CARGADO")</f>
        <v>-</v>
      </c>
      <c r="H348" s="211">
        <v>163636.35999999999</v>
      </c>
      <c r="I348" s="212">
        <f>ventas_b_mes4[[#This Row],[IMPORTE NETO]]*0.21</f>
        <v>34363.635599999994</v>
      </c>
      <c r="J348" s="213"/>
      <c r="K348" s="213"/>
      <c r="L348" s="213">
        <f>SUM(ventas_b_mes4[[#This Row],[IMPORTE NETO]:[EXENTO]])</f>
        <v>197999.99559999997</v>
      </c>
      <c r="M348" s="193"/>
    </row>
    <row r="349" spans="2:13">
      <c r="B349" s="205">
        <v>45029</v>
      </c>
      <c r="C349" s="41">
        <v>6</v>
      </c>
      <c r="D349" s="207">
        <v>5</v>
      </c>
      <c r="E349" s="208">
        <v>7710</v>
      </c>
      <c r="F349" s="209"/>
      <c r="G349" s="210" t="str">
        <f>IFERROR(IF(ventas_b_mes4[[#This Row],[CUIT]]="","-",VLOOKUP(ventas_b_mes4[[#This Row],[CUIT]],Lista_CUIT[#All],2,0)),"CUIT NO CARGADO")</f>
        <v>-</v>
      </c>
      <c r="H349" s="211">
        <v>7768.6</v>
      </c>
      <c r="I349" s="212">
        <f>ventas_b_mes4[[#This Row],[IMPORTE NETO]]*0.21</f>
        <v>1631.4059999999999</v>
      </c>
      <c r="J349" s="213"/>
      <c r="K349" s="213"/>
      <c r="L349" s="213">
        <f>SUM(ventas_b_mes4[[#This Row],[IMPORTE NETO]:[EXENTO]])</f>
        <v>9400.0060000000012</v>
      </c>
      <c r="M349" s="193"/>
    </row>
    <row r="350" spans="2:13">
      <c r="B350" s="205">
        <v>45029</v>
      </c>
      <c r="C350" s="41">
        <v>6</v>
      </c>
      <c r="D350" s="207">
        <v>5</v>
      </c>
      <c r="E350" s="208">
        <v>7714</v>
      </c>
      <c r="F350" s="209"/>
      <c r="G350" s="210" t="str">
        <f>IFERROR(IF(ventas_b_mes4[[#This Row],[CUIT]]="","-",VLOOKUP(ventas_b_mes4[[#This Row],[CUIT]],Lista_CUIT[#All],2,0)),"CUIT NO CARGADO")</f>
        <v>-</v>
      </c>
      <c r="H350" s="211">
        <v>5867.77</v>
      </c>
      <c r="I350" s="212">
        <f>ventas_b_mes4[[#This Row],[IMPORTE NETO]]*0.21</f>
        <v>1232.2317</v>
      </c>
      <c r="J350" s="213"/>
      <c r="K350" s="213"/>
      <c r="L350" s="213">
        <f>SUM(ventas_b_mes4[[#This Row],[IMPORTE NETO]:[EXENTO]])</f>
        <v>7100.0017000000007</v>
      </c>
      <c r="M350" s="193"/>
    </row>
    <row r="351" spans="2:13">
      <c r="B351" s="205">
        <v>45029</v>
      </c>
      <c r="C351" s="41">
        <v>6</v>
      </c>
      <c r="D351" s="207">
        <v>5</v>
      </c>
      <c r="E351" s="208">
        <v>7715</v>
      </c>
      <c r="F351" s="209"/>
      <c r="G351" s="210" t="str">
        <f>IFERROR(IF(ventas_b_mes4[[#This Row],[CUIT]]="","-",VLOOKUP(ventas_b_mes4[[#This Row],[CUIT]],Lista_CUIT[#All],2,0)),"CUIT NO CARGADO")</f>
        <v>-</v>
      </c>
      <c r="H351" s="211">
        <v>4876.03</v>
      </c>
      <c r="I351" s="212">
        <f>ventas_b_mes4[[#This Row],[IMPORTE NETO]]*0.21</f>
        <v>1023.9662999999999</v>
      </c>
      <c r="J351" s="213"/>
      <c r="K351" s="213"/>
      <c r="L351" s="213">
        <f>SUM(ventas_b_mes4[[#This Row],[IMPORTE NETO]:[EXENTO]])</f>
        <v>5899.9962999999998</v>
      </c>
      <c r="M351" s="193"/>
    </row>
    <row r="352" spans="2:13">
      <c r="B352" s="205">
        <v>45029</v>
      </c>
      <c r="C352" s="41">
        <v>6</v>
      </c>
      <c r="D352" s="207">
        <v>5</v>
      </c>
      <c r="E352" s="208">
        <v>7708</v>
      </c>
      <c r="F352" s="209"/>
      <c r="G352" s="210" t="str">
        <f>IFERROR(IF(ventas_b_mes4[[#This Row],[CUIT]]="","-",VLOOKUP(ventas_b_mes4[[#This Row],[CUIT]],Lista_CUIT[#All],2,0)),"CUIT NO CARGADO")</f>
        <v>-</v>
      </c>
      <c r="H352" s="211">
        <v>9090.91</v>
      </c>
      <c r="I352" s="212">
        <f>ventas_b_mes4[[#This Row],[IMPORTE NETO]]*0.21</f>
        <v>1909.0910999999999</v>
      </c>
      <c r="J352" s="213"/>
      <c r="K352" s="213"/>
      <c r="L352" s="213">
        <f>SUM(ventas_b_mes4[[#This Row],[IMPORTE NETO]:[EXENTO]])</f>
        <v>11000.001099999999</v>
      </c>
      <c r="M352" s="193"/>
    </row>
    <row r="353" spans="2:13">
      <c r="B353" s="205">
        <v>45029</v>
      </c>
      <c r="C353" s="41">
        <v>6</v>
      </c>
      <c r="D353" s="207">
        <v>5</v>
      </c>
      <c r="E353" s="208">
        <v>7719</v>
      </c>
      <c r="F353" s="209"/>
      <c r="G353" s="210" t="str">
        <f>IFERROR(IF(ventas_b_mes4[[#This Row],[CUIT]]="","-",VLOOKUP(ventas_b_mes4[[#This Row],[CUIT]],Lista_CUIT[#All],2,0)),"CUIT NO CARGADO")</f>
        <v>-</v>
      </c>
      <c r="H353" s="211">
        <v>2396.69</v>
      </c>
      <c r="I353" s="212">
        <f>ventas_b_mes4[[#This Row],[IMPORTE NETO]]*0.21</f>
        <v>503.30489999999998</v>
      </c>
      <c r="J353" s="213"/>
      <c r="K353" s="213"/>
      <c r="L353" s="213">
        <f>SUM(ventas_b_mes4[[#This Row],[IMPORTE NETO]:[EXENTO]])</f>
        <v>2899.9949000000001</v>
      </c>
      <c r="M353" s="193"/>
    </row>
    <row r="354" spans="2:13">
      <c r="B354" s="205">
        <v>45029</v>
      </c>
      <c r="C354" s="41">
        <v>6</v>
      </c>
      <c r="D354" s="207">
        <v>5</v>
      </c>
      <c r="E354" s="208">
        <v>7709</v>
      </c>
      <c r="F354" s="209"/>
      <c r="G354" s="210" t="str">
        <f>IFERROR(IF(ventas_b_mes4[[#This Row],[CUIT]]="","-",VLOOKUP(ventas_b_mes4[[#This Row],[CUIT]],Lista_CUIT[#All],2,0)),"CUIT NO CARGADO")</f>
        <v>-</v>
      </c>
      <c r="H354" s="211">
        <v>7851.24</v>
      </c>
      <c r="I354" s="212">
        <f>ventas_b_mes4[[#This Row],[IMPORTE NETO]]*0.21</f>
        <v>1648.7603999999999</v>
      </c>
      <c r="J354" s="213"/>
      <c r="K354" s="213"/>
      <c r="L354" s="213">
        <f>SUM(ventas_b_mes4[[#This Row],[IMPORTE NETO]:[EXENTO]])</f>
        <v>9500.000399999999</v>
      </c>
      <c r="M354" s="193"/>
    </row>
    <row r="355" spans="2:13">
      <c r="B355" s="205">
        <v>45029</v>
      </c>
      <c r="C355" s="41">
        <v>6</v>
      </c>
      <c r="D355" s="207">
        <v>5</v>
      </c>
      <c r="E355" s="208">
        <v>7720</v>
      </c>
      <c r="F355" s="209"/>
      <c r="G355" s="210" t="str">
        <f>IFERROR(IF(ventas_b_mes4[[#This Row],[CUIT]]="","-",VLOOKUP(ventas_b_mes4[[#This Row],[CUIT]],Lista_CUIT[#All],2,0)),"CUIT NO CARGADO")</f>
        <v>-</v>
      </c>
      <c r="H355" s="211">
        <v>2396.69</v>
      </c>
      <c r="I355" s="212">
        <f>ventas_b_mes4[[#This Row],[IMPORTE NETO]]*0.21</f>
        <v>503.30489999999998</v>
      </c>
      <c r="J355" s="213"/>
      <c r="K355" s="213"/>
      <c r="L355" s="213">
        <f>SUM(ventas_b_mes4[[#This Row],[IMPORTE NETO]:[EXENTO]])</f>
        <v>2899.9949000000001</v>
      </c>
      <c r="M355" s="193"/>
    </row>
    <row r="356" spans="2:13">
      <c r="B356" s="205">
        <v>45029</v>
      </c>
      <c r="C356" s="41">
        <v>6</v>
      </c>
      <c r="D356" s="207">
        <v>5</v>
      </c>
      <c r="E356" s="208">
        <v>7713</v>
      </c>
      <c r="F356" s="209"/>
      <c r="G356" s="210" t="str">
        <f>IFERROR(IF(ventas_b_mes4[[#This Row],[CUIT]]="","-",VLOOKUP(ventas_b_mes4[[#This Row],[CUIT]],Lista_CUIT[#All],2,0)),"CUIT NO CARGADO")</f>
        <v>-</v>
      </c>
      <c r="H356" s="211">
        <v>4462.8100000000004</v>
      </c>
      <c r="I356" s="212">
        <f>ventas_b_mes4[[#This Row],[IMPORTE NETO]]*0.21</f>
        <v>937.19010000000003</v>
      </c>
      <c r="J356" s="213"/>
      <c r="K356" s="213"/>
      <c r="L356" s="213">
        <f>SUM(ventas_b_mes4[[#This Row],[IMPORTE NETO]:[EXENTO]])</f>
        <v>5400.0001000000002</v>
      </c>
      <c r="M356" s="193"/>
    </row>
    <row r="357" spans="2:13">
      <c r="B357" s="205">
        <v>45029</v>
      </c>
      <c r="C357" s="41">
        <v>6</v>
      </c>
      <c r="D357" s="207">
        <v>5</v>
      </c>
      <c r="E357" s="208">
        <v>7717</v>
      </c>
      <c r="F357" s="209"/>
      <c r="G357" s="210" t="str">
        <f>IFERROR(IF(ventas_b_mes4[[#This Row],[CUIT]]="","-",VLOOKUP(ventas_b_mes4[[#This Row],[CUIT]],Lista_CUIT[#All],2,0)),"CUIT NO CARGADO")</f>
        <v>-</v>
      </c>
      <c r="H357" s="211">
        <v>4876.03</v>
      </c>
      <c r="I357" s="212">
        <f>ventas_b_mes4[[#This Row],[IMPORTE NETO]]*0.21</f>
        <v>1023.9662999999999</v>
      </c>
      <c r="J357" s="213"/>
      <c r="K357" s="213"/>
      <c r="L357" s="213">
        <f>SUM(ventas_b_mes4[[#This Row],[IMPORTE NETO]:[EXENTO]])</f>
        <v>5899.9962999999998</v>
      </c>
      <c r="M357" s="193"/>
    </row>
    <row r="358" spans="2:13">
      <c r="B358" s="205">
        <v>45029</v>
      </c>
      <c r="C358" s="41">
        <v>6</v>
      </c>
      <c r="D358" s="207">
        <v>5</v>
      </c>
      <c r="E358" s="208">
        <v>7716</v>
      </c>
      <c r="F358" s="209"/>
      <c r="G358" s="210" t="str">
        <f>IFERROR(IF(ventas_b_mes4[[#This Row],[CUIT]]="","-",VLOOKUP(ventas_b_mes4[[#This Row],[CUIT]],Lista_CUIT[#All],2,0)),"CUIT NO CARGADO")</f>
        <v>-</v>
      </c>
      <c r="H358" s="211">
        <v>11157.02</v>
      </c>
      <c r="I358" s="212">
        <f>ventas_b_mes4[[#This Row],[IMPORTE NETO]]*0.21</f>
        <v>2342.9742000000001</v>
      </c>
      <c r="J358" s="213"/>
      <c r="K358" s="213"/>
      <c r="L358" s="213">
        <f>SUM(ventas_b_mes4[[#This Row],[IMPORTE NETO]:[EXENTO]])</f>
        <v>13499.994200000001</v>
      </c>
      <c r="M358" s="193"/>
    </row>
    <row r="359" spans="2:13">
      <c r="B359" s="205">
        <v>45029</v>
      </c>
      <c r="C359" s="41">
        <v>6</v>
      </c>
      <c r="D359" s="207">
        <v>5</v>
      </c>
      <c r="E359" s="208">
        <v>7718</v>
      </c>
      <c r="F359" s="209"/>
      <c r="G359" s="210" t="str">
        <f>IFERROR(IF(ventas_b_mes4[[#This Row],[CUIT]]="","-",VLOOKUP(ventas_b_mes4[[#This Row],[CUIT]],Lista_CUIT[#All],2,0)),"CUIT NO CARGADO")</f>
        <v>-</v>
      </c>
      <c r="H359" s="211">
        <v>4793.3900000000003</v>
      </c>
      <c r="I359" s="212">
        <f>ventas_b_mes4[[#This Row],[IMPORTE NETO]]*0.21</f>
        <v>1006.6119</v>
      </c>
      <c r="J359" s="213"/>
      <c r="K359" s="213"/>
      <c r="L359" s="213">
        <f>SUM(ventas_b_mes4[[#This Row],[IMPORTE NETO]:[EXENTO]])</f>
        <v>5800.0019000000002</v>
      </c>
      <c r="M359" s="193"/>
    </row>
    <row r="360" spans="2:13">
      <c r="B360" s="205">
        <v>45029</v>
      </c>
      <c r="C360" s="41">
        <v>6</v>
      </c>
      <c r="D360" s="207">
        <v>5</v>
      </c>
      <c r="E360" s="208">
        <v>7712</v>
      </c>
      <c r="F360" s="209"/>
      <c r="G360" s="210" t="str">
        <f>IFERROR(IF(ventas_b_mes4[[#This Row],[CUIT]]="","-",VLOOKUP(ventas_b_mes4[[#This Row],[CUIT]],Lista_CUIT[#All],2,0)),"CUIT NO CARGADO")</f>
        <v>-</v>
      </c>
      <c r="H360" s="211">
        <v>6198.35</v>
      </c>
      <c r="I360" s="212">
        <f>ventas_b_mes4[[#This Row],[IMPORTE NETO]]*0.21</f>
        <v>1301.6535000000001</v>
      </c>
      <c r="J360" s="213"/>
      <c r="K360" s="213"/>
      <c r="L360" s="213">
        <f>SUM(ventas_b_mes4[[#This Row],[IMPORTE NETO]:[EXENTO]])</f>
        <v>7500.0035000000007</v>
      </c>
      <c r="M360" s="193"/>
    </row>
    <row r="361" spans="2:13">
      <c r="B361" s="205">
        <v>45030</v>
      </c>
      <c r="C361" s="41">
        <v>6</v>
      </c>
      <c r="D361" s="207">
        <v>7</v>
      </c>
      <c r="E361" s="208">
        <v>4249</v>
      </c>
      <c r="F361" s="209"/>
      <c r="G361" s="210" t="str">
        <f>IFERROR(IF(ventas_b_mes4[[#This Row],[CUIT]]="","-",VLOOKUP(ventas_b_mes4[[#This Row],[CUIT]],Lista_CUIT[#All],2,0)),"CUIT NO CARGADO")</f>
        <v>-</v>
      </c>
      <c r="H361" s="211">
        <v>69421.490000000005</v>
      </c>
      <c r="I361" s="212">
        <f>ventas_b_mes4[[#This Row],[IMPORTE NETO]]*0.21</f>
        <v>14578.5129</v>
      </c>
      <c r="J361" s="213"/>
      <c r="K361" s="213"/>
      <c r="L361" s="213">
        <f>SUM(ventas_b_mes4[[#This Row],[IMPORTE NETO]:[EXENTO]])</f>
        <v>84000.002900000007</v>
      </c>
      <c r="M361" s="193"/>
    </row>
    <row r="362" spans="2:13">
      <c r="B362" s="205">
        <v>45030</v>
      </c>
      <c r="C362" s="41">
        <v>6</v>
      </c>
      <c r="D362" s="207">
        <v>5</v>
      </c>
      <c r="E362" s="208">
        <v>7729</v>
      </c>
      <c r="F362" s="209"/>
      <c r="G362" s="210" t="str">
        <f>IFERROR(IF(ventas_b_mes4[[#This Row],[CUIT]]="","-",VLOOKUP(ventas_b_mes4[[#This Row],[CUIT]],Lista_CUIT[#All],2,0)),"CUIT NO CARGADO")</f>
        <v>-</v>
      </c>
      <c r="H362" s="211">
        <v>3719.01</v>
      </c>
      <c r="I362" s="212">
        <f>ventas_b_mes4[[#This Row],[IMPORTE NETO]]*0.21</f>
        <v>780.99210000000005</v>
      </c>
      <c r="J362" s="213"/>
      <c r="K362" s="213"/>
      <c r="L362" s="213">
        <f>SUM(ventas_b_mes4[[#This Row],[IMPORTE NETO]:[EXENTO]])</f>
        <v>4500.0021000000006</v>
      </c>
      <c r="M362" s="193"/>
    </row>
    <row r="363" spans="2:13">
      <c r="B363" s="205">
        <v>45030</v>
      </c>
      <c r="C363" s="41">
        <v>6</v>
      </c>
      <c r="D363" s="207">
        <v>7</v>
      </c>
      <c r="E363" s="208">
        <v>4253</v>
      </c>
      <c r="F363" s="209"/>
      <c r="G363" s="210" t="str">
        <f>IFERROR(IF(ventas_b_mes4[[#This Row],[CUIT]]="","-",VLOOKUP(ventas_b_mes4[[#This Row],[CUIT]],Lista_CUIT[#All],2,0)),"CUIT NO CARGADO")</f>
        <v>-</v>
      </c>
      <c r="H363" s="211">
        <v>7768.6</v>
      </c>
      <c r="I363" s="212">
        <f>ventas_b_mes4[[#This Row],[IMPORTE NETO]]*0.21</f>
        <v>1631.4059999999999</v>
      </c>
      <c r="J363" s="213"/>
      <c r="K363" s="213"/>
      <c r="L363" s="213">
        <f>SUM(ventas_b_mes4[[#This Row],[IMPORTE NETO]:[EXENTO]])</f>
        <v>9400.0060000000012</v>
      </c>
      <c r="M363" s="193"/>
    </row>
    <row r="364" spans="2:13">
      <c r="B364" s="205">
        <v>45030</v>
      </c>
      <c r="C364" s="41">
        <v>6</v>
      </c>
      <c r="D364" s="207">
        <v>5</v>
      </c>
      <c r="E364" s="208">
        <v>7730</v>
      </c>
      <c r="F364" s="209"/>
      <c r="G364" s="210" t="str">
        <f>IFERROR(IF(ventas_b_mes4[[#This Row],[CUIT]]="","-",VLOOKUP(ventas_b_mes4[[#This Row],[CUIT]],Lista_CUIT[#All],2,0)),"CUIT NO CARGADO")</f>
        <v>-</v>
      </c>
      <c r="H364" s="211">
        <v>6198.35</v>
      </c>
      <c r="I364" s="212">
        <f>ventas_b_mes4[[#This Row],[IMPORTE NETO]]*0.21</f>
        <v>1301.6535000000001</v>
      </c>
      <c r="J364" s="213"/>
      <c r="K364" s="213"/>
      <c r="L364" s="213">
        <f>SUM(ventas_b_mes4[[#This Row],[IMPORTE NETO]:[EXENTO]])</f>
        <v>7500.0035000000007</v>
      </c>
      <c r="M364" s="193"/>
    </row>
    <row r="365" spans="2:13">
      <c r="B365" s="205">
        <v>45030</v>
      </c>
      <c r="C365" s="41">
        <v>6</v>
      </c>
      <c r="D365" s="207">
        <v>5</v>
      </c>
      <c r="E365" s="208">
        <v>7728</v>
      </c>
      <c r="F365" s="209"/>
      <c r="G365" s="210" t="str">
        <f>IFERROR(IF(ventas_b_mes4[[#This Row],[CUIT]]="","-",VLOOKUP(ventas_b_mes4[[#This Row],[CUIT]],Lista_CUIT[#All],2,0)),"CUIT NO CARGADO")</f>
        <v>-</v>
      </c>
      <c r="H365" s="211">
        <v>3884.3</v>
      </c>
      <c r="I365" s="212">
        <f>ventas_b_mes4[[#This Row],[IMPORTE NETO]]*0.21</f>
        <v>815.70299999999997</v>
      </c>
      <c r="J365" s="213"/>
      <c r="K365" s="213"/>
      <c r="L365" s="213">
        <f>SUM(ventas_b_mes4[[#This Row],[IMPORTE NETO]:[EXENTO]])</f>
        <v>4700.0030000000006</v>
      </c>
      <c r="M365" s="193"/>
    </row>
    <row r="366" spans="2:13">
      <c r="B366" s="205">
        <v>45030</v>
      </c>
      <c r="C366" s="41">
        <v>6</v>
      </c>
      <c r="D366" s="207">
        <v>5</v>
      </c>
      <c r="E366" s="208">
        <v>7721</v>
      </c>
      <c r="F366" s="209"/>
      <c r="G366" s="210" t="str">
        <f>IFERROR(IF(ventas_b_mes4[[#This Row],[CUIT]]="","-",VLOOKUP(ventas_b_mes4[[#This Row],[CUIT]],Lista_CUIT[#All],2,0)),"CUIT NO CARGADO")</f>
        <v>-</v>
      </c>
      <c r="H366" s="211">
        <v>5371.9</v>
      </c>
      <c r="I366" s="212">
        <f>ventas_b_mes4[[#This Row],[IMPORTE NETO]]*0.21</f>
        <v>1128.0989999999999</v>
      </c>
      <c r="J366" s="213"/>
      <c r="K366" s="213"/>
      <c r="L366" s="213">
        <f>SUM(ventas_b_mes4[[#This Row],[IMPORTE NETO]:[EXENTO]])</f>
        <v>6499.9989999999998</v>
      </c>
      <c r="M366" s="193"/>
    </row>
    <row r="367" spans="2:13">
      <c r="B367" s="205">
        <v>45030</v>
      </c>
      <c r="C367" s="41">
        <v>6</v>
      </c>
      <c r="D367" s="207">
        <v>7</v>
      </c>
      <c r="E367" s="208">
        <v>4255</v>
      </c>
      <c r="F367" s="209"/>
      <c r="G367" s="210" t="str">
        <f>IFERROR(IF(ventas_b_mes4[[#This Row],[CUIT]]="","-",VLOOKUP(ventas_b_mes4[[#This Row],[CUIT]],Lista_CUIT[#All],2,0)),"CUIT NO CARGADO")</f>
        <v>-</v>
      </c>
      <c r="H367" s="211">
        <v>3719.01</v>
      </c>
      <c r="I367" s="212">
        <f>ventas_b_mes4[[#This Row],[IMPORTE NETO]]*0.21</f>
        <v>780.99210000000005</v>
      </c>
      <c r="J367" s="213"/>
      <c r="K367" s="213"/>
      <c r="L367" s="213">
        <f>SUM(ventas_b_mes4[[#This Row],[IMPORTE NETO]:[EXENTO]])</f>
        <v>4500.0021000000006</v>
      </c>
      <c r="M367" s="193"/>
    </row>
    <row r="368" spans="2:13">
      <c r="B368" s="205">
        <v>45030</v>
      </c>
      <c r="C368" s="41">
        <v>6</v>
      </c>
      <c r="D368" s="207">
        <v>5</v>
      </c>
      <c r="E368" s="208">
        <v>7732</v>
      </c>
      <c r="F368" s="209"/>
      <c r="G368" s="210" t="str">
        <f>IFERROR(IF(ventas_b_mes4[[#This Row],[CUIT]]="","-",VLOOKUP(ventas_b_mes4[[#This Row],[CUIT]],Lista_CUIT[#All],2,0)),"CUIT NO CARGADO")</f>
        <v>-</v>
      </c>
      <c r="H368" s="211">
        <v>4876.03</v>
      </c>
      <c r="I368" s="212">
        <f>ventas_b_mes4[[#This Row],[IMPORTE NETO]]*0.21</f>
        <v>1023.9662999999999</v>
      </c>
      <c r="J368" s="213"/>
      <c r="K368" s="213"/>
      <c r="L368" s="213">
        <f>SUM(ventas_b_mes4[[#This Row],[IMPORTE NETO]:[EXENTO]])</f>
        <v>5899.9962999999998</v>
      </c>
      <c r="M368" s="193"/>
    </row>
    <row r="369" spans="2:13">
      <c r="B369" s="205">
        <v>45030</v>
      </c>
      <c r="C369" s="41">
        <v>6</v>
      </c>
      <c r="D369" s="207">
        <v>5</v>
      </c>
      <c r="E369" s="208">
        <v>7736</v>
      </c>
      <c r="F369" s="209"/>
      <c r="G369" s="210" t="str">
        <f>IFERROR(IF(ventas_b_mes4[[#This Row],[CUIT]]="","-",VLOOKUP(ventas_b_mes4[[#This Row],[CUIT]],Lista_CUIT[#All],2,0)),"CUIT NO CARGADO")</f>
        <v>-</v>
      </c>
      <c r="H369" s="211">
        <v>10628.1</v>
      </c>
      <c r="I369" s="212">
        <f>ventas_b_mes4[[#This Row],[IMPORTE NETO]]*0.21</f>
        <v>2231.9009999999998</v>
      </c>
      <c r="J369" s="213"/>
      <c r="K369" s="213"/>
      <c r="L369" s="213">
        <f>SUM(ventas_b_mes4[[#This Row],[IMPORTE NETO]:[EXENTO]])</f>
        <v>12860.001</v>
      </c>
      <c r="M369" s="193"/>
    </row>
    <row r="370" spans="2:13">
      <c r="B370" s="205">
        <v>45030</v>
      </c>
      <c r="C370" s="41">
        <v>6</v>
      </c>
      <c r="D370" s="207">
        <v>7</v>
      </c>
      <c r="E370" s="208">
        <v>4252</v>
      </c>
      <c r="F370" s="209"/>
      <c r="G370" s="210" t="str">
        <f>IFERROR(IF(ventas_b_mes4[[#This Row],[CUIT]]="","-",VLOOKUP(ventas_b_mes4[[#This Row],[CUIT]],Lista_CUIT[#All],2,0)),"CUIT NO CARGADO")</f>
        <v>-</v>
      </c>
      <c r="H370" s="211">
        <v>11157.02</v>
      </c>
      <c r="I370" s="212">
        <f>ventas_b_mes4[[#This Row],[IMPORTE NETO]]*0.21</f>
        <v>2342.9742000000001</v>
      </c>
      <c r="J370" s="213"/>
      <c r="K370" s="213"/>
      <c r="L370" s="213">
        <f>SUM(ventas_b_mes4[[#This Row],[IMPORTE NETO]:[EXENTO]])</f>
        <v>13499.994200000001</v>
      </c>
      <c r="M370" s="193"/>
    </row>
    <row r="371" spans="2:13">
      <c r="B371" s="205">
        <v>45030</v>
      </c>
      <c r="C371" s="41">
        <v>6</v>
      </c>
      <c r="D371" s="207">
        <v>7</v>
      </c>
      <c r="E371" s="208">
        <v>4254</v>
      </c>
      <c r="F371" s="209"/>
      <c r="G371" s="210" t="str">
        <f>IFERROR(IF(ventas_b_mes4[[#This Row],[CUIT]]="","-",VLOOKUP(ventas_b_mes4[[#This Row],[CUIT]],Lista_CUIT[#All],2,0)),"CUIT NO CARGADO")</f>
        <v>-</v>
      </c>
      <c r="H371" s="211">
        <v>9338.85</v>
      </c>
      <c r="I371" s="212">
        <f>ventas_b_mes4[[#This Row],[IMPORTE NETO]]*0.21</f>
        <v>1961.1585</v>
      </c>
      <c r="J371" s="213"/>
      <c r="K371" s="213"/>
      <c r="L371" s="213">
        <f>SUM(ventas_b_mes4[[#This Row],[IMPORTE NETO]:[EXENTO]])</f>
        <v>11300.0085</v>
      </c>
      <c r="M371" s="193"/>
    </row>
    <row r="372" spans="2:13">
      <c r="B372" s="205">
        <v>45030</v>
      </c>
      <c r="C372" s="41">
        <v>6</v>
      </c>
      <c r="D372" s="207">
        <v>5</v>
      </c>
      <c r="E372" s="208">
        <v>7726</v>
      </c>
      <c r="F372" s="209"/>
      <c r="G372" s="210" t="str">
        <f>IFERROR(IF(ventas_b_mes4[[#This Row],[CUIT]]="","-",VLOOKUP(ventas_b_mes4[[#This Row],[CUIT]],Lista_CUIT[#All],2,0)),"CUIT NO CARGADO")</f>
        <v>-</v>
      </c>
      <c r="H372" s="211">
        <v>4876.03</v>
      </c>
      <c r="I372" s="212">
        <f>ventas_b_mes4[[#This Row],[IMPORTE NETO]]*0.21</f>
        <v>1023.9662999999999</v>
      </c>
      <c r="J372" s="213"/>
      <c r="K372" s="213"/>
      <c r="L372" s="213">
        <f>SUM(ventas_b_mes4[[#This Row],[IMPORTE NETO]:[EXENTO]])</f>
        <v>5899.9962999999998</v>
      </c>
      <c r="M372" s="193"/>
    </row>
    <row r="373" spans="2:13">
      <c r="B373" s="205">
        <v>45030</v>
      </c>
      <c r="C373" s="41">
        <v>6</v>
      </c>
      <c r="D373" s="207">
        <v>7</v>
      </c>
      <c r="E373" s="208">
        <v>4258</v>
      </c>
      <c r="F373" s="209"/>
      <c r="G373" s="210" t="str">
        <f>IFERROR(IF(ventas_b_mes4[[#This Row],[CUIT]]="","-",VLOOKUP(ventas_b_mes4[[#This Row],[CUIT]],Lista_CUIT[#All],2,0)),"CUIT NO CARGADO")</f>
        <v>-</v>
      </c>
      <c r="H373" s="211">
        <v>4132.2299999999996</v>
      </c>
      <c r="I373" s="212">
        <f>ventas_b_mes4[[#This Row],[IMPORTE NETO]]*0.21</f>
        <v>867.76829999999984</v>
      </c>
      <c r="J373" s="213"/>
      <c r="K373" s="213"/>
      <c r="L373" s="213">
        <f>SUM(ventas_b_mes4[[#This Row],[IMPORTE NETO]:[EXENTO]])</f>
        <v>4999.9982999999993</v>
      </c>
      <c r="M373" s="193"/>
    </row>
    <row r="374" spans="2:13">
      <c r="B374" s="205">
        <v>45030</v>
      </c>
      <c r="C374" s="41">
        <v>6</v>
      </c>
      <c r="D374" s="207">
        <v>7</v>
      </c>
      <c r="E374" s="208">
        <v>4257</v>
      </c>
      <c r="F374" s="209"/>
      <c r="G374" s="210" t="str">
        <f>IFERROR(IF(ventas_b_mes4[[#This Row],[CUIT]]="","-",VLOOKUP(ventas_b_mes4[[#This Row],[CUIT]],Lista_CUIT[#All],2,0)),"CUIT NO CARGADO")</f>
        <v>-</v>
      </c>
      <c r="H374" s="211">
        <v>8099.17</v>
      </c>
      <c r="I374" s="212">
        <f>ventas_b_mes4[[#This Row],[IMPORTE NETO]]*0.21</f>
        <v>1700.8256999999999</v>
      </c>
      <c r="J374" s="213"/>
      <c r="K374" s="213"/>
      <c r="L374" s="213">
        <f>SUM(ventas_b_mes4[[#This Row],[IMPORTE NETO]:[EXENTO]])</f>
        <v>9799.9956999999995</v>
      </c>
      <c r="M374" s="193"/>
    </row>
    <row r="375" spans="2:13">
      <c r="B375" s="205">
        <v>45030</v>
      </c>
      <c r="C375" s="41">
        <v>6</v>
      </c>
      <c r="D375" s="207">
        <v>5</v>
      </c>
      <c r="E375" s="208">
        <v>7731</v>
      </c>
      <c r="F375" s="209"/>
      <c r="G375" s="210" t="str">
        <f>IFERROR(IF(ventas_b_mes4[[#This Row],[CUIT]]="","-",VLOOKUP(ventas_b_mes4[[#This Row],[CUIT]],Lista_CUIT[#All],2,0)),"CUIT NO CARGADO")</f>
        <v>-</v>
      </c>
      <c r="H375" s="211">
        <v>8842.98</v>
      </c>
      <c r="I375" s="212">
        <f>ventas_b_mes4[[#This Row],[IMPORTE NETO]]*0.21</f>
        <v>1857.0257999999999</v>
      </c>
      <c r="J375" s="213"/>
      <c r="K375" s="213"/>
      <c r="L375" s="213">
        <f>SUM(ventas_b_mes4[[#This Row],[IMPORTE NETO]:[EXENTO]])</f>
        <v>10700.005799999999</v>
      </c>
      <c r="M375" s="193"/>
    </row>
    <row r="376" spans="2:13">
      <c r="B376" s="205">
        <v>45030</v>
      </c>
      <c r="C376" s="41">
        <v>6</v>
      </c>
      <c r="D376" s="207">
        <v>5</v>
      </c>
      <c r="E376" s="208">
        <v>7733</v>
      </c>
      <c r="F376" s="209"/>
      <c r="G376" s="210" t="str">
        <f>IFERROR(IF(ventas_b_mes4[[#This Row],[CUIT]]="","-",VLOOKUP(ventas_b_mes4[[#This Row],[CUIT]],Lista_CUIT[#All],2,0)),"CUIT NO CARGADO")</f>
        <v>-</v>
      </c>
      <c r="H376" s="211">
        <v>6446.28</v>
      </c>
      <c r="I376" s="212">
        <f>ventas_b_mes4[[#This Row],[IMPORTE NETO]]*0.21</f>
        <v>1353.7187999999999</v>
      </c>
      <c r="J376" s="213"/>
      <c r="K376" s="213"/>
      <c r="L376" s="213">
        <f>SUM(ventas_b_mes4[[#This Row],[IMPORTE NETO]:[EXENTO]])</f>
        <v>7799.9987999999994</v>
      </c>
      <c r="M376" s="193"/>
    </row>
    <row r="377" spans="2:13">
      <c r="B377" s="205">
        <v>45030</v>
      </c>
      <c r="C377" s="41">
        <v>6</v>
      </c>
      <c r="D377" s="207">
        <v>7</v>
      </c>
      <c r="E377" s="208">
        <v>4251</v>
      </c>
      <c r="F377" s="209"/>
      <c r="G377" s="210" t="str">
        <f>IFERROR(IF(ventas_b_mes4[[#This Row],[CUIT]]="","-",VLOOKUP(ventas_b_mes4[[#This Row],[CUIT]],Lista_CUIT[#All],2,0)),"CUIT NO CARGADO")</f>
        <v>-</v>
      </c>
      <c r="H377" s="211">
        <v>3966.94</v>
      </c>
      <c r="I377" s="212">
        <f>ventas_b_mes4[[#This Row],[IMPORTE NETO]]*0.21</f>
        <v>833.05740000000003</v>
      </c>
      <c r="J377" s="213"/>
      <c r="K377" s="213"/>
      <c r="L377" s="213">
        <f>SUM(ventas_b_mes4[[#This Row],[IMPORTE NETO]:[EXENTO]])</f>
        <v>4799.9974000000002</v>
      </c>
      <c r="M377" s="193"/>
    </row>
    <row r="378" spans="2:13">
      <c r="B378" s="205">
        <v>45030</v>
      </c>
      <c r="C378" s="41">
        <v>6</v>
      </c>
      <c r="D378" s="207">
        <v>5</v>
      </c>
      <c r="E378" s="208">
        <v>7734</v>
      </c>
      <c r="F378" s="209"/>
      <c r="G378" s="210" t="str">
        <f>IFERROR(IF(ventas_b_mes4[[#This Row],[CUIT]]="","-",VLOOKUP(ventas_b_mes4[[#This Row],[CUIT]],Lista_CUIT[#All],2,0)),"CUIT NO CARGADO")</f>
        <v>-</v>
      </c>
      <c r="H378" s="211">
        <v>10578.51</v>
      </c>
      <c r="I378" s="212">
        <f>ventas_b_mes4[[#This Row],[IMPORTE NETO]]*0.21</f>
        <v>2221.4870999999998</v>
      </c>
      <c r="J378" s="213"/>
      <c r="K378" s="213"/>
      <c r="L378" s="213">
        <f>SUM(ventas_b_mes4[[#This Row],[IMPORTE NETO]:[EXENTO]])</f>
        <v>12799.997100000001</v>
      </c>
      <c r="M378" s="193"/>
    </row>
    <row r="379" spans="2:13">
      <c r="B379" s="205">
        <v>45030</v>
      </c>
      <c r="C379" s="41">
        <v>6</v>
      </c>
      <c r="D379" s="207">
        <v>5</v>
      </c>
      <c r="E379" s="208">
        <v>7735</v>
      </c>
      <c r="F379" s="209"/>
      <c r="G379" s="210" t="str">
        <f>IFERROR(IF(ventas_b_mes4[[#This Row],[CUIT]]="","-",VLOOKUP(ventas_b_mes4[[#This Row],[CUIT]],Lista_CUIT[#All],2,0)),"CUIT NO CARGADO")</f>
        <v>-</v>
      </c>
      <c r="H379" s="211">
        <v>8677.69</v>
      </c>
      <c r="I379" s="212">
        <f>ventas_b_mes4[[#This Row],[IMPORTE NETO]]*0.21</f>
        <v>1822.3149000000001</v>
      </c>
      <c r="J379" s="213"/>
      <c r="K379" s="213"/>
      <c r="L379" s="213">
        <f>SUM(ventas_b_mes4[[#This Row],[IMPORTE NETO]:[EXENTO]])</f>
        <v>10500.0049</v>
      </c>
      <c r="M379" s="193"/>
    </row>
    <row r="380" spans="2:13">
      <c r="B380" s="205">
        <v>45030</v>
      </c>
      <c r="C380" s="41">
        <v>6</v>
      </c>
      <c r="D380" s="207">
        <v>7</v>
      </c>
      <c r="E380" s="208">
        <v>4250</v>
      </c>
      <c r="F380" s="209"/>
      <c r="G380" s="210" t="str">
        <f>IFERROR(IF(ventas_b_mes4[[#This Row],[CUIT]]="","-",VLOOKUP(ventas_b_mes4[[#This Row],[CUIT]],Lista_CUIT[#All],2,0)),"CUIT NO CARGADO")</f>
        <v>-</v>
      </c>
      <c r="H380" s="211">
        <v>4132.24</v>
      </c>
      <c r="I380" s="212">
        <f>ventas_b_mes4[[#This Row],[IMPORTE NETO]]*0.21</f>
        <v>867.77039999999988</v>
      </c>
      <c r="J380" s="213"/>
      <c r="K380" s="213"/>
      <c r="L380" s="213">
        <f>SUM(ventas_b_mes4[[#This Row],[IMPORTE NETO]:[EXENTO]])</f>
        <v>5000.0103999999992</v>
      </c>
      <c r="M380" s="193"/>
    </row>
    <row r="381" spans="2:13">
      <c r="B381" s="205">
        <v>45030</v>
      </c>
      <c r="C381" s="41">
        <v>6</v>
      </c>
      <c r="D381" s="207">
        <v>5</v>
      </c>
      <c r="E381" s="208">
        <v>7724</v>
      </c>
      <c r="F381" s="209"/>
      <c r="G381" s="210" t="str">
        <f>IFERROR(IF(ventas_b_mes4[[#This Row],[CUIT]]="","-",VLOOKUP(ventas_b_mes4[[#This Row],[CUIT]],Lista_CUIT[#All],2,0)),"CUIT NO CARGADO")</f>
        <v>-</v>
      </c>
      <c r="H381" s="211">
        <v>7851.24</v>
      </c>
      <c r="I381" s="212">
        <f>ventas_b_mes4[[#This Row],[IMPORTE NETO]]*0.21</f>
        <v>1648.7603999999999</v>
      </c>
      <c r="J381" s="213"/>
      <c r="K381" s="213"/>
      <c r="L381" s="213">
        <f>SUM(ventas_b_mes4[[#This Row],[IMPORTE NETO]:[EXENTO]])</f>
        <v>9500.000399999999</v>
      </c>
      <c r="M381" s="193"/>
    </row>
    <row r="382" spans="2:13">
      <c r="B382" s="205">
        <v>45030</v>
      </c>
      <c r="C382" s="41">
        <v>6</v>
      </c>
      <c r="D382" s="207">
        <v>5</v>
      </c>
      <c r="E382" s="208">
        <v>7727</v>
      </c>
      <c r="F382" s="209"/>
      <c r="G382" s="210" t="str">
        <f>IFERROR(IF(ventas_b_mes4[[#This Row],[CUIT]]="","-",VLOOKUP(ventas_b_mes4[[#This Row],[CUIT]],Lista_CUIT[#All],2,0)),"CUIT NO CARGADO")</f>
        <v>-</v>
      </c>
      <c r="H382" s="211">
        <v>7768.6</v>
      </c>
      <c r="I382" s="212">
        <f>ventas_b_mes4[[#This Row],[IMPORTE NETO]]*0.21</f>
        <v>1631.4059999999999</v>
      </c>
      <c r="J382" s="213"/>
      <c r="K382" s="213"/>
      <c r="L382" s="213">
        <f>SUM(ventas_b_mes4[[#This Row],[IMPORTE NETO]:[EXENTO]])</f>
        <v>9400.0060000000012</v>
      </c>
      <c r="M382" s="193"/>
    </row>
    <row r="383" spans="2:13">
      <c r="B383" s="205">
        <v>45030</v>
      </c>
      <c r="C383" s="41">
        <v>6</v>
      </c>
      <c r="D383" s="207">
        <v>5</v>
      </c>
      <c r="E383" s="208">
        <v>7725</v>
      </c>
      <c r="F383" s="209"/>
      <c r="G383" s="210" t="str">
        <f>IFERROR(IF(ventas_b_mes4[[#This Row],[CUIT]]="","-",VLOOKUP(ventas_b_mes4[[#This Row],[CUIT]],Lista_CUIT[#All],2,0)),"CUIT NO CARGADO")</f>
        <v>-</v>
      </c>
      <c r="H383" s="211">
        <v>4876.03</v>
      </c>
      <c r="I383" s="212">
        <f>ventas_b_mes4[[#This Row],[IMPORTE NETO]]*0.21</f>
        <v>1023.9662999999999</v>
      </c>
      <c r="J383" s="213"/>
      <c r="K383" s="213"/>
      <c r="L383" s="213">
        <f>SUM(ventas_b_mes4[[#This Row],[IMPORTE NETO]:[EXENTO]])</f>
        <v>5899.9962999999998</v>
      </c>
      <c r="M383" s="193"/>
    </row>
    <row r="384" spans="2:13">
      <c r="B384" s="205">
        <v>45030</v>
      </c>
      <c r="C384" s="41">
        <v>6</v>
      </c>
      <c r="D384" s="207">
        <v>5</v>
      </c>
      <c r="E384" s="208">
        <v>7722</v>
      </c>
      <c r="F384" s="209"/>
      <c r="G384" s="210" t="str">
        <f>IFERROR(IF(ventas_b_mes4[[#This Row],[CUIT]]="","-",VLOOKUP(ventas_b_mes4[[#This Row],[CUIT]],Lista_CUIT[#All],2,0)),"CUIT NO CARGADO")</f>
        <v>-</v>
      </c>
      <c r="H384" s="211">
        <v>4867.7700000000004</v>
      </c>
      <c r="I384" s="212">
        <f>ventas_b_mes4[[#This Row],[IMPORTE NETO]]*0.21</f>
        <v>1022.2317</v>
      </c>
      <c r="J384" s="213"/>
      <c r="K384" s="213"/>
      <c r="L384" s="213">
        <f>SUM(ventas_b_mes4[[#This Row],[IMPORTE NETO]:[EXENTO]])</f>
        <v>5890.0017000000007</v>
      </c>
      <c r="M384" s="193"/>
    </row>
    <row r="385" spans="2:13">
      <c r="B385" s="205">
        <v>45030</v>
      </c>
      <c r="C385" s="41">
        <v>6</v>
      </c>
      <c r="D385" s="207">
        <v>5</v>
      </c>
      <c r="E385" s="208">
        <v>7723</v>
      </c>
      <c r="F385" s="209"/>
      <c r="G385" s="210" t="str">
        <f>IFERROR(IF(ventas_b_mes4[[#This Row],[CUIT]]="","-",VLOOKUP(ventas_b_mes4[[#This Row],[CUIT]],Lista_CUIT[#All],2,0)),"CUIT NO CARGADO")</f>
        <v>-</v>
      </c>
      <c r="H385" s="211">
        <v>4876.03</v>
      </c>
      <c r="I385" s="212">
        <f>ventas_b_mes4[[#This Row],[IMPORTE NETO]]*0.21</f>
        <v>1023.9662999999999</v>
      </c>
      <c r="J385" s="213"/>
      <c r="K385" s="213"/>
      <c r="L385" s="213">
        <f>SUM(ventas_b_mes4[[#This Row],[IMPORTE NETO]:[EXENTO]])</f>
        <v>5899.9962999999998</v>
      </c>
      <c r="M385" s="193"/>
    </row>
    <row r="386" spans="2:13">
      <c r="B386" s="205">
        <v>45030</v>
      </c>
      <c r="C386" s="41">
        <v>6</v>
      </c>
      <c r="D386" s="207">
        <v>7</v>
      </c>
      <c r="E386" s="208">
        <v>4256</v>
      </c>
      <c r="F386" s="209"/>
      <c r="G386" s="210" t="str">
        <f>IFERROR(IF(ventas_b_mes4[[#This Row],[CUIT]]="","-",VLOOKUP(ventas_b_mes4[[#This Row],[CUIT]],Lista_CUIT[#All],2,0)),"CUIT NO CARGADO")</f>
        <v>-</v>
      </c>
      <c r="H386" s="211">
        <v>99173.55</v>
      </c>
      <c r="I386" s="212">
        <f>ventas_b_mes4[[#This Row],[IMPORTE NETO]]*0.21</f>
        <v>20826.445500000002</v>
      </c>
      <c r="J386" s="213"/>
      <c r="K386" s="213"/>
      <c r="L386" s="213">
        <f>SUM(ventas_b_mes4[[#This Row],[IMPORTE NETO]:[EXENTO]])</f>
        <v>119999.9955</v>
      </c>
      <c r="M386" s="193"/>
    </row>
    <row r="387" spans="2:13">
      <c r="B387" s="205">
        <v>45033</v>
      </c>
      <c r="C387" s="41">
        <v>6</v>
      </c>
      <c r="D387" s="207">
        <v>7</v>
      </c>
      <c r="E387" s="208">
        <v>4261</v>
      </c>
      <c r="F387" s="209"/>
      <c r="G387" s="210" t="str">
        <f>IFERROR(IF(ventas_b_mes4[[#This Row],[CUIT]]="","-",VLOOKUP(ventas_b_mes4[[#This Row],[CUIT]],Lista_CUIT[#All],2,0)),"CUIT NO CARGADO")</f>
        <v>-</v>
      </c>
      <c r="H387" s="211">
        <v>3966.95</v>
      </c>
      <c r="I387" s="212">
        <f>ventas_b_mes4[[#This Row],[IMPORTE NETO]]*0.21</f>
        <v>833.05949999999996</v>
      </c>
      <c r="J387" s="213"/>
      <c r="K387" s="213"/>
      <c r="L387" s="213">
        <f>SUM(ventas_b_mes4[[#This Row],[IMPORTE NETO]:[EXENTO]])</f>
        <v>4800.0095000000001</v>
      </c>
      <c r="M387" s="193"/>
    </row>
    <row r="388" spans="2:13">
      <c r="B388" s="205">
        <v>45033</v>
      </c>
      <c r="C388" s="41">
        <v>6</v>
      </c>
      <c r="D388" s="207">
        <v>5</v>
      </c>
      <c r="E388" s="208">
        <v>7744</v>
      </c>
      <c r="F388" s="209"/>
      <c r="G388" s="210" t="str">
        <f>IFERROR(IF(ventas_b_mes4[[#This Row],[CUIT]]="","-",VLOOKUP(ventas_b_mes4[[#This Row],[CUIT]],Lista_CUIT[#All],2,0)),"CUIT NO CARGADO")</f>
        <v>-</v>
      </c>
      <c r="H388" s="211">
        <v>4876.03</v>
      </c>
      <c r="I388" s="212">
        <f>ventas_b_mes4[[#This Row],[IMPORTE NETO]]*0.21</f>
        <v>1023.9662999999999</v>
      </c>
      <c r="J388" s="213"/>
      <c r="K388" s="213"/>
      <c r="L388" s="213">
        <f>SUM(ventas_b_mes4[[#This Row],[IMPORTE NETO]:[EXENTO]])</f>
        <v>5899.9962999999998</v>
      </c>
      <c r="M388" s="193"/>
    </row>
    <row r="389" spans="2:13">
      <c r="B389" s="205">
        <v>45033</v>
      </c>
      <c r="C389" s="41">
        <v>6</v>
      </c>
      <c r="D389" s="207">
        <v>5</v>
      </c>
      <c r="E389" s="208">
        <v>7741</v>
      </c>
      <c r="F389" s="209"/>
      <c r="G389" s="210" t="str">
        <f>IFERROR(IF(ventas_b_mes4[[#This Row],[CUIT]]="","-",VLOOKUP(ventas_b_mes4[[#This Row],[CUIT]],Lista_CUIT[#All],2,0)),"CUIT NO CARGADO")</f>
        <v>-</v>
      </c>
      <c r="H389" s="211">
        <v>2438.02</v>
      </c>
      <c r="I389" s="212">
        <f>ventas_b_mes4[[#This Row],[IMPORTE NETO]]*0.21</f>
        <v>511.98419999999999</v>
      </c>
      <c r="J389" s="213"/>
      <c r="K389" s="213"/>
      <c r="L389" s="213">
        <f>SUM(ventas_b_mes4[[#This Row],[IMPORTE NETO]:[EXENTO]])</f>
        <v>2950.0041999999999</v>
      </c>
      <c r="M389" s="193"/>
    </row>
    <row r="390" spans="2:13">
      <c r="B390" s="205">
        <v>45033</v>
      </c>
      <c r="C390" s="41">
        <v>6</v>
      </c>
      <c r="D390" s="207">
        <v>5</v>
      </c>
      <c r="E390" s="208">
        <v>7740</v>
      </c>
      <c r="F390" s="209"/>
      <c r="G390" s="210" t="str">
        <f>IFERROR(IF(ventas_b_mes4[[#This Row],[CUIT]]="","-",VLOOKUP(ventas_b_mes4[[#This Row],[CUIT]],Lista_CUIT[#All],2,0)),"CUIT NO CARGADO")</f>
        <v>-</v>
      </c>
      <c r="H390" s="211">
        <v>4958.68</v>
      </c>
      <c r="I390" s="212">
        <f>ventas_b_mes4[[#This Row],[IMPORTE NETO]]*0.21</f>
        <v>1041.3227999999999</v>
      </c>
      <c r="J390" s="213"/>
      <c r="K390" s="213"/>
      <c r="L390" s="213">
        <f>SUM(ventas_b_mes4[[#This Row],[IMPORTE NETO]:[EXENTO]])</f>
        <v>6000.0028000000002</v>
      </c>
      <c r="M390" s="193"/>
    </row>
    <row r="391" spans="2:13">
      <c r="B391" s="205">
        <v>45033</v>
      </c>
      <c r="C391" s="41">
        <v>6</v>
      </c>
      <c r="D391" s="207">
        <v>5</v>
      </c>
      <c r="E391" s="208">
        <v>7739</v>
      </c>
      <c r="F391" s="209"/>
      <c r="G391" s="210" t="str">
        <f>IFERROR(IF(ventas_b_mes4[[#This Row],[CUIT]]="","-",VLOOKUP(ventas_b_mes4[[#This Row],[CUIT]],Lista_CUIT[#All],2,0)),"CUIT NO CARGADO")</f>
        <v>-</v>
      </c>
      <c r="H391" s="211">
        <v>2066.12</v>
      </c>
      <c r="I391" s="212">
        <f>ventas_b_mes4[[#This Row],[IMPORTE NETO]]*0.21</f>
        <v>433.88519999999994</v>
      </c>
      <c r="J391" s="213"/>
      <c r="K391" s="213"/>
      <c r="L391" s="213">
        <f>SUM(ventas_b_mes4[[#This Row],[IMPORTE NETO]:[EXENTO]])</f>
        <v>2500.0051999999996</v>
      </c>
      <c r="M391" s="193"/>
    </row>
    <row r="392" spans="2:13">
      <c r="B392" s="205">
        <v>45033</v>
      </c>
      <c r="C392" s="41">
        <v>6</v>
      </c>
      <c r="D392" s="207">
        <v>5</v>
      </c>
      <c r="E392" s="208">
        <v>7737</v>
      </c>
      <c r="F392" s="209"/>
      <c r="G392" s="210" t="str">
        <f>IFERROR(IF(ventas_b_mes4[[#This Row],[CUIT]]="","-",VLOOKUP(ventas_b_mes4[[#This Row],[CUIT]],Lista_CUIT[#All],2,0)),"CUIT NO CARGADO")</f>
        <v>-</v>
      </c>
      <c r="H392" s="211">
        <v>4330.58</v>
      </c>
      <c r="I392" s="212">
        <f>ventas_b_mes4[[#This Row],[IMPORTE NETO]]*0.21</f>
        <v>909.42179999999996</v>
      </c>
      <c r="J392" s="213"/>
      <c r="K392" s="213"/>
      <c r="L392" s="213">
        <f>SUM(ventas_b_mes4[[#This Row],[IMPORTE NETO]:[EXENTO]])</f>
        <v>5240.0018</v>
      </c>
      <c r="M392" s="193"/>
    </row>
    <row r="393" spans="2:13">
      <c r="B393" s="205">
        <v>45033</v>
      </c>
      <c r="C393" s="41">
        <v>6</v>
      </c>
      <c r="D393" s="207">
        <v>7</v>
      </c>
      <c r="E393" s="208">
        <v>4260</v>
      </c>
      <c r="F393" s="209"/>
      <c r="G393" s="210" t="str">
        <f>IFERROR(IF(ventas_b_mes4[[#This Row],[CUIT]]="","-",VLOOKUP(ventas_b_mes4[[#This Row],[CUIT]],Lista_CUIT[#All],2,0)),"CUIT NO CARGADO")</f>
        <v>-</v>
      </c>
      <c r="H393" s="211">
        <v>2644.63</v>
      </c>
      <c r="I393" s="212">
        <f>ventas_b_mes4[[#This Row],[IMPORTE NETO]]*0.21</f>
        <v>555.3723</v>
      </c>
      <c r="J393" s="213"/>
      <c r="K393" s="213"/>
      <c r="L393" s="213">
        <f>SUM(ventas_b_mes4[[#This Row],[IMPORTE NETO]:[EXENTO]])</f>
        <v>3200.0023000000001</v>
      </c>
      <c r="M393" s="193"/>
    </row>
    <row r="394" spans="2:13">
      <c r="B394" s="205">
        <v>45033</v>
      </c>
      <c r="C394" s="41">
        <v>6</v>
      </c>
      <c r="D394" s="207">
        <v>5</v>
      </c>
      <c r="E394" s="208">
        <v>7738</v>
      </c>
      <c r="F394" s="209"/>
      <c r="G394" s="210" t="str">
        <f>IFERROR(IF(ventas_b_mes4[[#This Row],[CUIT]]="","-",VLOOKUP(ventas_b_mes4[[#This Row],[CUIT]],Lista_CUIT[#All],2,0)),"CUIT NO CARGADO")</f>
        <v>-</v>
      </c>
      <c r="H394" s="211">
        <v>4958.68</v>
      </c>
      <c r="I394" s="212">
        <f>ventas_b_mes4[[#This Row],[IMPORTE NETO]]*0.21</f>
        <v>1041.3227999999999</v>
      </c>
      <c r="J394" s="213"/>
      <c r="K394" s="213"/>
      <c r="L394" s="213">
        <f>SUM(ventas_b_mes4[[#This Row],[IMPORTE NETO]:[EXENTO]])</f>
        <v>6000.0028000000002</v>
      </c>
      <c r="M394" s="193"/>
    </row>
    <row r="395" spans="2:13">
      <c r="B395" s="205">
        <v>45033</v>
      </c>
      <c r="C395" s="41">
        <v>6</v>
      </c>
      <c r="D395" s="207">
        <v>5</v>
      </c>
      <c r="E395" s="208">
        <v>7749</v>
      </c>
      <c r="F395" s="209"/>
      <c r="G395" s="210" t="str">
        <f>IFERROR(IF(ventas_b_mes4[[#This Row],[CUIT]]="","-",VLOOKUP(ventas_b_mes4[[#This Row],[CUIT]],Lista_CUIT[#All],2,0)),"CUIT NO CARGADO")</f>
        <v>-</v>
      </c>
      <c r="H395" s="211">
        <v>17520.66</v>
      </c>
      <c r="I395" s="212">
        <f>ventas_b_mes4[[#This Row],[IMPORTE NETO]]*0.21</f>
        <v>3679.3386</v>
      </c>
      <c r="J395" s="213"/>
      <c r="K395" s="213"/>
      <c r="L395" s="213">
        <f>SUM(ventas_b_mes4[[#This Row],[IMPORTE NETO]:[EXENTO]])</f>
        <v>21199.998599999999</v>
      </c>
      <c r="M395" s="193"/>
    </row>
    <row r="396" spans="2:13">
      <c r="B396" s="205">
        <v>45033</v>
      </c>
      <c r="C396" s="41">
        <v>6</v>
      </c>
      <c r="D396" s="207">
        <v>5</v>
      </c>
      <c r="E396" s="208">
        <v>7746</v>
      </c>
      <c r="F396" s="209"/>
      <c r="G396" s="210" t="str">
        <f>IFERROR(IF(ventas_b_mes4[[#This Row],[CUIT]]="","-",VLOOKUP(ventas_b_mes4[[#This Row],[CUIT]],Lista_CUIT[#All],2,0)),"CUIT NO CARGADO")</f>
        <v>-</v>
      </c>
      <c r="H396" s="211">
        <v>3140.5</v>
      </c>
      <c r="I396" s="212">
        <f>ventas_b_mes4[[#This Row],[IMPORTE NETO]]*0.21</f>
        <v>659.505</v>
      </c>
      <c r="J396" s="213"/>
      <c r="K396" s="213"/>
      <c r="L396" s="213">
        <f>SUM(ventas_b_mes4[[#This Row],[IMPORTE NETO]:[EXENTO]])</f>
        <v>3800.0050000000001</v>
      </c>
      <c r="M396" s="193"/>
    </row>
    <row r="397" spans="2:13">
      <c r="B397" s="205">
        <v>45033</v>
      </c>
      <c r="C397" s="41">
        <v>6</v>
      </c>
      <c r="D397" s="207">
        <v>5</v>
      </c>
      <c r="E397" s="208">
        <v>7745</v>
      </c>
      <c r="F397" s="209"/>
      <c r="G397" s="210" t="str">
        <f>IFERROR(IF(ventas_b_mes4[[#This Row],[CUIT]]="","-",VLOOKUP(ventas_b_mes4[[#This Row],[CUIT]],Lista_CUIT[#All],2,0)),"CUIT NO CARGADO")</f>
        <v>-</v>
      </c>
      <c r="H397" s="211">
        <v>10330.58</v>
      </c>
      <c r="I397" s="212">
        <f>ventas_b_mes4[[#This Row],[IMPORTE NETO]]*0.21</f>
        <v>2169.4218000000001</v>
      </c>
      <c r="J397" s="213"/>
      <c r="K397" s="213"/>
      <c r="L397" s="213">
        <f>SUM(ventas_b_mes4[[#This Row],[IMPORTE NETO]:[EXENTO]])</f>
        <v>12500.0018</v>
      </c>
      <c r="M397" s="193"/>
    </row>
    <row r="398" spans="2:13">
      <c r="B398" s="205">
        <v>45033</v>
      </c>
      <c r="C398" s="41">
        <v>6</v>
      </c>
      <c r="D398" s="207">
        <v>5</v>
      </c>
      <c r="E398" s="208">
        <v>7748</v>
      </c>
      <c r="F398" s="209"/>
      <c r="G398" s="210" t="str">
        <f>IFERROR(IF(ventas_b_mes4[[#This Row],[CUIT]]="","-",VLOOKUP(ventas_b_mes4[[#This Row],[CUIT]],Lista_CUIT[#All],2,0)),"CUIT NO CARGADO")</f>
        <v>-</v>
      </c>
      <c r="H398" s="211">
        <v>2396.69</v>
      </c>
      <c r="I398" s="212">
        <f>ventas_b_mes4[[#This Row],[IMPORTE NETO]]*0.21</f>
        <v>503.30489999999998</v>
      </c>
      <c r="J398" s="213"/>
      <c r="K398" s="213"/>
      <c r="L398" s="213">
        <f>SUM(ventas_b_mes4[[#This Row],[IMPORTE NETO]:[EXENTO]])</f>
        <v>2899.9949000000001</v>
      </c>
      <c r="M398" s="193"/>
    </row>
    <row r="399" spans="2:13">
      <c r="B399" s="205">
        <v>45033</v>
      </c>
      <c r="C399" s="41">
        <v>6</v>
      </c>
      <c r="D399" s="207">
        <v>7</v>
      </c>
      <c r="E399" s="208">
        <v>4262</v>
      </c>
      <c r="F399" s="209"/>
      <c r="G399" s="210" t="str">
        <f>IFERROR(IF(ventas_b_mes4[[#This Row],[CUIT]]="","-",VLOOKUP(ventas_b_mes4[[#This Row],[CUIT]],Lista_CUIT[#All],2,0)),"CUIT NO CARGADO")</f>
        <v>-</v>
      </c>
      <c r="H399" s="211">
        <v>7438.02</v>
      </c>
      <c r="I399" s="212">
        <f>ventas_b_mes4[[#This Row],[IMPORTE NETO]]*0.21</f>
        <v>1561.9842000000001</v>
      </c>
      <c r="J399" s="213"/>
      <c r="K399" s="213"/>
      <c r="L399" s="213">
        <f>SUM(ventas_b_mes4[[#This Row],[IMPORTE NETO]:[EXENTO]])</f>
        <v>9000.0042000000012</v>
      </c>
      <c r="M399" s="193"/>
    </row>
    <row r="400" spans="2:13">
      <c r="B400" s="205">
        <v>45033</v>
      </c>
      <c r="C400" s="41">
        <v>6</v>
      </c>
      <c r="D400" s="207">
        <v>7</v>
      </c>
      <c r="E400" s="208">
        <v>4263</v>
      </c>
      <c r="F400" s="209">
        <v>22608522</v>
      </c>
      <c r="G400" s="210" t="str">
        <f>IFERROR(IF(ventas_b_mes4[[#This Row],[CUIT]]="","-",VLOOKUP(ventas_b_mes4[[#This Row],[CUIT]],Lista_CUIT[#All],2,0)),"CUIT NO CARGADO")</f>
        <v>CAMPOBASSO, MARIANA LAURA</v>
      </c>
      <c r="H400" s="211">
        <v>5371.9</v>
      </c>
      <c r="I400" s="212">
        <f>ventas_b_mes4[[#This Row],[IMPORTE NETO]]*0.21</f>
        <v>1128.0989999999999</v>
      </c>
      <c r="J400" s="213"/>
      <c r="K400" s="213"/>
      <c r="L400" s="213">
        <f>SUM(ventas_b_mes4[[#This Row],[IMPORTE NETO]:[EXENTO]])</f>
        <v>6499.9989999999998</v>
      </c>
      <c r="M400" s="193"/>
    </row>
    <row r="401" spans="2:13">
      <c r="B401" s="205">
        <v>45033</v>
      </c>
      <c r="C401" s="41">
        <v>6</v>
      </c>
      <c r="D401" s="207">
        <v>7</v>
      </c>
      <c r="E401" s="208">
        <v>4264</v>
      </c>
      <c r="F401" s="209">
        <v>8208160</v>
      </c>
      <c r="G401" s="210" t="str">
        <f>IFERROR(IF(ventas_b_mes4[[#This Row],[CUIT]]="","-",VLOOKUP(ventas_b_mes4[[#This Row],[CUIT]],Lista_CUIT[#All],2,0)),"CUIT NO CARGADO")</f>
        <v>Aguirre Diego</v>
      </c>
      <c r="H401" s="211">
        <v>2644.63</v>
      </c>
      <c r="I401" s="212">
        <f>ventas_b_mes4[[#This Row],[IMPORTE NETO]]*0.21</f>
        <v>555.3723</v>
      </c>
      <c r="J401" s="213"/>
      <c r="K401" s="213"/>
      <c r="L401" s="213">
        <f>SUM(ventas_b_mes4[[#This Row],[IMPORTE NETO]:[EXENTO]])</f>
        <v>3200.0023000000001</v>
      </c>
      <c r="M401" s="193"/>
    </row>
    <row r="402" spans="2:13">
      <c r="B402" s="205">
        <v>45033</v>
      </c>
      <c r="C402" s="41">
        <v>6</v>
      </c>
      <c r="D402" s="207">
        <v>7</v>
      </c>
      <c r="E402" s="208">
        <v>4259</v>
      </c>
      <c r="F402" s="209">
        <v>94466696</v>
      </c>
      <c r="G402" s="210" t="str">
        <f>IFERROR(IF(ventas_b_mes4[[#This Row],[CUIT]]="","-",VLOOKUP(ventas_b_mes4[[#This Row],[CUIT]],Lista_CUIT[#All],2,0)),"CUIT NO CARGADO")</f>
        <v>CUIT NO CARGADO</v>
      </c>
      <c r="H402" s="211">
        <v>6942.15</v>
      </c>
      <c r="I402" s="212">
        <f>ventas_b_mes4[[#This Row],[IMPORTE NETO]]*0.21</f>
        <v>1457.8514999999998</v>
      </c>
      <c r="J402" s="213"/>
      <c r="K402" s="213"/>
      <c r="L402" s="213">
        <f>SUM(ventas_b_mes4[[#This Row],[IMPORTE NETO]:[EXENTO]])</f>
        <v>8400.0014999999985</v>
      </c>
      <c r="M402" s="193"/>
    </row>
    <row r="403" spans="2:13">
      <c r="B403" s="205">
        <v>45033</v>
      </c>
      <c r="C403" s="41">
        <v>6</v>
      </c>
      <c r="D403" s="207">
        <v>5</v>
      </c>
      <c r="E403" s="208">
        <v>7743</v>
      </c>
      <c r="F403" s="209">
        <v>0</v>
      </c>
      <c r="G403" s="210" t="str">
        <f>IFERROR(IF(ventas_b_mes4[[#This Row],[CUIT]]="","-",VLOOKUP(ventas_b_mes4[[#This Row],[CUIT]],Lista_CUIT[#All],2,0)),"CUIT NO CARGADO")</f>
        <v>CUIT NO CARGADO</v>
      </c>
      <c r="H403" s="211">
        <v>6611.57</v>
      </c>
      <c r="I403" s="212">
        <f>ventas_b_mes4[[#This Row],[IMPORTE NETO]]*0.21</f>
        <v>1388.4296999999999</v>
      </c>
      <c r="J403" s="213"/>
      <c r="K403" s="213"/>
      <c r="L403" s="213">
        <f>SUM(ventas_b_mes4[[#This Row],[IMPORTE NETO]:[EXENTO]])</f>
        <v>7999.9996999999994</v>
      </c>
      <c r="M403" s="193"/>
    </row>
    <row r="404" spans="2:13">
      <c r="B404" s="205">
        <v>45033</v>
      </c>
      <c r="C404" s="41">
        <v>6</v>
      </c>
      <c r="D404" s="207">
        <v>7</v>
      </c>
      <c r="E404" s="208">
        <v>4266</v>
      </c>
      <c r="F404" s="209">
        <v>56980</v>
      </c>
      <c r="G404" s="210" t="str">
        <f>IFERROR(IF(ventas_b_mes4[[#This Row],[CUIT]]="","-",VLOOKUP(ventas_b_mes4[[#This Row],[CUIT]],Lista_CUIT[#All],2,0)),"CUIT NO CARGADO")</f>
        <v>SAENZ, MAGDALENA</v>
      </c>
      <c r="H404" s="211">
        <v>4132.2299999999996</v>
      </c>
      <c r="I404" s="212">
        <f>ventas_b_mes4[[#This Row],[IMPORTE NETO]]*0.21</f>
        <v>867.76829999999984</v>
      </c>
      <c r="J404" s="213"/>
      <c r="K404" s="213"/>
      <c r="L404" s="213">
        <f>SUM(ventas_b_mes4[[#This Row],[IMPORTE NETO]:[EXENTO]])</f>
        <v>4999.9982999999993</v>
      </c>
      <c r="M404" s="193"/>
    </row>
    <row r="405" spans="2:13">
      <c r="B405" s="205">
        <v>45033</v>
      </c>
      <c r="C405" s="41">
        <v>6</v>
      </c>
      <c r="D405" s="207">
        <v>7</v>
      </c>
      <c r="E405" s="208">
        <v>4265</v>
      </c>
      <c r="F405" s="209">
        <v>1304464</v>
      </c>
      <c r="G405" s="210" t="str">
        <f>IFERROR(IF(ventas_b_mes4[[#This Row],[CUIT]]="","-",VLOOKUP(ventas_b_mes4[[#This Row],[CUIT]],Lista_CUIT[#All],2,0)),"CUIT NO CARGADO")</f>
        <v>ANTIVERO, LUISA</v>
      </c>
      <c r="H405" s="211">
        <v>3719.01</v>
      </c>
      <c r="I405" s="212">
        <f>ventas_b_mes4[[#This Row],[IMPORTE NETO]]*0.21</f>
        <v>780.99210000000005</v>
      </c>
      <c r="J405" s="213"/>
      <c r="K405" s="213"/>
      <c r="L405" s="213">
        <f>SUM(ventas_b_mes4[[#This Row],[IMPORTE NETO]:[EXENTO]])</f>
        <v>4500.0021000000006</v>
      </c>
      <c r="M405" s="193"/>
    </row>
    <row r="406" spans="2:13">
      <c r="B406" s="205">
        <v>45033</v>
      </c>
      <c r="C406" s="41">
        <v>6</v>
      </c>
      <c r="D406" s="207">
        <v>5</v>
      </c>
      <c r="E406" s="208">
        <v>7747</v>
      </c>
      <c r="F406" s="209"/>
      <c r="G406" s="210" t="str">
        <f>IFERROR(IF(ventas_b_mes4[[#This Row],[CUIT]]="","-",VLOOKUP(ventas_b_mes4[[#This Row],[CUIT]],Lista_CUIT[#All],2,0)),"CUIT NO CARGADO")</f>
        <v>-</v>
      </c>
      <c r="H406" s="211">
        <v>7438.02</v>
      </c>
      <c r="I406" s="212">
        <f>ventas_b_mes4[[#This Row],[IMPORTE NETO]]*0.21</f>
        <v>1561.9842000000001</v>
      </c>
      <c r="J406" s="213"/>
      <c r="K406" s="213"/>
      <c r="L406" s="213">
        <f>SUM(ventas_b_mes4[[#This Row],[IMPORTE NETO]:[EXENTO]])</f>
        <v>9000.0042000000012</v>
      </c>
      <c r="M406" s="193"/>
    </row>
    <row r="407" spans="2:13">
      <c r="B407" s="205">
        <v>45033</v>
      </c>
      <c r="C407" s="41">
        <v>6</v>
      </c>
      <c r="D407" s="207">
        <v>5</v>
      </c>
      <c r="E407" s="208">
        <v>7742</v>
      </c>
      <c r="F407" s="209"/>
      <c r="G407" s="210" t="str">
        <f>IFERROR(IF(ventas_b_mes4[[#This Row],[CUIT]]="","-",VLOOKUP(ventas_b_mes4[[#This Row],[CUIT]],Lista_CUIT[#All],2,0)),"CUIT NO CARGADO")</f>
        <v>-</v>
      </c>
      <c r="H407" s="211">
        <v>4016.53</v>
      </c>
      <c r="I407" s="212">
        <f>ventas_b_mes4[[#This Row],[IMPORTE NETO]]*0.21</f>
        <v>843.47130000000004</v>
      </c>
      <c r="J407" s="213"/>
      <c r="K407" s="213"/>
      <c r="L407" s="213">
        <f>SUM(ventas_b_mes4[[#This Row],[IMPORTE NETO]:[EXENTO]])</f>
        <v>4860.0012999999999</v>
      </c>
      <c r="M407" s="193"/>
    </row>
    <row r="408" spans="2:13">
      <c r="B408" s="205">
        <v>45034</v>
      </c>
      <c r="C408" s="41">
        <v>6</v>
      </c>
      <c r="D408" s="207">
        <v>5</v>
      </c>
      <c r="E408" s="208">
        <v>7752</v>
      </c>
      <c r="F408" s="209"/>
      <c r="G408" s="210" t="str">
        <f>IFERROR(IF(ventas_b_mes4[[#This Row],[CUIT]]="","-",VLOOKUP(ventas_b_mes4[[#This Row],[CUIT]],Lista_CUIT[#All],2,0)),"CUIT NO CARGADO")</f>
        <v>-</v>
      </c>
      <c r="H408" s="211">
        <v>6363.64</v>
      </c>
      <c r="I408" s="212">
        <f>ventas_b_mes4[[#This Row],[IMPORTE NETO]]*0.21</f>
        <v>1336.3643999999999</v>
      </c>
      <c r="J408" s="213"/>
      <c r="K408" s="213"/>
      <c r="L408" s="213">
        <f>SUM(ventas_b_mes4[[#This Row],[IMPORTE NETO]:[EXENTO]])</f>
        <v>7700.0043999999998</v>
      </c>
      <c r="M408" s="193"/>
    </row>
    <row r="409" spans="2:13">
      <c r="B409" s="205">
        <v>45034</v>
      </c>
      <c r="C409" s="41">
        <v>6</v>
      </c>
      <c r="D409" s="207">
        <v>5</v>
      </c>
      <c r="E409" s="208">
        <v>7756</v>
      </c>
      <c r="F409" s="209"/>
      <c r="G409" s="210" t="str">
        <f>IFERROR(IF(ventas_b_mes4[[#This Row],[CUIT]]="","-",VLOOKUP(ventas_b_mes4[[#This Row],[CUIT]],Lista_CUIT[#All],2,0)),"CUIT NO CARGADO")</f>
        <v>-</v>
      </c>
      <c r="H409" s="211">
        <v>2975.21</v>
      </c>
      <c r="I409" s="212">
        <f>ventas_b_mes4[[#This Row],[IMPORTE NETO]]*0.21</f>
        <v>624.79409999999996</v>
      </c>
      <c r="J409" s="213"/>
      <c r="K409" s="213"/>
      <c r="L409" s="213">
        <f>SUM(ventas_b_mes4[[#This Row],[IMPORTE NETO]:[EXENTO]])</f>
        <v>3600.0041000000001</v>
      </c>
      <c r="M409" s="193"/>
    </row>
    <row r="410" spans="2:13">
      <c r="B410" s="205">
        <v>45034</v>
      </c>
      <c r="C410" s="41">
        <v>6</v>
      </c>
      <c r="D410" s="207">
        <v>5</v>
      </c>
      <c r="E410" s="208">
        <v>7754</v>
      </c>
      <c r="F410" s="209"/>
      <c r="G410" s="210" t="str">
        <f>IFERROR(IF(ventas_b_mes4[[#This Row],[CUIT]]="","-",VLOOKUP(ventas_b_mes4[[#This Row],[CUIT]],Lista_CUIT[#All],2,0)),"CUIT NO CARGADO")</f>
        <v>-</v>
      </c>
      <c r="H410" s="211">
        <v>9752.07</v>
      </c>
      <c r="I410" s="212">
        <f>ventas_b_mes4[[#This Row],[IMPORTE NETO]]*0.21</f>
        <v>2047.9346999999998</v>
      </c>
      <c r="J410" s="213"/>
      <c r="K410" s="213"/>
      <c r="L410" s="213">
        <f>SUM(ventas_b_mes4[[#This Row],[IMPORTE NETO]:[EXENTO]])</f>
        <v>11800.0047</v>
      </c>
      <c r="M410" s="193"/>
    </row>
    <row r="411" spans="2:13">
      <c r="B411" s="205">
        <v>45034</v>
      </c>
      <c r="C411" s="41">
        <v>6</v>
      </c>
      <c r="D411" s="207">
        <v>5</v>
      </c>
      <c r="E411" s="208">
        <v>7753</v>
      </c>
      <c r="F411" s="209"/>
      <c r="G411" s="210" t="str">
        <f>IFERROR(IF(ventas_b_mes4[[#This Row],[CUIT]]="","-",VLOOKUP(ventas_b_mes4[[#This Row],[CUIT]],Lista_CUIT[#All],2,0)),"CUIT NO CARGADO")</f>
        <v>-</v>
      </c>
      <c r="H411" s="211">
        <v>6528.93</v>
      </c>
      <c r="I411" s="212">
        <f>ventas_b_mes4[[#This Row],[IMPORTE NETO]]*0.21</f>
        <v>1371.0753</v>
      </c>
      <c r="J411" s="213"/>
      <c r="K411" s="213"/>
      <c r="L411" s="213">
        <f>SUM(ventas_b_mes4[[#This Row],[IMPORTE NETO]:[EXENTO]])</f>
        <v>7900.0053000000007</v>
      </c>
      <c r="M411" s="193"/>
    </row>
    <row r="412" spans="2:13">
      <c r="B412" s="205">
        <v>45034</v>
      </c>
      <c r="C412" s="41">
        <v>6</v>
      </c>
      <c r="D412" s="207">
        <v>5</v>
      </c>
      <c r="E412" s="208">
        <v>7755</v>
      </c>
      <c r="F412" s="209"/>
      <c r="G412" s="210" t="str">
        <f>IFERROR(IF(ventas_b_mes4[[#This Row],[CUIT]]="","-",VLOOKUP(ventas_b_mes4[[#This Row],[CUIT]],Lista_CUIT[#All],2,0)),"CUIT NO CARGADO")</f>
        <v>-</v>
      </c>
      <c r="H412" s="211">
        <v>2438.02</v>
      </c>
      <c r="I412" s="212">
        <f>ventas_b_mes4[[#This Row],[IMPORTE NETO]]*0.21</f>
        <v>511.98419999999999</v>
      </c>
      <c r="J412" s="213"/>
      <c r="K412" s="213"/>
      <c r="L412" s="213">
        <f>SUM(ventas_b_mes4[[#This Row],[IMPORTE NETO]:[EXENTO]])</f>
        <v>2950.0041999999999</v>
      </c>
      <c r="M412" s="193"/>
    </row>
    <row r="413" spans="2:13">
      <c r="B413" s="205">
        <v>45034</v>
      </c>
      <c r="C413" s="41">
        <v>6</v>
      </c>
      <c r="D413" s="207">
        <v>5</v>
      </c>
      <c r="E413" s="208">
        <v>7759</v>
      </c>
      <c r="F413" s="209"/>
      <c r="G413" s="210" t="str">
        <f>IFERROR(IF(ventas_b_mes4[[#This Row],[CUIT]]="","-",VLOOKUP(ventas_b_mes4[[#This Row],[CUIT]],Lista_CUIT[#All],2,0)),"CUIT NO CARGADO")</f>
        <v>-</v>
      </c>
      <c r="H413" s="211">
        <v>3214.88</v>
      </c>
      <c r="I413" s="212">
        <f>ventas_b_mes4[[#This Row],[IMPORTE NETO]]*0.21</f>
        <v>675.12480000000005</v>
      </c>
      <c r="J413" s="213"/>
      <c r="K413" s="213"/>
      <c r="L413" s="213">
        <f>SUM(ventas_b_mes4[[#This Row],[IMPORTE NETO]:[EXENTO]])</f>
        <v>3890.0048000000002</v>
      </c>
      <c r="M413" s="193"/>
    </row>
    <row r="414" spans="2:13">
      <c r="B414" s="205">
        <v>45034</v>
      </c>
      <c r="C414" s="41">
        <v>6</v>
      </c>
      <c r="D414" s="207">
        <v>5</v>
      </c>
      <c r="E414" s="208">
        <v>7760</v>
      </c>
      <c r="F414" s="209"/>
      <c r="G414" s="210" t="str">
        <f>IFERROR(IF(ventas_b_mes4[[#This Row],[CUIT]]="","-",VLOOKUP(ventas_b_mes4[[#This Row],[CUIT]],Lista_CUIT[#All],2,0)),"CUIT NO CARGADO")</f>
        <v>-</v>
      </c>
      <c r="H414" s="211">
        <v>6363.64</v>
      </c>
      <c r="I414" s="212">
        <f>ventas_b_mes4[[#This Row],[IMPORTE NETO]]*0.21</f>
        <v>1336.3643999999999</v>
      </c>
      <c r="J414" s="213"/>
      <c r="K414" s="213"/>
      <c r="L414" s="213">
        <f>SUM(ventas_b_mes4[[#This Row],[IMPORTE NETO]:[EXENTO]])</f>
        <v>7700.0043999999998</v>
      </c>
      <c r="M414" s="193"/>
    </row>
    <row r="415" spans="2:13">
      <c r="B415" s="205">
        <v>45034</v>
      </c>
      <c r="C415" s="41">
        <v>6</v>
      </c>
      <c r="D415" s="207">
        <v>5</v>
      </c>
      <c r="E415" s="208">
        <v>7751</v>
      </c>
      <c r="F415" s="209"/>
      <c r="G415" s="210" t="str">
        <f>IFERROR(IF(ventas_b_mes4[[#This Row],[CUIT]]="","-",VLOOKUP(ventas_b_mes4[[#This Row],[CUIT]],Lista_CUIT[#All],2,0)),"CUIT NO CARGADO")</f>
        <v>-</v>
      </c>
      <c r="H415" s="211">
        <v>2148.7600000000002</v>
      </c>
      <c r="I415" s="212">
        <f>ventas_b_mes4[[#This Row],[IMPORTE NETO]]*0.21</f>
        <v>451.23960000000005</v>
      </c>
      <c r="J415" s="213"/>
      <c r="K415" s="213"/>
      <c r="L415" s="213">
        <f>SUM(ventas_b_mes4[[#This Row],[IMPORTE NETO]:[EXENTO]])</f>
        <v>2599.9996000000001</v>
      </c>
      <c r="M415" s="193"/>
    </row>
    <row r="416" spans="2:13">
      <c r="B416" s="205">
        <v>45034</v>
      </c>
      <c r="C416" s="41">
        <v>6</v>
      </c>
      <c r="D416" s="207">
        <v>5</v>
      </c>
      <c r="E416" s="208">
        <v>7750</v>
      </c>
      <c r="F416" s="209"/>
      <c r="G416" s="210" t="str">
        <f>IFERROR(IF(ventas_b_mes4[[#This Row],[CUIT]]="","-",VLOOKUP(ventas_b_mes4[[#This Row],[CUIT]],Lista_CUIT[#All],2,0)),"CUIT NO CARGADO")</f>
        <v>-</v>
      </c>
      <c r="H416" s="211">
        <v>3636.36</v>
      </c>
      <c r="I416" s="212">
        <f>ventas_b_mes4[[#This Row],[IMPORTE NETO]]*0.21</f>
        <v>763.63559999999995</v>
      </c>
      <c r="J416" s="213"/>
      <c r="K416" s="213"/>
      <c r="L416" s="213">
        <f>SUM(ventas_b_mes4[[#This Row],[IMPORTE NETO]:[EXENTO]])</f>
        <v>4399.9956000000002</v>
      </c>
      <c r="M416" s="193"/>
    </row>
    <row r="417" spans="2:13">
      <c r="B417" s="205">
        <v>45034</v>
      </c>
      <c r="C417" s="41">
        <v>6</v>
      </c>
      <c r="D417" s="207">
        <v>5</v>
      </c>
      <c r="E417" s="208">
        <v>7758</v>
      </c>
      <c r="F417" s="209"/>
      <c r="G417" s="210" t="str">
        <f>IFERROR(IF(ventas_b_mes4[[#This Row],[CUIT]]="","-",VLOOKUP(ventas_b_mes4[[#This Row],[CUIT]],Lista_CUIT[#All],2,0)),"CUIT NO CARGADO")</f>
        <v>-</v>
      </c>
      <c r="H417" s="211">
        <v>4909.09</v>
      </c>
      <c r="I417" s="212">
        <f>ventas_b_mes4[[#This Row],[IMPORTE NETO]]*0.21</f>
        <v>1030.9088999999999</v>
      </c>
      <c r="J417" s="213"/>
      <c r="K417" s="213"/>
      <c r="L417" s="213">
        <f>SUM(ventas_b_mes4[[#This Row],[IMPORTE NETO]:[EXENTO]])</f>
        <v>5939.9989000000005</v>
      </c>
      <c r="M417" s="193"/>
    </row>
    <row r="418" spans="2:13">
      <c r="B418" s="205">
        <v>45034</v>
      </c>
      <c r="C418" s="41">
        <v>6</v>
      </c>
      <c r="D418" s="207">
        <v>5</v>
      </c>
      <c r="E418" s="208">
        <v>7757</v>
      </c>
      <c r="F418" s="209"/>
      <c r="G418" s="210" t="str">
        <f>IFERROR(IF(ventas_b_mes4[[#This Row],[CUIT]]="","-",VLOOKUP(ventas_b_mes4[[#This Row],[CUIT]],Lista_CUIT[#All],2,0)),"CUIT NO CARGADO")</f>
        <v>-</v>
      </c>
      <c r="H418" s="211">
        <v>3214.88</v>
      </c>
      <c r="I418" s="212">
        <f>ventas_b_mes4[[#This Row],[IMPORTE NETO]]*0.21</f>
        <v>675.12480000000005</v>
      </c>
      <c r="J418" s="213"/>
      <c r="K418" s="213"/>
      <c r="L418" s="213">
        <f>SUM(ventas_b_mes4[[#This Row],[IMPORTE NETO]:[EXENTO]])</f>
        <v>3890.0048000000002</v>
      </c>
      <c r="M418" s="193"/>
    </row>
    <row r="419" spans="2:13">
      <c r="B419" s="205">
        <v>45035</v>
      </c>
      <c r="C419" s="41">
        <v>6</v>
      </c>
      <c r="D419" s="207">
        <v>5</v>
      </c>
      <c r="E419" s="208">
        <v>7761</v>
      </c>
      <c r="F419" s="209"/>
      <c r="G419" s="210" t="str">
        <f>IFERROR(IF(ventas_b_mes4[[#This Row],[CUIT]]="","-",VLOOKUP(ventas_b_mes4[[#This Row],[CUIT]],Lista_CUIT[#All],2,0)),"CUIT NO CARGADO")</f>
        <v>-</v>
      </c>
      <c r="H419" s="211">
        <v>3305.79</v>
      </c>
      <c r="I419" s="212">
        <f>ventas_b_mes4[[#This Row],[IMPORTE NETO]]*0.21</f>
        <v>694.21589999999992</v>
      </c>
      <c r="J419" s="213"/>
      <c r="K419" s="213"/>
      <c r="L419" s="213">
        <f>SUM(ventas_b_mes4[[#This Row],[IMPORTE NETO]:[EXENTO]])</f>
        <v>4000.0059000000001</v>
      </c>
      <c r="M419" s="193"/>
    </row>
    <row r="420" spans="2:13">
      <c r="B420" s="205">
        <v>45035</v>
      </c>
      <c r="C420" s="41">
        <v>6</v>
      </c>
      <c r="D420" s="207">
        <v>5</v>
      </c>
      <c r="E420" s="208">
        <v>7764</v>
      </c>
      <c r="F420" s="209"/>
      <c r="G420" s="210" t="str">
        <f>IFERROR(IF(ventas_b_mes4[[#This Row],[CUIT]]="","-",VLOOKUP(ventas_b_mes4[[#This Row],[CUIT]],Lista_CUIT[#All],2,0)),"CUIT NO CARGADO")</f>
        <v>-</v>
      </c>
      <c r="H420" s="211">
        <v>14628.1</v>
      </c>
      <c r="I420" s="212">
        <f>ventas_b_mes4[[#This Row],[IMPORTE NETO]]*0.21</f>
        <v>3071.9009999999998</v>
      </c>
      <c r="J420" s="213"/>
      <c r="K420" s="213"/>
      <c r="L420" s="213">
        <f>SUM(ventas_b_mes4[[#This Row],[IMPORTE NETO]:[EXENTO]])</f>
        <v>17700.001</v>
      </c>
      <c r="M420" s="193"/>
    </row>
    <row r="421" spans="2:13">
      <c r="B421" s="205">
        <v>45035</v>
      </c>
      <c r="C421" s="41">
        <v>6</v>
      </c>
      <c r="D421" s="207">
        <v>7</v>
      </c>
      <c r="E421" s="208">
        <v>4268</v>
      </c>
      <c r="F421" s="209">
        <v>35122158</v>
      </c>
      <c r="G421" s="210" t="str">
        <f>IFERROR(IF(ventas_b_mes4[[#This Row],[CUIT]]="","-",VLOOKUP(ventas_b_mes4[[#This Row],[CUIT]],Lista_CUIT[#All],2,0)),"CUIT NO CARGADO")</f>
        <v>CUIT NO CARGADO</v>
      </c>
      <c r="H421" s="211">
        <v>5785.12</v>
      </c>
      <c r="I421" s="212">
        <f>ventas_b_mes4[[#This Row],[IMPORTE NETO]]*0.21</f>
        <v>1214.8751999999999</v>
      </c>
      <c r="J421" s="213"/>
      <c r="K421" s="213"/>
      <c r="L421" s="213">
        <f>SUM(ventas_b_mes4[[#This Row],[IMPORTE NETO]:[EXENTO]])</f>
        <v>6999.9951999999994</v>
      </c>
      <c r="M421" s="193"/>
    </row>
    <row r="422" spans="2:13">
      <c r="B422" s="205">
        <v>45035</v>
      </c>
      <c r="C422" s="41">
        <v>6</v>
      </c>
      <c r="D422" s="207">
        <v>5</v>
      </c>
      <c r="E422" s="208">
        <v>7763</v>
      </c>
      <c r="F422" s="209">
        <v>0</v>
      </c>
      <c r="G422" s="210" t="str">
        <f>IFERROR(IF(ventas_b_mes4[[#This Row],[CUIT]]="","-",VLOOKUP(ventas_b_mes4[[#This Row],[CUIT]],Lista_CUIT[#All],2,0)),"CUIT NO CARGADO")</f>
        <v>CUIT NO CARGADO</v>
      </c>
      <c r="H422" s="211">
        <v>2066.12</v>
      </c>
      <c r="I422" s="212">
        <f>ventas_b_mes4[[#This Row],[IMPORTE NETO]]*0.21</f>
        <v>433.88519999999994</v>
      </c>
      <c r="J422" s="213"/>
      <c r="K422" s="213"/>
      <c r="L422" s="213">
        <f>SUM(ventas_b_mes4[[#This Row],[IMPORTE NETO]:[EXENTO]])</f>
        <v>2500.0051999999996</v>
      </c>
      <c r="M422" s="193"/>
    </row>
    <row r="423" spans="2:13">
      <c r="B423" s="205">
        <v>45035</v>
      </c>
      <c r="C423" s="41">
        <v>6</v>
      </c>
      <c r="D423" s="207">
        <v>7</v>
      </c>
      <c r="E423" s="208">
        <v>4267</v>
      </c>
      <c r="F423" s="209">
        <v>0</v>
      </c>
      <c r="G423" s="210" t="str">
        <f>IFERROR(IF(ventas_b_mes4[[#This Row],[CUIT]]="","-",VLOOKUP(ventas_b_mes4[[#This Row],[CUIT]],Lista_CUIT[#All],2,0)),"CUIT NO CARGADO")</f>
        <v>CUIT NO CARGADO</v>
      </c>
      <c r="H423" s="211">
        <v>3305.78</v>
      </c>
      <c r="I423" s="212">
        <f>ventas_b_mes4[[#This Row],[IMPORTE NETO]]*0.21</f>
        <v>694.21379999999999</v>
      </c>
      <c r="J423" s="213"/>
      <c r="K423" s="213"/>
      <c r="L423" s="213">
        <f>SUM(ventas_b_mes4[[#This Row],[IMPORTE NETO]:[EXENTO]])</f>
        <v>3999.9938000000002</v>
      </c>
      <c r="M423" s="193"/>
    </row>
    <row r="424" spans="2:13">
      <c r="B424" s="205">
        <v>45035</v>
      </c>
      <c r="C424" s="41">
        <v>6</v>
      </c>
      <c r="D424" s="207">
        <v>5</v>
      </c>
      <c r="E424" s="208">
        <v>7765</v>
      </c>
      <c r="F424" s="209">
        <v>0</v>
      </c>
      <c r="G424" s="210" t="str">
        <f>IFERROR(IF(ventas_b_mes4[[#This Row],[CUIT]]="","-",VLOOKUP(ventas_b_mes4[[#This Row],[CUIT]],Lista_CUIT[#All],2,0)),"CUIT NO CARGADO")</f>
        <v>CUIT NO CARGADO</v>
      </c>
      <c r="H424" s="211">
        <v>6280.99</v>
      </c>
      <c r="I424" s="212">
        <f>ventas_b_mes4[[#This Row],[IMPORTE NETO]]*0.21</f>
        <v>1319.0078999999998</v>
      </c>
      <c r="J424" s="213"/>
      <c r="K424" s="213"/>
      <c r="L424" s="213">
        <f>SUM(ventas_b_mes4[[#This Row],[IMPORTE NETO]:[EXENTO]])</f>
        <v>7599.9978999999994</v>
      </c>
      <c r="M424" s="193"/>
    </row>
    <row r="425" spans="2:13">
      <c r="B425" s="205">
        <v>45035</v>
      </c>
      <c r="C425" s="41">
        <v>6</v>
      </c>
      <c r="D425" s="207">
        <v>5</v>
      </c>
      <c r="E425" s="208">
        <v>7762</v>
      </c>
      <c r="F425" s="209">
        <v>0</v>
      </c>
      <c r="G425" s="210" t="str">
        <f>IFERROR(IF(ventas_b_mes4[[#This Row],[CUIT]]="","-",VLOOKUP(ventas_b_mes4[[#This Row],[CUIT]],Lista_CUIT[#All],2,0)),"CUIT NO CARGADO")</f>
        <v>CUIT NO CARGADO</v>
      </c>
      <c r="H425" s="211">
        <v>3884.3</v>
      </c>
      <c r="I425" s="212">
        <f>ventas_b_mes4[[#This Row],[IMPORTE NETO]]*0.21</f>
        <v>815.70299999999997</v>
      </c>
      <c r="J425" s="213"/>
      <c r="K425" s="213"/>
      <c r="L425" s="213">
        <f>SUM(ventas_b_mes4[[#This Row],[IMPORTE NETO]:[EXENTO]])</f>
        <v>4700.0030000000006</v>
      </c>
      <c r="M425" s="193"/>
    </row>
    <row r="426" spans="2:13">
      <c r="B426" s="205">
        <v>45036</v>
      </c>
      <c r="C426" s="41">
        <v>6</v>
      </c>
      <c r="D426" s="207">
        <v>7</v>
      </c>
      <c r="E426" s="208">
        <v>4269</v>
      </c>
      <c r="F426" s="209">
        <v>4164120</v>
      </c>
      <c r="G426" s="210" t="str">
        <f>IFERROR(IF(ventas_b_mes4[[#This Row],[CUIT]]="","-",VLOOKUP(ventas_b_mes4[[#This Row],[CUIT]],Lista_CUIT[#All],2,0)),"CUIT NO CARGADO")</f>
        <v>CHAMOSA JOSE MARIA</v>
      </c>
      <c r="H426" s="211">
        <v>1140.5</v>
      </c>
      <c r="I426" s="212">
        <f>ventas_b_mes4[[#This Row],[IMPORTE NETO]]*0.21</f>
        <v>239.505</v>
      </c>
      <c r="J426" s="213"/>
      <c r="K426" s="213"/>
      <c r="L426" s="213">
        <f>SUM(ventas_b_mes4[[#This Row],[IMPORTE NETO]:[EXENTO]])</f>
        <v>1380.0050000000001</v>
      </c>
      <c r="M426" s="193"/>
    </row>
    <row r="427" spans="2:13">
      <c r="B427" s="205">
        <v>45036</v>
      </c>
      <c r="C427" s="41">
        <v>6</v>
      </c>
      <c r="D427" s="207">
        <v>5</v>
      </c>
      <c r="E427" s="208">
        <v>7767</v>
      </c>
      <c r="F427" s="209"/>
      <c r="G427" s="210" t="str">
        <f>IFERROR(IF(ventas_b_mes4[[#This Row],[CUIT]]="","-",VLOOKUP(ventas_b_mes4[[#This Row],[CUIT]],Lista_CUIT[#All],2,0)),"CUIT NO CARGADO")</f>
        <v>-</v>
      </c>
      <c r="H427" s="211">
        <v>1983.47</v>
      </c>
      <c r="I427" s="212">
        <f>ventas_b_mes4[[#This Row],[IMPORTE NETO]]*0.21</f>
        <v>416.52870000000001</v>
      </c>
      <c r="J427" s="213"/>
      <c r="K427" s="213"/>
      <c r="L427" s="213">
        <f>SUM(ventas_b_mes4[[#This Row],[IMPORTE NETO]:[EXENTO]])</f>
        <v>2399.9987000000001</v>
      </c>
      <c r="M427" s="193"/>
    </row>
    <row r="428" spans="2:13">
      <c r="B428" s="205">
        <v>45036</v>
      </c>
      <c r="C428" s="41">
        <v>6</v>
      </c>
      <c r="D428" s="207">
        <v>5</v>
      </c>
      <c r="E428" s="208">
        <v>7766</v>
      </c>
      <c r="F428" s="209"/>
      <c r="G428" s="210" t="str">
        <f>IFERROR(IF(ventas_b_mes4[[#This Row],[CUIT]]="","-",VLOOKUP(ventas_b_mes4[[#This Row],[CUIT]],Lista_CUIT[#All],2,0)),"CUIT NO CARGADO")</f>
        <v>-</v>
      </c>
      <c r="H428" s="211">
        <v>3305.79</v>
      </c>
      <c r="I428" s="212">
        <f>ventas_b_mes4[[#This Row],[IMPORTE NETO]]*0.21</f>
        <v>694.21589999999992</v>
      </c>
      <c r="J428" s="213"/>
      <c r="K428" s="213"/>
      <c r="L428" s="213">
        <f>SUM(ventas_b_mes4[[#This Row],[IMPORTE NETO]:[EXENTO]])</f>
        <v>4000.0059000000001</v>
      </c>
      <c r="M428" s="193"/>
    </row>
    <row r="429" spans="2:13">
      <c r="B429" s="205">
        <v>45036</v>
      </c>
      <c r="C429" s="41">
        <v>6</v>
      </c>
      <c r="D429" s="207">
        <v>5</v>
      </c>
      <c r="E429" s="208">
        <v>7768</v>
      </c>
      <c r="F429" s="209"/>
      <c r="G429" s="210" t="str">
        <f>IFERROR(IF(ventas_b_mes4[[#This Row],[CUIT]]="","-",VLOOKUP(ventas_b_mes4[[#This Row],[CUIT]],Lista_CUIT[#All],2,0)),"CUIT NO CARGADO")</f>
        <v>-</v>
      </c>
      <c r="H429" s="211">
        <v>7024.79</v>
      </c>
      <c r="I429" s="212">
        <f>ventas_b_mes4[[#This Row],[IMPORTE NETO]]*0.21</f>
        <v>1475.2058999999999</v>
      </c>
      <c r="J429" s="213"/>
      <c r="K429" s="213"/>
      <c r="L429" s="213">
        <f>SUM(ventas_b_mes4[[#This Row],[IMPORTE NETO]:[EXENTO]])</f>
        <v>8499.9958999999999</v>
      </c>
      <c r="M429" s="193"/>
    </row>
    <row r="430" spans="2:13">
      <c r="B430" s="205">
        <v>45036</v>
      </c>
      <c r="C430" s="41">
        <v>6</v>
      </c>
      <c r="D430" s="207">
        <v>7</v>
      </c>
      <c r="E430" s="208">
        <v>4270</v>
      </c>
      <c r="F430" s="209">
        <v>53588753</v>
      </c>
      <c r="G430" s="210" t="str">
        <f>IFERROR(IF(ventas_b_mes4[[#This Row],[CUIT]]="","-",VLOOKUP(ventas_b_mes4[[#This Row],[CUIT]],Lista_CUIT[#All],2,0)),"CUIT NO CARGADO")</f>
        <v>CUIT NO CARGADO</v>
      </c>
      <c r="H430" s="211">
        <v>7768.6</v>
      </c>
      <c r="I430" s="212">
        <f>ventas_b_mes4[[#This Row],[IMPORTE NETO]]*0.21</f>
        <v>1631.4059999999999</v>
      </c>
      <c r="J430" s="213"/>
      <c r="K430" s="213"/>
      <c r="L430" s="213">
        <f>SUM(ventas_b_mes4[[#This Row],[IMPORTE NETO]:[EXENTO]])</f>
        <v>9400.0060000000012</v>
      </c>
      <c r="M430" s="193"/>
    </row>
    <row r="431" spans="2:13">
      <c r="B431" s="205">
        <v>45036</v>
      </c>
      <c r="C431" s="41">
        <v>6</v>
      </c>
      <c r="D431" s="207">
        <v>7</v>
      </c>
      <c r="E431" s="208">
        <v>4271</v>
      </c>
      <c r="F431" s="209">
        <v>16596298</v>
      </c>
      <c r="G431" s="210" t="str">
        <f>IFERROR(IF(ventas_b_mes4[[#This Row],[CUIT]]="","-",VLOOKUP(ventas_b_mes4[[#This Row],[CUIT]],Lista_CUIT[#All],2,0)),"CUIT NO CARGADO")</f>
        <v>CUIT NO CARGADO</v>
      </c>
      <c r="H431" s="211">
        <v>4132.2299999999996</v>
      </c>
      <c r="I431" s="212">
        <f>ventas_b_mes4[[#This Row],[IMPORTE NETO]]*0.21</f>
        <v>867.76829999999984</v>
      </c>
      <c r="J431" s="213"/>
      <c r="K431" s="213"/>
      <c r="L431" s="213">
        <f>SUM(ventas_b_mes4[[#This Row],[IMPORTE NETO]:[EXENTO]])</f>
        <v>4999.9982999999993</v>
      </c>
      <c r="M431" s="193"/>
    </row>
    <row r="432" spans="2:13">
      <c r="B432" s="205">
        <v>45037</v>
      </c>
      <c r="C432" s="41">
        <v>6</v>
      </c>
      <c r="D432" s="207">
        <v>5</v>
      </c>
      <c r="E432" s="208">
        <v>7769</v>
      </c>
      <c r="F432" s="209"/>
      <c r="G432" s="210" t="str">
        <f>IFERROR(IF(ventas_b_mes4[[#This Row],[CUIT]]="","-",VLOOKUP(ventas_b_mes4[[#This Row],[CUIT]],Lista_CUIT[#All],2,0)),"CUIT NO CARGADO")</f>
        <v>-</v>
      </c>
      <c r="H432" s="211">
        <v>4041.32</v>
      </c>
      <c r="I432" s="212">
        <f>ventas_b_mes4[[#This Row],[IMPORTE NETO]]*0.21</f>
        <v>848.67719999999997</v>
      </c>
      <c r="J432" s="213"/>
      <c r="K432" s="213"/>
      <c r="L432" s="213">
        <f>SUM(ventas_b_mes4[[#This Row],[IMPORTE NETO]:[EXENTO]])</f>
        <v>4889.9971999999998</v>
      </c>
      <c r="M432" s="193"/>
    </row>
    <row r="433" spans="2:13">
      <c r="B433" s="205">
        <v>45037</v>
      </c>
      <c r="C433" s="41">
        <v>6</v>
      </c>
      <c r="D433" s="207">
        <v>5</v>
      </c>
      <c r="E433" s="208">
        <v>7777</v>
      </c>
      <c r="F433" s="209"/>
      <c r="G433" s="210" t="str">
        <f>IFERROR(IF(ventas_b_mes4[[#This Row],[CUIT]]="","-",VLOOKUP(ventas_b_mes4[[#This Row],[CUIT]],Lista_CUIT[#All],2,0)),"CUIT NO CARGADO")</f>
        <v>-</v>
      </c>
      <c r="H433" s="211">
        <v>9752.07</v>
      </c>
      <c r="I433" s="212">
        <f>ventas_b_mes4[[#This Row],[IMPORTE NETO]]*0.21</f>
        <v>2047.9346999999998</v>
      </c>
      <c r="J433" s="213"/>
      <c r="K433" s="213"/>
      <c r="L433" s="213">
        <f>SUM(ventas_b_mes4[[#This Row],[IMPORTE NETO]:[EXENTO]])</f>
        <v>11800.0047</v>
      </c>
      <c r="M433" s="193"/>
    </row>
    <row r="434" spans="2:13">
      <c r="B434" s="205">
        <v>45037</v>
      </c>
      <c r="C434" s="41">
        <v>6</v>
      </c>
      <c r="D434" s="207">
        <v>5</v>
      </c>
      <c r="E434" s="208">
        <v>7773</v>
      </c>
      <c r="F434" s="209"/>
      <c r="G434" s="210" t="str">
        <f>IFERROR(IF(ventas_b_mes4[[#This Row],[CUIT]]="","-",VLOOKUP(ventas_b_mes4[[#This Row],[CUIT]],Lista_CUIT[#All],2,0)),"CUIT NO CARGADO")</f>
        <v>-</v>
      </c>
      <c r="H434" s="211">
        <v>7851.24</v>
      </c>
      <c r="I434" s="212">
        <f>ventas_b_mes4[[#This Row],[IMPORTE NETO]]*0.21</f>
        <v>1648.7603999999999</v>
      </c>
      <c r="J434" s="213"/>
      <c r="K434" s="213"/>
      <c r="L434" s="213">
        <f>SUM(ventas_b_mes4[[#This Row],[IMPORTE NETO]:[EXENTO]])</f>
        <v>9500.000399999999</v>
      </c>
      <c r="M434" s="193"/>
    </row>
    <row r="435" spans="2:13">
      <c r="B435" s="205">
        <v>45037</v>
      </c>
      <c r="C435" s="41">
        <v>6</v>
      </c>
      <c r="D435" s="207">
        <v>7</v>
      </c>
      <c r="E435" s="208">
        <v>4274</v>
      </c>
      <c r="F435" s="209">
        <v>28692323</v>
      </c>
      <c r="G435" s="210" t="str">
        <f>IFERROR(IF(ventas_b_mes4[[#This Row],[CUIT]]="","-",VLOOKUP(ventas_b_mes4[[#This Row],[CUIT]],Lista_CUIT[#All],2,0)),"CUIT NO CARGADO")</f>
        <v>ANDREOTTI, CECILIA</v>
      </c>
      <c r="H435" s="211">
        <v>8285.1299999999992</v>
      </c>
      <c r="I435" s="212">
        <f>ventas_b_mes4[[#This Row],[IMPORTE NETO]]*0.21</f>
        <v>1739.8772999999999</v>
      </c>
      <c r="J435" s="213"/>
      <c r="K435" s="213"/>
      <c r="L435" s="213">
        <f>SUM(ventas_b_mes4[[#This Row],[IMPORTE NETO]:[EXENTO]])</f>
        <v>10025.007299999999</v>
      </c>
      <c r="M435" s="193"/>
    </row>
    <row r="436" spans="2:13">
      <c r="B436" s="205">
        <v>45037</v>
      </c>
      <c r="C436" s="41">
        <v>6</v>
      </c>
      <c r="D436" s="207">
        <v>5</v>
      </c>
      <c r="E436" s="208">
        <v>7778</v>
      </c>
      <c r="F436" s="209"/>
      <c r="G436" s="210" t="str">
        <f>IFERROR(IF(ventas_b_mes4[[#This Row],[CUIT]]="","-",VLOOKUP(ventas_b_mes4[[#This Row],[CUIT]],Lista_CUIT[#All],2,0)),"CUIT NO CARGADO")</f>
        <v>-</v>
      </c>
      <c r="H436" s="211">
        <v>1735.54</v>
      </c>
      <c r="I436" s="212">
        <f>ventas_b_mes4[[#This Row],[IMPORTE NETO]]*0.21</f>
        <v>364.46339999999998</v>
      </c>
      <c r="J436" s="213"/>
      <c r="K436" s="213"/>
      <c r="L436" s="213">
        <f>SUM(ventas_b_mes4[[#This Row],[IMPORTE NETO]:[EXENTO]])</f>
        <v>2100.0034000000001</v>
      </c>
      <c r="M436" s="193"/>
    </row>
    <row r="437" spans="2:13">
      <c r="B437" s="205">
        <v>45037</v>
      </c>
      <c r="C437" s="41">
        <v>6</v>
      </c>
      <c r="D437" s="207">
        <v>5</v>
      </c>
      <c r="E437" s="208">
        <v>7772</v>
      </c>
      <c r="F437" s="209"/>
      <c r="G437" s="210" t="str">
        <f>IFERROR(IF(ventas_b_mes4[[#This Row],[CUIT]]="","-",VLOOKUP(ventas_b_mes4[[#This Row],[CUIT]],Lista_CUIT[#All],2,0)),"CUIT NO CARGADO")</f>
        <v>-</v>
      </c>
      <c r="H437" s="211">
        <v>4545.45</v>
      </c>
      <c r="I437" s="212">
        <f>ventas_b_mes4[[#This Row],[IMPORTE NETO]]*0.21</f>
        <v>954.54449999999997</v>
      </c>
      <c r="J437" s="213"/>
      <c r="K437" s="213"/>
      <c r="L437" s="213">
        <f>SUM(ventas_b_mes4[[#This Row],[IMPORTE NETO]:[EXENTO]])</f>
        <v>5499.9944999999998</v>
      </c>
      <c r="M437" s="193"/>
    </row>
    <row r="438" spans="2:13">
      <c r="B438" s="205">
        <v>45037</v>
      </c>
      <c r="C438" s="41">
        <v>6</v>
      </c>
      <c r="D438" s="207">
        <v>5</v>
      </c>
      <c r="E438" s="208">
        <v>7771</v>
      </c>
      <c r="F438" s="209"/>
      <c r="G438" s="210" t="str">
        <f>IFERROR(IF(ventas_b_mes4[[#This Row],[CUIT]]="","-",VLOOKUP(ventas_b_mes4[[#This Row],[CUIT]],Lista_CUIT[#All],2,0)),"CUIT NO CARGADO")</f>
        <v>-</v>
      </c>
      <c r="H438" s="211">
        <v>3884.3</v>
      </c>
      <c r="I438" s="212">
        <f>ventas_b_mes4[[#This Row],[IMPORTE NETO]]*0.21</f>
        <v>815.70299999999997</v>
      </c>
      <c r="J438" s="213"/>
      <c r="K438" s="213"/>
      <c r="L438" s="213">
        <f>SUM(ventas_b_mes4[[#This Row],[IMPORTE NETO]:[EXENTO]])</f>
        <v>4700.0030000000006</v>
      </c>
      <c r="M438" s="193"/>
    </row>
    <row r="439" spans="2:13">
      <c r="B439" s="205">
        <v>45037</v>
      </c>
      <c r="C439" s="41">
        <v>6</v>
      </c>
      <c r="D439" s="207">
        <v>5</v>
      </c>
      <c r="E439" s="208">
        <v>7775</v>
      </c>
      <c r="F439" s="209"/>
      <c r="G439" s="210" t="str">
        <f>IFERROR(IF(ventas_b_mes4[[#This Row],[CUIT]]="","-",VLOOKUP(ventas_b_mes4[[#This Row],[CUIT]],Lista_CUIT[#All],2,0)),"CUIT NO CARGADO")</f>
        <v>-</v>
      </c>
      <c r="H439" s="211">
        <v>11157.02</v>
      </c>
      <c r="I439" s="212">
        <f>ventas_b_mes4[[#This Row],[IMPORTE NETO]]*0.21</f>
        <v>2342.9742000000001</v>
      </c>
      <c r="J439" s="213"/>
      <c r="K439" s="213"/>
      <c r="L439" s="213">
        <f>SUM(ventas_b_mes4[[#This Row],[IMPORTE NETO]:[EXENTO]])</f>
        <v>13499.994200000001</v>
      </c>
      <c r="M439" s="193"/>
    </row>
    <row r="440" spans="2:13">
      <c r="B440" s="205">
        <v>45037</v>
      </c>
      <c r="C440" s="41">
        <v>6</v>
      </c>
      <c r="D440" s="207">
        <v>7</v>
      </c>
      <c r="E440" s="208">
        <v>4277</v>
      </c>
      <c r="F440" s="209">
        <v>93354584</v>
      </c>
      <c r="G440" s="210" t="str">
        <f>IFERROR(IF(ventas_b_mes4[[#This Row],[CUIT]]="","-",VLOOKUP(ventas_b_mes4[[#This Row],[CUIT]],Lista_CUIT[#All],2,0)),"CUIT NO CARGADO")</f>
        <v>CARUSO LUCIA</v>
      </c>
      <c r="H440" s="211">
        <v>4132.2299999999996</v>
      </c>
      <c r="I440" s="212">
        <f>ventas_b_mes4[[#This Row],[IMPORTE NETO]]*0.21</f>
        <v>867.76829999999984</v>
      </c>
      <c r="J440" s="213"/>
      <c r="K440" s="213"/>
      <c r="L440" s="213">
        <f>SUM(ventas_b_mes4[[#This Row],[IMPORTE NETO]:[EXENTO]])</f>
        <v>4999.9982999999993</v>
      </c>
      <c r="M440" s="193"/>
    </row>
    <row r="441" spans="2:13">
      <c r="B441" s="205">
        <v>45037</v>
      </c>
      <c r="C441" s="41">
        <v>6</v>
      </c>
      <c r="D441" s="207">
        <v>7</v>
      </c>
      <c r="E441" s="208">
        <v>4278</v>
      </c>
      <c r="F441" s="209">
        <v>4648296</v>
      </c>
      <c r="G441" s="210" t="str">
        <f>IFERROR(IF(ventas_b_mes4[[#This Row],[CUIT]]="","-",VLOOKUP(ventas_b_mes4[[#This Row],[CUIT]],Lista_CUIT[#All],2,0)),"CUIT NO CARGADO")</f>
        <v>RAQUEL TURAÑONA</v>
      </c>
      <c r="H441" s="211">
        <v>4132.2299999999996</v>
      </c>
      <c r="I441" s="212">
        <f>ventas_b_mes4[[#This Row],[IMPORTE NETO]]*0.21</f>
        <v>867.76829999999984</v>
      </c>
      <c r="J441" s="213"/>
      <c r="K441" s="213"/>
      <c r="L441" s="213">
        <f>SUM(ventas_b_mes4[[#This Row],[IMPORTE NETO]:[EXENTO]])</f>
        <v>4999.9982999999993</v>
      </c>
      <c r="M441" s="193"/>
    </row>
    <row r="442" spans="2:13">
      <c r="B442" s="205">
        <v>45037</v>
      </c>
      <c r="C442" s="41">
        <v>6</v>
      </c>
      <c r="D442" s="207">
        <v>5</v>
      </c>
      <c r="E442" s="208">
        <v>7779</v>
      </c>
      <c r="F442" s="209"/>
      <c r="G442" s="210" t="str">
        <f>IFERROR(IF(ventas_b_mes4[[#This Row],[CUIT]]="","-",VLOOKUP(ventas_b_mes4[[#This Row],[CUIT]],Lista_CUIT[#All],2,0)),"CUIT NO CARGADO")</f>
        <v>-</v>
      </c>
      <c r="H442" s="211">
        <v>3884.3</v>
      </c>
      <c r="I442" s="212">
        <f>ventas_b_mes4[[#This Row],[IMPORTE NETO]]*0.21</f>
        <v>815.70299999999997</v>
      </c>
      <c r="J442" s="213"/>
      <c r="K442" s="213"/>
      <c r="L442" s="213">
        <f>SUM(ventas_b_mes4[[#This Row],[IMPORTE NETO]:[EXENTO]])</f>
        <v>4700.0030000000006</v>
      </c>
      <c r="M442" s="193"/>
    </row>
    <row r="443" spans="2:13">
      <c r="B443" s="205">
        <v>45037</v>
      </c>
      <c r="C443" s="41">
        <v>6</v>
      </c>
      <c r="D443" s="207">
        <v>5</v>
      </c>
      <c r="E443" s="208">
        <v>7770</v>
      </c>
      <c r="F443" s="209"/>
      <c r="G443" s="210" t="str">
        <f>IFERROR(IF(ventas_b_mes4[[#This Row],[CUIT]]="","-",VLOOKUP(ventas_b_mes4[[#This Row],[CUIT]],Lista_CUIT[#All],2,0)),"CUIT NO CARGADO")</f>
        <v>-</v>
      </c>
      <c r="H443" s="211">
        <v>2413.2199999999998</v>
      </c>
      <c r="I443" s="212">
        <f>ventas_b_mes4[[#This Row],[IMPORTE NETO]]*0.21</f>
        <v>506.77619999999996</v>
      </c>
      <c r="J443" s="213"/>
      <c r="K443" s="213"/>
      <c r="L443" s="213">
        <f>SUM(ventas_b_mes4[[#This Row],[IMPORTE NETO]:[EXENTO]])</f>
        <v>2919.9961999999996</v>
      </c>
      <c r="M443" s="193"/>
    </row>
    <row r="444" spans="2:13">
      <c r="B444" s="205">
        <v>45037</v>
      </c>
      <c r="C444" s="41">
        <v>6</v>
      </c>
      <c r="D444" s="207">
        <v>7</v>
      </c>
      <c r="E444" s="208">
        <v>4275</v>
      </c>
      <c r="F444" s="209"/>
      <c r="G444" s="210" t="str">
        <f>IFERROR(IF(ventas_b_mes4[[#This Row],[CUIT]]="","-",VLOOKUP(ventas_b_mes4[[#This Row],[CUIT]],Lista_CUIT[#All],2,0)),"CUIT NO CARGADO")</f>
        <v>-</v>
      </c>
      <c r="H444" s="211">
        <v>18446.28</v>
      </c>
      <c r="I444" s="212">
        <f>ventas_b_mes4[[#This Row],[IMPORTE NETO]]*0.21</f>
        <v>3873.7187999999996</v>
      </c>
      <c r="J444" s="213"/>
      <c r="K444" s="213"/>
      <c r="L444" s="213">
        <f>SUM(ventas_b_mes4[[#This Row],[IMPORTE NETO]:[EXENTO]])</f>
        <v>22319.998799999998</v>
      </c>
      <c r="M444" s="193"/>
    </row>
    <row r="445" spans="2:13">
      <c r="B445" s="205">
        <v>45037</v>
      </c>
      <c r="C445" s="41">
        <v>6</v>
      </c>
      <c r="D445" s="207">
        <v>5</v>
      </c>
      <c r="E445" s="208">
        <v>7776</v>
      </c>
      <c r="F445" s="209"/>
      <c r="G445" s="210" t="str">
        <f>IFERROR(IF(ventas_b_mes4[[#This Row],[CUIT]]="","-",VLOOKUP(ventas_b_mes4[[#This Row],[CUIT]],Lista_CUIT[#All],2,0)),"CUIT NO CARGADO")</f>
        <v>-</v>
      </c>
      <c r="H445" s="211">
        <v>4876.03</v>
      </c>
      <c r="I445" s="212">
        <f>ventas_b_mes4[[#This Row],[IMPORTE NETO]]*0.21</f>
        <v>1023.9662999999999</v>
      </c>
      <c r="J445" s="213"/>
      <c r="K445" s="213"/>
      <c r="L445" s="213">
        <f>SUM(ventas_b_mes4[[#This Row],[IMPORTE NETO]:[EXENTO]])</f>
        <v>5899.9962999999998</v>
      </c>
      <c r="M445" s="193"/>
    </row>
    <row r="446" spans="2:13">
      <c r="B446" s="205">
        <v>45037</v>
      </c>
      <c r="C446" s="41">
        <v>6</v>
      </c>
      <c r="D446" s="207">
        <v>7</v>
      </c>
      <c r="E446" s="208">
        <v>4276</v>
      </c>
      <c r="F446" s="209">
        <v>92316435</v>
      </c>
      <c r="G446" s="210" t="str">
        <f>IFERROR(IF(ventas_b_mes4[[#This Row],[CUIT]]="","-",VLOOKUP(ventas_b_mes4[[#This Row],[CUIT]],Lista_CUIT[#All],2,0)),"CUIT NO CARGADO")</f>
        <v>GLORIA FULLGRAFF</v>
      </c>
      <c r="H446" s="211">
        <v>5785.12</v>
      </c>
      <c r="I446" s="212">
        <f>ventas_b_mes4[[#This Row],[IMPORTE NETO]]*0.21</f>
        <v>1214.8751999999999</v>
      </c>
      <c r="J446" s="213"/>
      <c r="K446" s="213"/>
      <c r="L446" s="213">
        <f>SUM(ventas_b_mes4[[#This Row],[IMPORTE NETO]:[EXENTO]])</f>
        <v>6999.9951999999994</v>
      </c>
      <c r="M446" s="193"/>
    </row>
    <row r="447" spans="2:13">
      <c r="B447" s="205">
        <v>45037</v>
      </c>
      <c r="C447" s="41">
        <v>6</v>
      </c>
      <c r="D447" s="207">
        <v>7</v>
      </c>
      <c r="E447" s="208">
        <v>4273</v>
      </c>
      <c r="F447" s="209">
        <v>14123802</v>
      </c>
      <c r="G447" s="210" t="str">
        <f>IFERROR(IF(ventas_b_mes4[[#This Row],[CUIT]]="","-",VLOOKUP(ventas_b_mes4[[#This Row],[CUIT]],Lista_CUIT[#All],2,0)),"CUIT NO CARGADO")</f>
        <v>Schelgel, Luis Alberto</v>
      </c>
      <c r="H447" s="211">
        <v>3719.01</v>
      </c>
      <c r="I447" s="212">
        <f>ventas_b_mes4[[#This Row],[IMPORTE NETO]]*0.21</f>
        <v>780.99210000000005</v>
      </c>
      <c r="J447" s="213"/>
      <c r="K447" s="213"/>
      <c r="L447" s="213">
        <f>SUM(ventas_b_mes4[[#This Row],[IMPORTE NETO]:[EXENTO]])</f>
        <v>4500.0021000000006</v>
      </c>
      <c r="M447" s="193"/>
    </row>
    <row r="448" spans="2:13">
      <c r="B448" s="205">
        <v>45037</v>
      </c>
      <c r="C448" s="41">
        <v>6</v>
      </c>
      <c r="D448" s="207">
        <v>7</v>
      </c>
      <c r="E448" s="208">
        <v>4272</v>
      </c>
      <c r="F448" s="209">
        <v>30590354798</v>
      </c>
      <c r="G448" s="210" t="str">
        <f>IFERROR(IF(ventas_b_mes4[[#This Row],[CUIT]]="","-",VLOOKUP(ventas_b_mes4[[#This Row],[CUIT]],Lista_CUIT[#All],2,0)),"CUIT NO CARGADO")</f>
        <v>ASOC. MUTUAL SANCOR SALUD</v>
      </c>
      <c r="H448" s="211">
        <v>105785.12</v>
      </c>
      <c r="I448" s="212">
        <f>ventas_b_mes4[[#This Row],[IMPORTE NETO]]*0.21</f>
        <v>22214.875199999999</v>
      </c>
      <c r="J448" s="213"/>
      <c r="K448" s="213"/>
      <c r="L448" s="213">
        <f>SUM(ventas_b_mes4[[#This Row],[IMPORTE NETO]:[EXENTO]])</f>
        <v>127999.99519999999</v>
      </c>
      <c r="M448" s="193"/>
    </row>
    <row r="449" spans="2:13">
      <c r="B449" s="205">
        <v>45037</v>
      </c>
      <c r="C449" s="41">
        <v>6</v>
      </c>
      <c r="D449" s="207">
        <v>5</v>
      </c>
      <c r="E449" s="208">
        <v>7774</v>
      </c>
      <c r="F449" s="209"/>
      <c r="G449" s="210" t="str">
        <f>IFERROR(IF(ventas_b_mes4[[#This Row],[CUIT]]="","-",VLOOKUP(ventas_b_mes4[[#This Row],[CUIT]],Lista_CUIT[#All],2,0)),"CUIT NO CARGADO")</f>
        <v>-</v>
      </c>
      <c r="H449" s="211">
        <v>3305.79</v>
      </c>
      <c r="I449" s="212">
        <f>ventas_b_mes4[[#This Row],[IMPORTE NETO]]*0.21</f>
        <v>694.21589999999992</v>
      </c>
      <c r="J449" s="213"/>
      <c r="K449" s="213"/>
      <c r="L449" s="213">
        <f>SUM(ventas_b_mes4[[#This Row],[IMPORTE NETO]:[EXENTO]])</f>
        <v>4000.0059000000001</v>
      </c>
      <c r="M449" s="193"/>
    </row>
    <row r="450" spans="2:13">
      <c r="B450" s="205">
        <v>45040</v>
      </c>
      <c r="C450" s="41">
        <v>6</v>
      </c>
      <c r="D450" s="207">
        <v>7</v>
      </c>
      <c r="E450" s="208">
        <v>4279</v>
      </c>
      <c r="F450" s="209">
        <v>5289939</v>
      </c>
      <c r="G450" s="210" t="str">
        <f>IFERROR(IF(ventas_b_mes4[[#This Row],[CUIT]]="","-",VLOOKUP(ventas_b_mes4[[#This Row],[CUIT]],Lista_CUIT[#All],2,0)),"CUIT NO CARGADO")</f>
        <v>GRACIELA NORMA GUIET</v>
      </c>
      <c r="H450" s="211">
        <v>1652.9</v>
      </c>
      <c r="I450" s="212">
        <f>ventas_b_mes4[[#This Row],[IMPORTE NETO]]*0.21</f>
        <v>347.10899999999998</v>
      </c>
      <c r="J450" s="213"/>
      <c r="K450" s="213"/>
      <c r="L450" s="213">
        <f>SUM(ventas_b_mes4[[#This Row],[IMPORTE NETO]:[EXENTO]])</f>
        <v>2000.009</v>
      </c>
      <c r="M450" s="193"/>
    </row>
    <row r="451" spans="2:13">
      <c r="B451" s="205">
        <v>45040</v>
      </c>
      <c r="C451" s="41">
        <v>6</v>
      </c>
      <c r="D451" s="207">
        <v>5</v>
      </c>
      <c r="E451" s="208">
        <v>7783</v>
      </c>
      <c r="F451" s="209"/>
      <c r="G451" s="210" t="str">
        <f>IFERROR(IF(ventas_b_mes4[[#This Row],[CUIT]]="","-",VLOOKUP(ventas_b_mes4[[#This Row],[CUIT]],Lista_CUIT[#All],2,0)),"CUIT NO CARGADO")</f>
        <v>-</v>
      </c>
      <c r="H451" s="211">
        <v>3471.07</v>
      </c>
      <c r="I451" s="212">
        <f>ventas_b_mes4[[#This Row],[IMPORTE NETO]]*0.21</f>
        <v>728.92470000000003</v>
      </c>
      <c r="J451" s="213"/>
      <c r="K451" s="213"/>
      <c r="L451" s="213">
        <f>SUM(ventas_b_mes4[[#This Row],[IMPORTE NETO]:[EXENTO]])</f>
        <v>4199.9947000000002</v>
      </c>
      <c r="M451" s="193"/>
    </row>
    <row r="452" spans="2:13">
      <c r="B452" s="205">
        <v>45040</v>
      </c>
      <c r="C452" s="41">
        <v>6</v>
      </c>
      <c r="D452" s="207">
        <v>7</v>
      </c>
      <c r="E452" s="208">
        <v>4282</v>
      </c>
      <c r="F452" s="209"/>
      <c r="G452" s="210" t="str">
        <f>IFERROR(IF(ventas_b_mes4[[#This Row],[CUIT]]="","-",VLOOKUP(ventas_b_mes4[[#This Row],[CUIT]],Lista_CUIT[#All],2,0)),"CUIT NO CARGADO")</f>
        <v>-</v>
      </c>
      <c r="H452" s="211">
        <v>4545.45</v>
      </c>
      <c r="I452" s="212">
        <f>ventas_b_mes4[[#This Row],[IMPORTE NETO]]*0.21</f>
        <v>954.54449999999997</v>
      </c>
      <c r="J452" s="213"/>
      <c r="K452" s="213"/>
      <c r="L452" s="213">
        <f>SUM(ventas_b_mes4[[#This Row],[IMPORTE NETO]:[EXENTO]])</f>
        <v>5499.9944999999998</v>
      </c>
      <c r="M452" s="193"/>
    </row>
    <row r="453" spans="2:13">
      <c r="B453" s="205">
        <v>45040</v>
      </c>
      <c r="C453" s="41">
        <v>6</v>
      </c>
      <c r="D453" s="207">
        <v>7</v>
      </c>
      <c r="E453" s="208">
        <v>4283</v>
      </c>
      <c r="F453" s="209">
        <v>12791306</v>
      </c>
      <c r="G453" s="210" t="str">
        <f>IFERROR(IF(ventas_b_mes4[[#This Row],[CUIT]]="","-",VLOOKUP(ventas_b_mes4[[#This Row],[CUIT]],Lista_CUIT[#All],2,0)),"CUIT NO CARGADO")</f>
        <v>MINERVINI, MARIA DEL CARMEN LILIANA</v>
      </c>
      <c r="H453" s="211">
        <v>7438.02</v>
      </c>
      <c r="I453" s="212">
        <f>ventas_b_mes4[[#This Row],[IMPORTE NETO]]*0.21</f>
        <v>1561.9842000000001</v>
      </c>
      <c r="J453" s="213"/>
      <c r="K453" s="213"/>
      <c r="L453" s="213">
        <f>SUM(ventas_b_mes4[[#This Row],[IMPORTE NETO]:[EXENTO]])</f>
        <v>9000.0042000000012</v>
      </c>
      <c r="M453" s="193"/>
    </row>
    <row r="454" spans="2:13">
      <c r="B454" s="205">
        <v>45040</v>
      </c>
      <c r="C454" s="41">
        <v>6</v>
      </c>
      <c r="D454" s="207">
        <v>5</v>
      </c>
      <c r="E454" s="208">
        <v>7782</v>
      </c>
      <c r="F454" s="209"/>
      <c r="G454" s="210" t="str">
        <f>IFERROR(IF(ventas_b_mes4[[#This Row],[CUIT]]="","-",VLOOKUP(ventas_b_mes4[[#This Row],[CUIT]],Lista_CUIT[#All],2,0)),"CUIT NO CARGADO")</f>
        <v>-</v>
      </c>
      <c r="H454" s="211">
        <v>2066.12</v>
      </c>
      <c r="I454" s="212">
        <f>ventas_b_mes4[[#This Row],[IMPORTE NETO]]*0.21</f>
        <v>433.88519999999994</v>
      </c>
      <c r="J454" s="213"/>
      <c r="K454" s="213"/>
      <c r="L454" s="213">
        <f>SUM(ventas_b_mes4[[#This Row],[IMPORTE NETO]:[EXENTO]])</f>
        <v>2500.0051999999996</v>
      </c>
      <c r="M454" s="193"/>
    </row>
    <row r="455" spans="2:13">
      <c r="B455" s="205">
        <v>45040</v>
      </c>
      <c r="C455" s="41">
        <v>6</v>
      </c>
      <c r="D455" s="207">
        <v>7</v>
      </c>
      <c r="E455" s="208">
        <v>4280</v>
      </c>
      <c r="F455" s="209">
        <v>5289939</v>
      </c>
      <c r="G455" s="210" t="str">
        <f>IFERROR(IF(ventas_b_mes4[[#This Row],[CUIT]]="","-",VLOOKUP(ventas_b_mes4[[#This Row],[CUIT]],Lista_CUIT[#All],2,0)),"CUIT NO CARGADO")</f>
        <v>GRACIELA NORMA GUIET</v>
      </c>
      <c r="H455" s="211">
        <v>2479.34</v>
      </c>
      <c r="I455" s="212">
        <f>ventas_b_mes4[[#This Row],[IMPORTE NETO]]*0.21</f>
        <v>520.66139999999996</v>
      </c>
      <c r="J455" s="213"/>
      <c r="K455" s="213"/>
      <c r="L455" s="213">
        <f>SUM(ventas_b_mes4[[#This Row],[IMPORTE NETO]:[EXENTO]])</f>
        <v>3000.0014000000001</v>
      </c>
      <c r="M455" s="193"/>
    </row>
    <row r="456" spans="2:13">
      <c r="B456" s="205">
        <v>45040</v>
      </c>
      <c r="C456" s="41">
        <v>6</v>
      </c>
      <c r="D456" s="207">
        <v>5</v>
      </c>
      <c r="E456" s="208">
        <v>7787</v>
      </c>
      <c r="F456" s="209"/>
      <c r="G456" s="210" t="str">
        <f>IFERROR(IF(ventas_b_mes4[[#This Row],[CUIT]]="","-",VLOOKUP(ventas_b_mes4[[#This Row],[CUIT]],Lista_CUIT[#All],2,0)),"CUIT NO CARGADO")</f>
        <v>-</v>
      </c>
      <c r="H456" s="211">
        <v>4132.2299999999996</v>
      </c>
      <c r="I456" s="212">
        <f>ventas_b_mes4[[#This Row],[IMPORTE NETO]]*0.21</f>
        <v>867.76829999999984</v>
      </c>
      <c r="J456" s="213"/>
      <c r="K456" s="213"/>
      <c r="L456" s="213">
        <f>SUM(ventas_b_mes4[[#This Row],[IMPORTE NETO]:[EXENTO]])</f>
        <v>4999.9982999999993</v>
      </c>
      <c r="M456" s="193"/>
    </row>
    <row r="457" spans="2:13">
      <c r="B457" s="205">
        <v>45040</v>
      </c>
      <c r="C457" s="41">
        <v>6</v>
      </c>
      <c r="D457" s="207">
        <v>5</v>
      </c>
      <c r="E457" s="208">
        <v>7789</v>
      </c>
      <c r="F457" s="209"/>
      <c r="G457" s="210" t="str">
        <f>IFERROR(IF(ventas_b_mes4[[#This Row],[CUIT]]="","-",VLOOKUP(ventas_b_mes4[[#This Row],[CUIT]],Lista_CUIT[#All],2,0)),"CUIT NO CARGADO")</f>
        <v>-</v>
      </c>
      <c r="H457" s="211">
        <v>5619.83</v>
      </c>
      <c r="I457" s="212">
        <f>ventas_b_mes4[[#This Row],[IMPORTE NETO]]*0.21</f>
        <v>1180.1642999999999</v>
      </c>
      <c r="J457" s="213"/>
      <c r="K457" s="213"/>
      <c r="L457" s="213">
        <f>SUM(ventas_b_mes4[[#This Row],[IMPORTE NETO]:[EXENTO]])</f>
        <v>6799.9943000000003</v>
      </c>
      <c r="M457" s="193"/>
    </row>
    <row r="458" spans="2:13">
      <c r="B458" s="205">
        <v>45040</v>
      </c>
      <c r="C458" s="41">
        <v>6</v>
      </c>
      <c r="D458" s="207">
        <v>5</v>
      </c>
      <c r="E458" s="208">
        <v>7780</v>
      </c>
      <c r="F458" s="209"/>
      <c r="G458" s="210" t="str">
        <f>IFERROR(IF(ventas_b_mes4[[#This Row],[CUIT]]="","-",VLOOKUP(ventas_b_mes4[[#This Row],[CUIT]],Lista_CUIT[#All],2,0)),"CUIT NO CARGADO")</f>
        <v>-</v>
      </c>
      <c r="H458" s="211">
        <v>7851.24</v>
      </c>
      <c r="I458" s="212">
        <f>ventas_b_mes4[[#This Row],[IMPORTE NETO]]*0.21</f>
        <v>1648.7603999999999</v>
      </c>
      <c r="J458" s="213"/>
      <c r="K458" s="213"/>
      <c r="L458" s="213">
        <f>SUM(ventas_b_mes4[[#This Row],[IMPORTE NETO]:[EXENTO]])</f>
        <v>9500.000399999999</v>
      </c>
      <c r="M458" s="193"/>
    </row>
    <row r="459" spans="2:13">
      <c r="B459" s="205">
        <v>45040</v>
      </c>
      <c r="C459" s="41">
        <v>6</v>
      </c>
      <c r="D459" s="207">
        <v>5</v>
      </c>
      <c r="E459" s="208">
        <v>7781</v>
      </c>
      <c r="F459" s="209"/>
      <c r="G459" s="210" t="str">
        <f>IFERROR(IF(ventas_b_mes4[[#This Row],[CUIT]]="","-",VLOOKUP(ventas_b_mes4[[#This Row],[CUIT]],Lista_CUIT[#All],2,0)),"CUIT NO CARGADO")</f>
        <v>-</v>
      </c>
      <c r="H459" s="211">
        <v>2396.69</v>
      </c>
      <c r="I459" s="212">
        <f>ventas_b_mes4[[#This Row],[IMPORTE NETO]]*0.21</f>
        <v>503.30489999999998</v>
      </c>
      <c r="J459" s="213"/>
      <c r="K459" s="213"/>
      <c r="L459" s="213">
        <f>SUM(ventas_b_mes4[[#This Row],[IMPORTE NETO]:[EXENTO]])</f>
        <v>2899.9949000000001</v>
      </c>
      <c r="M459" s="193"/>
    </row>
    <row r="460" spans="2:13">
      <c r="B460" s="205">
        <v>45040</v>
      </c>
      <c r="C460" s="41">
        <v>6</v>
      </c>
      <c r="D460" s="207">
        <v>5</v>
      </c>
      <c r="E460" s="208">
        <v>7785</v>
      </c>
      <c r="F460" s="209"/>
      <c r="G460" s="210" t="str">
        <f>IFERROR(IF(ventas_b_mes4[[#This Row],[CUIT]]="","-",VLOOKUP(ventas_b_mes4[[#This Row],[CUIT]],Lista_CUIT[#All],2,0)),"CUIT NO CARGADO")</f>
        <v>-</v>
      </c>
      <c r="H460" s="211">
        <v>3636.36</v>
      </c>
      <c r="I460" s="212">
        <f>ventas_b_mes4[[#This Row],[IMPORTE NETO]]*0.21</f>
        <v>763.63559999999995</v>
      </c>
      <c r="J460" s="213"/>
      <c r="K460" s="213"/>
      <c r="L460" s="213">
        <f>SUM(ventas_b_mes4[[#This Row],[IMPORTE NETO]:[EXENTO]])</f>
        <v>4399.9956000000002</v>
      </c>
      <c r="M460" s="193"/>
    </row>
    <row r="461" spans="2:13">
      <c r="B461" s="205">
        <v>45040</v>
      </c>
      <c r="C461" s="41">
        <v>6</v>
      </c>
      <c r="D461" s="207">
        <v>7</v>
      </c>
      <c r="E461" s="208">
        <v>4281</v>
      </c>
      <c r="F461" s="209">
        <v>4702938</v>
      </c>
      <c r="G461" s="210" t="str">
        <f>IFERROR(IF(ventas_b_mes4[[#This Row],[CUIT]]="","-",VLOOKUP(ventas_b_mes4[[#This Row],[CUIT]],Lista_CUIT[#All],2,0)),"CUIT NO CARGADO")</f>
        <v>BARATTINI, CESAR RUBEN</v>
      </c>
      <c r="H461" s="211">
        <v>11983.48</v>
      </c>
      <c r="I461" s="212">
        <f>ventas_b_mes4[[#This Row],[IMPORTE NETO]]*0.21</f>
        <v>2516.5308</v>
      </c>
      <c r="J461" s="213"/>
      <c r="K461" s="213"/>
      <c r="L461" s="213">
        <f>SUM(ventas_b_mes4[[#This Row],[IMPORTE NETO]:[EXENTO]])</f>
        <v>14500.0108</v>
      </c>
      <c r="M461" s="193"/>
    </row>
    <row r="462" spans="2:13">
      <c r="B462" s="205">
        <v>45040</v>
      </c>
      <c r="C462" s="41">
        <v>6</v>
      </c>
      <c r="D462" s="207">
        <v>5</v>
      </c>
      <c r="E462" s="208">
        <v>7786</v>
      </c>
      <c r="F462" s="209"/>
      <c r="G462" s="210" t="str">
        <f>IFERROR(IF(ventas_b_mes4[[#This Row],[CUIT]]="","-",VLOOKUP(ventas_b_mes4[[#This Row],[CUIT]],Lista_CUIT[#All],2,0)),"CUIT NO CARGADO")</f>
        <v>-</v>
      </c>
      <c r="H462" s="211">
        <v>2231.4</v>
      </c>
      <c r="I462" s="212">
        <f>ventas_b_mes4[[#This Row],[IMPORTE NETO]]*0.21</f>
        <v>468.59399999999999</v>
      </c>
      <c r="J462" s="213"/>
      <c r="K462" s="213"/>
      <c r="L462" s="213">
        <f>SUM(ventas_b_mes4[[#This Row],[IMPORTE NETO]:[EXENTO]])</f>
        <v>2699.9940000000001</v>
      </c>
      <c r="M462" s="193"/>
    </row>
    <row r="463" spans="2:13">
      <c r="B463" s="205">
        <v>45040</v>
      </c>
      <c r="C463" s="41">
        <v>6</v>
      </c>
      <c r="D463" s="207">
        <v>5</v>
      </c>
      <c r="E463" s="208">
        <v>7788</v>
      </c>
      <c r="F463" s="209"/>
      <c r="G463" s="210" t="str">
        <f>IFERROR(IF(ventas_b_mes4[[#This Row],[CUIT]]="","-",VLOOKUP(ventas_b_mes4[[#This Row],[CUIT]],Lista_CUIT[#All],2,0)),"CUIT NO CARGADO")</f>
        <v>-</v>
      </c>
      <c r="H463" s="211">
        <v>12809.91</v>
      </c>
      <c r="I463" s="212">
        <f>ventas_b_mes4[[#This Row],[IMPORTE NETO]]*0.21</f>
        <v>2690.0810999999999</v>
      </c>
      <c r="J463" s="213"/>
      <c r="K463" s="213"/>
      <c r="L463" s="213">
        <f>SUM(ventas_b_mes4[[#This Row],[IMPORTE NETO]:[EXENTO]])</f>
        <v>15499.991099999999</v>
      </c>
      <c r="M463" s="193"/>
    </row>
    <row r="464" spans="2:13">
      <c r="B464" s="205">
        <v>45040</v>
      </c>
      <c r="C464" s="41">
        <v>6</v>
      </c>
      <c r="D464" s="207">
        <v>5</v>
      </c>
      <c r="E464" s="208">
        <v>7784</v>
      </c>
      <c r="F464" s="209"/>
      <c r="G464" s="210" t="str">
        <f>IFERROR(IF(ventas_b_mes4[[#This Row],[CUIT]]="","-",VLOOKUP(ventas_b_mes4[[#This Row],[CUIT]],Lista_CUIT[#All],2,0)),"CUIT NO CARGADO")</f>
        <v>-</v>
      </c>
      <c r="H464" s="211">
        <v>1619.83</v>
      </c>
      <c r="I464" s="212">
        <f>ventas_b_mes4[[#This Row],[IMPORTE NETO]]*0.21</f>
        <v>340.16429999999997</v>
      </c>
      <c r="J464" s="213"/>
      <c r="K464" s="213"/>
      <c r="L464" s="213">
        <f>SUM(ventas_b_mes4[[#This Row],[IMPORTE NETO]:[EXENTO]])</f>
        <v>1959.9942999999998</v>
      </c>
      <c r="M464" s="193"/>
    </row>
    <row r="465" spans="2:13">
      <c r="B465" s="205">
        <v>45040</v>
      </c>
      <c r="C465" s="41">
        <v>6</v>
      </c>
      <c r="D465" s="207">
        <v>5</v>
      </c>
      <c r="E465" s="208">
        <v>7791</v>
      </c>
      <c r="F465" s="209"/>
      <c r="G465" s="210" t="str">
        <f>IFERROR(IF(ventas_b_mes4[[#This Row],[CUIT]]="","-",VLOOKUP(ventas_b_mes4[[#This Row],[CUIT]],Lista_CUIT[#All],2,0)),"CUIT NO CARGADO")</f>
        <v>-</v>
      </c>
      <c r="H465" s="211">
        <v>9504.1299999999992</v>
      </c>
      <c r="I465" s="212">
        <f>ventas_b_mes4[[#This Row],[IMPORTE NETO]]*0.21</f>
        <v>1995.8672999999997</v>
      </c>
      <c r="J465" s="213"/>
      <c r="K465" s="213"/>
      <c r="L465" s="213">
        <f>SUM(ventas_b_mes4[[#This Row],[IMPORTE NETO]:[EXENTO]])</f>
        <v>11499.997299999999</v>
      </c>
      <c r="M465" s="193"/>
    </row>
    <row r="466" spans="2:13">
      <c r="B466" s="205">
        <v>45040</v>
      </c>
      <c r="C466" s="41">
        <v>6</v>
      </c>
      <c r="D466" s="207">
        <v>5</v>
      </c>
      <c r="E466" s="208">
        <v>7790</v>
      </c>
      <c r="F466" s="209"/>
      <c r="G466" s="210" t="str">
        <f>IFERROR(IF(ventas_b_mes4[[#This Row],[CUIT]]="","-",VLOOKUP(ventas_b_mes4[[#This Row],[CUIT]],Lista_CUIT[#All],2,0)),"CUIT NO CARGADO")</f>
        <v>-</v>
      </c>
      <c r="H466" s="211">
        <v>5785.12</v>
      </c>
      <c r="I466" s="212">
        <f>ventas_b_mes4[[#This Row],[IMPORTE NETO]]*0.21</f>
        <v>1214.8751999999999</v>
      </c>
      <c r="J466" s="213"/>
      <c r="K466" s="213"/>
      <c r="L466" s="213">
        <f>SUM(ventas_b_mes4[[#This Row],[IMPORTE NETO]:[EXENTO]])</f>
        <v>6999.9951999999994</v>
      </c>
      <c r="M466" s="193"/>
    </row>
    <row r="467" spans="2:13">
      <c r="B467" s="205">
        <v>45041</v>
      </c>
      <c r="C467" s="41">
        <v>6</v>
      </c>
      <c r="D467" s="207">
        <v>5</v>
      </c>
      <c r="E467" s="208">
        <v>7796</v>
      </c>
      <c r="F467" s="209"/>
      <c r="G467" s="210" t="str">
        <f>IFERROR(IF(ventas_b_mes4[[#This Row],[CUIT]]="","-",VLOOKUP(ventas_b_mes4[[#This Row],[CUIT]],Lista_CUIT[#All],2,0)),"CUIT NO CARGADO")</f>
        <v>-</v>
      </c>
      <c r="H467" s="211">
        <v>4338.84</v>
      </c>
      <c r="I467" s="212">
        <f>ventas_b_mes4[[#This Row],[IMPORTE NETO]]*0.21</f>
        <v>911.15639999999996</v>
      </c>
      <c r="J467" s="213"/>
      <c r="K467" s="213"/>
      <c r="L467" s="213">
        <f>SUM(ventas_b_mes4[[#This Row],[IMPORTE NETO]:[EXENTO]])</f>
        <v>5249.9964</v>
      </c>
      <c r="M467" s="193"/>
    </row>
    <row r="468" spans="2:13">
      <c r="B468" s="205">
        <v>45041</v>
      </c>
      <c r="C468" s="41">
        <v>6</v>
      </c>
      <c r="D468" s="207">
        <v>5</v>
      </c>
      <c r="E468" s="208">
        <v>7794</v>
      </c>
      <c r="F468" s="209"/>
      <c r="G468" s="210" t="str">
        <f>IFERROR(IF(ventas_b_mes4[[#This Row],[CUIT]]="","-",VLOOKUP(ventas_b_mes4[[#This Row],[CUIT]],Lista_CUIT[#All],2,0)),"CUIT NO CARGADO")</f>
        <v>-</v>
      </c>
      <c r="H468" s="211">
        <v>2892.56</v>
      </c>
      <c r="I468" s="212">
        <f>ventas_b_mes4[[#This Row],[IMPORTE NETO]]*0.21</f>
        <v>607.43759999999997</v>
      </c>
      <c r="J468" s="213"/>
      <c r="K468" s="213"/>
      <c r="L468" s="213">
        <f>SUM(ventas_b_mes4[[#This Row],[IMPORTE NETO]:[EXENTO]])</f>
        <v>3499.9975999999997</v>
      </c>
      <c r="M468" s="193"/>
    </row>
    <row r="469" spans="2:13">
      <c r="B469" s="205">
        <v>45041</v>
      </c>
      <c r="C469" s="41">
        <v>6</v>
      </c>
      <c r="D469" s="207">
        <v>7</v>
      </c>
      <c r="E469" s="208">
        <v>4288</v>
      </c>
      <c r="F469" s="209"/>
      <c r="G469" s="210" t="str">
        <f>IFERROR(IF(ventas_b_mes4[[#This Row],[CUIT]]="","-",VLOOKUP(ventas_b_mes4[[#This Row],[CUIT]],Lista_CUIT[#All],2,0)),"CUIT NO CARGADO")</f>
        <v>-</v>
      </c>
      <c r="H469" s="211">
        <v>4628.1000000000004</v>
      </c>
      <c r="I469" s="212">
        <f>ventas_b_mes4[[#This Row],[IMPORTE NETO]]*0.21</f>
        <v>971.90100000000007</v>
      </c>
      <c r="J469" s="213"/>
      <c r="K469" s="213"/>
      <c r="L469" s="213">
        <f>SUM(ventas_b_mes4[[#This Row],[IMPORTE NETO]:[EXENTO]])</f>
        <v>5600.0010000000002</v>
      </c>
      <c r="M469" s="193"/>
    </row>
    <row r="470" spans="2:13">
      <c r="B470" s="205">
        <v>45041</v>
      </c>
      <c r="C470" s="41">
        <v>6</v>
      </c>
      <c r="D470" s="207">
        <v>7</v>
      </c>
      <c r="E470" s="208">
        <v>4294</v>
      </c>
      <c r="F470" s="209">
        <v>30590354798</v>
      </c>
      <c r="G470" s="210" t="str">
        <f>IFERROR(IF(ventas_b_mes4[[#This Row],[CUIT]]="","-",VLOOKUP(ventas_b_mes4[[#This Row],[CUIT]],Lista_CUIT[#All],2,0)),"CUIT NO CARGADO")</f>
        <v>ASOC. MUTUAL SANCOR SALUD</v>
      </c>
      <c r="H470" s="211">
        <v>23553.72</v>
      </c>
      <c r="I470" s="212">
        <f>ventas_b_mes4[[#This Row],[IMPORTE NETO]]*0.21</f>
        <v>4946.2812000000004</v>
      </c>
      <c r="J470" s="213"/>
      <c r="K470" s="213"/>
      <c r="L470" s="213">
        <f>SUM(ventas_b_mes4[[#This Row],[IMPORTE NETO]:[EXENTO]])</f>
        <v>28500.001200000002</v>
      </c>
      <c r="M470" s="193"/>
    </row>
    <row r="471" spans="2:13">
      <c r="B471" s="205">
        <v>45041</v>
      </c>
      <c r="C471" s="41">
        <v>6</v>
      </c>
      <c r="D471" s="207">
        <v>7</v>
      </c>
      <c r="E471" s="208">
        <v>4293</v>
      </c>
      <c r="F471" s="209"/>
      <c r="G471" s="210" t="str">
        <f>IFERROR(IF(ventas_b_mes4[[#This Row],[CUIT]]="","-",VLOOKUP(ventas_b_mes4[[#This Row],[CUIT]],Lista_CUIT[#All],2,0)),"CUIT NO CARGADO")</f>
        <v>-</v>
      </c>
      <c r="H471" s="211">
        <v>4132.2299999999996</v>
      </c>
      <c r="I471" s="212">
        <f>ventas_b_mes4[[#This Row],[IMPORTE NETO]]*0.21</f>
        <v>867.76829999999984</v>
      </c>
      <c r="J471" s="213"/>
      <c r="K471" s="213"/>
      <c r="L471" s="213">
        <f>SUM(ventas_b_mes4[[#This Row],[IMPORTE NETO]:[EXENTO]])</f>
        <v>4999.9982999999993</v>
      </c>
      <c r="M471" s="193"/>
    </row>
    <row r="472" spans="2:13">
      <c r="B472" s="205">
        <v>45041</v>
      </c>
      <c r="C472" s="41">
        <v>6</v>
      </c>
      <c r="D472" s="207">
        <v>7</v>
      </c>
      <c r="E472" s="208">
        <v>4286</v>
      </c>
      <c r="F472" s="209"/>
      <c r="G472" s="210" t="str">
        <f>IFERROR(IF(ventas_b_mes4[[#This Row],[CUIT]]="","-",VLOOKUP(ventas_b_mes4[[#This Row],[CUIT]],Lista_CUIT[#All],2,0)),"CUIT NO CARGADO")</f>
        <v>-</v>
      </c>
      <c r="H472" s="211">
        <v>9752.07</v>
      </c>
      <c r="I472" s="212">
        <f>ventas_b_mes4[[#This Row],[IMPORTE NETO]]*0.21</f>
        <v>2047.9346999999998</v>
      </c>
      <c r="J472" s="213"/>
      <c r="K472" s="213"/>
      <c r="L472" s="213">
        <f>SUM(ventas_b_mes4[[#This Row],[IMPORTE NETO]:[EXENTO]])</f>
        <v>11800.0047</v>
      </c>
      <c r="M472" s="193"/>
    </row>
    <row r="473" spans="2:13">
      <c r="B473" s="205">
        <v>45041</v>
      </c>
      <c r="C473" s="41">
        <v>6</v>
      </c>
      <c r="D473" s="207">
        <v>5</v>
      </c>
      <c r="E473" s="208">
        <v>7795</v>
      </c>
      <c r="F473" s="209"/>
      <c r="G473" s="210" t="str">
        <f>IFERROR(IF(ventas_b_mes4[[#This Row],[CUIT]]="","-",VLOOKUP(ventas_b_mes4[[#This Row],[CUIT]],Lista_CUIT[#All],2,0)),"CUIT NO CARGADO")</f>
        <v>-</v>
      </c>
      <c r="H473" s="211">
        <v>3884.3</v>
      </c>
      <c r="I473" s="212">
        <f>ventas_b_mes4[[#This Row],[IMPORTE NETO]]*0.21</f>
        <v>815.70299999999997</v>
      </c>
      <c r="J473" s="213"/>
      <c r="K473" s="213"/>
      <c r="L473" s="213">
        <f>SUM(ventas_b_mes4[[#This Row],[IMPORTE NETO]:[EXENTO]])</f>
        <v>4700.0030000000006</v>
      </c>
      <c r="M473" s="193"/>
    </row>
    <row r="474" spans="2:13">
      <c r="B474" s="205">
        <v>45041</v>
      </c>
      <c r="C474" s="41">
        <v>6</v>
      </c>
      <c r="D474" s="207">
        <v>7</v>
      </c>
      <c r="E474" s="208">
        <v>4296</v>
      </c>
      <c r="F474" s="209"/>
      <c r="G474" s="210" t="str">
        <f>IFERROR(IF(ventas_b_mes4[[#This Row],[CUIT]]="","-",VLOOKUP(ventas_b_mes4[[#This Row],[CUIT]],Lista_CUIT[#All],2,0)),"CUIT NO CARGADO")</f>
        <v>-</v>
      </c>
      <c r="H474" s="211">
        <v>6198.34</v>
      </c>
      <c r="I474" s="212">
        <f>ventas_b_mes4[[#This Row],[IMPORTE NETO]]*0.21</f>
        <v>1301.6514</v>
      </c>
      <c r="J474" s="213"/>
      <c r="K474" s="213"/>
      <c r="L474" s="213">
        <f>SUM(ventas_b_mes4[[#This Row],[IMPORTE NETO]:[EXENTO]])</f>
        <v>7499.9913999999999</v>
      </c>
      <c r="M474" s="193"/>
    </row>
    <row r="475" spans="2:13">
      <c r="B475" s="205">
        <v>45041</v>
      </c>
      <c r="C475" s="41">
        <v>6</v>
      </c>
      <c r="D475" s="207">
        <v>7</v>
      </c>
      <c r="E475" s="208">
        <v>4284</v>
      </c>
      <c r="F475" s="209"/>
      <c r="G475" s="210" t="str">
        <f>IFERROR(IF(ventas_b_mes4[[#This Row],[CUIT]]="","-",VLOOKUP(ventas_b_mes4[[#This Row],[CUIT]],Lista_CUIT[#All],2,0)),"CUIT NO CARGADO")</f>
        <v>-</v>
      </c>
      <c r="H475" s="211">
        <v>7438.02</v>
      </c>
      <c r="I475" s="212">
        <f>ventas_b_mes4[[#This Row],[IMPORTE NETO]]*0.21</f>
        <v>1561.9842000000001</v>
      </c>
      <c r="J475" s="213"/>
      <c r="K475" s="213"/>
      <c r="L475" s="213">
        <f>SUM(ventas_b_mes4[[#This Row],[IMPORTE NETO]:[EXENTO]])</f>
        <v>9000.0042000000012</v>
      </c>
      <c r="M475" s="193"/>
    </row>
    <row r="476" spans="2:13">
      <c r="B476" s="205">
        <v>45041</v>
      </c>
      <c r="C476" s="41">
        <v>6</v>
      </c>
      <c r="D476" s="207">
        <v>7</v>
      </c>
      <c r="E476" s="208">
        <v>4285</v>
      </c>
      <c r="F476" s="209"/>
      <c r="G476" s="210" t="str">
        <f>IFERROR(IF(ventas_b_mes4[[#This Row],[CUIT]]="","-",VLOOKUP(ventas_b_mes4[[#This Row],[CUIT]],Lista_CUIT[#All],2,0)),"CUIT NO CARGADO")</f>
        <v>-</v>
      </c>
      <c r="H476" s="211">
        <v>9752.07</v>
      </c>
      <c r="I476" s="212">
        <f>ventas_b_mes4[[#This Row],[IMPORTE NETO]]*0.21</f>
        <v>2047.9346999999998</v>
      </c>
      <c r="J476" s="213"/>
      <c r="K476" s="213"/>
      <c r="L476" s="213">
        <f>SUM(ventas_b_mes4[[#This Row],[IMPORTE NETO]:[EXENTO]])</f>
        <v>11800.0047</v>
      </c>
      <c r="M476" s="193"/>
    </row>
    <row r="477" spans="2:13">
      <c r="B477" s="205">
        <v>45041</v>
      </c>
      <c r="C477" s="41">
        <v>6</v>
      </c>
      <c r="D477" s="207">
        <v>7</v>
      </c>
      <c r="E477" s="208">
        <v>4295</v>
      </c>
      <c r="F477" s="209"/>
      <c r="G477" s="210" t="str">
        <f>IFERROR(IF(ventas_b_mes4[[#This Row],[CUIT]]="","-",VLOOKUP(ventas_b_mes4[[#This Row],[CUIT]],Lista_CUIT[#All],2,0)),"CUIT NO CARGADO")</f>
        <v>-</v>
      </c>
      <c r="H477" s="211">
        <v>6611.57</v>
      </c>
      <c r="I477" s="212">
        <f>ventas_b_mes4[[#This Row],[IMPORTE NETO]]*0.21</f>
        <v>1388.4296999999999</v>
      </c>
      <c r="J477" s="213"/>
      <c r="K477" s="213"/>
      <c r="L477" s="213">
        <f>SUM(ventas_b_mes4[[#This Row],[IMPORTE NETO]:[EXENTO]])</f>
        <v>7999.9996999999994</v>
      </c>
      <c r="M477" s="193"/>
    </row>
    <row r="478" spans="2:13">
      <c r="B478" s="205">
        <v>45041</v>
      </c>
      <c r="C478" s="41">
        <v>6</v>
      </c>
      <c r="D478" s="207">
        <v>7</v>
      </c>
      <c r="E478" s="208">
        <v>4290</v>
      </c>
      <c r="F478" s="209"/>
      <c r="G478" s="210" t="str">
        <f>IFERROR(IF(ventas_b_mes4[[#This Row],[CUIT]]="","-",VLOOKUP(ventas_b_mes4[[#This Row],[CUIT]],Lista_CUIT[#All],2,0)),"CUIT NO CARGADO")</f>
        <v>-</v>
      </c>
      <c r="H478" s="211">
        <v>22727.27</v>
      </c>
      <c r="I478" s="212">
        <f>ventas_b_mes4[[#This Row],[IMPORTE NETO]]*0.21</f>
        <v>4772.7267000000002</v>
      </c>
      <c r="J478" s="213"/>
      <c r="K478" s="213"/>
      <c r="L478" s="213">
        <f>SUM(ventas_b_mes4[[#This Row],[IMPORTE NETO]:[EXENTO]])</f>
        <v>27499.9967</v>
      </c>
      <c r="M478" s="193"/>
    </row>
    <row r="479" spans="2:13">
      <c r="B479" s="205">
        <v>45041</v>
      </c>
      <c r="C479" s="41">
        <v>6</v>
      </c>
      <c r="D479" s="207">
        <v>5</v>
      </c>
      <c r="E479" s="208">
        <v>7793</v>
      </c>
      <c r="F479" s="209"/>
      <c r="G479" s="210" t="str">
        <f>IFERROR(IF(ventas_b_mes4[[#This Row],[CUIT]]="","-",VLOOKUP(ventas_b_mes4[[#This Row],[CUIT]],Lista_CUIT[#All],2,0)),"CUIT NO CARGADO")</f>
        <v>-</v>
      </c>
      <c r="H479" s="211">
        <v>10330.58</v>
      </c>
      <c r="I479" s="212">
        <f>ventas_b_mes4[[#This Row],[IMPORTE NETO]]*0.21</f>
        <v>2169.4218000000001</v>
      </c>
      <c r="J479" s="213"/>
      <c r="K479" s="213"/>
      <c r="L479" s="213">
        <f>SUM(ventas_b_mes4[[#This Row],[IMPORTE NETO]:[EXENTO]])</f>
        <v>12500.0018</v>
      </c>
      <c r="M479" s="193"/>
    </row>
    <row r="480" spans="2:13">
      <c r="B480" s="205">
        <v>45041</v>
      </c>
      <c r="C480" s="41">
        <v>6</v>
      </c>
      <c r="D480" s="207">
        <v>7</v>
      </c>
      <c r="E480" s="208">
        <v>4291</v>
      </c>
      <c r="F480" s="209"/>
      <c r="G480" s="210" t="str">
        <f>IFERROR(IF(ventas_b_mes4[[#This Row],[CUIT]]="","-",VLOOKUP(ventas_b_mes4[[#This Row],[CUIT]],Lista_CUIT[#All],2,0)),"CUIT NO CARGADO")</f>
        <v>-</v>
      </c>
      <c r="H480" s="211">
        <v>3140.5</v>
      </c>
      <c r="I480" s="212">
        <f>ventas_b_mes4[[#This Row],[IMPORTE NETO]]*0.21</f>
        <v>659.505</v>
      </c>
      <c r="J480" s="213"/>
      <c r="K480" s="213"/>
      <c r="L480" s="213">
        <f>SUM(ventas_b_mes4[[#This Row],[IMPORTE NETO]:[EXENTO]])</f>
        <v>3800.0050000000001</v>
      </c>
      <c r="M480" s="193"/>
    </row>
    <row r="481" spans="2:13">
      <c r="B481" s="205">
        <v>45041</v>
      </c>
      <c r="C481" s="41">
        <v>6</v>
      </c>
      <c r="D481" s="207">
        <v>7</v>
      </c>
      <c r="E481" s="208">
        <v>4292</v>
      </c>
      <c r="F481" s="209"/>
      <c r="G481" s="210" t="str">
        <f>IFERROR(IF(ventas_b_mes4[[#This Row],[CUIT]]="","-",VLOOKUP(ventas_b_mes4[[#This Row],[CUIT]],Lista_CUIT[#All],2,0)),"CUIT NO CARGADO")</f>
        <v>-</v>
      </c>
      <c r="H481" s="211">
        <v>8677.68</v>
      </c>
      <c r="I481" s="212">
        <f>ventas_b_mes4[[#This Row],[IMPORTE NETO]]*0.21</f>
        <v>1822.3127999999999</v>
      </c>
      <c r="J481" s="213"/>
      <c r="K481" s="213"/>
      <c r="L481" s="213">
        <f>SUM(ventas_b_mes4[[#This Row],[IMPORTE NETO]:[EXENTO]])</f>
        <v>10499.9928</v>
      </c>
      <c r="M481" s="193"/>
    </row>
    <row r="482" spans="2:13">
      <c r="B482" s="205">
        <v>45041</v>
      </c>
      <c r="C482" s="41">
        <v>6</v>
      </c>
      <c r="D482" s="207">
        <v>7</v>
      </c>
      <c r="E482" s="208">
        <v>4287</v>
      </c>
      <c r="F482" s="209"/>
      <c r="G482" s="210" t="str">
        <f>IFERROR(IF(ventas_b_mes4[[#This Row],[CUIT]]="","-",VLOOKUP(ventas_b_mes4[[#This Row],[CUIT]],Lista_CUIT[#All],2,0)),"CUIT NO CARGADO")</f>
        <v>-</v>
      </c>
      <c r="H482" s="211">
        <v>9752.07</v>
      </c>
      <c r="I482" s="212">
        <f>ventas_b_mes4[[#This Row],[IMPORTE NETO]]*0.21</f>
        <v>2047.9346999999998</v>
      </c>
      <c r="J482" s="213"/>
      <c r="K482" s="213"/>
      <c r="L482" s="213">
        <f>SUM(ventas_b_mes4[[#This Row],[IMPORTE NETO]:[EXENTO]])</f>
        <v>11800.0047</v>
      </c>
      <c r="M482" s="193"/>
    </row>
    <row r="483" spans="2:13">
      <c r="B483" s="205">
        <v>45041</v>
      </c>
      <c r="C483" s="41">
        <v>6</v>
      </c>
      <c r="D483" s="207">
        <v>5</v>
      </c>
      <c r="E483" s="208">
        <v>7792</v>
      </c>
      <c r="F483" s="209"/>
      <c r="G483" s="210" t="str">
        <f>IFERROR(IF(ventas_b_mes4[[#This Row],[CUIT]]="","-",VLOOKUP(ventas_b_mes4[[#This Row],[CUIT]],Lista_CUIT[#All],2,0)),"CUIT NO CARGADO")</f>
        <v>-</v>
      </c>
      <c r="H483" s="211">
        <v>4016.53</v>
      </c>
      <c r="I483" s="212">
        <f>ventas_b_mes4[[#This Row],[IMPORTE NETO]]*0.21</f>
        <v>843.47130000000004</v>
      </c>
      <c r="J483" s="213"/>
      <c r="K483" s="213"/>
      <c r="L483" s="213">
        <f>SUM(ventas_b_mes4[[#This Row],[IMPORTE NETO]:[EXENTO]])</f>
        <v>4860.0012999999999</v>
      </c>
      <c r="M483" s="193"/>
    </row>
    <row r="484" spans="2:13">
      <c r="B484" s="205">
        <v>45041</v>
      </c>
      <c r="C484" s="41">
        <v>6</v>
      </c>
      <c r="D484" s="207">
        <v>7</v>
      </c>
      <c r="E484" s="208">
        <v>4289</v>
      </c>
      <c r="F484" s="209"/>
      <c r="G484" s="210" t="str">
        <f>IFERROR(IF(ventas_b_mes4[[#This Row],[CUIT]]="","-",VLOOKUP(ventas_b_mes4[[#This Row],[CUIT]],Lista_CUIT[#All],2,0)),"CUIT NO CARGADO")</f>
        <v>-</v>
      </c>
      <c r="H484" s="211">
        <v>6776.86</v>
      </c>
      <c r="I484" s="212">
        <f>ventas_b_mes4[[#This Row],[IMPORTE NETO]]*0.21</f>
        <v>1423.1405999999999</v>
      </c>
      <c r="J484" s="213"/>
      <c r="K484" s="213"/>
      <c r="L484" s="213">
        <f>SUM(ventas_b_mes4[[#This Row],[IMPORTE NETO]:[EXENTO]])</f>
        <v>8200.0005999999994</v>
      </c>
      <c r="M484" s="193"/>
    </row>
    <row r="485" spans="2:13">
      <c r="B485" s="205">
        <v>45042</v>
      </c>
      <c r="C485" s="41">
        <v>6</v>
      </c>
      <c r="D485" s="207">
        <v>7</v>
      </c>
      <c r="E485" s="208">
        <v>4297</v>
      </c>
      <c r="F485" s="209"/>
      <c r="G485" s="210" t="str">
        <f>IFERROR(IF(ventas_b_mes4[[#This Row],[CUIT]]="","-",VLOOKUP(ventas_b_mes4[[#This Row],[CUIT]],Lista_CUIT[#All],2,0)),"CUIT NO CARGADO")</f>
        <v>-</v>
      </c>
      <c r="H485" s="211">
        <v>7024.79</v>
      </c>
      <c r="I485" s="212">
        <f>ventas_b_mes4[[#This Row],[IMPORTE NETO]]*0.21</f>
        <v>1475.2058999999999</v>
      </c>
      <c r="J485" s="213"/>
      <c r="K485" s="213"/>
      <c r="L485" s="213">
        <f>SUM(ventas_b_mes4[[#This Row],[IMPORTE NETO]:[EXENTO]])</f>
        <v>8499.9958999999999</v>
      </c>
      <c r="M485" s="193"/>
    </row>
    <row r="486" spans="2:13">
      <c r="B486" s="205">
        <v>45042</v>
      </c>
      <c r="C486" s="41">
        <v>6</v>
      </c>
      <c r="D486" s="207">
        <v>5</v>
      </c>
      <c r="E486" s="208">
        <v>7800</v>
      </c>
      <c r="F486" s="209"/>
      <c r="G486" s="210" t="str">
        <f>IFERROR(IF(ventas_b_mes4[[#This Row],[CUIT]]="","-",VLOOKUP(ventas_b_mes4[[#This Row],[CUIT]],Lista_CUIT[#All],2,0)),"CUIT NO CARGADO")</f>
        <v>-</v>
      </c>
      <c r="H486" s="211">
        <v>6942.15</v>
      </c>
      <c r="I486" s="212">
        <f>ventas_b_mes4[[#This Row],[IMPORTE NETO]]*0.21</f>
        <v>1457.8514999999998</v>
      </c>
      <c r="J486" s="213"/>
      <c r="K486" s="213"/>
      <c r="L486" s="213">
        <f>SUM(ventas_b_mes4[[#This Row],[IMPORTE NETO]:[EXENTO]])</f>
        <v>8400.0014999999985</v>
      </c>
      <c r="M486" s="193"/>
    </row>
    <row r="487" spans="2:13">
      <c r="B487" s="205">
        <v>45042</v>
      </c>
      <c r="C487" s="41">
        <v>6</v>
      </c>
      <c r="D487" s="207">
        <v>5</v>
      </c>
      <c r="E487" s="208">
        <v>7805</v>
      </c>
      <c r="F487" s="209"/>
      <c r="G487" s="210" t="str">
        <f>IFERROR(IF(ventas_b_mes4[[#This Row],[CUIT]]="","-",VLOOKUP(ventas_b_mes4[[#This Row],[CUIT]],Lista_CUIT[#All],2,0)),"CUIT NO CARGADO")</f>
        <v>-</v>
      </c>
      <c r="H487" s="211">
        <v>4132.2299999999996</v>
      </c>
      <c r="I487" s="212">
        <f>ventas_b_mes4[[#This Row],[IMPORTE NETO]]*0.21</f>
        <v>867.76829999999984</v>
      </c>
      <c r="J487" s="213"/>
      <c r="K487" s="213"/>
      <c r="L487" s="213">
        <f>SUM(ventas_b_mes4[[#This Row],[IMPORTE NETO]:[EXENTO]])</f>
        <v>4999.9982999999993</v>
      </c>
      <c r="M487" s="193"/>
    </row>
    <row r="488" spans="2:13">
      <c r="B488" s="205">
        <v>45042</v>
      </c>
      <c r="C488" s="41">
        <v>6</v>
      </c>
      <c r="D488" s="207">
        <v>7</v>
      </c>
      <c r="E488" s="208">
        <v>4298</v>
      </c>
      <c r="F488" s="209"/>
      <c r="G488" s="210" t="str">
        <f>IFERROR(IF(ventas_b_mes4[[#This Row],[CUIT]]="","-",VLOOKUP(ventas_b_mes4[[#This Row],[CUIT]],Lista_CUIT[#All],2,0)),"CUIT NO CARGADO")</f>
        <v>-</v>
      </c>
      <c r="H488" s="211">
        <v>3966.94</v>
      </c>
      <c r="I488" s="212">
        <f>ventas_b_mes4[[#This Row],[IMPORTE NETO]]*0.21</f>
        <v>833.05740000000003</v>
      </c>
      <c r="J488" s="213"/>
      <c r="K488" s="213"/>
      <c r="L488" s="213">
        <f>SUM(ventas_b_mes4[[#This Row],[IMPORTE NETO]:[EXENTO]])</f>
        <v>4799.9974000000002</v>
      </c>
      <c r="M488" s="193"/>
    </row>
    <row r="489" spans="2:13">
      <c r="B489" s="205">
        <v>45042</v>
      </c>
      <c r="C489" s="41">
        <v>6</v>
      </c>
      <c r="D489" s="207">
        <v>5</v>
      </c>
      <c r="E489" s="208">
        <v>7799</v>
      </c>
      <c r="F489" s="209"/>
      <c r="G489" s="210" t="str">
        <f>IFERROR(IF(ventas_b_mes4[[#This Row],[CUIT]]="","-",VLOOKUP(ventas_b_mes4[[#This Row],[CUIT]],Lista_CUIT[#All],2,0)),"CUIT NO CARGADO")</f>
        <v>-</v>
      </c>
      <c r="H489" s="211">
        <v>4462.8100000000004</v>
      </c>
      <c r="I489" s="212">
        <f>ventas_b_mes4[[#This Row],[IMPORTE NETO]]*0.21</f>
        <v>937.19010000000003</v>
      </c>
      <c r="J489" s="213"/>
      <c r="K489" s="213"/>
      <c r="L489" s="213">
        <f>SUM(ventas_b_mes4[[#This Row],[IMPORTE NETO]:[EXENTO]])</f>
        <v>5400.0001000000002</v>
      </c>
      <c r="M489" s="193"/>
    </row>
    <row r="490" spans="2:13">
      <c r="B490" s="205">
        <v>45042</v>
      </c>
      <c r="C490" s="41">
        <v>6</v>
      </c>
      <c r="D490" s="207">
        <v>5</v>
      </c>
      <c r="E490" s="208">
        <v>7797</v>
      </c>
      <c r="F490" s="209"/>
      <c r="G490" s="210" t="str">
        <f>IFERROR(IF(ventas_b_mes4[[#This Row],[CUIT]]="","-",VLOOKUP(ventas_b_mes4[[#This Row],[CUIT]],Lista_CUIT[#All],2,0)),"CUIT NO CARGADO")</f>
        <v>-</v>
      </c>
      <c r="H490" s="211">
        <v>6859.5</v>
      </c>
      <c r="I490" s="212">
        <f>ventas_b_mes4[[#This Row],[IMPORTE NETO]]*0.21</f>
        <v>1440.4949999999999</v>
      </c>
      <c r="J490" s="213"/>
      <c r="K490" s="213"/>
      <c r="L490" s="213">
        <f>SUM(ventas_b_mes4[[#This Row],[IMPORTE NETO]:[EXENTO]])</f>
        <v>8299.994999999999</v>
      </c>
      <c r="M490" s="193"/>
    </row>
    <row r="491" spans="2:13">
      <c r="B491" s="205">
        <v>45042</v>
      </c>
      <c r="C491" s="41">
        <v>6</v>
      </c>
      <c r="D491" s="207">
        <v>5</v>
      </c>
      <c r="E491" s="208">
        <v>7809</v>
      </c>
      <c r="F491" s="209"/>
      <c r="G491" s="210" t="str">
        <f>IFERROR(IF(ventas_b_mes4[[#This Row],[CUIT]]="","-",VLOOKUP(ventas_b_mes4[[#This Row],[CUIT]],Lista_CUIT[#All],2,0)),"CUIT NO CARGADO")</f>
        <v>-</v>
      </c>
      <c r="H491" s="211">
        <v>4958.68</v>
      </c>
      <c r="I491" s="212">
        <f>ventas_b_mes4[[#This Row],[IMPORTE NETO]]*0.21</f>
        <v>1041.3227999999999</v>
      </c>
      <c r="J491" s="213"/>
      <c r="K491" s="213"/>
      <c r="L491" s="213">
        <f>SUM(ventas_b_mes4[[#This Row],[IMPORTE NETO]:[EXENTO]])</f>
        <v>6000.0028000000002</v>
      </c>
      <c r="M491" s="193"/>
    </row>
    <row r="492" spans="2:13">
      <c r="B492" s="205">
        <v>45042</v>
      </c>
      <c r="C492" s="41">
        <v>6</v>
      </c>
      <c r="D492" s="207">
        <v>5</v>
      </c>
      <c r="E492" s="208">
        <v>7801</v>
      </c>
      <c r="F492" s="209"/>
      <c r="G492" s="210" t="str">
        <f>IFERROR(IF(ventas_b_mes4[[#This Row],[CUIT]]="","-",VLOOKUP(ventas_b_mes4[[#This Row],[CUIT]],Lista_CUIT[#All],2,0)),"CUIT NO CARGADO")</f>
        <v>-</v>
      </c>
      <c r="H492" s="211">
        <v>1900.83</v>
      </c>
      <c r="I492" s="212">
        <f>ventas_b_mes4[[#This Row],[IMPORTE NETO]]*0.21</f>
        <v>399.17429999999996</v>
      </c>
      <c r="J492" s="213"/>
      <c r="K492" s="213"/>
      <c r="L492" s="213">
        <f>SUM(ventas_b_mes4[[#This Row],[IMPORTE NETO]:[EXENTO]])</f>
        <v>2300.0043000000001</v>
      </c>
      <c r="M492" s="193"/>
    </row>
    <row r="493" spans="2:13">
      <c r="B493" s="205">
        <v>45042</v>
      </c>
      <c r="C493" s="41">
        <v>6</v>
      </c>
      <c r="D493" s="207">
        <v>5</v>
      </c>
      <c r="E493" s="208">
        <v>7810</v>
      </c>
      <c r="F493" s="209"/>
      <c r="G493" s="210" t="str">
        <f>IFERROR(IF(ventas_b_mes4[[#This Row],[CUIT]]="","-",VLOOKUP(ventas_b_mes4[[#This Row],[CUIT]],Lista_CUIT[#All],2,0)),"CUIT NO CARGADO")</f>
        <v>-</v>
      </c>
      <c r="H493" s="211">
        <v>7851.24</v>
      </c>
      <c r="I493" s="212">
        <f>ventas_b_mes4[[#This Row],[IMPORTE NETO]]*0.21</f>
        <v>1648.7603999999999</v>
      </c>
      <c r="J493" s="213"/>
      <c r="K493" s="213"/>
      <c r="L493" s="213">
        <f>SUM(ventas_b_mes4[[#This Row],[IMPORTE NETO]:[EXENTO]])</f>
        <v>9500.000399999999</v>
      </c>
      <c r="M493" s="193"/>
    </row>
    <row r="494" spans="2:13">
      <c r="B494" s="205">
        <v>45042</v>
      </c>
      <c r="C494" s="41">
        <v>6</v>
      </c>
      <c r="D494" s="207">
        <v>5</v>
      </c>
      <c r="E494" s="208">
        <v>7808</v>
      </c>
      <c r="F494" s="209"/>
      <c r="G494" s="210" t="str">
        <f>IFERROR(IF(ventas_b_mes4[[#This Row],[CUIT]]="","-",VLOOKUP(ventas_b_mes4[[#This Row],[CUIT]],Lista_CUIT[#All],2,0)),"CUIT NO CARGADO")</f>
        <v>-</v>
      </c>
      <c r="H494" s="211">
        <v>5619.83</v>
      </c>
      <c r="I494" s="212">
        <f>ventas_b_mes4[[#This Row],[IMPORTE NETO]]*0.21</f>
        <v>1180.1642999999999</v>
      </c>
      <c r="J494" s="213"/>
      <c r="K494" s="213"/>
      <c r="L494" s="213">
        <f>SUM(ventas_b_mes4[[#This Row],[IMPORTE NETO]:[EXENTO]])</f>
        <v>6799.9943000000003</v>
      </c>
      <c r="M494" s="193"/>
    </row>
    <row r="495" spans="2:13">
      <c r="B495" s="205">
        <v>45042</v>
      </c>
      <c r="C495" s="41">
        <v>6</v>
      </c>
      <c r="D495" s="207">
        <v>5</v>
      </c>
      <c r="E495" s="208">
        <v>7812</v>
      </c>
      <c r="F495" s="209"/>
      <c r="G495" s="210" t="str">
        <f>IFERROR(IF(ventas_b_mes4[[#This Row],[CUIT]]="","-",VLOOKUP(ventas_b_mes4[[#This Row],[CUIT]],Lista_CUIT[#All],2,0)),"CUIT NO CARGADO")</f>
        <v>-</v>
      </c>
      <c r="H495" s="211">
        <v>1239.67</v>
      </c>
      <c r="I495" s="212">
        <f>ventas_b_mes4[[#This Row],[IMPORTE NETO]]*0.21</f>
        <v>260.33069999999998</v>
      </c>
      <c r="J495" s="213"/>
      <c r="K495" s="213"/>
      <c r="L495" s="213">
        <f>SUM(ventas_b_mes4[[#This Row],[IMPORTE NETO]:[EXENTO]])</f>
        <v>1500.0007000000001</v>
      </c>
      <c r="M495" s="193"/>
    </row>
    <row r="496" spans="2:13">
      <c r="B496" s="205">
        <v>45042</v>
      </c>
      <c r="C496" s="41">
        <v>6</v>
      </c>
      <c r="D496" s="207">
        <v>5</v>
      </c>
      <c r="E496" s="208">
        <v>7806</v>
      </c>
      <c r="F496" s="209"/>
      <c r="G496" s="210" t="str">
        <f>IFERROR(IF(ventas_b_mes4[[#This Row],[CUIT]]="","-",VLOOKUP(ventas_b_mes4[[#This Row],[CUIT]],Lista_CUIT[#All],2,0)),"CUIT NO CARGADO")</f>
        <v>-</v>
      </c>
      <c r="H496" s="211">
        <v>1157.02</v>
      </c>
      <c r="I496" s="212">
        <f>ventas_b_mes4[[#This Row],[IMPORTE NETO]]*0.21</f>
        <v>242.9742</v>
      </c>
      <c r="J496" s="213"/>
      <c r="K496" s="213"/>
      <c r="L496" s="213">
        <f>SUM(ventas_b_mes4[[#This Row],[IMPORTE NETO]:[EXENTO]])</f>
        <v>1399.9942000000001</v>
      </c>
      <c r="M496" s="193"/>
    </row>
    <row r="497" spans="2:13">
      <c r="B497" s="205">
        <v>45042</v>
      </c>
      <c r="C497" s="41">
        <v>6</v>
      </c>
      <c r="D497" s="207">
        <v>5</v>
      </c>
      <c r="E497" s="208">
        <v>7798</v>
      </c>
      <c r="F497" s="209"/>
      <c r="G497" s="210" t="str">
        <f>IFERROR(IF(ventas_b_mes4[[#This Row],[CUIT]]="","-",VLOOKUP(ventas_b_mes4[[#This Row],[CUIT]],Lista_CUIT[#All],2,0)),"CUIT NO CARGADO")</f>
        <v>-</v>
      </c>
      <c r="H497" s="211">
        <v>7603.31</v>
      </c>
      <c r="I497" s="212">
        <f>ventas_b_mes4[[#This Row],[IMPORTE NETO]]*0.21</f>
        <v>1596.6950999999999</v>
      </c>
      <c r="J497" s="213"/>
      <c r="K497" s="213"/>
      <c r="L497" s="213">
        <f>SUM(ventas_b_mes4[[#This Row],[IMPORTE NETO]:[EXENTO]])</f>
        <v>9200.0051000000003</v>
      </c>
      <c r="M497" s="193"/>
    </row>
    <row r="498" spans="2:13">
      <c r="B498" s="205">
        <v>45042</v>
      </c>
      <c r="C498" s="41">
        <v>6</v>
      </c>
      <c r="D498" s="207">
        <v>5</v>
      </c>
      <c r="E498" s="208">
        <v>7803</v>
      </c>
      <c r="F498" s="209"/>
      <c r="G498" s="210" t="str">
        <f>IFERROR(IF(ventas_b_mes4[[#This Row],[CUIT]]="","-",VLOOKUP(ventas_b_mes4[[#This Row],[CUIT]],Lista_CUIT[#All],2,0)),"CUIT NO CARGADO")</f>
        <v>-</v>
      </c>
      <c r="H498" s="211">
        <v>7438.02</v>
      </c>
      <c r="I498" s="212">
        <f>ventas_b_mes4[[#This Row],[IMPORTE NETO]]*0.21</f>
        <v>1561.9842000000001</v>
      </c>
      <c r="J498" s="213"/>
      <c r="K498" s="213"/>
      <c r="L498" s="213">
        <f>SUM(ventas_b_mes4[[#This Row],[IMPORTE NETO]:[EXENTO]])</f>
        <v>9000.0042000000012</v>
      </c>
      <c r="M498" s="193"/>
    </row>
    <row r="499" spans="2:13">
      <c r="B499" s="205">
        <v>45042</v>
      </c>
      <c r="C499" s="41">
        <v>6</v>
      </c>
      <c r="D499" s="207">
        <v>5</v>
      </c>
      <c r="E499" s="208">
        <v>7811</v>
      </c>
      <c r="F499" s="209"/>
      <c r="G499" s="210" t="str">
        <f>IFERROR(IF(ventas_b_mes4[[#This Row],[CUIT]]="","-",VLOOKUP(ventas_b_mes4[[#This Row],[CUIT]],Lista_CUIT[#All],2,0)),"CUIT NO CARGADO")</f>
        <v>-</v>
      </c>
      <c r="H499" s="211">
        <v>9752.07</v>
      </c>
      <c r="I499" s="212">
        <f>ventas_b_mes4[[#This Row],[IMPORTE NETO]]*0.21</f>
        <v>2047.9346999999998</v>
      </c>
      <c r="J499" s="213"/>
      <c r="K499" s="213"/>
      <c r="L499" s="213">
        <f>SUM(ventas_b_mes4[[#This Row],[IMPORTE NETO]:[EXENTO]])</f>
        <v>11800.0047</v>
      </c>
      <c r="M499" s="193"/>
    </row>
    <row r="500" spans="2:13">
      <c r="B500" s="205">
        <v>45042</v>
      </c>
      <c r="C500" s="41">
        <v>6</v>
      </c>
      <c r="D500" s="207">
        <v>5</v>
      </c>
      <c r="E500" s="208">
        <v>7804</v>
      </c>
      <c r="F500" s="209"/>
      <c r="G500" s="210" t="str">
        <f>IFERROR(IF(ventas_b_mes4[[#This Row],[CUIT]]="","-",VLOOKUP(ventas_b_mes4[[#This Row],[CUIT]],Lista_CUIT[#All],2,0)),"CUIT NO CARGADO")</f>
        <v>-</v>
      </c>
      <c r="H500" s="211">
        <v>6528.93</v>
      </c>
      <c r="I500" s="212">
        <f>ventas_b_mes4[[#This Row],[IMPORTE NETO]]*0.21</f>
        <v>1371.0753</v>
      </c>
      <c r="J500" s="213"/>
      <c r="K500" s="213"/>
      <c r="L500" s="213">
        <f>SUM(ventas_b_mes4[[#This Row],[IMPORTE NETO]:[EXENTO]])</f>
        <v>7900.0053000000007</v>
      </c>
      <c r="M500" s="193"/>
    </row>
    <row r="501" spans="2:13">
      <c r="B501" s="205">
        <v>45042</v>
      </c>
      <c r="C501" s="41">
        <v>6</v>
      </c>
      <c r="D501" s="207">
        <v>5</v>
      </c>
      <c r="E501" s="208">
        <v>7807</v>
      </c>
      <c r="F501" s="209"/>
      <c r="G501" s="210" t="str">
        <f>IFERROR(IF(ventas_b_mes4[[#This Row],[CUIT]]="","-",VLOOKUP(ventas_b_mes4[[#This Row],[CUIT]],Lista_CUIT[#All],2,0)),"CUIT NO CARGADO")</f>
        <v>-</v>
      </c>
      <c r="H501" s="211">
        <v>2231.4</v>
      </c>
      <c r="I501" s="212">
        <f>ventas_b_mes4[[#This Row],[IMPORTE NETO]]*0.21</f>
        <v>468.59399999999999</v>
      </c>
      <c r="J501" s="213"/>
      <c r="K501" s="213"/>
      <c r="L501" s="213">
        <f>SUM(ventas_b_mes4[[#This Row],[IMPORTE NETO]:[EXENTO]])</f>
        <v>2699.9940000000001</v>
      </c>
      <c r="M501" s="193"/>
    </row>
    <row r="502" spans="2:13">
      <c r="B502" s="205">
        <v>45042</v>
      </c>
      <c r="C502" s="41">
        <v>6</v>
      </c>
      <c r="D502" s="207">
        <v>5</v>
      </c>
      <c r="E502" s="208">
        <v>7802</v>
      </c>
      <c r="F502" s="209"/>
      <c r="G502" s="210" t="str">
        <f>IFERROR(IF(ventas_b_mes4[[#This Row],[CUIT]]="","-",VLOOKUP(ventas_b_mes4[[#This Row],[CUIT]],Lista_CUIT[#All],2,0)),"CUIT NO CARGADO")</f>
        <v>-</v>
      </c>
      <c r="H502" s="211">
        <v>6198.35</v>
      </c>
      <c r="I502" s="212">
        <f>ventas_b_mes4[[#This Row],[IMPORTE NETO]]*0.21</f>
        <v>1301.6535000000001</v>
      </c>
      <c r="J502" s="213"/>
      <c r="K502" s="213"/>
      <c r="L502" s="213">
        <f>SUM(ventas_b_mes4[[#This Row],[IMPORTE NETO]:[EXENTO]])</f>
        <v>7500.0035000000007</v>
      </c>
      <c r="M502" s="193"/>
    </row>
    <row r="503" spans="2:13">
      <c r="B503" s="205">
        <v>45043</v>
      </c>
      <c r="C503" s="41">
        <v>6</v>
      </c>
      <c r="D503" s="207">
        <v>7</v>
      </c>
      <c r="E503" s="208">
        <v>4308</v>
      </c>
      <c r="F503" s="209"/>
      <c r="G503" s="210" t="str">
        <f>IFERROR(IF(ventas_b_mes4[[#This Row],[CUIT]]="","-",VLOOKUP(ventas_b_mes4[[#This Row],[CUIT]],Lista_CUIT[#All],2,0)),"CUIT NO CARGADO")</f>
        <v>-</v>
      </c>
      <c r="H503" s="211">
        <v>4132.2299999999996</v>
      </c>
      <c r="I503" s="212">
        <f>ventas_b_mes4[[#This Row],[IMPORTE NETO]]*0.21</f>
        <v>867.76829999999984</v>
      </c>
      <c r="J503" s="213"/>
      <c r="K503" s="213"/>
      <c r="L503" s="213">
        <f>SUM(ventas_b_mes4[[#This Row],[IMPORTE NETO]:[EXENTO]])</f>
        <v>4999.9982999999993</v>
      </c>
      <c r="M503" s="193"/>
    </row>
    <row r="504" spans="2:13">
      <c r="B504" s="205">
        <v>45043</v>
      </c>
      <c r="C504" s="41">
        <v>6</v>
      </c>
      <c r="D504" s="207">
        <v>7</v>
      </c>
      <c r="E504" s="208">
        <v>4306</v>
      </c>
      <c r="F504" s="209"/>
      <c r="G504" s="210" t="str">
        <f>IFERROR(IF(ventas_b_mes4[[#This Row],[CUIT]]="","-",VLOOKUP(ventas_b_mes4[[#This Row],[CUIT]],Lista_CUIT[#All],2,0)),"CUIT NO CARGADO")</f>
        <v>-</v>
      </c>
      <c r="H504" s="211">
        <v>5785.12</v>
      </c>
      <c r="I504" s="212">
        <f>ventas_b_mes4[[#This Row],[IMPORTE NETO]]*0.21</f>
        <v>1214.8751999999999</v>
      </c>
      <c r="J504" s="213"/>
      <c r="K504" s="213"/>
      <c r="L504" s="213">
        <f>SUM(ventas_b_mes4[[#This Row],[IMPORTE NETO]:[EXENTO]])</f>
        <v>6999.9951999999994</v>
      </c>
      <c r="M504" s="193"/>
    </row>
    <row r="505" spans="2:13">
      <c r="B505" s="205">
        <v>45043</v>
      </c>
      <c r="C505" s="41">
        <v>6</v>
      </c>
      <c r="D505" s="207">
        <v>7</v>
      </c>
      <c r="E505" s="208">
        <v>4304</v>
      </c>
      <c r="F505" s="209"/>
      <c r="G505" s="210" t="str">
        <f>IFERROR(IF(ventas_b_mes4[[#This Row],[CUIT]]="","-",VLOOKUP(ventas_b_mes4[[#This Row],[CUIT]],Lista_CUIT[#All],2,0)),"CUIT NO CARGADO")</f>
        <v>-</v>
      </c>
      <c r="H505" s="211">
        <v>9090.91</v>
      </c>
      <c r="I505" s="212">
        <f>ventas_b_mes4[[#This Row],[IMPORTE NETO]]*0.21</f>
        <v>1909.0910999999999</v>
      </c>
      <c r="J505" s="213"/>
      <c r="K505" s="213"/>
      <c r="L505" s="213">
        <f>SUM(ventas_b_mes4[[#This Row],[IMPORTE NETO]:[EXENTO]])</f>
        <v>11000.001099999999</v>
      </c>
      <c r="M505" s="193"/>
    </row>
    <row r="506" spans="2:13">
      <c r="B506" s="205">
        <v>45043</v>
      </c>
      <c r="C506" s="41">
        <v>6</v>
      </c>
      <c r="D506" s="207">
        <v>7</v>
      </c>
      <c r="E506" s="208">
        <v>4305</v>
      </c>
      <c r="F506" s="209"/>
      <c r="G506" s="210" t="str">
        <f>IFERROR(IF(ventas_b_mes4[[#This Row],[CUIT]]="","-",VLOOKUP(ventas_b_mes4[[#This Row],[CUIT]],Lista_CUIT[#All],2,0)),"CUIT NO CARGADO")</f>
        <v>-</v>
      </c>
      <c r="H506" s="211">
        <v>11107.44</v>
      </c>
      <c r="I506" s="212">
        <f>ventas_b_mes4[[#This Row],[IMPORTE NETO]]*0.21</f>
        <v>2332.5623999999998</v>
      </c>
      <c r="J506" s="213"/>
      <c r="K506" s="213"/>
      <c r="L506" s="213">
        <f>SUM(ventas_b_mes4[[#This Row],[IMPORTE NETO]:[EXENTO]])</f>
        <v>13440.002400000001</v>
      </c>
      <c r="M506" s="193"/>
    </row>
    <row r="507" spans="2:13">
      <c r="B507" s="205">
        <v>45043</v>
      </c>
      <c r="C507" s="41">
        <v>6</v>
      </c>
      <c r="D507" s="207">
        <v>7</v>
      </c>
      <c r="E507" s="208">
        <v>4301</v>
      </c>
      <c r="F507" s="209"/>
      <c r="G507" s="210" t="str">
        <f>IFERROR(IF(ventas_b_mes4[[#This Row],[CUIT]]="","-",VLOOKUP(ventas_b_mes4[[#This Row],[CUIT]],Lista_CUIT[#All],2,0)),"CUIT NO CARGADO")</f>
        <v>-</v>
      </c>
      <c r="H507" s="211">
        <v>3966.94</v>
      </c>
      <c r="I507" s="212">
        <f>ventas_b_mes4[[#This Row],[IMPORTE NETO]]*0.21</f>
        <v>833.05740000000003</v>
      </c>
      <c r="J507" s="213"/>
      <c r="K507" s="213"/>
      <c r="L507" s="213">
        <f>SUM(ventas_b_mes4[[#This Row],[IMPORTE NETO]:[EXENTO]])</f>
        <v>4799.9974000000002</v>
      </c>
      <c r="M507" s="193"/>
    </row>
    <row r="508" spans="2:13">
      <c r="B508" s="205">
        <v>45043</v>
      </c>
      <c r="C508" s="41">
        <v>6</v>
      </c>
      <c r="D508" s="207">
        <v>5</v>
      </c>
      <c r="E508" s="208">
        <v>7816</v>
      </c>
      <c r="F508" s="209"/>
      <c r="G508" s="210" t="str">
        <f>IFERROR(IF(ventas_b_mes4[[#This Row],[CUIT]]="","-",VLOOKUP(ventas_b_mes4[[#This Row],[CUIT]],Lista_CUIT[#All],2,0)),"CUIT NO CARGADO")</f>
        <v>-</v>
      </c>
      <c r="H508" s="211">
        <v>11570.25</v>
      </c>
      <c r="I508" s="212">
        <f>ventas_b_mes4[[#This Row],[IMPORTE NETO]]*0.21</f>
        <v>2429.7525000000001</v>
      </c>
      <c r="J508" s="213"/>
      <c r="K508" s="213"/>
      <c r="L508" s="213">
        <f>SUM(ventas_b_mes4[[#This Row],[IMPORTE NETO]:[EXENTO]])</f>
        <v>14000.002500000001</v>
      </c>
      <c r="M508" s="193"/>
    </row>
    <row r="509" spans="2:13">
      <c r="B509" s="205">
        <v>45043</v>
      </c>
      <c r="C509" s="41">
        <v>6</v>
      </c>
      <c r="D509" s="207">
        <v>7</v>
      </c>
      <c r="E509" s="208">
        <v>4303</v>
      </c>
      <c r="F509" s="209"/>
      <c r="G509" s="210" t="str">
        <f>IFERROR(IF(ventas_b_mes4[[#This Row],[CUIT]]="","-",VLOOKUP(ventas_b_mes4[[#This Row],[CUIT]],Lista_CUIT[#All],2,0)),"CUIT NO CARGADO")</f>
        <v>-</v>
      </c>
      <c r="H509" s="211">
        <v>6446.28</v>
      </c>
      <c r="I509" s="212">
        <f>ventas_b_mes4[[#This Row],[IMPORTE NETO]]*0.21</f>
        <v>1353.7187999999999</v>
      </c>
      <c r="J509" s="213"/>
      <c r="K509" s="213"/>
      <c r="L509" s="213">
        <f>SUM(ventas_b_mes4[[#This Row],[IMPORTE NETO]:[EXENTO]])</f>
        <v>7799.9987999999994</v>
      </c>
      <c r="M509" s="193"/>
    </row>
    <row r="510" spans="2:13">
      <c r="B510" s="205">
        <v>45043</v>
      </c>
      <c r="C510" s="41">
        <v>6</v>
      </c>
      <c r="D510" s="207">
        <v>5</v>
      </c>
      <c r="E510" s="208">
        <v>7814</v>
      </c>
      <c r="F510" s="209"/>
      <c r="G510" s="210" t="str">
        <f>IFERROR(IF(ventas_b_mes4[[#This Row],[CUIT]]="","-",VLOOKUP(ventas_b_mes4[[#This Row],[CUIT]],Lista_CUIT[#All],2,0)),"CUIT NO CARGADO")</f>
        <v>-</v>
      </c>
      <c r="H510" s="211">
        <v>15702.48</v>
      </c>
      <c r="I510" s="212">
        <f>ventas_b_mes4[[#This Row],[IMPORTE NETO]]*0.21</f>
        <v>3297.5207999999998</v>
      </c>
      <c r="J510" s="213"/>
      <c r="K510" s="213"/>
      <c r="L510" s="213">
        <f>SUM(ventas_b_mes4[[#This Row],[IMPORTE NETO]:[EXENTO]])</f>
        <v>19000.000799999998</v>
      </c>
      <c r="M510" s="193"/>
    </row>
    <row r="511" spans="2:13">
      <c r="B511" s="205">
        <v>45043</v>
      </c>
      <c r="C511" s="41">
        <v>6</v>
      </c>
      <c r="D511" s="207">
        <v>5</v>
      </c>
      <c r="E511" s="208">
        <v>7819</v>
      </c>
      <c r="F511" s="209"/>
      <c r="G511" s="210" t="str">
        <f>IFERROR(IF(ventas_b_mes4[[#This Row],[CUIT]]="","-",VLOOKUP(ventas_b_mes4[[#This Row],[CUIT]],Lista_CUIT[#All],2,0)),"CUIT NO CARGADO")</f>
        <v>-</v>
      </c>
      <c r="H511" s="211">
        <v>5619.83</v>
      </c>
      <c r="I511" s="212">
        <f>ventas_b_mes4[[#This Row],[IMPORTE NETO]]*0.21</f>
        <v>1180.1642999999999</v>
      </c>
      <c r="J511" s="213"/>
      <c r="K511" s="213"/>
      <c r="L511" s="213">
        <f>SUM(ventas_b_mes4[[#This Row],[IMPORTE NETO]:[EXENTO]])</f>
        <v>6799.9943000000003</v>
      </c>
      <c r="M511" s="193"/>
    </row>
    <row r="512" spans="2:13">
      <c r="B512" s="205">
        <v>45043</v>
      </c>
      <c r="C512" s="41">
        <v>6</v>
      </c>
      <c r="D512" s="207">
        <v>7</v>
      </c>
      <c r="E512" s="208">
        <v>4300</v>
      </c>
      <c r="F512" s="209"/>
      <c r="G512" s="210" t="str">
        <f>IFERROR(IF(ventas_b_mes4[[#This Row],[CUIT]]="","-",VLOOKUP(ventas_b_mes4[[#This Row],[CUIT]],Lista_CUIT[#All],2,0)),"CUIT NO CARGADO")</f>
        <v>-</v>
      </c>
      <c r="H512" s="211">
        <v>4132.2299999999996</v>
      </c>
      <c r="I512" s="212">
        <f>ventas_b_mes4[[#This Row],[IMPORTE NETO]]*0.21</f>
        <v>867.76829999999984</v>
      </c>
      <c r="J512" s="213"/>
      <c r="K512" s="213"/>
      <c r="L512" s="213">
        <f>SUM(ventas_b_mes4[[#This Row],[IMPORTE NETO]:[EXENTO]])</f>
        <v>4999.9982999999993</v>
      </c>
      <c r="M512" s="193"/>
    </row>
    <row r="513" spans="2:13">
      <c r="B513" s="205">
        <v>45043</v>
      </c>
      <c r="C513" s="41">
        <v>6</v>
      </c>
      <c r="D513" s="207">
        <v>7</v>
      </c>
      <c r="E513" s="208">
        <v>4307</v>
      </c>
      <c r="F513" s="209"/>
      <c r="G513" s="210" t="str">
        <f>IFERROR(IF(ventas_b_mes4[[#This Row],[CUIT]]="","-",VLOOKUP(ventas_b_mes4[[#This Row],[CUIT]],Lista_CUIT[#All],2,0)),"CUIT NO CARGADO")</f>
        <v>-</v>
      </c>
      <c r="H513" s="211">
        <v>4049.58</v>
      </c>
      <c r="I513" s="212">
        <f>ventas_b_mes4[[#This Row],[IMPORTE NETO]]*0.21</f>
        <v>850.41179999999997</v>
      </c>
      <c r="J513" s="213"/>
      <c r="K513" s="213"/>
      <c r="L513" s="213">
        <f>SUM(ventas_b_mes4[[#This Row],[IMPORTE NETO]:[EXENTO]])</f>
        <v>4899.9917999999998</v>
      </c>
      <c r="M513" s="193"/>
    </row>
    <row r="514" spans="2:13">
      <c r="B514" s="205">
        <v>45043</v>
      </c>
      <c r="C514" s="41">
        <v>6</v>
      </c>
      <c r="D514" s="207">
        <v>5</v>
      </c>
      <c r="E514" s="208">
        <v>7813</v>
      </c>
      <c r="F514" s="209"/>
      <c r="G514" s="210" t="str">
        <f>IFERROR(IF(ventas_b_mes4[[#This Row],[CUIT]]="","-",VLOOKUP(ventas_b_mes4[[#This Row],[CUIT]],Lista_CUIT[#All],2,0)),"CUIT NO CARGADO")</f>
        <v>-</v>
      </c>
      <c r="H514" s="211">
        <v>18181.82</v>
      </c>
      <c r="I514" s="212">
        <f>ventas_b_mes4[[#This Row],[IMPORTE NETO]]*0.21</f>
        <v>3818.1821999999997</v>
      </c>
      <c r="J514" s="213"/>
      <c r="K514" s="213"/>
      <c r="L514" s="213">
        <f>SUM(ventas_b_mes4[[#This Row],[IMPORTE NETO]:[EXENTO]])</f>
        <v>22000.002199999999</v>
      </c>
      <c r="M514" s="193"/>
    </row>
    <row r="515" spans="2:13">
      <c r="B515" s="205">
        <v>45043</v>
      </c>
      <c r="C515" s="41">
        <v>6</v>
      </c>
      <c r="D515" s="207">
        <v>7</v>
      </c>
      <c r="E515" s="208">
        <v>4302</v>
      </c>
      <c r="F515" s="209"/>
      <c r="G515" s="210" t="str">
        <f>IFERROR(IF(ventas_b_mes4[[#This Row],[CUIT]]="","-",VLOOKUP(ventas_b_mes4[[#This Row],[CUIT]],Lista_CUIT[#All],2,0)),"CUIT NO CARGADO")</f>
        <v>-</v>
      </c>
      <c r="H515" s="211">
        <v>5702.48</v>
      </c>
      <c r="I515" s="212">
        <f>ventas_b_mes4[[#This Row],[IMPORTE NETO]]*0.21</f>
        <v>1197.5207999999998</v>
      </c>
      <c r="J515" s="213"/>
      <c r="K515" s="213"/>
      <c r="L515" s="213">
        <f>SUM(ventas_b_mes4[[#This Row],[IMPORTE NETO]:[EXENTO]])</f>
        <v>6900.0007999999998</v>
      </c>
      <c r="M515" s="193"/>
    </row>
    <row r="516" spans="2:13">
      <c r="B516" s="205">
        <v>45043</v>
      </c>
      <c r="C516" s="41">
        <v>6</v>
      </c>
      <c r="D516" s="207">
        <v>5</v>
      </c>
      <c r="E516" s="208">
        <v>7815</v>
      </c>
      <c r="F516" s="209"/>
      <c r="G516" s="210" t="str">
        <f>IFERROR(IF(ventas_b_mes4[[#This Row],[CUIT]]="","-",VLOOKUP(ventas_b_mes4[[#This Row],[CUIT]],Lista_CUIT[#All],2,0)),"CUIT NO CARGADO")</f>
        <v>-</v>
      </c>
      <c r="H516" s="211">
        <v>2644.63</v>
      </c>
      <c r="I516" s="212">
        <f>ventas_b_mes4[[#This Row],[IMPORTE NETO]]*0.21</f>
        <v>555.3723</v>
      </c>
      <c r="J516" s="213"/>
      <c r="K516" s="213"/>
      <c r="L516" s="213">
        <f>SUM(ventas_b_mes4[[#This Row],[IMPORTE NETO]:[EXENTO]])</f>
        <v>3200.0023000000001</v>
      </c>
      <c r="M516" s="193"/>
    </row>
    <row r="517" spans="2:13">
      <c r="B517" s="205">
        <v>45043</v>
      </c>
      <c r="C517" s="41">
        <v>6</v>
      </c>
      <c r="D517" s="207">
        <v>7</v>
      </c>
      <c r="E517" s="208">
        <v>4299</v>
      </c>
      <c r="F517" s="209"/>
      <c r="G517" s="210" t="str">
        <f>IFERROR(IF(ventas_b_mes4[[#This Row],[CUIT]]="","-",VLOOKUP(ventas_b_mes4[[#This Row],[CUIT]],Lista_CUIT[#All],2,0)),"CUIT NO CARGADO")</f>
        <v>-</v>
      </c>
      <c r="H517" s="211">
        <v>3223.14</v>
      </c>
      <c r="I517" s="212">
        <f>ventas_b_mes4[[#This Row],[IMPORTE NETO]]*0.21</f>
        <v>676.85939999999994</v>
      </c>
      <c r="J517" s="213"/>
      <c r="K517" s="213"/>
      <c r="L517" s="213">
        <f>SUM(ventas_b_mes4[[#This Row],[IMPORTE NETO]:[EXENTO]])</f>
        <v>3899.9993999999997</v>
      </c>
      <c r="M517" s="193"/>
    </row>
    <row r="518" spans="2:13">
      <c r="B518" s="205">
        <v>45043</v>
      </c>
      <c r="C518" s="41">
        <v>6</v>
      </c>
      <c r="D518" s="207">
        <v>5</v>
      </c>
      <c r="E518" s="208">
        <v>7818</v>
      </c>
      <c r="F518" s="209"/>
      <c r="G518" s="210" t="str">
        <f>IFERROR(IF(ventas_b_mes4[[#This Row],[CUIT]]="","-",VLOOKUP(ventas_b_mes4[[#This Row],[CUIT]],Lista_CUIT[#All],2,0)),"CUIT NO CARGADO")</f>
        <v>-</v>
      </c>
      <c r="H518" s="211">
        <v>7768.6</v>
      </c>
      <c r="I518" s="212">
        <f>ventas_b_mes4[[#This Row],[IMPORTE NETO]]*0.21</f>
        <v>1631.4059999999999</v>
      </c>
      <c r="J518" s="213"/>
      <c r="K518" s="213"/>
      <c r="L518" s="213">
        <f>SUM(ventas_b_mes4[[#This Row],[IMPORTE NETO]:[EXENTO]])</f>
        <v>9400.0060000000012</v>
      </c>
      <c r="M518" s="193"/>
    </row>
    <row r="519" spans="2:13">
      <c r="B519" s="205">
        <v>45043</v>
      </c>
      <c r="C519" s="41">
        <v>6</v>
      </c>
      <c r="D519" s="207">
        <v>5</v>
      </c>
      <c r="E519" s="208">
        <v>7817</v>
      </c>
      <c r="F519" s="209"/>
      <c r="G519" s="210" t="str">
        <f>IFERROR(IF(ventas_b_mes4[[#This Row],[CUIT]]="","-",VLOOKUP(ventas_b_mes4[[#This Row],[CUIT]],Lista_CUIT[#All],2,0)),"CUIT NO CARGADO")</f>
        <v>-</v>
      </c>
      <c r="H519" s="211">
        <v>5619.83</v>
      </c>
      <c r="I519" s="212">
        <f>ventas_b_mes4[[#This Row],[IMPORTE NETO]]*0.21</f>
        <v>1180.1642999999999</v>
      </c>
      <c r="J519" s="213"/>
      <c r="K519" s="213"/>
      <c r="L519" s="213">
        <f>SUM(ventas_b_mes4[[#This Row],[IMPORTE NETO]:[EXENTO]])</f>
        <v>6799.9943000000003</v>
      </c>
      <c r="M519" s="193"/>
    </row>
    <row r="520" spans="2:13">
      <c r="B520" s="205">
        <v>45044</v>
      </c>
      <c r="C520" s="41">
        <v>6</v>
      </c>
      <c r="D520" s="207">
        <v>5</v>
      </c>
      <c r="E520" s="208">
        <v>7823</v>
      </c>
      <c r="F520" s="209"/>
      <c r="G520" s="210" t="str">
        <f>IFERROR(IF(ventas_b_mes4[[#This Row],[CUIT]]="","-",VLOOKUP(ventas_b_mes4[[#This Row],[CUIT]],Lista_CUIT[#All],2,0)),"CUIT NO CARGADO")</f>
        <v>-</v>
      </c>
      <c r="H520" s="211">
        <v>3884.3</v>
      </c>
      <c r="I520" s="212">
        <f>ventas_b_mes4[[#This Row],[IMPORTE NETO]]*0.21</f>
        <v>815.70299999999997</v>
      </c>
      <c r="J520" s="213"/>
      <c r="K520" s="213"/>
      <c r="L520" s="213">
        <f>SUM(ventas_b_mes4[[#This Row],[IMPORTE NETO]:[EXENTO]])</f>
        <v>4700.0030000000006</v>
      </c>
      <c r="M520" s="193"/>
    </row>
    <row r="521" spans="2:13">
      <c r="B521" s="205">
        <v>45044</v>
      </c>
      <c r="C521" s="41">
        <v>6</v>
      </c>
      <c r="D521" s="207">
        <v>5</v>
      </c>
      <c r="E521" s="208">
        <v>7824</v>
      </c>
      <c r="F521" s="209"/>
      <c r="G521" s="210" t="str">
        <f>IFERROR(IF(ventas_b_mes4[[#This Row],[CUIT]]="","-",VLOOKUP(ventas_b_mes4[[#This Row],[CUIT]],Lista_CUIT[#All],2,0)),"CUIT NO CARGADO")</f>
        <v>-</v>
      </c>
      <c r="H521" s="211">
        <v>8264.4599999999991</v>
      </c>
      <c r="I521" s="212">
        <f>ventas_b_mes4[[#This Row],[IMPORTE NETO]]*0.21</f>
        <v>1735.5365999999997</v>
      </c>
      <c r="J521" s="213"/>
      <c r="K521" s="213"/>
      <c r="L521" s="213">
        <f>SUM(ventas_b_mes4[[#This Row],[IMPORTE NETO]:[EXENTO]])</f>
        <v>9999.9965999999986</v>
      </c>
      <c r="M521" s="193"/>
    </row>
    <row r="522" spans="2:13">
      <c r="B522" s="205">
        <v>45044</v>
      </c>
      <c r="C522" s="41">
        <v>6</v>
      </c>
      <c r="D522" s="207">
        <v>5</v>
      </c>
      <c r="E522" s="208">
        <v>7821</v>
      </c>
      <c r="F522" s="209"/>
      <c r="G522" s="210" t="str">
        <f>IFERROR(IF(ventas_b_mes4[[#This Row],[CUIT]]="","-",VLOOKUP(ventas_b_mes4[[#This Row],[CUIT]],Lista_CUIT[#All],2,0)),"CUIT NO CARGADO")</f>
        <v>-</v>
      </c>
      <c r="H522" s="211">
        <v>5371.9</v>
      </c>
      <c r="I522" s="212">
        <f>ventas_b_mes4[[#This Row],[IMPORTE NETO]]*0.21</f>
        <v>1128.0989999999999</v>
      </c>
      <c r="J522" s="213"/>
      <c r="K522" s="213"/>
      <c r="L522" s="213">
        <f>SUM(ventas_b_mes4[[#This Row],[IMPORTE NETO]:[EXENTO]])</f>
        <v>6499.9989999999998</v>
      </c>
      <c r="M522" s="193"/>
    </row>
    <row r="523" spans="2:13">
      <c r="B523" s="205">
        <v>45044</v>
      </c>
      <c r="C523" s="41">
        <v>6</v>
      </c>
      <c r="D523" s="207">
        <v>5</v>
      </c>
      <c r="E523" s="208">
        <v>7820</v>
      </c>
      <c r="F523" s="209"/>
      <c r="G523" s="210" t="str">
        <f>IFERROR(IF(ventas_b_mes4[[#This Row],[CUIT]]="","-",VLOOKUP(ventas_b_mes4[[#This Row],[CUIT]],Lista_CUIT[#All],2,0)),"CUIT NO CARGADO")</f>
        <v>-</v>
      </c>
      <c r="H523" s="211">
        <v>1239.67</v>
      </c>
      <c r="I523" s="212">
        <f>ventas_b_mes4[[#This Row],[IMPORTE NETO]]*0.21</f>
        <v>260.33069999999998</v>
      </c>
      <c r="J523" s="213"/>
      <c r="K523" s="213"/>
      <c r="L523" s="213">
        <f>SUM(ventas_b_mes4[[#This Row],[IMPORTE NETO]:[EXENTO]])</f>
        <v>1500.0007000000001</v>
      </c>
      <c r="M523" s="193"/>
    </row>
    <row r="524" spans="2:13">
      <c r="B524" s="205">
        <v>45044</v>
      </c>
      <c r="C524" s="41">
        <v>6</v>
      </c>
      <c r="D524" s="207">
        <v>5</v>
      </c>
      <c r="E524" s="208">
        <v>7822</v>
      </c>
      <c r="F524" s="209"/>
      <c r="G524" s="210" t="str">
        <f>IFERROR(IF(ventas_b_mes4[[#This Row],[CUIT]]="","-",VLOOKUP(ventas_b_mes4[[#This Row],[CUIT]],Lista_CUIT[#All],2,0)),"CUIT NO CARGADO")</f>
        <v>-</v>
      </c>
      <c r="H524" s="211">
        <v>4132.2299999999996</v>
      </c>
      <c r="I524" s="212">
        <f>ventas_b_mes4[[#This Row],[IMPORTE NETO]]*0.21</f>
        <v>867.76829999999984</v>
      </c>
      <c r="J524" s="213"/>
      <c r="K524" s="213"/>
      <c r="L524" s="213">
        <f>SUM(ventas_b_mes4[[#This Row],[IMPORTE NETO]:[EXENTO]])</f>
        <v>4999.9982999999993</v>
      </c>
      <c r="M524" s="193"/>
    </row>
    <row r="525" spans="2:13">
      <c r="B525" s="205">
        <v>45020</v>
      </c>
      <c r="C525" s="206">
        <v>8</v>
      </c>
      <c r="D525" s="207">
        <v>7</v>
      </c>
      <c r="E525" s="208">
        <v>136</v>
      </c>
      <c r="F525" s="209">
        <v>30590354798</v>
      </c>
      <c r="G525" s="210" t="str">
        <f>IFERROR(IF(ventas_b_mes4[[#This Row],[CUIT]]="","-",VLOOKUP(ventas_b_mes4[[#This Row],[CUIT]],Lista_CUIT[#All],2,0)),"CUIT NO CARGADO")</f>
        <v>ASOC. MUTUAL SANCOR SALUD</v>
      </c>
      <c r="H525" s="211">
        <v>-4087.13</v>
      </c>
      <c r="I525" s="212">
        <f>ventas_b_mes4[[#This Row],[IMPORTE NETO]]*0.21</f>
        <v>-858.29729999999995</v>
      </c>
      <c r="J525" s="213"/>
      <c r="K525" s="213"/>
      <c r="L525" s="213">
        <f>SUM(ventas_b_mes4[[#This Row],[IMPORTE NETO]:[EXENTO]])</f>
        <v>-4945.4273000000003</v>
      </c>
      <c r="M525" s="193"/>
    </row>
    <row r="526" spans="2:13">
      <c r="B526" s="205">
        <v>45021</v>
      </c>
      <c r="C526" s="206">
        <v>8</v>
      </c>
      <c r="D526" s="207">
        <v>5</v>
      </c>
      <c r="E526" s="208">
        <v>111</v>
      </c>
      <c r="F526" s="209"/>
      <c r="G526" s="210" t="str">
        <f>IFERROR(IF(ventas_b_mes4[[#This Row],[CUIT]]="","-",VLOOKUP(ventas_b_mes4[[#This Row],[CUIT]],Lista_CUIT[#All],2,0)),"CUIT NO CARGADO")</f>
        <v>-</v>
      </c>
      <c r="H526" s="211">
        <v>-21074.38</v>
      </c>
      <c r="I526" s="212">
        <f>ventas_b_mes4[[#This Row],[IMPORTE NETO]]*0.21</f>
        <v>-4425.6198000000004</v>
      </c>
      <c r="J526" s="213"/>
      <c r="K526" s="213"/>
      <c r="L526" s="213">
        <f>SUM(ventas_b_mes4[[#This Row],[IMPORTE NETO]:[EXENTO]])</f>
        <v>-25499.999800000001</v>
      </c>
      <c r="M526" s="193"/>
    </row>
    <row r="527" spans="2:13" ht="15.75" thickBot="1">
      <c r="B527" s="178" t="s">
        <v>110</v>
      </c>
      <c r="C527" s="179"/>
      <c r="D527" s="179"/>
      <c r="E527" s="179"/>
      <c r="F527" s="179"/>
      <c r="G527" s="179"/>
      <c r="H527" s="203">
        <f>SUBTOTAL(109,ventas_b_mes4[IMPORTE NETO])</f>
        <v>2558641.8699999996</v>
      </c>
      <c r="I527" s="203">
        <f>SUBTOTAL(109,ventas_b_mes4[IVA 21%])</f>
        <v>537314.79269999976</v>
      </c>
      <c r="J527" s="204">
        <f>SUBTOTAL(109,ventas_b_mes4[IVA 10,5%])</f>
        <v>0</v>
      </c>
      <c r="K527" s="204">
        <f>SUBTOTAL(109,ventas_b_mes4[EXENTO])</f>
        <v>0</v>
      </c>
      <c r="L527" s="204">
        <f>SUBTOTAL(109,ventas_b_mes4[TOTAL])</f>
        <v>3095956.6627000007</v>
      </c>
      <c r="M527" s="183">
        <f>SUBTOTAL(103,ventas_b_mes4[Provincia])</f>
        <v>0</v>
      </c>
    </row>
    <row r="528" spans="2:13" ht="15.75" thickTop="1">
      <c r="C528" s="663" t="s">
        <v>66</v>
      </c>
      <c r="D528" s="663"/>
      <c r="E528" s="663"/>
      <c r="F528" s="663"/>
      <c r="G528" s="663"/>
      <c r="H528" s="32"/>
      <c r="I528" s="32"/>
      <c r="J528" s="32"/>
    </row>
    <row r="529" spans="3:12" ht="15.75">
      <c r="C529" s="113" t="s">
        <v>67</v>
      </c>
      <c r="D529" s="114" t="s">
        <v>68</v>
      </c>
      <c r="E529" s="114" t="s">
        <v>112</v>
      </c>
      <c r="F529" s="114" t="s">
        <v>3</v>
      </c>
      <c r="G529" s="114" t="s">
        <v>4</v>
      </c>
      <c r="H529" s="115" t="s">
        <v>69</v>
      </c>
      <c r="I529" s="115" t="s">
        <v>70</v>
      </c>
      <c r="J529" s="115" t="s">
        <v>71</v>
      </c>
      <c r="K529" s="115" t="s">
        <v>72</v>
      </c>
      <c r="L529" s="115" t="s">
        <v>73</v>
      </c>
    </row>
    <row r="530" spans="3:12">
      <c r="C530" s="116">
        <v>44992</v>
      </c>
      <c r="D530" s="117">
        <v>90563</v>
      </c>
      <c r="E530" s="117"/>
      <c r="F530" s="118">
        <v>30710657250</v>
      </c>
      <c r="G530" s="53" t="str">
        <f>IFERROR(IF(Retenciones_mes4[[#This Row],[CUIT]]="","-",VLOOKUP(Retenciones_mes4[[#This Row],[CUIT]],Lista_CUIT[#All],2,0)),"CUIT NO CARGADO")</f>
        <v>FRATERNA COOPERRATIVA DE PROVISION DE SERVICIOS LIMITADA</v>
      </c>
      <c r="H530" s="119">
        <v>1000</v>
      </c>
      <c r="I530" s="119"/>
      <c r="J530" s="119">
        <v>914.09</v>
      </c>
      <c r="K530" s="119"/>
      <c r="L530" s="119"/>
    </row>
    <row r="531" spans="3:12">
      <c r="C531" s="116">
        <v>45020</v>
      </c>
      <c r="D531" s="117">
        <v>334</v>
      </c>
      <c r="E531" s="117"/>
      <c r="F531" s="118">
        <v>30522428163</v>
      </c>
      <c r="G531" s="53" t="str">
        <f>IFERROR(IF(Retenciones_mes4[[#This Row],[CUIT]]="","-",VLOOKUP(Retenciones_mes4[[#This Row],[CUIT]],Lista_CUIT[#All],2,0)),"CUIT NO CARGADO")</f>
        <v>GALENO ARGENTINA SA</v>
      </c>
      <c r="H531" s="119">
        <v>4398512.4000000004</v>
      </c>
      <c r="I531" s="119">
        <v>923687.6</v>
      </c>
      <c r="J531" s="119"/>
      <c r="K531" s="119"/>
      <c r="L531" s="119"/>
    </row>
    <row r="532" spans="3:12">
      <c r="C532" s="116"/>
      <c r="D532" s="117">
        <v>11696</v>
      </c>
      <c r="E532" s="117"/>
      <c r="F532" s="118"/>
      <c r="G532" s="53" t="str">
        <f>IFERROR(IF(Retenciones_mes4[[#This Row],[CUIT]]="","-",VLOOKUP(Retenciones_mes4[[#This Row],[CUIT]],Lista_CUIT[#All],2,0)),"CUIT NO CARGADO")</f>
        <v>-</v>
      </c>
      <c r="H532" s="119"/>
      <c r="I532" s="119"/>
      <c r="J532" s="119"/>
      <c r="K532" s="119"/>
      <c r="L532" s="119"/>
    </row>
    <row r="533" spans="3:12">
      <c r="C533" s="116"/>
      <c r="D533" s="117">
        <v>11697</v>
      </c>
      <c r="E533" s="117"/>
      <c r="F533" s="118"/>
      <c r="G533" s="53" t="str">
        <f>IFERROR(IF(Retenciones_mes4[[#This Row],[CUIT]]="","-",VLOOKUP(Retenciones_mes4[[#This Row],[CUIT]],Lista_CUIT[#All],2,0)),"CUIT NO CARGADO")</f>
        <v>-</v>
      </c>
      <c r="H533" s="119"/>
      <c r="I533" s="119"/>
      <c r="J533" s="119"/>
      <c r="K533" s="119"/>
      <c r="L533" s="119"/>
    </row>
    <row r="534" spans="3:12">
      <c r="D534" s="117">
        <v>11698</v>
      </c>
      <c r="E534" s="117"/>
      <c r="G534" s="53" t="str">
        <f>IFERROR(IF(Retenciones_mes4[[#This Row],[CUIT]]="","-",VLOOKUP(Retenciones_mes4[[#This Row],[CUIT]],Lista_CUIT[#All],2,0)),"CUIT NO CARGADO")</f>
        <v>-</v>
      </c>
    </row>
    <row r="535" spans="3:12">
      <c r="C535" s="33"/>
    </row>
  </sheetData>
  <mergeCells count="20">
    <mergeCell ref="C528:G528"/>
    <mergeCell ref="B4:E4"/>
    <mergeCell ref="G4:H4"/>
    <mergeCell ref="J4:K4"/>
    <mergeCell ref="M4:N4"/>
    <mergeCell ref="D139:K139"/>
    <mergeCell ref="B194:J194"/>
    <mergeCell ref="K194:M194"/>
    <mergeCell ref="B196:C196"/>
    <mergeCell ref="B262:C262"/>
    <mergeCell ref="P4:R4"/>
    <mergeCell ref="D131:L13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64:L526">
      <formula1>IF($C264=8,H264&lt;0,H264&gt;=0)</formula1>
    </dataValidation>
    <dataValidation type="custom" allowBlank="1" showInputMessage="1" showErrorMessage="1" sqref="L200:L202">
      <formula1>IF($C63=3,L63&lt;0,L63&gt;=0)</formula1>
    </dataValidation>
    <dataValidation type="custom" allowBlank="1" showInputMessage="1" showErrorMessage="1" sqref="L198:L199">
      <formula1>IF($C9=3,L9&lt;0,L9&gt;=0)</formula1>
    </dataValidation>
    <dataValidation type="whole" allowBlank="1" showInputMessage="1" showErrorMessage="1" sqref="C264:C526">
      <formula1>6</formula1>
      <formula2>8</formula2>
    </dataValidation>
    <dataValidation type="custom" allowBlank="1" showInputMessage="1" showErrorMessage="1" sqref="H198:K198 H200:K200 H202:K202 H204:K204">
      <formula1>IF($C198=3,H198&lt;0,H198&gt;=0)</formula1>
    </dataValidation>
    <dataValidation type="whole" allowBlank="1" showInputMessage="1" showErrorMessage="1" sqref="C127:C130 C198:C260 C9:C125">
      <formula1>1</formula1>
      <formula2>3</formula2>
    </dataValidation>
    <dataValidation type="date" allowBlank="1" showInputMessage="1" showErrorMessage="1" sqref="D141:D187 B127:B130 B198:B260 B264:B526 D133:D135 B9:B125">
      <formula1>40179</formula1>
      <formula2>TODAY()</formula2>
    </dataValidation>
    <dataValidation type="whole" allowBlank="1" showInputMessage="1" showErrorMessage="1" sqref="G141:G187 F198:F260 F264:F526 F9:F125">
      <formula1>20000000000</formula1>
      <formula2>33999999999</formula2>
    </dataValidation>
    <dataValidation type="whole" allowBlank="1" showInputMessage="1" showErrorMessage="1" sqref="F141:F187 E198:E260 E264:E526 E9:E125">
      <formula1>1</formula1>
      <formula2>99999999</formula2>
    </dataValidation>
    <dataValidation type="whole" allowBlank="1" showInputMessage="1" showErrorMessage="1" sqref="E141:E187 D198:D260 D264:D526 D9:D125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63:N65 J9:O62 J66:O125 H9:I125">
      <formula1>IF($C9=3,H9&lt;0,H9&gt;=0)</formula1>
    </dataValidation>
    <dataValidation type="custom" allowBlank="1" showInputMessage="1" showErrorMessage="1" sqref="L203:L204">
      <formula1>IF($C126=3,L126&lt;0,L126&gt;=0)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theme="9" tint="0.79998168889431442"/>
  </sheetPr>
  <dimension ref="A1:Z566"/>
  <sheetViews>
    <sheetView showGridLines="0" topLeftCell="E1" zoomScale="85" zoomScaleNormal="85" workbookViewId="0">
      <selection activeCell="H117" activeCellId="1" sqref="O117 H117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21" customWidth="1"/>
    <col min="7" max="7" width="19" customWidth="1"/>
    <col min="8" max="8" width="24.5703125" customWidth="1"/>
    <col min="9" max="9" width="17.5703125" customWidth="1"/>
    <col min="10" max="10" width="17.85546875" customWidth="1"/>
    <col min="11" max="11" width="16.28515625" customWidth="1"/>
    <col min="12" max="12" width="18.42578125" bestFit="1" customWidth="1"/>
    <col min="13" max="13" width="15.85546875" customWidth="1"/>
    <col min="14" max="14" width="12.5703125" customWidth="1"/>
    <col min="15" max="15" width="18.5703125" customWidth="1"/>
    <col min="16" max="16" width="23.140625" customWidth="1"/>
    <col min="17" max="17" width="26.285156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EDATE('Ene-24'!N1,4)</f>
        <v>45413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SUM(compras_mes5[[#Totals],[NETO GRAVADO]])+extracto_banco_mes5[[#Totals],[NETO]]</f>
        <v>46736445.739999995</v>
      </c>
      <c r="C4" s="671"/>
      <c r="D4" s="671"/>
      <c r="E4" s="671"/>
      <c r="F4" s="39"/>
      <c r="G4" s="672">
        <f>compras_mes5[[#Totals],[IVA 21 %]]+compras_mes5[[#Totals],[IVA 27%]]+compras_mes5[[#Totals],[IVA 10,5%]]+extracto_banco_mes5[[#Totals],[IVA 21%]]+extracto_banco_mes5[[#Totals],[IVA 10,5%]]</f>
        <v>9659828.1843999978</v>
      </c>
      <c r="H4" s="672"/>
      <c r="I4" s="39"/>
      <c r="J4" s="661">
        <f>venta_a_mes5[[#Totals],[IMPORTE NETO]]+ventas_b_mes5[[#Totals],[IMPORTE NETO]]</f>
        <v>0</v>
      </c>
      <c r="K4" s="661"/>
      <c r="L4" s="39"/>
      <c r="M4" s="661">
        <f>venta_a_mes5[[#Totals],[IVA 21%]]+venta_a_mes5[[#Totals],[IVA 10,5%]]+ventas_b_mes5[[#Totals],[IVA 21%]]+ventas_b_mes5[[#Totals],[IVA 10,5%]]</f>
        <v>0</v>
      </c>
      <c r="N4" s="661"/>
      <c r="O4" s="39"/>
      <c r="P4" s="674">
        <f>G4-M4</f>
        <v>9659828.1843999978</v>
      </c>
      <c r="Q4" s="675"/>
      <c r="R4" s="675"/>
    </row>
    <row r="5" spans="1:26" ht="13.35" customHeight="1"/>
    <row r="6" spans="1:26" ht="21" customHeight="1">
      <c r="G6" s="242"/>
    </row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223">
        <v>45421</v>
      </c>
      <c r="C9" s="41">
        <v>1</v>
      </c>
      <c r="D9" s="225">
        <v>12</v>
      </c>
      <c r="E9" s="226">
        <v>1729333</v>
      </c>
      <c r="F9" s="227">
        <v>30709776564</v>
      </c>
      <c r="G9" s="228" t="str">
        <f>IFERROR(IF(compras_mes5[[#This Row],[CUIT]]="","-",VLOOKUP(compras_mes5[[#This Row],[CUIT]],Lista_CUIT[#All],2,0)),"CUIT NO CARGADO")</f>
        <v>PROSEGUR ACTIVA ARG SA</v>
      </c>
      <c r="H9" s="229">
        <v>96636.52</v>
      </c>
      <c r="I9" s="222">
        <f>IF(compras_mes5[[#This Row],[NETO GRAVADO]]="","",compras_mes5[[#This Row],[NETO GRAVADO]]*0.21)</f>
        <v>20293.6692</v>
      </c>
      <c r="J9" s="222"/>
      <c r="K9" s="222"/>
      <c r="L9" s="222"/>
      <c r="M9" s="222"/>
      <c r="N9" s="222"/>
      <c r="O9" s="222">
        <v>0</v>
      </c>
      <c r="P9" s="230">
        <f>SUM(compras_mes5[[#This Row],[NETO GRAVADO]:[Otros / No Grav.]])</f>
        <v>116930.18920000001</v>
      </c>
      <c r="Q9" s="231" t="str">
        <f>IFERROR(IF(compras_mes5[[#This Row],[CUIT]]="","-",VLOOKUP(compras_mes5[[#This Row],[CUIT]],Lista_CUIT[#All],3,0)),"CUIT NO CARGADO")</f>
        <v>Servicio Seguridad</v>
      </c>
      <c r="R9" s="231">
        <f>IFERROR(IF(compras_mes5[[#This Row],[CUIT]]="","-",VLOOKUP(compras_mes5[[#This Row],[CUIT]],Lista_CUIT[#All],4,0)),"CUIT NO CARGADO")</f>
        <v>0</v>
      </c>
    </row>
    <row r="10" spans="1:26">
      <c r="B10" s="223">
        <v>45413</v>
      </c>
      <c r="C10" s="41">
        <v>1</v>
      </c>
      <c r="D10" s="225">
        <v>2</v>
      </c>
      <c r="E10" s="226">
        <v>208</v>
      </c>
      <c r="F10" s="227">
        <v>30605344352</v>
      </c>
      <c r="G10" s="228" t="str">
        <f>IFERROR(IF(compras_mes5[[#This Row],[CUIT]]="","-",VLOOKUP(compras_mes5[[#This Row],[CUIT]],Lista_CUIT[#All],2,0)),"CUIT NO CARGADO")</f>
        <v>CONSORCIO BARTOLME MITRE 2466</v>
      </c>
      <c r="H10" s="229">
        <v>575000</v>
      </c>
      <c r="I10" s="222">
        <f>IF(compras_mes5[[#This Row],[NETO GRAVADO]]="","",compras_mes5[[#This Row],[NETO GRAVADO]]*0.21)</f>
        <v>120750</v>
      </c>
      <c r="J10" s="222"/>
      <c r="K10" s="222"/>
      <c r="L10" s="222"/>
      <c r="M10" s="222"/>
      <c r="N10" s="222"/>
      <c r="O10" s="222">
        <v>0</v>
      </c>
      <c r="P10" s="230">
        <f>SUM(compras_mes5[[#This Row],[NETO GRAVADO]:[Otros / No Grav.]])</f>
        <v>695750</v>
      </c>
      <c r="Q10" s="231" t="str">
        <f>IFERROR(IF(compras_mes5[[#This Row],[CUIT]]="","-",VLOOKUP(compras_mes5[[#This Row],[CUIT]],Lista_CUIT[#All],3,0)),"CUIT NO CARGADO")</f>
        <v>ALQUILERES PAGADOS</v>
      </c>
      <c r="R10" s="231">
        <f>IFERROR(IF(compras_mes5[[#This Row],[CUIT]]="","-",VLOOKUP(compras_mes5[[#This Row],[CUIT]],Lista_CUIT[#All],4,0)),"CUIT NO CARGADO")</f>
        <v>0</v>
      </c>
    </row>
    <row r="11" spans="1:26">
      <c r="B11" s="223">
        <v>45415</v>
      </c>
      <c r="C11" s="41">
        <v>1</v>
      </c>
      <c r="D11" s="225">
        <v>1001</v>
      </c>
      <c r="E11" s="226">
        <v>413</v>
      </c>
      <c r="F11" s="227">
        <v>30707370552</v>
      </c>
      <c r="G11" s="228" t="str">
        <f>IFERROR(IF(compras_mes5[[#This Row],[CUIT]]="","-",VLOOKUP(compras_mes5[[#This Row],[CUIT]],Lista_CUIT[#All],2,0)),"CUIT NO CARGADO")</f>
        <v>RAKE SA</v>
      </c>
      <c r="H11" s="229">
        <v>732768.6</v>
      </c>
      <c r="I11" s="222">
        <f>IF(compras_mes5[[#This Row],[NETO GRAVADO]]="","",compras_mes5[[#This Row],[NETO GRAVADO]]*0.21)</f>
        <v>153881.40599999999</v>
      </c>
      <c r="J11" s="222"/>
      <c r="K11" s="222"/>
      <c r="L11" s="222"/>
      <c r="M11" s="222"/>
      <c r="N11" s="222"/>
      <c r="O11" s="222">
        <v>0</v>
      </c>
      <c r="P11" s="230">
        <f>SUM(compras_mes5[[#This Row],[NETO GRAVADO]:[Otros / No Grav.]])</f>
        <v>886650.00599999994</v>
      </c>
      <c r="Q11" s="231" t="str">
        <f>IFERROR(IF(compras_mes5[[#This Row],[CUIT]]="","-",VLOOKUP(compras_mes5[[#This Row],[CUIT]],Lista_CUIT[#All],3,0)),"CUIT NO CARGADO")</f>
        <v>ALQUILERES PAGADOS</v>
      </c>
      <c r="R11" s="231">
        <f>IFERROR(IF(compras_mes5[[#This Row],[CUIT]]="","-",VLOOKUP(compras_mes5[[#This Row],[CUIT]],Lista_CUIT[#All],4,0)),"CUIT NO CARGADO")</f>
        <v>0</v>
      </c>
    </row>
    <row r="12" spans="1:26">
      <c r="B12" s="223">
        <v>45415</v>
      </c>
      <c r="C12" s="41">
        <v>1</v>
      </c>
      <c r="D12" s="225">
        <v>1001</v>
      </c>
      <c r="E12" s="226">
        <v>412</v>
      </c>
      <c r="F12" s="227">
        <v>30707370552</v>
      </c>
      <c r="G12" s="228" t="str">
        <f>IFERROR(IF(compras_mes5[[#This Row],[CUIT]]="","-",VLOOKUP(compras_mes5[[#This Row],[CUIT]],Lista_CUIT[#All],2,0)),"CUIT NO CARGADO")</f>
        <v>RAKE SA</v>
      </c>
      <c r="H12" s="229">
        <v>380702.48</v>
      </c>
      <c r="I12" s="222">
        <f>IF(compras_mes5[[#This Row],[NETO GRAVADO]]="","",compras_mes5[[#This Row],[NETO GRAVADO]]*0.21)</f>
        <v>79947.520799999998</v>
      </c>
      <c r="J12" s="222"/>
      <c r="K12" s="222"/>
      <c r="L12" s="222"/>
      <c r="M12" s="222"/>
      <c r="N12" s="222"/>
      <c r="O12" s="222">
        <v>0</v>
      </c>
      <c r="P12" s="230">
        <f>SUM(compras_mes5[[#This Row],[NETO GRAVADO]:[Otros / No Grav.]])</f>
        <v>460650.00079999998</v>
      </c>
      <c r="Q12" s="231" t="str">
        <f>IFERROR(IF(compras_mes5[[#This Row],[CUIT]]="","-",VLOOKUP(compras_mes5[[#This Row],[CUIT]],Lista_CUIT[#All],3,0)),"CUIT NO CARGADO")</f>
        <v>ALQUILERES PAGADOS</v>
      </c>
      <c r="R12" s="231">
        <f>IFERROR(IF(compras_mes5[[#This Row],[CUIT]]="","-",VLOOKUP(compras_mes5[[#This Row],[CUIT]],Lista_CUIT[#All],4,0)),"CUIT NO CARGADO")</f>
        <v>0</v>
      </c>
    </row>
    <row r="13" spans="1:26">
      <c r="B13" s="223">
        <v>45435</v>
      </c>
      <c r="C13" s="41">
        <v>1</v>
      </c>
      <c r="D13" s="225">
        <v>32</v>
      </c>
      <c r="E13" s="226">
        <v>12772</v>
      </c>
      <c r="F13" s="227">
        <v>30707304886</v>
      </c>
      <c r="G13" s="228" t="str">
        <f>IFERROR(IF(compras_mes5[[#This Row],[CUIT]]="","-",VLOOKUP(compras_mes5[[#This Row],[CUIT]],Lista_CUIT[#All],2,0)),"CUIT NO CARGADO")</f>
        <v>ARMORAUT SA</v>
      </c>
      <c r="H13" s="229">
        <v>312047.92</v>
      </c>
      <c r="I13" s="222">
        <f>IF(compras_mes5[[#This Row],[NETO GRAVADO]]="","",compras_mes5[[#This Row],[NETO GRAVADO]]*0.21)</f>
        <v>65530.063199999997</v>
      </c>
      <c r="J13" s="222"/>
      <c r="K13" s="222"/>
      <c r="L13" s="222"/>
      <c r="M13" s="222"/>
      <c r="N13" s="222"/>
      <c r="O13" s="660"/>
      <c r="P13" s="230">
        <f>SUM(compras_mes5[[#This Row],[NETO GRAVADO]:[Otros / No Grav.]])</f>
        <v>377577.98319999996</v>
      </c>
      <c r="Q13" s="231" t="str">
        <f>IFERROR(IF(compras_mes5[[#This Row],[CUIT]]="","-",VLOOKUP(compras_mes5[[#This Row],[CUIT]],Lista_CUIT[#All],3,0)),"CUIT NO CARGADO")</f>
        <v>COMBUSTIBLE</v>
      </c>
      <c r="R13" s="231">
        <f>IFERROR(IF(compras_mes5[[#This Row],[CUIT]]="","-",VLOOKUP(compras_mes5[[#This Row],[CUIT]],Lista_CUIT[#All],4,0)),"CUIT NO CARGADO")</f>
        <v>0</v>
      </c>
    </row>
    <row r="14" spans="1:26">
      <c r="B14" s="223">
        <v>45414</v>
      </c>
      <c r="C14" s="41">
        <v>1</v>
      </c>
      <c r="D14" s="225">
        <v>24</v>
      </c>
      <c r="E14" s="226">
        <v>16844</v>
      </c>
      <c r="F14" s="227">
        <v>20139793170</v>
      </c>
      <c r="G14" s="228" t="str">
        <f>IFERROR(IF(compras_mes5[[#This Row],[CUIT]]="","-",VLOOKUP(compras_mes5[[#This Row],[CUIT]],Lista_CUIT[#All],2,0)),"CUIT NO CARGADO")</f>
        <v>IACONO JUAN</v>
      </c>
      <c r="H14" s="229">
        <v>73686.05</v>
      </c>
      <c r="I14" s="222">
        <f>IF(compras_mes5[[#This Row],[NETO GRAVADO]]="","",compras_mes5[[#This Row],[NETO GRAVADO]]*0.21)</f>
        <v>15474.0705</v>
      </c>
      <c r="J14" s="222"/>
      <c r="K14" s="222"/>
      <c r="L14" s="222"/>
      <c r="M14" s="222"/>
      <c r="N14" s="222"/>
      <c r="O14" s="222">
        <v>0</v>
      </c>
      <c r="P14" s="230">
        <f>SUM(compras_mes5[[#This Row],[NETO GRAVADO]:[Otros / No Grav.]])</f>
        <v>89160.120500000005</v>
      </c>
      <c r="Q14" s="231" t="str">
        <f>IFERROR(IF(compras_mes5[[#This Row],[CUIT]]="","-",VLOOKUP(compras_mes5[[#This Row],[CUIT]],Lista_CUIT[#All],3,0)),"CUIT NO CARGADO")</f>
        <v>COMBUSTIBLE</v>
      </c>
      <c r="R14" s="231">
        <f>IFERROR(IF(compras_mes5[[#This Row],[CUIT]]="","-",VLOOKUP(compras_mes5[[#This Row],[CUIT]],Lista_CUIT[#All],4,0)),"CUIT NO CARGADO")</f>
        <v>0</v>
      </c>
    </row>
    <row r="15" spans="1:26">
      <c r="B15" s="223">
        <v>45420</v>
      </c>
      <c r="C15" s="41">
        <v>1</v>
      </c>
      <c r="D15" s="225">
        <v>24</v>
      </c>
      <c r="E15" s="226">
        <v>16988</v>
      </c>
      <c r="F15" s="227">
        <v>20139793170</v>
      </c>
      <c r="G15" s="228" t="str">
        <f>IFERROR(IF(compras_mes5[[#This Row],[CUIT]]="","-",VLOOKUP(compras_mes5[[#This Row],[CUIT]],Lista_CUIT[#All],2,0)),"CUIT NO CARGADO")</f>
        <v>IACONO JUAN</v>
      </c>
      <c r="H15" s="229">
        <v>63347</v>
      </c>
      <c r="I15" s="222">
        <f>IF(compras_mes5[[#This Row],[NETO GRAVADO]]="","",compras_mes5[[#This Row],[NETO GRAVADO]]*0.21)</f>
        <v>13302.869999999999</v>
      </c>
      <c r="J15" s="222"/>
      <c r="K15" s="222"/>
      <c r="L15" s="222"/>
      <c r="M15" s="222"/>
      <c r="N15" s="222"/>
      <c r="O15" s="222">
        <v>0</v>
      </c>
      <c r="P15" s="230">
        <f>SUM(compras_mes5[[#This Row],[NETO GRAVADO]:[Otros / No Grav.]])</f>
        <v>76649.87</v>
      </c>
      <c r="Q15" s="231" t="str">
        <f>IFERROR(IF(compras_mes5[[#This Row],[CUIT]]="","-",VLOOKUP(compras_mes5[[#This Row],[CUIT]],Lista_CUIT[#All],3,0)),"CUIT NO CARGADO")</f>
        <v>COMBUSTIBLE</v>
      </c>
      <c r="R15" s="231">
        <f>IFERROR(IF(compras_mes5[[#This Row],[CUIT]]="","-",VLOOKUP(compras_mes5[[#This Row],[CUIT]],Lista_CUIT[#All],4,0)),"CUIT NO CARGADO")</f>
        <v>0</v>
      </c>
    </row>
    <row r="16" spans="1:26">
      <c r="B16" s="223">
        <v>45433</v>
      </c>
      <c r="C16" s="224">
        <v>1</v>
      </c>
      <c r="D16" s="225">
        <v>24</v>
      </c>
      <c r="E16" s="226">
        <v>17305</v>
      </c>
      <c r="F16" s="227">
        <v>20139793170</v>
      </c>
      <c r="G16" s="228" t="str">
        <f>IFERROR(IF(compras_mes5[[#This Row],[CUIT]]="","-",VLOOKUP(compras_mes5[[#This Row],[CUIT]],Lista_CUIT[#All],2,0)),"CUIT NO CARGADO")</f>
        <v>IACONO JUAN</v>
      </c>
      <c r="H16" s="229">
        <v>31020.52</v>
      </c>
      <c r="I16" s="222">
        <f>IF(compras_mes5[[#This Row],[NETO GRAVADO]]="","",compras_mes5[[#This Row],[NETO GRAVADO]]*0.21)</f>
        <v>6514.3091999999997</v>
      </c>
      <c r="J16" s="222"/>
      <c r="K16" s="222"/>
      <c r="L16" s="222"/>
      <c r="M16" s="222"/>
      <c r="N16" s="222"/>
      <c r="O16" s="222">
        <v>0</v>
      </c>
      <c r="P16" s="230">
        <f>SUM(compras_mes5[[#This Row],[NETO GRAVADO]:[Otros / No Grav.]])</f>
        <v>37534.8292</v>
      </c>
      <c r="Q16" s="231" t="str">
        <f>IFERROR(IF(compras_mes5[[#This Row],[CUIT]]="","-",VLOOKUP(compras_mes5[[#This Row],[CUIT]],Lista_CUIT[#All],3,0)),"CUIT NO CARGADO")</f>
        <v>COMBUSTIBLE</v>
      </c>
      <c r="R16" s="231">
        <f>IFERROR(IF(compras_mes5[[#This Row],[CUIT]]="","-",VLOOKUP(compras_mes5[[#This Row],[CUIT]],Lista_CUIT[#All],4,0)),"CUIT NO CARGADO")</f>
        <v>0</v>
      </c>
    </row>
    <row r="17" spans="2:18">
      <c r="B17" s="223">
        <v>45439</v>
      </c>
      <c r="C17" s="224">
        <v>1</v>
      </c>
      <c r="D17" s="225">
        <v>23</v>
      </c>
      <c r="E17" s="226">
        <v>23943</v>
      </c>
      <c r="F17" s="227">
        <v>20139793170</v>
      </c>
      <c r="G17" s="228" t="str">
        <f>IFERROR(IF(compras_mes5[[#This Row],[CUIT]]="","-",VLOOKUP(compras_mes5[[#This Row],[CUIT]],Lista_CUIT[#All],2,0)),"CUIT NO CARGADO")</f>
        <v>IACONO JUAN</v>
      </c>
      <c r="H17" s="229">
        <v>61312.24</v>
      </c>
      <c r="I17" s="222">
        <f>IF(compras_mes5[[#This Row],[NETO GRAVADO]]="","",compras_mes5[[#This Row],[NETO GRAVADO]]*0.21)</f>
        <v>12875.570399999999</v>
      </c>
      <c r="J17" s="222"/>
      <c r="K17" s="222"/>
      <c r="L17" s="222"/>
      <c r="M17" s="222"/>
      <c r="N17" s="222"/>
      <c r="O17" s="222">
        <v>0</v>
      </c>
      <c r="P17" s="230">
        <f>SUM(compras_mes5[[#This Row],[NETO GRAVADO]:[Otros / No Grav.]])</f>
        <v>74187.810400000002</v>
      </c>
      <c r="Q17" s="231" t="str">
        <f>IFERROR(IF(compras_mes5[[#This Row],[CUIT]]="","-",VLOOKUP(compras_mes5[[#This Row],[CUIT]],Lista_CUIT[#All],3,0)),"CUIT NO CARGADO")</f>
        <v>COMBUSTIBLE</v>
      </c>
      <c r="R17" s="231">
        <f>IFERROR(IF(compras_mes5[[#This Row],[CUIT]]="","-",VLOOKUP(compras_mes5[[#This Row],[CUIT]],Lista_CUIT[#All],4,0)),"CUIT NO CARGADO")</f>
        <v>0</v>
      </c>
    </row>
    <row r="18" spans="2:18">
      <c r="B18" s="223">
        <v>45427</v>
      </c>
      <c r="C18" s="41">
        <v>1</v>
      </c>
      <c r="D18" s="225">
        <v>10</v>
      </c>
      <c r="E18" s="226">
        <v>1421</v>
      </c>
      <c r="F18" s="227">
        <v>30716229552</v>
      </c>
      <c r="G18" s="228" t="str">
        <f>IFERROR(IF(compras_mes5[[#This Row],[CUIT]]="","-",VLOOKUP(compras_mes5[[#This Row],[CUIT]],Lista_CUIT[#All],2,0)),"CUIT NO CARGADO")</f>
        <v>LUBRICANTES RUTA DE P e H SRL</v>
      </c>
      <c r="H18" s="229">
        <v>4958.68</v>
      </c>
      <c r="I18" s="222">
        <f>IF(compras_mes5[[#This Row],[NETO GRAVADO]]="","",compras_mes5[[#This Row],[NETO GRAVADO]]*0.21)</f>
        <v>1041.3227999999999</v>
      </c>
      <c r="J18" s="222"/>
      <c r="K18" s="222"/>
      <c r="L18" s="222"/>
      <c r="M18" s="222"/>
      <c r="N18" s="222"/>
      <c r="O18" s="222">
        <v>0</v>
      </c>
      <c r="P18" s="230">
        <f>SUM(compras_mes5[[#This Row],[NETO GRAVADO]:[Otros / No Grav.]])</f>
        <v>6000.0028000000002</v>
      </c>
      <c r="Q18" s="231" t="str">
        <f>IFERROR(IF(compras_mes5[[#This Row],[CUIT]]="","-",VLOOKUP(compras_mes5[[#This Row],[CUIT]],Lista_CUIT[#All],3,0)),"CUIT NO CARGADO")</f>
        <v>COMBUSTIBLE</v>
      </c>
      <c r="R18" s="231">
        <f>IFERROR(IF(compras_mes5[[#This Row],[CUIT]]="","-",VLOOKUP(compras_mes5[[#This Row],[CUIT]],Lista_CUIT[#All],4,0)),"CUIT NO CARGADO")</f>
        <v>0</v>
      </c>
    </row>
    <row r="19" spans="2:18">
      <c r="B19" s="651">
        <v>45442</v>
      </c>
      <c r="C19" s="652">
        <v>1</v>
      </c>
      <c r="D19" s="638">
        <v>9038</v>
      </c>
      <c r="E19" s="639">
        <v>22969</v>
      </c>
      <c r="F19" s="640">
        <v>30678774495</v>
      </c>
      <c r="G19" s="653" t="str">
        <f>IFERROR(IF(compras_mes5[[#This Row],[CUIT]]="","-",VLOOKUP(compras_mes5[[#This Row],[CUIT]],Lista_CUIT[#All],2,0)),"CUIT NO CARGADO")</f>
        <v>OPER. DE EST. DE SERV. SA</v>
      </c>
      <c r="H19" s="654">
        <v>57849.97</v>
      </c>
      <c r="I19" s="222">
        <f>IF(compras_mes5[[#This Row],[NETO GRAVADO]]="","",compras_mes5[[#This Row],[NETO GRAVADO]]*0.21)</f>
        <v>12148.493699999999</v>
      </c>
      <c r="J19" s="655"/>
      <c r="K19" s="655"/>
      <c r="L19" s="655"/>
      <c r="M19" s="655"/>
      <c r="N19" s="655"/>
      <c r="O19" s="655">
        <v>5604.54</v>
      </c>
      <c r="P19" s="656">
        <f>SUM(compras_mes5[[#This Row],[NETO GRAVADO]:[Otros / No Grav.]])</f>
        <v>75603.003699999987</v>
      </c>
      <c r="Q19" s="657" t="str">
        <f>IFERROR(IF(compras_mes5[[#This Row],[CUIT]]="","-",VLOOKUP(compras_mes5[[#This Row],[CUIT]],Lista_CUIT[#All],3,0)),"CUIT NO CARGADO")</f>
        <v>COMBUSTIBLE</v>
      </c>
      <c r="R19" s="657">
        <f>IFERROR(IF(compras_mes5[[#This Row],[CUIT]]="","-",VLOOKUP(compras_mes5[[#This Row],[CUIT]],Lista_CUIT[#All],4,0)),"CUIT NO CARGADO")</f>
        <v>0</v>
      </c>
    </row>
    <row r="20" spans="2:18">
      <c r="B20" s="223">
        <v>45421</v>
      </c>
      <c r="C20" s="41">
        <v>1</v>
      </c>
      <c r="D20" s="225">
        <v>8</v>
      </c>
      <c r="E20" s="226">
        <v>11138</v>
      </c>
      <c r="F20" s="227">
        <v>33715594949</v>
      </c>
      <c r="G20" s="228" t="str">
        <f>IFERROR(IF(compras_mes5[[#This Row],[CUIT]]="","-",VLOOKUP(compras_mes5[[#This Row],[CUIT]],Lista_CUIT[#All],2,0)),"CUIT NO CARGADO")</f>
        <v>SOMOS ENERGIA SA</v>
      </c>
      <c r="H20" s="229">
        <v>20405.86</v>
      </c>
      <c r="I20" s="222">
        <f>IF(compras_mes5[[#This Row],[NETO GRAVADO]]="","",compras_mes5[[#This Row],[NETO GRAVADO]]*0.21)</f>
        <v>4285.2305999999999</v>
      </c>
      <c r="J20" s="222"/>
      <c r="K20" s="222"/>
      <c r="L20" s="222"/>
      <c r="M20" s="222"/>
      <c r="N20" s="222"/>
      <c r="O20" s="222">
        <v>0</v>
      </c>
      <c r="P20" s="230">
        <f>SUM(compras_mes5[[#This Row],[NETO GRAVADO]:[Otros / No Grav.]])</f>
        <v>24691.0906</v>
      </c>
      <c r="Q20" s="231" t="str">
        <f>IFERROR(IF(compras_mes5[[#This Row],[CUIT]]="","-",VLOOKUP(compras_mes5[[#This Row],[CUIT]],Lista_CUIT[#All],3,0)),"CUIT NO CARGADO")</f>
        <v>COMBUSTIBLE</v>
      </c>
      <c r="R20" s="231">
        <f>IFERROR(IF(compras_mes5[[#This Row],[CUIT]]="","-",VLOOKUP(compras_mes5[[#This Row],[CUIT]],Lista_CUIT[#All],4,0)),"CUIT NO CARGADO")</f>
        <v>0</v>
      </c>
    </row>
    <row r="21" spans="2:18">
      <c r="B21" s="223">
        <v>45427</v>
      </c>
      <c r="C21" s="41">
        <v>1</v>
      </c>
      <c r="D21" s="225">
        <v>6</v>
      </c>
      <c r="E21" s="226">
        <v>17944</v>
      </c>
      <c r="F21" s="227">
        <v>33715594949</v>
      </c>
      <c r="G21" s="228" t="str">
        <f>IFERROR(IF(compras_mes5[[#This Row],[CUIT]]="","-",VLOOKUP(compras_mes5[[#This Row],[CUIT]],Lista_CUIT[#All],2,0)),"CUIT NO CARGADO")</f>
        <v>SOMOS ENERGIA SA</v>
      </c>
      <c r="H21" s="229">
        <v>80713.100000000006</v>
      </c>
      <c r="I21" s="222">
        <f>IF(compras_mes5[[#This Row],[NETO GRAVADO]]="","",compras_mes5[[#This Row],[NETO GRAVADO]]*0.21)</f>
        <v>16949.751</v>
      </c>
      <c r="J21" s="222"/>
      <c r="K21" s="222"/>
      <c r="L21" s="222"/>
      <c r="M21" s="222"/>
      <c r="N21" s="222"/>
      <c r="O21" s="222">
        <v>0</v>
      </c>
      <c r="P21" s="230">
        <f>SUM(compras_mes5[[#This Row],[NETO GRAVADO]:[Otros / No Grav.]])</f>
        <v>97662.85100000001</v>
      </c>
      <c r="Q21" s="231" t="str">
        <f>IFERROR(IF(compras_mes5[[#This Row],[CUIT]]="","-",VLOOKUP(compras_mes5[[#This Row],[CUIT]],Lista_CUIT[#All],3,0)),"CUIT NO CARGADO")</f>
        <v>COMBUSTIBLE</v>
      </c>
      <c r="R21" s="231">
        <f>IFERROR(IF(compras_mes5[[#This Row],[CUIT]]="","-",VLOOKUP(compras_mes5[[#This Row],[CUIT]],Lista_CUIT[#All],4,0)),"CUIT NO CARGADO")</f>
        <v>0</v>
      </c>
    </row>
    <row r="22" spans="2:18">
      <c r="B22" s="161">
        <v>45435</v>
      </c>
      <c r="C22" s="160">
        <v>1</v>
      </c>
      <c r="D22" s="162">
        <v>8</v>
      </c>
      <c r="E22" s="163">
        <v>11315</v>
      </c>
      <c r="F22" s="164">
        <v>33715594949</v>
      </c>
      <c r="G22" s="165" t="str">
        <f>IFERROR(IF(compras_mes5[[#This Row],[CUIT]]="","-",VLOOKUP(compras_mes5[[#This Row],[CUIT]],Lista_CUIT[#All],2,0)),"CUIT NO CARGADO")</f>
        <v>SOMOS ENERGIA SA</v>
      </c>
      <c r="H22" s="166">
        <v>25486.57</v>
      </c>
      <c r="I22" s="222">
        <f>IF(compras_mes5[[#This Row],[NETO GRAVADO]]="","",compras_mes5[[#This Row],[NETO GRAVADO]]*0.21)</f>
        <v>5352.1796999999997</v>
      </c>
      <c r="J22" s="167"/>
      <c r="K22" s="167"/>
      <c r="L22" s="167"/>
      <c r="M22" s="167"/>
      <c r="N22" s="167"/>
      <c r="O22" s="167">
        <v>0</v>
      </c>
      <c r="P22" s="168">
        <f>SUM(compras_mes5[[#This Row],[NETO GRAVADO]:[Otros / No Grav.]])</f>
        <v>30838.7497</v>
      </c>
      <c r="Q22" s="169" t="str">
        <f>IFERROR(IF(compras_mes5[[#This Row],[CUIT]]="","-",VLOOKUP(compras_mes5[[#This Row],[CUIT]],Lista_CUIT[#All],3,0)),"CUIT NO CARGADO")</f>
        <v>COMBUSTIBLE</v>
      </c>
      <c r="R22" s="169">
        <f>IFERROR(IF(compras_mes5[[#This Row],[CUIT]]="","-",VLOOKUP(compras_mes5[[#This Row],[CUIT]],Lista_CUIT[#All],4,0)),"CUIT NO CARGADO")</f>
        <v>0</v>
      </c>
    </row>
    <row r="23" spans="2:18">
      <c r="B23" s="223">
        <v>45440</v>
      </c>
      <c r="C23" s="41">
        <v>1</v>
      </c>
      <c r="D23" s="225">
        <v>12</v>
      </c>
      <c r="E23" s="226">
        <v>39026</v>
      </c>
      <c r="F23" s="227">
        <v>30526582884</v>
      </c>
      <c r="G23" s="228" t="str">
        <f>IFERROR(IF(compras_mes5[[#This Row],[CUIT]]="","-",VLOOKUP(compras_mes5[[#This Row],[CUIT]],Lista_CUIT[#All],2,0)),"CUIT NO CARGADO")</f>
        <v>EXPRESO MAR DEL PLATA S.A.</v>
      </c>
      <c r="H23" s="229">
        <v>32793.39</v>
      </c>
      <c r="I23" s="222">
        <f>IF(compras_mes5[[#This Row],[NETO GRAVADO]]="","",compras_mes5[[#This Row],[NETO GRAVADO]]*0.21)</f>
        <v>6886.6118999999999</v>
      </c>
      <c r="J23" s="222"/>
      <c r="K23" s="222"/>
      <c r="L23" s="222"/>
      <c r="M23" s="222"/>
      <c r="N23" s="222"/>
      <c r="O23" s="222">
        <v>0</v>
      </c>
      <c r="P23" s="230">
        <f>SUM(compras_mes5[[#This Row],[NETO GRAVADO]:[Otros / No Grav.]])</f>
        <v>39680.001900000003</v>
      </c>
      <c r="Q23" s="231" t="str">
        <f>IFERROR(IF(compras_mes5[[#This Row],[CUIT]]="","-",VLOOKUP(compras_mes5[[#This Row],[CUIT]],Lista_CUIT[#All],3,0)),"CUIT NO CARGADO")</f>
        <v>FLETE</v>
      </c>
      <c r="R23" s="231">
        <f>IFERROR(IF(compras_mes5[[#This Row],[CUIT]]="","-",VLOOKUP(compras_mes5[[#This Row],[CUIT]],Lista_CUIT[#All],4,0)),"CUIT NO CARGADO")</f>
        <v>0</v>
      </c>
    </row>
    <row r="24" spans="2:18">
      <c r="B24" s="223">
        <v>45418</v>
      </c>
      <c r="C24" s="41">
        <v>1</v>
      </c>
      <c r="D24" s="225">
        <v>3</v>
      </c>
      <c r="E24" s="226">
        <v>153</v>
      </c>
      <c r="F24" s="227">
        <v>20334976433</v>
      </c>
      <c r="G24" s="228" t="str">
        <f>IFERROR(IF(compras_mes5[[#This Row],[CUIT]]="","-",VLOOKUP(compras_mes5[[#This Row],[CUIT]],Lista_CUIT[#All],2,0)),"CUIT NO CARGADO")</f>
        <v>NARDOMARINO EZEQUIEL EDUARDO</v>
      </c>
      <c r="H24" s="229">
        <v>84000</v>
      </c>
      <c r="I24" s="222">
        <f>IF(compras_mes5[[#This Row],[NETO GRAVADO]]="","",compras_mes5[[#This Row],[NETO GRAVADO]]*0.21)</f>
        <v>17640</v>
      </c>
      <c r="J24" s="222"/>
      <c r="K24" s="222"/>
      <c r="L24" s="222"/>
      <c r="M24" s="222"/>
      <c r="N24" s="222"/>
      <c r="O24" s="222">
        <v>0</v>
      </c>
      <c r="P24" s="230">
        <f>SUM(compras_mes5[[#This Row],[NETO GRAVADO]:[Otros / No Grav.]])</f>
        <v>101640</v>
      </c>
      <c r="Q24" s="231" t="str">
        <f>IFERROR(IF(compras_mes5[[#This Row],[CUIT]]="","-",VLOOKUP(compras_mes5[[#This Row],[CUIT]],Lista_CUIT[#All],3,0)),"CUIT NO CARGADO")</f>
        <v>FLETE</v>
      </c>
      <c r="R24" s="231">
        <f>IFERROR(IF(compras_mes5[[#This Row],[CUIT]]="","-",VLOOKUP(compras_mes5[[#This Row],[CUIT]],Lista_CUIT[#All],4,0)),"CUIT NO CARGADO")</f>
        <v>0</v>
      </c>
    </row>
    <row r="25" spans="2:18">
      <c r="B25" s="161">
        <v>45432</v>
      </c>
      <c r="C25" s="160">
        <v>1</v>
      </c>
      <c r="D25" s="162">
        <v>3</v>
      </c>
      <c r="E25" s="163">
        <v>154</v>
      </c>
      <c r="F25" s="164">
        <v>20334976433</v>
      </c>
      <c r="G25" s="165" t="str">
        <f>IFERROR(IF(compras_mes5[[#This Row],[CUIT]]="","-",VLOOKUP(compras_mes5[[#This Row],[CUIT]],Lista_CUIT[#All],2,0)),"CUIT NO CARGADO")</f>
        <v>NARDOMARINO EZEQUIEL EDUARDO</v>
      </c>
      <c r="H25" s="166">
        <v>143326.43</v>
      </c>
      <c r="I25" s="222">
        <f>IF(compras_mes5[[#This Row],[NETO GRAVADO]]="","",compras_mes5[[#This Row],[NETO GRAVADO]]*0.21)</f>
        <v>30098.550299999999</v>
      </c>
      <c r="J25" s="167"/>
      <c r="K25" s="167"/>
      <c r="L25" s="167"/>
      <c r="M25" s="167"/>
      <c r="N25" s="167"/>
      <c r="O25" s="167">
        <v>0</v>
      </c>
      <c r="P25" s="168">
        <f>SUM(compras_mes5[[#This Row],[NETO GRAVADO]:[Otros / No Grav.]])</f>
        <v>173424.9803</v>
      </c>
      <c r="Q25" s="169" t="str">
        <f>IFERROR(IF(compras_mes5[[#This Row],[CUIT]]="","-",VLOOKUP(compras_mes5[[#This Row],[CUIT]],Lista_CUIT[#All],3,0)),"CUIT NO CARGADO")</f>
        <v>FLETE</v>
      </c>
      <c r="R25" s="169">
        <f>IFERROR(IF(compras_mes5[[#This Row],[CUIT]]="","-",VLOOKUP(compras_mes5[[#This Row],[CUIT]],Lista_CUIT[#All],4,0)),"CUIT NO CARGADO")</f>
        <v>0</v>
      </c>
    </row>
    <row r="26" spans="2:18">
      <c r="B26" s="223">
        <v>45439</v>
      </c>
      <c r="C26" s="41">
        <v>1</v>
      </c>
      <c r="D26" s="225">
        <v>3</v>
      </c>
      <c r="E26" s="226">
        <v>155</v>
      </c>
      <c r="F26" s="227">
        <v>20334976433</v>
      </c>
      <c r="G26" s="228" t="str">
        <f>IFERROR(IF(compras_mes5[[#This Row],[CUIT]]="","-",VLOOKUP(compras_mes5[[#This Row],[CUIT]],Lista_CUIT[#All],2,0)),"CUIT NO CARGADO")</f>
        <v>NARDOMARINO EZEQUIEL EDUARDO</v>
      </c>
      <c r="H26" s="229">
        <v>150000</v>
      </c>
      <c r="I26" s="222">
        <f>IF(compras_mes5[[#This Row],[NETO GRAVADO]]="","",compras_mes5[[#This Row],[NETO GRAVADO]]*0.21)</f>
        <v>31500</v>
      </c>
      <c r="J26" s="222"/>
      <c r="K26" s="222"/>
      <c r="L26" s="222"/>
      <c r="M26" s="222"/>
      <c r="N26" s="222"/>
      <c r="O26" s="222">
        <v>0</v>
      </c>
      <c r="P26" s="230">
        <f>SUM(compras_mes5[[#This Row],[NETO GRAVADO]:[Otros / No Grav.]])</f>
        <v>181500</v>
      </c>
      <c r="Q26" s="231" t="str">
        <f>IFERROR(IF(compras_mes5[[#This Row],[CUIT]]="","-",VLOOKUP(compras_mes5[[#This Row],[CUIT]],Lista_CUIT[#All],3,0)),"CUIT NO CARGADO")</f>
        <v>FLETE</v>
      </c>
      <c r="R26" s="231">
        <f>IFERROR(IF(compras_mes5[[#This Row],[CUIT]]="","-",VLOOKUP(compras_mes5[[#This Row],[CUIT]],Lista_CUIT[#All],4,0)),"CUIT NO CARGADO")</f>
        <v>0</v>
      </c>
    </row>
    <row r="27" spans="2:18">
      <c r="B27" s="223">
        <v>45414</v>
      </c>
      <c r="C27" s="41">
        <v>1</v>
      </c>
      <c r="D27" s="225">
        <v>500</v>
      </c>
      <c r="E27" s="226">
        <v>1553466</v>
      </c>
      <c r="F27" s="227">
        <v>30654118767</v>
      </c>
      <c r="G27" s="228" t="str">
        <f>IFERROR(IF(compras_mes5[[#This Row],[CUIT]]="","-",VLOOKUP(compras_mes5[[#This Row],[CUIT]],Lista_CUIT[#All],2,0)),"CUIT NO CARGADO")</f>
        <v>SOLUCIONES MULTIMEDIA SA</v>
      </c>
      <c r="H27" s="229">
        <v>59165.599999999999</v>
      </c>
      <c r="I27" s="222">
        <f>IF(compras_mes5[[#This Row],[NETO GRAVADO]]="","",compras_mes5[[#This Row],[NETO GRAVADO]]*0.21)</f>
        <v>12424.776</v>
      </c>
      <c r="J27" s="222"/>
      <c r="K27" s="222"/>
      <c r="L27" s="222"/>
      <c r="M27" s="222"/>
      <c r="N27" s="222"/>
      <c r="O27" s="222">
        <v>0</v>
      </c>
      <c r="P27" s="230">
        <f>SUM(compras_mes5[[#This Row],[NETO GRAVADO]:[Otros / No Grav.]])</f>
        <v>71590.376000000004</v>
      </c>
      <c r="Q27" s="231" t="str">
        <f>IFERROR(IF(compras_mes5[[#This Row],[CUIT]]="","-",VLOOKUP(compras_mes5[[#This Row],[CUIT]],Lista_CUIT[#All],3,0)),"CUIT NO CARGADO")</f>
        <v>GASTOS ADMINISTRATIVOS</v>
      </c>
      <c r="R27" s="231">
        <f>IFERROR(IF(compras_mes5[[#This Row],[CUIT]]="","-",VLOOKUP(compras_mes5[[#This Row],[CUIT]],Lista_CUIT[#All],4,0)),"CUIT NO CARGADO")</f>
        <v>0</v>
      </c>
    </row>
    <row r="28" spans="2:18">
      <c r="B28" s="651">
        <v>45441</v>
      </c>
      <c r="C28" s="652">
        <v>1</v>
      </c>
      <c r="D28" s="638">
        <v>23</v>
      </c>
      <c r="E28" s="639">
        <v>2443428</v>
      </c>
      <c r="F28" s="640">
        <v>30703088534</v>
      </c>
      <c r="G28" s="653" t="str">
        <f>IFERROR(IF(compras_mes5[[#This Row],[CUIT]]="","-",VLOOKUP(compras_mes5[[#This Row],[CUIT]],Lista_CUIT[#All],2,0)),"CUIT NO CARGADO")</f>
        <v>MERCADO LIBRE SRL</v>
      </c>
      <c r="H28" s="654">
        <v>28938.02</v>
      </c>
      <c r="I28" s="222">
        <f>IF(compras_mes5[[#This Row],[NETO GRAVADO]]="","",compras_mes5[[#This Row],[NETO GRAVADO]]*0.21)</f>
        <v>6076.9841999999999</v>
      </c>
      <c r="J28" s="655"/>
      <c r="K28" s="655"/>
      <c r="L28" s="655"/>
      <c r="M28" s="655"/>
      <c r="N28" s="655"/>
      <c r="O28" s="655">
        <v>0</v>
      </c>
      <c r="P28" s="656">
        <f>SUM(compras_mes5[[#This Row],[NETO GRAVADO]:[Otros / No Grav.]])</f>
        <v>35015.004200000003</v>
      </c>
      <c r="Q28" s="657" t="str">
        <f>IFERROR(IF(compras_mes5[[#This Row],[CUIT]]="","-",VLOOKUP(compras_mes5[[#This Row],[CUIT]],Lista_CUIT[#All],3,0)),"CUIT NO CARGADO")</f>
        <v>GASTOS COMERCIALIZACION</v>
      </c>
      <c r="R28" s="657">
        <f>IFERROR(IF(compras_mes5[[#This Row],[CUIT]]="","-",VLOOKUP(compras_mes5[[#This Row],[CUIT]],Lista_CUIT[#All],4,0)),"CUIT NO CARGADO")</f>
        <v>0</v>
      </c>
    </row>
    <row r="29" spans="2:18">
      <c r="B29" s="223">
        <v>45422</v>
      </c>
      <c r="C29" s="224">
        <v>1</v>
      </c>
      <c r="D29" s="225">
        <v>4</v>
      </c>
      <c r="E29" s="226">
        <v>2183</v>
      </c>
      <c r="F29" s="227">
        <v>27293200349</v>
      </c>
      <c r="G29" s="228" t="str">
        <f>IFERROR(IF(compras_mes5[[#This Row],[CUIT]]="","-",VLOOKUP(compras_mes5[[#This Row],[CUIT]],Lista_CUIT[#All],2,0)),"CUIT NO CARGADO")</f>
        <v>ACQUISTI GLADYS NOEMI</v>
      </c>
      <c r="H29" s="229">
        <v>29755.98</v>
      </c>
      <c r="I29" s="222">
        <f>IF(compras_mes5[[#This Row],[NETO GRAVADO]]="","",compras_mes5[[#This Row],[NETO GRAVADO]]*0.21)</f>
        <v>6248.7557999999999</v>
      </c>
      <c r="J29" s="222"/>
      <c r="K29" s="222"/>
      <c r="L29" s="222"/>
      <c r="M29" s="222"/>
      <c r="N29" s="222"/>
      <c r="O29" s="222">
        <v>0</v>
      </c>
      <c r="P29" s="230">
        <f>SUM(compras_mes5[[#This Row],[NETO GRAVADO]:[Otros / No Grav.]])</f>
        <v>36004.735800000002</v>
      </c>
      <c r="Q29" s="231" t="str">
        <f>IFERROR(IF(compras_mes5[[#This Row],[CUIT]]="","-",VLOOKUP(compras_mes5[[#This Row],[CUIT]],Lista_CUIT[#All],3,0)),"CUIT NO CARGADO")</f>
        <v>Gastos Varios</v>
      </c>
      <c r="R29" s="231">
        <f>IFERROR(IF(compras_mes5[[#This Row],[CUIT]]="","-",VLOOKUP(compras_mes5[[#This Row],[CUIT]],Lista_CUIT[#All],4,0)),"CUIT NO CARGADO")</f>
        <v>0</v>
      </c>
    </row>
    <row r="30" spans="2:18">
      <c r="B30" s="161">
        <v>45418</v>
      </c>
      <c r="C30" s="160">
        <v>1</v>
      </c>
      <c r="D30" s="162">
        <v>3</v>
      </c>
      <c r="E30" s="163">
        <v>3358</v>
      </c>
      <c r="F30" s="164">
        <v>30717726126</v>
      </c>
      <c r="G30" s="165" t="str">
        <f>IFERROR(IF(compras_mes5[[#This Row],[CUIT]]="","-",VLOOKUP(compras_mes5[[#This Row],[CUIT]],Lista_CUIT[#All],2,0)),"CUIT NO CARGADO")</f>
        <v>ALVAGON S.R.L</v>
      </c>
      <c r="H30" s="166">
        <v>14214.88</v>
      </c>
      <c r="I30" s="222">
        <f>IF(compras_mes5[[#This Row],[NETO GRAVADO]]="","",compras_mes5[[#This Row],[NETO GRAVADO]]*0.21)</f>
        <v>2985.1247999999996</v>
      </c>
      <c r="J30" s="167"/>
      <c r="K30" s="167"/>
      <c r="L30" s="167"/>
      <c r="M30" s="167"/>
      <c r="N30" s="167"/>
      <c r="O30" s="167">
        <v>0</v>
      </c>
      <c r="P30" s="168">
        <f>SUM(compras_mes5[[#This Row],[NETO GRAVADO]:[Otros / No Grav.]])</f>
        <v>17200.004799999999</v>
      </c>
      <c r="Q30" s="169" t="str">
        <f>IFERROR(IF(compras_mes5[[#This Row],[CUIT]]="","-",VLOOKUP(compras_mes5[[#This Row],[CUIT]],Lista_CUIT[#All],3,0)),"CUIT NO CARGADO")</f>
        <v>Gastos Varios</v>
      </c>
      <c r="R30" s="169">
        <f>IFERROR(IF(compras_mes5[[#This Row],[CUIT]]="","-",VLOOKUP(compras_mes5[[#This Row],[CUIT]],Lista_CUIT[#All],4,0)),"CUIT NO CARGADO")</f>
        <v>0</v>
      </c>
    </row>
    <row r="31" spans="2:18">
      <c r="B31" s="223">
        <v>45433</v>
      </c>
      <c r="C31" s="41">
        <v>1</v>
      </c>
      <c r="D31" s="225">
        <v>300</v>
      </c>
      <c r="E31" s="226">
        <v>9122</v>
      </c>
      <c r="F31" s="227">
        <v>33715236449</v>
      </c>
      <c r="G31" s="228" t="str">
        <f>IFERROR(IF(compras_mes5[[#This Row],[CUIT]]="","-",VLOOKUP(compras_mes5[[#This Row],[CUIT]],Lista_CUIT[#All],2,0)),"CUIT NO CARGADO")</f>
        <v>CATYCAN S.A.</v>
      </c>
      <c r="H31" s="229">
        <v>47671.9</v>
      </c>
      <c r="I31" s="222">
        <f>IF(compras_mes5[[#This Row],[NETO GRAVADO]]="","",compras_mes5[[#This Row],[NETO GRAVADO]]*0.21)</f>
        <v>10011.099</v>
      </c>
      <c r="J31" s="222"/>
      <c r="K31" s="222"/>
      <c r="L31" s="222"/>
      <c r="M31" s="222"/>
      <c r="N31" s="222"/>
      <c r="O31" s="222">
        <v>0</v>
      </c>
      <c r="P31" s="230">
        <f>SUM(compras_mes5[[#This Row],[NETO GRAVADO]:[Otros / No Grav.]])</f>
        <v>57682.999000000003</v>
      </c>
      <c r="Q31" s="231" t="str">
        <f>IFERROR(IF(compras_mes5[[#This Row],[CUIT]]="","-",VLOOKUP(compras_mes5[[#This Row],[CUIT]],Lista_CUIT[#All],3,0)),"CUIT NO CARGADO")</f>
        <v>Gastos Varios</v>
      </c>
      <c r="R31" s="231">
        <f>IFERROR(IF(compras_mes5[[#This Row],[CUIT]]="","-",VLOOKUP(compras_mes5[[#This Row],[CUIT]],Lista_CUIT[#All],4,0)),"CUIT NO CARGADO")</f>
        <v>0</v>
      </c>
    </row>
    <row r="32" spans="2:18">
      <c r="B32" s="223">
        <v>45423</v>
      </c>
      <c r="C32" s="224">
        <v>1</v>
      </c>
      <c r="D32" s="225">
        <v>7</v>
      </c>
      <c r="E32" s="226">
        <v>5275</v>
      </c>
      <c r="F32" s="227">
        <v>30711255989</v>
      </c>
      <c r="G32" s="228" t="str">
        <f>IFERROR(IF(compras_mes5[[#This Row],[CUIT]]="","-",VLOOKUP(compras_mes5[[#This Row],[CUIT]],Lista_CUIT[#All],2,0)),"CUIT NO CARGADO")</f>
        <v>CENTRAL BAZAR S.A.</v>
      </c>
      <c r="H32" s="229">
        <v>77859.5</v>
      </c>
      <c r="I32" s="222">
        <f>IF(compras_mes5[[#This Row],[NETO GRAVADO]]="","",compras_mes5[[#This Row],[NETO GRAVADO]]*0.21)</f>
        <v>16350.494999999999</v>
      </c>
      <c r="J32" s="222"/>
      <c r="K32" s="222"/>
      <c r="L32" s="222"/>
      <c r="M32" s="222"/>
      <c r="N32" s="222"/>
      <c r="O32" s="222">
        <v>0</v>
      </c>
      <c r="P32" s="230">
        <f>SUM(compras_mes5[[#This Row],[NETO GRAVADO]:[Otros / No Grav.]])</f>
        <v>94209.994999999995</v>
      </c>
      <c r="Q32" s="231" t="str">
        <f>IFERROR(IF(compras_mes5[[#This Row],[CUIT]]="","-",VLOOKUP(compras_mes5[[#This Row],[CUIT]],Lista_CUIT[#All],3,0)),"CUIT NO CARGADO")</f>
        <v>Gastos Varios</v>
      </c>
      <c r="R32" s="231">
        <f>IFERROR(IF(compras_mes5[[#This Row],[CUIT]]="","-",VLOOKUP(compras_mes5[[#This Row],[CUIT]],Lista_CUIT[#All],4,0)),"CUIT NO CARGADO")</f>
        <v>0</v>
      </c>
    </row>
    <row r="33" spans="2:18">
      <c r="B33" s="89">
        <v>45430</v>
      </c>
      <c r="C33" s="41">
        <v>1</v>
      </c>
      <c r="D33" s="90">
        <v>113</v>
      </c>
      <c r="E33" s="91">
        <v>3587603</v>
      </c>
      <c r="F33" s="92">
        <v>30577207190</v>
      </c>
      <c r="G33" s="93" t="str">
        <f>IFERROR(IF(compras_mes5[[#This Row],[CUIT]]="","-",VLOOKUP(compras_mes5[[#This Row],[CUIT]],Lista_CUIT[#All],2,0)),"CUIT NO CARGADO")</f>
        <v>COORDINACION ECOLOGICA AREA METROPOLITANA SOCIEDAD DEL ESTADO</v>
      </c>
      <c r="H33" s="94">
        <v>5795.04</v>
      </c>
      <c r="I33" s="222">
        <f>IF(compras_mes5[[#This Row],[NETO GRAVADO]]="","",compras_mes5[[#This Row],[NETO GRAVADO]]*0.21)</f>
        <v>1216.9584</v>
      </c>
      <c r="J33" s="86"/>
      <c r="K33" s="86"/>
      <c r="L33" s="86"/>
      <c r="M33" s="86"/>
      <c r="N33" s="86"/>
      <c r="O33" s="86">
        <v>0</v>
      </c>
      <c r="P33" s="87">
        <f>SUM(compras_mes5[[#This Row],[NETO GRAVADO]:[Otros / No Grav.]])</f>
        <v>7011.9984000000004</v>
      </c>
      <c r="Q33" s="88" t="str">
        <f>IFERROR(IF(compras_mes5[[#This Row],[CUIT]]="","-",VLOOKUP(compras_mes5[[#This Row],[CUIT]],Lista_CUIT[#All],3,0)),"CUIT NO CARGADO")</f>
        <v>gastos varios</v>
      </c>
      <c r="R33" s="88">
        <f>IFERROR(IF(compras_mes5[[#This Row],[CUIT]]="","-",VLOOKUP(compras_mes5[[#This Row],[CUIT]],Lista_CUIT[#All],4,0)),"CUIT NO CARGADO")</f>
        <v>0</v>
      </c>
    </row>
    <row r="34" spans="2:18">
      <c r="B34" s="651">
        <v>45443</v>
      </c>
      <c r="C34" s="652">
        <v>1</v>
      </c>
      <c r="D34" s="638">
        <v>113</v>
      </c>
      <c r="E34" s="639">
        <v>3620568</v>
      </c>
      <c r="F34" s="640">
        <v>30577207190</v>
      </c>
      <c r="G34" s="653" t="str">
        <f>IFERROR(IF(compras_mes5[[#This Row],[CUIT]]="","-",VLOOKUP(compras_mes5[[#This Row],[CUIT]],Lista_CUIT[#All],2,0)),"CUIT NO CARGADO")</f>
        <v>COORDINACION ECOLOGICA AREA METROPOLITANA SOCIEDAD DEL ESTADO</v>
      </c>
      <c r="H34" s="654">
        <v>2479.34</v>
      </c>
      <c r="I34" s="222">
        <f>IF(compras_mes5[[#This Row],[NETO GRAVADO]]="","",compras_mes5[[#This Row],[NETO GRAVADO]]*0.21)</f>
        <v>520.66139999999996</v>
      </c>
      <c r="J34" s="655"/>
      <c r="K34" s="655"/>
      <c r="L34" s="655"/>
      <c r="M34" s="655"/>
      <c r="N34" s="655"/>
      <c r="O34" s="655">
        <v>0</v>
      </c>
      <c r="P34" s="656">
        <f>SUM(compras_mes5[[#This Row],[NETO GRAVADO]:[Otros / No Grav.]])</f>
        <v>3000.0014000000001</v>
      </c>
      <c r="Q34" s="657" t="str">
        <f>IFERROR(IF(compras_mes5[[#This Row],[CUIT]]="","-",VLOOKUP(compras_mes5[[#This Row],[CUIT]],Lista_CUIT[#All],3,0)),"CUIT NO CARGADO")</f>
        <v>gastos varios</v>
      </c>
      <c r="R34" s="657">
        <f>IFERROR(IF(compras_mes5[[#This Row],[CUIT]]="","-",VLOOKUP(compras_mes5[[#This Row],[CUIT]],Lista_CUIT[#All],4,0)),"CUIT NO CARGADO")</f>
        <v>0</v>
      </c>
    </row>
    <row r="35" spans="2:18">
      <c r="B35" s="223">
        <v>45421</v>
      </c>
      <c r="C35" s="41">
        <v>1</v>
      </c>
      <c r="D35" s="225">
        <v>4</v>
      </c>
      <c r="E35" s="226">
        <v>1744</v>
      </c>
      <c r="F35" s="227">
        <v>30717244202</v>
      </c>
      <c r="G35" s="228" t="str">
        <f>IFERROR(IF(compras_mes5[[#This Row],[CUIT]]="","-",VLOOKUP(compras_mes5[[#This Row],[CUIT]],Lista_CUIT[#All],2,0)),"CUIT NO CARGADO")</f>
        <v>CURBA INTEGRAL S. R. L.</v>
      </c>
      <c r="H35" s="229">
        <v>23140.5</v>
      </c>
      <c r="I35" s="222">
        <f>IF(compras_mes5[[#This Row],[NETO GRAVADO]]="","",compras_mes5[[#This Row],[NETO GRAVADO]]*0.21)</f>
        <v>4859.5050000000001</v>
      </c>
      <c r="J35" s="222"/>
      <c r="K35" s="222"/>
      <c r="L35" s="222"/>
      <c r="M35" s="222"/>
      <c r="N35" s="222"/>
      <c r="O35" s="222">
        <v>0</v>
      </c>
      <c r="P35" s="230">
        <f>SUM(compras_mes5[[#This Row],[NETO GRAVADO]:[Otros / No Grav.]])</f>
        <v>28000.005000000001</v>
      </c>
      <c r="Q35" s="231" t="str">
        <f>IFERROR(IF(compras_mes5[[#This Row],[CUIT]]="","-",VLOOKUP(compras_mes5[[#This Row],[CUIT]],Lista_CUIT[#All],3,0)),"CUIT NO CARGADO")</f>
        <v>Gastos Varios</v>
      </c>
      <c r="R35" s="231">
        <f>IFERROR(IF(compras_mes5[[#This Row],[CUIT]]="","-",VLOOKUP(compras_mes5[[#This Row],[CUIT]],Lista_CUIT[#All],4,0)),"CUIT NO CARGADO")</f>
        <v>0</v>
      </c>
    </row>
    <row r="36" spans="2:18">
      <c r="B36" s="223">
        <v>45415</v>
      </c>
      <c r="C36" s="41">
        <v>1</v>
      </c>
      <c r="D36" s="225">
        <v>5</v>
      </c>
      <c r="E36" s="226">
        <v>32883</v>
      </c>
      <c r="F36" s="227">
        <v>30711549206</v>
      </c>
      <c r="G36" s="228" t="str">
        <f>IFERROR(IF(compras_mes5[[#This Row],[CUIT]]="","-",VLOOKUP(compras_mes5[[#This Row],[CUIT]],Lista_CUIT[#All],2,0)),"CUIT NO CARGADO")</f>
        <v>DDV SRL</v>
      </c>
      <c r="H36" s="229">
        <v>13772.34</v>
      </c>
      <c r="I36" s="222">
        <f>IF(compras_mes5[[#This Row],[NETO GRAVADO]]="","",compras_mes5[[#This Row],[NETO GRAVADO]]*0.21)</f>
        <v>2892.1913999999997</v>
      </c>
      <c r="J36" s="222"/>
      <c r="K36" s="222"/>
      <c r="L36" s="222"/>
      <c r="M36" s="222"/>
      <c r="N36" s="222"/>
      <c r="O36" s="222">
        <v>6543.99</v>
      </c>
      <c r="P36" s="230">
        <f>SUM(compras_mes5[[#This Row],[NETO GRAVADO]:[Otros / No Grav.]])</f>
        <v>23208.521399999998</v>
      </c>
      <c r="Q36" s="231" t="str">
        <f>IFERROR(IF(compras_mes5[[#This Row],[CUIT]]="","-",VLOOKUP(compras_mes5[[#This Row],[CUIT]],Lista_CUIT[#All],3,0)),"CUIT NO CARGADO")</f>
        <v>Gastos Varios</v>
      </c>
      <c r="R36" s="231">
        <f>IFERROR(IF(compras_mes5[[#This Row],[CUIT]]="","-",VLOOKUP(compras_mes5[[#This Row],[CUIT]],Lista_CUIT[#All],4,0)),"CUIT NO CARGADO")</f>
        <v>0</v>
      </c>
    </row>
    <row r="37" spans="2:18">
      <c r="B37" s="161">
        <v>45420</v>
      </c>
      <c r="C37" s="160">
        <v>1</v>
      </c>
      <c r="D37" s="162">
        <v>3</v>
      </c>
      <c r="E37" s="163">
        <v>10221</v>
      </c>
      <c r="F37" s="164">
        <v>30710552726</v>
      </c>
      <c r="G37" s="165" t="str">
        <f>IFERROR(IF(compras_mes5[[#This Row],[CUIT]]="","-",VLOOKUP(compras_mes5[[#This Row],[CUIT]],Lista_CUIT[#All],2,0)),"CUIT NO CARGADO")</f>
        <v>HZ ELECTRICIDAD SRL</v>
      </c>
      <c r="H37" s="166">
        <v>16721.669999999998</v>
      </c>
      <c r="I37" s="222">
        <v>1685.2</v>
      </c>
      <c r="J37" s="167"/>
      <c r="K37" s="167">
        <v>913.17</v>
      </c>
      <c r="L37" s="167"/>
      <c r="M37" s="167"/>
      <c r="N37" s="167"/>
      <c r="O37" s="167">
        <v>0</v>
      </c>
      <c r="P37" s="168">
        <f>SUM(compras_mes5[[#This Row],[NETO GRAVADO]:[Otros / No Grav.]])</f>
        <v>19320.039999999997</v>
      </c>
      <c r="Q37" s="169" t="str">
        <f>IFERROR(IF(compras_mes5[[#This Row],[CUIT]]="","-",VLOOKUP(compras_mes5[[#This Row],[CUIT]],Lista_CUIT[#All],3,0)),"CUIT NO CARGADO")</f>
        <v>Gastos Varios</v>
      </c>
      <c r="R37" s="169">
        <f>IFERROR(IF(compras_mes5[[#This Row],[CUIT]]="","-",VLOOKUP(compras_mes5[[#This Row],[CUIT]],Lista_CUIT[#All],4,0)),"CUIT NO CARGADO")</f>
        <v>0</v>
      </c>
    </row>
    <row r="38" spans="2:18">
      <c r="B38" s="223">
        <v>45422</v>
      </c>
      <c r="C38" s="41">
        <v>1</v>
      </c>
      <c r="D38" s="225">
        <v>3</v>
      </c>
      <c r="E38" s="226">
        <v>10230</v>
      </c>
      <c r="F38" s="227">
        <v>30710552726</v>
      </c>
      <c r="G38" s="228" t="str">
        <f>IFERROR(IF(compras_mes5[[#This Row],[CUIT]]="","-",VLOOKUP(compras_mes5[[#This Row],[CUIT]],Lista_CUIT[#All],2,0)),"CUIT NO CARGADO")</f>
        <v>HZ ELECTRICIDAD SRL</v>
      </c>
      <c r="H38" s="229">
        <v>16768.62</v>
      </c>
      <c r="I38" s="222">
        <f>IF(compras_mes5[[#This Row],[NETO GRAVADO]]="","",compras_mes5[[#This Row],[NETO GRAVADO]]*0.21)</f>
        <v>3521.4101999999998</v>
      </c>
      <c r="J38" s="222"/>
      <c r="K38" s="222"/>
      <c r="L38" s="222"/>
      <c r="M38" s="222"/>
      <c r="N38" s="222"/>
      <c r="O38" s="222">
        <v>0</v>
      </c>
      <c r="P38" s="230">
        <f>SUM(compras_mes5[[#This Row],[NETO GRAVADO]:[Otros / No Grav.]])</f>
        <v>20290.030199999997</v>
      </c>
      <c r="Q38" s="231" t="str">
        <f>IFERROR(IF(compras_mes5[[#This Row],[CUIT]]="","-",VLOOKUP(compras_mes5[[#This Row],[CUIT]],Lista_CUIT[#All],3,0)),"CUIT NO CARGADO")</f>
        <v>Gastos Varios</v>
      </c>
      <c r="R38" s="231">
        <f>IFERROR(IF(compras_mes5[[#This Row],[CUIT]]="","-",VLOOKUP(compras_mes5[[#This Row],[CUIT]],Lista_CUIT[#All],4,0)),"CUIT NO CARGADO")</f>
        <v>0</v>
      </c>
    </row>
    <row r="39" spans="2:18">
      <c r="B39" s="223">
        <v>45433</v>
      </c>
      <c r="C39" s="41">
        <v>1</v>
      </c>
      <c r="D39" s="225">
        <v>5</v>
      </c>
      <c r="E39" s="226">
        <v>28</v>
      </c>
      <c r="F39" s="227">
        <v>20929183143</v>
      </c>
      <c r="G39" s="228" t="str">
        <f>IFERROR(IF(compras_mes5[[#This Row],[CUIT]]="","-",VLOOKUP(compras_mes5[[#This Row],[CUIT]],Lista_CUIT[#All],2,0)),"CUIT NO CARGADO")</f>
        <v>MA JUN</v>
      </c>
      <c r="H39" s="229">
        <v>40000</v>
      </c>
      <c r="I39" s="222">
        <f>IF(compras_mes5[[#This Row],[NETO GRAVADO]]="","",compras_mes5[[#This Row],[NETO GRAVADO]]*0.21)</f>
        <v>8400</v>
      </c>
      <c r="J39" s="222"/>
      <c r="K39" s="222"/>
      <c r="L39" s="222"/>
      <c r="M39" s="222"/>
      <c r="N39" s="222"/>
      <c r="O39" s="222">
        <v>0</v>
      </c>
      <c r="P39" s="230">
        <f>SUM(compras_mes5[[#This Row],[NETO GRAVADO]:[Otros / No Grav.]])</f>
        <v>48400</v>
      </c>
      <c r="Q39" s="231" t="str">
        <f>IFERROR(IF(compras_mes5[[#This Row],[CUIT]]="","-",VLOOKUP(compras_mes5[[#This Row],[CUIT]],Lista_CUIT[#All],3,0)),"CUIT NO CARGADO")</f>
        <v>Gastos Varios</v>
      </c>
      <c r="R39" s="231">
        <f>IFERROR(IF(compras_mes5[[#This Row],[CUIT]]="","-",VLOOKUP(compras_mes5[[#This Row],[CUIT]],Lista_CUIT[#All],4,0)),"CUIT NO CARGADO")</f>
        <v>0</v>
      </c>
    </row>
    <row r="40" spans="2:18">
      <c r="B40" s="40">
        <v>45427</v>
      </c>
      <c r="C40" s="41">
        <v>1</v>
      </c>
      <c r="D40" s="42">
        <v>3</v>
      </c>
      <c r="E40" s="43">
        <v>7060</v>
      </c>
      <c r="F40" s="44">
        <v>33708218699</v>
      </c>
      <c r="G40" s="45" t="str">
        <f>IFERROR(IF(compras_mes5[[#This Row],[CUIT]]="","-",VLOOKUP(compras_mes5[[#This Row],[CUIT]],Lista_CUIT[#All],2,0)),"CUIT NO CARGADO")</f>
        <v>MANGGINI PABLO Y MANGGINI ULISES SOC. DE HECHO.</v>
      </c>
      <c r="H40" s="46">
        <v>9500</v>
      </c>
      <c r="I40" s="222">
        <f>IF(compras_mes5[[#This Row],[NETO GRAVADO]]="","",compras_mes5[[#This Row],[NETO GRAVADO]]*0.21)</f>
        <v>1995</v>
      </c>
      <c r="J40" s="85"/>
      <c r="K40" s="85"/>
      <c r="L40" s="85"/>
      <c r="M40" s="85"/>
      <c r="N40" s="85"/>
      <c r="O40" s="85">
        <v>0</v>
      </c>
      <c r="P40" s="48">
        <f>SUM(compras_mes5[[#This Row],[NETO GRAVADO]:[Otros / No Grav.]])</f>
        <v>11495</v>
      </c>
      <c r="Q40" s="49" t="str">
        <f>IFERROR(IF(compras_mes5[[#This Row],[CUIT]]="","-",VLOOKUP(compras_mes5[[#This Row],[CUIT]],Lista_CUIT[#All],3,0)),"CUIT NO CARGADO")</f>
        <v>Gastos Varios</v>
      </c>
      <c r="R40" s="49">
        <f>IFERROR(IF(compras_mes5[[#This Row],[CUIT]]="","-",VLOOKUP(compras_mes5[[#This Row],[CUIT]],Lista_CUIT[#All],4,0)),"CUIT NO CARGADO")</f>
        <v>0</v>
      </c>
    </row>
    <row r="41" spans="2:18">
      <c r="B41" s="223">
        <v>45439</v>
      </c>
      <c r="C41" s="41">
        <v>1</v>
      </c>
      <c r="D41" s="225">
        <v>2</v>
      </c>
      <c r="E41" s="226">
        <v>752</v>
      </c>
      <c r="F41" s="227">
        <v>20171082464</v>
      </c>
      <c r="G41" s="228" t="str">
        <f>IFERROR(IF(compras_mes5[[#This Row],[CUIT]]="","-",VLOOKUP(compras_mes5[[#This Row],[CUIT]],Lista_CUIT[#All],2,0)),"CUIT NO CARGADO")</f>
        <v>NOLAZCO EDUARDO ARTURO</v>
      </c>
      <c r="H41" s="229">
        <v>385947.52</v>
      </c>
      <c r="I41" s="222">
        <f>IF(compras_mes5[[#This Row],[NETO GRAVADO]]="","",compras_mes5[[#This Row],[NETO GRAVADO]]*0.21)</f>
        <v>81048.979200000002</v>
      </c>
      <c r="J41" s="222"/>
      <c r="K41" s="222"/>
      <c r="L41" s="222"/>
      <c r="M41" s="222"/>
      <c r="N41" s="222"/>
      <c r="O41" s="222">
        <v>0</v>
      </c>
      <c r="P41" s="230">
        <f>SUM(compras_mes5[[#This Row],[NETO GRAVADO]:[Otros / No Grav.]])</f>
        <v>466996.49920000002</v>
      </c>
      <c r="Q41" s="231" t="str">
        <f>IFERROR(IF(compras_mes5[[#This Row],[CUIT]]="","-",VLOOKUP(compras_mes5[[#This Row],[CUIT]],Lista_CUIT[#All],3,0)),"CUIT NO CARGADO")</f>
        <v>Gastos Varios</v>
      </c>
      <c r="R41" s="231">
        <f>IFERROR(IF(compras_mes5[[#This Row],[CUIT]]="","-",VLOOKUP(compras_mes5[[#This Row],[CUIT]],Lista_CUIT[#All],4,0)),"CUIT NO CARGADO")</f>
        <v>0</v>
      </c>
    </row>
    <row r="42" spans="2:18">
      <c r="B42" s="223">
        <v>45429</v>
      </c>
      <c r="C42" s="41">
        <v>1</v>
      </c>
      <c r="D42" s="225">
        <v>120</v>
      </c>
      <c r="E42" s="226">
        <v>4393</v>
      </c>
      <c r="F42" s="227">
        <v>30587197215</v>
      </c>
      <c r="G42" s="228" t="str">
        <f>IFERROR(IF(compras_mes5[[#This Row],[CUIT]]="","-",VLOOKUP(compras_mes5[[#This Row],[CUIT]],Lista_CUIT[#All],2,0)),"CUIT NO CARGADO")</f>
        <v>PANATEL SOCIEDAD ANONIMA</v>
      </c>
      <c r="H42" s="229">
        <v>56198.35</v>
      </c>
      <c r="I42" s="222">
        <f>IF(compras_mes5[[#This Row],[NETO GRAVADO]]="","",compras_mes5[[#This Row],[NETO GRAVADO]]*0.21)</f>
        <v>11801.653499999999</v>
      </c>
      <c r="J42" s="222"/>
      <c r="K42" s="222"/>
      <c r="L42" s="222"/>
      <c r="M42" s="222"/>
      <c r="N42" s="222"/>
      <c r="O42" s="222">
        <v>0</v>
      </c>
      <c r="P42" s="230">
        <f>SUM(compras_mes5[[#This Row],[NETO GRAVADO]:[Otros / No Grav.]])</f>
        <v>68000.003499999992</v>
      </c>
      <c r="Q42" s="231" t="str">
        <f>IFERROR(IF(compras_mes5[[#This Row],[CUIT]]="","-",VLOOKUP(compras_mes5[[#This Row],[CUIT]],Lista_CUIT[#All],3,0)),"CUIT NO CARGADO")</f>
        <v>Gastos Varios</v>
      </c>
      <c r="R42" s="231">
        <f>IFERROR(IF(compras_mes5[[#This Row],[CUIT]]="","-",VLOOKUP(compras_mes5[[#This Row],[CUIT]],Lista_CUIT[#All],4,0)),"CUIT NO CARGADO")</f>
        <v>0</v>
      </c>
    </row>
    <row r="43" spans="2:18">
      <c r="B43" s="223">
        <v>45419</v>
      </c>
      <c r="C43" s="41">
        <v>1</v>
      </c>
      <c r="D43" s="225">
        <v>4</v>
      </c>
      <c r="E43" s="226">
        <v>4664</v>
      </c>
      <c r="F43" s="227">
        <v>20113613646</v>
      </c>
      <c r="G43" s="228" t="str">
        <f>IFERROR(IF(compras_mes5[[#This Row],[CUIT]]="","-",VLOOKUP(compras_mes5[[#This Row],[CUIT]],Lista_CUIT[#All],2,0)),"CUIT NO CARGADO")</f>
        <v>PIETRUSZKA ALBERTO</v>
      </c>
      <c r="H43" s="229">
        <v>1652.89</v>
      </c>
      <c r="I43" s="222">
        <f>IF(compras_mes5[[#This Row],[NETO GRAVADO]]="","",compras_mes5[[#This Row],[NETO GRAVADO]]*0.21)</f>
        <v>347.1069</v>
      </c>
      <c r="J43" s="222"/>
      <c r="K43" s="222"/>
      <c r="L43" s="222"/>
      <c r="M43" s="222"/>
      <c r="N43" s="222"/>
      <c r="O43" s="222">
        <v>0</v>
      </c>
      <c r="P43" s="230">
        <f>SUM(compras_mes5[[#This Row],[NETO GRAVADO]:[Otros / No Grav.]])</f>
        <v>1999.9969000000001</v>
      </c>
      <c r="Q43" s="231" t="str">
        <f>IFERROR(IF(compras_mes5[[#This Row],[CUIT]]="","-",VLOOKUP(compras_mes5[[#This Row],[CUIT]],Lista_CUIT[#All],3,0)),"CUIT NO CARGADO")</f>
        <v>Gastos Varios</v>
      </c>
      <c r="R43" s="231">
        <f>IFERROR(IF(compras_mes5[[#This Row],[CUIT]]="","-",VLOOKUP(compras_mes5[[#This Row],[CUIT]],Lista_CUIT[#All],4,0)),"CUIT NO CARGADO")</f>
        <v>0</v>
      </c>
    </row>
    <row r="44" spans="2:18" ht="14.45" customHeight="1">
      <c r="B44" s="223">
        <v>45443</v>
      </c>
      <c r="C44" s="41">
        <v>1</v>
      </c>
      <c r="D44" s="225">
        <v>6</v>
      </c>
      <c r="E44" s="226">
        <v>16583380</v>
      </c>
      <c r="F44" s="227">
        <v>30620177497</v>
      </c>
      <c r="G44" s="228" t="str">
        <f>IFERROR(IF(compras_mes5[[#This Row],[CUIT]]="","-",VLOOKUP(compras_mes5[[#This Row],[CUIT]],Lista_CUIT[#All],2,0)),"CUIT NO CARGADO")</f>
        <v>POSNET SOCIEDAD DE RESPONSABILIDAD LIMITADA</v>
      </c>
      <c r="H44" s="229">
        <v>21215.08</v>
      </c>
      <c r="I44" s="222">
        <f>IF(compras_mes5[[#This Row],[NETO GRAVADO]]="","",compras_mes5[[#This Row],[NETO GRAVADO]]*0.21)</f>
        <v>4455.1668</v>
      </c>
      <c r="J44" s="222"/>
      <c r="K44" s="222"/>
      <c r="L44" s="222"/>
      <c r="M44" s="222"/>
      <c r="N44" s="222"/>
      <c r="O44" s="222">
        <v>0</v>
      </c>
      <c r="P44" s="230">
        <f>SUM(compras_mes5[[#This Row],[NETO GRAVADO]:[Otros / No Grav.]])</f>
        <v>25670.246800000001</v>
      </c>
      <c r="Q44" s="231" t="str">
        <f>IFERROR(IF(compras_mes5[[#This Row],[CUIT]]="","-",VLOOKUP(compras_mes5[[#This Row],[CUIT]],Lista_CUIT[#All],3,0)),"CUIT NO CARGADO")</f>
        <v>Gastos Varios</v>
      </c>
      <c r="R44" s="231">
        <f>IFERROR(IF(compras_mes5[[#This Row],[CUIT]]="","-",VLOOKUP(compras_mes5[[#This Row],[CUIT]],Lista_CUIT[#All],4,0)),"CUIT NO CARGADO")</f>
        <v>0</v>
      </c>
    </row>
    <row r="45" spans="2:18" ht="15" customHeight="1">
      <c r="B45" s="651">
        <v>45441</v>
      </c>
      <c r="C45" s="652">
        <v>1</v>
      </c>
      <c r="D45" s="638">
        <v>7</v>
      </c>
      <c r="E45" s="639">
        <v>112545</v>
      </c>
      <c r="F45" s="640">
        <v>30708724269</v>
      </c>
      <c r="G45" s="653" t="str">
        <f>IFERROR(IF(compras_mes5[[#This Row],[CUIT]]="","-",VLOOKUP(compras_mes5[[#This Row],[CUIT]],Lista_CUIT[#All],2,0)),"CUIT NO CARGADO")</f>
        <v>PRINTEMPS S.R.L.</v>
      </c>
      <c r="H45" s="654">
        <v>14674.37</v>
      </c>
      <c r="I45" s="222">
        <f>IF(compras_mes5[[#This Row],[NETO GRAVADO]]="","",compras_mes5[[#This Row],[NETO GRAVADO]]*0.21)</f>
        <v>3081.6177000000002</v>
      </c>
      <c r="J45" s="655"/>
      <c r="K45" s="655"/>
      <c r="L45" s="655"/>
      <c r="M45" s="655"/>
      <c r="N45" s="655"/>
      <c r="O45" s="655">
        <v>0</v>
      </c>
      <c r="P45" s="656">
        <f>SUM(compras_mes5[[#This Row],[NETO GRAVADO]:[Otros / No Grav.]])</f>
        <v>17755.987700000001</v>
      </c>
      <c r="Q45" s="657" t="str">
        <f>IFERROR(IF(compras_mes5[[#This Row],[CUIT]]="","-",VLOOKUP(compras_mes5[[#This Row],[CUIT]],Lista_CUIT[#All],3,0)),"CUIT NO CARGADO")</f>
        <v>Gastos Varios</v>
      </c>
      <c r="R45" s="657">
        <f>IFERROR(IF(compras_mes5[[#This Row],[CUIT]]="","-",VLOOKUP(compras_mes5[[#This Row],[CUIT]],Lista_CUIT[#All],4,0)),"CUIT NO CARGADO")</f>
        <v>0</v>
      </c>
    </row>
    <row r="46" spans="2:18" ht="15" customHeight="1">
      <c r="B46" s="40">
        <v>45419</v>
      </c>
      <c r="C46" s="41">
        <v>1</v>
      </c>
      <c r="D46" s="42">
        <v>2</v>
      </c>
      <c r="E46" s="43">
        <v>190</v>
      </c>
      <c r="F46" s="44">
        <v>20394693864</v>
      </c>
      <c r="G46" s="45" t="str">
        <f>IFERROR(IF(compras_mes5[[#This Row],[CUIT]]="","-",VLOOKUP(compras_mes5[[#This Row],[CUIT]],Lista_CUIT[#All],2,0)),"CUIT NO CARGADO")</f>
        <v>SALAZAR CALLE VICTOR</v>
      </c>
      <c r="H46" s="46">
        <v>25438</v>
      </c>
      <c r="I46" s="222">
        <f>IF(compras_mes5[[#This Row],[NETO GRAVADO]]="","",compras_mes5[[#This Row],[NETO GRAVADO]]*0.21)</f>
        <v>5341.98</v>
      </c>
      <c r="J46" s="85"/>
      <c r="K46" s="85"/>
      <c r="L46" s="85"/>
      <c r="M46" s="85"/>
      <c r="N46" s="85"/>
      <c r="O46" s="85">
        <v>0</v>
      </c>
      <c r="P46" s="48">
        <f>SUM(compras_mes5[[#This Row],[NETO GRAVADO]:[Otros / No Grav.]])</f>
        <v>30779.98</v>
      </c>
      <c r="Q46" s="49" t="str">
        <f>IFERROR(IF(compras_mes5[[#This Row],[CUIT]]="","-",VLOOKUP(compras_mes5[[#This Row],[CUIT]],Lista_CUIT[#All],3,0)),"CUIT NO CARGADO")</f>
        <v>Gastos Varios</v>
      </c>
      <c r="R46" s="49">
        <f>IFERROR(IF(compras_mes5[[#This Row],[CUIT]]="","-",VLOOKUP(compras_mes5[[#This Row],[CUIT]],Lista_CUIT[#All],4,0)),"CUIT NO CARGADO")</f>
        <v>0</v>
      </c>
    </row>
    <row r="47" spans="2:18" ht="15" customHeight="1">
      <c r="B47" s="223">
        <v>45429</v>
      </c>
      <c r="C47" s="41">
        <v>1</v>
      </c>
      <c r="D47" s="225">
        <v>9</v>
      </c>
      <c r="E47" s="226">
        <v>2482</v>
      </c>
      <c r="F47" s="227">
        <v>30610666430</v>
      </c>
      <c r="G47" s="228" t="str">
        <f>IFERROR(IF(compras_mes5[[#This Row],[CUIT]]="","-",VLOOKUP(compras_mes5[[#This Row],[CUIT]],Lista_CUIT[#All],2,0)),"CUIT NO CARGADO")</f>
        <v>SICANIA SA</v>
      </c>
      <c r="H47" s="229">
        <v>14545.45</v>
      </c>
      <c r="I47" s="222">
        <f>IF(compras_mes5[[#This Row],[NETO GRAVADO]]="","",compras_mes5[[#This Row],[NETO GRAVADO]]*0.21)</f>
        <v>3054.5445</v>
      </c>
      <c r="J47" s="222"/>
      <c r="K47" s="222"/>
      <c r="L47" s="222"/>
      <c r="M47" s="222"/>
      <c r="N47" s="222"/>
      <c r="O47" s="222">
        <v>0</v>
      </c>
      <c r="P47" s="230">
        <f>SUM(compras_mes5[[#This Row],[NETO GRAVADO]:[Otros / No Grav.]])</f>
        <v>17599.994500000001</v>
      </c>
      <c r="Q47" s="231" t="str">
        <f>IFERROR(IF(compras_mes5[[#This Row],[CUIT]]="","-",VLOOKUP(compras_mes5[[#This Row],[CUIT]],Lista_CUIT[#All],3,0)),"CUIT NO CARGADO")</f>
        <v>Gastos Varios</v>
      </c>
      <c r="R47" s="231">
        <f>IFERROR(IF(compras_mes5[[#This Row],[CUIT]]="","-",VLOOKUP(compras_mes5[[#This Row],[CUIT]],Lista_CUIT[#All],4,0)),"CUIT NO CARGADO")</f>
        <v>0</v>
      </c>
    </row>
    <row r="48" spans="2:18" ht="15" customHeight="1">
      <c r="B48" s="223">
        <v>45427</v>
      </c>
      <c r="C48" s="224">
        <v>1</v>
      </c>
      <c r="D48" s="225">
        <v>1</v>
      </c>
      <c r="E48" s="226">
        <v>11082</v>
      </c>
      <c r="F48" s="227">
        <v>30716240203</v>
      </c>
      <c r="G48" s="228" t="str">
        <f>IFERROR(IF(compras_mes5[[#This Row],[CUIT]]="","-",VLOOKUP(compras_mes5[[#This Row],[CUIT]],Lista_CUIT[#All],2,0)),"CUIT NO CARGADO")</f>
        <v>S-MART HARDWARE CREATIVE SOLUTIONS S.R.L.</v>
      </c>
      <c r="H48" s="229">
        <v>20813.52</v>
      </c>
      <c r="I48" s="222">
        <f>IF(compras_mes5[[#This Row],[NETO GRAVADO]]="","",compras_mes5[[#This Row],[NETO GRAVADO]]*0.21)</f>
        <v>4370.8392000000003</v>
      </c>
      <c r="J48" s="222"/>
      <c r="K48" s="222"/>
      <c r="L48" s="222"/>
      <c r="M48" s="222"/>
      <c r="N48" s="222"/>
      <c r="O48" s="222">
        <v>0</v>
      </c>
      <c r="P48" s="230">
        <f>SUM(compras_mes5[[#This Row],[NETO GRAVADO]:[Otros / No Grav.]])</f>
        <v>25184.359199999999</v>
      </c>
      <c r="Q48" s="231" t="str">
        <f>IFERROR(IF(compras_mes5[[#This Row],[CUIT]]="","-",VLOOKUP(compras_mes5[[#This Row],[CUIT]],Lista_CUIT[#All],3,0)),"CUIT NO CARGADO")</f>
        <v>Gastos Varios</v>
      </c>
      <c r="R48" s="231">
        <f>IFERROR(IF(compras_mes5[[#This Row],[CUIT]]="","-",VLOOKUP(compras_mes5[[#This Row],[CUIT]],Lista_CUIT[#All],4,0)),"CUIT NO CARGADO")</f>
        <v>0</v>
      </c>
    </row>
    <row r="49" spans="2:18" ht="15" customHeight="1">
      <c r="B49" s="223">
        <v>45427</v>
      </c>
      <c r="C49" s="41">
        <v>1</v>
      </c>
      <c r="D49" s="225">
        <v>6</v>
      </c>
      <c r="E49" s="226">
        <v>1467</v>
      </c>
      <c r="F49" s="227">
        <v>30716815710</v>
      </c>
      <c r="G49" s="228" t="str">
        <f>IFERROR(IF(compras_mes5[[#This Row],[CUIT]]="","-",VLOOKUP(compras_mes5[[#This Row],[CUIT]],Lista_CUIT[#All],2,0)),"CUIT NO CARGADO")</f>
        <v>PAPELERA GEOPEL SRL</v>
      </c>
      <c r="H49" s="229">
        <v>50250</v>
      </c>
      <c r="I49" s="222">
        <f>IF(compras_mes5[[#This Row],[NETO GRAVADO]]="","",compras_mes5[[#This Row],[NETO GRAVADO]]*0.21)</f>
        <v>10552.5</v>
      </c>
      <c r="J49" s="222"/>
      <c r="K49" s="222"/>
      <c r="L49" s="222"/>
      <c r="M49" s="222"/>
      <c r="N49" s="222"/>
      <c r="O49" s="222">
        <v>0</v>
      </c>
      <c r="P49" s="230">
        <f>SUM(compras_mes5[[#This Row],[NETO GRAVADO]:[Otros / No Grav.]])</f>
        <v>60802.5</v>
      </c>
      <c r="Q49" s="231" t="str">
        <f>IFERROR(IF(compras_mes5[[#This Row],[CUIT]]="","-",VLOOKUP(compras_mes5[[#This Row],[CUIT]],Lista_CUIT[#All],3,0)),"CUIT NO CARGADO")</f>
        <v>LIBRERÍA</v>
      </c>
      <c r="R49" s="231">
        <f>IFERROR(IF(compras_mes5[[#This Row],[CUIT]]="","-",VLOOKUP(compras_mes5[[#This Row],[CUIT]],Lista_CUIT[#All],4,0)),"CUIT NO CARGADO")</f>
        <v>0</v>
      </c>
    </row>
    <row r="50" spans="2:18" ht="15" customHeight="1">
      <c r="B50" s="223">
        <v>45441</v>
      </c>
      <c r="C50" s="224">
        <v>1</v>
      </c>
      <c r="D50" s="225">
        <v>6</v>
      </c>
      <c r="E50" s="226">
        <v>1483</v>
      </c>
      <c r="F50" s="227">
        <v>30716815710</v>
      </c>
      <c r="G50" s="228" t="str">
        <f>IFERROR(IF(compras_mes5[[#This Row],[CUIT]]="","-",VLOOKUP(compras_mes5[[#This Row],[CUIT]],Lista_CUIT[#All],2,0)),"CUIT NO CARGADO")</f>
        <v>PAPELERA GEOPEL SRL</v>
      </c>
      <c r="H50" s="229">
        <v>7500</v>
      </c>
      <c r="I50" s="222">
        <f>IF(compras_mes5[[#This Row],[NETO GRAVADO]]="","",compras_mes5[[#This Row],[NETO GRAVADO]]*0.21)</f>
        <v>1575</v>
      </c>
      <c r="J50" s="222"/>
      <c r="K50" s="222"/>
      <c r="L50" s="222"/>
      <c r="M50" s="222"/>
      <c r="N50" s="222"/>
      <c r="O50" s="222">
        <v>0</v>
      </c>
      <c r="P50" s="230">
        <f>SUM(compras_mes5[[#This Row],[NETO GRAVADO]:[Otros / No Grav.]])</f>
        <v>9075</v>
      </c>
      <c r="Q50" s="231" t="str">
        <f>IFERROR(IF(compras_mes5[[#This Row],[CUIT]]="","-",VLOOKUP(compras_mes5[[#This Row],[CUIT]],Lista_CUIT[#All],3,0)),"CUIT NO CARGADO")</f>
        <v>LIBRERÍA</v>
      </c>
      <c r="R50" s="231">
        <f>IFERROR(IF(compras_mes5[[#This Row],[CUIT]]="","-",VLOOKUP(compras_mes5[[#This Row],[CUIT]],Lista_CUIT[#All],4,0)),"CUIT NO CARGADO")</f>
        <v>0</v>
      </c>
    </row>
    <row r="51" spans="2:18" ht="15" customHeight="1">
      <c r="B51" s="651">
        <v>45443</v>
      </c>
      <c r="C51" s="652">
        <v>1</v>
      </c>
      <c r="D51" s="638">
        <v>2</v>
      </c>
      <c r="E51" s="639">
        <v>49657</v>
      </c>
      <c r="F51" s="640">
        <v>30595553535</v>
      </c>
      <c r="G51" s="653" t="str">
        <f>IFERROR(IF(compras_mes5[[#This Row],[CUIT]]="","-",VLOOKUP(compras_mes5[[#This Row],[CUIT]],Lista_CUIT[#All],2,0)),"CUIT NO CARGADO")</f>
        <v>RUBRICOM SA</v>
      </c>
      <c r="H51" s="654">
        <v>3305.79</v>
      </c>
      <c r="I51" s="222">
        <f>IF(compras_mes5[[#This Row],[NETO GRAVADO]]="","",compras_mes5[[#This Row],[NETO GRAVADO]]*0.21)</f>
        <v>694.21589999999992</v>
      </c>
      <c r="J51" s="655"/>
      <c r="K51" s="655"/>
      <c r="L51" s="655"/>
      <c r="M51" s="655"/>
      <c r="N51" s="655"/>
      <c r="O51" s="655">
        <v>0</v>
      </c>
      <c r="P51" s="656">
        <f>SUM(compras_mes5[[#This Row],[NETO GRAVADO]:[Otros / No Grav.]])</f>
        <v>4000.0059000000001</v>
      </c>
      <c r="Q51" s="657" t="str">
        <f>IFERROR(IF(compras_mes5[[#This Row],[CUIT]]="","-",VLOOKUP(compras_mes5[[#This Row],[CUIT]],Lista_CUIT[#All],3,0)),"CUIT NO CARGADO")</f>
        <v>LIBRERÍA</v>
      </c>
      <c r="R51" s="657">
        <f>IFERROR(IF(compras_mes5[[#This Row],[CUIT]]="","-",VLOOKUP(compras_mes5[[#This Row],[CUIT]],Lista_CUIT[#All],4,0)),"CUIT NO CARGADO")</f>
        <v>0</v>
      </c>
    </row>
    <row r="52" spans="2:18" ht="15" customHeight="1">
      <c r="B52" s="89">
        <v>45429</v>
      </c>
      <c r="C52" s="41">
        <v>1</v>
      </c>
      <c r="D52" s="90">
        <v>3</v>
      </c>
      <c r="E52" s="91">
        <v>4099</v>
      </c>
      <c r="F52" s="92">
        <v>20184052858</v>
      </c>
      <c r="G52" s="93" t="str">
        <f>IFERROR(IF(compras_mes5[[#This Row],[CUIT]]="","-",VLOOKUP(compras_mes5[[#This Row],[CUIT]],Lista_CUIT[#All],2,0)),"CUIT NO CARGADO")</f>
        <v>ABOUD PABLO DANIEL</v>
      </c>
      <c r="H52" s="94">
        <v>72809.86</v>
      </c>
      <c r="I52" s="222">
        <f>IF(compras_mes5[[#This Row],[NETO GRAVADO]]="","",compras_mes5[[#This Row],[NETO GRAVADO]]*0.21)</f>
        <v>15290.070599999999</v>
      </c>
      <c r="J52" s="86"/>
      <c r="K52" s="86"/>
      <c r="L52" s="86"/>
      <c r="M52" s="86"/>
      <c r="N52" s="86"/>
      <c r="O52" s="86">
        <v>0</v>
      </c>
      <c r="P52" s="87">
        <f>SUM(compras_mes5[[#This Row],[NETO GRAVADO]:[Otros / No Grav.]])</f>
        <v>88099.930599999992</v>
      </c>
      <c r="Q52" s="88" t="str">
        <f>IFERROR(IF(compras_mes5[[#This Row],[CUIT]]="","-",VLOOKUP(compras_mes5[[#This Row],[CUIT]],Lista_CUIT[#All],3,0)),"CUIT NO CARGADO")</f>
        <v>MANTENIMIENTO</v>
      </c>
      <c r="R52" s="88">
        <f>IFERROR(IF(compras_mes5[[#This Row],[CUIT]]="","-",VLOOKUP(compras_mes5[[#This Row],[CUIT]],Lista_CUIT[#All],4,0)),"CUIT NO CARGADO")</f>
        <v>0</v>
      </c>
    </row>
    <row r="53" spans="2:18" ht="15" customHeight="1">
      <c r="B53" s="223">
        <v>45428</v>
      </c>
      <c r="C53" s="224">
        <v>1</v>
      </c>
      <c r="D53" s="225">
        <v>104</v>
      </c>
      <c r="E53" s="226">
        <v>4793</v>
      </c>
      <c r="F53" s="227">
        <v>30659276964</v>
      </c>
      <c r="G53" s="228" t="str">
        <f>IFERROR(IF(compras_mes5[[#This Row],[CUIT]]="","-",VLOOKUP(compras_mes5[[#This Row],[CUIT]],Lista_CUIT[#All],2,0)),"CUIT NO CARGADO")</f>
        <v xml:space="preserve">ESPASA EXCLUSIVOS </v>
      </c>
      <c r="H53" s="229">
        <v>483107.44</v>
      </c>
      <c r="I53" s="222">
        <f>IF(compras_mes5[[#This Row],[NETO GRAVADO]]="","",compras_mes5[[#This Row],[NETO GRAVADO]]*0.21)</f>
        <v>101452.5624</v>
      </c>
      <c r="J53" s="222"/>
      <c r="K53" s="222"/>
      <c r="L53" s="222"/>
      <c r="M53" s="222"/>
      <c r="N53" s="222"/>
      <c r="O53" s="222">
        <v>0</v>
      </c>
      <c r="P53" s="230">
        <f>SUM(compras_mes5[[#This Row],[NETO GRAVADO]:[Otros / No Grav.]])</f>
        <v>584560.0024</v>
      </c>
      <c r="Q53" s="231" t="str">
        <f>IFERROR(IF(compras_mes5[[#This Row],[CUIT]]="","-",VLOOKUP(compras_mes5[[#This Row],[CUIT]],Lista_CUIT[#All],3,0)),"CUIT NO CARGADO")</f>
        <v>Mantenimiento</v>
      </c>
      <c r="R53" s="231">
        <f>IFERROR(IF(compras_mes5[[#This Row],[CUIT]]="","-",VLOOKUP(compras_mes5[[#This Row],[CUIT]],Lista_CUIT[#All],4,0)),"CUIT NO CARGADO")</f>
        <v>0</v>
      </c>
    </row>
    <row r="54" spans="2:18" ht="15" customHeight="1">
      <c r="B54" s="40">
        <v>45428</v>
      </c>
      <c r="C54" s="41">
        <v>1</v>
      </c>
      <c r="D54" s="42">
        <v>104</v>
      </c>
      <c r="E54" s="43">
        <v>4792</v>
      </c>
      <c r="F54" s="44">
        <v>30659276964</v>
      </c>
      <c r="G54" s="45" t="str">
        <f>IFERROR(IF(compras_mes5[[#This Row],[CUIT]]="","-",VLOOKUP(compras_mes5[[#This Row],[CUIT]],Lista_CUIT[#All],2,0)),"CUIT NO CARGADO")</f>
        <v xml:space="preserve">ESPASA EXCLUSIVOS </v>
      </c>
      <c r="H54" s="46">
        <v>214234.66</v>
      </c>
      <c r="I54" s="222">
        <f>IF(compras_mes5[[#This Row],[NETO GRAVADO]]="","",compras_mes5[[#This Row],[NETO GRAVADO]]*0.21)</f>
        <v>44989.278599999998</v>
      </c>
      <c r="J54" s="85"/>
      <c r="K54" s="85"/>
      <c r="L54" s="85"/>
      <c r="M54" s="85"/>
      <c r="N54" s="85"/>
      <c r="O54" s="85">
        <v>0</v>
      </c>
      <c r="P54" s="48">
        <f>SUM(compras_mes5[[#This Row],[NETO GRAVADO]:[Otros / No Grav.]])</f>
        <v>259223.93859999999</v>
      </c>
      <c r="Q54" s="49" t="str">
        <f>IFERROR(IF(compras_mes5[[#This Row],[CUIT]]="","-",VLOOKUP(compras_mes5[[#This Row],[CUIT]],Lista_CUIT[#All],3,0)),"CUIT NO CARGADO")</f>
        <v>Mantenimiento</v>
      </c>
      <c r="R54" s="49">
        <f>IFERROR(IF(compras_mes5[[#This Row],[CUIT]]="","-",VLOOKUP(compras_mes5[[#This Row],[CUIT]],Lista_CUIT[#All],4,0)),"CUIT NO CARGADO")</f>
        <v>0</v>
      </c>
    </row>
    <row r="55" spans="2:18" ht="15" customHeight="1">
      <c r="B55" s="223">
        <v>45419</v>
      </c>
      <c r="C55" s="41">
        <v>1</v>
      </c>
      <c r="D55" s="225">
        <v>4</v>
      </c>
      <c r="E55" s="226">
        <v>4367</v>
      </c>
      <c r="F55" s="227">
        <v>30561769644</v>
      </c>
      <c r="G55" s="228" t="str">
        <f>IFERROR(IF(compras_mes5[[#This Row],[CUIT]]="","-",VLOOKUP(compras_mes5[[#This Row],[CUIT]],Lista_CUIT[#All],2,0)),"CUIT NO CARGADO")</f>
        <v>VIALGA SA</v>
      </c>
      <c r="H55" s="229">
        <v>44291.16</v>
      </c>
      <c r="I55" s="222">
        <v>4616.7299999999996</v>
      </c>
      <c r="J55" s="222"/>
      <c r="K55" s="222">
        <v>2342.4</v>
      </c>
      <c r="L55" s="222"/>
      <c r="M55" s="222"/>
      <c r="N55" s="222"/>
      <c r="O55" s="222">
        <v>0</v>
      </c>
      <c r="P55" s="230">
        <f>SUM(compras_mes5[[#This Row],[NETO GRAVADO]:[Otros / No Grav.]])</f>
        <v>51250.29</v>
      </c>
      <c r="Q55" s="231" t="str">
        <f>IFERROR(IF(compras_mes5[[#This Row],[CUIT]]="","-",VLOOKUP(compras_mes5[[#This Row],[CUIT]],Lista_CUIT[#All],3,0)),"CUIT NO CARGADO")</f>
        <v>Mantenimiento</v>
      </c>
      <c r="R55" s="231">
        <f>IFERROR(IF(compras_mes5[[#This Row],[CUIT]]="","-",VLOOKUP(compras_mes5[[#This Row],[CUIT]],Lista_CUIT[#All],4,0)),"CUIT NO CARGADO")</f>
        <v>0</v>
      </c>
    </row>
    <row r="56" spans="2:18" ht="15" customHeight="1">
      <c r="B56" s="223">
        <v>45421</v>
      </c>
      <c r="C56" s="41">
        <v>1</v>
      </c>
      <c r="D56" s="225">
        <v>4</v>
      </c>
      <c r="E56" s="226">
        <v>4370</v>
      </c>
      <c r="F56" s="227">
        <v>30561769644</v>
      </c>
      <c r="G56" s="228" t="str">
        <f>IFERROR(IF(compras_mes5[[#This Row],[CUIT]]="","-",VLOOKUP(compras_mes5[[#This Row],[CUIT]],Lista_CUIT[#All],2,0)),"CUIT NO CARGADO")</f>
        <v>VIALGA SA</v>
      </c>
      <c r="H56" s="229">
        <v>27064.799999999999</v>
      </c>
      <c r="I56" s="222">
        <v>1486.73</v>
      </c>
      <c r="J56" s="222"/>
      <c r="K56" s="222">
        <v>2098.3000000000002</v>
      </c>
      <c r="L56" s="222"/>
      <c r="M56" s="222"/>
      <c r="N56" s="222"/>
      <c r="O56" s="222">
        <v>0</v>
      </c>
      <c r="P56" s="230">
        <f>SUM(compras_mes5[[#This Row],[NETO GRAVADO]:[Otros / No Grav.]])</f>
        <v>30649.829999999998</v>
      </c>
      <c r="Q56" s="231" t="str">
        <f>IFERROR(IF(compras_mes5[[#This Row],[CUIT]]="","-",VLOOKUP(compras_mes5[[#This Row],[CUIT]],Lista_CUIT[#All],3,0)),"CUIT NO CARGADO")</f>
        <v>Mantenimiento</v>
      </c>
      <c r="R56" s="231">
        <f>IFERROR(IF(compras_mes5[[#This Row],[CUIT]]="","-",VLOOKUP(compras_mes5[[#This Row],[CUIT]],Lista_CUIT[#All],4,0)),"CUIT NO CARGADO")</f>
        <v>0</v>
      </c>
    </row>
    <row r="57" spans="2:18" ht="15" customHeight="1">
      <c r="B57" s="223">
        <v>45414</v>
      </c>
      <c r="C57" s="41">
        <v>1</v>
      </c>
      <c r="D57" s="225">
        <v>5015</v>
      </c>
      <c r="E57" s="226">
        <v>607270</v>
      </c>
      <c r="F57" s="227">
        <v>30574876474</v>
      </c>
      <c r="G57" s="228" t="str">
        <f>IFERROR(IF(compras_mes5[[#This Row],[CUIT]]="","-",VLOOKUP(compras_mes5[[#This Row],[CUIT]],Lista_CUIT[#All],2,0)),"CUIT NO CARGADO")</f>
        <v>AUTOP. URBANAS SA</v>
      </c>
      <c r="H57" s="229">
        <v>26653.360000000001</v>
      </c>
      <c r="I57" s="222">
        <f>IF(compras_mes5[[#This Row],[NETO GRAVADO]]="","",compras_mes5[[#This Row],[NETO GRAVADO]]*0.21)</f>
        <v>5597.2056000000002</v>
      </c>
      <c r="J57" s="222"/>
      <c r="K57" s="222"/>
      <c r="L57" s="222"/>
      <c r="M57" s="222"/>
      <c r="N57" s="222"/>
      <c r="O57" s="222">
        <v>0</v>
      </c>
      <c r="P57" s="230">
        <f>SUM(compras_mes5[[#This Row],[NETO GRAVADO]:[Otros / No Grav.]])</f>
        <v>32250.565600000002</v>
      </c>
      <c r="Q57" s="231" t="str">
        <f>IFERROR(IF(compras_mes5[[#This Row],[CUIT]]="","-",VLOOKUP(compras_mes5[[#This Row],[CUIT]],Lista_CUIT[#All],3,0)),"CUIT NO CARGADO")</f>
        <v>PEAJE</v>
      </c>
      <c r="R57" s="231">
        <f>IFERROR(IF(compras_mes5[[#This Row],[CUIT]]="","-",VLOOKUP(compras_mes5[[#This Row],[CUIT]],Lista_CUIT[#All],4,0)),"CUIT NO CARGADO")</f>
        <v>0</v>
      </c>
    </row>
    <row r="58" spans="2:18" ht="15" customHeight="1">
      <c r="B58" s="223">
        <v>45429</v>
      </c>
      <c r="C58" s="41">
        <v>1</v>
      </c>
      <c r="D58" s="225">
        <v>5015</v>
      </c>
      <c r="E58" s="226">
        <v>611070</v>
      </c>
      <c r="F58" s="227">
        <v>30574876474</v>
      </c>
      <c r="G58" s="228" t="str">
        <f>IFERROR(IF(compras_mes5[[#This Row],[CUIT]]="","-",VLOOKUP(compras_mes5[[#This Row],[CUIT]],Lista_CUIT[#All],2,0)),"CUIT NO CARGADO")</f>
        <v>AUTOP. URBANAS SA</v>
      </c>
      <c r="H58" s="229">
        <v>29174.45</v>
      </c>
      <c r="I58" s="222">
        <f>IF(compras_mes5[[#This Row],[NETO GRAVADO]]="","",compras_mes5[[#This Row],[NETO GRAVADO]]*0.21)</f>
        <v>6126.6345000000001</v>
      </c>
      <c r="J58" s="222"/>
      <c r="K58" s="222"/>
      <c r="L58" s="222"/>
      <c r="M58" s="222"/>
      <c r="N58" s="222"/>
      <c r="O58" s="222">
        <v>0</v>
      </c>
      <c r="P58" s="230">
        <f>SUM(compras_mes5[[#This Row],[NETO GRAVADO]:[Otros / No Grav.]])</f>
        <v>35301.084499999997</v>
      </c>
      <c r="Q58" s="231" t="str">
        <f>IFERROR(IF(compras_mes5[[#This Row],[CUIT]]="","-",VLOOKUP(compras_mes5[[#This Row],[CUIT]],Lista_CUIT[#All],3,0)),"CUIT NO CARGADO")</f>
        <v>PEAJE</v>
      </c>
      <c r="R58" s="231">
        <f>IFERROR(IF(compras_mes5[[#This Row],[CUIT]]="","-",VLOOKUP(compras_mes5[[#This Row],[CUIT]],Lista_CUIT[#All],4,0)),"CUIT NO CARGADO")</f>
        <v>0</v>
      </c>
    </row>
    <row r="59" spans="2:18" ht="15" customHeight="1">
      <c r="B59" s="223">
        <v>45415</v>
      </c>
      <c r="C59" s="41">
        <v>1</v>
      </c>
      <c r="D59" s="225">
        <v>711</v>
      </c>
      <c r="E59" s="226">
        <v>5635394</v>
      </c>
      <c r="F59" s="227">
        <v>30677237119</v>
      </c>
      <c r="G59" s="228" t="str">
        <f>IFERROR(IF(compras_mes5[[#This Row],[CUIT]]="","-",VLOOKUP(compras_mes5[[#This Row],[CUIT]],Lista_CUIT[#All],2,0)),"CUIT NO CARGADO")</f>
        <v>AUTOPISTAS DEL SOL SA</v>
      </c>
      <c r="H59" s="229">
        <v>4813.99</v>
      </c>
      <c r="I59" s="222">
        <f>IF(compras_mes5[[#This Row],[NETO GRAVADO]]="","",compras_mes5[[#This Row],[NETO GRAVADO]]*0.21)</f>
        <v>1010.9378999999999</v>
      </c>
      <c r="J59" s="222"/>
      <c r="K59" s="222"/>
      <c r="L59" s="222"/>
      <c r="M59" s="222"/>
      <c r="N59" s="222"/>
      <c r="O59" s="222">
        <v>144.41999999999999</v>
      </c>
      <c r="P59" s="230">
        <f>SUM(compras_mes5[[#This Row],[NETO GRAVADO]:[Otros / No Grav.]])</f>
        <v>5969.3478999999998</v>
      </c>
      <c r="Q59" s="231" t="str">
        <f>IFERROR(IF(compras_mes5[[#This Row],[CUIT]]="","-",VLOOKUP(compras_mes5[[#This Row],[CUIT]],Lista_CUIT[#All],3,0)),"CUIT NO CARGADO")</f>
        <v>PEAJE</v>
      </c>
      <c r="R59" s="231">
        <f>IFERROR(IF(compras_mes5[[#This Row],[CUIT]]="","-",VLOOKUP(compras_mes5[[#This Row],[CUIT]],Lista_CUIT[#All],4,0)),"CUIT NO CARGADO")</f>
        <v>0</v>
      </c>
    </row>
    <row r="60" spans="2:18" ht="15" customHeight="1">
      <c r="B60" s="161">
        <v>45429</v>
      </c>
      <c r="C60" s="160">
        <v>1</v>
      </c>
      <c r="D60" s="162">
        <v>711</v>
      </c>
      <c r="E60" s="163">
        <v>5691979</v>
      </c>
      <c r="F60" s="164">
        <v>30677237119</v>
      </c>
      <c r="G60" s="165" t="str">
        <f>IFERROR(IF(compras_mes5[[#This Row],[CUIT]]="","-",VLOOKUP(compras_mes5[[#This Row],[CUIT]],Lista_CUIT[#All],2,0)),"CUIT NO CARGADO")</f>
        <v>AUTOPISTAS DEL SOL SA</v>
      </c>
      <c r="H60" s="166">
        <v>4173.51</v>
      </c>
      <c r="I60" s="222">
        <f>IF(compras_mes5[[#This Row],[NETO GRAVADO]]="","",compras_mes5[[#This Row],[NETO GRAVADO]]*0.21)</f>
        <v>876.43709999999999</v>
      </c>
      <c r="J60" s="167"/>
      <c r="K60" s="167"/>
      <c r="L60" s="167"/>
      <c r="M60" s="167"/>
      <c r="N60" s="167"/>
      <c r="O60" s="167">
        <v>125.21</v>
      </c>
      <c r="P60" s="168">
        <f>SUM(compras_mes5[[#This Row],[NETO GRAVADO]:[Otros / No Grav.]])</f>
        <v>5175.1571000000004</v>
      </c>
      <c r="Q60" s="169" t="str">
        <f>IFERROR(IF(compras_mes5[[#This Row],[CUIT]]="","-",VLOOKUP(compras_mes5[[#This Row],[CUIT]],Lista_CUIT[#All],3,0)),"CUIT NO CARGADO")</f>
        <v>PEAJE</v>
      </c>
      <c r="R60" s="169">
        <f>IFERROR(IF(compras_mes5[[#This Row],[CUIT]]="","-",VLOOKUP(compras_mes5[[#This Row],[CUIT]],Lista_CUIT[#All],4,0)),"CUIT NO CARGADO")</f>
        <v>0</v>
      </c>
    </row>
    <row r="61" spans="2:18" ht="15" customHeight="1">
      <c r="B61" s="223">
        <v>45434</v>
      </c>
      <c r="C61" s="41">
        <v>1</v>
      </c>
      <c r="D61" s="225">
        <v>700</v>
      </c>
      <c r="E61" s="226">
        <v>1673461</v>
      </c>
      <c r="F61" s="227">
        <v>30715804812</v>
      </c>
      <c r="G61" s="228" t="str">
        <f>IFERROR(IF(compras_mes5[[#This Row],[CUIT]]="","-",VLOOKUP(compras_mes5[[#This Row],[CUIT]],Lista_CUIT[#All],2,0)),"CUIT NO CARGADO")</f>
        <v>CORREDORES VIALES SOCIEDAD ANONIMA</v>
      </c>
      <c r="H61" s="229">
        <v>9090.91</v>
      </c>
      <c r="I61" s="222">
        <f>IF(compras_mes5[[#This Row],[NETO GRAVADO]]="","",compras_mes5[[#This Row],[NETO GRAVADO]]*0.21)</f>
        <v>1909.0910999999999</v>
      </c>
      <c r="J61" s="222"/>
      <c r="K61" s="222"/>
      <c r="L61" s="222"/>
      <c r="M61" s="222"/>
      <c r="N61" s="222"/>
      <c r="O61" s="222">
        <v>0</v>
      </c>
      <c r="P61" s="230">
        <f>SUM(compras_mes5[[#This Row],[NETO GRAVADO]:[Otros / No Grav.]])</f>
        <v>11000.001099999999</v>
      </c>
      <c r="Q61" s="231" t="str">
        <f>IFERROR(IF(compras_mes5[[#This Row],[CUIT]]="","-",VLOOKUP(compras_mes5[[#This Row],[CUIT]],Lista_CUIT[#All],3,0)),"CUIT NO CARGADO")</f>
        <v>PEAJE</v>
      </c>
      <c r="R61" s="231">
        <f>IFERROR(IF(compras_mes5[[#This Row],[CUIT]]="","-",VLOOKUP(compras_mes5[[#This Row],[CUIT]],Lista_CUIT[#All],4,0)),"CUIT NO CARGADO")</f>
        <v>0</v>
      </c>
    </row>
    <row r="62" spans="2:18" ht="15" customHeight="1">
      <c r="B62" s="223">
        <v>45415</v>
      </c>
      <c r="C62" s="41">
        <v>1</v>
      </c>
      <c r="D62" s="225">
        <v>629</v>
      </c>
      <c r="E62" s="226">
        <v>5088960</v>
      </c>
      <c r="F62" s="227">
        <v>30663498513</v>
      </c>
      <c r="G62" s="228" t="str">
        <f>IFERROR(IF(compras_mes5[[#This Row],[CUIT]]="","-",VLOOKUP(compras_mes5[[#This Row],[CUIT]],Lista_CUIT[#All],2,0)),"CUIT NO CARGADO")</f>
        <v>GRUPO CONCES. DEL OESTE SA</v>
      </c>
      <c r="H62" s="229">
        <v>454.54</v>
      </c>
      <c r="I62" s="222">
        <f>IF(compras_mes5[[#This Row],[NETO GRAVADO]]="","",compras_mes5[[#This Row],[NETO GRAVADO]]*0.21)</f>
        <v>95.453400000000002</v>
      </c>
      <c r="J62" s="222"/>
      <c r="K62" s="222"/>
      <c r="L62" s="222"/>
      <c r="M62" s="222"/>
      <c r="N62" s="222"/>
      <c r="O62" s="222">
        <v>0</v>
      </c>
      <c r="P62" s="230">
        <f>SUM(compras_mes5[[#This Row],[NETO GRAVADO]:[Otros / No Grav.]])</f>
        <v>549.99340000000007</v>
      </c>
      <c r="Q62" s="231" t="str">
        <f>IFERROR(IF(compras_mes5[[#This Row],[CUIT]]="","-",VLOOKUP(compras_mes5[[#This Row],[CUIT]],Lista_CUIT[#All],3,0)),"CUIT NO CARGADO")</f>
        <v>PEAJE</v>
      </c>
      <c r="R62" s="231">
        <f>IFERROR(IF(compras_mes5[[#This Row],[CUIT]]="","-",VLOOKUP(compras_mes5[[#This Row],[CUIT]],Lista_CUIT[#All],4,0)),"CUIT NO CARGADO")</f>
        <v>0</v>
      </c>
    </row>
    <row r="63" spans="2:18" ht="15" customHeight="1">
      <c r="B63" s="40">
        <v>45429</v>
      </c>
      <c r="C63" s="41">
        <v>1</v>
      </c>
      <c r="D63" s="42">
        <v>629</v>
      </c>
      <c r="E63" s="43">
        <v>5127599</v>
      </c>
      <c r="F63" s="44">
        <v>30663498513</v>
      </c>
      <c r="G63" s="45" t="str">
        <f>IFERROR(IF(compras_mes5[[#This Row],[CUIT]]="","-",VLOOKUP(compras_mes5[[#This Row],[CUIT]],Lista_CUIT[#All],2,0)),"CUIT NO CARGADO")</f>
        <v>GRUPO CONCES. DEL OESTE SA</v>
      </c>
      <c r="H63" s="46">
        <v>1239.6600000000001</v>
      </c>
      <c r="I63" s="222">
        <f>IF(compras_mes5[[#This Row],[NETO GRAVADO]]="","",compras_mes5[[#This Row],[NETO GRAVADO]]*0.21)</f>
        <v>260.32859999999999</v>
      </c>
      <c r="J63" s="85"/>
      <c r="K63" s="85"/>
      <c r="L63" s="85"/>
      <c r="M63" s="85"/>
      <c r="N63" s="85"/>
      <c r="O63" s="85">
        <v>0</v>
      </c>
      <c r="P63" s="48">
        <f>SUM(compras_mes5[[#This Row],[NETO GRAVADO]:[Otros / No Grav.]])</f>
        <v>1499.9886000000001</v>
      </c>
      <c r="Q63" s="49" t="str">
        <f>IFERROR(IF(compras_mes5[[#This Row],[CUIT]]="","-",VLOOKUP(compras_mes5[[#This Row],[CUIT]],Lista_CUIT[#All],3,0)),"CUIT NO CARGADO")</f>
        <v>PEAJE</v>
      </c>
      <c r="R63" s="49">
        <f>IFERROR(IF(compras_mes5[[#This Row],[CUIT]]="","-",VLOOKUP(compras_mes5[[#This Row],[CUIT]],Lista_CUIT[#All],4,0)),"CUIT NO CARGADO")</f>
        <v>0</v>
      </c>
    </row>
    <row r="64" spans="2:18" ht="15" customHeight="1">
      <c r="B64" s="161">
        <v>45436</v>
      </c>
      <c r="C64" s="160">
        <v>1</v>
      </c>
      <c r="D64" s="162">
        <v>5</v>
      </c>
      <c r="E64" s="163">
        <v>1503</v>
      </c>
      <c r="F64" s="164">
        <v>20242126158</v>
      </c>
      <c r="G64" s="165" t="str">
        <f>IFERROR(IF(compras_mes5[[#This Row],[CUIT]]="","-",VLOOKUP(compras_mes5[[#This Row],[CUIT]],Lista_CUIT[#All],2,0)),"CUIT NO CARGADO")</f>
        <v>IALLONARDO SERGIO</v>
      </c>
      <c r="H64" s="166">
        <v>115029</v>
      </c>
      <c r="I64" s="222">
        <f>IF(compras_mes5[[#This Row],[NETO GRAVADO]]="","",compras_mes5[[#This Row],[NETO GRAVADO]]*0.21)</f>
        <v>24156.09</v>
      </c>
      <c r="J64" s="167"/>
      <c r="K64" s="167"/>
      <c r="L64" s="167"/>
      <c r="M64" s="167"/>
      <c r="N64" s="167"/>
      <c r="O64" s="167">
        <v>0</v>
      </c>
      <c r="P64" s="168">
        <f>SUM(compras_mes5[[#This Row],[NETO GRAVADO]:[Otros / No Grav.]])</f>
        <v>139185.09</v>
      </c>
      <c r="Q64" s="169" t="str">
        <f>IFERROR(IF(compras_mes5[[#This Row],[CUIT]]="","-",VLOOKUP(compras_mes5[[#This Row],[CUIT]],Lista_CUIT[#All],3,0)),"CUIT NO CARGADO")</f>
        <v>PROD ORTOP P/ALQ</v>
      </c>
      <c r="R64" s="169">
        <f>IFERROR(IF(compras_mes5[[#This Row],[CUIT]]="","-",VLOOKUP(compras_mes5[[#This Row],[CUIT]],Lista_CUIT[#All],4,0)),"CUIT NO CARGADO")</f>
        <v>0</v>
      </c>
    </row>
    <row r="65" spans="2:18" ht="15" customHeight="1">
      <c r="B65" s="223">
        <v>45439</v>
      </c>
      <c r="C65" s="41">
        <v>1</v>
      </c>
      <c r="D65" s="225">
        <v>5</v>
      </c>
      <c r="E65" s="226">
        <v>1508</v>
      </c>
      <c r="F65" s="227">
        <v>20242126158</v>
      </c>
      <c r="G65" s="228" t="str">
        <f>IFERROR(IF(compras_mes5[[#This Row],[CUIT]]="","-",VLOOKUP(compras_mes5[[#This Row],[CUIT]],Lista_CUIT[#All],2,0)),"CUIT NO CARGADO")</f>
        <v>IALLONARDO SERGIO</v>
      </c>
      <c r="H65" s="229">
        <v>187845</v>
      </c>
      <c r="I65" s="222">
        <f>IF(compras_mes5[[#This Row],[NETO GRAVADO]]="","",compras_mes5[[#This Row],[NETO GRAVADO]]*0.21)</f>
        <v>39447.449999999997</v>
      </c>
      <c r="J65" s="222"/>
      <c r="K65" s="222"/>
      <c r="L65" s="222"/>
      <c r="M65" s="222"/>
      <c r="N65" s="222"/>
      <c r="O65" s="222">
        <v>0</v>
      </c>
      <c r="P65" s="230">
        <f>SUM(compras_mes5[[#This Row],[NETO GRAVADO]:[Otros / No Grav.]])</f>
        <v>227292.45</v>
      </c>
      <c r="Q65" s="231" t="str">
        <f>IFERROR(IF(compras_mes5[[#This Row],[CUIT]]="","-",VLOOKUP(compras_mes5[[#This Row],[CUIT]],Lista_CUIT[#All],3,0)),"CUIT NO CARGADO")</f>
        <v>PROD ORTOP P/ALQ</v>
      </c>
      <c r="R65" s="231">
        <f>IFERROR(IF(compras_mes5[[#This Row],[CUIT]]="","-",VLOOKUP(compras_mes5[[#This Row],[CUIT]],Lista_CUIT[#All],4,0)),"CUIT NO CARGADO")</f>
        <v>0</v>
      </c>
    </row>
    <row r="66" spans="2:18" ht="15" customHeight="1">
      <c r="B66" s="223">
        <v>45429</v>
      </c>
      <c r="C66" s="41">
        <v>1</v>
      </c>
      <c r="D66" s="225">
        <v>4</v>
      </c>
      <c r="E66" s="226">
        <v>9453</v>
      </c>
      <c r="F66" s="227">
        <v>30700939797</v>
      </c>
      <c r="G66" s="228" t="str">
        <f>IFERROR(IF(compras_mes5[[#This Row],[CUIT]]="","-",VLOOKUP(compras_mes5[[#This Row],[CUIT]],Lista_CUIT[#All],2,0)),"CUIT NO CARGADO")</f>
        <v>TAPITEL SA</v>
      </c>
      <c r="H66" s="229">
        <v>238016.53</v>
      </c>
      <c r="I66" s="222">
        <f>IF(compras_mes5[[#This Row],[NETO GRAVADO]]="","",compras_mes5[[#This Row],[NETO GRAVADO]]*0.21)</f>
        <v>49983.471299999997</v>
      </c>
      <c r="J66" s="222"/>
      <c r="K66" s="222"/>
      <c r="L66" s="222"/>
      <c r="M66" s="222"/>
      <c r="N66" s="222"/>
      <c r="O66" s="222">
        <v>0</v>
      </c>
      <c r="P66" s="230">
        <f>SUM(compras_mes5[[#This Row],[NETO GRAVADO]:[Otros / No Grav.]])</f>
        <v>288000.0013</v>
      </c>
      <c r="Q66" s="231" t="str">
        <f>IFERROR(IF(compras_mes5[[#This Row],[CUIT]]="","-",VLOOKUP(compras_mes5[[#This Row],[CUIT]],Lista_CUIT[#All],3,0)),"CUIT NO CARGADO")</f>
        <v>PROD ORTOP P/ALQ</v>
      </c>
      <c r="R66" s="231">
        <f>IFERROR(IF(compras_mes5[[#This Row],[CUIT]]="","-",VLOOKUP(compras_mes5[[#This Row],[CUIT]],Lista_CUIT[#All],4,0)),"CUIT NO CARGADO")</f>
        <v>0</v>
      </c>
    </row>
    <row r="67" spans="2:18" ht="15" customHeight="1">
      <c r="B67" s="223">
        <v>45420</v>
      </c>
      <c r="C67" s="41">
        <v>1</v>
      </c>
      <c r="D67" s="225">
        <v>8</v>
      </c>
      <c r="E67" s="226">
        <v>1635</v>
      </c>
      <c r="F67" s="227">
        <v>30708973501</v>
      </c>
      <c r="G67" s="228" t="str">
        <f>IFERROR(IF(compras_mes5[[#This Row],[CUIT]]="","-",VLOOKUP(compras_mes5[[#This Row],[CUIT]],Lista_CUIT[#All],2,0)),"CUIT NO CARGADO")</f>
        <v>ASIAL SRL</v>
      </c>
      <c r="H67" s="229">
        <v>455530</v>
      </c>
      <c r="I67" s="222">
        <f>IF(compras_mes5[[#This Row],[NETO GRAVADO]]="","",compras_mes5[[#This Row],[NETO GRAVADO]]*0.21)</f>
        <v>95661.3</v>
      </c>
      <c r="J67" s="222"/>
      <c r="K67" s="222"/>
      <c r="L67" s="222"/>
      <c r="M67" s="222"/>
      <c r="N67" s="222"/>
      <c r="O67" s="222">
        <v>0</v>
      </c>
      <c r="P67" s="230">
        <f>SUM(compras_mes5[[#This Row],[NETO GRAVADO]:[Otros / No Grav.]])</f>
        <v>551191.30000000005</v>
      </c>
      <c r="Q67" s="231" t="str">
        <f>IFERROR(IF(compras_mes5[[#This Row],[CUIT]]="","-",VLOOKUP(compras_mes5[[#This Row],[CUIT]],Lista_CUIT[#All],3,0)),"CUIT NO CARGADO")</f>
        <v>Productos Ortopedicos</v>
      </c>
      <c r="R67" s="231">
        <f>IFERROR(IF(compras_mes5[[#This Row],[CUIT]]="","-",VLOOKUP(compras_mes5[[#This Row],[CUIT]],Lista_CUIT[#All],4,0)),"CUIT NO CARGADO")</f>
        <v>0</v>
      </c>
    </row>
    <row r="68" spans="2:18" ht="15" customHeight="1">
      <c r="B68" s="651">
        <v>45440</v>
      </c>
      <c r="C68" s="652">
        <v>1</v>
      </c>
      <c r="D68" s="638">
        <v>5</v>
      </c>
      <c r="E68" s="639">
        <v>5045</v>
      </c>
      <c r="F68" s="640">
        <v>30715833243</v>
      </c>
      <c r="G68" s="653" t="str">
        <f>IFERROR(IF(compras_mes5[[#This Row],[CUIT]]="","-",VLOOKUP(compras_mes5[[#This Row],[CUIT]],Lista_CUIT[#All],2,0)),"CUIT NO CARGADO")</f>
        <v>BIODINAMICA ASIST E INSUMOS</v>
      </c>
      <c r="H68" s="654">
        <v>414379</v>
      </c>
      <c r="I68" s="222">
        <f>IF(compras_mes5[[#This Row],[NETO GRAVADO]]="","",compras_mes5[[#This Row],[NETO GRAVADO]]*0.21)</f>
        <v>87019.59</v>
      </c>
      <c r="J68" s="655"/>
      <c r="K68" s="655"/>
      <c r="L68" s="655"/>
      <c r="M68" s="655"/>
      <c r="N68" s="655"/>
      <c r="O68" s="655">
        <v>0</v>
      </c>
      <c r="P68" s="656">
        <f>SUM(compras_mes5[[#This Row],[NETO GRAVADO]:[Otros / No Grav.]])</f>
        <v>501398.58999999997</v>
      </c>
      <c r="Q68" s="657" t="str">
        <f>IFERROR(IF(compras_mes5[[#This Row],[CUIT]]="","-",VLOOKUP(compras_mes5[[#This Row],[CUIT]],Lista_CUIT[#All],3,0)),"CUIT NO CARGADO")</f>
        <v>Productos Ortopedicos</v>
      </c>
      <c r="R68" s="657">
        <f>IFERROR(IF(compras_mes5[[#This Row],[CUIT]]="","-",VLOOKUP(compras_mes5[[#This Row],[CUIT]],Lista_CUIT[#All],4,0)),"CUIT NO CARGADO")</f>
        <v>0</v>
      </c>
    </row>
    <row r="69" spans="2:18" ht="15" customHeight="1">
      <c r="B69" s="651">
        <v>45440</v>
      </c>
      <c r="C69" s="652">
        <v>1</v>
      </c>
      <c r="D69" s="638">
        <v>5</v>
      </c>
      <c r="E69" s="639">
        <v>5044</v>
      </c>
      <c r="F69" s="640">
        <v>30715833243</v>
      </c>
      <c r="G69" s="653" t="str">
        <f>IFERROR(IF(compras_mes5[[#This Row],[CUIT]]="","-",VLOOKUP(compras_mes5[[#This Row],[CUIT]],Lista_CUIT[#All],2,0)),"CUIT NO CARGADO")</f>
        <v>BIODINAMICA ASIST E INSUMOS</v>
      </c>
      <c r="H69" s="654">
        <v>414105</v>
      </c>
      <c r="I69" s="222">
        <f>IF(compras_mes5[[#This Row],[NETO GRAVADO]]="","",compras_mes5[[#This Row],[NETO GRAVADO]]*0.21)</f>
        <v>86962.05</v>
      </c>
      <c r="J69" s="655"/>
      <c r="K69" s="655"/>
      <c r="L69" s="655"/>
      <c r="M69" s="655"/>
      <c r="N69" s="655"/>
      <c r="O69" s="655">
        <v>0</v>
      </c>
      <c r="P69" s="656">
        <f>SUM(compras_mes5[[#This Row],[NETO GRAVADO]:[Otros / No Grav.]])</f>
        <v>501067.05</v>
      </c>
      <c r="Q69" s="657" t="str">
        <f>IFERROR(IF(compras_mes5[[#This Row],[CUIT]]="","-",VLOOKUP(compras_mes5[[#This Row],[CUIT]],Lista_CUIT[#All],3,0)),"CUIT NO CARGADO")</f>
        <v>Productos Ortopedicos</v>
      </c>
      <c r="R69" s="657">
        <f>IFERROR(IF(compras_mes5[[#This Row],[CUIT]]="","-",VLOOKUP(compras_mes5[[#This Row],[CUIT]],Lista_CUIT[#All],4,0)),"CUIT NO CARGADO")</f>
        <v>0</v>
      </c>
    </row>
    <row r="70" spans="2:18" ht="15" customHeight="1">
      <c r="B70" s="223">
        <v>45440</v>
      </c>
      <c r="C70" s="41">
        <v>3</v>
      </c>
      <c r="D70" s="225">
        <v>5</v>
      </c>
      <c r="E70" s="226">
        <v>746</v>
      </c>
      <c r="F70" s="227">
        <v>30715833243</v>
      </c>
      <c r="G70" s="228" t="str">
        <f>IFERROR(IF(compras_mes5[[#This Row],[CUIT]]="","-",VLOOKUP(compras_mes5[[#This Row],[CUIT]],Lista_CUIT[#All],2,0)),"CUIT NO CARGADO")</f>
        <v>BIODINAMICA ASIST E INSUMOS</v>
      </c>
      <c r="H70" s="229">
        <v>-414105</v>
      </c>
      <c r="I70" s="222">
        <f>IF(compras_mes5[[#This Row],[NETO GRAVADO]]="","",compras_mes5[[#This Row],[NETO GRAVADO]]*0.21)</f>
        <v>-86962.05</v>
      </c>
      <c r="J70" s="222"/>
      <c r="K70" s="222"/>
      <c r="L70" s="222"/>
      <c r="M70" s="222"/>
      <c r="N70" s="222"/>
      <c r="O70" s="222">
        <v>0</v>
      </c>
      <c r="P70" s="230">
        <f>SUM(compras_mes5[[#This Row],[NETO GRAVADO]:[Otros / No Grav.]])</f>
        <v>-501067.05</v>
      </c>
      <c r="Q70" s="231" t="str">
        <f>IFERROR(IF(compras_mes5[[#This Row],[CUIT]]="","-",VLOOKUP(compras_mes5[[#This Row],[CUIT]],Lista_CUIT[#All],3,0)),"CUIT NO CARGADO")</f>
        <v>Productos Ortopedicos</v>
      </c>
      <c r="R70" s="231">
        <f>IFERROR(IF(compras_mes5[[#This Row],[CUIT]]="","-",VLOOKUP(compras_mes5[[#This Row],[CUIT]],Lista_CUIT[#All],4,0)),"CUIT NO CARGADO")</f>
        <v>0</v>
      </c>
    </row>
    <row r="71" spans="2:18" ht="15" customHeight="1">
      <c r="B71" s="651">
        <v>45441</v>
      </c>
      <c r="C71" s="652">
        <v>1</v>
      </c>
      <c r="D71" s="638">
        <v>3</v>
      </c>
      <c r="E71" s="639">
        <v>7601</v>
      </c>
      <c r="F71" s="640">
        <v>30526492281</v>
      </c>
      <c r="G71" s="653" t="str">
        <f>IFERROR(IF(compras_mes5[[#This Row],[CUIT]]="","-",VLOOKUP(compras_mes5[[#This Row],[CUIT]],Lista_CUIT[#All],2,0)),"CUIT NO CARGADO")</f>
        <v>CASA MAKAROVSKY S A C I I F</v>
      </c>
      <c r="H71" s="654">
        <v>778000</v>
      </c>
      <c r="I71" s="222">
        <f>IF(compras_mes5[[#This Row],[NETO GRAVADO]]="","",compras_mes5[[#This Row],[NETO GRAVADO]]*0.21)</f>
        <v>163380</v>
      </c>
      <c r="J71" s="655"/>
      <c r="K71" s="655"/>
      <c r="L71" s="655"/>
      <c r="M71" s="655"/>
      <c r="N71" s="655"/>
      <c r="O71" s="655">
        <v>0</v>
      </c>
      <c r="P71" s="656">
        <f>SUM(compras_mes5[[#This Row],[NETO GRAVADO]:[Otros / No Grav.]])</f>
        <v>941380</v>
      </c>
      <c r="Q71" s="657" t="str">
        <f>IFERROR(IF(compras_mes5[[#This Row],[CUIT]]="","-",VLOOKUP(compras_mes5[[#This Row],[CUIT]],Lista_CUIT[#All],3,0)),"CUIT NO CARGADO")</f>
        <v>Productos Ortopedicos</v>
      </c>
      <c r="R71" s="657">
        <f>IFERROR(IF(compras_mes5[[#This Row],[CUIT]]="","-",VLOOKUP(compras_mes5[[#This Row],[CUIT]],Lista_CUIT[#All],4,0)),"CUIT NO CARGADO")</f>
        <v>0</v>
      </c>
    </row>
    <row r="72" spans="2:18" ht="15" customHeight="1">
      <c r="B72" s="223">
        <v>45415</v>
      </c>
      <c r="C72" s="41">
        <v>1</v>
      </c>
      <c r="D72" s="225">
        <v>3</v>
      </c>
      <c r="E72" s="226">
        <v>2189</v>
      </c>
      <c r="F72" s="227">
        <v>20134281783</v>
      </c>
      <c r="G72" s="228" t="str">
        <f>IFERROR(IF(compras_mes5[[#This Row],[CUIT]]="","-",VLOOKUP(compras_mes5[[#This Row],[CUIT]],Lista_CUIT[#All],2,0)),"CUIT NO CARGADO")</f>
        <v>CONTERI EDGARDO MARCELO</v>
      </c>
      <c r="H72" s="229">
        <v>805800</v>
      </c>
      <c r="I72" s="222">
        <f>IF(compras_mes5[[#This Row],[NETO GRAVADO]]="","",compras_mes5[[#This Row],[NETO GRAVADO]]*0.21)</f>
        <v>169218</v>
      </c>
      <c r="J72" s="222"/>
      <c r="K72" s="222"/>
      <c r="L72" s="222"/>
      <c r="M72" s="222"/>
      <c r="N72" s="222"/>
      <c r="O72" s="222">
        <v>0</v>
      </c>
      <c r="P72" s="230">
        <f>SUM(compras_mes5[[#This Row],[NETO GRAVADO]:[Otros / No Grav.]])</f>
        <v>975018</v>
      </c>
      <c r="Q72" s="231" t="str">
        <f>IFERROR(IF(compras_mes5[[#This Row],[CUIT]]="","-",VLOOKUP(compras_mes5[[#This Row],[CUIT]],Lista_CUIT[#All],3,0)),"CUIT NO CARGADO")</f>
        <v>Productos Ortopedicos</v>
      </c>
      <c r="R72" s="231">
        <f>IFERROR(IF(compras_mes5[[#This Row],[CUIT]]="","-",VLOOKUP(compras_mes5[[#This Row],[CUIT]],Lista_CUIT[#All],4,0)),"CUIT NO CARGADO")</f>
        <v>0</v>
      </c>
    </row>
    <row r="73" spans="2:18" ht="15" customHeight="1">
      <c r="B73" s="223">
        <v>45426</v>
      </c>
      <c r="C73" s="41">
        <v>1</v>
      </c>
      <c r="D73" s="225">
        <v>25</v>
      </c>
      <c r="E73" s="226">
        <v>19242</v>
      </c>
      <c r="F73" s="227">
        <v>30535803710</v>
      </c>
      <c r="G73" s="228" t="str">
        <f>IFERROR(IF(compras_mes5[[#This Row],[CUIT]]="","-",VLOOKUP(compras_mes5[[#This Row],[CUIT]],Lista_CUIT[#All],2,0)),"CUIT NO CARGADO")</f>
        <v>D A C DISTRIBUIDORA ARGENTINA DE CHAPAS S A C I</v>
      </c>
      <c r="H73" s="229">
        <v>442890</v>
      </c>
      <c r="I73" s="222">
        <f>IF(compras_mes5[[#This Row],[NETO GRAVADO]]="","",compras_mes5[[#This Row],[NETO GRAVADO]]*0.21)</f>
        <v>93006.9</v>
      </c>
      <c r="J73" s="222"/>
      <c r="K73" s="222"/>
      <c r="L73" s="222"/>
      <c r="M73" s="222"/>
      <c r="N73" s="222"/>
      <c r="O73" s="222">
        <v>0</v>
      </c>
      <c r="P73" s="230">
        <f>SUM(compras_mes5[[#This Row],[NETO GRAVADO]:[Otros / No Grav.]])</f>
        <v>535896.9</v>
      </c>
      <c r="Q73" s="231" t="str">
        <f>IFERROR(IF(compras_mes5[[#This Row],[CUIT]]="","-",VLOOKUP(compras_mes5[[#This Row],[CUIT]],Lista_CUIT[#All],3,0)),"CUIT NO CARGADO")</f>
        <v>Productos Ortopedicos</v>
      </c>
      <c r="R73" s="231">
        <f>IFERROR(IF(compras_mes5[[#This Row],[CUIT]]="","-",VLOOKUP(compras_mes5[[#This Row],[CUIT]],Lista_CUIT[#All],4,0)),"CUIT NO CARGADO")</f>
        <v>0</v>
      </c>
    </row>
    <row r="74" spans="2:18" ht="15" customHeight="1">
      <c r="B74" s="223">
        <v>45414</v>
      </c>
      <c r="C74" s="41">
        <v>1</v>
      </c>
      <c r="D74" s="225">
        <v>2</v>
      </c>
      <c r="E74" s="226">
        <v>486</v>
      </c>
      <c r="F74" s="227">
        <v>20272865869</v>
      </c>
      <c r="G74" s="228" t="str">
        <f>IFERROR(IF(compras_mes5[[#This Row],[CUIT]]="","-",VLOOKUP(compras_mes5[[#This Row],[CUIT]],Lista_CUIT[#All],2,0)),"CUIT NO CARGADO")</f>
        <v>DI FEO MARTIN EZEQUIEL</v>
      </c>
      <c r="H74" s="229">
        <v>78377.11</v>
      </c>
      <c r="I74" s="222">
        <f>IF(compras_mes5[[#This Row],[NETO GRAVADO]]="","",compras_mes5[[#This Row],[NETO GRAVADO]]*0.21)</f>
        <v>16459.1931</v>
      </c>
      <c r="J74" s="222"/>
      <c r="K74" s="222"/>
      <c r="L74" s="222"/>
      <c r="M74" s="222"/>
      <c r="N74" s="222"/>
      <c r="O74" s="222">
        <v>0</v>
      </c>
      <c r="P74" s="230">
        <f>SUM(compras_mes5[[#This Row],[NETO GRAVADO]:[Otros / No Grav.]])</f>
        <v>94836.303100000005</v>
      </c>
      <c r="Q74" s="231" t="str">
        <f>IFERROR(IF(compras_mes5[[#This Row],[CUIT]]="","-",VLOOKUP(compras_mes5[[#This Row],[CUIT]],Lista_CUIT[#All],3,0)),"CUIT NO CARGADO")</f>
        <v>Productos Ortopedicos</v>
      </c>
      <c r="R74" s="231">
        <f>IFERROR(IF(compras_mes5[[#This Row],[CUIT]]="","-",VLOOKUP(compras_mes5[[#This Row],[CUIT]],Lista_CUIT[#All],4,0)),"CUIT NO CARGADO")</f>
        <v>0</v>
      </c>
    </row>
    <row r="75" spans="2:18" ht="15" customHeight="1">
      <c r="B75" s="223">
        <v>45415</v>
      </c>
      <c r="C75" s="41">
        <v>1</v>
      </c>
      <c r="D75" s="225">
        <v>2</v>
      </c>
      <c r="E75" s="226">
        <v>491</v>
      </c>
      <c r="F75" s="227">
        <v>20272865869</v>
      </c>
      <c r="G75" s="228" t="str">
        <f>IFERROR(IF(compras_mes5[[#This Row],[CUIT]]="","-",VLOOKUP(compras_mes5[[#This Row],[CUIT]],Lista_CUIT[#All],2,0)),"CUIT NO CARGADO")</f>
        <v>DI FEO MARTIN EZEQUIEL</v>
      </c>
      <c r="H75" s="229">
        <v>10950</v>
      </c>
      <c r="I75" s="222">
        <f>IF(compras_mes5[[#This Row],[NETO GRAVADO]]="","",compras_mes5[[#This Row],[NETO GRAVADO]]*0.21)</f>
        <v>2299.5</v>
      </c>
      <c r="J75" s="222"/>
      <c r="K75" s="222"/>
      <c r="L75" s="222"/>
      <c r="M75" s="222"/>
      <c r="N75" s="222"/>
      <c r="O75" s="222">
        <v>0</v>
      </c>
      <c r="P75" s="230">
        <f>SUM(compras_mes5[[#This Row],[NETO GRAVADO]:[Otros / No Grav.]])</f>
        <v>13249.5</v>
      </c>
      <c r="Q75" s="231" t="str">
        <f>IFERROR(IF(compras_mes5[[#This Row],[CUIT]]="","-",VLOOKUP(compras_mes5[[#This Row],[CUIT]],Lista_CUIT[#All],3,0)),"CUIT NO CARGADO")</f>
        <v>Productos Ortopedicos</v>
      </c>
      <c r="R75" s="231">
        <f>IFERROR(IF(compras_mes5[[#This Row],[CUIT]]="","-",VLOOKUP(compras_mes5[[#This Row],[CUIT]],Lista_CUIT[#All],4,0)),"CUIT NO CARGADO")</f>
        <v>0</v>
      </c>
    </row>
    <row r="76" spans="2:18" ht="15" customHeight="1">
      <c r="B76" s="223">
        <v>45421</v>
      </c>
      <c r="C76" s="41">
        <v>1</v>
      </c>
      <c r="D76" s="225">
        <v>2</v>
      </c>
      <c r="E76" s="226">
        <v>501</v>
      </c>
      <c r="F76" s="227">
        <v>20272865869</v>
      </c>
      <c r="G76" s="228" t="str">
        <f>IFERROR(IF(compras_mes5[[#This Row],[CUIT]]="","-",VLOOKUP(compras_mes5[[#This Row],[CUIT]],Lista_CUIT[#All],2,0)),"CUIT NO CARGADO")</f>
        <v>DI FEO MARTIN EZEQUIEL</v>
      </c>
      <c r="H76" s="229">
        <v>41420</v>
      </c>
      <c r="I76" s="222">
        <f>IF(compras_mes5[[#This Row],[NETO GRAVADO]]="","",compras_mes5[[#This Row],[NETO GRAVADO]]*0.21)</f>
        <v>8698.1999999999989</v>
      </c>
      <c r="J76" s="222"/>
      <c r="K76" s="222"/>
      <c r="L76" s="222"/>
      <c r="M76" s="222"/>
      <c r="N76" s="222"/>
      <c r="O76" s="222">
        <v>0</v>
      </c>
      <c r="P76" s="230">
        <f>SUM(compras_mes5[[#This Row],[NETO GRAVADO]:[Otros / No Grav.]])</f>
        <v>50118.2</v>
      </c>
      <c r="Q76" s="231" t="str">
        <f>IFERROR(IF(compras_mes5[[#This Row],[CUIT]]="","-",VLOOKUP(compras_mes5[[#This Row],[CUIT]],Lista_CUIT[#All],3,0)),"CUIT NO CARGADO")</f>
        <v>Productos Ortopedicos</v>
      </c>
      <c r="R76" s="231">
        <f>IFERROR(IF(compras_mes5[[#This Row],[CUIT]]="","-",VLOOKUP(compras_mes5[[#This Row],[CUIT]],Lista_CUIT[#All],4,0)),"CUIT NO CARGADO")</f>
        <v>0</v>
      </c>
    </row>
    <row r="77" spans="2:18" ht="15" customHeight="1">
      <c r="B77" s="223">
        <v>45428</v>
      </c>
      <c r="C77" s="41">
        <v>1</v>
      </c>
      <c r="D77" s="225">
        <v>2</v>
      </c>
      <c r="E77" s="226">
        <v>511</v>
      </c>
      <c r="F77" s="227">
        <v>20272865869</v>
      </c>
      <c r="G77" s="228" t="str">
        <f>IFERROR(IF(compras_mes5[[#This Row],[CUIT]]="","-",VLOOKUP(compras_mes5[[#This Row],[CUIT]],Lista_CUIT[#All],2,0)),"CUIT NO CARGADO")</f>
        <v>DI FEO MARTIN EZEQUIEL</v>
      </c>
      <c r="H77" s="229">
        <v>100352.07</v>
      </c>
      <c r="I77" s="222">
        <f>IF(compras_mes5[[#This Row],[NETO GRAVADO]]="","",compras_mes5[[#This Row],[NETO GRAVADO]]*0.21)</f>
        <v>21073.934700000002</v>
      </c>
      <c r="J77" s="222"/>
      <c r="K77" s="222"/>
      <c r="L77" s="222"/>
      <c r="M77" s="222"/>
      <c r="N77" s="222"/>
      <c r="O77" s="222">
        <v>0</v>
      </c>
      <c r="P77" s="230">
        <f>SUM(compras_mes5[[#This Row],[NETO GRAVADO]:[Otros / No Grav.]])</f>
        <v>121426.0047</v>
      </c>
      <c r="Q77" s="231" t="str">
        <f>IFERROR(IF(compras_mes5[[#This Row],[CUIT]]="","-",VLOOKUP(compras_mes5[[#This Row],[CUIT]],Lista_CUIT[#All],3,0)),"CUIT NO CARGADO")</f>
        <v>Productos Ortopedicos</v>
      </c>
      <c r="R77" s="231">
        <f>IFERROR(IF(compras_mes5[[#This Row],[CUIT]]="","-",VLOOKUP(compras_mes5[[#This Row],[CUIT]],Lista_CUIT[#All],4,0)),"CUIT NO CARGADO")</f>
        <v>0</v>
      </c>
    </row>
    <row r="78" spans="2:18" ht="15" customHeight="1">
      <c r="B78" s="89">
        <v>45429</v>
      </c>
      <c r="C78" s="41">
        <v>1</v>
      </c>
      <c r="D78" s="90">
        <v>2</v>
      </c>
      <c r="E78" s="91">
        <v>514</v>
      </c>
      <c r="F78" s="92">
        <v>20272865869</v>
      </c>
      <c r="G78" s="93" t="str">
        <f>IFERROR(IF(compras_mes5[[#This Row],[CUIT]]="","-",VLOOKUP(compras_mes5[[#This Row],[CUIT]],Lista_CUIT[#All],2,0)),"CUIT NO CARGADO")</f>
        <v>DI FEO MARTIN EZEQUIEL</v>
      </c>
      <c r="H78" s="94">
        <v>11540</v>
      </c>
      <c r="I78" s="222">
        <f>IF(compras_mes5[[#This Row],[NETO GRAVADO]]="","",compras_mes5[[#This Row],[NETO GRAVADO]]*0.21)</f>
        <v>2423.4</v>
      </c>
      <c r="J78" s="86"/>
      <c r="K78" s="86"/>
      <c r="L78" s="86"/>
      <c r="M78" s="86"/>
      <c r="N78" s="86"/>
      <c r="O78" s="86">
        <v>0</v>
      </c>
      <c r="P78" s="87">
        <f>SUM(compras_mes5[[#This Row],[NETO GRAVADO]:[Otros / No Grav.]])</f>
        <v>13963.4</v>
      </c>
      <c r="Q78" s="88" t="str">
        <f>IFERROR(IF(compras_mes5[[#This Row],[CUIT]]="","-",VLOOKUP(compras_mes5[[#This Row],[CUIT]],Lista_CUIT[#All],3,0)),"CUIT NO CARGADO")</f>
        <v>Productos Ortopedicos</v>
      </c>
      <c r="R78" s="88">
        <f>IFERROR(IF(compras_mes5[[#This Row],[CUIT]]="","-",VLOOKUP(compras_mes5[[#This Row],[CUIT]],Lista_CUIT[#All],4,0)),"CUIT NO CARGADO")</f>
        <v>0</v>
      </c>
    </row>
    <row r="79" spans="2:18" ht="15" customHeight="1">
      <c r="B79" s="40">
        <v>45435</v>
      </c>
      <c r="C79" s="41">
        <v>1</v>
      </c>
      <c r="D79" s="42">
        <v>2</v>
      </c>
      <c r="E79" s="43">
        <v>524</v>
      </c>
      <c r="F79" s="44">
        <v>20272865869</v>
      </c>
      <c r="G79" s="45" t="str">
        <f>IFERROR(IF(compras_mes5[[#This Row],[CUIT]]="","-",VLOOKUP(compras_mes5[[#This Row],[CUIT]],Lista_CUIT[#All],2,0)),"CUIT NO CARGADO")</f>
        <v>DI FEO MARTIN EZEQUIEL</v>
      </c>
      <c r="H79" s="46">
        <v>70031.320000000007</v>
      </c>
      <c r="I79" s="222">
        <f>IF(compras_mes5[[#This Row],[NETO GRAVADO]]="","",compras_mes5[[#This Row],[NETO GRAVADO]]*0.21)</f>
        <v>14706.577200000002</v>
      </c>
      <c r="J79" s="85"/>
      <c r="K79" s="85"/>
      <c r="L79" s="85"/>
      <c r="M79" s="85"/>
      <c r="N79" s="85"/>
      <c r="O79" s="85">
        <v>0</v>
      </c>
      <c r="P79" s="48">
        <f>SUM(compras_mes5[[#This Row],[NETO GRAVADO]:[Otros / No Grav.]])</f>
        <v>84737.897200000007</v>
      </c>
      <c r="Q79" s="49" t="str">
        <f>IFERROR(IF(compras_mes5[[#This Row],[CUIT]]="","-",VLOOKUP(compras_mes5[[#This Row],[CUIT]],Lista_CUIT[#All],3,0)),"CUIT NO CARGADO")</f>
        <v>Productos Ortopedicos</v>
      </c>
      <c r="R79" s="49">
        <f>IFERROR(IF(compras_mes5[[#This Row],[CUIT]]="","-",VLOOKUP(compras_mes5[[#This Row],[CUIT]],Lista_CUIT[#All],4,0)),"CUIT NO CARGADO")</f>
        <v>0</v>
      </c>
    </row>
    <row r="80" spans="2:18" ht="15" customHeight="1">
      <c r="B80" s="651">
        <v>45442</v>
      </c>
      <c r="C80" s="652">
        <v>1</v>
      </c>
      <c r="D80" s="638">
        <v>2</v>
      </c>
      <c r="E80" s="639">
        <v>548</v>
      </c>
      <c r="F80" s="640">
        <v>20272865869</v>
      </c>
      <c r="G80" s="653" t="str">
        <f>IFERROR(IF(compras_mes5[[#This Row],[CUIT]]="","-",VLOOKUP(compras_mes5[[#This Row],[CUIT]],Lista_CUIT[#All],2,0)),"CUIT NO CARGADO")</f>
        <v>DI FEO MARTIN EZEQUIEL</v>
      </c>
      <c r="H80" s="654">
        <v>141706.78</v>
      </c>
      <c r="I80" s="222">
        <f>IF(compras_mes5[[#This Row],[NETO GRAVADO]]="","",compras_mes5[[#This Row],[NETO GRAVADO]]*0.21)</f>
        <v>29758.423799999997</v>
      </c>
      <c r="J80" s="655"/>
      <c r="K80" s="655"/>
      <c r="L80" s="655"/>
      <c r="M80" s="655"/>
      <c r="N80" s="655"/>
      <c r="O80" s="655">
        <v>0</v>
      </c>
      <c r="P80" s="656">
        <f>SUM(compras_mes5[[#This Row],[NETO GRAVADO]:[Otros / No Grav.]])</f>
        <v>171465.20379999999</v>
      </c>
      <c r="Q80" s="657" t="str">
        <f>IFERROR(IF(compras_mes5[[#This Row],[CUIT]]="","-",VLOOKUP(compras_mes5[[#This Row],[CUIT]],Lista_CUIT[#All],3,0)),"CUIT NO CARGADO")</f>
        <v>Productos Ortopedicos</v>
      </c>
      <c r="R80" s="657">
        <f>IFERROR(IF(compras_mes5[[#This Row],[CUIT]]="","-",VLOOKUP(compras_mes5[[#This Row],[CUIT]],Lista_CUIT[#All],4,0)),"CUIT NO CARGADO")</f>
        <v>0</v>
      </c>
    </row>
    <row r="81" spans="2:18" ht="15" customHeight="1">
      <c r="B81" s="223">
        <v>45422</v>
      </c>
      <c r="C81" s="41">
        <v>1</v>
      </c>
      <c r="D81" s="225">
        <v>2</v>
      </c>
      <c r="E81" s="226">
        <v>7586</v>
      </c>
      <c r="F81" s="227">
        <v>30694549817</v>
      </c>
      <c r="G81" s="228" t="str">
        <f>IFERROR(IF(compras_mes5[[#This Row],[CUIT]]="","-",VLOOKUP(compras_mes5[[#This Row],[CUIT]],Lista_CUIT[#All],2,0)),"CUIT NO CARGADO")</f>
        <v>DISEÑOS JERY SRL</v>
      </c>
      <c r="H81" s="229">
        <v>480141.99</v>
      </c>
      <c r="I81" s="222">
        <f>IF(compras_mes5[[#This Row],[NETO GRAVADO]]="","",compras_mes5[[#This Row],[NETO GRAVADO]]*0.21)</f>
        <v>100829.81789999999</v>
      </c>
      <c r="J81" s="222"/>
      <c r="K81" s="222"/>
      <c r="L81" s="222"/>
      <c r="M81" s="222"/>
      <c r="N81" s="222"/>
      <c r="O81" s="222">
        <v>0</v>
      </c>
      <c r="P81" s="230">
        <f>SUM(compras_mes5[[#This Row],[NETO GRAVADO]:[Otros / No Grav.]])</f>
        <v>580971.80790000001</v>
      </c>
      <c r="Q81" s="231" t="str">
        <f>IFERROR(IF(compras_mes5[[#This Row],[CUIT]]="","-",VLOOKUP(compras_mes5[[#This Row],[CUIT]],Lista_CUIT[#All],3,0)),"CUIT NO CARGADO")</f>
        <v>Productos Ortopedicos</v>
      </c>
      <c r="R81" s="231">
        <f>IFERROR(IF(compras_mes5[[#This Row],[CUIT]]="","-",VLOOKUP(compras_mes5[[#This Row],[CUIT]],Lista_CUIT[#All],4,0)),"CUIT NO CARGADO")</f>
        <v>0</v>
      </c>
    </row>
    <row r="82" spans="2:18" ht="15" customHeight="1">
      <c r="B82" s="223">
        <v>45415</v>
      </c>
      <c r="C82" s="41">
        <v>1</v>
      </c>
      <c r="D82" s="225">
        <v>2</v>
      </c>
      <c r="E82" s="226">
        <v>1107</v>
      </c>
      <c r="F82" s="227">
        <v>20168707534</v>
      </c>
      <c r="G82" s="228" t="str">
        <f>IFERROR(IF(compras_mes5[[#This Row],[CUIT]]="","-",VLOOKUP(compras_mes5[[#This Row],[CUIT]],Lista_CUIT[#All],2,0)),"CUIT NO CARGADO")</f>
        <v>GONZALEZ ALFREDO HUGO</v>
      </c>
      <c r="H82" s="229">
        <v>20662</v>
      </c>
      <c r="I82" s="222">
        <f>IF(compras_mes5[[#This Row],[NETO GRAVADO]]="","",compras_mes5[[#This Row],[NETO GRAVADO]]*0.21)</f>
        <v>4339.0199999999995</v>
      </c>
      <c r="J82" s="222"/>
      <c r="K82" s="222"/>
      <c r="L82" s="222"/>
      <c r="M82" s="222"/>
      <c r="N82" s="222"/>
      <c r="O82" s="222">
        <v>0</v>
      </c>
      <c r="P82" s="230">
        <f>SUM(compras_mes5[[#This Row],[NETO GRAVADO]:[Otros / No Grav.]])</f>
        <v>25001.02</v>
      </c>
      <c r="Q82" s="231" t="str">
        <f>IFERROR(IF(compras_mes5[[#This Row],[CUIT]]="","-",VLOOKUP(compras_mes5[[#This Row],[CUIT]],Lista_CUIT[#All],3,0)),"CUIT NO CARGADO")</f>
        <v>Productos Ortopedicos</v>
      </c>
      <c r="R82" s="231">
        <f>IFERROR(IF(compras_mes5[[#This Row],[CUIT]]="","-",VLOOKUP(compras_mes5[[#This Row],[CUIT]],Lista_CUIT[#All],4,0)),"CUIT NO CARGADO")</f>
        <v>0</v>
      </c>
    </row>
    <row r="83" spans="2:18" ht="15" customHeight="1">
      <c r="B83" s="223">
        <v>45415</v>
      </c>
      <c r="C83" s="41">
        <v>1</v>
      </c>
      <c r="D83" s="225">
        <v>2</v>
      </c>
      <c r="E83" s="226">
        <v>9828</v>
      </c>
      <c r="F83" s="227">
        <v>30714331082</v>
      </c>
      <c r="G83" s="228" t="str">
        <f>IFERROR(IF(compras_mes5[[#This Row],[CUIT]]="","-",VLOOKUP(compras_mes5[[#This Row],[CUIT]],Lista_CUIT[#All],2,0)),"CUIT NO CARGADO")</f>
        <v>ORTOPEDIA CASA ESCALADA SRL</v>
      </c>
      <c r="H83" s="229">
        <v>1169243.6399999999</v>
      </c>
      <c r="I83" s="222">
        <f>IF(compras_mes5[[#This Row],[NETO GRAVADO]]="","",compras_mes5[[#This Row],[NETO GRAVADO]]*0.21)</f>
        <v>245541.16439999998</v>
      </c>
      <c r="J83" s="222"/>
      <c r="K83" s="222"/>
      <c r="L83" s="222"/>
      <c r="M83" s="222"/>
      <c r="N83" s="222"/>
      <c r="O83" s="222">
        <v>0</v>
      </c>
      <c r="P83" s="230">
        <f>SUM(compras_mes5[[#This Row],[NETO GRAVADO]:[Otros / No Grav.]])</f>
        <v>1414784.8043999998</v>
      </c>
      <c r="Q83" s="231" t="str">
        <f>IFERROR(IF(compras_mes5[[#This Row],[CUIT]]="","-",VLOOKUP(compras_mes5[[#This Row],[CUIT]],Lista_CUIT[#All],3,0)),"CUIT NO CARGADO")</f>
        <v>Productos Ortopedicos</v>
      </c>
      <c r="R83" s="231">
        <f>IFERROR(IF(compras_mes5[[#This Row],[CUIT]]="","-",VLOOKUP(compras_mes5[[#This Row],[CUIT]],Lista_CUIT[#All],4,0)),"CUIT NO CARGADO")</f>
        <v>0</v>
      </c>
    </row>
    <row r="84" spans="2:18" ht="15" customHeight="1">
      <c r="B84" s="223">
        <v>45418</v>
      </c>
      <c r="C84" s="41">
        <v>1</v>
      </c>
      <c r="D84" s="225">
        <v>2</v>
      </c>
      <c r="E84" s="226">
        <v>9835</v>
      </c>
      <c r="F84" s="227">
        <v>30714331082</v>
      </c>
      <c r="G84" s="228" t="str">
        <f>IFERROR(IF(compras_mes5[[#This Row],[CUIT]]="","-",VLOOKUP(compras_mes5[[#This Row],[CUIT]],Lista_CUIT[#All],2,0)),"CUIT NO CARGADO")</f>
        <v>ORTOPEDIA CASA ESCALADA SRL</v>
      </c>
      <c r="H84" s="229">
        <v>1169243.6399999999</v>
      </c>
      <c r="I84" s="222">
        <f>IF(compras_mes5[[#This Row],[NETO GRAVADO]]="","",compras_mes5[[#This Row],[NETO GRAVADO]]*0.21)</f>
        <v>245541.16439999998</v>
      </c>
      <c r="J84" s="222"/>
      <c r="K84" s="222"/>
      <c r="L84" s="222"/>
      <c r="M84" s="222"/>
      <c r="N84" s="222"/>
      <c r="O84" s="222">
        <v>0</v>
      </c>
      <c r="P84" s="230">
        <f>SUM(compras_mes5[[#This Row],[NETO GRAVADO]:[Otros / No Grav.]])</f>
        <v>1414784.8043999998</v>
      </c>
      <c r="Q84" s="231" t="str">
        <f>IFERROR(IF(compras_mes5[[#This Row],[CUIT]]="","-",VLOOKUP(compras_mes5[[#This Row],[CUIT]],Lista_CUIT[#All],3,0)),"CUIT NO CARGADO")</f>
        <v>Productos Ortopedicos</v>
      </c>
      <c r="R84" s="231">
        <f>IFERROR(IF(compras_mes5[[#This Row],[CUIT]]="","-",VLOOKUP(compras_mes5[[#This Row],[CUIT]],Lista_CUIT[#All],4,0)),"CUIT NO CARGADO")</f>
        <v>0</v>
      </c>
    </row>
    <row r="85" spans="2:18" ht="15" customHeight="1">
      <c r="B85" s="161">
        <v>45422</v>
      </c>
      <c r="C85" s="160">
        <v>1</v>
      </c>
      <c r="D85" s="162">
        <v>2</v>
      </c>
      <c r="E85" s="163">
        <v>9860</v>
      </c>
      <c r="F85" s="164">
        <v>30714331082</v>
      </c>
      <c r="G85" s="165" t="str">
        <f>IFERROR(IF(compras_mes5[[#This Row],[CUIT]]="","-",VLOOKUP(compras_mes5[[#This Row],[CUIT]],Lista_CUIT[#All],2,0)),"CUIT NO CARGADO")</f>
        <v>ORTOPEDIA CASA ESCALADA SRL</v>
      </c>
      <c r="H85" s="166">
        <v>1501054.02</v>
      </c>
      <c r="I85" s="222">
        <f>IF(compras_mes5[[#This Row],[NETO GRAVADO]]="","",compras_mes5[[#This Row],[NETO GRAVADO]]*0.21)</f>
        <v>315221.34419999999</v>
      </c>
      <c r="J85" s="167"/>
      <c r="K85" s="167"/>
      <c r="L85" s="167"/>
      <c r="M85" s="167"/>
      <c r="N85" s="167"/>
      <c r="O85" s="167">
        <v>0</v>
      </c>
      <c r="P85" s="168">
        <f>SUM(compras_mes5[[#This Row],[NETO GRAVADO]:[Otros / No Grav.]])</f>
        <v>1816275.3642</v>
      </c>
      <c r="Q85" s="169" t="str">
        <f>IFERROR(IF(compras_mes5[[#This Row],[CUIT]]="","-",VLOOKUP(compras_mes5[[#This Row],[CUIT]],Lista_CUIT[#All],3,0)),"CUIT NO CARGADO")</f>
        <v>Productos Ortopedicos</v>
      </c>
      <c r="R85" s="169">
        <f>IFERROR(IF(compras_mes5[[#This Row],[CUIT]]="","-",VLOOKUP(compras_mes5[[#This Row],[CUIT]],Lista_CUIT[#All],4,0)),"CUIT NO CARGADO")</f>
        <v>0</v>
      </c>
    </row>
    <row r="86" spans="2:18" ht="15" customHeight="1">
      <c r="B86" s="161">
        <v>45432</v>
      </c>
      <c r="C86" s="160">
        <v>1</v>
      </c>
      <c r="D86" s="162">
        <v>2</v>
      </c>
      <c r="E86" s="163">
        <v>9907</v>
      </c>
      <c r="F86" s="164">
        <v>30714331082</v>
      </c>
      <c r="G86" s="165" t="str">
        <f>IFERROR(IF(compras_mes5[[#This Row],[CUIT]]="","-",VLOOKUP(compras_mes5[[#This Row],[CUIT]],Lista_CUIT[#All],2,0)),"CUIT NO CARGADO")</f>
        <v>ORTOPEDIA CASA ESCALADA SRL</v>
      </c>
      <c r="H86" s="166">
        <v>841289.58</v>
      </c>
      <c r="I86" s="222">
        <f>IF(compras_mes5[[#This Row],[NETO GRAVADO]]="","",compras_mes5[[#This Row],[NETO GRAVADO]]*0.21)</f>
        <v>176670.8118</v>
      </c>
      <c r="J86" s="167"/>
      <c r="K86" s="167"/>
      <c r="L86" s="167"/>
      <c r="M86" s="167"/>
      <c r="N86" s="167"/>
      <c r="O86" s="167">
        <v>0</v>
      </c>
      <c r="P86" s="168">
        <f>SUM(compras_mes5[[#This Row],[NETO GRAVADO]:[Otros / No Grav.]])</f>
        <v>1017960.3918</v>
      </c>
      <c r="Q86" s="169" t="str">
        <f>IFERROR(IF(compras_mes5[[#This Row],[CUIT]]="","-",VLOOKUP(compras_mes5[[#This Row],[CUIT]],Lista_CUIT[#All],3,0)),"CUIT NO CARGADO")</f>
        <v>Productos Ortopedicos</v>
      </c>
      <c r="R86" s="169">
        <f>IFERROR(IF(compras_mes5[[#This Row],[CUIT]]="","-",VLOOKUP(compras_mes5[[#This Row],[CUIT]],Lista_CUIT[#All],4,0)),"CUIT NO CARGADO")</f>
        <v>0</v>
      </c>
    </row>
    <row r="87" spans="2:18" ht="15" customHeight="1">
      <c r="B87" s="223">
        <v>45439</v>
      </c>
      <c r="C87" s="41">
        <v>1</v>
      </c>
      <c r="D87" s="225">
        <v>2</v>
      </c>
      <c r="E87" s="226">
        <v>9932</v>
      </c>
      <c r="F87" s="227">
        <v>30714331082</v>
      </c>
      <c r="G87" s="228" t="str">
        <f>IFERROR(IF(compras_mes5[[#This Row],[CUIT]]="","-",VLOOKUP(compras_mes5[[#This Row],[CUIT]],Lista_CUIT[#All],2,0)),"CUIT NO CARGADO")</f>
        <v>ORTOPEDIA CASA ESCALADA SRL</v>
      </c>
      <c r="H87" s="229">
        <v>856390.41</v>
      </c>
      <c r="I87" s="222"/>
      <c r="J87" s="222"/>
      <c r="K87" s="222">
        <v>89920.99</v>
      </c>
      <c r="L87" s="222"/>
      <c r="M87" s="222"/>
      <c r="N87" s="222"/>
      <c r="O87" s="222">
        <v>0</v>
      </c>
      <c r="P87" s="230">
        <f>SUM(compras_mes5[[#This Row],[NETO GRAVADO]:[Otros / No Grav.]])</f>
        <v>946311.4</v>
      </c>
      <c r="Q87" s="231" t="str">
        <f>IFERROR(IF(compras_mes5[[#This Row],[CUIT]]="","-",VLOOKUP(compras_mes5[[#This Row],[CUIT]],Lista_CUIT[#All],3,0)),"CUIT NO CARGADO")</f>
        <v>Productos Ortopedicos</v>
      </c>
      <c r="R87" s="231">
        <f>IFERROR(IF(compras_mes5[[#This Row],[CUIT]]="","-",VLOOKUP(compras_mes5[[#This Row],[CUIT]],Lista_CUIT[#All],4,0)),"CUIT NO CARGADO")</f>
        <v>0</v>
      </c>
    </row>
    <row r="88" spans="2:18" ht="15" customHeight="1">
      <c r="B88" s="223">
        <v>45422</v>
      </c>
      <c r="C88" s="41">
        <v>3</v>
      </c>
      <c r="D88" s="225">
        <v>2</v>
      </c>
      <c r="E88" s="226">
        <v>386</v>
      </c>
      <c r="F88" s="227">
        <v>30714331082</v>
      </c>
      <c r="G88" s="228" t="str">
        <f>IFERROR(IF(compras_mes5[[#This Row],[CUIT]]="","-",VLOOKUP(compras_mes5[[#This Row],[CUIT]],Lista_CUIT[#All],2,0)),"CUIT NO CARGADO")</f>
        <v>ORTOPEDIA CASA ESCALADA SRL</v>
      </c>
      <c r="H88" s="229">
        <v>-1169243.6399999999</v>
      </c>
      <c r="I88" s="222">
        <f>IF(compras_mes5[[#This Row],[NETO GRAVADO]]="","",compras_mes5[[#This Row],[NETO GRAVADO]]*0.21)</f>
        <v>-245541.16439999998</v>
      </c>
      <c r="J88" s="222"/>
      <c r="K88" s="222"/>
      <c r="L88" s="222"/>
      <c r="M88" s="222"/>
      <c r="N88" s="222"/>
      <c r="O88" s="222">
        <v>0</v>
      </c>
      <c r="P88" s="230">
        <f>SUM(compras_mes5[[#This Row],[NETO GRAVADO]:[Otros / No Grav.]])</f>
        <v>-1414784.8043999998</v>
      </c>
      <c r="Q88" s="231" t="str">
        <f>IFERROR(IF(compras_mes5[[#This Row],[CUIT]]="","-",VLOOKUP(compras_mes5[[#This Row],[CUIT]],Lista_CUIT[#All],3,0)),"CUIT NO CARGADO")</f>
        <v>Productos Ortopedicos</v>
      </c>
      <c r="R88" s="231">
        <f>IFERROR(IF(compras_mes5[[#This Row],[CUIT]]="","-",VLOOKUP(compras_mes5[[#This Row],[CUIT]],Lista_CUIT[#All],4,0)),"CUIT NO CARGADO")</f>
        <v>0</v>
      </c>
    </row>
    <row r="89" spans="2:18" ht="15" customHeight="1">
      <c r="B89" s="161">
        <v>45418</v>
      </c>
      <c r="C89" s="160">
        <v>1</v>
      </c>
      <c r="D89" s="162">
        <v>1</v>
      </c>
      <c r="E89" s="163">
        <v>3252</v>
      </c>
      <c r="F89" s="164">
        <v>30715141201</v>
      </c>
      <c r="G89" s="165" t="str">
        <f>IFERROR(IF(compras_mes5[[#This Row],[CUIT]]="","-",VLOOKUP(compras_mes5[[#This Row],[CUIT]],Lista_CUIT[#All],2,0)),"CUIT NO CARGADO")</f>
        <v>REHAB S.R.L.</v>
      </c>
      <c r="H89" s="166">
        <v>251790</v>
      </c>
      <c r="I89" s="222">
        <f>IF(compras_mes5[[#This Row],[NETO GRAVADO]]="","",compras_mes5[[#This Row],[NETO GRAVADO]]*0.21)</f>
        <v>52875.9</v>
      </c>
      <c r="J89" s="167"/>
      <c r="K89" s="167"/>
      <c r="L89" s="167"/>
      <c r="M89" s="167"/>
      <c r="N89" s="167"/>
      <c r="O89" s="167">
        <v>0</v>
      </c>
      <c r="P89" s="168">
        <f>SUM(compras_mes5[[#This Row],[NETO GRAVADO]:[Otros / No Grav.]])</f>
        <v>304665.90000000002</v>
      </c>
      <c r="Q89" s="169" t="str">
        <f>IFERROR(IF(compras_mes5[[#This Row],[CUIT]]="","-",VLOOKUP(compras_mes5[[#This Row],[CUIT]],Lista_CUIT[#All],3,0)),"CUIT NO CARGADO")</f>
        <v>Productos Ortopedicos</v>
      </c>
      <c r="R89" s="169">
        <f>IFERROR(IF(compras_mes5[[#This Row],[CUIT]]="","-",VLOOKUP(compras_mes5[[#This Row],[CUIT]],Lista_CUIT[#All],4,0)),"CUIT NO CARGADO")</f>
        <v>0</v>
      </c>
    </row>
    <row r="90" spans="2:18" ht="15" customHeight="1">
      <c r="B90" s="161">
        <v>45418</v>
      </c>
      <c r="C90" s="160">
        <v>1</v>
      </c>
      <c r="D90" s="162">
        <v>1</v>
      </c>
      <c r="E90" s="163">
        <v>3251</v>
      </c>
      <c r="F90" s="164">
        <v>30715141201</v>
      </c>
      <c r="G90" s="165" t="str">
        <f>IFERROR(IF(compras_mes5[[#This Row],[CUIT]]="","-",VLOOKUP(compras_mes5[[#This Row],[CUIT]],Lista_CUIT[#All],2,0)),"CUIT NO CARGADO")</f>
        <v>REHAB S.R.L.</v>
      </c>
      <c r="H90" s="166">
        <v>388725</v>
      </c>
      <c r="I90" s="222">
        <f>IF(compras_mes5[[#This Row],[NETO GRAVADO]]="","",compras_mes5[[#This Row],[NETO GRAVADO]]*0.21)</f>
        <v>81632.25</v>
      </c>
      <c r="J90" s="167"/>
      <c r="K90" s="167"/>
      <c r="L90" s="167"/>
      <c r="M90" s="167"/>
      <c r="N90" s="167"/>
      <c r="O90" s="167">
        <v>0</v>
      </c>
      <c r="P90" s="168">
        <f>SUM(compras_mes5[[#This Row],[NETO GRAVADO]:[Otros / No Grav.]])</f>
        <v>470357.25</v>
      </c>
      <c r="Q90" s="169" t="str">
        <f>IFERROR(IF(compras_mes5[[#This Row],[CUIT]]="","-",VLOOKUP(compras_mes5[[#This Row],[CUIT]],Lista_CUIT[#All],3,0)),"CUIT NO CARGADO")</f>
        <v>Productos Ortopedicos</v>
      </c>
      <c r="R90" s="169">
        <f>IFERROR(IF(compras_mes5[[#This Row],[CUIT]]="","-",VLOOKUP(compras_mes5[[#This Row],[CUIT]],Lista_CUIT[#All],4,0)),"CUIT NO CARGADO")</f>
        <v>0</v>
      </c>
    </row>
    <row r="91" spans="2:18" ht="15" customHeight="1">
      <c r="B91" s="223">
        <v>45432</v>
      </c>
      <c r="C91" s="41">
        <v>1</v>
      </c>
      <c r="D91" s="225">
        <v>1</v>
      </c>
      <c r="E91" s="226">
        <v>3337</v>
      </c>
      <c r="F91" s="227">
        <v>30715141201</v>
      </c>
      <c r="G91" s="228" t="str">
        <f>IFERROR(IF(compras_mes5[[#This Row],[CUIT]]="","-",VLOOKUP(compras_mes5[[#This Row],[CUIT]],Lista_CUIT[#All],2,0)),"CUIT NO CARGADO")</f>
        <v>REHAB S.R.L.</v>
      </c>
      <c r="H91" s="229">
        <v>1831508.46</v>
      </c>
      <c r="I91" s="222">
        <f>IF(compras_mes5[[#This Row],[NETO GRAVADO]]="","",compras_mes5[[#This Row],[NETO GRAVADO]]*0.21)</f>
        <v>384616.77659999998</v>
      </c>
      <c r="J91" s="222"/>
      <c r="K91" s="222"/>
      <c r="L91" s="222"/>
      <c r="M91" s="222"/>
      <c r="N91" s="222"/>
      <c r="O91" s="222">
        <v>0</v>
      </c>
      <c r="P91" s="230">
        <f>SUM(compras_mes5[[#This Row],[NETO GRAVADO]:[Otros / No Grav.]])</f>
        <v>2216125.2365999999</v>
      </c>
      <c r="Q91" s="231" t="str">
        <f>IFERROR(IF(compras_mes5[[#This Row],[CUIT]]="","-",VLOOKUP(compras_mes5[[#This Row],[CUIT]],Lista_CUIT[#All],3,0)),"CUIT NO CARGADO")</f>
        <v>Productos Ortopedicos</v>
      </c>
      <c r="R91" s="231">
        <f>IFERROR(IF(compras_mes5[[#This Row],[CUIT]]="","-",VLOOKUP(compras_mes5[[#This Row],[CUIT]],Lista_CUIT[#All],4,0)),"CUIT NO CARGADO")</f>
        <v>0</v>
      </c>
    </row>
    <row r="92" spans="2:18" ht="15" customHeight="1">
      <c r="B92" s="223">
        <v>45435</v>
      </c>
      <c r="C92" s="41">
        <v>1</v>
      </c>
      <c r="D92" s="225">
        <v>1</v>
      </c>
      <c r="E92" s="226">
        <v>3369</v>
      </c>
      <c r="F92" s="227">
        <v>30715141201</v>
      </c>
      <c r="G92" s="228" t="str">
        <f>IFERROR(IF(compras_mes5[[#This Row],[CUIT]]="","-",VLOOKUP(compras_mes5[[#This Row],[CUIT]],Lista_CUIT[#All],2,0)),"CUIT NO CARGADO")</f>
        <v>REHAB S.R.L.</v>
      </c>
      <c r="H92" s="229">
        <v>645772.30000000005</v>
      </c>
      <c r="I92" s="222">
        <f>IF(compras_mes5[[#This Row],[NETO GRAVADO]]="","",compras_mes5[[#This Row],[NETO GRAVADO]]*0.21)</f>
        <v>135612.18300000002</v>
      </c>
      <c r="J92" s="222"/>
      <c r="K92" s="222"/>
      <c r="L92" s="222"/>
      <c r="M92" s="222"/>
      <c r="N92" s="222"/>
      <c r="O92" s="222">
        <v>0</v>
      </c>
      <c r="P92" s="230">
        <f>SUM(compras_mes5[[#This Row],[NETO GRAVADO]:[Otros / No Grav.]])</f>
        <v>781384.48300000001</v>
      </c>
      <c r="Q92" s="231" t="str">
        <f>IFERROR(IF(compras_mes5[[#This Row],[CUIT]]="","-",VLOOKUP(compras_mes5[[#This Row],[CUIT]],Lista_CUIT[#All],3,0)),"CUIT NO CARGADO")</f>
        <v>Productos Ortopedicos</v>
      </c>
      <c r="R92" s="231">
        <f>IFERROR(IF(compras_mes5[[#This Row],[CUIT]]="","-",VLOOKUP(compras_mes5[[#This Row],[CUIT]],Lista_CUIT[#All],4,0)),"CUIT NO CARGADO")</f>
        <v>0</v>
      </c>
    </row>
    <row r="93" spans="2:18" ht="15" customHeight="1">
      <c r="B93" s="651">
        <v>45441</v>
      </c>
      <c r="C93" s="652">
        <v>1</v>
      </c>
      <c r="D93" s="638">
        <v>1</v>
      </c>
      <c r="E93" s="639">
        <v>3424</v>
      </c>
      <c r="F93" s="640">
        <v>30715141201</v>
      </c>
      <c r="G93" s="653" t="str">
        <f>IFERROR(IF(compras_mes5[[#This Row],[CUIT]]="","-",VLOOKUP(compras_mes5[[#This Row],[CUIT]],Lista_CUIT[#All],2,0)),"CUIT NO CARGADO")</f>
        <v>REHAB S.R.L.</v>
      </c>
      <c r="H93" s="654">
        <v>9780990.3699999992</v>
      </c>
      <c r="I93" s="222">
        <f>IF(compras_mes5[[#This Row],[NETO GRAVADO]]="","",compras_mes5[[#This Row],[NETO GRAVADO]]*0.21)</f>
        <v>2054007.9776999997</v>
      </c>
      <c r="J93" s="655"/>
      <c r="K93" s="655"/>
      <c r="L93" s="655"/>
      <c r="M93" s="655"/>
      <c r="N93" s="655"/>
      <c r="O93" s="655">
        <v>0</v>
      </c>
      <c r="P93" s="656">
        <f>SUM(compras_mes5[[#This Row],[NETO GRAVADO]:[Otros / No Grav.]])</f>
        <v>11834998.3477</v>
      </c>
      <c r="Q93" s="657" t="str">
        <f>IFERROR(IF(compras_mes5[[#This Row],[CUIT]]="","-",VLOOKUP(compras_mes5[[#This Row],[CUIT]],Lista_CUIT[#All],3,0)),"CUIT NO CARGADO")</f>
        <v>Productos Ortopedicos</v>
      </c>
      <c r="R93" s="657">
        <f>IFERROR(IF(compras_mes5[[#This Row],[CUIT]]="","-",VLOOKUP(compras_mes5[[#This Row],[CUIT]],Lista_CUIT[#All],4,0)),"CUIT NO CARGADO")</f>
        <v>0</v>
      </c>
    </row>
    <row r="94" spans="2:18" ht="15" customHeight="1">
      <c r="B94" s="651">
        <v>45443</v>
      </c>
      <c r="C94" s="652">
        <v>1</v>
      </c>
      <c r="D94" s="638">
        <v>1</v>
      </c>
      <c r="E94" s="639">
        <v>3443</v>
      </c>
      <c r="F94" s="640">
        <v>30715141201</v>
      </c>
      <c r="G94" s="653" t="str">
        <f>IFERROR(IF(compras_mes5[[#This Row],[CUIT]]="","-",VLOOKUP(compras_mes5[[#This Row],[CUIT]],Lista_CUIT[#All],2,0)),"CUIT NO CARGADO")</f>
        <v>REHAB S.R.L.</v>
      </c>
      <c r="H94" s="654">
        <v>5749161</v>
      </c>
      <c r="I94" s="222">
        <f>IF(compras_mes5[[#This Row],[NETO GRAVADO]]="","",compras_mes5[[#This Row],[NETO GRAVADO]]*0.21)</f>
        <v>1207323.81</v>
      </c>
      <c r="J94" s="655"/>
      <c r="K94" s="655"/>
      <c r="L94" s="655"/>
      <c r="M94" s="655"/>
      <c r="N94" s="655"/>
      <c r="O94" s="655">
        <v>0</v>
      </c>
      <c r="P94" s="656">
        <f>SUM(compras_mes5[[#This Row],[NETO GRAVADO]:[Otros / No Grav.]])</f>
        <v>6956484.8100000005</v>
      </c>
      <c r="Q94" s="657" t="str">
        <f>IFERROR(IF(compras_mes5[[#This Row],[CUIT]]="","-",VLOOKUP(compras_mes5[[#This Row],[CUIT]],Lista_CUIT[#All],3,0)),"CUIT NO CARGADO")</f>
        <v>Productos Ortopedicos</v>
      </c>
      <c r="R94" s="657">
        <f>IFERROR(IF(compras_mes5[[#This Row],[CUIT]]="","-",VLOOKUP(compras_mes5[[#This Row],[CUIT]],Lista_CUIT[#All],4,0)),"CUIT NO CARGADO")</f>
        <v>0</v>
      </c>
    </row>
    <row r="95" spans="2:18" ht="15" customHeight="1">
      <c r="B95" s="651">
        <v>45443</v>
      </c>
      <c r="C95" s="652">
        <v>1</v>
      </c>
      <c r="D95" s="638">
        <v>1</v>
      </c>
      <c r="E95" s="639">
        <v>3452</v>
      </c>
      <c r="F95" s="640">
        <v>30715141201</v>
      </c>
      <c r="G95" s="653" t="str">
        <f>IFERROR(IF(compras_mes5[[#This Row],[CUIT]]="","-",VLOOKUP(compras_mes5[[#This Row],[CUIT]],Lista_CUIT[#All],2,0)),"CUIT NO CARGADO")</f>
        <v>REHAB S.R.L.</v>
      </c>
      <c r="H95" s="654">
        <v>2360333.25</v>
      </c>
      <c r="I95" s="222">
        <f>IF(compras_mes5[[#This Row],[NETO GRAVADO]]="","",compras_mes5[[#This Row],[NETO GRAVADO]]*0.21)</f>
        <v>495669.98249999998</v>
      </c>
      <c r="J95" s="655"/>
      <c r="K95" s="655"/>
      <c r="L95" s="655"/>
      <c r="M95" s="655"/>
      <c r="N95" s="655"/>
      <c r="O95" s="655">
        <v>0</v>
      </c>
      <c r="P95" s="656">
        <f>SUM(compras_mes5[[#This Row],[NETO GRAVADO]:[Otros / No Grav.]])</f>
        <v>2856003.2324999999</v>
      </c>
      <c r="Q95" s="657" t="str">
        <f>IFERROR(IF(compras_mes5[[#This Row],[CUIT]]="","-",VLOOKUP(compras_mes5[[#This Row],[CUIT]],Lista_CUIT[#All],3,0)),"CUIT NO CARGADO")</f>
        <v>Productos Ortopedicos</v>
      </c>
      <c r="R95" s="657">
        <f>IFERROR(IF(compras_mes5[[#This Row],[CUIT]]="","-",VLOOKUP(compras_mes5[[#This Row],[CUIT]],Lista_CUIT[#All],4,0)),"CUIT NO CARGADO")</f>
        <v>0</v>
      </c>
    </row>
    <row r="96" spans="2:18" ht="15" customHeight="1">
      <c r="B96" s="651">
        <v>45443</v>
      </c>
      <c r="C96" s="652">
        <v>1</v>
      </c>
      <c r="D96" s="638">
        <v>1</v>
      </c>
      <c r="E96" s="639">
        <v>3435</v>
      </c>
      <c r="F96" s="640">
        <v>30715141201</v>
      </c>
      <c r="G96" s="653" t="str">
        <f>IFERROR(IF(compras_mes5[[#This Row],[CUIT]]="","-",VLOOKUP(compras_mes5[[#This Row],[CUIT]],Lista_CUIT[#All],2,0)),"CUIT NO CARGADO")</f>
        <v>REHAB S.R.L.</v>
      </c>
      <c r="H96" s="654">
        <v>4932.76</v>
      </c>
      <c r="I96" s="222">
        <f>IF(compras_mes5[[#This Row],[NETO GRAVADO]]="","",compras_mes5[[#This Row],[NETO GRAVADO]]*0.21)</f>
        <v>1035.8796</v>
      </c>
      <c r="J96" s="655"/>
      <c r="K96" s="655"/>
      <c r="L96" s="655"/>
      <c r="M96" s="655"/>
      <c r="N96" s="655"/>
      <c r="O96" s="655">
        <v>0</v>
      </c>
      <c r="P96" s="656">
        <f>SUM(compras_mes5[[#This Row],[NETO GRAVADO]:[Otros / No Grav.]])</f>
        <v>5968.6396000000004</v>
      </c>
      <c r="Q96" s="657" t="str">
        <f>IFERROR(IF(compras_mes5[[#This Row],[CUIT]]="","-",VLOOKUP(compras_mes5[[#This Row],[CUIT]],Lista_CUIT[#All],3,0)),"CUIT NO CARGADO")</f>
        <v>Productos Ortopedicos</v>
      </c>
      <c r="R96" s="657">
        <f>IFERROR(IF(compras_mes5[[#This Row],[CUIT]]="","-",VLOOKUP(compras_mes5[[#This Row],[CUIT]],Lista_CUIT[#All],4,0)),"CUIT NO CARGADO")</f>
        <v>0</v>
      </c>
    </row>
    <row r="97" spans="2:18" ht="15" customHeight="1">
      <c r="B97" s="223">
        <v>45443</v>
      </c>
      <c r="C97" s="41">
        <v>1</v>
      </c>
      <c r="D97" s="225">
        <v>1</v>
      </c>
      <c r="E97" s="226">
        <v>3445</v>
      </c>
      <c r="F97" s="227">
        <v>30715141201</v>
      </c>
      <c r="G97" s="228" t="str">
        <f>IFERROR(IF(compras_mes5[[#This Row],[CUIT]]="","-",VLOOKUP(compras_mes5[[#This Row],[CUIT]],Lista_CUIT[#All],2,0)),"CUIT NO CARGADO")</f>
        <v>REHAB S.R.L.</v>
      </c>
      <c r="H97" s="229">
        <v>7178234.25</v>
      </c>
      <c r="I97" s="222">
        <f>IF(compras_mes5[[#This Row],[NETO GRAVADO]]="","",compras_mes5[[#This Row],[NETO GRAVADO]]*0.21)</f>
        <v>1507429.1924999999</v>
      </c>
      <c r="J97" s="222"/>
      <c r="K97" s="222"/>
      <c r="L97" s="222"/>
      <c r="M97" s="222"/>
      <c r="N97" s="222"/>
      <c r="O97" s="222">
        <v>0</v>
      </c>
      <c r="P97" s="230">
        <f>SUM(compras_mes5[[#This Row],[NETO GRAVADO]:[Otros / No Grav.]])</f>
        <v>8685663.442499999</v>
      </c>
      <c r="Q97" s="231" t="str">
        <f>IFERROR(IF(compras_mes5[[#This Row],[CUIT]]="","-",VLOOKUP(compras_mes5[[#This Row],[CUIT]],Lista_CUIT[#All],3,0)),"CUIT NO CARGADO")</f>
        <v>Productos Ortopedicos</v>
      </c>
      <c r="R97" s="231">
        <f>IFERROR(IF(compras_mes5[[#This Row],[CUIT]]="","-",VLOOKUP(compras_mes5[[#This Row],[CUIT]],Lista_CUIT[#All],4,0)),"CUIT NO CARGADO")</f>
        <v>0</v>
      </c>
    </row>
    <row r="98" spans="2:18" ht="15" customHeight="1">
      <c r="B98" s="223">
        <v>45443</v>
      </c>
      <c r="C98" s="41">
        <v>3</v>
      </c>
      <c r="D98" s="225">
        <v>1</v>
      </c>
      <c r="E98" s="226">
        <v>116</v>
      </c>
      <c r="F98" s="227">
        <v>30715141201</v>
      </c>
      <c r="G98" s="228" t="str">
        <f>IFERROR(IF(compras_mes5[[#This Row],[CUIT]]="","-",VLOOKUP(compras_mes5[[#This Row],[CUIT]],Lista_CUIT[#All],2,0)),"CUIT NO CARGADO")</f>
        <v>REHAB S.R.L.</v>
      </c>
      <c r="H98" s="229">
        <v>-2521472.33</v>
      </c>
      <c r="I98" s="222">
        <f>IF(compras_mes5[[#This Row],[NETO GRAVADO]]="","",compras_mes5[[#This Row],[NETO GRAVADO]]*0.21)</f>
        <v>-529509.18929999997</v>
      </c>
      <c r="J98" s="222"/>
      <c r="K98" s="222"/>
      <c r="L98" s="222"/>
      <c r="M98" s="222"/>
      <c r="N98" s="222"/>
      <c r="O98" s="222">
        <v>0</v>
      </c>
      <c r="P98" s="230">
        <f>SUM(compras_mes5[[#This Row],[NETO GRAVADO]:[Otros / No Grav.]])</f>
        <v>-3050981.5192999998</v>
      </c>
      <c r="Q98" s="231" t="str">
        <f>IFERROR(IF(compras_mes5[[#This Row],[CUIT]]="","-",VLOOKUP(compras_mes5[[#This Row],[CUIT]],Lista_CUIT[#All],3,0)),"CUIT NO CARGADO")</f>
        <v>Productos Ortopedicos</v>
      </c>
      <c r="R98" s="231">
        <f>IFERROR(IF(compras_mes5[[#This Row],[CUIT]]="","-",VLOOKUP(compras_mes5[[#This Row],[CUIT]],Lista_CUIT[#All],4,0)),"CUIT NO CARGADO")</f>
        <v>0</v>
      </c>
    </row>
    <row r="99" spans="2:18" ht="15" customHeight="1">
      <c r="B99" s="161">
        <v>45432</v>
      </c>
      <c r="C99" s="160">
        <v>1</v>
      </c>
      <c r="D99" s="162">
        <v>7</v>
      </c>
      <c r="E99" s="163">
        <v>18120</v>
      </c>
      <c r="F99" s="164">
        <v>30709214078</v>
      </c>
      <c r="G99" s="165" t="str">
        <f>IFERROR(IF(compras_mes5[[#This Row],[CUIT]]="","-",VLOOKUP(compras_mes5[[#This Row],[CUIT]],Lista_CUIT[#All],2,0)),"CUIT NO CARGADO")</f>
        <v>REHAVITA S.A</v>
      </c>
      <c r="H99" s="166">
        <v>333500</v>
      </c>
      <c r="I99" s="222">
        <f>IF(compras_mes5[[#This Row],[NETO GRAVADO]]="","",compras_mes5[[#This Row],[NETO GRAVADO]]*0.21)</f>
        <v>70035</v>
      </c>
      <c r="J99" s="167"/>
      <c r="K99" s="167"/>
      <c r="L99" s="167"/>
      <c r="M99" s="167"/>
      <c r="N99" s="167"/>
      <c r="O99" s="167">
        <v>0</v>
      </c>
      <c r="P99" s="168">
        <f>SUM(compras_mes5[[#This Row],[NETO GRAVADO]:[Otros / No Grav.]])</f>
        <v>403535</v>
      </c>
      <c r="Q99" s="169" t="str">
        <f>IFERROR(IF(compras_mes5[[#This Row],[CUIT]]="","-",VLOOKUP(compras_mes5[[#This Row],[CUIT]],Lista_CUIT[#All],3,0)),"CUIT NO CARGADO")</f>
        <v>Productos Ortopedicos</v>
      </c>
      <c r="R99" s="169">
        <f>IFERROR(IF(compras_mes5[[#This Row],[CUIT]]="","-",VLOOKUP(compras_mes5[[#This Row],[CUIT]],Lista_CUIT[#All],4,0)),"CUIT NO CARGADO")</f>
        <v>0</v>
      </c>
    </row>
    <row r="100" spans="2:18" ht="15" customHeight="1">
      <c r="B100" s="223">
        <v>45435</v>
      </c>
      <c r="C100" s="41">
        <v>1</v>
      </c>
      <c r="D100" s="225">
        <v>7</v>
      </c>
      <c r="E100" s="226">
        <v>18165</v>
      </c>
      <c r="F100" s="227">
        <v>30709214078</v>
      </c>
      <c r="G100" s="228" t="str">
        <f>IFERROR(IF(compras_mes5[[#This Row],[CUIT]]="","-",VLOOKUP(compras_mes5[[#This Row],[CUIT]],Lista_CUIT[#All],2,0)),"CUIT NO CARGADO")</f>
        <v>REHAVITA S.A</v>
      </c>
      <c r="H100" s="229">
        <v>652740</v>
      </c>
      <c r="I100" s="222">
        <v>9563.4</v>
      </c>
      <c r="J100" s="222"/>
      <c r="K100" s="222">
        <v>63756</v>
      </c>
      <c r="L100" s="222"/>
      <c r="M100" s="222"/>
      <c r="N100" s="222"/>
      <c r="O100" s="222">
        <v>0</v>
      </c>
      <c r="P100" s="230">
        <f>SUM(compras_mes5[[#This Row],[NETO GRAVADO]:[Otros / No Grav.]])</f>
        <v>726059.4</v>
      </c>
      <c r="Q100" s="231" t="str">
        <f>IFERROR(IF(compras_mes5[[#This Row],[CUIT]]="","-",VLOOKUP(compras_mes5[[#This Row],[CUIT]],Lista_CUIT[#All],3,0)),"CUIT NO CARGADO")</f>
        <v>Productos Ortopedicos</v>
      </c>
      <c r="R100" s="231">
        <f>IFERROR(IF(compras_mes5[[#This Row],[CUIT]]="","-",VLOOKUP(compras_mes5[[#This Row],[CUIT]],Lista_CUIT[#All],4,0)),"CUIT NO CARGADO")</f>
        <v>0</v>
      </c>
    </row>
    <row r="101" spans="2:18" ht="15" customHeight="1">
      <c r="B101" s="651">
        <v>45442</v>
      </c>
      <c r="C101" s="652">
        <v>1</v>
      </c>
      <c r="D101" s="638">
        <v>17</v>
      </c>
      <c r="E101" s="639">
        <v>1937</v>
      </c>
      <c r="F101" s="640">
        <v>30711764921</v>
      </c>
      <c r="G101" s="653" t="str">
        <f>IFERROR(IF(compras_mes5[[#This Row],[CUIT]]="","-",VLOOKUP(compras_mes5[[#This Row],[CUIT]],Lista_CUIT[#All],2,0)),"CUIT NO CARGADO")</f>
        <v>RELIEF CENTER SRL</v>
      </c>
      <c r="H101" s="654">
        <v>52484</v>
      </c>
      <c r="I101" s="222">
        <f>IF(compras_mes5[[#This Row],[NETO GRAVADO]]="","",compras_mes5[[#This Row],[NETO GRAVADO]]*0.21)</f>
        <v>11021.64</v>
      </c>
      <c r="J101" s="655"/>
      <c r="K101" s="655"/>
      <c r="L101" s="655"/>
      <c r="M101" s="655"/>
      <c r="N101" s="655"/>
      <c r="O101" s="655">
        <v>0</v>
      </c>
      <c r="P101" s="656">
        <f>SUM(compras_mes5[[#This Row],[NETO GRAVADO]:[Otros / No Grav.]])</f>
        <v>63505.64</v>
      </c>
      <c r="Q101" s="657" t="str">
        <f>IFERROR(IF(compras_mes5[[#This Row],[CUIT]]="","-",VLOOKUP(compras_mes5[[#This Row],[CUIT]],Lista_CUIT[#All],3,0)),"CUIT NO CARGADO")</f>
        <v>Productos Ortopedicos</v>
      </c>
      <c r="R101" s="657">
        <f>IFERROR(IF(compras_mes5[[#This Row],[CUIT]]="","-",VLOOKUP(compras_mes5[[#This Row],[CUIT]],Lista_CUIT[#All],4,0)),"CUIT NO CARGADO")</f>
        <v>0</v>
      </c>
    </row>
    <row r="102" spans="2:18" ht="15" customHeight="1">
      <c r="B102" s="223">
        <v>45429</v>
      </c>
      <c r="C102" s="41">
        <v>1</v>
      </c>
      <c r="D102" s="225">
        <v>3</v>
      </c>
      <c r="E102" s="226">
        <v>286</v>
      </c>
      <c r="F102" s="227">
        <v>20239207325</v>
      </c>
      <c r="G102" s="228" t="str">
        <f>IFERROR(IF(compras_mes5[[#This Row],[CUIT]]="","-",VLOOKUP(compras_mes5[[#This Row],[CUIT]],Lista_CUIT[#All],2,0)),"CUIT NO CARGADO")</f>
        <v>RIVERA MARCELO RAUL</v>
      </c>
      <c r="H102" s="229">
        <v>487181.9</v>
      </c>
      <c r="I102" s="222">
        <f>IF(compras_mes5[[#This Row],[NETO GRAVADO]]="","",compras_mes5[[#This Row],[NETO GRAVADO]]*0.21)</f>
        <v>102308.19900000001</v>
      </c>
      <c r="J102" s="222"/>
      <c r="K102" s="222"/>
      <c r="L102" s="222"/>
      <c r="M102" s="222"/>
      <c r="N102" s="222"/>
      <c r="O102" s="222">
        <v>0</v>
      </c>
      <c r="P102" s="230">
        <f>SUM(compras_mes5[[#This Row],[NETO GRAVADO]:[Otros / No Grav.]])</f>
        <v>589490.09900000005</v>
      </c>
      <c r="Q102" s="231" t="str">
        <f>IFERROR(IF(compras_mes5[[#This Row],[CUIT]]="","-",VLOOKUP(compras_mes5[[#This Row],[CUIT]],Lista_CUIT[#All],3,0)),"CUIT NO CARGADO")</f>
        <v>Productos Ortopedicos</v>
      </c>
      <c r="R102" s="231">
        <f>IFERROR(IF(compras_mes5[[#This Row],[CUIT]]="","-",VLOOKUP(compras_mes5[[#This Row],[CUIT]],Lista_CUIT[#All],4,0)),"CUIT NO CARGADO")</f>
        <v>0</v>
      </c>
    </row>
    <row r="103" spans="2:18" ht="15" customHeight="1">
      <c r="B103" s="223">
        <v>45433</v>
      </c>
      <c r="C103" s="41">
        <v>1</v>
      </c>
      <c r="D103" s="225">
        <v>2</v>
      </c>
      <c r="E103" s="226">
        <v>24428</v>
      </c>
      <c r="F103" s="227">
        <v>23233422029</v>
      </c>
      <c r="G103" s="228" t="str">
        <f>IFERROR(IF(compras_mes5[[#This Row],[CUIT]]="","-",VLOOKUP(compras_mes5[[#This Row],[CUIT]],Lista_CUIT[#All],2,0)),"CUIT NO CARGADO")</f>
        <v>RODOLFO SCHULZE</v>
      </c>
      <c r="H103" s="229">
        <v>721522.5</v>
      </c>
      <c r="I103" s="222">
        <f>IF(compras_mes5[[#This Row],[NETO GRAVADO]]="","",compras_mes5[[#This Row],[NETO GRAVADO]]*0.21)</f>
        <v>151519.72500000001</v>
      </c>
      <c r="J103" s="222"/>
      <c r="K103" s="222"/>
      <c r="L103" s="222"/>
      <c r="M103" s="222"/>
      <c r="N103" s="222"/>
      <c r="O103" s="222">
        <v>0</v>
      </c>
      <c r="P103" s="230">
        <f>SUM(compras_mes5[[#This Row],[NETO GRAVADO]:[Otros / No Grav.]])</f>
        <v>873042.22499999998</v>
      </c>
      <c r="Q103" s="231" t="str">
        <f>IFERROR(IF(compras_mes5[[#This Row],[CUIT]]="","-",VLOOKUP(compras_mes5[[#This Row],[CUIT]],Lista_CUIT[#All],3,0)),"CUIT NO CARGADO")</f>
        <v>Productos Ortopedicos</v>
      </c>
      <c r="R103" s="231">
        <f>IFERROR(IF(compras_mes5[[#This Row],[CUIT]]="","-",VLOOKUP(compras_mes5[[#This Row],[CUIT]],Lista_CUIT[#All],4,0)),"CUIT NO CARGADO")</f>
        <v>0</v>
      </c>
    </row>
    <row r="104" spans="2:18" ht="15" customHeight="1">
      <c r="B104" s="161">
        <v>45432</v>
      </c>
      <c r="C104" s="160">
        <v>1</v>
      </c>
      <c r="D104" s="162">
        <v>6</v>
      </c>
      <c r="E104" s="163">
        <v>82077</v>
      </c>
      <c r="F104" s="164">
        <v>30711553564</v>
      </c>
      <c r="G104" s="165" t="str">
        <f>IFERROR(IF(compras_mes5[[#This Row],[CUIT]]="","-",VLOOKUP(compras_mes5[[#This Row],[CUIT]],Lista_CUIT[#All],2,0)),"CUIT NO CARGADO")</f>
        <v>SALUD TEX S.A</v>
      </c>
      <c r="H104" s="166">
        <v>231434.05</v>
      </c>
      <c r="I104" s="222">
        <f>IF(compras_mes5[[#This Row],[NETO GRAVADO]]="","",compras_mes5[[#This Row],[NETO GRAVADO]]*0.21)</f>
        <v>48601.150499999996</v>
      </c>
      <c r="J104" s="167"/>
      <c r="K104" s="167"/>
      <c r="L104" s="167"/>
      <c r="M104" s="167"/>
      <c r="N104" s="167"/>
      <c r="O104" s="167">
        <v>0</v>
      </c>
      <c r="P104" s="168">
        <f>SUM(compras_mes5[[#This Row],[NETO GRAVADO]:[Otros / No Grav.]])</f>
        <v>280035.20049999998</v>
      </c>
      <c r="Q104" s="169" t="str">
        <f>IFERROR(IF(compras_mes5[[#This Row],[CUIT]]="","-",VLOOKUP(compras_mes5[[#This Row],[CUIT]],Lista_CUIT[#All],3,0)),"CUIT NO CARGADO")</f>
        <v>Productos Ortopedicos</v>
      </c>
      <c r="R104" s="169">
        <f>IFERROR(IF(compras_mes5[[#This Row],[CUIT]]="","-",VLOOKUP(compras_mes5[[#This Row],[CUIT]],Lista_CUIT[#All],4,0)),"CUIT NO CARGADO")</f>
        <v>0</v>
      </c>
    </row>
    <row r="105" spans="2:18" ht="15" customHeight="1">
      <c r="B105" s="223">
        <v>45434</v>
      </c>
      <c r="C105" s="41">
        <v>1</v>
      </c>
      <c r="D105" s="225">
        <v>6</v>
      </c>
      <c r="E105" s="226">
        <v>82164</v>
      </c>
      <c r="F105" s="227">
        <v>30711553564</v>
      </c>
      <c r="G105" s="228" t="str">
        <f>IFERROR(IF(compras_mes5[[#This Row],[CUIT]]="","-",VLOOKUP(compras_mes5[[#This Row],[CUIT]],Lista_CUIT[#All],2,0)),"CUIT NO CARGADO")</f>
        <v>SALUD TEX S.A</v>
      </c>
      <c r="H105" s="229">
        <v>167740</v>
      </c>
      <c r="I105" s="222">
        <f>IF(compras_mes5[[#This Row],[NETO GRAVADO]]="","",compras_mes5[[#This Row],[NETO GRAVADO]]*0.21)</f>
        <v>35225.4</v>
      </c>
      <c r="J105" s="222"/>
      <c r="K105" s="222"/>
      <c r="L105" s="222"/>
      <c r="M105" s="222"/>
      <c r="N105" s="222"/>
      <c r="O105" s="222">
        <v>0</v>
      </c>
      <c r="P105" s="230">
        <f>SUM(compras_mes5[[#This Row],[NETO GRAVADO]:[Otros / No Grav.]])</f>
        <v>202965.4</v>
      </c>
      <c r="Q105" s="231" t="str">
        <f>IFERROR(IF(compras_mes5[[#This Row],[CUIT]]="","-",VLOOKUP(compras_mes5[[#This Row],[CUIT]],Lista_CUIT[#All],3,0)),"CUIT NO CARGADO")</f>
        <v>Productos Ortopedicos</v>
      </c>
      <c r="R105" s="231">
        <f>IFERROR(IF(compras_mes5[[#This Row],[CUIT]]="","-",VLOOKUP(compras_mes5[[#This Row],[CUIT]],Lista_CUIT[#All],4,0)),"CUIT NO CARGADO")</f>
        <v>0</v>
      </c>
    </row>
    <row r="106" spans="2:18" ht="15" customHeight="1">
      <c r="B106" s="223">
        <v>45428</v>
      </c>
      <c r="C106" s="41">
        <v>1</v>
      </c>
      <c r="D106" s="225">
        <v>5</v>
      </c>
      <c r="E106" s="226">
        <v>154407</v>
      </c>
      <c r="F106" s="227">
        <v>30598960093</v>
      </c>
      <c r="G106" s="228" t="str">
        <f>IFERROR(IF(compras_mes5[[#This Row],[CUIT]]="","-",VLOOKUP(compras_mes5[[#This Row],[CUIT]],Lista_CUIT[#All],2,0)),"CUIT NO CARGADO")</f>
        <v>SILVESTRIN FABRIS SRL</v>
      </c>
      <c r="H106" s="229">
        <v>129150.1</v>
      </c>
      <c r="I106" s="222">
        <f>IF(compras_mes5[[#This Row],[NETO GRAVADO]]="","",compras_mes5[[#This Row],[NETO GRAVADO]]*0.21)</f>
        <v>27121.521000000001</v>
      </c>
      <c r="J106" s="222"/>
      <c r="K106" s="222"/>
      <c r="L106" s="222"/>
      <c r="M106" s="222"/>
      <c r="N106" s="222"/>
      <c r="O106" s="222">
        <v>0</v>
      </c>
      <c r="P106" s="230">
        <f>SUM(compras_mes5[[#This Row],[NETO GRAVADO]:[Otros / No Grav.]])</f>
        <v>156271.62100000001</v>
      </c>
      <c r="Q106" s="231" t="str">
        <f>IFERROR(IF(compras_mes5[[#This Row],[CUIT]]="","-",VLOOKUP(compras_mes5[[#This Row],[CUIT]],Lista_CUIT[#All],3,0)),"CUIT NO CARGADO")</f>
        <v>Productos Ortopedicos</v>
      </c>
      <c r="R106" s="231">
        <f>IFERROR(IF(compras_mes5[[#This Row],[CUIT]]="","-",VLOOKUP(compras_mes5[[#This Row],[CUIT]],Lista_CUIT[#All],4,0)),"CUIT NO CARGADO")</f>
        <v>0</v>
      </c>
    </row>
    <row r="107" spans="2:18" ht="15" customHeight="1">
      <c r="B107" s="651">
        <v>45440</v>
      </c>
      <c r="C107" s="652">
        <v>1</v>
      </c>
      <c r="D107" s="638">
        <v>5</v>
      </c>
      <c r="E107" s="639">
        <v>154868</v>
      </c>
      <c r="F107" s="640">
        <v>30598960093</v>
      </c>
      <c r="G107" s="653" t="str">
        <f>IFERROR(IF(compras_mes5[[#This Row],[CUIT]]="","-",VLOOKUP(compras_mes5[[#This Row],[CUIT]],Lista_CUIT[#All],2,0)),"CUIT NO CARGADO")</f>
        <v>SILVESTRIN FABRIS SRL</v>
      </c>
      <c r="H107" s="654">
        <v>1006521.44</v>
      </c>
      <c r="I107" s="222">
        <f>IF(compras_mes5[[#This Row],[NETO GRAVADO]]="","",compras_mes5[[#This Row],[NETO GRAVADO]]*0.21)</f>
        <v>211369.50239999997</v>
      </c>
      <c r="J107" s="655"/>
      <c r="K107" s="655"/>
      <c r="L107" s="655"/>
      <c r="M107" s="655"/>
      <c r="N107" s="655"/>
      <c r="O107" s="655">
        <v>0</v>
      </c>
      <c r="P107" s="656">
        <f>SUM(compras_mes5[[#This Row],[NETO GRAVADO]:[Otros / No Grav.]])</f>
        <v>1217890.9423999998</v>
      </c>
      <c r="Q107" s="657" t="str">
        <f>IFERROR(IF(compras_mes5[[#This Row],[CUIT]]="","-",VLOOKUP(compras_mes5[[#This Row],[CUIT]],Lista_CUIT[#All],3,0)),"CUIT NO CARGADO")</f>
        <v>Productos Ortopedicos</v>
      </c>
      <c r="R107" s="657">
        <f>IFERROR(IF(compras_mes5[[#This Row],[CUIT]]="","-",VLOOKUP(compras_mes5[[#This Row],[CUIT]],Lista_CUIT[#All],4,0)),"CUIT NO CARGADO")</f>
        <v>0</v>
      </c>
    </row>
    <row r="108" spans="2:18" ht="15" customHeight="1">
      <c r="B108" s="223">
        <v>45428</v>
      </c>
      <c r="C108" s="41">
        <v>1</v>
      </c>
      <c r="D108" s="225">
        <v>6</v>
      </c>
      <c r="E108" s="226">
        <v>52636</v>
      </c>
      <c r="F108" s="227">
        <v>30710177658</v>
      </c>
      <c r="G108" s="228" t="str">
        <f>IFERROR(IF(compras_mes5[[#This Row],[CUIT]]="","-",VLOOKUP(compras_mes5[[#This Row],[CUIT]],Lista_CUIT[#All],2,0)),"CUIT NO CARGADO")</f>
        <v>TARGET MEDICAL SA</v>
      </c>
      <c r="H108" s="229">
        <v>515781.06</v>
      </c>
      <c r="I108" s="222">
        <f>IF(compras_mes5[[#This Row],[NETO GRAVADO]]="","",compras_mes5[[#This Row],[NETO GRAVADO]]*0.21)</f>
        <v>108314.0226</v>
      </c>
      <c r="J108" s="222"/>
      <c r="K108" s="222"/>
      <c r="L108" s="222"/>
      <c r="M108" s="222"/>
      <c r="N108" s="222"/>
      <c r="O108" s="222">
        <v>0</v>
      </c>
      <c r="P108" s="230">
        <f>SUM(compras_mes5[[#This Row],[NETO GRAVADO]:[Otros / No Grav.]])</f>
        <v>624095.08259999997</v>
      </c>
      <c r="Q108" s="231" t="str">
        <f>IFERROR(IF(compras_mes5[[#This Row],[CUIT]]="","-",VLOOKUP(compras_mes5[[#This Row],[CUIT]],Lista_CUIT[#All],3,0)),"CUIT NO CARGADO")</f>
        <v>Productos Ortopedicos</v>
      </c>
      <c r="R108" s="231">
        <f>IFERROR(IF(compras_mes5[[#This Row],[CUIT]]="","-",VLOOKUP(compras_mes5[[#This Row],[CUIT]],Lista_CUIT[#All],4,0)),"CUIT NO CARGADO")</f>
        <v>0</v>
      </c>
    </row>
    <row r="109" spans="2:18" ht="15" customHeight="1">
      <c r="B109" s="223">
        <v>45429</v>
      </c>
      <c r="C109" s="41">
        <v>1</v>
      </c>
      <c r="D109" s="225">
        <v>6</v>
      </c>
      <c r="E109" s="226">
        <v>52649</v>
      </c>
      <c r="F109" s="227">
        <v>30710177658</v>
      </c>
      <c r="G109" s="228" t="str">
        <f>IFERROR(IF(compras_mes5[[#This Row],[CUIT]]="","-",VLOOKUP(compras_mes5[[#This Row],[CUIT]],Lista_CUIT[#All],2,0)),"CUIT NO CARGADO")</f>
        <v>TARGET MEDICAL SA</v>
      </c>
      <c r="H109" s="229">
        <v>414830</v>
      </c>
      <c r="I109" s="222">
        <f>IF(compras_mes5[[#This Row],[NETO GRAVADO]]="","",compras_mes5[[#This Row],[NETO GRAVADO]]*0.21)</f>
        <v>87114.3</v>
      </c>
      <c r="J109" s="222"/>
      <c r="K109" s="222"/>
      <c r="L109" s="222"/>
      <c r="M109" s="222"/>
      <c r="N109" s="222"/>
      <c r="O109" s="222">
        <v>0</v>
      </c>
      <c r="P109" s="230">
        <f>SUM(compras_mes5[[#This Row],[NETO GRAVADO]:[Otros / No Grav.]])</f>
        <v>501944.3</v>
      </c>
      <c r="Q109" s="231" t="str">
        <f>IFERROR(IF(compras_mes5[[#This Row],[CUIT]]="","-",VLOOKUP(compras_mes5[[#This Row],[CUIT]],Lista_CUIT[#All],3,0)),"CUIT NO CARGADO")</f>
        <v>Productos Ortopedicos</v>
      </c>
      <c r="R109" s="231">
        <f>IFERROR(IF(compras_mes5[[#This Row],[CUIT]]="","-",VLOOKUP(compras_mes5[[#This Row],[CUIT]],Lista_CUIT[#All],4,0)),"CUIT NO CARGADO")</f>
        <v>0</v>
      </c>
    </row>
    <row r="110" spans="2:18" ht="15" customHeight="1">
      <c r="B110" s="651">
        <v>45440</v>
      </c>
      <c r="C110" s="652">
        <v>1</v>
      </c>
      <c r="D110" s="638">
        <v>6</v>
      </c>
      <c r="E110" s="639">
        <v>52779</v>
      </c>
      <c r="F110" s="640">
        <v>30710177658</v>
      </c>
      <c r="G110" s="653" t="str">
        <f>IFERROR(IF(compras_mes5[[#This Row],[CUIT]]="","-",VLOOKUP(compras_mes5[[#This Row],[CUIT]],Lista_CUIT[#All],2,0)),"CUIT NO CARGADO")</f>
        <v>TARGET MEDICAL SA</v>
      </c>
      <c r="H110" s="654">
        <v>2365425</v>
      </c>
      <c r="I110" s="222">
        <f>IF(compras_mes5[[#This Row],[NETO GRAVADO]]="","",compras_mes5[[#This Row],[NETO GRAVADO]]*0.21)</f>
        <v>496739.25</v>
      </c>
      <c r="J110" s="655"/>
      <c r="K110" s="655"/>
      <c r="L110" s="655"/>
      <c r="M110" s="655"/>
      <c r="N110" s="655"/>
      <c r="O110" s="655">
        <v>0</v>
      </c>
      <c r="P110" s="656">
        <f>SUM(compras_mes5[[#This Row],[NETO GRAVADO]:[Otros / No Grav.]])</f>
        <v>2862164.25</v>
      </c>
      <c r="Q110" s="657" t="str">
        <f>IFERROR(IF(compras_mes5[[#This Row],[CUIT]]="","-",VLOOKUP(compras_mes5[[#This Row],[CUIT]],Lista_CUIT[#All],3,0)),"CUIT NO CARGADO")</f>
        <v>Productos Ortopedicos</v>
      </c>
      <c r="R110" s="657">
        <f>IFERROR(IF(compras_mes5[[#This Row],[CUIT]]="","-",VLOOKUP(compras_mes5[[#This Row],[CUIT]],Lista_CUIT[#All],4,0)),"CUIT NO CARGADO")</f>
        <v>0</v>
      </c>
    </row>
    <row r="111" spans="2:18" ht="15" customHeight="1">
      <c r="B111" s="161">
        <v>45431</v>
      </c>
      <c r="C111" s="160">
        <v>1</v>
      </c>
      <c r="D111" s="162">
        <v>401</v>
      </c>
      <c r="E111" s="163">
        <v>18</v>
      </c>
      <c r="F111" s="164">
        <v>30716234114</v>
      </c>
      <c r="G111" s="165" t="str">
        <f>IFERROR(IF(compras_mes5[[#This Row],[CUIT]]="","-",VLOOKUP(compras_mes5[[#This Row],[CUIT]],Lista_CUIT[#All],2,0)),"CUIT NO CARGADO")</f>
        <v>UZUMAKI S.A.S.</v>
      </c>
      <c r="H111" s="166">
        <v>179400</v>
      </c>
      <c r="I111" s="222">
        <f>IF(compras_mes5[[#This Row],[NETO GRAVADO]]="","",compras_mes5[[#This Row],[NETO GRAVADO]]*0.21)</f>
        <v>37674</v>
      </c>
      <c r="J111" s="167"/>
      <c r="K111" s="167"/>
      <c r="L111" s="167"/>
      <c r="M111" s="167"/>
      <c r="N111" s="167"/>
      <c r="O111" s="167">
        <v>0</v>
      </c>
      <c r="P111" s="168">
        <f>SUM(compras_mes5[[#This Row],[NETO GRAVADO]:[Otros / No Grav.]])</f>
        <v>217074</v>
      </c>
      <c r="Q111" s="169" t="str">
        <f>IFERROR(IF(compras_mes5[[#This Row],[CUIT]]="","-",VLOOKUP(compras_mes5[[#This Row],[CUIT]],Lista_CUIT[#All],3,0)),"CUIT NO CARGADO")</f>
        <v>Productos Ortopedicos</v>
      </c>
      <c r="R111" s="169">
        <f>IFERROR(IF(compras_mes5[[#This Row],[CUIT]]="","-",VLOOKUP(compras_mes5[[#This Row],[CUIT]],Lista_CUIT[#All],4,0)),"CUIT NO CARGADO")</f>
        <v>0</v>
      </c>
    </row>
    <row r="112" spans="2:18" ht="15" customHeight="1">
      <c r="B112" s="223">
        <v>45413</v>
      </c>
      <c r="C112" s="41">
        <v>1</v>
      </c>
      <c r="D112" s="225">
        <v>1326</v>
      </c>
      <c r="E112" s="226">
        <v>842422</v>
      </c>
      <c r="F112" s="227">
        <v>30663288497</v>
      </c>
      <c r="G112" s="228" t="str">
        <f>IFERROR(IF(compras_mes5[[#This Row],[CUIT]]="","-",VLOOKUP(compras_mes5[[#This Row],[CUIT]],Lista_CUIT[#All],2,0)),"CUIT NO CARGADO")</f>
        <v>AMX ARG SA</v>
      </c>
      <c r="H112" s="229">
        <v>32490</v>
      </c>
      <c r="I112" s="222">
        <v>2655.45</v>
      </c>
      <c r="J112" s="222">
        <v>5358.15</v>
      </c>
      <c r="K112" s="222"/>
      <c r="L112" s="222"/>
      <c r="M112" s="222"/>
      <c r="N112" s="222"/>
      <c r="O112" s="660"/>
      <c r="P112" s="230">
        <f>SUM(compras_mes5[[#This Row],[NETO GRAVADO]:[Otros / No Grav.]])</f>
        <v>40503.599999999999</v>
      </c>
      <c r="Q112" s="231" t="str">
        <f>IFERROR(IF(compras_mes5[[#This Row],[CUIT]]="","-",VLOOKUP(compras_mes5[[#This Row],[CUIT]],Lista_CUIT[#All],3,0)),"CUIT NO CARGADO")</f>
        <v>Servicios Gas-Luz-Agua-Internet</v>
      </c>
      <c r="R112" s="231">
        <f>IFERROR(IF(compras_mes5[[#This Row],[CUIT]]="","-",VLOOKUP(compras_mes5[[#This Row],[CUIT]],Lista_CUIT[#All],4,0)),"CUIT NO CARGADO")</f>
        <v>0</v>
      </c>
    </row>
    <row r="113" spans="2:18" ht="15" customHeight="1">
      <c r="B113" s="651">
        <v>45443</v>
      </c>
      <c r="C113" s="652">
        <v>1</v>
      </c>
      <c r="D113" s="638">
        <v>20</v>
      </c>
      <c r="E113" s="639">
        <v>186459</v>
      </c>
      <c r="F113" s="640">
        <v>30696850972</v>
      </c>
      <c r="G113" s="653" t="str">
        <f>IFERROR(IF(compras_mes5[[#This Row],[CUIT]]="","-",VLOOKUP(compras_mes5[[#This Row],[CUIT]],Lista_CUIT[#All],2,0)),"CUIT NO CARGADO")</f>
        <v>CPS COMUNICACIONES SA</v>
      </c>
      <c r="H113" s="654">
        <v>15659.39</v>
      </c>
      <c r="I113" s="222">
        <f>IF(compras_mes5[[#This Row],[NETO GRAVADO]]="","",compras_mes5[[#This Row],[NETO GRAVADO]]*0.21)</f>
        <v>3288.4718999999996</v>
      </c>
      <c r="J113" s="655"/>
      <c r="K113" s="655"/>
      <c r="L113" s="655"/>
      <c r="M113" s="655"/>
      <c r="N113" s="655"/>
      <c r="O113" s="655">
        <v>0</v>
      </c>
      <c r="P113" s="656">
        <f>SUM(compras_mes5[[#This Row],[NETO GRAVADO]:[Otros / No Grav.]])</f>
        <v>18947.8619</v>
      </c>
      <c r="Q113" s="657" t="str">
        <f>IFERROR(IF(compras_mes5[[#This Row],[CUIT]]="","-",VLOOKUP(compras_mes5[[#This Row],[CUIT]],Lista_CUIT[#All],3,0)),"CUIT NO CARGADO")</f>
        <v>Servicios Gas-Luz-Agua-Internet</v>
      </c>
      <c r="R113" s="657">
        <f>IFERROR(IF(compras_mes5[[#This Row],[CUIT]]="","-",VLOOKUP(compras_mes5[[#This Row],[CUIT]],Lista_CUIT[#All],4,0)),"CUIT NO CARGADO")</f>
        <v>0</v>
      </c>
    </row>
    <row r="114" spans="2:18" ht="15" customHeight="1">
      <c r="B114" s="223">
        <v>45434</v>
      </c>
      <c r="C114" s="41">
        <v>1</v>
      </c>
      <c r="D114" s="225">
        <v>5</v>
      </c>
      <c r="E114" s="226">
        <v>3041379</v>
      </c>
      <c r="F114" s="227">
        <v>30702652975</v>
      </c>
      <c r="G114" s="228" t="str">
        <f>IFERROR(IF(compras_mes5[[#This Row],[CUIT]]="","-",VLOOKUP(compras_mes5[[#This Row],[CUIT]],Lista_CUIT[#All],2,0)),"CUIT NO CARGADO")</f>
        <v>NSS SA</v>
      </c>
      <c r="H114" s="229">
        <v>27693.23</v>
      </c>
      <c r="I114" s="222">
        <f>IF(compras_mes5[[#This Row],[NETO GRAVADO]]="","",compras_mes5[[#This Row],[NETO GRAVADO]]*0.21)</f>
        <v>5815.5783000000001</v>
      </c>
      <c r="J114" s="222"/>
      <c r="K114" s="222"/>
      <c r="L114" s="222"/>
      <c r="M114" s="222"/>
      <c r="N114" s="222"/>
      <c r="O114" s="222">
        <v>0</v>
      </c>
      <c r="P114" s="230">
        <f>SUM(compras_mes5[[#This Row],[NETO GRAVADO]:[Otros / No Grav.]])</f>
        <v>33508.808299999997</v>
      </c>
      <c r="Q114" s="231" t="str">
        <f>IFERROR(IF(compras_mes5[[#This Row],[CUIT]]="","-",VLOOKUP(compras_mes5[[#This Row],[CUIT]],Lista_CUIT[#All],3,0)),"CUIT NO CARGADO")</f>
        <v>Servicios Gas-Luz-Agua-Internet</v>
      </c>
      <c r="R114" s="231">
        <f>IFERROR(IF(compras_mes5[[#This Row],[CUIT]]="","-",VLOOKUP(compras_mes5[[#This Row],[CUIT]],Lista_CUIT[#All],4,0)),"CUIT NO CARGADO")</f>
        <v>0</v>
      </c>
    </row>
    <row r="115" spans="2:18" ht="15" customHeight="1">
      <c r="B115" s="223">
        <v>45433</v>
      </c>
      <c r="C115" s="41">
        <v>1</v>
      </c>
      <c r="D115" s="225">
        <v>4264</v>
      </c>
      <c r="E115" s="226">
        <v>3850650</v>
      </c>
      <c r="F115" s="227">
        <v>30639453738</v>
      </c>
      <c r="G115" s="228" t="str">
        <f>IFERROR(IF(compras_mes5[[#This Row],[CUIT]]="","-",VLOOKUP(compras_mes5[[#This Row],[CUIT]],Lista_CUIT[#All],2,0)),"CUIT NO CARGADO")</f>
        <v>TELECOM ARGENTINA SA</v>
      </c>
      <c r="H115" s="229">
        <v>58983.47</v>
      </c>
      <c r="I115" s="222">
        <f>IF(compras_mes5[[#This Row],[NETO GRAVADO]]="","",compras_mes5[[#This Row],[NETO GRAVADO]]*0.21)</f>
        <v>12386.528699999999</v>
      </c>
      <c r="J115" s="222"/>
      <c r="K115" s="222"/>
      <c r="L115" s="222"/>
      <c r="M115" s="222"/>
      <c r="N115" s="222"/>
      <c r="O115" s="222">
        <v>0</v>
      </c>
      <c r="P115" s="230">
        <f>SUM(compras_mes5[[#This Row],[NETO GRAVADO]:[Otros / No Grav.]])</f>
        <v>71369.998699999996</v>
      </c>
      <c r="Q115" s="231" t="str">
        <f>IFERROR(IF(compras_mes5[[#This Row],[CUIT]]="","-",VLOOKUP(compras_mes5[[#This Row],[CUIT]],Lista_CUIT[#All],3,0)),"CUIT NO CARGADO")</f>
        <v>Servicios Gas-Luz-Agua-Internet</v>
      </c>
      <c r="R115" s="231">
        <f>IFERROR(IF(compras_mes5[[#This Row],[CUIT]]="","-",VLOOKUP(compras_mes5[[#This Row],[CUIT]],Lista_CUIT[#All],4,0)),"CUIT NO CARGADO")</f>
        <v>0</v>
      </c>
    </row>
    <row r="116" spans="2:18" ht="15" customHeight="1">
      <c r="B116" s="223">
        <v>45421</v>
      </c>
      <c r="C116" s="41">
        <v>1</v>
      </c>
      <c r="D116" s="225">
        <v>3101</v>
      </c>
      <c r="E116" s="226">
        <v>83407</v>
      </c>
      <c r="F116" s="227">
        <v>30678814357</v>
      </c>
      <c r="G116" s="228" t="str">
        <f>IFERROR(IF(compras_mes5[[#This Row],[CUIT]]="","-",VLOOKUP(compras_mes5[[#This Row],[CUIT]],Lista_CUIT[#All],2,0)),"CUIT NO CARGADO")</f>
        <v>TELEFONICA MOVILES ARG SA</v>
      </c>
      <c r="H116" s="229">
        <v>50244.06</v>
      </c>
      <c r="I116" s="222"/>
      <c r="J116" s="222">
        <v>13565.9</v>
      </c>
      <c r="K116" s="222"/>
      <c r="L116" s="222"/>
      <c r="M116" s="222"/>
      <c r="N116" s="222"/>
      <c r="O116" s="222">
        <v>0</v>
      </c>
      <c r="P116" s="230">
        <f>SUM(compras_mes5[[#This Row],[NETO GRAVADO]:[Otros / No Grav.]])</f>
        <v>63809.96</v>
      </c>
      <c r="Q116" s="231" t="str">
        <f>IFERROR(IF(compras_mes5[[#This Row],[CUIT]]="","-",VLOOKUP(compras_mes5[[#This Row],[CUIT]],Lista_CUIT[#All],3,0)),"CUIT NO CARGADO")</f>
        <v>Servicios Gas-Luz-Agua-Internet</v>
      </c>
      <c r="R116" s="231">
        <f>IFERROR(IF(compras_mes5[[#This Row],[CUIT]]="","-",VLOOKUP(compras_mes5[[#This Row],[CUIT]],Lista_CUIT[#All],4,0)),"CUIT NO CARGADO")</f>
        <v>0</v>
      </c>
    </row>
    <row r="117" spans="2:18">
      <c r="B117" s="95" t="s">
        <v>110</v>
      </c>
      <c r="C117" s="95"/>
      <c r="D117" s="95"/>
      <c r="E117" s="95"/>
      <c r="F117" s="95"/>
      <c r="G117" s="96"/>
      <c r="H117" s="97">
        <f>SUBTOTAL(109,compras_mes5[NETO GRAVADO])</f>
        <v>46703891.739999995</v>
      </c>
      <c r="I117" s="97">
        <f>SUBTOTAL(109,compras_mes5[IVA 21 %])</f>
        <v>9475036.9343999978</v>
      </c>
      <c r="J117" s="97">
        <f>SUBTOTAL(109,compras_mes5[IVA 27%])</f>
        <v>18924.05</v>
      </c>
      <c r="K117" s="97">
        <f>SUBTOTAL(109,compras_mes5[IVA 10,5%])</f>
        <v>159030.85999999999</v>
      </c>
      <c r="L117" s="97">
        <f>SUBTOTAL(109,compras_mes5[PERC. IVA])</f>
        <v>0</v>
      </c>
      <c r="M117" s="97">
        <f>SUBTOTAL(109,compras_mes5[PERC IIBB 
BS AS])</f>
        <v>0</v>
      </c>
      <c r="N117" s="97">
        <f>SUBTOTAL(109,compras_mes5[PERC. IIBB CABA])</f>
        <v>0</v>
      </c>
      <c r="O117" s="97">
        <f>SUBTOTAL(109,compras_mes5[Otros / No Grav.])</f>
        <v>12418.159999999998</v>
      </c>
      <c r="P117" s="97">
        <f>SUBTOTAL(109,compras_mes5[TOTAL])</f>
        <v>56369301.744400002</v>
      </c>
      <c r="Q117" s="95"/>
      <c r="R117" s="95"/>
    </row>
    <row r="118" spans="2:18">
      <c r="B118" s="40"/>
      <c r="C118" s="41"/>
      <c r="D118" s="42"/>
      <c r="E118" s="43"/>
      <c r="F118" s="44"/>
      <c r="G118" s="45"/>
      <c r="H118" s="46"/>
      <c r="I118" s="47"/>
      <c r="J118" s="47"/>
      <c r="K118" s="47"/>
      <c r="L118" s="47"/>
      <c r="M118" s="47"/>
      <c r="N118" s="47"/>
      <c r="O118" s="47"/>
      <c r="P118" s="48"/>
      <c r="Q118" s="49"/>
      <c r="R118" s="49"/>
    </row>
    <row r="119" spans="2:18">
      <c r="B119" s="40"/>
      <c r="C119" s="41"/>
      <c r="D119" s="42"/>
      <c r="E119" s="43"/>
      <c r="F119" s="44"/>
      <c r="G119" s="45"/>
      <c r="H119" s="46"/>
      <c r="I119" s="47"/>
      <c r="J119" s="47"/>
      <c r="K119" s="47"/>
      <c r="L119" s="47"/>
      <c r="M119" s="47"/>
      <c r="N119" s="47"/>
      <c r="O119" s="47"/>
      <c r="P119" s="48"/>
      <c r="Q119" s="49"/>
      <c r="R119" s="49"/>
    </row>
    <row r="120" spans="2:18">
      <c r="B120" s="40"/>
      <c r="C120" s="41"/>
      <c r="D120" s="42"/>
      <c r="E120" s="43"/>
      <c r="F120" s="44"/>
      <c r="G120" s="45"/>
      <c r="H120" s="46"/>
      <c r="I120" s="47"/>
      <c r="J120" s="47"/>
      <c r="K120" s="47"/>
      <c r="L120" s="47"/>
      <c r="M120" s="47"/>
      <c r="N120" s="47"/>
      <c r="O120" s="47"/>
      <c r="P120" s="48"/>
      <c r="Q120" s="49"/>
      <c r="R120" s="49"/>
    </row>
    <row r="121" spans="2:18">
      <c r="B121" s="40"/>
      <c r="C121" s="41"/>
      <c r="D121" s="42"/>
      <c r="E121" s="43"/>
      <c r="F121" s="44"/>
      <c r="G121" s="45"/>
      <c r="H121" s="46"/>
      <c r="I121" s="47"/>
      <c r="J121" s="47"/>
      <c r="K121" s="47"/>
      <c r="L121" s="47"/>
    </row>
    <row r="122" spans="2:18" ht="21">
      <c r="D122" s="665" t="s">
        <v>15</v>
      </c>
      <c r="E122" s="665"/>
      <c r="F122" s="665"/>
      <c r="G122" s="665"/>
      <c r="H122" s="665"/>
      <c r="I122" s="665"/>
      <c r="J122" s="665"/>
      <c r="K122" s="665"/>
      <c r="L122" s="665"/>
    </row>
    <row r="123" spans="2:18" ht="15.75">
      <c r="D123" s="73" t="s">
        <v>0</v>
      </c>
      <c r="E123" s="74" t="s">
        <v>26</v>
      </c>
      <c r="F123" s="74" t="s">
        <v>16</v>
      </c>
      <c r="G123" s="74" t="s">
        <v>5</v>
      </c>
      <c r="H123" s="74" t="s">
        <v>17</v>
      </c>
      <c r="I123" s="74" t="s">
        <v>7</v>
      </c>
      <c r="J123" s="75" t="s">
        <v>18</v>
      </c>
      <c r="K123" s="75" t="s">
        <v>19</v>
      </c>
      <c r="L123" s="76" t="s">
        <v>20</v>
      </c>
    </row>
    <row r="124" spans="2:18">
      <c r="D124" s="50">
        <v>45443</v>
      </c>
      <c r="E124" s="170"/>
      <c r="F124" s="80" t="s">
        <v>2169</v>
      </c>
      <c r="G124" s="81">
        <v>12429</v>
      </c>
      <c r="H124" s="81">
        <v>2610.09</v>
      </c>
      <c r="I124" s="81"/>
      <c r="J124" s="81"/>
      <c r="K124" s="81"/>
      <c r="L124" s="81"/>
    </row>
    <row r="125" spans="2:18">
      <c r="D125" s="50">
        <v>45443</v>
      </c>
      <c r="E125" s="80"/>
      <c r="F125" s="80" t="s">
        <v>2170</v>
      </c>
      <c r="G125" s="81">
        <v>20125</v>
      </c>
      <c r="H125" s="81">
        <v>4226.25</v>
      </c>
      <c r="I125" s="81"/>
      <c r="J125" s="81"/>
      <c r="K125" s="81"/>
      <c r="L125" s="81"/>
    </row>
    <row r="126" spans="2:18">
      <c r="D126" s="50"/>
      <c r="E126" s="79"/>
      <c r="F126" s="80"/>
      <c r="G126" s="81"/>
      <c r="H126" s="81"/>
      <c r="I126" s="81"/>
      <c r="J126" s="81"/>
      <c r="K126" s="81"/>
      <c r="L126" s="81"/>
    </row>
    <row r="127" spans="2:18">
      <c r="D127" s="82" t="s">
        <v>110</v>
      </c>
      <c r="E127" s="80"/>
      <c r="F127" s="80"/>
      <c r="G127" s="83">
        <f>SUBTOTAL(109,extracto_banco_mes5[NETO])</f>
        <v>32554</v>
      </c>
      <c r="H127" s="83">
        <f>SUBTOTAL(109,extracto_banco_mes5[IVA 21%])</f>
        <v>6836.34</v>
      </c>
      <c r="I127" s="83">
        <f>SUBTOTAL(109,extracto_banco_mes5[IVA 10,5%])</f>
        <v>0</v>
      </c>
      <c r="J127" s="83">
        <f>SUBTOTAL(109,extracto_banco_mes5[RET IIBB CABA])</f>
        <v>0</v>
      </c>
      <c r="K127" s="83">
        <f>SUBTOTAL(109,extracto_banco_mes5[PERC IVA])</f>
        <v>0</v>
      </c>
      <c r="L127" s="83">
        <f>SUBTOTAL(109,extracto_banco_mes5[PERC IIBB])</f>
        <v>0</v>
      </c>
    </row>
    <row r="131" spans="4:11" ht="21">
      <c r="D131" s="665" t="s">
        <v>25</v>
      </c>
      <c r="E131" s="665"/>
      <c r="F131" s="665"/>
      <c r="G131" s="665"/>
      <c r="H131" s="665"/>
      <c r="I131" s="665"/>
      <c r="J131" s="665"/>
      <c r="K131" s="665"/>
    </row>
    <row r="132" spans="4:11" ht="18" customHeight="1">
      <c r="D132" s="51" t="s">
        <v>0</v>
      </c>
      <c r="E132" s="51" t="s">
        <v>2</v>
      </c>
      <c r="F132" s="51" t="s">
        <v>74</v>
      </c>
      <c r="G132" s="51" t="s">
        <v>3</v>
      </c>
      <c r="H132" s="51" t="s">
        <v>4</v>
      </c>
      <c r="I132" s="52" t="s">
        <v>10</v>
      </c>
      <c r="J132" s="51" t="s">
        <v>13</v>
      </c>
      <c r="K132" s="51" t="s">
        <v>38</v>
      </c>
    </row>
    <row r="133" spans="4:11">
      <c r="D133" s="637" t="s">
        <v>2417</v>
      </c>
      <c r="E133" s="638">
        <v>3</v>
      </c>
      <c r="F133" s="639">
        <v>317</v>
      </c>
      <c r="G133" s="640">
        <v>23306035444</v>
      </c>
      <c r="H133" s="641" t="str">
        <f>IFERROR(IF(factura_c_mes5[[#This Row],[CUIT]]="","-",VLOOKUP(factura_c_mes5[[#This Row],[CUIT]],Lista_CUIT[#All],2,0)),"CUIT NO CARGADO")</f>
        <v>NADIA TARANTINO</v>
      </c>
      <c r="I133" s="642">
        <v>52000</v>
      </c>
      <c r="J133" s="643" t="str">
        <f>IFERROR(IF(factura_c_mes5[[#This Row],[CUIT]]="","-",VLOOKUP(factura_c_mes5[[#This Row],[CUIT]],Lista_CUIT[#All],3,0)),"CUIT NO CARGADO")</f>
        <v>GASTOS CONTABLES</v>
      </c>
      <c r="K133" s="643">
        <f>IFERROR(IF(factura_c_mes5[[#This Row],[CUIT]]="","-",VLOOKUP(factura_c_mes5[[#This Row],[CUIT]],Lista_CUIT[#All],4,0)),"CUIT NO CARGADO")</f>
        <v>0</v>
      </c>
    </row>
    <row r="134" spans="4:11">
      <c r="D134" s="637" t="s">
        <v>2418</v>
      </c>
      <c r="E134" s="638">
        <v>3</v>
      </c>
      <c r="F134" s="639">
        <v>842</v>
      </c>
      <c r="G134" s="640">
        <v>20086277523</v>
      </c>
      <c r="H134" s="641" t="str">
        <f>IFERROR(IF(factura_c_mes5[[#This Row],[CUIT]]="","-",VLOOKUP(factura_c_mes5[[#This Row],[CUIT]],Lista_CUIT[#All],2,0)),"CUIT NO CARGADO")</f>
        <v>BOTINDARI JUAN CARLOS</v>
      </c>
      <c r="I134" s="642">
        <v>262500</v>
      </c>
      <c r="J134" s="643" t="str">
        <f>IFERROR(IF(factura_c_mes5[[#This Row],[CUIT]]="","-",VLOOKUP(factura_c_mes5[[#This Row],[CUIT]],Lista_CUIT[#All],3,0)),"CUIT NO CARGADO")</f>
        <v>HONORARIOS</v>
      </c>
      <c r="K134" s="643">
        <f>IFERROR(IF(factura_c_mes5[[#This Row],[CUIT]]="","-",VLOOKUP(factura_c_mes5[[#This Row],[CUIT]],Lista_CUIT[#All],4,0)),"CUIT NO CARGADO")</f>
        <v>0</v>
      </c>
    </row>
    <row r="135" spans="4:11">
      <c r="D135" s="637" t="s">
        <v>2419</v>
      </c>
      <c r="E135" s="638">
        <v>2</v>
      </c>
      <c r="F135" s="639">
        <v>273</v>
      </c>
      <c r="G135" s="640">
        <v>27265832178</v>
      </c>
      <c r="H135" s="641" t="str">
        <f>IFERROR(IF(factura_c_mes5[[#This Row],[CUIT]]="","-",VLOOKUP(factura_c_mes5[[#This Row],[CUIT]],Lista_CUIT[#All],2,0)),"CUIT NO CARGADO")</f>
        <v>BLASCO MARIA GUADALUPE</v>
      </c>
      <c r="I135" s="642">
        <v>150000</v>
      </c>
      <c r="J135" s="643" t="str">
        <f>IFERROR(IF(factura_c_mes5[[#This Row],[CUIT]]="","-",VLOOKUP(factura_c_mes5[[#This Row],[CUIT]],Lista_CUIT[#All],3,0)),"CUIT NO CARGADO")</f>
        <v>Productos Ortopedicos</v>
      </c>
      <c r="K135" s="643">
        <f>IFERROR(IF(factura_c_mes5[[#This Row],[CUIT]]="","-",VLOOKUP(factura_c_mes5[[#This Row],[CUIT]],Lista_CUIT[#All],4,0)),"CUIT NO CARGADO")</f>
        <v>0</v>
      </c>
    </row>
    <row r="136" spans="4:11">
      <c r="D136" s="637" t="s">
        <v>2419</v>
      </c>
      <c r="E136" s="638">
        <v>1</v>
      </c>
      <c r="F136" s="639">
        <v>63</v>
      </c>
      <c r="G136" s="640">
        <v>20403969886</v>
      </c>
      <c r="H136" s="641" t="str">
        <f>IFERROR(IF(factura_c_mes5[[#This Row],[CUIT]]="","-",VLOOKUP(factura_c_mes5[[#This Row],[CUIT]],Lista_CUIT[#All],2,0)),"CUIT NO CARGADO")</f>
        <v>DEL GESSO FRANCO JESUS</v>
      </c>
      <c r="I136" s="642">
        <v>427160</v>
      </c>
      <c r="J136" s="643" t="str">
        <f>IFERROR(IF(factura_c_mes5[[#This Row],[CUIT]]="","-",VLOOKUP(factura_c_mes5[[#This Row],[CUIT]],Lista_CUIT[#All],3,0)),"CUIT NO CARGADO")</f>
        <v>GASTOS ADMINISTRATIVOS</v>
      </c>
      <c r="K136" s="643">
        <f>IFERROR(IF(factura_c_mes5[[#This Row],[CUIT]]="","-",VLOOKUP(factura_c_mes5[[#This Row],[CUIT]],Lista_CUIT[#All],4,0)),"CUIT NO CARGADO")</f>
        <v>0</v>
      </c>
    </row>
    <row r="137" spans="4:11">
      <c r="D137" s="637" t="s">
        <v>2420</v>
      </c>
      <c r="E137" s="638">
        <v>1</v>
      </c>
      <c r="F137" s="639">
        <v>1</v>
      </c>
      <c r="G137" s="640">
        <v>20047064946</v>
      </c>
      <c r="H137" s="641" t="str">
        <f>IFERROR(IF(factura_c_mes5[[#This Row],[CUIT]]="","-",VLOOKUP(factura_c_mes5[[#This Row],[CUIT]],Lista_CUIT[#All],2,0)),"CUIT NO CARGADO")</f>
        <v>GARCIA LETTIERI EDUARDO ALBERTO</v>
      </c>
      <c r="I137" s="642">
        <v>4764700</v>
      </c>
      <c r="J137" s="643" t="str">
        <f>IFERROR(IF(factura_c_mes5[[#This Row],[CUIT]]="","-",VLOOKUP(factura_c_mes5[[#This Row],[CUIT]],Lista_CUIT[#All],3,0)),"CUIT NO CARGADO")</f>
        <v>Mantenimiento</v>
      </c>
      <c r="K137" s="643">
        <f>IFERROR(IF(factura_c_mes5[[#This Row],[CUIT]]="","-",VLOOKUP(factura_c_mes5[[#This Row],[CUIT]],Lista_CUIT[#All],4,0)),"CUIT NO CARGADO")</f>
        <v>0</v>
      </c>
    </row>
    <row r="138" spans="4:11">
      <c r="D138" s="637" t="s">
        <v>2420</v>
      </c>
      <c r="E138" s="638">
        <v>1</v>
      </c>
      <c r="F138" s="639">
        <v>2</v>
      </c>
      <c r="G138" s="640">
        <v>27122903201</v>
      </c>
      <c r="H138" s="641" t="str">
        <f>IFERROR(IF(factura_c_mes5[[#This Row],[CUIT]]="","-",VLOOKUP(factura_c_mes5[[#This Row],[CUIT]],Lista_CUIT[#All],2,0)),"CUIT NO CARGADO")</f>
        <v>ARCE RAQUEL INES</v>
      </c>
      <c r="I138" s="642">
        <v>4764700</v>
      </c>
      <c r="J138" s="643" t="str">
        <f>IFERROR(IF(factura_c_mes5[[#This Row],[CUIT]]="","-",VLOOKUP(factura_c_mes5[[#This Row],[CUIT]],Lista_CUIT[#All],3,0)),"CUIT NO CARGADO")</f>
        <v>Mantenimiento</v>
      </c>
      <c r="K138" s="643">
        <f>IFERROR(IF(factura_c_mes5[[#This Row],[CUIT]]="","-",VLOOKUP(factura_c_mes5[[#This Row],[CUIT]],Lista_CUIT[#All],4,0)),"CUIT NO CARGADO")</f>
        <v>0</v>
      </c>
    </row>
    <row r="139" spans="4:11">
      <c r="D139" s="637" t="s">
        <v>2421</v>
      </c>
      <c r="E139" s="638">
        <v>1</v>
      </c>
      <c r="F139" s="639">
        <v>4</v>
      </c>
      <c r="G139" s="640">
        <v>27443612713</v>
      </c>
      <c r="H139" s="641" t="str">
        <f>IFERROR(IF(factura_c_mes5[[#This Row],[CUIT]]="","-",VLOOKUP(factura_c_mes5[[#This Row],[CUIT]],Lista_CUIT[#All],2,0)),"CUIT NO CARGADO")</f>
        <v>MIGOYA MORIONDO SOFIA</v>
      </c>
      <c r="I139" s="642">
        <v>450000</v>
      </c>
      <c r="J139" s="643" t="str">
        <f>IFERROR(IF(factura_c_mes5[[#This Row],[CUIT]]="","-",VLOOKUP(factura_c_mes5[[#This Row],[CUIT]],Lista_CUIT[#All],3,0)),"CUIT NO CARGADO")</f>
        <v>Alquiler</v>
      </c>
      <c r="K139" s="643">
        <f>IFERROR(IF(factura_c_mes5[[#This Row],[CUIT]]="","-",VLOOKUP(factura_c_mes5[[#This Row],[CUIT]],Lista_CUIT[#All],4,0)),"CUIT NO CARGADO")</f>
        <v>0</v>
      </c>
    </row>
    <row r="140" spans="4:11">
      <c r="D140" s="637" t="s">
        <v>2421</v>
      </c>
      <c r="E140" s="638">
        <v>2</v>
      </c>
      <c r="F140" s="639">
        <v>147</v>
      </c>
      <c r="G140" s="640">
        <v>20258225563</v>
      </c>
      <c r="H140" s="641" t="str">
        <f>IFERROR(IF(factura_c_mes5[[#This Row],[CUIT]]="","-",VLOOKUP(factura_c_mes5[[#This Row],[CUIT]],Lista_CUIT[#All],2,0)),"CUIT NO CARGADO")</f>
        <v>MIRABAL ARIEL ADRIAN</v>
      </c>
      <c r="I140" s="642">
        <v>25000</v>
      </c>
      <c r="J140" s="643" t="str">
        <f>IFERROR(IF(factura_c_mes5[[#This Row],[CUIT]]="","-",VLOOKUP(factura_c_mes5[[#This Row],[CUIT]],Lista_CUIT[#All],3,0)),"CUIT NO CARGADO")</f>
        <v>gastos Varios</v>
      </c>
      <c r="K140" s="643">
        <f>IFERROR(IF(factura_c_mes5[[#This Row],[CUIT]]="","-",VLOOKUP(factura_c_mes5[[#This Row],[CUIT]],Lista_CUIT[#All],4,0)),"CUIT NO CARGADO")</f>
        <v>0</v>
      </c>
    </row>
    <row r="141" spans="4:11">
      <c r="D141" s="637" t="s">
        <v>2422</v>
      </c>
      <c r="E141" s="638">
        <v>2</v>
      </c>
      <c r="F141" s="639">
        <v>3</v>
      </c>
      <c r="G141" s="640">
        <v>20299835260</v>
      </c>
      <c r="H141" s="641" t="str">
        <f>IFERROR(IF(factura_c_mes5[[#This Row],[CUIT]]="","-",VLOOKUP(factura_c_mes5[[#This Row],[CUIT]],Lista_CUIT[#All],2,0)),"CUIT NO CARGADO")</f>
        <v>MALGAREJO NICOLAS EMILIO</v>
      </c>
      <c r="I141" s="642">
        <v>300000</v>
      </c>
      <c r="J141" s="643" t="str">
        <f>IFERROR(IF(factura_c_mes5[[#This Row],[CUIT]]="","-",VLOOKUP(factura_c_mes5[[#This Row],[CUIT]],Lista_CUIT[#All],3,0)),"CUIT NO CARGADO")</f>
        <v>Productos Ortopedicos</v>
      </c>
      <c r="K141" s="643">
        <f>IFERROR(IF(factura_c_mes5[[#This Row],[CUIT]]="","-",VLOOKUP(factura_c_mes5[[#This Row],[CUIT]],Lista_CUIT[#All],4,0)),"CUIT NO CARGADO")</f>
        <v>0</v>
      </c>
    </row>
    <row r="142" spans="4:11" ht="26.1" customHeight="1">
      <c r="D142" s="637" t="s">
        <v>2422</v>
      </c>
      <c r="E142" s="638">
        <v>2</v>
      </c>
      <c r="F142" s="639">
        <v>2</v>
      </c>
      <c r="G142" s="640">
        <v>20299835260</v>
      </c>
      <c r="H142" s="641" t="str">
        <f>IFERROR(IF(factura_c_mes5[[#This Row],[CUIT]]="","-",VLOOKUP(factura_c_mes5[[#This Row],[CUIT]],Lista_CUIT[#All],2,0)),"CUIT NO CARGADO")</f>
        <v>MALGAREJO NICOLAS EMILIO</v>
      </c>
      <c r="I142" s="642">
        <v>370000</v>
      </c>
      <c r="J142" s="643" t="str">
        <f>IFERROR(IF(factura_c_mes5[[#This Row],[CUIT]]="","-",VLOOKUP(factura_c_mes5[[#This Row],[CUIT]],Lista_CUIT[#All],3,0)),"CUIT NO CARGADO")</f>
        <v>Productos Ortopedicos</v>
      </c>
      <c r="K142" s="643">
        <f>IFERROR(IF(factura_c_mes5[[#This Row],[CUIT]]="","-",VLOOKUP(factura_c_mes5[[#This Row],[CUIT]],Lista_CUIT[#All],4,0)),"CUIT NO CARGADO")</f>
        <v>0</v>
      </c>
    </row>
    <row r="143" spans="4:11">
      <c r="D143" s="637" t="s">
        <v>2422</v>
      </c>
      <c r="E143" s="638">
        <v>1</v>
      </c>
      <c r="F143" s="639">
        <v>135</v>
      </c>
      <c r="G143" s="640">
        <v>27338342840</v>
      </c>
      <c r="H143" s="641" t="str">
        <f>IFERROR(IF(factura_c_mes5[[#This Row],[CUIT]]="","-",VLOOKUP(factura_c_mes5[[#This Row],[CUIT]],Lista_CUIT[#All],2,0)),"CUIT NO CARGADO")</f>
        <v>CANCINO PAMELA RITA</v>
      </c>
      <c r="I143" s="644">
        <v>105000</v>
      </c>
      <c r="J143" s="643" t="str">
        <f>IFERROR(IF(factura_c_mes5[[#This Row],[CUIT]]="","-",VLOOKUP(factura_c_mes5[[#This Row],[CUIT]],Lista_CUIT[#All],3,0)),"CUIT NO CARGADO")</f>
        <v>Productos Ortopedicos</v>
      </c>
      <c r="K143" s="643">
        <f>IFERROR(IF(factura_c_mes5[[#This Row],[CUIT]]="","-",VLOOKUP(factura_c_mes5[[#This Row],[CUIT]],Lista_CUIT[#All],4,0)),"CUIT NO CARGADO")</f>
        <v>0</v>
      </c>
    </row>
    <row r="144" spans="4:11" ht="17.25" customHeight="1">
      <c r="D144" s="637" t="s">
        <v>2423</v>
      </c>
      <c r="E144" s="638">
        <v>1</v>
      </c>
      <c r="F144" s="639">
        <v>66</v>
      </c>
      <c r="G144" s="640">
        <v>23281233084</v>
      </c>
      <c r="H144" s="641" t="str">
        <f>IFERROR(IF(factura_c_mes5[[#This Row],[CUIT]]="","-",VLOOKUP(factura_c_mes5[[#This Row],[CUIT]],Lista_CUIT[#All],2,0)),"CUIT NO CARGADO")</f>
        <v>DRUETTA ANDREA MARIEL</v>
      </c>
      <c r="I144" s="642">
        <v>107900</v>
      </c>
      <c r="J144" s="643" t="str">
        <f>IFERROR(IF(factura_c_mes5[[#This Row],[CUIT]]="","-",VLOOKUP(factura_c_mes5[[#This Row],[CUIT]],Lista_CUIT[#All],3,0)),"CUIT NO CARGADO")</f>
        <v>HONORARIOS TECNICOS</v>
      </c>
      <c r="K144" s="643">
        <f>IFERROR(IF(factura_c_mes5[[#This Row],[CUIT]]="","-",VLOOKUP(factura_c_mes5[[#This Row],[CUIT]],Lista_CUIT[#All],4,0)),"CUIT NO CARGADO")</f>
        <v>0</v>
      </c>
    </row>
    <row r="145" spans="4:11" ht="17.25" customHeight="1">
      <c r="D145" s="637" t="s">
        <v>2423</v>
      </c>
      <c r="E145" s="638">
        <v>2</v>
      </c>
      <c r="F145" s="639">
        <v>119</v>
      </c>
      <c r="G145" s="640">
        <v>20220423655</v>
      </c>
      <c r="H145" s="641" t="str">
        <f>IFERROR(IF(factura_c_mes5[[#This Row],[CUIT]]="","-",VLOOKUP(factura_c_mes5[[#This Row],[CUIT]],Lista_CUIT[#All],2,0)),"CUIT NO CARGADO")</f>
        <v>LANDRO FERNANDO GABRIEL</v>
      </c>
      <c r="I145" s="642">
        <v>500060</v>
      </c>
      <c r="J145" s="643" t="str">
        <f>IFERROR(IF(factura_c_mes5[[#This Row],[CUIT]]="","-",VLOOKUP(factura_c_mes5[[#This Row],[CUIT]],Lista_CUIT[#All],3,0)),"CUIT NO CARGADO")</f>
        <v>GESTION COBRANZAS</v>
      </c>
      <c r="K145" s="643">
        <f>IFERROR(IF(factura_c_mes5[[#This Row],[CUIT]]="","-",VLOOKUP(factura_c_mes5[[#This Row],[CUIT]],Lista_CUIT[#All],4,0)),"CUIT NO CARGADO")</f>
        <v>0</v>
      </c>
    </row>
    <row r="146" spans="4:11" ht="17.25" customHeight="1">
      <c r="D146" s="637" t="s">
        <v>2423</v>
      </c>
      <c r="E146" s="638">
        <v>2</v>
      </c>
      <c r="F146" s="639">
        <v>118</v>
      </c>
      <c r="G146" s="640">
        <v>20220423655</v>
      </c>
      <c r="H146" s="641" t="str">
        <f>IFERROR(IF(factura_c_mes5[[#This Row],[CUIT]]="","-",VLOOKUP(factura_c_mes5[[#This Row],[CUIT]],Lista_CUIT[#All],2,0)),"CUIT NO CARGADO")</f>
        <v>LANDRO FERNANDO GABRIEL</v>
      </c>
      <c r="I146" s="644">
        <v>457720</v>
      </c>
      <c r="J146" s="643" t="str">
        <f>IFERROR(IF(factura_c_mes5[[#This Row],[CUIT]]="","-",VLOOKUP(factura_c_mes5[[#This Row],[CUIT]],Lista_CUIT[#All],3,0)),"CUIT NO CARGADO")</f>
        <v>GESTION COBRANZAS</v>
      </c>
      <c r="K146" s="643">
        <f>IFERROR(IF(factura_c_mes5[[#This Row],[CUIT]]="","-",VLOOKUP(factura_c_mes5[[#This Row],[CUIT]],Lista_CUIT[#All],4,0)),"CUIT NO CARGADO")</f>
        <v>0</v>
      </c>
    </row>
    <row r="147" spans="4:11" ht="17.25" customHeight="1">
      <c r="D147" s="645" t="s">
        <v>2424</v>
      </c>
      <c r="E147" s="645">
        <v>1</v>
      </c>
      <c r="F147" s="645">
        <v>218</v>
      </c>
      <c r="G147" s="646">
        <v>27217606255</v>
      </c>
      <c r="H147" s="647" t="str">
        <f>IFERROR(IF(factura_c_mes5[[#This Row],[CUIT]]="","-",VLOOKUP(factura_c_mes5[[#This Row],[CUIT]],Lista_CUIT[#All],2,0)),"CUIT NO CARGADO")</f>
        <v>SAPUNA MARIAN KARINA</v>
      </c>
      <c r="I147" s="642">
        <v>43105.39</v>
      </c>
      <c r="J147" s="648" t="str">
        <f>IFERROR(IF(factura_c_mes5[[#This Row],[CUIT]]="","-",VLOOKUP(factura_c_mes5[[#This Row],[CUIT]],Lista_CUIT[#All],3,0)),"CUIT NO CARGADO")</f>
        <v>MANTENIMIENTO</v>
      </c>
      <c r="K147" s="648">
        <f>IFERROR(IF(factura_c_mes5[[#This Row],[CUIT]]="","-",VLOOKUP(factura_c_mes5[[#This Row],[CUIT]],Lista_CUIT[#All],4,0)),"CUIT NO CARGADO")</f>
        <v>0</v>
      </c>
    </row>
    <row r="148" spans="4:11" ht="17.25" customHeight="1">
      <c r="D148" s="645" t="s">
        <v>2424</v>
      </c>
      <c r="E148" s="645">
        <v>1</v>
      </c>
      <c r="F148" s="645">
        <v>217</v>
      </c>
      <c r="G148" s="646">
        <v>27217606255</v>
      </c>
      <c r="H148" s="647" t="str">
        <f>IFERROR(IF(factura_c_mes5[[#This Row],[CUIT]]="","-",VLOOKUP(factura_c_mes5[[#This Row],[CUIT]],Lista_CUIT[#All],2,0)),"CUIT NO CARGADO")</f>
        <v>SAPUNA MARIAN KARINA</v>
      </c>
      <c r="I148" s="642">
        <v>49423.78</v>
      </c>
      <c r="J148" s="648" t="str">
        <f>IFERROR(IF(factura_c_mes5[[#This Row],[CUIT]]="","-",VLOOKUP(factura_c_mes5[[#This Row],[CUIT]],Lista_CUIT[#All],3,0)),"CUIT NO CARGADO")</f>
        <v>MANTENIMIENTO</v>
      </c>
      <c r="K148" s="648">
        <f>IFERROR(IF(factura_c_mes5[[#This Row],[CUIT]]="","-",VLOOKUP(factura_c_mes5[[#This Row],[CUIT]],Lista_CUIT[#All],4,0)),"CUIT NO CARGADO")</f>
        <v>0</v>
      </c>
    </row>
    <row r="149" spans="4:11" ht="17.25" customHeight="1">
      <c r="D149" s="645" t="s">
        <v>2425</v>
      </c>
      <c r="E149" s="645">
        <v>1</v>
      </c>
      <c r="F149" s="645">
        <v>219</v>
      </c>
      <c r="G149" s="646">
        <v>27217606255</v>
      </c>
      <c r="H149" s="647" t="str">
        <f>IFERROR(IF(factura_c_mes5[[#This Row],[CUIT]]="","-",VLOOKUP(factura_c_mes5[[#This Row],[CUIT]],Lista_CUIT[#All],2,0)),"CUIT NO CARGADO")</f>
        <v>SAPUNA MARIAN KARINA</v>
      </c>
      <c r="I149" s="642">
        <v>47879.29</v>
      </c>
      <c r="J149" s="648" t="str">
        <f>IFERROR(IF(factura_c_mes5[[#This Row],[CUIT]]="","-",VLOOKUP(factura_c_mes5[[#This Row],[CUIT]],Lista_CUIT[#All],3,0)),"CUIT NO CARGADO")</f>
        <v>MANTENIMIENTO</v>
      </c>
      <c r="K149" s="648">
        <f>IFERROR(IF(factura_c_mes5[[#This Row],[CUIT]]="","-",VLOOKUP(factura_c_mes5[[#This Row],[CUIT]],Lista_CUIT[#All],4,0)),"CUIT NO CARGADO")</f>
        <v>0</v>
      </c>
    </row>
    <row r="150" spans="4:11" ht="17.25" customHeight="1">
      <c r="D150" s="645" t="s">
        <v>2426</v>
      </c>
      <c r="E150" s="645">
        <v>2</v>
      </c>
      <c r="F150" s="645">
        <v>58</v>
      </c>
      <c r="G150" s="646">
        <v>20219413867</v>
      </c>
      <c r="H150" s="647" t="str">
        <f>IFERROR(IF(factura_c_mes5[[#This Row],[CUIT]]="","-",VLOOKUP(factura_c_mes5[[#This Row],[CUIT]],Lista_CUIT[#All],2,0)),"CUIT NO CARGADO")</f>
        <v>CUIT NO CARGADO</v>
      </c>
      <c r="I150" s="642">
        <v>210000</v>
      </c>
      <c r="J150" s="648" t="str">
        <f>IFERROR(IF(factura_c_mes5[[#This Row],[CUIT]]="","-",VLOOKUP(factura_c_mes5[[#This Row],[CUIT]],Lista_CUIT[#All],3,0)),"CUIT NO CARGADO")</f>
        <v>CUIT NO CARGADO</v>
      </c>
      <c r="K150" s="648" t="str">
        <f>IFERROR(IF(factura_c_mes5[[#This Row],[CUIT]]="","-",VLOOKUP(factura_c_mes5[[#This Row],[CUIT]],Lista_CUIT[#All],4,0)),"CUIT NO CARGADO")</f>
        <v>CUIT NO CARGADO</v>
      </c>
    </row>
    <row r="151" spans="4:11" ht="17.25" customHeight="1">
      <c r="D151" s="645" t="s">
        <v>2426</v>
      </c>
      <c r="E151" s="645">
        <v>1</v>
      </c>
      <c r="F151" s="645">
        <v>220</v>
      </c>
      <c r="G151" s="646">
        <v>27217606255</v>
      </c>
      <c r="H151" s="647" t="str">
        <f>IFERROR(IF(factura_c_mes5[[#This Row],[CUIT]]="","-",VLOOKUP(factura_c_mes5[[#This Row],[CUIT]],Lista_CUIT[#All],2,0)),"CUIT NO CARGADO")</f>
        <v>SAPUNA MARIAN KARINA</v>
      </c>
      <c r="I151" s="642">
        <v>130590.9</v>
      </c>
      <c r="J151" s="648" t="str">
        <f>IFERROR(IF(factura_c_mes5[[#This Row],[CUIT]]="","-",VLOOKUP(factura_c_mes5[[#This Row],[CUIT]],Lista_CUIT[#All],3,0)),"CUIT NO CARGADO")</f>
        <v>MANTENIMIENTO</v>
      </c>
      <c r="K151" s="648">
        <f>IFERROR(IF(factura_c_mes5[[#This Row],[CUIT]]="","-",VLOOKUP(factura_c_mes5[[#This Row],[CUIT]],Lista_CUIT[#All],4,0)),"CUIT NO CARGADO")</f>
        <v>0</v>
      </c>
    </row>
    <row r="152" spans="4:11" ht="17.25" customHeight="1">
      <c r="D152" s="645" t="s">
        <v>2427</v>
      </c>
      <c r="E152" s="645">
        <v>2</v>
      </c>
      <c r="F152" s="645">
        <v>276</v>
      </c>
      <c r="G152" s="646">
        <v>27265832178</v>
      </c>
      <c r="H152" s="647" t="str">
        <f>IFERROR(IF(factura_c_mes5[[#This Row],[CUIT]]="","-",VLOOKUP(factura_c_mes5[[#This Row],[CUIT]],Lista_CUIT[#All],2,0)),"CUIT NO CARGADO")</f>
        <v>BLASCO MARIA GUADALUPE</v>
      </c>
      <c r="I152" s="642">
        <v>150000</v>
      </c>
      <c r="J152" s="648" t="str">
        <f>IFERROR(IF(factura_c_mes5[[#This Row],[CUIT]]="","-",VLOOKUP(factura_c_mes5[[#This Row],[CUIT]],Lista_CUIT[#All],3,0)),"CUIT NO CARGADO")</f>
        <v>Productos Ortopedicos</v>
      </c>
      <c r="K152" s="648">
        <f>IFERROR(IF(factura_c_mes5[[#This Row],[CUIT]]="","-",VLOOKUP(factura_c_mes5[[#This Row],[CUIT]],Lista_CUIT[#All],4,0)),"CUIT NO CARGADO")</f>
        <v>0</v>
      </c>
    </row>
    <row r="153" spans="4:11" ht="17.25" customHeight="1">
      <c r="D153" s="645" t="s">
        <v>2427</v>
      </c>
      <c r="E153" s="645">
        <v>1</v>
      </c>
      <c r="F153" s="645">
        <v>221</v>
      </c>
      <c r="G153" s="646">
        <v>27217606255</v>
      </c>
      <c r="H153" s="647" t="str">
        <f>IFERROR(IF(factura_c_mes5[[#This Row],[CUIT]]="","-",VLOOKUP(factura_c_mes5[[#This Row],[CUIT]],Lista_CUIT[#All],2,0)),"CUIT NO CARGADO")</f>
        <v>SAPUNA MARIAN KARINA</v>
      </c>
      <c r="I153" s="642">
        <v>82372.73</v>
      </c>
      <c r="J153" s="648" t="str">
        <f>IFERROR(IF(factura_c_mes5[[#This Row],[CUIT]]="","-",VLOOKUP(factura_c_mes5[[#This Row],[CUIT]],Lista_CUIT[#All],3,0)),"CUIT NO CARGADO")</f>
        <v>MANTENIMIENTO</v>
      </c>
      <c r="K153" s="648">
        <f>IFERROR(IF(factura_c_mes5[[#This Row],[CUIT]]="","-",VLOOKUP(factura_c_mes5[[#This Row],[CUIT]],Lista_CUIT[#All],4,0)),"CUIT NO CARGADO")</f>
        <v>0</v>
      </c>
    </row>
    <row r="154" spans="4:11" ht="17.25" customHeight="1">
      <c r="D154" s="645" t="s">
        <v>2428</v>
      </c>
      <c r="E154" s="645">
        <v>1</v>
      </c>
      <c r="F154" s="645">
        <v>222</v>
      </c>
      <c r="G154" s="646">
        <v>27217606255</v>
      </c>
      <c r="H154" s="647" t="str">
        <f>IFERROR(IF(factura_c_mes5[[#This Row],[CUIT]]="","-",VLOOKUP(factura_c_mes5[[#This Row],[CUIT]],Lista_CUIT[#All],2,0)),"CUIT NO CARGADO")</f>
        <v>SAPUNA MARIAN KARINA</v>
      </c>
      <c r="I154" s="642">
        <v>92938.18</v>
      </c>
      <c r="J154" s="648" t="str">
        <f>IFERROR(IF(factura_c_mes5[[#This Row],[CUIT]]="","-",VLOOKUP(factura_c_mes5[[#This Row],[CUIT]],Lista_CUIT[#All],3,0)),"CUIT NO CARGADO")</f>
        <v>MANTENIMIENTO</v>
      </c>
      <c r="K154" s="648">
        <f>IFERROR(IF(factura_c_mes5[[#This Row],[CUIT]]="","-",VLOOKUP(factura_c_mes5[[#This Row],[CUIT]],Lista_CUIT[#All],4,0)),"CUIT NO CARGADO")</f>
        <v>0</v>
      </c>
    </row>
    <row r="155" spans="4:11" ht="17.25" customHeight="1">
      <c r="D155" s="645" t="s">
        <v>2429</v>
      </c>
      <c r="E155" s="645">
        <v>1</v>
      </c>
      <c r="F155" s="645">
        <v>9</v>
      </c>
      <c r="G155" s="646">
        <v>27443612705</v>
      </c>
      <c r="H155" s="647" t="str">
        <f>IFERROR(IF(factura_c_mes5[[#This Row],[CUIT]]="","-",VLOOKUP(factura_c_mes5[[#This Row],[CUIT]],Lista_CUIT[#All],2,0)),"CUIT NO CARGADO")</f>
        <v>MIGOYA MORIONDO MARIA INES</v>
      </c>
      <c r="I155" s="642">
        <v>600000</v>
      </c>
      <c r="J155" s="648" t="str">
        <f>IFERROR(IF(factura_c_mes5[[#This Row],[CUIT]]="","-",VLOOKUP(factura_c_mes5[[#This Row],[CUIT]],Lista_CUIT[#All],3,0)),"CUIT NO CARGADO")</f>
        <v>ALQUILERES PAGADOS</v>
      </c>
      <c r="K155" s="648">
        <f>IFERROR(IF(factura_c_mes5[[#This Row],[CUIT]]="","-",VLOOKUP(factura_c_mes5[[#This Row],[CUIT]],Lista_CUIT[#All],4,0)),"CUIT NO CARGADO")</f>
        <v>0</v>
      </c>
    </row>
    <row r="156" spans="4:11" ht="17.25" customHeight="1">
      <c r="D156" s="645" t="s">
        <v>2429</v>
      </c>
      <c r="E156" s="645">
        <v>1</v>
      </c>
      <c r="F156" s="645">
        <v>223</v>
      </c>
      <c r="G156" s="646">
        <v>27217606255</v>
      </c>
      <c r="H156" s="647" t="str">
        <f>IFERROR(IF(factura_c_mes5[[#This Row],[CUIT]]="","-",VLOOKUP(factura_c_mes5[[#This Row],[CUIT]],Lista_CUIT[#All],2,0)),"CUIT NO CARGADO")</f>
        <v>SAPUNA MARIAN KARINA</v>
      </c>
      <c r="I156" s="642">
        <v>73689.73</v>
      </c>
      <c r="J156" s="648" t="str">
        <f>IFERROR(IF(factura_c_mes5[[#This Row],[CUIT]]="","-",VLOOKUP(factura_c_mes5[[#This Row],[CUIT]],Lista_CUIT[#All],3,0)),"CUIT NO CARGADO")</f>
        <v>MANTENIMIENTO</v>
      </c>
      <c r="K156" s="648">
        <f>IFERROR(IF(factura_c_mes5[[#This Row],[CUIT]]="","-",VLOOKUP(factura_c_mes5[[#This Row],[CUIT]],Lista_CUIT[#All],4,0)),"CUIT NO CARGADO")</f>
        <v>0</v>
      </c>
    </row>
    <row r="157" spans="4:11" ht="17.25" customHeight="1">
      <c r="D157" s="645" t="s">
        <v>2429</v>
      </c>
      <c r="E157" s="645">
        <v>1</v>
      </c>
      <c r="F157" s="645">
        <v>10</v>
      </c>
      <c r="G157" s="646">
        <v>27443612705</v>
      </c>
      <c r="H157" s="647" t="str">
        <f>IFERROR(IF(factura_c_mes5[[#This Row],[CUIT]]="","-",VLOOKUP(factura_c_mes5[[#This Row],[CUIT]],Lista_CUIT[#All],2,0)),"CUIT NO CARGADO")</f>
        <v>MIGOYA MORIONDO MARIA INES</v>
      </c>
      <c r="I157" s="642">
        <v>600000</v>
      </c>
      <c r="J157" s="648" t="str">
        <f>IFERROR(IF(factura_c_mes5[[#This Row],[CUIT]]="","-",VLOOKUP(factura_c_mes5[[#This Row],[CUIT]],Lista_CUIT[#All],3,0)),"CUIT NO CARGADO")</f>
        <v>ALQUILERES PAGADOS</v>
      </c>
      <c r="K157" s="648">
        <f>IFERROR(IF(factura_c_mes5[[#This Row],[CUIT]]="","-",VLOOKUP(factura_c_mes5[[#This Row],[CUIT]],Lista_CUIT[#All],4,0)),"CUIT NO CARGADO")</f>
        <v>0</v>
      </c>
    </row>
    <row r="158" spans="4:11" ht="17.25" customHeight="1">
      <c r="D158" s="645" t="s">
        <v>2430</v>
      </c>
      <c r="E158" s="645">
        <v>5</v>
      </c>
      <c r="F158" s="645">
        <v>163</v>
      </c>
      <c r="G158" s="646">
        <v>27062343449</v>
      </c>
      <c r="H158" s="647" t="str">
        <f>IFERROR(IF(factura_c_mes5[[#This Row],[CUIT]]="","-",VLOOKUP(factura_c_mes5[[#This Row],[CUIT]],Lista_CUIT[#All],2,0)),"CUIT NO CARGADO")</f>
        <v>FERREIRS LILISNS INES</v>
      </c>
      <c r="I158" s="642">
        <v>365000</v>
      </c>
      <c r="J158" s="648" t="str">
        <f>IFERROR(IF(factura_c_mes5[[#This Row],[CUIT]]="","-",VLOOKUP(factura_c_mes5[[#This Row],[CUIT]],Lista_CUIT[#All],3,0)),"CUIT NO CARGADO")</f>
        <v>ALQUILERES PAGADOS</v>
      </c>
      <c r="K158" s="648">
        <f>IFERROR(IF(factura_c_mes5[[#This Row],[CUIT]]="","-",VLOOKUP(factura_c_mes5[[#This Row],[CUIT]],Lista_CUIT[#All],4,0)),"CUIT NO CARGADO")</f>
        <v>0</v>
      </c>
    </row>
    <row r="159" spans="4:11" ht="17.25" customHeight="1">
      <c r="D159" s="645" t="s">
        <v>2430</v>
      </c>
      <c r="E159" s="645">
        <v>5</v>
      </c>
      <c r="F159" s="645">
        <v>164</v>
      </c>
      <c r="G159" s="646">
        <v>27062343449</v>
      </c>
      <c r="H159" s="647" t="str">
        <f>IFERROR(IF(factura_c_mes5[[#This Row],[CUIT]]="","-",VLOOKUP(factura_c_mes5[[#This Row],[CUIT]],Lista_CUIT[#All],2,0)),"CUIT NO CARGADO")</f>
        <v>FERREIRS LILISNS INES</v>
      </c>
      <c r="I159" s="642">
        <v>100000</v>
      </c>
      <c r="J159" s="648" t="str">
        <f>IFERROR(IF(factura_c_mes5[[#This Row],[CUIT]]="","-",VLOOKUP(factura_c_mes5[[#This Row],[CUIT]],Lista_CUIT[#All],3,0)),"CUIT NO CARGADO")</f>
        <v>ALQUILERES PAGADOS</v>
      </c>
      <c r="K159" s="648">
        <f>IFERROR(IF(factura_c_mes5[[#This Row],[CUIT]]="","-",VLOOKUP(factura_c_mes5[[#This Row],[CUIT]],Lista_CUIT[#All],4,0)),"CUIT NO CARGADO")</f>
        <v>0</v>
      </c>
    </row>
    <row r="160" spans="4:11" ht="17.25" customHeight="1">
      <c r="D160" s="645" t="s">
        <v>2431</v>
      </c>
      <c r="E160" s="645">
        <v>2</v>
      </c>
      <c r="F160" s="645">
        <v>4</v>
      </c>
      <c r="G160" s="646">
        <v>20299835260</v>
      </c>
      <c r="H160" s="647" t="str">
        <f>IFERROR(IF(factura_c_mes5[[#This Row],[CUIT]]="","-",VLOOKUP(factura_c_mes5[[#This Row],[CUIT]],Lista_CUIT[#All],2,0)),"CUIT NO CARGADO")</f>
        <v>MALGAREJO NICOLAS EMILIO</v>
      </c>
      <c r="I160" s="642">
        <v>270000</v>
      </c>
      <c r="J160" s="648" t="str">
        <f>IFERROR(IF(factura_c_mes5[[#This Row],[CUIT]]="","-",VLOOKUP(factura_c_mes5[[#This Row],[CUIT]],Lista_CUIT[#All],3,0)),"CUIT NO CARGADO")</f>
        <v>Productos Ortopedicos</v>
      </c>
      <c r="K160" s="648">
        <f>IFERROR(IF(factura_c_mes5[[#This Row],[CUIT]]="","-",VLOOKUP(factura_c_mes5[[#This Row],[CUIT]],Lista_CUIT[#All],4,0)),"CUIT NO CARGADO")</f>
        <v>0</v>
      </c>
    </row>
    <row r="161" spans="2:18" ht="17.25" customHeight="1">
      <c r="D161" s="637" t="s">
        <v>2432</v>
      </c>
      <c r="E161" s="638">
        <v>1</v>
      </c>
      <c r="F161" s="645">
        <v>5</v>
      </c>
      <c r="G161" s="646">
        <v>20464199633</v>
      </c>
      <c r="H161" s="641" t="str">
        <f>IFERROR(IF(factura_c_mes5[[#This Row],[CUIT]]="","-",VLOOKUP(factura_c_mes5[[#This Row],[CUIT]],Lista_CUIT[#All],2,0)),"CUIT NO CARGADO")</f>
        <v>OVIEDO JIMENEZ TIZIANO LIONEL</v>
      </c>
      <c r="I161" s="642">
        <v>257600</v>
      </c>
      <c r="J161" s="643" t="str">
        <f>IFERROR(IF(factura_c_mes5[[#This Row],[CUIT]]="","-",VLOOKUP(factura_c_mes5[[#This Row],[CUIT]],Lista_CUIT[#All],3,0)),"CUIT NO CARGADO")</f>
        <v>Productos Ortopedicos</v>
      </c>
      <c r="K161" s="643">
        <f>IFERROR(IF(factura_c_mes5[[#This Row],[CUIT]]="","-",VLOOKUP(factura_c_mes5[[#This Row],[CUIT]],Lista_CUIT[#All],4,0)),"CUIT NO CARGADO")</f>
        <v>0</v>
      </c>
    </row>
    <row r="162" spans="2:18" ht="17.25" customHeight="1">
      <c r="D162" s="637" t="s">
        <v>2433</v>
      </c>
      <c r="E162" s="638">
        <v>2019</v>
      </c>
      <c r="F162" s="645">
        <v>4120</v>
      </c>
      <c r="G162" s="646">
        <v>20277164192</v>
      </c>
      <c r="H162" s="641" t="str">
        <f>IFERROR(IF(factura_c_mes5[[#This Row],[CUIT]]="","-",VLOOKUP(factura_c_mes5[[#This Row],[CUIT]],Lista_CUIT[#All],2,0)),"CUIT NO CARGADO")</f>
        <v>PABLO ROBERTO MURUA POU</v>
      </c>
      <c r="I162" s="642">
        <v>7250</v>
      </c>
      <c r="J162" s="643" t="str">
        <f>IFERROR(IF(factura_c_mes5[[#This Row],[CUIT]]="","-",VLOOKUP(factura_c_mes5[[#This Row],[CUIT]],Lista_CUIT[#All],3,0)),"CUIT NO CARGADO")</f>
        <v>GASTOS VARIOS</v>
      </c>
      <c r="K162" s="643">
        <f>IFERROR(IF(factura_c_mes5[[#This Row],[CUIT]]="","-",VLOOKUP(factura_c_mes5[[#This Row],[CUIT]],Lista_CUIT[#All],4,0)),"CUIT NO CARGADO")</f>
        <v>0</v>
      </c>
    </row>
    <row r="163" spans="2:18" ht="17.25" customHeight="1">
      <c r="D163" s="637" t="s">
        <v>2430</v>
      </c>
      <c r="E163" s="638">
        <v>1</v>
      </c>
      <c r="F163" s="645">
        <v>1</v>
      </c>
      <c r="G163" s="646">
        <v>27443612705</v>
      </c>
      <c r="H163" s="641" t="str">
        <f>IFERROR(IF(factura_c_mes5[[#This Row],[CUIT]]="","-",VLOOKUP(factura_c_mes5[[#This Row],[CUIT]],Lista_CUIT[#All],2,0)),"CUIT NO CARGADO")</f>
        <v>MIGOYA MORIONDO MARIA INES</v>
      </c>
      <c r="I163" s="642">
        <v>-600000</v>
      </c>
      <c r="J163" s="643" t="str">
        <f>IFERROR(IF(factura_c_mes5[[#This Row],[CUIT]]="","-",VLOOKUP(factura_c_mes5[[#This Row],[CUIT]],Lista_CUIT[#All],3,0)),"CUIT NO CARGADO")</f>
        <v>ALQUILERES PAGADOS</v>
      </c>
      <c r="K163" s="643">
        <f>IFERROR(IF(factura_c_mes5[[#This Row],[CUIT]]="","-",VLOOKUP(factura_c_mes5[[#This Row],[CUIT]],Lista_CUIT[#All],4,0)),"CUIT NO CARGADO")</f>
        <v>0</v>
      </c>
    </row>
    <row r="164" spans="2:18" ht="17.25" customHeight="1">
      <c r="D164" s="637" t="s">
        <v>2423</v>
      </c>
      <c r="E164" s="638">
        <v>2</v>
      </c>
      <c r="F164" s="645">
        <v>494</v>
      </c>
      <c r="G164" s="646">
        <v>27178792178</v>
      </c>
      <c r="H164" s="641" t="str">
        <f>IFERROR(IF(factura_c_mes5[[#This Row],[CUIT]]="","-",VLOOKUP(factura_c_mes5[[#This Row],[CUIT]],Lista_CUIT[#All],2,0)),"CUIT NO CARGADO")</f>
        <v>SAMPEDRO SILVIA HERMINIA</v>
      </c>
      <c r="I164" s="642">
        <v>45000</v>
      </c>
      <c r="J164" s="643" t="str">
        <f>IFERROR(IF(factura_c_mes5[[#This Row],[CUIT]]="","-",VLOOKUP(factura_c_mes5[[#This Row],[CUIT]],Lista_CUIT[#All],3,0)),"CUIT NO CARGADO")</f>
        <v>GASTOS ADMINISTRATIVOS</v>
      </c>
      <c r="K164" s="643">
        <f>IFERROR(IF(factura_c_mes5[[#This Row],[CUIT]]="","-",VLOOKUP(factura_c_mes5[[#This Row],[CUIT]],Lista_CUIT[#All],4,0)),"CUIT NO CARGADO")</f>
        <v>0</v>
      </c>
    </row>
    <row r="165" spans="2:18" ht="17.25" customHeight="1">
      <c r="B165" s="56"/>
      <c r="C165" s="56"/>
      <c r="D165" s="634" t="s">
        <v>110</v>
      </c>
      <c r="E165" s="634"/>
      <c r="F165" s="634"/>
      <c r="G165" s="634"/>
      <c r="H165" s="635"/>
      <c r="I165" s="636">
        <f>SUBTOTAL(109,factura_c_mes5[TOTAL])</f>
        <v>15261590</v>
      </c>
      <c r="J165" s="634"/>
      <c r="K165" s="634"/>
      <c r="L165" s="56"/>
      <c r="M165" s="56"/>
      <c r="N165" s="56"/>
      <c r="O165" s="56"/>
      <c r="P165" s="56"/>
      <c r="Q165" s="56"/>
      <c r="R165" s="56"/>
    </row>
    <row r="166" spans="2:18" ht="17.25" customHeight="1"/>
    <row r="167" spans="2:18" ht="17.25" customHeight="1"/>
    <row r="168" spans="2:18" ht="17.25" customHeight="1"/>
    <row r="169" spans="2:18" ht="17.25" customHeight="1"/>
    <row r="170" spans="2:18" ht="17.25" customHeight="1">
      <c r="B170" s="673" t="s">
        <v>29</v>
      </c>
      <c r="C170" s="673"/>
      <c r="D170" s="673"/>
      <c r="E170" s="673"/>
      <c r="F170" s="673"/>
      <c r="G170" s="673"/>
      <c r="H170" s="673"/>
      <c r="I170" s="673"/>
      <c r="J170" s="673"/>
      <c r="K170" s="669">
        <f>N1</f>
        <v>45413</v>
      </c>
      <c r="L170" s="669"/>
      <c r="M170" s="669"/>
    </row>
    <row r="171" spans="2:18" ht="17.25" customHeight="1"/>
    <row r="172" spans="2:18" ht="17.25" customHeight="1">
      <c r="B172" s="666" t="s">
        <v>30</v>
      </c>
      <c r="C172" s="666"/>
    </row>
    <row r="173" spans="2:18" ht="17.25" customHeight="1">
      <c r="B173" s="60" t="s">
        <v>0</v>
      </c>
      <c r="C173" s="61" t="s">
        <v>1</v>
      </c>
      <c r="D173" s="61" t="s">
        <v>21</v>
      </c>
      <c r="E173" s="61" t="s">
        <v>22</v>
      </c>
      <c r="F173" s="61" t="s">
        <v>3</v>
      </c>
      <c r="G173" s="61" t="s">
        <v>4</v>
      </c>
      <c r="H173" s="61" t="s">
        <v>23</v>
      </c>
      <c r="I173" s="61" t="s">
        <v>17</v>
      </c>
      <c r="J173" s="61" t="s">
        <v>7</v>
      </c>
      <c r="K173" s="61" t="s">
        <v>24</v>
      </c>
      <c r="L173" s="61" t="s">
        <v>10</v>
      </c>
      <c r="M173" s="62" t="s">
        <v>38</v>
      </c>
    </row>
    <row r="174" spans="2:18" ht="17.25" customHeight="1">
      <c r="B174" s="108"/>
      <c r="C174" s="109"/>
      <c r="D174" s="110"/>
      <c r="E174" s="111"/>
      <c r="F174" s="112"/>
      <c r="G174" s="98" t="str">
        <f>IFERROR(IF(venta_a_mes5[[#This Row],[CUIT]]="","-",VLOOKUP(venta_a_mes5[[#This Row],[CUIT]],Lista_CUIT[#All],2,0)),"CUIT NO CARGADO")</f>
        <v>-</v>
      </c>
      <c r="H174" s="99"/>
      <c r="I174" s="100">
        <f>venta_a_mes5[[#This Row],[IMPORTE NETO]]*0.21</f>
        <v>0</v>
      </c>
      <c r="J174" s="65"/>
      <c r="K174" s="65"/>
      <c r="L174" s="65">
        <f>SUM(venta_a_mes5[[#This Row],[IMPORTE NETO]:[EXENTO]])</f>
        <v>0</v>
      </c>
      <c r="M174" s="59"/>
    </row>
    <row r="175" spans="2:18" ht="17.25" customHeight="1">
      <c r="B175" s="108"/>
      <c r="C175" s="109"/>
      <c r="D175" s="110"/>
      <c r="E175" s="111"/>
      <c r="F175" s="112"/>
      <c r="G175" s="98" t="str">
        <f>IFERROR(IF(venta_a_mes5[[#This Row],[CUIT]]="","-",VLOOKUP(venta_a_mes5[[#This Row],[CUIT]],Lista_CUIT[#All],2,0)),"CUIT NO CARGADO")</f>
        <v>-</v>
      </c>
      <c r="H175" s="99"/>
      <c r="I175" s="100">
        <f>venta_a_mes5[[#This Row],[IMPORTE NETO]]*0.21</f>
        <v>0</v>
      </c>
      <c r="J175" s="65"/>
      <c r="K175" s="65"/>
      <c r="L175" s="65">
        <f>SUM(venta_a_mes5[[#This Row],[IMPORTE NETO]:[EXENTO]])</f>
        <v>0</v>
      </c>
      <c r="M175" s="59"/>
    </row>
    <row r="176" spans="2:18" ht="17.25" customHeight="1">
      <c r="B176" s="108"/>
      <c r="C176" s="109"/>
      <c r="D176" s="110"/>
      <c r="E176" s="111"/>
      <c r="F176" s="112"/>
      <c r="G176" s="98" t="str">
        <f>IFERROR(IF(venta_a_mes5[[#This Row],[CUIT]]="","-",VLOOKUP(venta_a_mes5[[#This Row],[CUIT]],Lista_CUIT[#All],2,0)),"CUIT NO CARGADO")</f>
        <v>-</v>
      </c>
      <c r="H176" s="99"/>
      <c r="I176" s="100">
        <f>venta_a_mes5[[#This Row],[IMPORTE NETO]]*0.21</f>
        <v>0</v>
      </c>
      <c r="J176" s="65"/>
      <c r="K176" s="65"/>
      <c r="L176" s="65">
        <f>SUM(venta_a_mes5[[#This Row],[IMPORTE NETO]:[EXENTO]])</f>
        <v>0</v>
      </c>
      <c r="M176" s="59"/>
    </row>
    <row r="177" spans="2:13" ht="17.25" customHeight="1">
      <c r="B177" s="108"/>
      <c r="C177" s="109"/>
      <c r="D177" s="110"/>
      <c r="E177" s="111"/>
      <c r="F177" s="112"/>
      <c r="G177" s="98" t="str">
        <f>IFERROR(IF(venta_a_mes5[[#This Row],[CUIT]]="","-",VLOOKUP(venta_a_mes5[[#This Row],[CUIT]],Lista_CUIT[#All],2,0)),"CUIT NO CARGADO")</f>
        <v>-</v>
      </c>
      <c r="H177" s="99"/>
      <c r="I177" s="100">
        <f>venta_a_mes5[[#This Row],[IMPORTE NETO]]*0.21</f>
        <v>0</v>
      </c>
      <c r="J177" s="65"/>
      <c r="K177" s="65"/>
      <c r="L177" s="65">
        <f>SUM(venta_a_mes5[[#This Row],[IMPORTE NETO]:[EXENTO]])</f>
        <v>0</v>
      </c>
      <c r="M177" s="59"/>
    </row>
    <row r="178" spans="2:13" ht="17.25" customHeight="1">
      <c r="B178" s="108"/>
      <c r="C178" s="109"/>
      <c r="D178" s="110"/>
      <c r="E178" s="111"/>
      <c r="F178" s="112"/>
      <c r="G178" s="98" t="str">
        <f>IFERROR(IF(venta_a_mes5[[#This Row],[CUIT]]="","-",VLOOKUP(venta_a_mes5[[#This Row],[CUIT]],Lista_CUIT[#All],2,0)),"CUIT NO CARGADO")</f>
        <v>-</v>
      </c>
      <c r="H178" s="99"/>
      <c r="I178" s="100">
        <f>venta_a_mes5[[#This Row],[IMPORTE NETO]]*0.21</f>
        <v>0</v>
      </c>
      <c r="J178" s="65"/>
      <c r="K178" s="65"/>
      <c r="L178" s="65">
        <f>SUM(venta_a_mes5[[#This Row],[IMPORTE NETO]:[EXENTO]])</f>
        <v>0</v>
      </c>
      <c r="M178" s="59"/>
    </row>
    <row r="179" spans="2:13" ht="17.25" customHeight="1">
      <c r="B179" s="108"/>
      <c r="C179" s="109"/>
      <c r="D179" s="110"/>
      <c r="E179" s="111"/>
      <c r="F179" s="112"/>
      <c r="G179" s="98" t="str">
        <f>IFERROR(IF(venta_a_mes5[[#This Row],[CUIT]]="","-",VLOOKUP(venta_a_mes5[[#This Row],[CUIT]],Lista_CUIT[#All],2,0)),"CUIT NO CARGADO")</f>
        <v>-</v>
      </c>
      <c r="H179" s="99"/>
      <c r="I179" s="100">
        <f>venta_a_mes5[[#This Row],[IMPORTE NETO]]*0.21</f>
        <v>0</v>
      </c>
      <c r="J179" s="65"/>
      <c r="K179" s="65"/>
      <c r="L179" s="65">
        <f>SUM(venta_a_mes5[[#This Row],[IMPORTE NETO]:[EXENTO]])</f>
        <v>0</v>
      </c>
      <c r="M179" s="59"/>
    </row>
    <row r="180" spans="2:13" ht="17.25" customHeight="1">
      <c r="B180" s="108"/>
      <c r="C180" s="109"/>
      <c r="D180" s="110"/>
      <c r="E180" s="111"/>
      <c r="F180" s="112"/>
      <c r="G180" s="98" t="str">
        <f>IFERROR(IF(venta_a_mes5[[#This Row],[CUIT]]="","-",VLOOKUP(venta_a_mes5[[#This Row],[CUIT]],Lista_CUIT[#All],2,0)),"CUIT NO CARGADO")</f>
        <v>-</v>
      </c>
      <c r="H180" s="99"/>
      <c r="I180" s="100">
        <f>venta_a_mes5[[#This Row],[IMPORTE NETO]]*0.21</f>
        <v>0</v>
      </c>
      <c r="J180" s="65"/>
      <c r="K180" s="65"/>
      <c r="L180" s="65">
        <f>SUM(venta_a_mes5[[#This Row],[IMPORTE NETO]:[EXENTO]])</f>
        <v>0</v>
      </c>
      <c r="M180" s="59"/>
    </row>
    <row r="181" spans="2:13" ht="17.25" customHeight="1">
      <c r="B181" s="108"/>
      <c r="C181" s="109"/>
      <c r="D181" s="110"/>
      <c r="E181" s="111"/>
      <c r="F181" s="112"/>
      <c r="G181" s="98" t="str">
        <f>IFERROR(IF(venta_a_mes5[[#This Row],[CUIT]]="","-",VLOOKUP(venta_a_mes5[[#This Row],[CUIT]],Lista_CUIT[#All],2,0)),"CUIT NO CARGADO")</f>
        <v>-</v>
      </c>
      <c r="H181" s="99"/>
      <c r="I181" s="100">
        <f>venta_a_mes5[[#This Row],[IMPORTE NETO]]*0.21</f>
        <v>0</v>
      </c>
      <c r="J181" s="65"/>
      <c r="K181" s="65"/>
      <c r="L181" s="65">
        <f>SUM(venta_a_mes5[[#This Row],[IMPORTE NETO]:[EXENTO]])</f>
        <v>0</v>
      </c>
      <c r="M181" s="59"/>
    </row>
    <row r="182" spans="2:13" ht="17.25" customHeight="1">
      <c r="B182" s="108"/>
      <c r="C182" s="109"/>
      <c r="D182" s="110"/>
      <c r="E182" s="111"/>
      <c r="F182" s="112"/>
      <c r="G182" s="98" t="str">
        <f>IFERROR(IF(venta_a_mes5[[#This Row],[CUIT]]="","-",VLOOKUP(venta_a_mes5[[#This Row],[CUIT]],Lista_CUIT[#All],2,0)),"CUIT NO CARGADO")</f>
        <v>-</v>
      </c>
      <c r="H182" s="99"/>
      <c r="I182" s="100">
        <f>venta_a_mes5[[#This Row],[IMPORTE NETO]]*0.21</f>
        <v>0</v>
      </c>
      <c r="J182" s="65"/>
      <c r="K182" s="65"/>
      <c r="L182" s="65">
        <f>SUM(venta_a_mes5[[#This Row],[IMPORTE NETO]:[EXENTO]])</f>
        <v>0</v>
      </c>
      <c r="M182" s="59"/>
    </row>
    <row r="183" spans="2:13" ht="17.25" customHeight="1">
      <c r="B183" s="108"/>
      <c r="C183" s="109"/>
      <c r="D183" s="110"/>
      <c r="E183" s="111"/>
      <c r="F183" s="112"/>
      <c r="G183" s="98" t="str">
        <f>IFERROR(IF(venta_a_mes5[[#This Row],[CUIT]]="","-",VLOOKUP(venta_a_mes5[[#This Row],[CUIT]],Lista_CUIT[#All],2,0)),"CUIT NO CARGADO")</f>
        <v>-</v>
      </c>
      <c r="H183" s="99"/>
      <c r="I183" s="100">
        <f>venta_a_mes5[[#This Row],[IMPORTE NETO]]*0.21</f>
        <v>0</v>
      </c>
      <c r="J183" s="65"/>
      <c r="K183" s="65"/>
      <c r="L183" s="65">
        <f>SUM(venta_a_mes5[[#This Row],[IMPORTE NETO]:[EXENTO]])</f>
        <v>0</v>
      </c>
      <c r="M183" s="59"/>
    </row>
    <row r="184" spans="2:13" ht="17.25" customHeight="1">
      <c r="B184" s="108"/>
      <c r="C184" s="109"/>
      <c r="D184" s="110"/>
      <c r="E184" s="111"/>
      <c r="F184" s="112"/>
      <c r="G184" s="98" t="str">
        <f>IFERROR(IF(venta_a_mes5[[#This Row],[CUIT]]="","-",VLOOKUP(venta_a_mes5[[#This Row],[CUIT]],Lista_CUIT[#All],2,0)),"CUIT NO CARGADO")</f>
        <v>-</v>
      </c>
      <c r="H184" s="99"/>
      <c r="I184" s="100">
        <f>venta_a_mes5[[#This Row],[IMPORTE NETO]]*0.21</f>
        <v>0</v>
      </c>
      <c r="J184" s="65"/>
      <c r="K184" s="65"/>
      <c r="L184" s="65">
        <f>SUM(venta_a_mes5[[#This Row],[IMPORTE NETO]:[EXENTO]])</f>
        <v>0</v>
      </c>
      <c r="M184" s="59"/>
    </row>
    <row r="185" spans="2:13" ht="17.25" customHeight="1">
      <c r="B185" s="108"/>
      <c r="C185" s="109"/>
      <c r="D185" s="110"/>
      <c r="E185" s="111"/>
      <c r="F185" s="112"/>
      <c r="G185" s="98" t="str">
        <f>IFERROR(IF(venta_a_mes5[[#This Row],[CUIT]]="","-",VLOOKUP(venta_a_mes5[[#This Row],[CUIT]],Lista_CUIT[#All],2,0)),"CUIT NO CARGADO")</f>
        <v>-</v>
      </c>
      <c r="H185" s="99"/>
      <c r="I185" s="100">
        <f>venta_a_mes5[[#This Row],[IMPORTE NETO]]*0.21</f>
        <v>0</v>
      </c>
      <c r="J185" s="65"/>
      <c r="K185" s="65"/>
      <c r="L185" s="65">
        <f>SUM(venta_a_mes5[[#This Row],[IMPORTE NETO]:[EXENTO]])</f>
        <v>0</v>
      </c>
      <c r="M185" s="59"/>
    </row>
    <row r="186" spans="2:13" ht="17.25" customHeight="1">
      <c r="B186" s="108"/>
      <c r="C186" s="109"/>
      <c r="D186" s="110"/>
      <c r="E186" s="111"/>
      <c r="F186" s="112"/>
      <c r="G186" s="98" t="str">
        <f>IFERROR(IF(venta_a_mes5[[#This Row],[CUIT]]="","-",VLOOKUP(venta_a_mes5[[#This Row],[CUIT]],Lista_CUIT[#All],2,0)),"CUIT NO CARGADO")</f>
        <v>-</v>
      </c>
      <c r="H186" s="99"/>
      <c r="I186" s="100">
        <f>venta_a_mes5[[#This Row],[IMPORTE NETO]]*0.21</f>
        <v>0</v>
      </c>
      <c r="J186" s="65"/>
      <c r="K186" s="65"/>
      <c r="L186" s="65">
        <f>SUM(venta_a_mes5[[#This Row],[IMPORTE NETO]:[EXENTO]])</f>
        <v>0</v>
      </c>
      <c r="M186" s="59"/>
    </row>
    <row r="187" spans="2:13" ht="17.25" customHeight="1">
      <c r="B187" s="108"/>
      <c r="C187" s="109"/>
      <c r="D187" s="110"/>
      <c r="E187" s="111"/>
      <c r="F187" s="112"/>
      <c r="G187" s="98" t="str">
        <f>IFERROR(IF(venta_a_mes5[[#This Row],[CUIT]]="","-",VLOOKUP(venta_a_mes5[[#This Row],[CUIT]],Lista_CUIT[#All],2,0)),"CUIT NO CARGADO")</f>
        <v>-</v>
      </c>
      <c r="H187" s="99"/>
      <c r="I187" s="100">
        <f>venta_a_mes5[[#This Row],[IMPORTE NETO]]*0.21</f>
        <v>0</v>
      </c>
      <c r="J187" s="65"/>
      <c r="K187" s="65"/>
      <c r="L187" s="65">
        <f>SUM(venta_a_mes5[[#This Row],[IMPORTE NETO]:[EXENTO]])</f>
        <v>0</v>
      </c>
      <c r="M187" s="59"/>
    </row>
    <row r="188" spans="2:13" ht="17.25" customHeight="1">
      <c r="B188" s="108"/>
      <c r="C188" s="109"/>
      <c r="D188" s="110"/>
      <c r="E188" s="111"/>
      <c r="F188" s="112"/>
      <c r="G188" s="98" t="str">
        <f>IFERROR(IF(venta_a_mes5[[#This Row],[CUIT]]="","-",VLOOKUP(venta_a_mes5[[#This Row],[CUIT]],Lista_CUIT[#All],2,0)),"CUIT NO CARGADO")</f>
        <v>-</v>
      </c>
      <c r="H188" s="99"/>
      <c r="I188" s="100">
        <f>venta_a_mes5[[#This Row],[IMPORTE NETO]]*0.21</f>
        <v>0</v>
      </c>
      <c r="J188" s="65"/>
      <c r="K188" s="65"/>
      <c r="L188" s="65">
        <f>SUM(venta_a_mes5[[#This Row],[IMPORTE NETO]:[EXENTO]])</f>
        <v>0</v>
      </c>
      <c r="M188" s="59"/>
    </row>
    <row r="189" spans="2:13" ht="17.25" customHeight="1">
      <c r="B189" s="108"/>
      <c r="C189" s="109"/>
      <c r="D189" s="110"/>
      <c r="E189" s="111"/>
      <c r="F189" s="112"/>
      <c r="G189" s="98" t="str">
        <f>IFERROR(IF(venta_a_mes5[[#This Row],[CUIT]]="","-",VLOOKUP(venta_a_mes5[[#This Row],[CUIT]],Lista_CUIT[#All],2,0)),"CUIT NO CARGADO")</f>
        <v>-</v>
      </c>
      <c r="H189" s="99"/>
      <c r="I189" s="100">
        <f>venta_a_mes5[[#This Row],[IMPORTE NETO]]*0.21</f>
        <v>0</v>
      </c>
      <c r="J189" s="65"/>
      <c r="K189" s="65"/>
      <c r="L189" s="65">
        <f>SUM(venta_a_mes5[[#This Row],[IMPORTE NETO]:[EXENTO]])</f>
        <v>0</v>
      </c>
      <c r="M189" s="59"/>
    </row>
    <row r="190" spans="2:13" ht="17.25" customHeight="1">
      <c r="B190" s="108"/>
      <c r="C190" s="109"/>
      <c r="D190" s="110"/>
      <c r="E190" s="111"/>
      <c r="F190" s="112"/>
      <c r="G190" s="98" t="str">
        <f>IFERROR(IF(venta_a_mes5[[#This Row],[CUIT]]="","-",VLOOKUP(venta_a_mes5[[#This Row],[CUIT]],Lista_CUIT[#All],2,0)),"CUIT NO CARGADO")</f>
        <v>-</v>
      </c>
      <c r="H190" s="99"/>
      <c r="I190" s="100">
        <f>venta_a_mes5[[#This Row],[IMPORTE NETO]]*0.21</f>
        <v>0</v>
      </c>
      <c r="J190" s="65"/>
      <c r="K190" s="65"/>
      <c r="L190" s="65">
        <f>SUM(venta_a_mes5[[#This Row],[IMPORTE NETO]:[EXENTO]])</f>
        <v>0</v>
      </c>
      <c r="M190" s="59"/>
    </row>
    <row r="191" spans="2:13" ht="17.25" customHeight="1">
      <c r="B191" s="108"/>
      <c r="C191" s="109"/>
      <c r="D191" s="110"/>
      <c r="E191" s="111"/>
      <c r="F191" s="112"/>
      <c r="G191" s="98" t="str">
        <f>IFERROR(IF(venta_a_mes5[[#This Row],[CUIT]]="","-",VLOOKUP(venta_a_mes5[[#This Row],[CUIT]],Lista_CUIT[#All],2,0)),"CUIT NO CARGADO")</f>
        <v>-</v>
      </c>
      <c r="H191" s="99"/>
      <c r="I191" s="100">
        <f>venta_a_mes5[[#This Row],[IMPORTE NETO]]*0.21</f>
        <v>0</v>
      </c>
      <c r="J191" s="65"/>
      <c r="K191" s="65"/>
      <c r="L191" s="65">
        <f>SUM(venta_a_mes5[[#This Row],[IMPORTE NETO]:[EXENTO]])</f>
        <v>0</v>
      </c>
      <c r="M191" s="59"/>
    </row>
    <row r="192" spans="2:13" ht="17.25" customHeight="1">
      <c r="B192" s="108"/>
      <c r="C192" s="109"/>
      <c r="D192" s="110"/>
      <c r="E192" s="111"/>
      <c r="F192" s="112"/>
      <c r="G192" s="98" t="str">
        <f>IFERROR(IF(venta_a_mes5[[#This Row],[CUIT]]="","-",VLOOKUP(venta_a_mes5[[#This Row],[CUIT]],Lista_CUIT[#All],2,0)),"CUIT NO CARGADO")</f>
        <v>-</v>
      </c>
      <c r="H192" s="99"/>
      <c r="I192" s="100">
        <f>venta_a_mes5[[#This Row],[IMPORTE NETO]]*0.21</f>
        <v>0</v>
      </c>
      <c r="J192" s="65"/>
      <c r="K192" s="65"/>
      <c r="L192" s="65">
        <f>SUM(venta_a_mes5[[#This Row],[IMPORTE NETO]:[EXENTO]])</f>
        <v>0</v>
      </c>
      <c r="M192" s="59"/>
    </row>
    <row r="193" spans="2:13" ht="17.25" customHeight="1">
      <c r="B193" s="108"/>
      <c r="C193" s="109"/>
      <c r="D193" s="110"/>
      <c r="E193" s="111"/>
      <c r="F193" s="112"/>
      <c r="G193" s="98" t="str">
        <f>IFERROR(IF(venta_a_mes5[[#This Row],[CUIT]]="","-",VLOOKUP(venta_a_mes5[[#This Row],[CUIT]],Lista_CUIT[#All],2,0)),"CUIT NO CARGADO")</f>
        <v>-</v>
      </c>
      <c r="H193" s="99"/>
      <c r="I193" s="100">
        <f>venta_a_mes5[[#This Row],[IMPORTE NETO]]*0.21</f>
        <v>0</v>
      </c>
      <c r="J193" s="65"/>
      <c r="K193" s="65"/>
      <c r="L193" s="65">
        <f>SUM(venta_a_mes5[[#This Row],[IMPORTE NETO]:[EXENTO]])</f>
        <v>0</v>
      </c>
      <c r="M193" s="59"/>
    </row>
    <row r="194" spans="2:13" ht="17.25" customHeight="1">
      <c r="B194" s="108"/>
      <c r="C194" s="109"/>
      <c r="D194" s="110"/>
      <c r="E194" s="111"/>
      <c r="F194" s="112"/>
      <c r="G194" s="98" t="str">
        <f>IFERROR(IF(venta_a_mes5[[#This Row],[CUIT]]="","-",VLOOKUP(venta_a_mes5[[#This Row],[CUIT]],Lista_CUIT[#All],2,0)),"CUIT NO CARGADO")</f>
        <v>-</v>
      </c>
      <c r="H194" s="99"/>
      <c r="I194" s="100">
        <f>venta_a_mes5[[#This Row],[IMPORTE NETO]]*0.21</f>
        <v>0</v>
      </c>
      <c r="J194" s="65"/>
      <c r="K194" s="65"/>
      <c r="L194" s="65">
        <f>SUM(venta_a_mes5[[#This Row],[IMPORTE NETO]:[EXENTO]])</f>
        <v>0</v>
      </c>
      <c r="M194" s="59"/>
    </row>
    <row r="195" spans="2:13" ht="17.25" customHeight="1">
      <c r="B195" s="108"/>
      <c r="C195" s="109"/>
      <c r="D195" s="110"/>
      <c r="E195" s="111"/>
      <c r="F195" s="112"/>
      <c r="G195" s="98" t="str">
        <f>IFERROR(IF(venta_a_mes5[[#This Row],[CUIT]]="","-",VLOOKUP(venta_a_mes5[[#This Row],[CUIT]],Lista_CUIT[#All],2,0)),"CUIT NO CARGADO")</f>
        <v>-</v>
      </c>
      <c r="H195" s="99"/>
      <c r="I195" s="100">
        <f>venta_a_mes5[[#This Row],[IMPORTE NETO]]*0.21</f>
        <v>0</v>
      </c>
      <c r="J195" s="65"/>
      <c r="K195" s="65"/>
      <c r="L195" s="65">
        <f>SUM(venta_a_mes5[[#This Row],[IMPORTE NETO]:[EXENTO]])</f>
        <v>0</v>
      </c>
      <c r="M195" s="59"/>
    </row>
    <row r="196" spans="2:13" ht="17.25" customHeight="1">
      <c r="B196" s="108"/>
      <c r="C196" s="109"/>
      <c r="D196" s="110"/>
      <c r="E196" s="111"/>
      <c r="F196" s="112"/>
      <c r="G196" s="98" t="str">
        <f>IFERROR(IF(venta_a_mes5[[#This Row],[CUIT]]="","-",VLOOKUP(venta_a_mes5[[#This Row],[CUIT]],Lista_CUIT[#All],2,0)),"CUIT NO CARGADO")</f>
        <v>-</v>
      </c>
      <c r="H196" s="99"/>
      <c r="I196" s="100">
        <f>venta_a_mes5[[#This Row],[IMPORTE NETO]]*0.21</f>
        <v>0</v>
      </c>
      <c r="J196" s="65"/>
      <c r="K196" s="65"/>
      <c r="L196" s="65">
        <f>SUM(venta_a_mes5[[#This Row],[IMPORTE NETO]:[EXENTO]])</f>
        <v>0</v>
      </c>
      <c r="M196" s="59"/>
    </row>
    <row r="197" spans="2:13" ht="17.25" customHeight="1">
      <c r="B197" s="108"/>
      <c r="C197" s="109"/>
      <c r="D197" s="110"/>
      <c r="E197" s="111"/>
      <c r="F197" s="112"/>
      <c r="G197" s="98" t="str">
        <f>IFERROR(IF(venta_a_mes5[[#This Row],[CUIT]]="","-",VLOOKUP(venta_a_mes5[[#This Row],[CUIT]],Lista_CUIT[#All],2,0)),"CUIT NO CARGADO")</f>
        <v>-</v>
      </c>
      <c r="H197" s="99"/>
      <c r="I197" s="100">
        <f>venta_a_mes5[[#This Row],[IMPORTE NETO]]*0.21</f>
        <v>0</v>
      </c>
      <c r="J197" s="65"/>
      <c r="K197" s="65"/>
      <c r="L197" s="65">
        <f>SUM(venta_a_mes5[[#This Row],[IMPORTE NETO]:[EXENTO]])</f>
        <v>0</v>
      </c>
      <c r="M197" s="59"/>
    </row>
    <row r="198" spans="2:13" ht="17.25" customHeight="1">
      <c r="B198" s="108"/>
      <c r="C198" s="109"/>
      <c r="D198" s="110"/>
      <c r="E198" s="111"/>
      <c r="F198" s="112"/>
      <c r="G198" s="98" t="str">
        <f>IFERROR(IF(venta_a_mes5[[#This Row],[CUIT]]="","-",VLOOKUP(venta_a_mes5[[#This Row],[CUIT]],Lista_CUIT[#All],2,0)),"CUIT NO CARGADO")</f>
        <v>-</v>
      </c>
      <c r="H198" s="99"/>
      <c r="I198" s="100">
        <f>venta_a_mes5[[#This Row],[IMPORTE NETO]]*0.21</f>
        <v>0</v>
      </c>
      <c r="J198" s="65"/>
      <c r="K198" s="65"/>
      <c r="L198" s="65">
        <f>SUM(venta_a_mes5[[#This Row],[IMPORTE NETO]:[EXENTO]])</f>
        <v>0</v>
      </c>
      <c r="M198" s="59"/>
    </row>
    <row r="199" spans="2:13" ht="17.25" customHeight="1">
      <c r="B199" s="108"/>
      <c r="C199" s="109"/>
      <c r="D199" s="110"/>
      <c r="E199" s="111"/>
      <c r="F199" s="112"/>
      <c r="G199" s="98" t="str">
        <f>IFERROR(IF(venta_a_mes5[[#This Row],[CUIT]]="","-",VLOOKUP(venta_a_mes5[[#This Row],[CUIT]],Lista_CUIT[#All],2,0)),"CUIT NO CARGADO")</f>
        <v>-</v>
      </c>
      <c r="H199" s="99"/>
      <c r="I199" s="100">
        <f>venta_a_mes5[[#This Row],[IMPORTE NETO]]*0.21</f>
        <v>0</v>
      </c>
      <c r="J199" s="65"/>
      <c r="K199" s="65"/>
      <c r="L199" s="65">
        <f>SUM(venta_a_mes5[[#This Row],[IMPORTE NETO]:[EXENTO]])</f>
        <v>0</v>
      </c>
      <c r="M199" s="59"/>
    </row>
    <row r="200" spans="2:13" ht="17.25" customHeight="1">
      <c r="B200" s="108"/>
      <c r="C200" s="109"/>
      <c r="D200" s="110"/>
      <c r="E200" s="111"/>
      <c r="F200" s="112"/>
      <c r="G200" s="98" t="str">
        <f>IFERROR(IF(venta_a_mes5[[#This Row],[CUIT]]="","-",VLOOKUP(venta_a_mes5[[#This Row],[CUIT]],Lista_CUIT[#All],2,0)),"CUIT NO CARGADO")</f>
        <v>-</v>
      </c>
      <c r="H200" s="99"/>
      <c r="I200" s="100">
        <f>venta_a_mes5[[#This Row],[IMPORTE NETO]]*0.21</f>
        <v>0</v>
      </c>
      <c r="J200" s="65"/>
      <c r="K200" s="65"/>
      <c r="L200" s="65">
        <f>SUM(venta_a_mes5[[#This Row],[IMPORTE NETO]:[EXENTO]])</f>
        <v>0</v>
      </c>
      <c r="M200" s="59"/>
    </row>
    <row r="201" spans="2:13" ht="17.25" customHeight="1">
      <c r="B201" s="108"/>
      <c r="C201" s="109"/>
      <c r="D201" s="110"/>
      <c r="E201" s="111"/>
      <c r="F201" s="112"/>
      <c r="G201" s="98" t="str">
        <f>IFERROR(IF(venta_a_mes5[[#This Row],[CUIT]]="","-",VLOOKUP(venta_a_mes5[[#This Row],[CUIT]],Lista_CUIT[#All],2,0)),"CUIT NO CARGADO")</f>
        <v>-</v>
      </c>
      <c r="H201" s="99"/>
      <c r="I201" s="100">
        <f>venta_a_mes5[[#This Row],[IMPORTE NETO]]*0.21</f>
        <v>0</v>
      </c>
      <c r="J201" s="65"/>
      <c r="K201" s="65"/>
      <c r="L201" s="65">
        <f>SUM(venta_a_mes5[[#This Row],[IMPORTE NETO]:[EXENTO]])</f>
        <v>0</v>
      </c>
      <c r="M201" s="59"/>
    </row>
    <row r="202" spans="2:13" ht="17.25" customHeight="1">
      <c r="B202" s="108"/>
      <c r="C202" s="109"/>
      <c r="D202" s="110"/>
      <c r="E202" s="111"/>
      <c r="F202" s="112"/>
      <c r="G202" s="98" t="str">
        <f>IFERROR(IF(venta_a_mes5[[#This Row],[CUIT]]="","-",VLOOKUP(venta_a_mes5[[#This Row],[CUIT]],Lista_CUIT[#All],2,0)),"CUIT NO CARGADO")</f>
        <v>-</v>
      </c>
      <c r="H202" s="99"/>
      <c r="I202" s="100">
        <f>venta_a_mes5[[#This Row],[IMPORTE NETO]]*0.21</f>
        <v>0</v>
      </c>
      <c r="J202" s="65"/>
      <c r="K202" s="65"/>
      <c r="L202" s="65">
        <f>SUM(venta_a_mes5[[#This Row],[IMPORTE NETO]:[EXENTO]])</f>
        <v>0</v>
      </c>
      <c r="M202" s="59"/>
    </row>
    <row r="203" spans="2:13" ht="17.25" customHeight="1">
      <c r="B203" s="108"/>
      <c r="C203" s="109"/>
      <c r="D203" s="110"/>
      <c r="E203" s="111"/>
      <c r="F203" s="112"/>
      <c r="G203" s="98" t="str">
        <f>IFERROR(IF(venta_a_mes5[[#This Row],[CUIT]]="","-",VLOOKUP(venta_a_mes5[[#This Row],[CUIT]],Lista_CUIT[#All],2,0)),"CUIT NO CARGADO")</f>
        <v>-</v>
      </c>
      <c r="H203" s="99"/>
      <c r="I203" s="100">
        <f>venta_a_mes5[[#This Row],[IMPORTE NETO]]*0.21</f>
        <v>0</v>
      </c>
      <c r="J203" s="65"/>
      <c r="K203" s="65"/>
      <c r="L203" s="65">
        <f>SUM(venta_a_mes5[[#This Row],[IMPORTE NETO]:[EXENTO]])</f>
        <v>0</v>
      </c>
      <c r="M203" s="59"/>
    </row>
    <row r="204" spans="2:13" ht="17.25" customHeight="1">
      <c r="B204" s="108"/>
      <c r="C204" s="109"/>
      <c r="D204" s="110"/>
      <c r="E204" s="111"/>
      <c r="F204" s="112"/>
      <c r="G204" s="98" t="str">
        <f>IFERROR(IF(venta_a_mes5[[#This Row],[CUIT]]="","-",VLOOKUP(venta_a_mes5[[#This Row],[CUIT]],Lista_CUIT[#All],2,0)),"CUIT NO CARGADO")</f>
        <v>-</v>
      </c>
      <c r="H204" s="99"/>
      <c r="I204" s="100">
        <f>venta_a_mes5[[#This Row],[IMPORTE NETO]]*0.21</f>
        <v>0</v>
      </c>
      <c r="J204" s="65"/>
      <c r="K204" s="65"/>
      <c r="L204" s="65">
        <f>SUM(venta_a_mes5[[#This Row],[IMPORTE NETO]:[EXENTO]])</f>
        <v>0</v>
      </c>
      <c r="M204" s="59"/>
    </row>
    <row r="205" spans="2:13" ht="17.25" customHeight="1">
      <c r="B205" s="108"/>
      <c r="C205" s="109"/>
      <c r="D205" s="110"/>
      <c r="E205" s="111"/>
      <c r="F205" s="112"/>
      <c r="G205" s="98" t="str">
        <f>IFERROR(IF(venta_a_mes5[[#This Row],[CUIT]]="","-",VLOOKUP(venta_a_mes5[[#This Row],[CUIT]],Lista_CUIT[#All],2,0)),"CUIT NO CARGADO")</f>
        <v>-</v>
      </c>
      <c r="H205" s="99"/>
      <c r="I205" s="100">
        <f>venta_a_mes5[[#This Row],[IMPORTE NETO]]*0.21</f>
        <v>0</v>
      </c>
      <c r="J205" s="65"/>
      <c r="K205" s="65"/>
      <c r="L205" s="65">
        <f>SUM(venta_a_mes5[[#This Row],[IMPORTE NETO]:[EXENTO]])</f>
        <v>0</v>
      </c>
      <c r="M205" s="59"/>
    </row>
    <row r="206" spans="2:13" ht="17.25" customHeight="1">
      <c r="B206" s="108"/>
      <c r="C206" s="109"/>
      <c r="D206" s="110"/>
      <c r="E206" s="111"/>
      <c r="F206" s="112"/>
      <c r="G206" s="98" t="str">
        <f>IFERROR(IF(venta_a_mes5[[#This Row],[CUIT]]="","-",VLOOKUP(venta_a_mes5[[#This Row],[CUIT]],Lista_CUIT[#All],2,0)),"CUIT NO CARGADO")</f>
        <v>-</v>
      </c>
      <c r="H206" s="99"/>
      <c r="I206" s="100">
        <f>venta_a_mes5[[#This Row],[IMPORTE NETO]]*0.21</f>
        <v>0</v>
      </c>
      <c r="J206" s="65"/>
      <c r="K206" s="65"/>
      <c r="L206" s="65">
        <f>SUM(venta_a_mes5[[#This Row],[IMPORTE NETO]:[EXENTO]])</f>
        <v>0</v>
      </c>
      <c r="M206" s="59"/>
    </row>
    <row r="207" spans="2:13" ht="17.25" customHeight="1">
      <c r="B207" s="108"/>
      <c r="C207" s="109"/>
      <c r="D207" s="110"/>
      <c r="E207" s="111"/>
      <c r="F207" s="112"/>
      <c r="G207" s="98" t="str">
        <f>IFERROR(IF(venta_a_mes5[[#This Row],[CUIT]]="","-",VLOOKUP(venta_a_mes5[[#This Row],[CUIT]],Lista_CUIT[#All],2,0)),"CUIT NO CARGADO")</f>
        <v>-</v>
      </c>
      <c r="H207" s="99"/>
      <c r="I207" s="100">
        <f>venta_a_mes5[[#This Row],[IMPORTE NETO]]*0.21</f>
        <v>0</v>
      </c>
      <c r="J207" s="65"/>
      <c r="K207" s="65"/>
      <c r="L207" s="65">
        <f>SUM(venta_a_mes5[[#This Row],[IMPORTE NETO]:[EXENTO]])</f>
        <v>0</v>
      </c>
      <c r="M207" s="59"/>
    </row>
    <row r="208" spans="2:13" ht="17.25" customHeight="1">
      <c r="B208" s="108"/>
      <c r="C208" s="109"/>
      <c r="D208" s="110"/>
      <c r="E208" s="111"/>
      <c r="F208" s="112"/>
      <c r="G208" s="98" t="str">
        <f>IFERROR(IF(venta_a_mes5[[#This Row],[CUIT]]="","-",VLOOKUP(venta_a_mes5[[#This Row],[CUIT]],Lista_CUIT[#All],2,0)),"CUIT NO CARGADO")</f>
        <v>-</v>
      </c>
      <c r="H208" s="99"/>
      <c r="I208" s="100">
        <f>venta_a_mes5[[#This Row],[IMPORTE NETO]]*0.21</f>
        <v>0</v>
      </c>
      <c r="J208" s="65"/>
      <c r="K208" s="65"/>
      <c r="L208" s="65">
        <f>SUM(venta_a_mes5[[#This Row],[IMPORTE NETO]:[EXENTO]])</f>
        <v>0</v>
      </c>
      <c r="M208" s="59"/>
    </row>
    <row r="209" spans="2:13" ht="17.25" customHeight="1">
      <c r="B209" s="108"/>
      <c r="C209" s="109"/>
      <c r="D209" s="110"/>
      <c r="E209" s="111"/>
      <c r="F209" s="112"/>
      <c r="G209" s="98" t="str">
        <f>IFERROR(IF(venta_a_mes5[[#This Row],[CUIT]]="","-",VLOOKUP(venta_a_mes5[[#This Row],[CUIT]],Lista_CUIT[#All],2,0)),"CUIT NO CARGADO")</f>
        <v>-</v>
      </c>
      <c r="H209" s="99"/>
      <c r="I209" s="100">
        <f>venta_a_mes5[[#This Row],[IMPORTE NETO]]*0.21</f>
        <v>0</v>
      </c>
      <c r="J209" s="65"/>
      <c r="K209" s="65"/>
      <c r="L209" s="65">
        <f>SUM(venta_a_mes5[[#This Row],[IMPORTE NETO]:[EXENTO]])</f>
        <v>0</v>
      </c>
      <c r="M209" s="59"/>
    </row>
    <row r="210" spans="2:13">
      <c r="B210" s="108"/>
      <c r="C210" s="109"/>
      <c r="D210" s="110"/>
      <c r="E210" s="111"/>
      <c r="F210" s="112"/>
      <c r="G210" s="98" t="str">
        <f>IFERROR(IF(venta_a_mes5[[#This Row],[CUIT]]="","-",VLOOKUP(venta_a_mes5[[#This Row],[CUIT]],Lista_CUIT[#All],2,0)),"CUIT NO CARGADO")</f>
        <v>-</v>
      </c>
      <c r="H210" s="99"/>
      <c r="I210" s="100">
        <f>venta_a_mes5[[#This Row],[IMPORTE NETO]]*0.21</f>
        <v>0</v>
      </c>
      <c r="J210" s="65"/>
      <c r="K210" s="65"/>
      <c r="L210" s="65">
        <f>SUM(venta_a_mes5[[#This Row],[IMPORTE NETO]:[EXENTO]])</f>
        <v>0</v>
      </c>
      <c r="M210" s="59"/>
    </row>
    <row r="211" spans="2:13">
      <c r="B211" s="108"/>
      <c r="C211" s="109"/>
      <c r="D211" s="110"/>
      <c r="E211" s="111"/>
      <c r="F211" s="112"/>
      <c r="G211" s="98" t="str">
        <f>IFERROR(IF(venta_a_mes5[[#This Row],[CUIT]]="","-",VLOOKUP(venta_a_mes5[[#This Row],[CUIT]],Lista_CUIT[#All],2,0)),"CUIT NO CARGADO")</f>
        <v>-</v>
      </c>
      <c r="H211" s="99"/>
      <c r="I211" s="100">
        <f>venta_a_mes5[[#This Row],[IMPORTE NETO]]*0.21</f>
        <v>0</v>
      </c>
      <c r="J211" s="65"/>
      <c r="K211" s="65"/>
      <c r="L211" s="65">
        <f>SUM(venta_a_mes5[[#This Row],[IMPORTE NETO]:[EXENTO]])</f>
        <v>0</v>
      </c>
      <c r="M211" s="59"/>
    </row>
    <row r="212" spans="2:13" ht="19.350000000000001" customHeight="1">
      <c r="B212" s="108"/>
      <c r="C212" s="109"/>
      <c r="D212" s="110"/>
      <c r="E212" s="111"/>
      <c r="F212" s="112"/>
      <c r="G212" s="98" t="str">
        <f>IFERROR(IF(venta_a_mes5[[#This Row],[CUIT]]="","-",VLOOKUP(venta_a_mes5[[#This Row],[CUIT]],Lista_CUIT[#All],2,0)),"CUIT NO CARGADO")</f>
        <v>-</v>
      </c>
      <c r="H212" s="99"/>
      <c r="I212" s="100">
        <f>venta_a_mes5[[#This Row],[IMPORTE NETO]]*0.21</f>
        <v>0</v>
      </c>
      <c r="J212" s="65"/>
      <c r="K212" s="65"/>
      <c r="L212" s="65">
        <f>SUM(venta_a_mes5[[#This Row],[IMPORTE NETO]:[EXENTO]])</f>
        <v>0</v>
      </c>
      <c r="M212" s="59"/>
    </row>
    <row r="213" spans="2:13" ht="29.1" customHeight="1">
      <c r="B213" s="108"/>
      <c r="C213" s="109"/>
      <c r="D213" s="110"/>
      <c r="E213" s="111"/>
      <c r="F213" s="112"/>
      <c r="G213" s="98" t="str">
        <f>IFERROR(IF(venta_a_mes5[[#This Row],[CUIT]]="","-",VLOOKUP(venta_a_mes5[[#This Row],[CUIT]],Lista_CUIT[#All],2,0)),"CUIT NO CARGADO")</f>
        <v>-</v>
      </c>
      <c r="H213" s="99"/>
      <c r="I213" s="100">
        <f>venta_a_mes5[[#This Row],[IMPORTE NETO]]*0.21</f>
        <v>0</v>
      </c>
      <c r="J213" s="65"/>
      <c r="K213" s="65"/>
      <c r="L213" s="65">
        <f>SUM(venta_a_mes5[[#This Row],[IMPORTE NETO]:[EXENTO]])</f>
        <v>0</v>
      </c>
      <c r="M213" s="59"/>
    </row>
    <row r="214" spans="2:13">
      <c r="B214" s="108"/>
      <c r="C214" s="109"/>
      <c r="D214" s="110"/>
      <c r="E214" s="111"/>
      <c r="F214" s="112"/>
      <c r="G214" s="98" t="str">
        <f>IFERROR(IF(venta_a_mes5[[#This Row],[CUIT]]="","-",VLOOKUP(venta_a_mes5[[#This Row],[CUIT]],Lista_CUIT[#All],2,0)),"CUIT NO CARGADO")</f>
        <v>-</v>
      </c>
      <c r="H214" s="99"/>
      <c r="I214" s="100">
        <f>venta_a_mes5[[#This Row],[IMPORTE NETO]]*0.21</f>
        <v>0</v>
      </c>
      <c r="J214" s="65"/>
      <c r="K214" s="65"/>
      <c r="L214" s="65">
        <f>SUM(venta_a_mes5[[#This Row],[IMPORTE NETO]:[EXENTO]])</f>
        <v>0</v>
      </c>
      <c r="M214" s="59"/>
    </row>
    <row r="215" spans="2:13">
      <c r="B215" s="108"/>
      <c r="C215" s="109"/>
      <c r="D215" s="110"/>
      <c r="E215" s="111"/>
      <c r="F215" s="112"/>
      <c r="G215" s="98" t="str">
        <f>IFERROR(IF(venta_a_mes5[[#This Row],[CUIT]]="","-",VLOOKUP(venta_a_mes5[[#This Row],[CUIT]],Lista_CUIT[#All],2,0)),"CUIT NO CARGADO")</f>
        <v>-</v>
      </c>
      <c r="H215" s="99"/>
      <c r="I215" s="100">
        <f>venta_a_mes5[[#This Row],[IMPORTE NETO]]*0.21</f>
        <v>0</v>
      </c>
      <c r="J215" s="65"/>
      <c r="K215" s="65"/>
      <c r="L215" s="65">
        <f>SUM(venta_a_mes5[[#This Row],[IMPORTE NETO]:[EXENTO]])</f>
        <v>0</v>
      </c>
      <c r="M215" s="59"/>
    </row>
    <row r="216" spans="2:13">
      <c r="B216" s="108"/>
      <c r="C216" s="109"/>
      <c r="D216" s="110"/>
      <c r="E216" s="111"/>
      <c r="F216" s="112"/>
      <c r="G216" s="98" t="str">
        <f>IFERROR(IF(venta_a_mes5[[#This Row],[CUIT]]="","-",VLOOKUP(venta_a_mes5[[#This Row],[CUIT]],Lista_CUIT[#All],2,0)),"CUIT NO CARGADO")</f>
        <v>-</v>
      </c>
      <c r="H216" s="99"/>
      <c r="I216" s="100">
        <f>venta_a_mes5[[#This Row],[IMPORTE NETO]]*0.21</f>
        <v>0</v>
      </c>
      <c r="J216" s="65"/>
      <c r="K216" s="65"/>
      <c r="L216" s="65">
        <f>SUM(venta_a_mes5[[#This Row],[IMPORTE NETO]:[EXENTO]])</f>
        <v>0</v>
      </c>
      <c r="M216" s="59"/>
    </row>
    <row r="217" spans="2:13">
      <c r="B217" s="108"/>
      <c r="C217" s="109"/>
      <c r="D217" s="110"/>
      <c r="E217" s="111"/>
      <c r="F217" s="112"/>
      <c r="G217" s="98" t="str">
        <f>IFERROR(IF(venta_a_mes5[[#This Row],[CUIT]]="","-",VLOOKUP(venta_a_mes5[[#This Row],[CUIT]],Lista_CUIT[#All],2,0)),"CUIT NO CARGADO")</f>
        <v>-</v>
      </c>
      <c r="H217" s="99"/>
      <c r="I217" s="100">
        <f>venta_a_mes5[[#This Row],[IMPORTE NETO]]*0.21</f>
        <v>0</v>
      </c>
      <c r="J217" s="65"/>
      <c r="K217" s="65"/>
      <c r="L217" s="65">
        <f>SUM(venta_a_mes5[[#This Row],[IMPORTE NETO]:[EXENTO]])</f>
        <v>0</v>
      </c>
      <c r="M217" s="59"/>
    </row>
    <row r="218" spans="2:13">
      <c r="B218" s="108"/>
      <c r="C218" s="109"/>
      <c r="D218" s="110"/>
      <c r="E218" s="111"/>
      <c r="F218" s="112"/>
      <c r="G218" s="98" t="str">
        <f>IFERROR(IF(venta_a_mes5[[#This Row],[CUIT]]="","-",VLOOKUP(venta_a_mes5[[#This Row],[CUIT]],Lista_CUIT[#All],2,0)),"CUIT NO CARGADO")</f>
        <v>-</v>
      </c>
      <c r="H218" s="99"/>
      <c r="I218" s="100">
        <f>venta_a_mes5[[#This Row],[IMPORTE NETO]]*0.21</f>
        <v>0</v>
      </c>
      <c r="J218" s="65"/>
      <c r="K218" s="65"/>
      <c r="L218" s="65">
        <f>SUM(venta_a_mes5[[#This Row],[IMPORTE NETO]:[EXENTO]])</f>
        <v>0</v>
      </c>
      <c r="M218" s="59"/>
    </row>
    <row r="219" spans="2:13">
      <c r="B219" s="232"/>
      <c r="C219" s="233"/>
      <c r="D219" s="234"/>
      <c r="E219" s="235"/>
      <c r="F219" s="236"/>
      <c r="G219" s="237" t="str">
        <f>IFERROR(IF(venta_a_mes5[[#This Row],[CUIT]]="","-",VLOOKUP(venta_a_mes5[[#This Row],[CUIT]],Lista_CUIT[#All],2,0)),"CUIT NO CARGADO")</f>
        <v>-</v>
      </c>
      <c r="H219" s="238"/>
      <c r="I219" s="239">
        <f>venta_a_mes5[[#This Row],[IMPORTE NETO]]*0.21</f>
        <v>0</v>
      </c>
      <c r="J219" s="240"/>
      <c r="K219" s="240"/>
      <c r="L219" s="240">
        <f>SUM(venta_a_mes5[[#This Row],[IMPORTE NETO]:[EXENTO]])</f>
        <v>0</v>
      </c>
      <c r="M219" s="241"/>
    </row>
    <row r="220" spans="2:13">
      <c r="B220" s="108"/>
      <c r="C220" s="109"/>
      <c r="D220" s="110"/>
      <c r="E220" s="111"/>
      <c r="F220" s="112"/>
      <c r="G220" s="98" t="str">
        <f>IFERROR(IF(venta_a_mes5[[#This Row],[CUIT]]="","-",VLOOKUP(venta_a_mes5[[#This Row],[CUIT]],Lista_CUIT[#All],2,0)),"CUIT NO CARGADO")</f>
        <v>-</v>
      </c>
      <c r="H220" s="99"/>
      <c r="I220" s="100">
        <f>venta_a_mes5[[#This Row],[IMPORTE NETO]]*0.21</f>
        <v>0</v>
      </c>
      <c r="J220" s="65"/>
      <c r="K220" s="65"/>
      <c r="L220" s="65">
        <f>SUM(venta_a_mes5[[#This Row],[IMPORTE NETO]:[EXENTO]])</f>
        <v>0</v>
      </c>
      <c r="M220" s="59"/>
    </row>
    <row r="221" spans="2:13">
      <c r="B221" s="108"/>
      <c r="C221" s="109"/>
      <c r="D221" s="110"/>
      <c r="E221" s="111"/>
      <c r="F221" s="112"/>
      <c r="G221" s="98" t="str">
        <f>IFERROR(IF(venta_a_mes5[[#This Row],[CUIT]]="","-",VLOOKUP(venta_a_mes5[[#This Row],[CUIT]],Lista_CUIT[#All],2,0)),"CUIT NO CARGADO")</f>
        <v>-</v>
      </c>
      <c r="H221" s="99"/>
      <c r="I221" s="100">
        <f>venta_a_mes5[[#This Row],[IMPORTE NETO]]*0.21</f>
        <v>0</v>
      </c>
      <c r="J221" s="65"/>
      <c r="K221" s="65"/>
      <c r="L221" s="65">
        <f>SUM(venta_a_mes5[[#This Row],[IMPORTE NETO]:[EXENTO]])</f>
        <v>0</v>
      </c>
      <c r="M221" s="59"/>
    </row>
    <row r="222" spans="2:13">
      <c r="B222" s="108"/>
      <c r="C222" s="109"/>
      <c r="D222" s="110"/>
      <c r="E222" s="111"/>
      <c r="F222" s="112"/>
      <c r="G222" s="98" t="str">
        <f>IFERROR(IF(venta_a_mes5[[#This Row],[CUIT]]="","-",VLOOKUP(venta_a_mes5[[#This Row],[CUIT]],Lista_CUIT[#All],2,0)),"CUIT NO CARGADO")</f>
        <v>-</v>
      </c>
      <c r="H222" s="99"/>
      <c r="I222" s="100">
        <f>venta_a_mes5[[#This Row],[IMPORTE NETO]]*0.21</f>
        <v>0</v>
      </c>
      <c r="J222" s="65"/>
      <c r="K222" s="65"/>
      <c r="L222" s="65">
        <f>SUM(venta_a_mes5[[#This Row],[IMPORTE NETO]:[EXENTO]])</f>
        <v>0</v>
      </c>
      <c r="M222" s="59"/>
    </row>
    <row r="223" spans="2:13">
      <c r="B223" s="108"/>
      <c r="C223" s="109"/>
      <c r="D223" s="110"/>
      <c r="E223" s="111"/>
      <c r="F223" s="112"/>
      <c r="G223" s="98" t="str">
        <f>IFERROR(IF(venta_a_mes5[[#This Row],[CUIT]]="","-",VLOOKUP(venta_a_mes5[[#This Row],[CUIT]],Lista_CUIT[#All],2,0)),"CUIT NO CARGADO")</f>
        <v>-</v>
      </c>
      <c r="H223" s="99"/>
      <c r="I223" s="100">
        <f>venta_a_mes5[[#This Row],[IMPORTE NETO]]*0.21</f>
        <v>0</v>
      </c>
      <c r="J223" s="65"/>
      <c r="K223" s="65"/>
      <c r="L223" s="65">
        <f>SUM(venta_a_mes5[[#This Row],[IMPORTE NETO]:[EXENTO]])</f>
        <v>0</v>
      </c>
      <c r="M223" s="59"/>
    </row>
    <row r="224" spans="2:13">
      <c r="B224" s="108"/>
      <c r="C224" s="109"/>
      <c r="D224" s="110"/>
      <c r="E224" s="111"/>
      <c r="F224" s="112"/>
      <c r="G224" s="98" t="str">
        <f>IFERROR(IF(venta_a_mes5[[#This Row],[CUIT]]="","-",VLOOKUP(venta_a_mes5[[#This Row],[CUIT]],Lista_CUIT[#All],2,0)),"CUIT NO CARGADO")</f>
        <v>-</v>
      </c>
      <c r="H224" s="99"/>
      <c r="I224" s="100">
        <f>venta_a_mes5[[#This Row],[IMPORTE NETO]]*0.21</f>
        <v>0</v>
      </c>
      <c r="J224" s="65"/>
      <c r="K224" s="65"/>
      <c r="L224" s="65">
        <f>SUM(venta_a_mes5[[#This Row],[IMPORTE NETO]:[EXENTO]])</f>
        <v>0</v>
      </c>
      <c r="M224" s="59"/>
    </row>
    <row r="225" spans="2:13">
      <c r="B225" s="108"/>
      <c r="C225" s="109"/>
      <c r="D225" s="110"/>
      <c r="E225" s="111"/>
      <c r="F225" s="112"/>
      <c r="G225" s="98" t="str">
        <f>IFERROR(IF(venta_a_mes5[[#This Row],[CUIT]]="","-",VLOOKUP(venta_a_mes5[[#This Row],[CUIT]],Lista_CUIT[#All],2,0)),"CUIT NO CARGADO")</f>
        <v>-</v>
      </c>
      <c r="H225" s="99"/>
      <c r="I225" s="100">
        <f>venta_a_mes5[[#This Row],[IMPORTE NETO]]*0.21</f>
        <v>0</v>
      </c>
      <c r="J225" s="65"/>
      <c r="K225" s="65"/>
      <c r="L225" s="65">
        <f>SUM(venta_a_mes5[[#This Row],[IMPORTE NETO]:[EXENTO]])</f>
        <v>0</v>
      </c>
      <c r="M225" s="59"/>
    </row>
    <row r="226" spans="2:13">
      <c r="B226" s="108"/>
      <c r="C226" s="109"/>
      <c r="D226" s="110"/>
      <c r="E226" s="111"/>
      <c r="F226" s="112"/>
      <c r="G226" s="98" t="str">
        <f>IFERROR(IF(venta_a_mes5[[#This Row],[CUIT]]="","-",VLOOKUP(venta_a_mes5[[#This Row],[CUIT]],Lista_CUIT[#All],2,0)),"CUIT NO CARGADO")</f>
        <v>-</v>
      </c>
      <c r="H226" s="99"/>
      <c r="I226" s="100">
        <f>venta_a_mes5[[#This Row],[IMPORTE NETO]]*0.21</f>
        <v>0</v>
      </c>
      <c r="J226" s="65"/>
      <c r="K226" s="65"/>
      <c r="L226" s="65">
        <f>SUM(venta_a_mes5[[#This Row],[IMPORTE NETO]:[EXENTO]])</f>
        <v>0</v>
      </c>
      <c r="M226" s="59"/>
    </row>
    <row r="227" spans="2:13">
      <c r="B227" s="108"/>
      <c r="C227" s="109"/>
      <c r="D227" s="110"/>
      <c r="E227" s="111"/>
      <c r="F227" s="112"/>
      <c r="G227" s="98" t="str">
        <f>IFERROR(IF(venta_a_mes5[[#This Row],[CUIT]]="","-",VLOOKUP(venta_a_mes5[[#This Row],[CUIT]],Lista_CUIT[#All],2,0)),"CUIT NO CARGADO")</f>
        <v>-</v>
      </c>
      <c r="H227" s="99"/>
      <c r="I227" s="100">
        <f>venta_a_mes5[[#This Row],[IMPORTE NETO]]*0.21</f>
        <v>0</v>
      </c>
      <c r="J227" s="65"/>
      <c r="K227" s="65"/>
      <c r="L227" s="65">
        <f>SUM(venta_a_mes5[[#This Row],[IMPORTE NETO]:[EXENTO]])</f>
        <v>0</v>
      </c>
      <c r="M227" s="59"/>
    </row>
    <row r="228" spans="2:13">
      <c r="B228" s="108"/>
      <c r="C228" s="109"/>
      <c r="D228" s="110"/>
      <c r="E228" s="111"/>
      <c r="F228" s="112"/>
      <c r="G228" s="98" t="str">
        <f>IFERROR(IF(venta_a_mes5[[#This Row],[CUIT]]="","-",VLOOKUP(venta_a_mes5[[#This Row],[CUIT]],Lista_CUIT[#All],2,0)),"CUIT NO CARGADO")</f>
        <v>-</v>
      </c>
      <c r="H228" s="99"/>
      <c r="I228" s="100">
        <f>venta_a_mes5[[#This Row],[IMPORTE NETO]]*0.21</f>
        <v>0</v>
      </c>
      <c r="J228" s="65"/>
      <c r="K228" s="65"/>
      <c r="L228" s="65">
        <f>SUM(venta_a_mes5[[#This Row],[IMPORTE NETO]:[EXENTO]])</f>
        <v>0</v>
      </c>
      <c r="M228" s="59"/>
    </row>
    <row r="229" spans="2:13">
      <c r="B229" s="108"/>
      <c r="C229" s="109"/>
      <c r="D229" s="110"/>
      <c r="E229" s="111"/>
      <c r="F229" s="112"/>
      <c r="G229" s="98" t="str">
        <f>IFERROR(IF(venta_a_mes5[[#This Row],[CUIT]]="","-",VLOOKUP(venta_a_mes5[[#This Row],[CUIT]],Lista_CUIT[#All],2,0)),"CUIT NO CARGADO")</f>
        <v>-</v>
      </c>
      <c r="H229" s="99"/>
      <c r="I229" s="100">
        <f>venta_a_mes5[[#This Row],[IMPORTE NETO]]*0.21</f>
        <v>0</v>
      </c>
      <c r="J229" s="65"/>
      <c r="K229" s="65"/>
      <c r="L229" s="65">
        <f>SUM(venta_a_mes5[[#This Row],[IMPORTE NETO]:[EXENTO]])</f>
        <v>0</v>
      </c>
      <c r="M229" s="59"/>
    </row>
    <row r="230" spans="2:13">
      <c r="B230" s="108"/>
      <c r="C230" s="109"/>
      <c r="D230" s="110"/>
      <c r="E230" s="111"/>
      <c r="F230" s="112"/>
      <c r="G230" s="98" t="str">
        <f>IFERROR(IF(venta_a_mes5[[#This Row],[CUIT]]="","-",VLOOKUP(venta_a_mes5[[#This Row],[CUIT]],Lista_CUIT[#All],2,0)),"CUIT NO CARGADO")</f>
        <v>-</v>
      </c>
      <c r="H230" s="99"/>
      <c r="I230" s="100">
        <f>venta_a_mes5[[#This Row],[IMPORTE NETO]]*0.21</f>
        <v>0</v>
      </c>
      <c r="J230" s="65"/>
      <c r="K230" s="65"/>
      <c r="L230" s="65">
        <f>SUM(venta_a_mes5[[#This Row],[IMPORTE NETO]:[EXENTO]])</f>
        <v>0</v>
      </c>
      <c r="M230" s="59"/>
    </row>
    <row r="231" spans="2:13">
      <c r="B231" s="108"/>
      <c r="C231" s="109"/>
      <c r="D231" s="110"/>
      <c r="E231" s="111"/>
      <c r="F231" s="112"/>
      <c r="G231" s="98" t="str">
        <f>IFERROR(IF(venta_a_mes5[[#This Row],[CUIT]]="","-",VLOOKUP(venta_a_mes5[[#This Row],[CUIT]],Lista_CUIT[#All],2,0)),"CUIT NO CARGADO")</f>
        <v>-</v>
      </c>
      <c r="H231" s="99"/>
      <c r="I231" s="100">
        <f>venta_a_mes5[[#This Row],[IMPORTE NETO]]*0.21</f>
        <v>0</v>
      </c>
      <c r="J231" s="65"/>
      <c r="K231" s="65"/>
      <c r="L231" s="65">
        <f>SUM(venta_a_mes5[[#This Row],[IMPORTE NETO]:[EXENTO]])</f>
        <v>0</v>
      </c>
      <c r="M231" s="59"/>
    </row>
    <row r="232" spans="2:13">
      <c r="B232" s="108"/>
      <c r="C232" s="109"/>
      <c r="D232" s="110"/>
      <c r="E232" s="111"/>
      <c r="F232" s="112"/>
      <c r="G232" s="98" t="str">
        <f>IFERROR(IF(venta_a_mes5[[#This Row],[CUIT]]="","-",VLOOKUP(venta_a_mes5[[#This Row],[CUIT]],Lista_CUIT[#All],2,0)),"CUIT NO CARGADO")</f>
        <v>-</v>
      </c>
      <c r="H232" s="99"/>
      <c r="I232" s="100">
        <f>venta_a_mes5[[#This Row],[IMPORTE NETO]]*0.21</f>
        <v>0</v>
      </c>
      <c r="J232" s="65"/>
      <c r="K232" s="65"/>
      <c r="L232" s="65">
        <f>SUM(venta_a_mes5[[#This Row],[IMPORTE NETO]:[EXENTO]])</f>
        <v>0</v>
      </c>
      <c r="M232" s="59"/>
    </row>
    <row r="233" spans="2:13">
      <c r="B233" s="108"/>
      <c r="C233" s="109"/>
      <c r="D233" s="110"/>
      <c r="E233" s="111"/>
      <c r="F233" s="112"/>
      <c r="G233" s="98" t="str">
        <f>IFERROR(IF(venta_a_mes5[[#This Row],[CUIT]]="","-",VLOOKUP(venta_a_mes5[[#This Row],[CUIT]],Lista_CUIT[#All],2,0)),"CUIT NO CARGADO")</f>
        <v>-</v>
      </c>
      <c r="H233" s="99"/>
      <c r="I233" s="100">
        <f>venta_a_mes5[[#This Row],[IMPORTE NETO]]*0.21</f>
        <v>0</v>
      </c>
      <c r="J233" s="65"/>
      <c r="K233" s="65"/>
      <c r="L233" s="65">
        <f>SUM(venta_a_mes5[[#This Row],[IMPORTE NETO]:[EXENTO]])</f>
        <v>0</v>
      </c>
      <c r="M233" s="59"/>
    </row>
    <row r="234" spans="2:13">
      <c r="B234" s="66" t="s">
        <v>110</v>
      </c>
      <c r="C234" s="67"/>
      <c r="D234" s="67"/>
      <c r="E234" s="67"/>
      <c r="F234" s="67"/>
      <c r="G234" s="67"/>
      <c r="H234" s="69">
        <f>SUBTOTAL(109,venta_a_mes5[IMPORTE NETO])</f>
        <v>0</v>
      </c>
      <c r="I234" s="70">
        <f>SUBTOTAL(109,venta_a_mes5[IVA 21%])</f>
        <v>0</v>
      </c>
      <c r="J234" s="71">
        <f>SUBTOTAL(109,venta_a_mes5[IVA 10,5%])</f>
        <v>0</v>
      </c>
      <c r="K234" s="71">
        <f>SUBTOTAL(109,venta_a_mes5[EXENTO])</f>
        <v>0</v>
      </c>
      <c r="L234" s="71">
        <f>SUBTOTAL(109,venta_a_mes5[TOTAL])</f>
        <v>0</v>
      </c>
      <c r="M234" s="68">
        <f>SUBTOTAL(103,venta_a_mes5[Provincia])</f>
        <v>0</v>
      </c>
    </row>
    <row r="237" spans="2:13" ht="21">
      <c r="B237" s="666" t="s">
        <v>31</v>
      </c>
      <c r="C237" s="666"/>
    </row>
    <row r="238" spans="2:13" ht="15.75">
      <c r="B238" s="60" t="s">
        <v>0</v>
      </c>
      <c r="C238" s="61" t="s">
        <v>1</v>
      </c>
      <c r="D238" s="61" t="s">
        <v>21</v>
      </c>
      <c r="E238" s="61" t="s">
        <v>22</v>
      </c>
      <c r="F238" s="61" t="s">
        <v>3</v>
      </c>
      <c r="G238" s="61" t="s">
        <v>4</v>
      </c>
      <c r="H238" s="61" t="s">
        <v>23</v>
      </c>
      <c r="I238" s="61" t="s">
        <v>17</v>
      </c>
      <c r="J238" s="61" t="s">
        <v>7</v>
      </c>
      <c r="K238" s="61" t="s">
        <v>24</v>
      </c>
      <c r="L238" s="61" t="s">
        <v>10</v>
      </c>
      <c r="M238" s="62" t="s">
        <v>38</v>
      </c>
    </row>
    <row r="239" spans="2:13">
      <c r="B239" s="40"/>
      <c r="C239" s="41"/>
      <c r="D239" s="42"/>
      <c r="E239" s="43"/>
      <c r="F239" s="44"/>
      <c r="G239" s="1" t="str">
        <f>IFERROR(IF(ventas_b_mes5[[#This Row],[CUIT]]="","-",VLOOKUP(ventas_b_mes5[[#This Row],[CUIT]],Lista_CUIT[#All],2,0)),"CUIT NO CARGADO")</f>
        <v>-</v>
      </c>
      <c r="H239" s="64"/>
      <c r="I239" s="64">
        <f>ventas_b_mes5[[#This Row],[IMPORTE NETO]]*0.21</f>
        <v>0</v>
      </c>
      <c r="J239" s="64"/>
      <c r="K239" s="64"/>
      <c r="L239" s="64">
        <f>SUM(ventas_b_mes5[[#This Row],[IMPORTE NETO]:[EXENTO]])</f>
        <v>0</v>
      </c>
      <c r="M239" s="59"/>
    </row>
    <row r="240" spans="2:13">
      <c r="B240" s="140"/>
      <c r="C240" s="41"/>
      <c r="D240" s="142"/>
      <c r="E240" s="143"/>
      <c r="F240" s="144"/>
      <c r="G240" s="1" t="str">
        <f>IFERROR(IF(ventas_b_mes5[[#This Row],[CUIT]]="","-",VLOOKUP(ventas_b_mes5[[#This Row],[CUIT]],Lista_CUIT[#All],2,0)),"CUIT NO CARGADO")</f>
        <v>-</v>
      </c>
      <c r="H240" s="64"/>
      <c r="I240" s="145">
        <f>ventas_b_mes5[[#This Row],[IMPORTE NETO]]*0.21</f>
        <v>0</v>
      </c>
      <c r="J240" s="146"/>
      <c r="K240" s="146"/>
      <c r="L240" s="146">
        <f>SUM(ventas_b_mes5[[#This Row],[IMPORTE NETO]:[EXENTO]])</f>
        <v>0</v>
      </c>
      <c r="M240" s="59"/>
    </row>
    <row r="241" spans="2:13">
      <c r="B241" s="140"/>
      <c r="C241" s="41"/>
      <c r="D241" s="142"/>
      <c r="E241" s="143"/>
      <c r="F241" s="144"/>
      <c r="G241" s="1" t="str">
        <f>IFERROR(IF(ventas_b_mes5[[#This Row],[CUIT]]="","-",VLOOKUP(ventas_b_mes5[[#This Row],[CUIT]],Lista_CUIT[#All],2,0)),"CUIT NO CARGADO")</f>
        <v>-</v>
      </c>
      <c r="H241" s="64"/>
      <c r="I241" s="145">
        <f>ventas_b_mes5[[#This Row],[IMPORTE NETO]]*0.21</f>
        <v>0</v>
      </c>
      <c r="J241" s="146"/>
      <c r="K241" s="146"/>
      <c r="L241" s="146">
        <f>SUM(ventas_b_mes5[[#This Row],[IMPORTE NETO]:[EXENTO]])</f>
        <v>0</v>
      </c>
      <c r="M241" s="59"/>
    </row>
    <row r="242" spans="2:13">
      <c r="B242" s="140"/>
      <c r="C242" s="41"/>
      <c r="D242" s="142"/>
      <c r="E242" s="143"/>
      <c r="F242" s="144"/>
      <c r="G242" s="1" t="str">
        <f>IFERROR(IF(ventas_b_mes5[[#This Row],[CUIT]]="","-",VLOOKUP(ventas_b_mes5[[#This Row],[CUIT]],Lista_CUIT[#All],2,0)),"CUIT NO CARGADO")</f>
        <v>-</v>
      </c>
      <c r="H242" s="64"/>
      <c r="I242" s="145">
        <f>ventas_b_mes5[[#This Row],[IMPORTE NETO]]*0.21</f>
        <v>0</v>
      </c>
      <c r="J242" s="146"/>
      <c r="K242" s="146"/>
      <c r="L242" s="146">
        <f>SUM(ventas_b_mes5[[#This Row],[IMPORTE NETO]:[EXENTO]])</f>
        <v>0</v>
      </c>
      <c r="M242" s="59"/>
    </row>
    <row r="243" spans="2:13">
      <c r="B243" s="140"/>
      <c r="C243" s="41"/>
      <c r="D243" s="142"/>
      <c r="E243" s="143"/>
      <c r="F243" s="144"/>
      <c r="G243" s="1" t="str">
        <f>IFERROR(IF(ventas_b_mes5[[#This Row],[CUIT]]="","-",VLOOKUP(ventas_b_mes5[[#This Row],[CUIT]],Lista_CUIT[#All],2,0)),"CUIT NO CARGADO")</f>
        <v>-</v>
      </c>
      <c r="H243" s="64"/>
      <c r="I243" s="145">
        <f>ventas_b_mes5[[#This Row],[IMPORTE NETO]]*0.21</f>
        <v>0</v>
      </c>
      <c r="J243" s="146"/>
      <c r="K243" s="146"/>
      <c r="L243" s="146">
        <f>SUM(ventas_b_mes5[[#This Row],[IMPORTE NETO]:[EXENTO]])</f>
        <v>0</v>
      </c>
      <c r="M243" s="59"/>
    </row>
    <row r="244" spans="2:13">
      <c r="B244" s="140"/>
      <c r="C244" s="41"/>
      <c r="D244" s="142"/>
      <c r="E244" s="143"/>
      <c r="F244" s="144"/>
      <c r="G244" s="1" t="str">
        <f>IFERROR(IF(ventas_b_mes5[[#This Row],[CUIT]]="","-",VLOOKUP(ventas_b_mes5[[#This Row],[CUIT]],Lista_CUIT[#All],2,0)),"CUIT NO CARGADO")</f>
        <v>-</v>
      </c>
      <c r="H244" s="64"/>
      <c r="I244" s="145">
        <f>ventas_b_mes5[[#This Row],[IMPORTE NETO]]*0.21</f>
        <v>0</v>
      </c>
      <c r="J244" s="146"/>
      <c r="K244" s="146"/>
      <c r="L244" s="146">
        <f>SUM(ventas_b_mes5[[#This Row],[IMPORTE NETO]:[EXENTO]])</f>
        <v>0</v>
      </c>
      <c r="M244" s="59"/>
    </row>
    <row r="245" spans="2:13">
      <c r="B245" s="140"/>
      <c r="C245" s="41"/>
      <c r="D245" s="142"/>
      <c r="E245" s="143"/>
      <c r="F245" s="144"/>
      <c r="G245" s="1" t="str">
        <f>IFERROR(IF(ventas_b_mes5[[#This Row],[CUIT]]="","-",VLOOKUP(ventas_b_mes5[[#This Row],[CUIT]],Lista_CUIT[#All],2,0)),"CUIT NO CARGADO")</f>
        <v>-</v>
      </c>
      <c r="H245" s="64"/>
      <c r="I245" s="145">
        <f>ventas_b_mes5[[#This Row],[IMPORTE NETO]]*0.21</f>
        <v>0</v>
      </c>
      <c r="J245" s="146"/>
      <c r="K245" s="146"/>
      <c r="L245" s="146">
        <f>SUM(ventas_b_mes5[[#This Row],[IMPORTE NETO]:[EXENTO]])</f>
        <v>0</v>
      </c>
      <c r="M245" s="59"/>
    </row>
    <row r="246" spans="2:13">
      <c r="B246" s="140"/>
      <c r="C246" s="41"/>
      <c r="D246" s="142"/>
      <c r="E246" s="143"/>
      <c r="F246" s="144"/>
      <c r="G246" s="1" t="str">
        <f>IFERROR(IF(ventas_b_mes5[[#This Row],[CUIT]]="","-",VLOOKUP(ventas_b_mes5[[#This Row],[CUIT]],Lista_CUIT[#All],2,0)),"CUIT NO CARGADO")</f>
        <v>-</v>
      </c>
      <c r="H246" s="64"/>
      <c r="I246" s="145">
        <f>ventas_b_mes5[[#This Row],[IMPORTE NETO]]*0.21</f>
        <v>0</v>
      </c>
      <c r="J246" s="146"/>
      <c r="K246" s="146"/>
      <c r="L246" s="146">
        <f>SUM(ventas_b_mes5[[#This Row],[IMPORTE NETO]:[EXENTO]])</f>
        <v>0</v>
      </c>
      <c r="M246" s="59"/>
    </row>
    <row r="247" spans="2:13">
      <c r="B247" s="140"/>
      <c r="C247" s="41"/>
      <c r="D247" s="142"/>
      <c r="E247" s="143"/>
      <c r="F247" s="144"/>
      <c r="G247" s="1" t="str">
        <f>IFERROR(IF(ventas_b_mes5[[#This Row],[CUIT]]="","-",VLOOKUP(ventas_b_mes5[[#This Row],[CUIT]],Lista_CUIT[#All],2,0)),"CUIT NO CARGADO")</f>
        <v>-</v>
      </c>
      <c r="H247" s="64"/>
      <c r="I247" s="145">
        <f>ventas_b_mes5[[#This Row],[IMPORTE NETO]]*0.21</f>
        <v>0</v>
      </c>
      <c r="J247" s="146"/>
      <c r="K247" s="146"/>
      <c r="L247" s="146">
        <f>SUM(ventas_b_mes5[[#This Row],[IMPORTE NETO]:[EXENTO]])</f>
        <v>0</v>
      </c>
      <c r="M247" s="59"/>
    </row>
    <row r="248" spans="2:13">
      <c r="B248" s="140"/>
      <c r="C248" s="41"/>
      <c r="D248" s="142"/>
      <c r="E248" s="143"/>
      <c r="F248" s="144"/>
      <c r="G248" s="1" t="str">
        <f>IFERROR(IF(ventas_b_mes5[[#This Row],[CUIT]]="","-",VLOOKUP(ventas_b_mes5[[#This Row],[CUIT]],Lista_CUIT[#All],2,0)),"CUIT NO CARGADO")</f>
        <v>-</v>
      </c>
      <c r="H248" s="64"/>
      <c r="I248" s="145">
        <f>ventas_b_mes5[[#This Row],[IMPORTE NETO]]*0.21</f>
        <v>0</v>
      </c>
      <c r="J248" s="146"/>
      <c r="K248" s="146"/>
      <c r="L248" s="146">
        <f>SUM(ventas_b_mes5[[#This Row],[IMPORTE NETO]:[EXENTO]])</f>
        <v>0</v>
      </c>
      <c r="M248" s="59"/>
    </row>
    <row r="249" spans="2:13">
      <c r="B249" s="140"/>
      <c r="C249" s="41"/>
      <c r="D249" s="142"/>
      <c r="E249" s="143"/>
      <c r="F249" s="144"/>
      <c r="G249" s="1" t="str">
        <f>IFERROR(IF(ventas_b_mes5[[#This Row],[CUIT]]="","-",VLOOKUP(ventas_b_mes5[[#This Row],[CUIT]],Lista_CUIT[#All],2,0)),"CUIT NO CARGADO")</f>
        <v>-</v>
      </c>
      <c r="H249" s="64"/>
      <c r="I249" s="145">
        <f>ventas_b_mes5[[#This Row],[IMPORTE NETO]]*0.21</f>
        <v>0</v>
      </c>
      <c r="J249" s="146"/>
      <c r="K249" s="146"/>
      <c r="L249" s="146">
        <f>SUM(ventas_b_mes5[[#This Row],[IMPORTE NETO]:[EXENTO]])</f>
        <v>0</v>
      </c>
      <c r="M249" s="59"/>
    </row>
    <row r="250" spans="2:13">
      <c r="B250" s="140"/>
      <c r="C250" s="41"/>
      <c r="D250" s="142"/>
      <c r="E250" s="143"/>
      <c r="F250" s="144"/>
      <c r="G250" s="1" t="str">
        <f>IFERROR(IF(ventas_b_mes5[[#This Row],[CUIT]]="","-",VLOOKUP(ventas_b_mes5[[#This Row],[CUIT]],Lista_CUIT[#All],2,0)),"CUIT NO CARGADO")</f>
        <v>-</v>
      </c>
      <c r="H250" s="64"/>
      <c r="I250" s="145">
        <f>ventas_b_mes5[[#This Row],[IMPORTE NETO]]*0.21</f>
        <v>0</v>
      </c>
      <c r="J250" s="146"/>
      <c r="K250" s="146"/>
      <c r="L250" s="146">
        <f>SUM(ventas_b_mes5[[#This Row],[IMPORTE NETO]:[EXENTO]])</f>
        <v>0</v>
      </c>
      <c r="M250" s="59"/>
    </row>
    <row r="251" spans="2:13">
      <c r="B251" s="140"/>
      <c r="C251" s="41"/>
      <c r="D251" s="142"/>
      <c r="E251" s="143"/>
      <c r="F251" s="144"/>
      <c r="G251" s="1" t="str">
        <f>IFERROR(IF(ventas_b_mes5[[#This Row],[CUIT]]="","-",VLOOKUP(ventas_b_mes5[[#This Row],[CUIT]],Lista_CUIT[#All],2,0)),"CUIT NO CARGADO")</f>
        <v>-</v>
      </c>
      <c r="H251" s="64"/>
      <c r="I251" s="145">
        <f>ventas_b_mes5[[#This Row],[IMPORTE NETO]]*0.21</f>
        <v>0</v>
      </c>
      <c r="J251" s="146"/>
      <c r="K251" s="146"/>
      <c r="L251" s="146">
        <f>SUM(ventas_b_mes5[[#This Row],[IMPORTE NETO]:[EXENTO]])</f>
        <v>0</v>
      </c>
      <c r="M251" s="59"/>
    </row>
    <row r="252" spans="2:13">
      <c r="B252" s="140"/>
      <c r="C252" s="41"/>
      <c r="D252" s="142"/>
      <c r="E252" s="143"/>
      <c r="F252" s="144"/>
      <c r="G252" s="1" t="str">
        <f>IFERROR(IF(ventas_b_mes5[[#This Row],[CUIT]]="","-",VLOOKUP(ventas_b_mes5[[#This Row],[CUIT]],Lista_CUIT[#All],2,0)),"CUIT NO CARGADO")</f>
        <v>-</v>
      </c>
      <c r="H252" s="64"/>
      <c r="I252" s="145">
        <f>ventas_b_mes5[[#This Row],[IMPORTE NETO]]*0.21</f>
        <v>0</v>
      </c>
      <c r="J252" s="146"/>
      <c r="K252" s="146"/>
      <c r="L252" s="146">
        <f>SUM(ventas_b_mes5[[#This Row],[IMPORTE NETO]:[EXENTO]])</f>
        <v>0</v>
      </c>
      <c r="M252" s="59"/>
    </row>
    <row r="253" spans="2:13">
      <c r="B253" s="140"/>
      <c r="C253" s="41"/>
      <c r="D253" s="142"/>
      <c r="E253" s="143"/>
      <c r="F253" s="144"/>
      <c r="G253" s="1" t="str">
        <f>IFERROR(IF(ventas_b_mes5[[#This Row],[CUIT]]="","-",VLOOKUP(ventas_b_mes5[[#This Row],[CUIT]],Lista_CUIT[#All],2,0)),"CUIT NO CARGADO")</f>
        <v>-</v>
      </c>
      <c r="H253" s="64"/>
      <c r="I253" s="145">
        <f>ventas_b_mes5[[#This Row],[IMPORTE NETO]]*0.21</f>
        <v>0</v>
      </c>
      <c r="J253" s="146"/>
      <c r="K253" s="146"/>
      <c r="L253" s="146">
        <f>SUM(ventas_b_mes5[[#This Row],[IMPORTE NETO]:[EXENTO]])</f>
        <v>0</v>
      </c>
      <c r="M253" s="59"/>
    </row>
    <row r="254" spans="2:13">
      <c r="B254" s="140"/>
      <c r="C254" s="41"/>
      <c r="D254" s="142"/>
      <c r="E254" s="143"/>
      <c r="F254" s="144"/>
      <c r="G254" s="1" t="str">
        <f>IFERROR(IF(ventas_b_mes5[[#This Row],[CUIT]]="","-",VLOOKUP(ventas_b_mes5[[#This Row],[CUIT]],Lista_CUIT[#All],2,0)),"CUIT NO CARGADO")</f>
        <v>-</v>
      </c>
      <c r="H254" s="64"/>
      <c r="I254" s="145">
        <f>ventas_b_mes5[[#This Row],[IMPORTE NETO]]*0.21</f>
        <v>0</v>
      </c>
      <c r="J254" s="146"/>
      <c r="K254" s="146"/>
      <c r="L254" s="146">
        <f>SUM(ventas_b_mes5[[#This Row],[IMPORTE NETO]:[EXENTO]])</f>
        <v>0</v>
      </c>
      <c r="M254" s="59"/>
    </row>
    <row r="255" spans="2:13">
      <c r="B255" s="140"/>
      <c r="C255" s="41"/>
      <c r="D255" s="142"/>
      <c r="E255" s="143"/>
      <c r="F255" s="144"/>
      <c r="G255" s="1" t="str">
        <f>IFERROR(IF(ventas_b_mes5[[#This Row],[CUIT]]="","-",VLOOKUP(ventas_b_mes5[[#This Row],[CUIT]],Lista_CUIT[#All],2,0)),"CUIT NO CARGADO")</f>
        <v>-</v>
      </c>
      <c r="H255" s="64"/>
      <c r="I255" s="145">
        <f>ventas_b_mes5[[#This Row],[IMPORTE NETO]]*0.21</f>
        <v>0</v>
      </c>
      <c r="J255" s="146"/>
      <c r="K255" s="146"/>
      <c r="L255" s="146">
        <f>SUM(ventas_b_mes5[[#This Row],[IMPORTE NETO]:[EXENTO]])</f>
        <v>0</v>
      </c>
      <c r="M255" s="59"/>
    </row>
    <row r="256" spans="2:13">
      <c r="B256" s="140"/>
      <c r="C256" s="41"/>
      <c r="D256" s="142"/>
      <c r="E256" s="143"/>
      <c r="F256" s="144"/>
      <c r="G256" s="1" t="str">
        <f>IFERROR(IF(ventas_b_mes5[[#This Row],[CUIT]]="","-",VLOOKUP(ventas_b_mes5[[#This Row],[CUIT]],Lista_CUIT[#All],2,0)),"CUIT NO CARGADO")</f>
        <v>-</v>
      </c>
      <c r="H256" s="64"/>
      <c r="I256" s="145">
        <f>ventas_b_mes5[[#This Row],[IMPORTE NETO]]*0.21</f>
        <v>0</v>
      </c>
      <c r="J256" s="146"/>
      <c r="K256" s="146"/>
      <c r="L256" s="146">
        <f>SUM(ventas_b_mes5[[#This Row],[IMPORTE NETO]:[EXENTO]])</f>
        <v>0</v>
      </c>
      <c r="M256" s="59"/>
    </row>
    <row r="257" spans="2:13">
      <c r="B257" s="140"/>
      <c r="C257" s="41"/>
      <c r="D257" s="142"/>
      <c r="E257" s="143"/>
      <c r="F257" s="144"/>
      <c r="G257" s="1" t="str">
        <f>IFERROR(IF(ventas_b_mes5[[#This Row],[CUIT]]="","-",VLOOKUP(ventas_b_mes5[[#This Row],[CUIT]],Lista_CUIT[#All],2,0)),"CUIT NO CARGADO")</f>
        <v>-</v>
      </c>
      <c r="H257" s="64"/>
      <c r="I257" s="145">
        <f>ventas_b_mes5[[#This Row],[IMPORTE NETO]]*0.21</f>
        <v>0</v>
      </c>
      <c r="J257" s="146"/>
      <c r="K257" s="146"/>
      <c r="L257" s="146">
        <f>SUM(ventas_b_mes5[[#This Row],[IMPORTE NETO]:[EXENTO]])</f>
        <v>0</v>
      </c>
      <c r="M257" s="59"/>
    </row>
    <row r="258" spans="2:13">
      <c r="B258" s="140"/>
      <c r="C258" s="41"/>
      <c r="D258" s="142"/>
      <c r="E258" s="143"/>
      <c r="F258" s="144"/>
      <c r="G258" s="1" t="str">
        <f>IFERROR(IF(ventas_b_mes5[[#This Row],[CUIT]]="","-",VLOOKUP(ventas_b_mes5[[#This Row],[CUIT]],Lista_CUIT[#All],2,0)),"CUIT NO CARGADO")</f>
        <v>-</v>
      </c>
      <c r="H258" s="64"/>
      <c r="I258" s="145">
        <f>ventas_b_mes5[[#This Row],[IMPORTE NETO]]*0.21</f>
        <v>0</v>
      </c>
      <c r="J258" s="146"/>
      <c r="K258" s="146"/>
      <c r="L258" s="146">
        <f>SUM(ventas_b_mes5[[#This Row],[IMPORTE NETO]:[EXENTO]])</f>
        <v>0</v>
      </c>
      <c r="M258" s="59"/>
    </row>
    <row r="259" spans="2:13">
      <c r="B259" s="140"/>
      <c r="C259" s="41"/>
      <c r="D259" s="142"/>
      <c r="E259" s="143"/>
      <c r="F259" s="144"/>
      <c r="G259" s="1" t="str">
        <f>IFERROR(IF(ventas_b_mes5[[#This Row],[CUIT]]="","-",VLOOKUP(ventas_b_mes5[[#This Row],[CUIT]],Lista_CUIT[#All],2,0)),"CUIT NO CARGADO")</f>
        <v>-</v>
      </c>
      <c r="H259" s="64"/>
      <c r="I259" s="145">
        <f>ventas_b_mes5[[#This Row],[IMPORTE NETO]]*0.21</f>
        <v>0</v>
      </c>
      <c r="J259" s="146"/>
      <c r="K259" s="146"/>
      <c r="L259" s="146">
        <f>SUM(ventas_b_mes5[[#This Row],[IMPORTE NETO]:[EXENTO]])</f>
        <v>0</v>
      </c>
      <c r="M259" s="59"/>
    </row>
    <row r="260" spans="2:13">
      <c r="B260" s="140"/>
      <c r="C260" s="41"/>
      <c r="D260" s="142"/>
      <c r="E260" s="143"/>
      <c r="F260" s="144"/>
      <c r="G260" s="1" t="str">
        <f>IFERROR(IF(ventas_b_mes5[[#This Row],[CUIT]]="","-",VLOOKUP(ventas_b_mes5[[#This Row],[CUIT]],Lista_CUIT[#All],2,0)),"CUIT NO CARGADO")</f>
        <v>-</v>
      </c>
      <c r="H260" s="64"/>
      <c r="I260" s="145">
        <f>ventas_b_mes5[[#This Row],[IMPORTE NETO]]*0.21</f>
        <v>0</v>
      </c>
      <c r="J260" s="146"/>
      <c r="K260" s="146"/>
      <c r="L260" s="146">
        <f>SUM(ventas_b_mes5[[#This Row],[IMPORTE NETO]:[EXENTO]])</f>
        <v>0</v>
      </c>
      <c r="M260" s="59"/>
    </row>
    <row r="261" spans="2:13">
      <c r="B261" s="140"/>
      <c r="C261" s="41"/>
      <c r="D261" s="142"/>
      <c r="E261" s="143"/>
      <c r="F261" s="144"/>
      <c r="G261" s="1" t="str">
        <f>IFERROR(IF(ventas_b_mes5[[#This Row],[CUIT]]="","-",VLOOKUP(ventas_b_mes5[[#This Row],[CUIT]],Lista_CUIT[#All],2,0)),"CUIT NO CARGADO")</f>
        <v>-</v>
      </c>
      <c r="H261" s="64"/>
      <c r="I261" s="145">
        <f>ventas_b_mes5[[#This Row],[IMPORTE NETO]]*0.21</f>
        <v>0</v>
      </c>
      <c r="J261" s="146"/>
      <c r="K261" s="146"/>
      <c r="L261" s="146">
        <f>SUM(ventas_b_mes5[[#This Row],[IMPORTE NETO]:[EXENTO]])</f>
        <v>0</v>
      </c>
      <c r="M261" s="59"/>
    </row>
    <row r="262" spans="2:13">
      <c r="B262" s="140"/>
      <c r="C262" s="41"/>
      <c r="D262" s="142"/>
      <c r="E262" s="143"/>
      <c r="F262" s="144"/>
      <c r="G262" s="1" t="str">
        <f>IFERROR(IF(ventas_b_mes5[[#This Row],[CUIT]]="","-",VLOOKUP(ventas_b_mes5[[#This Row],[CUIT]],Lista_CUIT[#All],2,0)),"CUIT NO CARGADO")</f>
        <v>-</v>
      </c>
      <c r="H262" s="64"/>
      <c r="I262" s="145">
        <f>ventas_b_mes5[[#This Row],[IMPORTE NETO]]*0.21</f>
        <v>0</v>
      </c>
      <c r="J262" s="146"/>
      <c r="K262" s="146"/>
      <c r="L262" s="146">
        <f>SUM(ventas_b_mes5[[#This Row],[IMPORTE NETO]:[EXENTO]])</f>
        <v>0</v>
      </c>
      <c r="M262" s="59"/>
    </row>
    <row r="263" spans="2:13">
      <c r="B263" s="140"/>
      <c r="C263" s="41"/>
      <c r="D263" s="142"/>
      <c r="E263" s="143"/>
      <c r="F263" s="144"/>
      <c r="G263" s="1" t="str">
        <f>IFERROR(IF(ventas_b_mes5[[#This Row],[CUIT]]="","-",VLOOKUP(ventas_b_mes5[[#This Row],[CUIT]],Lista_CUIT[#All],2,0)),"CUIT NO CARGADO")</f>
        <v>-</v>
      </c>
      <c r="H263" s="64"/>
      <c r="I263" s="145">
        <f>ventas_b_mes5[[#This Row],[IMPORTE NETO]]*0.21</f>
        <v>0</v>
      </c>
      <c r="J263" s="146"/>
      <c r="K263" s="146"/>
      <c r="L263" s="146">
        <f>SUM(ventas_b_mes5[[#This Row],[IMPORTE NETO]:[EXENTO]])</f>
        <v>0</v>
      </c>
      <c r="M263" s="59"/>
    </row>
    <row r="264" spans="2:13">
      <c r="B264" s="140"/>
      <c r="C264" s="41"/>
      <c r="D264" s="142"/>
      <c r="E264" s="143"/>
      <c r="F264" s="144"/>
      <c r="G264" s="1" t="str">
        <f>IFERROR(IF(ventas_b_mes5[[#This Row],[CUIT]]="","-",VLOOKUP(ventas_b_mes5[[#This Row],[CUIT]],Lista_CUIT[#All],2,0)),"CUIT NO CARGADO")</f>
        <v>-</v>
      </c>
      <c r="H264" s="64"/>
      <c r="I264" s="145">
        <f>ventas_b_mes5[[#This Row],[IMPORTE NETO]]*0.21</f>
        <v>0</v>
      </c>
      <c r="J264" s="146"/>
      <c r="K264" s="146"/>
      <c r="L264" s="146">
        <f>SUM(ventas_b_mes5[[#This Row],[IMPORTE NETO]:[EXENTO]])</f>
        <v>0</v>
      </c>
      <c r="M264" s="59"/>
    </row>
    <row r="265" spans="2:13">
      <c r="B265" s="140"/>
      <c r="C265" s="41"/>
      <c r="D265" s="142"/>
      <c r="E265" s="143"/>
      <c r="F265" s="144"/>
      <c r="G265" s="1" t="str">
        <f>IFERROR(IF(ventas_b_mes5[[#This Row],[CUIT]]="","-",VLOOKUP(ventas_b_mes5[[#This Row],[CUIT]],Lista_CUIT[#All],2,0)),"CUIT NO CARGADO")</f>
        <v>-</v>
      </c>
      <c r="H265" s="64"/>
      <c r="I265" s="145">
        <f>ventas_b_mes5[[#This Row],[IMPORTE NETO]]*0.21</f>
        <v>0</v>
      </c>
      <c r="J265" s="146"/>
      <c r="K265" s="146"/>
      <c r="L265" s="146">
        <f>SUM(ventas_b_mes5[[#This Row],[IMPORTE NETO]:[EXENTO]])</f>
        <v>0</v>
      </c>
      <c r="M265" s="59"/>
    </row>
    <row r="266" spans="2:13">
      <c r="B266" s="140"/>
      <c r="C266" s="41"/>
      <c r="D266" s="142"/>
      <c r="E266" s="143"/>
      <c r="F266" s="144"/>
      <c r="G266" s="1" t="str">
        <f>IFERROR(IF(ventas_b_mes5[[#This Row],[CUIT]]="","-",VLOOKUP(ventas_b_mes5[[#This Row],[CUIT]],Lista_CUIT[#All],2,0)),"CUIT NO CARGADO")</f>
        <v>-</v>
      </c>
      <c r="H266" s="64"/>
      <c r="I266" s="145">
        <f>ventas_b_mes5[[#This Row],[IMPORTE NETO]]*0.21</f>
        <v>0</v>
      </c>
      <c r="J266" s="146"/>
      <c r="K266" s="146"/>
      <c r="L266" s="146">
        <f>SUM(ventas_b_mes5[[#This Row],[IMPORTE NETO]:[EXENTO]])</f>
        <v>0</v>
      </c>
      <c r="M266" s="59"/>
    </row>
    <row r="267" spans="2:13">
      <c r="B267" s="140"/>
      <c r="C267" s="41"/>
      <c r="D267" s="142"/>
      <c r="E267" s="143"/>
      <c r="F267" s="144"/>
      <c r="G267" s="1" t="str">
        <f>IFERROR(IF(ventas_b_mes5[[#This Row],[CUIT]]="","-",VLOOKUP(ventas_b_mes5[[#This Row],[CUIT]],Lista_CUIT[#All],2,0)),"CUIT NO CARGADO")</f>
        <v>-</v>
      </c>
      <c r="H267" s="64"/>
      <c r="I267" s="145">
        <f>ventas_b_mes5[[#This Row],[IMPORTE NETO]]*0.21</f>
        <v>0</v>
      </c>
      <c r="J267" s="146"/>
      <c r="K267" s="146"/>
      <c r="L267" s="146">
        <f>SUM(ventas_b_mes5[[#This Row],[IMPORTE NETO]:[EXENTO]])</f>
        <v>0</v>
      </c>
      <c r="M267" s="59"/>
    </row>
    <row r="268" spans="2:13">
      <c r="B268" s="140"/>
      <c r="C268" s="41"/>
      <c r="D268" s="142"/>
      <c r="E268" s="143"/>
      <c r="F268" s="144"/>
      <c r="G268" s="1" t="str">
        <f>IFERROR(IF(ventas_b_mes5[[#This Row],[CUIT]]="","-",VLOOKUP(ventas_b_mes5[[#This Row],[CUIT]],Lista_CUIT[#All],2,0)),"CUIT NO CARGADO")</f>
        <v>-</v>
      </c>
      <c r="H268" s="64"/>
      <c r="I268" s="145">
        <f>ventas_b_mes5[[#This Row],[IMPORTE NETO]]*0.21</f>
        <v>0</v>
      </c>
      <c r="J268" s="146"/>
      <c r="K268" s="146"/>
      <c r="L268" s="146">
        <f>SUM(ventas_b_mes5[[#This Row],[IMPORTE NETO]:[EXENTO]])</f>
        <v>0</v>
      </c>
      <c r="M268" s="59"/>
    </row>
    <row r="269" spans="2:13">
      <c r="B269" s="140"/>
      <c r="C269" s="41"/>
      <c r="D269" s="142"/>
      <c r="E269" s="143"/>
      <c r="F269" s="144"/>
      <c r="G269" s="1" t="str">
        <f>IFERROR(IF(ventas_b_mes5[[#This Row],[CUIT]]="","-",VLOOKUP(ventas_b_mes5[[#This Row],[CUIT]],Lista_CUIT[#All],2,0)),"CUIT NO CARGADO")</f>
        <v>-</v>
      </c>
      <c r="H269" s="64"/>
      <c r="I269" s="145">
        <f>ventas_b_mes5[[#This Row],[IMPORTE NETO]]*0.21</f>
        <v>0</v>
      </c>
      <c r="J269" s="146"/>
      <c r="K269" s="146"/>
      <c r="L269" s="146">
        <f>SUM(ventas_b_mes5[[#This Row],[IMPORTE NETO]:[EXENTO]])</f>
        <v>0</v>
      </c>
      <c r="M269" s="59"/>
    </row>
    <row r="270" spans="2:13">
      <c r="B270" s="140"/>
      <c r="C270" s="41"/>
      <c r="D270" s="142"/>
      <c r="E270" s="143"/>
      <c r="F270" s="144"/>
      <c r="G270" s="1" t="str">
        <f>IFERROR(IF(ventas_b_mes5[[#This Row],[CUIT]]="","-",VLOOKUP(ventas_b_mes5[[#This Row],[CUIT]],Lista_CUIT[#All],2,0)),"CUIT NO CARGADO")</f>
        <v>-</v>
      </c>
      <c r="H270" s="64"/>
      <c r="I270" s="145">
        <f>ventas_b_mes5[[#This Row],[IMPORTE NETO]]*0.21</f>
        <v>0</v>
      </c>
      <c r="J270" s="146"/>
      <c r="K270" s="146"/>
      <c r="L270" s="146">
        <f>SUM(ventas_b_mes5[[#This Row],[IMPORTE NETO]:[EXENTO]])</f>
        <v>0</v>
      </c>
      <c r="M270" s="59"/>
    </row>
    <row r="271" spans="2:13">
      <c r="B271" s="140"/>
      <c r="C271" s="41"/>
      <c r="D271" s="142"/>
      <c r="E271" s="143"/>
      <c r="F271" s="144"/>
      <c r="G271" s="1" t="str">
        <f>IFERROR(IF(ventas_b_mes5[[#This Row],[CUIT]]="","-",VLOOKUP(ventas_b_mes5[[#This Row],[CUIT]],Lista_CUIT[#All],2,0)),"CUIT NO CARGADO")</f>
        <v>-</v>
      </c>
      <c r="H271" s="64"/>
      <c r="I271" s="145">
        <f>ventas_b_mes5[[#This Row],[IMPORTE NETO]]*0.21</f>
        <v>0</v>
      </c>
      <c r="J271" s="146"/>
      <c r="K271" s="146"/>
      <c r="L271" s="146">
        <f>SUM(ventas_b_mes5[[#This Row],[IMPORTE NETO]:[EXENTO]])</f>
        <v>0</v>
      </c>
      <c r="M271" s="59"/>
    </row>
    <row r="272" spans="2:13">
      <c r="B272" s="140"/>
      <c r="C272" s="41"/>
      <c r="D272" s="142"/>
      <c r="E272" s="143"/>
      <c r="F272" s="144"/>
      <c r="G272" s="1" t="str">
        <f>IFERROR(IF(ventas_b_mes5[[#This Row],[CUIT]]="","-",VLOOKUP(ventas_b_mes5[[#This Row],[CUIT]],Lista_CUIT[#All],2,0)),"CUIT NO CARGADO")</f>
        <v>-</v>
      </c>
      <c r="H272" s="64"/>
      <c r="I272" s="145">
        <f>ventas_b_mes5[[#This Row],[IMPORTE NETO]]*0.21</f>
        <v>0</v>
      </c>
      <c r="J272" s="146"/>
      <c r="K272" s="146"/>
      <c r="L272" s="146">
        <f>SUM(ventas_b_mes5[[#This Row],[IMPORTE NETO]:[EXENTO]])</f>
        <v>0</v>
      </c>
      <c r="M272" s="59"/>
    </row>
    <row r="273" spans="2:13">
      <c r="B273" s="140"/>
      <c r="C273" s="41"/>
      <c r="D273" s="142"/>
      <c r="E273" s="143"/>
      <c r="F273" s="144"/>
      <c r="G273" s="1" t="str">
        <f>IFERROR(IF(ventas_b_mes5[[#This Row],[CUIT]]="","-",VLOOKUP(ventas_b_mes5[[#This Row],[CUIT]],Lista_CUIT[#All],2,0)),"CUIT NO CARGADO")</f>
        <v>-</v>
      </c>
      <c r="H273" s="64"/>
      <c r="I273" s="145">
        <f>ventas_b_mes5[[#This Row],[IMPORTE NETO]]*0.21</f>
        <v>0</v>
      </c>
      <c r="J273" s="146"/>
      <c r="K273" s="146"/>
      <c r="L273" s="146">
        <f>SUM(ventas_b_mes5[[#This Row],[IMPORTE NETO]:[EXENTO]])</f>
        <v>0</v>
      </c>
      <c r="M273" s="59"/>
    </row>
    <row r="274" spans="2:13">
      <c r="B274" s="140"/>
      <c r="C274" s="41"/>
      <c r="D274" s="142"/>
      <c r="E274" s="143"/>
      <c r="F274" s="144"/>
      <c r="G274" s="1" t="str">
        <f>IFERROR(IF(ventas_b_mes5[[#This Row],[CUIT]]="","-",VLOOKUP(ventas_b_mes5[[#This Row],[CUIT]],Lista_CUIT[#All],2,0)),"CUIT NO CARGADO")</f>
        <v>-</v>
      </c>
      <c r="H274" s="64"/>
      <c r="I274" s="145">
        <f>ventas_b_mes5[[#This Row],[IMPORTE NETO]]*0.21</f>
        <v>0</v>
      </c>
      <c r="J274" s="146"/>
      <c r="K274" s="146"/>
      <c r="L274" s="146">
        <f>SUM(ventas_b_mes5[[#This Row],[IMPORTE NETO]:[EXENTO]])</f>
        <v>0</v>
      </c>
      <c r="M274" s="59"/>
    </row>
    <row r="275" spans="2:13">
      <c r="B275" s="140"/>
      <c r="C275" s="41"/>
      <c r="D275" s="142"/>
      <c r="E275" s="143"/>
      <c r="F275" s="144"/>
      <c r="G275" s="1" t="str">
        <f>IFERROR(IF(ventas_b_mes5[[#This Row],[CUIT]]="","-",VLOOKUP(ventas_b_mes5[[#This Row],[CUIT]],Lista_CUIT[#All],2,0)),"CUIT NO CARGADO")</f>
        <v>-</v>
      </c>
      <c r="H275" s="64"/>
      <c r="I275" s="145">
        <f>ventas_b_mes5[[#This Row],[IMPORTE NETO]]*0.21</f>
        <v>0</v>
      </c>
      <c r="J275" s="146"/>
      <c r="K275" s="146"/>
      <c r="L275" s="146">
        <f>SUM(ventas_b_mes5[[#This Row],[IMPORTE NETO]:[EXENTO]])</f>
        <v>0</v>
      </c>
      <c r="M275" s="59"/>
    </row>
    <row r="276" spans="2:13">
      <c r="B276" s="140"/>
      <c r="C276" s="41"/>
      <c r="D276" s="142"/>
      <c r="E276" s="143"/>
      <c r="F276" s="144"/>
      <c r="G276" s="1" t="str">
        <f>IFERROR(IF(ventas_b_mes5[[#This Row],[CUIT]]="","-",VLOOKUP(ventas_b_mes5[[#This Row],[CUIT]],Lista_CUIT[#All],2,0)),"CUIT NO CARGADO")</f>
        <v>-</v>
      </c>
      <c r="H276" s="64"/>
      <c r="I276" s="145">
        <f>ventas_b_mes5[[#This Row],[IMPORTE NETO]]*0.21</f>
        <v>0</v>
      </c>
      <c r="J276" s="146"/>
      <c r="K276" s="146"/>
      <c r="L276" s="146">
        <f>SUM(ventas_b_mes5[[#This Row],[IMPORTE NETO]:[EXENTO]])</f>
        <v>0</v>
      </c>
      <c r="M276" s="59"/>
    </row>
    <row r="277" spans="2:13">
      <c r="B277" s="140"/>
      <c r="C277" s="41"/>
      <c r="D277" s="142"/>
      <c r="E277" s="143"/>
      <c r="F277" s="144"/>
      <c r="G277" s="1" t="str">
        <f>IFERROR(IF(ventas_b_mes5[[#This Row],[CUIT]]="","-",VLOOKUP(ventas_b_mes5[[#This Row],[CUIT]],Lista_CUIT[#All],2,0)),"CUIT NO CARGADO")</f>
        <v>-</v>
      </c>
      <c r="H277" s="64"/>
      <c r="I277" s="145">
        <f>ventas_b_mes5[[#This Row],[IMPORTE NETO]]*0.21</f>
        <v>0</v>
      </c>
      <c r="J277" s="146"/>
      <c r="K277" s="146"/>
      <c r="L277" s="146">
        <f>SUM(ventas_b_mes5[[#This Row],[IMPORTE NETO]:[EXENTO]])</f>
        <v>0</v>
      </c>
      <c r="M277" s="59"/>
    </row>
    <row r="278" spans="2:13">
      <c r="B278" s="140"/>
      <c r="C278" s="41"/>
      <c r="D278" s="142"/>
      <c r="E278" s="143"/>
      <c r="F278" s="144"/>
      <c r="G278" s="1" t="str">
        <f>IFERROR(IF(ventas_b_mes5[[#This Row],[CUIT]]="","-",VLOOKUP(ventas_b_mes5[[#This Row],[CUIT]],Lista_CUIT[#All],2,0)),"CUIT NO CARGADO")</f>
        <v>-</v>
      </c>
      <c r="H278" s="64"/>
      <c r="I278" s="145">
        <f>ventas_b_mes5[[#This Row],[IMPORTE NETO]]*0.21</f>
        <v>0</v>
      </c>
      <c r="J278" s="146"/>
      <c r="K278" s="146"/>
      <c r="L278" s="146">
        <f>SUM(ventas_b_mes5[[#This Row],[IMPORTE NETO]:[EXENTO]])</f>
        <v>0</v>
      </c>
      <c r="M278" s="59"/>
    </row>
    <row r="279" spans="2:13">
      <c r="B279" s="140"/>
      <c r="C279" s="41"/>
      <c r="D279" s="142"/>
      <c r="E279" s="143"/>
      <c r="F279" s="144"/>
      <c r="G279" s="1" t="str">
        <f>IFERROR(IF(ventas_b_mes5[[#This Row],[CUIT]]="","-",VLOOKUP(ventas_b_mes5[[#This Row],[CUIT]],Lista_CUIT[#All],2,0)),"CUIT NO CARGADO")</f>
        <v>-</v>
      </c>
      <c r="H279" s="64"/>
      <c r="I279" s="145">
        <f>ventas_b_mes5[[#This Row],[IMPORTE NETO]]*0.21</f>
        <v>0</v>
      </c>
      <c r="J279" s="146"/>
      <c r="K279" s="146"/>
      <c r="L279" s="146">
        <f>SUM(ventas_b_mes5[[#This Row],[IMPORTE NETO]:[EXENTO]])</f>
        <v>0</v>
      </c>
      <c r="M279" s="59"/>
    </row>
    <row r="280" spans="2:13">
      <c r="B280" s="140"/>
      <c r="C280" s="41"/>
      <c r="D280" s="142"/>
      <c r="E280" s="143"/>
      <c r="F280" s="144"/>
      <c r="G280" s="1" t="str">
        <f>IFERROR(IF(ventas_b_mes5[[#This Row],[CUIT]]="","-",VLOOKUP(ventas_b_mes5[[#This Row],[CUIT]],Lista_CUIT[#All],2,0)),"CUIT NO CARGADO")</f>
        <v>-</v>
      </c>
      <c r="H280" s="64"/>
      <c r="I280" s="145">
        <f>ventas_b_mes5[[#This Row],[IMPORTE NETO]]*0.21</f>
        <v>0</v>
      </c>
      <c r="J280" s="146"/>
      <c r="K280" s="146"/>
      <c r="L280" s="146">
        <f>SUM(ventas_b_mes5[[#This Row],[IMPORTE NETO]:[EXENTO]])</f>
        <v>0</v>
      </c>
      <c r="M280" s="59"/>
    </row>
    <row r="281" spans="2:13">
      <c r="B281" s="140"/>
      <c r="C281" s="41"/>
      <c r="D281" s="142"/>
      <c r="E281" s="143"/>
      <c r="F281" s="144"/>
      <c r="G281" s="1" t="str">
        <f>IFERROR(IF(ventas_b_mes5[[#This Row],[CUIT]]="","-",VLOOKUP(ventas_b_mes5[[#This Row],[CUIT]],Lista_CUIT[#All],2,0)),"CUIT NO CARGADO")</f>
        <v>-</v>
      </c>
      <c r="H281" s="64"/>
      <c r="I281" s="145">
        <f>ventas_b_mes5[[#This Row],[IMPORTE NETO]]*0.21</f>
        <v>0</v>
      </c>
      <c r="J281" s="146"/>
      <c r="K281" s="146"/>
      <c r="L281" s="146">
        <f>SUM(ventas_b_mes5[[#This Row],[IMPORTE NETO]:[EXENTO]])</f>
        <v>0</v>
      </c>
      <c r="M281" s="59"/>
    </row>
    <row r="282" spans="2:13">
      <c r="B282" s="140"/>
      <c r="C282" s="41"/>
      <c r="D282" s="142"/>
      <c r="E282" s="143"/>
      <c r="F282" s="144"/>
      <c r="G282" s="1" t="str">
        <f>IFERROR(IF(ventas_b_mes5[[#This Row],[CUIT]]="","-",VLOOKUP(ventas_b_mes5[[#This Row],[CUIT]],Lista_CUIT[#All],2,0)),"CUIT NO CARGADO")</f>
        <v>-</v>
      </c>
      <c r="H282" s="64"/>
      <c r="I282" s="145">
        <f>ventas_b_mes5[[#This Row],[IMPORTE NETO]]*0.21</f>
        <v>0</v>
      </c>
      <c r="J282" s="146"/>
      <c r="K282" s="146"/>
      <c r="L282" s="146">
        <f>SUM(ventas_b_mes5[[#This Row],[IMPORTE NETO]:[EXENTO]])</f>
        <v>0</v>
      </c>
      <c r="M282" s="59"/>
    </row>
    <row r="283" spans="2:13">
      <c r="B283" s="140"/>
      <c r="C283" s="41"/>
      <c r="D283" s="142"/>
      <c r="E283" s="143"/>
      <c r="F283" s="144"/>
      <c r="G283" s="1" t="str">
        <f>IFERROR(IF(ventas_b_mes5[[#This Row],[CUIT]]="","-",VLOOKUP(ventas_b_mes5[[#This Row],[CUIT]],Lista_CUIT[#All],2,0)),"CUIT NO CARGADO")</f>
        <v>-</v>
      </c>
      <c r="H283" s="64"/>
      <c r="I283" s="145">
        <f>ventas_b_mes5[[#This Row],[IMPORTE NETO]]*0.21</f>
        <v>0</v>
      </c>
      <c r="J283" s="146"/>
      <c r="K283" s="146"/>
      <c r="L283" s="146">
        <f>SUM(ventas_b_mes5[[#This Row],[IMPORTE NETO]:[EXENTO]])</f>
        <v>0</v>
      </c>
      <c r="M283" s="59"/>
    </row>
    <row r="284" spans="2:13">
      <c r="B284" s="140"/>
      <c r="C284" s="41"/>
      <c r="D284" s="142"/>
      <c r="E284" s="143"/>
      <c r="F284" s="144"/>
      <c r="G284" s="1" t="str">
        <f>IFERROR(IF(ventas_b_mes5[[#This Row],[CUIT]]="","-",VLOOKUP(ventas_b_mes5[[#This Row],[CUIT]],Lista_CUIT[#All],2,0)),"CUIT NO CARGADO")</f>
        <v>-</v>
      </c>
      <c r="H284" s="64"/>
      <c r="I284" s="145">
        <f>ventas_b_mes5[[#This Row],[IMPORTE NETO]]*0.21</f>
        <v>0</v>
      </c>
      <c r="J284" s="146"/>
      <c r="K284" s="146"/>
      <c r="L284" s="146">
        <f>SUM(ventas_b_mes5[[#This Row],[IMPORTE NETO]:[EXENTO]])</f>
        <v>0</v>
      </c>
      <c r="M284" s="59"/>
    </row>
    <row r="285" spans="2:13">
      <c r="B285" s="140"/>
      <c r="C285" s="41"/>
      <c r="D285" s="142"/>
      <c r="E285" s="143"/>
      <c r="F285" s="144"/>
      <c r="G285" s="1" t="str">
        <f>IFERROR(IF(ventas_b_mes5[[#This Row],[CUIT]]="","-",VLOOKUP(ventas_b_mes5[[#This Row],[CUIT]],Lista_CUIT[#All],2,0)),"CUIT NO CARGADO")</f>
        <v>-</v>
      </c>
      <c r="H285" s="64"/>
      <c r="I285" s="145">
        <f>ventas_b_mes5[[#This Row],[IMPORTE NETO]]*0.21</f>
        <v>0</v>
      </c>
      <c r="J285" s="146"/>
      <c r="K285" s="146"/>
      <c r="L285" s="146">
        <f>SUM(ventas_b_mes5[[#This Row],[IMPORTE NETO]:[EXENTO]])</f>
        <v>0</v>
      </c>
      <c r="M285" s="59"/>
    </row>
    <row r="286" spans="2:13">
      <c r="B286" s="140"/>
      <c r="C286" s="41"/>
      <c r="D286" s="142"/>
      <c r="E286" s="143"/>
      <c r="F286" s="144"/>
      <c r="G286" s="1" t="str">
        <f>IFERROR(IF(ventas_b_mes5[[#This Row],[CUIT]]="","-",VLOOKUP(ventas_b_mes5[[#This Row],[CUIT]],Lista_CUIT[#All],2,0)),"CUIT NO CARGADO")</f>
        <v>-</v>
      </c>
      <c r="H286" s="64"/>
      <c r="I286" s="145">
        <f>ventas_b_mes5[[#This Row],[IMPORTE NETO]]*0.21</f>
        <v>0</v>
      </c>
      <c r="J286" s="146"/>
      <c r="K286" s="146"/>
      <c r="L286" s="146">
        <f>SUM(ventas_b_mes5[[#This Row],[IMPORTE NETO]:[EXENTO]])</f>
        <v>0</v>
      </c>
      <c r="M286" s="59"/>
    </row>
    <row r="287" spans="2:13">
      <c r="B287" s="140"/>
      <c r="C287" s="41"/>
      <c r="D287" s="142"/>
      <c r="E287" s="143"/>
      <c r="F287" s="144"/>
      <c r="G287" s="1" t="str">
        <f>IFERROR(IF(ventas_b_mes5[[#This Row],[CUIT]]="","-",VLOOKUP(ventas_b_mes5[[#This Row],[CUIT]],Lista_CUIT[#All],2,0)),"CUIT NO CARGADO")</f>
        <v>-</v>
      </c>
      <c r="H287" s="64"/>
      <c r="I287" s="145">
        <f>ventas_b_mes5[[#This Row],[IMPORTE NETO]]*0.21</f>
        <v>0</v>
      </c>
      <c r="J287" s="146"/>
      <c r="K287" s="146"/>
      <c r="L287" s="146">
        <f>SUM(ventas_b_mes5[[#This Row],[IMPORTE NETO]:[EXENTO]])</f>
        <v>0</v>
      </c>
      <c r="M287" s="59"/>
    </row>
    <row r="288" spans="2:13">
      <c r="B288" s="140"/>
      <c r="C288" s="41"/>
      <c r="D288" s="142"/>
      <c r="E288" s="143"/>
      <c r="F288" s="144"/>
      <c r="G288" s="1" t="str">
        <f>IFERROR(IF(ventas_b_mes5[[#This Row],[CUIT]]="","-",VLOOKUP(ventas_b_mes5[[#This Row],[CUIT]],Lista_CUIT[#All],2,0)),"CUIT NO CARGADO")</f>
        <v>-</v>
      </c>
      <c r="H288" s="64"/>
      <c r="I288" s="145">
        <f>ventas_b_mes5[[#This Row],[IMPORTE NETO]]*0.21</f>
        <v>0</v>
      </c>
      <c r="J288" s="146"/>
      <c r="K288" s="146"/>
      <c r="L288" s="146">
        <f>SUM(ventas_b_mes5[[#This Row],[IMPORTE NETO]:[EXENTO]])</f>
        <v>0</v>
      </c>
      <c r="M288" s="59"/>
    </row>
    <row r="289" spans="2:13">
      <c r="B289" s="140"/>
      <c r="C289" s="41"/>
      <c r="D289" s="142"/>
      <c r="E289" s="143"/>
      <c r="F289" s="144"/>
      <c r="G289" s="1" t="str">
        <f>IFERROR(IF(ventas_b_mes5[[#This Row],[CUIT]]="","-",VLOOKUP(ventas_b_mes5[[#This Row],[CUIT]],Lista_CUIT[#All],2,0)),"CUIT NO CARGADO")</f>
        <v>-</v>
      </c>
      <c r="H289" s="64"/>
      <c r="I289" s="145">
        <f>ventas_b_mes5[[#This Row],[IMPORTE NETO]]*0.21</f>
        <v>0</v>
      </c>
      <c r="J289" s="146"/>
      <c r="K289" s="146"/>
      <c r="L289" s="146">
        <f>SUM(ventas_b_mes5[[#This Row],[IMPORTE NETO]:[EXENTO]])</f>
        <v>0</v>
      </c>
      <c r="M289" s="59"/>
    </row>
    <row r="290" spans="2:13">
      <c r="B290" s="140"/>
      <c r="C290" s="41"/>
      <c r="D290" s="142"/>
      <c r="E290" s="143"/>
      <c r="F290" s="144"/>
      <c r="G290" s="1" t="str">
        <f>IFERROR(IF(ventas_b_mes5[[#This Row],[CUIT]]="","-",VLOOKUP(ventas_b_mes5[[#This Row],[CUIT]],Lista_CUIT[#All],2,0)),"CUIT NO CARGADO")</f>
        <v>-</v>
      </c>
      <c r="H290" s="64"/>
      <c r="I290" s="145">
        <f>ventas_b_mes5[[#This Row],[IMPORTE NETO]]*0.21</f>
        <v>0</v>
      </c>
      <c r="J290" s="146"/>
      <c r="K290" s="146"/>
      <c r="L290" s="146">
        <f>SUM(ventas_b_mes5[[#This Row],[IMPORTE NETO]:[EXENTO]])</f>
        <v>0</v>
      </c>
      <c r="M290" s="59"/>
    </row>
    <row r="291" spans="2:13">
      <c r="B291" s="140"/>
      <c r="C291" s="41"/>
      <c r="D291" s="142"/>
      <c r="E291" s="143"/>
      <c r="F291" s="144"/>
      <c r="G291" s="1" t="str">
        <f>IFERROR(IF(ventas_b_mes5[[#This Row],[CUIT]]="","-",VLOOKUP(ventas_b_mes5[[#This Row],[CUIT]],Lista_CUIT[#All],2,0)),"CUIT NO CARGADO")</f>
        <v>-</v>
      </c>
      <c r="H291" s="64"/>
      <c r="I291" s="145">
        <f>ventas_b_mes5[[#This Row],[IMPORTE NETO]]*0.21</f>
        <v>0</v>
      </c>
      <c r="J291" s="146"/>
      <c r="K291" s="146"/>
      <c r="L291" s="146">
        <f>SUM(ventas_b_mes5[[#This Row],[IMPORTE NETO]:[EXENTO]])</f>
        <v>0</v>
      </c>
      <c r="M291" s="59"/>
    </row>
    <row r="292" spans="2:13">
      <c r="B292" s="140"/>
      <c r="C292" s="41"/>
      <c r="D292" s="142"/>
      <c r="E292" s="143"/>
      <c r="F292" s="144"/>
      <c r="G292" s="1" t="str">
        <f>IFERROR(IF(ventas_b_mes5[[#This Row],[CUIT]]="","-",VLOOKUP(ventas_b_mes5[[#This Row],[CUIT]],Lista_CUIT[#All],2,0)),"CUIT NO CARGADO")</f>
        <v>-</v>
      </c>
      <c r="H292" s="64"/>
      <c r="I292" s="145">
        <f>ventas_b_mes5[[#This Row],[IMPORTE NETO]]*0.21</f>
        <v>0</v>
      </c>
      <c r="J292" s="146"/>
      <c r="K292" s="146"/>
      <c r="L292" s="146">
        <f>SUM(ventas_b_mes5[[#This Row],[IMPORTE NETO]:[EXENTO]])</f>
        <v>0</v>
      </c>
      <c r="M292" s="59"/>
    </row>
    <row r="293" spans="2:13">
      <c r="B293" s="140"/>
      <c r="C293" s="41"/>
      <c r="D293" s="142"/>
      <c r="E293" s="143"/>
      <c r="F293" s="144"/>
      <c r="G293" s="1" t="str">
        <f>IFERROR(IF(ventas_b_mes5[[#This Row],[CUIT]]="","-",VLOOKUP(ventas_b_mes5[[#This Row],[CUIT]],Lista_CUIT[#All],2,0)),"CUIT NO CARGADO")</f>
        <v>-</v>
      </c>
      <c r="H293" s="64"/>
      <c r="I293" s="145">
        <f>ventas_b_mes5[[#This Row],[IMPORTE NETO]]*0.21</f>
        <v>0</v>
      </c>
      <c r="J293" s="146"/>
      <c r="K293" s="146"/>
      <c r="L293" s="146">
        <f>SUM(ventas_b_mes5[[#This Row],[IMPORTE NETO]:[EXENTO]])</f>
        <v>0</v>
      </c>
      <c r="M293" s="59"/>
    </row>
    <row r="294" spans="2:13">
      <c r="B294" s="140"/>
      <c r="C294" s="41"/>
      <c r="D294" s="142"/>
      <c r="E294" s="143"/>
      <c r="F294" s="144"/>
      <c r="G294" s="1" t="str">
        <f>IFERROR(IF(ventas_b_mes5[[#This Row],[CUIT]]="","-",VLOOKUP(ventas_b_mes5[[#This Row],[CUIT]],Lista_CUIT[#All],2,0)),"CUIT NO CARGADO")</f>
        <v>-</v>
      </c>
      <c r="H294" s="64"/>
      <c r="I294" s="145">
        <f>ventas_b_mes5[[#This Row],[IMPORTE NETO]]*0.21</f>
        <v>0</v>
      </c>
      <c r="J294" s="146"/>
      <c r="K294" s="146"/>
      <c r="L294" s="146">
        <f>SUM(ventas_b_mes5[[#This Row],[IMPORTE NETO]:[EXENTO]])</f>
        <v>0</v>
      </c>
      <c r="M294" s="59"/>
    </row>
    <row r="295" spans="2:13">
      <c r="B295" s="140"/>
      <c r="C295" s="41"/>
      <c r="D295" s="142"/>
      <c r="E295" s="143"/>
      <c r="F295" s="144"/>
      <c r="G295" s="1" t="str">
        <f>IFERROR(IF(ventas_b_mes5[[#This Row],[CUIT]]="","-",VLOOKUP(ventas_b_mes5[[#This Row],[CUIT]],Lista_CUIT[#All],2,0)),"CUIT NO CARGADO")</f>
        <v>-</v>
      </c>
      <c r="H295" s="64"/>
      <c r="I295" s="145">
        <f>ventas_b_mes5[[#This Row],[IMPORTE NETO]]*0.21</f>
        <v>0</v>
      </c>
      <c r="J295" s="146"/>
      <c r="K295" s="146"/>
      <c r="L295" s="146">
        <f>SUM(ventas_b_mes5[[#This Row],[IMPORTE NETO]:[EXENTO]])</f>
        <v>0</v>
      </c>
      <c r="M295" s="59"/>
    </row>
    <row r="296" spans="2:13">
      <c r="B296" s="140"/>
      <c r="C296" s="41"/>
      <c r="D296" s="142"/>
      <c r="E296" s="143"/>
      <c r="F296" s="144"/>
      <c r="G296" s="1" t="str">
        <f>IFERROR(IF(ventas_b_mes5[[#This Row],[CUIT]]="","-",VLOOKUP(ventas_b_mes5[[#This Row],[CUIT]],Lista_CUIT[#All],2,0)),"CUIT NO CARGADO")</f>
        <v>-</v>
      </c>
      <c r="H296" s="64"/>
      <c r="I296" s="145">
        <f>ventas_b_mes5[[#This Row],[IMPORTE NETO]]*0.21</f>
        <v>0</v>
      </c>
      <c r="J296" s="146"/>
      <c r="K296" s="146"/>
      <c r="L296" s="146">
        <f>SUM(ventas_b_mes5[[#This Row],[IMPORTE NETO]:[EXENTO]])</f>
        <v>0</v>
      </c>
      <c r="M296" s="59"/>
    </row>
    <row r="297" spans="2:13">
      <c r="B297" s="140"/>
      <c r="C297" s="41"/>
      <c r="D297" s="142"/>
      <c r="E297" s="143"/>
      <c r="F297" s="144"/>
      <c r="G297" s="1" t="str">
        <f>IFERROR(IF(ventas_b_mes5[[#This Row],[CUIT]]="","-",VLOOKUP(ventas_b_mes5[[#This Row],[CUIT]],Lista_CUIT[#All],2,0)),"CUIT NO CARGADO")</f>
        <v>-</v>
      </c>
      <c r="H297" s="64"/>
      <c r="I297" s="145">
        <f>ventas_b_mes5[[#This Row],[IMPORTE NETO]]*0.21</f>
        <v>0</v>
      </c>
      <c r="J297" s="146"/>
      <c r="K297" s="146"/>
      <c r="L297" s="146">
        <f>SUM(ventas_b_mes5[[#This Row],[IMPORTE NETO]:[EXENTO]])</f>
        <v>0</v>
      </c>
      <c r="M297" s="59"/>
    </row>
    <row r="298" spans="2:13">
      <c r="B298" s="140"/>
      <c r="C298" s="41"/>
      <c r="D298" s="142"/>
      <c r="E298" s="143"/>
      <c r="F298" s="144"/>
      <c r="G298" s="1" t="str">
        <f>IFERROR(IF(ventas_b_mes5[[#This Row],[CUIT]]="","-",VLOOKUP(ventas_b_mes5[[#This Row],[CUIT]],Lista_CUIT[#All],2,0)),"CUIT NO CARGADO")</f>
        <v>-</v>
      </c>
      <c r="H298" s="64"/>
      <c r="I298" s="145">
        <f>ventas_b_mes5[[#This Row],[IMPORTE NETO]]*0.21</f>
        <v>0</v>
      </c>
      <c r="J298" s="146"/>
      <c r="K298" s="146"/>
      <c r="L298" s="146">
        <f>SUM(ventas_b_mes5[[#This Row],[IMPORTE NETO]:[EXENTO]])</f>
        <v>0</v>
      </c>
      <c r="M298" s="59"/>
    </row>
    <row r="299" spans="2:13">
      <c r="B299" s="140"/>
      <c r="C299" s="41"/>
      <c r="D299" s="142"/>
      <c r="E299" s="143"/>
      <c r="F299" s="144"/>
      <c r="G299" s="1" t="str">
        <f>IFERROR(IF(ventas_b_mes5[[#This Row],[CUIT]]="","-",VLOOKUP(ventas_b_mes5[[#This Row],[CUIT]],Lista_CUIT[#All],2,0)),"CUIT NO CARGADO")</f>
        <v>-</v>
      </c>
      <c r="H299" s="64"/>
      <c r="I299" s="145">
        <f>ventas_b_mes5[[#This Row],[IMPORTE NETO]]*0.21</f>
        <v>0</v>
      </c>
      <c r="J299" s="146"/>
      <c r="K299" s="146"/>
      <c r="L299" s="146">
        <f>SUM(ventas_b_mes5[[#This Row],[IMPORTE NETO]:[EXENTO]])</f>
        <v>0</v>
      </c>
      <c r="M299" s="59"/>
    </row>
    <row r="300" spans="2:13">
      <c r="B300" s="140"/>
      <c r="C300" s="41"/>
      <c r="D300" s="142"/>
      <c r="E300" s="143"/>
      <c r="F300" s="144"/>
      <c r="G300" s="1" t="str">
        <f>IFERROR(IF(ventas_b_mes5[[#This Row],[CUIT]]="","-",VLOOKUP(ventas_b_mes5[[#This Row],[CUIT]],Lista_CUIT[#All],2,0)),"CUIT NO CARGADO")</f>
        <v>-</v>
      </c>
      <c r="H300" s="64"/>
      <c r="I300" s="145">
        <f>ventas_b_mes5[[#This Row],[IMPORTE NETO]]*0.21</f>
        <v>0</v>
      </c>
      <c r="J300" s="146"/>
      <c r="K300" s="146"/>
      <c r="L300" s="146">
        <f>SUM(ventas_b_mes5[[#This Row],[IMPORTE NETO]:[EXENTO]])</f>
        <v>0</v>
      </c>
      <c r="M300" s="59"/>
    </row>
    <row r="301" spans="2:13">
      <c r="B301" s="140"/>
      <c r="C301" s="41"/>
      <c r="D301" s="142"/>
      <c r="E301" s="143"/>
      <c r="F301" s="144"/>
      <c r="G301" s="1" t="str">
        <f>IFERROR(IF(ventas_b_mes5[[#This Row],[CUIT]]="","-",VLOOKUP(ventas_b_mes5[[#This Row],[CUIT]],Lista_CUIT[#All],2,0)),"CUIT NO CARGADO")</f>
        <v>-</v>
      </c>
      <c r="H301" s="64"/>
      <c r="I301" s="145">
        <f>ventas_b_mes5[[#This Row],[IMPORTE NETO]]*0.21</f>
        <v>0</v>
      </c>
      <c r="J301" s="146"/>
      <c r="K301" s="146"/>
      <c r="L301" s="146">
        <f>SUM(ventas_b_mes5[[#This Row],[IMPORTE NETO]:[EXENTO]])</f>
        <v>0</v>
      </c>
      <c r="M301" s="59"/>
    </row>
    <row r="302" spans="2:13">
      <c r="B302" s="140"/>
      <c r="C302" s="41"/>
      <c r="D302" s="142"/>
      <c r="E302" s="143"/>
      <c r="F302" s="144"/>
      <c r="G302" s="1" t="str">
        <f>IFERROR(IF(ventas_b_mes5[[#This Row],[CUIT]]="","-",VLOOKUP(ventas_b_mes5[[#This Row],[CUIT]],Lista_CUIT[#All],2,0)),"CUIT NO CARGADO")</f>
        <v>-</v>
      </c>
      <c r="H302" s="64"/>
      <c r="I302" s="145">
        <f>ventas_b_mes5[[#This Row],[IMPORTE NETO]]*0.21</f>
        <v>0</v>
      </c>
      <c r="J302" s="146"/>
      <c r="K302" s="146"/>
      <c r="L302" s="146">
        <f>SUM(ventas_b_mes5[[#This Row],[IMPORTE NETO]:[EXENTO]])</f>
        <v>0</v>
      </c>
      <c r="M302" s="59"/>
    </row>
    <row r="303" spans="2:13">
      <c r="B303" s="140"/>
      <c r="C303" s="41"/>
      <c r="D303" s="142"/>
      <c r="E303" s="143"/>
      <c r="F303" s="144"/>
      <c r="G303" s="1" t="str">
        <f>IFERROR(IF(ventas_b_mes5[[#This Row],[CUIT]]="","-",VLOOKUP(ventas_b_mes5[[#This Row],[CUIT]],Lista_CUIT[#All],2,0)),"CUIT NO CARGADO")</f>
        <v>-</v>
      </c>
      <c r="H303" s="64"/>
      <c r="I303" s="145">
        <f>ventas_b_mes5[[#This Row],[IMPORTE NETO]]*0.21</f>
        <v>0</v>
      </c>
      <c r="J303" s="146"/>
      <c r="K303" s="146"/>
      <c r="L303" s="146">
        <f>SUM(ventas_b_mes5[[#This Row],[IMPORTE NETO]:[EXENTO]])</f>
        <v>0</v>
      </c>
      <c r="M303" s="59"/>
    </row>
    <row r="304" spans="2:13">
      <c r="B304" s="140"/>
      <c r="C304" s="41"/>
      <c r="D304" s="142"/>
      <c r="E304" s="143"/>
      <c r="F304" s="144"/>
      <c r="G304" s="1" t="str">
        <f>IFERROR(IF(ventas_b_mes5[[#This Row],[CUIT]]="","-",VLOOKUP(ventas_b_mes5[[#This Row],[CUIT]],Lista_CUIT[#All],2,0)),"CUIT NO CARGADO")</f>
        <v>-</v>
      </c>
      <c r="H304" s="64"/>
      <c r="I304" s="145">
        <f>ventas_b_mes5[[#This Row],[IMPORTE NETO]]*0.21</f>
        <v>0</v>
      </c>
      <c r="J304" s="146"/>
      <c r="K304" s="146"/>
      <c r="L304" s="146">
        <f>SUM(ventas_b_mes5[[#This Row],[IMPORTE NETO]:[EXENTO]])</f>
        <v>0</v>
      </c>
      <c r="M304" s="59"/>
    </row>
    <row r="305" spans="2:13">
      <c r="B305" s="140"/>
      <c r="C305" s="41"/>
      <c r="D305" s="142"/>
      <c r="E305" s="143"/>
      <c r="F305" s="144"/>
      <c r="G305" s="1" t="str">
        <f>IFERROR(IF(ventas_b_mes5[[#This Row],[CUIT]]="","-",VLOOKUP(ventas_b_mes5[[#This Row],[CUIT]],Lista_CUIT[#All],2,0)),"CUIT NO CARGADO")</f>
        <v>-</v>
      </c>
      <c r="H305" s="64"/>
      <c r="I305" s="145">
        <f>ventas_b_mes5[[#This Row],[IMPORTE NETO]]*0.21</f>
        <v>0</v>
      </c>
      <c r="J305" s="146"/>
      <c r="K305" s="146"/>
      <c r="L305" s="146">
        <f>SUM(ventas_b_mes5[[#This Row],[IMPORTE NETO]:[EXENTO]])</f>
        <v>0</v>
      </c>
      <c r="M305" s="59"/>
    </row>
    <row r="306" spans="2:13">
      <c r="B306" s="140"/>
      <c r="C306" s="41"/>
      <c r="D306" s="142"/>
      <c r="E306" s="143"/>
      <c r="F306" s="144"/>
      <c r="G306" s="1" t="str">
        <f>IFERROR(IF(ventas_b_mes5[[#This Row],[CUIT]]="","-",VLOOKUP(ventas_b_mes5[[#This Row],[CUIT]],Lista_CUIT[#All],2,0)),"CUIT NO CARGADO")</f>
        <v>-</v>
      </c>
      <c r="H306" s="64"/>
      <c r="I306" s="145">
        <f>ventas_b_mes5[[#This Row],[IMPORTE NETO]]*0.21</f>
        <v>0</v>
      </c>
      <c r="J306" s="146"/>
      <c r="K306" s="146"/>
      <c r="L306" s="146">
        <f>SUM(ventas_b_mes5[[#This Row],[IMPORTE NETO]:[EXENTO]])</f>
        <v>0</v>
      </c>
      <c r="M306" s="59"/>
    </row>
    <row r="307" spans="2:13">
      <c r="B307" s="140"/>
      <c r="C307" s="41"/>
      <c r="D307" s="142"/>
      <c r="E307" s="143"/>
      <c r="F307" s="144"/>
      <c r="G307" s="1" t="str">
        <f>IFERROR(IF(ventas_b_mes5[[#This Row],[CUIT]]="","-",VLOOKUP(ventas_b_mes5[[#This Row],[CUIT]],Lista_CUIT[#All],2,0)),"CUIT NO CARGADO")</f>
        <v>-</v>
      </c>
      <c r="H307" s="64"/>
      <c r="I307" s="145">
        <f>ventas_b_mes5[[#This Row],[IMPORTE NETO]]*0.21</f>
        <v>0</v>
      </c>
      <c r="J307" s="146"/>
      <c r="K307" s="146"/>
      <c r="L307" s="146">
        <f>SUM(ventas_b_mes5[[#This Row],[IMPORTE NETO]:[EXENTO]])</f>
        <v>0</v>
      </c>
      <c r="M307" s="59"/>
    </row>
    <row r="308" spans="2:13">
      <c r="B308" s="140"/>
      <c r="C308" s="41"/>
      <c r="D308" s="142"/>
      <c r="E308" s="143"/>
      <c r="F308" s="144"/>
      <c r="G308" s="1" t="str">
        <f>IFERROR(IF(ventas_b_mes5[[#This Row],[CUIT]]="","-",VLOOKUP(ventas_b_mes5[[#This Row],[CUIT]],Lista_CUIT[#All],2,0)),"CUIT NO CARGADO")</f>
        <v>-</v>
      </c>
      <c r="H308" s="64"/>
      <c r="I308" s="145">
        <f>ventas_b_mes5[[#This Row],[IMPORTE NETO]]*0.21</f>
        <v>0</v>
      </c>
      <c r="J308" s="146"/>
      <c r="K308" s="146"/>
      <c r="L308" s="146">
        <f>SUM(ventas_b_mes5[[#This Row],[IMPORTE NETO]:[EXENTO]])</f>
        <v>0</v>
      </c>
      <c r="M308" s="59"/>
    </row>
    <row r="309" spans="2:13">
      <c r="B309" s="140"/>
      <c r="C309" s="41"/>
      <c r="D309" s="142"/>
      <c r="E309" s="143"/>
      <c r="F309" s="144"/>
      <c r="G309" s="1" t="str">
        <f>IFERROR(IF(ventas_b_mes5[[#This Row],[CUIT]]="","-",VLOOKUP(ventas_b_mes5[[#This Row],[CUIT]],Lista_CUIT[#All],2,0)),"CUIT NO CARGADO")</f>
        <v>-</v>
      </c>
      <c r="H309" s="64"/>
      <c r="I309" s="145">
        <f>ventas_b_mes5[[#This Row],[IMPORTE NETO]]*0.21</f>
        <v>0</v>
      </c>
      <c r="J309" s="146"/>
      <c r="K309" s="146"/>
      <c r="L309" s="146">
        <f>SUM(ventas_b_mes5[[#This Row],[IMPORTE NETO]:[EXENTO]])</f>
        <v>0</v>
      </c>
      <c r="M309" s="59"/>
    </row>
    <row r="310" spans="2:13">
      <c r="B310" s="140"/>
      <c r="C310" s="41"/>
      <c r="D310" s="142"/>
      <c r="E310" s="143"/>
      <c r="F310" s="144"/>
      <c r="G310" s="1" t="str">
        <f>IFERROR(IF(ventas_b_mes5[[#This Row],[CUIT]]="","-",VLOOKUP(ventas_b_mes5[[#This Row],[CUIT]],Lista_CUIT[#All],2,0)),"CUIT NO CARGADO")</f>
        <v>-</v>
      </c>
      <c r="H310" s="64"/>
      <c r="I310" s="145">
        <f>ventas_b_mes5[[#This Row],[IMPORTE NETO]]*0.21</f>
        <v>0</v>
      </c>
      <c r="J310" s="146"/>
      <c r="K310" s="146"/>
      <c r="L310" s="146">
        <f>SUM(ventas_b_mes5[[#This Row],[IMPORTE NETO]:[EXENTO]])</f>
        <v>0</v>
      </c>
      <c r="M310" s="59"/>
    </row>
    <row r="311" spans="2:13">
      <c r="B311" s="140"/>
      <c r="C311" s="41"/>
      <c r="D311" s="142"/>
      <c r="E311" s="143"/>
      <c r="F311" s="144"/>
      <c r="G311" s="1" t="str">
        <f>IFERROR(IF(ventas_b_mes5[[#This Row],[CUIT]]="","-",VLOOKUP(ventas_b_mes5[[#This Row],[CUIT]],Lista_CUIT[#All],2,0)),"CUIT NO CARGADO")</f>
        <v>-</v>
      </c>
      <c r="H311" s="64"/>
      <c r="I311" s="145">
        <f>ventas_b_mes5[[#This Row],[IMPORTE NETO]]*0.21</f>
        <v>0</v>
      </c>
      <c r="J311" s="146"/>
      <c r="K311" s="146"/>
      <c r="L311" s="146">
        <f>SUM(ventas_b_mes5[[#This Row],[IMPORTE NETO]:[EXENTO]])</f>
        <v>0</v>
      </c>
      <c r="M311" s="59"/>
    </row>
    <row r="312" spans="2:13">
      <c r="B312" s="140"/>
      <c r="C312" s="41"/>
      <c r="D312" s="142"/>
      <c r="E312" s="143"/>
      <c r="F312" s="144"/>
      <c r="G312" s="1" t="str">
        <f>IFERROR(IF(ventas_b_mes5[[#This Row],[CUIT]]="","-",VLOOKUP(ventas_b_mes5[[#This Row],[CUIT]],Lista_CUIT[#All],2,0)),"CUIT NO CARGADO")</f>
        <v>-</v>
      </c>
      <c r="H312" s="64"/>
      <c r="I312" s="145">
        <f>ventas_b_mes5[[#This Row],[IMPORTE NETO]]*0.21</f>
        <v>0</v>
      </c>
      <c r="J312" s="146"/>
      <c r="K312" s="146"/>
      <c r="L312" s="146">
        <f>SUM(ventas_b_mes5[[#This Row],[IMPORTE NETO]:[EXENTO]])</f>
        <v>0</v>
      </c>
      <c r="M312" s="59"/>
    </row>
    <row r="313" spans="2:13">
      <c r="B313" s="140"/>
      <c r="C313" s="41"/>
      <c r="D313" s="142"/>
      <c r="E313" s="143"/>
      <c r="F313" s="144"/>
      <c r="G313" s="1" t="str">
        <f>IFERROR(IF(ventas_b_mes5[[#This Row],[CUIT]]="","-",VLOOKUP(ventas_b_mes5[[#This Row],[CUIT]],Lista_CUIT[#All],2,0)),"CUIT NO CARGADO")</f>
        <v>-</v>
      </c>
      <c r="H313" s="64"/>
      <c r="I313" s="145">
        <f>ventas_b_mes5[[#This Row],[IMPORTE NETO]]*0.21</f>
        <v>0</v>
      </c>
      <c r="J313" s="146"/>
      <c r="K313" s="146"/>
      <c r="L313" s="146">
        <f>SUM(ventas_b_mes5[[#This Row],[IMPORTE NETO]:[EXENTO]])</f>
        <v>0</v>
      </c>
      <c r="M313" s="59"/>
    </row>
    <row r="314" spans="2:13">
      <c r="B314" s="140"/>
      <c r="C314" s="41"/>
      <c r="D314" s="142"/>
      <c r="E314" s="143"/>
      <c r="F314" s="144"/>
      <c r="G314" s="1" t="str">
        <f>IFERROR(IF(ventas_b_mes5[[#This Row],[CUIT]]="","-",VLOOKUP(ventas_b_mes5[[#This Row],[CUIT]],Lista_CUIT[#All],2,0)),"CUIT NO CARGADO")</f>
        <v>-</v>
      </c>
      <c r="H314" s="64"/>
      <c r="I314" s="145">
        <f>ventas_b_mes5[[#This Row],[IMPORTE NETO]]*0.21</f>
        <v>0</v>
      </c>
      <c r="J314" s="146"/>
      <c r="K314" s="146"/>
      <c r="L314" s="146">
        <f>SUM(ventas_b_mes5[[#This Row],[IMPORTE NETO]:[EXENTO]])</f>
        <v>0</v>
      </c>
      <c r="M314" s="59"/>
    </row>
    <row r="315" spans="2:13">
      <c r="B315" s="140"/>
      <c r="C315" s="41"/>
      <c r="D315" s="142"/>
      <c r="E315" s="143"/>
      <c r="F315" s="144"/>
      <c r="G315" s="1" t="str">
        <f>IFERROR(IF(ventas_b_mes5[[#This Row],[CUIT]]="","-",VLOOKUP(ventas_b_mes5[[#This Row],[CUIT]],Lista_CUIT[#All],2,0)),"CUIT NO CARGADO")</f>
        <v>-</v>
      </c>
      <c r="H315" s="64"/>
      <c r="I315" s="145">
        <f>ventas_b_mes5[[#This Row],[IMPORTE NETO]]*0.21</f>
        <v>0</v>
      </c>
      <c r="J315" s="146"/>
      <c r="K315" s="146"/>
      <c r="L315" s="146">
        <f>SUM(ventas_b_mes5[[#This Row],[IMPORTE NETO]:[EXENTO]])</f>
        <v>0</v>
      </c>
      <c r="M315" s="59"/>
    </row>
    <row r="316" spans="2:13">
      <c r="B316" s="140"/>
      <c r="C316" s="41"/>
      <c r="D316" s="142"/>
      <c r="E316" s="143"/>
      <c r="F316" s="144"/>
      <c r="G316" s="1" t="str">
        <f>IFERROR(IF(ventas_b_mes5[[#This Row],[CUIT]]="","-",VLOOKUP(ventas_b_mes5[[#This Row],[CUIT]],Lista_CUIT[#All],2,0)),"CUIT NO CARGADO")</f>
        <v>-</v>
      </c>
      <c r="H316" s="64"/>
      <c r="I316" s="145">
        <f>ventas_b_mes5[[#This Row],[IMPORTE NETO]]*0.21</f>
        <v>0</v>
      </c>
      <c r="J316" s="146"/>
      <c r="K316" s="146"/>
      <c r="L316" s="146">
        <f>SUM(ventas_b_mes5[[#This Row],[IMPORTE NETO]:[EXENTO]])</f>
        <v>0</v>
      </c>
      <c r="M316" s="59"/>
    </row>
    <row r="317" spans="2:13">
      <c r="B317" s="140"/>
      <c r="C317" s="41"/>
      <c r="D317" s="142"/>
      <c r="E317" s="143"/>
      <c r="F317" s="144"/>
      <c r="G317" s="1" t="str">
        <f>IFERROR(IF(ventas_b_mes5[[#This Row],[CUIT]]="","-",VLOOKUP(ventas_b_mes5[[#This Row],[CUIT]],Lista_CUIT[#All],2,0)),"CUIT NO CARGADO")</f>
        <v>-</v>
      </c>
      <c r="H317" s="64"/>
      <c r="I317" s="145">
        <f>ventas_b_mes5[[#This Row],[IMPORTE NETO]]*0.21</f>
        <v>0</v>
      </c>
      <c r="J317" s="146"/>
      <c r="K317" s="146"/>
      <c r="L317" s="146">
        <f>SUM(ventas_b_mes5[[#This Row],[IMPORTE NETO]:[EXENTO]])</f>
        <v>0</v>
      </c>
      <c r="M317" s="59"/>
    </row>
    <row r="318" spans="2:13">
      <c r="B318" s="140"/>
      <c r="C318" s="41"/>
      <c r="D318" s="142"/>
      <c r="E318" s="143"/>
      <c r="F318" s="144"/>
      <c r="G318" s="1" t="str">
        <f>IFERROR(IF(ventas_b_mes5[[#This Row],[CUIT]]="","-",VLOOKUP(ventas_b_mes5[[#This Row],[CUIT]],Lista_CUIT[#All],2,0)),"CUIT NO CARGADO")</f>
        <v>-</v>
      </c>
      <c r="H318" s="64"/>
      <c r="I318" s="145">
        <f>ventas_b_mes5[[#This Row],[IMPORTE NETO]]*0.21</f>
        <v>0</v>
      </c>
      <c r="J318" s="146"/>
      <c r="K318" s="146"/>
      <c r="L318" s="146">
        <f>SUM(ventas_b_mes5[[#This Row],[IMPORTE NETO]:[EXENTO]])</f>
        <v>0</v>
      </c>
      <c r="M318" s="59"/>
    </row>
    <row r="319" spans="2:13">
      <c r="B319" s="140"/>
      <c r="C319" s="41"/>
      <c r="D319" s="142"/>
      <c r="E319" s="143"/>
      <c r="F319" s="144"/>
      <c r="G319" s="1" t="str">
        <f>IFERROR(IF(ventas_b_mes5[[#This Row],[CUIT]]="","-",VLOOKUP(ventas_b_mes5[[#This Row],[CUIT]],Lista_CUIT[#All],2,0)),"CUIT NO CARGADO")</f>
        <v>-</v>
      </c>
      <c r="H319" s="64"/>
      <c r="I319" s="145">
        <f>ventas_b_mes5[[#This Row],[IMPORTE NETO]]*0.21</f>
        <v>0</v>
      </c>
      <c r="J319" s="146"/>
      <c r="K319" s="146"/>
      <c r="L319" s="146">
        <f>SUM(ventas_b_mes5[[#This Row],[IMPORTE NETO]:[EXENTO]])</f>
        <v>0</v>
      </c>
      <c r="M319" s="59"/>
    </row>
    <row r="320" spans="2:13">
      <c r="B320" s="140"/>
      <c r="C320" s="41"/>
      <c r="D320" s="142"/>
      <c r="E320" s="143"/>
      <c r="F320" s="144"/>
      <c r="G320" s="1" t="str">
        <f>IFERROR(IF(ventas_b_mes5[[#This Row],[CUIT]]="","-",VLOOKUP(ventas_b_mes5[[#This Row],[CUIT]],Lista_CUIT[#All],2,0)),"CUIT NO CARGADO")</f>
        <v>-</v>
      </c>
      <c r="H320" s="64"/>
      <c r="I320" s="145">
        <f>ventas_b_mes5[[#This Row],[IMPORTE NETO]]*0.21</f>
        <v>0</v>
      </c>
      <c r="J320" s="146"/>
      <c r="K320" s="146"/>
      <c r="L320" s="146">
        <f>SUM(ventas_b_mes5[[#This Row],[IMPORTE NETO]:[EXENTO]])</f>
        <v>0</v>
      </c>
      <c r="M320" s="59"/>
    </row>
    <row r="321" spans="2:13">
      <c r="B321" s="140"/>
      <c r="C321" s="41"/>
      <c r="D321" s="142"/>
      <c r="E321" s="143"/>
      <c r="F321" s="144"/>
      <c r="G321" s="1" t="str">
        <f>IFERROR(IF(ventas_b_mes5[[#This Row],[CUIT]]="","-",VLOOKUP(ventas_b_mes5[[#This Row],[CUIT]],Lista_CUIT[#All],2,0)),"CUIT NO CARGADO")</f>
        <v>-</v>
      </c>
      <c r="H321" s="64"/>
      <c r="I321" s="145">
        <f>ventas_b_mes5[[#This Row],[IMPORTE NETO]]*0.21</f>
        <v>0</v>
      </c>
      <c r="J321" s="146"/>
      <c r="K321" s="146"/>
      <c r="L321" s="146">
        <f>SUM(ventas_b_mes5[[#This Row],[IMPORTE NETO]:[EXENTO]])</f>
        <v>0</v>
      </c>
      <c r="M321" s="59"/>
    </row>
    <row r="322" spans="2:13">
      <c r="B322" s="140"/>
      <c r="C322" s="41"/>
      <c r="D322" s="142"/>
      <c r="E322" s="143"/>
      <c r="F322" s="144"/>
      <c r="G322" s="1" t="str">
        <f>IFERROR(IF(ventas_b_mes5[[#This Row],[CUIT]]="","-",VLOOKUP(ventas_b_mes5[[#This Row],[CUIT]],Lista_CUIT[#All],2,0)),"CUIT NO CARGADO")</f>
        <v>-</v>
      </c>
      <c r="H322" s="64"/>
      <c r="I322" s="145">
        <f>ventas_b_mes5[[#This Row],[IMPORTE NETO]]*0.21</f>
        <v>0</v>
      </c>
      <c r="J322" s="146"/>
      <c r="K322" s="146"/>
      <c r="L322" s="146">
        <f>SUM(ventas_b_mes5[[#This Row],[IMPORTE NETO]:[EXENTO]])</f>
        <v>0</v>
      </c>
      <c r="M322" s="59"/>
    </row>
    <row r="323" spans="2:13">
      <c r="B323" s="140"/>
      <c r="C323" s="41"/>
      <c r="D323" s="142"/>
      <c r="E323" s="143"/>
      <c r="F323" s="144"/>
      <c r="G323" s="1" t="str">
        <f>IFERROR(IF(ventas_b_mes5[[#This Row],[CUIT]]="","-",VLOOKUP(ventas_b_mes5[[#This Row],[CUIT]],Lista_CUIT[#All],2,0)),"CUIT NO CARGADO")</f>
        <v>-</v>
      </c>
      <c r="H323" s="64"/>
      <c r="I323" s="145">
        <f>ventas_b_mes5[[#This Row],[IMPORTE NETO]]*0.21</f>
        <v>0</v>
      </c>
      <c r="J323" s="146"/>
      <c r="K323" s="146"/>
      <c r="L323" s="146">
        <f>SUM(ventas_b_mes5[[#This Row],[IMPORTE NETO]:[EXENTO]])</f>
        <v>0</v>
      </c>
      <c r="M323" s="59"/>
    </row>
    <row r="324" spans="2:13">
      <c r="B324" s="140"/>
      <c r="C324" s="41"/>
      <c r="D324" s="142"/>
      <c r="E324" s="143"/>
      <c r="F324" s="144"/>
      <c r="G324" s="1" t="str">
        <f>IFERROR(IF(ventas_b_mes5[[#This Row],[CUIT]]="","-",VLOOKUP(ventas_b_mes5[[#This Row],[CUIT]],Lista_CUIT[#All],2,0)),"CUIT NO CARGADO")</f>
        <v>-</v>
      </c>
      <c r="H324" s="64"/>
      <c r="I324" s="145">
        <f>ventas_b_mes5[[#This Row],[IMPORTE NETO]]*0.21</f>
        <v>0</v>
      </c>
      <c r="J324" s="146"/>
      <c r="K324" s="146"/>
      <c r="L324" s="146">
        <f>SUM(ventas_b_mes5[[#This Row],[IMPORTE NETO]:[EXENTO]])</f>
        <v>0</v>
      </c>
      <c r="M324" s="59"/>
    </row>
    <row r="325" spans="2:13">
      <c r="B325" s="140"/>
      <c r="C325" s="41"/>
      <c r="D325" s="142"/>
      <c r="E325" s="143"/>
      <c r="F325" s="144"/>
      <c r="G325" s="1" t="str">
        <f>IFERROR(IF(ventas_b_mes5[[#This Row],[CUIT]]="","-",VLOOKUP(ventas_b_mes5[[#This Row],[CUIT]],Lista_CUIT[#All],2,0)),"CUIT NO CARGADO")</f>
        <v>-</v>
      </c>
      <c r="H325" s="64"/>
      <c r="I325" s="145">
        <f>ventas_b_mes5[[#This Row],[IMPORTE NETO]]*0.21</f>
        <v>0</v>
      </c>
      <c r="J325" s="146"/>
      <c r="K325" s="146"/>
      <c r="L325" s="146">
        <f>SUM(ventas_b_mes5[[#This Row],[IMPORTE NETO]:[EXENTO]])</f>
        <v>0</v>
      </c>
      <c r="M325" s="59"/>
    </row>
    <row r="326" spans="2:13">
      <c r="B326" s="140"/>
      <c r="C326" s="41"/>
      <c r="D326" s="142"/>
      <c r="E326" s="143"/>
      <c r="F326" s="144"/>
      <c r="G326" s="1" t="str">
        <f>IFERROR(IF(ventas_b_mes5[[#This Row],[CUIT]]="","-",VLOOKUP(ventas_b_mes5[[#This Row],[CUIT]],Lista_CUIT[#All],2,0)),"CUIT NO CARGADO")</f>
        <v>-</v>
      </c>
      <c r="H326" s="64"/>
      <c r="I326" s="145">
        <f>ventas_b_mes5[[#This Row],[IMPORTE NETO]]*0.21</f>
        <v>0</v>
      </c>
      <c r="J326" s="146"/>
      <c r="K326" s="146"/>
      <c r="L326" s="146">
        <f>SUM(ventas_b_mes5[[#This Row],[IMPORTE NETO]:[EXENTO]])</f>
        <v>0</v>
      </c>
      <c r="M326" s="59"/>
    </row>
    <row r="327" spans="2:13">
      <c r="B327" s="140"/>
      <c r="C327" s="41"/>
      <c r="D327" s="142"/>
      <c r="E327" s="143"/>
      <c r="F327" s="144"/>
      <c r="G327" s="1" t="str">
        <f>IFERROR(IF(ventas_b_mes5[[#This Row],[CUIT]]="","-",VLOOKUP(ventas_b_mes5[[#This Row],[CUIT]],Lista_CUIT[#All],2,0)),"CUIT NO CARGADO")</f>
        <v>-</v>
      </c>
      <c r="H327" s="64"/>
      <c r="I327" s="145">
        <f>ventas_b_mes5[[#This Row],[IMPORTE NETO]]*0.21</f>
        <v>0</v>
      </c>
      <c r="J327" s="146"/>
      <c r="K327" s="146"/>
      <c r="L327" s="146">
        <f>SUM(ventas_b_mes5[[#This Row],[IMPORTE NETO]:[EXENTO]])</f>
        <v>0</v>
      </c>
      <c r="M327" s="59"/>
    </row>
    <row r="328" spans="2:13">
      <c r="B328" s="140"/>
      <c r="C328" s="41"/>
      <c r="D328" s="142"/>
      <c r="E328" s="143"/>
      <c r="F328" s="144"/>
      <c r="G328" s="1" t="str">
        <f>IFERROR(IF(ventas_b_mes5[[#This Row],[CUIT]]="","-",VLOOKUP(ventas_b_mes5[[#This Row],[CUIT]],Lista_CUIT[#All],2,0)),"CUIT NO CARGADO")</f>
        <v>-</v>
      </c>
      <c r="H328" s="64"/>
      <c r="I328" s="145">
        <f>ventas_b_mes5[[#This Row],[IMPORTE NETO]]*0.21</f>
        <v>0</v>
      </c>
      <c r="J328" s="146"/>
      <c r="K328" s="146"/>
      <c r="L328" s="146">
        <f>SUM(ventas_b_mes5[[#This Row],[IMPORTE NETO]:[EXENTO]])</f>
        <v>0</v>
      </c>
      <c r="M328" s="59"/>
    </row>
    <row r="329" spans="2:13">
      <c r="B329" s="140"/>
      <c r="C329" s="41"/>
      <c r="D329" s="142"/>
      <c r="E329" s="143"/>
      <c r="F329" s="144"/>
      <c r="G329" s="1" t="str">
        <f>IFERROR(IF(ventas_b_mes5[[#This Row],[CUIT]]="","-",VLOOKUP(ventas_b_mes5[[#This Row],[CUIT]],Lista_CUIT[#All],2,0)),"CUIT NO CARGADO")</f>
        <v>-</v>
      </c>
      <c r="H329" s="64"/>
      <c r="I329" s="145">
        <f>ventas_b_mes5[[#This Row],[IMPORTE NETO]]*0.21</f>
        <v>0</v>
      </c>
      <c r="J329" s="146"/>
      <c r="K329" s="146"/>
      <c r="L329" s="146">
        <f>SUM(ventas_b_mes5[[#This Row],[IMPORTE NETO]:[EXENTO]])</f>
        <v>0</v>
      </c>
      <c r="M329" s="59"/>
    </row>
    <row r="330" spans="2:13">
      <c r="B330" s="140"/>
      <c r="C330" s="41"/>
      <c r="D330" s="142"/>
      <c r="E330" s="143"/>
      <c r="F330" s="144"/>
      <c r="G330" s="1" t="str">
        <f>IFERROR(IF(ventas_b_mes5[[#This Row],[CUIT]]="","-",VLOOKUP(ventas_b_mes5[[#This Row],[CUIT]],Lista_CUIT[#All],2,0)),"CUIT NO CARGADO")</f>
        <v>-</v>
      </c>
      <c r="H330" s="64"/>
      <c r="I330" s="145">
        <f>ventas_b_mes5[[#This Row],[IMPORTE NETO]]*0.21</f>
        <v>0</v>
      </c>
      <c r="J330" s="146"/>
      <c r="K330" s="146"/>
      <c r="L330" s="146">
        <f>SUM(ventas_b_mes5[[#This Row],[IMPORTE NETO]:[EXENTO]])</f>
        <v>0</v>
      </c>
      <c r="M330" s="59"/>
    </row>
    <row r="331" spans="2:13">
      <c r="B331" s="140"/>
      <c r="C331" s="41"/>
      <c r="D331" s="142"/>
      <c r="E331" s="143"/>
      <c r="F331" s="144"/>
      <c r="G331" s="1" t="str">
        <f>IFERROR(IF(ventas_b_mes5[[#This Row],[CUIT]]="","-",VLOOKUP(ventas_b_mes5[[#This Row],[CUIT]],Lista_CUIT[#All],2,0)),"CUIT NO CARGADO")</f>
        <v>-</v>
      </c>
      <c r="H331" s="64"/>
      <c r="I331" s="145">
        <f>ventas_b_mes5[[#This Row],[IMPORTE NETO]]*0.21</f>
        <v>0</v>
      </c>
      <c r="J331" s="146"/>
      <c r="K331" s="146"/>
      <c r="L331" s="146">
        <f>SUM(ventas_b_mes5[[#This Row],[IMPORTE NETO]:[EXENTO]])</f>
        <v>0</v>
      </c>
      <c r="M331" s="59"/>
    </row>
    <row r="332" spans="2:13">
      <c r="B332" s="140"/>
      <c r="C332" s="41"/>
      <c r="D332" s="142"/>
      <c r="E332" s="143"/>
      <c r="F332" s="144"/>
      <c r="G332" s="1" t="str">
        <f>IFERROR(IF(ventas_b_mes5[[#This Row],[CUIT]]="","-",VLOOKUP(ventas_b_mes5[[#This Row],[CUIT]],Lista_CUIT[#All],2,0)),"CUIT NO CARGADO")</f>
        <v>-</v>
      </c>
      <c r="H332" s="64"/>
      <c r="I332" s="145">
        <f>ventas_b_mes5[[#This Row],[IMPORTE NETO]]*0.21</f>
        <v>0</v>
      </c>
      <c r="J332" s="146"/>
      <c r="K332" s="146"/>
      <c r="L332" s="146">
        <f>SUM(ventas_b_mes5[[#This Row],[IMPORTE NETO]:[EXENTO]])</f>
        <v>0</v>
      </c>
      <c r="M332" s="59"/>
    </row>
    <row r="333" spans="2:13">
      <c r="B333" s="140"/>
      <c r="C333" s="41"/>
      <c r="D333" s="142"/>
      <c r="E333" s="143"/>
      <c r="F333" s="144"/>
      <c r="G333" s="1" t="str">
        <f>IFERROR(IF(ventas_b_mes5[[#This Row],[CUIT]]="","-",VLOOKUP(ventas_b_mes5[[#This Row],[CUIT]],Lista_CUIT[#All],2,0)),"CUIT NO CARGADO")</f>
        <v>-</v>
      </c>
      <c r="H333" s="64"/>
      <c r="I333" s="145">
        <f>ventas_b_mes5[[#This Row],[IMPORTE NETO]]*0.21</f>
        <v>0</v>
      </c>
      <c r="J333" s="146"/>
      <c r="K333" s="146"/>
      <c r="L333" s="146">
        <f>SUM(ventas_b_mes5[[#This Row],[IMPORTE NETO]:[EXENTO]])</f>
        <v>0</v>
      </c>
      <c r="M333" s="59"/>
    </row>
    <row r="334" spans="2:13">
      <c r="B334" s="140"/>
      <c r="C334" s="41"/>
      <c r="D334" s="142"/>
      <c r="E334" s="143"/>
      <c r="F334" s="144"/>
      <c r="G334" s="1" t="str">
        <f>IFERROR(IF(ventas_b_mes5[[#This Row],[CUIT]]="","-",VLOOKUP(ventas_b_mes5[[#This Row],[CUIT]],Lista_CUIT[#All],2,0)),"CUIT NO CARGADO")</f>
        <v>-</v>
      </c>
      <c r="H334" s="64"/>
      <c r="I334" s="145">
        <f>ventas_b_mes5[[#This Row],[IMPORTE NETO]]*0.21</f>
        <v>0</v>
      </c>
      <c r="J334" s="146"/>
      <c r="K334" s="146"/>
      <c r="L334" s="146">
        <f>SUM(ventas_b_mes5[[#This Row],[IMPORTE NETO]:[EXENTO]])</f>
        <v>0</v>
      </c>
      <c r="M334" s="59"/>
    </row>
    <row r="335" spans="2:13">
      <c r="B335" s="140"/>
      <c r="C335" s="41"/>
      <c r="D335" s="142"/>
      <c r="E335" s="143"/>
      <c r="F335" s="144"/>
      <c r="G335" s="1" t="str">
        <f>IFERROR(IF(ventas_b_mes5[[#This Row],[CUIT]]="","-",VLOOKUP(ventas_b_mes5[[#This Row],[CUIT]],Lista_CUIT[#All],2,0)),"CUIT NO CARGADO")</f>
        <v>-</v>
      </c>
      <c r="H335" s="64"/>
      <c r="I335" s="145">
        <f>ventas_b_mes5[[#This Row],[IMPORTE NETO]]*0.21</f>
        <v>0</v>
      </c>
      <c r="J335" s="146"/>
      <c r="K335" s="146"/>
      <c r="L335" s="146">
        <f>SUM(ventas_b_mes5[[#This Row],[IMPORTE NETO]:[EXENTO]])</f>
        <v>0</v>
      </c>
      <c r="M335" s="59"/>
    </row>
    <row r="336" spans="2:13">
      <c r="B336" s="140"/>
      <c r="C336" s="41"/>
      <c r="D336" s="142"/>
      <c r="E336" s="143"/>
      <c r="F336" s="144"/>
      <c r="G336" s="1" t="str">
        <f>IFERROR(IF(ventas_b_mes5[[#This Row],[CUIT]]="","-",VLOOKUP(ventas_b_mes5[[#This Row],[CUIT]],Lista_CUIT[#All],2,0)),"CUIT NO CARGADO")</f>
        <v>-</v>
      </c>
      <c r="H336" s="64"/>
      <c r="I336" s="145">
        <f>ventas_b_mes5[[#This Row],[IMPORTE NETO]]*0.21</f>
        <v>0</v>
      </c>
      <c r="J336" s="146"/>
      <c r="K336" s="146"/>
      <c r="L336" s="146">
        <f>SUM(ventas_b_mes5[[#This Row],[IMPORTE NETO]:[EXENTO]])</f>
        <v>0</v>
      </c>
      <c r="M336" s="59"/>
    </row>
    <row r="337" spans="2:13">
      <c r="B337" s="140"/>
      <c r="C337" s="41"/>
      <c r="D337" s="142"/>
      <c r="E337" s="143"/>
      <c r="F337" s="144"/>
      <c r="G337" s="1" t="str">
        <f>IFERROR(IF(ventas_b_mes5[[#This Row],[CUIT]]="","-",VLOOKUP(ventas_b_mes5[[#This Row],[CUIT]],Lista_CUIT[#All],2,0)),"CUIT NO CARGADO")</f>
        <v>-</v>
      </c>
      <c r="H337" s="64"/>
      <c r="I337" s="145">
        <f>ventas_b_mes5[[#This Row],[IMPORTE NETO]]*0.21</f>
        <v>0</v>
      </c>
      <c r="J337" s="146"/>
      <c r="K337" s="146"/>
      <c r="L337" s="146">
        <f>SUM(ventas_b_mes5[[#This Row],[IMPORTE NETO]:[EXENTO]])</f>
        <v>0</v>
      </c>
      <c r="M337" s="59"/>
    </row>
    <row r="338" spans="2:13">
      <c r="B338" s="140"/>
      <c r="C338" s="41"/>
      <c r="D338" s="142"/>
      <c r="E338" s="143"/>
      <c r="F338" s="144"/>
      <c r="G338" s="1" t="str">
        <f>IFERROR(IF(ventas_b_mes5[[#This Row],[CUIT]]="","-",VLOOKUP(ventas_b_mes5[[#This Row],[CUIT]],Lista_CUIT[#All],2,0)),"CUIT NO CARGADO")</f>
        <v>-</v>
      </c>
      <c r="H338" s="64"/>
      <c r="I338" s="145">
        <f>ventas_b_mes5[[#This Row],[IMPORTE NETO]]*0.21</f>
        <v>0</v>
      </c>
      <c r="J338" s="146"/>
      <c r="K338" s="146"/>
      <c r="L338" s="146">
        <f>SUM(ventas_b_mes5[[#This Row],[IMPORTE NETO]:[EXENTO]])</f>
        <v>0</v>
      </c>
      <c r="M338" s="59"/>
    </row>
    <row r="339" spans="2:13">
      <c r="B339" s="140"/>
      <c r="C339" s="41"/>
      <c r="D339" s="142"/>
      <c r="E339" s="143"/>
      <c r="F339" s="144"/>
      <c r="G339" s="1" t="str">
        <f>IFERROR(IF(ventas_b_mes5[[#This Row],[CUIT]]="","-",VLOOKUP(ventas_b_mes5[[#This Row],[CUIT]],Lista_CUIT[#All],2,0)),"CUIT NO CARGADO")</f>
        <v>-</v>
      </c>
      <c r="H339" s="64"/>
      <c r="I339" s="145">
        <f>ventas_b_mes5[[#This Row],[IMPORTE NETO]]*0.21</f>
        <v>0</v>
      </c>
      <c r="J339" s="146"/>
      <c r="K339" s="146"/>
      <c r="L339" s="146">
        <f>SUM(ventas_b_mes5[[#This Row],[IMPORTE NETO]:[EXENTO]])</f>
        <v>0</v>
      </c>
      <c r="M339" s="59"/>
    </row>
    <row r="340" spans="2:13">
      <c r="B340" s="140"/>
      <c r="C340" s="41"/>
      <c r="D340" s="142"/>
      <c r="E340" s="143"/>
      <c r="F340" s="144"/>
      <c r="G340" s="1" t="str">
        <f>IFERROR(IF(ventas_b_mes5[[#This Row],[CUIT]]="","-",VLOOKUP(ventas_b_mes5[[#This Row],[CUIT]],Lista_CUIT[#All],2,0)),"CUIT NO CARGADO")</f>
        <v>-</v>
      </c>
      <c r="H340" s="64"/>
      <c r="I340" s="145">
        <f>ventas_b_mes5[[#This Row],[IMPORTE NETO]]*0.21</f>
        <v>0</v>
      </c>
      <c r="J340" s="146"/>
      <c r="K340" s="146"/>
      <c r="L340" s="146">
        <f>SUM(ventas_b_mes5[[#This Row],[IMPORTE NETO]:[EXENTO]])</f>
        <v>0</v>
      </c>
      <c r="M340" s="59"/>
    </row>
    <row r="341" spans="2:13">
      <c r="B341" s="140"/>
      <c r="C341" s="41"/>
      <c r="D341" s="142"/>
      <c r="E341" s="143"/>
      <c r="F341" s="144"/>
      <c r="G341" s="1" t="str">
        <f>IFERROR(IF(ventas_b_mes5[[#This Row],[CUIT]]="","-",VLOOKUP(ventas_b_mes5[[#This Row],[CUIT]],Lista_CUIT[#All],2,0)),"CUIT NO CARGADO")</f>
        <v>-</v>
      </c>
      <c r="H341" s="64"/>
      <c r="I341" s="145">
        <f>ventas_b_mes5[[#This Row],[IMPORTE NETO]]*0.21</f>
        <v>0</v>
      </c>
      <c r="J341" s="146"/>
      <c r="K341" s="146"/>
      <c r="L341" s="146">
        <f>SUM(ventas_b_mes5[[#This Row],[IMPORTE NETO]:[EXENTO]])</f>
        <v>0</v>
      </c>
      <c r="M341" s="59"/>
    </row>
    <row r="342" spans="2:13">
      <c r="B342" s="140"/>
      <c r="C342" s="41"/>
      <c r="D342" s="142"/>
      <c r="E342" s="143"/>
      <c r="F342" s="144"/>
      <c r="G342" s="1" t="str">
        <f>IFERROR(IF(ventas_b_mes5[[#This Row],[CUIT]]="","-",VLOOKUP(ventas_b_mes5[[#This Row],[CUIT]],Lista_CUIT[#All],2,0)),"CUIT NO CARGADO")</f>
        <v>-</v>
      </c>
      <c r="H342" s="64"/>
      <c r="I342" s="145">
        <f>ventas_b_mes5[[#This Row],[IMPORTE NETO]]*0.21</f>
        <v>0</v>
      </c>
      <c r="J342" s="146"/>
      <c r="K342" s="146"/>
      <c r="L342" s="146">
        <f>SUM(ventas_b_mes5[[#This Row],[IMPORTE NETO]:[EXENTO]])</f>
        <v>0</v>
      </c>
      <c r="M342" s="59"/>
    </row>
    <row r="343" spans="2:13">
      <c r="B343" s="140"/>
      <c r="C343" s="41"/>
      <c r="D343" s="142"/>
      <c r="E343" s="143"/>
      <c r="F343" s="144"/>
      <c r="G343" s="1" t="str">
        <f>IFERROR(IF(ventas_b_mes5[[#This Row],[CUIT]]="","-",VLOOKUP(ventas_b_mes5[[#This Row],[CUIT]],Lista_CUIT[#All],2,0)),"CUIT NO CARGADO")</f>
        <v>-</v>
      </c>
      <c r="H343" s="64"/>
      <c r="I343" s="145">
        <f>ventas_b_mes5[[#This Row],[IMPORTE NETO]]*0.21</f>
        <v>0</v>
      </c>
      <c r="J343" s="146"/>
      <c r="K343" s="146"/>
      <c r="L343" s="146">
        <f>SUM(ventas_b_mes5[[#This Row],[IMPORTE NETO]:[EXENTO]])</f>
        <v>0</v>
      </c>
      <c r="M343" s="59"/>
    </row>
    <row r="344" spans="2:13">
      <c r="B344" s="140"/>
      <c r="C344" s="41"/>
      <c r="D344" s="142"/>
      <c r="E344" s="143"/>
      <c r="F344" s="144"/>
      <c r="G344" s="1" t="str">
        <f>IFERROR(IF(ventas_b_mes5[[#This Row],[CUIT]]="","-",VLOOKUP(ventas_b_mes5[[#This Row],[CUIT]],Lista_CUIT[#All],2,0)),"CUIT NO CARGADO")</f>
        <v>-</v>
      </c>
      <c r="H344" s="64"/>
      <c r="I344" s="145">
        <f>ventas_b_mes5[[#This Row],[IMPORTE NETO]]*0.21</f>
        <v>0</v>
      </c>
      <c r="J344" s="146"/>
      <c r="K344" s="146"/>
      <c r="L344" s="146">
        <f>SUM(ventas_b_mes5[[#This Row],[IMPORTE NETO]:[EXENTO]])</f>
        <v>0</v>
      </c>
      <c r="M344" s="59"/>
    </row>
    <row r="345" spans="2:13">
      <c r="B345" s="140"/>
      <c r="C345" s="41"/>
      <c r="D345" s="142"/>
      <c r="E345" s="143"/>
      <c r="F345" s="144"/>
      <c r="G345" s="1" t="str">
        <f>IFERROR(IF(ventas_b_mes5[[#This Row],[CUIT]]="","-",VLOOKUP(ventas_b_mes5[[#This Row],[CUIT]],Lista_CUIT[#All],2,0)),"CUIT NO CARGADO")</f>
        <v>-</v>
      </c>
      <c r="H345" s="64"/>
      <c r="I345" s="145">
        <f>ventas_b_mes5[[#This Row],[IMPORTE NETO]]*0.21</f>
        <v>0</v>
      </c>
      <c r="J345" s="146"/>
      <c r="K345" s="146"/>
      <c r="L345" s="146">
        <f>SUM(ventas_b_mes5[[#This Row],[IMPORTE NETO]:[EXENTO]])</f>
        <v>0</v>
      </c>
      <c r="M345" s="59"/>
    </row>
    <row r="346" spans="2:13">
      <c r="B346" s="140"/>
      <c r="C346" s="41"/>
      <c r="D346" s="142"/>
      <c r="E346" s="143"/>
      <c r="F346" s="144"/>
      <c r="G346" s="1" t="str">
        <f>IFERROR(IF(ventas_b_mes5[[#This Row],[CUIT]]="","-",VLOOKUP(ventas_b_mes5[[#This Row],[CUIT]],Lista_CUIT[#All],2,0)),"CUIT NO CARGADO")</f>
        <v>-</v>
      </c>
      <c r="H346" s="64"/>
      <c r="I346" s="145">
        <f>ventas_b_mes5[[#This Row],[IMPORTE NETO]]*0.21</f>
        <v>0</v>
      </c>
      <c r="J346" s="146"/>
      <c r="K346" s="146"/>
      <c r="L346" s="146">
        <f>SUM(ventas_b_mes5[[#This Row],[IMPORTE NETO]:[EXENTO]])</f>
        <v>0</v>
      </c>
      <c r="M346" s="59"/>
    </row>
    <row r="347" spans="2:13">
      <c r="B347" s="140"/>
      <c r="C347" s="41"/>
      <c r="D347" s="142"/>
      <c r="E347" s="143"/>
      <c r="F347" s="144"/>
      <c r="G347" s="1" t="str">
        <f>IFERROR(IF(ventas_b_mes5[[#This Row],[CUIT]]="","-",VLOOKUP(ventas_b_mes5[[#This Row],[CUIT]],Lista_CUIT[#All],2,0)),"CUIT NO CARGADO")</f>
        <v>-</v>
      </c>
      <c r="H347" s="64"/>
      <c r="I347" s="145">
        <f>ventas_b_mes5[[#This Row],[IMPORTE NETO]]*0.21</f>
        <v>0</v>
      </c>
      <c r="J347" s="146"/>
      <c r="K347" s="146"/>
      <c r="L347" s="146">
        <f>SUM(ventas_b_mes5[[#This Row],[IMPORTE NETO]:[EXENTO]])</f>
        <v>0</v>
      </c>
      <c r="M347" s="59"/>
    </row>
    <row r="348" spans="2:13">
      <c r="B348" s="140"/>
      <c r="C348" s="41"/>
      <c r="D348" s="142"/>
      <c r="E348" s="143"/>
      <c r="F348" s="144"/>
      <c r="G348" s="1" t="str">
        <f>IFERROR(IF(ventas_b_mes5[[#This Row],[CUIT]]="","-",VLOOKUP(ventas_b_mes5[[#This Row],[CUIT]],Lista_CUIT[#All],2,0)),"CUIT NO CARGADO")</f>
        <v>-</v>
      </c>
      <c r="H348" s="64"/>
      <c r="I348" s="145">
        <f>ventas_b_mes5[[#This Row],[IMPORTE NETO]]*0.21</f>
        <v>0</v>
      </c>
      <c r="J348" s="146"/>
      <c r="K348" s="146"/>
      <c r="L348" s="146">
        <f>SUM(ventas_b_mes5[[#This Row],[IMPORTE NETO]:[EXENTO]])</f>
        <v>0</v>
      </c>
      <c r="M348" s="59"/>
    </row>
    <row r="349" spans="2:13">
      <c r="B349" s="140"/>
      <c r="C349" s="41"/>
      <c r="D349" s="142"/>
      <c r="E349" s="143"/>
      <c r="F349" s="144"/>
      <c r="G349" s="1" t="str">
        <f>IFERROR(IF(ventas_b_mes5[[#This Row],[CUIT]]="","-",VLOOKUP(ventas_b_mes5[[#This Row],[CUIT]],Lista_CUIT[#All],2,0)),"CUIT NO CARGADO")</f>
        <v>-</v>
      </c>
      <c r="H349" s="64"/>
      <c r="I349" s="145">
        <f>ventas_b_mes5[[#This Row],[IMPORTE NETO]]*0.21</f>
        <v>0</v>
      </c>
      <c r="J349" s="146"/>
      <c r="K349" s="146"/>
      <c r="L349" s="146">
        <f>SUM(ventas_b_mes5[[#This Row],[IMPORTE NETO]:[EXENTO]])</f>
        <v>0</v>
      </c>
      <c r="M349" s="59"/>
    </row>
    <row r="350" spans="2:13">
      <c r="B350" s="140"/>
      <c r="C350" s="41"/>
      <c r="D350" s="142"/>
      <c r="E350" s="143"/>
      <c r="F350" s="144"/>
      <c r="G350" s="1" t="str">
        <f>IFERROR(IF(ventas_b_mes5[[#This Row],[CUIT]]="","-",VLOOKUP(ventas_b_mes5[[#This Row],[CUIT]],Lista_CUIT[#All],2,0)),"CUIT NO CARGADO")</f>
        <v>-</v>
      </c>
      <c r="H350" s="64"/>
      <c r="I350" s="145">
        <f>ventas_b_mes5[[#This Row],[IMPORTE NETO]]*0.21</f>
        <v>0</v>
      </c>
      <c r="J350" s="146"/>
      <c r="K350" s="146"/>
      <c r="L350" s="146">
        <f>SUM(ventas_b_mes5[[#This Row],[IMPORTE NETO]:[EXENTO]])</f>
        <v>0</v>
      </c>
      <c r="M350" s="59"/>
    </row>
    <row r="351" spans="2:13">
      <c r="B351" s="140"/>
      <c r="C351" s="41"/>
      <c r="D351" s="142"/>
      <c r="E351" s="143"/>
      <c r="F351" s="144"/>
      <c r="G351" s="1" t="str">
        <f>IFERROR(IF(ventas_b_mes5[[#This Row],[CUIT]]="","-",VLOOKUP(ventas_b_mes5[[#This Row],[CUIT]],Lista_CUIT[#All],2,0)),"CUIT NO CARGADO")</f>
        <v>-</v>
      </c>
      <c r="H351" s="64"/>
      <c r="I351" s="145">
        <f>ventas_b_mes5[[#This Row],[IMPORTE NETO]]*0.21</f>
        <v>0</v>
      </c>
      <c r="J351" s="146"/>
      <c r="K351" s="146"/>
      <c r="L351" s="146">
        <f>SUM(ventas_b_mes5[[#This Row],[IMPORTE NETO]:[EXENTO]])</f>
        <v>0</v>
      </c>
      <c r="M351" s="59"/>
    </row>
    <row r="352" spans="2:13">
      <c r="B352" s="140"/>
      <c r="C352" s="41"/>
      <c r="D352" s="142"/>
      <c r="E352" s="143"/>
      <c r="F352" s="144"/>
      <c r="G352" s="1" t="str">
        <f>IFERROR(IF(ventas_b_mes5[[#This Row],[CUIT]]="","-",VLOOKUP(ventas_b_mes5[[#This Row],[CUIT]],Lista_CUIT[#All],2,0)),"CUIT NO CARGADO")</f>
        <v>-</v>
      </c>
      <c r="H352" s="64"/>
      <c r="I352" s="145">
        <f>ventas_b_mes5[[#This Row],[IMPORTE NETO]]*0.21</f>
        <v>0</v>
      </c>
      <c r="J352" s="146"/>
      <c r="K352" s="146"/>
      <c r="L352" s="146">
        <f>SUM(ventas_b_mes5[[#This Row],[IMPORTE NETO]:[EXENTO]])</f>
        <v>0</v>
      </c>
      <c r="M352" s="59"/>
    </row>
    <row r="353" spans="2:13">
      <c r="B353" s="140"/>
      <c r="C353" s="41"/>
      <c r="D353" s="142"/>
      <c r="E353" s="143"/>
      <c r="F353" s="144"/>
      <c r="G353" s="1" t="str">
        <f>IFERROR(IF(ventas_b_mes5[[#This Row],[CUIT]]="","-",VLOOKUP(ventas_b_mes5[[#This Row],[CUIT]],Lista_CUIT[#All],2,0)),"CUIT NO CARGADO")</f>
        <v>-</v>
      </c>
      <c r="H353" s="64"/>
      <c r="I353" s="145">
        <f>ventas_b_mes5[[#This Row],[IMPORTE NETO]]*0.21</f>
        <v>0</v>
      </c>
      <c r="J353" s="146"/>
      <c r="K353" s="146"/>
      <c r="L353" s="146">
        <f>SUM(ventas_b_mes5[[#This Row],[IMPORTE NETO]:[EXENTO]])</f>
        <v>0</v>
      </c>
      <c r="M353" s="59"/>
    </row>
    <row r="354" spans="2:13">
      <c r="B354" s="140"/>
      <c r="C354" s="41"/>
      <c r="D354" s="142"/>
      <c r="E354" s="143"/>
      <c r="F354" s="144"/>
      <c r="G354" s="1" t="str">
        <f>IFERROR(IF(ventas_b_mes5[[#This Row],[CUIT]]="","-",VLOOKUP(ventas_b_mes5[[#This Row],[CUIT]],Lista_CUIT[#All],2,0)),"CUIT NO CARGADO")</f>
        <v>-</v>
      </c>
      <c r="H354" s="64"/>
      <c r="I354" s="145">
        <f>ventas_b_mes5[[#This Row],[IMPORTE NETO]]*0.21</f>
        <v>0</v>
      </c>
      <c r="J354" s="146"/>
      <c r="K354" s="146"/>
      <c r="L354" s="146">
        <f>SUM(ventas_b_mes5[[#This Row],[IMPORTE NETO]:[EXENTO]])</f>
        <v>0</v>
      </c>
      <c r="M354" s="59"/>
    </row>
    <row r="355" spans="2:13">
      <c r="B355" s="140"/>
      <c r="C355" s="41"/>
      <c r="D355" s="142"/>
      <c r="E355" s="143"/>
      <c r="F355" s="144"/>
      <c r="G355" s="1" t="str">
        <f>IFERROR(IF(ventas_b_mes5[[#This Row],[CUIT]]="","-",VLOOKUP(ventas_b_mes5[[#This Row],[CUIT]],Lista_CUIT[#All],2,0)),"CUIT NO CARGADO")</f>
        <v>-</v>
      </c>
      <c r="H355" s="64"/>
      <c r="I355" s="145">
        <f>ventas_b_mes5[[#This Row],[IMPORTE NETO]]*0.21</f>
        <v>0</v>
      </c>
      <c r="J355" s="146"/>
      <c r="K355" s="146"/>
      <c r="L355" s="146">
        <f>SUM(ventas_b_mes5[[#This Row],[IMPORTE NETO]:[EXENTO]])</f>
        <v>0</v>
      </c>
      <c r="M355" s="59"/>
    </row>
    <row r="356" spans="2:13">
      <c r="B356" s="140"/>
      <c r="C356" s="41"/>
      <c r="D356" s="142"/>
      <c r="E356" s="143"/>
      <c r="F356" s="144"/>
      <c r="G356" s="1" t="str">
        <f>IFERROR(IF(ventas_b_mes5[[#This Row],[CUIT]]="","-",VLOOKUP(ventas_b_mes5[[#This Row],[CUIT]],Lista_CUIT[#All],2,0)),"CUIT NO CARGADO")</f>
        <v>-</v>
      </c>
      <c r="H356" s="64"/>
      <c r="I356" s="145">
        <f>ventas_b_mes5[[#This Row],[IMPORTE NETO]]*0.21</f>
        <v>0</v>
      </c>
      <c r="J356" s="146"/>
      <c r="K356" s="146"/>
      <c r="L356" s="146">
        <f>SUM(ventas_b_mes5[[#This Row],[IMPORTE NETO]:[EXENTO]])</f>
        <v>0</v>
      </c>
      <c r="M356" s="59"/>
    </row>
    <row r="357" spans="2:13">
      <c r="B357" s="140"/>
      <c r="C357" s="41"/>
      <c r="D357" s="142"/>
      <c r="E357" s="143"/>
      <c r="F357" s="144"/>
      <c r="G357" s="1" t="str">
        <f>IFERROR(IF(ventas_b_mes5[[#This Row],[CUIT]]="","-",VLOOKUP(ventas_b_mes5[[#This Row],[CUIT]],Lista_CUIT[#All],2,0)),"CUIT NO CARGADO")</f>
        <v>-</v>
      </c>
      <c r="H357" s="64"/>
      <c r="I357" s="145">
        <f>ventas_b_mes5[[#This Row],[IMPORTE NETO]]*0.21</f>
        <v>0</v>
      </c>
      <c r="J357" s="146"/>
      <c r="K357" s="146"/>
      <c r="L357" s="146">
        <f>SUM(ventas_b_mes5[[#This Row],[IMPORTE NETO]:[EXENTO]])</f>
        <v>0</v>
      </c>
      <c r="M357" s="59"/>
    </row>
    <row r="358" spans="2:13">
      <c r="B358" s="140"/>
      <c r="C358" s="41"/>
      <c r="D358" s="142"/>
      <c r="E358" s="143"/>
      <c r="F358" s="144"/>
      <c r="G358" s="1" t="str">
        <f>IFERROR(IF(ventas_b_mes5[[#This Row],[CUIT]]="","-",VLOOKUP(ventas_b_mes5[[#This Row],[CUIT]],Lista_CUIT[#All],2,0)),"CUIT NO CARGADO")</f>
        <v>-</v>
      </c>
      <c r="H358" s="64"/>
      <c r="I358" s="145">
        <f>ventas_b_mes5[[#This Row],[IMPORTE NETO]]*0.21</f>
        <v>0</v>
      </c>
      <c r="J358" s="146"/>
      <c r="K358" s="146"/>
      <c r="L358" s="146">
        <f>SUM(ventas_b_mes5[[#This Row],[IMPORTE NETO]:[EXENTO]])</f>
        <v>0</v>
      </c>
      <c r="M358" s="59"/>
    </row>
    <row r="359" spans="2:13">
      <c r="B359" s="140"/>
      <c r="C359" s="41"/>
      <c r="D359" s="142"/>
      <c r="E359" s="143"/>
      <c r="F359" s="144"/>
      <c r="G359" s="1" t="str">
        <f>IFERROR(IF(ventas_b_mes5[[#This Row],[CUIT]]="","-",VLOOKUP(ventas_b_mes5[[#This Row],[CUIT]],Lista_CUIT[#All],2,0)),"CUIT NO CARGADO")</f>
        <v>-</v>
      </c>
      <c r="H359" s="64"/>
      <c r="I359" s="145">
        <f>ventas_b_mes5[[#This Row],[IMPORTE NETO]]*0.21</f>
        <v>0</v>
      </c>
      <c r="J359" s="146"/>
      <c r="K359" s="146"/>
      <c r="L359" s="146">
        <f>SUM(ventas_b_mes5[[#This Row],[IMPORTE NETO]:[EXENTO]])</f>
        <v>0</v>
      </c>
      <c r="M359" s="59"/>
    </row>
    <row r="360" spans="2:13">
      <c r="B360" s="140"/>
      <c r="C360" s="41"/>
      <c r="D360" s="142"/>
      <c r="E360" s="143"/>
      <c r="F360" s="144"/>
      <c r="G360" s="1" t="str">
        <f>IFERROR(IF(ventas_b_mes5[[#This Row],[CUIT]]="","-",VLOOKUP(ventas_b_mes5[[#This Row],[CUIT]],Lista_CUIT[#All],2,0)),"CUIT NO CARGADO")</f>
        <v>-</v>
      </c>
      <c r="H360" s="64"/>
      <c r="I360" s="145">
        <f>ventas_b_mes5[[#This Row],[IMPORTE NETO]]*0.21</f>
        <v>0</v>
      </c>
      <c r="J360" s="146"/>
      <c r="K360" s="146"/>
      <c r="L360" s="146">
        <f>SUM(ventas_b_mes5[[#This Row],[IMPORTE NETO]:[EXENTO]])</f>
        <v>0</v>
      </c>
      <c r="M360" s="59"/>
    </row>
    <row r="361" spans="2:13">
      <c r="B361" s="40"/>
      <c r="C361" s="41"/>
      <c r="D361" s="42"/>
      <c r="E361" s="43"/>
      <c r="F361" s="44"/>
      <c r="G361" s="1"/>
      <c r="H361" s="64"/>
      <c r="I361" s="64">
        <f>ventas_b_mes5[[#This Row],[IMPORTE NETO]]*0.21</f>
        <v>0</v>
      </c>
      <c r="J361" s="64"/>
      <c r="K361" s="64"/>
      <c r="L361" s="64">
        <f>SUM(ventas_b_mes5[[#This Row],[IMPORTE NETO]:[EXENTO]])</f>
        <v>0</v>
      </c>
      <c r="M361" s="59"/>
    </row>
    <row r="362" spans="2:13">
      <c r="B362" s="40"/>
      <c r="C362" s="41"/>
      <c r="D362" s="42"/>
      <c r="E362" s="43"/>
      <c r="F362" s="44"/>
      <c r="G362" s="1"/>
      <c r="H362" s="64"/>
      <c r="I362" s="64">
        <f>ventas_b_mes5[[#This Row],[IMPORTE NETO]]*0.21</f>
        <v>0</v>
      </c>
      <c r="J362" s="64"/>
      <c r="K362" s="64"/>
      <c r="L362" s="64">
        <f>SUM(ventas_b_mes5[[#This Row],[IMPORTE NETO]:[EXENTO]])</f>
        <v>0</v>
      </c>
      <c r="M362" s="59"/>
    </row>
    <row r="363" spans="2:13">
      <c r="B363" s="40"/>
      <c r="C363" s="41"/>
      <c r="D363" s="42"/>
      <c r="E363" s="43"/>
      <c r="F363" s="44"/>
      <c r="G363" s="1"/>
      <c r="H363" s="64"/>
      <c r="I363" s="64">
        <f>ventas_b_mes5[[#This Row],[IMPORTE NETO]]*0.21</f>
        <v>0</v>
      </c>
      <c r="J363" s="64"/>
      <c r="K363" s="64"/>
      <c r="L363" s="64">
        <f>SUM(ventas_b_mes5[[#This Row],[IMPORTE NETO]:[EXENTO]])</f>
        <v>0</v>
      </c>
      <c r="M363" s="59"/>
    </row>
    <row r="364" spans="2:13">
      <c r="B364" s="40"/>
      <c r="C364" s="41"/>
      <c r="D364" s="42"/>
      <c r="E364" s="43"/>
      <c r="F364" s="44"/>
      <c r="G364" s="1"/>
      <c r="H364" s="64"/>
      <c r="I364" s="64">
        <f>ventas_b_mes5[[#This Row],[IMPORTE NETO]]*0.21</f>
        <v>0</v>
      </c>
      <c r="J364" s="64"/>
      <c r="K364" s="64"/>
      <c r="L364" s="64">
        <f>SUM(ventas_b_mes5[[#This Row],[IMPORTE NETO]:[EXENTO]])</f>
        <v>0</v>
      </c>
      <c r="M364" s="59"/>
    </row>
    <row r="365" spans="2:13">
      <c r="B365" s="40"/>
      <c r="C365" s="41"/>
      <c r="D365" s="42"/>
      <c r="E365" s="43"/>
      <c r="F365" s="44"/>
      <c r="G365" s="1"/>
      <c r="H365" s="64"/>
      <c r="I365" s="64">
        <f>ventas_b_mes5[[#This Row],[IMPORTE NETO]]*0.21</f>
        <v>0</v>
      </c>
      <c r="J365" s="64"/>
      <c r="K365" s="64"/>
      <c r="L365" s="64">
        <f>SUM(ventas_b_mes5[[#This Row],[IMPORTE NETO]:[EXENTO]])</f>
        <v>0</v>
      </c>
      <c r="M365" s="59"/>
    </row>
    <row r="366" spans="2:13">
      <c r="B366" s="140"/>
      <c r="C366" s="41"/>
      <c r="D366" s="142"/>
      <c r="E366" s="143"/>
      <c r="F366" s="144"/>
      <c r="G366" s="1" t="str">
        <f>IFERROR(IF(ventas_b_mes5[[#This Row],[CUIT]]="","-",VLOOKUP(ventas_b_mes5[[#This Row],[CUIT]],Lista_CUIT[#All],2,0)),"CUIT NO CARGADO")</f>
        <v>-</v>
      </c>
      <c r="H366" s="64"/>
      <c r="I366" s="145">
        <f>ventas_b_mes5[[#This Row],[IMPORTE NETO]]*0.21</f>
        <v>0</v>
      </c>
      <c r="J366" s="146"/>
      <c r="K366" s="146"/>
      <c r="L366" s="146">
        <f>SUM(ventas_b_mes5[[#This Row],[IMPORTE NETO]:[EXENTO]])</f>
        <v>0</v>
      </c>
      <c r="M366" s="59"/>
    </row>
    <row r="367" spans="2:13">
      <c r="B367" s="140"/>
      <c r="C367" s="41"/>
      <c r="D367" s="142"/>
      <c r="E367" s="143"/>
      <c r="F367" s="144"/>
      <c r="G367" s="1" t="str">
        <f>IFERROR(IF(ventas_b_mes5[[#This Row],[CUIT]]="","-",VLOOKUP(ventas_b_mes5[[#This Row],[CUIT]],Lista_CUIT[#All],2,0)),"CUIT NO CARGADO")</f>
        <v>-</v>
      </c>
      <c r="H367" s="64"/>
      <c r="I367" s="145">
        <f>ventas_b_mes5[[#This Row],[IMPORTE NETO]]*0.21</f>
        <v>0</v>
      </c>
      <c r="J367" s="146"/>
      <c r="K367" s="146"/>
      <c r="L367" s="146">
        <f>SUM(ventas_b_mes5[[#This Row],[IMPORTE NETO]:[EXENTO]])</f>
        <v>0</v>
      </c>
      <c r="M367" s="59"/>
    </row>
    <row r="368" spans="2:13">
      <c r="B368" s="140"/>
      <c r="C368" s="41"/>
      <c r="D368" s="142"/>
      <c r="E368" s="143"/>
      <c r="F368" s="144"/>
      <c r="G368" s="1" t="str">
        <f>IFERROR(IF(ventas_b_mes5[[#This Row],[CUIT]]="","-",VLOOKUP(ventas_b_mes5[[#This Row],[CUIT]],Lista_CUIT[#All],2,0)),"CUIT NO CARGADO")</f>
        <v>-</v>
      </c>
      <c r="H368" s="64"/>
      <c r="I368" s="145">
        <f>ventas_b_mes5[[#This Row],[IMPORTE NETO]]*0.21</f>
        <v>0</v>
      </c>
      <c r="J368" s="146"/>
      <c r="K368" s="146"/>
      <c r="L368" s="146">
        <f>SUM(ventas_b_mes5[[#This Row],[IMPORTE NETO]:[EXENTO]])</f>
        <v>0</v>
      </c>
      <c r="M368" s="59"/>
    </row>
    <row r="369" spans="2:13">
      <c r="B369" s="140"/>
      <c r="C369" s="41"/>
      <c r="D369" s="142"/>
      <c r="E369" s="143"/>
      <c r="F369" s="144"/>
      <c r="G369" s="1" t="str">
        <f>IFERROR(IF(ventas_b_mes5[[#This Row],[CUIT]]="","-",VLOOKUP(ventas_b_mes5[[#This Row],[CUIT]],Lista_CUIT[#All],2,0)),"CUIT NO CARGADO")</f>
        <v>-</v>
      </c>
      <c r="H369" s="64"/>
      <c r="I369" s="145">
        <f>ventas_b_mes5[[#This Row],[IMPORTE NETO]]*0.21</f>
        <v>0</v>
      </c>
      <c r="J369" s="146"/>
      <c r="K369" s="146"/>
      <c r="L369" s="146">
        <f>SUM(ventas_b_mes5[[#This Row],[IMPORTE NETO]:[EXENTO]])</f>
        <v>0</v>
      </c>
      <c r="M369" s="59"/>
    </row>
    <row r="370" spans="2:13">
      <c r="B370" s="140"/>
      <c r="C370" s="41"/>
      <c r="D370" s="142"/>
      <c r="E370" s="143"/>
      <c r="F370" s="144"/>
      <c r="G370" s="1" t="str">
        <f>IFERROR(IF(ventas_b_mes5[[#This Row],[CUIT]]="","-",VLOOKUP(ventas_b_mes5[[#This Row],[CUIT]],Lista_CUIT[#All],2,0)),"CUIT NO CARGADO")</f>
        <v>-</v>
      </c>
      <c r="H370" s="64"/>
      <c r="I370" s="145">
        <f>ventas_b_mes5[[#This Row],[IMPORTE NETO]]*0.21</f>
        <v>0</v>
      </c>
      <c r="J370" s="146"/>
      <c r="K370" s="146"/>
      <c r="L370" s="146">
        <f>SUM(ventas_b_mes5[[#This Row],[IMPORTE NETO]:[EXENTO]])</f>
        <v>0</v>
      </c>
      <c r="M370" s="59"/>
    </row>
    <row r="371" spans="2:13">
      <c r="B371" s="140"/>
      <c r="C371" s="41"/>
      <c r="D371" s="142"/>
      <c r="E371" s="143"/>
      <c r="F371" s="144"/>
      <c r="G371" s="1" t="str">
        <f>IFERROR(IF(ventas_b_mes5[[#This Row],[CUIT]]="","-",VLOOKUP(ventas_b_mes5[[#This Row],[CUIT]],Lista_CUIT[#All],2,0)),"CUIT NO CARGADO")</f>
        <v>-</v>
      </c>
      <c r="H371" s="64"/>
      <c r="I371" s="145">
        <f>ventas_b_mes5[[#This Row],[IMPORTE NETO]]*0.21</f>
        <v>0</v>
      </c>
      <c r="J371" s="146"/>
      <c r="K371" s="146"/>
      <c r="L371" s="146">
        <f>SUM(ventas_b_mes5[[#This Row],[IMPORTE NETO]:[EXENTO]])</f>
        <v>0</v>
      </c>
      <c r="M371" s="59"/>
    </row>
    <row r="372" spans="2:13">
      <c r="B372" s="140"/>
      <c r="C372" s="41"/>
      <c r="D372" s="142"/>
      <c r="E372" s="143"/>
      <c r="F372" s="144"/>
      <c r="G372" s="1" t="str">
        <f>IFERROR(IF(ventas_b_mes5[[#This Row],[CUIT]]="","-",VLOOKUP(ventas_b_mes5[[#This Row],[CUIT]],Lista_CUIT[#All],2,0)),"CUIT NO CARGADO")</f>
        <v>-</v>
      </c>
      <c r="H372" s="64"/>
      <c r="I372" s="145">
        <f>ventas_b_mes5[[#This Row],[IMPORTE NETO]]*0.21</f>
        <v>0</v>
      </c>
      <c r="J372" s="146"/>
      <c r="K372" s="146"/>
      <c r="L372" s="146">
        <f>SUM(ventas_b_mes5[[#This Row],[IMPORTE NETO]:[EXENTO]])</f>
        <v>0</v>
      </c>
      <c r="M372" s="59"/>
    </row>
    <row r="373" spans="2:13">
      <c r="B373" s="140"/>
      <c r="C373" s="41"/>
      <c r="D373" s="142"/>
      <c r="E373" s="143"/>
      <c r="F373" s="144"/>
      <c r="G373" s="1" t="str">
        <f>IFERROR(IF(ventas_b_mes5[[#This Row],[CUIT]]="","-",VLOOKUP(ventas_b_mes5[[#This Row],[CUIT]],Lista_CUIT[#All],2,0)),"CUIT NO CARGADO")</f>
        <v>-</v>
      </c>
      <c r="H373" s="64"/>
      <c r="I373" s="145">
        <f>ventas_b_mes5[[#This Row],[IMPORTE NETO]]*0.21</f>
        <v>0</v>
      </c>
      <c r="J373" s="146"/>
      <c r="K373" s="146"/>
      <c r="L373" s="146">
        <f>SUM(ventas_b_mes5[[#This Row],[IMPORTE NETO]:[EXENTO]])</f>
        <v>0</v>
      </c>
      <c r="M373" s="59"/>
    </row>
    <row r="374" spans="2:13">
      <c r="B374" s="140"/>
      <c r="C374" s="41"/>
      <c r="D374" s="142"/>
      <c r="E374" s="143"/>
      <c r="F374" s="144"/>
      <c r="G374" s="1" t="str">
        <f>IFERROR(IF(ventas_b_mes5[[#This Row],[CUIT]]="","-",VLOOKUP(ventas_b_mes5[[#This Row],[CUIT]],Lista_CUIT[#All],2,0)),"CUIT NO CARGADO")</f>
        <v>-</v>
      </c>
      <c r="H374" s="64"/>
      <c r="I374" s="145">
        <f>ventas_b_mes5[[#This Row],[IMPORTE NETO]]*0.21</f>
        <v>0</v>
      </c>
      <c r="J374" s="146"/>
      <c r="K374" s="146"/>
      <c r="L374" s="146">
        <f>SUM(ventas_b_mes5[[#This Row],[IMPORTE NETO]:[EXENTO]])</f>
        <v>0</v>
      </c>
      <c r="M374" s="59"/>
    </row>
    <row r="375" spans="2:13">
      <c r="B375" s="140"/>
      <c r="C375" s="41"/>
      <c r="D375" s="142"/>
      <c r="E375" s="143"/>
      <c r="F375" s="144"/>
      <c r="G375" s="1" t="str">
        <f>IFERROR(IF(ventas_b_mes5[[#This Row],[CUIT]]="","-",VLOOKUP(ventas_b_mes5[[#This Row],[CUIT]],Lista_CUIT[#All],2,0)),"CUIT NO CARGADO")</f>
        <v>-</v>
      </c>
      <c r="H375" s="64"/>
      <c r="I375" s="145">
        <f>ventas_b_mes5[[#This Row],[IMPORTE NETO]]*0.21</f>
        <v>0</v>
      </c>
      <c r="J375" s="146"/>
      <c r="K375" s="146"/>
      <c r="L375" s="146">
        <f>SUM(ventas_b_mes5[[#This Row],[IMPORTE NETO]:[EXENTO]])</f>
        <v>0</v>
      </c>
      <c r="M375" s="59"/>
    </row>
    <row r="376" spans="2:13">
      <c r="B376" s="140"/>
      <c r="C376" s="41"/>
      <c r="D376" s="142"/>
      <c r="E376" s="143"/>
      <c r="F376" s="144"/>
      <c r="G376" s="1" t="str">
        <f>IFERROR(IF(ventas_b_mes5[[#This Row],[CUIT]]="","-",VLOOKUP(ventas_b_mes5[[#This Row],[CUIT]],Lista_CUIT[#All],2,0)),"CUIT NO CARGADO")</f>
        <v>-</v>
      </c>
      <c r="H376" s="64"/>
      <c r="I376" s="145">
        <f>ventas_b_mes5[[#This Row],[IMPORTE NETO]]*0.21</f>
        <v>0</v>
      </c>
      <c r="J376" s="146"/>
      <c r="K376" s="146"/>
      <c r="L376" s="146">
        <f>SUM(ventas_b_mes5[[#This Row],[IMPORTE NETO]:[EXENTO]])</f>
        <v>0</v>
      </c>
      <c r="M376" s="59"/>
    </row>
    <row r="377" spans="2:13">
      <c r="B377" s="140"/>
      <c r="C377" s="41"/>
      <c r="D377" s="142"/>
      <c r="E377" s="143"/>
      <c r="F377" s="144"/>
      <c r="G377" s="1" t="str">
        <f>IFERROR(IF(ventas_b_mes5[[#This Row],[CUIT]]="","-",VLOOKUP(ventas_b_mes5[[#This Row],[CUIT]],Lista_CUIT[#All],2,0)),"CUIT NO CARGADO")</f>
        <v>-</v>
      </c>
      <c r="H377" s="64"/>
      <c r="I377" s="145">
        <f>ventas_b_mes5[[#This Row],[IMPORTE NETO]]*0.21</f>
        <v>0</v>
      </c>
      <c r="J377" s="146"/>
      <c r="K377" s="146"/>
      <c r="L377" s="146">
        <f>SUM(ventas_b_mes5[[#This Row],[IMPORTE NETO]:[EXENTO]])</f>
        <v>0</v>
      </c>
      <c r="M377" s="59"/>
    </row>
    <row r="378" spans="2:13">
      <c r="B378" s="140"/>
      <c r="C378" s="41"/>
      <c r="D378" s="142"/>
      <c r="E378" s="143"/>
      <c r="F378" s="144"/>
      <c r="G378" s="1" t="str">
        <f>IFERROR(IF(ventas_b_mes5[[#This Row],[CUIT]]="","-",VLOOKUP(ventas_b_mes5[[#This Row],[CUIT]],Lista_CUIT[#All],2,0)),"CUIT NO CARGADO")</f>
        <v>-</v>
      </c>
      <c r="H378" s="64"/>
      <c r="I378" s="145">
        <f>ventas_b_mes5[[#This Row],[IMPORTE NETO]]*0.21</f>
        <v>0</v>
      </c>
      <c r="J378" s="146"/>
      <c r="K378" s="146"/>
      <c r="L378" s="146">
        <f>SUM(ventas_b_mes5[[#This Row],[IMPORTE NETO]:[EXENTO]])</f>
        <v>0</v>
      </c>
      <c r="M378" s="59"/>
    </row>
    <row r="379" spans="2:13">
      <c r="B379" s="140"/>
      <c r="C379" s="41"/>
      <c r="D379" s="142"/>
      <c r="E379" s="143"/>
      <c r="F379" s="144"/>
      <c r="G379" s="1" t="str">
        <f>IFERROR(IF(ventas_b_mes5[[#This Row],[CUIT]]="","-",VLOOKUP(ventas_b_mes5[[#This Row],[CUIT]],Lista_CUIT[#All],2,0)),"CUIT NO CARGADO")</f>
        <v>-</v>
      </c>
      <c r="H379" s="64"/>
      <c r="I379" s="145">
        <f>ventas_b_mes5[[#This Row],[IMPORTE NETO]]*0.21</f>
        <v>0</v>
      </c>
      <c r="J379" s="146"/>
      <c r="K379" s="146"/>
      <c r="L379" s="146">
        <f>SUM(ventas_b_mes5[[#This Row],[IMPORTE NETO]:[EXENTO]])</f>
        <v>0</v>
      </c>
      <c r="M379" s="59"/>
    </row>
    <row r="380" spans="2:13">
      <c r="B380" s="140"/>
      <c r="C380" s="41"/>
      <c r="D380" s="142"/>
      <c r="E380" s="143"/>
      <c r="F380" s="144"/>
      <c r="G380" s="1" t="str">
        <f>IFERROR(IF(ventas_b_mes5[[#This Row],[CUIT]]="","-",VLOOKUP(ventas_b_mes5[[#This Row],[CUIT]],Lista_CUIT[#All],2,0)),"CUIT NO CARGADO")</f>
        <v>-</v>
      </c>
      <c r="H380" s="64"/>
      <c r="I380" s="145">
        <f>ventas_b_mes5[[#This Row],[IMPORTE NETO]]*0.21</f>
        <v>0</v>
      </c>
      <c r="J380" s="146"/>
      <c r="K380" s="146"/>
      <c r="L380" s="146">
        <f>SUM(ventas_b_mes5[[#This Row],[IMPORTE NETO]:[EXENTO]])</f>
        <v>0</v>
      </c>
      <c r="M380" s="59"/>
    </row>
    <row r="381" spans="2:13">
      <c r="B381" s="140"/>
      <c r="C381" s="41"/>
      <c r="D381" s="142"/>
      <c r="E381" s="143"/>
      <c r="F381" s="144"/>
      <c r="G381" s="1" t="str">
        <f>IFERROR(IF(ventas_b_mes5[[#This Row],[CUIT]]="","-",VLOOKUP(ventas_b_mes5[[#This Row],[CUIT]],Lista_CUIT[#All],2,0)),"CUIT NO CARGADO")</f>
        <v>-</v>
      </c>
      <c r="H381" s="64"/>
      <c r="I381" s="145">
        <f>ventas_b_mes5[[#This Row],[IMPORTE NETO]]*0.21</f>
        <v>0</v>
      </c>
      <c r="J381" s="146"/>
      <c r="K381" s="146"/>
      <c r="L381" s="146">
        <f>SUM(ventas_b_mes5[[#This Row],[IMPORTE NETO]:[EXENTO]])</f>
        <v>0</v>
      </c>
      <c r="M381" s="59"/>
    </row>
    <row r="382" spans="2:13">
      <c r="B382" s="140"/>
      <c r="C382" s="41"/>
      <c r="D382" s="142"/>
      <c r="E382" s="143"/>
      <c r="F382" s="144"/>
      <c r="G382" s="1" t="str">
        <f>IFERROR(IF(ventas_b_mes5[[#This Row],[CUIT]]="","-",VLOOKUP(ventas_b_mes5[[#This Row],[CUIT]],Lista_CUIT[#All],2,0)),"CUIT NO CARGADO")</f>
        <v>-</v>
      </c>
      <c r="H382" s="64"/>
      <c r="I382" s="145">
        <f>ventas_b_mes5[[#This Row],[IMPORTE NETO]]*0.21</f>
        <v>0</v>
      </c>
      <c r="J382" s="146"/>
      <c r="K382" s="146"/>
      <c r="L382" s="146">
        <f>SUM(ventas_b_mes5[[#This Row],[IMPORTE NETO]:[EXENTO]])</f>
        <v>0</v>
      </c>
      <c r="M382" s="59"/>
    </row>
    <row r="383" spans="2:13">
      <c r="B383" s="140"/>
      <c r="C383" s="41"/>
      <c r="D383" s="142"/>
      <c r="E383" s="143"/>
      <c r="F383" s="144"/>
      <c r="G383" s="1" t="str">
        <f>IFERROR(IF(ventas_b_mes5[[#This Row],[CUIT]]="","-",VLOOKUP(ventas_b_mes5[[#This Row],[CUIT]],Lista_CUIT[#All],2,0)),"CUIT NO CARGADO")</f>
        <v>-</v>
      </c>
      <c r="H383" s="64"/>
      <c r="I383" s="145">
        <f>ventas_b_mes5[[#This Row],[IMPORTE NETO]]*0.21</f>
        <v>0</v>
      </c>
      <c r="J383" s="146"/>
      <c r="K383" s="146"/>
      <c r="L383" s="146">
        <f>SUM(ventas_b_mes5[[#This Row],[IMPORTE NETO]:[EXENTO]])</f>
        <v>0</v>
      </c>
      <c r="M383" s="59"/>
    </row>
    <row r="384" spans="2:13">
      <c r="B384" s="140"/>
      <c r="C384" s="41"/>
      <c r="D384" s="142"/>
      <c r="E384" s="143"/>
      <c r="F384" s="144"/>
      <c r="G384" s="1" t="str">
        <f>IFERROR(IF(ventas_b_mes5[[#This Row],[CUIT]]="","-",VLOOKUP(ventas_b_mes5[[#This Row],[CUIT]],Lista_CUIT[#All],2,0)),"CUIT NO CARGADO")</f>
        <v>-</v>
      </c>
      <c r="H384" s="64"/>
      <c r="I384" s="145">
        <f>ventas_b_mes5[[#This Row],[IMPORTE NETO]]*0.21</f>
        <v>0</v>
      </c>
      <c r="J384" s="146"/>
      <c r="K384" s="146"/>
      <c r="L384" s="146">
        <f>SUM(ventas_b_mes5[[#This Row],[IMPORTE NETO]:[EXENTO]])</f>
        <v>0</v>
      </c>
      <c r="M384" s="59"/>
    </row>
    <row r="385" spans="2:13">
      <c r="B385" s="140"/>
      <c r="C385" s="41"/>
      <c r="D385" s="142"/>
      <c r="E385" s="143"/>
      <c r="F385" s="144"/>
      <c r="G385" s="1" t="str">
        <f>IFERROR(IF(ventas_b_mes5[[#This Row],[CUIT]]="","-",VLOOKUP(ventas_b_mes5[[#This Row],[CUIT]],Lista_CUIT[#All],2,0)),"CUIT NO CARGADO")</f>
        <v>-</v>
      </c>
      <c r="H385" s="64"/>
      <c r="I385" s="145">
        <f>ventas_b_mes5[[#This Row],[IMPORTE NETO]]*0.21</f>
        <v>0</v>
      </c>
      <c r="J385" s="146"/>
      <c r="K385" s="146"/>
      <c r="L385" s="146">
        <f>SUM(ventas_b_mes5[[#This Row],[IMPORTE NETO]:[EXENTO]])</f>
        <v>0</v>
      </c>
      <c r="M385" s="59"/>
    </row>
    <row r="386" spans="2:13">
      <c r="B386" s="140"/>
      <c r="C386" s="41"/>
      <c r="D386" s="142"/>
      <c r="E386" s="143"/>
      <c r="F386" s="144"/>
      <c r="G386" s="1" t="str">
        <f>IFERROR(IF(ventas_b_mes5[[#This Row],[CUIT]]="","-",VLOOKUP(ventas_b_mes5[[#This Row],[CUIT]],Lista_CUIT[#All],2,0)),"CUIT NO CARGADO")</f>
        <v>-</v>
      </c>
      <c r="H386" s="64"/>
      <c r="I386" s="145">
        <f>ventas_b_mes5[[#This Row],[IMPORTE NETO]]*0.21</f>
        <v>0</v>
      </c>
      <c r="J386" s="146"/>
      <c r="K386" s="146"/>
      <c r="L386" s="146">
        <f>SUM(ventas_b_mes5[[#This Row],[IMPORTE NETO]:[EXENTO]])</f>
        <v>0</v>
      </c>
      <c r="M386" s="59"/>
    </row>
    <row r="387" spans="2:13">
      <c r="B387" s="140"/>
      <c r="C387" s="41"/>
      <c r="D387" s="142"/>
      <c r="E387" s="143"/>
      <c r="F387" s="144"/>
      <c r="G387" s="1" t="str">
        <f>IFERROR(IF(ventas_b_mes5[[#This Row],[CUIT]]="","-",VLOOKUP(ventas_b_mes5[[#This Row],[CUIT]],Lista_CUIT[#All],2,0)),"CUIT NO CARGADO")</f>
        <v>-</v>
      </c>
      <c r="H387" s="64"/>
      <c r="I387" s="145">
        <f>ventas_b_mes5[[#This Row],[IMPORTE NETO]]*0.21</f>
        <v>0</v>
      </c>
      <c r="J387" s="146"/>
      <c r="K387" s="146"/>
      <c r="L387" s="146">
        <f>SUM(ventas_b_mes5[[#This Row],[IMPORTE NETO]:[EXENTO]])</f>
        <v>0</v>
      </c>
      <c r="M387" s="59"/>
    </row>
    <row r="388" spans="2:13">
      <c r="B388" s="140"/>
      <c r="C388" s="41"/>
      <c r="D388" s="142"/>
      <c r="E388" s="143"/>
      <c r="F388" s="144"/>
      <c r="G388" s="1" t="str">
        <f>IFERROR(IF(ventas_b_mes5[[#This Row],[CUIT]]="","-",VLOOKUP(ventas_b_mes5[[#This Row],[CUIT]],Lista_CUIT[#All],2,0)),"CUIT NO CARGADO")</f>
        <v>-</v>
      </c>
      <c r="H388" s="64"/>
      <c r="I388" s="145">
        <f>ventas_b_mes5[[#This Row],[IMPORTE NETO]]*0.21</f>
        <v>0</v>
      </c>
      <c r="J388" s="146"/>
      <c r="K388" s="146"/>
      <c r="L388" s="146">
        <f>SUM(ventas_b_mes5[[#This Row],[IMPORTE NETO]:[EXENTO]])</f>
        <v>0</v>
      </c>
      <c r="M388" s="59"/>
    </row>
    <row r="389" spans="2:13">
      <c r="B389" s="140"/>
      <c r="C389" s="41"/>
      <c r="D389" s="142"/>
      <c r="E389" s="143"/>
      <c r="F389" s="144"/>
      <c r="G389" s="1" t="str">
        <f>IFERROR(IF(ventas_b_mes5[[#This Row],[CUIT]]="","-",VLOOKUP(ventas_b_mes5[[#This Row],[CUIT]],Lista_CUIT[#All],2,0)),"CUIT NO CARGADO")</f>
        <v>-</v>
      </c>
      <c r="H389" s="64"/>
      <c r="I389" s="145">
        <f>ventas_b_mes5[[#This Row],[IMPORTE NETO]]*0.21</f>
        <v>0</v>
      </c>
      <c r="J389" s="146"/>
      <c r="K389" s="146"/>
      <c r="L389" s="146">
        <f>SUM(ventas_b_mes5[[#This Row],[IMPORTE NETO]:[EXENTO]])</f>
        <v>0</v>
      </c>
      <c r="M389" s="59"/>
    </row>
    <row r="390" spans="2:13">
      <c r="B390" s="140"/>
      <c r="C390" s="41"/>
      <c r="D390" s="142"/>
      <c r="E390" s="143"/>
      <c r="F390" s="144"/>
      <c r="G390" s="1" t="str">
        <f>IFERROR(IF(ventas_b_mes5[[#This Row],[CUIT]]="","-",VLOOKUP(ventas_b_mes5[[#This Row],[CUIT]],Lista_CUIT[#All],2,0)),"CUIT NO CARGADO")</f>
        <v>-</v>
      </c>
      <c r="H390" s="64"/>
      <c r="I390" s="145">
        <f>ventas_b_mes5[[#This Row],[IMPORTE NETO]]*0.21</f>
        <v>0</v>
      </c>
      <c r="J390" s="146"/>
      <c r="K390" s="146"/>
      <c r="L390" s="146">
        <f>SUM(ventas_b_mes5[[#This Row],[IMPORTE NETO]:[EXENTO]])</f>
        <v>0</v>
      </c>
      <c r="M390" s="59"/>
    </row>
    <row r="391" spans="2:13">
      <c r="B391" s="140"/>
      <c r="C391" s="41"/>
      <c r="D391" s="142"/>
      <c r="E391" s="143"/>
      <c r="F391" s="144"/>
      <c r="G391" s="1" t="str">
        <f>IFERROR(IF(ventas_b_mes5[[#This Row],[CUIT]]="","-",VLOOKUP(ventas_b_mes5[[#This Row],[CUIT]],Lista_CUIT[#All],2,0)),"CUIT NO CARGADO")</f>
        <v>-</v>
      </c>
      <c r="H391" s="64"/>
      <c r="I391" s="145">
        <f>ventas_b_mes5[[#This Row],[IMPORTE NETO]]*0.21</f>
        <v>0</v>
      </c>
      <c r="J391" s="146"/>
      <c r="K391" s="146"/>
      <c r="L391" s="146">
        <f>SUM(ventas_b_mes5[[#This Row],[IMPORTE NETO]:[EXENTO]])</f>
        <v>0</v>
      </c>
      <c r="M391" s="59"/>
    </row>
    <row r="392" spans="2:13">
      <c r="B392" s="140"/>
      <c r="C392" s="41"/>
      <c r="D392" s="142"/>
      <c r="E392" s="143"/>
      <c r="F392" s="144"/>
      <c r="G392" s="1" t="str">
        <f>IFERROR(IF(ventas_b_mes5[[#This Row],[CUIT]]="","-",VLOOKUP(ventas_b_mes5[[#This Row],[CUIT]],Lista_CUIT[#All],2,0)),"CUIT NO CARGADO")</f>
        <v>-</v>
      </c>
      <c r="H392" s="64"/>
      <c r="I392" s="145">
        <f>ventas_b_mes5[[#This Row],[IMPORTE NETO]]*0.21</f>
        <v>0</v>
      </c>
      <c r="J392" s="146"/>
      <c r="K392" s="146"/>
      <c r="L392" s="146">
        <f>SUM(ventas_b_mes5[[#This Row],[IMPORTE NETO]:[EXENTO]])</f>
        <v>0</v>
      </c>
      <c r="M392" s="59"/>
    </row>
    <row r="393" spans="2:13">
      <c r="B393" s="140"/>
      <c r="C393" s="41"/>
      <c r="D393" s="142"/>
      <c r="E393" s="143"/>
      <c r="F393" s="144"/>
      <c r="G393" s="1" t="str">
        <f>IFERROR(IF(ventas_b_mes5[[#This Row],[CUIT]]="","-",VLOOKUP(ventas_b_mes5[[#This Row],[CUIT]],Lista_CUIT[#All],2,0)),"CUIT NO CARGADO")</f>
        <v>-</v>
      </c>
      <c r="H393" s="64"/>
      <c r="I393" s="145">
        <f>ventas_b_mes5[[#This Row],[IMPORTE NETO]]*0.21</f>
        <v>0</v>
      </c>
      <c r="J393" s="146"/>
      <c r="K393" s="146"/>
      <c r="L393" s="146">
        <f>SUM(ventas_b_mes5[[#This Row],[IMPORTE NETO]:[EXENTO]])</f>
        <v>0</v>
      </c>
      <c r="M393" s="59"/>
    </row>
    <row r="394" spans="2:13">
      <c r="B394" s="140"/>
      <c r="C394" s="41"/>
      <c r="D394" s="142"/>
      <c r="E394" s="143"/>
      <c r="F394" s="144"/>
      <c r="G394" s="1" t="str">
        <f>IFERROR(IF(ventas_b_mes5[[#This Row],[CUIT]]="","-",VLOOKUP(ventas_b_mes5[[#This Row],[CUIT]],Lista_CUIT[#All],2,0)),"CUIT NO CARGADO")</f>
        <v>-</v>
      </c>
      <c r="H394" s="64"/>
      <c r="I394" s="145">
        <f>ventas_b_mes5[[#This Row],[IMPORTE NETO]]*0.21</f>
        <v>0</v>
      </c>
      <c r="J394" s="146"/>
      <c r="K394" s="146"/>
      <c r="L394" s="146">
        <f>SUM(ventas_b_mes5[[#This Row],[IMPORTE NETO]:[EXENTO]])</f>
        <v>0</v>
      </c>
      <c r="M394" s="59"/>
    </row>
    <row r="395" spans="2:13">
      <c r="B395" s="140"/>
      <c r="C395" s="41"/>
      <c r="D395" s="142"/>
      <c r="E395" s="143"/>
      <c r="F395" s="144"/>
      <c r="G395" s="1" t="str">
        <f>IFERROR(IF(ventas_b_mes5[[#This Row],[CUIT]]="","-",VLOOKUP(ventas_b_mes5[[#This Row],[CUIT]],Lista_CUIT[#All],2,0)),"CUIT NO CARGADO")</f>
        <v>-</v>
      </c>
      <c r="H395" s="64"/>
      <c r="I395" s="145">
        <f>ventas_b_mes5[[#This Row],[IMPORTE NETO]]*0.21</f>
        <v>0</v>
      </c>
      <c r="J395" s="146"/>
      <c r="K395" s="146"/>
      <c r="L395" s="146">
        <f>SUM(ventas_b_mes5[[#This Row],[IMPORTE NETO]:[EXENTO]])</f>
        <v>0</v>
      </c>
      <c r="M395" s="59"/>
    </row>
    <row r="396" spans="2:13">
      <c r="B396" s="140"/>
      <c r="C396" s="41"/>
      <c r="D396" s="142"/>
      <c r="E396" s="143"/>
      <c r="F396" s="144"/>
      <c r="G396" s="1" t="str">
        <f>IFERROR(IF(ventas_b_mes5[[#This Row],[CUIT]]="","-",VLOOKUP(ventas_b_mes5[[#This Row],[CUIT]],Lista_CUIT[#All],2,0)),"CUIT NO CARGADO")</f>
        <v>-</v>
      </c>
      <c r="H396" s="64"/>
      <c r="I396" s="145">
        <f>ventas_b_mes5[[#This Row],[IMPORTE NETO]]*0.21</f>
        <v>0</v>
      </c>
      <c r="J396" s="146"/>
      <c r="K396" s="146"/>
      <c r="L396" s="146">
        <f>SUM(ventas_b_mes5[[#This Row],[IMPORTE NETO]:[EXENTO]])</f>
        <v>0</v>
      </c>
      <c r="M396" s="59"/>
    </row>
    <row r="397" spans="2:13">
      <c r="B397" s="140"/>
      <c r="C397" s="41"/>
      <c r="D397" s="142"/>
      <c r="E397" s="143"/>
      <c r="F397" s="144"/>
      <c r="G397" s="1" t="str">
        <f>IFERROR(IF(ventas_b_mes5[[#This Row],[CUIT]]="","-",VLOOKUP(ventas_b_mes5[[#This Row],[CUIT]],Lista_CUIT[#All],2,0)),"CUIT NO CARGADO")</f>
        <v>-</v>
      </c>
      <c r="H397" s="64"/>
      <c r="I397" s="145">
        <f>ventas_b_mes5[[#This Row],[IMPORTE NETO]]*0.21</f>
        <v>0</v>
      </c>
      <c r="J397" s="146"/>
      <c r="K397" s="146"/>
      <c r="L397" s="146">
        <f>SUM(ventas_b_mes5[[#This Row],[IMPORTE NETO]:[EXENTO]])</f>
        <v>0</v>
      </c>
      <c r="M397" s="59"/>
    </row>
    <row r="398" spans="2:13">
      <c r="B398" s="140"/>
      <c r="C398" s="41"/>
      <c r="D398" s="142"/>
      <c r="E398" s="143"/>
      <c r="F398" s="144"/>
      <c r="G398" s="1" t="str">
        <f>IFERROR(IF(ventas_b_mes5[[#This Row],[CUIT]]="","-",VLOOKUP(ventas_b_mes5[[#This Row],[CUIT]],Lista_CUIT[#All],2,0)),"CUIT NO CARGADO")</f>
        <v>-</v>
      </c>
      <c r="H398" s="64"/>
      <c r="I398" s="145">
        <f>ventas_b_mes5[[#This Row],[IMPORTE NETO]]*0.21</f>
        <v>0</v>
      </c>
      <c r="J398" s="146"/>
      <c r="K398" s="146"/>
      <c r="L398" s="146">
        <f>SUM(ventas_b_mes5[[#This Row],[IMPORTE NETO]:[EXENTO]])</f>
        <v>0</v>
      </c>
      <c r="M398" s="59"/>
    </row>
    <row r="399" spans="2:13">
      <c r="B399" s="140"/>
      <c r="C399" s="41"/>
      <c r="D399" s="142"/>
      <c r="E399" s="143"/>
      <c r="F399" s="144"/>
      <c r="G399" s="1" t="str">
        <f>IFERROR(IF(ventas_b_mes5[[#This Row],[CUIT]]="","-",VLOOKUP(ventas_b_mes5[[#This Row],[CUIT]],Lista_CUIT[#All],2,0)),"CUIT NO CARGADO")</f>
        <v>-</v>
      </c>
      <c r="H399" s="64"/>
      <c r="I399" s="145">
        <f>ventas_b_mes5[[#This Row],[IMPORTE NETO]]*0.21</f>
        <v>0</v>
      </c>
      <c r="J399" s="146"/>
      <c r="K399" s="146"/>
      <c r="L399" s="146">
        <f>SUM(ventas_b_mes5[[#This Row],[IMPORTE NETO]:[EXENTO]])</f>
        <v>0</v>
      </c>
      <c r="M399" s="59"/>
    </row>
    <row r="400" spans="2:13">
      <c r="B400" s="140"/>
      <c r="C400" s="41"/>
      <c r="D400" s="142"/>
      <c r="E400" s="143"/>
      <c r="F400" s="144"/>
      <c r="G400" s="1" t="str">
        <f>IFERROR(IF(ventas_b_mes5[[#This Row],[CUIT]]="","-",VLOOKUP(ventas_b_mes5[[#This Row],[CUIT]],Lista_CUIT[#All],2,0)),"CUIT NO CARGADO")</f>
        <v>-</v>
      </c>
      <c r="H400" s="64"/>
      <c r="I400" s="145">
        <f>ventas_b_mes5[[#This Row],[IMPORTE NETO]]*0.21</f>
        <v>0</v>
      </c>
      <c r="J400" s="146"/>
      <c r="K400" s="146"/>
      <c r="L400" s="146">
        <f>SUM(ventas_b_mes5[[#This Row],[IMPORTE NETO]:[EXENTO]])</f>
        <v>0</v>
      </c>
      <c r="M400" s="59"/>
    </row>
    <row r="401" spans="2:13">
      <c r="B401" s="140"/>
      <c r="C401" s="41"/>
      <c r="D401" s="142"/>
      <c r="E401" s="143"/>
      <c r="F401" s="144"/>
      <c r="G401" s="1" t="str">
        <f>IFERROR(IF(ventas_b_mes5[[#This Row],[CUIT]]="","-",VLOOKUP(ventas_b_mes5[[#This Row],[CUIT]],Lista_CUIT[#All],2,0)),"CUIT NO CARGADO")</f>
        <v>-</v>
      </c>
      <c r="H401" s="64"/>
      <c r="I401" s="145">
        <f>ventas_b_mes5[[#This Row],[IMPORTE NETO]]*0.21</f>
        <v>0</v>
      </c>
      <c r="J401" s="146"/>
      <c r="K401" s="146"/>
      <c r="L401" s="146">
        <f>SUM(ventas_b_mes5[[#This Row],[IMPORTE NETO]:[EXENTO]])</f>
        <v>0</v>
      </c>
      <c r="M401" s="59"/>
    </row>
    <row r="402" spans="2:13">
      <c r="B402" s="140"/>
      <c r="C402" s="41"/>
      <c r="D402" s="142"/>
      <c r="E402" s="143"/>
      <c r="F402" s="144"/>
      <c r="G402" s="1" t="str">
        <f>IFERROR(IF(ventas_b_mes5[[#This Row],[CUIT]]="","-",VLOOKUP(ventas_b_mes5[[#This Row],[CUIT]],Lista_CUIT[#All],2,0)),"CUIT NO CARGADO")</f>
        <v>-</v>
      </c>
      <c r="H402" s="64"/>
      <c r="I402" s="145">
        <f>ventas_b_mes5[[#This Row],[IMPORTE NETO]]*0.21</f>
        <v>0</v>
      </c>
      <c r="J402" s="146"/>
      <c r="K402" s="146"/>
      <c r="L402" s="146">
        <f>SUM(ventas_b_mes5[[#This Row],[IMPORTE NETO]:[EXENTO]])</f>
        <v>0</v>
      </c>
      <c r="M402" s="59"/>
    </row>
    <row r="403" spans="2:13">
      <c r="B403" s="140"/>
      <c r="C403" s="41"/>
      <c r="D403" s="142"/>
      <c r="E403" s="143"/>
      <c r="F403" s="144"/>
      <c r="G403" s="1" t="str">
        <f>IFERROR(IF(ventas_b_mes5[[#This Row],[CUIT]]="","-",VLOOKUP(ventas_b_mes5[[#This Row],[CUIT]],Lista_CUIT[#All],2,0)),"CUIT NO CARGADO")</f>
        <v>-</v>
      </c>
      <c r="H403" s="64"/>
      <c r="I403" s="145">
        <f>ventas_b_mes5[[#This Row],[IMPORTE NETO]]*0.21</f>
        <v>0</v>
      </c>
      <c r="J403" s="146"/>
      <c r="K403" s="146"/>
      <c r="L403" s="146">
        <f>SUM(ventas_b_mes5[[#This Row],[IMPORTE NETO]:[EXENTO]])</f>
        <v>0</v>
      </c>
      <c r="M403" s="59"/>
    </row>
    <row r="404" spans="2:13">
      <c r="B404" s="140"/>
      <c r="C404" s="41"/>
      <c r="D404" s="142"/>
      <c r="E404" s="143"/>
      <c r="F404" s="144"/>
      <c r="G404" s="1" t="str">
        <f>IFERROR(IF(ventas_b_mes5[[#This Row],[CUIT]]="","-",VLOOKUP(ventas_b_mes5[[#This Row],[CUIT]],Lista_CUIT[#All],2,0)),"CUIT NO CARGADO")</f>
        <v>-</v>
      </c>
      <c r="H404" s="64"/>
      <c r="I404" s="145">
        <f>ventas_b_mes5[[#This Row],[IMPORTE NETO]]*0.21</f>
        <v>0</v>
      </c>
      <c r="J404" s="146"/>
      <c r="K404" s="146"/>
      <c r="L404" s="146">
        <f>SUM(ventas_b_mes5[[#This Row],[IMPORTE NETO]:[EXENTO]])</f>
        <v>0</v>
      </c>
      <c r="M404" s="59"/>
    </row>
    <row r="405" spans="2:13">
      <c r="B405" s="140"/>
      <c r="C405" s="41"/>
      <c r="D405" s="142"/>
      <c r="E405" s="143"/>
      <c r="F405" s="144"/>
      <c r="G405" s="1" t="str">
        <f>IFERROR(IF(ventas_b_mes5[[#This Row],[CUIT]]="","-",VLOOKUP(ventas_b_mes5[[#This Row],[CUIT]],Lista_CUIT[#All],2,0)),"CUIT NO CARGADO")</f>
        <v>-</v>
      </c>
      <c r="H405" s="64"/>
      <c r="I405" s="145">
        <f>ventas_b_mes5[[#This Row],[IMPORTE NETO]]*0.21</f>
        <v>0</v>
      </c>
      <c r="J405" s="146"/>
      <c r="K405" s="146"/>
      <c r="L405" s="146">
        <f>SUM(ventas_b_mes5[[#This Row],[IMPORTE NETO]:[EXENTO]])</f>
        <v>0</v>
      </c>
      <c r="M405" s="59"/>
    </row>
    <row r="406" spans="2:13">
      <c r="B406" s="140"/>
      <c r="C406" s="41"/>
      <c r="D406" s="142"/>
      <c r="E406" s="143"/>
      <c r="F406" s="144"/>
      <c r="G406" s="1" t="str">
        <f>IFERROR(IF(ventas_b_mes5[[#This Row],[CUIT]]="","-",VLOOKUP(ventas_b_mes5[[#This Row],[CUIT]],Lista_CUIT[#All],2,0)),"CUIT NO CARGADO")</f>
        <v>-</v>
      </c>
      <c r="H406" s="64"/>
      <c r="I406" s="145">
        <f>ventas_b_mes5[[#This Row],[IMPORTE NETO]]*0.21</f>
        <v>0</v>
      </c>
      <c r="J406" s="146"/>
      <c r="K406" s="146"/>
      <c r="L406" s="146">
        <f>SUM(ventas_b_mes5[[#This Row],[IMPORTE NETO]:[EXENTO]])</f>
        <v>0</v>
      </c>
      <c r="M406" s="59"/>
    </row>
    <row r="407" spans="2:13">
      <c r="B407" s="140"/>
      <c r="C407" s="41"/>
      <c r="D407" s="142"/>
      <c r="E407" s="143"/>
      <c r="F407" s="144"/>
      <c r="G407" s="1" t="str">
        <f>IFERROR(IF(ventas_b_mes5[[#This Row],[CUIT]]="","-",VLOOKUP(ventas_b_mes5[[#This Row],[CUIT]],Lista_CUIT[#All],2,0)),"CUIT NO CARGADO")</f>
        <v>-</v>
      </c>
      <c r="H407" s="64"/>
      <c r="I407" s="145">
        <f>ventas_b_mes5[[#This Row],[IMPORTE NETO]]*0.21</f>
        <v>0</v>
      </c>
      <c r="J407" s="146"/>
      <c r="K407" s="146"/>
      <c r="L407" s="146">
        <f>SUM(ventas_b_mes5[[#This Row],[IMPORTE NETO]:[EXENTO]])</f>
        <v>0</v>
      </c>
      <c r="M407" s="59"/>
    </row>
    <row r="408" spans="2:13">
      <c r="B408" s="140"/>
      <c r="C408" s="41"/>
      <c r="D408" s="142"/>
      <c r="E408" s="143"/>
      <c r="F408" s="144"/>
      <c r="G408" s="1" t="str">
        <f>IFERROR(IF(ventas_b_mes5[[#This Row],[CUIT]]="","-",VLOOKUP(ventas_b_mes5[[#This Row],[CUIT]],Lista_CUIT[#All],2,0)),"CUIT NO CARGADO")</f>
        <v>-</v>
      </c>
      <c r="H408" s="64"/>
      <c r="I408" s="145">
        <f>ventas_b_mes5[[#This Row],[IMPORTE NETO]]*0.21</f>
        <v>0</v>
      </c>
      <c r="J408" s="146"/>
      <c r="K408" s="146"/>
      <c r="L408" s="146">
        <f>SUM(ventas_b_mes5[[#This Row],[IMPORTE NETO]:[EXENTO]])</f>
        <v>0</v>
      </c>
      <c r="M408" s="59"/>
    </row>
    <row r="409" spans="2:13">
      <c r="B409" s="140"/>
      <c r="C409" s="41"/>
      <c r="D409" s="142"/>
      <c r="E409" s="143"/>
      <c r="F409" s="144"/>
      <c r="G409" s="1" t="str">
        <f>IFERROR(IF(ventas_b_mes5[[#This Row],[CUIT]]="","-",VLOOKUP(ventas_b_mes5[[#This Row],[CUIT]],Lista_CUIT[#All],2,0)),"CUIT NO CARGADO")</f>
        <v>-</v>
      </c>
      <c r="H409" s="64"/>
      <c r="I409" s="145">
        <f>ventas_b_mes5[[#This Row],[IMPORTE NETO]]*0.21</f>
        <v>0</v>
      </c>
      <c r="J409" s="146"/>
      <c r="K409" s="146"/>
      <c r="L409" s="146">
        <f>SUM(ventas_b_mes5[[#This Row],[IMPORTE NETO]:[EXENTO]])</f>
        <v>0</v>
      </c>
      <c r="M409" s="59"/>
    </row>
    <row r="410" spans="2:13">
      <c r="B410" s="140"/>
      <c r="C410" s="41"/>
      <c r="D410" s="142"/>
      <c r="E410" s="143"/>
      <c r="F410" s="144"/>
      <c r="G410" s="1" t="str">
        <f>IFERROR(IF(ventas_b_mes5[[#This Row],[CUIT]]="","-",VLOOKUP(ventas_b_mes5[[#This Row],[CUIT]],Lista_CUIT[#All],2,0)),"CUIT NO CARGADO")</f>
        <v>-</v>
      </c>
      <c r="H410" s="64"/>
      <c r="I410" s="145">
        <f>ventas_b_mes5[[#This Row],[IMPORTE NETO]]*0.21</f>
        <v>0</v>
      </c>
      <c r="J410" s="146"/>
      <c r="K410" s="146"/>
      <c r="L410" s="146">
        <f>SUM(ventas_b_mes5[[#This Row],[IMPORTE NETO]:[EXENTO]])</f>
        <v>0</v>
      </c>
      <c r="M410" s="59"/>
    </row>
    <row r="411" spans="2:13">
      <c r="B411" s="140"/>
      <c r="C411" s="41"/>
      <c r="D411" s="142"/>
      <c r="E411" s="143"/>
      <c r="F411" s="144"/>
      <c r="G411" s="1" t="str">
        <f>IFERROR(IF(ventas_b_mes5[[#This Row],[CUIT]]="","-",VLOOKUP(ventas_b_mes5[[#This Row],[CUIT]],Lista_CUIT[#All],2,0)),"CUIT NO CARGADO")</f>
        <v>-</v>
      </c>
      <c r="H411" s="64"/>
      <c r="I411" s="145">
        <f>ventas_b_mes5[[#This Row],[IMPORTE NETO]]*0.21</f>
        <v>0</v>
      </c>
      <c r="J411" s="146"/>
      <c r="K411" s="146"/>
      <c r="L411" s="146">
        <f>SUM(ventas_b_mes5[[#This Row],[IMPORTE NETO]:[EXENTO]])</f>
        <v>0</v>
      </c>
      <c r="M411" s="59"/>
    </row>
    <row r="412" spans="2:13">
      <c r="B412" s="140"/>
      <c r="C412" s="41"/>
      <c r="D412" s="142"/>
      <c r="E412" s="143"/>
      <c r="F412" s="144"/>
      <c r="G412" s="1" t="str">
        <f>IFERROR(IF(ventas_b_mes5[[#This Row],[CUIT]]="","-",VLOOKUP(ventas_b_mes5[[#This Row],[CUIT]],Lista_CUIT[#All],2,0)),"CUIT NO CARGADO")</f>
        <v>-</v>
      </c>
      <c r="H412" s="64"/>
      <c r="I412" s="145">
        <f>ventas_b_mes5[[#This Row],[IMPORTE NETO]]*0.21</f>
        <v>0</v>
      </c>
      <c r="J412" s="146"/>
      <c r="K412" s="146"/>
      <c r="L412" s="146">
        <f>SUM(ventas_b_mes5[[#This Row],[IMPORTE NETO]:[EXENTO]])</f>
        <v>0</v>
      </c>
      <c r="M412" s="59"/>
    </row>
    <row r="413" spans="2:13">
      <c r="B413" s="140"/>
      <c r="C413" s="41"/>
      <c r="D413" s="142"/>
      <c r="E413" s="143"/>
      <c r="F413" s="144"/>
      <c r="G413" s="1" t="str">
        <f>IFERROR(IF(ventas_b_mes5[[#This Row],[CUIT]]="","-",VLOOKUP(ventas_b_mes5[[#This Row],[CUIT]],Lista_CUIT[#All],2,0)),"CUIT NO CARGADO")</f>
        <v>-</v>
      </c>
      <c r="H413" s="64"/>
      <c r="I413" s="145">
        <f>ventas_b_mes5[[#This Row],[IMPORTE NETO]]*0.21</f>
        <v>0</v>
      </c>
      <c r="J413" s="146"/>
      <c r="K413" s="146"/>
      <c r="L413" s="146">
        <f>SUM(ventas_b_mes5[[#This Row],[IMPORTE NETO]:[EXENTO]])</f>
        <v>0</v>
      </c>
      <c r="M413" s="59"/>
    </row>
    <row r="414" spans="2:13">
      <c r="B414" s="140"/>
      <c r="C414" s="41"/>
      <c r="D414" s="142"/>
      <c r="E414" s="143"/>
      <c r="F414" s="144"/>
      <c r="G414" s="1" t="str">
        <f>IFERROR(IF(ventas_b_mes5[[#This Row],[CUIT]]="","-",VLOOKUP(ventas_b_mes5[[#This Row],[CUIT]],Lista_CUIT[#All],2,0)),"CUIT NO CARGADO")</f>
        <v>-</v>
      </c>
      <c r="H414" s="64"/>
      <c r="I414" s="145">
        <f>ventas_b_mes5[[#This Row],[IMPORTE NETO]]*0.21</f>
        <v>0</v>
      </c>
      <c r="J414" s="146"/>
      <c r="K414" s="146"/>
      <c r="L414" s="146">
        <f>SUM(ventas_b_mes5[[#This Row],[IMPORTE NETO]:[EXENTO]])</f>
        <v>0</v>
      </c>
      <c r="M414" s="59"/>
    </row>
    <row r="415" spans="2:13">
      <c r="B415" s="140"/>
      <c r="C415" s="41"/>
      <c r="D415" s="142"/>
      <c r="E415" s="143"/>
      <c r="F415" s="144"/>
      <c r="G415" s="1" t="str">
        <f>IFERROR(IF(ventas_b_mes5[[#This Row],[CUIT]]="","-",VLOOKUP(ventas_b_mes5[[#This Row],[CUIT]],Lista_CUIT[#All],2,0)),"CUIT NO CARGADO")</f>
        <v>-</v>
      </c>
      <c r="H415" s="64"/>
      <c r="I415" s="145">
        <f>ventas_b_mes5[[#This Row],[IMPORTE NETO]]*0.21</f>
        <v>0</v>
      </c>
      <c r="J415" s="146"/>
      <c r="K415" s="146"/>
      <c r="L415" s="146">
        <f>SUM(ventas_b_mes5[[#This Row],[IMPORTE NETO]:[EXENTO]])</f>
        <v>0</v>
      </c>
      <c r="M415" s="59"/>
    </row>
    <row r="416" spans="2:13">
      <c r="B416" s="140"/>
      <c r="C416" s="41"/>
      <c r="D416" s="142"/>
      <c r="E416" s="143"/>
      <c r="F416" s="144"/>
      <c r="G416" s="1" t="str">
        <f>IFERROR(IF(ventas_b_mes5[[#This Row],[CUIT]]="","-",VLOOKUP(ventas_b_mes5[[#This Row],[CUIT]],Lista_CUIT[#All],2,0)),"CUIT NO CARGADO")</f>
        <v>-</v>
      </c>
      <c r="H416" s="64"/>
      <c r="I416" s="145">
        <f>ventas_b_mes5[[#This Row],[IMPORTE NETO]]*0.21</f>
        <v>0</v>
      </c>
      <c r="J416" s="146"/>
      <c r="K416" s="146"/>
      <c r="L416" s="146">
        <f>SUM(ventas_b_mes5[[#This Row],[IMPORTE NETO]:[EXENTO]])</f>
        <v>0</v>
      </c>
      <c r="M416" s="59"/>
    </row>
    <row r="417" spans="2:13">
      <c r="B417" s="140"/>
      <c r="C417" s="41"/>
      <c r="D417" s="142"/>
      <c r="E417" s="143"/>
      <c r="F417" s="144"/>
      <c r="G417" s="1" t="str">
        <f>IFERROR(IF(ventas_b_mes5[[#This Row],[CUIT]]="","-",VLOOKUP(ventas_b_mes5[[#This Row],[CUIT]],Lista_CUIT[#All],2,0)),"CUIT NO CARGADO")</f>
        <v>-</v>
      </c>
      <c r="H417" s="64"/>
      <c r="I417" s="145">
        <f>ventas_b_mes5[[#This Row],[IMPORTE NETO]]*0.21</f>
        <v>0</v>
      </c>
      <c r="J417" s="146"/>
      <c r="K417" s="146"/>
      <c r="L417" s="146">
        <f>SUM(ventas_b_mes5[[#This Row],[IMPORTE NETO]:[EXENTO]])</f>
        <v>0</v>
      </c>
      <c r="M417" s="59"/>
    </row>
    <row r="418" spans="2:13">
      <c r="B418" s="140"/>
      <c r="C418" s="41"/>
      <c r="D418" s="142"/>
      <c r="E418" s="143"/>
      <c r="F418" s="144"/>
      <c r="G418" s="1" t="str">
        <f>IFERROR(IF(ventas_b_mes5[[#This Row],[CUIT]]="","-",VLOOKUP(ventas_b_mes5[[#This Row],[CUIT]],Lista_CUIT[#All],2,0)),"CUIT NO CARGADO")</f>
        <v>-</v>
      </c>
      <c r="H418" s="64"/>
      <c r="I418" s="145">
        <f>ventas_b_mes5[[#This Row],[IMPORTE NETO]]*0.21</f>
        <v>0</v>
      </c>
      <c r="J418" s="146"/>
      <c r="K418" s="146"/>
      <c r="L418" s="146">
        <f>SUM(ventas_b_mes5[[#This Row],[IMPORTE NETO]:[EXENTO]])</f>
        <v>0</v>
      </c>
      <c r="M418" s="59"/>
    </row>
    <row r="419" spans="2:13">
      <c r="B419" s="140"/>
      <c r="C419" s="41"/>
      <c r="D419" s="142"/>
      <c r="E419" s="143"/>
      <c r="F419" s="144"/>
      <c r="G419" s="1" t="str">
        <f>IFERROR(IF(ventas_b_mes5[[#This Row],[CUIT]]="","-",VLOOKUP(ventas_b_mes5[[#This Row],[CUIT]],Lista_CUIT[#All],2,0)),"CUIT NO CARGADO")</f>
        <v>-</v>
      </c>
      <c r="H419" s="64"/>
      <c r="I419" s="145">
        <f>ventas_b_mes5[[#This Row],[IMPORTE NETO]]*0.21</f>
        <v>0</v>
      </c>
      <c r="J419" s="146"/>
      <c r="K419" s="146"/>
      <c r="L419" s="146">
        <f>SUM(ventas_b_mes5[[#This Row],[IMPORTE NETO]:[EXENTO]])</f>
        <v>0</v>
      </c>
      <c r="M419" s="59"/>
    </row>
    <row r="420" spans="2:13">
      <c r="B420" s="140"/>
      <c r="C420" s="41"/>
      <c r="D420" s="142"/>
      <c r="E420" s="143"/>
      <c r="F420" s="144"/>
      <c r="G420" s="1" t="str">
        <f>IFERROR(IF(ventas_b_mes5[[#This Row],[CUIT]]="","-",VLOOKUP(ventas_b_mes5[[#This Row],[CUIT]],Lista_CUIT[#All],2,0)),"CUIT NO CARGADO")</f>
        <v>-</v>
      </c>
      <c r="H420" s="64"/>
      <c r="I420" s="145">
        <f>ventas_b_mes5[[#This Row],[IMPORTE NETO]]*0.21</f>
        <v>0</v>
      </c>
      <c r="J420" s="146"/>
      <c r="K420" s="146"/>
      <c r="L420" s="146">
        <f>SUM(ventas_b_mes5[[#This Row],[IMPORTE NETO]:[EXENTO]])</f>
        <v>0</v>
      </c>
      <c r="M420" s="59"/>
    </row>
    <row r="421" spans="2:13">
      <c r="B421" s="140"/>
      <c r="C421" s="41"/>
      <c r="D421" s="142"/>
      <c r="E421" s="143"/>
      <c r="F421" s="144"/>
      <c r="G421" s="1" t="str">
        <f>IFERROR(IF(ventas_b_mes5[[#This Row],[CUIT]]="","-",VLOOKUP(ventas_b_mes5[[#This Row],[CUIT]],Lista_CUIT[#All],2,0)),"CUIT NO CARGADO")</f>
        <v>-</v>
      </c>
      <c r="H421" s="64"/>
      <c r="I421" s="145">
        <f>ventas_b_mes5[[#This Row],[IMPORTE NETO]]*0.21</f>
        <v>0</v>
      </c>
      <c r="J421" s="146"/>
      <c r="K421" s="146"/>
      <c r="L421" s="146">
        <f>SUM(ventas_b_mes5[[#This Row],[IMPORTE NETO]:[EXENTO]])</f>
        <v>0</v>
      </c>
      <c r="M421" s="59"/>
    </row>
    <row r="422" spans="2:13">
      <c r="B422" s="140"/>
      <c r="C422" s="41"/>
      <c r="D422" s="142"/>
      <c r="E422" s="143"/>
      <c r="F422" s="144"/>
      <c r="G422" s="1" t="str">
        <f>IFERROR(IF(ventas_b_mes5[[#This Row],[CUIT]]="","-",VLOOKUP(ventas_b_mes5[[#This Row],[CUIT]],Lista_CUIT[#All],2,0)),"CUIT NO CARGADO")</f>
        <v>-</v>
      </c>
      <c r="H422" s="64"/>
      <c r="I422" s="145">
        <f>ventas_b_mes5[[#This Row],[IMPORTE NETO]]*0.21</f>
        <v>0</v>
      </c>
      <c r="J422" s="146"/>
      <c r="K422" s="146"/>
      <c r="L422" s="146">
        <f>SUM(ventas_b_mes5[[#This Row],[IMPORTE NETO]:[EXENTO]])</f>
        <v>0</v>
      </c>
      <c r="M422" s="59"/>
    </row>
    <row r="423" spans="2:13">
      <c r="B423" s="140"/>
      <c r="C423" s="41"/>
      <c r="D423" s="142"/>
      <c r="E423" s="143"/>
      <c r="F423" s="144"/>
      <c r="G423" s="1" t="str">
        <f>IFERROR(IF(ventas_b_mes5[[#This Row],[CUIT]]="","-",VLOOKUP(ventas_b_mes5[[#This Row],[CUIT]],Lista_CUIT[#All],2,0)),"CUIT NO CARGADO")</f>
        <v>-</v>
      </c>
      <c r="H423" s="64"/>
      <c r="I423" s="145">
        <f>ventas_b_mes5[[#This Row],[IMPORTE NETO]]*0.21</f>
        <v>0</v>
      </c>
      <c r="J423" s="146"/>
      <c r="K423" s="146"/>
      <c r="L423" s="146">
        <f>SUM(ventas_b_mes5[[#This Row],[IMPORTE NETO]:[EXENTO]])</f>
        <v>0</v>
      </c>
      <c r="M423" s="59"/>
    </row>
    <row r="424" spans="2:13">
      <c r="B424" s="140"/>
      <c r="C424" s="41"/>
      <c r="D424" s="142"/>
      <c r="E424" s="143"/>
      <c r="F424" s="144"/>
      <c r="G424" s="1" t="str">
        <f>IFERROR(IF(ventas_b_mes5[[#This Row],[CUIT]]="","-",VLOOKUP(ventas_b_mes5[[#This Row],[CUIT]],Lista_CUIT[#All],2,0)),"CUIT NO CARGADO")</f>
        <v>-</v>
      </c>
      <c r="H424" s="64"/>
      <c r="I424" s="145">
        <f>ventas_b_mes5[[#This Row],[IMPORTE NETO]]*0.21</f>
        <v>0</v>
      </c>
      <c r="J424" s="146"/>
      <c r="K424" s="146"/>
      <c r="L424" s="146">
        <f>SUM(ventas_b_mes5[[#This Row],[IMPORTE NETO]:[EXENTO]])</f>
        <v>0</v>
      </c>
      <c r="M424" s="59"/>
    </row>
    <row r="425" spans="2:13">
      <c r="B425" s="140"/>
      <c r="C425" s="41"/>
      <c r="D425" s="142"/>
      <c r="E425" s="143"/>
      <c r="F425" s="144"/>
      <c r="G425" s="1" t="str">
        <f>IFERROR(IF(ventas_b_mes5[[#This Row],[CUIT]]="","-",VLOOKUP(ventas_b_mes5[[#This Row],[CUIT]],Lista_CUIT[#All],2,0)),"CUIT NO CARGADO")</f>
        <v>-</v>
      </c>
      <c r="H425" s="64"/>
      <c r="I425" s="145">
        <f>ventas_b_mes5[[#This Row],[IMPORTE NETO]]*0.21</f>
        <v>0</v>
      </c>
      <c r="J425" s="146"/>
      <c r="K425" s="146"/>
      <c r="L425" s="146">
        <f>SUM(ventas_b_mes5[[#This Row],[IMPORTE NETO]:[EXENTO]])</f>
        <v>0</v>
      </c>
      <c r="M425" s="59"/>
    </row>
    <row r="426" spans="2:13">
      <c r="B426" s="140"/>
      <c r="C426" s="41"/>
      <c r="D426" s="142"/>
      <c r="E426" s="143"/>
      <c r="F426" s="144"/>
      <c r="G426" s="1" t="str">
        <f>IFERROR(IF(ventas_b_mes5[[#This Row],[CUIT]]="","-",VLOOKUP(ventas_b_mes5[[#This Row],[CUIT]],Lista_CUIT[#All],2,0)),"CUIT NO CARGADO")</f>
        <v>-</v>
      </c>
      <c r="H426" s="64"/>
      <c r="I426" s="145">
        <f>ventas_b_mes5[[#This Row],[IMPORTE NETO]]*0.21</f>
        <v>0</v>
      </c>
      <c r="J426" s="146"/>
      <c r="K426" s="146"/>
      <c r="L426" s="146">
        <f>SUM(ventas_b_mes5[[#This Row],[IMPORTE NETO]:[EXENTO]])</f>
        <v>0</v>
      </c>
      <c r="M426" s="59"/>
    </row>
    <row r="427" spans="2:13">
      <c r="B427" s="140"/>
      <c r="C427" s="41"/>
      <c r="D427" s="142"/>
      <c r="E427" s="143"/>
      <c r="F427" s="144"/>
      <c r="G427" s="1" t="str">
        <f>IFERROR(IF(ventas_b_mes5[[#This Row],[CUIT]]="","-",VLOOKUP(ventas_b_mes5[[#This Row],[CUIT]],Lista_CUIT[#All],2,0)),"CUIT NO CARGADO")</f>
        <v>-</v>
      </c>
      <c r="H427" s="64"/>
      <c r="I427" s="145">
        <f>ventas_b_mes5[[#This Row],[IMPORTE NETO]]*0.21</f>
        <v>0</v>
      </c>
      <c r="J427" s="146"/>
      <c r="K427" s="146"/>
      <c r="L427" s="146">
        <f>SUM(ventas_b_mes5[[#This Row],[IMPORTE NETO]:[EXENTO]])</f>
        <v>0</v>
      </c>
      <c r="M427" s="59"/>
    </row>
    <row r="428" spans="2:13">
      <c r="B428" s="140"/>
      <c r="C428" s="41"/>
      <c r="D428" s="142"/>
      <c r="E428" s="143"/>
      <c r="F428" s="144"/>
      <c r="G428" s="1" t="str">
        <f>IFERROR(IF(ventas_b_mes5[[#This Row],[CUIT]]="","-",VLOOKUP(ventas_b_mes5[[#This Row],[CUIT]],Lista_CUIT[#All],2,0)),"CUIT NO CARGADO")</f>
        <v>-</v>
      </c>
      <c r="H428" s="64"/>
      <c r="I428" s="145">
        <f>ventas_b_mes5[[#This Row],[IMPORTE NETO]]*0.21</f>
        <v>0</v>
      </c>
      <c r="J428" s="146"/>
      <c r="K428" s="146"/>
      <c r="L428" s="146">
        <f>SUM(ventas_b_mes5[[#This Row],[IMPORTE NETO]:[EXENTO]])</f>
        <v>0</v>
      </c>
      <c r="M428" s="59"/>
    </row>
    <row r="429" spans="2:13">
      <c r="B429" s="140"/>
      <c r="C429" s="41"/>
      <c r="D429" s="142"/>
      <c r="E429" s="143"/>
      <c r="F429" s="144"/>
      <c r="G429" s="1" t="str">
        <f>IFERROR(IF(ventas_b_mes5[[#This Row],[CUIT]]="","-",VLOOKUP(ventas_b_mes5[[#This Row],[CUIT]],Lista_CUIT[#All],2,0)),"CUIT NO CARGADO")</f>
        <v>-</v>
      </c>
      <c r="H429" s="64"/>
      <c r="I429" s="145">
        <f>ventas_b_mes5[[#This Row],[IMPORTE NETO]]*0.21</f>
        <v>0</v>
      </c>
      <c r="J429" s="146"/>
      <c r="K429" s="146"/>
      <c r="L429" s="146">
        <f>SUM(ventas_b_mes5[[#This Row],[IMPORTE NETO]:[EXENTO]])</f>
        <v>0</v>
      </c>
      <c r="M429" s="59"/>
    </row>
    <row r="430" spans="2:13">
      <c r="B430" s="140"/>
      <c r="C430" s="41"/>
      <c r="D430" s="142"/>
      <c r="E430" s="143"/>
      <c r="F430" s="144"/>
      <c r="G430" s="1" t="str">
        <f>IFERROR(IF(ventas_b_mes5[[#This Row],[CUIT]]="","-",VLOOKUP(ventas_b_mes5[[#This Row],[CUIT]],Lista_CUIT[#All],2,0)),"CUIT NO CARGADO")</f>
        <v>-</v>
      </c>
      <c r="H430" s="64"/>
      <c r="I430" s="145">
        <f>ventas_b_mes5[[#This Row],[IMPORTE NETO]]*0.21</f>
        <v>0</v>
      </c>
      <c r="J430" s="146"/>
      <c r="K430" s="146"/>
      <c r="L430" s="146">
        <f>SUM(ventas_b_mes5[[#This Row],[IMPORTE NETO]:[EXENTO]])</f>
        <v>0</v>
      </c>
      <c r="M430" s="59"/>
    </row>
    <row r="431" spans="2:13">
      <c r="B431" s="140"/>
      <c r="C431" s="41"/>
      <c r="D431" s="142"/>
      <c r="E431" s="143"/>
      <c r="F431" s="144"/>
      <c r="G431" s="1" t="str">
        <f>IFERROR(IF(ventas_b_mes5[[#This Row],[CUIT]]="","-",VLOOKUP(ventas_b_mes5[[#This Row],[CUIT]],Lista_CUIT[#All],2,0)),"CUIT NO CARGADO")</f>
        <v>-</v>
      </c>
      <c r="H431" s="64"/>
      <c r="I431" s="145">
        <f>ventas_b_mes5[[#This Row],[IMPORTE NETO]]*0.21</f>
        <v>0</v>
      </c>
      <c r="J431" s="146"/>
      <c r="K431" s="146"/>
      <c r="L431" s="146">
        <f>SUM(ventas_b_mes5[[#This Row],[IMPORTE NETO]:[EXENTO]])</f>
        <v>0</v>
      </c>
      <c r="M431" s="59"/>
    </row>
    <row r="432" spans="2:13">
      <c r="B432" s="140"/>
      <c r="C432" s="41"/>
      <c r="D432" s="142"/>
      <c r="E432" s="143"/>
      <c r="F432" s="144"/>
      <c r="G432" s="1" t="str">
        <f>IFERROR(IF(ventas_b_mes5[[#This Row],[CUIT]]="","-",VLOOKUP(ventas_b_mes5[[#This Row],[CUIT]],Lista_CUIT[#All],2,0)),"CUIT NO CARGADO")</f>
        <v>-</v>
      </c>
      <c r="H432" s="64"/>
      <c r="I432" s="145">
        <f>ventas_b_mes5[[#This Row],[IMPORTE NETO]]*0.21</f>
        <v>0</v>
      </c>
      <c r="J432" s="146"/>
      <c r="K432" s="146"/>
      <c r="L432" s="146">
        <f>SUM(ventas_b_mes5[[#This Row],[IMPORTE NETO]:[EXENTO]])</f>
        <v>0</v>
      </c>
      <c r="M432" s="59"/>
    </row>
    <row r="433" spans="2:13">
      <c r="B433" s="140"/>
      <c r="C433" s="41"/>
      <c r="D433" s="142"/>
      <c r="E433" s="143"/>
      <c r="F433" s="144"/>
      <c r="G433" s="1" t="str">
        <f>IFERROR(IF(ventas_b_mes5[[#This Row],[CUIT]]="","-",VLOOKUP(ventas_b_mes5[[#This Row],[CUIT]],Lista_CUIT[#All],2,0)),"CUIT NO CARGADO")</f>
        <v>-</v>
      </c>
      <c r="H433" s="64"/>
      <c r="I433" s="145">
        <f>ventas_b_mes5[[#This Row],[IMPORTE NETO]]*0.21</f>
        <v>0</v>
      </c>
      <c r="J433" s="146"/>
      <c r="K433" s="146"/>
      <c r="L433" s="146">
        <f>SUM(ventas_b_mes5[[#This Row],[IMPORTE NETO]:[EXENTO]])</f>
        <v>0</v>
      </c>
      <c r="M433" s="59"/>
    </row>
    <row r="434" spans="2:13">
      <c r="B434" s="140"/>
      <c r="C434" s="41"/>
      <c r="D434" s="142"/>
      <c r="E434" s="143"/>
      <c r="F434" s="144"/>
      <c r="G434" s="1" t="str">
        <f>IFERROR(IF(ventas_b_mes5[[#This Row],[CUIT]]="","-",VLOOKUP(ventas_b_mes5[[#This Row],[CUIT]],Lista_CUIT[#All],2,0)),"CUIT NO CARGADO")</f>
        <v>-</v>
      </c>
      <c r="H434" s="64"/>
      <c r="I434" s="145">
        <f>ventas_b_mes5[[#This Row],[IMPORTE NETO]]*0.21</f>
        <v>0</v>
      </c>
      <c r="J434" s="146"/>
      <c r="K434" s="146"/>
      <c r="L434" s="146">
        <f>SUM(ventas_b_mes5[[#This Row],[IMPORTE NETO]:[EXENTO]])</f>
        <v>0</v>
      </c>
      <c r="M434" s="59"/>
    </row>
    <row r="435" spans="2:13">
      <c r="B435" s="140"/>
      <c r="C435" s="41"/>
      <c r="D435" s="142"/>
      <c r="E435" s="143"/>
      <c r="F435" s="144"/>
      <c r="G435" s="1" t="str">
        <f>IFERROR(IF(ventas_b_mes5[[#This Row],[CUIT]]="","-",VLOOKUP(ventas_b_mes5[[#This Row],[CUIT]],Lista_CUIT[#All],2,0)),"CUIT NO CARGADO")</f>
        <v>-</v>
      </c>
      <c r="H435" s="64"/>
      <c r="I435" s="145">
        <f>ventas_b_mes5[[#This Row],[IMPORTE NETO]]*0.21</f>
        <v>0</v>
      </c>
      <c r="J435" s="146"/>
      <c r="K435" s="146"/>
      <c r="L435" s="146">
        <f>SUM(ventas_b_mes5[[#This Row],[IMPORTE NETO]:[EXENTO]])</f>
        <v>0</v>
      </c>
      <c r="M435" s="59"/>
    </row>
    <row r="436" spans="2:13">
      <c r="B436" s="140"/>
      <c r="C436" s="41"/>
      <c r="D436" s="142"/>
      <c r="E436" s="143"/>
      <c r="F436" s="144"/>
      <c r="G436" s="1" t="str">
        <f>IFERROR(IF(ventas_b_mes5[[#This Row],[CUIT]]="","-",VLOOKUP(ventas_b_mes5[[#This Row],[CUIT]],Lista_CUIT[#All],2,0)),"CUIT NO CARGADO")</f>
        <v>-</v>
      </c>
      <c r="H436" s="64"/>
      <c r="I436" s="145">
        <f>ventas_b_mes5[[#This Row],[IMPORTE NETO]]*0.21</f>
        <v>0</v>
      </c>
      <c r="J436" s="146"/>
      <c r="K436" s="146"/>
      <c r="L436" s="146">
        <f>SUM(ventas_b_mes5[[#This Row],[IMPORTE NETO]:[EXENTO]])</f>
        <v>0</v>
      </c>
      <c r="M436" s="59"/>
    </row>
    <row r="437" spans="2:13">
      <c r="B437" s="140"/>
      <c r="C437" s="41"/>
      <c r="D437" s="142"/>
      <c r="E437" s="143"/>
      <c r="F437" s="144"/>
      <c r="G437" s="1" t="str">
        <f>IFERROR(IF(ventas_b_mes5[[#This Row],[CUIT]]="","-",VLOOKUP(ventas_b_mes5[[#This Row],[CUIT]],Lista_CUIT[#All],2,0)),"CUIT NO CARGADO")</f>
        <v>-</v>
      </c>
      <c r="H437" s="64"/>
      <c r="I437" s="145">
        <f>ventas_b_mes5[[#This Row],[IMPORTE NETO]]*0.21</f>
        <v>0</v>
      </c>
      <c r="J437" s="146"/>
      <c r="K437" s="146"/>
      <c r="L437" s="146">
        <f>SUM(ventas_b_mes5[[#This Row],[IMPORTE NETO]:[EXENTO]])</f>
        <v>0</v>
      </c>
      <c r="M437" s="59"/>
    </row>
    <row r="438" spans="2:13">
      <c r="B438" s="140"/>
      <c r="C438" s="41"/>
      <c r="D438" s="142"/>
      <c r="E438" s="143"/>
      <c r="F438" s="144"/>
      <c r="G438" s="1" t="str">
        <f>IFERROR(IF(ventas_b_mes5[[#This Row],[CUIT]]="","-",VLOOKUP(ventas_b_mes5[[#This Row],[CUIT]],Lista_CUIT[#All],2,0)),"CUIT NO CARGADO")</f>
        <v>-</v>
      </c>
      <c r="H438" s="64"/>
      <c r="I438" s="145">
        <f>ventas_b_mes5[[#This Row],[IMPORTE NETO]]*0.21</f>
        <v>0</v>
      </c>
      <c r="J438" s="146"/>
      <c r="K438" s="146"/>
      <c r="L438" s="146">
        <f>SUM(ventas_b_mes5[[#This Row],[IMPORTE NETO]:[EXENTO]])</f>
        <v>0</v>
      </c>
      <c r="M438" s="59"/>
    </row>
    <row r="439" spans="2:13">
      <c r="B439" s="140"/>
      <c r="C439" s="41"/>
      <c r="D439" s="142"/>
      <c r="E439" s="143"/>
      <c r="F439" s="144"/>
      <c r="G439" s="1" t="str">
        <f>IFERROR(IF(ventas_b_mes5[[#This Row],[CUIT]]="","-",VLOOKUP(ventas_b_mes5[[#This Row],[CUIT]],Lista_CUIT[#All],2,0)),"CUIT NO CARGADO")</f>
        <v>-</v>
      </c>
      <c r="H439" s="64"/>
      <c r="I439" s="145">
        <f>ventas_b_mes5[[#This Row],[IMPORTE NETO]]*0.21</f>
        <v>0</v>
      </c>
      <c r="J439" s="146"/>
      <c r="K439" s="146"/>
      <c r="L439" s="146">
        <f>SUM(ventas_b_mes5[[#This Row],[IMPORTE NETO]:[EXENTO]])</f>
        <v>0</v>
      </c>
      <c r="M439" s="59"/>
    </row>
    <row r="440" spans="2:13">
      <c r="B440" s="140"/>
      <c r="C440" s="41"/>
      <c r="D440" s="142"/>
      <c r="E440" s="143"/>
      <c r="F440" s="144"/>
      <c r="G440" s="1" t="str">
        <f>IFERROR(IF(ventas_b_mes5[[#This Row],[CUIT]]="","-",VLOOKUP(ventas_b_mes5[[#This Row],[CUIT]],Lista_CUIT[#All],2,0)),"CUIT NO CARGADO")</f>
        <v>-</v>
      </c>
      <c r="H440" s="64"/>
      <c r="I440" s="145">
        <f>ventas_b_mes5[[#This Row],[IMPORTE NETO]]*0.21</f>
        <v>0</v>
      </c>
      <c r="J440" s="146"/>
      <c r="K440" s="146"/>
      <c r="L440" s="146">
        <f>SUM(ventas_b_mes5[[#This Row],[IMPORTE NETO]:[EXENTO]])</f>
        <v>0</v>
      </c>
      <c r="M440" s="59"/>
    </row>
    <row r="441" spans="2:13">
      <c r="B441" s="140"/>
      <c r="C441" s="41"/>
      <c r="D441" s="142"/>
      <c r="E441" s="143"/>
      <c r="F441" s="144"/>
      <c r="G441" s="1" t="str">
        <f>IFERROR(IF(ventas_b_mes5[[#This Row],[CUIT]]="","-",VLOOKUP(ventas_b_mes5[[#This Row],[CUIT]],Lista_CUIT[#All],2,0)),"CUIT NO CARGADO")</f>
        <v>-</v>
      </c>
      <c r="H441" s="64"/>
      <c r="I441" s="145">
        <f>ventas_b_mes5[[#This Row],[IMPORTE NETO]]*0.21</f>
        <v>0</v>
      </c>
      <c r="J441" s="146"/>
      <c r="K441" s="146"/>
      <c r="L441" s="146">
        <f>SUM(ventas_b_mes5[[#This Row],[IMPORTE NETO]:[EXENTO]])</f>
        <v>0</v>
      </c>
      <c r="M441" s="59"/>
    </row>
    <row r="442" spans="2:13">
      <c r="B442" s="140"/>
      <c r="C442" s="41"/>
      <c r="D442" s="142"/>
      <c r="E442" s="143"/>
      <c r="F442" s="144"/>
      <c r="G442" s="1" t="str">
        <f>IFERROR(IF(ventas_b_mes5[[#This Row],[CUIT]]="","-",VLOOKUP(ventas_b_mes5[[#This Row],[CUIT]],Lista_CUIT[#All],2,0)),"CUIT NO CARGADO")</f>
        <v>-</v>
      </c>
      <c r="H442" s="64"/>
      <c r="I442" s="145">
        <f>ventas_b_mes5[[#This Row],[IMPORTE NETO]]*0.21</f>
        <v>0</v>
      </c>
      <c r="J442" s="146"/>
      <c r="K442" s="146"/>
      <c r="L442" s="146">
        <f>SUM(ventas_b_mes5[[#This Row],[IMPORTE NETO]:[EXENTO]])</f>
        <v>0</v>
      </c>
      <c r="M442" s="59"/>
    </row>
    <row r="443" spans="2:13">
      <c r="B443" s="140"/>
      <c r="C443" s="41"/>
      <c r="D443" s="142"/>
      <c r="E443" s="143"/>
      <c r="F443" s="144"/>
      <c r="G443" s="1" t="str">
        <f>IFERROR(IF(ventas_b_mes5[[#This Row],[CUIT]]="","-",VLOOKUP(ventas_b_mes5[[#This Row],[CUIT]],Lista_CUIT[#All],2,0)),"CUIT NO CARGADO")</f>
        <v>-</v>
      </c>
      <c r="H443" s="64"/>
      <c r="I443" s="145">
        <f>ventas_b_mes5[[#This Row],[IMPORTE NETO]]*0.21</f>
        <v>0</v>
      </c>
      <c r="J443" s="146"/>
      <c r="K443" s="146"/>
      <c r="L443" s="146">
        <f>SUM(ventas_b_mes5[[#This Row],[IMPORTE NETO]:[EXENTO]])</f>
        <v>0</v>
      </c>
      <c r="M443" s="59"/>
    </row>
    <row r="444" spans="2:13">
      <c r="B444" s="140"/>
      <c r="C444" s="41"/>
      <c r="D444" s="142"/>
      <c r="E444" s="143"/>
      <c r="F444" s="144"/>
      <c r="G444" s="1" t="str">
        <f>IFERROR(IF(ventas_b_mes5[[#This Row],[CUIT]]="","-",VLOOKUP(ventas_b_mes5[[#This Row],[CUIT]],Lista_CUIT[#All],2,0)),"CUIT NO CARGADO")</f>
        <v>-</v>
      </c>
      <c r="H444" s="64"/>
      <c r="I444" s="145">
        <f>ventas_b_mes5[[#This Row],[IMPORTE NETO]]*0.21</f>
        <v>0</v>
      </c>
      <c r="J444" s="146"/>
      <c r="K444" s="146"/>
      <c r="L444" s="146">
        <f>SUM(ventas_b_mes5[[#This Row],[IMPORTE NETO]:[EXENTO]])</f>
        <v>0</v>
      </c>
      <c r="M444" s="59"/>
    </row>
    <row r="445" spans="2:13">
      <c r="B445" s="140"/>
      <c r="C445" s="41"/>
      <c r="D445" s="142"/>
      <c r="E445" s="143"/>
      <c r="F445" s="144"/>
      <c r="G445" s="1" t="str">
        <f>IFERROR(IF(ventas_b_mes5[[#This Row],[CUIT]]="","-",VLOOKUP(ventas_b_mes5[[#This Row],[CUIT]],Lista_CUIT[#All],2,0)),"CUIT NO CARGADO")</f>
        <v>-</v>
      </c>
      <c r="H445" s="64"/>
      <c r="I445" s="145">
        <f>ventas_b_mes5[[#This Row],[IMPORTE NETO]]*0.21</f>
        <v>0</v>
      </c>
      <c r="J445" s="146"/>
      <c r="K445" s="146"/>
      <c r="L445" s="146">
        <f>SUM(ventas_b_mes5[[#This Row],[IMPORTE NETO]:[EXENTO]])</f>
        <v>0</v>
      </c>
      <c r="M445" s="59"/>
    </row>
    <row r="446" spans="2:13">
      <c r="B446" s="140"/>
      <c r="C446" s="41"/>
      <c r="D446" s="142"/>
      <c r="E446" s="143"/>
      <c r="F446" s="144"/>
      <c r="G446" s="1" t="str">
        <f>IFERROR(IF(ventas_b_mes5[[#This Row],[CUIT]]="","-",VLOOKUP(ventas_b_mes5[[#This Row],[CUIT]],Lista_CUIT[#All],2,0)),"CUIT NO CARGADO")</f>
        <v>-</v>
      </c>
      <c r="H446" s="64"/>
      <c r="I446" s="145">
        <f>ventas_b_mes5[[#This Row],[IMPORTE NETO]]*0.21</f>
        <v>0</v>
      </c>
      <c r="J446" s="146"/>
      <c r="K446" s="146"/>
      <c r="L446" s="146">
        <f>SUM(ventas_b_mes5[[#This Row],[IMPORTE NETO]:[EXENTO]])</f>
        <v>0</v>
      </c>
      <c r="M446" s="59"/>
    </row>
    <row r="447" spans="2:13">
      <c r="B447" s="140"/>
      <c r="C447" s="41"/>
      <c r="D447" s="142"/>
      <c r="E447" s="143"/>
      <c r="F447" s="144"/>
      <c r="G447" s="1" t="str">
        <f>IFERROR(IF(ventas_b_mes5[[#This Row],[CUIT]]="","-",VLOOKUP(ventas_b_mes5[[#This Row],[CUIT]],Lista_CUIT[#All],2,0)),"CUIT NO CARGADO")</f>
        <v>-</v>
      </c>
      <c r="H447" s="64"/>
      <c r="I447" s="145">
        <f>ventas_b_mes5[[#This Row],[IMPORTE NETO]]*0.21</f>
        <v>0</v>
      </c>
      <c r="J447" s="146"/>
      <c r="K447" s="146"/>
      <c r="L447" s="146">
        <f>SUM(ventas_b_mes5[[#This Row],[IMPORTE NETO]:[EXENTO]])</f>
        <v>0</v>
      </c>
      <c r="M447" s="59"/>
    </row>
    <row r="448" spans="2:13">
      <c r="B448" s="140"/>
      <c r="C448" s="41"/>
      <c r="D448" s="142"/>
      <c r="E448" s="143"/>
      <c r="F448" s="144"/>
      <c r="G448" s="1" t="str">
        <f>IFERROR(IF(ventas_b_mes5[[#This Row],[CUIT]]="","-",VLOOKUP(ventas_b_mes5[[#This Row],[CUIT]],Lista_CUIT[#All],2,0)),"CUIT NO CARGADO")</f>
        <v>-</v>
      </c>
      <c r="H448" s="64"/>
      <c r="I448" s="145">
        <f>ventas_b_mes5[[#This Row],[IMPORTE NETO]]*0.21</f>
        <v>0</v>
      </c>
      <c r="J448" s="146"/>
      <c r="K448" s="146"/>
      <c r="L448" s="146">
        <f>SUM(ventas_b_mes5[[#This Row],[IMPORTE NETO]:[EXENTO]])</f>
        <v>0</v>
      </c>
      <c r="M448" s="59"/>
    </row>
    <row r="449" spans="2:13">
      <c r="B449" s="140"/>
      <c r="C449" s="41"/>
      <c r="D449" s="142"/>
      <c r="E449" s="143"/>
      <c r="F449" s="144"/>
      <c r="G449" s="1" t="str">
        <f>IFERROR(IF(ventas_b_mes5[[#This Row],[CUIT]]="","-",VLOOKUP(ventas_b_mes5[[#This Row],[CUIT]],Lista_CUIT[#All],2,0)),"CUIT NO CARGADO")</f>
        <v>-</v>
      </c>
      <c r="H449" s="64"/>
      <c r="I449" s="145">
        <f>ventas_b_mes5[[#This Row],[IMPORTE NETO]]*0.21</f>
        <v>0</v>
      </c>
      <c r="J449" s="146"/>
      <c r="K449" s="146"/>
      <c r="L449" s="146">
        <f>SUM(ventas_b_mes5[[#This Row],[IMPORTE NETO]:[EXENTO]])</f>
        <v>0</v>
      </c>
      <c r="M449" s="59"/>
    </row>
    <row r="450" spans="2:13">
      <c r="B450" s="140"/>
      <c r="C450" s="41"/>
      <c r="D450" s="142"/>
      <c r="E450" s="143"/>
      <c r="F450" s="144"/>
      <c r="G450" s="1" t="str">
        <f>IFERROR(IF(ventas_b_mes5[[#This Row],[CUIT]]="","-",VLOOKUP(ventas_b_mes5[[#This Row],[CUIT]],Lista_CUIT[#All],2,0)),"CUIT NO CARGADO")</f>
        <v>-</v>
      </c>
      <c r="H450" s="64"/>
      <c r="I450" s="145">
        <f>ventas_b_mes5[[#This Row],[IMPORTE NETO]]*0.21</f>
        <v>0</v>
      </c>
      <c r="J450" s="146"/>
      <c r="K450" s="146"/>
      <c r="L450" s="146">
        <f>SUM(ventas_b_mes5[[#This Row],[IMPORTE NETO]:[EXENTO]])</f>
        <v>0</v>
      </c>
      <c r="M450" s="59"/>
    </row>
    <row r="451" spans="2:13">
      <c r="B451" s="140"/>
      <c r="C451" s="41"/>
      <c r="D451" s="142"/>
      <c r="E451" s="143"/>
      <c r="F451" s="144"/>
      <c r="G451" s="1" t="str">
        <f>IFERROR(IF(ventas_b_mes5[[#This Row],[CUIT]]="","-",VLOOKUP(ventas_b_mes5[[#This Row],[CUIT]],Lista_CUIT[#All],2,0)),"CUIT NO CARGADO")</f>
        <v>-</v>
      </c>
      <c r="H451" s="64"/>
      <c r="I451" s="145">
        <f>ventas_b_mes5[[#This Row],[IMPORTE NETO]]*0.21</f>
        <v>0</v>
      </c>
      <c r="J451" s="146"/>
      <c r="K451" s="146"/>
      <c r="L451" s="146">
        <f>SUM(ventas_b_mes5[[#This Row],[IMPORTE NETO]:[EXENTO]])</f>
        <v>0</v>
      </c>
      <c r="M451" s="59"/>
    </row>
    <row r="452" spans="2:13">
      <c r="B452" s="140"/>
      <c r="C452" s="41"/>
      <c r="D452" s="142"/>
      <c r="E452" s="143"/>
      <c r="F452" s="144"/>
      <c r="G452" s="1" t="str">
        <f>IFERROR(IF(ventas_b_mes5[[#This Row],[CUIT]]="","-",VLOOKUP(ventas_b_mes5[[#This Row],[CUIT]],Lista_CUIT[#All],2,0)),"CUIT NO CARGADO")</f>
        <v>-</v>
      </c>
      <c r="H452" s="64"/>
      <c r="I452" s="145">
        <f>ventas_b_mes5[[#This Row],[IMPORTE NETO]]*0.21</f>
        <v>0</v>
      </c>
      <c r="J452" s="146"/>
      <c r="K452" s="146"/>
      <c r="L452" s="146">
        <f>SUM(ventas_b_mes5[[#This Row],[IMPORTE NETO]:[EXENTO]])</f>
        <v>0</v>
      </c>
      <c r="M452" s="59"/>
    </row>
    <row r="453" spans="2:13">
      <c r="B453" s="140"/>
      <c r="C453" s="41"/>
      <c r="D453" s="142"/>
      <c r="E453" s="143"/>
      <c r="F453" s="144"/>
      <c r="G453" s="1" t="str">
        <f>IFERROR(IF(ventas_b_mes5[[#This Row],[CUIT]]="","-",VLOOKUP(ventas_b_mes5[[#This Row],[CUIT]],Lista_CUIT[#All],2,0)),"CUIT NO CARGADO")</f>
        <v>-</v>
      </c>
      <c r="H453" s="64"/>
      <c r="I453" s="145">
        <f>ventas_b_mes5[[#This Row],[IMPORTE NETO]]*0.21</f>
        <v>0</v>
      </c>
      <c r="J453" s="146"/>
      <c r="K453" s="146"/>
      <c r="L453" s="146">
        <f>SUM(ventas_b_mes5[[#This Row],[IMPORTE NETO]:[EXENTO]])</f>
        <v>0</v>
      </c>
      <c r="M453" s="59"/>
    </row>
    <row r="454" spans="2:13">
      <c r="B454" s="140"/>
      <c r="C454" s="41"/>
      <c r="D454" s="142"/>
      <c r="E454" s="143"/>
      <c r="F454" s="144"/>
      <c r="G454" s="1" t="str">
        <f>IFERROR(IF(ventas_b_mes5[[#This Row],[CUIT]]="","-",VLOOKUP(ventas_b_mes5[[#This Row],[CUIT]],Lista_CUIT[#All],2,0)),"CUIT NO CARGADO")</f>
        <v>-</v>
      </c>
      <c r="H454" s="64"/>
      <c r="I454" s="145">
        <f>ventas_b_mes5[[#This Row],[IMPORTE NETO]]*0.21</f>
        <v>0</v>
      </c>
      <c r="J454" s="146"/>
      <c r="K454" s="146"/>
      <c r="L454" s="146">
        <f>SUM(ventas_b_mes5[[#This Row],[IMPORTE NETO]:[EXENTO]])</f>
        <v>0</v>
      </c>
      <c r="M454" s="59"/>
    </row>
    <row r="455" spans="2:13">
      <c r="B455" s="140"/>
      <c r="C455" s="41"/>
      <c r="D455" s="142"/>
      <c r="E455" s="143"/>
      <c r="F455" s="144"/>
      <c r="G455" s="1" t="str">
        <f>IFERROR(IF(ventas_b_mes5[[#This Row],[CUIT]]="","-",VLOOKUP(ventas_b_mes5[[#This Row],[CUIT]],Lista_CUIT[#All],2,0)),"CUIT NO CARGADO")</f>
        <v>-</v>
      </c>
      <c r="H455" s="64"/>
      <c r="I455" s="145">
        <f>ventas_b_mes5[[#This Row],[IMPORTE NETO]]*0.21</f>
        <v>0</v>
      </c>
      <c r="J455" s="146"/>
      <c r="K455" s="146"/>
      <c r="L455" s="146">
        <f>SUM(ventas_b_mes5[[#This Row],[IMPORTE NETO]:[EXENTO]])</f>
        <v>0</v>
      </c>
      <c r="M455" s="59"/>
    </row>
    <row r="456" spans="2:13">
      <c r="B456" s="140"/>
      <c r="C456" s="41"/>
      <c r="D456" s="142"/>
      <c r="E456" s="143"/>
      <c r="F456" s="144"/>
      <c r="G456" s="1" t="str">
        <f>IFERROR(IF(ventas_b_mes5[[#This Row],[CUIT]]="","-",VLOOKUP(ventas_b_mes5[[#This Row],[CUIT]],Lista_CUIT[#All],2,0)),"CUIT NO CARGADO")</f>
        <v>-</v>
      </c>
      <c r="H456" s="64"/>
      <c r="I456" s="145">
        <f>ventas_b_mes5[[#This Row],[IMPORTE NETO]]*0.21</f>
        <v>0</v>
      </c>
      <c r="J456" s="146"/>
      <c r="K456" s="146"/>
      <c r="L456" s="146">
        <f>SUM(ventas_b_mes5[[#This Row],[IMPORTE NETO]:[EXENTO]])</f>
        <v>0</v>
      </c>
      <c r="M456" s="59"/>
    </row>
    <row r="457" spans="2:13">
      <c r="B457" s="140"/>
      <c r="C457" s="41"/>
      <c r="D457" s="142"/>
      <c r="E457" s="143"/>
      <c r="F457" s="144"/>
      <c r="G457" s="1" t="str">
        <f>IFERROR(IF(ventas_b_mes5[[#This Row],[CUIT]]="","-",VLOOKUP(ventas_b_mes5[[#This Row],[CUIT]],Lista_CUIT[#All],2,0)),"CUIT NO CARGADO")</f>
        <v>-</v>
      </c>
      <c r="H457" s="64"/>
      <c r="I457" s="145">
        <f>ventas_b_mes5[[#This Row],[IMPORTE NETO]]*0.21</f>
        <v>0</v>
      </c>
      <c r="J457" s="146"/>
      <c r="K457" s="146"/>
      <c r="L457" s="146">
        <f>SUM(ventas_b_mes5[[#This Row],[IMPORTE NETO]:[EXENTO]])</f>
        <v>0</v>
      </c>
      <c r="M457" s="59"/>
    </row>
    <row r="458" spans="2:13">
      <c r="B458" s="140"/>
      <c r="C458" s="41"/>
      <c r="D458" s="142"/>
      <c r="E458" s="143"/>
      <c r="F458" s="144"/>
      <c r="G458" s="1" t="str">
        <f>IFERROR(IF(ventas_b_mes5[[#This Row],[CUIT]]="","-",VLOOKUP(ventas_b_mes5[[#This Row],[CUIT]],Lista_CUIT[#All],2,0)),"CUIT NO CARGADO")</f>
        <v>-</v>
      </c>
      <c r="H458" s="64"/>
      <c r="I458" s="145">
        <f>ventas_b_mes5[[#This Row],[IMPORTE NETO]]*0.21</f>
        <v>0</v>
      </c>
      <c r="J458" s="146"/>
      <c r="K458" s="146"/>
      <c r="L458" s="146">
        <f>SUM(ventas_b_mes5[[#This Row],[IMPORTE NETO]:[EXENTO]])</f>
        <v>0</v>
      </c>
      <c r="M458" s="59"/>
    </row>
    <row r="459" spans="2:13">
      <c r="B459" s="140"/>
      <c r="C459" s="41"/>
      <c r="D459" s="142"/>
      <c r="E459" s="143"/>
      <c r="F459" s="144"/>
      <c r="G459" s="1" t="str">
        <f>IFERROR(IF(ventas_b_mes5[[#This Row],[CUIT]]="","-",VLOOKUP(ventas_b_mes5[[#This Row],[CUIT]],Lista_CUIT[#All],2,0)),"CUIT NO CARGADO")</f>
        <v>-</v>
      </c>
      <c r="H459" s="64"/>
      <c r="I459" s="145">
        <f>ventas_b_mes5[[#This Row],[IMPORTE NETO]]*0.21</f>
        <v>0</v>
      </c>
      <c r="J459" s="146"/>
      <c r="K459" s="146"/>
      <c r="L459" s="146">
        <f>SUM(ventas_b_mes5[[#This Row],[IMPORTE NETO]:[EXENTO]])</f>
        <v>0</v>
      </c>
      <c r="M459" s="59"/>
    </row>
    <row r="460" spans="2:13">
      <c r="B460" s="140"/>
      <c r="C460" s="41"/>
      <c r="D460" s="142"/>
      <c r="E460" s="143"/>
      <c r="F460" s="144"/>
      <c r="G460" s="1" t="str">
        <f>IFERROR(IF(ventas_b_mes5[[#This Row],[CUIT]]="","-",VLOOKUP(ventas_b_mes5[[#This Row],[CUIT]],Lista_CUIT[#All],2,0)),"CUIT NO CARGADO")</f>
        <v>-</v>
      </c>
      <c r="H460" s="64"/>
      <c r="I460" s="145">
        <f>ventas_b_mes5[[#This Row],[IMPORTE NETO]]*0.21</f>
        <v>0</v>
      </c>
      <c r="J460" s="146"/>
      <c r="K460" s="146"/>
      <c r="L460" s="146">
        <f>SUM(ventas_b_mes5[[#This Row],[IMPORTE NETO]:[EXENTO]])</f>
        <v>0</v>
      </c>
      <c r="M460" s="59"/>
    </row>
    <row r="461" spans="2:13">
      <c r="B461" s="140"/>
      <c r="C461" s="41"/>
      <c r="D461" s="142"/>
      <c r="E461" s="143"/>
      <c r="F461" s="144"/>
      <c r="G461" s="1" t="str">
        <f>IFERROR(IF(ventas_b_mes5[[#This Row],[CUIT]]="","-",VLOOKUP(ventas_b_mes5[[#This Row],[CUIT]],Lista_CUIT[#All],2,0)),"CUIT NO CARGADO")</f>
        <v>-</v>
      </c>
      <c r="H461" s="64"/>
      <c r="I461" s="145">
        <f>ventas_b_mes5[[#This Row],[IMPORTE NETO]]*0.21</f>
        <v>0</v>
      </c>
      <c r="J461" s="146"/>
      <c r="K461" s="146"/>
      <c r="L461" s="146">
        <f>SUM(ventas_b_mes5[[#This Row],[IMPORTE NETO]:[EXENTO]])</f>
        <v>0</v>
      </c>
      <c r="M461" s="59"/>
    </row>
    <row r="462" spans="2:13">
      <c r="B462" s="140"/>
      <c r="C462" s="41"/>
      <c r="D462" s="142"/>
      <c r="E462" s="143"/>
      <c r="F462" s="144"/>
      <c r="G462" s="1" t="str">
        <f>IFERROR(IF(ventas_b_mes5[[#This Row],[CUIT]]="","-",VLOOKUP(ventas_b_mes5[[#This Row],[CUIT]],Lista_CUIT[#All],2,0)),"CUIT NO CARGADO")</f>
        <v>-</v>
      </c>
      <c r="H462" s="64"/>
      <c r="I462" s="145">
        <f>ventas_b_mes5[[#This Row],[IMPORTE NETO]]*0.21</f>
        <v>0</v>
      </c>
      <c r="J462" s="146"/>
      <c r="K462" s="146"/>
      <c r="L462" s="146">
        <f>SUM(ventas_b_mes5[[#This Row],[IMPORTE NETO]:[EXENTO]])</f>
        <v>0</v>
      </c>
      <c r="M462" s="59"/>
    </row>
    <row r="463" spans="2:13">
      <c r="B463" s="140"/>
      <c r="C463" s="41"/>
      <c r="D463" s="142"/>
      <c r="E463" s="143"/>
      <c r="F463" s="144"/>
      <c r="G463" s="1" t="str">
        <f>IFERROR(IF(ventas_b_mes5[[#This Row],[CUIT]]="","-",VLOOKUP(ventas_b_mes5[[#This Row],[CUIT]],Lista_CUIT[#All],2,0)),"CUIT NO CARGADO")</f>
        <v>-</v>
      </c>
      <c r="H463" s="64"/>
      <c r="I463" s="145">
        <f>ventas_b_mes5[[#This Row],[IMPORTE NETO]]*0.21</f>
        <v>0</v>
      </c>
      <c r="J463" s="146"/>
      <c r="K463" s="146"/>
      <c r="L463" s="146">
        <f>SUM(ventas_b_mes5[[#This Row],[IMPORTE NETO]:[EXENTO]])</f>
        <v>0</v>
      </c>
      <c r="M463" s="59"/>
    </row>
    <row r="464" spans="2:13">
      <c r="B464" s="140"/>
      <c r="C464" s="41"/>
      <c r="D464" s="142"/>
      <c r="E464" s="143"/>
      <c r="F464" s="144"/>
      <c r="G464" s="1" t="str">
        <f>IFERROR(IF(ventas_b_mes5[[#This Row],[CUIT]]="","-",VLOOKUP(ventas_b_mes5[[#This Row],[CUIT]],Lista_CUIT[#All],2,0)),"CUIT NO CARGADO")</f>
        <v>-</v>
      </c>
      <c r="H464" s="64"/>
      <c r="I464" s="145">
        <f>ventas_b_mes5[[#This Row],[IMPORTE NETO]]*0.21</f>
        <v>0</v>
      </c>
      <c r="J464" s="146"/>
      <c r="K464" s="146"/>
      <c r="L464" s="146">
        <f>SUM(ventas_b_mes5[[#This Row],[IMPORTE NETO]:[EXENTO]])</f>
        <v>0</v>
      </c>
      <c r="M464" s="59"/>
    </row>
    <row r="465" spans="2:13">
      <c r="B465" s="140"/>
      <c r="C465" s="41"/>
      <c r="D465" s="142"/>
      <c r="E465" s="143"/>
      <c r="F465" s="144"/>
      <c r="G465" s="1" t="str">
        <f>IFERROR(IF(ventas_b_mes5[[#This Row],[CUIT]]="","-",VLOOKUP(ventas_b_mes5[[#This Row],[CUIT]],Lista_CUIT[#All],2,0)),"CUIT NO CARGADO")</f>
        <v>-</v>
      </c>
      <c r="H465" s="64"/>
      <c r="I465" s="145">
        <f>ventas_b_mes5[[#This Row],[IMPORTE NETO]]*0.21</f>
        <v>0</v>
      </c>
      <c r="J465" s="146"/>
      <c r="K465" s="146"/>
      <c r="L465" s="146">
        <f>SUM(ventas_b_mes5[[#This Row],[IMPORTE NETO]:[EXENTO]])</f>
        <v>0</v>
      </c>
      <c r="M465" s="59"/>
    </row>
    <row r="466" spans="2:13">
      <c r="B466" s="140"/>
      <c r="C466" s="41"/>
      <c r="D466" s="142"/>
      <c r="E466" s="143"/>
      <c r="F466" s="144"/>
      <c r="G466" s="1" t="str">
        <f>IFERROR(IF(ventas_b_mes5[[#This Row],[CUIT]]="","-",VLOOKUP(ventas_b_mes5[[#This Row],[CUIT]],Lista_CUIT[#All],2,0)),"CUIT NO CARGADO")</f>
        <v>-</v>
      </c>
      <c r="H466" s="64"/>
      <c r="I466" s="145">
        <f>ventas_b_mes5[[#This Row],[IMPORTE NETO]]*0.21</f>
        <v>0</v>
      </c>
      <c r="J466" s="146"/>
      <c r="K466" s="146"/>
      <c r="L466" s="146">
        <f>SUM(ventas_b_mes5[[#This Row],[IMPORTE NETO]:[EXENTO]])</f>
        <v>0</v>
      </c>
      <c r="M466" s="59"/>
    </row>
    <row r="467" spans="2:13">
      <c r="B467" s="140"/>
      <c r="C467" s="41"/>
      <c r="D467" s="142"/>
      <c r="E467" s="143"/>
      <c r="F467" s="144"/>
      <c r="G467" s="1" t="str">
        <f>IFERROR(IF(ventas_b_mes5[[#This Row],[CUIT]]="","-",VLOOKUP(ventas_b_mes5[[#This Row],[CUIT]],Lista_CUIT[#All],2,0)),"CUIT NO CARGADO")</f>
        <v>-</v>
      </c>
      <c r="H467" s="64"/>
      <c r="I467" s="145">
        <f>ventas_b_mes5[[#This Row],[IMPORTE NETO]]*0.21</f>
        <v>0</v>
      </c>
      <c r="J467" s="146"/>
      <c r="K467" s="146"/>
      <c r="L467" s="146">
        <f>SUM(ventas_b_mes5[[#This Row],[IMPORTE NETO]:[EXENTO]])</f>
        <v>0</v>
      </c>
      <c r="M467" s="59"/>
    </row>
    <row r="468" spans="2:13">
      <c r="B468" s="140"/>
      <c r="C468" s="41"/>
      <c r="D468" s="142"/>
      <c r="E468" s="143"/>
      <c r="F468" s="144"/>
      <c r="G468" s="1" t="str">
        <f>IFERROR(IF(ventas_b_mes5[[#This Row],[CUIT]]="","-",VLOOKUP(ventas_b_mes5[[#This Row],[CUIT]],Lista_CUIT[#All],2,0)),"CUIT NO CARGADO")</f>
        <v>-</v>
      </c>
      <c r="H468" s="64"/>
      <c r="I468" s="145">
        <f>ventas_b_mes5[[#This Row],[IMPORTE NETO]]*0.21</f>
        <v>0</v>
      </c>
      <c r="J468" s="146"/>
      <c r="K468" s="146"/>
      <c r="L468" s="146">
        <f>SUM(ventas_b_mes5[[#This Row],[IMPORTE NETO]:[EXENTO]])</f>
        <v>0</v>
      </c>
      <c r="M468" s="59"/>
    </row>
    <row r="469" spans="2:13">
      <c r="B469" s="140"/>
      <c r="C469" s="41"/>
      <c r="D469" s="142"/>
      <c r="E469" s="143"/>
      <c r="F469" s="144"/>
      <c r="G469" s="1" t="str">
        <f>IFERROR(IF(ventas_b_mes5[[#This Row],[CUIT]]="","-",VLOOKUP(ventas_b_mes5[[#This Row],[CUIT]],Lista_CUIT[#All],2,0)),"CUIT NO CARGADO")</f>
        <v>-</v>
      </c>
      <c r="H469" s="64"/>
      <c r="I469" s="145">
        <f>ventas_b_mes5[[#This Row],[IMPORTE NETO]]*0.21</f>
        <v>0</v>
      </c>
      <c r="J469" s="146"/>
      <c r="K469" s="146"/>
      <c r="L469" s="146">
        <f>SUM(ventas_b_mes5[[#This Row],[IMPORTE NETO]:[EXENTO]])</f>
        <v>0</v>
      </c>
      <c r="M469" s="59"/>
    </row>
    <row r="470" spans="2:13">
      <c r="B470" s="140"/>
      <c r="C470" s="41"/>
      <c r="D470" s="142"/>
      <c r="E470" s="143"/>
      <c r="F470" s="144"/>
      <c r="G470" s="1" t="str">
        <f>IFERROR(IF(ventas_b_mes5[[#This Row],[CUIT]]="","-",VLOOKUP(ventas_b_mes5[[#This Row],[CUIT]],Lista_CUIT[#All],2,0)),"CUIT NO CARGADO")</f>
        <v>-</v>
      </c>
      <c r="H470" s="64"/>
      <c r="I470" s="145">
        <f>ventas_b_mes5[[#This Row],[IMPORTE NETO]]*0.21</f>
        <v>0</v>
      </c>
      <c r="J470" s="146"/>
      <c r="K470" s="146"/>
      <c r="L470" s="146">
        <f>SUM(ventas_b_mes5[[#This Row],[IMPORTE NETO]:[EXENTO]])</f>
        <v>0</v>
      </c>
      <c r="M470" s="59"/>
    </row>
    <row r="471" spans="2:13">
      <c r="B471" s="140"/>
      <c r="C471" s="41"/>
      <c r="D471" s="142"/>
      <c r="E471" s="143"/>
      <c r="F471" s="144"/>
      <c r="G471" s="1" t="str">
        <f>IFERROR(IF(ventas_b_mes5[[#This Row],[CUIT]]="","-",VLOOKUP(ventas_b_mes5[[#This Row],[CUIT]],Lista_CUIT[#All],2,0)),"CUIT NO CARGADO")</f>
        <v>-</v>
      </c>
      <c r="H471" s="64"/>
      <c r="I471" s="145">
        <f>ventas_b_mes5[[#This Row],[IMPORTE NETO]]*0.21</f>
        <v>0</v>
      </c>
      <c r="J471" s="146"/>
      <c r="K471" s="146"/>
      <c r="L471" s="146">
        <f>SUM(ventas_b_mes5[[#This Row],[IMPORTE NETO]:[EXENTO]])</f>
        <v>0</v>
      </c>
      <c r="M471" s="59"/>
    </row>
    <row r="472" spans="2:13">
      <c r="B472" s="140"/>
      <c r="C472" s="41"/>
      <c r="D472" s="142"/>
      <c r="E472" s="143"/>
      <c r="F472" s="144"/>
      <c r="G472" s="1" t="str">
        <f>IFERROR(IF(ventas_b_mes5[[#This Row],[CUIT]]="","-",VLOOKUP(ventas_b_mes5[[#This Row],[CUIT]],Lista_CUIT[#All],2,0)),"CUIT NO CARGADO")</f>
        <v>-</v>
      </c>
      <c r="H472" s="64"/>
      <c r="I472" s="145">
        <f>ventas_b_mes5[[#This Row],[IMPORTE NETO]]*0.21</f>
        <v>0</v>
      </c>
      <c r="J472" s="146"/>
      <c r="K472" s="146"/>
      <c r="L472" s="146">
        <f>SUM(ventas_b_mes5[[#This Row],[IMPORTE NETO]:[EXENTO]])</f>
        <v>0</v>
      </c>
      <c r="M472" s="59"/>
    </row>
    <row r="473" spans="2:13">
      <c r="B473" s="140"/>
      <c r="C473" s="41"/>
      <c r="D473" s="142"/>
      <c r="E473" s="143"/>
      <c r="F473" s="144"/>
      <c r="G473" s="1" t="str">
        <f>IFERROR(IF(ventas_b_mes5[[#This Row],[CUIT]]="","-",VLOOKUP(ventas_b_mes5[[#This Row],[CUIT]],Lista_CUIT[#All],2,0)),"CUIT NO CARGADO")</f>
        <v>-</v>
      </c>
      <c r="H473" s="64"/>
      <c r="I473" s="145">
        <f>ventas_b_mes5[[#This Row],[IMPORTE NETO]]*0.21</f>
        <v>0</v>
      </c>
      <c r="J473" s="146"/>
      <c r="K473" s="146"/>
      <c r="L473" s="146">
        <f>SUM(ventas_b_mes5[[#This Row],[IMPORTE NETO]:[EXENTO]])</f>
        <v>0</v>
      </c>
      <c r="M473" s="59"/>
    </row>
    <row r="474" spans="2:13">
      <c r="B474" s="140"/>
      <c r="C474" s="41"/>
      <c r="D474" s="142"/>
      <c r="E474" s="143"/>
      <c r="F474" s="144"/>
      <c r="G474" s="1" t="str">
        <f>IFERROR(IF(ventas_b_mes5[[#This Row],[CUIT]]="","-",VLOOKUP(ventas_b_mes5[[#This Row],[CUIT]],Lista_CUIT[#All],2,0)),"CUIT NO CARGADO")</f>
        <v>-</v>
      </c>
      <c r="H474" s="64"/>
      <c r="I474" s="145">
        <f>ventas_b_mes5[[#This Row],[IMPORTE NETO]]*0.21</f>
        <v>0</v>
      </c>
      <c r="J474" s="146"/>
      <c r="K474" s="146"/>
      <c r="L474" s="146">
        <f>SUM(ventas_b_mes5[[#This Row],[IMPORTE NETO]:[EXENTO]])</f>
        <v>0</v>
      </c>
      <c r="M474" s="59"/>
    </row>
    <row r="475" spans="2:13">
      <c r="B475" s="140"/>
      <c r="C475" s="41"/>
      <c r="D475" s="142"/>
      <c r="E475" s="143"/>
      <c r="F475" s="144"/>
      <c r="G475" s="1" t="str">
        <f>IFERROR(IF(ventas_b_mes5[[#This Row],[CUIT]]="","-",VLOOKUP(ventas_b_mes5[[#This Row],[CUIT]],Lista_CUIT[#All],2,0)),"CUIT NO CARGADO")</f>
        <v>-</v>
      </c>
      <c r="H475" s="64"/>
      <c r="I475" s="145">
        <f>ventas_b_mes5[[#This Row],[IMPORTE NETO]]*0.21</f>
        <v>0</v>
      </c>
      <c r="J475" s="146"/>
      <c r="K475" s="146"/>
      <c r="L475" s="146">
        <f>SUM(ventas_b_mes5[[#This Row],[IMPORTE NETO]:[EXENTO]])</f>
        <v>0</v>
      </c>
      <c r="M475" s="59"/>
    </row>
    <row r="476" spans="2:13">
      <c r="B476" s="140"/>
      <c r="C476" s="41"/>
      <c r="D476" s="142"/>
      <c r="E476" s="143"/>
      <c r="F476" s="144"/>
      <c r="G476" s="1" t="str">
        <f>IFERROR(IF(ventas_b_mes5[[#This Row],[CUIT]]="","-",VLOOKUP(ventas_b_mes5[[#This Row],[CUIT]],Lista_CUIT[#All],2,0)),"CUIT NO CARGADO")</f>
        <v>-</v>
      </c>
      <c r="H476" s="64"/>
      <c r="I476" s="145">
        <f>ventas_b_mes5[[#This Row],[IMPORTE NETO]]*0.21</f>
        <v>0</v>
      </c>
      <c r="J476" s="146"/>
      <c r="K476" s="146"/>
      <c r="L476" s="146">
        <f>SUM(ventas_b_mes5[[#This Row],[IMPORTE NETO]:[EXENTO]])</f>
        <v>0</v>
      </c>
      <c r="M476" s="59"/>
    </row>
    <row r="477" spans="2:13">
      <c r="B477" s="140"/>
      <c r="C477" s="41"/>
      <c r="D477" s="142"/>
      <c r="E477" s="143"/>
      <c r="F477" s="144"/>
      <c r="G477" s="1" t="str">
        <f>IFERROR(IF(ventas_b_mes5[[#This Row],[CUIT]]="","-",VLOOKUP(ventas_b_mes5[[#This Row],[CUIT]],Lista_CUIT[#All],2,0)),"CUIT NO CARGADO")</f>
        <v>-</v>
      </c>
      <c r="H477" s="64"/>
      <c r="I477" s="145">
        <f>ventas_b_mes5[[#This Row],[IMPORTE NETO]]*0.21</f>
        <v>0</v>
      </c>
      <c r="J477" s="146"/>
      <c r="K477" s="146"/>
      <c r="L477" s="146">
        <f>SUM(ventas_b_mes5[[#This Row],[IMPORTE NETO]:[EXENTO]])</f>
        <v>0</v>
      </c>
      <c r="M477" s="59"/>
    </row>
    <row r="478" spans="2:13">
      <c r="B478" s="140"/>
      <c r="C478" s="41"/>
      <c r="D478" s="142"/>
      <c r="E478" s="143"/>
      <c r="F478" s="144"/>
      <c r="G478" s="1" t="str">
        <f>IFERROR(IF(ventas_b_mes5[[#This Row],[CUIT]]="","-",VLOOKUP(ventas_b_mes5[[#This Row],[CUIT]],Lista_CUIT[#All],2,0)),"CUIT NO CARGADO")</f>
        <v>-</v>
      </c>
      <c r="H478" s="64"/>
      <c r="I478" s="145">
        <f>ventas_b_mes5[[#This Row],[IMPORTE NETO]]*0.21</f>
        <v>0</v>
      </c>
      <c r="J478" s="146"/>
      <c r="K478" s="146"/>
      <c r="L478" s="146">
        <f>SUM(ventas_b_mes5[[#This Row],[IMPORTE NETO]:[EXENTO]])</f>
        <v>0</v>
      </c>
      <c r="M478" s="59"/>
    </row>
    <row r="479" spans="2:13">
      <c r="B479" s="140"/>
      <c r="C479" s="41"/>
      <c r="D479" s="142"/>
      <c r="E479" s="143"/>
      <c r="F479" s="144"/>
      <c r="G479" s="1" t="str">
        <f>IFERROR(IF(ventas_b_mes5[[#This Row],[CUIT]]="","-",VLOOKUP(ventas_b_mes5[[#This Row],[CUIT]],Lista_CUIT[#All],2,0)),"CUIT NO CARGADO")</f>
        <v>-</v>
      </c>
      <c r="H479" s="64"/>
      <c r="I479" s="145">
        <f>ventas_b_mes5[[#This Row],[IMPORTE NETO]]*0.21</f>
        <v>0</v>
      </c>
      <c r="J479" s="146"/>
      <c r="K479" s="146"/>
      <c r="L479" s="146">
        <f>SUM(ventas_b_mes5[[#This Row],[IMPORTE NETO]:[EXENTO]])</f>
        <v>0</v>
      </c>
      <c r="M479" s="59"/>
    </row>
    <row r="480" spans="2:13">
      <c r="B480" s="140"/>
      <c r="C480" s="41"/>
      <c r="D480" s="142"/>
      <c r="E480" s="143"/>
      <c r="F480" s="144"/>
      <c r="G480" s="1" t="str">
        <f>IFERROR(IF(ventas_b_mes5[[#This Row],[CUIT]]="","-",VLOOKUP(ventas_b_mes5[[#This Row],[CUIT]],Lista_CUIT[#All],2,0)),"CUIT NO CARGADO")</f>
        <v>-</v>
      </c>
      <c r="H480" s="64"/>
      <c r="I480" s="145">
        <f>ventas_b_mes5[[#This Row],[IMPORTE NETO]]*0.21</f>
        <v>0</v>
      </c>
      <c r="J480" s="146"/>
      <c r="K480" s="146"/>
      <c r="L480" s="146">
        <f>SUM(ventas_b_mes5[[#This Row],[IMPORTE NETO]:[EXENTO]])</f>
        <v>0</v>
      </c>
      <c r="M480" s="59"/>
    </row>
    <row r="481" spans="2:13">
      <c r="B481" s="140"/>
      <c r="C481" s="41"/>
      <c r="D481" s="142"/>
      <c r="E481" s="143"/>
      <c r="F481" s="144"/>
      <c r="G481" s="1" t="str">
        <f>IFERROR(IF(ventas_b_mes5[[#This Row],[CUIT]]="","-",VLOOKUP(ventas_b_mes5[[#This Row],[CUIT]],Lista_CUIT[#All],2,0)),"CUIT NO CARGADO")</f>
        <v>-</v>
      </c>
      <c r="H481" s="64"/>
      <c r="I481" s="145">
        <f>ventas_b_mes5[[#This Row],[IMPORTE NETO]]*0.21</f>
        <v>0</v>
      </c>
      <c r="J481" s="146"/>
      <c r="K481" s="146"/>
      <c r="L481" s="146">
        <f>SUM(ventas_b_mes5[[#This Row],[IMPORTE NETO]:[EXENTO]])</f>
        <v>0</v>
      </c>
      <c r="M481" s="59"/>
    </row>
    <row r="482" spans="2:13">
      <c r="B482" s="140"/>
      <c r="C482" s="41"/>
      <c r="D482" s="142"/>
      <c r="E482" s="143"/>
      <c r="F482" s="144"/>
      <c r="G482" s="1" t="str">
        <f>IFERROR(IF(ventas_b_mes5[[#This Row],[CUIT]]="","-",VLOOKUP(ventas_b_mes5[[#This Row],[CUIT]],Lista_CUIT[#All],2,0)),"CUIT NO CARGADO")</f>
        <v>-</v>
      </c>
      <c r="H482" s="64"/>
      <c r="I482" s="145">
        <f>ventas_b_mes5[[#This Row],[IMPORTE NETO]]*0.21</f>
        <v>0</v>
      </c>
      <c r="J482" s="146"/>
      <c r="K482" s="146"/>
      <c r="L482" s="146">
        <f>SUM(ventas_b_mes5[[#This Row],[IMPORTE NETO]:[EXENTO]])</f>
        <v>0</v>
      </c>
      <c r="M482" s="59"/>
    </row>
    <row r="483" spans="2:13">
      <c r="B483" s="140"/>
      <c r="C483" s="41"/>
      <c r="D483" s="142"/>
      <c r="E483" s="143"/>
      <c r="F483" s="144"/>
      <c r="G483" s="1" t="str">
        <f>IFERROR(IF(ventas_b_mes5[[#This Row],[CUIT]]="","-",VLOOKUP(ventas_b_mes5[[#This Row],[CUIT]],Lista_CUIT[#All],2,0)),"CUIT NO CARGADO")</f>
        <v>-</v>
      </c>
      <c r="H483" s="64"/>
      <c r="I483" s="145">
        <f>ventas_b_mes5[[#This Row],[IMPORTE NETO]]*0.21</f>
        <v>0</v>
      </c>
      <c r="J483" s="146"/>
      <c r="K483" s="146"/>
      <c r="L483" s="146">
        <f>SUM(ventas_b_mes5[[#This Row],[IMPORTE NETO]:[EXENTO]])</f>
        <v>0</v>
      </c>
      <c r="M483" s="59"/>
    </row>
    <row r="484" spans="2:13">
      <c r="B484" s="140"/>
      <c r="C484" s="41"/>
      <c r="D484" s="142"/>
      <c r="E484" s="143"/>
      <c r="F484" s="144"/>
      <c r="G484" s="1" t="str">
        <f>IFERROR(IF(ventas_b_mes5[[#This Row],[CUIT]]="","-",VLOOKUP(ventas_b_mes5[[#This Row],[CUIT]],Lista_CUIT[#All],2,0)),"CUIT NO CARGADO")</f>
        <v>-</v>
      </c>
      <c r="H484" s="64"/>
      <c r="I484" s="145">
        <f>ventas_b_mes5[[#This Row],[IMPORTE NETO]]*0.21</f>
        <v>0</v>
      </c>
      <c r="J484" s="146"/>
      <c r="K484" s="146"/>
      <c r="L484" s="146">
        <f>SUM(ventas_b_mes5[[#This Row],[IMPORTE NETO]:[EXENTO]])</f>
        <v>0</v>
      </c>
      <c r="M484" s="59"/>
    </row>
    <row r="485" spans="2:13">
      <c r="B485" s="140"/>
      <c r="C485" s="41"/>
      <c r="D485" s="142"/>
      <c r="E485" s="143"/>
      <c r="F485" s="144"/>
      <c r="G485" s="1" t="str">
        <f>IFERROR(IF(ventas_b_mes5[[#This Row],[CUIT]]="","-",VLOOKUP(ventas_b_mes5[[#This Row],[CUIT]],Lista_CUIT[#All],2,0)),"CUIT NO CARGADO")</f>
        <v>-</v>
      </c>
      <c r="H485" s="64"/>
      <c r="I485" s="145">
        <f>ventas_b_mes5[[#This Row],[IMPORTE NETO]]*0.21</f>
        <v>0</v>
      </c>
      <c r="J485" s="146"/>
      <c r="K485" s="146"/>
      <c r="L485" s="146">
        <f>SUM(ventas_b_mes5[[#This Row],[IMPORTE NETO]:[EXENTO]])</f>
        <v>0</v>
      </c>
      <c r="M485" s="59"/>
    </row>
    <row r="486" spans="2:13">
      <c r="B486" s="140"/>
      <c r="C486" s="41"/>
      <c r="D486" s="142"/>
      <c r="E486" s="143"/>
      <c r="F486" s="144"/>
      <c r="G486" s="1" t="str">
        <f>IFERROR(IF(ventas_b_mes5[[#This Row],[CUIT]]="","-",VLOOKUP(ventas_b_mes5[[#This Row],[CUIT]],Lista_CUIT[#All],2,0)),"CUIT NO CARGADO")</f>
        <v>-</v>
      </c>
      <c r="H486" s="64"/>
      <c r="I486" s="145">
        <f>ventas_b_mes5[[#This Row],[IMPORTE NETO]]*0.21</f>
        <v>0</v>
      </c>
      <c r="J486" s="146"/>
      <c r="K486" s="146"/>
      <c r="L486" s="146">
        <f>SUM(ventas_b_mes5[[#This Row],[IMPORTE NETO]:[EXENTO]])</f>
        <v>0</v>
      </c>
      <c r="M486" s="59"/>
    </row>
    <row r="487" spans="2:13">
      <c r="B487" s="140"/>
      <c r="C487" s="41"/>
      <c r="D487" s="142"/>
      <c r="E487" s="143"/>
      <c r="F487" s="144"/>
      <c r="G487" s="1" t="str">
        <f>IFERROR(IF(ventas_b_mes5[[#This Row],[CUIT]]="","-",VLOOKUP(ventas_b_mes5[[#This Row],[CUIT]],Lista_CUIT[#All],2,0)),"CUIT NO CARGADO")</f>
        <v>-</v>
      </c>
      <c r="H487" s="64"/>
      <c r="I487" s="145">
        <f>ventas_b_mes5[[#This Row],[IMPORTE NETO]]*0.21</f>
        <v>0</v>
      </c>
      <c r="J487" s="146"/>
      <c r="K487" s="146"/>
      <c r="L487" s="146">
        <f>SUM(ventas_b_mes5[[#This Row],[IMPORTE NETO]:[EXENTO]])</f>
        <v>0</v>
      </c>
      <c r="M487" s="59"/>
    </row>
    <row r="488" spans="2:13">
      <c r="B488" s="140"/>
      <c r="C488" s="41"/>
      <c r="D488" s="142"/>
      <c r="E488" s="143"/>
      <c r="F488" s="144"/>
      <c r="G488" s="1" t="str">
        <f>IFERROR(IF(ventas_b_mes5[[#This Row],[CUIT]]="","-",VLOOKUP(ventas_b_mes5[[#This Row],[CUIT]],Lista_CUIT[#All],2,0)),"CUIT NO CARGADO")</f>
        <v>-</v>
      </c>
      <c r="H488" s="64"/>
      <c r="I488" s="145">
        <f>ventas_b_mes5[[#This Row],[IMPORTE NETO]]*0.21</f>
        <v>0</v>
      </c>
      <c r="J488" s="146"/>
      <c r="K488" s="146"/>
      <c r="L488" s="146">
        <f>SUM(ventas_b_mes5[[#This Row],[IMPORTE NETO]:[EXENTO]])</f>
        <v>0</v>
      </c>
      <c r="M488" s="59"/>
    </row>
    <row r="489" spans="2:13">
      <c r="B489" s="140"/>
      <c r="C489" s="41"/>
      <c r="D489" s="142"/>
      <c r="E489" s="143"/>
      <c r="F489" s="144"/>
      <c r="G489" s="1" t="str">
        <f>IFERROR(IF(ventas_b_mes5[[#This Row],[CUIT]]="","-",VLOOKUP(ventas_b_mes5[[#This Row],[CUIT]],Lista_CUIT[#All],2,0)),"CUIT NO CARGADO")</f>
        <v>-</v>
      </c>
      <c r="H489" s="64"/>
      <c r="I489" s="145">
        <f>ventas_b_mes5[[#This Row],[IMPORTE NETO]]*0.21</f>
        <v>0</v>
      </c>
      <c r="J489" s="146"/>
      <c r="K489" s="146"/>
      <c r="L489" s="146">
        <f>SUM(ventas_b_mes5[[#This Row],[IMPORTE NETO]:[EXENTO]])</f>
        <v>0</v>
      </c>
      <c r="M489" s="59"/>
    </row>
    <row r="490" spans="2:13">
      <c r="B490" s="140"/>
      <c r="C490" s="41"/>
      <c r="D490" s="142"/>
      <c r="E490" s="143"/>
      <c r="F490" s="144"/>
      <c r="G490" s="1" t="str">
        <f>IFERROR(IF(ventas_b_mes5[[#This Row],[CUIT]]="","-",VLOOKUP(ventas_b_mes5[[#This Row],[CUIT]],Lista_CUIT[#All],2,0)),"CUIT NO CARGADO")</f>
        <v>-</v>
      </c>
      <c r="H490" s="64"/>
      <c r="I490" s="145">
        <f>ventas_b_mes5[[#This Row],[IMPORTE NETO]]*0.21</f>
        <v>0</v>
      </c>
      <c r="J490" s="146"/>
      <c r="K490" s="146"/>
      <c r="L490" s="146">
        <f>SUM(ventas_b_mes5[[#This Row],[IMPORTE NETO]:[EXENTO]])</f>
        <v>0</v>
      </c>
      <c r="M490" s="59"/>
    </row>
    <row r="491" spans="2:13">
      <c r="B491" s="140"/>
      <c r="C491" s="41"/>
      <c r="D491" s="142"/>
      <c r="E491" s="143"/>
      <c r="F491" s="144"/>
      <c r="G491" s="1" t="str">
        <f>IFERROR(IF(ventas_b_mes5[[#This Row],[CUIT]]="","-",VLOOKUP(ventas_b_mes5[[#This Row],[CUIT]],Lista_CUIT[#All],2,0)),"CUIT NO CARGADO")</f>
        <v>-</v>
      </c>
      <c r="H491" s="64"/>
      <c r="I491" s="145">
        <f>ventas_b_mes5[[#This Row],[IMPORTE NETO]]*0.21</f>
        <v>0</v>
      </c>
      <c r="J491" s="146"/>
      <c r="K491" s="146"/>
      <c r="L491" s="146">
        <f>SUM(ventas_b_mes5[[#This Row],[IMPORTE NETO]:[EXENTO]])</f>
        <v>0</v>
      </c>
      <c r="M491" s="59"/>
    </row>
    <row r="492" spans="2:13">
      <c r="B492" s="140"/>
      <c r="C492" s="41"/>
      <c r="D492" s="142"/>
      <c r="E492" s="143"/>
      <c r="F492" s="144"/>
      <c r="G492" s="1" t="str">
        <f>IFERROR(IF(ventas_b_mes5[[#This Row],[CUIT]]="","-",VLOOKUP(ventas_b_mes5[[#This Row],[CUIT]],Lista_CUIT[#All],2,0)),"CUIT NO CARGADO")</f>
        <v>-</v>
      </c>
      <c r="H492" s="64"/>
      <c r="I492" s="145">
        <f>ventas_b_mes5[[#This Row],[IMPORTE NETO]]*0.21</f>
        <v>0</v>
      </c>
      <c r="J492" s="146"/>
      <c r="K492" s="146"/>
      <c r="L492" s="146">
        <f>SUM(ventas_b_mes5[[#This Row],[IMPORTE NETO]:[EXENTO]])</f>
        <v>0</v>
      </c>
      <c r="M492" s="59"/>
    </row>
    <row r="493" spans="2:13">
      <c r="B493" s="140"/>
      <c r="C493" s="41"/>
      <c r="D493" s="142"/>
      <c r="E493" s="143"/>
      <c r="F493" s="144"/>
      <c r="G493" s="1" t="str">
        <f>IFERROR(IF(ventas_b_mes5[[#This Row],[CUIT]]="","-",VLOOKUP(ventas_b_mes5[[#This Row],[CUIT]],Lista_CUIT[#All],2,0)),"CUIT NO CARGADO")</f>
        <v>-</v>
      </c>
      <c r="H493" s="64"/>
      <c r="I493" s="145">
        <f>ventas_b_mes5[[#This Row],[IMPORTE NETO]]*0.21</f>
        <v>0</v>
      </c>
      <c r="J493" s="146"/>
      <c r="K493" s="146"/>
      <c r="L493" s="146">
        <f>SUM(ventas_b_mes5[[#This Row],[IMPORTE NETO]:[EXENTO]])</f>
        <v>0</v>
      </c>
      <c r="M493" s="59"/>
    </row>
    <row r="494" spans="2:13">
      <c r="B494" s="140"/>
      <c r="C494" s="41"/>
      <c r="D494" s="142"/>
      <c r="E494" s="143"/>
      <c r="F494" s="144"/>
      <c r="G494" s="1" t="str">
        <f>IFERROR(IF(ventas_b_mes5[[#This Row],[CUIT]]="","-",VLOOKUP(ventas_b_mes5[[#This Row],[CUIT]],Lista_CUIT[#All],2,0)),"CUIT NO CARGADO")</f>
        <v>-</v>
      </c>
      <c r="H494" s="64"/>
      <c r="I494" s="145">
        <f>ventas_b_mes5[[#This Row],[IMPORTE NETO]]*0.21</f>
        <v>0</v>
      </c>
      <c r="J494" s="146"/>
      <c r="K494" s="146"/>
      <c r="L494" s="146">
        <f>SUM(ventas_b_mes5[[#This Row],[IMPORTE NETO]:[EXENTO]])</f>
        <v>0</v>
      </c>
      <c r="M494" s="59"/>
    </row>
    <row r="495" spans="2:13">
      <c r="B495" s="140"/>
      <c r="C495" s="41"/>
      <c r="D495" s="142"/>
      <c r="E495" s="143"/>
      <c r="F495" s="144"/>
      <c r="G495" s="1" t="str">
        <f>IFERROR(IF(ventas_b_mes5[[#This Row],[CUIT]]="","-",VLOOKUP(ventas_b_mes5[[#This Row],[CUIT]],Lista_CUIT[#All],2,0)),"CUIT NO CARGADO")</f>
        <v>-</v>
      </c>
      <c r="H495" s="64"/>
      <c r="I495" s="145">
        <f>ventas_b_mes5[[#This Row],[IMPORTE NETO]]*0.21</f>
        <v>0</v>
      </c>
      <c r="J495" s="146"/>
      <c r="K495" s="146"/>
      <c r="L495" s="146">
        <f>SUM(ventas_b_mes5[[#This Row],[IMPORTE NETO]:[EXENTO]])</f>
        <v>0</v>
      </c>
      <c r="M495" s="59"/>
    </row>
    <row r="496" spans="2:13">
      <c r="B496" s="140"/>
      <c r="C496" s="41"/>
      <c r="D496" s="142"/>
      <c r="E496" s="143"/>
      <c r="F496" s="144"/>
      <c r="G496" s="1" t="str">
        <f>IFERROR(IF(ventas_b_mes5[[#This Row],[CUIT]]="","-",VLOOKUP(ventas_b_mes5[[#This Row],[CUIT]],Lista_CUIT[#All],2,0)),"CUIT NO CARGADO")</f>
        <v>-</v>
      </c>
      <c r="H496" s="64"/>
      <c r="I496" s="145">
        <f>ventas_b_mes5[[#This Row],[IMPORTE NETO]]*0.21</f>
        <v>0</v>
      </c>
      <c r="J496" s="146"/>
      <c r="K496" s="146"/>
      <c r="L496" s="146">
        <f>SUM(ventas_b_mes5[[#This Row],[IMPORTE NETO]:[EXENTO]])</f>
        <v>0</v>
      </c>
      <c r="M496" s="59"/>
    </row>
    <row r="497" spans="2:13">
      <c r="B497" s="140"/>
      <c r="C497" s="41"/>
      <c r="D497" s="142"/>
      <c r="E497" s="143"/>
      <c r="F497" s="144"/>
      <c r="G497" s="1" t="str">
        <f>IFERROR(IF(ventas_b_mes5[[#This Row],[CUIT]]="","-",VLOOKUP(ventas_b_mes5[[#This Row],[CUIT]],Lista_CUIT[#All],2,0)),"CUIT NO CARGADO")</f>
        <v>-</v>
      </c>
      <c r="H497" s="64"/>
      <c r="I497" s="145">
        <f>ventas_b_mes5[[#This Row],[IMPORTE NETO]]*0.21</f>
        <v>0</v>
      </c>
      <c r="J497" s="146"/>
      <c r="K497" s="146"/>
      <c r="L497" s="146">
        <f>SUM(ventas_b_mes5[[#This Row],[IMPORTE NETO]:[EXENTO]])</f>
        <v>0</v>
      </c>
      <c r="M497" s="59"/>
    </row>
    <row r="498" spans="2:13">
      <c r="B498" s="140"/>
      <c r="C498" s="41"/>
      <c r="D498" s="142"/>
      <c r="E498" s="143"/>
      <c r="F498" s="144"/>
      <c r="G498" s="1" t="str">
        <f>IFERROR(IF(ventas_b_mes5[[#This Row],[CUIT]]="","-",VLOOKUP(ventas_b_mes5[[#This Row],[CUIT]],Lista_CUIT[#All],2,0)),"CUIT NO CARGADO")</f>
        <v>-</v>
      </c>
      <c r="H498" s="64"/>
      <c r="I498" s="145">
        <f>ventas_b_mes5[[#This Row],[IMPORTE NETO]]*0.21</f>
        <v>0</v>
      </c>
      <c r="J498" s="146"/>
      <c r="K498" s="146"/>
      <c r="L498" s="146">
        <f>SUM(ventas_b_mes5[[#This Row],[IMPORTE NETO]:[EXENTO]])</f>
        <v>0</v>
      </c>
      <c r="M498" s="59"/>
    </row>
    <row r="499" spans="2:13">
      <c r="B499" s="140"/>
      <c r="C499" s="41"/>
      <c r="D499" s="142"/>
      <c r="E499" s="143"/>
      <c r="F499" s="144"/>
      <c r="G499" s="1" t="str">
        <f>IFERROR(IF(ventas_b_mes5[[#This Row],[CUIT]]="","-",VLOOKUP(ventas_b_mes5[[#This Row],[CUIT]],Lista_CUIT[#All],2,0)),"CUIT NO CARGADO")</f>
        <v>-</v>
      </c>
      <c r="H499" s="64"/>
      <c r="I499" s="145">
        <f>ventas_b_mes5[[#This Row],[IMPORTE NETO]]*0.21</f>
        <v>0</v>
      </c>
      <c r="J499" s="146"/>
      <c r="K499" s="146"/>
      <c r="L499" s="146">
        <f>SUM(ventas_b_mes5[[#This Row],[IMPORTE NETO]:[EXENTO]])</f>
        <v>0</v>
      </c>
      <c r="M499" s="59"/>
    </row>
    <row r="500" spans="2:13">
      <c r="B500" s="140"/>
      <c r="C500" s="41"/>
      <c r="D500" s="142"/>
      <c r="E500" s="143"/>
      <c r="F500" s="144"/>
      <c r="G500" s="1" t="str">
        <f>IFERROR(IF(ventas_b_mes5[[#This Row],[CUIT]]="","-",VLOOKUP(ventas_b_mes5[[#This Row],[CUIT]],Lista_CUIT[#All],2,0)),"CUIT NO CARGADO")</f>
        <v>-</v>
      </c>
      <c r="H500" s="64"/>
      <c r="I500" s="145">
        <f>ventas_b_mes5[[#This Row],[IMPORTE NETO]]*0.21</f>
        <v>0</v>
      </c>
      <c r="J500" s="146"/>
      <c r="K500" s="146"/>
      <c r="L500" s="146">
        <f>SUM(ventas_b_mes5[[#This Row],[IMPORTE NETO]:[EXENTO]])</f>
        <v>0</v>
      </c>
      <c r="M500" s="59"/>
    </row>
    <row r="501" spans="2:13">
      <c r="B501" s="140"/>
      <c r="C501" s="41"/>
      <c r="D501" s="142"/>
      <c r="E501" s="143"/>
      <c r="F501" s="144"/>
      <c r="G501" s="1" t="str">
        <f>IFERROR(IF(ventas_b_mes5[[#This Row],[CUIT]]="","-",VLOOKUP(ventas_b_mes5[[#This Row],[CUIT]],Lista_CUIT[#All],2,0)),"CUIT NO CARGADO")</f>
        <v>-</v>
      </c>
      <c r="H501" s="64"/>
      <c r="I501" s="145">
        <f>ventas_b_mes5[[#This Row],[IMPORTE NETO]]*0.21</f>
        <v>0</v>
      </c>
      <c r="J501" s="146"/>
      <c r="K501" s="146"/>
      <c r="L501" s="146">
        <f>SUM(ventas_b_mes5[[#This Row],[IMPORTE NETO]:[EXENTO]])</f>
        <v>0</v>
      </c>
      <c r="M501" s="59"/>
    </row>
    <row r="502" spans="2:13">
      <c r="B502" s="140"/>
      <c r="C502" s="41"/>
      <c r="D502" s="142"/>
      <c r="E502" s="143"/>
      <c r="F502" s="144"/>
      <c r="G502" s="1" t="str">
        <f>IFERROR(IF(ventas_b_mes5[[#This Row],[CUIT]]="","-",VLOOKUP(ventas_b_mes5[[#This Row],[CUIT]],Lista_CUIT[#All],2,0)),"CUIT NO CARGADO")</f>
        <v>-</v>
      </c>
      <c r="H502" s="64"/>
      <c r="I502" s="145">
        <f>ventas_b_mes5[[#This Row],[IMPORTE NETO]]*0.21</f>
        <v>0</v>
      </c>
      <c r="J502" s="146"/>
      <c r="K502" s="146"/>
      <c r="L502" s="146">
        <f>SUM(ventas_b_mes5[[#This Row],[IMPORTE NETO]:[EXENTO]])</f>
        <v>0</v>
      </c>
      <c r="M502" s="59"/>
    </row>
    <row r="503" spans="2:13">
      <c r="B503" s="140"/>
      <c r="C503" s="41"/>
      <c r="D503" s="142"/>
      <c r="E503" s="143"/>
      <c r="F503" s="144"/>
      <c r="G503" s="1" t="str">
        <f>IFERROR(IF(ventas_b_mes5[[#This Row],[CUIT]]="","-",VLOOKUP(ventas_b_mes5[[#This Row],[CUIT]],Lista_CUIT[#All],2,0)),"CUIT NO CARGADO")</f>
        <v>-</v>
      </c>
      <c r="H503" s="64"/>
      <c r="I503" s="145">
        <f>ventas_b_mes5[[#This Row],[IMPORTE NETO]]*0.21</f>
        <v>0</v>
      </c>
      <c r="J503" s="146"/>
      <c r="K503" s="146"/>
      <c r="L503" s="146">
        <f>SUM(ventas_b_mes5[[#This Row],[IMPORTE NETO]:[EXENTO]])</f>
        <v>0</v>
      </c>
      <c r="M503" s="59"/>
    </row>
    <row r="504" spans="2:13">
      <c r="B504" s="140"/>
      <c r="C504" s="41"/>
      <c r="D504" s="142"/>
      <c r="E504" s="143"/>
      <c r="F504" s="144"/>
      <c r="G504" s="1" t="str">
        <f>IFERROR(IF(ventas_b_mes5[[#This Row],[CUIT]]="","-",VLOOKUP(ventas_b_mes5[[#This Row],[CUIT]],Lista_CUIT[#All],2,0)),"CUIT NO CARGADO")</f>
        <v>-</v>
      </c>
      <c r="H504" s="64"/>
      <c r="I504" s="145">
        <f>ventas_b_mes5[[#This Row],[IMPORTE NETO]]*0.21</f>
        <v>0</v>
      </c>
      <c r="J504" s="146"/>
      <c r="K504" s="146"/>
      <c r="L504" s="146">
        <f>SUM(ventas_b_mes5[[#This Row],[IMPORTE NETO]:[EXENTO]])</f>
        <v>0</v>
      </c>
      <c r="M504" s="59"/>
    </row>
    <row r="505" spans="2:13">
      <c r="B505" s="140"/>
      <c r="C505" s="41"/>
      <c r="D505" s="142"/>
      <c r="E505" s="143"/>
      <c r="F505" s="144"/>
      <c r="G505" s="1" t="str">
        <f>IFERROR(IF(ventas_b_mes5[[#This Row],[CUIT]]="","-",VLOOKUP(ventas_b_mes5[[#This Row],[CUIT]],Lista_CUIT[#All],2,0)),"CUIT NO CARGADO")</f>
        <v>-</v>
      </c>
      <c r="H505" s="64"/>
      <c r="I505" s="145">
        <f>ventas_b_mes5[[#This Row],[IMPORTE NETO]]*0.21</f>
        <v>0</v>
      </c>
      <c r="J505" s="146"/>
      <c r="K505" s="146"/>
      <c r="L505" s="146">
        <f>SUM(ventas_b_mes5[[#This Row],[IMPORTE NETO]:[EXENTO]])</f>
        <v>0</v>
      </c>
      <c r="M505" s="59"/>
    </row>
    <row r="506" spans="2:13">
      <c r="B506" s="140"/>
      <c r="C506" s="41"/>
      <c r="D506" s="142"/>
      <c r="E506" s="143"/>
      <c r="F506" s="144"/>
      <c r="G506" s="1" t="str">
        <f>IFERROR(IF(ventas_b_mes5[[#This Row],[CUIT]]="","-",VLOOKUP(ventas_b_mes5[[#This Row],[CUIT]],Lista_CUIT[#All],2,0)),"CUIT NO CARGADO")</f>
        <v>-</v>
      </c>
      <c r="H506" s="64"/>
      <c r="I506" s="145">
        <f>ventas_b_mes5[[#This Row],[IMPORTE NETO]]*0.21</f>
        <v>0</v>
      </c>
      <c r="J506" s="146"/>
      <c r="K506" s="146"/>
      <c r="L506" s="146">
        <f>SUM(ventas_b_mes5[[#This Row],[IMPORTE NETO]:[EXENTO]])</f>
        <v>0</v>
      </c>
      <c r="M506" s="59"/>
    </row>
    <row r="507" spans="2:13">
      <c r="B507" s="140"/>
      <c r="C507" s="41"/>
      <c r="D507" s="142"/>
      <c r="E507" s="143"/>
      <c r="F507" s="144"/>
      <c r="G507" s="1" t="str">
        <f>IFERROR(IF(ventas_b_mes5[[#This Row],[CUIT]]="","-",VLOOKUP(ventas_b_mes5[[#This Row],[CUIT]],Lista_CUIT[#All],2,0)),"CUIT NO CARGADO")</f>
        <v>-</v>
      </c>
      <c r="H507" s="64"/>
      <c r="I507" s="145">
        <f>ventas_b_mes5[[#This Row],[IMPORTE NETO]]*0.21</f>
        <v>0</v>
      </c>
      <c r="J507" s="146"/>
      <c r="K507" s="146"/>
      <c r="L507" s="146">
        <f>SUM(ventas_b_mes5[[#This Row],[IMPORTE NETO]:[EXENTO]])</f>
        <v>0</v>
      </c>
      <c r="M507" s="59"/>
    </row>
    <row r="508" spans="2:13">
      <c r="B508" s="140"/>
      <c r="C508" s="41"/>
      <c r="D508" s="142"/>
      <c r="E508" s="143"/>
      <c r="F508" s="144"/>
      <c r="G508" s="1" t="str">
        <f>IFERROR(IF(ventas_b_mes5[[#This Row],[CUIT]]="","-",VLOOKUP(ventas_b_mes5[[#This Row],[CUIT]],Lista_CUIT[#All],2,0)),"CUIT NO CARGADO")</f>
        <v>-</v>
      </c>
      <c r="H508" s="64"/>
      <c r="I508" s="145">
        <f>ventas_b_mes5[[#This Row],[IMPORTE NETO]]*0.21</f>
        <v>0</v>
      </c>
      <c r="J508" s="146"/>
      <c r="K508" s="146"/>
      <c r="L508" s="146">
        <f>SUM(ventas_b_mes5[[#This Row],[IMPORTE NETO]:[EXENTO]])</f>
        <v>0</v>
      </c>
      <c r="M508" s="59"/>
    </row>
    <row r="509" spans="2:13">
      <c r="B509" s="140"/>
      <c r="C509" s="41"/>
      <c r="D509" s="142"/>
      <c r="E509" s="143"/>
      <c r="F509" s="144"/>
      <c r="G509" s="1" t="str">
        <f>IFERROR(IF(ventas_b_mes5[[#This Row],[CUIT]]="","-",VLOOKUP(ventas_b_mes5[[#This Row],[CUIT]],Lista_CUIT[#All],2,0)),"CUIT NO CARGADO")</f>
        <v>-</v>
      </c>
      <c r="H509" s="64"/>
      <c r="I509" s="145">
        <f>ventas_b_mes5[[#This Row],[IMPORTE NETO]]*0.21</f>
        <v>0</v>
      </c>
      <c r="J509" s="146"/>
      <c r="K509" s="146"/>
      <c r="L509" s="146">
        <f>SUM(ventas_b_mes5[[#This Row],[IMPORTE NETO]:[EXENTO]])</f>
        <v>0</v>
      </c>
      <c r="M509" s="59"/>
    </row>
    <row r="510" spans="2:13">
      <c r="B510" s="140"/>
      <c r="C510" s="41"/>
      <c r="D510" s="142"/>
      <c r="E510" s="143"/>
      <c r="F510" s="144"/>
      <c r="G510" s="1" t="str">
        <f>IFERROR(IF(ventas_b_mes5[[#This Row],[CUIT]]="","-",VLOOKUP(ventas_b_mes5[[#This Row],[CUIT]],Lista_CUIT[#All],2,0)),"CUIT NO CARGADO")</f>
        <v>-</v>
      </c>
      <c r="H510" s="64"/>
      <c r="I510" s="145">
        <f>ventas_b_mes5[[#This Row],[IMPORTE NETO]]*0.21</f>
        <v>0</v>
      </c>
      <c r="J510" s="146"/>
      <c r="K510" s="146"/>
      <c r="L510" s="146">
        <f>SUM(ventas_b_mes5[[#This Row],[IMPORTE NETO]:[EXENTO]])</f>
        <v>0</v>
      </c>
      <c r="M510" s="59"/>
    </row>
    <row r="511" spans="2:13">
      <c r="B511" s="140"/>
      <c r="C511" s="41"/>
      <c r="D511" s="142"/>
      <c r="E511" s="143"/>
      <c r="F511" s="144"/>
      <c r="G511" s="1" t="str">
        <f>IFERROR(IF(ventas_b_mes5[[#This Row],[CUIT]]="","-",VLOOKUP(ventas_b_mes5[[#This Row],[CUIT]],Lista_CUIT[#All],2,0)),"CUIT NO CARGADO")</f>
        <v>-</v>
      </c>
      <c r="H511" s="64"/>
      <c r="I511" s="145">
        <f>ventas_b_mes5[[#This Row],[IMPORTE NETO]]*0.21</f>
        <v>0</v>
      </c>
      <c r="J511" s="146"/>
      <c r="K511" s="146"/>
      <c r="L511" s="146">
        <f>SUM(ventas_b_mes5[[#This Row],[IMPORTE NETO]:[EXENTO]])</f>
        <v>0</v>
      </c>
      <c r="M511" s="59"/>
    </row>
    <row r="512" spans="2:13">
      <c r="B512" s="140"/>
      <c r="C512" s="41"/>
      <c r="D512" s="142"/>
      <c r="E512" s="143"/>
      <c r="F512" s="144"/>
      <c r="G512" s="1" t="str">
        <f>IFERROR(IF(ventas_b_mes5[[#This Row],[CUIT]]="","-",VLOOKUP(ventas_b_mes5[[#This Row],[CUIT]],Lista_CUIT[#All],2,0)),"CUIT NO CARGADO")</f>
        <v>-</v>
      </c>
      <c r="H512" s="64"/>
      <c r="I512" s="145">
        <f>ventas_b_mes5[[#This Row],[IMPORTE NETO]]*0.21</f>
        <v>0</v>
      </c>
      <c r="J512" s="146"/>
      <c r="K512" s="146"/>
      <c r="L512" s="146">
        <f>SUM(ventas_b_mes5[[#This Row],[IMPORTE NETO]:[EXENTO]])</f>
        <v>0</v>
      </c>
      <c r="M512" s="59"/>
    </row>
    <row r="513" spans="2:13">
      <c r="B513" s="140"/>
      <c r="C513" s="41"/>
      <c r="D513" s="142"/>
      <c r="E513" s="143"/>
      <c r="F513" s="144"/>
      <c r="G513" s="1" t="str">
        <f>IFERROR(IF(ventas_b_mes5[[#This Row],[CUIT]]="","-",VLOOKUP(ventas_b_mes5[[#This Row],[CUIT]],Lista_CUIT[#All],2,0)),"CUIT NO CARGADO")</f>
        <v>-</v>
      </c>
      <c r="H513" s="64"/>
      <c r="I513" s="145">
        <f>ventas_b_mes5[[#This Row],[IMPORTE NETO]]*0.21</f>
        <v>0</v>
      </c>
      <c r="J513" s="146"/>
      <c r="K513" s="146"/>
      <c r="L513" s="146">
        <f>SUM(ventas_b_mes5[[#This Row],[IMPORTE NETO]:[EXENTO]])</f>
        <v>0</v>
      </c>
      <c r="M513" s="59"/>
    </row>
    <row r="514" spans="2:13">
      <c r="B514" s="140"/>
      <c r="C514" s="41"/>
      <c r="D514" s="142"/>
      <c r="E514" s="143"/>
      <c r="F514" s="144"/>
      <c r="G514" s="1" t="str">
        <f>IFERROR(IF(ventas_b_mes5[[#This Row],[CUIT]]="","-",VLOOKUP(ventas_b_mes5[[#This Row],[CUIT]],Lista_CUIT[#All],2,0)),"CUIT NO CARGADO")</f>
        <v>-</v>
      </c>
      <c r="H514" s="64"/>
      <c r="I514" s="145">
        <f>ventas_b_mes5[[#This Row],[IMPORTE NETO]]*0.21</f>
        <v>0</v>
      </c>
      <c r="J514" s="146"/>
      <c r="K514" s="146"/>
      <c r="L514" s="146">
        <f>SUM(ventas_b_mes5[[#This Row],[IMPORTE NETO]:[EXENTO]])</f>
        <v>0</v>
      </c>
      <c r="M514" s="59"/>
    </row>
    <row r="515" spans="2:13">
      <c r="B515" s="140"/>
      <c r="C515" s="41"/>
      <c r="D515" s="142"/>
      <c r="E515" s="143"/>
      <c r="F515" s="144"/>
      <c r="G515" s="1" t="str">
        <f>IFERROR(IF(ventas_b_mes5[[#This Row],[CUIT]]="","-",VLOOKUP(ventas_b_mes5[[#This Row],[CUIT]],Lista_CUIT[#All],2,0)),"CUIT NO CARGADO")</f>
        <v>-</v>
      </c>
      <c r="H515" s="64"/>
      <c r="I515" s="145">
        <f>ventas_b_mes5[[#This Row],[IMPORTE NETO]]*0.21</f>
        <v>0</v>
      </c>
      <c r="J515" s="146"/>
      <c r="K515" s="146"/>
      <c r="L515" s="146">
        <f>SUM(ventas_b_mes5[[#This Row],[IMPORTE NETO]:[EXENTO]])</f>
        <v>0</v>
      </c>
      <c r="M515" s="59"/>
    </row>
    <row r="516" spans="2:13">
      <c r="B516" s="140"/>
      <c r="C516" s="41"/>
      <c r="D516" s="142"/>
      <c r="E516" s="143"/>
      <c r="F516" s="144"/>
      <c r="G516" s="1" t="str">
        <f>IFERROR(IF(ventas_b_mes5[[#This Row],[CUIT]]="","-",VLOOKUP(ventas_b_mes5[[#This Row],[CUIT]],Lista_CUIT[#All],2,0)),"CUIT NO CARGADO")</f>
        <v>-</v>
      </c>
      <c r="H516" s="64"/>
      <c r="I516" s="145">
        <f>ventas_b_mes5[[#This Row],[IMPORTE NETO]]*0.21</f>
        <v>0</v>
      </c>
      <c r="J516" s="146"/>
      <c r="K516" s="146"/>
      <c r="L516" s="146">
        <f>SUM(ventas_b_mes5[[#This Row],[IMPORTE NETO]:[EXENTO]])</f>
        <v>0</v>
      </c>
      <c r="M516" s="59"/>
    </row>
    <row r="517" spans="2:13">
      <c r="B517" s="140"/>
      <c r="C517" s="41"/>
      <c r="D517" s="142"/>
      <c r="E517" s="143"/>
      <c r="F517" s="144"/>
      <c r="G517" s="1" t="str">
        <f>IFERROR(IF(ventas_b_mes5[[#This Row],[CUIT]]="","-",VLOOKUP(ventas_b_mes5[[#This Row],[CUIT]],Lista_CUIT[#All],2,0)),"CUIT NO CARGADO")</f>
        <v>-</v>
      </c>
      <c r="H517" s="64"/>
      <c r="I517" s="145">
        <f>ventas_b_mes5[[#This Row],[IMPORTE NETO]]*0.21</f>
        <v>0</v>
      </c>
      <c r="J517" s="146"/>
      <c r="K517" s="146"/>
      <c r="L517" s="146">
        <f>SUM(ventas_b_mes5[[#This Row],[IMPORTE NETO]:[EXENTO]])</f>
        <v>0</v>
      </c>
      <c r="M517" s="59"/>
    </row>
    <row r="518" spans="2:13">
      <c r="B518" s="140"/>
      <c r="C518" s="41"/>
      <c r="D518" s="142"/>
      <c r="E518" s="143"/>
      <c r="F518" s="144"/>
      <c r="G518" s="1" t="str">
        <f>IFERROR(IF(ventas_b_mes5[[#This Row],[CUIT]]="","-",VLOOKUP(ventas_b_mes5[[#This Row],[CUIT]],Lista_CUIT[#All],2,0)),"CUIT NO CARGADO")</f>
        <v>-</v>
      </c>
      <c r="H518" s="64"/>
      <c r="I518" s="145">
        <f>ventas_b_mes5[[#This Row],[IMPORTE NETO]]*0.21</f>
        <v>0</v>
      </c>
      <c r="J518" s="146"/>
      <c r="K518" s="146"/>
      <c r="L518" s="146">
        <f>SUM(ventas_b_mes5[[#This Row],[IMPORTE NETO]:[EXENTO]])</f>
        <v>0</v>
      </c>
      <c r="M518" s="59"/>
    </row>
    <row r="519" spans="2:13">
      <c r="B519" s="140"/>
      <c r="C519" s="41"/>
      <c r="D519" s="142"/>
      <c r="E519" s="143"/>
      <c r="F519" s="144"/>
      <c r="G519" s="1" t="str">
        <f>IFERROR(IF(ventas_b_mes5[[#This Row],[CUIT]]="","-",VLOOKUP(ventas_b_mes5[[#This Row],[CUIT]],Lista_CUIT[#All],2,0)),"CUIT NO CARGADO")</f>
        <v>-</v>
      </c>
      <c r="H519" s="64"/>
      <c r="I519" s="145">
        <f>ventas_b_mes5[[#This Row],[IMPORTE NETO]]*0.21</f>
        <v>0</v>
      </c>
      <c r="J519" s="146"/>
      <c r="K519" s="146"/>
      <c r="L519" s="146">
        <f>SUM(ventas_b_mes5[[#This Row],[IMPORTE NETO]:[EXENTO]])</f>
        <v>0</v>
      </c>
      <c r="M519" s="59"/>
    </row>
    <row r="520" spans="2:13">
      <c r="B520" s="140"/>
      <c r="C520" s="41"/>
      <c r="D520" s="142"/>
      <c r="E520" s="143"/>
      <c r="F520" s="144"/>
      <c r="G520" s="1" t="str">
        <f>IFERROR(IF(ventas_b_mes5[[#This Row],[CUIT]]="","-",VLOOKUP(ventas_b_mes5[[#This Row],[CUIT]],Lista_CUIT[#All],2,0)),"CUIT NO CARGADO")</f>
        <v>-</v>
      </c>
      <c r="H520" s="64"/>
      <c r="I520" s="145">
        <f>ventas_b_mes5[[#This Row],[IMPORTE NETO]]*0.21</f>
        <v>0</v>
      </c>
      <c r="J520" s="146"/>
      <c r="K520" s="146"/>
      <c r="L520" s="146">
        <f>SUM(ventas_b_mes5[[#This Row],[IMPORTE NETO]:[EXENTO]])</f>
        <v>0</v>
      </c>
      <c r="M520" s="59"/>
    </row>
    <row r="521" spans="2:13">
      <c r="B521" s="140"/>
      <c r="C521" s="41"/>
      <c r="D521" s="142"/>
      <c r="E521" s="143"/>
      <c r="F521" s="144"/>
      <c r="G521" s="1" t="str">
        <f>IFERROR(IF(ventas_b_mes5[[#This Row],[CUIT]]="","-",VLOOKUP(ventas_b_mes5[[#This Row],[CUIT]],Lista_CUIT[#All],2,0)),"CUIT NO CARGADO")</f>
        <v>-</v>
      </c>
      <c r="H521" s="64"/>
      <c r="I521" s="145">
        <f>ventas_b_mes5[[#This Row],[IMPORTE NETO]]*0.21</f>
        <v>0</v>
      </c>
      <c r="J521" s="146"/>
      <c r="K521" s="146"/>
      <c r="L521" s="146">
        <f>SUM(ventas_b_mes5[[#This Row],[IMPORTE NETO]:[EXENTO]])</f>
        <v>0</v>
      </c>
      <c r="M521" s="59"/>
    </row>
    <row r="522" spans="2:13">
      <c r="B522" s="140"/>
      <c r="C522" s="41"/>
      <c r="D522" s="142"/>
      <c r="E522" s="143"/>
      <c r="F522" s="144"/>
      <c r="G522" s="1" t="str">
        <f>IFERROR(IF(ventas_b_mes5[[#This Row],[CUIT]]="","-",VLOOKUP(ventas_b_mes5[[#This Row],[CUIT]],Lista_CUIT[#All],2,0)),"CUIT NO CARGADO")</f>
        <v>-</v>
      </c>
      <c r="H522" s="64"/>
      <c r="I522" s="145">
        <f>ventas_b_mes5[[#This Row],[IMPORTE NETO]]*0.21</f>
        <v>0</v>
      </c>
      <c r="J522" s="146"/>
      <c r="K522" s="146"/>
      <c r="L522" s="146">
        <f>SUM(ventas_b_mes5[[#This Row],[IMPORTE NETO]:[EXENTO]])</f>
        <v>0</v>
      </c>
      <c r="M522" s="59"/>
    </row>
    <row r="523" spans="2:13">
      <c r="B523" s="140"/>
      <c r="C523" s="41"/>
      <c r="D523" s="142"/>
      <c r="E523" s="143"/>
      <c r="F523" s="144"/>
      <c r="G523" s="1" t="str">
        <f>IFERROR(IF(ventas_b_mes5[[#This Row],[CUIT]]="","-",VLOOKUP(ventas_b_mes5[[#This Row],[CUIT]],Lista_CUIT[#All],2,0)),"CUIT NO CARGADO")</f>
        <v>-</v>
      </c>
      <c r="H523" s="64"/>
      <c r="I523" s="145">
        <f>ventas_b_mes5[[#This Row],[IMPORTE NETO]]*0.21</f>
        <v>0</v>
      </c>
      <c r="J523" s="146"/>
      <c r="K523" s="146"/>
      <c r="L523" s="146">
        <f>SUM(ventas_b_mes5[[#This Row],[IMPORTE NETO]:[EXENTO]])</f>
        <v>0</v>
      </c>
      <c r="M523" s="59"/>
    </row>
    <row r="524" spans="2:13">
      <c r="B524" s="140"/>
      <c r="C524" s="41"/>
      <c r="D524" s="142"/>
      <c r="E524" s="143"/>
      <c r="F524" s="144"/>
      <c r="G524" s="1" t="str">
        <f>IFERROR(IF(ventas_b_mes5[[#This Row],[CUIT]]="","-",VLOOKUP(ventas_b_mes5[[#This Row],[CUIT]],Lista_CUIT[#All],2,0)),"CUIT NO CARGADO")</f>
        <v>-</v>
      </c>
      <c r="H524" s="64"/>
      <c r="I524" s="145">
        <f>ventas_b_mes5[[#This Row],[IMPORTE NETO]]*0.21</f>
        <v>0</v>
      </c>
      <c r="J524" s="146"/>
      <c r="K524" s="146"/>
      <c r="L524" s="146">
        <f>SUM(ventas_b_mes5[[#This Row],[IMPORTE NETO]:[EXENTO]])</f>
        <v>0</v>
      </c>
      <c r="M524" s="59"/>
    </row>
    <row r="525" spans="2:13">
      <c r="B525" s="140"/>
      <c r="C525" s="41"/>
      <c r="D525" s="142"/>
      <c r="E525" s="143"/>
      <c r="F525" s="144"/>
      <c r="G525" s="1" t="str">
        <f>IFERROR(IF(ventas_b_mes5[[#This Row],[CUIT]]="","-",VLOOKUP(ventas_b_mes5[[#This Row],[CUIT]],Lista_CUIT[#All],2,0)),"CUIT NO CARGADO")</f>
        <v>-</v>
      </c>
      <c r="H525" s="64"/>
      <c r="I525" s="145">
        <f>ventas_b_mes5[[#This Row],[IMPORTE NETO]]*0.21</f>
        <v>0</v>
      </c>
      <c r="J525" s="146"/>
      <c r="K525" s="146"/>
      <c r="L525" s="146">
        <f>SUM(ventas_b_mes5[[#This Row],[IMPORTE NETO]:[EXENTO]])</f>
        <v>0</v>
      </c>
      <c r="M525" s="59"/>
    </row>
    <row r="526" spans="2:13">
      <c r="B526" s="140"/>
      <c r="C526" s="41"/>
      <c r="D526" s="142"/>
      <c r="E526" s="143"/>
      <c r="F526" s="144"/>
      <c r="G526" s="1" t="str">
        <f>IFERROR(IF(ventas_b_mes5[[#This Row],[CUIT]]="","-",VLOOKUP(ventas_b_mes5[[#This Row],[CUIT]],Lista_CUIT[#All],2,0)),"CUIT NO CARGADO")</f>
        <v>-</v>
      </c>
      <c r="H526" s="64"/>
      <c r="I526" s="145">
        <f>ventas_b_mes5[[#This Row],[IMPORTE NETO]]*0.21</f>
        <v>0</v>
      </c>
      <c r="J526" s="146"/>
      <c r="K526" s="146"/>
      <c r="L526" s="146">
        <f>SUM(ventas_b_mes5[[#This Row],[IMPORTE NETO]:[EXENTO]])</f>
        <v>0</v>
      </c>
      <c r="M526" s="59"/>
    </row>
    <row r="527" spans="2:13">
      <c r="B527" s="140"/>
      <c r="C527" s="41"/>
      <c r="D527" s="142"/>
      <c r="E527" s="143"/>
      <c r="F527" s="144"/>
      <c r="G527" s="1" t="str">
        <f>IFERROR(IF(ventas_b_mes5[[#This Row],[CUIT]]="","-",VLOOKUP(ventas_b_mes5[[#This Row],[CUIT]],Lista_CUIT[#All],2,0)),"CUIT NO CARGADO")</f>
        <v>-</v>
      </c>
      <c r="H527" s="64"/>
      <c r="I527" s="145">
        <f>ventas_b_mes5[[#This Row],[IMPORTE NETO]]*0.21</f>
        <v>0</v>
      </c>
      <c r="J527" s="146"/>
      <c r="K527" s="146"/>
      <c r="L527" s="146">
        <f>SUM(ventas_b_mes5[[#This Row],[IMPORTE NETO]:[EXENTO]])</f>
        <v>0</v>
      </c>
      <c r="M527" s="59"/>
    </row>
    <row r="528" spans="2:13">
      <c r="B528" s="140"/>
      <c r="C528" s="41"/>
      <c r="D528" s="142"/>
      <c r="E528" s="143"/>
      <c r="F528" s="144"/>
      <c r="G528" s="1" t="str">
        <f>IFERROR(IF(ventas_b_mes5[[#This Row],[CUIT]]="","-",VLOOKUP(ventas_b_mes5[[#This Row],[CUIT]],Lista_CUIT[#All],2,0)),"CUIT NO CARGADO")</f>
        <v>-</v>
      </c>
      <c r="H528" s="64"/>
      <c r="I528" s="145">
        <f>ventas_b_mes5[[#This Row],[IMPORTE NETO]]*0.21</f>
        <v>0</v>
      </c>
      <c r="J528" s="146"/>
      <c r="K528" s="146"/>
      <c r="L528" s="146">
        <f>SUM(ventas_b_mes5[[#This Row],[IMPORTE NETO]:[EXENTO]])</f>
        <v>0</v>
      </c>
      <c r="M528" s="59"/>
    </row>
    <row r="529" spans="2:13">
      <c r="B529" s="140"/>
      <c r="C529" s="41"/>
      <c r="D529" s="142"/>
      <c r="E529" s="143"/>
      <c r="F529" s="144"/>
      <c r="G529" s="1" t="str">
        <f>IFERROR(IF(ventas_b_mes5[[#This Row],[CUIT]]="","-",VLOOKUP(ventas_b_mes5[[#This Row],[CUIT]],Lista_CUIT[#All],2,0)),"CUIT NO CARGADO")</f>
        <v>-</v>
      </c>
      <c r="H529" s="64"/>
      <c r="I529" s="145">
        <f>ventas_b_mes5[[#This Row],[IMPORTE NETO]]*0.21</f>
        <v>0</v>
      </c>
      <c r="J529" s="146"/>
      <c r="K529" s="146"/>
      <c r="L529" s="146">
        <f>SUM(ventas_b_mes5[[#This Row],[IMPORTE NETO]:[EXENTO]])</f>
        <v>0</v>
      </c>
      <c r="M529" s="59"/>
    </row>
    <row r="530" spans="2:13">
      <c r="B530" s="140"/>
      <c r="C530" s="41"/>
      <c r="D530" s="142"/>
      <c r="E530" s="143"/>
      <c r="F530" s="144"/>
      <c r="G530" s="1" t="str">
        <f>IFERROR(IF(ventas_b_mes5[[#This Row],[CUIT]]="","-",VLOOKUP(ventas_b_mes5[[#This Row],[CUIT]],Lista_CUIT[#All],2,0)),"CUIT NO CARGADO")</f>
        <v>-</v>
      </c>
      <c r="H530" s="64"/>
      <c r="I530" s="145">
        <f>ventas_b_mes5[[#This Row],[IMPORTE NETO]]*0.21</f>
        <v>0</v>
      </c>
      <c r="J530" s="146"/>
      <c r="K530" s="146"/>
      <c r="L530" s="146">
        <f>SUM(ventas_b_mes5[[#This Row],[IMPORTE NETO]:[EXENTO]])</f>
        <v>0</v>
      </c>
      <c r="M530" s="59"/>
    </row>
    <row r="531" spans="2:13">
      <c r="B531" s="140"/>
      <c r="C531" s="41"/>
      <c r="D531" s="142"/>
      <c r="E531" s="143"/>
      <c r="F531" s="144"/>
      <c r="G531" s="1" t="str">
        <f>IFERROR(IF(ventas_b_mes5[[#This Row],[CUIT]]="","-",VLOOKUP(ventas_b_mes5[[#This Row],[CUIT]],Lista_CUIT[#All],2,0)),"CUIT NO CARGADO")</f>
        <v>-</v>
      </c>
      <c r="H531" s="64"/>
      <c r="I531" s="145">
        <f>ventas_b_mes5[[#This Row],[IMPORTE NETO]]*0.21</f>
        <v>0</v>
      </c>
      <c r="J531" s="146"/>
      <c r="K531" s="146"/>
      <c r="L531" s="146">
        <f>SUM(ventas_b_mes5[[#This Row],[IMPORTE NETO]:[EXENTO]])</f>
        <v>0</v>
      </c>
      <c r="M531" s="59"/>
    </row>
    <row r="532" spans="2:13">
      <c r="B532" s="140"/>
      <c r="C532" s="41"/>
      <c r="D532" s="142"/>
      <c r="E532" s="143"/>
      <c r="F532" s="144"/>
      <c r="G532" s="1" t="str">
        <f>IFERROR(IF(ventas_b_mes5[[#This Row],[CUIT]]="","-",VLOOKUP(ventas_b_mes5[[#This Row],[CUIT]],Lista_CUIT[#All],2,0)),"CUIT NO CARGADO")</f>
        <v>-</v>
      </c>
      <c r="H532" s="64"/>
      <c r="I532" s="145">
        <f>ventas_b_mes5[[#This Row],[IMPORTE NETO]]*0.21</f>
        <v>0</v>
      </c>
      <c r="J532" s="146"/>
      <c r="K532" s="146"/>
      <c r="L532" s="146">
        <f>SUM(ventas_b_mes5[[#This Row],[IMPORTE NETO]:[EXENTO]])</f>
        <v>0</v>
      </c>
      <c r="M532" s="59"/>
    </row>
    <row r="533" spans="2:13">
      <c r="B533" s="140"/>
      <c r="C533" s="41"/>
      <c r="D533" s="142"/>
      <c r="E533" s="143"/>
      <c r="F533" s="144"/>
      <c r="G533" s="1" t="str">
        <f>IFERROR(IF(ventas_b_mes5[[#This Row],[CUIT]]="","-",VLOOKUP(ventas_b_mes5[[#This Row],[CUIT]],Lista_CUIT[#All],2,0)),"CUIT NO CARGADO")</f>
        <v>-</v>
      </c>
      <c r="H533" s="64"/>
      <c r="I533" s="145">
        <f>ventas_b_mes5[[#This Row],[IMPORTE NETO]]*0.21</f>
        <v>0</v>
      </c>
      <c r="J533" s="146"/>
      <c r="K533" s="146"/>
      <c r="L533" s="146">
        <f>SUM(ventas_b_mes5[[#This Row],[IMPORTE NETO]:[EXENTO]])</f>
        <v>0</v>
      </c>
      <c r="M533" s="59"/>
    </row>
    <row r="534" spans="2:13">
      <c r="B534" s="140"/>
      <c r="C534" s="41"/>
      <c r="D534" s="142"/>
      <c r="E534" s="143"/>
      <c r="F534" s="144"/>
      <c r="G534" s="1" t="str">
        <f>IFERROR(IF(ventas_b_mes5[[#This Row],[CUIT]]="","-",VLOOKUP(ventas_b_mes5[[#This Row],[CUIT]],Lista_CUIT[#All],2,0)),"CUIT NO CARGADO")</f>
        <v>-</v>
      </c>
      <c r="H534" s="64"/>
      <c r="I534" s="145">
        <f>ventas_b_mes5[[#This Row],[IMPORTE NETO]]*0.21</f>
        <v>0</v>
      </c>
      <c r="J534" s="146"/>
      <c r="K534" s="146"/>
      <c r="L534" s="146">
        <f>SUM(ventas_b_mes5[[#This Row],[IMPORTE NETO]:[EXENTO]])</f>
        <v>0</v>
      </c>
      <c r="M534" s="59"/>
    </row>
    <row r="535" spans="2:13">
      <c r="B535" s="140"/>
      <c r="C535" s="41"/>
      <c r="D535" s="142"/>
      <c r="E535" s="143"/>
      <c r="F535" s="144"/>
      <c r="G535" s="1" t="str">
        <f>IFERROR(IF(ventas_b_mes5[[#This Row],[CUIT]]="","-",VLOOKUP(ventas_b_mes5[[#This Row],[CUIT]],Lista_CUIT[#All],2,0)),"CUIT NO CARGADO")</f>
        <v>-</v>
      </c>
      <c r="H535" s="64"/>
      <c r="I535" s="145">
        <f>ventas_b_mes5[[#This Row],[IMPORTE NETO]]*0.21</f>
        <v>0</v>
      </c>
      <c r="J535" s="146"/>
      <c r="K535" s="146"/>
      <c r="L535" s="146">
        <f>SUM(ventas_b_mes5[[#This Row],[IMPORTE NETO]:[EXENTO]])</f>
        <v>0</v>
      </c>
      <c r="M535" s="59"/>
    </row>
    <row r="536" spans="2:13">
      <c r="B536" s="140"/>
      <c r="C536" s="41"/>
      <c r="D536" s="142"/>
      <c r="E536" s="143"/>
      <c r="F536" s="144"/>
      <c r="G536" s="1" t="str">
        <f>IFERROR(IF(ventas_b_mes5[[#This Row],[CUIT]]="","-",VLOOKUP(ventas_b_mes5[[#This Row],[CUIT]],Lista_CUIT[#All],2,0)),"CUIT NO CARGADO")</f>
        <v>-</v>
      </c>
      <c r="H536" s="64"/>
      <c r="I536" s="145">
        <f>ventas_b_mes5[[#This Row],[IMPORTE NETO]]*0.21</f>
        <v>0</v>
      </c>
      <c r="J536" s="146"/>
      <c r="K536" s="146"/>
      <c r="L536" s="146">
        <f>SUM(ventas_b_mes5[[#This Row],[IMPORTE NETO]:[EXENTO]])</f>
        <v>0</v>
      </c>
      <c r="M536" s="59"/>
    </row>
    <row r="537" spans="2:13">
      <c r="B537" s="140"/>
      <c r="C537" s="41"/>
      <c r="D537" s="142"/>
      <c r="E537" s="143"/>
      <c r="F537" s="144"/>
      <c r="G537" s="1" t="str">
        <f>IFERROR(IF(ventas_b_mes5[[#This Row],[CUIT]]="","-",VLOOKUP(ventas_b_mes5[[#This Row],[CUIT]],Lista_CUIT[#All],2,0)),"CUIT NO CARGADO")</f>
        <v>-</v>
      </c>
      <c r="H537" s="64"/>
      <c r="I537" s="145">
        <f>ventas_b_mes5[[#This Row],[IMPORTE NETO]]*0.21</f>
        <v>0</v>
      </c>
      <c r="J537" s="146"/>
      <c r="K537" s="146"/>
      <c r="L537" s="146">
        <f>SUM(ventas_b_mes5[[#This Row],[IMPORTE NETO]:[EXENTO]])</f>
        <v>0</v>
      </c>
      <c r="M537" s="59"/>
    </row>
    <row r="538" spans="2:13">
      <c r="B538" s="140"/>
      <c r="C538" s="41"/>
      <c r="D538" s="142"/>
      <c r="E538" s="143"/>
      <c r="F538" s="144"/>
      <c r="G538" s="1" t="str">
        <f>IFERROR(IF(ventas_b_mes5[[#This Row],[CUIT]]="","-",VLOOKUP(ventas_b_mes5[[#This Row],[CUIT]],Lista_CUIT[#All],2,0)),"CUIT NO CARGADO")</f>
        <v>-</v>
      </c>
      <c r="H538" s="64"/>
      <c r="I538" s="145">
        <f>ventas_b_mes5[[#This Row],[IMPORTE NETO]]*0.21</f>
        <v>0</v>
      </c>
      <c r="J538" s="146"/>
      <c r="K538" s="146"/>
      <c r="L538" s="146">
        <f>SUM(ventas_b_mes5[[#This Row],[IMPORTE NETO]:[EXENTO]])</f>
        <v>0</v>
      </c>
      <c r="M538" s="59"/>
    </row>
    <row r="539" spans="2:13">
      <c r="B539" s="140"/>
      <c r="C539" s="41"/>
      <c r="D539" s="142"/>
      <c r="E539" s="143"/>
      <c r="F539" s="144"/>
      <c r="G539" s="1" t="str">
        <f>IFERROR(IF(ventas_b_mes5[[#This Row],[CUIT]]="","-",VLOOKUP(ventas_b_mes5[[#This Row],[CUIT]],Lista_CUIT[#All],2,0)),"CUIT NO CARGADO")</f>
        <v>-</v>
      </c>
      <c r="H539" s="64"/>
      <c r="I539" s="145">
        <f>ventas_b_mes5[[#This Row],[IMPORTE NETO]]*0.21</f>
        <v>0</v>
      </c>
      <c r="J539" s="146"/>
      <c r="K539" s="146"/>
      <c r="L539" s="146">
        <f>SUM(ventas_b_mes5[[#This Row],[IMPORTE NETO]:[EXENTO]])</f>
        <v>0</v>
      </c>
      <c r="M539" s="59"/>
    </row>
    <row r="540" spans="2:13">
      <c r="B540" s="140"/>
      <c r="C540" s="41"/>
      <c r="D540" s="142"/>
      <c r="E540" s="143"/>
      <c r="F540" s="144"/>
      <c r="G540" s="1" t="str">
        <f>IFERROR(IF(ventas_b_mes5[[#This Row],[CUIT]]="","-",VLOOKUP(ventas_b_mes5[[#This Row],[CUIT]],Lista_CUIT[#All],2,0)),"CUIT NO CARGADO")</f>
        <v>-</v>
      </c>
      <c r="H540" s="64"/>
      <c r="I540" s="145">
        <f>ventas_b_mes5[[#This Row],[IMPORTE NETO]]*0.21</f>
        <v>0</v>
      </c>
      <c r="J540" s="146"/>
      <c r="K540" s="146"/>
      <c r="L540" s="146">
        <f>SUM(ventas_b_mes5[[#This Row],[IMPORTE NETO]:[EXENTO]])</f>
        <v>0</v>
      </c>
      <c r="M540" s="59"/>
    </row>
    <row r="541" spans="2:13">
      <c r="B541" s="140"/>
      <c r="C541" s="41"/>
      <c r="D541" s="142"/>
      <c r="E541" s="143"/>
      <c r="F541" s="144"/>
      <c r="G541" s="1" t="str">
        <f>IFERROR(IF(ventas_b_mes5[[#This Row],[CUIT]]="","-",VLOOKUP(ventas_b_mes5[[#This Row],[CUIT]],Lista_CUIT[#All],2,0)),"CUIT NO CARGADO")</f>
        <v>-</v>
      </c>
      <c r="H541" s="64"/>
      <c r="I541" s="145">
        <f>ventas_b_mes5[[#This Row],[IMPORTE NETO]]*0.21</f>
        <v>0</v>
      </c>
      <c r="J541" s="146"/>
      <c r="K541" s="146"/>
      <c r="L541" s="146">
        <f>SUM(ventas_b_mes5[[#This Row],[IMPORTE NETO]:[EXENTO]])</f>
        <v>0</v>
      </c>
      <c r="M541" s="59"/>
    </row>
    <row r="542" spans="2:13">
      <c r="B542" s="140"/>
      <c r="C542" s="41"/>
      <c r="D542" s="142"/>
      <c r="E542" s="143"/>
      <c r="F542" s="144"/>
      <c r="G542" s="1" t="str">
        <f>IFERROR(IF(ventas_b_mes5[[#This Row],[CUIT]]="","-",VLOOKUP(ventas_b_mes5[[#This Row],[CUIT]],Lista_CUIT[#All],2,0)),"CUIT NO CARGADO")</f>
        <v>-</v>
      </c>
      <c r="H542" s="64"/>
      <c r="I542" s="145">
        <f>ventas_b_mes5[[#This Row],[IMPORTE NETO]]*0.21</f>
        <v>0</v>
      </c>
      <c r="J542" s="146"/>
      <c r="K542" s="146"/>
      <c r="L542" s="146">
        <f>SUM(ventas_b_mes5[[#This Row],[IMPORTE NETO]:[EXENTO]])</f>
        <v>0</v>
      </c>
      <c r="M542" s="59"/>
    </row>
    <row r="543" spans="2:13">
      <c r="B543" s="140"/>
      <c r="C543" s="41"/>
      <c r="D543" s="142"/>
      <c r="E543" s="143"/>
      <c r="F543" s="144"/>
      <c r="G543" s="1" t="str">
        <f>IFERROR(IF(ventas_b_mes5[[#This Row],[CUIT]]="","-",VLOOKUP(ventas_b_mes5[[#This Row],[CUIT]],Lista_CUIT[#All],2,0)),"CUIT NO CARGADO")</f>
        <v>-</v>
      </c>
      <c r="H543" s="64"/>
      <c r="I543" s="145">
        <f>ventas_b_mes5[[#This Row],[IMPORTE NETO]]*0.21</f>
        <v>0</v>
      </c>
      <c r="J543" s="146"/>
      <c r="K543" s="146"/>
      <c r="L543" s="146">
        <f>SUM(ventas_b_mes5[[#This Row],[IMPORTE NETO]:[EXENTO]])</f>
        <v>0</v>
      </c>
      <c r="M543" s="59"/>
    </row>
    <row r="544" spans="2:13">
      <c r="B544" s="140"/>
      <c r="C544" s="41"/>
      <c r="D544" s="142"/>
      <c r="E544" s="143"/>
      <c r="F544" s="144"/>
      <c r="G544" s="1" t="str">
        <f>IFERROR(IF(ventas_b_mes5[[#This Row],[CUIT]]="","-",VLOOKUP(ventas_b_mes5[[#This Row],[CUIT]],Lista_CUIT[#All],2,0)),"CUIT NO CARGADO")</f>
        <v>-</v>
      </c>
      <c r="H544" s="64"/>
      <c r="I544" s="145">
        <f>ventas_b_mes5[[#This Row],[IMPORTE NETO]]*0.21</f>
        <v>0</v>
      </c>
      <c r="J544" s="146"/>
      <c r="K544" s="146"/>
      <c r="L544" s="146">
        <f>SUM(ventas_b_mes5[[#This Row],[IMPORTE NETO]:[EXENTO]])</f>
        <v>0</v>
      </c>
      <c r="M544" s="59"/>
    </row>
    <row r="545" spans="2:13">
      <c r="B545" s="140"/>
      <c r="C545" s="41"/>
      <c r="D545" s="142"/>
      <c r="E545" s="143"/>
      <c r="F545" s="144"/>
      <c r="G545" s="1" t="str">
        <f>IFERROR(IF(ventas_b_mes5[[#This Row],[CUIT]]="","-",VLOOKUP(ventas_b_mes5[[#This Row],[CUIT]],Lista_CUIT[#All],2,0)),"CUIT NO CARGADO")</f>
        <v>-</v>
      </c>
      <c r="H545" s="64"/>
      <c r="I545" s="145">
        <f>ventas_b_mes5[[#This Row],[IMPORTE NETO]]*0.21</f>
        <v>0</v>
      </c>
      <c r="J545" s="146"/>
      <c r="K545" s="146"/>
      <c r="L545" s="146">
        <f>SUM(ventas_b_mes5[[#This Row],[IMPORTE NETO]:[EXENTO]])</f>
        <v>0</v>
      </c>
      <c r="M545" s="59"/>
    </row>
    <row r="546" spans="2:13">
      <c r="B546" s="140"/>
      <c r="C546" s="41"/>
      <c r="D546" s="142"/>
      <c r="E546" s="143"/>
      <c r="F546" s="144"/>
      <c r="G546" s="1" t="str">
        <f>IFERROR(IF(ventas_b_mes5[[#This Row],[CUIT]]="","-",VLOOKUP(ventas_b_mes5[[#This Row],[CUIT]],Lista_CUIT[#All],2,0)),"CUIT NO CARGADO")</f>
        <v>-</v>
      </c>
      <c r="H546" s="64"/>
      <c r="I546" s="145">
        <f>ventas_b_mes5[[#This Row],[IMPORTE NETO]]*0.21</f>
        <v>0</v>
      </c>
      <c r="J546" s="146"/>
      <c r="K546" s="146"/>
      <c r="L546" s="146">
        <f>SUM(ventas_b_mes5[[#This Row],[IMPORTE NETO]:[EXENTO]])</f>
        <v>0</v>
      </c>
      <c r="M546" s="59"/>
    </row>
    <row r="547" spans="2:13">
      <c r="B547" s="140"/>
      <c r="C547" s="41"/>
      <c r="D547" s="142"/>
      <c r="E547" s="143"/>
      <c r="F547" s="144"/>
      <c r="G547" s="1" t="str">
        <f>IFERROR(IF(ventas_b_mes5[[#This Row],[CUIT]]="","-",VLOOKUP(ventas_b_mes5[[#This Row],[CUIT]],Lista_CUIT[#All],2,0)),"CUIT NO CARGADO")</f>
        <v>-</v>
      </c>
      <c r="H547" s="64"/>
      <c r="I547" s="145">
        <f>ventas_b_mes5[[#This Row],[IMPORTE NETO]]*0.21</f>
        <v>0</v>
      </c>
      <c r="J547" s="146"/>
      <c r="K547" s="146"/>
      <c r="L547" s="146">
        <f>SUM(ventas_b_mes5[[#This Row],[IMPORTE NETO]:[EXENTO]])</f>
        <v>0</v>
      </c>
      <c r="M547" s="59"/>
    </row>
    <row r="548" spans="2:13">
      <c r="B548" s="140"/>
      <c r="C548" s="141"/>
      <c r="D548" s="142"/>
      <c r="E548" s="143"/>
      <c r="F548" s="144"/>
      <c r="G548" s="1" t="str">
        <f>IFERROR(IF(ventas_b_mes5[[#This Row],[CUIT]]="","-",VLOOKUP(ventas_b_mes5[[#This Row],[CUIT]],Lista_CUIT[#All],2,0)),"CUIT NO CARGADO")</f>
        <v>-</v>
      </c>
      <c r="H548" s="64"/>
      <c r="I548" s="145">
        <f>ventas_b_mes5[[#This Row],[IMPORTE NETO]]*0.21</f>
        <v>0</v>
      </c>
      <c r="J548" s="146"/>
      <c r="K548" s="146"/>
      <c r="L548" s="146">
        <f>SUM(ventas_b_mes5[[#This Row],[IMPORTE NETO]:[EXENTO]])</f>
        <v>0</v>
      </c>
      <c r="M548" s="59"/>
    </row>
    <row r="549" spans="2:13">
      <c r="B549" s="140"/>
      <c r="C549" s="141"/>
      <c r="D549" s="142"/>
      <c r="E549" s="143"/>
      <c r="F549" s="144"/>
      <c r="G549" s="1" t="str">
        <f>IFERROR(IF(ventas_b_mes5[[#This Row],[CUIT]]="","-",VLOOKUP(ventas_b_mes5[[#This Row],[CUIT]],Lista_CUIT[#All],2,0)),"CUIT NO CARGADO")</f>
        <v>-</v>
      </c>
      <c r="H549" s="64"/>
      <c r="I549" s="145">
        <f>ventas_b_mes5[[#This Row],[IMPORTE NETO]]*0.21</f>
        <v>0</v>
      </c>
      <c r="J549" s="146"/>
      <c r="K549" s="146"/>
      <c r="L549" s="146">
        <f>SUM(ventas_b_mes5[[#This Row],[IMPORTE NETO]:[EXENTO]])</f>
        <v>0</v>
      </c>
      <c r="M549" s="59"/>
    </row>
    <row r="550" spans="2:13">
      <c r="B550" s="140"/>
      <c r="C550" s="141"/>
      <c r="D550" s="142"/>
      <c r="E550" s="143"/>
      <c r="F550" s="144"/>
      <c r="G550" s="1" t="str">
        <f>IFERROR(IF(ventas_b_mes5[[#This Row],[CUIT]]="","-",VLOOKUP(ventas_b_mes5[[#This Row],[CUIT]],Lista_CUIT[#All],2,0)),"CUIT NO CARGADO")</f>
        <v>-</v>
      </c>
      <c r="H550" s="64"/>
      <c r="I550" s="145">
        <f>ventas_b_mes5[[#This Row],[IMPORTE NETO]]*0.21</f>
        <v>0</v>
      </c>
      <c r="J550" s="146"/>
      <c r="K550" s="146"/>
      <c r="L550" s="146">
        <f>SUM(ventas_b_mes5[[#This Row],[IMPORTE NETO]:[EXENTO]])</f>
        <v>0</v>
      </c>
      <c r="M550" s="59"/>
    </row>
    <row r="551" spans="2:13">
      <c r="B551" s="140"/>
      <c r="C551" s="141"/>
      <c r="D551" s="142"/>
      <c r="E551" s="143"/>
      <c r="F551" s="144"/>
      <c r="G551" s="1" t="str">
        <f>IFERROR(IF(ventas_b_mes5[[#This Row],[CUIT]]="","-",VLOOKUP(ventas_b_mes5[[#This Row],[CUIT]],Lista_CUIT[#All],2,0)),"CUIT NO CARGADO")</f>
        <v>-</v>
      </c>
      <c r="H551" s="64"/>
      <c r="I551" s="145">
        <f>ventas_b_mes5[[#This Row],[IMPORTE NETO]]*0.21</f>
        <v>0</v>
      </c>
      <c r="J551" s="146"/>
      <c r="K551" s="146"/>
      <c r="L551" s="146">
        <f>SUM(ventas_b_mes5[[#This Row],[IMPORTE NETO]:[EXENTO]])</f>
        <v>0</v>
      </c>
      <c r="M551" s="59"/>
    </row>
    <row r="552" spans="2:13">
      <c r="B552" s="140"/>
      <c r="C552" s="141"/>
      <c r="D552" s="142"/>
      <c r="E552" s="143"/>
      <c r="F552" s="144"/>
      <c r="G552" s="1" t="str">
        <f>IFERROR(IF(ventas_b_mes5[[#This Row],[CUIT]]="","-",VLOOKUP(ventas_b_mes5[[#This Row],[CUIT]],Lista_CUIT[#All],2,0)),"CUIT NO CARGADO")</f>
        <v>-</v>
      </c>
      <c r="H552" s="64"/>
      <c r="I552" s="145">
        <f>ventas_b_mes5[[#This Row],[IMPORTE NETO]]*0.21</f>
        <v>0</v>
      </c>
      <c r="J552" s="146"/>
      <c r="K552" s="146"/>
      <c r="L552" s="146">
        <f>SUM(ventas_b_mes5[[#This Row],[IMPORTE NETO]:[EXENTO]])</f>
        <v>0</v>
      </c>
      <c r="M552" s="59"/>
    </row>
    <row r="553" spans="2:13">
      <c r="B553" s="140"/>
      <c r="C553" s="141"/>
      <c r="D553" s="142"/>
      <c r="E553" s="143"/>
      <c r="F553" s="144"/>
      <c r="G553" s="1" t="str">
        <f>IFERROR(IF(ventas_b_mes5[[#This Row],[CUIT]]="","-",VLOOKUP(ventas_b_mes5[[#This Row],[CUIT]],Lista_CUIT[#All],2,0)),"CUIT NO CARGADO")</f>
        <v>-</v>
      </c>
      <c r="H553" s="64"/>
      <c r="I553" s="145">
        <f>ventas_b_mes5[[#This Row],[IMPORTE NETO]]*0.21</f>
        <v>0</v>
      </c>
      <c r="J553" s="146"/>
      <c r="K553" s="146"/>
      <c r="L553" s="146">
        <f>SUM(ventas_b_mes5[[#This Row],[IMPORTE NETO]:[EXENTO]])</f>
        <v>0</v>
      </c>
      <c r="M553" s="59"/>
    </row>
    <row r="554" spans="2:13">
      <c r="B554" s="140"/>
      <c r="C554" s="141"/>
      <c r="D554" s="142"/>
      <c r="E554" s="143"/>
      <c r="F554" s="144"/>
      <c r="G554" s="1" t="str">
        <f>IFERROR(IF(ventas_b_mes5[[#This Row],[CUIT]]="","-",VLOOKUP(ventas_b_mes5[[#This Row],[CUIT]],Lista_CUIT[#All],2,0)),"CUIT NO CARGADO")</f>
        <v>-</v>
      </c>
      <c r="H554" s="64"/>
      <c r="I554" s="145">
        <f>ventas_b_mes5[[#This Row],[IMPORTE NETO]]*0.21</f>
        <v>0</v>
      </c>
      <c r="J554" s="146"/>
      <c r="K554" s="146"/>
      <c r="L554" s="146">
        <f>SUM(ventas_b_mes5[[#This Row],[IMPORTE NETO]:[EXENTO]])</f>
        <v>0</v>
      </c>
      <c r="M554" s="59"/>
    </row>
    <row r="555" spans="2:13">
      <c r="B555" s="140"/>
      <c r="C555" s="141"/>
      <c r="D555" s="142"/>
      <c r="E555" s="143"/>
      <c r="F555" s="144"/>
      <c r="G555" s="1" t="str">
        <f>IFERROR(IF(ventas_b_mes5[[#This Row],[CUIT]]="","-",VLOOKUP(ventas_b_mes5[[#This Row],[CUIT]],Lista_CUIT[#All],2,0)),"CUIT NO CARGADO")</f>
        <v>-</v>
      </c>
      <c r="H555" s="64"/>
      <c r="I555" s="145">
        <f>ventas_b_mes5[[#This Row],[IMPORTE NETO]]*0.21</f>
        <v>0</v>
      </c>
      <c r="J555" s="146"/>
      <c r="K555" s="146"/>
      <c r="L555" s="146">
        <f>SUM(ventas_b_mes5[[#This Row],[IMPORTE NETO]:[EXENTO]])</f>
        <v>0</v>
      </c>
      <c r="M555" s="59"/>
    </row>
    <row r="556" spans="2:13">
      <c r="B556" s="140"/>
      <c r="C556" s="141"/>
      <c r="D556" s="142"/>
      <c r="E556" s="143"/>
      <c r="F556" s="144"/>
      <c r="G556" s="1" t="str">
        <f>IFERROR(IF(ventas_b_mes5[[#This Row],[CUIT]]="","-",VLOOKUP(ventas_b_mes5[[#This Row],[CUIT]],Lista_CUIT[#All],2,0)),"CUIT NO CARGADO")</f>
        <v>-</v>
      </c>
      <c r="H556" s="64"/>
      <c r="I556" s="145">
        <f>ventas_b_mes5[[#This Row],[IMPORTE NETO]]*0.21</f>
        <v>0</v>
      </c>
      <c r="J556" s="146"/>
      <c r="K556" s="146"/>
      <c r="L556" s="146">
        <f>SUM(ventas_b_mes5[[#This Row],[IMPORTE NETO]:[EXENTO]])</f>
        <v>0</v>
      </c>
      <c r="M556" s="59"/>
    </row>
    <row r="557" spans="2:13">
      <c r="B557" s="140"/>
      <c r="C557" s="141"/>
      <c r="D557" s="142"/>
      <c r="E557" s="143"/>
      <c r="F557" s="144"/>
      <c r="G557" s="1" t="str">
        <f>IFERROR(IF(ventas_b_mes5[[#This Row],[CUIT]]="","-",VLOOKUP(ventas_b_mes5[[#This Row],[CUIT]],Lista_CUIT[#All],2,0)),"CUIT NO CARGADO")</f>
        <v>-</v>
      </c>
      <c r="H557" s="64"/>
      <c r="I557" s="145">
        <f>ventas_b_mes5[[#This Row],[IMPORTE NETO]]*0.21</f>
        <v>0</v>
      </c>
      <c r="J557" s="146"/>
      <c r="K557" s="146"/>
      <c r="L557" s="146">
        <f>SUM(ventas_b_mes5[[#This Row],[IMPORTE NETO]:[EXENTO]])</f>
        <v>0</v>
      </c>
      <c r="M557" s="59"/>
    </row>
    <row r="558" spans="2:13" ht="15.75" thickBot="1">
      <c r="B558" s="66" t="s">
        <v>110</v>
      </c>
      <c r="C558" s="67"/>
      <c r="D558" s="67"/>
      <c r="E558" s="67"/>
      <c r="F558" s="67"/>
      <c r="G558" s="67"/>
      <c r="H558" s="77">
        <f>SUBTOTAL(109,ventas_b_mes5[IMPORTE NETO])</f>
        <v>0</v>
      </c>
      <c r="I558" s="77">
        <f>SUBTOTAL(109,ventas_b_mes5[IVA 21%])</f>
        <v>0</v>
      </c>
      <c r="J558" s="78">
        <f>SUBTOTAL(109,ventas_b_mes5[IVA 10,5%])</f>
        <v>0</v>
      </c>
      <c r="K558" s="78">
        <f>SUBTOTAL(109,ventas_b_mes5[EXENTO])</f>
        <v>0</v>
      </c>
      <c r="L558" s="78">
        <f>SUBTOTAL(109,ventas_b_mes5[TOTAL])</f>
        <v>0</v>
      </c>
      <c r="M558" s="68">
        <f>SUBTOTAL(103,ventas_b_mes5[Provincia])</f>
        <v>0</v>
      </c>
    </row>
    <row r="559" spans="2:13" ht="15.75" thickTop="1">
      <c r="C559" s="663" t="s">
        <v>66</v>
      </c>
      <c r="D559" s="663"/>
      <c r="E559" s="663"/>
      <c r="F559" s="663"/>
      <c r="G559" s="663"/>
      <c r="H559" s="32"/>
      <c r="I559" s="32"/>
      <c r="J559" s="32"/>
    </row>
    <row r="560" spans="2:13" ht="15.75">
      <c r="C560" s="113" t="s">
        <v>67</v>
      </c>
      <c r="D560" s="114" t="s">
        <v>68</v>
      </c>
      <c r="E560" s="114" t="s">
        <v>112</v>
      </c>
      <c r="F560" s="114" t="s">
        <v>3</v>
      </c>
      <c r="G560" s="114" t="s">
        <v>4</v>
      </c>
      <c r="H560" s="115" t="s">
        <v>69</v>
      </c>
      <c r="I560" s="115" t="s">
        <v>70</v>
      </c>
      <c r="J560" s="115" t="s">
        <v>71</v>
      </c>
      <c r="K560" s="115" t="s">
        <v>72</v>
      </c>
      <c r="L560" s="115" t="s">
        <v>73</v>
      </c>
    </row>
    <row r="561" spans="3:12">
      <c r="C561" s="116"/>
      <c r="D561" s="117"/>
      <c r="E561" s="117"/>
      <c r="F561" s="118"/>
      <c r="G561" s="53" t="str">
        <f>IFERROR(IF(Retenciones_mes5[[#This Row],[CUIT]]="","-",VLOOKUP(Retenciones_mes5[[#This Row],[CUIT]],Lista_CUIT[#All],2,0)),"CUIT NO CARGADO")</f>
        <v>-</v>
      </c>
      <c r="H561" s="119"/>
      <c r="I561" s="119"/>
      <c r="J561" s="119"/>
      <c r="K561" s="119"/>
      <c r="L561" s="119"/>
    </row>
    <row r="562" spans="3:12">
      <c r="C562" s="116"/>
      <c r="D562" s="117"/>
      <c r="E562" s="117"/>
      <c r="F562" s="118"/>
      <c r="G562" s="53" t="str">
        <f>IFERROR(IF(Retenciones_mes5[[#This Row],[CUIT]]="","-",VLOOKUP(Retenciones_mes5[[#This Row],[CUIT]],Lista_CUIT[#All],2,0)),"CUIT NO CARGADO")</f>
        <v>-</v>
      </c>
      <c r="H562" s="119"/>
      <c r="I562" s="119"/>
      <c r="J562" s="119"/>
      <c r="K562" s="119"/>
      <c r="L562" s="119"/>
    </row>
    <row r="563" spans="3:12">
      <c r="C563" s="116"/>
      <c r="D563" s="117"/>
      <c r="E563" s="117"/>
      <c r="F563" s="118"/>
      <c r="G563" s="53" t="str">
        <f>IFERROR(IF(Retenciones_mes5[[#This Row],[CUIT]]="","-",VLOOKUP(Retenciones_mes5[[#This Row],[CUIT]],Lista_CUIT[#All],2,0)),"CUIT NO CARGADO")</f>
        <v>-</v>
      </c>
      <c r="H563" s="119"/>
      <c r="I563" s="119"/>
      <c r="J563" s="119"/>
      <c r="K563" s="119"/>
      <c r="L563" s="119"/>
    </row>
    <row r="564" spans="3:12">
      <c r="C564" s="116"/>
      <c r="D564" s="117"/>
      <c r="E564" s="117"/>
      <c r="F564" s="118"/>
      <c r="G564" s="53" t="str">
        <f>IFERROR(IF(Retenciones_mes5[[#This Row],[CUIT]]="","-",VLOOKUP(Retenciones_mes5[[#This Row],[CUIT]],Lista_CUIT[#All],2,0)),"CUIT NO CARGADO")</f>
        <v>-</v>
      </c>
      <c r="H564" s="119"/>
      <c r="I564" s="119"/>
      <c r="J564" s="119"/>
      <c r="K564" s="119"/>
      <c r="L564" s="119"/>
    </row>
    <row r="565" spans="3:12">
      <c r="D565" s="117"/>
      <c r="E565" s="117"/>
      <c r="G565" s="53" t="str">
        <f>IFERROR(IF(Retenciones_mes5[[#This Row],[CUIT]]="","-",VLOOKUP(Retenciones_mes5[[#This Row],[CUIT]],Lista_CUIT[#All],2,0)),"CUIT NO CARGADO")</f>
        <v>-</v>
      </c>
    </row>
    <row r="566" spans="3:12">
      <c r="C566" s="33"/>
    </row>
  </sheetData>
  <mergeCells count="20">
    <mergeCell ref="C559:G559"/>
    <mergeCell ref="B4:E4"/>
    <mergeCell ref="G4:H4"/>
    <mergeCell ref="J4:K4"/>
    <mergeCell ref="M4:N4"/>
    <mergeCell ref="D131:K131"/>
    <mergeCell ref="B170:J170"/>
    <mergeCell ref="K170:M170"/>
    <mergeCell ref="B172:C172"/>
    <mergeCell ref="B237:C237"/>
    <mergeCell ref="P4:R4"/>
    <mergeCell ref="D122:L122"/>
    <mergeCell ref="B1:F1"/>
    <mergeCell ref="G1:M1"/>
    <mergeCell ref="N1:R1"/>
    <mergeCell ref="B3:E3"/>
    <mergeCell ref="G3:H3"/>
    <mergeCell ref="J3:K3"/>
    <mergeCell ref="M3:N3"/>
    <mergeCell ref="P3:R3"/>
  </mergeCells>
  <dataValidations count="9">
    <dataValidation type="custom" allowBlank="1" showInputMessage="1" showErrorMessage="1" sqref="H239:L557">
      <formula1>IF($C239=8,H239&lt;0,H239&gt;=0)</formula1>
    </dataValidation>
    <dataValidation type="whole" allowBlank="1" showInputMessage="1" showErrorMessage="1" sqref="C239:C557">
      <formula1>6</formula1>
      <formula2>8</formula2>
    </dataValidation>
    <dataValidation type="whole" allowBlank="1" showInputMessage="1" showErrorMessage="1" sqref="C118:C121 C174:C233 C9:C116">
      <formula1>1</formula1>
      <formula2>3</formula2>
    </dataValidation>
    <dataValidation type="date" allowBlank="1" showInputMessage="1" showErrorMessage="1" sqref="D133:D164 B118:B121 B239:B557 B174:B233 D124:D126 B9:B116">
      <formula1>40179</formula1>
      <formula2>TODAY()</formula2>
    </dataValidation>
    <dataValidation type="whole" allowBlank="1" showInputMessage="1" showErrorMessage="1" sqref="F239:F557 G133:G164 F174:F233 F9:F116">
      <formula1>20000000000</formula1>
      <formula2>33999999999</formula2>
    </dataValidation>
    <dataValidation type="whole" allowBlank="1" showInputMessage="1" showErrorMessage="1" sqref="E239:E557 F133:F164 E174:E233 E9:E116">
      <formula1>1</formula1>
      <formula2>99999999</formula2>
    </dataValidation>
    <dataValidation type="whole" allowBlank="1" showInputMessage="1" showErrorMessage="1" sqref="D239:D557 E133:E164 D174:D233 D9:D116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24:N24 J25:O37 H39:H45 J39:O45 I25:I114 H9:H37 I9:O23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38 J38:O38">
      <formula1>IF(#REF!=3,H38&lt;0,H38&gt;=0)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79998168889431442"/>
  </sheetPr>
  <dimension ref="A1:Z210"/>
  <sheetViews>
    <sheetView showGridLines="0" tabSelected="1" topLeftCell="E128" zoomScaleNormal="100" workbookViewId="0">
      <selection activeCell="I132" sqref="I132:I133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47.85546875" customWidth="1"/>
    <col min="8" max="8" width="28.5703125" customWidth="1"/>
    <col min="9" max="9" width="17.5703125" customWidth="1"/>
    <col min="10" max="10" width="24.7109375" customWidth="1"/>
    <col min="11" max="11" width="16.85546875" customWidth="1"/>
    <col min="12" max="12" width="13.5703125" customWidth="1"/>
    <col min="13" max="13" width="13.42578125" customWidth="1"/>
    <col min="14" max="14" width="16.42578125" customWidth="1"/>
    <col min="15" max="15" width="18.5703125" customWidth="1"/>
    <col min="16" max="16" width="20.42578125" customWidth="1"/>
    <col min="17" max="17" width="23.140625" customWidth="1"/>
    <col min="18" max="18" width="17.7109375" customWidth="1"/>
    <col min="19" max="19" width="1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EDATE('Ene-24'!N1,5)</f>
        <v>45444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SUM(compras_mes6[[#Totals],[NETO GRAVADO]])+extracto_banco_mes6[[#Totals],[NETO]]</f>
        <v>28794843.290000003</v>
      </c>
      <c r="C4" s="671"/>
      <c r="D4" s="671"/>
      <c r="E4" s="671"/>
      <c r="F4" s="39"/>
      <c r="G4" s="672">
        <f>compras_mes6[[#Totals],[IVA 21 %]]+compras_mes6[[#Totals],[IVA 27%]]+compras_mes6[[#Totals],[IVA 10,5%]]+extracto_banco_mes6[[#Totals],[IVA 21%]]+extracto_banco_mes6[[#Totals],[IVA 10,5%]]</f>
        <v>5985416.8195000002</v>
      </c>
      <c r="H4" s="672"/>
      <c r="I4" s="39"/>
      <c r="J4" s="661">
        <f>venta_a_mes6[[#Totals],[IMPORTE NETO]]+ventas_b_mes6[[#Totals],[IMPORTE NETO]]</f>
        <v>0</v>
      </c>
      <c r="K4" s="661"/>
      <c r="L4" s="39"/>
      <c r="M4" s="661">
        <f>venta_a_mes6[[#Totals],[IVA 21%]]+venta_a_mes6[[#Totals],[IVA 10,5%]]+ventas_b_mes6[[#Totals],[IVA 21%]]+ventas_b_mes6[[#Totals],[IVA 10,5%]]</f>
        <v>0</v>
      </c>
      <c r="N4" s="661"/>
      <c r="O4" s="39"/>
      <c r="P4" s="674">
        <f>G4-M4</f>
        <v>5985416.8195000002</v>
      </c>
      <c r="Q4" s="675"/>
      <c r="R4" s="675"/>
    </row>
    <row r="5" spans="1:26" ht="13.35" customHeight="1"/>
    <row r="6" spans="1:26" ht="11.1" customHeight="1"/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258">
        <v>45462</v>
      </c>
      <c r="C9" s="160">
        <v>1</v>
      </c>
      <c r="D9" s="259">
        <v>13</v>
      </c>
      <c r="E9" s="260">
        <v>322</v>
      </c>
      <c r="F9" s="261">
        <v>33710271149</v>
      </c>
      <c r="G9" s="262" t="str">
        <f>IFERROR(IF(compras_mes6[[#This Row],[CUIT]]="","-",VLOOKUP(compras_mes6[[#This Row],[CUIT]],Lista_CUIT[#All],2,0)),"CUIT NO CARGADO")</f>
        <v>CORRIENTES 3002 SRL</v>
      </c>
      <c r="H9" s="263">
        <v>18677.689999999999</v>
      </c>
      <c r="I9" s="250">
        <f>IF(compras_mes6[[#This Row],[NETO GRAVADO]]="","",compras_mes6[[#This Row],[NETO GRAVADO]]*0.21)</f>
        <v>3922.3148999999994</v>
      </c>
      <c r="J9" s="264"/>
      <c r="K9" s="264"/>
      <c r="L9" s="264"/>
      <c r="M9" s="264"/>
      <c r="N9" s="264"/>
      <c r="O9" s="264">
        <v>0</v>
      </c>
      <c r="P9" s="251">
        <f>SUM(compras_mes6[[#This Row],[NETO GRAVADO]:[Otros / No Grav.]])</f>
        <v>22600.0049</v>
      </c>
      <c r="Q9" s="252">
        <f>IFERROR(IF(compras_mes6[[#This Row],[CUIT]]="","-",VLOOKUP(compras_mes6[[#This Row],[CUIT]],Lista_CUIT[#All],3,0)),"CUIT NO CARGADO")</f>
        <v>0</v>
      </c>
      <c r="R9" s="252">
        <f>IFERROR(IF(compras_mes6[[#This Row],[CUIT]]="","-",VLOOKUP(compras_mes6[[#This Row],[CUIT]],Lista_CUIT[#All],4,0)),"CUIT NO CARGADO")</f>
        <v>0</v>
      </c>
    </row>
    <row r="10" spans="1:26">
      <c r="B10" s="243">
        <v>45444</v>
      </c>
      <c r="C10" s="244">
        <v>1</v>
      </c>
      <c r="D10" s="245">
        <v>2</v>
      </c>
      <c r="E10" s="246">
        <v>210</v>
      </c>
      <c r="F10" s="247">
        <v>30605344352</v>
      </c>
      <c r="G10" s="248" t="str">
        <f>IFERROR(IF(compras_mes6[[#This Row],[CUIT]]="","-",VLOOKUP(compras_mes6[[#This Row],[CUIT]],Lista_CUIT[#All],2,0)),"CUIT NO CARGADO")</f>
        <v>CONSORCIO BARTOLME MITRE 2466</v>
      </c>
      <c r="H10" s="249">
        <v>834000</v>
      </c>
      <c r="I10" s="688">
        <f>IF(compras_mes6[[#This Row],[NETO GRAVADO]]="","",compras_mes6[[#This Row],[NETO GRAVADO]]*0.21)</f>
        <v>175140</v>
      </c>
      <c r="J10" s="250"/>
      <c r="K10" s="250"/>
      <c r="L10" s="250"/>
      <c r="M10" s="250"/>
      <c r="N10" s="250"/>
      <c r="O10" s="250">
        <v>0</v>
      </c>
      <c r="P10" s="251">
        <f>SUM(compras_mes6[[#This Row],[NETO GRAVADO]:[Otros / No Grav.]])</f>
        <v>1009140</v>
      </c>
      <c r="Q10" s="252" t="str">
        <f>IFERROR(IF(compras_mes6[[#This Row],[CUIT]]="","-",VLOOKUP(compras_mes6[[#This Row],[CUIT]],Lista_CUIT[#All],3,0)),"CUIT NO CARGADO")</f>
        <v>ALQUILERES PAGADOS</v>
      </c>
      <c r="R10" s="252">
        <f>IFERROR(IF(compras_mes6[[#This Row],[CUIT]]="","-",VLOOKUP(compras_mes6[[#This Row],[CUIT]],Lista_CUIT[#All],4,0)),"CUIT NO CARGADO")</f>
        <v>0</v>
      </c>
    </row>
    <row r="11" spans="1:26">
      <c r="B11" s="258">
        <v>45447</v>
      </c>
      <c r="C11" s="160">
        <v>1</v>
      </c>
      <c r="D11" s="259">
        <v>1001</v>
      </c>
      <c r="E11" s="260">
        <v>432</v>
      </c>
      <c r="F11" s="261">
        <v>30707370552</v>
      </c>
      <c r="G11" s="262" t="str">
        <f>IFERROR(IF(compras_mes6[[#This Row],[CUIT]]="","-",VLOOKUP(compras_mes6[[#This Row],[CUIT]],Lista_CUIT[#All],2,0)),"CUIT NO CARGADO")</f>
        <v>RAKE SA</v>
      </c>
      <c r="H11" s="263">
        <v>380702.48</v>
      </c>
      <c r="I11" s="688">
        <f>IF(compras_mes6[[#This Row],[NETO GRAVADO]]="","",compras_mes6[[#This Row],[NETO GRAVADO]]*0.21)</f>
        <v>79947.520799999998</v>
      </c>
      <c r="J11" s="264"/>
      <c r="K11" s="264"/>
      <c r="L11" s="264"/>
      <c r="M11" s="264"/>
      <c r="N11" s="264"/>
      <c r="O11" s="264">
        <v>0</v>
      </c>
      <c r="P11" s="251">
        <f>SUM(compras_mes6[[#This Row],[NETO GRAVADO]:[Otros / No Grav.]])</f>
        <v>460650.00079999998</v>
      </c>
      <c r="Q11" s="252" t="str">
        <f>IFERROR(IF(compras_mes6[[#This Row],[CUIT]]="","-",VLOOKUP(compras_mes6[[#This Row],[CUIT]],Lista_CUIT[#All],3,0)),"CUIT NO CARGADO")</f>
        <v>ALQUILERES PAGADOS</v>
      </c>
      <c r="R11" s="252">
        <f>IFERROR(IF(compras_mes6[[#This Row],[CUIT]]="","-",VLOOKUP(compras_mes6[[#This Row],[CUIT]],Lista_CUIT[#All],4,0)),"CUIT NO CARGADO")</f>
        <v>0</v>
      </c>
    </row>
    <row r="12" spans="1:26">
      <c r="B12" s="258">
        <v>45447</v>
      </c>
      <c r="C12" s="160">
        <v>1</v>
      </c>
      <c r="D12" s="259">
        <v>1001</v>
      </c>
      <c r="E12" s="260">
        <v>431</v>
      </c>
      <c r="F12" s="261">
        <v>30707370552</v>
      </c>
      <c r="G12" s="262" t="str">
        <f>IFERROR(IF(compras_mes6[[#This Row],[CUIT]]="","-",VLOOKUP(compras_mes6[[#This Row],[CUIT]],Lista_CUIT[#All],2,0)),"CUIT NO CARGADO")</f>
        <v>RAKE SA</v>
      </c>
      <c r="H12" s="263">
        <v>779398.35</v>
      </c>
      <c r="I12" s="688">
        <f>IF(compras_mes6[[#This Row],[NETO GRAVADO]]="","",compras_mes6[[#This Row],[NETO GRAVADO]]*0.21)</f>
        <v>163673.65349999999</v>
      </c>
      <c r="J12" s="264"/>
      <c r="K12" s="264"/>
      <c r="L12" s="264"/>
      <c r="M12" s="264"/>
      <c r="N12" s="264"/>
      <c r="O12" s="264">
        <v>0</v>
      </c>
      <c r="P12" s="251">
        <f>SUM(compras_mes6[[#This Row],[NETO GRAVADO]:[Otros / No Grav.]])</f>
        <v>943072.00349999999</v>
      </c>
      <c r="Q12" s="252" t="str">
        <f>IFERROR(IF(compras_mes6[[#This Row],[CUIT]]="","-",VLOOKUP(compras_mes6[[#This Row],[CUIT]],Lista_CUIT[#All],3,0)),"CUIT NO CARGADO")</f>
        <v>ALQUILERES PAGADOS</v>
      </c>
      <c r="R12" s="252">
        <f>IFERROR(IF(compras_mes6[[#This Row],[CUIT]]="","-",VLOOKUP(compras_mes6[[#This Row],[CUIT]],Lista_CUIT[#All],4,0)),"CUIT NO CARGADO")</f>
        <v>0</v>
      </c>
    </row>
    <row r="13" spans="1:26">
      <c r="B13" s="243">
        <v>45449</v>
      </c>
      <c r="C13" s="244">
        <v>1</v>
      </c>
      <c r="D13" s="245">
        <v>1</v>
      </c>
      <c r="E13" s="246">
        <v>799</v>
      </c>
      <c r="F13" s="247">
        <v>30715048066</v>
      </c>
      <c r="G13" s="248" t="str">
        <f>IFERROR(IF(compras_mes6[[#This Row],[CUIT]]="","-",VLOOKUP(compras_mes6[[#This Row],[CUIT]],Lista_CUIT[#All],2,0)),"CUIT NO CARGADO")</f>
        <v>ROLLS Y EMPANADAS SA</v>
      </c>
      <c r="H13" s="249">
        <v>766320</v>
      </c>
      <c r="I13" s="688">
        <f>IF(compras_mes6[[#This Row],[NETO GRAVADO]]="","",compras_mes6[[#This Row],[NETO GRAVADO]]*0.21)</f>
        <v>160927.19999999998</v>
      </c>
      <c r="J13" s="250"/>
      <c r="K13" s="250"/>
      <c r="L13" s="250"/>
      <c r="M13" s="250"/>
      <c r="N13" s="250"/>
      <c r="O13" s="250">
        <v>0</v>
      </c>
      <c r="P13" s="251">
        <f>SUM(compras_mes6[[#This Row],[NETO GRAVADO]:[Otros / No Grav.]])</f>
        <v>927247.2</v>
      </c>
      <c r="Q13" s="252" t="str">
        <f>IFERROR(IF(compras_mes6[[#This Row],[CUIT]]="","-",VLOOKUP(compras_mes6[[#This Row],[CUIT]],Lista_CUIT[#All],3,0)),"CUIT NO CARGADO")</f>
        <v>Catering</v>
      </c>
      <c r="R13" s="252">
        <f>IFERROR(IF(compras_mes6[[#This Row],[CUIT]]="","-",VLOOKUP(compras_mes6[[#This Row],[CUIT]],Lista_CUIT[#All],4,0)),"CUIT NO CARGADO")</f>
        <v>0</v>
      </c>
    </row>
    <row r="14" spans="1:26">
      <c r="B14" s="243">
        <v>45449</v>
      </c>
      <c r="C14" s="244">
        <v>1</v>
      </c>
      <c r="D14" s="245">
        <v>1</v>
      </c>
      <c r="E14" s="246">
        <v>811</v>
      </c>
      <c r="F14" s="247">
        <v>30715048066</v>
      </c>
      <c r="G14" s="248" t="str">
        <f>IFERROR(IF(compras_mes6[[#This Row],[CUIT]]="","-",VLOOKUP(compras_mes6[[#This Row],[CUIT]],Lista_CUIT[#All],2,0)),"CUIT NO CARGADO")</f>
        <v>ROLLS Y EMPANADAS SA</v>
      </c>
      <c r="H14" s="249">
        <v>839145</v>
      </c>
      <c r="I14" s="688">
        <f>IF(compras_mes6[[#This Row],[NETO GRAVADO]]="","",compras_mes6[[#This Row],[NETO GRAVADO]]*0.21)</f>
        <v>176220.44999999998</v>
      </c>
      <c r="J14" s="250"/>
      <c r="K14" s="250"/>
      <c r="L14" s="250"/>
      <c r="M14" s="250"/>
      <c r="N14" s="250"/>
      <c r="O14" s="250">
        <v>0</v>
      </c>
      <c r="P14" s="251">
        <f>SUM(compras_mes6[[#This Row],[NETO GRAVADO]:[Otros / No Grav.]])</f>
        <v>1015365.45</v>
      </c>
      <c r="Q14" s="252" t="str">
        <f>IFERROR(IF(compras_mes6[[#This Row],[CUIT]]="","-",VLOOKUP(compras_mes6[[#This Row],[CUIT]],Lista_CUIT[#All],3,0)),"CUIT NO CARGADO")</f>
        <v>Catering</v>
      </c>
      <c r="R14" s="252">
        <f>IFERROR(IF(compras_mes6[[#This Row],[CUIT]]="","-",VLOOKUP(compras_mes6[[#This Row],[CUIT]],Lista_CUIT[#All],4,0)),"CUIT NO CARGADO")</f>
        <v>0</v>
      </c>
    </row>
    <row r="15" spans="1:26">
      <c r="B15" s="161">
        <v>45445</v>
      </c>
      <c r="C15" s="160">
        <v>1</v>
      </c>
      <c r="D15" s="162">
        <v>100</v>
      </c>
      <c r="E15" s="163">
        <v>186559</v>
      </c>
      <c r="F15" s="164">
        <v>30537679855</v>
      </c>
      <c r="G15" s="165" t="str">
        <f>IFERROR(IF(compras_mes6[[#This Row],[CUIT]]="","-",VLOOKUP(compras_mes6[[#This Row],[CUIT]],Lista_CUIT[#All],2,0)),"CUIT NO CARGADO")</f>
        <v>ESTACION LIMA SA</v>
      </c>
      <c r="H15" s="166">
        <v>33879.85</v>
      </c>
      <c r="I15" s="688">
        <f>IF(compras_mes6[[#This Row],[NETO GRAVADO]]="","",compras_mes6[[#This Row],[NETO GRAVADO]]*0.21)</f>
        <v>7114.7684999999992</v>
      </c>
      <c r="J15" s="167"/>
      <c r="K15" s="167"/>
      <c r="L15" s="167"/>
      <c r="M15" s="167"/>
      <c r="N15" s="167"/>
      <c r="O15" s="167">
        <v>0</v>
      </c>
      <c r="P15" s="48">
        <f>SUM(compras_mes6[[#This Row],[NETO GRAVADO]:[Otros / No Grav.]])</f>
        <v>40994.618499999997</v>
      </c>
      <c r="Q15" s="49" t="str">
        <f>IFERROR(IF(compras_mes6[[#This Row],[CUIT]]="","-",VLOOKUP(compras_mes6[[#This Row],[CUIT]],Lista_CUIT[#All],3,0)),"CUIT NO CARGADO")</f>
        <v>COMBUSTIBLE</v>
      </c>
      <c r="R15" s="49">
        <f>IFERROR(IF(compras_mes6[[#This Row],[CUIT]]="","-",VLOOKUP(compras_mes6[[#This Row],[CUIT]],Lista_CUIT[#All],4,0)),"CUIT NO CARGADO")</f>
        <v>0</v>
      </c>
    </row>
    <row r="16" spans="1:26">
      <c r="B16" s="243">
        <v>45454</v>
      </c>
      <c r="C16" s="244">
        <v>1</v>
      </c>
      <c r="D16" s="245">
        <v>9044</v>
      </c>
      <c r="E16" s="246">
        <v>28339</v>
      </c>
      <c r="F16" s="247">
        <v>30678774495</v>
      </c>
      <c r="G16" s="248" t="str">
        <f>IFERROR(IF(compras_mes6[[#This Row],[CUIT]]="","-",VLOOKUP(compras_mes6[[#This Row],[CUIT]],Lista_CUIT[#All],2,0)),"CUIT NO CARGADO")</f>
        <v>OPER. DE EST. DE SERV. SA</v>
      </c>
      <c r="H16" s="249">
        <v>64871.839999999997</v>
      </c>
      <c r="I16" s="688">
        <f>IF(compras_mes6[[#This Row],[NETO GRAVADO]]="","",compras_mes6[[#This Row],[NETO GRAVADO]]*0.21)</f>
        <v>13623.086399999998</v>
      </c>
      <c r="J16" s="250"/>
      <c r="K16" s="250"/>
      <c r="L16" s="250"/>
      <c r="M16" s="250"/>
      <c r="N16" s="250"/>
      <c r="O16" s="250">
        <v>0</v>
      </c>
      <c r="P16" s="251">
        <f>SUM(compras_mes6[[#This Row],[NETO GRAVADO]:[Otros / No Grav.]])</f>
        <v>78494.926399999997</v>
      </c>
      <c r="Q16" s="252" t="str">
        <f>IFERROR(IF(compras_mes6[[#This Row],[CUIT]]="","-",VLOOKUP(compras_mes6[[#This Row],[CUIT]],Lista_CUIT[#All],3,0)),"CUIT NO CARGADO")</f>
        <v>COMBUSTIBLE</v>
      </c>
      <c r="R16" s="252">
        <f>IFERROR(IF(compras_mes6[[#This Row],[CUIT]]="","-",VLOOKUP(compras_mes6[[#This Row],[CUIT]],Lista_CUIT[#All],4,0)),"CUIT NO CARGADO")</f>
        <v>0</v>
      </c>
    </row>
    <row r="17" spans="2:18">
      <c r="B17" s="243">
        <v>45455</v>
      </c>
      <c r="C17" s="244">
        <v>1</v>
      </c>
      <c r="D17" s="245">
        <v>10</v>
      </c>
      <c r="E17" s="246">
        <v>1529</v>
      </c>
      <c r="F17" s="247">
        <v>30716229552</v>
      </c>
      <c r="G17" s="248" t="str">
        <f>IFERROR(IF(compras_mes6[[#This Row],[CUIT]]="","-",VLOOKUP(compras_mes6[[#This Row],[CUIT]],Lista_CUIT[#All],2,0)),"CUIT NO CARGADO")</f>
        <v>LUBRICANTES RUTA DE P e H SRL</v>
      </c>
      <c r="H17" s="249">
        <v>4958.68</v>
      </c>
      <c r="I17" s="688">
        <f>IF(compras_mes6[[#This Row],[NETO GRAVADO]]="","",compras_mes6[[#This Row],[NETO GRAVADO]]*0.21)</f>
        <v>1041.3227999999999</v>
      </c>
      <c r="J17" s="250"/>
      <c r="K17" s="250"/>
      <c r="L17" s="250"/>
      <c r="M17" s="250"/>
      <c r="N17" s="250"/>
      <c r="O17" s="250">
        <v>0</v>
      </c>
      <c r="P17" s="251">
        <f>SUM(compras_mes6[[#This Row],[NETO GRAVADO]:[Otros / No Grav.]])</f>
        <v>6000.0028000000002</v>
      </c>
      <c r="Q17" s="252" t="str">
        <f>IFERROR(IF(compras_mes6[[#This Row],[CUIT]]="","-",VLOOKUP(compras_mes6[[#This Row],[CUIT]],Lista_CUIT[#All],3,0)),"CUIT NO CARGADO")</f>
        <v>COMBUSTIBLE</v>
      </c>
      <c r="R17" s="252">
        <f>IFERROR(IF(compras_mes6[[#This Row],[CUIT]]="","-",VLOOKUP(compras_mes6[[#This Row],[CUIT]],Lista_CUIT[#All],4,0)),"CUIT NO CARGADO")</f>
        <v>0</v>
      </c>
    </row>
    <row r="18" spans="2:18">
      <c r="B18" s="243">
        <v>45455</v>
      </c>
      <c r="C18" s="244">
        <v>1</v>
      </c>
      <c r="D18" s="245">
        <v>10</v>
      </c>
      <c r="E18" s="246">
        <v>1530</v>
      </c>
      <c r="F18" s="247">
        <v>30716229552</v>
      </c>
      <c r="G18" s="248" t="str">
        <f>IFERROR(IF(compras_mes6[[#This Row],[CUIT]]="","-",VLOOKUP(compras_mes6[[#This Row],[CUIT]],Lista_CUIT[#All],2,0)),"CUIT NO CARGADO")</f>
        <v>LUBRICANTES RUTA DE P e H SRL</v>
      </c>
      <c r="H18" s="249">
        <v>2644.63</v>
      </c>
      <c r="I18" s="688">
        <f>IF(compras_mes6[[#This Row],[NETO GRAVADO]]="","",compras_mes6[[#This Row],[NETO GRAVADO]]*0.21)</f>
        <v>555.3723</v>
      </c>
      <c r="J18" s="250"/>
      <c r="K18" s="250"/>
      <c r="L18" s="250"/>
      <c r="M18" s="250"/>
      <c r="N18" s="250"/>
      <c r="O18" s="250">
        <v>0</v>
      </c>
      <c r="P18" s="251">
        <f>SUM(compras_mes6[[#This Row],[NETO GRAVADO]:[Otros / No Grav.]])</f>
        <v>3200.0023000000001</v>
      </c>
      <c r="Q18" s="252" t="str">
        <f>IFERROR(IF(compras_mes6[[#This Row],[CUIT]]="","-",VLOOKUP(compras_mes6[[#This Row],[CUIT]],Lista_CUIT[#All],3,0)),"CUIT NO CARGADO")</f>
        <v>COMBUSTIBLE</v>
      </c>
      <c r="R18" s="252">
        <f>IFERROR(IF(compras_mes6[[#This Row],[CUIT]]="","-",VLOOKUP(compras_mes6[[#This Row],[CUIT]],Lista_CUIT[#All],4,0)),"CUIT NO CARGADO")</f>
        <v>0</v>
      </c>
    </row>
    <row r="19" spans="2:18">
      <c r="B19" s="651">
        <v>45447</v>
      </c>
      <c r="C19" s="652">
        <v>1</v>
      </c>
      <c r="D19" s="638">
        <v>24</v>
      </c>
      <c r="E19" s="639">
        <v>17606</v>
      </c>
      <c r="F19" s="640">
        <v>20139793170</v>
      </c>
      <c r="G19" s="653" t="str">
        <f>IFERROR(IF(compras_mes6[[#This Row],[CUIT]]="","-",VLOOKUP(compras_mes6[[#This Row],[CUIT]],Lista_CUIT[#All],2,0)),"CUIT NO CARGADO")</f>
        <v>IACONO JUAN</v>
      </c>
      <c r="H19" s="654">
        <v>74874.899999999994</v>
      </c>
      <c r="I19" s="655">
        <f>IF(compras_mes6[[#This Row],[NETO GRAVADO]]="","",compras_mes6[[#This Row],[NETO GRAVADO]]*0.21)</f>
        <v>15723.728999999998</v>
      </c>
      <c r="J19" s="655"/>
      <c r="K19" s="655"/>
      <c r="L19" s="655"/>
      <c r="M19" s="655"/>
      <c r="N19" s="655"/>
      <c r="O19" s="655"/>
      <c r="P19" s="656">
        <f>SUM(compras_mes6[[#This Row],[NETO GRAVADO]:[Otros / No Grav.]])</f>
        <v>90598.628999999986</v>
      </c>
      <c r="Q19" s="657" t="str">
        <f>IFERROR(IF(compras_mes6[[#This Row],[CUIT]]="","-",VLOOKUP(compras_mes6[[#This Row],[CUIT]],Lista_CUIT[#All],3,0)),"CUIT NO CARGADO")</f>
        <v>COMBUSTIBLE</v>
      </c>
      <c r="R19" s="657">
        <f>IFERROR(IF(compras_mes6[[#This Row],[CUIT]]="","-",VLOOKUP(compras_mes6[[#This Row],[CUIT]],Lista_CUIT[#All],4,0)),"CUIT NO CARGADO")</f>
        <v>0</v>
      </c>
    </row>
    <row r="20" spans="2:18">
      <c r="B20" s="651">
        <v>45455</v>
      </c>
      <c r="C20" s="652">
        <v>1</v>
      </c>
      <c r="D20" s="638">
        <v>20</v>
      </c>
      <c r="E20" s="639">
        <v>10392</v>
      </c>
      <c r="F20" s="640">
        <v>20139793170</v>
      </c>
      <c r="G20" s="653" t="str">
        <f>IFERROR(IF(compras_mes6[[#This Row],[CUIT]]="","-",VLOOKUP(compras_mes6[[#This Row],[CUIT]],Lista_CUIT[#All],2,0)),"CUIT NO CARGADO")</f>
        <v>IACONO JUAN</v>
      </c>
      <c r="H20" s="654">
        <v>35450.379999999997</v>
      </c>
      <c r="I20" s="655">
        <f>IF(compras_mes6[[#This Row],[NETO GRAVADO]]="","",compras_mes6[[#This Row],[NETO GRAVADO]]*0.21)</f>
        <v>7444.5797999999995</v>
      </c>
      <c r="J20" s="655"/>
      <c r="K20" s="655"/>
      <c r="L20" s="655"/>
      <c r="M20" s="655"/>
      <c r="N20" s="655"/>
      <c r="O20" s="655"/>
      <c r="P20" s="656">
        <f>SUM(compras_mes6[[#This Row],[NETO GRAVADO]:[Otros / No Grav.]])</f>
        <v>42894.959799999997</v>
      </c>
      <c r="Q20" s="657" t="str">
        <f>IFERROR(IF(compras_mes6[[#This Row],[CUIT]]="","-",VLOOKUP(compras_mes6[[#This Row],[CUIT]],Lista_CUIT[#All],3,0)),"CUIT NO CARGADO")</f>
        <v>COMBUSTIBLE</v>
      </c>
      <c r="R20" s="657">
        <f>IFERROR(IF(compras_mes6[[#This Row],[CUIT]]="","-",VLOOKUP(compras_mes6[[#This Row],[CUIT]],Lista_CUIT[#All],4,0)),"CUIT NO CARGADO")</f>
        <v>0</v>
      </c>
    </row>
    <row r="21" spans="2:18">
      <c r="B21" s="651">
        <v>45455</v>
      </c>
      <c r="C21" s="652">
        <v>1</v>
      </c>
      <c r="D21" s="638">
        <v>6</v>
      </c>
      <c r="E21" s="639">
        <v>18235</v>
      </c>
      <c r="F21" s="640">
        <v>33715594949</v>
      </c>
      <c r="G21" s="653" t="str">
        <f>IFERROR(IF(compras_mes6[[#This Row],[CUIT]]="","-",VLOOKUP(compras_mes6[[#This Row],[CUIT]],Lista_CUIT[#All],2,0)),"CUIT NO CARGADO")</f>
        <v>SOMOS ENERGIA SA</v>
      </c>
      <c r="H21" s="654">
        <v>56302.95</v>
      </c>
      <c r="I21" s="655">
        <f>IF(compras_mes6[[#This Row],[NETO GRAVADO]]="","",compras_mes6[[#This Row],[NETO GRAVADO]]*0.21)</f>
        <v>11823.619499999999</v>
      </c>
      <c r="J21" s="655"/>
      <c r="K21" s="655"/>
      <c r="L21" s="655"/>
      <c r="M21" s="655"/>
      <c r="N21" s="655"/>
      <c r="O21" s="655"/>
      <c r="P21" s="656">
        <f>SUM(compras_mes6[[#This Row],[NETO GRAVADO]:[Otros / No Grav.]])</f>
        <v>68126.569499999998</v>
      </c>
      <c r="Q21" s="657" t="str">
        <f>IFERROR(IF(compras_mes6[[#This Row],[CUIT]]="","-",VLOOKUP(compras_mes6[[#This Row],[CUIT]],Lista_CUIT[#All],3,0)),"CUIT NO CARGADO")</f>
        <v>COMBUSTIBLE</v>
      </c>
      <c r="R21" s="657">
        <f>IFERROR(IF(compras_mes6[[#This Row],[CUIT]]="","-",VLOOKUP(compras_mes6[[#This Row],[CUIT]],Lista_CUIT[#All],4,0)),"CUIT NO CARGADO")</f>
        <v>0</v>
      </c>
    </row>
    <row r="22" spans="2:18">
      <c r="B22" s="651">
        <v>45464</v>
      </c>
      <c r="C22" s="652">
        <v>1</v>
      </c>
      <c r="D22" s="638">
        <v>23</v>
      </c>
      <c r="E22" s="639">
        <v>24631</v>
      </c>
      <c r="F22" s="640">
        <v>20139793170</v>
      </c>
      <c r="G22" s="653" t="str">
        <f>IFERROR(IF(compras_mes6[[#This Row],[CUIT]]="","-",VLOOKUP(compras_mes6[[#This Row],[CUIT]],Lista_CUIT[#All],2,0)),"CUIT NO CARGADO")</f>
        <v>IACONO JUAN</v>
      </c>
      <c r="H22" s="654">
        <v>81515.100000000006</v>
      </c>
      <c r="I22" s="655">
        <f>IF(compras_mes6[[#This Row],[NETO GRAVADO]]="","",compras_mes6[[#This Row],[NETO GRAVADO]]*0.21)</f>
        <v>17118.171000000002</v>
      </c>
      <c r="J22" s="655"/>
      <c r="K22" s="655"/>
      <c r="L22" s="655"/>
      <c r="M22" s="655"/>
      <c r="N22" s="655"/>
      <c r="O22" s="655"/>
      <c r="P22" s="656">
        <f>SUM(compras_mes6[[#This Row],[NETO GRAVADO]:[Otros / No Grav.]])</f>
        <v>98633.271000000008</v>
      </c>
      <c r="Q22" s="657" t="str">
        <f>IFERROR(IF(compras_mes6[[#This Row],[CUIT]]="","-",VLOOKUP(compras_mes6[[#This Row],[CUIT]],Lista_CUIT[#All],3,0)),"CUIT NO CARGADO")</f>
        <v>COMBUSTIBLE</v>
      </c>
      <c r="R22" s="657">
        <f>IFERROR(IF(compras_mes6[[#This Row],[CUIT]]="","-",VLOOKUP(compras_mes6[[#This Row],[CUIT]],Lista_CUIT[#All],4,0)),"CUIT NO CARGADO")</f>
        <v>0</v>
      </c>
    </row>
    <row r="23" spans="2:18">
      <c r="B23" s="651">
        <v>45467</v>
      </c>
      <c r="C23" s="652">
        <v>1</v>
      </c>
      <c r="D23" s="638">
        <v>24</v>
      </c>
      <c r="E23" s="639">
        <v>17966</v>
      </c>
      <c r="F23" s="640">
        <v>20139793170</v>
      </c>
      <c r="G23" s="653" t="str">
        <f>IFERROR(IF(compras_mes6[[#This Row],[CUIT]]="","-",VLOOKUP(compras_mes6[[#This Row],[CUIT]],Lista_CUIT[#All],2,0)),"CUIT NO CARGADO")</f>
        <v>IACONO JUAN</v>
      </c>
      <c r="H23" s="654">
        <v>38572.480000000003</v>
      </c>
      <c r="I23" s="655">
        <f>IF(compras_mes6[[#This Row],[NETO GRAVADO]]="","",compras_mes6[[#This Row],[NETO GRAVADO]]*0.21)</f>
        <v>8100.2208000000001</v>
      </c>
      <c r="J23" s="655"/>
      <c r="K23" s="655"/>
      <c r="L23" s="655"/>
      <c r="M23" s="655"/>
      <c r="N23" s="655"/>
      <c r="O23" s="655"/>
      <c r="P23" s="656">
        <f>SUM(compras_mes6[[#This Row],[NETO GRAVADO]:[Otros / No Grav.]])</f>
        <v>46672.700800000006</v>
      </c>
      <c r="Q23" s="657" t="str">
        <f>IFERROR(IF(compras_mes6[[#This Row],[CUIT]]="","-",VLOOKUP(compras_mes6[[#This Row],[CUIT]],Lista_CUIT[#All],3,0)),"CUIT NO CARGADO")</f>
        <v>COMBUSTIBLE</v>
      </c>
      <c r="R23" s="657">
        <f>IFERROR(IF(compras_mes6[[#This Row],[CUIT]]="","-",VLOOKUP(compras_mes6[[#This Row],[CUIT]],Lista_CUIT[#All],4,0)),"CUIT NO CARGADO")</f>
        <v>0</v>
      </c>
    </row>
    <row r="24" spans="2:18">
      <c r="B24" s="651">
        <v>45470</v>
      </c>
      <c r="C24" s="652">
        <v>1</v>
      </c>
      <c r="D24" s="638">
        <v>8</v>
      </c>
      <c r="E24" s="639">
        <v>11752</v>
      </c>
      <c r="F24" s="640">
        <v>33715594949</v>
      </c>
      <c r="G24" s="653" t="str">
        <f>IFERROR(IF(compras_mes6[[#This Row],[CUIT]]="","-",VLOOKUP(compras_mes6[[#This Row],[CUIT]],Lista_CUIT[#All],2,0)),"CUIT NO CARGADO")</f>
        <v>SOMOS ENERGIA SA</v>
      </c>
      <c r="H24" s="654">
        <v>38562.86</v>
      </c>
      <c r="I24" s="655">
        <f>IF(compras_mes6[[#This Row],[NETO GRAVADO]]="","",compras_mes6[[#This Row],[NETO GRAVADO]]*0.21)</f>
        <v>8098.2006000000001</v>
      </c>
      <c r="J24" s="655"/>
      <c r="K24" s="655"/>
      <c r="L24" s="655"/>
      <c r="M24" s="655"/>
      <c r="N24" s="655"/>
      <c r="O24" s="655"/>
      <c r="P24" s="656">
        <f>SUM(compras_mes6[[#This Row],[NETO GRAVADO]:[Otros / No Grav.]])</f>
        <v>46661.060599999997</v>
      </c>
      <c r="Q24" s="657" t="str">
        <f>IFERROR(IF(compras_mes6[[#This Row],[CUIT]]="","-",VLOOKUP(compras_mes6[[#This Row],[CUIT]],Lista_CUIT[#All],3,0)),"CUIT NO CARGADO")</f>
        <v>COMBUSTIBLE</v>
      </c>
      <c r="R24" s="657">
        <f>IFERROR(IF(compras_mes6[[#This Row],[CUIT]]="","-",VLOOKUP(compras_mes6[[#This Row],[CUIT]],Lista_CUIT[#All],4,0)),"CUIT NO CARGADO")</f>
        <v>0</v>
      </c>
    </row>
    <row r="25" spans="2:18">
      <c r="B25" s="243">
        <v>45456</v>
      </c>
      <c r="C25" s="244">
        <v>1</v>
      </c>
      <c r="D25" s="245">
        <v>12</v>
      </c>
      <c r="E25" s="246">
        <v>354</v>
      </c>
      <c r="F25" s="247">
        <v>33531122599</v>
      </c>
      <c r="G25" s="248" t="str">
        <f>IFERROR(IF(compras_mes6[[#This Row],[CUIT]]="","-",VLOOKUP(compras_mes6[[#This Row],[CUIT]],Lista_CUIT[#All],2,0)),"CUIT NO CARGADO")</f>
        <v>LA CAMIONERA MENDOCINA SRL</v>
      </c>
      <c r="H25" s="249">
        <v>80000</v>
      </c>
      <c r="I25" s="688">
        <f>IF(compras_mes6[[#This Row],[NETO GRAVADO]]="","",compras_mes6[[#This Row],[NETO GRAVADO]]*0.21)</f>
        <v>16800</v>
      </c>
      <c r="J25" s="250"/>
      <c r="K25" s="250"/>
      <c r="L25" s="250"/>
      <c r="M25" s="250"/>
      <c r="N25" s="250"/>
      <c r="O25" s="250">
        <v>0</v>
      </c>
      <c r="P25" s="251">
        <f>SUM(compras_mes6[[#This Row],[NETO GRAVADO]:[Otros / No Grav.]])</f>
        <v>96800</v>
      </c>
      <c r="Q25" s="252" t="str">
        <f>IFERROR(IF(compras_mes6[[#This Row],[CUIT]]="","-",VLOOKUP(compras_mes6[[#This Row],[CUIT]],Lista_CUIT[#All],3,0)),"CUIT NO CARGADO")</f>
        <v>FLETE</v>
      </c>
      <c r="R25" s="252">
        <f>IFERROR(IF(compras_mes6[[#This Row],[CUIT]]="","-",VLOOKUP(compras_mes6[[#This Row],[CUIT]],Lista_CUIT[#All],4,0)),"CUIT NO CARGADO")</f>
        <v>0</v>
      </c>
    </row>
    <row r="26" spans="2:18">
      <c r="B26" s="243">
        <v>45467</v>
      </c>
      <c r="C26" s="244">
        <v>1</v>
      </c>
      <c r="D26" s="245">
        <v>3</v>
      </c>
      <c r="E26" s="246">
        <v>156</v>
      </c>
      <c r="F26" s="247">
        <v>20334976433</v>
      </c>
      <c r="G26" s="248" t="str">
        <f>IFERROR(IF(compras_mes6[[#This Row],[CUIT]]="","-",VLOOKUP(compras_mes6[[#This Row],[CUIT]],Lista_CUIT[#All],2,0)),"CUIT NO CARGADO")</f>
        <v>NARDOMARINO EZEQUIEL EDUARDO</v>
      </c>
      <c r="H26" s="249">
        <v>97500</v>
      </c>
      <c r="I26" s="688">
        <f>IF(compras_mes6[[#This Row],[NETO GRAVADO]]="","",compras_mes6[[#This Row],[NETO GRAVADO]]*0.21)</f>
        <v>20475</v>
      </c>
      <c r="J26" s="250"/>
      <c r="K26" s="250"/>
      <c r="L26" s="250"/>
      <c r="M26" s="250"/>
      <c r="N26" s="250"/>
      <c r="O26" s="250">
        <v>0</v>
      </c>
      <c r="P26" s="251">
        <f>SUM(compras_mes6[[#This Row],[NETO GRAVADO]:[Otros / No Grav.]])</f>
        <v>117975</v>
      </c>
      <c r="Q26" s="252" t="str">
        <f>IFERROR(IF(compras_mes6[[#This Row],[CUIT]]="","-",VLOOKUP(compras_mes6[[#This Row],[CUIT]],Lista_CUIT[#All],3,0)),"CUIT NO CARGADO")</f>
        <v>FLETE</v>
      </c>
      <c r="R26" s="252">
        <f>IFERROR(IF(compras_mes6[[#This Row],[CUIT]]="","-",VLOOKUP(compras_mes6[[#This Row],[CUIT]],Lista_CUIT[#All],4,0)),"CUIT NO CARGADO")</f>
        <v>0</v>
      </c>
    </row>
    <row r="27" spans="2:18">
      <c r="B27" s="243">
        <v>45446</v>
      </c>
      <c r="C27" s="244">
        <v>1</v>
      </c>
      <c r="D27" s="245">
        <v>500</v>
      </c>
      <c r="E27" s="246">
        <v>1562240</v>
      </c>
      <c r="F27" s="247">
        <v>30654118767</v>
      </c>
      <c r="G27" s="248" t="str">
        <f>IFERROR(IF(compras_mes6[[#This Row],[CUIT]]="","-",VLOOKUP(compras_mes6[[#This Row],[CUIT]],Lista_CUIT[#All],2,0)),"CUIT NO CARGADO")</f>
        <v>SOLUCIONES MULTIMEDIA SA</v>
      </c>
      <c r="H27" s="249">
        <v>65122.400000000001</v>
      </c>
      <c r="I27" s="688">
        <f>IF(compras_mes6[[#This Row],[NETO GRAVADO]]="","",compras_mes6[[#This Row],[NETO GRAVADO]]*0.21)</f>
        <v>13675.704</v>
      </c>
      <c r="J27" s="250"/>
      <c r="K27" s="250"/>
      <c r="L27" s="250"/>
      <c r="M27" s="250"/>
      <c r="N27" s="250"/>
      <c r="O27" s="250">
        <v>0</v>
      </c>
      <c r="P27" s="251">
        <f>SUM(compras_mes6[[#This Row],[NETO GRAVADO]:[Otros / No Grav.]])</f>
        <v>78798.104000000007</v>
      </c>
      <c r="Q27" s="252" t="str">
        <f>IFERROR(IF(compras_mes6[[#This Row],[CUIT]]="","-",VLOOKUP(compras_mes6[[#This Row],[CUIT]],Lista_CUIT[#All],3,0)),"CUIT NO CARGADO")</f>
        <v>GASTOS ADMINISTRATIVOS</v>
      </c>
      <c r="R27" s="252">
        <f>IFERROR(IF(compras_mes6[[#This Row],[CUIT]]="","-",VLOOKUP(compras_mes6[[#This Row],[CUIT]],Lista_CUIT[#All],4,0)),"CUIT NO CARGADO")</f>
        <v>0</v>
      </c>
    </row>
    <row r="28" spans="2:18">
      <c r="B28" s="243">
        <v>45446</v>
      </c>
      <c r="C28" s="244">
        <v>1</v>
      </c>
      <c r="D28" s="245">
        <v>500</v>
      </c>
      <c r="E28" s="246">
        <v>1571402</v>
      </c>
      <c r="F28" s="247">
        <v>30654118767</v>
      </c>
      <c r="G28" s="248" t="str">
        <f>IFERROR(IF(compras_mes6[[#This Row],[CUIT]]="","-",VLOOKUP(compras_mes6[[#This Row],[CUIT]],Lista_CUIT[#All],2,0)),"CUIT NO CARGADO")</f>
        <v>SOLUCIONES MULTIMEDIA SA</v>
      </c>
      <c r="H28" s="249">
        <v>21578.62</v>
      </c>
      <c r="I28" s="688">
        <f>IF(compras_mes6[[#This Row],[NETO GRAVADO]]="","",compras_mes6[[#This Row],[NETO GRAVADO]]*0.21)</f>
        <v>4531.5101999999997</v>
      </c>
      <c r="J28" s="250"/>
      <c r="K28" s="250"/>
      <c r="L28" s="250"/>
      <c r="M28" s="250"/>
      <c r="N28" s="250"/>
      <c r="O28" s="250">
        <v>0</v>
      </c>
      <c r="P28" s="251">
        <f>SUM(compras_mes6[[#This Row],[NETO GRAVADO]:[Otros / No Grav.]])</f>
        <v>26110.1302</v>
      </c>
      <c r="Q28" s="252" t="str">
        <f>IFERROR(IF(compras_mes6[[#This Row],[CUIT]]="","-",VLOOKUP(compras_mes6[[#This Row],[CUIT]],Lista_CUIT[#All],3,0)),"CUIT NO CARGADO")</f>
        <v>GASTOS ADMINISTRATIVOS</v>
      </c>
      <c r="R28" s="252">
        <f>IFERROR(IF(compras_mes6[[#This Row],[CUIT]]="","-",VLOOKUP(compras_mes6[[#This Row],[CUIT]],Lista_CUIT[#All],4,0)),"CUIT NO CARGADO")</f>
        <v>0</v>
      </c>
    </row>
    <row r="29" spans="2:18">
      <c r="B29" s="258">
        <v>45472</v>
      </c>
      <c r="C29" s="265">
        <v>1</v>
      </c>
      <c r="D29" s="259">
        <v>23</v>
      </c>
      <c r="E29" s="260">
        <v>2549682</v>
      </c>
      <c r="F29" s="261">
        <v>30703088534</v>
      </c>
      <c r="G29" s="262" t="str">
        <f>IFERROR(IF(compras_mes6[[#This Row],[CUIT]]="","-",VLOOKUP(compras_mes6[[#This Row],[CUIT]],Lista_CUIT[#All],2,0)),"CUIT NO CARGADO")</f>
        <v>MERCADO LIBRE SRL</v>
      </c>
      <c r="H29" s="263">
        <v>33205.03</v>
      </c>
      <c r="I29" s="688">
        <f>IF(compras_mes6[[#This Row],[NETO GRAVADO]]="","",compras_mes6[[#This Row],[NETO GRAVADO]]*0.21)</f>
        <v>6973.0562999999993</v>
      </c>
      <c r="J29" s="264"/>
      <c r="K29" s="264"/>
      <c r="L29" s="264"/>
      <c r="M29" s="264"/>
      <c r="N29" s="264"/>
      <c r="O29" s="264">
        <v>0</v>
      </c>
      <c r="P29" s="251">
        <f>SUM(compras_mes6[[#This Row],[NETO GRAVADO]:[Otros / No Grav.]])</f>
        <v>40178.086299999995</v>
      </c>
      <c r="Q29" s="252" t="str">
        <f>IFERROR(IF(compras_mes6[[#This Row],[CUIT]]="","-",VLOOKUP(compras_mes6[[#This Row],[CUIT]],Lista_CUIT[#All],3,0)),"CUIT NO CARGADO")</f>
        <v>GASTOS COMERCIALIZACION</v>
      </c>
      <c r="R29" s="252">
        <f>IFERROR(IF(compras_mes6[[#This Row],[CUIT]]="","-",VLOOKUP(compras_mes6[[#This Row],[CUIT]],Lista_CUIT[#All],4,0)),"CUIT NO CARGADO")</f>
        <v>0</v>
      </c>
    </row>
    <row r="30" spans="2:18">
      <c r="B30" s="243">
        <v>45446</v>
      </c>
      <c r="C30" s="244">
        <v>1</v>
      </c>
      <c r="D30" s="245">
        <v>2</v>
      </c>
      <c r="E30" s="246">
        <v>21645</v>
      </c>
      <c r="F30" s="247">
        <v>30661175997</v>
      </c>
      <c r="G30" s="248" t="str">
        <f>IFERROR(IF(compras_mes6[[#This Row],[CUIT]]="","-",VLOOKUP(compras_mes6[[#This Row],[CUIT]],Lista_CUIT[#All],2,0)),"CUIT NO CARGADO")</f>
        <v>FAST MAIL SRL</v>
      </c>
      <c r="H30" s="249">
        <v>16743.900000000001</v>
      </c>
      <c r="I30" s="688">
        <f>IF(compras_mes6[[#This Row],[NETO GRAVADO]]="","",compras_mes6[[#This Row],[NETO GRAVADO]]*0.21)</f>
        <v>3516.2190000000001</v>
      </c>
      <c r="J30" s="250"/>
      <c r="K30" s="250"/>
      <c r="L30" s="250"/>
      <c r="M30" s="250"/>
      <c r="N30" s="250"/>
      <c r="O30" s="250">
        <v>0</v>
      </c>
      <c r="P30" s="251">
        <f>SUM(compras_mes6[[#This Row],[NETO GRAVADO]:[Otros / No Grav.]])</f>
        <v>20260.119000000002</v>
      </c>
      <c r="Q30" s="252" t="str">
        <f>IFERROR(IF(compras_mes6[[#This Row],[CUIT]]="","-",VLOOKUP(compras_mes6[[#This Row],[CUIT]],Lista_CUIT[#All],3,0)),"CUIT NO CARGADO")</f>
        <v>Gastos Varios</v>
      </c>
      <c r="R30" s="252">
        <f>IFERROR(IF(compras_mes6[[#This Row],[CUIT]]="","-",VLOOKUP(compras_mes6[[#This Row],[CUIT]],Lista_CUIT[#All],4,0)),"CUIT NO CARGADO")</f>
        <v>0</v>
      </c>
    </row>
    <row r="31" spans="2:18">
      <c r="B31" s="243">
        <v>45448</v>
      </c>
      <c r="C31" s="244">
        <v>1</v>
      </c>
      <c r="D31" s="245">
        <v>9</v>
      </c>
      <c r="E31" s="246">
        <v>10323</v>
      </c>
      <c r="F31" s="247">
        <v>30697262063</v>
      </c>
      <c r="G31" s="248" t="str">
        <f>IFERROR(IF(compras_mes6[[#This Row],[CUIT]]="","-",VLOOKUP(compras_mes6[[#This Row],[CUIT]],Lista_CUIT[#All],2,0)),"CUIT NO CARGADO")</f>
        <v>representaciones tecnologicas sa</v>
      </c>
      <c r="H31" s="249">
        <v>37819</v>
      </c>
      <c r="I31" s="688"/>
      <c r="J31" s="250"/>
      <c r="K31" s="250">
        <v>3971</v>
      </c>
      <c r="L31" s="250"/>
      <c r="M31" s="250"/>
      <c r="N31" s="250"/>
      <c r="O31" s="250">
        <v>0</v>
      </c>
      <c r="P31" s="251">
        <f>SUM(compras_mes6[[#This Row],[NETO GRAVADO]:[Otros / No Grav.]])</f>
        <v>41790</v>
      </c>
      <c r="Q31" s="252" t="str">
        <f>IFERROR(IF(compras_mes6[[#This Row],[CUIT]]="","-",VLOOKUP(compras_mes6[[#This Row],[CUIT]],Lista_CUIT[#All],3,0)),"CUIT NO CARGADO")</f>
        <v>Gastos Varios</v>
      </c>
      <c r="R31" s="252">
        <f>IFERROR(IF(compras_mes6[[#This Row],[CUIT]]="","-",VLOOKUP(compras_mes6[[#This Row],[CUIT]],Lista_CUIT[#All],4,0)),"CUIT NO CARGADO")</f>
        <v>0</v>
      </c>
    </row>
    <row r="32" spans="2:18">
      <c r="B32" s="243">
        <v>45451</v>
      </c>
      <c r="C32" s="244">
        <v>1</v>
      </c>
      <c r="D32" s="245">
        <v>2</v>
      </c>
      <c r="E32" s="246">
        <v>1041</v>
      </c>
      <c r="F32" s="247">
        <v>33716589019</v>
      </c>
      <c r="G32" s="248" t="str">
        <f>IFERROR(IF(compras_mes6[[#This Row],[CUIT]]="","-",VLOOKUP(compras_mes6[[#This Row],[CUIT]],Lista_CUIT[#All],2,0)),"CUIT NO CARGADO")</f>
        <v>GSC DELI</v>
      </c>
      <c r="H32" s="249">
        <v>123140.81</v>
      </c>
      <c r="I32" s="688">
        <f>IF(compras_mes6[[#This Row],[NETO GRAVADO]]="","",compras_mes6[[#This Row],[NETO GRAVADO]]*0.21)</f>
        <v>25859.570099999997</v>
      </c>
      <c r="J32" s="250"/>
      <c r="K32" s="250"/>
      <c r="L32" s="250"/>
      <c r="M32" s="250"/>
      <c r="N32" s="250"/>
      <c r="O32" s="250">
        <v>0</v>
      </c>
      <c r="P32" s="251">
        <f>SUM(compras_mes6[[#This Row],[NETO GRAVADO]:[Otros / No Grav.]])</f>
        <v>149000.38010000001</v>
      </c>
      <c r="Q32" s="252" t="str">
        <f>IFERROR(IF(compras_mes6[[#This Row],[CUIT]]="","-",VLOOKUP(compras_mes6[[#This Row],[CUIT]],Lista_CUIT[#All],3,0)),"CUIT NO CARGADO")</f>
        <v>Gastos Varios</v>
      </c>
      <c r="R32" s="252">
        <f>IFERROR(IF(compras_mes6[[#This Row],[CUIT]]="","-",VLOOKUP(compras_mes6[[#This Row],[CUIT]],Lista_CUIT[#All],4,0)),"CUIT NO CARGADO")</f>
        <v>0</v>
      </c>
    </row>
    <row r="33" spans="2:18">
      <c r="B33" s="243">
        <v>45471</v>
      </c>
      <c r="C33" s="244">
        <v>1</v>
      </c>
      <c r="D33" s="245">
        <v>3</v>
      </c>
      <c r="E33" s="246">
        <v>3955</v>
      </c>
      <c r="F33" s="247">
        <v>30711707944</v>
      </c>
      <c r="G33" s="248" t="str">
        <f>IFERROR(IF(compras_mes6[[#This Row],[CUIT]]="","-",VLOOKUP(compras_mes6[[#This Row],[CUIT]],Lista_CUIT[#All],2,0)),"CUIT NO CARGADO")</f>
        <v>DE CAI S.R.L.</v>
      </c>
      <c r="H33" s="249">
        <v>11570.24</v>
      </c>
      <c r="I33" s="688">
        <f>IF(compras_mes6[[#This Row],[NETO GRAVADO]]="","",compras_mes6[[#This Row],[NETO GRAVADO]]*0.21)</f>
        <v>2429.7503999999999</v>
      </c>
      <c r="J33" s="250"/>
      <c r="K33" s="250"/>
      <c r="L33" s="250"/>
      <c r="M33" s="250"/>
      <c r="N33" s="250"/>
      <c r="O33" s="250">
        <v>0</v>
      </c>
      <c r="P33" s="251">
        <f>SUM(compras_mes6[[#This Row],[NETO GRAVADO]:[Otros / No Grav.]])</f>
        <v>13999.990399999999</v>
      </c>
      <c r="Q33" s="252" t="str">
        <f>IFERROR(IF(compras_mes6[[#This Row],[CUIT]]="","-",VLOOKUP(compras_mes6[[#This Row],[CUIT]],Lista_CUIT[#All],3,0)),"CUIT NO CARGADO")</f>
        <v>Gastos Varios</v>
      </c>
      <c r="R33" s="252">
        <f>IFERROR(IF(compras_mes6[[#This Row],[CUIT]]="","-",VLOOKUP(compras_mes6[[#This Row],[CUIT]],Lista_CUIT[#All],4,0)),"CUIT NO CARGADO")</f>
        <v>0</v>
      </c>
    </row>
    <row r="34" spans="2:18">
      <c r="B34" s="651">
        <v>45455</v>
      </c>
      <c r="C34" s="652">
        <v>1</v>
      </c>
      <c r="D34" s="638">
        <v>4</v>
      </c>
      <c r="E34" s="639">
        <v>138</v>
      </c>
      <c r="F34" s="640">
        <v>27942499154</v>
      </c>
      <c r="G34" s="653" t="str">
        <f>IFERROR(IF(compras_mes6[[#This Row],[CUIT]]="","-",VLOOKUP(compras_mes6[[#This Row],[CUIT]],Lista_CUIT[#All],2,0)),"CUIT NO CARGADO")</f>
        <v>GASCO CONDE SILVIA MONICA</v>
      </c>
      <c r="H34" s="654">
        <v>16528.900000000001</v>
      </c>
      <c r="I34" s="655">
        <f>IF(compras_mes6[[#This Row],[NETO GRAVADO]]="","",compras_mes6[[#This Row],[NETO GRAVADO]]*0.21)</f>
        <v>3471.069</v>
      </c>
      <c r="J34" s="655"/>
      <c r="K34" s="655"/>
      <c r="L34" s="655"/>
      <c r="M34" s="655"/>
      <c r="N34" s="655"/>
      <c r="O34" s="655"/>
      <c r="P34" s="656">
        <f>SUM(compras_mes6[[#This Row],[NETO GRAVADO]:[Otros / No Grav.]])</f>
        <v>19999.969000000001</v>
      </c>
      <c r="Q34" s="657" t="str">
        <f>IFERROR(IF(compras_mes6[[#This Row],[CUIT]]="","-",VLOOKUP(compras_mes6[[#This Row],[CUIT]],Lista_CUIT[#All],3,0)),"CUIT NO CARGADO")</f>
        <v>Gastos Varios</v>
      </c>
      <c r="R34" s="657">
        <f>IFERROR(IF(compras_mes6[[#This Row],[CUIT]]="","-",VLOOKUP(compras_mes6[[#This Row],[CUIT]],Lista_CUIT[#All],4,0)),"CUIT NO CARGADO")</f>
        <v>0</v>
      </c>
    </row>
    <row r="35" spans="2:18">
      <c r="B35" s="243">
        <v>45448</v>
      </c>
      <c r="C35" s="244">
        <v>1</v>
      </c>
      <c r="D35" s="245">
        <v>2189</v>
      </c>
      <c r="E35" s="246">
        <v>71359</v>
      </c>
      <c r="F35" s="247">
        <v>30548083156</v>
      </c>
      <c r="G35" s="248" t="str">
        <f>IFERROR(IF(compras_mes6[[#This Row],[CUIT]]="","-",VLOOKUP(compras_mes6[[#This Row],[CUIT]],Lista_CUIT[#All],2,0)),"CUIT NO CARGADO")</f>
        <v>COTO CICSA</v>
      </c>
      <c r="H35" s="249">
        <v>6162.11</v>
      </c>
      <c r="I35" s="688">
        <f>IF(compras_mes6[[#This Row],[NETO GRAVADO]]="","",compras_mes6[[#This Row],[NETO GRAVADO]]*0.21)</f>
        <v>1294.0430999999999</v>
      </c>
      <c r="J35" s="250"/>
      <c r="K35" s="250"/>
      <c r="L35" s="250"/>
      <c r="M35" s="250"/>
      <c r="N35" s="250"/>
      <c r="O35" s="250">
        <v>0</v>
      </c>
      <c r="P35" s="251">
        <f>SUM(compras_mes6[[#This Row],[NETO GRAVADO]:[Otros / No Grav.]])</f>
        <v>7456.1530999999995</v>
      </c>
      <c r="Q35" s="252" t="str">
        <f>IFERROR(IF(compras_mes6[[#This Row],[CUIT]]="","-",VLOOKUP(compras_mes6[[#This Row],[CUIT]],Lista_CUIT[#All],3,0)),"CUIT NO CARGADO")</f>
        <v>Gastos Varios</v>
      </c>
      <c r="R35" s="252">
        <f>IFERROR(IF(compras_mes6[[#This Row],[CUIT]]="","-",VLOOKUP(compras_mes6[[#This Row],[CUIT]],Lista_CUIT[#All],4,0)),"CUIT NO CARGADO")</f>
        <v>0</v>
      </c>
    </row>
    <row r="36" spans="2:18">
      <c r="B36" s="243">
        <v>45448</v>
      </c>
      <c r="C36" s="244">
        <v>1</v>
      </c>
      <c r="D36" s="245">
        <v>4</v>
      </c>
      <c r="E36" s="246">
        <v>876607</v>
      </c>
      <c r="F36" s="247">
        <v>30716620634</v>
      </c>
      <c r="G36" s="248" t="str">
        <f>IFERROR(IF(compras_mes6[[#This Row],[CUIT]]="","-",VLOOKUP(compras_mes6[[#This Row],[CUIT]],Lista_CUIT[#All],2,0)),"CUIT NO CARGADO")</f>
        <v>FIRST LABEL S.R.L.</v>
      </c>
      <c r="H36" s="249">
        <v>44461.98</v>
      </c>
      <c r="I36" s="688">
        <f>IF(compras_mes6[[#This Row],[NETO GRAVADO]]="","",compras_mes6[[#This Row],[NETO GRAVADO]]*0.21)</f>
        <v>9337.015800000001</v>
      </c>
      <c r="J36" s="250"/>
      <c r="K36" s="250"/>
      <c r="L36" s="250"/>
      <c r="M36" s="250"/>
      <c r="N36" s="250"/>
      <c r="O36" s="250">
        <v>0</v>
      </c>
      <c r="P36" s="251">
        <f>SUM(compras_mes6[[#This Row],[NETO GRAVADO]:[Otros / No Grav.]])</f>
        <v>53798.995800000004</v>
      </c>
      <c r="Q36" s="252" t="str">
        <f>IFERROR(IF(compras_mes6[[#This Row],[CUIT]]="","-",VLOOKUP(compras_mes6[[#This Row],[CUIT]],Lista_CUIT[#All],3,0)),"CUIT NO CARGADO")</f>
        <v>Gastos Varios</v>
      </c>
      <c r="R36" s="252">
        <f>IFERROR(IF(compras_mes6[[#This Row],[CUIT]]="","-",VLOOKUP(compras_mes6[[#This Row],[CUIT]],Lista_CUIT[#All],4,0)),"CUIT NO CARGADO")</f>
        <v>0</v>
      </c>
    </row>
    <row r="37" spans="2:18">
      <c r="B37" s="243">
        <v>45454</v>
      </c>
      <c r="C37" s="244">
        <v>1</v>
      </c>
      <c r="D37" s="245">
        <v>7</v>
      </c>
      <c r="E37" s="246">
        <v>3015</v>
      </c>
      <c r="F37" s="247">
        <v>20284183534</v>
      </c>
      <c r="G37" s="248" t="str">
        <f>IFERROR(IF(compras_mes6[[#This Row],[CUIT]]="","-",VLOOKUP(compras_mes6[[#This Row],[CUIT]],Lista_CUIT[#All],2,0)),"CUIT NO CARGADO")</f>
        <v>FURLANETTO MARTIN</v>
      </c>
      <c r="H37" s="249">
        <v>1611.57</v>
      </c>
      <c r="I37" s="688">
        <f>IF(compras_mes6[[#This Row],[NETO GRAVADO]]="","",compras_mes6[[#This Row],[NETO GRAVADO]]*0.21)</f>
        <v>338.42969999999997</v>
      </c>
      <c r="J37" s="250"/>
      <c r="K37" s="250"/>
      <c r="L37" s="250"/>
      <c r="M37" s="250"/>
      <c r="N37" s="250"/>
      <c r="O37" s="250">
        <v>0</v>
      </c>
      <c r="P37" s="251">
        <f>SUM(compras_mes6[[#This Row],[NETO GRAVADO]:[Otros / No Grav.]])</f>
        <v>1949.9996999999998</v>
      </c>
      <c r="Q37" s="252" t="str">
        <f>IFERROR(IF(compras_mes6[[#This Row],[CUIT]]="","-",VLOOKUP(compras_mes6[[#This Row],[CUIT]],Lista_CUIT[#All],3,0)),"CUIT NO CARGADO")</f>
        <v>gastos varios</v>
      </c>
      <c r="R37" s="252">
        <f>IFERROR(IF(compras_mes6[[#This Row],[CUIT]]="","-",VLOOKUP(compras_mes6[[#This Row],[CUIT]],Lista_CUIT[#All],4,0)),"CUIT NO CARGADO")</f>
        <v>0</v>
      </c>
    </row>
    <row r="38" spans="2:18">
      <c r="B38" s="243">
        <v>45455</v>
      </c>
      <c r="C38" s="244">
        <v>1</v>
      </c>
      <c r="D38" s="245">
        <v>7</v>
      </c>
      <c r="E38" s="246">
        <v>3023</v>
      </c>
      <c r="F38" s="247">
        <v>20284183534</v>
      </c>
      <c r="G38" s="248" t="str">
        <f>IFERROR(IF(compras_mes6[[#This Row],[CUIT]]="","-",VLOOKUP(compras_mes6[[#This Row],[CUIT]],Lista_CUIT[#All],2,0)),"CUIT NO CARGADO")</f>
        <v>FURLANETTO MARTIN</v>
      </c>
      <c r="H38" s="249">
        <v>3520.65</v>
      </c>
      <c r="I38" s="688">
        <f>IF(compras_mes6[[#This Row],[NETO GRAVADO]]="","",compras_mes6[[#This Row],[NETO GRAVADO]]*0.21)</f>
        <v>739.3365</v>
      </c>
      <c r="J38" s="250"/>
      <c r="K38" s="250"/>
      <c r="L38" s="250"/>
      <c r="M38" s="250"/>
      <c r="N38" s="250"/>
      <c r="O38" s="250">
        <v>0</v>
      </c>
      <c r="P38" s="251">
        <f>SUM(compras_mes6[[#This Row],[NETO GRAVADO]:[Otros / No Grav.]])</f>
        <v>4259.9865</v>
      </c>
      <c r="Q38" s="252" t="str">
        <f>IFERROR(IF(compras_mes6[[#This Row],[CUIT]]="","-",VLOOKUP(compras_mes6[[#This Row],[CUIT]],Lista_CUIT[#All],3,0)),"CUIT NO CARGADO")</f>
        <v>gastos varios</v>
      </c>
      <c r="R38" s="252">
        <f>IFERROR(IF(compras_mes6[[#This Row],[CUIT]]="","-",VLOOKUP(compras_mes6[[#This Row],[CUIT]],Lista_CUIT[#All],4,0)),"CUIT NO CARGADO")</f>
        <v>0</v>
      </c>
    </row>
    <row r="39" spans="2:18">
      <c r="B39" s="258">
        <v>45455</v>
      </c>
      <c r="C39" s="160">
        <v>1</v>
      </c>
      <c r="D39" s="259">
        <v>11</v>
      </c>
      <c r="E39" s="260">
        <v>1150</v>
      </c>
      <c r="F39" s="261">
        <v>30710374801</v>
      </c>
      <c r="G39" s="262" t="str">
        <f>IFERROR(IF(compras_mes6[[#This Row],[CUIT]]="","-",VLOOKUP(compras_mes6[[#This Row],[CUIT]],Lista_CUIT[#All],2,0)),"CUIT NO CARGADO")</f>
        <v>DISTRIBUIDORA LARREA SA</v>
      </c>
      <c r="H39" s="263">
        <v>38778.51</v>
      </c>
      <c r="I39" s="688">
        <f>IF(compras_mes6[[#This Row],[NETO GRAVADO]]="","",compras_mes6[[#This Row],[NETO GRAVADO]]*0.21)</f>
        <v>8143.4871000000003</v>
      </c>
      <c r="J39" s="264"/>
      <c r="K39" s="264"/>
      <c r="L39" s="264"/>
      <c r="M39" s="264"/>
      <c r="N39" s="264"/>
      <c r="O39" s="264">
        <v>0</v>
      </c>
      <c r="P39" s="251">
        <f>SUM(compras_mes6[[#This Row],[NETO GRAVADO]:[Otros / No Grav.]])</f>
        <v>46921.997100000001</v>
      </c>
      <c r="Q39" s="252" t="str">
        <f>IFERROR(IF(compras_mes6[[#This Row],[CUIT]]="","-",VLOOKUP(compras_mes6[[#This Row],[CUIT]],Lista_CUIT[#All],3,0)),"CUIT NO CARGADO")</f>
        <v>gastos varios</v>
      </c>
      <c r="R39" s="252">
        <f>IFERROR(IF(compras_mes6[[#This Row],[CUIT]]="","-",VLOOKUP(compras_mes6[[#This Row],[CUIT]],Lista_CUIT[#All],4,0)),"CUIT NO CARGADO")</f>
        <v>0</v>
      </c>
    </row>
    <row r="40" spans="2:18">
      <c r="B40" s="243">
        <v>45455</v>
      </c>
      <c r="C40" s="244">
        <v>1</v>
      </c>
      <c r="D40" s="245">
        <v>98</v>
      </c>
      <c r="E40" s="246">
        <v>3344</v>
      </c>
      <c r="F40" s="247">
        <v>30709300705</v>
      </c>
      <c r="G40" s="248" t="str">
        <f>IFERROR(IF(compras_mes6[[#This Row],[CUIT]]="","-",VLOOKUP(compras_mes6[[#This Row],[CUIT]],Lista_CUIT[#All],2,0)),"CUIT NO CARGADO")</f>
        <v>ATECUB S.A.</v>
      </c>
      <c r="H40" s="249">
        <v>126698.43</v>
      </c>
      <c r="I40" s="688">
        <f>IF(compras_mes6[[#This Row],[NETO GRAVADO]]="","",compras_mes6[[#This Row],[NETO GRAVADO]]*0.21)</f>
        <v>26606.670299999998</v>
      </c>
      <c r="J40" s="250"/>
      <c r="K40" s="250"/>
      <c r="L40" s="250"/>
      <c r="M40" s="250"/>
      <c r="N40" s="250"/>
      <c r="O40" s="250">
        <v>0</v>
      </c>
      <c r="P40" s="251">
        <f>SUM(compras_mes6[[#This Row],[NETO GRAVADO]:[Otros / No Grav.]])</f>
        <v>153305.10029999999</v>
      </c>
      <c r="Q40" s="252" t="str">
        <f>IFERROR(IF(compras_mes6[[#This Row],[CUIT]]="","-",VLOOKUP(compras_mes6[[#This Row],[CUIT]],Lista_CUIT[#All],3,0)),"CUIT NO CARGADO")</f>
        <v>Gastos Varios</v>
      </c>
      <c r="R40" s="252">
        <f>IFERROR(IF(compras_mes6[[#This Row],[CUIT]]="","-",VLOOKUP(compras_mes6[[#This Row],[CUIT]],Lista_CUIT[#All],4,0)),"CUIT NO CARGADO")</f>
        <v>0</v>
      </c>
    </row>
    <row r="41" spans="2:18">
      <c r="B41" s="243">
        <v>45458</v>
      </c>
      <c r="C41" s="244">
        <v>1</v>
      </c>
      <c r="D41" s="245">
        <v>113</v>
      </c>
      <c r="E41" s="246">
        <v>3646237</v>
      </c>
      <c r="F41" s="247">
        <v>30577207190</v>
      </c>
      <c r="G41" s="248" t="str">
        <f>IFERROR(IF(compras_mes6[[#This Row],[CUIT]]="","-",VLOOKUP(compras_mes6[[#This Row],[CUIT]],Lista_CUIT[#All],2,0)),"CUIT NO CARGADO")</f>
        <v>COORDINACION ECOLOGICA AREA METROPOLITANA SOCIEDAD DEL ESTADO</v>
      </c>
      <c r="H41" s="249">
        <v>826.45</v>
      </c>
      <c r="I41" s="688">
        <f>IF(compras_mes6[[#This Row],[NETO GRAVADO]]="","",compras_mes6[[#This Row],[NETO GRAVADO]]*0.21)</f>
        <v>173.55449999999999</v>
      </c>
      <c r="J41" s="250"/>
      <c r="K41" s="250"/>
      <c r="L41" s="250"/>
      <c r="M41" s="250"/>
      <c r="N41" s="250"/>
      <c r="O41" s="250">
        <v>0</v>
      </c>
      <c r="P41" s="251">
        <f>SUM(compras_mes6[[#This Row],[NETO GRAVADO]:[Otros / No Grav.]])</f>
        <v>1000.0045</v>
      </c>
      <c r="Q41" s="252" t="str">
        <f>IFERROR(IF(compras_mes6[[#This Row],[CUIT]]="","-",VLOOKUP(compras_mes6[[#This Row],[CUIT]],Lista_CUIT[#All],3,0)),"CUIT NO CARGADO")</f>
        <v>gastos varios</v>
      </c>
      <c r="R41" s="252">
        <f>IFERROR(IF(compras_mes6[[#This Row],[CUIT]]="","-",VLOOKUP(compras_mes6[[#This Row],[CUIT]],Lista_CUIT[#All],4,0)),"CUIT NO CARGADO")</f>
        <v>0</v>
      </c>
    </row>
    <row r="42" spans="2:18">
      <c r="B42" s="258">
        <v>45462</v>
      </c>
      <c r="C42" s="160">
        <v>1</v>
      </c>
      <c r="D42" s="259">
        <v>5</v>
      </c>
      <c r="E42" s="260">
        <v>29</v>
      </c>
      <c r="F42" s="261">
        <v>20929183143</v>
      </c>
      <c r="G42" s="262" t="str">
        <f>IFERROR(IF(compras_mes6[[#This Row],[CUIT]]="","-",VLOOKUP(compras_mes6[[#This Row],[CUIT]],Lista_CUIT[#All],2,0)),"CUIT NO CARGADO")</f>
        <v>MA JUN</v>
      </c>
      <c r="H42" s="263">
        <v>40000</v>
      </c>
      <c r="I42" s="688">
        <f>IF(compras_mes6[[#This Row],[NETO GRAVADO]]="","",compras_mes6[[#This Row],[NETO GRAVADO]]*0.21)</f>
        <v>8400</v>
      </c>
      <c r="J42" s="264"/>
      <c r="K42" s="264"/>
      <c r="L42" s="264"/>
      <c r="M42" s="264"/>
      <c r="N42" s="264"/>
      <c r="O42" s="264">
        <v>0</v>
      </c>
      <c r="P42" s="251">
        <f>SUM(compras_mes6[[#This Row],[NETO GRAVADO]:[Otros / No Grav.]])</f>
        <v>48400</v>
      </c>
      <c r="Q42" s="252" t="str">
        <f>IFERROR(IF(compras_mes6[[#This Row],[CUIT]]="","-",VLOOKUP(compras_mes6[[#This Row],[CUIT]],Lista_CUIT[#All],3,0)),"CUIT NO CARGADO")</f>
        <v>Gastos Varios</v>
      </c>
      <c r="R42" s="252">
        <f>IFERROR(IF(compras_mes6[[#This Row],[CUIT]]="","-",VLOOKUP(compras_mes6[[#This Row],[CUIT]],Lista_CUIT[#All],4,0)),"CUIT NO CARGADO")</f>
        <v>0</v>
      </c>
    </row>
    <row r="43" spans="2:18">
      <c r="B43" s="243">
        <v>45462</v>
      </c>
      <c r="C43" s="244">
        <v>1</v>
      </c>
      <c r="D43" s="245">
        <v>120</v>
      </c>
      <c r="E43" s="246">
        <v>4557</v>
      </c>
      <c r="F43" s="247">
        <v>30587197215</v>
      </c>
      <c r="G43" s="248" t="str">
        <f>IFERROR(IF(compras_mes6[[#This Row],[CUIT]]="","-",VLOOKUP(compras_mes6[[#This Row],[CUIT]],Lista_CUIT[#All],2,0)),"CUIT NO CARGADO")</f>
        <v>PANATEL SOCIEDAD ANONIMA</v>
      </c>
      <c r="H43" s="249">
        <v>64462.81</v>
      </c>
      <c r="I43" s="688">
        <f>IF(compras_mes6[[#This Row],[NETO GRAVADO]]="","",compras_mes6[[#This Row],[NETO GRAVADO]]*0.21)</f>
        <v>13537.1901</v>
      </c>
      <c r="J43" s="250"/>
      <c r="K43" s="250"/>
      <c r="L43" s="250"/>
      <c r="M43" s="250"/>
      <c r="N43" s="250"/>
      <c r="O43" s="250">
        <v>0</v>
      </c>
      <c r="P43" s="251">
        <f>SUM(compras_mes6[[#This Row],[NETO GRAVADO]:[Otros / No Grav.]])</f>
        <v>78000.000100000005</v>
      </c>
      <c r="Q43" s="252" t="str">
        <f>IFERROR(IF(compras_mes6[[#This Row],[CUIT]]="","-",VLOOKUP(compras_mes6[[#This Row],[CUIT]],Lista_CUIT[#All],3,0)),"CUIT NO CARGADO")</f>
        <v>Gastos Varios</v>
      </c>
      <c r="R43" s="252">
        <f>IFERROR(IF(compras_mes6[[#This Row],[CUIT]]="","-",VLOOKUP(compras_mes6[[#This Row],[CUIT]],Lista_CUIT[#All],4,0)),"CUIT NO CARGADO")</f>
        <v>0</v>
      </c>
    </row>
    <row r="44" spans="2:18">
      <c r="B44" s="258">
        <v>45462</v>
      </c>
      <c r="C44" s="160">
        <v>1</v>
      </c>
      <c r="D44" s="259">
        <v>5</v>
      </c>
      <c r="E44" s="260">
        <v>35309</v>
      </c>
      <c r="F44" s="261">
        <v>30711549206</v>
      </c>
      <c r="G44" s="262" t="str">
        <f>IFERROR(IF(compras_mes6[[#This Row],[CUIT]]="","-",VLOOKUP(compras_mes6[[#This Row],[CUIT]],Lista_CUIT[#All],2,0)),"CUIT NO CARGADO")</f>
        <v>DDV SRL</v>
      </c>
      <c r="H44" s="263">
        <v>15557.49</v>
      </c>
      <c r="I44" s="688">
        <f>IF(compras_mes6[[#This Row],[NETO GRAVADO]]="","",compras_mes6[[#This Row],[NETO GRAVADO]]*0.21)</f>
        <v>3267.0728999999997</v>
      </c>
      <c r="J44" s="264"/>
      <c r="K44" s="264"/>
      <c r="L44" s="264"/>
      <c r="M44" s="264"/>
      <c r="N44" s="264"/>
      <c r="O44" s="264">
        <v>2564.9899999999998</v>
      </c>
      <c r="P44" s="251">
        <f>SUM(compras_mes6[[#This Row],[NETO GRAVADO]:[Otros / No Grav.]])</f>
        <v>21389.552900000002</v>
      </c>
      <c r="Q44" s="252" t="str">
        <f>IFERROR(IF(compras_mes6[[#This Row],[CUIT]]="","-",VLOOKUP(compras_mes6[[#This Row],[CUIT]],Lista_CUIT[#All],3,0)),"CUIT NO CARGADO")</f>
        <v>Gastos Varios</v>
      </c>
      <c r="R44" s="252">
        <f>IFERROR(IF(compras_mes6[[#This Row],[CUIT]]="","-",VLOOKUP(compras_mes6[[#This Row],[CUIT]],Lista_CUIT[#All],4,0)),"CUIT NO CARGADO")</f>
        <v>0</v>
      </c>
    </row>
    <row r="45" spans="2:18">
      <c r="B45" s="243">
        <v>45467</v>
      </c>
      <c r="C45" s="244">
        <v>1</v>
      </c>
      <c r="D45" s="245">
        <v>3</v>
      </c>
      <c r="E45" s="246">
        <v>7266</v>
      </c>
      <c r="F45" s="247">
        <v>33708218699</v>
      </c>
      <c r="G45" s="248" t="str">
        <f>IFERROR(IF(compras_mes6[[#This Row],[CUIT]]="","-",VLOOKUP(compras_mes6[[#This Row],[CUIT]],Lista_CUIT[#All],2,0)),"CUIT NO CARGADO")</f>
        <v>MANGGINI PABLO Y MANGGINI ULISES SOC. DE HECHO.</v>
      </c>
      <c r="H45" s="249">
        <v>9500</v>
      </c>
      <c r="I45" s="688">
        <f>IF(compras_mes6[[#This Row],[NETO GRAVADO]]="","",compras_mes6[[#This Row],[NETO GRAVADO]]*0.21)</f>
        <v>1995</v>
      </c>
      <c r="J45" s="250"/>
      <c r="K45" s="250"/>
      <c r="L45" s="250"/>
      <c r="M45" s="250"/>
      <c r="N45" s="250"/>
      <c r="O45" s="250">
        <v>0</v>
      </c>
      <c r="P45" s="251">
        <f>SUM(compras_mes6[[#This Row],[NETO GRAVADO]:[Otros / No Grav.]])</f>
        <v>11495</v>
      </c>
      <c r="Q45" s="252" t="str">
        <f>IFERROR(IF(compras_mes6[[#This Row],[CUIT]]="","-",VLOOKUP(compras_mes6[[#This Row],[CUIT]],Lista_CUIT[#All],3,0)),"CUIT NO CARGADO")</f>
        <v>Gastos Varios</v>
      </c>
      <c r="R45" s="252">
        <f>IFERROR(IF(compras_mes6[[#This Row],[CUIT]]="","-",VLOOKUP(compras_mes6[[#This Row],[CUIT]],Lista_CUIT[#All],4,0)),"CUIT NO CARGADO")</f>
        <v>0</v>
      </c>
    </row>
    <row r="46" spans="2:18">
      <c r="B46" s="243">
        <v>45471</v>
      </c>
      <c r="C46" s="244">
        <v>1</v>
      </c>
      <c r="D46" s="245">
        <v>6</v>
      </c>
      <c r="E46" s="246">
        <v>13454</v>
      </c>
      <c r="F46" s="247">
        <v>27929147893</v>
      </c>
      <c r="G46" s="248" t="str">
        <f>IFERROR(IF(compras_mes6[[#This Row],[CUIT]]="","-",VLOOKUP(compras_mes6[[#This Row],[CUIT]],Lista_CUIT[#All],2,0)),"CUIT NO CARGADO")</f>
        <v>CAMEJO GRACIELA</v>
      </c>
      <c r="H46" s="249">
        <v>42561.98</v>
      </c>
      <c r="I46" s="688">
        <f>IF(compras_mes6[[#This Row],[NETO GRAVADO]]="","",compras_mes6[[#This Row],[NETO GRAVADO]]*0.21)</f>
        <v>8938.015800000001</v>
      </c>
      <c r="J46" s="250"/>
      <c r="K46" s="250"/>
      <c r="L46" s="250"/>
      <c r="M46" s="250"/>
      <c r="N46" s="250"/>
      <c r="O46" s="250">
        <v>0</v>
      </c>
      <c r="P46" s="251">
        <f>SUM(compras_mes6[[#This Row],[NETO GRAVADO]:[Otros / No Grav.]])</f>
        <v>51499.995800000004</v>
      </c>
      <c r="Q46" s="252" t="str">
        <f>IFERROR(IF(compras_mes6[[#This Row],[CUIT]]="","-",VLOOKUP(compras_mes6[[#This Row],[CUIT]],Lista_CUIT[#All],3,0)),"CUIT NO CARGADO")</f>
        <v>Gastos Varios</v>
      </c>
      <c r="R46" s="252">
        <f>IFERROR(IF(compras_mes6[[#This Row],[CUIT]]="","-",VLOOKUP(compras_mes6[[#This Row],[CUIT]],Lista_CUIT[#All],4,0)),"CUIT NO CARGADO")</f>
        <v>0</v>
      </c>
    </row>
    <row r="47" spans="2:18">
      <c r="B47" s="243">
        <v>45471</v>
      </c>
      <c r="C47" s="244">
        <v>1</v>
      </c>
      <c r="D47" s="245">
        <v>6</v>
      </c>
      <c r="E47" s="246">
        <v>13455</v>
      </c>
      <c r="F47" s="247">
        <v>27929147893</v>
      </c>
      <c r="G47" s="248" t="str">
        <f>IFERROR(IF(compras_mes6[[#This Row],[CUIT]]="","-",VLOOKUP(compras_mes6[[#This Row],[CUIT]],Lista_CUIT[#All],2,0)),"CUIT NO CARGADO")</f>
        <v>CAMEJO GRACIELA</v>
      </c>
      <c r="H47" s="249">
        <v>6611.57</v>
      </c>
      <c r="I47" s="688">
        <f>IF(compras_mes6[[#This Row],[NETO GRAVADO]]="","",compras_mes6[[#This Row],[NETO GRAVADO]]*0.21)</f>
        <v>1388.4296999999999</v>
      </c>
      <c r="J47" s="250"/>
      <c r="K47" s="250"/>
      <c r="L47" s="250"/>
      <c r="M47" s="250"/>
      <c r="N47" s="250"/>
      <c r="O47" s="250">
        <v>0</v>
      </c>
      <c r="P47" s="251">
        <f>SUM(compras_mes6[[#This Row],[NETO GRAVADO]:[Otros / No Grav.]])</f>
        <v>7999.9996999999994</v>
      </c>
      <c r="Q47" s="252" t="str">
        <f>IFERROR(IF(compras_mes6[[#This Row],[CUIT]]="","-",VLOOKUP(compras_mes6[[#This Row],[CUIT]],Lista_CUIT[#All],3,0)),"CUIT NO CARGADO")</f>
        <v>Gastos Varios</v>
      </c>
      <c r="R47" s="252">
        <f>IFERROR(IF(compras_mes6[[#This Row],[CUIT]]="","-",VLOOKUP(compras_mes6[[#This Row],[CUIT]],Lista_CUIT[#All],4,0)),"CUIT NO CARGADO")</f>
        <v>0</v>
      </c>
    </row>
    <row r="48" spans="2:18">
      <c r="B48" s="243">
        <v>45472</v>
      </c>
      <c r="C48" s="244">
        <v>1</v>
      </c>
      <c r="D48" s="245">
        <v>2061</v>
      </c>
      <c r="E48" s="246">
        <v>28540</v>
      </c>
      <c r="F48" s="247">
        <v>30548083156</v>
      </c>
      <c r="G48" s="248" t="str">
        <f>IFERROR(IF(compras_mes6[[#This Row],[CUIT]]="","-",VLOOKUP(compras_mes6[[#This Row],[CUIT]],Lista_CUIT[#All],2,0)),"CUIT NO CARGADO")</f>
        <v>COTO CICSA</v>
      </c>
      <c r="H48" s="249">
        <v>42140.34</v>
      </c>
      <c r="I48" s="688">
        <f>IF(compras_mes6[[#This Row],[NETO GRAVADO]]="","",compras_mes6[[#This Row],[NETO GRAVADO]]*0.21)</f>
        <v>8849.4713999999985</v>
      </c>
      <c r="J48" s="250"/>
      <c r="K48" s="250"/>
      <c r="L48" s="250"/>
      <c r="M48" s="250"/>
      <c r="N48" s="250"/>
      <c r="O48" s="250">
        <v>0</v>
      </c>
      <c r="P48" s="251">
        <f>SUM(compras_mes6[[#This Row],[NETO GRAVADO]:[Otros / No Grav.]])</f>
        <v>50989.811399999991</v>
      </c>
      <c r="Q48" s="252" t="str">
        <f>IFERROR(IF(compras_mes6[[#This Row],[CUIT]]="","-",VLOOKUP(compras_mes6[[#This Row],[CUIT]],Lista_CUIT[#All],3,0)),"CUIT NO CARGADO")</f>
        <v>Gastos Varios</v>
      </c>
      <c r="R48" s="252">
        <f>IFERROR(IF(compras_mes6[[#This Row],[CUIT]]="","-",VLOOKUP(compras_mes6[[#This Row],[CUIT]],Lista_CUIT[#All],4,0)),"CUIT NO CARGADO")</f>
        <v>0</v>
      </c>
    </row>
    <row r="49" spans="2:18">
      <c r="B49" s="258">
        <v>45473</v>
      </c>
      <c r="C49" s="160">
        <v>1</v>
      </c>
      <c r="D49" s="259">
        <v>6</v>
      </c>
      <c r="E49" s="260">
        <v>16833809</v>
      </c>
      <c r="F49" s="261">
        <v>30620177497</v>
      </c>
      <c r="G49" s="262" t="str">
        <f>IFERROR(IF(compras_mes6[[#This Row],[CUIT]]="","-",VLOOKUP(compras_mes6[[#This Row],[CUIT]],Lista_CUIT[#All],2,0)),"CUIT NO CARGADO")</f>
        <v>POSNET SOCIEDAD DE RESPONSABILIDAD LIMITADA</v>
      </c>
      <c r="H49" s="263">
        <v>23082.01</v>
      </c>
      <c r="I49" s="688">
        <f>IF(compras_mes6[[#This Row],[NETO GRAVADO]]="","",compras_mes6[[#This Row],[NETO GRAVADO]]*0.21)</f>
        <v>4847.222099999999</v>
      </c>
      <c r="J49" s="264"/>
      <c r="K49" s="264"/>
      <c r="L49" s="264"/>
      <c r="M49" s="264"/>
      <c r="N49" s="264"/>
      <c r="O49" s="264">
        <v>0</v>
      </c>
      <c r="P49" s="251">
        <f>SUM(compras_mes6[[#This Row],[NETO GRAVADO]:[Otros / No Grav.]])</f>
        <v>27929.232099999997</v>
      </c>
      <c r="Q49" s="252" t="str">
        <f>IFERROR(IF(compras_mes6[[#This Row],[CUIT]]="","-",VLOOKUP(compras_mes6[[#This Row],[CUIT]],Lista_CUIT[#All],3,0)),"CUIT NO CARGADO")</f>
        <v>Gastos Varios</v>
      </c>
      <c r="R49" s="252">
        <f>IFERROR(IF(compras_mes6[[#This Row],[CUIT]]="","-",VLOOKUP(compras_mes6[[#This Row],[CUIT]],Lista_CUIT[#All],4,0)),"CUIT NO CARGADO")</f>
        <v>0</v>
      </c>
    </row>
    <row r="50" spans="2:18">
      <c r="B50" s="258">
        <v>45473</v>
      </c>
      <c r="C50" s="160">
        <v>1</v>
      </c>
      <c r="D50" s="259">
        <v>2189</v>
      </c>
      <c r="E50" s="260">
        <v>72634</v>
      </c>
      <c r="F50" s="261">
        <v>30548083156</v>
      </c>
      <c r="G50" s="262" t="str">
        <f>IFERROR(IF(compras_mes6[[#This Row],[CUIT]]="","-",VLOOKUP(compras_mes6[[#This Row],[CUIT]],Lista_CUIT[#All],2,0)),"CUIT NO CARGADO")</f>
        <v>COTO CICSA</v>
      </c>
      <c r="H50" s="263">
        <v>5411.78</v>
      </c>
      <c r="I50" s="688">
        <f>IF(compras_mes6[[#This Row],[NETO GRAVADO]]="","",compras_mes6[[#This Row],[NETO GRAVADO]]*0.21)</f>
        <v>1136.4738</v>
      </c>
      <c r="J50" s="264"/>
      <c r="K50" s="264"/>
      <c r="L50" s="264"/>
      <c r="M50" s="264"/>
      <c r="N50" s="264"/>
      <c r="O50" s="264">
        <v>0</v>
      </c>
      <c r="P50" s="251">
        <f>SUM(compras_mes6[[#This Row],[NETO GRAVADO]:[Otros / No Grav.]])</f>
        <v>6548.2537999999995</v>
      </c>
      <c r="Q50" s="252" t="str">
        <f>IFERROR(IF(compras_mes6[[#This Row],[CUIT]]="","-",VLOOKUP(compras_mes6[[#This Row],[CUIT]],Lista_CUIT[#All],3,0)),"CUIT NO CARGADO")</f>
        <v>Gastos Varios</v>
      </c>
      <c r="R50" s="252">
        <f>IFERROR(IF(compras_mes6[[#This Row],[CUIT]]="","-",VLOOKUP(compras_mes6[[#This Row],[CUIT]],Lista_CUIT[#All],4,0)),"CUIT NO CARGADO")</f>
        <v>0</v>
      </c>
    </row>
    <row r="51" spans="2:18">
      <c r="B51" s="258">
        <v>45470</v>
      </c>
      <c r="C51" s="160">
        <v>1</v>
      </c>
      <c r="D51" s="259">
        <v>8</v>
      </c>
      <c r="E51" s="260">
        <v>220</v>
      </c>
      <c r="F51" s="261">
        <v>33711033179</v>
      </c>
      <c r="G51" s="262" t="str">
        <f>IFERROR(IF(compras_mes6[[#This Row],[CUIT]]="","-",VLOOKUP(compras_mes6[[#This Row],[CUIT]],Lista_CUIT[#All],2,0)),"CUIT NO CARGADO")</f>
        <v>MATERIA PIXEL S.A.</v>
      </c>
      <c r="H51" s="263">
        <v>251450</v>
      </c>
      <c r="I51" s="688">
        <f>IF(compras_mes6[[#This Row],[NETO GRAVADO]]="","",compras_mes6[[#This Row],[NETO GRAVADO]]*0.21)</f>
        <v>52804.5</v>
      </c>
      <c r="J51" s="264"/>
      <c r="K51" s="264"/>
      <c r="L51" s="264"/>
      <c r="M51" s="264"/>
      <c r="N51" s="264"/>
      <c r="O51" s="264">
        <v>0</v>
      </c>
      <c r="P51" s="251">
        <f>SUM(compras_mes6[[#This Row],[NETO GRAVADO]:[Otros / No Grav.]])</f>
        <v>304254.5</v>
      </c>
      <c r="Q51" s="252" t="str">
        <f>IFERROR(IF(compras_mes6[[#This Row],[CUIT]]="","-",VLOOKUP(compras_mes6[[#This Row],[CUIT]],Lista_CUIT[#All],3,0)),"CUIT NO CARGADO")</f>
        <v>LIBRERÍA</v>
      </c>
      <c r="R51" s="252">
        <f>IFERROR(IF(compras_mes6[[#This Row],[CUIT]]="","-",VLOOKUP(compras_mes6[[#This Row],[CUIT]],Lista_CUIT[#All],4,0)),"CUIT NO CARGADO")</f>
        <v>0</v>
      </c>
    </row>
    <row r="52" spans="2:18">
      <c r="B52" s="243">
        <v>45471</v>
      </c>
      <c r="C52" s="244">
        <v>1</v>
      </c>
      <c r="D52" s="245">
        <v>6</v>
      </c>
      <c r="E52" s="246">
        <v>1522</v>
      </c>
      <c r="F52" s="247">
        <v>30716815710</v>
      </c>
      <c r="G52" s="248" t="str">
        <f>IFERROR(IF(compras_mes6[[#This Row],[CUIT]]="","-",VLOOKUP(compras_mes6[[#This Row],[CUIT]],Lista_CUIT[#All],2,0)),"CUIT NO CARGADO")</f>
        <v>PAPELERA GEOPEL SRL</v>
      </c>
      <c r="H52" s="249">
        <v>2100</v>
      </c>
      <c r="I52" s="688">
        <f>IF(compras_mes6[[#This Row],[NETO GRAVADO]]="","",compras_mes6[[#This Row],[NETO GRAVADO]]*0.21)</f>
        <v>441</v>
      </c>
      <c r="J52" s="250"/>
      <c r="K52" s="250"/>
      <c r="L52" s="250"/>
      <c r="M52" s="250"/>
      <c r="N52" s="250"/>
      <c r="O52" s="250">
        <v>0</v>
      </c>
      <c r="P52" s="251">
        <f>SUM(compras_mes6[[#This Row],[NETO GRAVADO]:[Otros / No Grav.]])</f>
        <v>2541</v>
      </c>
      <c r="Q52" s="252" t="str">
        <f>IFERROR(IF(compras_mes6[[#This Row],[CUIT]]="","-",VLOOKUP(compras_mes6[[#This Row],[CUIT]],Lista_CUIT[#All],3,0)),"CUIT NO CARGADO")</f>
        <v>LIBRERÍA</v>
      </c>
      <c r="R52" s="252">
        <f>IFERROR(IF(compras_mes6[[#This Row],[CUIT]]="","-",VLOOKUP(compras_mes6[[#This Row],[CUIT]],Lista_CUIT[#All],4,0)),"CUIT NO CARGADO")</f>
        <v>0</v>
      </c>
    </row>
    <row r="53" spans="2:18">
      <c r="B53" s="651">
        <v>45454</v>
      </c>
      <c r="C53" s="652">
        <v>1</v>
      </c>
      <c r="D53" s="638">
        <v>6</v>
      </c>
      <c r="E53" s="639">
        <v>1504</v>
      </c>
      <c r="F53" s="640">
        <v>30716815710</v>
      </c>
      <c r="G53" s="653" t="str">
        <f>IFERROR(IF(compras_mes6[[#This Row],[CUIT]]="","-",VLOOKUP(compras_mes6[[#This Row],[CUIT]],Lista_CUIT[#All],2,0)),"CUIT NO CARGADO")</f>
        <v>PAPELERA GEOPEL SRL</v>
      </c>
      <c r="H53" s="654">
        <v>15300</v>
      </c>
      <c r="I53" s="655">
        <f>IF(compras_mes6[[#This Row],[NETO GRAVADO]]="","",compras_mes6[[#This Row],[NETO GRAVADO]]*0.21)</f>
        <v>3213</v>
      </c>
      <c r="J53" s="655"/>
      <c r="K53" s="655"/>
      <c r="L53" s="655"/>
      <c r="M53" s="655"/>
      <c r="N53" s="655"/>
      <c r="O53" s="655"/>
      <c r="P53" s="656">
        <f>SUM(compras_mes6[[#This Row],[NETO GRAVADO]:[Otros / No Grav.]])</f>
        <v>18513</v>
      </c>
      <c r="Q53" s="657" t="str">
        <f>IFERROR(IF(compras_mes6[[#This Row],[CUIT]]="","-",VLOOKUP(compras_mes6[[#This Row],[CUIT]],Lista_CUIT[#All],3,0)),"CUIT NO CARGADO")</f>
        <v>LIBRERÍA</v>
      </c>
      <c r="R53" s="657">
        <f>IFERROR(IF(compras_mes6[[#This Row],[CUIT]]="","-",VLOOKUP(compras_mes6[[#This Row],[CUIT]],Lista_CUIT[#All],4,0)),"CUIT NO CARGADO")</f>
        <v>0</v>
      </c>
    </row>
    <row r="54" spans="2:18">
      <c r="B54" s="258">
        <v>45470</v>
      </c>
      <c r="C54" s="160">
        <v>1</v>
      </c>
      <c r="D54" s="259">
        <v>23</v>
      </c>
      <c r="E54" s="260">
        <v>1424</v>
      </c>
      <c r="F54" s="261">
        <v>30504872625</v>
      </c>
      <c r="G54" s="262" t="str">
        <f>IFERROR(IF(compras_mes6[[#This Row],[CUIT]]="","-",VLOOKUP(compras_mes6[[#This Row],[CUIT]],Lista_CUIT[#All],2,0)),"CUIT NO CARGADO")</f>
        <v>BAJDA SRL</v>
      </c>
      <c r="H54" s="263">
        <v>120661.16</v>
      </c>
      <c r="I54" s="688">
        <f>IF(compras_mes6[[#This Row],[NETO GRAVADO]]="","",compras_mes6[[#This Row],[NETO GRAVADO]]*0.21)</f>
        <v>25338.8436</v>
      </c>
      <c r="J54" s="264"/>
      <c r="K54" s="264"/>
      <c r="L54" s="264"/>
      <c r="M54" s="264"/>
      <c r="N54" s="264"/>
      <c r="O54" s="264">
        <v>0</v>
      </c>
      <c r="P54" s="251">
        <f>SUM(compras_mes6[[#This Row],[NETO GRAVADO]:[Otros / No Grav.]])</f>
        <v>146000.0036</v>
      </c>
      <c r="Q54" s="252" t="str">
        <f>IFERROR(IF(compras_mes6[[#This Row],[CUIT]]="","-",VLOOKUP(compras_mes6[[#This Row],[CUIT]],Lista_CUIT[#All],3,0)),"CUIT NO CARGADO")</f>
        <v>MANTENIMIENTO</v>
      </c>
      <c r="R54" s="252">
        <f>IFERROR(IF(compras_mes6[[#This Row],[CUIT]]="","-",VLOOKUP(compras_mes6[[#This Row],[CUIT]],Lista_CUIT[#All],4,0)),"CUIT NO CARGADO")</f>
        <v>0</v>
      </c>
    </row>
    <row r="55" spans="2:18">
      <c r="B55" s="258">
        <v>45469</v>
      </c>
      <c r="C55" s="160">
        <v>1</v>
      </c>
      <c r="D55" s="259">
        <v>2</v>
      </c>
      <c r="E55" s="260">
        <v>1845</v>
      </c>
      <c r="F55" s="261">
        <v>30714228060</v>
      </c>
      <c r="G55" s="262" t="str">
        <f>IFERROR(IF(compras_mes6[[#This Row],[CUIT]]="","-",VLOOKUP(compras_mes6[[#This Row],[CUIT]],Lista_CUIT[#All],2,0)),"CUIT NO CARGADO")</f>
        <v>POTA AMOBLAMIENTOS S.R.L.</v>
      </c>
      <c r="H55" s="263">
        <v>2100000</v>
      </c>
      <c r="I55" s="688">
        <f>IF(compras_mes6[[#This Row],[NETO GRAVADO]]="","",compras_mes6[[#This Row],[NETO GRAVADO]]*0.21)</f>
        <v>441000</v>
      </c>
      <c r="J55" s="264"/>
      <c r="K55" s="264"/>
      <c r="L55" s="264"/>
      <c r="M55" s="264"/>
      <c r="N55" s="264"/>
      <c r="O55" s="264">
        <v>0</v>
      </c>
      <c r="P55" s="251">
        <f>SUM(compras_mes6[[#This Row],[NETO GRAVADO]:[Otros / No Grav.]])</f>
        <v>2541000</v>
      </c>
      <c r="Q55" s="252" t="str">
        <f>IFERROR(IF(compras_mes6[[#This Row],[CUIT]]="","-",VLOOKUP(compras_mes6[[#This Row],[CUIT]],Lista_CUIT[#All],3,0)),"CUIT NO CARGADO")</f>
        <v>Mantenimiento</v>
      </c>
      <c r="R55" s="252">
        <f>IFERROR(IF(compras_mes6[[#This Row],[CUIT]]="","-",VLOOKUP(compras_mes6[[#This Row],[CUIT]],Lista_CUIT[#All],4,0)),"CUIT NO CARGADO")</f>
        <v>0</v>
      </c>
    </row>
    <row r="56" spans="2:18">
      <c r="B56" s="243">
        <v>45446</v>
      </c>
      <c r="C56" s="244">
        <v>1</v>
      </c>
      <c r="D56" s="245">
        <v>5009</v>
      </c>
      <c r="E56" s="246">
        <v>934393</v>
      </c>
      <c r="F56" s="247">
        <v>30574876474</v>
      </c>
      <c r="G56" s="248" t="str">
        <f>IFERROR(IF(compras_mes6[[#This Row],[CUIT]]="","-",VLOOKUP(compras_mes6[[#This Row],[CUIT]],Lista_CUIT[#All],2,0)),"CUIT NO CARGADO")</f>
        <v>AUTOP. URBANAS SA</v>
      </c>
      <c r="H56" s="249">
        <v>2963.49</v>
      </c>
      <c r="I56" s="688">
        <f>IF(compras_mes6[[#This Row],[NETO GRAVADO]]="","",compras_mes6[[#This Row],[NETO GRAVADO]]*0.21)</f>
        <v>622.33289999999988</v>
      </c>
      <c r="J56" s="250"/>
      <c r="K56" s="250"/>
      <c r="L56" s="250"/>
      <c r="M56" s="250"/>
      <c r="N56" s="250"/>
      <c r="O56" s="250">
        <v>0</v>
      </c>
      <c r="P56" s="251">
        <f>SUM(compras_mes6[[#This Row],[NETO GRAVADO]:[Otros / No Grav.]])</f>
        <v>3585.8228999999997</v>
      </c>
      <c r="Q56" s="252" t="str">
        <f>IFERROR(IF(compras_mes6[[#This Row],[CUIT]]="","-",VLOOKUP(compras_mes6[[#This Row],[CUIT]],Lista_CUIT[#All],3,0)),"CUIT NO CARGADO")</f>
        <v>PEAJE</v>
      </c>
      <c r="R56" s="252">
        <f>IFERROR(IF(compras_mes6[[#This Row],[CUIT]]="","-",VLOOKUP(compras_mes6[[#This Row],[CUIT]],Lista_CUIT[#All],4,0)),"CUIT NO CARGADO")</f>
        <v>0</v>
      </c>
    </row>
    <row r="57" spans="2:18">
      <c r="B57" s="243">
        <v>45446</v>
      </c>
      <c r="C57" s="244">
        <v>1</v>
      </c>
      <c r="D57" s="245">
        <v>5015</v>
      </c>
      <c r="E57" s="246">
        <v>614941</v>
      </c>
      <c r="F57" s="247">
        <v>30574876474</v>
      </c>
      <c r="G57" s="248" t="str">
        <f>IFERROR(IF(compras_mes6[[#This Row],[CUIT]]="","-",VLOOKUP(compras_mes6[[#This Row],[CUIT]],Lista_CUIT[#All],2,0)),"CUIT NO CARGADO")</f>
        <v>AUTOP. URBANAS SA</v>
      </c>
      <c r="H57" s="249">
        <v>20044.060000000001</v>
      </c>
      <c r="I57" s="688">
        <f>IF(compras_mes6[[#This Row],[NETO GRAVADO]]="","",compras_mes6[[#This Row],[NETO GRAVADO]]*0.21)</f>
        <v>4209.2525999999998</v>
      </c>
      <c r="J57" s="250"/>
      <c r="K57" s="250"/>
      <c r="L57" s="250"/>
      <c r="M57" s="250"/>
      <c r="N57" s="250"/>
      <c r="O57" s="250">
        <v>0</v>
      </c>
      <c r="P57" s="251">
        <f>SUM(compras_mes6[[#This Row],[NETO GRAVADO]:[Otros / No Grav.]])</f>
        <v>24253.312600000001</v>
      </c>
      <c r="Q57" s="252" t="str">
        <f>IFERROR(IF(compras_mes6[[#This Row],[CUIT]]="","-",VLOOKUP(compras_mes6[[#This Row],[CUIT]],Lista_CUIT[#All],3,0)),"CUIT NO CARGADO")</f>
        <v>PEAJE</v>
      </c>
      <c r="R57" s="252">
        <f>IFERROR(IF(compras_mes6[[#This Row],[CUIT]]="","-",VLOOKUP(compras_mes6[[#This Row],[CUIT]],Lista_CUIT[#All],4,0)),"CUIT NO CARGADO")</f>
        <v>0</v>
      </c>
    </row>
    <row r="58" spans="2:18">
      <c r="B58" s="258">
        <v>45447</v>
      </c>
      <c r="C58" s="160">
        <v>1</v>
      </c>
      <c r="D58" s="259">
        <v>629</v>
      </c>
      <c r="E58" s="260">
        <v>5167573</v>
      </c>
      <c r="F58" s="261">
        <v>30663498513</v>
      </c>
      <c r="G58" s="262" t="str">
        <f>IFERROR(IF(compras_mes6[[#This Row],[CUIT]]="","-",VLOOKUP(compras_mes6[[#This Row],[CUIT]],Lista_CUIT[#All],2,0)),"CUIT NO CARGADO")</f>
        <v>GRUPO CONCES. DEL OESTE SA</v>
      </c>
      <c r="H58" s="263">
        <v>3223.14</v>
      </c>
      <c r="I58" s="688">
        <f>IF(compras_mes6[[#This Row],[NETO GRAVADO]]="","",compras_mes6[[#This Row],[NETO GRAVADO]]*0.21)</f>
        <v>676.85939999999994</v>
      </c>
      <c r="J58" s="264"/>
      <c r="K58" s="264"/>
      <c r="L58" s="264"/>
      <c r="M58" s="264"/>
      <c r="N58" s="264"/>
      <c r="O58" s="264">
        <v>0</v>
      </c>
      <c r="P58" s="251">
        <f>SUM(compras_mes6[[#This Row],[NETO GRAVADO]:[Otros / No Grav.]])</f>
        <v>3899.9993999999997</v>
      </c>
      <c r="Q58" s="252" t="str">
        <f>IFERROR(IF(compras_mes6[[#This Row],[CUIT]]="","-",VLOOKUP(compras_mes6[[#This Row],[CUIT]],Lista_CUIT[#All],3,0)),"CUIT NO CARGADO")</f>
        <v>PEAJE</v>
      </c>
      <c r="R58" s="252">
        <f>IFERROR(IF(compras_mes6[[#This Row],[CUIT]]="","-",VLOOKUP(compras_mes6[[#This Row],[CUIT]],Lista_CUIT[#All],4,0)),"CUIT NO CARGADO")</f>
        <v>0</v>
      </c>
    </row>
    <row r="59" spans="2:18">
      <c r="B59" s="243">
        <v>45447</v>
      </c>
      <c r="C59" s="244">
        <v>1</v>
      </c>
      <c r="D59" s="245">
        <v>711</v>
      </c>
      <c r="E59" s="246">
        <v>5749938</v>
      </c>
      <c r="F59" s="247">
        <v>30677237119</v>
      </c>
      <c r="G59" s="248" t="str">
        <f>IFERROR(IF(compras_mes6[[#This Row],[CUIT]]="","-",VLOOKUP(compras_mes6[[#This Row],[CUIT]],Lista_CUIT[#All],2,0)),"CUIT NO CARGADO")</f>
        <v>AUTOPISTAS DEL SOL SA</v>
      </c>
      <c r="H59" s="249">
        <v>4090.88</v>
      </c>
      <c r="I59" s="688">
        <f>IF(compras_mes6[[#This Row],[NETO GRAVADO]]="","",compras_mes6[[#This Row],[NETO GRAVADO]]*0.21)</f>
        <v>859.08479999999997</v>
      </c>
      <c r="J59" s="250"/>
      <c r="K59" s="250"/>
      <c r="L59" s="250"/>
      <c r="M59" s="250"/>
      <c r="N59" s="250"/>
      <c r="O59" s="250">
        <v>122.73</v>
      </c>
      <c r="P59" s="251">
        <f>SUM(compras_mes6[[#This Row],[NETO GRAVADO]:[Otros / No Grav.]])</f>
        <v>5072.6947999999993</v>
      </c>
      <c r="Q59" s="252" t="str">
        <f>IFERROR(IF(compras_mes6[[#This Row],[CUIT]]="","-",VLOOKUP(compras_mes6[[#This Row],[CUIT]],Lista_CUIT[#All],3,0)),"CUIT NO CARGADO")</f>
        <v>PEAJE</v>
      </c>
      <c r="R59" s="252">
        <f>IFERROR(IF(compras_mes6[[#This Row],[CUIT]]="","-",VLOOKUP(compras_mes6[[#This Row],[CUIT]],Lista_CUIT[#All],4,0)),"CUIT NO CARGADO")</f>
        <v>0</v>
      </c>
    </row>
    <row r="60" spans="2:18">
      <c r="B60" s="243">
        <v>45448</v>
      </c>
      <c r="C60" s="244">
        <v>1</v>
      </c>
      <c r="D60" s="245">
        <v>700</v>
      </c>
      <c r="E60" s="246">
        <v>1707793</v>
      </c>
      <c r="F60" s="247">
        <v>30715804812</v>
      </c>
      <c r="G60" s="248" t="str">
        <f>IFERROR(IF(compras_mes6[[#This Row],[CUIT]]="","-",VLOOKUP(compras_mes6[[#This Row],[CUIT]],Lista_CUIT[#All],2,0)),"CUIT NO CARGADO")</f>
        <v>CORREDORES VIALES SOCIEDAD ANONIMA</v>
      </c>
      <c r="H60" s="249">
        <v>2066.11</v>
      </c>
      <c r="I60" s="688">
        <f>IF(compras_mes6[[#This Row],[NETO GRAVADO]]="","",compras_mes6[[#This Row],[NETO GRAVADO]]*0.21)</f>
        <v>433.88310000000001</v>
      </c>
      <c r="J60" s="250"/>
      <c r="K60" s="250"/>
      <c r="L60" s="250"/>
      <c r="M60" s="250"/>
      <c r="N60" s="250"/>
      <c r="O60" s="250">
        <v>0</v>
      </c>
      <c r="P60" s="251">
        <f>SUM(compras_mes6[[#This Row],[NETO GRAVADO]:[Otros / No Grav.]])</f>
        <v>2499.9931000000001</v>
      </c>
      <c r="Q60" s="252" t="str">
        <f>IFERROR(IF(compras_mes6[[#This Row],[CUIT]]="","-",VLOOKUP(compras_mes6[[#This Row],[CUIT]],Lista_CUIT[#All],3,0)),"CUIT NO CARGADO")</f>
        <v>PEAJE</v>
      </c>
      <c r="R60" s="252">
        <f>IFERROR(IF(compras_mes6[[#This Row],[CUIT]]="","-",VLOOKUP(compras_mes6[[#This Row],[CUIT]],Lista_CUIT[#All],4,0)),"CUIT NO CARGADO")</f>
        <v>0</v>
      </c>
    </row>
    <row r="61" spans="2:18">
      <c r="B61" s="243">
        <v>45448</v>
      </c>
      <c r="C61" s="244">
        <v>1</v>
      </c>
      <c r="D61" s="245">
        <v>700</v>
      </c>
      <c r="E61" s="246">
        <v>1707792</v>
      </c>
      <c r="F61" s="247">
        <v>30715804812</v>
      </c>
      <c r="G61" s="248" t="str">
        <f>IFERROR(IF(compras_mes6[[#This Row],[CUIT]]="","-",VLOOKUP(compras_mes6[[#This Row],[CUIT]],Lista_CUIT[#All],2,0)),"CUIT NO CARGADO")</f>
        <v>CORREDORES VIALES SOCIEDAD ANONIMA</v>
      </c>
      <c r="H61" s="249">
        <v>4297.5200000000004</v>
      </c>
      <c r="I61" s="688">
        <f>IF(compras_mes6[[#This Row],[NETO GRAVADO]]="","",compras_mes6[[#This Row],[NETO GRAVADO]]*0.21)</f>
        <v>902.47920000000011</v>
      </c>
      <c r="J61" s="250"/>
      <c r="K61" s="250"/>
      <c r="L61" s="250"/>
      <c r="M61" s="250"/>
      <c r="N61" s="250"/>
      <c r="O61" s="250">
        <v>0</v>
      </c>
      <c r="P61" s="251">
        <f>SUM(compras_mes6[[#This Row],[NETO GRAVADO]:[Otros / No Grav.]])</f>
        <v>5199.9992000000002</v>
      </c>
      <c r="Q61" s="252" t="str">
        <f>IFERROR(IF(compras_mes6[[#This Row],[CUIT]]="","-",VLOOKUP(compras_mes6[[#This Row],[CUIT]],Lista_CUIT[#All],3,0)),"CUIT NO CARGADO")</f>
        <v>PEAJE</v>
      </c>
      <c r="R61" s="252">
        <f>IFERROR(IF(compras_mes6[[#This Row],[CUIT]]="","-",VLOOKUP(compras_mes6[[#This Row],[CUIT]],Lista_CUIT[#All],4,0)),"CUIT NO CARGADO")</f>
        <v>0</v>
      </c>
    </row>
    <row r="62" spans="2:18">
      <c r="B62" s="243">
        <v>45460</v>
      </c>
      <c r="C62" s="244">
        <v>1</v>
      </c>
      <c r="D62" s="245">
        <v>711</v>
      </c>
      <c r="E62" s="246">
        <v>5807336</v>
      </c>
      <c r="F62" s="247">
        <v>30677237119</v>
      </c>
      <c r="G62" s="248" t="str">
        <f>IFERROR(IF(compras_mes6[[#This Row],[CUIT]]="","-",VLOOKUP(compras_mes6[[#This Row],[CUIT]],Lista_CUIT[#All],2,0)),"CUIT NO CARGADO")</f>
        <v>AUTOPISTAS DEL SOL SA</v>
      </c>
      <c r="H62" s="249">
        <v>5661.15</v>
      </c>
      <c r="I62" s="688">
        <f>IF(compras_mes6[[#This Row],[NETO GRAVADO]]="","",compras_mes6[[#This Row],[NETO GRAVADO]]*0.21)</f>
        <v>1188.8414999999998</v>
      </c>
      <c r="J62" s="250"/>
      <c r="K62" s="250"/>
      <c r="L62" s="250"/>
      <c r="M62" s="250"/>
      <c r="N62" s="250"/>
      <c r="O62" s="250">
        <v>169.83</v>
      </c>
      <c r="P62" s="251">
        <f>SUM(compras_mes6[[#This Row],[NETO GRAVADO]:[Otros / No Grav.]])</f>
        <v>7019.8214999999991</v>
      </c>
      <c r="Q62" s="252" t="str">
        <f>IFERROR(IF(compras_mes6[[#This Row],[CUIT]]="","-",VLOOKUP(compras_mes6[[#This Row],[CUIT]],Lista_CUIT[#All],3,0)),"CUIT NO CARGADO")</f>
        <v>PEAJE</v>
      </c>
      <c r="R62" s="252">
        <f>IFERROR(IF(compras_mes6[[#This Row],[CUIT]]="","-",VLOOKUP(compras_mes6[[#This Row],[CUIT]],Lista_CUIT[#All],4,0)),"CUIT NO CARGADO")</f>
        <v>0</v>
      </c>
    </row>
    <row r="63" spans="2:18">
      <c r="B63" s="243">
        <v>45460</v>
      </c>
      <c r="C63" s="244">
        <v>1</v>
      </c>
      <c r="D63" s="245">
        <v>5015</v>
      </c>
      <c r="E63" s="246">
        <v>618700</v>
      </c>
      <c r="F63" s="247">
        <v>30574876474</v>
      </c>
      <c r="G63" s="248" t="str">
        <f>IFERROR(IF(compras_mes6[[#This Row],[CUIT]]="","-",VLOOKUP(compras_mes6[[#This Row],[CUIT]],Lista_CUIT[#All],2,0)),"CUIT NO CARGADO")</f>
        <v>AUTOP. URBANAS SA</v>
      </c>
      <c r="H63" s="249">
        <v>22958.62</v>
      </c>
      <c r="I63" s="688">
        <f>IF(compras_mes6[[#This Row],[NETO GRAVADO]]="","",compras_mes6[[#This Row],[NETO GRAVADO]]*0.21)</f>
        <v>4821.3101999999999</v>
      </c>
      <c r="J63" s="250"/>
      <c r="K63" s="250"/>
      <c r="L63" s="250"/>
      <c r="M63" s="250"/>
      <c r="N63" s="250"/>
      <c r="O63" s="250">
        <v>0</v>
      </c>
      <c r="P63" s="251">
        <f>SUM(compras_mes6[[#This Row],[NETO GRAVADO]:[Otros / No Grav.]])</f>
        <v>27779.930199999999</v>
      </c>
      <c r="Q63" s="252" t="str">
        <f>IFERROR(IF(compras_mes6[[#This Row],[CUIT]]="","-",VLOOKUP(compras_mes6[[#This Row],[CUIT]],Lista_CUIT[#All],3,0)),"CUIT NO CARGADO")</f>
        <v>PEAJE</v>
      </c>
      <c r="R63" s="252">
        <f>IFERROR(IF(compras_mes6[[#This Row],[CUIT]]="","-",VLOOKUP(compras_mes6[[#This Row],[CUIT]],Lista_CUIT[#All],4,0)),"CUIT NO CARGADO")</f>
        <v>0</v>
      </c>
    </row>
    <row r="64" spans="2:18">
      <c r="B64" s="243">
        <v>45460</v>
      </c>
      <c r="C64" s="244">
        <v>1</v>
      </c>
      <c r="D64" s="245">
        <v>629</v>
      </c>
      <c r="E64" s="246">
        <v>5207186</v>
      </c>
      <c r="F64" s="247">
        <v>30663498513</v>
      </c>
      <c r="G64" s="248" t="str">
        <f>IFERROR(IF(compras_mes6[[#This Row],[CUIT]]="","-",VLOOKUP(compras_mes6[[#This Row],[CUIT]],Lista_CUIT[#All],2,0)),"CUIT NO CARGADO")</f>
        <v>GRUPO CONCES. DEL OESTE SA</v>
      </c>
      <c r="H64" s="249">
        <v>1322.31</v>
      </c>
      <c r="I64" s="688">
        <f>IF(compras_mes6[[#This Row],[NETO GRAVADO]]="","",compras_mes6[[#This Row],[NETO GRAVADO]]*0.21)</f>
        <v>277.68509999999998</v>
      </c>
      <c r="J64" s="250"/>
      <c r="K64" s="250"/>
      <c r="L64" s="250"/>
      <c r="M64" s="250"/>
      <c r="N64" s="250"/>
      <c r="O64" s="250">
        <v>0</v>
      </c>
      <c r="P64" s="251">
        <f>SUM(compras_mes6[[#This Row],[NETO GRAVADO]:[Otros / No Grav.]])</f>
        <v>1599.9950999999999</v>
      </c>
      <c r="Q64" s="252" t="str">
        <f>IFERROR(IF(compras_mes6[[#This Row],[CUIT]]="","-",VLOOKUP(compras_mes6[[#This Row],[CUIT]],Lista_CUIT[#All],3,0)),"CUIT NO CARGADO")</f>
        <v>PEAJE</v>
      </c>
      <c r="R64" s="252">
        <f>IFERROR(IF(compras_mes6[[#This Row],[CUIT]]="","-",VLOOKUP(compras_mes6[[#This Row],[CUIT]],Lista_CUIT[#All],4,0)),"CUIT NO CARGADO")</f>
        <v>0</v>
      </c>
    </row>
    <row r="65" spans="2:18">
      <c r="B65" s="258">
        <v>45467</v>
      </c>
      <c r="C65" s="160">
        <v>1</v>
      </c>
      <c r="D65" s="259">
        <v>700</v>
      </c>
      <c r="E65" s="260">
        <v>1739135</v>
      </c>
      <c r="F65" s="261">
        <v>30715804812</v>
      </c>
      <c r="G65" s="262" t="str">
        <f>IFERROR(IF(compras_mes6[[#This Row],[CUIT]]="","-",VLOOKUP(compras_mes6[[#This Row],[CUIT]],Lista_CUIT[#All],2,0)),"CUIT NO CARGADO")</f>
        <v>CORREDORES VIALES SOCIEDAD ANONIMA</v>
      </c>
      <c r="H65" s="263">
        <v>7851.24</v>
      </c>
      <c r="I65" s="688">
        <f>IF(compras_mes6[[#This Row],[NETO GRAVADO]]="","",compras_mes6[[#This Row],[NETO GRAVADO]]*0.21)</f>
        <v>1648.7603999999999</v>
      </c>
      <c r="J65" s="264"/>
      <c r="K65" s="264"/>
      <c r="L65" s="264"/>
      <c r="M65" s="264"/>
      <c r="N65" s="264"/>
      <c r="O65" s="264">
        <v>0</v>
      </c>
      <c r="P65" s="251">
        <f>SUM(compras_mes6[[#This Row],[NETO GRAVADO]:[Otros / No Grav.]])</f>
        <v>9500.000399999999</v>
      </c>
      <c r="Q65" s="252" t="str">
        <f>IFERROR(IF(compras_mes6[[#This Row],[CUIT]]="","-",VLOOKUP(compras_mes6[[#This Row],[CUIT]],Lista_CUIT[#All],3,0)),"CUIT NO CARGADO")</f>
        <v>PEAJE</v>
      </c>
      <c r="R65" s="252">
        <f>IFERROR(IF(compras_mes6[[#This Row],[CUIT]]="","-",VLOOKUP(compras_mes6[[#This Row],[CUIT]],Lista_CUIT[#All],4,0)),"CUIT NO CARGADO")</f>
        <v>0</v>
      </c>
    </row>
    <row r="66" spans="2:18">
      <c r="B66" s="243">
        <v>45471</v>
      </c>
      <c r="C66" s="244">
        <v>1</v>
      </c>
      <c r="D66" s="245">
        <v>503</v>
      </c>
      <c r="E66" s="246">
        <v>1375332</v>
      </c>
      <c r="F66" s="247">
        <v>30639935872</v>
      </c>
      <c r="G66" s="248" t="str">
        <f>IFERROR(IF(compras_mes6[[#This Row],[CUIT]]="","-",VLOOKUP(compras_mes6[[#This Row],[CUIT]],Lista_CUIT[#All],2,0)),"CUIT NO CARGADO")</f>
        <v>CAMINOS DEL RIO URUGUAY S A DE CONSTRUCCIONES Y CONCESIONES VIALES</v>
      </c>
      <c r="H66" s="249">
        <v>743.79</v>
      </c>
      <c r="I66" s="688">
        <f>IF(compras_mes6[[#This Row],[NETO GRAVADO]]="","",compras_mes6[[#This Row],[NETO GRAVADO]]*0.21)</f>
        <v>156.19589999999999</v>
      </c>
      <c r="J66" s="250"/>
      <c r="K66" s="250"/>
      <c r="L66" s="250"/>
      <c r="M66" s="250"/>
      <c r="N66" s="250"/>
      <c r="O66" s="250">
        <v>0</v>
      </c>
      <c r="P66" s="251">
        <f>SUM(compras_mes6[[#This Row],[NETO GRAVADO]:[Otros / No Grav.]])</f>
        <v>899.9858999999999</v>
      </c>
      <c r="Q66" s="252" t="str">
        <f>IFERROR(IF(compras_mes6[[#This Row],[CUIT]]="","-",VLOOKUP(compras_mes6[[#This Row],[CUIT]],Lista_CUIT[#All],3,0)),"CUIT NO CARGADO")</f>
        <v>PEAJE</v>
      </c>
      <c r="R66" s="252">
        <f>IFERROR(IF(compras_mes6[[#This Row],[CUIT]]="","-",VLOOKUP(compras_mes6[[#This Row],[CUIT]],Lista_CUIT[#All],4,0)),"CUIT NO CARGADO")</f>
        <v>0</v>
      </c>
    </row>
    <row r="67" spans="2:18">
      <c r="B67" s="258">
        <v>45472</v>
      </c>
      <c r="C67" s="160">
        <v>1</v>
      </c>
      <c r="D67" s="259">
        <v>104</v>
      </c>
      <c r="E67" s="260">
        <v>6153571</v>
      </c>
      <c r="F67" s="261">
        <v>30715804812</v>
      </c>
      <c r="G67" s="262" t="str">
        <f>IFERROR(IF(compras_mes6[[#This Row],[CUIT]]="","-",VLOOKUP(compras_mes6[[#This Row],[CUIT]],Lista_CUIT[#All],2,0)),"CUIT NO CARGADO")</f>
        <v>CORREDORES VIALES SOCIEDAD ANONIMA</v>
      </c>
      <c r="H67" s="263">
        <v>1487.6</v>
      </c>
      <c r="I67" s="688">
        <f>IF(compras_mes6[[#This Row],[NETO GRAVADO]]="","",compras_mes6[[#This Row],[NETO GRAVADO]]*0.21)</f>
        <v>312.39599999999996</v>
      </c>
      <c r="J67" s="264"/>
      <c r="K67" s="264"/>
      <c r="L67" s="264"/>
      <c r="M67" s="264"/>
      <c r="N67" s="264"/>
      <c r="O67" s="264">
        <v>0</v>
      </c>
      <c r="P67" s="277">
        <f>SUM(compras_mes6[[#This Row],[NETO GRAVADO]:[Otros / No Grav.]])</f>
        <v>1799.9959999999999</v>
      </c>
      <c r="Q67" s="252" t="str">
        <f>IFERROR(IF(compras_mes6[[#This Row],[CUIT]]="","-",VLOOKUP(compras_mes6[[#This Row],[CUIT]],Lista_CUIT[#All],3,0)),"CUIT NO CARGADO")</f>
        <v>PEAJE</v>
      </c>
      <c r="R67" s="252">
        <f>IFERROR(IF(compras_mes6[[#This Row],[CUIT]]="","-",VLOOKUP(compras_mes6[[#This Row],[CUIT]],Lista_CUIT[#All],4,0)),"CUIT NO CARGADO")</f>
        <v>0</v>
      </c>
    </row>
    <row r="68" spans="2:18">
      <c r="B68" s="243">
        <v>45473</v>
      </c>
      <c r="C68" s="244">
        <v>1</v>
      </c>
      <c r="D68" s="245">
        <v>5015</v>
      </c>
      <c r="E68" s="246">
        <v>622406</v>
      </c>
      <c r="F68" s="247">
        <v>30574876474</v>
      </c>
      <c r="G68" s="248" t="str">
        <f>IFERROR(IF(compras_mes6[[#This Row],[CUIT]]="","-",VLOOKUP(compras_mes6[[#This Row],[CUIT]],Lista_CUIT[#All],2,0)),"CUIT NO CARGADO")</f>
        <v>AUTOP. URBANAS SA</v>
      </c>
      <c r="H68" s="249">
        <v>25983.3</v>
      </c>
      <c r="I68" s="688">
        <f>IF(compras_mes6[[#This Row],[NETO GRAVADO]]="","",compras_mes6[[#This Row],[NETO GRAVADO]]*0.21)</f>
        <v>5456.4929999999995</v>
      </c>
      <c r="J68" s="250"/>
      <c r="K68" s="250"/>
      <c r="L68" s="250"/>
      <c r="M68" s="250"/>
      <c r="N68" s="250"/>
      <c r="O68" s="250">
        <v>0</v>
      </c>
      <c r="P68" s="251">
        <f>SUM(compras_mes6[[#This Row],[NETO GRAVADO]:[Otros / No Grav.]])</f>
        <v>31439.792999999998</v>
      </c>
      <c r="Q68" s="252" t="str">
        <f>IFERROR(IF(compras_mes6[[#This Row],[CUIT]]="","-",VLOOKUP(compras_mes6[[#This Row],[CUIT]],Lista_CUIT[#All],3,0)),"CUIT NO CARGADO")</f>
        <v>PEAJE</v>
      </c>
      <c r="R68" s="252">
        <f>IFERROR(IF(compras_mes6[[#This Row],[CUIT]]="","-",VLOOKUP(compras_mes6[[#This Row],[CUIT]],Lista_CUIT[#All],4,0)),"CUIT NO CARGADO")</f>
        <v>0</v>
      </c>
    </row>
    <row r="69" spans="2:18">
      <c r="B69" s="243">
        <v>45455</v>
      </c>
      <c r="C69" s="244">
        <v>1</v>
      </c>
      <c r="D69" s="245">
        <v>6</v>
      </c>
      <c r="E69" s="246">
        <v>85620</v>
      </c>
      <c r="F69" s="247">
        <v>30544570125</v>
      </c>
      <c r="G69" s="248" t="str">
        <f>IFERROR(IF(compras_mes6[[#This Row],[CUIT]]="","-",VLOOKUP(compras_mes6[[#This Row],[CUIT]],Lista_CUIT[#All],2,0)),"CUIT NO CARGADO")</f>
        <v>CASA MANITO SA CIF</v>
      </c>
      <c r="H69" s="249">
        <v>130855.21</v>
      </c>
      <c r="I69" s="688">
        <f>IF(compras_mes6[[#This Row],[NETO GRAVADO]]="","",compras_mes6[[#This Row],[NETO GRAVADO]]*0.21)</f>
        <v>27479.594100000002</v>
      </c>
      <c r="J69" s="250"/>
      <c r="K69" s="250"/>
      <c r="L69" s="250"/>
      <c r="M69" s="250"/>
      <c r="N69" s="250"/>
      <c r="O69" s="250">
        <v>0</v>
      </c>
      <c r="P69" s="251">
        <f>SUM(compras_mes6[[#This Row],[NETO GRAVADO]:[Otros / No Grav.]])</f>
        <v>158334.80410000001</v>
      </c>
      <c r="Q69" s="252" t="str">
        <f>IFERROR(IF(compras_mes6[[#This Row],[CUIT]]="","-",VLOOKUP(compras_mes6[[#This Row],[CUIT]],Lista_CUIT[#All],3,0)),"CUIT NO CARGADO")</f>
        <v>Productos Ortopedicos</v>
      </c>
      <c r="R69" s="252">
        <f>IFERROR(IF(compras_mes6[[#This Row],[CUIT]]="","-",VLOOKUP(compras_mes6[[#This Row],[CUIT]],Lista_CUIT[#All],4,0)),"CUIT NO CARGADO")</f>
        <v>0</v>
      </c>
    </row>
    <row r="70" spans="2:18">
      <c r="B70" s="243">
        <v>45461</v>
      </c>
      <c r="C70" s="244">
        <v>1</v>
      </c>
      <c r="D70" s="245">
        <v>5</v>
      </c>
      <c r="E70" s="246">
        <v>32066</v>
      </c>
      <c r="F70" s="247">
        <v>20119169306</v>
      </c>
      <c r="G70" s="248" t="str">
        <f>IFERROR(IF(compras_mes6[[#This Row],[CUIT]]="","-",VLOOKUP(compras_mes6[[#This Row],[CUIT]],Lista_CUIT[#All],2,0)),"CUIT NO CARGADO")</f>
        <v>SAUER IGNACIO JOSE</v>
      </c>
      <c r="H70" s="249">
        <v>18761.599999999999</v>
      </c>
      <c r="I70" s="688">
        <f>IF(compras_mes6[[#This Row],[NETO GRAVADO]]="","",compras_mes6[[#This Row],[NETO GRAVADO]]*0.21)</f>
        <v>3939.9359999999997</v>
      </c>
      <c r="J70" s="250"/>
      <c r="K70" s="250"/>
      <c r="L70" s="250"/>
      <c r="M70" s="250"/>
      <c r="N70" s="250"/>
      <c r="O70" s="250">
        <v>0</v>
      </c>
      <c r="P70" s="251">
        <f>SUM(compras_mes6[[#This Row],[NETO GRAVADO]:[Otros / No Grav.]])</f>
        <v>22701.536</v>
      </c>
      <c r="Q70" s="252" t="str">
        <f>IFERROR(IF(compras_mes6[[#This Row],[CUIT]]="","-",VLOOKUP(compras_mes6[[#This Row],[CUIT]],Lista_CUIT[#All],3,0)),"CUIT NO CARGADO")</f>
        <v>Productos Ortopedicos</v>
      </c>
      <c r="R70" s="252">
        <f>IFERROR(IF(compras_mes6[[#This Row],[CUIT]]="","-",VLOOKUP(compras_mes6[[#This Row],[CUIT]],Lista_CUIT[#All],4,0)),"CUIT NO CARGADO")</f>
        <v>0</v>
      </c>
    </row>
    <row r="71" spans="2:18">
      <c r="B71" s="258">
        <v>45446</v>
      </c>
      <c r="C71" s="160">
        <v>1</v>
      </c>
      <c r="D71" s="259">
        <v>17</v>
      </c>
      <c r="E71" s="260">
        <v>1949</v>
      </c>
      <c r="F71" s="261">
        <v>30711764921</v>
      </c>
      <c r="G71" s="262" t="str">
        <f>IFERROR(IF(compras_mes6[[#This Row],[CUIT]]="","-",VLOOKUP(compras_mes6[[#This Row],[CUIT]],Lista_CUIT[#All],2,0)),"CUIT NO CARGADO")</f>
        <v>RELIEF CENTER SRL</v>
      </c>
      <c r="H71" s="263">
        <v>395800</v>
      </c>
      <c r="I71" s="688">
        <f>IF(compras_mes6[[#This Row],[NETO GRAVADO]]="","",compras_mes6[[#This Row],[NETO GRAVADO]]*0.21)</f>
        <v>83118</v>
      </c>
      <c r="J71" s="264"/>
      <c r="K71" s="264"/>
      <c r="L71" s="264"/>
      <c r="M71" s="264"/>
      <c r="N71" s="264"/>
      <c r="O71" s="264">
        <v>0</v>
      </c>
      <c r="P71" s="251">
        <f>SUM(compras_mes6[[#This Row],[NETO GRAVADO]:[Otros / No Grav.]])</f>
        <v>478918</v>
      </c>
      <c r="Q71" s="252" t="str">
        <f>IFERROR(IF(compras_mes6[[#This Row],[CUIT]]="","-",VLOOKUP(compras_mes6[[#This Row],[CUIT]],Lista_CUIT[#All],3,0)),"CUIT NO CARGADO")</f>
        <v>Productos Ortopedicos</v>
      </c>
      <c r="R71" s="252">
        <f>IFERROR(IF(compras_mes6[[#This Row],[CUIT]]="","-",VLOOKUP(compras_mes6[[#This Row],[CUIT]],Lista_CUIT[#All],4,0)),"CUIT NO CARGADO")</f>
        <v>0</v>
      </c>
    </row>
    <row r="72" spans="2:18">
      <c r="B72" s="243">
        <v>45446</v>
      </c>
      <c r="C72" s="244">
        <v>1</v>
      </c>
      <c r="D72" s="245">
        <v>5</v>
      </c>
      <c r="E72" s="246">
        <v>155064</v>
      </c>
      <c r="F72" s="247">
        <v>30598960093</v>
      </c>
      <c r="G72" s="248" t="str">
        <f>IFERROR(IF(compras_mes6[[#This Row],[CUIT]]="","-",VLOOKUP(compras_mes6[[#This Row],[CUIT]],Lista_CUIT[#All],2,0)),"CUIT NO CARGADO")</f>
        <v>SILVESTRIN FABRIS SRL</v>
      </c>
      <c r="H72" s="249">
        <v>3946832</v>
      </c>
      <c r="I72" s="688">
        <v>706362.72</v>
      </c>
      <c r="J72" s="250"/>
      <c r="K72" s="250">
        <v>61236</v>
      </c>
      <c r="L72" s="250"/>
      <c r="M72" s="250"/>
      <c r="N72" s="250"/>
      <c r="O72" s="250">
        <v>0</v>
      </c>
      <c r="P72" s="251">
        <f>SUM(compras_mes6[[#This Row],[NETO GRAVADO]:[Otros / No Grav.]])</f>
        <v>4714430.72</v>
      </c>
      <c r="Q72" s="252" t="str">
        <f>IFERROR(IF(compras_mes6[[#This Row],[CUIT]]="","-",VLOOKUP(compras_mes6[[#This Row],[CUIT]],Lista_CUIT[#All],3,0)),"CUIT NO CARGADO")</f>
        <v>Productos Ortopedicos</v>
      </c>
      <c r="R72" s="252">
        <f>IFERROR(IF(compras_mes6[[#This Row],[CUIT]]="","-",VLOOKUP(compras_mes6[[#This Row],[CUIT]],Lista_CUIT[#All],4,0)),"CUIT NO CARGADO")</f>
        <v>0</v>
      </c>
    </row>
    <row r="73" spans="2:18">
      <c r="B73" s="258">
        <v>45448</v>
      </c>
      <c r="C73" s="160">
        <v>1</v>
      </c>
      <c r="D73" s="259">
        <v>8</v>
      </c>
      <c r="E73" s="260">
        <v>1643</v>
      </c>
      <c r="F73" s="261">
        <v>30708973501</v>
      </c>
      <c r="G73" s="262" t="str">
        <f>IFERROR(IF(compras_mes6[[#This Row],[CUIT]]="","-",VLOOKUP(compras_mes6[[#This Row],[CUIT]],Lista_CUIT[#All],2,0)),"CUIT NO CARGADO")</f>
        <v>ASIAL SRL</v>
      </c>
      <c r="H73" s="263">
        <v>852880</v>
      </c>
      <c r="I73" s="688">
        <f>IF(compras_mes6[[#This Row],[NETO GRAVADO]]="","",compras_mes6[[#This Row],[NETO GRAVADO]]*0.21)</f>
        <v>179104.8</v>
      </c>
      <c r="J73" s="264"/>
      <c r="K73" s="264"/>
      <c r="L73" s="264"/>
      <c r="M73" s="264"/>
      <c r="N73" s="264"/>
      <c r="O73" s="264">
        <v>0</v>
      </c>
      <c r="P73" s="251">
        <f>SUM(compras_mes6[[#This Row],[NETO GRAVADO]:[Otros / No Grav.]])</f>
        <v>1031984.8</v>
      </c>
      <c r="Q73" s="252" t="str">
        <f>IFERROR(IF(compras_mes6[[#This Row],[CUIT]]="","-",VLOOKUP(compras_mes6[[#This Row],[CUIT]],Lista_CUIT[#All],3,0)),"CUIT NO CARGADO")</f>
        <v>Productos Ortopedicos</v>
      </c>
      <c r="R73" s="252">
        <f>IFERROR(IF(compras_mes6[[#This Row],[CUIT]]="","-",VLOOKUP(compras_mes6[[#This Row],[CUIT]],Lista_CUIT[#All],4,0)),"CUIT NO CARGADO")</f>
        <v>0</v>
      </c>
    </row>
    <row r="74" spans="2:18">
      <c r="B74" s="243">
        <v>45449</v>
      </c>
      <c r="C74" s="244">
        <v>1</v>
      </c>
      <c r="D74" s="245">
        <v>5</v>
      </c>
      <c r="E74" s="246">
        <v>1738</v>
      </c>
      <c r="F74" s="247">
        <v>30712187316</v>
      </c>
      <c r="G74" s="248" t="str">
        <f>IFERROR(IF(compras_mes6[[#This Row],[CUIT]]="","-",VLOOKUP(compras_mes6[[#This Row],[CUIT]],Lista_CUIT[#All],2,0)),"CUIT NO CARGADO")</f>
        <v>ITALOMED PRODUCTOS SRL</v>
      </c>
      <c r="H74" s="249">
        <v>292817.06</v>
      </c>
      <c r="I74" s="688">
        <f>IF(compras_mes6[[#This Row],[NETO GRAVADO]]="","",compras_mes6[[#This Row],[NETO GRAVADO]]*0.21)</f>
        <v>61491.582599999994</v>
      </c>
      <c r="J74" s="250"/>
      <c r="K74" s="250"/>
      <c r="L74" s="250"/>
      <c r="M74" s="250"/>
      <c r="N74" s="250"/>
      <c r="O74" s="250">
        <v>0</v>
      </c>
      <c r="P74" s="251">
        <f>SUM(compras_mes6[[#This Row],[NETO GRAVADO]:[Otros / No Grav.]])</f>
        <v>354308.64260000002</v>
      </c>
      <c r="Q74" s="252" t="str">
        <f>IFERROR(IF(compras_mes6[[#This Row],[CUIT]]="","-",VLOOKUP(compras_mes6[[#This Row],[CUIT]],Lista_CUIT[#All],3,0)),"CUIT NO CARGADO")</f>
        <v>Productos Ortopedicos</v>
      </c>
      <c r="R74" s="252">
        <f>IFERROR(IF(compras_mes6[[#This Row],[CUIT]]="","-",VLOOKUP(compras_mes6[[#This Row],[CUIT]],Lista_CUIT[#All],4,0)),"CUIT NO CARGADO")</f>
        <v>0</v>
      </c>
    </row>
    <row r="75" spans="2:18">
      <c r="B75" s="243">
        <v>45449</v>
      </c>
      <c r="C75" s="244">
        <v>1</v>
      </c>
      <c r="D75" s="245">
        <v>2</v>
      </c>
      <c r="E75" s="246">
        <v>561</v>
      </c>
      <c r="F75" s="247">
        <v>20272865869</v>
      </c>
      <c r="G75" s="248" t="str">
        <f>IFERROR(IF(compras_mes6[[#This Row],[CUIT]]="","-",VLOOKUP(compras_mes6[[#This Row],[CUIT]],Lista_CUIT[#All],2,0)),"CUIT NO CARGADO")</f>
        <v>DI FEO MARTIN EZEQUIEL</v>
      </c>
      <c r="H75" s="249">
        <v>135930</v>
      </c>
      <c r="I75" s="688">
        <f>IF(compras_mes6[[#This Row],[NETO GRAVADO]]="","",compras_mes6[[#This Row],[NETO GRAVADO]]*0.21)</f>
        <v>28545.3</v>
      </c>
      <c r="J75" s="250"/>
      <c r="K75" s="250"/>
      <c r="L75" s="250"/>
      <c r="M75" s="250"/>
      <c r="N75" s="250"/>
      <c r="O75" s="250">
        <v>0</v>
      </c>
      <c r="P75" s="251">
        <f>SUM(compras_mes6[[#This Row],[NETO GRAVADO]:[Otros / No Grav.]])</f>
        <v>164475.29999999999</v>
      </c>
      <c r="Q75" s="252" t="str">
        <f>IFERROR(IF(compras_mes6[[#This Row],[CUIT]]="","-",VLOOKUP(compras_mes6[[#This Row],[CUIT]],Lista_CUIT[#All],3,0)),"CUIT NO CARGADO")</f>
        <v>Productos Ortopedicos</v>
      </c>
      <c r="R75" s="252">
        <f>IFERROR(IF(compras_mes6[[#This Row],[CUIT]]="","-",VLOOKUP(compras_mes6[[#This Row],[CUIT]],Lista_CUIT[#All],4,0)),"CUIT NO CARGADO")</f>
        <v>0</v>
      </c>
    </row>
    <row r="76" spans="2:18">
      <c r="B76" s="243">
        <v>45450</v>
      </c>
      <c r="C76" s="244">
        <v>1</v>
      </c>
      <c r="D76" s="245">
        <v>1</v>
      </c>
      <c r="E76" s="246">
        <v>3515</v>
      </c>
      <c r="F76" s="247">
        <v>30715141201</v>
      </c>
      <c r="G76" s="248" t="str">
        <f>IFERROR(IF(compras_mes6[[#This Row],[CUIT]]="","-",VLOOKUP(compras_mes6[[#This Row],[CUIT]],Lista_CUIT[#All],2,0)),"CUIT NO CARGADO")</f>
        <v>REHAB S.R.L.</v>
      </c>
      <c r="H76" s="249">
        <v>7807756.3099999996</v>
      </c>
      <c r="I76" s="688">
        <f>IF(compras_mes6[[#This Row],[NETO GRAVADO]]="","",compras_mes6[[#This Row],[NETO GRAVADO]]*0.21)</f>
        <v>1639628.8250999998</v>
      </c>
      <c r="J76" s="250"/>
      <c r="K76" s="250"/>
      <c r="L76" s="250"/>
      <c r="M76" s="250"/>
      <c r="N76" s="250"/>
      <c r="O76" s="250">
        <v>0</v>
      </c>
      <c r="P76" s="251">
        <f>SUM(compras_mes6[[#This Row],[NETO GRAVADO]:[Otros / No Grav.]])</f>
        <v>9447385.1350999996</v>
      </c>
      <c r="Q76" s="252" t="str">
        <f>IFERROR(IF(compras_mes6[[#This Row],[CUIT]]="","-",VLOOKUP(compras_mes6[[#This Row],[CUIT]],Lista_CUIT[#All],3,0)),"CUIT NO CARGADO")</f>
        <v>Productos Ortopedicos</v>
      </c>
      <c r="R76" s="252">
        <f>IFERROR(IF(compras_mes6[[#This Row],[CUIT]]="","-",VLOOKUP(compras_mes6[[#This Row],[CUIT]],Lista_CUIT[#All],4,0)),"CUIT NO CARGADO")</f>
        <v>0</v>
      </c>
    </row>
    <row r="77" spans="2:18">
      <c r="B77" s="243">
        <v>45450</v>
      </c>
      <c r="C77" s="244">
        <v>1</v>
      </c>
      <c r="D77" s="245">
        <v>6</v>
      </c>
      <c r="E77" s="246">
        <v>52951</v>
      </c>
      <c r="F77" s="247">
        <v>30710177658</v>
      </c>
      <c r="G77" s="248" t="str">
        <f>IFERROR(IF(compras_mes6[[#This Row],[CUIT]]="","-",VLOOKUP(compras_mes6[[#This Row],[CUIT]],Lista_CUIT[#All],2,0)),"CUIT NO CARGADO")</f>
        <v>TARGET MEDICAL SA</v>
      </c>
      <c r="H77" s="249">
        <v>96767.2</v>
      </c>
      <c r="I77" s="688">
        <f>IF(compras_mes6[[#This Row],[NETO GRAVADO]]="","",compras_mes6[[#This Row],[NETO GRAVADO]]*0.21)</f>
        <v>20321.111999999997</v>
      </c>
      <c r="J77" s="250"/>
      <c r="K77" s="250"/>
      <c r="L77" s="250"/>
      <c r="M77" s="250"/>
      <c r="N77" s="250"/>
      <c r="O77" s="250">
        <v>0</v>
      </c>
      <c r="P77" s="251">
        <f>SUM(compras_mes6[[#This Row],[NETO GRAVADO]:[Otros / No Grav.]])</f>
        <v>117088.31199999999</v>
      </c>
      <c r="Q77" s="252" t="str">
        <f>IFERROR(IF(compras_mes6[[#This Row],[CUIT]]="","-",VLOOKUP(compras_mes6[[#This Row],[CUIT]],Lista_CUIT[#All],3,0)),"CUIT NO CARGADO")</f>
        <v>Productos Ortopedicos</v>
      </c>
      <c r="R77" s="252">
        <f>IFERROR(IF(compras_mes6[[#This Row],[CUIT]]="","-",VLOOKUP(compras_mes6[[#This Row],[CUIT]],Lista_CUIT[#All],4,0)),"CUIT NO CARGADO")</f>
        <v>0</v>
      </c>
    </row>
    <row r="78" spans="2:18">
      <c r="B78" s="243">
        <v>45454</v>
      </c>
      <c r="C78" s="244">
        <v>1</v>
      </c>
      <c r="D78" s="245">
        <v>2</v>
      </c>
      <c r="E78" s="246">
        <v>24555</v>
      </c>
      <c r="F78" s="247">
        <v>23233422029</v>
      </c>
      <c r="G78" s="248" t="str">
        <f>IFERROR(IF(compras_mes6[[#This Row],[CUIT]]="","-",VLOOKUP(compras_mes6[[#This Row],[CUIT]],Lista_CUIT[#All],2,0)),"CUIT NO CARGADO")</f>
        <v>RODOLFO SCHULZE</v>
      </c>
      <c r="H78" s="249">
        <v>71236.800000000003</v>
      </c>
      <c r="I78" s="688">
        <f>IF(compras_mes6[[#This Row],[NETO GRAVADO]]="","",compras_mes6[[#This Row],[NETO GRAVADO]]*0.21)</f>
        <v>14959.727999999999</v>
      </c>
      <c r="J78" s="250"/>
      <c r="K78" s="250"/>
      <c r="L78" s="250"/>
      <c r="M78" s="250"/>
      <c r="N78" s="250"/>
      <c r="O78" s="250">
        <v>0</v>
      </c>
      <c r="P78" s="251">
        <f>SUM(compras_mes6[[#This Row],[NETO GRAVADO]:[Otros / No Grav.]])</f>
        <v>86196.528000000006</v>
      </c>
      <c r="Q78" s="252" t="str">
        <f>IFERROR(IF(compras_mes6[[#This Row],[CUIT]]="","-",VLOOKUP(compras_mes6[[#This Row],[CUIT]],Lista_CUIT[#All],3,0)),"CUIT NO CARGADO")</f>
        <v>Productos Ortopedicos</v>
      </c>
      <c r="R78" s="252">
        <f>IFERROR(IF(compras_mes6[[#This Row],[CUIT]]="","-",VLOOKUP(compras_mes6[[#This Row],[CUIT]],Lista_CUIT[#All],4,0)),"CUIT NO CARGADO")</f>
        <v>0</v>
      </c>
    </row>
    <row r="79" spans="2:18">
      <c r="B79" s="243">
        <v>45454</v>
      </c>
      <c r="C79" s="244">
        <v>1</v>
      </c>
      <c r="D79" s="245">
        <v>6</v>
      </c>
      <c r="E79" s="246">
        <v>52991</v>
      </c>
      <c r="F79" s="247">
        <v>30710177658</v>
      </c>
      <c r="G79" s="248" t="str">
        <f>IFERROR(IF(compras_mes6[[#This Row],[CUIT]]="","-",VLOOKUP(compras_mes6[[#This Row],[CUIT]],Lista_CUIT[#All],2,0)),"CUIT NO CARGADO")</f>
        <v>TARGET MEDICAL SA</v>
      </c>
      <c r="H79" s="249">
        <v>84440</v>
      </c>
      <c r="I79" s="688">
        <f>IF(compras_mes6[[#This Row],[NETO GRAVADO]]="","",compras_mes6[[#This Row],[NETO GRAVADO]]*0.21)</f>
        <v>17732.399999999998</v>
      </c>
      <c r="J79" s="250"/>
      <c r="K79" s="250"/>
      <c r="L79" s="250"/>
      <c r="M79" s="250"/>
      <c r="N79" s="250"/>
      <c r="O79" s="250">
        <v>0</v>
      </c>
      <c r="P79" s="251">
        <f>SUM(compras_mes6[[#This Row],[NETO GRAVADO]:[Otros / No Grav.]])</f>
        <v>102172.4</v>
      </c>
      <c r="Q79" s="252" t="str">
        <f>IFERROR(IF(compras_mes6[[#This Row],[CUIT]]="","-",VLOOKUP(compras_mes6[[#This Row],[CUIT]],Lista_CUIT[#All],3,0)),"CUIT NO CARGADO")</f>
        <v>Productos Ortopedicos</v>
      </c>
      <c r="R79" s="252">
        <f>IFERROR(IF(compras_mes6[[#This Row],[CUIT]]="","-",VLOOKUP(compras_mes6[[#This Row],[CUIT]],Lista_CUIT[#All],4,0)),"CUIT NO CARGADO")</f>
        <v>0</v>
      </c>
    </row>
    <row r="80" spans="2:18">
      <c r="B80" s="243">
        <v>45456</v>
      </c>
      <c r="C80" s="244">
        <v>1</v>
      </c>
      <c r="D80" s="245">
        <v>7</v>
      </c>
      <c r="E80" s="246">
        <v>1205</v>
      </c>
      <c r="F80" s="247">
        <v>30712187316</v>
      </c>
      <c r="G80" s="248" t="str">
        <f>IFERROR(IF(compras_mes6[[#This Row],[CUIT]]="","-",VLOOKUP(compras_mes6[[#This Row],[CUIT]],Lista_CUIT[#All],2,0)),"CUIT NO CARGADO")</f>
        <v>ITALOMED PRODUCTOS SRL</v>
      </c>
      <c r="H80" s="249">
        <v>133634.71</v>
      </c>
      <c r="I80" s="688">
        <f>IF(compras_mes6[[#This Row],[NETO GRAVADO]]="","",compras_mes6[[#This Row],[NETO GRAVADO]]*0.21)</f>
        <v>28063.289099999998</v>
      </c>
      <c r="J80" s="250"/>
      <c r="K80" s="250"/>
      <c r="L80" s="250"/>
      <c r="M80" s="250"/>
      <c r="N80" s="250"/>
      <c r="O80" s="250">
        <v>0</v>
      </c>
      <c r="P80" s="251">
        <f>SUM(compras_mes6[[#This Row],[NETO GRAVADO]:[Otros / No Grav.]])</f>
        <v>161697.99909999999</v>
      </c>
      <c r="Q80" s="252" t="str">
        <f>IFERROR(IF(compras_mes6[[#This Row],[CUIT]]="","-",VLOOKUP(compras_mes6[[#This Row],[CUIT]],Lista_CUIT[#All],3,0)),"CUIT NO CARGADO")</f>
        <v>Productos Ortopedicos</v>
      </c>
      <c r="R80" s="252">
        <f>IFERROR(IF(compras_mes6[[#This Row],[CUIT]]="","-",VLOOKUP(compras_mes6[[#This Row],[CUIT]],Lista_CUIT[#All],4,0)),"CUIT NO CARGADO")</f>
        <v>0</v>
      </c>
    </row>
    <row r="81" spans="2:18">
      <c r="B81" s="258">
        <v>45456</v>
      </c>
      <c r="C81" s="160">
        <v>1</v>
      </c>
      <c r="D81" s="259">
        <v>5</v>
      </c>
      <c r="E81" s="260">
        <v>1753</v>
      </c>
      <c r="F81" s="261">
        <v>30712187316</v>
      </c>
      <c r="G81" s="262" t="str">
        <f>IFERROR(IF(compras_mes6[[#This Row],[CUIT]]="","-",VLOOKUP(compras_mes6[[#This Row],[CUIT]],Lista_CUIT[#All],2,0)),"CUIT NO CARGADO")</f>
        <v>ITALOMED PRODUCTOS SRL</v>
      </c>
      <c r="H81" s="263">
        <v>611497.93000000005</v>
      </c>
      <c r="I81" s="688">
        <f>IF(compras_mes6[[#This Row],[NETO GRAVADO]]="","",compras_mes6[[#This Row],[NETO GRAVADO]]*0.21)</f>
        <v>128414.5653</v>
      </c>
      <c r="J81" s="264"/>
      <c r="K81" s="264"/>
      <c r="L81" s="264"/>
      <c r="M81" s="264"/>
      <c r="N81" s="264"/>
      <c r="O81" s="264">
        <v>0</v>
      </c>
      <c r="P81" s="251">
        <f>SUM(compras_mes6[[#This Row],[NETO GRAVADO]:[Otros / No Grav.]])</f>
        <v>739912.49530000007</v>
      </c>
      <c r="Q81" s="252" t="str">
        <f>IFERROR(IF(compras_mes6[[#This Row],[CUIT]]="","-",VLOOKUP(compras_mes6[[#This Row],[CUIT]],Lista_CUIT[#All],3,0)),"CUIT NO CARGADO")</f>
        <v>Productos Ortopedicos</v>
      </c>
      <c r="R81" s="252">
        <f>IFERROR(IF(compras_mes6[[#This Row],[CUIT]]="","-",VLOOKUP(compras_mes6[[#This Row],[CUIT]],Lista_CUIT[#All],4,0)),"CUIT NO CARGADO")</f>
        <v>0</v>
      </c>
    </row>
    <row r="82" spans="2:18">
      <c r="B82" s="243">
        <v>45456</v>
      </c>
      <c r="C82" s="244">
        <v>1</v>
      </c>
      <c r="D82" s="245">
        <v>17</v>
      </c>
      <c r="E82" s="246">
        <v>2002</v>
      </c>
      <c r="F82" s="247">
        <v>30711764921</v>
      </c>
      <c r="G82" s="248" t="str">
        <f>IFERROR(IF(compras_mes6[[#This Row],[CUIT]]="","-",VLOOKUP(compras_mes6[[#This Row],[CUIT]],Lista_CUIT[#All],2,0)),"CUIT NO CARGADO")</f>
        <v>RELIEF CENTER SRL</v>
      </c>
      <c r="H82" s="249">
        <v>97692</v>
      </c>
      <c r="I82" s="688">
        <f>IF(compras_mes6[[#This Row],[NETO GRAVADO]]="","",compras_mes6[[#This Row],[NETO GRAVADO]]*0.21)</f>
        <v>20515.32</v>
      </c>
      <c r="J82" s="250"/>
      <c r="K82" s="250"/>
      <c r="L82" s="250"/>
      <c r="M82" s="250"/>
      <c r="N82" s="250"/>
      <c r="O82" s="250">
        <v>0</v>
      </c>
      <c r="P82" s="251">
        <f>SUM(compras_mes6[[#This Row],[NETO GRAVADO]:[Otros / No Grav.]])</f>
        <v>118207.32</v>
      </c>
      <c r="Q82" s="252" t="str">
        <f>IFERROR(IF(compras_mes6[[#This Row],[CUIT]]="","-",VLOOKUP(compras_mes6[[#This Row],[CUIT]],Lista_CUIT[#All],3,0)),"CUIT NO CARGADO")</f>
        <v>Productos Ortopedicos</v>
      </c>
      <c r="R82" s="252">
        <f>IFERROR(IF(compras_mes6[[#This Row],[CUIT]]="","-",VLOOKUP(compras_mes6[[#This Row],[CUIT]],Lista_CUIT[#All],4,0)),"CUIT NO CARGADO")</f>
        <v>0</v>
      </c>
    </row>
    <row r="83" spans="2:18">
      <c r="B83" s="243">
        <v>45456</v>
      </c>
      <c r="C83" s="244">
        <v>1</v>
      </c>
      <c r="D83" s="245">
        <v>2</v>
      </c>
      <c r="E83" s="246">
        <v>576</v>
      </c>
      <c r="F83" s="247">
        <v>20272865869</v>
      </c>
      <c r="G83" s="248" t="str">
        <f>IFERROR(IF(compras_mes6[[#This Row],[CUIT]]="","-",VLOOKUP(compras_mes6[[#This Row],[CUIT]],Lista_CUIT[#All],2,0)),"CUIT NO CARGADO")</f>
        <v>DI FEO MARTIN EZEQUIEL</v>
      </c>
      <c r="H83" s="249">
        <v>66850</v>
      </c>
      <c r="I83" s="688">
        <f>IF(compras_mes6[[#This Row],[NETO GRAVADO]]="","",compras_mes6[[#This Row],[NETO GRAVADO]]*0.21)</f>
        <v>14038.5</v>
      </c>
      <c r="J83" s="250"/>
      <c r="K83" s="250"/>
      <c r="L83" s="250"/>
      <c r="M83" s="250"/>
      <c r="N83" s="250"/>
      <c r="O83" s="250">
        <v>0</v>
      </c>
      <c r="P83" s="251">
        <f>SUM(compras_mes6[[#This Row],[NETO GRAVADO]:[Otros / No Grav.]])</f>
        <v>80888.5</v>
      </c>
      <c r="Q83" s="252" t="str">
        <f>IFERROR(IF(compras_mes6[[#This Row],[CUIT]]="","-",VLOOKUP(compras_mes6[[#This Row],[CUIT]],Lista_CUIT[#All],3,0)),"CUIT NO CARGADO")</f>
        <v>Productos Ortopedicos</v>
      </c>
      <c r="R83" s="252">
        <f>IFERROR(IF(compras_mes6[[#This Row],[CUIT]]="","-",VLOOKUP(compras_mes6[[#This Row],[CUIT]],Lista_CUIT[#All],4,0)),"CUIT NO CARGADO")</f>
        <v>0</v>
      </c>
    </row>
    <row r="84" spans="2:18">
      <c r="B84" s="243">
        <v>45457</v>
      </c>
      <c r="C84" s="244">
        <v>1</v>
      </c>
      <c r="D84" s="245">
        <v>8</v>
      </c>
      <c r="E84" s="246">
        <v>289</v>
      </c>
      <c r="F84" s="247">
        <v>30643518364</v>
      </c>
      <c r="G84" s="248" t="str">
        <f>IFERROR(IF(compras_mes6[[#This Row],[CUIT]]="","-",VLOOKUP(compras_mes6[[#This Row],[CUIT]],Lista_CUIT[#All],2,0)),"CUIT NO CARGADO")</f>
        <v>FARMACIA DE MEDRANO SCS</v>
      </c>
      <c r="H84" s="249">
        <v>190470</v>
      </c>
      <c r="I84" s="688">
        <f>IF(compras_mes6[[#This Row],[NETO GRAVADO]]="","",compras_mes6[[#This Row],[NETO GRAVADO]]*0.21)</f>
        <v>39998.699999999997</v>
      </c>
      <c r="J84" s="250"/>
      <c r="K84" s="250"/>
      <c r="L84" s="250"/>
      <c r="M84" s="250"/>
      <c r="N84" s="250"/>
      <c r="O84" s="250">
        <v>0</v>
      </c>
      <c r="P84" s="251">
        <f>SUM(compras_mes6[[#This Row],[NETO GRAVADO]:[Otros / No Grav.]])</f>
        <v>230468.7</v>
      </c>
      <c r="Q84" s="252" t="str">
        <f>IFERROR(IF(compras_mes6[[#This Row],[CUIT]]="","-",VLOOKUP(compras_mes6[[#This Row],[CUIT]],Lista_CUIT[#All],3,0)),"CUIT NO CARGADO")</f>
        <v>Productos Ortopedicos</v>
      </c>
      <c r="R84" s="252">
        <f>IFERROR(IF(compras_mes6[[#This Row],[CUIT]]="","-",VLOOKUP(compras_mes6[[#This Row],[CUIT]],Lista_CUIT[#All],4,0)),"CUIT NO CARGADO")</f>
        <v>0</v>
      </c>
    </row>
    <row r="85" spans="2:18">
      <c r="B85" s="258">
        <v>45457</v>
      </c>
      <c r="C85" s="160">
        <v>1</v>
      </c>
      <c r="D85" s="259">
        <v>1</v>
      </c>
      <c r="E85" s="260">
        <v>3566</v>
      </c>
      <c r="F85" s="261">
        <v>30715141201</v>
      </c>
      <c r="G85" s="262" t="str">
        <f>IFERROR(IF(compras_mes6[[#This Row],[CUIT]]="","-",VLOOKUP(compras_mes6[[#This Row],[CUIT]],Lista_CUIT[#All],2,0)),"CUIT NO CARGADO")</f>
        <v>REHAB S.R.L.</v>
      </c>
      <c r="H85" s="263">
        <v>273655.03999999998</v>
      </c>
      <c r="I85" s="688">
        <f>IF(compras_mes6[[#This Row],[NETO GRAVADO]]="","",compras_mes6[[#This Row],[NETO GRAVADO]]*0.21)</f>
        <v>57467.558399999994</v>
      </c>
      <c r="J85" s="264"/>
      <c r="K85" s="264"/>
      <c r="L85" s="264"/>
      <c r="M85" s="264"/>
      <c r="N85" s="264"/>
      <c r="O85" s="264">
        <v>0</v>
      </c>
      <c r="P85" s="251">
        <f>SUM(compras_mes6[[#This Row],[NETO GRAVADO]:[Otros / No Grav.]])</f>
        <v>331122.59839999996</v>
      </c>
      <c r="Q85" s="252" t="str">
        <f>IFERROR(IF(compras_mes6[[#This Row],[CUIT]]="","-",VLOOKUP(compras_mes6[[#This Row],[CUIT]],Lista_CUIT[#All],3,0)),"CUIT NO CARGADO")</f>
        <v>Productos Ortopedicos</v>
      </c>
      <c r="R85" s="252">
        <f>IFERROR(IF(compras_mes6[[#This Row],[CUIT]]="","-",VLOOKUP(compras_mes6[[#This Row],[CUIT]],Lista_CUIT[#All],4,0)),"CUIT NO CARGADO")</f>
        <v>0</v>
      </c>
    </row>
    <row r="86" spans="2:18">
      <c r="B86" s="243">
        <v>45460</v>
      </c>
      <c r="C86" s="244">
        <v>1</v>
      </c>
      <c r="D86" s="245">
        <v>11</v>
      </c>
      <c r="E86" s="246">
        <v>59513</v>
      </c>
      <c r="F86" s="247">
        <v>30711091552</v>
      </c>
      <c r="G86" s="248" t="str">
        <f>IFERROR(IF(compras_mes6[[#This Row],[CUIT]]="","-",VLOOKUP(compras_mes6[[#This Row],[CUIT]],Lista_CUIT[#All],2,0)),"CUIT NO CARGADO")</f>
        <v>BIGBOX S.A.</v>
      </c>
      <c r="H86" s="249">
        <v>95041.32</v>
      </c>
      <c r="I86" s="688">
        <f>IF(compras_mes6[[#This Row],[NETO GRAVADO]]="","",compras_mes6[[#This Row],[NETO GRAVADO]]*0.21)</f>
        <v>19958.677200000002</v>
      </c>
      <c r="J86" s="250"/>
      <c r="K86" s="250"/>
      <c r="L86" s="250"/>
      <c r="M86" s="250"/>
      <c r="N86" s="250"/>
      <c r="O86" s="250">
        <v>0</v>
      </c>
      <c r="P86" s="251">
        <f>SUM(compras_mes6[[#This Row],[NETO GRAVADO]:[Otros / No Grav.]])</f>
        <v>114999.99720000001</v>
      </c>
      <c r="Q86" s="252" t="str">
        <f>IFERROR(IF(compras_mes6[[#This Row],[CUIT]]="","-",VLOOKUP(compras_mes6[[#This Row],[CUIT]],Lista_CUIT[#All],3,0)),"CUIT NO CARGADO")</f>
        <v>Productos Ortopedicos</v>
      </c>
      <c r="R86" s="252">
        <f>IFERROR(IF(compras_mes6[[#This Row],[CUIT]]="","-",VLOOKUP(compras_mes6[[#This Row],[CUIT]],Lista_CUIT[#All],4,0)),"CUIT NO CARGADO")</f>
        <v>0</v>
      </c>
    </row>
    <row r="87" spans="2:18">
      <c r="B87" s="258">
        <v>45461</v>
      </c>
      <c r="C87" s="265">
        <v>1</v>
      </c>
      <c r="D87" s="259">
        <v>3</v>
      </c>
      <c r="E87" s="260">
        <v>3717</v>
      </c>
      <c r="F87" s="261">
        <v>20182721787</v>
      </c>
      <c r="G87" s="262" t="str">
        <f>IFERROR(IF(compras_mes6[[#This Row],[CUIT]]="","-",VLOOKUP(compras_mes6[[#This Row],[CUIT]],Lista_CUIT[#All],2,0)),"CUIT NO CARGADO")</f>
        <v>CARLOS DANIEL QUIROZ</v>
      </c>
      <c r="H87" s="263">
        <v>25000</v>
      </c>
      <c r="I87" s="688">
        <f>IF(compras_mes6[[#This Row],[NETO GRAVADO]]="","",compras_mes6[[#This Row],[NETO GRAVADO]]*0.21)</f>
        <v>5250</v>
      </c>
      <c r="J87" s="264"/>
      <c r="K87" s="264"/>
      <c r="L87" s="264"/>
      <c r="M87" s="264"/>
      <c r="N87" s="264"/>
      <c r="O87" s="264">
        <v>0</v>
      </c>
      <c r="P87" s="251">
        <f>SUM(compras_mes6[[#This Row],[NETO GRAVADO]:[Otros / No Grav.]])</f>
        <v>30250</v>
      </c>
      <c r="Q87" s="252" t="str">
        <f>IFERROR(IF(compras_mes6[[#This Row],[CUIT]]="","-",VLOOKUP(compras_mes6[[#This Row],[CUIT]],Lista_CUIT[#All],3,0)),"CUIT NO CARGADO")</f>
        <v>Productos Ortopedicos</v>
      </c>
      <c r="R87" s="252">
        <f>IFERROR(IF(compras_mes6[[#This Row],[CUIT]]="","-",VLOOKUP(compras_mes6[[#This Row],[CUIT]],Lista_CUIT[#All],4,0)),"CUIT NO CARGADO")</f>
        <v>0</v>
      </c>
    </row>
    <row r="88" spans="2:18">
      <c r="B88" s="258">
        <v>45462</v>
      </c>
      <c r="C88" s="160">
        <v>1</v>
      </c>
      <c r="D88" s="259">
        <v>401</v>
      </c>
      <c r="E88" s="260">
        <v>32</v>
      </c>
      <c r="F88" s="261">
        <v>30716234114</v>
      </c>
      <c r="G88" s="262" t="str">
        <f>IFERROR(IF(compras_mes6[[#This Row],[CUIT]]="","-",VLOOKUP(compras_mes6[[#This Row],[CUIT]],Lista_CUIT[#All],2,0)),"CUIT NO CARGADO")</f>
        <v>UZUMAKI S.A.S.</v>
      </c>
      <c r="H88" s="263">
        <v>200</v>
      </c>
      <c r="I88" s="688">
        <f>IF(compras_mes6[[#This Row],[NETO GRAVADO]]="","",compras_mes6[[#This Row],[NETO GRAVADO]]*0.21)</f>
        <v>42</v>
      </c>
      <c r="J88" s="264"/>
      <c r="K88" s="264"/>
      <c r="L88" s="264"/>
      <c r="M88" s="264"/>
      <c r="N88" s="264"/>
      <c r="O88" s="264">
        <v>0</v>
      </c>
      <c r="P88" s="251">
        <f>SUM(compras_mes6[[#This Row],[NETO GRAVADO]:[Otros / No Grav.]])</f>
        <v>242</v>
      </c>
      <c r="Q88" s="252" t="str">
        <f>IFERROR(IF(compras_mes6[[#This Row],[CUIT]]="","-",VLOOKUP(compras_mes6[[#This Row],[CUIT]],Lista_CUIT[#All],3,0)),"CUIT NO CARGADO")</f>
        <v>Productos Ortopedicos</v>
      </c>
      <c r="R88" s="252">
        <f>IFERROR(IF(compras_mes6[[#This Row],[CUIT]]="","-",VLOOKUP(compras_mes6[[#This Row],[CUIT]],Lista_CUIT[#All],4,0)),"CUIT NO CARGADO")</f>
        <v>0</v>
      </c>
    </row>
    <row r="89" spans="2:18">
      <c r="B89" s="258">
        <v>45462</v>
      </c>
      <c r="C89" s="160">
        <v>1</v>
      </c>
      <c r="D89" s="259">
        <v>2</v>
      </c>
      <c r="E89" s="260">
        <v>19</v>
      </c>
      <c r="F89" s="261">
        <v>27243660535</v>
      </c>
      <c r="G89" s="262" t="str">
        <f>IFERROR(IF(compras_mes6[[#This Row],[CUIT]]="","-",VLOOKUP(compras_mes6[[#This Row],[CUIT]],Lista_CUIT[#All],2,0)),"CUIT NO CARGADO")</f>
        <v>BARD MARISA SILVIA</v>
      </c>
      <c r="H89" s="263">
        <v>360000</v>
      </c>
      <c r="I89" s="688">
        <f>IF(compras_mes6[[#This Row],[NETO GRAVADO]]="","",compras_mes6[[#This Row],[NETO GRAVADO]]*0.21)</f>
        <v>75600</v>
      </c>
      <c r="J89" s="264"/>
      <c r="K89" s="264"/>
      <c r="L89" s="264"/>
      <c r="M89" s="264"/>
      <c r="N89" s="264"/>
      <c r="O89" s="264">
        <v>0</v>
      </c>
      <c r="P89" s="251">
        <f>SUM(compras_mes6[[#This Row],[NETO GRAVADO]:[Otros / No Grav.]])</f>
        <v>435600</v>
      </c>
      <c r="Q89" s="252" t="str">
        <f>IFERROR(IF(compras_mes6[[#This Row],[CUIT]]="","-",VLOOKUP(compras_mes6[[#This Row],[CUIT]],Lista_CUIT[#All],3,0)),"CUIT NO CARGADO")</f>
        <v>Productos Ortopedicos</v>
      </c>
      <c r="R89" s="252">
        <f>IFERROR(IF(compras_mes6[[#This Row],[CUIT]]="","-",VLOOKUP(compras_mes6[[#This Row],[CUIT]],Lista_CUIT[#All],4,0)),"CUIT NO CARGADO")</f>
        <v>0</v>
      </c>
    </row>
    <row r="90" spans="2:18">
      <c r="B90" s="243">
        <v>45462</v>
      </c>
      <c r="C90" s="244">
        <v>1</v>
      </c>
      <c r="D90" s="245">
        <v>2</v>
      </c>
      <c r="E90" s="246">
        <v>593</v>
      </c>
      <c r="F90" s="247">
        <v>20272865869</v>
      </c>
      <c r="G90" s="248" t="str">
        <f>IFERROR(IF(compras_mes6[[#This Row],[CUIT]]="","-",VLOOKUP(compras_mes6[[#This Row],[CUIT]],Lista_CUIT[#All],2,0)),"CUIT NO CARGADO")</f>
        <v>DI FEO MARTIN EZEQUIEL</v>
      </c>
      <c r="H90" s="249">
        <v>130190</v>
      </c>
      <c r="I90" s="688">
        <f>IF(compras_mes6[[#This Row],[NETO GRAVADO]]="","",compras_mes6[[#This Row],[NETO GRAVADO]]*0.21)</f>
        <v>27339.899999999998</v>
      </c>
      <c r="J90" s="250"/>
      <c r="K90" s="250"/>
      <c r="L90" s="250"/>
      <c r="M90" s="250"/>
      <c r="N90" s="250"/>
      <c r="O90" s="250">
        <v>0</v>
      </c>
      <c r="P90" s="251">
        <f>SUM(compras_mes6[[#This Row],[NETO GRAVADO]:[Otros / No Grav.]])</f>
        <v>157529.9</v>
      </c>
      <c r="Q90" s="252" t="str">
        <f>IFERROR(IF(compras_mes6[[#This Row],[CUIT]]="","-",VLOOKUP(compras_mes6[[#This Row],[CUIT]],Lista_CUIT[#All],3,0)),"CUIT NO CARGADO")</f>
        <v>Productos Ortopedicos</v>
      </c>
      <c r="R90" s="252">
        <f>IFERROR(IF(compras_mes6[[#This Row],[CUIT]]="","-",VLOOKUP(compras_mes6[[#This Row],[CUIT]],Lista_CUIT[#All],4,0)),"CUIT NO CARGADO")</f>
        <v>0</v>
      </c>
    </row>
    <row r="91" spans="2:18">
      <c r="B91" s="243">
        <v>45462</v>
      </c>
      <c r="C91" s="244">
        <v>1</v>
      </c>
      <c r="D91" s="245">
        <v>5</v>
      </c>
      <c r="E91" s="246">
        <v>1761</v>
      </c>
      <c r="F91" s="247">
        <v>30712187316</v>
      </c>
      <c r="G91" s="248" t="str">
        <f>IFERROR(IF(compras_mes6[[#This Row],[CUIT]]="","-",VLOOKUP(compras_mes6[[#This Row],[CUIT]],Lista_CUIT[#All],2,0)),"CUIT NO CARGADO")</f>
        <v>ITALOMED PRODUCTOS SRL</v>
      </c>
      <c r="H91" s="249">
        <v>237149.46</v>
      </c>
      <c r="I91" s="688">
        <f>IF(compras_mes6[[#This Row],[NETO GRAVADO]]="","",compras_mes6[[#This Row],[NETO GRAVADO]]*0.21)</f>
        <v>49801.386599999998</v>
      </c>
      <c r="J91" s="250"/>
      <c r="K91" s="250"/>
      <c r="L91" s="250"/>
      <c r="M91" s="250"/>
      <c r="N91" s="250"/>
      <c r="O91" s="250">
        <v>0</v>
      </c>
      <c r="P91" s="251">
        <f>SUM(compras_mes6[[#This Row],[NETO GRAVADO]:[Otros / No Grav.]])</f>
        <v>286950.84659999999</v>
      </c>
      <c r="Q91" s="252" t="str">
        <f>IFERROR(IF(compras_mes6[[#This Row],[CUIT]]="","-",VLOOKUP(compras_mes6[[#This Row],[CUIT]],Lista_CUIT[#All],3,0)),"CUIT NO CARGADO")</f>
        <v>Productos Ortopedicos</v>
      </c>
      <c r="R91" s="252">
        <f>IFERROR(IF(compras_mes6[[#This Row],[CUIT]]="","-",VLOOKUP(compras_mes6[[#This Row],[CUIT]],Lista_CUIT[#All],4,0)),"CUIT NO CARGADO")</f>
        <v>0</v>
      </c>
    </row>
    <row r="92" spans="2:18">
      <c r="B92" s="243">
        <v>45467</v>
      </c>
      <c r="C92" s="244">
        <v>1</v>
      </c>
      <c r="D92" s="245">
        <v>7</v>
      </c>
      <c r="E92" s="246">
        <v>1214</v>
      </c>
      <c r="F92" s="247">
        <v>30712187316</v>
      </c>
      <c r="G92" s="248" t="str">
        <f>IFERROR(IF(compras_mes6[[#This Row],[CUIT]]="","-",VLOOKUP(compras_mes6[[#This Row],[CUIT]],Lista_CUIT[#All],2,0)),"CUIT NO CARGADO")</f>
        <v>ITALOMED PRODUCTOS SRL</v>
      </c>
      <c r="H92" s="249">
        <v>123531.4</v>
      </c>
      <c r="I92" s="688">
        <f>IF(compras_mes6[[#This Row],[NETO GRAVADO]]="","",compras_mes6[[#This Row],[NETO GRAVADO]]*0.21)</f>
        <v>25941.593999999997</v>
      </c>
      <c r="J92" s="250"/>
      <c r="K92" s="250"/>
      <c r="L92" s="250"/>
      <c r="M92" s="250"/>
      <c r="N92" s="250"/>
      <c r="O92" s="250">
        <v>0</v>
      </c>
      <c r="P92" s="251">
        <f>SUM(compras_mes6[[#This Row],[NETO GRAVADO]:[Otros / No Grav.]])</f>
        <v>149472.99400000001</v>
      </c>
      <c r="Q92" s="252" t="str">
        <f>IFERROR(IF(compras_mes6[[#This Row],[CUIT]]="","-",VLOOKUP(compras_mes6[[#This Row],[CUIT]],Lista_CUIT[#All],3,0)),"CUIT NO CARGADO")</f>
        <v>Productos Ortopedicos</v>
      </c>
      <c r="R92" s="252">
        <f>IFERROR(IF(compras_mes6[[#This Row],[CUIT]]="","-",VLOOKUP(compras_mes6[[#This Row],[CUIT]],Lista_CUIT[#All],4,0)),"CUIT NO CARGADO")</f>
        <v>0</v>
      </c>
    </row>
    <row r="93" spans="2:18">
      <c r="B93" s="243">
        <v>45467</v>
      </c>
      <c r="C93" s="244">
        <v>1</v>
      </c>
      <c r="D93" s="245">
        <v>7</v>
      </c>
      <c r="E93" s="246">
        <v>1213</v>
      </c>
      <c r="F93" s="247">
        <v>30712187316</v>
      </c>
      <c r="G93" s="248" t="str">
        <f>IFERROR(IF(compras_mes6[[#This Row],[CUIT]]="","-",VLOOKUP(compras_mes6[[#This Row],[CUIT]],Lista_CUIT[#All],2,0)),"CUIT NO CARGADO")</f>
        <v>ITALOMED PRODUCTOS SRL</v>
      </c>
      <c r="H93" s="249">
        <v>12396.69</v>
      </c>
      <c r="I93" s="688">
        <f>IF(compras_mes6[[#This Row],[NETO GRAVADO]]="","",compras_mes6[[#This Row],[NETO GRAVADO]]*0.21)</f>
        <v>2603.3049000000001</v>
      </c>
      <c r="J93" s="250"/>
      <c r="K93" s="250"/>
      <c r="L93" s="250"/>
      <c r="M93" s="250"/>
      <c r="N93" s="250"/>
      <c r="O93" s="250">
        <v>0</v>
      </c>
      <c r="P93" s="251">
        <f>SUM(compras_mes6[[#This Row],[NETO GRAVADO]:[Otros / No Grav.]])</f>
        <v>14999.994900000002</v>
      </c>
      <c r="Q93" s="252" t="str">
        <f>IFERROR(IF(compras_mes6[[#This Row],[CUIT]]="","-",VLOOKUP(compras_mes6[[#This Row],[CUIT]],Lista_CUIT[#All],3,0)),"CUIT NO CARGADO")</f>
        <v>Productos Ortopedicos</v>
      </c>
      <c r="R93" s="252">
        <f>IFERROR(IF(compras_mes6[[#This Row],[CUIT]]="","-",VLOOKUP(compras_mes6[[#This Row],[CUIT]],Lista_CUIT[#All],4,0)),"CUIT NO CARGADO")</f>
        <v>0</v>
      </c>
    </row>
    <row r="94" spans="2:18">
      <c r="B94" s="243">
        <v>45467</v>
      </c>
      <c r="C94" s="244">
        <v>1</v>
      </c>
      <c r="D94" s="245">
        <v>2</v>
      </c>
      <c r="E94" s="246">
        <v>598</v>
      </c>
      <c r="F94" s="247">
        <v>20272865869</v>
      </c>
      <c r="G94" s="248" t="str">
        <f>IFERROR(IF(compras_mes6[[#This Row],[CUIT]]="","-",VLOOKUP(compras_mes6[[#This Row],[CUIT]],Lista_CUIT[#All],2,0)),"CUIT NO CARGADO")</f>
        <v>DI FEO MARTIN EZEQUIEL</v>
      </c>
      <c r="H94" s="249">
        <v>11036.78</v>
      </c>
      <c r="I94" s="688">
        <f>IF(compras_mes6[[#This Row],[NETO GRAVADO]]="","",compras_mes6[[#This Row],[NETO GRAVADO]]*0.21)</f>
        <v>2317.7238000000002</v>
      </c>
      <c r="J94" s="250"/>
      <c r="K94" s="250"/>
      <c r="L94" s="250"/>
      <c r="M94" s="250"/>
      <c r="N94" s="250"/>
      <c r="O94" s="250">
        <v>0</v>
      </c>
      <c r="P94" s="251">
        <f>SUM(compras_mes6[[#This Row],[NETO GRAVADO]:[Otros / No Grav.]])</f>
        <v>13354.5038</v>
      </c>
      <c r="Q94" s="252" t="str">
        <f>IFERROR(IF(compras_mes6[[#This Row],[CUIT]]="","-",VLOOKUP(compras_mes6[[#This Row],[CUIT]],Lista_CUIT[#All],3,0)),"CUIT NO CARGADO")</f>
        <v>Productos Ortopedicos</v>
      </c>
      <c r="R94" s="252">
        <f>IFERROR(IF(compras_mes6[[#This Row],[CUIT]]="","-",VLOOKUP(compras_mes6[[#This Row],[CUIT]],Lista_CUIT[#All],4,0)),"CUIT NO CARGADO")</f>
        <v>0</v>
      </c>
    </row>
    <row r="95" spans="2:18">
      <c r="B95" s="243">
        <v>45468</v>
      </c>
      <c r="C95" s="244">
        <v>1</v>
      </c>
      <c r="D95" s="245">
        <v>5</v>
      </c>
      <c r="E95" s="246">
        <v>5120</v>
      </c>
      <c r="F95" s="247">
        <v>30715833243</v>
      </c>
      <c r="G95" s="248" t="str">
        <f>IFERROR(IF(compras_mes6[[#This Row],[CUIT]]="","-",VLOOKUP(compras_mes6[[#This Row],[CUIT]],Lista_CUIT[#All],2,0)),"CUIT NO CARGADO")</f>
        <v>BIODINAMICA ASIST E INSUMOS</v>
      </c>
      <c r="H95" s="249">
        <v>113574</v>
      </c>
      <c r="I95" s="688">
        <f>IF(compras_mes6[[#This Row],[NETO GRAVADO]]="","",compras_mes6[[#This Row],[NETO GRAVADO]]*0.21)</f>
        <v>23850.54</v>
      </c>
      <c r="J95" s="250"/>
      <c r="K95" s="250"/>
      <c r="L95" s="250"/>
      <c r="M95" s="250"/>
      <c r="N95" s="250"/>
      <c r="O95" s="250">
        <v>0</v>
      </c>
      <c r="P95" s="251">
        <f>SUM(compras_mes6[[#This Row],[NETO GRAVADO]:[Otros / No Grav.]])</f>
        <v>137424.54</v>
      </c>
      <c r="Q95" s="252" t="str">
        <f>IFERROR(IF(compras_mes6[[#This Row],[CUIT]]="","-",VLOOKUP(compras_mes6[[#This Row],[CUIT]],Lista_CUIT[#All],3,0)),"CUIT NO CARGADO")</f>
        <v>Productos Ortopedicos</v>
      </c>
      <c r="R95" s="252">
        <f>IFERROR(IF(compras_mes6[[#This Row],[CUIT]]="","-",VLOOKUP(compras_mes6[[#This Row],[CUIT]],Lista_CUIT[#All],4,0)),"CUIT NO CARGADO")</f>
        <v>0</v>
      </c>
    </row>
    <row r="96" spans="2:18">
      <c r="B96" s="243">
        <v>45469</v>
      </c>
      <c r="C96" s="244">
        <v>1</v>
      </c>
      <c r="D96" s="245">
        <v>1</v>
      </c>
      <c r="E96" s="246">
        <v>3654</v>
      </c>
      <c r="F96" s="247">
        <v>30715141201</v>
      </c>
      <c r="G96" s="248" t="str">
        <f>IFERROR(IF(compras_mes6[[#This Row],[CUIT]]="","-",VLOOKUP(compras_mes6[[#This Row],[CUIT]],Lista_CUIT[#All],2,0)),"CUIT NO CARGADO")</f>
        <v>REHAB S.R.L.</v>
      </c>
      <c r="H96" s="249">
        <v>2538513</v>
      </c>
      <c r="I96" s="688">
        <f>IF(compras_mes6[[#This Row],[NETO GRAVADO]]="","",compras_mes6[[#This Row],[NETO GRAVADO]]*0.21)</f>
        <v>533087.73</v>
      </c>
      <c r="J96" s="250"/>
      <c r="K96" s="250"/>
      <c r="L96" s="250"/>
      <c r="M96" s="250"/>
      <c r="N96" s="250"/>
      <c r="O96" s="250">
        <v>0</v>
      </c>
      <c r="P96" s="251">
        <f>SUM(compras_mes6[[#This Row],[NETO GRAVADO]:[Otros / No Grav.]])</f>
        <v>3071600.73</v>
      </c>
      <c r="Q96" s="252" t="str">
        <f>IFERROR(IF(compras_mes6[[#This Row],[CUIT]]="","-",VLOOKUP(compras_mes6[[#This Row],[CUIT]],Lista_CUIT[#All],3,0)),"CUIT NO CARGADO")</f>
        <v>Productos Ortopedicos</v>
      </c>
      <c r="R96" s="252">
        <f>IFERROR(IF(compras_mes6[[#This Row],[CUIT]]="","-",VLOOKUP(compras_mes6[[#This Row],[CUIT]],Lista_CUIT[#All],4,0)),"CUIT NO CARGADO")</f>
        <v>0</v>
      </c>
    </row>
    <row r="97" spans="2:18">
      <c r="B97" s="243">
        <v>45469</v>
      </c>
      <c r="C97" s="244">
        <v>1</v>
      </c>
      <c r="D97" s="245">
        <v>5</v>
      </c>
      <c r="E97" s="246">
        <v>1769</v>
      </c>
      <c r="F97" s="247">
        <v>30712187316</v>
      </c>
      <c r="G97" s="248" t="str">
        <f>IFERROR(IF(compras_mes6[[#This Row],[CUIT]]="","-",VLOOKUP(compras_mes6[[#This Row],[CUIT]],Lista_CUIT[#All],2,0)),"CUIT NO CARGADO")</f>
        <v>ITALOMED PRODUCTOS SRL</v>
      </c>
      <c r="H97" s="249">
        <v>296349.18</v>
      </c>
      <c r="I97" s="688">
        <f>IF(compras_mes6[[#This Row],[NETO GRAVADO]]="","",compras_mes6[[#This Row],[NETO GRAVADO]]*0.21)</f>
        <v>62233.327799999999</v>
      </c>
      <c r="J97" s="250"/>
      <c r="K97" s="250"/>
      <c r="L97" s="250"/>
      <c r="M97" s="250"/>
      <c r="N97" s="250"/>
      <c r="O97" s="250">
        <v>0</v>
      </c>
      <c r="P97" s="251">
        <f>SUM(compras_mes6[[#This Row],[NETO GRAVADO]:[Otros / No Grav.]])</f>
        <v>358582.50780000002</v>
      </c>
      <c r="Q97" s="252" t="str">
        <f>IFERROR(IF(compras_mes6[[#This Row],[CUIT]]="","-",VLOOKUP(compras_mes6[[#This Row],[CUIT]],Lista_CUIT[#All],3,0)),"CUIT NO CARGADO")</f>
        <v>Productos Ortopedicos</v>
      </c>
      <c r="R97" s="252">
        <f>IFERROR(IF(compras_mes6[[#This Row],[CUIT]]="","-",VLOOKUP(compras_mes6[[#This Row],[CUIT]],Lista_CUIT[#All],4,0)),"CUIT NO CARGADO")</f>
        <v>0</v>
      </c>
    </row>
    <row r="98" spans="2:18">
      <c r="B98" s="243">
        <v>45470</v>
      </c>
      <c r="C98" s="244">
        <v>1</v>
      </c>
      <c r="D98" s="245">
        <v>1</v>
      </c>
      <c r="E98" s="246">
        <v>3702</v>
      </c>
      <c r="F98" s="247">
        <v>30715141201</v>
      </c>
      <c r="G98" s="248" t="str">
        <f>IFERROR(IF(compras_mes6[[#This Row],[CUIT]]="","-",VLOOKUP(compras_mes6[[#This Row],[CUIT]],Lista_CUIT[#All],2,0)),"CUIT NO CARGADO")</f>
        <v>REHAB S.R.L.</v>
      </c>
      <c r="H98" s="249">
        <v>95816.12</v>
      </c>
      <c r="I98" s="688">
        <f>IF(compras_mes6[[#This Row],[NETO GRAVADO]]="","",compras_mes6[[#This Row],[NETO GRAVADO]]*0.21)</f>
        <v>20121.385199999997</v>
      </c>
      <c r="J98" s="250"/>
      <c r="K98" s="250"/>
      <c r="L98" s="250"/>
      <c r="M98" s="250"/>
      <c r="N98" s="250"/>
      <c r="O98" s="250">
        <v>0</v>
      </c>
      <c r="P98" s="251">
        <f>SUM(compras_mes6[[#This Row],[NETO GRAVADO]:[Otros / No Grav.]])</f>
        <v>115937.50519999999</v>
      </c>
      <c r="Q98" s="252" t="str">
        <f>IFERROR(IF(compras_mes6[[#This Row],[CUIT]]="","-",VLOOKUP(compras_mes6[[#This Row],[CUIT]],Lista_CUIT[#All],3,0)),"CUIT NO CARGADO")</f>
        <v>Productos Ortopedicos</v>
      </c>
      <c r="R98" s="252">
        <f>IFERROR(IF(compras_mes6[[#This Row],[CUIT]]="","-",VLOOKUP(compras_mes6[[#This Row],[CUIT]],Lista_CUIT[#All],4,0)),"CUIT NO CARGADO")</f>
        <v>0</v>
      </c>
    </row>
    <row r="99" spans="2:18">
      <c r="B99" s="243">
        <v>45470</v>
      </c>
      <c r="C99" s="244">
        <v>1</v>
      </c>
      <c r="D99" s="245">
        <v>2</v>
      </c>
      <c r="E99" s="246">
        <v>605</v>
      </c>
      <c r="F99" s="247">
        <v>20272865869</v>
      </c>
      <c r="G99" s="248" t="str">
        <f>IFERROR(IF(compras_mes6[[#This Row],[CUIT]]="","-",VLOOKUP(compras_mes6[[#This Row],[CUIT]],Lista_CUIT[#All],2,0)),"CUIT NO CARGADO")</f>
        <v>DI FEO MARTIN EZEQUIEL</v>
      </c>
      <c r="H99" s="249">
        <v>118050</v>
      </c>
      <c r="I99" s="688">
        <f>IF(compras_mes6[[#This Row],[NETO GRAVADO]]="","",compras_mes6[[#This Row],[NETO GRAVADO]]*0.21)</f>
        <v>24790.5</v>
      </c>
      <c r="J99" s="250"/>
      <c r="K99" s="250"/>
      <c r="L99" s="250"/>
      <c r="M99" s="250"/>
      <c r="N99" s="250"/>
      <c r="O99" s="250">
        <v>0</v>
      </c>
      <c r="P99" s="251">
        <f>SUM(compras_mes6[[#This Row],[NETO GRAVADO]:[Otros / No Grav.]])</f>
        <v>142840.5</v>
      </c>
      <c r="Q99" s="252" t="str">
        <f>IFERROR(IF(compras_mes6[[#This Row],[CUIT]]="","-",VLOOKUP(compras_mes6[[#This Row],[CUIT]],Lista_CUIT[#All],3,0)),"CUIT NO CARGADO")</f>
        <v>Productos Ortopedicos</v>
      </c>
      <c r="R99" s="252">
        <f>IFERROR(IF(compras_mes6[[#This Row],[CUIT]]="","-",VLOOKUP(compras_mes6[[#This Row],[CUIT]],Lista_CUIT[#All],4,0)),"CUIT NO CARGADO")</f>
        <v>0</v>
      </c>
    </row>
    <row r="100" spans="2:18">
      <c r="B100" s="243">
        <v>45471</v>
      </c>
      <c r="C100" s="244">
        <v>1</v>
      </c>
      <c r="D100" s="245">
        <v>1</v>
      </c>
      <c r="E100" s="246">
        <v>3713</v>
      </c>
      <c r="F100" s="247">
        <v>30715141201</v>
      </c>
      <c r="G100" s="248" t="str">
        <f>IFERROR(IF(compras_mes6[[#This Row],[CUIT]]="","-",VLOOKUP(compras_mes6[[#This Row],[CUIT]],Lista_CUIT[#All],2,0)),"CUIT NO CARGADO")</f>
        <v>REHAB S.R.L.</v>
      </c>
      <c r="H100" s="249">
        <v>632664</v>
      </c>
      <c r="I100" s="688">
        <f>IF(compras_mes6[[#This Row],[NETO GRAVADO]]="","",compras_mes6[[#This Row],[NETO GRAVADO]]*0.21)</f>
        <v>132859.44</v>
      </c>
      <c r="J100" s="250"/>
      <c r="K100" s="250"/>
      <c r="L100" s="250"/>
      <c r="M100" s="250"/>
      <c r="N100" s="250"/>
      <c r="O100" s="250">
        <v>0</v>
      </c>
      <c r="P100" s="251">
        <f>SUM(compras_mes6[[#This Row],[NETO GRAVADO]:[Otros / No Grav.]])</f>
        <v>765523.44</v>
      </c>
      <c r="Q100" s="252" t="str">
        <f>IFERROR(IF(compras_mes6[[#This Row],[CUIT]]="","-",VLOOKUP(compras_mes6[[#This Row],[CUIT]],Lista_CUIT[#All],3,0)),"CUIT NO CARGADO")</f>
        <v>Productos Ortopedicos</v>
      </c>
      <c r="R100" s="252">
        <f>IFERROR(IF(compras_mes6[[#This Row],[CUIT]]="","-",VLOOKUP(compras_mes6[[#This Row],[CUIT]],Lista_CUIT[#All],4,0)),"CUIT NO CARGADO")</f>
        <v>0</v>
      </c>
    </row>
    <row r="101" spans="2:18">
      <c r="B101" s="258">
        <v>45471</v>
      </c>
      <c r="C101" s="160">
        <v>1</v>
      </c>
      <c r="D101" s="259">
        <v>17</v>
      </c>
      <c r="E101" s="260">
        <v>2048</v>
      </c>
      <c r="F101" s="261">
        <v>30711764921</v>
      </c>
      <c r="G101" s="262" t="str">
        <f>IFERROR(IF(compras_mes6[[#This Row],[CUIT]]="","-",VLOOKUP(compras_mes6[[#This Row],[CUIT]],Lista_CUIT[#All],2,0)),"CUIT NO CARGADO")</f>
        <v>RELIEF CENTER SRL</v>
      </c>
      <c r="H101" s="263">
        <v>366480</v>
      </c>
      <c r="I101" s="688">
        <f>IF(compras_mes6[[#This Row],[NETO GRAVADO]]="","",compras_mes6[[#This Row],[NETO GRAVADO]]*0.21)</f>
        <v>76960.800000000003</v>
      </c>
      <c r="J101" s="264"/>
      <c r="K101" s="264"/>
      <c r="L101" s="264"/>
      <c r="M101" s="264"/>
      <c r="N101" s="264"/>
      <c r="O101" s="264">
        <v>0</v>
      </c>
      <c r="P101" s="251">
        <f>SUM(compras_mes6[[#This Row],[NETO GRAVADO]:[Otros / No Grav.]])</f>
        <v>443440.8</v>
      </c>
      <c r="Q101" s="252" t="str">
        <f>IFERROR(IF(compras_mes6[[#This Row],[CUIT]]="","-",VLOOKUP(compras_mes6[[#This Row],[CUIT]],Lista_CUIT[#All],3,0)),"CUIT NO CARGADO")</f>
        <v>Productos Ortopedicos</v>
      </c>
      <c r="R101" s="252">
        <f>IFERROR(IF(compras_mes6[[#This Row],[CUIT]]="","-",VLOOKUP(compras_mes6[[#This Row],[CUIT]],Lista_CUIT[#All],4,0)),"CUIT NO CARGADO")</f>
        <v>0</v>
      </c>
    </row>
    <row r="102" spans="2:18" ht="14.45" customHeight="1">
      <c r="B102" s="243">
        <v>45467</v>
      </c>
      <c r="C102" s="244">
        <v>3</v>
      </c>
      <c r="D102" s="245">
        <v>7</v>
      </c>
      <c r="E102" s="246">
        <v>102</v>
      </c>
      <c r="F102" s="247">
        <v>30712187316</v>
      </c>
      <c r="G102" s="248" t="str">
        <f>IFERROR(IF(compras_mes6[[#This Row],[CUIT]]="","-",VLOOKUP(compras_mes6[[#This Row],[CUIT]],Lista_CUIT[#All],2,0)),"CUIT NO CARGADO")</f>
        <v>ITALOMED PRODUCTOS SRL</v>
      </c>
      <c r="H102" s="249">
        <v>-12396.69</v>
      </c>
      <c r="I102" s="688">
        <f>IF(compras_mes6[[#This Row],[NETO GRAVADO]]="","",compras_mes6[[#This Row],[NETO GRAVADO]]*0.21)</f>
        <v>-2603.3049000000001</v>
      </c>
      <c r="J102" s="250"/>
      <c r="K102" s="250"/>
      <c r="L102" s="250"/>
      <c r="M102" s="250"/>
      <c r="N102" s="250"/>
      <c r="O102" s="250"/>
      <c r="P102" s="251">
        <f>SUM(compras_mes6[[#This Row],[NETO GRAVADO]:[Otros / No Grav.]])</f>
        <v>-14999.994900000002</v>
      </c>
      <c r="Q102" s="252" t="str">
        <f>IFERROR(IF(compras_mes6[[#This Row],[CUIT]]="","-",VLOOKUP(compras_mes6[[#This Row],[CUIT]],Lista_CUIT[#All],3,0)),"CUIT NO CARGADO")</f>
        <v>Productos Ortopedicos</v>
      </c>
      <c r="R102" s="252">
        <f>IFERROR(IF(compras_mes6[[#This Row],[CUIT]]="","-",VLOOKUP(compras_mes6[[#This Row],[CUIT]],Lista_CUIT[#All],4,0)),"CUIT NO CARGADO")</f>
        <v>0</v>
      </c>
    </row>
    <row r="103" spans="2:18" ht="23.1" customHeight="1">
      <c r="B103" s="651">
        <v>45469</v>
      </c>
      <c r="C103" s="652">
        <v>3</v>
      </c>
      <c r="D103" s="638">
        <v>1</v>
      </c>
      <c r="E103" s="639">
        <v>121</v>
      </c>
      <c r="F103" s="640">
        <v>30715141201</v>
      </c>
      <c r="G103" s="653" t="str">
        <f>IFERROR(IF(compras_mes6[[#This Row],[CUIT]]="","-",VLOOKUP(compras_mes6[[#This Row],[CUIT]],Lista_CUIT[#All],2,0)),"CUIT NO CARGADO")</f>
        <v>REHAB S.R.L.</v>
      </c>
      <c r="H103" s="654">
        <v>-1480229.4</v>
      </c>
      <c r="I103" s="655">
        <f>IF(compras_mes6[[#This Row],[NETO GRAVADO]]="","",compras_mes6[[#This Row],[NETO GRAVADO]]*0.21)</f>
        <v>-310848.17399999994</v>
      </c>
      <c r="J103" s="655"/>
      <c r="K103" s="655"/>
      <c r="L103" s="655"/>
      <c r="M103" s="655"/>
      <c r="N103" s="655"/>
      <c r="O103" s="655"/>
      <c r="P103" s="656">
        <f>SUM(compras_mes6[[#This Row],[NETO GRAVADO]:[Otros / No Grav.]])</f>
        <v>-1791077.5739999998</v>
      </c>
      <c r="Q103" s="657" t="str">
        <f>IFERROR(IF(compras_mes6[[#This Row],[CUIT]]="","-",VLOOKUP(compras_mes6[[#This Row],[CUIT]],Lista_CUIT[#All],3,0)),"CUIT NO CARGADO")</f>
        <v>Productos Ortopedicos</v>
      </c>
      <c r="R103" s="657">
        <f>IFERROR(IF(compras_mes6[[#This Row],[CUIT]]="","-",VLOOKUP(compras_mes6[[#This Row],[CUIT]],Lista_CUIT[#All],4,0)),"CUIT NO CARGADO")</f>
        <v>0</v>
      </c>
    </row>
    <row r="104" spans="2:18" ht="26.1" customHeight="1">
      <c r="B104" s="243">
        <v>45448</v>
      </c>
      <c r="C104" s="244">
        <v>1</v>
      </c>
      <c r="D104" s="245">
        <v>105</v>
      </c>
      <c r="E104" s="246">
        <v>1515733</v>
      </c>
      <c r="F104" s="247">
        <v>30537882871</v>
      </c>
      <c r="G104" s="248" t="str">
        <f>IFERROR(IF(compras_mes6[[#This Row],[CUIT]]="","-",VLOOKUP(compras_mes6[[#This Row],[CUIT]],Lista_CUIT[#All],2,0)),"CUIT NO CARGADO")</f>
        <v>EL JUMILIANO SA</v>
      </c>
      <c r="H104" s="249">
        <v>9338.84</v>
      </c>
      <c r="I104" s="688">
        <f>IF(compras_mes6[[#This Row],[NETO GRAVADO]]="","",compras_mes6[[#This Row],[NETO GRAVADO]]*0.21)</f>
        <v>1961.1563999999998</v>
      </c>
      <c r="J104" s="250"/>
      <c r="K104" s="250"/>
      <c r="L104" s="250"/>
      <c r="M104" s="250"/>
      <c r="N104" s="250"/>
      <c r="O104" s="250">
        <v>0</v>
      </c>
      <c r="P104" s="251">
        <f>SUM(compras_mes6[[#This Row],[NETO GRAVADO]:[Otros / No Grav.]])</f>
        <v>11299.9964</v>
      </c>
      <c r="Q104" s="252" t="str">
        <f>IFERROR(IF(compras_mes6[[#This Row],[CUIT]]="","-",VLOOKUP(compras_mes6[[#This Row],[CUIT]],Lista_CUIT[#All],3,0)),"CUIT NO CARGADO")</f>
        <v>Productos OrtopedicosS</v>
      </c>
      <c r="R104" s="252">
        <f>IFERROR(IF(compras_mes6[[#This Row],[CUIT]]="","-",VLOOKUP(compras_mes6[[#This Row],[CUIT]],Lista_CUIT[#All],4,0)),"CUIT NO CARGADO")</f>
        <v>0</v>
      </c>
    </row>
    <row r="105" spans="2:18" ht="14.45" customHeight="1">
      <c r="B105" s="243">
        <v>45453</v>
      </c>
      <c r="C105" s="244">
        <v>1</v>
      </c>
      <c r="D105" s="245">
        <v>4</v>
      </c>
      <c r="E105" s="246">
        <v>117</v>
      </c>
      <c r="F105" s="247">
        <v>20317488476</v>
      </c>
      <c r="G105" s="248" t="str">
        <f>IFERROR(IF(compras_mes6[[#This Row],[CUIT]]="","-",VLOOKUP(compras_mes6[[#This Row],[CUIT]],Lista_CUIT[#All],2,0)),"CUIT NO CARGADO")</f>
        <v>MIGUEL ANGEL VILLALBA</v>
      </c>
      <c r="H105" s="249">
        <v>1750000</v>
      </c>
      <c r="I105" s="688">
        <f>IF(compras_mes6[[#This Row],[NETO GRAVADO]]="","",compras_mes6[[#This Row],[NETO GRAVADO]]*0.21)</f>
        <v>367500</v>
      </c>
      <c r="J105" s="250"/>
      <c r="K105" s="250"/>
      <c r="L105" s="250"/>
      <c r="M105" s="250"/>
      <c r="N105" s="250"/>
      <c r="O105" s="250">
        <v>0</v>
      </c>
      <c r="P105" s="251">
        <f>SUM(compras_mes6[[#This Row],[NETO GRAVADO]:[Otros / No Grav.]])</f>
        <v>2117500</v>
      </c>
      <c r="Q105" s="252" t="str">
        <f>IFERROR(IF(compras_mes6[[#This Row],[CUIT]]="","-",VLOOKUP(compras_mes6[[#This Row],[CUIT]],Lista_CUIT[#All],3,0)),"CUIT NO CARGADO")</f>
        <v>Recupero P. Ortopedicos</v>
      </c>
      <c r="R105" s="252">
        <f>IFERROR(IF(compras_mes6[[#This Row],[CUIT]]="","-",VLOOKUP(compras_mes6[[#This Row],[CUIT]],Lista_CUIT[#All],4,0)),"CUIT NO CARGADO")</f>
        <v>0</v>
      </c>
    </row>
    <row r="106" spans="2:18" ht="14.45" customHeight="1">
      <c r="B106" s="243">
        <v>45452</v>
      </c>
      <c r="C106" s="244">
        <v>1</v>
      </c>
      <c r="D106" s="245">
        <v>11</v>
      </c>
      <c r="E106" s="246">
        <v>1680953</v>
      </c>
      <c r="F106" s="247">
        <v>30709776564</v>
      </c>
      <c r="G106" s="248" t="str">
        <f>IFERROR(IF(compras_mes6[[#This Row],[CUIT]]="","-",VLOOKUP(compras_mes6[[#This Row],[CUIT]],Lista_CUIT[#All],2,0)),"CUIT NO CARGADO")</f>
        <v>PROSEGUR ACTIVA ARG SA</v>
      </c>
      <c r="H106" s="249">
        <v>104174.19</v>
      </c>
      <c r="I106" s="688">
        <f>IF(compras_mes6[[#This Row],[NETO GRAVADO]]="","",compras_mes6[[#This Row],[NETO GRAVADO]]*0.21)</f>
        <v>21876.579900000001</v>
      </c>
      <c r="J106" s="250"/>
      <c r="K106" s="250"/>
      <c r="L106" s="250"/>
      <c r="M106" s="250"/>
      <c r="N106" s="250"/>
      <c r="O106" s="250">
        <v>0</v>
      </c>
      <c r="P106" s="251">
        <f>SUM(compras_mes6[[#This Row],[NETO GRAVADO]:[Otros / No Grav.]])</f>
        <v>126050.7699</v>
      </c>
      <c r="Q106" s="252" t="str">
        <f>IFERROR(IF(compras_mes6[[#This Row],[CUIT]]="","-",VLOOKUP(compras_mes6[[#This Row],[CUIT]],Lista_CUIT[#All],3,0)),"CUIT NO CARGADO")</f>
        <v>Servicio Seguridad</v>
      </c>
      <c r="R106" s="252">
        <f>IFERROR(IF(compras_mes6[[#This Row],[CUIT]]="","-",VLOOKUP(compras_mes6[[#This Row],[CUIT]],Lista_CUIT[#All],4,0)),"CUIT NO CARGADO")</f>
        <v>0</v>
      </c>
    </row>
    <row r="107" spans="2:18" ht="14.45" customHeight="1">
      <c r="B107" s="243">
        <v>45470</v>
      </c>
      <c r="C107" s="244">
        <v>1</v>
      </c>
      <c r="D107" s="245">
        <v>4</v>
      </c>
      <c r="E107" s="246">
        <v>484</v>
      </c>
      <c r="F107" s="247">
        <v>20379223185</v>
      </c>
      <c r="G107" s="248" t="str">
        <f>IFERROR(IF(compras_mes6[[#This Row],[CUIT]]="","-",VLOOKUP(compras_mes6[[#This Row],[CUIT]],Lista_CUIT[#All],2,0)),"CUIT NO CARGADO")</f>
        <v>AYALA MAURICIO JUAN JOSE</v>
      </c>
      <c r="H107" s="249">
        <v>149450</v>
      </c>
      <c r="I107" s="688">
        <f>IF(compras_mes6[[#This Row],[NETO GRAVADO]]="","",compras_mes6[[#This Row],[NETO GRAVADO]]*0.21)</f>
        <v>31384.5</v>
      </c>
      <c r="J107" s="250"/>
      <c r="K107" s="250"/>
      <c r="L107" s="250"/>
      <c r="M107" s="250"/>
      <c r="N107" s="250"/>
      <c r="O107" s="250">
        <v>0</v>
      </c>
      <c r="P107" s="251">
        <f>SUM(compras_mes6[[#This Row],[NETO GRAVADO]:[Otros / No Grav.]])</f>
        <v>180834.5</v>
      </c>
      <c r="Q107" s="252" t="str">
        <f>IFERROR(IF(compras_mes6[[#This Row],[CUIT]]="","-",VLOOKUP(compras_mes6[[#This Row],[CUIT]],Lista_CUIT[#All],3,0)),"CUIT NO CARGADO")</f>
        <v>SERVICIOS</v>
      </c>
      <c r="R107" s="252">
        <f>IFERROR(IF(compras_mes6[[#This Row],[CUIT]]="","-",VLOOKUP(compras_mes6[[#This Row],[CUIT]],Lista_CUIT[#All],4,0)),"CUIT NO CARGADO")</f>
        <v>0</v>
      </c>
    </row>
    <row r="108" spans="2:18" ht="14.45" customHeight="1">
      <c r="B108" s="243">
        <v>45444</v>
      </c>
      <c r="C108" s="244">
        <v>1</v>
      </c>
      <c r="D108" s="245">
        <v>1326</v>
      </c>
      <c r="E108" s="246">
        <v>1004915</v>
      </c>
      <c r="F108" s="247">
        <v>30663288497</v>
      </c>
      <c r="G108" s="248" t="str">
        <f>IFERROR(IF(compras_mes6[[#This Row],[CUIT]]="","-",VLOOKUP(compras_mes6[[#This Row],[CUIT]],Lista_CUIT[#All],2,0)),"CUIT NO CARGADO")</f>
        <v>AMX ARG SA</v>
      </c>
      <c r="H108" s="249">
        <v>35100</v>
      </c>
      <c r="I108" s="688">
        <v>2803.5</v>
      </c>
      <c r="J108" s="250">
        <v>5872.5</v>
      </c>
      <c r="K108" s="250"/>
      <c r="L108" s="250"/>
      <c r="M108" s="250"/>
      <c r="N108" s="250"/>
      <c r="O108" s="250"/>
      <c r="P108" s="251">
        <f>SUM(compras_mes6[[#This Row],[NETO GRAVADO]:[Otros / No Grav.]])</f>
        <v>43776</v>
      </c>
      <c r="Q108" s="252" t="str">
        <f>IFERROR(IF(compras_mes6[[#This Row],[CUIT]]="","-",VLOOKUP(compras_mes6[[#This Row],[CUIT]],Lista_CUIT[#All],3,0)),"CUIT NO CARGADO")</f>
        <v>Servicios Gas-Luz-Agua-Internet</v>
      </c>
      <c r="R108" s="252">
        <f>IFERROR(IF(compras_mes6[[#This Row],[CUIT]]="","-",VLOOKUP(compras_mes6[[#This Row],[CUIT]],Lista_CUIT[#All],4,0)),"CUIT NO CARGADO")</f>
        <v>0</v>
      </c>
    </row>
    <row r="109" spans="2:18" ht="14.45" customHeight="1">
      <c r="B109" s="243">
        <v>45452</v>
      </c>
      <c r="C109" s="244">
        <v>1</v>
      </c>
      <c r="D109" s="245">
        <v>3101</v>
      </c>
      <c r="E109" s="246">
        <v>109171</v>
      </c>
      <c r="F109" s="247">
        <v>30678814357</v>
      </c>
      <c r="G109" s="248" t="str">
        <f>IFERROR(IF(compras_mes6[[#This Row],[CUIT]]="","-",VLOOKUP(compras_mes6[[#This Row],[CUIT]],Lista_CUIT[#All],2,0)),"CUIT NO CARGADO")</f>
        <v>TELEFONICA MOVILES ARG SA</v>
      </c>
      <c r="H109" s="249">
        <v>56413.8</v>
      </c>
      <c r="I109" s="688"/>
      <c r="J109" s="250">
        <v>15231.73</v>
      </c>
      <c r="K109" s="250"/>
      <c r="L109" s="250"/>
      <c r="M109" s="250"/>
      <c r="N109" s="250"/>
      <c r="O109" s="250">
        <v>0</v>
      </c>
      <c r="P109" s="251">
        <f>SUM(compras_mes6[[#This Row],[NETO GRAVADO]:[Otros / No Grav.]])</f>
        <v>71645.53</v>
      </c>
      <c r="Q109" s="252" t="str">
        <f>IFERROR(IF(compras_mes6[[#This Row],[CUIT]]="","-",VLOOKUP(compras_mes6[[#This Row],[CUIT]],Lista_CUIT[#All],3,0)),"CUIT NO CARGADO")</f>
        <v>Servicios Gas-Luz-Agua-Internet</v>
      </c>
      <c r="R109" s="252">
        <f>IFERROR(IF(compras_mes6[[#This Row],[CUIT]]="","-",VLOOKUP(compras_mes6[[#This Row],[CUIT]],Lista_CUIT[#All],4,0)),"CUIT NO CARGADO")</f>
        <v>0</v>
      </c>
    </row>
    <row r="110" spans="2:18" ht="15" customHeight="1">
      <c r="B110" s="243">
        <v>45462</v>
      </c>
      <c r="C110" s="244">
        <v>1</v>
      </c>
      <c r="D110" s="245">
        <v>4264</v>
      </c>
      <c r="E110" s="246">
        <v>3987631</v>
      </c>
      <c r="F110" s="247">
        <v>30639453738</v>
      </c>
      <c r="G110" s="248" t="str">
        <f>IFERROR(IF(compras_mes6[[#This Row],[CUIT]]="","-",VLOOKUP(compras_mes6[[#This Row],[CUIT]],Lista_CUIT[#All],2,0)),"CUIT NO CARGADO")</f>
        <v>TELECOM ARGENTINA SA</v>
      </c>
      <c r="H110" s="249">
        <v>62570.25</v>
      </c>
      <c r="I110" s="688">
        <f>IF(compras_mes6[[#This Row],[NETO GRAVADO]]="","",compras_mes6[[#This Row],[NETO GRAVADO]]*0.21)</f>
        <v>13139.752499999999</v>
      </c>
      <c r="J110" s="250"/>
      <c r="K110" s="250"/>
      <c r="L110" s="250"/>
      <c r="M110" s="250"/>
      <c r="N110" s="250"/>
      <c r="O110" s="250">
        <v>0</v>
      </c>
      <c r="P110" s="251">
        <f>SUM(compras_mes6[[#This Row],[NETO GRAVADO]:[Otros / No Grav.]])</f>
        <v>75710.002500000002</v>
      </c>
      <c r="Q110" s="252" t="str">
        <f>IFERROR(IF(compras_mes6[[#This Row],[CUIT]]="","-",VLOOKUP(compras_mes6[[#This Row],[CUIT]],Lista_CUIT[#All],3,0)),"CUIT NO CARGADO")</f>
        <v>Servicios Gas-Luz-Agua-Internet</v>
      </c>
      <c r="R110" s="252">
        <f>IFERROR(IF(compras_mes6[[#This Row],[CUIT]]="","-",VLOOKUP(compras_mes6[[#This Row],[CUIT]],Lista_CUIT[#All],4,0)),"CUIT NO CARGADO")</f>
        <v>0</v>
      </c>
    </row>
    <row r="111" spans="2:18" ht="15" customHeight="1">
      <c r="B111" s="243">
        <v>45464</v>
      </c>
      <c r="C111" s="244">
        <v>1</v>
      </c>
      <c r="D111" s="245">
        <v>5</v>
      </c>
      <c r="E111" s="246">
        <v>3063159</v>
      </c>
      <c r="F111" s="247">
        <v>30702652975</v>
      </c>
      <c r="G111" s="248" t="str">
        <f>IFERROR(IF(compras_mes6[[#This Row],[CUIT]]="","-",VLOOKUP(compras_mes6[[#This Row],[CUIT]],Lista_CUIT[#All],2,0)),"CUIT NO CARGADO")</f>
        <v>NSS SA</v>
      </c>
      <c r="H111" s="249">
        <v>27697.81</v>
      </c>
      <c r="I111" s="688">
        <f>IF(compras_mes6[[#This Row],[NETO GRAVADO]]="","",compras_mes6[[#This Row],[NETO GRAVADO]]*0.21)</f>
        <v>5816.5401000000002</v>
      </c>
      <c r="J111" s="250"/>
      <c r="K111" s="250"/>
      <c r="L111" s="250"/>
      <c r="M111" s="250"/>
      <c r="N111" s="250"/>
      <c r="O111" s="250">
        <v>0</v>
      </c>
      <c r="P111" s="251">
        <f>SUM(compras_mes6[[#This Row],[NETO GRAVADO]:[Otros / No Grav.]])</f>
        <v>33514.350100000003</v>
      </c>
      <c r="Q111" s="252" t="str">
        <f>IFERROR(IF(compras_mes6[[#This Row],[CUIT]]="","-",VLOOKUP(compras_mes6[[#This Row],[CUIT]],Lista_CUIT[#All],3,0)),"CUIT NO CARGADO")</f>
        <v>Servicios Gas-Luz-Agua-Internet</v>
      </c>
      <c r="R111" s="252">
        <f>IFERROR(IF(compras_mes6[[#This Row],[CUIT]]="","-",VLOOKUP(compras_mes6[[#This Row],[CUIT]],Lista_CUIT[#All],4,0)),"CUIT NO CARGADO")</f>
        <v>0</v>
      </c>
    </row>
    <row r="112" spans="2:18" ht="15" customHeight="1">
      <c r="B112" s="258">
        <v>45473</v>
      </c>
      <c r="C112" s="160">
        <v>1</v>
      </c>
      <c r="D112" s="259">
        <v>20</v>
      </c>
      <c r="E112" s="260">
        <v>189325</v>
      </c>
      <c r="F112" s="261">
        <v>30696850972</v>
      </c>
      <c r="G112" s="262" t="str">
        <f>IFERROR(IF(compras_mes6[[#This Row],[CUIT]]="","-",VLOOKUP(compras_mes6[[#This Row],[CUIT]],Lista_CUIT[#All],2,0)),"CUIT NO CARGADO")</f>
        <v>CPS COMUNICACIONES SA</v>
      </c>
      <c r="H112" s="263">
        <v>13754.74</v>
      </c>
      <c r="I112" s="688"/>
      <c r="J112" s="264">
        <v>3713.78</v>
      </c>
      <c r="K112" s="264"/>
      <c r="L112" s="264"/>
      <c r="M112" s="264"/>
      <c r="N112" s="264"/>
      <c r="O112" s="264">
        <v>0</v>
      </c>
      <c r="P112" s="251">
        <f>SUM(compras_mes6[[#This Row],[NETO GRAVADO]:[Otros / No Grav.]])</f>
        <v>17468.52</v>
      </c>
      <c r="Q112" s="252" t="str">
        <f>IFERROR(IF(compras_mes6[[#This Row],[CUIT]]="","-",VLOOKUP(compras_mes6[[#This Row],[CUIT]],Lista_CUIT[#All],3,0)),"CUIT NO CARGADO")</f>
        <v>Servicios Gas-Luz-Agua-Internet</v>
      </c>
      <c r="R112" s="252">
        <f>IFERROR(IF(compras_mes6[[#This Row],[CUIT]]="","-",VLOOKUP(compras_mes6[[#This Row],[CUIT]],Lista_CUIT[#All],4,0)),"CUIT NO CARGADO")</f>
        <v>0</v>
      </c>
    </row>
    <row r="113" spans="2:18" ht="15" customHeight="1">
      <c r="B113" s="95" t="s">
        <v>110</v>
      </c>
      <c r="C113" s="95"/>
      <c r="D113" s="95"/>
      <c r="E113" s="95"/>
      <c r="F113" s="95"/>
      <c r="G113" s="96"/>
      <c r="H113" s="97">
        <f>SUBTOTAL(109,compras_mes6[NETO GRAVADO])</f>
        <v>28696419.490000002</v>
      </c>
      <c r="I113" s="97">
        <f>SUBTOTAL(109,compras_mes6[IVA 21 %])</f>
        <v>5876531.2095000008</v>
      </c>
      <c r="J113" s="97">
        <f>SUBTOTAL(109,compras_mes6[IVA 27%])</f>
        <v>24818.01</v>
      </c>
      <c r="K113" s="97">
        <f>SUBTOTAL(109,compras_mes6[IVA 10,5%])</f>
        <v>65207</v>
      </c>
      <c r="L113" s="97">
        <f>SUBTOTAL(109,compras_mes6[PERC. IVA])</f>
        <v>0</v>
      </c>
      <c r="M113" s="97">
        <f>SUBTOTAL(109,compras_mes6[PERC IIBB 
BS AS])</f>
        <v>0</v>
      </c>
      <c r="N113" s="97">
        <f>SUBTOTAL(109,compras_mes6[PERC. IIBB CABA])</f>
        <v>0</v>
      </c>
      <c r="O113" s="97">
        <f>SUBTOTAL(109,compras_mes6[Otros / No Grav.])</f>
        <v>2857.5499999999997</v>
      </c>
      <c r="P113" s="97">
        <f>SUBTOTAL(109,compras_mes6[TOTAL])</f>
        <v>34665833.259499989</v>
      </c>
      <c r="Q113" s="95"/>
      <c r="R113" s="95"/>
    </row>
    <row r="114" spans="2:18" ht="15" customHeight="1">
      <c r="B114" s="40"/>
      <c r="C114" s="41"/>
      <c r="D114" s="42"/>
      <c r="E114" s="43"/>
      <c r="F114" s="44"/>
      <c r="G114" s="45"/>
      <c r="H114" s="46"/>
      <c r="I114" s="47"/>
      <c r="J114" s="47"/>
      <c r="K114" s="47"/>
      <c r="L114" s="47"/>
      <c r="M114" s="47"/>
      <c r="N114" s="47"/>
      <c r="O114" s="47"/>
      <c r="P114" s="48"/>
      <c r="Q114" s="49"/>
      <c r="R114" s="49"/>
    </row>
    <row r="115" spans="2:18" ht="23.45" customHeight="1">
      <c r="B115" s="40"/>
      <c r="C115" s="41"/>
      <c r="D115" s="42"/>
      <c r="E115" s="43"/>
      <c r="F115" s="44"/>
      <c r="G115" s="45"/>
      <c r="H115" s="46"/>
      <c r="I115" s="47"/>
      <c r="J115" s="47"/>
      <c r="K115" s="47"/>
      <c r="L115" s="47"/>
      <c r="M115" s="47"/>
      <c r="N115" s="47"/>
      <c r="O115" s="47"/>
      <c r="P115" s="48"/>
      <c r="Q115" s="49"/>
      <c r="R115" s="49"/>
    </row>
    <row r="116" spans="2:18" ht="38.450000000000003" customHeight="1">
      <c r="B116" s="40"/>
      <c r="C116" s="41"/>
      <c r="D116" s="42"/>
      <c r="E116" s="43"/>
      <c r="F116" s="44"/>
      <c r="G116" s="45"/>
      <c r="H116" s="46"/>
      <c r="I116" s="47"/>
      <c r="J116" s="47"/>
      <c r="K116" s="47"/>
      <c r="L116" s="47"/>
      <c r="M116" s="47"/>
      <c r="N116" s="47"/>
      <c r="O116" s="47"/>
      <c r="P116" s="48"/>
      <c r="Q116" s="49"/>
      <c r="R116" s="49"/>
    </row>
    <row r="117" spans="2:18">
      <c r="B117" s="40"/>
      <c r="C117" s="41"/>
      <c r="D117" s="42"/>
      <c r="E117" s="43"/>
      <c r="F117" s="44"/>
      <c r="G117" s="45"/>
      <c r="H117" s="46"/>
      <c r="I117" s="47"/>
      <c r="J117" s="47"/>
      <c r="K117" s="47"/>
      <c r="L117" s="47"/>
    </row>
    <row r="118" spans="2:18" ht="21">
      <c r="D118" s="665" t="s">
        <v>15</v>
      </c>
      <c r="E118" s="665"/>
      <c r="F118" s="665"/>
      <c r="G118" s="665"/>
      <c r="H118" s="665"/>
      <c r="I118" s="665"/>
      <c r="J118" s="665"/>
      <c r="K118" s="665"/>
      <c r="L118" s="665"/>
    </row>
    <row r="119" spans="2:18" ht="15.75">
      <c r="D119" s="73" t="s">
        <v>0</v>
      </c>
      <c r="E119" s="74" t="s">
        <v>26</v>
      </c>
      <c r="F119" s="74" t="s">
        <v>16</v>
      </c>
      <c r="G119" s="74" t="s">
        <v>5</v>
      </c>
      <c r="H119" s="74" t="s">
        <v>17</v>
      </c>
      <c r="I119" s="74" t="s">
        <v>7</v>
      </c>
      <c r="J119" s="75" t="s">
        <v>18</v>
      </c>
      <c r="K119" s="75" t="s">
        <v>19</v>
      </c>
      <c r="L119" s="76" t="s">
        <v>20</v>
      </c>
    </row>
    <row r="120" spans="2:18">
      <c r="D120" s="650" t="s">
        <v>2461</v>
      </c>
      <c r="E120" s="80">
        <v>20240618</v>
      </c>
      <c r="F120" s="80" t="s">
        <v>878</v>
      </c>
      <c r="G120" s="81">
        <v>536</v>
      </c>
      <c r="H120" s="276">
        <v>112.56</v>
      </c>
      <c r="I120" s="81"/>
      <c r="J120" s="81"/>
      <c r="K120" s="81"/>
      <c r="L120" s="81"/>
    </row>
    <row r="121" spans="2:18">
      <c r="D121" s="650" t="s">
        <v>2461</v>
      </c>
      <c r="E121" s="685">
        <v>30062024</v>
      </c>
      <c r="F121" s="686" t="s">
        <v>878</v>
      </c>
      <c r="G121" s="644">
        <v>2060</v>
      </c>
      <c r="H121" s="644">
        <v>432.6</v>
      </c>
      <c r="I121" s="644"/>
      <c r="J121" s="644"/>
      <c r="K121" s="644"/>
      <c r="L121" s="644"/>
    </row>
    <row r="122" spans="2:18">
      <c r="D122" s="650" t="s">
        <v>2462</v>
      </c>
      <c r="E122" s="685">
        <v>2862024</v>
      </c>
      <c r="F122" s="686" t="s">
        <v>878</v>
      </c>
      <c r="G122" s="644">
        <v>53653.8</v>
      </c>
      <c r="H122" s="644">
        <v>9458.9</v>
      </c>
      <c r="I122" s="644"/>
      <c r="J122" s="644"/>
      <c r="K122" s="644"/>
      <c r="L122" s="644"/>
    </row>
    <row r="123" spans="2:18">
      <c r="D123" s="650" t="s">
        <v>2462</v>
      </c>
      <c r="E123" s="685">
        <v>20240628</v>
      </c>
      <c r="F123" s="686" t="s">
        <v>878</v>
      </c>
      <c r="G123" s="644">
        <v>15124</v>
      </c>
      <c r="H123" s="644">
        <v>3176.04</v>
      </c>
      <c r="I123" s="644"/>
      <c r="J123" s="644"/>
      <c r="K123" s="644"/>
      <c r="L123" s="644"/>
    </row>
    <row r="124" spans="2:18">
      <c r="D124" s="650" t="s">
        <v>2462</v>
      </c>
      <c r="E124" s="80">
        <v>28062024</v>
      </c>
      <c r="F124" s="80" t="s">
        <v>2463</v>
      </c>
      <c r="G124" s="81">
        <v>27050</v>
      </c>
      <c r="H124" s="81">
        <v>5680.5</v>
      </c>
      <c r="I124" s="81"/>
      <c r="J124" s="81"/>
      <c r="K124" s="81"/>
      <c r="L124" s="81"/>
    </row>
    <row r="125" spans="2:18" ht="17.25" customHeight="1">
      <c r="D125" s="50"/>
      <c r="E125" s="79"/>
      <c r="F125" s="80"/>
      <c r="G125" s="81"/>
      <c r="H125" s="81">
        <f>extracto_banco_mes6[[#This Row],[NETO]]*0.21</f>
        <v>0</v>
      </c>
      <c r="I125" s="81"/>
      <c r="J125" s="81"/>
      <c r="K125" s="81"/>
      <c r="L125" s="81"/>
    </row>
    <row r="126" spans="2:18" ht="17.25" customHeight="1">
      <c r="D126" s="82" t="s">
        <v>110</v>
      </c>
      <c r="E126" s="80"/>
      <c r="F126" s="80"/>
      <c r="G126" s="83">
        <f>SUBTOTAL(109,extracto_banco_mes6[NETO])</f>
        <v>98423.8</v>
      </c>
      <c r="H126" s="83">
        <f>SUBTOTAL(109,extracto_banco_mes6[IVA 21%])</f>
        <v>18860.599999999999</v>
      </c>
      <c r="I126" s="83">
        <f>SUBTOTAL(109,extracto_banco_mes6[IVA 10,5%])</f>
        <v>0</v>
      </c>
      <c r="J126" s="83">
        <f>SUBTOTAL(109,extracto_banco_mes6[RET IIBB CABA])</f>
        <v>0</v>
      </c>
      <c r="K126" s="83">
        <f>SUBTOTAL(109,extracto_banco_mes6[PERC IVA])</f>
        <v>0</v>
      </c>
      <c r="L126" s="83">
        <f>SUBTOTAL(109,extracto_banco_mes6[PERC IIBB])</f>
        <v>0</v>
      </c>
    </row>
    <row r="130" spans="4:11" ht="21">
      <c r="D130" s="665" t="s">
        <v>25</v>
      </c>
      <c r="E130" s="665"/>
      <c r="F130" s="665"/>
      <c r="G130" s="665"/>
      <c r="H130" s="665"/>
      <c r="I130" s="665"/>
      <c r="J130" s="665"/>
      <c r="K130" s="665"/>
    </row>
    <row r="131" spans="4:11">
      <c r="D131" s="51" t="s">
        <v>0</v>
      </c>
      <c r="E131" s="51" t="s">
        <v>2</v>
      </c>
      <c r="F131" s="51" t="s">
        <v>74</v>
      </c>
      <c r="G131" s="51" t="s">
        <v>3</v>
      </c>
      <c r="H131" s="51" t="s">
        <v>4</v>
      </c>
      <c r="I131" s="52" t="s">
        <v>10</v>
      </c>
      <c r="J131" s="51" t="s">
        <v>13</v>
      </c>
      <c r="K131" s="51" t="s">
        <v>38</v>
      </c>
    </row>
    <row r="132" spans="4:11">
      <c r="D132" s="243">
        <v>45450</v>
      </c>
      <c r="E132" s="253">
        <v>1</v>
      </c>
      <c r="F132" s="253">
        <v>85</v>
      </c>
      <c r="G132" s="254">
        <v>20043924312</v>
      </c>
      <c r="H132" s="255" t="str">
        <f>IFERROR(IF(factura_c_mes6[[#This Row],[CUIT]]="","-",VLOOKUP(factura_c_mes6[[#This Row],[CUIT]],Lista_CUIT[#All],2,0)),"CUIT NO CARGADO")</f>
        <v>LANDRO FRANCISCO RICARDO</v>
      </c>
      <c r="I132" s="256">
        <v>518990</v>
      </c>
      <c r="J132" s="257">
        <f>IFERROR(IF(factura_c_mes6[[#This Row],[CUIT]]="","-",VLOOKUP(factura_c_mes6[[#This Row],[CUIT]],Lista_CUIT[#All],3,0)),"CUIT NO CARGADO")</f>
        <v>0</v>
      </c>
      <c r="K132" s="257">
        <f>IFERROR(IF(factura_c_mes6[[#This Row],[CUIT]]="","-",VLOOKUP(factura_c_mes6[[#This Row],[CUIT]],Lista_CUIT[#All],4,0)),"CUIT NO CARGADO")</f>
        <v>0</v>
      </c>
    </row>
    <row r="133" spans="4:11">
      <c r="D133" s="243">
        <v>45450</v>
      </c>
      <c r="E133" s="253">
        <v>1</v>
      </c>
      <c r="F133" s="253">
        <v>2</v>
      </c>
      <c r="G133" s="254">
        <v>20043924312</v>
      </c>
      <c r="H133" s="255" t="str">
        <f>IFERROR(IF(factura_c_mes6[[#This Row],[CUIT]]="","-",VLOOKUP(factura_c_mes6[[#This Row],[CUIT]],Lista_CUIT[#All],2,0)),"CUIT NO CARGADO")</f>
        <v>LANDRO FRANCISCO RICARDO</v>
      </c>
      <c r="I133" s="256">
        <v>-464060</v>
      </c>
      <c r="J133" s="257">
        <f>IFERROR(IF(factura_c_mes6[[#This Row],[CUIT]]="","-",VLOOKUP(factura_c_mes6[[#This Row],[CUIT]],Lista_CUIT[#All],3,0)),"CUIT NO CARGADO")</f>
        <v>0</v>
      </c>
      <c r="K133" s="257">
        <f>IFERROR(IF(factura_c_mes6[[#This Row],[CUIT]]="","-",VLOOKUP(factura_c_mes6[[#This Row],[CUIT]],Lista_CUIT[#All],4,0)),"CUIT NO CARGADO")</f>
        <v>0</v>
      </c>
    </row>
    <row r="134" spans="4:11">
      <c r="D134" s="243">
        <v>45454</v>
      </c>
      <c r="E134" s="253">
        <v>1</v>
      </c>
      <c r="F134" s="253">
        <v>5</v>
      </c>
      <c r="G134" s="254">
        <v>27443612713</v>
      </c>
      <c r="H134" s="255" t="str">
        <f>IFERROR(IF(factura_c_mes6[[#This Row],[CUIT]]="","-",VLOOKUP(factura_c_mes6[[#This Row],[CUIT]],Lista_CUIT[#All],2,0)),"CUIT NO CARGADO")</f>
        <v>MIGOYA MORIONDO SOFIA</v>
      </c>
      <c r="I134" s="256">
        <v>450000</v>
      </c>
      <c r="J134" s="257" t="str">
        <f>IFERROR(IF(factura_c_mes6[[#This Row],[CUIT]]="","-",VLOOKUP(factura_c_mes6[[#This Row],[CUIT]],Lista_CUIT[#All],3,0)),"CUIT NO CARGADO")</f>
        <v>Alquiler</v>
      </c>
      <c r="K134" s="257">
        <f>IFERROR(IF(factura_c_mes6[[#This Row],[CUIT]]="","-",VLOOKUP(factura_c_mes6[[#This Row],[CUIT]],Lista_CUIT[#All],4,0)),"CUIT NO CARGADO")</f>
        <v>0</v>
      </c>
    </row>
    <row r="135" spans="4:11">
      <c r="D135" s="243">
        <v>45469</v>
      </c>
      <c r="E135" s="253">
        <v>1</v>
      </c>
      <c r="F135" s="253">
        <v>11</v>
      </c>
      <c r="G135" s="254">
        <v>27443612705</v>
      </c>
      <c r="H135" s="255" t="str">
        <f>IFERROR(IF(factura_c_mes6[[#This Row],[CUIT]]="","-",VLOOKUP(factura_c_mes6[[#This Row],[CUIT]],Lista_CUIT[#All],2,0)),"CUIT NO CARGADO")</f>
        <v>MIGOYA MORIONDO MARIA INES</v>
      </c>
      <c r="I135" s="256">
        <v>600000</v>
      </c>
      <c r="J135" s="257" t="str">
        <f>IFERROR(IF(factura_c_mes6[[#This Row],[CUIT]]="","-",VLOOKUP(factura_c_mes6[[#This Row],[CUIT]],Lista_CUIT[#All],3,0)),"CUIT NO CARGADO")</f>
        <v>ALQUILERES PAGADOS</v>
      </c>
      <c r="K135" s="257">
        <f>IFERROR(IF(factura_c_mes6[[#This Row],[CUIT]]="","-",VLOOKUP(factura_c_mes6[[#This Row],[CUIT]],Lista_CUIT[#All],4,0)),"CUIT NO CARGADO")</f>
        <v>0</v>
      </c>
    </row>
    <row r="136" spans="4:11">
      <c r="D136" s="243">
        <v>45449</v>
      </c>
      <c r="E136" s="253">
        <v>1</v>
      </c>
      <c r="F136" s="253">
        <v>31</v>
      </c>
      <c r="G136" s="254">
        <v>23299060179</v>
      </c>
      <c r="H136" s="255" t="str">
        <f>IFERROR(IF(factura_c_mes6[[#This Row],[CUIT]]="","-",VLOOKUP(factura_c_mes6[[#This Row],[CUIT]],Lista_CUIT[#All],2,0)),"CUIT NO CARGADO")</f>
        <v>GARCIA ARCE FRANCISCO</v>
      </c>
      <c r="I136" s="256">
        <v>2300000</v>
      </c>
      <c r="J136" s="257" t="str">
        <f>IFERROR(IF(factura_c_mes6[[#This Row],[CUIT]]="","-",VLOOKUP(factura_c_mes6[[#This Row],[CUIT]],Lista_CUIT[#All],3,0)),"CUIT NO CARGADO")</f>
        <v>Catering</v>
      </c>
      <c r="K136" s="257">
        <f>IFERROR(IF(factura_c_mes6[[#This Row],[CUIT]]="","-",VLOOKUP(factura_c_mes6[[#This Row],[CUIT]],Lista_CUIT[#All],4,0)),"CUIT NO CARGADO")</f>
        <v>0</v>
      </c>
    </row>
    <row r="137" spans="4:11">
      <c r="D137" s="243">
        <v>45447</v>
      </c>
      <c r="E137" s="253">
        <v>1</v>
      </c>
      <c r="F137" s="253">
        <v>65</v>
      </c>
      <c r="G137" s="254">
        <v>20403969886</v>
      </c>
      <c r="H137" s="255" t="str">
        <f>IFERROR(IF(factura_c_mes6[[#This Row],[CUIT]]="","-",VLOOKUP(factura_c_mes6[[#This Row],[CUIT]],Lista_CUIT[#All],2,0)),"CUIT NO CARGADO")</f>
        <v>DEL GESSO FRANCO JESUS</v>
      </c>
      <c r="I137" s="256">
        <v>550000</v>
      </c>
      <c r="J137" s="257" t="str">
        <f>IFERROR(IF(factura_c_mes6[[#This Row],[CUIT]]="","-",VLOOKUP(factura_c_mes6[[#This Row],[CUIT]],Lista_CUIT[#All],3,0)),"CUIT NO CARGADO")</f>
        <v>GASTOS ADMINISTRATIVOS</v>
      </c>
      <c r="K137" s="257">
        <f>IFERROR(IF(factura_c_mes6[[#This Row],[CUIT]]="","-",VLOOKUP(factura_c_mes6[[#This Row],[CUIT]],Lista_CUIT[#All],4,0)),"CUIT NO CARGADO")</f>
        <v>0</v>
      </c>
    </row>
    <row r="138" spans="4:11">
      <c r="D138" s="243">
        <v>45447</v>
      </c>
      <c r="E138" s="253">
        <v>1</v>
      </c>
      <c r="F138" s="253">
        <v>66</v>
      </c>
      <c r="G138" s="254">
        <v>20403969886</v>
      </c>
      <c r="H138" s="255" t="str">
        <f>IFERROR(IF(factura_c_mes6[[#This Row],[CUIT]]="","-",VLOOKUP(factura_c_mes6[[#This Row],[CUIT]],Lista_CUIT[#All],2,0)),"CUIT NO CARGADO")</f>
        <v>DEL GESSO FRANCO JESUS</v>
      </c>
      <c r="I138" s="256">
        <v>493210</v>
      </c>
      <c r="J138" s="257" t="str">
        <f>IFERROR(IF(factura_c_mes6[[#This Row],[CUIT]]="","-",VLOOKUP(factura_c_mes6[[#This Row],[CUIT]],Lista_CUIT[#All],3,0)),"CUIT NO CARGADO")</f>
        <v>GASTOS ADMINISTRATIVOS</v>
      </c>
      <c r="K138" s="257">
        <f>IFERROR(IF(factura_c_mes6[[#This Row],[CUIT]]="","-",VLOOKUP(factura_c_mes6[[#This Row],[CUIT]],Lista_CUIT[#All],4,0)),"CUIT NO CARGADO")</f>
        <v>0</v>
      </c>
    </row>
    <row r="139" spans="4:11">
      <c r="D139" s="243">
        <v>45447</v>
      </c>
      <c r="E139" s="253">
        <v>1</v>
      </c>
      <c r="F139" s="253">
        <v>64</v>
      </c>
      <c r="G139" s="254">
        <v>20403969886</v>
      </c>
      <c r="H139" s="255" t="str">
        <f>IFERROR(IF(factura_c_mes6[[#This Row],[CUIT]]="","-",VLOOKUP(factura_c_mes6[[#This Row],[CUIT]],Lista_CUIT[#All],2,0)),"CUIT NO CARGADO")</f>
        <v>DEL GESSO FRANCO JESUS</v>
      </c>
      <c r="I139" s="256">
        <v>493210</v>
      </c>
      <c r="J139" s="257" t="str">
        <f>IFERROR(IF(factura_c_mes6[[#This Row],[CUIT]]="","-",VLOOKUP(factura_c_mes6[[#This Row],[CUIT]],Lista_CUIT[#All],3,0)),"CUIT NO CARGADO")</f>
        <v>GASTOS ADMINISTRATIVOS</v>
      </c>
      <c r="K139" s="257">
        <f>IFERROR(IF(factura_c_mes6[[#This Row],[CUIT]]="","-",VLOOKUP(factura_c_mes6[[#This Row],[CUIT]],Lista_CUIT[#All],4,0)),"CUIT NO CARGADO")</f>
        <v>0</v>
      </c>
    </row>
    <row r="140" spans="4:11">
      <c r="D140" s="243">
        <v>45447</v>
      </c>
      <c r="E140" s="253">
        <v>1</v>
      </c>
      <c r="F140" s="253">
        <v>4</v>
      </c>
      <c r="G140" s="254">
        <v>20403969886</v>
      </c>
      <c r="H140" s="255" t="str">
        <f>IFERROR(IF(factura_c_mes6[[#This Row],[CUIT]]="","-",VLOOKUP(factura_c_mes6[[#This Row],[CUIT]],Lista_CUIT[#All],2,0)),"CUIT NO CARGADO")</f>
        <v>DEL GESSO FRANCO JESUS</v>
      </c>
      <c r="I140" s="256">
        <v>-493210</v>
      </c>
      <c r="J140" s="257" t="str">
        <f>IFERROR(IF(factura_c_mes6[[#This Row],[CUIT]]="","-",VLOOKUP(factura_c_mes6[[#This Row],[CUIT]],Lista_CUIT[#All],3,0)),"CUIT NO CARGADO")</f>
        <v>GASTOS ADMINISTRATIVOS</v>
      </c>
      <c r="K140" s="257">
        <f>IFERROR(IF(factura_c_mes6[[#This Row],[CUIT]]="","-",VLOOKUP(factura_c_mes6[[#This Row],[CUIT]],Lista_CUIT[#All],4,0)),"CUIT NO CARGADO")</f>
        <v>0</v>
      </c>
    </row>
    <row r="141" spans="4:11">
      <c r="D141" s="243">
        <v>45449</v>
      </c>
      <c r="E141" s="253">
        <v>3</v>
      </c>
      <c r="F141" s="253">
        <v>328</v>
      </c>
      <c r="G141" s="254">
        <v>23306035444</v>
      </c>
      <c r="H141" s="255" t="str">
        <f>IFERROR(IF(factura_c_mes6[[#This Row],[CUIT]]="","-",VLOOKUP(factura_c_mes6[[#This Row],[CUIT]],Lista_CUIT[#All],2,0)),"CUIT NO CARGADO")</f>
        <v>NADIA TARANTINO</v>
      </c>
      <c r="I141" s="256">
        <v>52000</v>
      </c>
      <c r="J141" s="257" t="str">
        <f>IFERROR(IF(factura_c_mes6[[#This Row],[CUIT]]="","-",VLOOKUP(factura_c_mes6[[#This Row],[CUIT]],Lista_CUIT[#All],3,0)),"CUIT NO CARGADO")</f>
        <v>GASTOS CONTABLES</v>
      </c>
      <c r="K141" s="257">
        <f>IFERROR(IF(factura_c_mes6[[#This Row],[CUIT]]="","-",VLOOKUP(factura_c_mes6[[#This Row],[CUIT]],Lista_CUIT[#All],4,0)),"CUIT NO CARGADO")</f>
        <v>0</v>
      </c>
    </row>
    <row r="142" spans="4:11">
      <c r="D142" s="243">
        <v>45464</v>
      </c>
      <c r="E142" s="253">
        <v>2</v>
      </c>
      <c r="F142" s="253">
        <v>1415</v>
      </c>
      <c r="G142" s="254">
        <v>20267420581</v>
      </c>
      <c r="H142" s="255" t="str">
        <f>IFERROR(IF(factura_c_mes6[[#This Row],[CUIT]]="","-",VLOOKUP(factura_c_mes6[[#This Row],[CUIT]],Lista_CUIT[#All],2,0)),"CUIT NO CARGADO")</f>
        <v>COWES JAVIER NESTOR</v>
      </c>
      <c r="I142" s="256">
        <v>45999</v>
      </c>
      <c r="J142" s="257" t="str">
        <f>IFERROR(IF(factura_c_mes6[[#This Row],[CUIT]]="","-",VLOOKUP(factura_c_mes6[[#This Row],[CUIT]],Lista_CUIT[#All],3,0)),"CUIT NO CARGADO")</f>
        <v>Gastos Varios</v>
      </c>
      <c r="K142" s="257">
        <f>IFERROR(IF(factura_c_mes6[[#This Row],[CUIT]]="","-",VLOOKUP(factura_c_mes6[[#This Row],[CUIT]],Lista_CUIT[#All],4,0)),"CUIT NO CARGADO")</f>
        <v>0</v>
      </c>
    </row>
    <row r="143" spans="4:11">
      <c r="D143" s="243">
        <v>45468</v>
      </c>
      <c r="E143" s="253">
        <v>3</v>
      </c>
      <c r="F143" s="253">
        <v>2331</v>
      </c>
      <c r="G143" s="254">
        <v>20182999661</v>
      </c>
      <c r="H143" s="255" t="str">
        <f>IFERROR(IF(factura_c_mes6[[#This Row],[CUIT]]="","-",VLOOKUP(factura_c_mes6[[#This Row],[CUIT]],Lista_CUIT[#All],2,0)),"CUIT NO CARGADO")</f>
        <v>KLAINER ABEL JAVIER</v>
      </c>
      <c r="I143" s="256">
        <v>6000</v>
      </c>
      <c r="J143" s="257" t="str">
        <f>IFERROR(IF(factura_c_mes6[[#This Row],[CUIT]]="","-",VLOOKUP(factura_c_mes6[[#This Row],[CUIT]],Lista_CUIT[#All],3,0)),"CUIT NO CARGADO")</f>
        <v>Gastos Varios</v>
      </c>
      <c r="K143" s="257">
        <f>IFERROR(IF(factura_c_mes6[[#This Row],[CUIT]]="","-",VLOOKUP(factura_c_mes6[[#This Row],[CUIT]],Lista_CUIT[#All],4,0)),"CUIT NO CARGADO")</f>
        <v>0</v>
      </c>
    </row>
    <row r="144" spans="4:11">
      <c r="D144" s="243">
        <v>45469</v>
      </c>
      <c r="E144" s="253">
        <v>3</v>
      </c>
      <c r="F144" s="253">
        <v>2332</v>
      </c>
      <c r="G144" s="254">
        <v>20182999661</v>
      </c>
      <c r="H144" s="255" t="str">
        <f>IFERROR(IF(factura_c_mes6[[#This Row],[CUIT]]="","-",VLOOKUP(factura_c_mes6[[#This Row],[CUIT]],Lista_CUIT[#All],2,0)),"CUIT NO CARGADO")</f>
        <v>KLAINER ABEL JAVIER</v>
      </c>
      <c r="I144" s="256">
        <v>9000</v>
      </c>
      <c r="J144" s="257" t="str">
        <f>IFERROR(IF(factura_c_mes6[[#This Row],[CUIT]]="","-",VLOOKUP(factura_c_mes6[[#This Row],[CUIT]],Lista_CUIT[#All],3,0)),"CUIT NO CARGADO")</f>
        <v>Gastos Varios</v>
      </c>
      <c r="K144" s="257">
        <f>IFERROR(IF(factura_c_mes6[[#This Row],[CUIT]]="","-",VLOOKUP(factura_c_mes6[[#This Row],[CUIT]],Lista_CUIT[#All],4,0)),"CUIT NO CARGADO")</f>
        <v>0</v>
      </c>
    </row>
    <row r="145" spans="2:18">
      <c r="D145" s="243">
        <v>45450</v>
      </c>
      <c r="E145" s="253">
        <v>2</v>
      </c>
      <c r="F145" s="253">
        <v>121</v>
      </c>
      <c r="G145" s="254">
        <v>20220423655</v>
      </c>
      <c r="H145" s="255" t="str">
        <f>IFERROR(IF(factura_c_mes6[[#This Row],[CUIT]]="","-",VLOOKUP(factura_c_mes6[[#This Row],[CUIT]],Lista_CUIT[#All],2,0)),"CUIT NO CARGADO")</f>
        <v>LANDRO FERNANDO GABRIEL</v>
      </c>
      <c r="I145" s="256">
        <v>464060</v>
      </c>
      <c r="J145" s="257" t="str">
        <f>IFERROR(IF(factura_c_mes6[[#This Row],[CUIT]]="","-",VLOOKUP(factura_c_mes6[[#This Row],[CUIT]],Lista_CUIT[#All],3,0)),"CUIT NO CARGADO")</f>
        <v>GESTION COBRANZAS</v>
      </c>
      <c r="K145" s="257">
        <f>IFERROR(IF(factura_c_mes6[[#This Row],[CUIT]]="","-",VLOOKUP(factura_c_mes6[[#This Row],[CUIT]],Lista_CUIT[#All],4,0)),"CUIT NO CARGADO")</f>
        <v>0</v>
      </c>
    </row>
    <row r="146" spans="2:18">
      <c r="D146" s="243">
        <v>45450</v>
      </c>
      <c r="E146" s="253">
        <v>2</v>
      </c>
      <c r="F146" s="253">
        <v>120</v>
      </c>
      <c r="G146" s="254">
        <v>20220423655</v>
      </c>
      <c r="H146" s="255" t="str">
        <f>IFERROR(IF(factura_c_mes6[[#This Row],[CUIT]]="","-",VLOOKUP(factura_c_mes6[[#This Row],[CUIT]],Lista_CUIT[#All],2,0)),"CUIT NO CARGADO")</f>
        <v>LANDRO FERNANDO GABRIEL</v>
      </c>
      <c r="I146" s="256">
        <v>518990</v>
      </c>
      <c r="J146" s="257" t="str">
        <f>IFERROR(IF(factura_c_mes6[[#This Row],[CUIT]]="","-",VLOOKUP(factura_c_mes6[[#This Row],[CUIT]],Lista_CUIT[#All],3,0)),"CUIT NO CARGADO")</f>
        <v>GESTION COBRANZAS</v>
      </c>
      <c r="K146" s="257">
        <f>IFERROR(IF(factura_c_mes6[[#This Row],[CUIT]]="","-",VLOOKUP(factura_c_mes6[[#This Row],[CUIT]],Lista_CUIT[#All],4,0)),"CUIT NO CARGADO")</f>
        <v>0</v>
      </c>
    </row>
    <row r="147" spans="2:18">
      <c r="D147" s="243">
        <v>45446</v>
      </c>
      <c r="E147" s="253">
        <v>3</v>
      </c>
      <c r="F147" s="253">
        <v>850</v>
      </c>
      <c r="G147" s="254">
        <v>20086277523</v>
      </c>
      <c r="H147" s="255" t="str">
        <f>IFERROR(IF(factura_c_mes6[[#This Row],[CUIT]]="","-",VLOOKUP(factura_c_mes6[[#This Row],[CUIT]],Lista_CUIT[#All],2,0)),"CUIT NO CARGADO")</f>
        <v>BOTINDARI JUAN CARLOS</v>
      </c>
      <c r="I147" s="256">
        <v>275500</v>
      </c>
      <c r="J147" s="257" t="str">
        <f>IFERROR(IF(factura_c_mes6[[#This Row],[CUIT]]="","-",VLOOKUP(factura_c_mes6[[#This Row],[CUIT]],Lista_CUIT[#All],3,0)),"CUIT NO CARGADO")</f>
        <v>HONORARIOS</v>
      </c>
      <c r="K147" s="257">
        <f>IFERROR(IF(factura_c_mes6[[#This Row],[CUIT]]="","-",VLOOKUP(factura_c_mes6[[#This Row],[CUIT]],Lista_CUIT[#All],4,0)),"CUIT NO CARGADO")</f>
        <v>0</v>
      </c>
    </row>
    <row r="148" spans="2:18">
      <c r="D148" s="243">
        <v>45468</v>
      </c>
      <c r="E148" s="253">
        <v>2</v>
      </c>
      <c r="F148" s="253">
        <v>326</v>
      </c>
      <c r="G148" s="254">
        <v>27206941419</v>
      </c>
      <c r="H148" s="255" t="str">
        <f>IFERROR(IF(factura_c_mes6[[#This Row],[CUIT]]="","-",VLOOKUP(factura_c_mes6[[#This Row],[CUIT]],Lista_CUIT[#All],2,0)),"CUIT NO CARGADO")</f>
        <v>DOBARRO PAULA MARCELA</v>
      </c>
      <c r="I148" s="256">
        <v>527000</v>
      </c>
      <c r="J148" s="257" t="str">
        <f>IFERROR(IF(factura_c_mes6[[#This Row],[CUIT]]="","-",VLOOKUP(factura_c_mes6[[#This Row],[CUIT]],Lista_CUIT[#All],3,0)),"CUIT NO CARGADO")</f>
        <v>HONORARIOS</v>
      </c>
      <c r="K148" s="257">
        <f>IFERROR(IF(factura_c_mes6[[#This Row],[CUIT]]="","-",VLOOKUP(factura_c_mes6[[#This Row],[CUIT]],Lista_CUIT[#All],4,0)),"CUIT NO CARGADO")</f>
        <v>0</v>
      </c>
    </row>
    <row r="149" spans="2:18">
      <c r="D149" s="243">
        <v>45456</v>
      </c>
      <c r="E149" s="253">
        <v>10</v>
      </c>
      <c r="F149" s="253">
        <v>11</v>
      </c>
      <c r="G149" s="254">
        <v>27207433867</v>
      </c>
      <c r="H149" s="255" t="str">
        <f>IFERROR(IF(factura_c_mes6[[#This Row],[CUIT]]="","-",VLOOKUP(factura_c_mes6[[#This Row],[CUIT]],Lista_CUIT[#All],2,0)),"CUIT NO CARGADO")</f>
        <v xml:space="preserve">CIGNONI ALEJANDRA FABIANA </v>
      </c>
      <c r="I149" s="256">
        <v>100000</v>
      </c>
      <c r="J149" s="257" t="str">
        <f>IFERROR(IF(factura_c_mes6[[#This Row],[CUIT]]="","-",VLOOKUP(factura_c_mes6[[#This Row],[CUIT]],Lista_CUIT[#All],3,0)),"CUIT NO CARGADO")</f>
        <v>HONORARIOS CONTABLES</v>
      </c>
      <c r="K149" s="257">
        <f>IFERROR(IF(factura_c_mes6[[#This Row],[CUIT]]="","-",VLOOKUP(factura_c_mes6[[#This Row],[CUIT]],Lista_CUIT[#All],4,0)),"CUIT NO CARGADO")</f>
        <v>0</v>
      </c>
    </row>
    <row r="150" spans="2:18">
      <c r="D150" s="243">
        <v>45462</v>
      </c>
      <c r="E150" s="253">
        <v>1</v>
      </c>
      <c r="F150" s="253">
        <v>67</v>
      </c>
      <c r="G150" s="254">
        <v>23281233084</v>
      </c>
      <c r="H150" s="255" t="str">
        <f>IFERROR(IF(factura_c_mes6[[#This Row],[CUIT]]="","-",VLOOKUP(factura_c_mes6[[#This Row],[CUIT]],Lista_CUIT[#All],2,0)),"CUIT NO CARGADO")</f>
        <v>DRUETTA ANDREA MARIEL</v>
      </c>
      <c r="I150" s="256">
        <v>107900</v>
      </c>
      <c r="J150" s="257" t="str">
        <f>IFERROR(IF(factura_c_mes6[[#This Row],[CUIT]]="","-",VLOOKUP(factura_c_mes6[[#This Row],[CUIT]],Lista_CUIT[#All],3,0)),"CUIT NO CARGADO")</f>
        <v>HONORARIOS TECNICOS</v>
      </c>
      <c r="K150" s="257">
        <f>IFERROR(IF(factura_c_mes6[[#This Row],[CUIT]]="","-",VLOOKUP(factura_c_mes6[[#This Row],[CUIT]],Lista_CUIT[#All],4,0)),"CUIT NO CARGADO")</f>
        <v>0</v>
      </c>
    </row>
    <row r="151" spans="2:18">
      <c r="D151" s="243">
        <v>45449</v>
      </c>
      <c r="E151" s="253">
        <v>1</v>
      </c>
      <c r="F151" s="253">
        <v>3</v>
      </c>
      <c r="G151" s="254">
        <v>27122903201</v>
      </c>
      <c r="H151" s="255" t="str">
        <f>IFERROR(IF(factura_c_mes6[[#This Row],[CUIT]]="","-",VLOOKUP(factura_c_mes6[[#This Row],[CUIT]],Lista_CUIT[#All],2,0)),"CUIT NO CARGADO")</f>
        <v>ARCE RAQUEL INES</v>
      </c>
      <c r="I151" s="256">
        <v>2377175</v>
      </c>
      <c r="J151" s="257" t="str">
        <f>IFERROR(IF(factura_c_mes6[[#This Row],[CUIT]]="","-",VLOOKUP(factura_c_mes6[[#This Row],[CUIT]],Lista_CUIT[#All],3,0)),"CUIT NO CARGADO")</f>
        <v>Mantenimiento</v>
      </c>
      <c r="K151" s="257">
        <f>IFERROR(IF(factura_c_mes6[[#This Row],[CUIT]]="","-",VLOOKUP(factura_c_mes6[[#This Row],[CUIT]],Lista_CUIT[#All],4,0)),"CUIT NO CARGADO")</f>
        <v>0</v>
      </c>
    </row>
    <row r="152" spans="2:18">
      <c r="D152" s="243">
        <v>45449</v>
      </c>
      <c r="E152" s="253">
        <v>1</v>
      </c>
      <c r="F152" s="253">
        <v>2</v>
      </c>
      <c r="G152" s="254">
        <v>20047064946</v>
      </c>
      <c r="H152" s="255" t="str">
        <f>IFERROR(IF(factura_c_mes6[[#This Row],[CUIT]]="","-",VLOOKUP(factura_c_mes6[[#This Row],[CUIT]],Lista_CUIT[#All],2,0)),"CUIT NO CARGADO")</f>
        <v>GARCIA LETTIERI EDUARDO ALBERTO</v>
      </c>
      <c r="I152" s="256">
        <v>2450000</v>
      </c>
      <c r="J152" s="257" t="str">
        <f>IFERROR(IF(factura_c_mes6[[#This Row],[CUIT]]="","-",VLOOKUP(factura_c_mes6[[#This Row],[CUIT]],Lista_CUIT[#All],3,0)),"CUIT NO CARGADO")</f>
        <v>Mantenimiento</v>
      </c>
      <c r="K152" s="257">
        <f>IFERROR(IF(factura_c_mes6[[#This Row],[CUIT]]="","-",VLOOKUP(factura_c_mes6[[#This Row],[CUIT]],Lista_CUIT[#All],4,0)),"CUIT NO CARGADO")</f>
        <v>0</v>
      </c>
    </row>
    <row r="153" spans="2:18" s="56" customFormat="1" ht="18.600000000000001" customHeight="1">
      <c r="B153"/>
      <c r="C153"/>
      <c r="D153" s="243">
        <v>45468</v>
      </c>
      <c r="E153" s="253">
        <v>1</v>
      </c>
      <c r="F153" s="253">
        <v>226</v>
      </c>
      <c r="G153" s="254">
        <v>27217606255</v>
      </c>
      <c r="H153" s="255" t="str">
        <f>IFERROR(IF(factura_c_mes6[[#This Row],[CUIT]]="","-",VLOOKUP(factura_c_mes6[[#This Row],[CUIT]],Lista_CUIT[#All],2,0)),"CUIT NO CARGADO")</f>
        <v>SAPUNA MARIAN KARINA</v>
      </c>
      <c r="I153" s="256">
        <v>92938.18</v>
      </c>
      <c r="J153" s="257" t="str">
        <f>IFERROR(IF(factura_c_mes6[[#This Row],[CUIT]]="","-",VLOOKUP(factura_c_mes6[[#This Row],[CUIT]],Lista_CUIT[#All],3,0)),"CUIT NO CARGADO")</f>
        <v>MANTENIMIENTO</v>
      </c>
      <c r="K153" s="257">
        <f>IFERROR(IF(factura_c_mes6[[#This Row],[CUIT]]="","-",VLOOKUP(factura_c_mes6[[#This Row],[CUIT]],Lista_CUIT[#All],4,0)),"CUIT NO CARGADO")</f>
        <v>0</v>
      </c>
      <c r="L153"/>
      <c r="M153"/>
      <c r="N153"/>
      <c r="O153"/>
      <c r="P153"/>
      <c r="Q153"/>
      <c r="R153"/>
    </row>
    <row r="154" spans="2:18">
      <c r="D154" s="243">
        <v>45468</v>
      </c>
      <c r="E154" s="253">
        <v>1</v>
      </c>
      <c r="F154" s="253">
        <v>225</v>
      </c>
      <c r="G154" s="254">
        <v>27217606255</v>
      </c>
      <c r="H154" s="255" t="str">
        <f>IFERROR(IF(factura_c_mes6[[#This Row],[CUIT]]="","-",VLOOKUP(factura_c_mes6[[#This Row],[CUIT]],Lista_CUIT[#All],2,0)),"CUIT NO CARGADO")</f>
        <v>SAPUNA MARIAN KARINA</v>
      </c>
      <c r="I154" s="256">
        <v>82372.73</v>
      </c>
      <c r="J154" s="257" t="str">
        <f>IFERROR(IF(factura_c_mes6[[#This Row],[CUIT]]="","-",VLOOKUP(factura_c_mes6[[#This Row],[CUIT]],Lista_CUIT[#All],3,0)),"CUIT NO CARGADO")</f>
        <v>MANTENIMIENTO</v>
      </c>
      <c r="K154" s="257">
        <f>IFERROR(IF(factura_c_mes6[[#This Row],[CUIT]]="","-",VLOOKUP(factura_c_mes6[[#This Row],[CUIT]],Lista_CUIT[#All],4,0)),"CUIT NO CARGADO")</f>
        <v>0</v>
      </c>
    </row>
    <row r="155" spans="2:18">
      <c r="D155" s="243">
        <v>45468</v>
      </c>
      <c r="E155" s="253">
        <v>1</v>
      </c>
      <c r="F155" s="253">
        <v>228</v>
      </c>
      <c r="G155" s="254">
        <v>27217606255</v>
      </c>
      <c r="H155" s="255" t="str">
        <f>IFERROR(IF(factura_c_mes6[[#This Row],[CUIT]]="","-",VLOOKUP(factura_c_mes6[[#This Row],[CUIT]],Lista_CUIT[#All],2,0)),"CUIT NO CARGADO")</f>
        <v>SAPUNA MARIAN KARINA</v>
      </c>
      <c r="I155" s="256">
        <v>49423.78</v>
      </c>
      <c r="J155" s="257" t="str">
        <f>IFERROR(IF(factura_c_mes6[[#This Row],[CUIT]]="","-",VLOOKUP(factura_c_mes6[[#This Row],[CUIT]],Lista_CUIT[#All],3,0)),"CUIT NO CARGADO")</f>
        <v>MANTENIMIENTO</v>
      </c>
      <c r="K155" s="257">
        <f>IFERROR(IF(factura_c_mes6[[#This Row],[CUIT]]="","-",VLOOKUP(factura_c_mes6[[#This Row],[CUIT]],Lista_CUIT[#All],4,0)),"CUIT NO CARGADO")</f>
        <v>0</v>
      </c>
    </row>
    <row r="156" spans="2:18">
      <c r="D156" s="243">
        <v>45468</v>
      </c>
      <c r="E156" s="253">
        <v>1</v>
      </c>
      <c r="F156" s="253">
        <v>230</v>
      </c>
      <c r="G156" s="254">
        <v>27217606255</v>
      </c>
      <c r="H156" s="255" t="str">
        <f>IFERROR(IF(factura_c_mes6[[#This Row],[CUIT]]="","-",VLOOKUP(factura_c_mes6[[#This Row],[CUIT]],Lista_CUIT[#All],2,0)),"CUIT NO CARGADO")</f>
        <v>SAPUNA MARIAN KARINA</v>
      </c>
      <c r="I156" s="256">
        <v>47879.29</v>
      </c>
      <c r="J156" s="257" t="str">
        <f>IFERROR(IF(factura_c_mes6[[#This Row],[CUIT]]="","-",VLOOKUP(factura_c_mes6[[#This Row],[CUIT]],Lista_CUIT[#All],3,0)),"CUIT NO CARGADO")</f>
        <v>MANTENIMIENTO</v>
      </c>
      <c r="K156" s="257">
        <f>IFERROR(IF(factura_c_mes6[[#This Row],[CUIT]]="","-",VLOOKUP(factura_c_mes6[[#This Row],[CUIT]],Lista_CUIT[#All],4,0)),"CUIT NO CARGADO")</f>
        <v>0</v>
      </c>
    </row>
    <row r="157" spans="2:18">
      <c r="D157" s="243">
        <v>45468</v>
      </c>
      <c r="E157" s="253">
        <v>1</v>
      </c>
      <c r="F157" s="253">
        <v>227</v>
      </c>
      <c r="G157" s="254">
        <v>27217606255</v>
      </c>
      <c r="H157" s="255" t="str">
        <f>IFERROR(IF(factura_c_mes6[[#This Row],[CUIT]]="","-",VLOOKUP(factura_c_mes6[[#This Row],[CUIT]],Lista_CUIT[#All],2,0)),"CUIT NO CARGADO")</f>
        <v>SAPUNA MARIAN KARINA</v>
      </c>
      <c r="I157" s="256">
        <v>73689.73</v>
      </c>
      <c r="J157" s="257" t="str">
        <f>IFERROR(IF(factura_c_mes6[[#This Row],[CUIT]]="","-",VLOOKUP(factura_c_mes6[[#This Row],[CUIT]],Lista_CUIT[#All],3,0)),"CUIT NO CARGADO")</f>
        <v>MANTENIMIENTO</v>
      </c>
      <c r="K157" s="257">
        <f>IFERROR(IF(factura_c_mes6[[#This Row],[CUIT]]="","-",VLOOKUP(factura_c_mes6[[#This Row],[CUIT]],Lista_CUIT[#All],4,0)),"CUIT NO CARGADO")</f>
        <v>0</v>
      </c>
    </row>
    <row r="158" spans="2:18">
      <c r="D158" s="243">
        <v>45468</v>
      </c>
      <c r="E158" s="253">
        <v>1</v>
      </c>
      <c r="F158" s="253">
        <v>229</v>
      </c>
      <c r="G158" s="254">
        <v>27217606255</v>
      </c>
      <c r="H158" s="255" t="str">
        <f>IFERROR(IF(factura_c_mes6[[#This Row],[CUIT]]="","-",VLOOKUP(factura_c_mes6[[#This Row],[CUIT]],Lista_CUIT[#All],2,0)),"CUIT NO CARGADO")</f>
        <v>SAPUNA MARIAN KARINA</v>
      </c>
      <c r="I158" s="256">
        <v>43105.39</v>
      </c>
      <c r="J158" s="257" t="str">
        <f>IFERROR(IF(factura_c_mes6[[#This Row],[CUIT]]="","-",VLOOKUP(factura_c_mes6[[#This Row],[CUIT]],Lista_CUIT[#All],3,0)),"CUIT NO CARGADO")</f>
        <v>MANTENIMIENTO</v>
      </c>
      <c r="K158" s="257">
        <f>IFERROR(IF(factura_c_mes6[[#This Row],[CUIT]]="","-",VLOOKUP(factura_c_mes6[[#This Row],[CUIT]],Lista_CUIT[#All],4,0)),"CUIT NO CARGADO")</f>
        <v>0</v>
      </c>
    </row>
    <row r="159" spans="2:18">
      <c r="D159" s="243">
        <v>45468</v>
      </c>
      <c r="E159" s="253">
        <v>1</v>
      </c>
      <c r="F159" s="253">
        <v>224</v>
      </c>
      <c r="G159" s="254">
        <v>27217606255</v>
      </c>
      <c r="H159" s="255" t="str">
        <f>IFERROR(IF(factura_c_mes6[[#This Row],[CUIT]]="","-",VLOOKUP(factura_c_mes6[[#This Row],[CUIT]],Lista_CUIT[#All],2,0)),"CUIT NO CARGADO")</f>
        <v>SAPUNA MARIAN KARINA</v>
      </c>
      <c r="I159" s="256">
        <v>130590.9</v>
      </c>
      <c r="J159" s="257" t="str">
        <f>IFERROR(IF(factura_c_mes6[[#This Row],[CUIT]]="","-",VLOOKUP(factura_c_mes6[[#This Row],[CUIT]],Lista_CUIT[#All],3,0)),"CUIT NO CARGADO")</f>
        <v>MANTENIMIENTO</v>
      </c>
      <c r="K159" s="257">
        <f>IFERROR(IF(factura_c_mes6[[#This Row],[CUIT]]="","-",VLOOKUP(factura_c_mes6[[#This Row],[CUIT]],Lista_CUIT[#All],4,0)),"CUIT NO CARGADO")</f>
        <v>0</v>
      </c>
    </row>
    <row r="160" spans="2:18" ht="22.5" customHeight="1">
      <c r="D160" s="243">
        <v>45446</v>
      </c>
      <c r="E160" s="253">
        <v>1</v>
      </c>
      <c r="F160" s="253">
        <v>137</v>
      </c>
      <c r="G160" s="254">
        <v>27338342840</v>
      </c>
      <c r="H160" s="255" t="str">
        <f>IFERROR(IF(factura_c_mes6[[#This Row],[CUIT]]="","-",VLOOKUP(factura_c_mes6[[#This Row],[CUIT]],Lista_CUIT[#All],2,0)),"CUIT NO CARGADO")</f>
        <v>CANCINO PAMELA RITA</v>
      </c>
      <c r="I160" s="256">
        <v>69000</v>
      </c>
      <c r="J160" s="257" t="str">
        <f>IFERROR(IF(factura_c_mes6[[#This Row],[CUIT]]="","-",VLOOKUP(factura_c_mes6[[#This Row],[CUIT]],Lista_CUIT[#All],3,0)),"CUIT NO CARGADO")</f>
        <v>Productos Ortopedicos</v>
      </c>
      <c r="K160" s="257">
        <f>IFERROR(IF(factura_c_mes6[[#This Row],[CUIT]]="","-",VLOOKUP(factura_c_mes6[[#This Row],[CUIT]],Lista_CUIT[#All],4,0)),"CUIT NO CARGADO")</f>
        <v>0</v>
      </c>
    </row>
    <row r="161" spans="2:18">
      <c r="D161" s="243">
        <v>45446</v>
      </c>
      <c r="E161" s="253">
        <v>2</v>
      </c>
      <c r="F161" s="253">
        <v>280</v>
      </c>
      <c r="G161" s="254">
        <v>27265832178</v>
      </c>
      <c r="H161" s="255" t="str">
        <f>IFERROR(IF(factura_c_mes6[[#This Row],[CUIT]]="","-",VLOOKUP(factura_c_mes6[[#This Row],[CUIT]],Lista_CUIT[#All],2,0)),"CUIT NO CARGADO")</f>
        <v>BLASCO MARIA GUADALUPE</v>
      </c>
      <c r="I161" s="256">
        <v>150000</v>
      </c>
      <c r="J161" s="257" t="str">
        <f>IFERROR(IF(factura_c_mes6[[#This Row],[CUIT]]="","-",VLOOKUP(factura_c_mes6[[#This Row],[CUIT]],Lista_CUIT[#All],3,0)),"CUIT NO CARGADO")</f>
        <v>Productos Ortopedicos</v>
      </c>
      <c r="K161" s="257">
        <f>IFERROR(IF(factura_c_mes6[[#This Row],[CUIT]]="","-",VLOOKUP(factura_c_mes6[[#This Row],[CUIT]],Lista_CUIT[#All],4,0)),"CUIT NO CARGADO")</f>
        <v>0</v>
      </c>
    </row>
    <row r="162" spans="2:18" ht="18" customHeight="1">
      <c r="D162" s="243">
        <v>45461</v>
      </c>
      <c r="E162" s="253">
        <v>1</v>
      </c>
      <c r="F162" s="253">
        <v>138</v>
      </c>
      <c r="G162" s="254">
        <v>27338342840</v>
      </c>
      <c r="H162" s="255" t="str">
        <f>IFERROR(IF(factura_c_mes6[[#This Row],[CUIT]]="","-",VLOOKUP(factura_c_mes6[[#This Row],[CUIT]],Lista_CUIT[#All],2,0)),"CUIT NO CARGADO")</f>
        <v>CANCINO PAMELA RITA</v>
      </c>
      <c r="I162" s="256">
        <v>98100</v>
      </c>
      <c r="J162" s="257" t="str">
        <f>IFERROR(IF(factura_c_mes6[[#This Row],[CUIT]]="","-",VLOOKUP(factura_c_mes6[[#This Row],[CUIT]],Lista_CUIT[#All],3,0)),"CUIT NO CARGADO")</f>
        <v>Productos Ortopedicos</v>
      </c>
      <c r="K162" s="257">
        <f>IFERROR(IF(factura_c_mes6[[#This Row],[CUIT]]="","-",VLOOKUP(factura_c_mes6[[#This Row],[CUIT]],Lista_CUIT[#All],4,0)),"CUIT NO CARGADO")</f>
        <v>0</v>
      </c>
    </row>
    <row r="163" spans="2:18">
      <c r="D163" s="243">
        <v>45462</v>
      </c>
      <c r="E163" s="253">
        <v>2</v>
      </c>
      <c r="F163" s="253">
        <v>283</v>
      </c>
      <c r="G163" s="254">
        <v>27265832178</v>
      </c>
      <c r="H163" s="255" t="str">
        <f>IFERROR(IF(factura_c_mes6[[#This Row],[CUIT]]="","-",VLOOKUP(factura_c_mes6[[#This Row],[CUIT]],Lista_CUIT[#All],2,0)),"CUIT NO CARGADO")</f>
        <v>BLASCO MARIA GUADALUPE</v>
      </c>
      <c r="I163" s="256">
        <v>150000</v>
      </c>
      <c r="J163" s="257" t="str">
        <f>IFERROR(IF(factura_c_mes6[[#This Row],[CUIT]]="","-",VLOOKUP(factura_c_mes6[[#This Row],[CUIT]],Lista_CUIT[#All],3,0)),"CUIT NO CARGADO")</f>
        <v>Productos Ortopedicos</v>
      </c>
      <c r="K163" s="257">
        <f>IFERROR(IF(factura_c_mes6[[#This Row],[CUIT]]="","-",VLOOKUP(factura_c_mes6[[#This Row],[CUIT]],Lista_CUIT[#All],4,0)),"CUIT NO CARGADO")</f>
        <v>0</v>
      </c>
    </row>
    <row r="164" spans="2:18">
      <c r="D164" s="243">
        <v>45468</v>
      </c>
      <c r="E164" s="253">
        <v>1</v>
      </c>
      <c r="F164" s="253">
        <v>6</v>
      </c>
      <c r="G164" s="254">
        <v>20464199633</v>
      </c>
      <c r="H164" s="255" t="str">
        <f>IFERROR(IF(factura_c_mes6[[#This Row],[CUIT]]="","-",VLOOKUP(factura_c_mes6[[#This Row],[CUIT]],Lista_CUIT[#All],2,0)),"CUIT NO CARGADO")</f>
        <v>OVIEDO JIMENEZ TIZIANO LIONEL</v>
      </c>
      <c r="I164" s="256">
        <v>246800</v>
      </c>
      <c r="J164" s="257" t="str">
        <f>IFERROR(IF(factura_c_mes6[[#This Row],[CUIT]]="","-",VLOOKUP(factura_c_mes6[[#This Row],[CUIT]],Lista_CUIT[#All],3,0)),"CUIT NO CARGADO")</f>
        <v>Productos Ortopedicos</v>
      </c>
      <c r="K164" s="257">
        <f>IFERROR(IF(factura_c_mes6[[#This Row],[CUIT]]="","-",VLOOKUP(factura_c_mes6[[#This Row],[CUIT]],Lista_CUIT[#All],4,0)),"CUIT NO CARGADO")</f>
        <v>0</v>
      </c>
    </row>
    <row r="165" spans="2:18">
      <c r="D165" s="243">
        <v>45471</v>
      </c>
      <c r="E165" s="253">
        <v>2</v>
      </c>
      <c r="F165" s="253">
        <v>5</v>
      </c>
      <c r="G165" s="254">
        <v>20299835260</v>
      </c>
      <c r="H165" s="255" t="str">
        <f>IFERROR(IF(factura_c_mes6[[#This Row],[CUIT]]="","-",VLOOKUP(factura_c_mes6[[#This Row],[CUIT]],Lista_CUIT[#All],2,0)),"CUIT NO CARGADO")</f>
        <v>MALGAREJO NICOLAS EMILIO</v>
      </c>
      <c r="I165" s="256">
        <v>290000</v>
      </c>
      <c r="J165" s="257" t="str">
        <f>IFERROR(IF(factura_c_mes6[[#This Row],[CUIT]]="","-",VLOOKUP(factura_c_mes6[[#This Row],[CUIT]],Lista_CUIT[#All],3,0)),"CUIT NO CARGADO")</f>
        <v>Productos Ortopedicos</v>
      </c>
      <c r="K165" s="257">
        <f>IFERROR(IF(factura_c_mes6[[#This Row],[CUIT]]="","-",VLOOKUP(factura_c_mes6[[#This Row],[CUIT]],Lista_CUIT[#All],4,0)),"CUIT NO CARGADO")</f>
        <v>0</v>
      </c>
    </row>
    <row r="166" spans="2:18">
      <c r="D166" s="243">
        <v>45471</v>
      </c>
      <c r="E166" s="253">
        <v>2</v>
      </c>
      <c r="F166" s="253">
        <v>6</v>
      </c>
      <c r="G166" s="254">
        <v>20299835260</v>
      </c>
      <c r="H166" s="255" t="str">
        <f>IFERROR(IF(factura_c_mes6[[#This Row],[CUIT]]="","-",VLOOKUP(factura_c_mes6[[#This Row],[CUIT]],Lista_CUIT[#All],2,0)),"CUIT NO CARGADO")</f>
        <v>MALGAREJO NICOLAS EMILIO</v>
      </c>
      <c r="I166" s="256">
        <v>180000</v>
      </c>
      <c r="J166" s="257" t="str">
        <f>IFERROR(IF(factura_c_mes6[[#This Row],[CUIT]]="","-",VLOOKUP(factura_c_mes6[[#This Row],[CUIT]],Lista_CUIT[#All],3,0)),"CUIT NO CARGADO")</f>
        <v>Productos Ortopedicos</v>
      </c>
      <c r="K166" s="257">
        <f>IFERROR(IF(factura_c_mes6[[#This Row],[CUIT]]="","-",VLOOKUP(factura_c_mes6[[#This Row],[CUIT]],Lista_CUIT[#All],4,0)),"CUIT NO CARGADO")</f>
        <v>0</v>
      </c>
    </row>
    <row r="167" spans="2:18">
      <c r="D167" s="55" t="s">
        <v>110</v>
      </c>
      <c r="E167" s="55"/>
      <c r="F167" s="55"/>
      <c r="G167" s="55"/>
      <c r="H167" s="57"/>
      <c r="I167" s="58">
        <f>SUBTOTAL(109,factura_c_mes6[TOTAL])</f>
        <v>13085664</v>
      </c>
      <c r="J167" s="55"/>
      <c r="K167" s="55"/>
    </row>
    <row r="168" spans="2:18">
      <c r="B168" s="56"/>
      <c r="C168" s="56"/>
      <c r="L168" s="56"/>
      <c r="M168" s="56"/>
      <c r="N168" s="56"/>
      <c r="O168" s="56"/>
      <c r="P168" s="56"/>
      <c r="Q168" s="56"/>
      <c r="R168" s="56"/>
    </row>
    <row r="170" spans="2:18" ht="26.1" customHeight="1"/>
    <row r="172" spans="2:18" ht="17.25" customHeight="1"/>
    <row r="173" spans="2:18" ht="31.5" customHeight="1">
      <c r="B173" s="673" t="s">
        <v>29</v>
      </c>
      <c r="C173" s="673"/>
      <c r="D173" s="673"/>
      <c r="E173" s="673"/>
      <c r="F173" s="673"/>
      <c r="G173" s="673"/>
      <c r="H173" s="673"/>
      <c r="I173" s="673"/>
      <c r="J173" s="673"/>
      <c r="K173" s="669">
        <f>N1</f>
        <v>45444</v>
      </c>
      <c r="L173" s="669"/>
      <c r="M173" s="669"/>
    </row>
    <row r="175" spans="2:18" ht="21">
      <c r="B175" s="666" t="s">
        <v>30</v>
      </c>
      <c r="C175" s="666"/>
    </row>
    <row r="176" spans="2:18" ht="15.75">
      <c r="B176" s="60" t="s">
        <v>0</v>
      </c>
      <c r="C176" s="61" t="s">
        <v>1</v>
      </c>
      <c r="D176" s="61" t="s">
        <v>21</v>
      </c>
      <c r="E176" s="61" t="s">
        <v>22</v>
      </c>
      <c r="F176" s="61" t="s">
        <v>3</v>
      </c>
      <c r="G176" s="61" t="s">
        <v>4</v>
      </c>
      <c r="H176" s="61" t="s">
        <v>23</v>
      </c>
      <c r="I176" s="61" t="s">
        <v>17</v>
      </c>
      <c r="J176" s="61" t="s">
        <v>7</v>
      </c>
      <c r="K176" s="61" t="s">
        <v>24</v>
      </c>
      <c r="L176" s="61" t="s">
        <v>10</v>
      </c>
      <c r="M176" s="62" t="s">
        <v>38</v>
      </c>
    </row>
    <row r="177" spans="2:13">
      <c r="B177" s="40"/>
      <c r="C177" s="41"/>
      <c r="D177" s="42"/>
      <c r="E177" s="43"/>
      <c r="F177" s="44"/>
      <c r="G177" s="98" t="str">
        <f>IFERROR(IF(venta_a_mes6[[#This Row],[CUIT]]="","-",VLOOKUP(venta_a_mes6[[#This Row],[CUIT]],Lista_CUIT[#All],2,0)),"CUIT NO CARGADO")</f>
        <v>-</v>
      </c>
      <c r="H177" s="99"/>
      <c r="I177" s="100">
        <f>venta_a_mes6[[#This Row],[IMPORTE NETO]]*0.21</f>
        <v>0</v>
      </c>
      <c r="J177" s="65"/>
      <c r="K177" s="65"/>
      <c r="L177" s="65">
        <f>SUM(venta_a_mes6[[#This Row],[IMPORTE NETO]:[EXENTO]])</f>
        <v>0</v>
      </c>
      <c r="M177" s="59"/>
    </row>
    <row r="178" spans="2:13">
      <c r="B178" s="266"/>
      <c r="C178" s="267"/>
      <c r="D178" s="268"/>
      <c r="E178" s="269"/>
      <c r="F178" s="270"/>
      <c r="G178" s="271" t="str">
        <f>IFERROR(IF(venta_a_mes6[[#This Row],[CUIT]]="","-",VLOOKUP(venta_a_mes6[[#This Row],[CUIT]],Lista_CUIT[#All],2,0)),"CUIT NO CARGADO")</f>
        <v>-</v>
      </c>
      <c r="H178" s="272"/>
      <c r="I178" s="273">
        <f>venta_a_mes6[[#This Row],[IMPORTE NETO]]*0.21</f>
        <v>0</v>
      </c>
      <c r="J178" s="274"/>
      <c r="K178" s="274"/>
      <c r="L178" s="274">
        <f>SUM(venta_a_mes6[[#This Row],[IMPORTE NETO]:[EXENTO]])</f>
        <v>0</v>
      </c>
      <c r="M178" s="275"/>
    </row>
    <row r="179" spans="2:13">
      <c r="B179" s="266"/>
      <c r="C179" s="267"/>
      <c r="D179" s="268"/>
      <c r="E179" s="269"/>
      <c r="F179" s="270"/>
      <c r="G179" s="271" t="str">
        <f>IFERROR(IF(venta_a_mes6[[#This Row],[CUIT]]="","-",VLOOKUP(venta_a_mes6[[#This Row],[CUIT]],Lista_CUIT[#All],2,0)),"CUIT NO CARGADO")</f>
        <v>-</v>
      </c>
      <c r="H179" s="272"/>
      <c r="I179" s="273">
        <f>venta_a_mes6[[#This Row],[IMPORTE NETO]]*0.21</f>
        <v>0</v>
      </c>
      <c r="J179" s="274"/>
      <c r="K179" s="274"/>
      <c r="L179" s="274">
        <f>SUM(venta_a_mes6[[#This Row],[IMPORTE NETO]:[EXENTO]])</f>
        <v>0</v>
      </c>
      <c r="M179" s="275"/>
    </row>
    <row r="180" spans="2:13">
      <c r="B180" s="266"/>
      <c r="C180" s="267"/>
      <c r="D180" s="268"/>
      <c r="E180" s="269"/>
      <c r="F180" s="270"/>
      <c r="G180" s="271" t="str">
        <f>IFERROR(IF(venta_a_mes6[[#This Row],[CUIT]]="","-",VLOOKUP(venta_a_mes6[[#This Row],[CUIT]],Lista_CUIT[#All],2,0)),"CUIT NO CARGADO")</f>
        <v>-</v>
      </c>
      <c r="H180" s="272"/>
      <c r="I180" s="273">
        <f>venta_a_mes6[[#This Row],[IMPORTE NETO]]*0.21</f>
        <v>0</v>
      </c>
      <c r="J180" s="274"/>
      <c r="K180" s="274"/>
      <c r="L180" s="274">
        <f>SUM(venta_a_mes6[[#This Row],[IMPORTE NETO]:[EXENTO]])</f>
        <v>0</v>
      </c>
      <c r="M180" s="275"/>
    </row>
    <row r="181" spans="2:13">
      <c r="B181" s="266"/>
      <c r="C181" s="267"/>
      <c r="D181" s="268"/>
      <c r="E181" s="269"/>
      <c r="F181" s="270"/>
      <c r="G181" s="271" t="str">
        <f>IFERROR(IF(venta_a_mes6[[#This Row],[CUIT]]="","-",VLOOKUP(venta_a_mes6[[#This Row],[CUIT]],Lista_CUIT[#All],2,0)),"CUIT NO CARGADO")</f>
        <v>-</v>
      </c>
      <c r="H181" s="272"/>
      <c r="I181" s="273">
        <f>venta_a_mes6[[#This Row],[IMPORTE NETO]]*0.21</f>
        <v>0</v>
      </c>
      <c r="J181" s="274"/>
      <c r="K181" s="274"/>
      <c r="L181" s="274">
        <f>SUM(venta_a_mes6[[#This Row],[IMPORTE NETO]:[EXENTO]])</f>
        <v>0</v>
      </c>
      <c r="M181" s="275"/>
    </row>
    <row r="182" spans="2:13">
      <c r="B182" s="101"/>
      <c r="C182" s="102"/>
      <c r="D182" s="103"/>
      <c r="E182" s="104"/>
      <c r="F182" s="105"/>
      <c r="G182" s="98" t="str">
        <f>IFERROR(IF(venta_a_mes6[[#This Row],[CUIT]]="","-",VLOOKUP(venta_a_mes6[[#This Row],[CUIT]],Lista_CUIT[#All],2,0)),"CUIT NO CARGADO")</f>
        <v>-</v>
      </c>
      <c r="H182" s="106"/>
      <c r="I182" s="107">
        <f>venta_a_mes6[[#This Row],[IMPORTE NETO]]*0.21</f>
        <v>0</v>
      </c>
      <c r="J182" s="72"/>
      <c r="K182" s="72"/>
      <c r="L182" s="72">
        <f>SUM(venta_a_mes6[[#This Row],[IMPORTE NETO]:[EXENTO]])</f>
        <v>0</v>
      </c>
      <c r="M182" s="63"/>
    </row>
    <row r="183" spans="2:13" ht="19.350000000000001" customHeight="1">
      <c r="B183" s="108"/>
      <c r="C183" s="109"/>
      <c r="D183" s="110"/>
      <c r="E183" s="111"/>
      <c r="F183" s="112"/>
      <c r="G183" s="98" t="str">
        <f>IFERROR(IF(venta_a_mes6[[#This Row],[CUIT]]="","-",VLOOKUP(venta_a_mes6[[#This Row],[CUIT]],Lista_CUIT[#All],2,0)),"CUIT NO CARGADO")</f>
        <v>-</v>
      </c>
      <c r="H183" s="99"/>
      <c r="I183" s="100">
        <f>venta_a_mes6[[#This Row],[IMPORTE NETO]]*0.21</f>
        <v>0</v>
      </c>
      <c r="J183" s="65"/>
      <c r="K183" s="65"/>
      <c r="L183" s="65">
        <f>SUM(venta_a_mes6[[#This Row],[IMPORTE NETO]:[EXENTO]])</f>
        <v>0</v>
      </c>
      <c r="M183" s="59"/>
    </row>
    <row r="184" spans="2:13" ht="29.1" customHeight="1">
      <c r="B184" s="66" t="s">
        <v>110</v>
      </c>
      <c r="C184" s="67"/>
      <c r="D184" s="67"/>
      <c r="E184" s="67"/>
      <c r="F184" s="67"/>
      <c r="G184" s="67"/>
      <c r="H184" s="69">
        <f>SUBTOTAL(109,venta_a_mes6[IMPORTE NETO])</f>
        <v>0</v>
      </c>
      <c r="I184" s="70">
        <f>SUBTOTAL(109,venta_a_mes6[IVA 21%])</f>
        <v>0</v>
      </c>
      <c r="J184" s="71">
        <f>SUBTOTAL(109,venta_a_mes6[IVA 10,5%])</f>
        <v>0</v>
      </c>
      <c r="K184" s="71">
        <f>SUBTOTAL(109,venta_a_mes6[EXENTO])</f>
        <v>0</v>
      </c>
      <c r="L184" s="71">
        <f>SUBTOTAL(109,venta_a_mes6[TOTAL])</f>
        <v>0</v>
      </c>
      <c r="M184" s="68">
        <f>SUBTOTAL(103,venta_a_mes6[Provincia])</f>
        <v>0</v>
      </c>
    </row>
    <row r="187" spans="2:13" ht="21">
      <c r="B187" s="666" t="s">
        <v>31</v>
      </c>
      <c r="C187" s="666"/>
    </row>
    <row r="188" spans="2:13" ht="15.75">
      <c r="B188" s="60" t="s">
        <v>0</v>
      </c>
      <c r="C188" s="61" t="s">
        <v>1</v>
      </c>
      <c r="D188" s="61" t="s">
        <v>21</v>
      </c>
      <c r="E188" s="61" t="s">
        <v>22</v>
      </c>
      <c r="F188" s="61" t="s">
        <v>3</v>
      </c>
      <c r="G188" s="61" t="s">
        <v>4</v>
      </c>
      <c r="H188" s="61" t="s">
        <v>23</v>
      </c>
      <c r="I188" s="61" t="s">
        <v>17</v>
      </c>
      <c r="J188" s="61" t="s">
        <v>7</v>
      </c>
      <c r="K188" s="61" t="s">
        <v>24</v>
      </c>
      <c r="L188" s="61" t="s">
        <v>10</v>
      </c>
      <c r="M188" s="62" t="s">
        <v>38</v>
      </c>
    </row>
    <row r="189" spans="2:13">
      <c r="B189" s="40"/>
      <c r="C189" s="41"/>
      <c r="D189" s="42"/>
      <c r="E189" s="43"/>
      <c r="F189" s="44"/>
      <c r="G189" s="1" t="str">
        <f>IFERROR(IF(ventas_b_mes6[[#This Row],[CUIT]]="","-",VLOOKUP(ventas_b_mes6[[#This Row],[CUIT]],Lista_CUIT[#All],2,0)),"CUIT NO CARGADO")</f>
        <v>-</v>
      </c>
      <c r="H189" s="64"/>
      <c r="I189" s="64"/>
      <c r="J189" s="64"/>
      <c r="K189" s="64"/>
      <c r="L189" s="64">
        <f>SUM(ventas_b_mes6[[#This Row],[IMPORTE NETO]:[EXENTO]])</f>
        <v>0</v>
      </c>
      <c r="M189" s="59"/>
    </row>
    <row r="190" spans="2:13">
      <c r="B190" s="40"/>
      <c r="C190" s="41"/>
      <c r="D190" s="42"/>
      <c r="E190" s="43"/>
      <c r="F190" s="44"/>
      <c r="G190" s="1"/>
      <c r="H190" s="64"/>
      <c r="I190" s="64"/>
      <c r="J190" s="64"/>
      <c r="K190" s="64"/>
      <c r="L190" s="64">
        <f>SUM(ventas_b_mes6[[#This Row],[IMPORTE NETO]:[EXENTO]])</f>
        <v>0</v>
      </c>
      <c r="M190" s="59"/>
    </row>
    <row r="191" spans="2:13">
      <c r="B191" s="40"/>
      <c r="C191" s="41"/>
      <c r="D191" s="42"/>
      <c r="E191" s="43"/>
      <c r="F191" s="44"/>
      <c r="G191" s="1"/>
      <c r="H191" s="64"/>
      <c r="I191" s="64"/>
      <c r="J191" s="64"/>
      <c r="K191" s="64"/>
      <c r="L191" s="64">
        <f>SUM(ventas_b_mes6[[#This Row],[IMPORTE NETO]:[EXENTO]])</f>
        <v>0</v>
      </c>
      <c r="M191" s="59"/>
    </row>
    <row r="192" spans="2:13">
      <c r="B192" s="40"/>
      <c r="C192" s="41"/>
      <c r="D192" s="42"/>
      <c r="E192" s="43"/>
      <c r="F192" s="44"/>
      <c r="G192" s="1"/>
      <c r="H192" s="64"/>
      <c r="I192" s="64"/>
      <c r="J192" s="64"/>
      <c r="K192" s="64"/>
      <c r="L192" s="64">
        <f>SUM(ventas_b_mes6[[#This Row],[IMPORTE NETO]:[EXENTO]])</f>
        <v>0</v>
      </c>
      <c r="M192" s="59"/>
    </row>
    <row r="193" spans="2:13">
      <c r="B193" s="40"/>
      <c r="C193" s="41"/>
      <c r="D193" s="42"/>
      <c r="E193" s="43"/>
      <c r="F193" s="44"/>
      <c r="G193" s="1"/>
      <c r="H193" s="64"/>
      <c r="I193" s="64"/>
      <c r="J193" s="64"/>
      <c r="K193" s="64"/>
      <c r="L193" s="64">
        <f>SUM(ventas_b_mes6[[#This Row],[IMPORTE NETO]:[EXENTO]])</f>
        <v>0</v>
      </c>
      <c r="M193" s="59"/>
    </row>
    <row r="194" spans="2:13">
      <c r="B194" s="40"/>
      <c r="C194" s="41"/>
      <c r="D194" s="42"/>
      <c r="E194" s="43"/>
      <c r="F194" s="44"/>
      <c r="G194" s="1"/>
      <c r="H194" s="64"/>
      <c r="I194" s="64"/>
      <c r="J194" s="64"/>
      <c r="K194" s="64"/>
      <c r="L194" s="64">
        <f>SUM(ventas_b_mes6[[#This Row],[IMPORTE NETO]:[EXENTO]])</f>
        <v>0</v>
      </c>
      <c r="M194" s="59"/>
    </row>
    <row r="195" spans="2:13">
      <c r="B195" s="66" t="s">
        <v>110</v>
      </c>
      <c r="C195" s="67"/>
      <c r="D195" s="67"/>
      <c r="E195" s="67"/>
      <c r="F195" s="67"/>
      <c r="G195" s="67"/>
      <c r="H195" s="77">
        <f>SUBTOTAL(109,ventas_b_mes6[IMPORTE NETO])</f>
        <v>0</v>
      </c>
      <c r="I195" s="77">
        <f>SUBTOTAL(109,ventas_b_mes6[IVA 21%])</f>
        <v>0</v>
      </c>
      <c r="J195" s="78">
        <f>SUBTOTAL(109,ventas_b_mes6[IVA 10,5%])</f>
        <v>0</v>
      </c>
      <c r="K195" s="78">
        <f>SUBTOTAL(109,ventas_b_mes6[EXENTO])</f>
        <v>0</v>
      </c>
      <c r="L195" s="78">
        <f>SUBTOTAL(109,ventas_b_mes6[TOTAL])</f>
        <v>0</v>
      </c>
      <c r="M195" s="68">
        <f>SUBTOTAL(103,ventas_b_mes6[Provincia])</f>
        <v>0</v>
      </c>
    </row>
    <row r="202" spans="2:13" ht="15.75" thickBot="1"/>
    <row r="203" spans="2:13" ht="15.75" thickTop="1">
      <c r="C203" s="663" t="s">
        <v>66</v>
      </c>
      <c r="D203" s="663"/>
      <c r="E203" s="663"/>
      <c r="F203" s="663"/>
      <c r="G203" s="663"/>
      <c r="H203" s="32"/>
      <c r="I203" s="32"/>
      <c r="J203" s="32"/>
    </row>
    <row r="204" spans="2:13" ht="15.75">
      <c r="C204" s="113" t="s">
        <v>67</v>
      </c>
      <c r="D204" s="114" t="s">
        <v>68</v>
      </c>
      <c r="E204" s="114" t="s">
        <v>112</v>
      </c>
      <c r="F204" s="114" t="s">
        <v>3</v>
      </c>
      <c r="G204" s="114" t="s">
        <v>4</v>
      </c>
      <c r="H204" s="115" t="s">
        <v>69</v>
      </c>
      <c r="I204" s="115" t="s">
        <v>70</v>
      </c>
      <c r="J204" s="115" t="s">
        <v>71</v>
      </c>
      <c r="K204" s="115" t="s">
        <v>72</v>
      </c>
      <c r="L204" s="115" t="s">
        <v>73</v>
      </c>
    </row>
    <row r="205" spans="2:13">
      <c r="C205" s="116"/>
      <c r="D205" s="117"/>
      <c r="E205" s="117"/>
      <c r="F205" s="118"/>
      <c r="G205" s="53" t="str">
        <f>IFERROR(IF(Retenciones_mes6[[#This Row],[CUIT]]="","-",VLOOKUP(Retenciones_mes6[[#This Row],[CUIT]],Lista_CUIT[#All],2,0)),"CUIT NO CARGADO")</f>
        <v>-</v>
      </c>
      <c r="H205" s="119"/>
      <c r="I205" s="119"/>
      <c r="J205" s="119"/>
      <c r="K205" s="119"/>
      <c r="L205" s="119"/>
    </row>
    <row r="206" spans="2:13">
      <c r="C206" s="116"/>
      <c r="D206" s="117"/>
      <c r="E206" s="117"/>
      <c r="F206" s="118"/>
      <c r="G206" s="53" t="str">
        <f>IFERROR(IF(Retenciones_mes6[[#This Row],[CUIT]]="","-",VLOOKUP(Retenciones_mes6[[#This Row],[CUIT]],Lista_CUIT[#All],2,0)),"CUIT NO CARGADO")</f>
        <v>-</v>
      </c>
      <c r="H206" s="119"/>
      <c r="I206" s="119"/>
      <c r="J206" s="119"/>
      <c r="K206" s="119"/>
      <c r="L206" s="119"/>
    </row>
    <row r="207" spans="2:13">
      <c r="C207" s="116"/>
      <c r="D207" s="117"/>
      <c r="E207" s="117"/>
      <c r="F207" s="118"/>
      <c r="G207" s="53" t="str">
        <f>IFERROR(IF(Retenciones_mes6[[#This Row],[CUIT]]="","-",VLOOKUP(Retenciones_mes6[[#This Row],[CUIT]],Lista_CUIT[#All],2,0)),"CUIT NO CARGADO")</f>
        <v>-</v>
      </c>
      <c r="H207" s="119"/>
      <c r="I207" s="119"/>
      <c r="J207" s="119"/>
      <c r="K207" s="119"/>
      <c r="L207" s="119"/>
    </row>
    <row r="208" spans="2:13">
      <c r="C208" s="116"/>
      <c r="D208" s="117"/>
      <c r="E208" s="117"/>
      <c r="F208" s="118"/>
      <c r="G208" s="53" t="str">
        <f>IFERROR(IF(Retenciones_mes6[[#This Row],[CUIT]]="","-",VLOOKUP(Retenciones_mes6[[#This Row],[CUIT]],Lista_CUIT[#All],2,0)),"CUIT NO CARGADO")</f>
        <v>-</v>
      </c>
      <c r="H208" s="119"/>
      <c r="I208" s="119"/>
      <c r="J208" s="119"/>
      <c r="K208" s="119"/>
      <c r="L208" s="119"/>
    </row>
    <row r="209" spans="3:7">
      <c r="D209" s="117"/>
      <c r="E209" s="117"/>
      <c r="G209" s="53" t="str">
        <f>IFERROR(IF(Retenciones_mes6[[#This Row],[CUIT]]="","-",VLOOKUP(Retenciones_mes6[[#This Row],[CUIT]],Lista_CUIT[#All],2,0)),"CUIT NO CARGADO")</f>
        <v>-</v>
      </c>
    </row>
    <row r="210" spans="3:7">
      <c r="C210" s="33"/>
    </row>
  </sheetData>
  <mergeCells count="20">
    <mergeCell ref="C203:G203"/>
    <mergeCell ref="B4:E4"/>
    <mergeCell ref="G4:H4"/>
    <mergeCell ref="J4:K4"/>
    <mergeCell ref="M4:N4"/>
    <mergeCell ref="D130:K130"/>
    <mergeCell ref="B173:J173"/>
    <mergeCell ref="K173:M173"/>
    <mergeCell ref="B175:C175"/>
    <mergeCell ref="B187:C187"/>
    <mergeCell ref="P4:R4"/>
    <mergeCell ref="D118:L118"/>
    <mergeCell ref="B1:F1"/>
    <mergeCell ref="G1:M1"/>
    <mergeCell ref="N1:R1"/>
    <mergeCell ref="B3:E3"/>
    <mergeCell ref="G3:H3"/>
    <mergeCell ref="J3:K3"/>
    <mergeCell ref="M3:N3"/>
    <mergeCell ref="P3:R3"/>
  </mergeCells>
  <dataValidations count="10">
    <dataValidation type="whole" allowBlank="1" showInputMessage="1" showErrorMessage="1" sqref="D189:D194 D177:D183 E132:E166 D9:D112">
      <formula1>1</formula1>
      <formula2>9999</formula2>
    </dataValidation>
    <dataValidation type="whole" allowBlank="1" showInputMessage="1" showErrorMessage="1" sqref="E189:E194 E177:E183 F132:F166 E9:E112">
      <formula1>1</formula1>
      <formula2>99999999</formula2>
    </dataValidation>
    <dataValidation type="whole" allowBlank="1" showInputMessage="1" showErrorMessage="1" sqref="F189:F194 F177:F183 G132:G166 F9:F112">
      <formula1>20000000000</formula1>
      <formula2>33999999999</formula2>
    </dataValidation>
    <dataValidation type="date" allowBlank="1" showInputMessage="1" showErrorMessage="1" sqref="D120:D125 B114:B117 B189:B194 B177:B183 D132:D166 B9:B112">
      <formula1>40179</formula1>
      <formula2>TODAY()</formula2>
    </dataValidation>
    <dataValidation type="whole" allowBlank="1" showInputMessage="1" showErrorMessage="1" sqref="C114:C117 C177:C183 C9:C112">
      <formula1>1</formula1>
      <formula2>3</formula2>
    </dataValidation>
    <dataValidation type="whole" allowBlank="1" showInputMessage="1" showErrorMessage="1" sqref="C189:C194">
      <formula1>6</formula1>
      <formula2>8</formula2>
    </dataValidation>
    <dataValidation type="custom" allowBlank="1" showInputMessage="1" showErrorMessage="1" sqref="H189:L194">
      <formula1>IF($C189=8,H189&lt;0,H189&gt;=0)</formula1>
    </dataValidation>
    <dataValidation type="custom" allowBlank="1" showInputMessage="1" showErrorMessage="1" sqref="L177:L181">
      <formula1>IF($C9=3,L9&lt;0,L9&gt;=0)</formula1>
    </dataValidation>
    <dataValidation type="custom" allowBlank="1" showInputMessage="1" showErrorMessage="1" sqref="H177:K181">
      <formula1>IF($C177=3,H177&lt;0,H177&gt;=0)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2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theme="9" tint="0.79998168889431442"/>
  </sheetPr>
  <dimension ref="A1:Z213"/>
  <sheetViews>
    <sheetView showGridLines="0" topLeftCell="A5" zoomScale="80" zoomScaleNormal="80" workbookViewId="0">
      <selection activeCell="H118" activeCellId="1" sqref="O118 H118"/>
    </sheetView>
  </sheetViews>
  <sheetFormatPr baseColWidth="10" defaultColWidth="0" defaultRowHeight="15"/>
  <cols>
    <col min="1" max="1" width="0.140625" customWidth="1"/>
    <col min="2" max="2" width="13.5703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7.42578125" customWidth="1"/>
    <col min="9" max="9" width="17.5703125" customWidth="1"/>
    <col min="10" max="10" width="32.140625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18.140625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EDATE('Ene-24'!N1,6)</f>
        <v>45474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SUM(compras_mes7[[#Totals],[NETO GRAVADO]])+extracto_banco_mes7[[#Totals],[NETO]]</f>
        <v>60406292.970000006</v>
      </c>
      <c r="C4" s="671"/>
      <c r="D4" s="671"/>
      <c r="E4" s="671"/>
      <c r="F4" s="39"/>
      <c r="G4" s="672">
        <f>compras_mes7[[#Totals],[IVA 21 %]]+compras_mes7[[#Totals],[IVA 27%]]+compras_mes7[[#Totals],[IVA 10,5%]]+extracto_banco_mes7[[#Totals],[IVA 21%]]+extracto_banco_mes7[[#Totals],[IVA 10,5%]]</f>
        <v>9220936.5765000004</v>
      </c>
      <c r="H4" s="672"/>
      <c r="I4" s="39"/>
      <c r="J4" s="661">
        <f>venta_a_mes7[[#Totals],[IMPORTE NETO]]+ventas_b_mes7[[#Totals],[IMPORTE NETO]]</f>
        <v>0</v>
      </c>
      <c r="K4" s="661"/>
      <c r="L4" s="39"/>
      <c r="M4" s="661">
        <f>venta_a_mes7[[#Totals],[IVA 21%]]+venta_a_mes7[[#Totals],[IVA 10,5%]]+ventas_b_mes7[[#Totals],[IVA 21%]]+ventas_b_mes7[[#Totals],[IVA 10,5%]]</f>
        <v>0</v>
      </c>
      <c r="N4" s="661"/>
      <c r="O4" s="39"/>
      <c r="P4" s="674">
        <f>G4-M4</f>
        <v>9220936.5765000004</v>
      </c>
      <c r="Q4" s="675"/>
      <c r="R4" s="675"/>
    </row>
    <row r="5" spans="1:26" ht="28.5" customHeight="1">
      <c r="N5" s="282">
        <v>19901037.649999999</v>
      </c>
    </row>
    <row r="6" spans="1:26" ht="25.5" customHeight="1"/>
    <row r="7" spans="1:26" s="2" customFormat="1" ht="28.5" customHeight="1">
      <c r="B7" s="40"/>
      <c r="C7" s="41"/>
      <c r="D7" s="42"/>
      <c r="E7" s="43"/>
      <c r="F7" s="44"/>
      <c r="G7" s="177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429" customFormat="1">
      <c r="B9" s="243"/>
      <c r="C9" s="244"/>
      <c r="D9" s="245"/>
      <c r="E9" s="246"/>
      <c r="F9" s="247"/>
      <c r="G9" s="248" t="str">
        <f>IFERROR(IF(compras_mes7[[#This Row],[CUIT]]="","-",VLOOKUP(compras_mes7[[#This Row],[CUIT]],Lista_CUIT[#All],2,0)),"CUIT NO CARGADO")</f>
        <v>-</v>
      </c>
      <c r="H9" s="249"/>
      <c r="I9" s="250" t="str">
        <f>IF(compras_mes7[[#This Row],[NETO GRAVADO]]="","",compras_mes7[[#This Row],[NETO GRAVADO]]*0.21)</f>
        <v/>
      </c>
      <c r="J9" s="417"/>
      <c r="K9" s="417"/>
      <c r="L9" s="417"/>
      <c r="M9" s="417"/>
      <c r="N9" s="417"/>
      <c r="O9" s="417"/>
      <c r="P9" s="415">
        <f>SUM(compras_mes7[[#This Row],[NETO GRAVADO]:[Otros / No Grav.]])</f>
        <v>0</v>
      </c>
      <c r="Q9" s="416" t="str">
        <f>IFERROR(IF(compras_mes7[[#This Row],[CUIT]]="","-",VLOOKUP(compras_mes7[[#This Row],[CUIT]],Lista_CUIT[#All],3,0)),"CUIT NO CARGADO")</f>
        <v>-</v>
      </c>
      <c r="R9" s="416" t="str">
        <f>IFERROR(IF(compras_mes7[[#This Row],[CUIT]]="","-",VLOOKUP(compras_mes7[[#This Row],[CUIT]],Lista_CUIT[#All],4,0)),"CUIT NO CARGADO")</f>
        <v>-</v>
      </c>
    </row>
    <row r="10" spans="1:26">
      <c r="B10" s="418">
        <v>45480</v>
      </c>
      <c r="C10" s="419">
        <v>1</v>
      </c>
      <c r="D10" s="420">
        <v>12</v>
      </c>
      <c r="E10" s="421">
        <v>1749992</v>
      </c>
      <c r="F10" s="422">
        <v>30709776564</v>
      </c>
      <c r="G10" s="423" t="str">
        <f>IFERROR(IF(compras_mes7[[#This Row],[CUIT]]="","-",VLOOKUP(compras_mes7[[#This Row],[CUIT]],Lista_CUIT[#All],2,0)),"CUIT NO CARGADO")</f>
        <v>PROSEGUR ACTIVA ARG SA</v>
      </c>
      <c r="H10" s="424">
        <v>110424.62</v>
      </c>
      <c r="I10" s="425">
        <f>IF(compras_mes7[[#This Row],[NETO GRAVADO]]="","",compras_mes7[[#This Row],[NETO GRAVADO]]*0.21)</f>
        <v>23189.170199999997</v>
      </c>
      <c r="J10" s="426"/>
      <c r="K10" s="426"/>
      <c r="L10" s="426"/>
      <c r="M10" s="426"/>
      <c r="N10" s="426">
        <v>4416.99</v>
      </c>
      <c r="O10" s="426"/>
      <c r="P10" s="427">
        <f>SUM(compras_mes7[[#This Row],[NETO GRAVADO]:[Otros / No Grav.]])</f>
        <v>138030.78019999998</v>
      </c>
      <c r="Q10" s="428" t="str">
        <f>IFERROR(IF(compras_mes7[[#This Row],[CUIT]]="","-",VLOOKUP(compras_mes7[[#This Row],[CUIT]],Lista_CUIT[#All],3,0)),"CUIT NO CARGADO")</f>
        <v>Servicio Seguridad</v>
      </c>
      <c r="R10" s="428">
        <f>IFERROR(IF(compras_mes7[[#This Row],[CUIT]]="","-",VLOOKUP(compras_mes7[[#This Row],[CUIT]],Lista_CUIT[#All],4,0)),"CUIT NO CARGADO")</f>
        <v>0</v>
      </c>
    </row>
    <row r="11" spans="1:26">
      <c r="B11" s="40">
        <v>45474</v>
      </c>
      <c r="C11" s="41">
        <v>1</v>
      </c>
      <c r="D11" s="42">
        <v>2</v>
      </c>
      <c r="E11" s="43">
        <v>212</v>
      </c>
      <c r="F11" s="44">
        <v>30605344352</v>
      </c>
      <c r="G11" s="45" t="str">
        <f>IFERROR(IF(compras_mes7[[#This Row],[CUIT]]="","-",VLOOKUP(compras_mes7[[#This Row],[CUIT]],Lista_CUIT[#All],2,0)),"CUIT NO CARGADO")</f>
        <v>CONSORCIO BARTOLME MITRE 2466</v>
      </c>
      <c r="H11" s="46">
        <v>834000</v>
      </c>
      <c r="I11" s="250">
        <f>IF(compras_mes7[[#This Row],[NETO GRAVADO]]="","",compras_mes7[[#This Row],[NETO GRAVADO]]*0.21)</f>
        <v>175140</v>
      </c>
      <c r="J11" s="85"/>
      <c r="K11" s="85"/>
      <c r="L11" s="85"/>
      <c r="M11" s="85"/>
      <c r="N11" s="85"/>
      <c r="O11" s="85"/>
      <c r="P11" s="415">
        <f>SUM(compras_mes7[[#This Row],[NETO GRAVADO]:[Otros / No Grav.]])</f>
        <v>1009140</v>
      </c>
      <c r="Q11" s="416" t="str">
        <f>IFERROR(IF(compras_mes7[[#This Row],[CUIT]]="","-",VLOOKUP(compras_mes7[[#This Row],[CUIT]],Lista_CUIT[#All],3,0)),"CUIT NO CARGADO")</f>
        <v>ALQUILERES PAGADOS</v>
      </c>
      <c r="R11" s="416">
        <f>IFERROR(IF(compras_mes7[[#This Row],[CUIT]]="","-",VLOOKUP(compras_mes7[[#This Row],[CUIT]],Lista_CUIT[#All],4,0)),"CUIT NO CARGADO")</f>
        <v>0</v>
      </c>
    </row>
    <row r="12" spans="1:26">
      <c r="B12" s="243">
        <v>45478</v>
      </c>
      <c r="C12" s="244">
        <v>1</v>
      </c>
      <c r="D12" s="245">
        <v>1001</v>
      </c>
      <c r="E12" s="246">
        <v>451</v>
      </c>
      <c r="F12" s="247">
        <v>30707370552</v>
      </c>
      <c r="G12" s="248" t="str">
        <f>IFERROR(IF(compras_mes7[[#This Row],[CUIT]]="","-",VLOOKUP(compras_mes7[[#This Row],[CUIT]],Lista_CUIT[#All],2,0)),"CUIT NO CARGADO")</f>
        <v>RAKE SA</v>
      </c>
      <c r="H12" s="249">
        <v>380702.48</v>
      </c>
      <c r="I12" s="250">
        <f>IF(compras_mes7[[#This Row],[NETO GRAVADO]]="","",compras_mes7[[#This Row],[NETO GRAVADO]]*0.21)</f>
        <v>79947.520799999998</v>
      </c>
      <c r="J12" s="417"/>
      <c r="K12" s="417"/>
      <c r="L12" s="417"/>
      <c r="M12" s="417"/>
      <c r="N12" s="417"/>
      <c r="O12" s="417"/>
      <c r="P12" s="415">
        <f>SUM(compras_mes7[[#This Row],[NETO GRAVADO]:[Otros / No Grav.]])</f>
        <v>460650.00079999998</v>
      </c>
      <c r="Q12" s="416" t="str">
        <f>IFERROR(IF(compras_mes7[[#This Row],[CUIT]]="","-",VLOOKUP(compras_mes7[[#This Row],[CUIT]],Lista_CUIT[#All],3,0)),"CUIT NO CARGADO")</f>
        <v>ALQUILERES PAGADOS</v>
      </c>
      <c r="R12" s="416">
        <f>IFERROR(IF(compras_mes7[[#This Row],[CUIT]]="","-",VLOOKUP(compras_mes7[[#This Row],[CUIT]],Lista_CUIT[#All],4,0)),"CUIT NO CARGADO")</f>
        <v>0</v>
      </c>
    </row>
    <row r="13" spans="1:26">
      <c r="B13" s="243">
        <v>45478</v>
      </c>
      <c r="C13" s="244">
        <v>1</v>
      </c>
      <c r="D13" s="245">
        <v>1001</v>
      </c>
      <c r="E13" s="246">
        <v>452</v>
      </c>
      <c r="F13" s="247">
        <v>30707370552</v>
      </c>
      <c r="G13" s="248" t="str">
        <f>IFERROR(IF(compras_mes7[[#This Row],[CUIT]]="","-",VLOOKUP(compras_mes7[[#This Row],[CUIT]],Lista_CUIT[#All],2,0)),"CUIT NO CARGADO")</f>
        <v>RAKE SA</v>
      </c>
      <c r="H13" s="249">
        <v>817851.24</v>
      </c>
      <c r="I13" s="250">
        <f>IF(compras_mes7[[#This Row],[NETO GRAVADO]]="","",compras_mes7[[#This Row],[NETO GRAVADO]]*0.21)</f>
        <v>171748.7604</v>
      </c>
      <c r="J13" s="417"/>
      <c r="K13" s="417"/>
      <c r="L13" s="417"/>
      <c r="M13" s="417"/>
      <c r="N13" s="417"/>
      <c r="O13" s="417"/>
      <c r="P13" s="415">
        <f>SUM(compras_mes7[[#This Row],[NETO GRAVADO]:[Otros / No Grav.]])</f>
        <v>989600.00040000002</v>
      </c>
      <c r="Q13" s="416" t="str">
        <f>IFERROR(IF(compras_mes7[[#This Row],[CUIT]]="","-",VLOOKUP(compras_mes7[[#This Row],[CUIT]],Lista_CUIT[#All],3,0)),"CUIT NO CARGADO")</f>
        <v>ALQUILERES PAGADOS</v>
      </c>
      <c r="R13" s="416">
        <f>IFERROR(IF(compras_mes7[[#This Row],[CUIT]]="","-",VLOOKUP(compras_mes7[[#This Row],[CUIT]],Lista_CUIT[#All],4,0)),"CUIT NO CARGADO")</f>
        <v>0</v>
      </c>
    </row>
    <row r="14" spans="1:26">
      <c r="B14" s="243">
        <v>45483</v>
      </c>
      <c r="C14" s="244">
        <v>1</v>
      </c>
      <c r="D14" s="245">
        <v>1</v>
      </c>
      <c r="E14" s="246">
        <v>831</v>
      </c>
      <c r="F14" s="247">
        <v>30715048066</v>
      </c>
      <c r="G14" s="248" t="str">
        <f>IFERROR(IF(compras_mes7[[#This Row],[CUIT]]="","-",VLOOKUP(compras_mes7[[#This Row],[CUIT]],Lista_CUIT[#All],2,0)),"CUIT NO CARGADO")</f>
        <v>ROLLS Y EMPANADAS SA</v>
      </c>
      <c r="H14" s="249">
        <v>807785</v>
      </c>
      <c r="I14" s="250">
        <f>IF(compras_mes7[[#This Row],[NETO GRAVADO]]="","",compras_mes7[[#This Row],[NETO GRAVADO]]*0.21)</f>
        <v>169634.85</v>
      </c>
      <c r="J14" s="417"/>
      <c r="K14" s="417"/>
      <c r="L14" s="417"/>
      <c r="M14" s="417"/>
      <c r="N14" s="417"/>
      <c r="O14" s="417"/>
      <c r="P14" s="415">
        <f>SUM(compras_mes7[[#This Row],[NETO GRAVADO]:[Otros / No Grav.]])</f>
        <v>977419.85</v>
      </c>
      <c r="Q14" s="416" t="str">
        <f>IFERROR(IF(compras_mes7[[#This Row],[CUIT]]="","-",VLOOKUP(compras_mes7[[#This Row],[CUIT]],Lista_CUIT[#All],3,0)),"CUIT NO CARGADO")</f>
        <v>Catering</v>
      </c>
      <c r="R14" s="416">
        <f>IFERROR(IF(compras_mes7[[#This Row],[CUIT]]="","-",VLOOKUP(compras_mes7[[#This Row],[CUIT]],Lista_CUIT[#All],4,0)),"CUIT NO CARGADO")</f>
        <v>0</v>
      </c>
    </row>
    <row r="15" spans="1:26" s="429" customFormat="1">
      <c r="B15" s="40">
        <v>45474</v>
      </c>
      <c r="C15" s="244">
        <v>1</v>
      </c>
      <c r="D15" s="42">
        <v>12</v>
      </c>
      <c r="E15" s="43">
        <v>37786</v>
      </c>
      <c r="F15" s="44">
        <v>33688436279</v>
      </c>
      <c r="G15" s="45" t="str">
        <f>IFERROR(IF(compras_mes7[[#This Row],[CUIT]]="","-",VLOOKUP(compras_mes7[[#This Row],[CUIT]],Lista_CUIT[#All],2,0)),"CUIT NO CARGADO")</f>
        <v>UNENS S R L</v>
      </c>
      <c r="H15" s="46">
        <v>33236.33</v>
      </c>
      <c r="I15" s="250">
        <f>IF(compras_mes7[[#This Row],[NETO GRAVADO]]="","",compras_mes7[[#This Row],[NETO GRAVADO]]*0.21)</f>
        <v>6979.6293000000005</v>
      </c>
      <c r="J15" s="417"/>
      <c r="K15" s="417"/>
      <c r="L15" s="417"/>
      <c r="M15" s="417"/>
      <c r="N15" s="417"/>
      <c r="O15" s="417">
        <v>6187.03</v>
      </c>
      <c r="P15" s="415">
        <f>SUM(compras_mes7[[#This Row],[NETO GRAVADO]:[Otros / No Grav.]])</f>
        <v>46402.989300000001</v>
      </c>
      <c r="Q15" s="416" t="str">
        <f>IFERROR(IF(compras_mes7[[#This Row],[CUIT]]="","-",VLOOKUP(compras_mes7[[#This Row],[CUIT]],Lista_CUIT[#All],3,0)),"CUIT NO CARGADO")</f>
        <v>COMBUSTIBLE</v>
      </c>
      <c r="R15" s="416">
        <f>IFERROR(IF(compras_mes7[[#This Row],[CUIT]]="","-",VLOOKUP(compras_mes7[[#This Row],[CUIT]],Lista_CUIT[#All],4,0)),"CUIT NO CARGADO")</f>
        <v>0</v>
      </c>
    </row>
    <row r="16" spans="1:26">
      <c r="B16" s="418">
        <v>45475</v>
      </c>
      <c r="C16" s="419">
        <v>1</v>
      </c>
      <c r="D16" s="420">
        <v>24</v>
      </c>
      <c r="E16" s="421">
        <v>18153</v>
      </c>
      <c r="F16" s="422">
        <v>20139793170</v>
      </c>
      <c r="G16" s="423" t="str">
        <f>IFERROR(IF(compras_mes7[[#This Row],[CUIT]]="","-",VLOOKUP(compras_mes7[[#This Row],[CUIT]],Lista_CUIT[#All],2,0)),"CUIT NO CARGADO")</f>
        <v>IACONO JUAN</v>
      </c>
      <c r="H16" s="424">
        <v>93072.33</v>
      </c>
      <c r="I16" s="425">
        <f>IF(compras_mes7[[#This Row],[NETO GRAVADO]]="","",compras_mes7[[#This Row],[NETO GRAVADO]]*0.21)</f>
        <v>19545.189299999998</v>
      </c>
      <c r="J16" s="426"/>
      <c r="K16" s="426"/>
      <c r="L16" s="426"/>
      <c r="M16" s="426"/>
      <c r="N16" s="426"/>
      <c r="O16" s="426">
        <v>7733.06</v>
      </c>
      <c r="P16" s="427">
        <f>SUM(compras_mes7[[#This Row],[NETO GRAVADO]:[Otros / No Grav.]])</f>
        <v>120350.5793</v>
      </c>
      <c r="Q16" s="428" t="str">
        <f>IFERROR(IF(compras_mes7[[#This Row],[CUIT]]="","-",VLOOKUP(compras_mes7[[#This Row],[CUIT]],Lista_CUIT[#All],3,0)),"CUIT NO CARGADO")</f>
        <v>COMBUSTIBLE</v>
      </c>
      <c r="R16" s="428">
        <f>IFERROR(IF(compras_mes7[[#This Row],[CUIT]]="","-",VLOOKUP(compras_mes7[[#This Row],[CUIT]],Lista_CUIT[#All],4,0)),"CUIT NO CARGADO")</f>
        <v>0</v>
      </c>
    </row>
    <row r="17" spans="2:18">
      <c r="B17" s="243">
        <v>45475</v>
      </c>
      <c r="C17" s="244">
        <v>1</v>
      </c>
      <c r="D17" s="245">
        <v>1</v>
      </c>
      <c r="E17" s="246">
        <v>2313</v>
      </c>
      <c r="F17" s="247">
        <v>30717179389</v>
      </c>
      <c r="G17" s="248" t="str">
        <f>IFERROR(IF(compras_mes7[[#This Row],[CUIT]]="","-",VLOOKUP(compras_mes7[[#This Row],[CUIT]],Lista_CUIT[#All],2,0)),"CUIT NO CARGADO")</f>
        <v>NICOLAS TOBIAS SEQUEIRA Y MARIA GABRIELA RATTNER SOCIEDAD DE LA SECCION IV LGS</v>
      </c>
      <c r="H17" s="249">
        <v>33884.300000000003</v>
      </c>
      <c r="I17" s="250">
        <f>IF(compras_mes7[[#This Row],[NETO GRAVADO]]="","",compras_mes7[[#This Row],[NETO GRAVADO]]*0.21)</f>
        <v>7115.7030000000004</v>
      </c>
      <c r="J17" s="417"/>
      <c r="K17" s="417"/>
      <c r="L17" s="417"/>
      <c r="M17" s="417"/>
      <c r="N17" s="417"/>
      <c r="O17" s="417"/>
      <c r="P17" s="415">
        <f>SUM(compras_mes7[[#This Row],[NETO GRAVADO]:[Otros / No Grav.]])</f>
        <v>41000.003000000004</v>
      </c>
      <c r="Q17" s="416" t="str">
        <f>IFERROR(IF(compras_mes7[[#This Row],[CUIT]]="","-",VLOOKUP(compras_mes7[[#This Row],[CUIT]],Lista_CUIT[#All],3,0)),"CUIT NO CARGADO")</f>
        <v>COMBUSTIBLE</v>
      </c>
      <c r="R17" s="416">
        <f>IFERROR(IF(compras_mes7[[#This Row],[CUIT]]="","-",VLOOKUP(compras_mes7[[#This Row],[CUIT]],Lista_CUIT[#All],4,0)),"CUIT NO CARGADO")</f>
        <v>0</v>
      </c>
    </row>
    <row r="18" spans="2:18">
      <c r="B18" s="243">
        <v>45482</v>
      </c>
      <c r="C18" s="244">
        <v>1</v>
      </c>
      <c r="D18" s="245">
        <v>24</v>
      </c>
      <c r="E18" s="246">
        <v>18322</v>
      </c>
      <c r="F18" s="247">
        <v>20139793170</v>
      </c>
      <c r="G18" s="248" t="str">
        <f>IFERROR(IF(compras_mes7[[#This Row],[CUIT]]="","-",VLOOKUP(compras_mes7[[#This Row],[CUIT]],Lista_CUIT[#All],2,0)),"CUIT NO CARGADO")</f>
        <v>IACONO JUAN</v>
      </c>
      <c r="H18" s="249">
        <v>94948.86</v>
      </c>
      <c r="I18" s="250">
        <f>IF(compras_mes7[[#This Row],[NETO GRAVADO]]="","",compras_mes7[[#This Row],[NETO GRAVADO]]*0.21)</f>
        <v>19939.260599999998</v>
      </c>
      <c r="J18" s="417"/>
      <c r="K18" s="417"/>
      <c r="L18" s="417"/>
      <c r="M18" s="417"/>
      <c r="N18" s="417">
        <v>0.01</v>
      </c>
      <c r="O18" s="417">
        <v>7737.1</v>
      </c>
      <c r="P18" s="415">
        <f>SUM(compras_mes7[[#This Row],[NETO GRAVADO]:[Otros / No Grav.]])</f>
        <v>122625.2306</v>
      </c>
      <c r="Q18" s="416" t="str">
        <f>IFERROR(IF(compras_mes7[[#This Row],[CUIT]]="","-",VLOOKUP(compras_mes7[[#This Row],[CUIT]],Lista_CUIT[#All],3,0)),"CUIT NO CARGADO")</f>
        <v>COMBUSTIBLE</v>
      </c>
      <c r="R18" s="416">
        <f>IFERROR(IF(compras_mes7[[#This Row],[CUIT]]="","-",VLOOKUP(compras_mes7[[#This Row],[CUIT]],Lista_CUIT[#All],4,0)),"CUIT NO CARGADO")</f>
        <v>0</v>
      </c>
    </row>
    <row r="19" spans="2:18">
      <c r="B19" s="243">
        <v>45484</v>
      </c>
      <c r="C19" s="244">
        <v>1</v>
      </c>
      <c r="D19" s="245">
        <v>15</v>
      </c>
      <c r="E19" s="246">
        <v>35343</v>
      </c>
      <c r="F19" s="247">
        <v>30685116657</v>
      </c>
      <c r="G19" s="248" t="str">
        <f>IFERROR(IF(compras_mes7[[#This Row],[CUIT]]="","-",VLOOKUP(compras_mes7[[#This Row],[CUIT]],Lista_CUIT[#All],2,0)),"CUIT NO CARGADO")</f>
        <v>MIRVAR SA</v>
      </c>
      <c r="H19" s="249">
        <v>35581.9</v>
      </c>
      <c r="I19" s="250">
        <f>IF(compras_mes7[[#This Row],[NETO GRAVADO]]="","",compras_mes7[[#This Row],[NETO GRAVADO]]*0.21)</f>
        <v>7472.1989999999996</v>
      </c>
      <c r="J19" s="417"/>
      <c r="K19" s="417"/>
      <c r="L19" s="417"/>
      <c r="M19" s="417"/>
      <c r="N19" s="417"/>
      <c r="O19" s="417">
        <v>6347.4</v>
      </c>
      <c r="P19" s="415">
        <f>SUM(compras_mes7[[#This Row],[NETO GRAVADO]:[Otros / No Grav.]])</f>
        <v>49401.499000000003</v>
      </c>
      <c r="Q19" s="416" t="str">
        <f>IFERROR(IF(compras_mes7[[#This Row],[CUIT]]="","-",VLOOKUP(compras_mes7[[#This Row],[CUIT]],Lista_CUIT[#All],3,0)),"CUIT NO CARGADO")</f>
        <v>COMBUSTIBLE</v>
      </c>
      <c r="R19" s="416">
        <f>IFERROR(IF(compras_mes7[[#This Row],[CUIT]]="","-",VLOOKUP(compras_mes7[[#This Row],[CUIT]],Lista_CUIT[#All],4,0)),"CUIT NO CARGADO")</f>
        <v>0</v>
      </c>
    </row>
    <row r="20" spans="2:18">
      <c r="B20" s="243">
        <v>45487</v>
      </c>
      <c r="C20" s="244">
        <v>1</v>
      </c>
      <c r="D20" s="245">
        <v>24</v>
      </c>
      <c r="E20" s="246">
        <v>18434</v>
      </c>
      <c r="F20" s="247">
        <v>20139793170</v>
      </c>
      <c r="G20" s="248" t="str">
        <f>IFERROR(IF(compras_mes7[[#This Row],[CUIT]]="","-",VLOOKUP(compras_mes7[[#This Row],[CUIT]],Lista_CUIT[#All],2,0)),"CUIT NO CARGADO")</f>
        <v>IACONO JUAN</v>
      </c>
      <c r="H20" s="249">
        <v>46675.67</v>
      </c>
      <c r="I20" s="250">
        <f>IF(compras_mes7[[#This Row],[NETO GRAVADO]]="","",compras_mes7[[#This Row],[NETO GRAVADO]]*0.21)</f>
        <v>9801.8906999999999</v>
      </c>
      <c r="J20" s="417"/>
      <c r="K20" s="417"/>
      <c r="L20" s="417"/>
      <c r="M20" s="417"/>
      <c r="N20" s="417"/>
      <c r="O20" s="417">
        <v>3881.06</v>
      </c>
      <c r="P20" s="415">
        <f>SUM(compras_mes7[[#This Row],[NETO GRAVADO]:[Otros / No Grav.]])</f>
        <v>60358.620699999999</v>
      </c>
      <c r="Q20" s="416" t="str">
        <f>IFERROR(IF(compras_mes7[[#This Row],[CUIT]]="","-",VLOOKUP(compras_mes7[[#This Row],[CUIT]],Lista_CUIT[#All],3,0)),"CUIT NO CARGADO")</f>
        <v>COMBUSTIBLE</v>
      </c>
      <c r="R20" s="416">
        <f>IFERROR(IF(compras_mes7[[#This Row],[CUIT]]="","-",VLOOKUP(compras_mes7[[#This Row],[CUIT]],Lista_CUIT[#All],4,0)),"CUIT NO CARGADO")</f>
        <v>0</v>
      </c>
    </row>
    <row r="21" spans="2:18" s="429" customFormat="1">
      <c r="B21" s="40">
        <v>45487</v>
      </c>
      <c r="C21" s="244">
        <v>1</v>
      </c>
      <c r="D21" s="42">
        <v>8</v>
      </c>
      <c r="E21" s="43">
        <v>11937</v>
      </c>
      <c r="F21" s="44">
        <v>33715594949</v>
      </c>
      <c r="G21" s="45" t="str">
        <f>IFERROR(IF(compras_mes7[[#This Row],[CUIT]]="","-",VLOOKUP(compras_mes7[[#This Row],[CUIT]],Lista_CUIT[#All],2,0)),"CUIT NO CARGADO")</f>
        <v>SOMOS ENERGIA SA</v>
      </c>
      <c r="H21" s="46">
        <v>36231.57</v>
      </c>
      <c r="I21" s="250">
        <f>IF(compras_mes7[[#This Row],[NETO GRAVADO]]="","",compras_mes7[[#This Row],[NETO GRAVADO]]*0.21)</f>
        <v>7608.6296999999995</v>
      </c>
      <c r="J21" s="40"/>
      <c r="K21" s="417"/>
      <c r="L21" s="417"/>
      <c r="M21" s="417">
        <v>384.67</v>
      </c>
      <c r="N21" s="417"/>
      <c r="O21" s="417">
        <v>3375.13</v>
      </c>
      <c r="P21" s="415">
        <f>SUM(compras_mes7[[#This Row],[NETO GRAVADO]:[Otros / No Grav.]])</f>
        <v>47599.999699999993</v>
      </c>
      <c r="Q21" s="416" t="str">
        <f>IFERROR(IF(compras_mes7[[#This Row],[CUIT]]="","-",VLOOKUP(compras_mes7[[#This Row],[CUIT]],Lista_CUIT[#All],3,0)),"CUIT NO CARGADO")</f>
        <v>COMBUSTIBLE</v>
      </c>
      <c r="R21" s="416">
        <f>IFERROR(IF(compras_mes7[[#This Row],[CUIT]]="","-",VLOOKUP(compras_mes7[[#This Row],[CUIT]],Lista_CUIT[#All],4,0)),"CUIT NO CARGADO")</f>
        <v>0</v>
      </c>
    </row>
    <row r="22" spans="2:18">
      <c r="B22" s="243">
        <v>45492</v>
      </c>
      <c r="C22" s="244">
        <v>1</v>
      </c>
      <c r="D22" s="245">
        <v>24</v>
      </c>
      <c r="E22" s="246">
        <v>18557</v>
      </c>
      <c r="F22" s="247">
        <v>20139793170</v>
      </c>
      <c r="G22" s="248" t="str">
        <f>IFERROR(IF(compras_mes7[[#This Row],[CUIT]]="","-",VLOOKUP(compras_mes7[[#This Row],[CUIT]],Lista_CUIT[#All],2,0)),"CUIT NO CARGADO")</f>
        <v>IACONO JUAN</v>
      </c>
      <c r="H22" s="249">
        <v>38383.949999999997</v>
      </c>
      <c r="I22" s="250">
        <f>IF(compras_mes7[[#This Row],[NETO GRAVADO]]="","",compras_mes7[[#This Row],[NETO GRAVADO]]*0.21)</f>
        <v>8060.6294999999991</v>
      </c>
      <c r="J22" s="417"/>
      <c r="K22" s="417"/>
      <c r="L22" s="417"/>
      <c r="M22" s="417"/>
      <c r="N22" s="417"/>
      <c r="O22" s="417">
        <v>3191.61</v>
      </c>
      <c r="P22" s="415">
        <f>SUM(compras_mes7[[#This Row],[NETO GRAVADO]:[Otros / No Grav.]])</f>
        <v>49636.189499999993</v>
      </c>
      <c r="Q22" s="416" t="str">
        <f>IFERROR(IF(compras_mes7[[#This Row],[CUIT]]="","-",VLOOKUP(compras_mes7[[#This Row],[CUIT]],Lista_CUIT[#All],3,0)),"CUIT NO CARGADO")</f>
        <v>COMBUSTIBLE</v>
      </c>
      <c r="R22" s="416">
        <f>IFERROR(IF(compras_mes7[[#This Row],[CUIT]]="","-",VLOOKUP(compras_mes7[[#This Row],[CUIT]],Lista_CUIT[#All],4,0)),"CUIT NO CARGADO")</f>
        <v>0</v>
      </c>
    </row>
    <row r="23" spans="2:18">
      <c r="B23" s="243">
        <v>45493</v>
      </c>
      <c r="C23" s="244">
        <v>1</v>
      </c>
      <c r="D23" s="245">
        <v>12</v>
      </c>
      <c r="E23" s="246">
        <v>10431</v>
      </c>
      <c r="F23" s="247">
        <v>30685116657</v>
      </c>
      <c r="G23" s="248" t="str">
        <f>IFERROR(IF(compras_mes7[[#This Row],[CUIT]]="","-",VLOOKUP(compras_mes7[[#This Row],[CUIT]],Lista_CUIT[#All],2,0)),"CUIT NO CARGADO")</f>
        <v>MIRVAR SA</v>
      </c>
      <c r="H23" s="249">
        <v>36015.71</v>
      </c>
      <c r="I23" s="250">
        <f>IF(compras_mes7[[#This Row],[NETO GRAVADO]]="","",compras_mes7[[#This Row],[NETO GRAVADO]]*0.21)</f>
        <v>7563.2990999999993</v>
      </c>
      <c r="J23" s="417"/>
      <c r="K23" s="417"/>
      <c r="L23" s="417"/>
      <c r="M23" s="417"/>
      <c r="N23" s="417"/>
      <c r="O23" s="417">
        <v>6424.79</v>
      </c>
      <c r="P23" s="415">
        <f>SUM(compras_mes7[[#This Row],[NETO GRAVADO]:[Otros / No Grav.]])</f>
        <v>50003.799099999997</v>
      </c>
      <c r="Q23" s="416" t="str">
        <f>IFERROR(IF(compras_mes7[[#This Row],[CUIT]]="","-",VLOOKUP(compras_mes7[[#This Row],[CUIT]],Lista_CUIT[#All],3,0)),"CUIT NO CARGADO")</f>
        <v>COMBUSTIBLE</v>
      </c>
      <c r="R23" s="416">
        <f>IFERROR(IF(compras_mes7[[#This Row],[CUIT]]="","-",VLOOKUP(compras_mes7[[#This Row],[CUIT]],Lista_CUIT[#All],4,0)),"CUIT NO CARGADO")</f>
        <v>0</v>
      </c>
    </row>
    <row r="24" spans="2:18">
      <c r="B24" s="243">
        <v>45495</v>
      </c>
      <c r="C24" s="244">
        <v>1</v>
      </c>
      <c r="D24" s="245">
        <v>24</v>
      </c>
      <c r="E24" s="246">
        <v>18621</v>
      </c>
      <c r="F24" s="247">
        <v>20139793170</v>
      </c>
      <c r="G24" s="248" t="str">
        <f>IFERROR(IF(compras_mes7[[#This Row],[CUIT]]="","-",VLOOKUP(compras_mes7[[#This Row],[CUIT]],Lista_CUIT[#All],2,0)),"CUIT NO CARGADO")</f>
        <v>IACONO JUAN</v>
      </c>
      <c r="H24" s="249">
        <v>73087.759999999995</v>
      </c>
      <c r="I24" s="250">
        <f>IF(compras_mes7[[#This Row],[NETO GRAVADO]]="","",compras_mes7[[#This Row],[NETO GRAVADO]]*0.21)</f>
        <v>15348.429599999998</v>
      </c>
      <c r="J24" s="417"/>
      <c r="K24" s="417"/>
      <c r="L24" s="417"/>
      <c r="M24" s="417"/>
      <c r="N24" s="417"/>
      <c r="O24" s="417">
        <v>6077.22</v>
      </c>
      <c r="P24" s="415">
        <f>SUM(compras_mes7[[#This Row],[NETO GRAVADO]:[Otros / No Grav.]])</f>
        <v>94513.409599999999</v>
      </c>
      <c r="Q24" s="416" t="str">
        <f>IFERROR(IF(compras_mes7[[#This Row],[CUIT]]="","-",VLOOKUP(compras_mes7[[#This Row],[CUIT]],Lista_CUIT[#All],3,0)),"CUIT NO CARGADO")</f>
        <v>COMBUSTIBLE</v>
      </c>
      <c r="R24" s="416">
        <f>IFERROR(IF(compras_mes7[[#This Row],[CUIT]]="","-",VLOOKUP(compras_mes7[[#This Row],[CUIT]],Lista_CUIT[#All],4,0)),"CUIT NO CARGADO")</f>
        <v>0</v>
      </c>
    </row>
    <row r="25" spans="2:18">
      <c r="B25" s="243">
        <v>45501</v>
      </c>
      <c r="C25" s="244">
        <v>1</v>
      </c>
      <c r="D25" s="245">
        <v>24</v>
      </c>
      <c r="E25" s="246">
        <v>18718</v>
      </c>
      <c r="F25" s="247">
        <v>20139793170</v>
      </c>
      <c r="G25" s="248" t="str">
        <f>IFERROR(IF(compras_mes7[[#This Row],[CUIT]]="","-",VLOOKUP(compras_mes7[[#This Row],[CUIT]],Lista_CUIT[#All],2,0)),"CUIT NO CARGADO")</f>
        <v>IACONO JUAN</v>
      </c>
      <c r="H25" s="249">
        <v>90376.29</v>
      </c>
      <c r="I25" s="250">
        <f>IF(compras_mes7[[#This Row],[NETO GRAVADO]]="","",compras_mes7[[#This Row],[NETO GRAVADO]]*0.21)</f>
        <v>18979.0209</v>
      </c>
      <c r="J25" s="417"/>
      <c r="K25" s="417"/>
      <c r="L25" s="417"/>
      <c r="M25" s="417"/>
      <c r="N25" s="417"/>
      <c r="O25" s="417">
        <v>7426.31</v>
      </c>
      <c r="P25" s="415">
        <f>SUM(compras_mes7[[#This Row],[NETO GRAVADO]:[Otros / No Grav.]])</f>
        <v>116781.62089999999</v>
      </c>
      <c r="Q25" s="416" t="str">
        <f>IFERROR(IF(compras_mes7[[#This Row],[CUIT]]="","-",VLOOKUP(compras_mes7[[#This Row],[CUIT]],Lista_CUIT[#All],3,0)),"CUIT NO CARGADO")</f>
        <v>COMBUSTIBLE</v>
      </c>
      <c r="R25" s="416">
        <f>IFERROR(IF(compras_mes7[[#This Row],[CUIT]]="","-",VLOOKUP(compras_mes7[[#This Row],[CUIT]],Lista_CUIT[#All],4,0)),"CUIT NO CARGADO")</f>
        <v>0</v>
      </c>
    </row>
    <row r="26" spans="2:18">
      <c r="B26" s="418">
        <v>45495</v>
      </c>
      <c r="C26" s="419">
        <v>1</v>
      </c>
      <c r="D26" s="420">
        <v>3</v>
      </c>
      <c r="E26" s="421">
        <v>839</v>
      </c>
      <c r="F26" s="422">
        <v>23076996989</v>
      </c>
      <c r="G26" s="423" t="str">
        <f>IFERROR(IF(compras_mes7[[#This Row],[CUIT]]="","-",VLOOKUP(compras_mes7[[#This Row],[CUIT]],Lista_CUIT[#All],2,0)),"CUIT NO CARGADO")</f>
        <v>GIULIETTI LUIS ALBERTO</v>
      </c>
      <c r="H26" s="424">
        <v>50413.24</v>
      </c>
      <c r="I26" s="425">
        <f>IF(compras_mes7[[#This Row],[NETO GRAVADO]]="","",compras_mes7[[#This Row],[NETO GRAVADO]]*0.21)</f>
        <v>10586.7804</v>
      </c>
      <c r="J26" s="426"/>
      <c r="K26" s="426"/>
      <c r="L26" s="426"/>
      <c r="M26" s="426"/>
      <c r="N26" s="426"/>
      <c r="O26" s="426"/>
      <c r="P26" s="427">
        <f>SUM(compras_mes7[[#This Row],[NETO GRAVADO]:[Otros / No Grav.]])</f>
        <v>61000.020399999994</v>
      </c>
      <c r="Q26" s="428" t="str">
        <f>IFERROR(IF(compras_mes7[[#This Row],[CUIT]]="","-",VLOOKUP(compras_mes7[[#This Row],[CUIT]],Lista_CUIT[#All],3,0)),"CUIT NO CARGADO")</f>
        <v>gastos varios</v>
      </c>
      <c r="R26" s="428">
        <f>IFERROR(IF(compras_mes7[[#This Row],[CUIT]]="","-",VLOOKUP(compras_mes7[[#This Row],[CUIT]],Lista_CUIT[#All],4,0)),"CUIT NO CARGADO")</f>
        <v>0</v>
      </c>
    </row>
    <row r="27" spans="2:18" s="429" customFormat="1">
      <c r="B27" s="243">
        <v>45495</v>
      </c>
      <c r="C27" s="244">
        <v>1</v>
      </c>
      <c r="D27" s="245">
        <v>3</v>
      </c>
      <c r="E27" s="246">
        <v>840</v>
      </c>
      <c r="F27" s="247">
        <v>23076996989</v>
      </c>
      <c r="G27" s="248" t="str">
        <f>IFERROR(IF(compras_mes7[[#This Row],[CUIT]]="","-",VLOOKUP(compras_mes7[[#This Row],[CUIT]],Lista_CUIT[#All],2,0)),"CUIT NO CARGADO")</f>
        <v>GIULIETTI LUIS ALBERTO</v>
      </c>
      <c r="H27" s="249">
        <v>50413.24</v>
      </c>
      <c r="I27" s="250">
        <f>IF(compras_mes7[[#This Row],[NETO GRAVADO]]="","",compras_mes7[[#This Row],[NETO GRAVADO]]*0.21)</f>
        <v>10586.7804</v>
      </c>
      <c r="J27" s="417"/>
      <c r="K27" s="417"/>
      <c r="L27" s="417"/>
      <c r="M27" s="417"/>
      <c r="N27" s="417"/>
      <c r="O27" s="417"/>
      <c r="P27" s="415">
        <f>SUM(compras_mes7[[#This Row],[NETO GRAVADO]:[Otros / No Grav.]])</f>
        <v>61000.020399999994</v>
      </c>
      <c r="Q27" s="416" t="str">
        <f>IFERROR(IF(compras_mes7[[#This Row],[CUIT]]="","-",VLOOKUP(compras_mes7[[#This Row],[CUIT]],Lista_CUIT[#All],3,0)),"CUIT NO CARGADO")</f>
        <v>gastos varios</v>
      </c>
      <c r="R27" s="416">
        <f>IFERROR(IF(compras_mes7[[#This Row],[CUIT]]="","-",VLOOKUP(compras_mes7[[#This Row],[CUIT]],Lista_CUIT[#All],4,0)),"CUIT NO CARGADO")</f>
        <v>0</v>
      </c>
    </row>
    <row r="28" spans="2:18" s="429" customFormat="1">
      <c r="B28" s="418">
        <v>45496</v>
      </c>
      <c r="C28" s="419">
        <v>3</v>
      </c>
      <c r="D28" s="420">
        <v>3</v>
      </c>
      <c r="E28" s="421">
        <v>8</v>
      </c>
      <c r="F28" s="422">
        <v>23076996989</v>
      </c>
      <c r="G28" s="423" t="str">
        <f>IFERROR(IF(compras_mes7[[#This Row],[CUIT]]="","-",VLOOKUP(compras_mes7[[#This Row],[CUIT]],Lista_CUIT[#All],2,0)),"CUIT NO CARGADO")</f>
        <v>GIULIETTI LUIS ALBERTO</v>
      </c>
      <c r="H28" s="424">
        <v>-50413.24</v>
      </c>
      <c r="I28" s="425">
        <f>IF(compras_mes7[[#This Row],[NETO GRAVADO]]="","",compras_mes7[[#This Row],[NETO GRAVADO]]*0.21)</f>
        <v>-10586.7804</v>
      </c>
      <c r="J28" s="426"/>
      <c r="K28" s="426"/>
      <c r="L28" s="426"/>
      <c r="M28" s="426"/>
      <c r="N28" s="426"/>
      <c r="O28" s="426"/>
      <c r="P28" s="427">
        <f>SUM(compras_mes7[[#This Row],[NETO GRAVADO]:[Otros / No Grav.]])</f>
        <v>-61000.020399999994</v>
      </c>
      <c r="Q28" s="428" t="str">
        <f>IFERROR(IF(compras_mes7[[#This Row],[CUIT]]="","-",VLOOKUP(compras_mes7[[#This Row],[CUIT]],Lista_CUIT[#All],3,0)),"CUIT NO CARGADO")</f>
        <v>gastos varios</v>
      </c>
      <c r="R28" s="428">
        <f>IFERROR(IF(compras_mes7[[#This Row],[CUIT]]="","-",VLOOKUP(compras_mes7[[#This Row],[CUIT]],Lista_CUIT[#All],4,0)),"CUIT NO CARGADO")</f>
        <v>0</v>
      </c>
    </row>
    <row r="29" spans="2:18">
      <c r="B29" s="40">
        <v>45496</v>
      </c>
      <c r="C29" s="244">
        <v>1</v>
      </c>
      <c r="D29" s="42">
        <v>3</v>
      </c>
      <c r="E29" s="43">
        <v>841</v>
      </c>
      <c r="F29" s="44">
        <v>23076996989</v>
      </c>
      <c r="G29" s="45" t="str">
        <f>IFERROR(IF(compras_mes7[[#This Row],[CUIT]]="","-",VLOOKUP(compras_mes7[[#This Row],[CUIT]],Lista_CUIT[#All],2,0)),"CUIT NO CARGADO")</f>
        <v>GIULIETTI LUIS ALBERTO</v>
      </c>
      <c r="H29" s="46">
        <v>12892.57</v>
      </c>
      <c r="I29" s="250">
        <f>IF(compras_mes7[[#This Row],[NETO GRAVADO]]="","",compras_mes7[[#This Row],[NETO GRAVADO]]*0.21)</f>
        <v>2707.4396999999999</v>
      </c>
      <c r="J29" s="417"/>
      <c r="K29" s="417"/>
      <c r="L29" s="417"/>
      <c r="M29" s="417"/>
      <c r="N29" s="417"/>
      <c r="O29" s="417"/>
      <c r="P29" s="415">
        <f>SUM(compras_mes7[[#This Row],[NETO GRAVADO]:[Otros / No Grav.]])</f>
        <v>15600.009699999999</v>
      </c>
      <c r="Q29" s="416" t="str">
        <f>IFERROR(IF(compras_mes7[[#This Row],[CUIT]]="","-",VLOOKUP(compras_mes7[[#This Row],[CUIT]],Lista_CUIT[#All],3,0)),"CUIT NO CARGADO")</f>
        <v>gastos varios</v>
      </c>
      <c r="R29" s="416">
        <f>IFERROR(IF(compras_mes7[[#This Row],[CUIT]]="","-",VLOOKUP(compras_mes7[[#This Row],[CUIT]],Lista_CUIT[#All],4,0)),"CUIT NO CARGADO")</f>
        <v>0</v>
      </c>
    </row>
    <row r="30" spans="2:18">
      <c r="B30" s="40">
        <v>45474</v>
      </c>
      <c r="C30" s="244">
        <v>1</v>
      </c>
      <c r="D30" s="42">
        <v>11</v>
      </c>
      <c r="E30" s="43">
        <v>90536</v>
      </c>
      <c r="F30" s="44">
        <v>30526582884</v>
      </c>
      <c r="G30" s="45" t="str">
        <f>IFERROR(IF(compras_mes7[[#This Row],[CUIT]]="","-",VLOOKUP(compras_mes7[[#This Row],[CUIT]],Lista_CUIT[#All],2,0)),"CUIT NO CARGADO")</f>
        <v>EXPRESO MAR DEL PLATA S.A.</v>
      </c>
      <c r="H30" s="46">
        <v>4214.88</v>
      </c>
      <c r="I30" s="250">
        <f>IF(compras_mes7[[#This Row],[NETO GRAVADO]]="","",compras_mes7[[#This Row],[NETO GRAVADO]]*0.21)</f>
        <v>885.12479999999994</v>
      </c>
      <c r="J30" s="417"/>
      <c r="K30" s="417"/>
      <c r="L30" s="417"/>
      <c r="M30" s="417"/>
      <c r="N30" s="417"/>
      <c r="O30" s="417"/>
      <c r="P30" s="415">
        <f>SUM(compras_mes7[[#This Row],[NETO GRAVADO]:[Otros / No Grav.]])</f>
        <v>5100.0047999999997</v>
      </c>
      <c r="Q30" s="416" t="str">
        <f>IFERROR(IF(compras_mes7[[#This Row],[CUIT]]="","-",VLOOKUP(compras_mes7[[#This Row],[CUIT]],Lista_CUIT[#All],3,0)),"CUIT NO CARGADO")</f>
        <v>FLETE</v>
      </c>
      <c r="R30" s="416">
        <f>IFERROR(IF(compras_mes7[[#This Row],[CUIT]]="","-",VLOOKUP(compras_mes7[[#This Row],[CUIT]],Lista_CUIT[#All],4,0)),"CUIT NO CARGADO")</f>
        <v>0</v>
      </c>
    </row>
    <row r="31" spans="2:18">
      <c r="B31" s="40">
        <v>45477</v>
      </c>
      <c r="C31" s="244">
        <v>1</v>
      </c>
      <c r="D31" s="42">
        <v>3</v>
      </c>
      <c r="E31" s="43">
        <v>50683</v>
      </c>
      <c r="F31" s="44">
        <v>30577744579</v>
      </c>
      <c r="G31" s="45" t="str">
        <f>IFERROR(IF(compras_mes7[[#This Row],[CUIT]]="","-",VLOOKUP(compras_mes7[[#This Row],[CUIT]],Lista_CUIT[#All],2,0)),"CUIT NO CARGADO")</f>
        <v>EXPRESO TROLE SRL</v>
      </c>
      <c r="H31" s="46">
        <v>8664.3700000000008</v>
      </c>
      <c r="I31" s="250">
        <f>IF(compras_mes7[[#This Row],[NETO GRAVADO]]="","",compras_mes7[[#This Row],[NETO GRAVADO]]*0.21)</f>
        <v>1819.5177000000001</v>
      </c>
      <c r="J31" s="417"/>
      <c r="K31" s="417"/>
      <c r="L31" s="417"/>
      <c r="M31" s="417"/>
      <c r="N31" s="417"/>
      <c r="O31" s="417"/>
      <c r="P31" s="415">
        <f>SUM(compras_mes7[[#This Row],[NETO GRAVADO]:[Otros / No Grav.]])</f>
        <v>10483.887700000001</v>
      </c>
      <c r="Q31" s="416" t="str">
        <f>IFERROR(IF(compras_mes7[[#This Row],[CUIT]]="","-",VLOOKUP(compras_mes7[[#This Row],[CUIT]],Lista_CUIT[#All],3,0)),"CUIT NO CARGADO")</f>
        <v>FLETE</v>
      </c>
      <c r="R31" s="416">
        <f>IFERROR(IF(compras_mes7[[#This Row],[CUIT]]="","-",VLOOKUP(compras_mes7[[#This Row],[CUIT]],Lista_CUIT[#All],4,0)),"CUIT NO CARGADO")</f>
        <v>0</v>
      </c>
    </row>
    <row r="32" spans="2:18">
      <c r="B32" s="40">
        <v>45502</v>
      </c>
      <c r="C32" s="244">
        <v>1</v>
      </c>
      <c r="D32" s="42">
        <v>11</v>
      </c>
      <c r="E32" s="43">
        <v>90982</v>
      </c>
      <c r="F32" s="44">
        <v>30526582884</v>
      </c>
      <c r="G32" s="45" t="str">
        <f>IFERROR(IF(compras_mes7[[#This Row],[CUIT]]="","-",VLOOKUP(compras_mes7[[#This Row],[CUIT]],Lista_CUIT[#All],2,0)),"CUIT NO CARGADO")</f>
        <v>EXPRESO MAR DEL PLATA S.A.</v>
      </c>
      <c r="H32" s="46">
        <v>33644.629999999997</v>
      </c>
      <c r="I32" s="250">
        <f>IF(compras_mes7[[#This Row],[NETO GRAVADO]]="","",compras_mes7[[#This Row],[NETO GRAVADO]]*0.21)</f>
        <v>7065.3722999999991</v>
      </c>
      <c r="J32" s="417"/>
      <c r="K32" s="417"/>
      <c r="L32" s="417"/>
      <c r="M32" s="417"/>
      <c r="N32" s="417"/>
      <c r="O32" s="417"/>
      <c r="P32" s="415">
        <f>SUM(compras_mes7[[#This Row],[NETO GRAVADO]:[Otros / No Grav.]])</f>
        <v>40710.002299999993</v>
      </c>
      <c r="Q32" s="416" t="str">
        <f>IFERROR(IF(compras_mes7[[#This Row],[CUIT]]="","-",VLOOKUP(compras_mes7[[#This Row],[CUIT]],Lista_CUIT[#All],3,0)),"CUIT NO CARGADO")</f>
        <v>FLETE</v>
      </c>
      <c r="R32" s="416">
        <f>IFERROR(IF(compras_mes7[[#This Row],[CUIT]]="","-",VLOOKUP(compras_mes7[[#This Row],[CUIT]],Lista_CUIT[#All],4,0)),"CUIT NO CARGADO")</f>
        <v>0</v>
      </c>
    </row>
    <row r="33" spans="2:18">
      <c r="B33" s="40">
        <v>45474</v>
      </c>
      <c r="C33" s="244">
        <v>1</v>
      </c>
      <c r="D33" s="42">
        <v>500</v>
      </c>
      <c r="E33" s="43">
        <v>1581748</v>
      </c>
      <c r="F33" s="44">
        <v>30654118767</v>
      </c>
      <c r="G33" s="45" t="str">
        <f>IFERROR(IF(compras_mes7[[#This Row],[CUIT]]="","-",VLOOKUP(compras_mes7[[#This Row],[CUIT]],Lista_CUIT[#All],2,0)),"CUIT NO CARGADO")</f>
        <v>SOLUCIONES MULTIMEDIA SA</v>
      </c>
      <c r="H33" s="46">
        <v>79274.62</v>
      </c>
      <c r="I33" s="250">
        <f>IF(compras_mes7[[#This Row],[NETO GRAVADO]]="","",compras_mes7[[#This Row],[NETO GRAVADO]]*0.21)</f>
        <v>16647.670199999997</v>
      </c>
      <c r="J33" s="417"/>
      <c r="K33" s="417"/>
      <c r="L33" s="417"/>
      <c r="M33" s="417">
        <v>3930.12</v>
      </c>
      <c r="N33" s="417"/>
      <c r="O33" s="417"/>
      <c r="P33" s="415">
        <f>SUM(compras_mes7[[#This Row],[NETO GRAVADO]:[Otros / No Grav.]])</f>
        <v>99852.410199999984</v>
      </c>
      <c r="Q33" s="416" t="str">
        <f>IFERROR(IF(compras_mes7[[#This Row],[CUIT]]="","-",VLOOKUP(compras_mes7[[#This Row],[CUIT]],Lista_CUIT[#All],3,0)),"CUIT NO CARGADO")</f>
        <v>GASTOS ADMINISTRATIVOS</v>
      </c>
      <c r="R33" s="416">
        <f>IFERROR(IF(compras_mes7[[#This Row],[CUIT]]="","-",VLOOKUP(compras_mes7[[#This Row],[CUIT]],Lista_CUIT[#All],4,0)),"CUIT NO CARGADO")</f>
        <v>0</v>
      </c>
    </row>
    <row r="34" spans="2:18">
      <c r="B34" s="40">
        <v>45502</v>
      </c>
      <c r="C34" s="244">
        <v>1</v>
      </c>
      <c r="D34" s="42">
        <v>23</v>
      </c>
      <c r="E34" s="43">
        <v>2657101</v>
      </c>
      <c r="F34" s="44">
        <v>30703088534</v>
      </c>
      <c r="G34" s="45" t="str">
        <f>IFERROR(IF(compras_mes7[[#This Row],[CUIT]]="","-",VLOOKUP(compras_mes7[[#This Row],[CUIT]],Lista_CUIT[#All],2,0)),"CUIT NO CARGADO")</f>
        <v>MERCADO LIBRE SRL</v>
      </c>
      <c r="H34" s="46">
        <v>31302.54</v>
      </c>
      <c r="I34" s="250">
        <f>IF(compras_mes7[[#This Row],[NETO GRAVADO]]="","",compras_mes7[[#This Row],[NETO GRAVADO]]*0.21)</f>
        <v>6573.5334000000003</v>
      </c>
      <c r="J34" s="40"/>
      <c r="K34" s="417"/>
      <c r="L34" s="417"/>
      <c r="M34" s="417"/>
      <c r="N34" s="417"/>
      <c r="O34" s="417">
        <v>2191.17</v>
      </c>
      <c r="P34" s="415">
        <f>SUM(compras_mes7[[#This Row],[NETO GRAVADO]:[Otros / No Grav.]])</f>
        <v>40067.243399999999</v>
      </c>
      <c r="Q34" s="416" t="str">
        <f>IFERROR(IF(compras_mes7[[#This Row],[CUIT]]="","-",VLOOKUP(compras_mes7[[#This Row],[CUIT]],Lista_CUIT[#All],3,0)),"CUIT NO CARGADO")</f>
        <v>GASTOS COMERCIALIZACION</v>
      </c>
      <c r="R34" s="416">
        <f>IFERROR(IF(compras_mes7[[#This Row],[CUIT]]="","-",VLOOKUP(compras_mes7[[#This Row],[CUIT]],Lista_CUIT[#All],4,0)),"CUIT NO CARGADO")</f>
        <v>0</v>
      </c>
    </row>
    <row r="35" spans="2:18">
      <c r="B35" s="418">
        <v>45476</v>
      </c>
      <c r="C35" s="419">
        <v>1</v>
      </c>
      <c r="D35" s="420">
        <v>6</v>
      </c>
      <c r="E35" s="421">
        <v>13491</v>
      </c>
      <c r="F35" s="422">
        <v>27929147893</v>
      </c>
      <c r="G35" s="423" t="str">
        <f>IFERROR(IF(compras_mes7[[#This Row],[CUIT]]="","-",VLOOKUP(compras_mes7[[#This Row],[CUIT]],Lista_CUIT[#All],2,0)),"CUIT NO CARGADO")</f>
        <v>CAMEJO GRACIELA</v>
      </c>
      <c r="H35" s="424">
        <v>7355.37</v>
      </c>
      <c r="I35" s="425">
        <f>IF(compras_mes7[[#This Row],[NETO GRAVADO]]="","",compras_mes7[[#This Row],[NETO GRAVADO]]*0.21)</f>
        <v>1544.6277</v>
      </c>
      <c r="J35" s="426"/>
      <c r="K35" s="426"/>
      <c r="L35" s="426"/>
      <c r="M35" s="426"/>
      <c r="N35" s="426"/>
      <c r="O35" s="426"/>
      <c r="P35" s="427">
        <f>SUM(compras_mes7[[#This Row],[NETO GRAVADO]:[Otros / No Grav.]])</f>
        <v>8899.9976999999999</v>
      </c>
      <c r="Q35" s="428" t="str">
        <f>IFERROR(IF(compras_mes7[[#This Row],[CUIT]]="","-",VLOOKUP(compras_mes7[[#This Row],[CUIT]],Lista_CUIT[#All],3,0)),"CUIT NO CARGADO")</f>
        <v>Gastos Varios</v>
      </c>
      <c r="R35" s="428">
        <f>IFERROR(IF(compras_mes7[[#This Row],[CUIT]]="","-",VLOOKUP(compras_mes7[[#This Row],[CUIT]],Lista_CUIT[#All],4,0)),"CUIT NO CARGADO")</f>
        <v>0</v>
      </c>
    </row>
    <row r="36" spans="2:18">
      <c r="B36" s="243">
        <v>45476</v>
      </c>
      <c r="C36" s="244">
        <v>1</v>
      </c>
      <c r="D36" s="245">
        <v>7</v>
      </c>
      <c r="E36" s="246">
        <v>3068</v>
      </c>
      <c r="F36" s="247">
        <v>20284183534</v>
      </c>
      <c r="G36" s="248" t="str">
        <f>IFERROR(IF(compras_mes7[[#This Row],[CUIT]]="","-",VLOOKUP(compras_mes7[[#This Row],[CUIT]],Lista_CUIT[#All],2,0)),"CUIT NO CARGADO")</f>
        <v>FURLANETTO MARTIN</v>
      </c>
      <c r="H36" s="249">
        <v>6859.51</v>
      </c>
      <c r="I36" s="250">
        <f>IF(compras_mes7[[#This Row],[NETO GRAVADO]]="","",compras_mes7[[#This Row],[NETO GRAVADO]]*0.21)</f>
        <v>1440.4971</v>
      </c>
      <c r="J36" s="417"/>
      <c r="K36" s="417"/>
      <c r="L36" s="417"/>
      <c r="M36" s="417"/>
      <c r="N36" s="417"/>
      <c r="O36" s="417"/>
      <c r="P36" s="415">
        <f>SUM(compras_mes7[[#This Row],[NETO GRAVADO]:[Otros / No Grav.]])</f>
        <v>8300.0071000000007</v>
      </c>
      <c r="Q36" s="416" t="str">
        <f>IFERROR(IF(compras_mes7[[#This Row],[CUIT]]="","-",VLOOKUP(compras_mes7[[#This Row],[CUIT]],Lista_CUIT[#All],3,0)),"CUIT NO CARGADO")</f>
        <v>gastos varios</v>
      </c>
      <c r="R36" s="416">
        <f>IFERROR(IF(compras_mes7[[#This Row],[CUIT]]="","-",VLOOKUP(compras_mes7[[#This Row],[CUIT]],Lista_CUIT[#All],4,0)),"CUIT NO CARGADO")</f>
        <v>0</v>
      </c>
    </row>
    <row r="37" spans="2:18">
      <c r="B37" s="418">
        <v>45478</v>
      </c>
      <c r="C37" s="419">
        <v>1</v>
      </c>
      <c r="D37" s="420">
        <v>1057</v>
      </c>
      <c r="E37" s="421">
        <v>569</v>
      </c>
      <c r="F37" s="422">
        <v>30685849751</v>
      </c>
      <c r="G37" s="423" t="str">
        <f>IFERROR(IF(compras_mes7[[#This Row],[CUIT]]="","-",VLOOKUP(compras_mes7[[#This Row],[CUIT]],Lista_CUIT[#All],2,0)),"CUIT NO CARGADO")</f>
        <v>DIA ARGENTINA S.A.</v>
      </c>
      <c r="H37" s="424">
        <v>15545.45</v>
      </c>
      <c r="I37" s="425">
        <f>IF(compras_mes7[[#This Row],[NETO GRAVADO]]="","",compras_mes7[[#This Row],[NETO GRAVADO]]*0.21)</f>
        <v>3264.5445</v>
      </c>
      <c r="J37" s="426"/>
      <c r="K37" s="426"/>
      <c r="L37" s="426"/>
      <c r="M37" s="426"/>
      <c r="N37" s="426">
        <v>621.82000000000005</v>
      </c>
      <c r="O37" s="426"/>
      <c r="P37" s="427">
        <f>SUM(compras_mes7[[#This Row],[NETO GRAVADO]:[Otros / No Grav.]])</f>
        <v>19431.8145</v>
      </c>
      <c r="Q37" s="428" t="str">
        <f>IFERROR(IF(compras_mes7[[#This Row],[CUIT]]="","-",VLOOKUP(compras_mes7[[#This Row],[CUIT]],Lista_CUIT[#All],3,0)),"CUIT NO CARGADO")</f>
        <v>Gastos Varios</v>
      </c>
      <c r="R37" s="428">
        <f>IFERROR(IF(compras_mes7[[#This Row],[CUIT]]="","-",VLOOKUP(compras_mes7[[#This Row],[CUIT]],Lista_CUIT[#All],4,0)),"CUIT NO CARGADO")</f>
        <v>0</v>
      </c>
    </row>
    <row r="38" spans="2:18" s="429" customFormat="1">
      <c r="B38" s="243">
        <v>45481</v>
      </c>
      <c r="C38" s="244">
        <v>1</v>
      </c>
      <c r="D38" s="245">
        <v>5</v>
      </c>
      <c r="E38" s="246">
        <v>3799</v>
      </c>
      <c r="F38" s="247">
        <v>33693506099</v>
      </c>
      <c r="G38" s="248" t="str">
        <f>IFERROR(IF(compras_mes7[[#This Row],[CUIT]]="","-",VLOOKUP(compras_mes7[[#This Row],[CUIT]],Lista_CUIT[#All],2,0)),"CUIT NO CARGADO")</f>
        <v>SCALISE A. FALANGA C SH</v>
      </c>
      <c r="H38" s="249">
        <v>21413.06</v>
      </c>
      <c r="I38" s="250">
        <f>IF(compras_mes7[[#This Row],[NETO GRAVADO]]="","",compras_mes7[[#This Row],[NETO GRAVADO]]*0.21)</f>
        <v>4496.7426000000005</v>
      </c>
      <c r="J38" s="417"/>
      <c r="K38" s="417"/>
      <c r="L38" s="417"/>
      <c r="M38" s="417"/>
      <c r="N38" s="417"/>
      <c r="O38" s="417"/>
      <c r="P38" s="415">
        <f>SUM(compras_mes7[[#This Row],[NETO GRAVADO]:[Otros / No Grav.]])</f>
        <v>25909.802600000003</v>
      </c>
      <c r="Q38" s="416" t="str">
        <f>IFERROR(IF(compras_mes7[[#This Row],[CUIT]]="","-",VLOOKUP(compras_mes7[[#This Row],[CUIT]],Lista_CUIT[#All],3,0)),"CUIT NO CARGADO")</f>
        <v>GASTOS VARIOS</v>
      </c>
      <c r="R38" s="416">
        <f>IFERROR(IF(compras_mes7[[#This Row],[CUIT]]="","-",VLOOKUP(compras_mes7[[#This Row],[CUIT]],Lista_CUIT[#All],4,0)),"CUIT NO CARGADO")</f>
        <v>0</v>
      </c>
    </row>
    <row r="39" spans="2:18">
      <c r="B39" s="243">
        <v>45484</v>
      </c>
      <c r="C39" s="244">
        <v>1</v>
      </c>
      <c r="D39" s="245">
        <v>2002</v>
      </c>
      <c r="E39" s="246">
        <v>15943</v>
      </c>
      <c r="F39" s="247">
        <v>30712316655</v>
      </c>
      <c r="G39" s="248" t="str">
        <f>IFERROR(IF(compras_mes7[[#This Row],[CUIT]]="","-",VLOOKUP(compras_mes7[[#This Row],[CUIT]],Lista_CUIT[#All],2,0)),"CUIT NO CARGADO")</f>
        <v>INFLABLES WORLD S.A.</v>
      </c>
      <c r="H39" s="249">
        <v>131569.42000000001</v>
      </c>
      <c r="I39" s="250">
        <f>IF(compras_mes7[[#This Row],[NETO GRAVADO]]="","",compras_mes7[[#This Row],[NETO GRAVADO]]*0.21)</f>
        <v>27629.5782</v>
      </c>
      <c r="J39" s="417"/>
      <c r="K39" s="417"/>
      <c r="L39" s="417"/>
      <c r="M39" s="417"/>
      <c r="N39" s="417"/>
      <c r="O39" s="417"/>
      <c r="P39" s="415">
        <f>SUM(compras_mes7[[#This Row],[NETO GRAVADO]:[Otros / No Grav.]])</f>
        <v>159198.9982</v>
      </c>
      <c r="Q39" s="416" t="str">
        <f>IFERROR(IF(compras_mes7[[#This Row],[CUIT]]="","-",VLOOKUP(compras_mes7[[#This Row],[CUIT]],Lista_CUIT[#All],3,0)),"CUIT NO CARGADO")</f>
        <v>Gastos Varios</v>
      </c>
      <c r="R39" s="416">
        <f>IFERROR(IF(compras_mes7[[#This Row],[CUIT]]="","-",VLOOKUP(compras_mes7[[#This Row],[CUIT]],Lista_CUIT[#All],4,0)),"CUIT NO CARGADO")</f>
        <v>0</v>
      </c>
    </row>
    <row r="40" spans="2:18">
      <c r="B40" s="243">
        <v>45485</v>
      </c>
      <c r="C40" s="244">
        <v>1</v>
      </c>
      <c r="D40" s="245">
        <v>7</v>
      </c>
      <c r="E40" s="246">
        <v>3094</v>
      </c>
      <c r="F40" s="247">
        <v>20284183534</v>
      </c>
      <c r="G40" s="248" t="str">
        <f>IFERROR(IF(compras_mes7[[#This Row],[CUIT]]="","-",VLOOKUP(compras_mes7[[#This Row],[CUIT]],Lista_CUIT[#All],2,0)),"CUIT NO CARGADO")</f>
        <v>FURLANETTO MARTIN</v>
      </c>
      <c r="H40" s="249">
        <v>22214.880000000001</v>
      </c>
      <c r="I40" s="250">
        <f>IF(compras_mes7[[#This Row],[NETO GRAVADO]]="","",compras_mes7[[#This Row],[NETO GRAVADO]]*0.21)</f>
        <v>4665.1247999999996</v>
      </c>
      <c r="J40" s="417"/>
      <c r="K40" s="417"/>
      <c r="L40" s="417"/>
      <c r="M40" s="417"/>
      <c r="N40" s="417"/>
      <c r="O40" s="417"/>
      <c r="P40" s="415">
        <f>SUM(compras_mes7[[#This Row],[NETO GRAVADO]:[Otros / No Grav.]])</f>
        <v>26880.004800000002</v>
      </c>
      <c r="Q40" s="416" t="str">
        <f>IFERROR(IF(compras_mes7[[#This Row],[CUIT]]="","-",VLOOKUP(compras_mes7[[#This Row],[CUIT]],Lista_CUIT[#All],3,0)),"CUIT NO CARGADO")</f>
        <v>gastos varios</v>
      </c>
      <c r="R40" s="416">
        <f>IFERROR(IF(compras_mes7[[#This Row],[CUIT]]="","-",VLOOKUP(compras_mes7[[#This Row],[CUIT]],Lista_CUIT[#All],4,0)),"CUIT NO CARGADO")</f>
        <v>0</v>
      </c>
    </row>
    <row r="41" spans="2:18">
      <c r="B41" s="418">
        <v>45488</v>
      </c>
      <c r="C41" s="419">
        <v>1</v>
      </c>
      <c r="D41" s="420">
        <v>113</v>
      </c>
      <c r="E41" s="421">
        <v>3696756</v>
      </c>
      <c r="F41" s="422">
        <v>30577207190</v>
      </c>
      <c r="G41" s="423" t="str">
        <f>IFERROR(IF(compras_mes7[[#This Row],[CUIT]]="","-",VLOOKUP(compras_mes7[[#This Row],[CUIT]],Lista_CUIT[#All],2,0)),"CUIT NO CARGADO")</f>
        <v>COORDINACION ECOLOGICA AREA METROPOLITANA SOCIEDAD DEL ESTADO</v>
      </c>
      <c r="H41" s="424">
        <v>1652.89</v>
      </c>
      <c r="I41" s="425">
        <f>IF(compras_mes7[[#This Row],[NETO GRAVADO]]="","",compras_mes7[[#This Row],[NETO GRAVADO]]*0.21)</f>
        <v>347.1069</v>
      </c>
      <c r="J41" s="426"/>
      <c r="K41" s="426"/>
      <c r="L41" s="426"/>
      <c r="M41" s="426"/>
      <c r="N41" s="426"/>
      <c r="O41" s="426"/>
      <c r="P41" s="427">
        <f>SUM(compras_mes7[[#This Row],[NETO GRAVADO]:[Otros / No Grav.]])</f>
        <v>1999.9969000000001</v>
      </c>
      <c r="Q41" s="428" t="str">
        <f>IFERROR(IF(compras_mes7[[#This Row],[CUIT]]="","-",VLOOKUP(compras_mes7[[#This Row],[CUIT]],Lista_CUIT[#All],3,0)),"CUIT NO CARGADO")</f>
        <v>gastos varios</v>
      </c>
      <c r="R41" s="428">
        <f>IFERROR(IF(compras_mes7[[#This Row],[CUIT]]="","-",VLOOKUP(compras_mes7[[#This Row],[CUIT]],Lista_CUIT[#All],4,0)),"CUIT NO CARGADO")</f>
        <v>0</v>
      </c>
    </row>
    <row r="42" spans="2:18">
      <c r="B42" s="243">
        <v>45488</v>
      </c>
      <c r="C42" s="244">
        <v>1</v>
      </c>
      <c r="D42" s="245">
        <v>18</v>
      </c>
      <c r="E42" s="246">
        <v>2129</v>
      </c>
      <c r="F42" s="247">
        <v>27940269100</v>
      </c>
      <c r="G42" s="248" t="str">
        <f>IFERROR(IF(compras_mes7[[#This Row],[CUIT]]="","-",VLOOKUP(compras_mes7[[#This Row],[CUIT]],Lista_CUIT[#All],2,0)),"CUIT NO CARGADO")</f>
        <v>LIN YUMEI</v>
      </c>
      <c r="H42" s="249">
        <v>27438</v>
      </c>
      <c r="I42" s="250">
        <f>IF(compras_mes7[[#This Row],[NETO GRAVADO]]="","",compras_mes7[[#This Row],[NETO GRAVADO]]*0.21)</f>
        <v>5761.98</v>
      </c>
      <c r="J42" s="417"/>
      <c r="K42" s="417"/>
      <c r="L42" s="417"/>
      <c r="M42" s="417"/>
      <c r="N42" s="417"/>
      <c r="O42" s="417"/>
      <c r="P42" s="415">
        <f>SUM(compras_mes7[[#This Row],[NETO GRAVADO]:[Otros / No Grav.]])</f>
        <v>33199.979999999996</v>
      </c>
      <c r="Q42" s="416" t="str">
        <f>IFERROR(IF(compras_mes7[[#This Row],[CUIT]]="","-",VLOOKUP(compras_mes7[[#This Row],[CUIT]],Lista_CUIT[#All],3,0)),"CUIT NO CARGADO")</f>
        <v>Gastos Varios</v>
      </c>
      <c r="R42" s="416">
        <f>IFERROR(IF(compras_mes7[[#This Row],[CUIT]]="","-",VLOOKUP(compras_mes7[[#This Row],[CUIT]],Lista_CUIT[#All],4,0)),"CUIT NO CARGADO")</f>
        <v>0</v>
      </c>
    </row>
    <row r="43" spans="2:18">
      <c r="B43" s="418">
        <v>45491</v>
      </c>
      <c r="C43" s="419">
        <v>1</v>
      </c>
      <c r="D43" s="420">
        <v>6</v>
      </c>
      <c r="E43" s="421">
        <v>64</v>
      </c>
      <c r="F43" s="422">
        <v>20263640862</v>
      </c>
      <c r="G43" s="423" t="str">
        <f>IFERROR(IF(compras_mes7[[#This Row],[CUIT]]="","-",VLOOKUP(compras_mes7[[#This Row],[CUIT]],Lista_CUIT[#All],2,0)),"CUIT NO CARGADO")</f>
        <v>LURASCHI HUMBERTO JOSE </v>
      </c>
      <c r="H43" s="424">
        <v>75206.62</v>
      </c>
      <c r="I43" s="425">
        <f>IF(compras_mes7[[#This Row],[NETO GRAVADO]]="","",compras_mes7[[#This Row],[NETO GRAVADO]]*0.21)</f>
        <v>15793.390199999998</v>
      </c>
      <c r="J43" s="426"/>
      <c r="K43" s="426"/>
      <c r="L43" s="426"/>
      <c r="M43" s="426"/>
      <c r="N43" s="426"/>
      <c r="O43" s="426"/>
      <c r="P43" s="427">
        <f>SUM(compras_mes7[[#This Row],[NETO GRAVADO]:[Otros / No Grav.]])</f>
        <v>91000.01019999999</v>
      </c>
      <c r="Q43" s="428" t="str">
        <f>IFERROR(IF(compras_mes7[[#This Row],[CUIT]]="","-",VLOOKUP(compras_mes7[[#This Row],[CUIT]],Lista_CUIT[#All],3,0)),"CUIT NO CARGADO")</f>
        <v>GASTOS VARIOS</v>
      </c>
      <c r="R43" s="428">
        <f>IFERROR(IF(compras_mes7[[#This Row],[CUIT]]="","-",VLOOKUP(compras_mes7[[#This Row],[CUIT]],Lista_CUIT[#All],4,0)),"CUIT NO CARGADO")</f>
        <v>0</v>
      </c>
    </row>
    <row r="44" spans="2:18">
      <c r="B44" s="243">
        <v>45491</v>
      </c>
      <c r="C44" s="244">
        <v>1</v>
      </c>
      <c r="D44" s="245">
        <v>5</v>
      </c>
      <c r="E44" s="246">
        <v>3308</v>
      </c>
      <c r="F44" s="247">
        <v>20348485580</v>
      </c>
      <c r="G44" s="248" t="str">
        <f>IFERROR(IF(compras_mes7[[#This Row],[CUIT]]="","-",VLOOKUP(compras_mes7[[#This Row],[CUIT]],Lista_CUIT[#All],2,0)),"CUIT NO CARGADO")</f>
        <v>NOLASCO ALAN MANUEL</v>
      </c>
      <c r="H44" s="249">
        <v>29378.79</v>
      </c>
      <c r="I44" s="250">
        <f>IF(compras_mes7[[#This Row],[NETO GRAVADO]]="","",compras_mes7[[#This Row],[NETO GRAVADO]]*0.21)</f>
        <v>6169.5459000000001</v>
      </c>
      <c r="J44" s="417"/>
      <c r="K44" s="417"/>
      <c r="L44" s="417"/>
      <c r="M44" s="417"/>
      <c r="N44" s="417"/>
      <c r="O44" s="417"/>
      <c r="P44" s="415">
        <f>SUM(compras_mes7[[#This Row],[NETO GRAVADO]:[Otros / No Grav.]])</f>
        <v>35548.335899999998</v>
      </c>
      <c r="Q44" s="416" t="str">
        <f>IFERROR(IF(compras_mes7[[#This Row],[CUIT]]="","-",VLOOKUP(compras_mes7[[#This Row],[CUIT]],Lista_CUIT[#All],3,0)),"CUIT NO CARGADO")</f>
        <v>Gastos Varios</v>
      </c>
      <c r="R44" s="416">
        <f>IFERROR(IF(compras_mes7[[#This Row],[CUIT]]="","-",VLOOKUP(compras_mes7[[#This Row],[CUIT]],Lista_CUIT[#All],4,0)),"CUIT NO CARGADO")</f>
        <v>0</v>
      </c>
    </row>
    <row r="45" spans="2:18">
      <c r="B45" s="418">
        <v>45492</v>
      </c>
      <c r="C45" s="419">
        <v>1</v>
      </c>
      <c r="D45" s="420">
        <v>5</v>
      </c>
      <c r="E45" s="421">
        <v>1589</v>
      </c>
      <c r="F45" s="422">
        <v>30714712604</v>
      </c>
      <c r="G45" s="423" t="str">
        <f>IFERROR(IF(compras_mes7[[#This Row],[CUIT]]="","-",VLOOKUP(compras_mes7[[#This Row],[CUIT]],Lista_CUIT[#All],2,0)),"CUIT NO CARGADO")</f>
        <v>DONATO ALFREDO ENRIQUE Y PENSEL FRANCISCO JAVIER SOCIEDAD DE HECHO</v>
      </c>
      <c r="H45" s="424">
        <v>74214.05</v>
      </c>
      <c r="I45" s="425">
        <f>IF(compras_mes7[[#This Row],[NETO GRAVADO]]="","",compras_mes7[[#This Row],[NETO GRAVADO]]*0.21)</f>
        <v>15584.950500000001</v>
      </c>
      <c r="J45" s="426"/>
      <c r="K45" s="426"/>
      <c r="L45" s="426"/>
      <c r="M45" s="426"/>
      <c r="N45" s="426"/>
      <c r="O45" s="426"/>
      <c r="P45" s="427">
        <f>SUM(compras_mes7[[#This Row],[NETO GRAVADO]:[Otros / No Grav.]])</f>
        <v>89799.000500000009</v>
      </c>
      <c r="Q45" s="428" t="str">
        <f>IFERROR(IF(compras_mes7[[#This Row],[CUIT]]="","-",VLOOKUP(compras_mes7[[#This Row],[CUIT]],Lista_CUIT[#All],3,0)),"CUIT NO CARGADO")</f>
        <v>gastos varios</v>
      </c>
      <c r="R45" s="428">
        <f>IFERROR(IF(compras_mes7[[#This Row],[CUIT]]="","-",VLOOKUP(compras_mes7[[#This Row],[CUIT]],Lista_CUIT[#All],4,0)),"CUIT NO CARGADO")</f>
        <v>0</v>
      </c>
    </row>
    <row r="46" spans="2:18">
      <c r="B46" s="430">
        <v>45493</v>
      </c>
      <c r="C46" s="419">
        <v>1</v>
      </c>
      <c r="D46" s="431">
        <v>7</v>
      </c>
      <c r="E46" s="432">
        <v>395</v>
      </c>
      <c r="F46" s="433">
        <v>30717409007</v>
      </c>
      <c r="G46" s="434" t="str">
        <f>IFERROR(IF(compras_mes7[[#This Row],[CUIT]]="","-",VLOOKUP(compras_mes7[[#This Row],[CUIT]],Lista_CUIT[#All],2,0)),"CUIT NO CARGADO")</f>
        <v>GUPARO S.R.L.</v>
      </c>
      <c r="H46" s="435">
        <v>46611.57</v>
      </c>
      <c r="I46" s="425">
        <f>IF(compras_mes7[[#This Row],[NETO GRAVADO]]="","",compras_mes7[[#This Row],[NETO GRAVADO]]*0.21)</f>
        <v>9788.4296999999988</v>
      </c>
      <c r="J46" s="426"/>
      <c r="K46" s="426"/>
      <c r="L46" s="426"/>
      <c r="M46" s="426"/>
      <c r="N46" s="426"/>
      <c r="O46" s="426"/>
      <c r="P46" s="427">
        <f>SUM(compras_mes7[[#This Row],[NETO GRAVADO]:[Otros / No Grav.]])</f>
        <v>56399.9997</v>
      </c>
      <c r="Q46" s="428" t="str">
        <f>IFERROR(IF(compras_mes7[[#This Row],[CUIT]]="","-",VLOOKUP(compras_mes7[[#This Row],[CUIT]],Lista_CUIT[#All],3,0)),"CUIT NO CARGADO")</f>
        <v>Gastos Varios</v>
      </c>
      <c r="R46" s="428">
        <f>IFERROR(IF(compras_mes7[[#This Row],[CUIT]]="","-",VLOOKUP(compras_mes7[[#This Row],[CUIT]],Lista_CUIT[#All],4,0)),"CUIT NO CARGADO")</f>
        <v>0</v>
      </c>
    </row>
    <row r="47" spans="2:18">
      <c r="B47" s="40">
        <v>45493</v>
      </c>
      <c r="C47" s="244">
        <v>1</v>
      </c>
      <c r="D47" s="42">
        <v>2189</v>
      </c>
      <c r="E47" s="43">
        <v>73720</v>
      </c>
      <c r="F47" s="44">
        <v>30548083156</v>
      </c>
      <c r="G47" s="45" t="str">
        <f>IFERROR(IF(compras_mes7[[#This Row],[CUIT]]="","-",VLOOKUP(compras_mes7[[#This Row],[CUIT]],Lista_CUIT[#All],2,0)),"CUIT NO CARGADO")</f>
        <v>COTO CICSA</v>
      </c>
      <c r="H47" s="46">
        <v>4941.41</v>
      </c>
      <c r="I47" s="250">
        <f>IF(compras_mes7[[#This Row],[NETO GRAVADO]]="","",compras_mes7[[#This Row],[NETO GRAVADO]]*0.21)</f>
        <v>1037.6960999999999</v>
      </c>
      <c r="J47" s="417"/>
      <c r="K47" s="417"/>
      <c r="L47" s="417"/>
      <c r="M47" s="417"/>
      <c r="N47" s="417"/>
      <c r="O47" s="417">
        <v>345.9</v>
      </c>
      <c r="P47" s="415">
        <f>SUM(compras_mes7[[#This Row],[NETO GRAVADO]:[Otros / No Grav.]])</f>
        <v>6325.0060999999996</v>
      </c>
      <c r="Q47" s="416" t="str">
        <f>IFERROR(IF(compras_mes7[[#This Row],[CUIT]]="","-",VLOOKUP(compras_mes7[[#This Row],[CUIT]],Lista_CUIT[#All],3,0)),"CUIT NO CARGADO")</f>
        <v>Gastos Varios</v>
      </c>
      <c r="R47" s="416">
        <f>IFERROR(IF(compras_mes7[[#This Row],[CUIT]]="","-",VLOOKUP(compras_mes7[[#This Row],[CUIT]],Lista_CUIT[#All],4,0)),"CUIT NO CARGADO")</f>
        <v>0</v>
      </c>
    </row>
    <row r="48" spans="2:18" s="429" customFormat="1">
      <c r="B48" s="243">
        <v>45493</v>
      </c>
      <c r="C48" s="244">
        <v>1</v>
      </c>
      <c r="D48" s="245">
        <v>5</v>
      </c>
      <c r="E48" s="246">
        <v>30</v>
      </c>
      <c r="F48" s="247">
        <v>20929183143</v>
      </c>
      <c r="G48" s="248" t="str">
        <f>IFERROR(IF(compras_mes7[[#This Row],[CUIT]]="","-",VLOOKUP(compras_mes7[[#This Row],[CUIT]],Lista_CUIT[#All],2,0)),"CUIT NO CARGADO")</f>
        <v>MA JUN</v>
      </c>
      <c r="H48" s="249">
        <v>45000</v>
      </c>
      <c r="I48" s="250">
        <f>IF(compras_mes7[[#This Row],[NETO GRAVADO]]="","",compras_mes7[[#This Row],[NETO GRAVADO]]*0.21)</f>
        <v>9450</v>
      </c>
      <c r="J48" s="417"/>
      <c r="K48" s="417"/>
      <c r="L48" s="417"/>
      <c r="M48" s="417"/>
      <c r="N48" s="417"/>
      <c r="O48" s="417"/>
      <c r="P48" s="415">
        <f>SUM(compras_mes7[[#This Row],[NETO GRAVADO]:[Otros / No Grav.]])</f>
        <v>54450</v>
      </c>
      <c r="Q48" s="416" t="str">
        <f>IFERROR(IF(compras_mes7[[#This Row],[CUIT]]="","-",VLOOKUP(compras_mes7[[#This Row],[CUIT]],Lista_CUIT[#All],3,0)),"CUIT NO CARGADO")</f>
        <v>Gastos Varios</v>
      </c>
      <c r="R48" s="416">
        <f>IFERROR(IF(compras_mes7[[#This Row],[CUIT]]="","-",VLOOKUP(compras_mes7[[#This Row],[CUIT]],Lista_CUIT[#All],4,0)),"CUIT NO CARGADO")</f>
        <v>0</v>
      </c>
    </row>
    <row r="49" spans="2:18">
      <c r="B49" s="418">
        <v>45495</v>
      </c>
      <c r="C49" s="419">
        <v>1</v>
      </c>
      <c r="D49" s="420">
        <v>6136</v>
      </c>
      <c r="E49" s="421">
        <v>11463</v>
      </c>
      <c r="F49" s="422">
        <v>33707675069</v>
      </c>
      <c r="G49" s="423" t="str">
        <f>IFERROR(IF(compras_mes7[[#This Row],[CUIT]]="","-",VLOOKUP(compras_mes7[[#This Row],[CUIT]],Lista_CUIT[#All],2,0)),"CUIT NO CARGADO")</f>
        <v>BUS PACK S.A.</v>
      </c>
      <c r="H49" s="424">
        <v>7933.9</v>
      </c>
      <c r="I49" s="425">
        <f>IF(compras_mes7[[#This Row],[NETO GRAVADO]]="","",compras_mes7[[#This Row],[NETO GRAVADO]]*0.21)</f>
        <v>1666.1189999999999</v>
      </c>
      <c r="J49" s="426"/>
      <c r="K49" s="426"/>
      <c r="L49" s="426"/>
      <c r="M49" s="426"/>
      <c r="N49" s="426"/>
      <c r="O49" s="426"/>
      <c r="P49" s="427">
        <f>SUM(compras_mes7[[#This Row],[NETO GRAVADO]:[Otros / No Grav.]])</f>
        <v>9600.0190000000002</v>
      </c>
      <c r="Q49" s="428" t="str">
        <f>IFERROR(IF(compras_mes7[[#This Row],[CUIT]]="","-",VLOOKUP(compras_mes7[[#This Row],[CUIT]],Lista_CUIT[#All],3,0)),"CUIT NO CARGADO")</f>
        <v>Gastos Varios</v>
      </c>
      <c r="R49" s="428">
        <f>IFERROR(IF(compras_mes7[[#This Row],[CUIT]]="","-",VLOOKUP(compras_mes7[[#This Row],[CUIT]],Lista_CUIT[#All],4,0)),"CUIT NO CARGADO")</f>
        <v>0</v>
      </c>
    </row>
    <row r="50" spans="2:18">
      <c r="B50" s="40">
        <v>45495</v>
      </c>
      <c r="C50" s="244">
        <v>1</v>
      </c>
      <c r="D50" s="42">
        <v>3</v>
      </c>
      <c r="E50" s="43">
        <v>21557</v>
      </c>
      <c r="F50" s="44">
        <v>30714721441</v>
      </c>
      <c r="G50" s="45" t="str">
        <f>IFERROR(IF(compras_mes7[[#This Row],[CUIT]]="","-",VLOOKUP(compras_mes7[[#This Row],[CUIT]],Lista_CUIT[#All],2,0)),"CUIT NO CARGADO")</f>
        <v>JADS S.A.</v>
      </c>
      <c r="H50" s="46">
        <v>82336.59</v>
      </c>
      <c r="I50" s="250">
        <f>IF(compras_mes7[[#This Row],[NETO GRAVADO]]="","",compras_mes7[[#This Row],[NETO GRAVADO]]*0.21)</f>
        <v>17290.6839</v>
      </c>
      <c r="J50" s="417"/>
      <c r="K50" s="417"/>
      <c r="L50" s="417"/>
      <c r="M50" s="417"/>
      <c r="N50" s="417"/>
      <c r="O50" s="417"/>
      <c r="P50" s="415">
        <f>SUM(compras_mes7[[#This Row],[NETO GRAVADO]:[Otros / No Grav.]])</f>
        <v>99627.2739</v>
      </c>
      <c r="Q50" s="416" t="str">
        <f>IFERROR(IF(compras_mes7[[#This Row],[CUIT]]="","-",VLOOKUP(compras_mes7[[#This Row],[CUIT]],Lista_CUIT[#All],3,0)),"CUIT NO CARGADO")</f>
        <v>Gastos Varios</v>
      </c>
      <c r="R50" s="416">
        <f>IFERROR(IF(compras_mes7[[#This Row],[CUIT]]="","-",VLOOKUP(compras_mes7[[#This Row],[CUIT]],Lista_CUIT[#All],4,0)),"CUIT NO CARGADO")</f>
        <v>0</v>
      </c>
    </row>
    <row r="51" spans="2:18" s="429" customFormat="1">
      <c r="B51" s="243">
        <v>45495</v>
      </c>
      <c r="C51" s="244">
        <v>1</v>
      </c>
      <c r="D51" s="245">
        <v>26</v>
      </c>
      <c r="E51" s="246">
        <v>192656</v>
      </c>
      <c r="F51" s="247">
        <v>30708847247</v>
      </c>
      <c r="G51" s="248" t="str">
        <f>IFERROR(IF(compras_mes7[[#This Row],[CUIT]]="","-",VLOOKUP(compras_mes7[[#This Row],[CUIT]],Lista_CUIT[#All],2,0)),"CUIT NO CARGADO")</f>
        <v>TOAGRA SRL</v>
      </c>
      <c r="H51" s="249">
        <v>9553.7099999999991</v>
      </c>
      <c r="I51" s="250">
        <f>IF(compras_mes7[[#This Row],[NETO GRAVADO]]="","",compras_mes7[[#This Row],[NETO GRAVADO]]*0.21)</f>
        <v>2006.2790999999997</v>
      </c>
      <c r="J51" s="417"/>
      <c r="K51" s="417"/>
      <c r="L51" s="417"/>
      <c r="M51" s="417"/>
      <c r="N51" s="417"/>
      <c r="O51" s="417">
        <v>382.15</v>
      </c>
      <c r="P51" s="415">
        <f>SUM(compras_mes7[[#This Row],[NETO GRAVADO]:[Otros / No Grav.]])</f>
        <v>11942.139099999999</v>
      </c>
      <c r="Q51" s="416" t="str">
        <f>IFERROR(IF(compras_mes7[[#This Row],[CUIT]]="","-",VLOOKUP(compras_mes7[[#This Row],[CUIT]],Lista_CUIT[#All],3,0)),"CUIT NO CARGADO")</f>
        <v>GASTOS VARIOS</v>
      </c>
      <c r="R51" s="416">
        <f>IFERROR(IF(compras_mes7[[#This Row],[CUIT]]="","-",VLOOKUP(compras_mes7[[#This Row],[CUIT]],Lista_CUIT[#All],4,0)),"CUIT NO CARGADO")</f>
        <v>0</v>
      </c>
    </row>
    <row r="52" spans="2:18">
      <c r="B52" s="243">
        <v>45496</v>
      </c>
      <c r="C52" s="244">
        <v>1</v>
      </c>
      <c r="D52" s="245">
        <v>120</v>
      </c>
      <c r="E52" s="246">
        <v>4709</v>
      </c>
      <c r="F52" s="247">
        <v>30587197215</v>
      </c>
      <c r="G52" s="248" t="str">
        <f>IFERROR(IF(compras_mes7[[#This Row],[CUIT]]="","-",VLOOKUP(compras_mes7[[#This Row],[CUIT]],Lista_CUIT[#All],2,0)),"CUIT NO CARGADO")</f>
        <v>PANATEL SOCIEDAD ANONIMA</v>
      </c>
      <c r="H52" s="249">
        <v>64462.81</v>
      </c>
      <c r="I52" s="250">
        <f>IF(compras_mes7[[#This Row],[NETO GRAVADO]]="","",compras_mes7[[#This Row],[NETO GRAVADO]]*0.21)</f>
        <v>13537.1901</v>
      </c>
      <c r="J52" s="417"/>
      <c r="K52" s="417"/>
      <c r="L52" s="417"/>
      <c r="M52" s="417"/>
      <c r="N52" s="417">
        <v>2578.5100000000002</v>
      </c>
      <c r="O52" s="417"/>
      <c r="P52" s="415">
        <f>SUM(compras_mes7[[#This Row],[NETO GRAVADO]:[Otros / No Grav.]])</f>
        <v>80578.5101</v>
      </c>
      <c r="Q52" s="416" t="str">
        <f>IFERROR(IF(compras_mes7[[#This Row],[CUIT]]="","-",VLOOKUP(compras_mes7[[#This Row],[CUIT]],Lista_CUIT[#All],3,0)),"CUIT NO CARGADO")</f>
        <v>Gastos Varios</v>
      </c>
      <c r="R52" s="416">
        <f>IFERROR(IF(compras_mes7[[#This Row],[CUIT]]="","-",VLOOKUP(compras_mes7[[#This Row],[CUIT]],Lista_CUIT[#All],4,0)),"CUIT NO CARGADO")</f>
        <v>0</v>
      </c>
    </row>
    <row r="53" spans="2:18">
      <c r="B53" s="418">
        <v>45502</v>
      </c>
      <c r="C53" s="419">
        <v>1</v>
      </c>
      <c r="D53" s="420">
        <v>18</v>
      </c>
      <c r="E53" s="421">
        <v>2048</v>
      </c>
      <c r="F53" s="422">
        <v>30712049886</v>
      </c>
      <c r="G53" s="423" t="str">
        <f>IFERROR(IF(compras_mes7[[#This Row],[CUIT]]="","-",VLOOKUP(compras_mes7[[#This Row],[CUIT]],Lista_CUIT[#All],2,0)),"CUIT NO CARGADO")</f>
        <v>ALGETEC S.R.L.</v>
      </c>
      <c r="H53" s="424">
        <v>16528.93</v>
      </c>
      <c r="I53" s="425">
        <f>IF(compras_mes7[[#This Row],[NETO GRAVADO]]="","",compras_mes7[[#This Row],[NETO GRAVADO]]*0.21)</f>
        <v>3471.0753</v>
      </c>
      <c r="J53" s="426"/>
      <c r="K53" s="426"/>
      <c r="L53" s="426"/>
      <c r="M53" s="426"/>
      <c r="N53" s="426"/>
      <c r="O53" s="426"/>
      <c r="P53" s="427">
        <f>SUM(compras_mes7[[#This Row],[NETO GRAVADO]:[Otros / No Grav.]])</f>
        <v>20000.005300000001</v>
      </c>
      <c r="Q53" s="428" t="str">
        <f>IFERROR(IF(compras_mes7[[#This Row],[CUIT]]="","-",VLOOKUP(compras_mes7[[#This Row],[CUIT]],Lista_CUIT[#All],3,0)),"CUIT NO CARGADO")</f>
        <v>Gastos Varios</v>
      </c>
      <c r="R53" s="428">
        <f>IFERROR(IF(compras_mes7[[#This Row],[CUIT]]="","-",VLOOKUP(compras_mes7[[#This Row],[CUIT]],Lista_CUIT[#All],4,0)),"CUIT NO CARGADO")</f>
        <v>0</v>
      </c>
    </row>
    <row r="54" spans="2:18">
      <c r="B54" s="243">
        <v>45503</v>
      </c>
      <c r="C54" s="244">
        <v>1</v>
      </c>
      <c r="D54" s="245">
        <v>7</v>
      </c>
      <c r="E54" s="246">
        <v>3151</v>
      </c>
      <c r="F54" s="247">
        <v>20284183534</v>
      </c>
      <c r="G54" s="248" t="str">
        <f>IFERROR(IF(compras_mes7[[#This Row],[CUIT]]="","-",VLOOKUP(compras_mes7[[#This Row],[CUIT]],Lista_CUIT[#All],2,0)),"CUIT NO CARGADO")</f>
        <v>FURLANETTO MARTIN</v>
      </c>
      <c r="H54" s="249">
        <v>2479.34</v>
      </c>
      <c r="I54" s="250">
        <f>IF(compras_mes7[[#This Row],[NETO GRAVADO]]="","",compras_mes7[[#This Row],[NETO GRAVADO]]*0.21)</f>
        <v>520.66139999999996</v>
      </c>
      <c r="J54" s="417"/>
      <c r="K54" s="417"/>
      <c r="L54" s="417"/>
      <c r="M54" s="417"/>
      <c r="N54" s="417"/>
      <c r="O54" s="417"/>
      <c r="P54" s="415">
        <f>SUM(compras_mes7[[#This Row],[NETO GRAVADO]:[Otros / No Grav.]])</f>
        <v>3000.0014000000001</v>
      </c>
      <c r="Q54" s="416" t="str">
        <f>IFERROR(IF(compras_mes7[[#This Row],[CUIT]]="","-",VLOOKUP(compras_mes7[[#This Row],[CUIT]],Lista_CUIT[#All],3,0)),"CUIT NO CARGADO")</f>
        <v>gastos varios</v>
      </c>
      <c r="R54" s="416">
        <f>IFERROR(IF(compras_mes7[[#This Row],[CUIT]]="","-",VLOOKUP(compras_mes7[[#This Row],[CUIT]],Lista_CUIT[#All],4,0)),"CUIT NO CARGADO")</f>
        <v>0</v>
      </c>
    </row>
    <row r="55" spans="2:18">
      <c r="B55" s="430">
        <v>45504</v>
      </c>
      <c r="C55" s="419">
        <v>1</v>
      </c>
      <c r="D55" s="431">
        <v>6</v>
      </c>
      <c r="E55" s="432">
        <v>17094103</v>
      </c>
      <c r="F55" s="433">
        <v>30620177497</v>
      </c>
      <c r="G55" s="434" t="str">
        <f>IFERROR(IF(compras_mes7[[#This Row],[CUIT]]="","-",VLOOKUP(compras_mes7[[#This Row],[CUIT]],Lista_CUIT[#All],2,0)),"CUIT NO CARGADO")</f>
        <v>POSNET SOCIEDAD DE RESPONSABILIDAD LIMITADA</v>
      </c>
      <c r="H55" s="435">
        <v>24051.46</v>
      </c>
      <c r="I55" s="425">
        <f>IF(compras_mes7[[#This Row],[NETO GRAVADO]]="","",compras_mes7[[#This Row],[NETO GRAVADO]]*0.21)</f>
        <v>5050.8065999999999</v>
      </c>
      <c r="J55" s="426"/>
      <c r="K55" s="426"/>
      <c r="L55" s="426"/>
      <c r="M55" s="426"/>
      <c r="N55" s="426"/>
      <c r="O55" s="426"/>
      <c r="P55" s="427">
        <f>SUM(compras_mes7[[#This Row],[NETO GRAVADO]:[Otros / No Grav.]])</f>
        <v>29102.266599999999</v>
      </c>
      <c r="Q55" s="428" t="str">
        <f>IFERROR(IF(compras_mes7[[#This Row],[CUIT]]="","-",VLOOKUP(compras_mes7[[#This Row],[CUIT]],Lista_CUIT[#All],3,0)),"CUIT NO CARGADO")</f>
        <v>Gastos Varios</v>
      </c>
      <c r="R55" s="428">
        <f>IFERROR(IF(compras_mes7[[#This Row],[CUIT]]="","-",VLOOKUP(compras_mes7[[#This Row],[CUIT]],Lista_CUIT[#All],4,0)),"CUIT NO CARGADO")</f>
        <v>0</v>
      </c>
    </row>
    <row r="56" spans="2:18" s="429" customFormat="1">
      <c r="B56" s="40">
        <v>45474</v>
      </c>
      <c r="C56" s="244">
        <v>1</v>
      </c>
      <c r="D56" s="42">
        <v>6</v>
      </c>
      <c r="E56" s="43">
        <v>1082</v>
      </c>
      <c r="F56" s="44">
        <v>20247225243</v>
      </c>
      <c r="G56" s="45" t="str">
        <f>IFERROR(IF(compras_mes7[[#This Row],[CUIT]]="","-",VLOOKUP(compras_mes7[[#This Row],[CUIT]],Lista_CUIT[#All],2,0)),"CUIT NO CARGADO")</f>
        <v>VENTO HUGO GABRIEL</v>
      </c>
      <c r="H56" s="46">
        <v>69869</v>
      </c>
      <c r="I56" s="250">
        <f>IF(compras_mes7[[#This Row],[NETO GRAVADO]]="","",compras_mes7[[#This Row],[NETO GRAVADO]]*0.21)</f>
        <v>14672.49</v>
      </c>
      <c r="J56" s="417"/>
      <c r="K56" s="417"/>
      <c r="L56" s="417"/>
      <c r="M56" s="417"/>
      <c r="N56" s="417"/>
      <c r="O56" s="417"/>
      <c r="P56" s="415">
        <f>SUM(compras_mes7[[#This Row],[NETO GRAVADO]:[Otros / No Grav.]])</f>
        <v>84541.49</v>
      </c>
      <c r="Q56" s="416" t="str">
        <f>IFERROR(IF(compras_mes7[[#This Row],[CUIT]]="","-",VLOOKUP(compras_mes7[[#This Row],[CUIT]],Lista_CUIT[#All],3,0)),"CUIT NO CARGADO")</f>
        <v>Productos Ortopedicos</v>
      </c>
      <c r="R56" s="416">
        <f>IFERROR(IF(compras_mes7[[#This Row],[CUIT]]="","-",VLOOKUP(compras_mes7[[#This Row],[CUIT]],Lista_CUIT[#All],4,0)),"CUIT NO CARGADO")</f>
        <v>0</v>
      </c>
    </row>
    <row r="57" spans="2:18">
      <c r="B57" s="40">
        <v>45474</v>
      </c>
      <c r="C57" s="244">
        <v>1</v>
      </c>
      <c r="D57" s="42">
        <v>1</v>
      </c>
      <c r="E57" s="43">
        <v>3721</v>
      </c>
      <c r="F57" s="44">
        <v>30715141201</v>
      </c>
      <c r="G57" s="45" t="str">
        <f>IFERROR(IF(compras_mes7[[#This Row],[CUIT]]="","-",VLOOKUP(compras_mes7[[#This Row],[CUIT]],Lista_CUIT[#All],2,0)),"CUIT NO CARGADO")</f>
        <v>REHAB S.R.L.</v>
      </c>
      <c r="H57" s="46">
        <v>196966.09</v>
      </c>
      <c r="I57" s="250">
        <f>IF(compras_mes7[[#This Row],[NETO GRAVADO]]="","",compras_mes7[[#This Row],[NETO GRAVADO]]*0.21)</f>
        <v>41362.878899999996</v>
      </c>
      <c r="J57" s="417"/>
      <c r="K57" s="417"/>
      <c r="L57" s="417"/>
      <c r="M57" s="417"/>
      <c r="N57" s="417"/>
      <c r="O57" s="417"/>
      <c r="P57" s="415">
        <f>SUM(compras_mes7[[#This Row],[NETO GRAVADO]:[Otros / No Grav.]])</f>
        <v>238328.96889999998</v>
      </c>
      <c r="Q57" s="416" t="str">
        <f>IFERROR(IF(compras_mes7[[#This Row],[CUIT]]="","-",VLOOKUP(compras_mes7[[#This Row],[CUIT]],Lista_CUIT[#All],3,0)),"CUIT NO CARGADO")</f>
        <v>Productos Ortopedicos</v>
      </c>
      <c r="R57" s="416">
        <f>IFERROR(IF(compras_mes7[[#This Row],[CUIT]]="","-",VLOOKUP(compras_mes7[[#This Row],[CUIT]],Lista_CUIT[#All],4,0)),"CUIT NO CARGADO")</f>
        <v>0</v>
      </c>
    </row>
    <row r="58" spans="2:18">
      <c r="B58" s="243">
        <v>45489</v>
      </c>
      <c r="C58" s="244">
        <v>1</v>
      </c>
      <c r="D58" s="245">
        <v>6</v>
      </c>
      <c r="E58" s="246">
        <v>53397</v>
      </c>
      <c r="F58" s="247">
        <v>30710177658</v>
      </c>
      <c r="G58" s="248" t="str">
        <f>IFERROR(IF(compras_mes7[[#This Row],[CUIT]]="","-",VLOOKUP(compras_mes7[[#This Row],[CUIT]],Lista_CUIT[#All],2,0)),"CUIT NO CARGADO")</f>
        <v>TARGET MEDICAL SA</v>
      </c>
      <c r="H58" s="249">
        <v>101500.8</v>
      </c>
      <c r="I58" s="250">
        <f>IF(compras_mes7[[#This Row],[NETO GRAVADO]]="","",compras_mes7[[#This Row],[NETO GRAVADO]]*0.21)</f>
        <v>21315.168000000001</v>
      </c>
      <c r="J58" s="417"/>
      <c r="K58" s="417"/>
      <c r="L58" s="417"/>
      <c r="M58" s="417"/>
      <c r="N58" s="417"/>
      <c r="O58" s="417"/>
      <c r="P58" s="415">
        <f>SUM(compras_mes7[[#This Row],[NETO GRAVADO]:[Otros / No Grav.]])</f>
        <v>122815.96800000001</v>
      </c>
      <c r="Q58" s="416" t="str">
        <f>IFERROR(IF(compras_mes7[[#This Row],[CUIT]]="","-",VLOOKUP(compras_mes7[[#This Row],[CUIT]],Lista_CUIT[#All],3,0)),"CUIT NO CARGADO")</f>
        <v>Productos Ortopedicos</v>
      </c>
      <c r="R58" s="416">
        <f>IFERROR(IF(compras_mes7[[#This Row],[CUIT]]="","-",VLOOKUP(compras_mes7[[#This Row],[CUIT]],Lista_CUIT[#All],4,0)),"CUIT NO CARGADO")</f>
        <v>0</v>
      </c>
    </row>
    <row r="59" spans="2:18">
      <c r="B59" s="243">
        <v>45490</v>
      </c>
      <c r="C59" s="244">
        <v>1</v>
      </c>
      <c r="D59" s="245">
        <v>1</v>
      </c>
      <c r="E59" s="246">
        <v>3889</v>
      </c>
      <c r="F59" s="247">
        <v>30715141201</v>
      </c>
      <c r="G59" s="248" t="str">
        <f>IFERROR(IF(compras_mes7[[#This Row],[CUIT]]="","-",VLOOKUP(compras_mes7[[#This Row],[CUIT]],Lista_CUIT[#All],2,0)),"CUIT NO CARGADO")</f>
        <v>REHAB S.R.L.</v>
      </c>
      <c r="H59" s="249">
        <v>364413</v>
      </c>
      <c r="I59" s="250">
        <f>IF(compras_mes7[[#This Row],[NETO GRAVADO]]="","",compras_mes7[[#This Row],[NETO GRAVADO]]*0.21)</f>
        <v>76526.73</v>
      </c>
      <c r="J59" s="417"/>
      <c r="K59" s="417"/>
      <c r="L59" s="417"/>
      <c r="M59" s="417"/>
      <c r="N59" s="417"/>
      <c r="O59" s="417"/>
      <c r="P59" s="415">
        <f>SUM(compras_mes7[[#This Row],[NETO GRAVADO]:[Otros / No Grav.]])</f>
        <v>440939.73</v>
      </c>
      <c r="Q59" s="416" t="str">
        <f>IFERROR(IF(compras_mes7[[#This Row],[CUIT]]="","-",VLOOKUP(compras_mes7[[#This Row],[CUIT]],Lista_CUIT[#All],3,0)),"CUIT NO CARGADO")</f>
        <v>Productos Ortopedicos</v>
      </c>
      <c r="R59" s="416">
        <f>IFERROR(IF(compras_mes7[[#This Row],[CUIT]]="","-",VLOOKUP(compras_mes7[[#This Row],[CUIT]],Lista_CUIT[#All],4,0)),"CUIT NO CARGADO")</f>
        <v>0</v>
      </c>
    </row>
    <row r="60" spans="2:18" s="429" customFormat="1">
      <c r="B60" s="243">
        <v>45490</v>
      </c>
      <c r="C60" s="244">
        <v>1</v>
      </c>
      <c r="D60" s="245">
        <v>1</v>
      </c>
      <c r="E60" s="246">
        <v>3887</v>
      </c>
      <c r="F60" s="247">
        <v>30715141201</v>
      </c>
      <c r="G60" s="248" t="str">
        <f>IFERROR(IF(compras_mes7[[#This Row],[CUIT]]="","-",VLOOKUP(compras_mes7[[#This Row],[CUIT]],Lista_CUIT[#All],2,0)),"CUIT NO CARGADO")</f>
        <v>REHAB S.R.L.</v>
      </c>
      <c r="H60" s="249">
        <v>1426289.07</v>
      </c>
      <c r="I60" s="250">
        <f>IF(compras_mes7[[#This Row],[NETO GRAVADO]]="","",compras_mes7[[#This Row],[NETO GRAVADO]]*0.21)</f>
        <v>299520.7047</v>
      </c>
      <c r="J60" s="417"/>
      <c r="K60" s="417"/>
      <c r="L60" s="417"/>
      <c r="M60" s="417"/>
      <c r="N60" s="417"/>
      <c r="O60" s="417"/>
      <c r="P60" s="415">
        <f>SUM(compras_mes7[[#This Row],[NETO GRAVADO]:[Otros / No Grav.]])</f>
        <v>1725809.7747</v>
      </c>
      <c r="Q60" s="416" t="str">
        <f>IFERROR(IF(compras_mes7[[#This Row],[CUIT]]="","-",VLOOKUP(compras_mes7[[#This Row],[CUIT]],Lista_CUIT[#All],3,0)),"CUIT NO CARGADO")</f>
        <v>Productos Ortopedicos</v>
      </c>
      <c r="R60" s="416">
        <f>IFERROR(IF(compras_mes7[[#This Row],[CUIT]]="","-",VLOOKUP(compras_mes7[[#This Row],[CUIT]],Lista_CUIT[#All],4,0)),"CUIT NO CARGADO")</f>
        <v>0</v>
      </c>
    </row>
    <row r="61" spans="2:18" s="429" customFormat="1">
      <c r="B61" s="243">
        <v>45490</v>
      </c>
      <c r="C61" s="244">
        <v>1</v>
      </c>
      <c r="D61" s="245">
        <v>1</v>
      </c>
      <c r="E61" s="246">
        <v>3886</v>
      </c>
      <c r="F61" s="247">
        <v>30715141201</v>
      </c>
      <c r="G61" s="248" t="str">
        <f>IFERROR(IF(compras_mes7[[#This Row],[CUIT]]="","-",VLOOKUP(compras_mes7[[#This Row],[CUIT]],Lista_CUIT[#All],2,0)),"CUIT NO CARGADO")</f>
        <v>REHAB S.R.L.</v>
      </c>
      <c r="H61" s="249">
        <v>3092234.25</v>
      </c>
      <c r="I61" s="250">
        <f>IF(compras_mes7[[#This Row],[NETO GRAVADO]]="","",compras_mes7[[#This Row],[NETO GRAVADO]]*0.21)</f>
        <v>649369.1925</v>
      </c>
      <c r="J61" s="417"/>
      <c r="K61" s="417"/>
      <c r="L61" s="417"/>
      <c r="M61" s="417"/>
      <c r="N61" s="417"/>
      <c r="O61" s="417"/>
      <c r="P61" s="415">
        <f>SUM(compras_mes7[[#This Row],[NETO GRAVADO]:[Otros / No Grav.]])</f>
        <v>3741603.4424999999</v>
      </c>
      <c r="Q61" s="416" t="str">
        <f>IFERROR(IF(compras_mes7[[#This Row],[CUIT]]="","-",VLOOKUP(compras_mes7[[#This Row],[CUIT]],Lista_CUIT[#All],3,0)),"CUIT NO CARGADO")</f>
        <v>Productos Ortopedicos</v>
      </c>
      <c r="R61" s="416">
        <f>IFERROR(IF(compras_mes7[[#This Row],[CUIT]]="","-",VLOOKUP(compras_mes7[[#This Row],[CUIT]],Lista_CUIT[#All],4,0)),"CUIT NO CARGADO")</f>
        <v>0</v>
      </c>
    </row>
    <row r="62" spans="2:18" s="429" customFormat="1">
      <c r="B62" s="243">
        <v>45490</v>
      </c>
      <c r="C62" s="244">
        <v>1</v>
      </c>
      <c r="D62" s="245">
        <v>1</v>
      </c>
      <c r="E62" s="246">
        <v>3890</v>
      </c>
      <c r="F62" s="247">
        <v>30715141201</v>
      </c>
      <c r="G62" s="248" t="str">
        <f>IFERROR(IF(compras_mes7[[#This Row],[CUIT]]="","-",VLOOKUP(compras_mes7[[#This Row],[CUIT]],Lista_CUIT[#All],2,0)),"CUIT NO CARGADO")</f>
        <v>REHAB S.R.L.</v>
      </c>
      <c r="H62" s="249">
        <v>818170.5</v>
      </c>
      <c r="I62" s="250">
        <f>IF(compras_mes7[[#This Row],[NETO GRAVADO]]="","",compras_mes7[[#This Row],[NETO GRAVADO]]*0.21)</f>
        <v>171815.80499999999</v>
      </c>
      <c r="J62" s="417"/>
      <c r="K62" s="417"/>
      <c r="L62" s="417"/>
      <c r="M62" s="417"/>
      <c r="N62" s="417"/>
      <c r="O62" s="417"/>
      <c r="P62" s="415">
        <f>SUM(compras_mes7[[#This Row],[NETO GRAVADO]:[Otros / No Grav.]])</f>
        <v>989986.30499999993</v>
      </c>
      <c r="Q62" s="416" t="str">
        <f>IFERROR(IF(compras_mes7[[#This Row],[CUIT]]="","-",VLOOKUP(compras_mes7[[#This Row],[CUIT]],Lista_CUIT[#All],3,0)),"CUIT NO CARGADO")</f>
        <v>Productos Ortopedicos</v>
      </c>
      <c r="R62" s="416">
        <f>IFERROR(IF(compras_mes7[[#This Row],[CUIT]]="","-",VLOOKUP(compras_mes7[[#This Row],[CUIT]],Lista_CUIT[#All],4,0)),"CUIT NO CARGADO")</f>
        <v>0</v>
      </c>
    </row>
    <row r="63" spans="2:18" s="429" customFormat="1">
      <c r="B63" s="243">
        <v>45495</v>
      </c>
      <c r="C63" s="244">
        <v>1</v>
      </c>
      <c r="D63" s="245">
        <v>1</v>
      </c>
      <c r="E63" s="246">
        <v>3956</v>
      </c>
      <c r="F63" s="247">
        <v>30715141201</v>
      </c>
      <c r="G63" s="248" t="str">
        <f>IFERROR(IF(compras_mes7[[#This Row],[CUIT]]="","-",VLOOKUP(compras_mes7[[#This Row],[CUIT]],Lista_CUIT[#All],2,0)),"CUIT NO CARGADO")</f>
        <v>REHAB S.R.L.</v>
      </c>
      <c r="H63" s="249">
        <v>3832222.51</v>
      </c>
      <c r="I63" s="250">
        <f>IF(compras_mes7[[#This Row],[NETO GRAVADO]]="","",compras_mes7[[#This Row],[NETO GRAVADO]]*0.21)</f>
        <v>804766.7270999999</v>
      </c>
      <c r="J63" s="417"/>
      <c r="K63" s="417"/>
      <c r="L63" s="417"/>
      <c r="M63" s="417"/>
      <c r="N63" s="417"/>
      <c r="O63" s="417"/>
      <c r="P63" s="415">
        <f>SUM(compras_mes7[[#This Row],[NETO GRAVADO]:[Otros / No Grav.]])</f>
        <v>4636989.2370999996</v>
      </c>
      <c r="Q63" s="416" t="str">
        <f>IFERROR(IF(compras_mes7[[#This Row],[CUIT]]="","-",VLOOKUP(compras_mes7[[#This Row],[CUIT]],Lista_CUIT[#All],3,0)),"CUIT NO CARGADO")</f>
        <v>Productos Ortopedicos</v>
      </c>
      <c r="R63" s="416">
        <f>IFERROR(IF(compras_mes7[[#This Row],[CUIT]]="","-",VLOOKUP(compras_mes7[[#This Row],[CUIT]],Lista_CUIT[#All],4,0)),"CUIT NO CARGADO")</f>
        <v>0</v>
      </c>
    </row>
    <row r="64" spans="2:18">
      <c r="B64" s="243">
        <v>45496</v>
      </c>
      <c r="C64" s="244">
        <v>1</v>
      </c>
      <c r="D64" s="245">
        <v>1</v>
      </c>
      <c r="E64" s="246">
        <v>3985</v>
      </c>
      <c r="F64" s="247">
        <v>30715141201</v>
      </c>
      <c r="G64" s="248" t="str">
        <f>IFERROR(IF(compras_mes7[[#This Row],[CUIT]]="","-",VLOOKUP(compras_mes7[[#This Row],[CUIT]],Lista_CUIT[#All],2,0)),"CUIT NO CARGADO")</f>
        <v>REHAB S.R.L.</v>
      </c>
      <c r="H64" s="249">
        <v>1365747</v>
      </c>
      <c r="I64" s="250">
        <f>IF(compras_mes7[[#This Row],[NETO GRAVADO]]="","",compras_mes7[[#This Row],[NETO GRAVADO]]*0.21)</f>
        <v>286806.87</v>
      </c>
      <c r="J64" s="417"/>
      <c r="K64" s="417"/>
      <c r="L64" s="417"/>
      <c r="M64" s="417"/>
      <c r="N64" s="417"/>
      <c r="O64" s="417"/>
      <c r="P64" s="415">
        <f>SUM(compras_mes7[[#This Row],[NETO GRAVADO]:[Otros / No Grav.]])</f>
        <v>1652553.87</v>
      </c>
      <c r="Q64" s="416" t="str">
        <f>IFERROR(IF(compras_mes7[[#This Row],[CUIT]]="","-",VLOOKUP(compras_mes7[[#This Row],[CUIT]],Lista_CUIT[#All],3,0)),"CUIT NO CARGADO")</f>
        <v>Productos Ortopedicos</v>
      </c>
      <c r="R64" s="416">
        <f>IFERROR(IF(compras_mes7[[#This Row],[CUIT]]="","-",VLOOKUP(compras_mes7[[#This Row],[CUIT]],Lista_CUIT[#All],4,0)),"CUIT NO CARGADO")</f>
        <v>0</v>
      </c>
    </row>
    <row r="65" spans="2:18">
      <c r="B65" s="243">
        <v>45502</v>
      </c>
      <c r="C65" s="244">
        <v>1</v>
      </c>
      <c r="D65" s="245">
        <v>1</v>
      </c>
      <c r="E65" s="246">
        <v>4054</v>
      </c>
      <c r="F65" s="247">
        <v>30715141201</v>
      </c>
      <c r="G65" s="248" t="str">
        <f>IFERROR(IF(compras_mes7[[#This Row],[CUIT]]="","-",VLOOKUP(compras_mes7[[#This Row],[CUIT]],Lista_CUIT[#All],2,0)),"CUIT NO CARGADO")</f>
        <v>REHAB S.R.L.</v>
      </c>
      <c r="H65" s="249">
        <v>2047644.3</v>
      </c>
      <c r="I65" s="250">
        <f>IF(compras_mes7[[#This Row],[NETO GRAVADO]]="","",compras_mes7[[#This Row],[NETO GRAVADO]]*0.21)</f>
        <v>430005.30300000001</v>
      </c>
      <c r="J65" s="417"/>
      <c r="K65" s="417"/>
      <c r="L65" s="417"/>
      <c r="M65" s="417"/>
      <c r="N65" s="417"/>
      <c r="O65" s="417"/>
      <c r="P65" s="415">
        <f>SUM(compras_mes7[[#This Row],[NETO GRAVADO]:[Otros / No Grav.]])</f>
        <v>2477649.6030000001</v>
      </c>
      <c r="Q65" s="416" t="str">
        <f>IFERROR(IF(compras_mes7[[#This Row],[CUIT]]="","-",VLOOKUP(compras_mes7[[#This Row],[CUIT]],Lista_CUIT[#All],3,0)),"CUIT NO CARGADO")</f>
        <v>Productos Ortopedicos</v>
      </c>
      <c r="R65" s="416">
        <f>IFERROR(IF(compras_mes7[[#This Row],[CUIT]]="","-",VLOOKUP(compras_mes7[[#This Row],[CUIT]],Lista_CUIT[#All],4,0)),"CUIT NO CARGADO")</f>
        <v>0</v>
      </c>
    </row>
    <row r="66" spans="2:18">
      <c r="B66" s="40">
        <v>45503</v>
      </c>
      <c r="C66" s="244">
        <v>1</v>
      </c>
      <c r="D66" s="42">
        <v>6</v>
      </c>
      <c r="E66" s="43">
        <v>53573</v>
      </c>
      <c r="F66" s="44">
        <v>30710177658</v>
      </c>
      <c r="G66" s="45" t="str">
        <f>IFERROR(IF(compras_mes7[[#This Row],[CUIT]]="","-",VLOOKUP(compras_mes7[[#This Row],[CUIT]],Lista_CUIT[#All],2,0)),"CUIT NO CARGADO")</f>
        <v>TARGET MEDICAL SA</v>
      </c>
      <c r="H66" s="46">
        <v>846153.48</v>
      </c>
      <c r="I66" s="250">
        <f>IF(compras_mes7[[#This Row],[NETO GRAVADO]]="","",compras_mes7[[#This Row],[NETO GRAVADO]]*0.21)</f>
        <v>177692.23079999999</v>
      </c>
      <c r="J66" s="417"/>
      <c r="K66" s="417"/>
      <c r="L66" s="417"/>
      <c r="M66" s="417"/>
      <c r="N66" s="417"/>
      <c r="O66" s="417"/>
      <c r="P66" s="415">
        <f>SUM(compras_mes7[[#This Row],[NETO GRAVADO]:[Otros / No Grav.]])</f>
        <v>1023845.7108</v>
      </c>
      <c r="Q66" s="416" t="str">
        <f>IFERROR(IF(compras_mes7[[#This Row],[CUIT]]="","-",VLOOKUP(compras_mes7[[#This Row],[CUIT]],Lista_CUIT[#All],3,0)),"CUIT NO CARGADO")</f>
        <v>Productos Ortopedicos</v>
      </c>
      <c r="R66" s="416">
        <f>IFERROR(IF(compras_mes7[[#This Row],[CUIT]]="","-",VLOOKUP(compras_mes7[[#This Row],[CUIT]],Lista_CUIT[#All],4,0)),"CUIT NO CARGADO")</f>
        <v>0</v>
      </c>
    </row>
    <row r="67" spans="2:18">
      <c r="B67" s="40">
        <v>45504</v>
      </c>
      <c r="C67" s="244">
        <v>1</v>
      </c>
      <c r="D67" s="42">
        <v>6</v>
      </c>
      <c r="E67" s="43">
        <v>83892</v>
      </c>
      <c r="F67" s="44">
        <v>30711553564</v>
      </c>
      <c r="G67" s="45" t="str">
        <f>IFERROR(IF(compras_mes7[[#This Row],[CUIT]]="","-",VLOOKUP(compras_mes7[[#This Row],[CUIT]],Lista_CUIT[#All],2,0)),"CUIT NO CARGADO")</f>
        <v>SALUD TEX S.A</v>
      </c>
      <c r="H67" s="46">
        <v>975087</v>
      </c>
      <c r="I67" s="250">
        <f>IF(compras_mes7[[#This Row],[NETO GRAVADO]]="","",compras_mes7[[#This Row],[NETO GRAVADO]]*0.21)</f>
        <v>204768.27</v>
      </c>
      <c r="J67" s="417"/>
      <c r="K67" s="417"/>
      <c r="L67" s="417"/>
      <c r="M67" s="417"/>
      <c r="N67" s="417"/>
      <c r="O67" s="417"/>
      <c r="P67" s="415">
        <f>SUM(compras_mes7[[#This Row],[NETO GRAVADO]:[Otros / No Grav.]])</f>
        <v>1179855.27</v>
      </c>
      <c r="Q67" s="416" t="str">
        <f>IFERROR(IF(compras_mes7[[#This Row],[CUIT]]="","-",VLOOKUP(compras_mes7[[#This Row],[CUIT]],Lista_CUIT[#All],3,0)),"CUIT NO CARGADO")</f>
        <v>Productos Ortopedicos</v>
      </c>
      <c r="R67" s="416">
        <f>IFERROR(IF(compras_mes7[[#This Row],[CUIT]]="","-",VLOOKUP(compras_mes7[[#This Row],[CUIT]],Lista_CUIT[#All],4,0)),"CUIT NO CARGADO")</f>
        <v>0</v>
      </c>
    </row>
    <row r="68" spans="2:18">
      <c r="B68" s="243">
        <v>45477</v>
      </c>
      <c r="C68" s="244">
        <v>1</v>
      </c>
      <c r="D68" s="245">
        <v>2</v>
      </c>
      <c r="E68" s="246">
        <v>50032</v>
      </c>
      <c r="F68" s="247">
        <v>30595553535</v>
      </c>
      <c r="G68" s="248" t="str">
        <f>IFERROR(IF(compras_mes7[[#This Row],[CUIT]]="","-",VLOOKUP(compras_mes7[[#This Row],[CUIT]],Lista_CUIT[#All],2,0)),"CUIT NO CARGADO")</f>
        <v>RUBRICOM SA</v>
      </c>
      <c r="H68" s="249">
        <v>3305.79</v>
      </c>
      <c r="I68" s="250">
        <f>IF(compras_mes7[[#This Row],[NETO GRAVADO]]="","",compras_mes7[[#This Row],[NETO GRAVADO]]*0.21)</f>
        <v>694.21589999999992</v>
      </c>
      <c r="J68" s="417"/>
      <c r="K68" s="417"/>
      <c r="L68" s="417"/>
      <c r="M68" s="417"/>
      <c r="N68" s="417"/>
      <c r="O68" s="417"/>
      <c r="P68" s="415">
        <f>SUM(compras_mes7[[#This Row],[NETO GRAVADO]:[Otros / No Grav.]])</f>
        <v>4000.0059000000001</v>
      </c>
      <c r="Q68" s="416" t="str">
        <f>IFERROR(IF(compras_mes7[[#This Row],[CUIT]]="","-",VLOOKUP(compras_mes7[[#This Row],[CUIT]],Lista_CUIT[#All],3,0)),"CUIT NO CARGADO")</f>
        <v>LIBRERÍA</v>
      </c>
      <c r="R68" s="416">
        <f>IFERROR(IF(compras_mes7[[#This Row],[CUIT]]="","-",VLOOKUP(compras_mes7[[#This Row],[CUIT]],Lista_CUIT[#All],4,0)),"CUIT NO CARGADO")</f>
        <v>0</v>
      </c>
    </row>
    <row r="69" spans="2:18">
      <c r="B69" s="40">
        <v>45484</v>
      </c>
      <c r="C69" s="244">
        <v>1</v>
      </c>
      <c r="D69" s="42">
        <v>11</v>
      </c>
      <c r="E69" s="43">
        <v>5241</v>
      </c>
      <c r="F69" s="44">
        <v>27204269527</v>
      </c>
      <c r="G69" s="45" t="str">
        <f>IFERROR(IF(compras_mes7[[#This Row],[CUIT]]="","-",VLOOKUP(compras_mes7[[#This Row],[CUIT]],Lista_CUIT[#All],2,0)),"CUIT NO CARGADO")</f>
        <v>GALE GABRIELA</v>
      </c>
      <c r="H69" s="46">
        <v>7024.81</v>
      </c>
      <c r="I69" s="250">
        <f>IF(compras_mes7[[#This Row],[NETO GRAVADO]]="","",compras_mes7[[#This Row],[NETO GRAVADO]]*0.21)</f>
        <v>1475.2101</v>
      </c>
      <c r="J69" s="417"/>
      <c r="K69" s="417"/>
      <c r="L69" s="417"/>
      <c r="M69" s="417"/>
      <c r="N69" s="417"/>
      <c r="O69" s="417"/>
      <c r="P69" s="415">
        <f>SUM(compras_mes7[[#This Row],[NETO GRAVADO]:[Otros / No Grav.]])</f>
        <v>8500.0200999999997</v>
      </c>
      <c r="Q69" s="416" t="str">
        <f>IFERROR(IF(compras_mes7[[#This Row],[CUIT]]="","-",VLOOKUP(compras_mes7[[#This Row],[CUIT]],Lista_CUIT[#All],3,0)),"CUIT NO CARGADO")</f>
        <v>LIBRERÍA</v>
      </c>
      <c r="R69" s="416">
        <f>IFERROR(IF(compras_mes7[[#This Row],[CUIT]]="","-",VLOOKUP(compras_mes7[[#This Row],[CUIT]],Lista_CUIT[#All],4,0)),"CUIT NO CARGADO")</f>
        <v>0</v>
      </c>
    </row>
    <row r="70" spans="2:18">
      <c r="B70" s="243">
        <v>45503</v>
      </c>
      <c r="C70" s="244">
        <v>1</v>
      </c>
      <c r="D70" s="245">
        <v>6</v>
      </c>
      <c r="E70" s="246">
        <v>1564</v>
      </c>
      <c r="F70" s="247">
        <v>30716815710</v>
      </c>
      <c r="G70" s="248" t="str">
        <f>IFERROR(IF(compras_mes7[[#This Row],[CUIT]]="","-",VLOOKUP(compras_mes7[[#This Row],[CUIT]],Lista_CUIT[#All],2,0)),"CUIT NO CARGADO")</f>
        <v>PAPELERA GEOPEL SRL</v>
      </c>
      <c r="H70" s="249">
        <v>13400</v>
      </c>
      <c r="I70" s="250">
        <f>IF(compras_mes7[[#This Row],[NETO GRAVADO]]="","",compras_mes7[[#This Row],[NETO GRAVADO]]*0.21)</f>
        <v>2814</v>
      </c>
      <c r="J70" s="417"/>
      <c r="K70" s="417"/>
      <c r="L70" s="417"/>
      <c r="M70" s="417"/>
      <c r="N70" s="417"/>
      <c r="O70" s="417"/>
      <c r="P70" s="415">
        <f>SUM(compras_mes7[[#This Row],[NETO GRAVADO]:[Otros / No Grav.]])</f>
        <v>16214</v>
      </c>
      <c r="Q70" s="416" t="str">
        <f>IFERROR(IF(compras_mes7[[#This Row],[CUIT]]="","-",VLOOKUP(compras_mes7[[#This Row],[CUIT]],Lista_CUIT[#All],3,0)),"CUIT NO CARGADO")</f>
        <v>LIBRERÍA</v>
      </c>
      <c r="R70" s="416">
        <f>IFERROR(IF(compras_mes7[[#This Row],[CUIT]]="","-",VLOOKUP(compras_mes7[[#This Row],[CUIT]],Lista_CUIT[#All],4,0)),"CUIT NO CARGADO")</f>
        <v>0</v>
      </c>
    </row>
    <row r="71" spans="2:18">
      <c r="B71" s="243">
        <v>45481</v>
      </c>
      <c r="C71" s="244">
        <v>1</v>
      </c>
      <c r="D71" s="245">
        <v>4</v>
      </c>
      <c r="E71" s="246">
        <v>4595</v>
      </c>
      <c r="F71" s="247">
        <v>30561769644</v>
      </c>
      <c r="G71" s="248" t="str">
        <f>IFERROR(IF(compras_mes7[[#This Row],[CUIT]]="","-",VLOOKUP(compras_mes7[[#This Row],[CUIT]],Lista_CUIT[#All],2,0)),"CUIT NO CARGADO")</f>
        <v>VIALGA SA</v>
      </c>
      <c r="H71" s="249">
        <v>84462.81</v>
      </c>
      <c r="I71" s="250">
        <f>IF(compras_mes7[[#This Row],[NETO GRAVADO]]="","",compras_mes7[[#This Row],[NETO GRAVADO]]*0.21)</f>
        <v>17737.1901</v>
      </c>
      <c r="J71" s="85"/>
      <c r="K71" s="85"/>
      <c r="L71" s="85"/>
      <c r="M71" s="85"/>
      <c r="N71" s="85"/>
      <c r="O71" s="85"/>
      <c r="P71" s="48">
        <f>SUM(compras_mes7[[#This Row],[NETO GRAVADO]:[Otros / No Grav.]])</f>
        <v>102200.0001</v>
      </c>
      <c r="Q71" s="49" t="str">
        <f>IFERROR(IF(compras_mes7[[#This Row],[CUIT]]="","-",VLOOKUP(compras_mes7[[#This Row],[CUIT]],Lista_CUIT[#All],3,0)),"CUIT NO CARGADO")</f>
        <v>Mantenimiento</v>
      </c>
      <c r="R71" s="49">
        <f>IFERROR(IF(compras_mes7[[#This Row],[CUIT]]="","-",VLOOKUP(compras_mes7[[#This Row],[CUIT]],Lista_CUIT[#All],4,0)),"CUIT NO CARGADO")</f>
        <v>0</v>
      </c>
    </row>
    <row r="72" spans="2:18" s="429" customFormat="1">
      <c r="B72" s="430">
        <v>45483</v>
      </c>
      <c r="C72" s="419">
        <v>1</v>
      </c>
      <c r="D72" s="431">
        <v>4</v>
      </c>
      <c r="E72" s="432">
        <v>4605</v>
      </c>
      <c r="F72" s="433">
        <v>30561769644</v>
      </c>
      <c r="G72" s="434" t="str">
        <f>IFERROR(IF(compras_mes7[[#This Row],[CUIT]]="","-",VLOOKUP(compras_mes7[[#This Row],[CUIT]],Lista_CUIT[#All],2,0)),"CUIT NO CARGADO")</f>
        <v>VIALGA SA</v>
      </c>
      <c r="H72" s="435">
        <v>77975.210000000006</v>
      </c>
      <c r="I72" s="425">
        <f>IF(compras_mes7[[#This Row],[NETO GRAVADO]]="","",compras_mes7[[#This Row],[NETO GRAVADO]]*0.21)</f>
        <v>16374.794100000001</v>
      </c>
      <c r="J72" s="430"/>
      <c r="K72" s="426"/>
      <c r="L72" s="426"/>
      <c r="M72" s="426"/>
      <c r="N72" s="426"/>
      <c r="O72" s="426"/>
      <c r="P72" s="427">
        <f>SUM(compras_mes7[[#This Row],[NETO GRAVADO]:[Otros / No Grav.]])</f>
        <v>94350.004100000006</v>
      </c>
      <c r="Q72" s="428" t="str">
        <f>IFERROR(IF(compras_mes7[[#This Row],[CUIT]]="","-",VLOOKUP(compras_mes7[[#This Row],[CUIT]],Lista_CUIT[#All],3,0)),"CUIT NO CARGADO")</f>
        <v>Mantenimiento</v>
      </c>
      <c r="R72" s="428">
        <f>IFERROR(IF(compras_mes7[[#This Row],[CUIT]]="","-",VLOOKUP(compras_mes7[[#This Row],[CUIT]],Lista_CUIT[#All],4,0)),"CUIT NO CARGADO")</f>
        <v>0</v>
      </c>
    </row>
    <row r="73" spans="2:18">
      <c r="B73" s="430">
        <v>45483</v>
      </c>
      <c r="C73" s="419">
        <v>1</v>
      </c>
      <c r="D73" s="431">
        <v>4</v>
      </c>
      <c r="E73" s="432">
        <v>4606</v>
      </c>
      <c r="F73" s="433">
        <v>30561769644</v>
      </c>
      <c r="G73" s="434" t="str">
        <f>IFERROR(IF(compras_mes7[[#This Row],[CUIT]]="","-",VLOOKUP(compras_mes7[[#This Row],[CUIT]],Lista_CUIT[#All],2,0)),"CUIT NO CARGADO")</f>
        <v>VIALGA SA</v>
      </c>
      <c r="H73" s="435">
        <v>909.09</v>
      </c>
      <c r="I73" s="425">
        <f>IF(compras_mes7[[#This Row],[NETO GRAVADO]]="","",compras_mes7[[#This Row],[NETO GRAVADO]]*0.21)</f>
        <v>190.90889999999999</v>
      </c>
      <c r="J73" s="426"/>
      <c r="K73" s="426"/>
      <c r="L73" s="426"/>
      <c r="M73" s="426"/>
      <c r="N73" s="426"/>
      <c r="O73" s="426"/>
      <c r="P73" s="427">
        <f>SUM(compras_mes7[[#This Row],[NETO GRAVADO]:[Otros / No Grav.]])</f>
        <v>1099.9989</v>
      </c>
      <c r="Q73" s="428" t="str">
        <f>IFERROR(IF(compras_mes7[[#This Row],[CUIT]]="","-",VLOOKUP(compras_mes7[[#This Row],[CUIT]],Lista_CUIT[#All],3,0)),"CUIT NO CARGADO")</f>
        <v>Mantenimiento</v>
      </c>
      <c r="R73" s="428">
        <f>IFERROR(IF(compras_mes7[[#This Row],[CUIT]]="","-",VLOOKUP(compras_mes7[[#This Row],[CUIT]],Lista_CUIT[#All],4,0)),"CUIT NO CARGADO")</f>
        <v>0</v>
      </c>
    </row>
    <row r="74" spans="2:18">
      <c r="B74" s="243">
        <v>45495</v>
      </c>
      <c r="C74" s="244">
        <v>1</v>
      </c>
      <c r="D74" s="245">
        <v>4</v>
      </c>
      <c r="E74" s="246">
        <v>4646</v>
      </c>
      <c r="F74" s="247">
        <v>30561769644</v>
      </c>
      <c r="G74" s="248" t="str">
        <f>IFERROR(IF(compras_mes7[[#This Row],[CUIT]]="","-",VLOOKUP(compras_mes7[[#This Row],[CUIT]],Lista_CUIT[#All],2,0)),"CUIT NO CARGADO")</f>
        <v>VIALGA SA</v>
      </c>
      <c r="H74" s="249">
        <v>79338.850000000006</v>
      </c>
      <c r="I74" s="250">
        <f>IF(compras_mes7[[#This Row],[NETO GRAVADO]]="","",compras_mes7[[#This Row],[NETO GRAVADO]]*0.21)</f>
        <v>16661.158500000001</v>
      </c>
      <c r="J74" s="417"/>
      <c r="K74" s="417"/>
      <c r="L74" s="417"/>
      <c r="M74" s="417"/>
      <c r="N74" s="417"/>
      <c r="O74" s="417"/>
      <c r="P74" s="415">
        <f>SUM(compras_mes7[[#This Row],[NETO GRAVADO]:[Otros / No Grav.]])</f>
        <v>96000.008500000011</v>
      </c>
      <c r="Q74" s="416" t="str">
        <f>IFERROR(IF(compras_mes7[[#This Row],[CUIT]]="","-",VLOOKUP(compras_mes7[[#This Row],[CUIT]],Lista_CUIT[#All],3,0)),"CUIT NO CARGADO")</f>
        <v>Mantenimiento</v>
      </c>
      <c r="R74" s="416">
        <f>IFERROR(IF(compras_mes7[[#This Row],[CUIT]]="","-",VLOOKUP(compras_mes7[[#This Row],[CUIT]],Lista_CUIT[#All],4,0)),"CUIT NO CARGADO")</f>
        <v>0</v>
      </c>
    </row>
    <row r="75" spans="2:18">
      <c r="B75" s="40">
        <v>45476</v>
      </c>
      <c r="C75" s="244">
        <v>1</v>
      </c>
      <c r="D75" s="42">
        <v>629</v>
      </c>
      <c r="E75" s="43">
        <v>5247811</v>
      </c>
      <c r="F75" s="44">
        <v>30663498513</v>
      </c>
      <c r="G75" s="45" t="str">
        <f>IFERROR(IF(compras_mes7[[#This Row],[CUIT]]="","-",VLOOKUP(compras_mes7[[#This Row],[CUIT]],Lista_CUIT[#All],2,0)),"CUIT NO CARGADO")</f>
        <v>GRUPO CONCES. DEL OESTE SA</v>
      </c>
      <c r="H75" s="46">
        <v>909.09</v>
      </c>
      <c r="I75" s="250">
        <f>IF(compras_mes7[[#This Row],[NETO GRAVADO]]="","",compras_mes7[[#This Row],[NETO GRAVADO]]*0.21)</f>
        <v>190.90889999999999</v>
      </c>
      <c r="J75" s="417"/>
      <c r="K75" s="417"/>
      <c r="L75" s="417"/>
      <c r="M75" s="417">
        <v>36.36</v>
      </c>
      <c r="N75" s="417"/>
      <c r="O75" s="417"/>
      <c r="P75" s="415">
        <f>SUM(compras_mes7[[#This Row],[NETO GRAVADO]:[Otros / No Grav.]])</f>
        <v>1136.3588999999999</v>
      </c>
      <c r="Q75" s="416" t="str">
        <f>IFERROR(IF(compras_mes7[[#This Row],[CUIT]]="","-",VLOOKUP(compras_mes7[[#This Row],[CUIT]],Lista_CUIT[#All],3,0)),"CUIT NO CARGADO")</f>
        <v>PEAJE</v>
      </c>
      <c r="R75" s="416">
        <f>IFERROR(IF(compras_mes7[[#This Row],[CUIT]]="","-",VLOOKUP(compras_mes7[[#This Row],[CUIT]],Lista_CUIT[#All],4,0)),"CUIT NO CARGADO")</f>
        <v>0</v>
      </c>
    </row>
    <row r="76" spans="2:18">
      <c r="B76" s="243">
        <v>45482</v>
      </c>
      <c r="C76" s="244">
        <v>1</v>
      </c>
      <c r="D76" s="245">
        <v>5015</v>
      </c>
      <c r="E76" s="246">
        <v>623228</v>
      </c>
      <c r="F76" s="247">
        <v>30574876474</v>
      </c>
      <c r="G76" s="248" t="str">
        <f>IFERROR(IF(compras_mes7[[#This Row],[CUIT]]="","-",VLOOKUP(compras_mes7[[#This Row],[CUIT]],Lista_CUIT[#All],2,0)),"CUIT NO CARGADO")</f>
        <v>AUTOP. URBANAS SA</v>
      </c>
      <c r="H76" s="249">
        <v>13383.02</v>
      </c>
      <c r="I76" s="250">
        <f>IF(compras_mes7[[#This Row],[NETO GRAVADO]]="","",compras_mes7[[#This Row],[NETO GRAVADO]]*0.21)</f>
        <v>2810.4342000000001</v>
      </c>
      <c r="J76" s="417"/>
      <c r="K76" s="417"/>
      <c r="L76" s="417"/>
      <c r="M76" s="417"/>
      <c r="N76" s="417">
        <v>1338.3</v>
      </c>
      <c r="O76" s="417">
        <v>401.49</v>
      </c>
      <c r="P76" s="415">
        <f>SUM(compras_mes7[[#This Row],[NETO GRAVADO]:[Otros / No Grav.]])</f>
        <v>17933.244200000001</v>
      </c>
      <c r="Q76" s="416" t="str">
        <f>IFERROR(IF(compras_mes7[[#This Row],[CUIT]]="","-",VLOOKUP(compras_mes7[[#This Row],[CUIT]],Lista_CUIT[#All],3,0)),"CUIT NO CARGADO")</f>
        <v>PEAJE</v>
      </c>
      <c r="R76" s="416">
        <f>IFERROR(IF(compras_mes7[[#This Row],[CUIT]]="","-",VLOOKUP(compras_mes7[[#This Row],[CUIT]],Lista_CUIT[#All],4,0)),"CUIT NO CARGADO")</f>
        <v>0</v>
      </c>
    </row>
    <row r="77" spans="2:18">
      <c r="B77" s="243">
        <v>45489</v>
      </c>
      <c r="C77" s="244">
        <v>1</v>
      </c>
      <c r="D77" s="245">
        <v>5015</v>
      </c>
      <c r="E77" s="246">
        <v>624649</v>
      </c>
      <c r="F77" s="247">
        <v>30574876474</v>
      </c>
      <c r="G77" s="248" t="str">
        <f>IFERROR(IF(compras_mes7[[#This Row],[CUIT]]="","-",VLOOKUP(compras_mes7[[#This Row],[CUIT]],Lista_CUIT[#All],2,0)),"CUIT NO CARGADO")</f>
        <v>AUTOP. URBANAS SA</v>
      </c>
      <c r="H77" s="249">
        <v>13383.02</v>
      </c>
      <c r="I77" s="250">
        <f>IF(compras_mes7[[#This Row],[NETO GRAVADO]]="","",compras_mes7[[#This Row],[NETO GRAVADO]]*0.21)</f>
        <v>2810.4342000000001</v>
      </c>
      <c r="J77" s="417"/>
      <c r="K77" s="417"/>
      <c r="L77" s="417"/>
      <c r="M77" s="417"/>
      <c r="N77" s="417"/>
      <c r="O77" s="417">
        <f>401.49+1338.3</f>
        <v>1739.79</v>
      </c>
      <c r="P77" s="415">
        <f>SUM(compras_mes7[[#This Row],[NETO GRAVADO]:[Otros / No Grav.]])</f>
        <v>17933.244200000001</v>
      </c>
      <c r="Q77" s="416" t="str">
        <f>IFERROR(IF(compras_mes7[[#This Row],[CUIT]]="","-",VLOOKUP(compras_mes7[[#This Row],[CUIT]],Lista_CUIT[#All],3,0)),"CUIT NO CARGADO")</f>
        <v>PEAJE</v>
      </c>
      <c r="R77" s="416">
        <f>IFERROR(IF(compras_mes7[[#This Row],[CUIT]]="","-",VLOOKUP(compras_mes7[[#This Row],[CUIT]],Lista_CUIT[#All],4,0)),"CUIT NO CARGADO")</f>
        <v>0</v>
      </c>
    </row>
    <row r="78" spans="2:18">
      <c r="B78" s="40">
        <v>45492</v>
      </c>
      <c r="C78" s="244">
        <v>1</v>
      </c>
      <c r="D78" s="42">
        <v>629</v>
      </c>
      <c r="E78" s="43">
        <v>5285598</v>
      </c>
      <c r="F78" s="44">
        <v>30663498513</v>
      </c>
      <c r="G78" s="45" t="str">
        <f>IFERROR(IF(compras_mes7[[#This Row],[CUIT]]="","-",VLOOKUP(compras_mes7[[#This Row],[CUIT]],Lista_CUIT[#All],2,0)),"CUIT NO CARGADO")</f>
        <v>GRUPO CONCES. DEL OESTE SA</v>
      </c>
      <c r="H78" s="46">
        <v>2975.19</v>
      </c>
      <c r="I78" s="436">
        <f>IF(compras_mes7[[#This Row],[NETO GRAVADO]]="","",compras_mes7[[#This Row],[NETO GRAVADO]]*0.21)</f>
        <v>624.78989999999999</v>
      </c>
      <c r="J78" s="417"/>
      <c r="K78" s="417"/>
      <c r="L78" s="417"/>
      <c r="M78" s="417">
        <v>119.01</v>
      </c>
      <c r="N78" s="417"/>
      <c r="O78" s="417"/>
      <c r="P78" s="415">
        <f>SUM(compras_mes7[[#This Row],[NETO GRAVADO]:[Otros / No Grav.]])</f>
        <v>3718.9899000000005</v>
      </c>
      <c r="Q78" s="416" t="str">
        <f>IFERROR(IF(compras_mes7[[#This Row],[CUIT]]="","-",VLOOKUP(compras_mes7[[#This Row],[CUIT]],Lista_CUIT[#All],3,0)),"CUIT NO CARGADO")</f>
        <v>PEAJE</v>
      </c>
      <c r="R78" s="416">
        <f>IFERROR(IF(compras_mes7[[#This Row],[CUIT]]="","-",VLOOKUP(compras_mes7[[#This Row],[CUIT]],Lista_CUIT[#All],4,0)),"CUIT NO CARGADO")</f>
        <v>0</v>
      </c>
    </row>
    <row r="79" spans="2:18">
      <c r="B79" s="243">
        <v>45496</v>
      </c>
      <c r="C79" s="244">
        <v>1</v>
      </c>
      <c r="D79" s="245">
        <v>5015</v>
      </c>
      <c r="E79" s="246">
        <v>628161</v>
      </c>
      <c r="F79" s="247">
        <v>30574876474</v>
      </c>
      <c r="G79" s="248" t="str">
        <f>IFERROR(IF(compras_mes7[[#This Row],[CUIT]]="","-",VLOOKUP(compras_mes7[[#This Row],[CUIT]],Lista_CUIT[#All],2,0)),"CUIT NO CARGADO")</f>
        <v>AUTOP. URBANAS SA</v>
      </c>
      <c r="H79" s="249">
        <v>17383.740000000002</v>
      </c>
      <c r="I79" s="250">
        <f>IF(compras_mes7[[#This Row],[NETO GRAVADO]]="","",compras_mes7[[#This Row],[NETO GRAVADO]]*0.21)</f>
        <v>3650.5854000000004</v>
      </c>
      <c r="J79" s="417"/>
      <c r="K79" s="417"/>
      <c r="L79" s="417"/>
      <c r="M79" s="417"/>
      <c r="N79" s="417"/>
      <c r="O79" s="417">
        <f>521.51+1738.37</f>
        <v>2259.88</v>
      </c>
      <c r="P79" s="415">
        <f>SUM(compras_mes7[[#This Row],[NETO GRAVADO]:[Otros / No Grav.]])</f>
        <v>23294.205400000003</v>
      </c>
      <c r="Q79" s="416" t="str">
        <f>IFERROR(IF(compras_mes7[[#This Row],[CUIT]]="","-",VLOOKUP(compras_mes7[[#This Row],[CUIT]],Lista_CUIT[#All],3,0)),"CUIT NO CARGADO")</f>
        <v>PEAJE</v>
      </c>
      <c r="R79" s="416">
        <f>IFERROR(IF(compras_mes7[[#This Row],[CUIT]]="","-",VLOOKUP(compras_mes7[[#This Row],[CUIT]],Lista_CUIT[#All],4,0)),"CUIT NO CARGADO")</f>
        <v>0</v>
      </c>
    </row>
    <row r="80" spans="2:18">
      <c r="B80" s="418">
        <v>45502</v>
      </c>
      <c r="C80" s="419">
        <v>1</v>
      </c>
      <c r="D80" s="420">
        <v>503</v>
      </c>
      <c r="E80" s="421">
        <v>1406043</v>
      </c>
      <c r="F80" s="422">
        <v>30639935872</v>
      </c>
      <c r="G80" s="423" t="str">
        <f>IFERROR(IF(compras_mes7[[#This Row],[CUIT]]="","-",VLOOKUP(compras_mes7[[#This Row],[CUIT]],Lista_CUIT[#All],2,0)),"CUIT NO CARGADO")</f>
        <v>CAMINOS DEL RIO URUGUAY S A DE CONSTRUCCIONES Y CONCESIONES VIALES</v>
      </c>
      <c r="H80" s="424">
        <v>2396.6999999999998</v>
      </c>
      <c r="I80" s="425">
        <f>IF(compras_mes7[[#This Row],[NETO GRAVADO]]="","",compras_mes7[[#This Row],[NETO GRAVADO]]*0.21)</f>
        <v>503.30699999999996</v>
      </c>
      <c r="J80" s="426"/>
      <c r="K80" s="426"/>
      <c r="L80" s="426"/>
      <c r="M80" s="426"/>
      <c r="N80" s="426">
        <v>95.87</v>
      </c>
      <c r="O80" s="426"/>
      <c r="P80" s="427">
        <f>SUM(compras_mes7[[#This Row],[NETO GRAVADO]:[Otros / No Grav.]])</f>
        <v>2995.8769999999995</v>
      </c>
      <c r="Q80" s="428" t="str">
        <f>IFERROR(IF(compras_mes7[[#This Row],[CUIT]]="","-",VLOOKUP(compras_mes7[[#This Row],[CUIT]],Lista_CUIT[#All],3,0)),"CUIT NO CARGADO")</f>
        <v>PEAJE</v>
      </c>
      <c r="R80" s="428">
        <f>IFERROR(IF(compras_mes7[[#This Row],[CUIT]]="","-",VLOOKUP(compras_mes7[[#This Row],[CUIT]],Lista_CUIT[#All],4,0)),"CUIT NO CARGADO")</f>
        <v>0</v>
      </c>
    </row>
    <row r="81" spans="2:18">
      <c r="B81" s="243">
        <v>45504</v>
      </c>
      <c r="C81" s="244">
        <v>1</v>
      </c>
      <c r="D81" s="245">
        <v>5015</v>
      </c>
      <c r="E81" s="246">
        <v>630494</v>
      </c>
      <c r="F81" s="247">
        <v>30574876474</v>
      </c>
      <c r="G81" s="248" t="str">
        <f>IFERROR(IF(compras_mes7[[#This Row],[CUIT]]="","-",VLOOKUP(compras_mes7[[#This Row],[CUIT]],Lista_CUIT[#All],2,0)),"CUIT NO CARGADO")</f>
        <v>AUTOP. URBANAS SA</v>
      </c>
      <c r="H81" s="249">
        <v>15636.3</v>
      </c>
      <c r="I81" s="250">
        <f>IF(compras_mes7[[#This Row],[NETO GRAVADO]]="","",compras_mes7[[#This Row],[NETO GRAVADO]]*0.21)</f>
        <v>3283.6229999999996</v>
      </c>
      <c r="J81" s="417"/>
      <c r="K81" s="417"/>
      <c r="L81" s="417"/>
      <c r="M81" s="417"/>
      <c r="N81" s="417"/>
      <c r="O81" s="417">
        <f>1563.62+469.09</f>
        <v>2032.7099999999998</v>
      </c>
      <c r="P81" s="415">
        <f>SUM(compras_mes7[[#This Row],[NETO GRAVADO]:[Otros / No Grav.]])</f>
        <v>20952.632999999998</v>
      </c>
      <c r="Q81" s="416" t="str">
        <f>IFERROR(IF(compras_mes7[[#This Row],[CUIT]]="","-",VLOOKUP(compras_mes7[[#This Row],[CUIT]],Lista_CUIT[#All],3,0)),"CUIT NO CARGADO")</f>
        <v>PEAJE</v>
      </c>
      <c r="R81" s="416">
        <f>IFERROR(IF(compras_mes7[[#This Row],[CUIT]]="","-",VLOOKUP(compras_mes7[[#This Row],[CUIT]],Lista_CUIT[#All],4,0)),"CUIT NO CARGADO")</f>
        <v>0</v>
      </c>
    </row>
    <row r="82" spans="2:18" s="429" customFormat="1">
      <c r="B82" s="40">
        <v>45476</v>
      </c>
      <c r="C82" s="244">
        <v>1</v>
      </c>
      <c r="D82" s="42">
        <v>711</v>
      </c>
      <c r="E82" s="43">
        <v>5866240</v>
      </c>
      <c r="F82" s="44">
        <v>30677237119</v>
      </c>
      <c r="G82" s="45" t="str">
        <f>IFERROR(IF(compras_mes7[[#This Row],[CUIT]]="","-",VLOOKUP(compras_mes7[[#This Row],[CUIT]],Lista_CUIT[#All],2,0)),"CUIT NO CARGADO")</f>
        <v>AUTOPISTAS DEL SOL SA</v>
      </c>
      <c r="H82" s="46">
        <v>4545.45</v>
      </c>
      <c r="I82" s="250">
        <f>IF(compras_mes7[[#This Row],[NETO GRAVADO]]="","",compras_mes7[[#This Row],[NETO GRAVADO]]*0.21)</f>
        <v>954.54449999999997</v>
      </c>
      <c r="J82" s="417"/>
      <c r="K82" s="417"/>
      <c r="L82" s="417"/>
      <c r="M82" s="417">
        <v>181.82</v>
      </c>
      <c r="N82" s="417"/>
      <c r="O82" s="417">
        <v>136.36000000000001</v>
      </c>
      <c r="P82" s="415">
        <f>SUM(compras_mes7[[#This Row],[NETO GRAVADO]:[Otros / No Grav.]])</f>
        <v>5818.1744999999992</v>
      </c>
      <c r="Q82" s="416" t="str">
        <f>IFERROR(IF(compras_mes7[[#This Row],[CUIT]]="","-",VLOOKUP(compras_mes7[[#This Row],[CUIT]],Lista_CUIT[#All],3,0)),"CUIT NO CARGADO")</f>
        <v>PEAJE</v>
      </c>
      <c r="R82" s="416">
        <f>IFERROR(IF(compras_mes7[[#This Row],[CUIT]]="","-",VLOOKUP(compras_mes7[[#This Row],[CUIT]],Lista_CUIT[#All],4,0)),"CUIT NO CARGADO")</f>
        <v>0</v>
      </c>
    </row>
    <row r="83" spans="2:18">
      <c r="B83" s="40">
        <v>45478</v>
      </c>
      <c r="C83" s="244">
        <v>1</v>
      </c>
      <c r="D83" s="42">
        <v>700</v>
      </c>
      <c r="E83" s="43">
        <v>1772163</v>
      </c>
      <c r="F83" s="44">
        <v>30715804812</v>
      </c>
      <c r="G83" s="45" t="str">
        <f>IFERROR(IF(compras_mes7[[#This Row],[CUIT]]="","-",VLOOKUP(compras_mes7[[#This Row],[CUIT]],Lista_CUIT[#All],2,0)),"CUIT NO CARGADO")</f>
        <v>CORREDORES VIALES SOCIEDAD ANONIMA</v>
      </c>
      <c r="H83" s="46">
        <v>6467.23</v>
      </c>
      <c r="I83" s="250">
        <f>IF(compras_mes7[[#This Row],[NETO GRAVADO]]="","",compras_mes7[[#This Row],[NETO GRAVADO]]*0.21)</f>
        <v>1358.1182999999999</v>
      </c>
      <c r="J83" s="417"/>
      <c r="K83" s="417"/>
      <c r="L83" s="417"/>
      <c r="M83" s="417"/>
      <c r="N83" s="417">
        <v>258.69</v>
      </c>
      <c r="O83" s="417"/>
      <c r="P83" s="415">
        <f>SUM(compras_mes7[[#This Row],[NETO GRAVADO]:[Otros / No Grav.]])</f>
        <v>8084.0382999999993</v>
      </c>
      <c r="Q83" s="416" t="str">
        <f>IFERROR(IF(compras_mes7[[#This Row],[CUIT]]="","-",VLOOKUP(compras_mes7[[#This Row],[CUIT]],Lista_CUIT[#All],3,0)),"CUIT NO CARGADO")</f>
        <v>PEAJE</v>
      </c>
      <c r="R83" s="416">
        <f>IFERROR(IF(compras_mes7[[#This Row],[CUIT]]="","-",VLOOKUP(compras_mes7[[#This Row],[CUIT]],Lista_CUIT[#All],4,0)),"CUIT NO CARGADO")</f>
        <v>0</v>
      </c>
    </row>
    <row r="84" spans="2:18">
      <c r="B84" s="243">
        <v>45492</v>
      </c>
      <c r="C84" s="244">
        <v>1</v>
      </c>
      <c r="D84" s="245">
        <v>711</v>
      </c>
      <c r="E84" s="246">
        <v>5921893</v>
      </c>
      <c r="F84" s="247">
        <v>30677237119</v>
      </c>
      <c r="G84" s="248" t="str">
        <f>IFERROR(IF(compras_mes7[[#This Row],[CUIT]]="","-",VLOOKUP(compras_mes7[[#This Row],[CUIT]],Lista_CUIT[#All],2,0)),"CUIT NO CARGADO")</f>
        <v>AUTOPISTAS DEL SOL SA</v>
      </c>
      <c r="H84" s="249">
        <v>3149.47</v>
      </c>
      <c r="I84" s="250">
        <f>IF(compras_mes7[[#This Row],[NETO GRAVADO]]="","",compras_mes7[[#This Row],[NETO GRAVADO]]*0.21)</f>
        <v>661.38869999999997</v>
      </c>
      <c r="J84" s="417"/>
      <c r="K84" s="417"/>
      <c r="L84" s="417"/>
      <c r="M84" s="417">
        <v>125.98</v>
      </c>
      <c r="N84" s="417"/>
      <c r="O84" s="417">
        <v>94.48</v>
      </c>
      <c r="P84" s="415">
        <f>SUM(compras_mes7[[#This Row],[NETO GRAVADO]:[Otros / No Grav.]])</f>
        <v>4031.3186999999998</v>
      </c>
      <c r="Q84" s="416" t="str">
        <f>IFERROR(IF(compras_mes7[[#This Row],[CUIT]]="","-",VLOOKUP(compras_mes7[[#This Row],[CUIT]],Lista_CUIT[#All],3,0)),"CUIT NO CARGADO")</f>
        <v>PEAJE</v>
      </c>
      <c r="R84" s="416">
        <f>IFERROR(IF(compras_mes7[[#This Row],[CUIT]]="","-",VLOOKUP(compras_mes7[[#This Row],[CUIT]],Lista_CUIT[#All],4,0)),"CUIT NO CARGADO")</f>
        <v>0</v>
      </c>
    </row>
    <row r="85" spans="2:18" s="429" customFormat="1">
      <c r="B85" s="243">
        <v>45495</v>
      </c>
      <c r="C85" s="244">
        <v>1</v>
      </c>
      <c r="D85" s="245">
        <v>700</v>
      </c>
      <c r="E85" s="246">
        <v>1802826</v>
      </c>
      <c r="F85" s="247">
        <v>30715804812</v>
      </c>
      <c r="G85" s="248" t="str">
        <f>IFERROR(IF(compras_mes7[[#This Row],[CUIT]]="","-",VLOOKUP(compras_mes7[[#This Row],[CUIT]],Lista_CUIT[#All],2,0)),"CUIT NO CARGADO")</f>
        <v>CORREDORES VIALES SOCIEDAD ANONIMA</v>
      </c>
      <c r="H85" s="249">
        <v>764.52</v>
      </c>
      <c r="I85" s="250">
        <f>IF(compras_mes7[[#This Row],[NETO GRAVADO]]="","",compras_mes7[[#This Row],[NETO GRAVADO]]*0.21)</f>
        <v>160.54919999999998</v>
      </c>
      <c r="J85" s="417"/>
      <c r="K85" s="417"/>
      <c r="L85" s="417"/>
      <c r="M85" s="417"/>
      <c r="N85" s="417"/>
      <c r="O85" s="417"/>
      <c r="P85" s="415">
        <f>SUM(compras_mes7[[#This Row],[NETO GRAVADO]:[Otros / No Grav.]])</f>
        <v>925.06919999999991</v>
      </c>
      <c r="Q85" s="416" t="str">
        <f>IFERROR(IF(compras_mes7[[#This Row],[CUIT]]="","-",VLOOKUP(compras_mes7[[#This Row],[CUIT]],Lista_CUIT[#All],3,0)),"CUIT NO CARGADO")</f>
        <v>PEAJE</v>
      </c>
      <c r="R85" s="416">
        <f>IFERROR(IF(compras_mes7[[#This Row],[CUIT]]="","-",VLOOKUP(compras_mes7[[#This Row],[CUIT]],Lista_CUIT[#All],4,0)),"CUIT NO CARGADO")</f>
        <v>0</v>
      </c>
    </row>
    <row r="86" spans="2:18" s="429" customFormat="1">
      <c r="B86" s="430">
        <v>45503</v>
      </c>
      <c r="C86" s="419">
        <v>1</v>
      </c>
      <c r="D86" s="431">
        <v>104</v>
      </c>
      <c r="E86" s="432">
        <v>6319523</v>
      </c>
      <c r="F86" s="433">
        <v>30715804812</v>
      </c>
      <c r="G86" s="434" t="str">
        <f>IFERROR(IF(compras_mes7[[#This Row],[CUIT]]="","-",VLOOKUP(compras_mes7[[#This Row],[CUIT]],Lista_CUIT[#All],2,0)),"CUIT NO CARGADO")</f>
        <v>CORREDORES VIALES SOCIEDAD ANONIMA</v>
      </c>
      <c r="H86" s="435">
        <v>1529.04</v>
      </c>
      <c r="I86" s="425">
        <f>IF(compras_mes7[[#This Row],[NETO GRAVADO]]="","",compras_mes7[[#This Row],[NETO GRAVADO]]*0.21)</f>
        <v>321.09839999999997</v>
      </c>
      <c r="J86" s="426"/>
      <c r="K86" s="426"/>
      <c r="L86" s="426"/>
      <c r="M86" s="426"/>
      <c r="N86" s="426">
        <v>61.16</v>
      </c>
      <c r="O86" s="426"/>
      <c r="P86" s="427">
        <f>SUM(compras_mes7[[#This Row],[NETO GRAVADO]:[Otros / No Grav.]])</f>
        <v>1911.2983999999999</v>
      </c>
      <c r="Q86" s="428" t="str">
        <f>IFERROR(IF(compras_mes7[[#This Row],[CUIT]]="","-",VLOOKUP(compras_mes7[[#This Row],[CUIT]],Lista_CUIT[#All],3,0)),"CUIT NO CARGADO")</f>
        <v>PEAJE</v>
      </c>
      <c r="R86" s="428">
        <f>IFERROR(IF(compras_mes7[[#This Row],[CUIT]]="","-",VLOOKUP(compras_mes7[[#This Row],[CUIT]],Lista_CUIT[#All],4,0)),"CUIT NO CARGADO")</f>
        <v>0</v>
      </c>
    </row>
    <row r="87" spans="2:18">
      <c r="B87" s="243">
        <v>45504</v>
      </c>
      <c r="C87" s="244">
        <v>1</v>
      </c>
      <c r="D87" s="245">
        <v>50</v>
      </c>
      <c r="E87" s="246">
        <v>3708147</v>
      </c>
      <c r="F87" s="247">
        <v>30714112836</v>
      </c>
      <c r="G87" s="248" t="str">
        <f>IFERROR(IF(compras_mes7[[#This Row],[CUIT]]="","-",VLOOKUP(compras_mes7[[#This Row],[CUIT]],Lista_CUIT[#All],2,0)),"CUIT NO CARGADO")</f>
        <v>AUTOPISTAS DE BUENOS AIRES (AUBASA) SA</v>
      </c>
      <c r="H87" s="249">
        <v>826.45</v>
      </c>
      <c r="I87" s="250">
        <f>IF(compras_mes7[[#This Row],[NETO GRAVADO]]="","",compras_mes7[[#This Row],[NETO GRAVADO]]*0.21)</f>
        <v>173.55449999999999</v>
      </c>
      <c r="J87" s="417"/>
      <c r="K87" s="417"/>
      <c r="L87" s="417"/>
      <c r="M87" s="417"/>
      <c r="N87" s="417"/>
      <c r="O87" s="417"/>
      <c r="P87" s="415">
        <f>SUM(compras_mes7[[#This Row],[NETO GRAVADO]:[Otros / No Grav.]])</f>
        <v>1000.0045</v>
      </c>
      <c r="Q87" s="416" t="str">
        <f>IFERROR(IF(compras_mes7[[#This Row],[CUIT]]="","-",VLOOKUP(compras_mes7[[#This Row],[CUIT]],Lista_CUIT[#All],3,0)),"CUIT NO CARGADO")</f>
        <v>PEAJE</v>
      </c>
      <c r="R87" s="416">
        <f>IFERROR(IF(compras_mes7[[#This Row],[CUIT]]="","-",VLOOKUP(compras_mes7[[#This Row],[CUIT]],Lista_CUIT[#All],4,0)),"CUIT NO CARGADO")</f>
        <v>0</v>
      </c>
    </row>
    <row r="88" spans="2:18">
      <c r="B88" s="243">
        <v>45476</v>
      </c>
      <c r="C88" s="244">
        <v>1</v>
      </c>
      <c r="D88" s="245">
        <v>63</v>
      </c>
      <c r="E88" s="246">
        <v>1771</v>
      </c>
      <c r="F88" s="247">
        <v>30597228984</v>
      </c>
      <c r="G88" s="248" t="str">
        <f>IFERROR(IF(compras_mes7[[#This Row],[CUIT]]="","-",VLOOKUP(compras_mes7[[#This Row],[CUIT]],Lista_CUIT[#All],2,0)),"CUIT NO CARGADO")</f>
        <v>DARC LIBERTADOR SA</v>
      </c>
      <c r="H88" s="249">
        <v>26446.28</v>
      </c>
      <c r="I88" s="250">
        <f>IF(compras_mes7[[#This Row],[NETO GRAVADO]]="","",compras_mes7[[#This Row],[NETO GRAVADO]]*0.21)</f>
        <v>5553.7187999999996</v>
      </c>
      <c r="J88" s="417"/>
      <c r="K88" s="417"/>
      <c r="L88" s="417"/>
      <c r="M88" s="417"/>
      <c r="N88" s="417"/>
      <c r="O88" s="417">
        <v>70000</v>
      </c>
      <c r="P88" s="415">
        <f>SUM(compras_mes7[[#This Row],[NETO GRAVADO]:[Otros / No Grav.]])</f>
        <v>101999.9988</v>
      </c>
      <c r="Q88" s="416" t="str">
        <f>IFERROR(IF(compras_mes7[[#This Row],[CUIT]]="","-",VLOOKUP(compras_mes7[[#This Row],[CUIT]],Lista_CUIT[#All],3,0)),"CUIT NO CARGADO")</f>
        <v>RODADO</v>
      </c>
      <c r="R88" s="416">
        <f>IFERROR(IF(compras_mes7[[#This Row],[CUIT]]="","-",VLOOKUP(compras_mes7[[#This Row],[CUIT]],Lista_CUIT[#All],4,0)),"CUIT NO CARGADO")</f>
        <v>0</v>
      </c>
    </row>
    <row r="89" spans="2:18">
      <c r="B89" s="243">
        <v>45476</v>
      </c>
      <c r="C89" s="244">
        <v>1</v>
      </c>
      <c r="D89" s="245">
        <v>63</v>
      </c>
      <c r="E89" s="246">
        <v>1770</v>
      </c>
      <c r="F89" s="247">
        <v>30597228984</v>
      </c>
      <c r="G89" s="248" t="str">
        <f>IFERROR(IF(compras_mes7[[#This Row],[CUIT]]="","-",VLOOKUP(compras_mes7[[#This Row],[CUIT]],Lista_CUIT[#All],2,0)),"CUIT NO CARGADO")</f>
        <v>DARC LIBERTADOR SA</v>
      </c>
      <c r="H89" s="249">
        <v>47963.8</v>
      </c>
      <c r="I89" s="250"/>
      <c r="J89" s="417"/>
      <c r="K89" s="417">
        <f>compras_mes7[[#This Row],[NETO GRAVADO]]*10.5/100</f>
        <v>5036.1990000000005</v>
      </c>
      <c r="L89" s="417"/>
      <c r="M89" s="417"/>
      <c r="N89" s="417"/>
      <c r="O89" s="417"/>
      <c r="P89" s="415">
        <f>SUM(compras_mes7[[#This Row],[NETO GRAVADO]:[Otros / No Grav.]])</f>
        <v>52999.999000000003</v>
      </c>
      <c r="Q89" s="416" t="str">
        <f>IFERROR(IF(compras_mes7[[#This Row],[CUIT]]="","-",VLOOKUP(compras_mes7[[#This Row],[CUIT]],Lista_CUIT[#All],3,0)),"CUIT NO CARGADO")</f>
        <v>RODADO</v>
      </c>
      <c r="R89" s="416">
        <f>IFERROR(IF(compras_mes7[[#This Row],[CUIT]]="","-",VLOOKUP(compras_mes7[[#This Row],[CUIT]],Lista_CUIT[#All],4,0)),"CUIT NO CARGADO")</f>
        <v>0</v>
      </c>
    </row>
    <row r="90" spans="2:18" s="429" customFormat="1">
      <c r="B90" s="243">
        <v>45476</v>
      </c>
      <c r="C90" s="244">
        <v>1</v>
      </c>
      <c r="D90" s="245">
        <v>63</v>
      </c>
      <c r="E90" s="246">
        <v>1769</v>
      </c>
      <c r="F90" s="247">
        <v>30597228984</v>
      </c>
      <c r="G90" s="248" t="str">
        <f>IFERROR(IF(compras_mes7[[#This Row],[CUIT]]="","-",VLOOKUP(compras_mes7[[#This Row],[CUIT]],Lista_CUIT[#All],2,0)),"CUIT NO CARGADO")</f>
        <v>DARC LIBERTADOR SA</v>
      </c>
      <c r="H90" s="249">
        <v>33001628.960000001</v>
      </c>
      <c r="I90" s="250"/>
      <c r="J90" s="417"/>
      <c r="K90" s="417">
        <f>compras_mes7[[#This Row],[NETO GRAVADO]]*10.5/100</f>
        <v>3465171.0407999996</v>
      </c>
      <c r="L90" s="417"/>
      <c r="M90" s="417"/>
      <c r="N90" s="417"/>
      <c r="O90" s="417"/>
      <c r="P90" s="415">
        <f>SUM(compras_mes7[[#This Row],[NETO GRAVADO]:[Otros / No Grav.]])</f>
        <v>36466800.000799999</v>
      </c>
      <c r="Q90" s="416" t="str">
        <f>IFERROR(IF(compras_mes7[[#This Row],[CUIT]]="","-",VLOOKUP(compras_mes7[[#This Row],[CUIT]],Lista_CUIT[#All],3,0)),"CUIT NO CARGADO")</f>
        <v>RODADO</v>
      </c>
      <c r="R90" s="416">
        <f>IFERROR(IF(compras_mes7[[#This Row],[CUIT]]="","-",VLOOKUP(compras_mes7[[#This Row],[CUIT]],Lista_CUIT[#All],4,0)),"CUIT NO CARGADO")</f>
        <v>0</v>
      </c>
    </row>
    <row r="91" spans="2:18">
      <c r="B91" s="243">
        <v>45474</v>
      </c>
      <c r="C91" s="244">
        <v>1</v>
      </c>
      <c r="D91" s="245">
        <v>3</v>
      </c>
      <c r="E91" s="246">
        <v>7626</v>
      </c>
      <c r="F91" s="247">
        <v>30526492281</v>
      </c>
      <c r="G91" s="248" t="str">
        <f>IFERROR(IF(compras_mes7[[#This Row],[CUIT]]="","-",VLOOKUP(compras_mes7[[#This Row],[CUIT]],Lista_CUIT[#All],2,0)),"CUIT NO CARGADO")</f>
        <v>CASA MAKAROVSKY S A C I I F</v>
      </c>
      <c r="H91" s="249">
        <v>323348</v>
      </c>
      <c r="I91" s="250">
        <f>IF(compras_mes7[[#This Row],[NETO GRAVADO]]="","",compras_mes7[[#This Row],[NETO GRAVADO]]*0.21)</f>
        <v>67903.08</v>
      </c>
      <c r="J91" s="417"/>
      <c r="K91" s="417"/>
      <c r="L91" s="417"/>
      <c r="M91" s="417"/>
      <c r="N91" s="417"/>
      <c r="O91" s="417"/>
      <c r="P91" s="415">
        <f>SUM(compras_mes7[[#This Row],[NETO GRAVADO]:[Otros / No Grav.]])</f>
        <v>391251.08</v>
      </c>
      <c r="Q91" s="416" t="str">
        <f>IFERROR(IF(compras_mes7[[#This Row],[CUIT]]="","-",VLOOKUP(compras_mes7[[#This Row],[CUIT]],Lista_CUIT[#All],3,0)),"CUIT NO CARGADO")</f>
        <v>Productos Ortopedicos</v>
      </c>
      <c r="R91" s="416">
        <f>IFERROR(IF(compras_mes7[[#This Row],[CUIT]]="","-",VLOOKUP(compras_mes7[[#This Row],[CUIT]],Lista_CUIT[#All],4,0)),"CUIT NO CARGADO")</f>
        <v>0</v>
      </c>
    </row>
    <row r="92" spans="2:18">
      <c r="B92" s="243">
        <v>45475</v>
      </c>
      <c r="C92" s="244">
        <v>1</v>
      </c>
      <c r="D92" s="245">
        <v>5</v>
      </c>
      <c r="E92" s="246">
        <v>1784</v>
      </c>
      <c r="F92" s="247">
        <v>30712187316</v>
      </c>
      <c r="G92" s="248" t="str">
        <f>IFERROR(IF(compras_mes7[[#This Row],[CUIT]]="","-",VLOOKUP(compras_mes7[[#This Row],[CUIT]],Lista_CUIT[#All],2,0)),"CUIT NO CARGADO")</f>
        <v>ITALOMED PRODUCTOS SRL</v>
      </c>
      <c r="H92" s="249">
        <v>324587.48</v>
      </c>
      <c r="I92" s="250">
        <f>IF(compras_mes7[[#This Row],[NETO GRAVADO]]="","",compras_mes7[[#This Row],[NETO GRAVADO]]*0.21)</f>
        <v>68163.37079999999</v>
      </c>
      <c r="J92" s="417"/>
      <c r="K92" s="417"/>
      <c r="L92" s="417"/>
      <c r="M92" s="417"/>
      <c r="N92" s="417"/>
      <c r="O92" s="417"/>
      <c r="P92" s="415">
        <f>SUM(compras_mes7[[#This Row],[NETO GRAVADO]:[Otros / No Grav.]])</f>
        <v>392750.85079999996</v>
      </c>
      <c r="Q92" s="416" t="str">
        <f>IFERROR(IF(compras_mes7[[#This Row],[CUIT]]="","-",VLOOKUP(compras_mes7[[#This Row],[CUIT]],Lista_CUIT[#All],3,0)),"CUIT NO CARGADO")</f>
        <v>Productos Ortopedicos</v>
      </c>
      <c r="R92" s="416">
        <f>IFERROR(IF(compras_mes7[[#This Row],[CUIT]]="","-",VLOOKUP(compras_mes7[[#This Row],[CUIT]],Lista_CUIT[#All],4,0)),"CUIT NO CARGADO")</f>
        <v>0</v>
      </c>
    </row>
    <row r="93" spans="2:18">
      <c r="B93" s="40">
        <v>45477</v>
      </c>
      <c r="C93" s="244">
        <v>1</v>
      </c>
      <c r="D93" s="42">
        <v>5</v>
      </c>
      <c r="E93" s="43">
        <v>1791</v>
      </c>
      <c r="F93" s="44">
        <v>30712187316</v>
      </c>
      <c r="G93" s="45" t="str">
        <f>IFERROR(IF(compras_mes7[[#This Row],[CUIT]]="","-",VLOOKUP(compras_mes7[[#This Row],[CUIT]],Lista_CUIT[#All],2,0)),"CUIT NO CARGADO")</f>
        <v>ITALOMED PRODUCTOS SRL</v>
      </c>
      <c r="H93" s="46">
        <v>299267.03999999998</v>
      </c>
      <c r="I93" s="250">
        <f>IF(compras_mes7[[#This Row],[NETO GRAVADO]]="","",compras_mes7[[#This Row],[NETO GRAVADO]]*0.21)</f>
        <v>62846.078399999991</v>
      </c>
      <c r="J93" s="417"/>
      <c r="K93" s="417"/>
      <c r="L93" s="417"/>
      <c r="M93" s="417"/>
      <c r="N93" s="417"/>
      <c r="O93" s="417"/>
      <c r="P93" s="415">
        <f>SUM(compras_mes7[[#This Row],[NETO GRAVADO]:[Otros / No Grav.]])</f>
        <v>362113.11839999998</v>
      </c>
      <c r="Q93" s="416" t="str">
        <f>IFERROR(IF(compras_mes7[[#This Row],[CUIT]]="","-",VLOOKUP(compras_mes7[[#This Row],[CUIT]],Lista_CUIT[#All],3,0)),"CUIT NO CARGADO")</f>
        <v>Productos Ortopedicos</v>
      </c>
      <c r="R93" s="416">
        <f>IFERROR(IF(compras_mes7[[#This Row],[CUIT]]="","-",VLOOKUP(compras_mes7[[#This Row],[CUIT]],Lista_CUIT[#All],4,0)),"CUIT NO CARGADO")</f>
        <v>0</v>
      </c>
    </row>
    <row r="94" spans="2:18">
      <c r="B94" s="243">
        <v>45477</v>
      </c>
      <c r="C94" s="244">
        <v>1</v>
      </c>
      <c r="D94" s="245">
        <v>2</v>
      </c>
      <c r="E94" s="246">
        <v>620</v>
      </c>
      <c r="F94" s="247">
        <v>20272865869</v>
      </c>
      <c r="G94" s="248" t="str">
        <f>IFERROR(IF(compras_mes7[[#This Row],[CUIT]]="","-",VLOOKUP(compras_mes7[[#This Row],[CUIT]],Lista_CUIT[#All],2,0)),"CUIT NO CARGADO")</f>
        <v>DI FEO MARTIN EZEQUIEL</v>
      </c>
      <c r="H94" s="249">
        <v>68690</v>
      </c>
      <c r="I94" s="250">
        <f>IF(compras_mes7[[#This Row],[NETO GRAVADO]]="","",compras_mes7[[#This Row],[NETO GRAVADO]]*0.21)</f>
        <v>14424.9</v>
      </c>
      <c r="J94" s="417"/>
      <c r="K94" s="417"/>
      <c r="L94" s="417"/>
      <c r="M94" s="417"/>
      <c r="N94" s="417"/>
      <c r="O94" s="417"/>
      <c r="P94" s="415">
        <f>SUM(compras_mes7[[#This Row],[NETO GRAVADO]:[Otros / No Grav.]])</f>
        <v>83114.899999999994</v>
      </c>
      <c r="Q94" s="416" t="str">
        <f>IFERROR(IF(compras_mes7[[#This Row],[CUIT]]="","-",VLOOKUP(compras_mes7[[#This Row],[CUIT]],Lista_CUIT[#All],3,0)),"CUIT NO CARGADO")</f>
        <v>Productos Ortopedicos</v>
      </c>
      <c r="R94" s="416">
        <f>IFERROR(IF(compras_mes7[[#This Row],[CUIT]]="","-",VLOOKUP(compras_mes7[[#This Row],[CUIT]],Lista_CUIT[#All],4,0)),"CUIT NO CARGADO")</f>
        <v>0</v>
      </c>
    </row>
    <row r="95" spans="2:18" s="429" customFormat="1">
      <c r="B95" s="243">
        <v>45478</v>
      </c>
      <c r="C95" s="244">
        <v>1</v>
      </c>
      <c r="D95" s="245">
        <v>5</v>
      </c>
      <c r="E95" s="246">
        <v>1796</v>
      </c>
      <c r="F95" s="247">
        <v>30712187316</v>
      </c>
      <c r="G95" s="248" t="str">
        <f>IFERROR(IF(compras_mes7[[#This Row],[CUIT]]="","-",VLOOKUP(compras_mes7[[#This Row],[CUIT]],Lista_CUIT[#All],2,0)),"CUIT NO CARGADO")</f>
        <v>ITALOMED PRODUCTOS SRL</v>
      </c>
      <c r="H95" s="249">
        <v>302546.78999999998</v>
      </c>
      <c r="I95" s="250">
        <f>IF(compras_mes7[[#This Row],[NETO GRAVADO]]="","",compras_mes7[[#This Row],[NETO GRAVADO]]*0.21)</f>
        <v>63534.825899999996</v>
      </c>
      <c r="J95" s="417"/>
      <c r="K95" s="417"/>
      <c r="L95" s="417"/>
      <c r="M95" s="417"/>
      <c r="N95" s="417"/>
      <c r="O95" s="417"/>
      <c r="P95" s="415">
        <f>SUM(compras_mes7[[#This Row],[NETO GRAVADO]:[Otros / No Grav.]])</f>
        <v>366081.61589999998</v>
      </c>
      <c r="Q95" s="416" t="str">
        <f>IFERROR(IF(compras_mes7[[#This Row],[CUIT]]="","-",VLOOKUP(compras_mes7[[#This Row],[CUIT]],Lista_CUIT[#All],3,0)),"CUIT NO CARGADO")</f>
        <v>Productos Ortopedicos</v>
      </c>
      <c r="R95" s="416">
        <f>IFERROR(IF(compras_mes7[[#This Row],[CUIT]]="","-",VLOOKUP(compras_mes7[[#This Row],[CUIT]],Lista_CUIT[#All],4,0)),"CUIT NO CARGADO")</f>
        <v>0</v>
      </c>
    </row>
    <row r="96" spans="2:18">
      <c r="B96" s="243">
        <v>45478</v>
      </c>
      <c r="C96" s="244">
        <v>1</v>
      </c>
      <c r="D96" s="245">
        <v>5</v>
      </c>
      <c r="E96" s="246">
        <v>1795</v>
      </c>
      <c r="F96" s="247">
        <v>30712187316</v>
      </c>
      <c r="G96" s="248" t="str">
        <f>IFERROR(IF(compras_mes7[[#This Row],[CUIT]]="","-",VLOOKUP(compras_mes7[[#This Row],[CUIT]],Lista_CUIT[#All],2,0)),"CUIT NO CARGADO")</f>
        <v>ITALOMED PRODUCTOS SRL</v>
      </c>
      <c r="H96" s="249">
        <v>346836.67</v>
      </c>
      <c r="I96" s="250">
        <f>IF(compras_mes7[[#This Row],[NETO GRAVADO]]="","",compras_mes7[[#This Row],[NETO GRAVADO]]*0.21)</f>
        <v>72835.700699999987</v>
      </c>
      <c r="J96" s="417"/>
      <c r="K96" s="417"/>
      <c r="L96" s="417"/>
      <c r="M96" s="417"/>
      <c r="N96" s="417"/>
      <c r="O96" s="417"/>
      <c r="P96" s="415">
        <f>SUM(compras_mes7[[#This Row],[NETO GRAVADO]:[Otros / No Grav.]])</f>
        <v>419672.37069999997</v>
      </c>
      <c r="Q96" s="416" t="str">
        <f>IFERROR(IF(compras_mes7[[#This Row],[CUIT]]="","-",VLOOKUP(compras_mes7[[#This Row],[CUIT]],Lista_CUIT[#All],3,0)),"CUIT NO CARGADO")</f>
        <v>Productos Ortopedicos</v>
      </c>
      <c r="R96" s="416">
        <f>IFERROR(IF(compras_mes7[[#This Row],[CUIT]]="","-",VLOOKUP(compras_mes7[[#This Row],[CUIT]],Lista_CUIT[#All],4,0)),"CUIT NO CARGADO")</f>
        <v>0</v>
      </c>
    </row>
    <row r="97" spans="2:18">
      <c r="B97" s="243">
        <v>45483</v>
      </c>
      <c r="C97" s="244">
        <v>1</v>
      </c>
      <c r="D97" s="245">
        <v>8</v>
      </c>
      <c r="E97" s="246">
        <v>1659</v>
      </c>
      <c r="F97" s="247">
        <v>30708973501</v>
      </c>
      <c r="G97" s="248" t="str">
        <f>IFERROR(IF(compras_mes7[[#This Row],[CUIT]]="","-",VLOOKUP(compras_mes7[[#This Row],[CUIT]],Lista_CUIT[#All],2,0)),"CUIT NO CARGADO")</f>
        <v>ASIAL SRL</v>
      </c>
      <c r="H97" s="249">
        <v>720517</v>
      </c>
      <c r="I97" s="250">
        <f>IF(compras_mes7[[#This Row],[NETO GRAVADO]]="","",compras_mes7[[#This Row],[NETO GRAVADO]]*0.21)</f>
        <v>151308.57</v>
      </c>
      <c r="J97" s="417"/>
      <c r="K97" s="417"/>
      <c r="L97" s="417"/>
      <c r="M97" s="417"/>
      <c r="N97" s="417"/>
      <c r="O97" s="417"/>
      <c r="P97" s="415">
        <f>SUM(compras_mes7[[#This Row],[NETO GRAVADO]:[Otros / No Grav.]])</f>
        <v>871825.57000000007</v>
      </c>
      <c r="Q97" s="416" t="str">
        <f>IFERROR(IF(compras_mes7[[#This Row],[CUIT]]="","-",VLOOKUP(compras_mes7[[#This Row],[CUIT]],Lista_CUIT[#All],3,0)),"CUIT NO CARGADO")</f>
        <v>Productos Ortopedicos</v>
      </c>
      <c r="R97" s="416">
        <f>IFERROR(IF(compras_mes7[[#This Row],[CUIT]]="","-",VLOOKUP(compras_mes7[[#This Row],[CUIT]],Lista_CUIT[#All],4,0)),"CUIT NO CARGADO")</f>
        <v>0</v>
      </c>
    </row>
    <row r="98" spans="2:18">
      <c r="B98" s="243">
        <v>45484</v>
      </c>
      <c r="C98" s="244">
        <v>1</v>
      </c>
      <c r="D98" s="245">
        <v>2</v>
      </c>
      <c r="E98" s="246">
        <v>631</v>
      </c>
      <c r="F98" s="247">
        <v>20272865869</v>
      </c>
      <c r="G98" s="248" t="str">
        <f>IFERROR(IF(compras_mes7[[#This Row],[CUIT]]="","-",VLOOKUP(compras_mes7[[#This Row],[CUIT]],Lista_CUIT[#All],2,0)),"CUIT NO CARGADO")</f>
        <v>DI FEO MARTIN EZEQUIEL</v>
      </c>
      <c r="H98" s="249">
        <v>112550</v>
      </c>
      <c r="I98" s="250">
        <f>IF(compras_mes7[[#This Row],[NETO GRAVADO]]="","",compras_mes7[[#This Row],[NETO GRAVADO]]*0.21)</f>
        <v>23635.5</v>
      </c>
      <c r="J98" s="417"/>
      <c r="K98" s="417"/>
      <c r="L98" s="417"/>
      <c r="M98" s="417"/>
      <c r="N98" s="417"/>
      <c r="O98" s="417"/>
      <c r="P98" s="415">
        <f>SUM(compras_mes7[[#This Row],[NETO GRAVADO]:[Otros / No Grav.]])</f>
        <v>136185.5</v>
      </c>
      <c r="Q98" s="416" t="str">
        <f>IFERROR(IF(compras_mes7[[#This Row],[CUIT]]="","-",VLOOKUP(compras_mes7[[#This Row],[CUIT]],Lista_CUIT[#All],3,0)),"CUIT NO CARGADO")</f>
        <v>Productos Ortopedicos</v>
      </c>
      <c r="R98" s="416">
        <f>IFERROR(IF(compras_mes7[[#This Row],[CUIT]]="","-",VLOOKUP(compras_mes7[[#This Row],[CUIT]],Lista_CUIT[#All],4,0)),"CUIT NO CARGADO")</f>
        <v>0</v>
      </c>
    </row>
    <row r="99" spans="2:18">
      <c r="B99" s="243">
        <v>45488</v>
      </c>
      <c r="C99" s="244">
        <v>1</v>
      </c>
      <c r="D99" s="245">
        <v>5</v>
      </c>
      <c r="E99" s="246">
        <v>1808</v>
      </c>
      <c r="F99" s="247">
        <v>30712187316</v>
      </c>
      <c r="G99" s="248" t="str">
        <f>IFERROR(IF(compras_mes7[[#This Row],[CUIT]]="","-",VLOOKUP(compras_mes7[[#This Row],[CUIT]],Lista_CUIT[#All],2,0)),"CUIT NO CARGADO")</f>
        <v>ITALOMED PRODUCTOS SRL</v>
      </c>
      <c r="H99" s="249">
        <v>244292.52</v>
      </c>
      <c r="I99" s="250">
        <f>IF(compras_mes7[[#This Row],[NETO GRAVADO]]="","",compras_mes7[[#This Row],[NETO GRAVADO]]*0.21)</f>
        <v>51301.429199999999</v>
      </c>
      <c r="J99" s="417"/>
      <c r="K99" s="417"/>
      <c r="L99" s="417"/>
      <c r="M99" s="417"/>
      <c r="N99" s="417"/>
      <c r="O99" s="417"/>
      <c r="P99" s="415">
        <f>SUM(compras_mes7[[#This Row],[NETO GRAVADO]:[Otros / No Grav.]])</f>
        <v>295593.94919999997</v>
      </c>
      <c r="Q99" s="416" t="str">
        <f>IFERROR(IF(compras_mes7[[#This Row],[CUIT]]="","-",VLOOKUP(compras_mes7[[#This Row],[CUIT]],Lista_CUIT[#All],3,0)),"CUIT NO CARGADO")</f>
        <v>Productos Ortopedicos</v>
      </c>
      <c r="R99" s="416">
        <f>IFERROR(IF(compras_mes7[[#This Row],[CUIT]]="","-",VLOOKUP(compras_mes7[[#This Row],[CUIT]],Lista_CUIT[#All],4,0)),"CUIT NO CARGADO")</f>
        <v>0</v>
      </c>
    </row>
    <row r="100" spans="2:18">
      <c r="B100" s="243">
        <v>45490</v>
      </c>
      <c r="C100" s="244">
        <v>1</v>
      </c>
      <c r="D100" s="245">
        <v>5</v>
      </c>
      <c r="E100" s="246">
        <v>1816</v>
      </c>
      <c r="F100" s="247">
        <v>30712187316</v>
      </c>
      <c r="G100" s="248" t="str">
        <f>IFERROR(IF(compras_mes7[[#This Row],[CUIT]]="","-",VLOOKUP(compras_mes7[[#This Row],[CUIT]],Lista_CUIT[#All],2,0)),"CUIT NO CARGADO")</f>
        <v>ITALOMED PRODUCTOS SRL</v>
      </c>
      <c r="H100" s="249">
        <v>304974.93</v>
      </c>
      <c r="I100" s="250">
        <f>IF(compras_mes7[[#This Row],[NETO GRAVADO]]="","",compras_mes7[[#This Row],[NETO GRAVADO]]*0.21)</f>
        <v>64044.735299999993</v>
      </c>
      <c r="J100" s="417"/>
      <c r="K100" s="417"/>
      <c r="L100" s="417"/>
      <c r="M100" s="417"/>
      <c r="N100" s="417"/>
      <c r="O100" s="417"/>
      <c r="P100" s="415">
        <f>SUM(compras_mes7[[#This Row],[NETO GRAVADO]:[Otros / No Grav.]])</f>
        <v>369019.66529999999</v>
      </c>
      <c r="Q100" s="416" t="str">
        <f>IFERROR(IF(compras_mes7[[#This Row],[CUIT]]="","-",VLOOKUP(compras_mes7[[#This Row],[CUIT]],Lista_CUIT[#All],3,0)),"CUIT NO CARGADO")</f>
        <v>Productos Ortopedicos</v>
      </c>
      <c r="R100" s="416">
        <f>IFERROR(IF(compras_mes7[[#This Row],[CUIT]]="","-",VLOOKUP(compras_mes7[[#This Row],[CUIT]],Lista_CUIT[#All],4,0)),"CUIT NO CARGADO")</f>
        <v>0</v>
      </c>
    </row>
    <row r="101" spans="2:18">
      <c r="B101" s="243">
        <v>45491</v>
      </c>
      <c r="C101" s="244">
        <v>1</v>
      </c>
      <c r="D101" s="245">
        <v>2</v>
      </c>
      <c r="E101" s="246">
        <v>652</v>
      </c>
      <c r="F101" s="247">
        <v>20272865869</v>
      </c>
      <c r="G101" s="248" t="str">
        <f>IFERROR(IF(compras_mes7[[#This Row],[CUIT]]="","-",VLOOKUP(compras_mes7[[#This Row],[CUIT]],Lista_CUIT[#All],2,0)),"CUIT NO CARGADO")</f>
        <v>DI FEO MARTIN EZEQUIEL</v>
      </c>
      <c r="H101" s="249">
        <v>154557.51999999999</v>
      </c>
      <c r="I101" s="250">
        <f>IF(compras_mes7[[#This Row],[NETO GRAVADO]]="","",compras_mes7[[#This Row],[NETO GRAVADO]]*0.21)</f>
        <v>32457.079199999996</v>
      </c>
      <c r="J101" s="417"/>
      <c r="K101" s="417"/>
      <c r="L101" s="417"/>
      <c r="M101" s="417"/>
      <c r="N101" s="417"/>
      <c r="O101" s="417"/>
      <c r="P101" s="415">
        <f>SUM(compras_mes7[[#This Row],[NETO GRAVADO]:[Otros / No Grav.]])</f>
        <v>187014.5992</v>
      </c>
      <c r="Q101" s="416" t="str">
        <f>IFERROR(IF(compras_mes7[[#This Row],[CUIT]]="","-",VLOOKUP(compras_mes7[[#This Row],[CUIT]],Lista_CUIT[#All],3,0)),"CUIT NO CARGADO")</f>
        <v>Productos Ortopedicos</v>
      </c>
      <c r="R101" s="416">
        <f>IFERROR(IF(compras_mes7[[#This Row],[CUIT]]="","-",VLOOKUP(compras_mes7[[#This Row],[CUIT]],Lista_CUIT[#All],4,0)),"CUIT NO CARGADO")</f>
        <v>0</v>
      </c>
    </row>
    <row r="102" spans="2:18">
      <c r="B102" s="40">
        <v>45496</v>
      </c>
      <c r="C102" s="244">
        <v>1</v>
      </c>
      <c r="D102" s="42">
        <v>5</v>
      </c>
      <c r="E102" s="43">
        <v>1829</v>
      </c>
      <c r="F102" s="44">
        <v>30712187316</v>
      </c>
      <c r="G102" s="45" t="str">
        <f>IFERROR(IF(compras_mes7[[#This Row],[CUIT]]="","-",VLOOKUP(compras_mes7[[#This Row],[CUIT]],Lista_CUIT[#All],2,0)),"CUIT NO CARGADO")</f>
        <v>ITALOMED PRODUCTOS SRL</v>
      </c>
      <c r="H102" s="46">
        <v>44834.92</v>
      </c>
      <c r="I102" s="250">
        <f>IF(compras_mes7[[#This Row],[NETO GRAVADO]]="","",compras_mes7[[#This Row],[NETO GRAVADO]]*0.21)</f>
        <v>9415.3331999999991</v>
      </c>
      <c r="J102" s="417"/>
      <c r="K102" s="417"/>
      <c r="L102" s="417"/>
      <c r="M102" s="417"/>
      <c r="N102" s="417"/>
      <c r="O102" s="417"/>
      <c r="P102" s="415">
        <f>SUM(compras_mes7[[#This Row],[NETO GRAVADO]:[Otros / No Grav.]])</f>
        <v>54250.253199999999</v>
      </c>
      <c r="Q102" s="416" t="str">
        <f>IFERROR(IF(compras_mes7[[#This Row],[CUIT]]="","-",VLOOKUP(compras_mes7[[#This Row],[CUIT]],Lista_CUIT[#All],3,0)),"CUIT NO CARGADO")</f>
        <v>Productos Ortopedicos</v>
      </c>
      <c r="R102" s="416">
        <f>IFERROR(IF(compras_mes7[[#This Row],[CUIT]]="","-",VLOOKUP(compras_mes7[[#This Row],[CUIT]],Lista_CUIT[#All],4,0)),"CUIT NO CARGADO")</f>
        <v>0</v>
      </c>
    </row>
    <row r="103" spans="2:18">
      <c r="B103" s="243">
        <v>45497</v>
      </c>
      <c r="C103" s="244">
        <v>1</v>
      </c>
      <c r="D103" s="245">
        <v>7</v>
      </c>
      <c r="E103" s="246">
        <v>28746</v>
      </c>
      <c r="F103" s="247">
        <v>20271532483</v>
      </c>
      <c r="G103" s="248" t="str">
        <f>IFERROR(IF(compras_mes7[[#This Row],[CUIT]]="","-",VLOOKUP(compras_mes7[[#This Row],[CUIT]],Lista_CUIT[#All],2,0)),"CUIT NO CARGADO")</f>
        <v>DIEGO MARTIN RIOS</v>
      </c>
      <c r="H103" s="249">
        <v>13915</v>
      </c>
      <c r="I103" s="250">
        <f>IF(compras_mes7[[#This Row],[NETO GRAVADO]]="","",compras_mes7[[#This Row],[NETO GRAVADO]]*0.21)</f>
        <v>2922.15</v>
      </c>
      <c r="J103" s="417"/>
      <c r="K103" s="417"/>
      <c r="L103" s="417"/>
      <c r="M103" s="417"/>
      <c r="N103" s="417">
        <v>556.6</v>
      </c>
      <c r="O103" s="417"/>
      <c r="P103" s="415">
        <f>SUM(compras_mes7[[#This Row],[NETO GRAVADO]:[Otros / No Grav.]])</f>
        <v>17393.75</v>
      </c>
      <c r="Q103" s="416" t="str">
        <f>IFERROR(IF(compras_mes7[[#This Row],[CUIT]]="","-",VLOOKUP(compras_mes7[[#This Row],[CUIT]],Lista_CUIT[#All],3,0)),"CUIT NO CARGADO")</f>
        <v>Productos Ortopedicos</v>
      </c>
      <c r="R103" s="416">
        <f>IFERROR(IF(compras_mes7[[#This Row],[CUIT]]="","-",VLOOKUP(compras_mes7[[#This Row],[CUIT]],Lista_CUIT[#All],4,0)),"CUIT NO CARGADO")</f>
        <v>0</v>
      </c>
    </row>
    <row r="104" spans="2:18" ht="15.75" customHeight="1">
      <c r="B104" s="40">
        <v>45498</v>
      </c>
      <c r="C104" s="244">
        <v>1</v>
      </c>
      <c r="D104" s="42">
        <v>2</v>
      </c>
      <c r="E104" s="43">
        <v>667</v>
      </c>
      <c r="F104" s="44">
        <v>20272865869</v>
      </c>
      <c r="G104" s="45" t="str">
        <f>IFERROR(IF(compras_mes7[[#This Row],[CUIT]]="","-",VLOOKUP(compras_mes7[[#This Row],[CUIT]],Lista_CUIT[#All],2,0)),"CUIT NO CARGADO")</f>
        <v>DI FEO MARTIN EZEQUIEL</v>
      </c>
      <c r="H104" s="46">
        <v>183460</v>
      </c>
      <c r="I104" s="250">
        <f>IF(compras_mes7[[#This Row],[NETO GRAVADO]]="","",compras_mes7[[#This Row],[NETO GRAVADO]]*0.21)</f>
        <v>38526.6</v>
      </c>
      <c r="J104" s="417"/>
      <c r="K104" s="417"/>
      <c r="L104" s="417"/>
      <c r="M104" s="417"/>
      <c r="N104" s="417"/>
      <c r="O104" s="417"/>
      <c r="P104" s="415">
        <f>SUM(compras_mes7[[#This Row],[NETO GRAVADO]:[Otros / No Grav.]])</f>
        <v>221986.6</v>
      </c>
      <c r="Q104" s="416" t="str">
        <f>IFERROR(IF(compras_mes7[[#This Row],[CUIT]]="","-",VLOOKUP(compras_mes7[[#This Row],[CUIT]],Lista_CUIT[#All],3,0)),"CUIT NO CARGADO")</f>
        <v>Productos Ortopedicos</v>
      </c>
      <c r="R104" s="416">
        <f>IFERROR(IF(compras_mes7[[#This Row],[CUIT]]="","-",VLOOKUP(compras_mes7[[#This Row],[CUIT]],Lista_CUIT[#All],4,0)),"CUIT NO CARGADO")</f>
        <v>0</v>
      </c>
    </row>
    <row r="105" spans="2:18">
      <c r="B105" s="418">
        <v>45499</v>
      </c>
      <c r="C105" s="419">
        <v>1</v>
      </c>
      <c r="D105" s="420">
        <v>7</v>
      </c>
      <c r="E105" s="421">
        <v>1247</v>
      </c>
      <c r="F105" s="422">
        <v>30712187316</v>
      </c>
      <c r="G105" s="423" t="str">
        <f>IFERROR(IF(compras_mes7[[#This Row],[CUIT]]="","-",VLOOKUP(compras_mes7[[#This Row],[CUIT]],Lista_CUIT[#All],2,0)),"CUIT NO CARGADO")</f>
        <v>ITALOMED PRODUCTOS SRL</v>
      </c>
      <c r="H105" s="424">
        <v>117224.59</v>
      </c>
      <c r="I105" s="425">
        <f>IF(compras_mes7[[#This Row],[NETO GRAVADO]]="","",compras_mes7[[#This Row],[NETO GRAVADO]]*0.21)</f>
        <v>24617.1639</v>
      </c>
      <c r="J105" s="426"/>
      <c r="K105" s="426"/>
      <c r="L105" s="426"/>
      <c r="M105" s="426"/>
      <c r="N105" s="426"/>
      <c r="O105" s="426"/>
      <c r="P105" s="427">
        <f>SUM(compras_mes7[[#This Row],[NETO GRAVADO]:[Otros / No Grav.]])</f>
        <v>141841.75390000001</v>
      </c>
      <c r="Q105" s="428" t="str">
        <f>IFERROR(IF(compras_mes7[[#This Row],[CUIT]]="","-",VLOOKUP(compras_mes7[[#This Row],[CUIT]],Lista_CUIT[#All],3,0)),"CUIT NO CARGADO")</f>
        <v>Productos Ortopedicos</v>
      </c>
      <c r="R105" s="428">
        <f>IFERROR(IF(compras_mes7[[#This Row],[CUIT]]="","-",VLOOKUP(compras_mes7[[#This Row],[CUIT]],Lista_CUIT[#All],4,0)),"CUIT NO CARGADO")</f>
        <v>0</v>
      </c>
    </row>
    <row r="106" spans="2:18">
      <c r="B106" s="243">
        <v>45503</v>
      </c>
      <c r="C106" s="244">
        <v>1</v>
      </c>
      <c r="D106" s="245">
        <v>8</v>
      </c>
      <c r="E106" s="246">
        <v>296</v>
      </c>
      <c r="F106" s="247">
        <v>30643518364</v>
      </c>
      <c r="G106" s="248" t="str">
        <f>IFERROR(IF(compras_mes7[[#This Row],[CUIT]]="","-",VLOOKUP(compras_mes7[[#This Row],[CUIT]],Lista_CUIT[#All],2,0)),"CUIT NO CARGADO")</f>
        <v>FARMACIA DE MEDRANO SCS</v>
      </c>
      <c r="H106" s="249">
        <v>336840</v>
      </c>
      <c r="I106" s="250">
        <f>IF(compras_mes7[[#This Row],[NETO GRAVADO]]="","",compras_mes7[[#This Row],[NETO GRAVADO]]*0.21)</f>
        <v>70736.399999999994</v>
      </c>
      <c r="J106" s="417"/>
      <c r="K106" s="417"/>
      <c r="L106" s="417"/>
      <c r="M106" s="417"/>
      <c r="N106" s="417"/>
      <c r="O106" s="417"/>
      <c r="P106" s="415">
        <f>SUM(compras_mes7[[#This Row],[NETO GRAVADO]:[Otros / No Grav.]])</f>
        <v>407576.4</v>
      </c>
      <c r="Q106" s="416" t="str">
        <f>IFERROR(IF(compras_mes7[[#This Row],[CUIT]]="","-",VLOOKUP(compras_mes7[[#This Row],[CUIT]],Lista_CUIT[#All],3,0)),"CUIT NO CARGADO")</f>
        <v>Productos Ortopedicos</v>
      </c>
      <c r="R106" s="416">
        <f>IFERROR(IF(compras_mes7[[#This Row],[CUIT]]="","-",VLOOKUP(compras_mes7[[#This Row],[CUIT]],Lista_CUIT[#All],4,0)),"CUIT NO CARGADO")</f>
        <v>0</v>
      </c>
    </row>
    <row r="107" spans="2:18">
      <c r="B107" s="243">
        <v>45496</v>
      </c>
      <c r="C107" s="244">
        <v>1</v>
      </c>
      <c r="D107" s="245">
        <v>4</v>
      </c>
      <c r="E107" s="246">
        <v>124</v>
      </c>
      <c r="F107" s="247">
        <v>20317488476</v>
      </c>
      <c r="G107" s="248" t="str">
        <f>IFERROR(IF(compras_mes7[[#This Row],[CUIT]]="","-",VLOOKUP(compras_mes7[[#This Row],[CUIT]],Lista_CUIT[#All],2,0)),"CUIT NO CARGADO")</f>
        <v>MIGUEL ANGEL VILLALBA</v>
      </c>
      <c r="H107" s="249">
        <v>1750000</v>
      </c>
      <c r="I107" s="250">
        <f>IF(compras_mes7[[#This Row],[NETO GRAVADO]]="","",compras_mes7[[#This Row],[NETO GRAVADO]]*0.21)</f>
        <v>367500</v>
      </c>
      <c r="J107" s="417"/>
      <c r="K107" s="417"/>
      <c r="L107" s="417"/>
      <c r="M107" s="417"/>
      <c r="N107" s="417"/>
      <c r="O107" s="417"/>
      <c r="P107" s="415">
        <f>SUM(compras_mes7[[#This Row],[NETO GRAVADO]:[Otros / No Grav.]])</f>
        <v>2117500</v>
      </c>
      <c r="Q107" s="416" t="str">
        <f>IFERROR(IF(compras_mes7[[#This Row],[CUIT]]="","-",VLOOKUP(compras_mes7[[#This Row],[CUIT]],Lista_CUIT[#All],3,0)),"CUIT NO CARGADO")</f>
        <v>Recupero P. Ortopedicos</v>
      </c>
      <c r="R107" s="416">
        <f>IFERROR(IF(compras_mes7[[#This Row],[CUIT]]="","-",VLOOKUP(compras_mes7[[#This Row],[CUIT]],Lista_CUIT[#All],4,0)),"CUIT NO CARGADO")</f>
        <v>0</v>
      </c>
    </row>
    <row r="108" spans="2:18">
      <c r="B108" s="40">
        <v>45498</v>
      </c>
      <c r="C108" s="244">
        <v>1</v>
      </c>
      <c r="D108" s="42">
        <v>4</v>
      </c>
      <c r="E108" s="43">
        <v>125</v>
      </c>
      <c r="F108" s="44">
        <v>20317488476</v>
      </c>
      <c r="G108" s="45" t="str">
        <f>IFERROR(IF(compras_mes7[[#This Row],[CUIT]]="","-",VLOOKUP(compras_mes7[[#This Row],[CUIT]],Lista_CUIT[#All],2,0)),"CUIT NO CARGADO")</f>
        <v>MIGUEL ANGEL VILLALBA</v>
      </c>
      <c r="H108" s="46">
        <v>900000</v>
      </c>
      <c r="I108" s="250">
        <f>IF(compras_mes7[[#This Row],[NETO GRAVADO]]="","",compras_mes7[[#This Row],[NETO GRAVADO]]*0.21)</f>
        <v>189000</v>
      </c>
      <c r="J108" s="417"/>
      <c r="K108" s="417"/>
      <c r="L108" s="417"/>
      <c r="M108" s="417"/>
      <c r="N108" s="417"/>
      <c r="O108" s="417"/>
      <c r="P108" s="415">
        <f>SUM(compras_mes7[[#This Row],[NETO GRAVADO]:[Otros / No Grav.]])</f>
        <v>1089000</v>
      </c>
      <c r="Q108" s="416" t="str">
        <f>IFERROR(IF(compras_mes7[[#This Row],[CUIT]]="","-",VLOOKUP(compras_mes7[[#This Row],[CUIT]],Lista_CUIT[#All],3,0)),"CUIT NO CARGADO")</f>
        <v>Recupero P. Ortopedicos</v>
      </c>
      <c r="R108" s="416">
        <f>IFERROR(IF(compras_mes7[[#This Row],[CUIT]]="","-",VLOOKUP(compras_mes7[[#This Row],[CUIT]],Lista_CUIT[#All],4,0)),"CUIT NO CARGADO")</f>
        <v>0</v>
      </c>
    </row>
    <row r="109" spans="2:18">
      <c r="B109" s="243">
        <v>45499</v>
      </c>
      <c r="C109" s="244">
        <v>1</v>
      </c>
      <c r="D109" s="245">
        <v>2</v>
      </c>
      <c r="E109" s="246">
        <v>21</v>
      </c>
      <c r="F109" s="247">
        <v>27243660535</v>
      </c>
      <c r="G109" s="248" t="str">
        <f>IFERROR(IF(compras_mes7[[#This Row],[CUIT]]="","-",VLOOKUP(compras_mes7[[#This Row],[CUIT]],Lista_CUIT[#All],2,0)),"CUIT NO CARGADO")</f>
        <v>BARD MARISA SILVIA</v>
      </c>
      <c r="H109" s="249">
        <v>360000</v>
      </c>
      <c r="I109" s="250">
        <f>IF(compras_mes7[[#This Row],[NETO GRAVADO]]="","",compras_mes7[[#This Row],[NETO GRAVADO]]*0.21)</f>
        <v>75600</v>
      </c>
      <c r="J109" s="417"/>
      <c r="K109" s="417"/>
      <c r="L109" s="417"/>
      <c r="M109" s="417"/>
      <c r="N109" s="417"/>
      <c r="O109" s="417"/>
      <c r="P109" s="415">
        <f>SUM(compras_mes7[[#This Row],[NETO GRAVADO]:[Otros / No Grav.]])</f>
        <v>435600</v>
      </c>
      <c r="Q109" s="416" t="str">
        <f>IFERROR(IF(compras_mes7[[#This Row],[CUIT]]="","-",VLOOKUP(compras_mes7[[#This Row],[CUIT]],Lista_CUIT[#All],3,0)),"CUIT NO CARGADO")</f>
        <v>Productos Ortopedicos</v>
      </c>
      <c r="R109" s="416">
        <f>IFERROR(IF(compras_mes7[[#This Row],[CUIT]]="","-",VLOOKUP(compras_mes7[[#This Row],[CUIT]],Lista_CUIT[#All],4,0)),"CUIT NO CARGADO")</f>
        <v>0</v>
      </c>
    </row>
    <row r="110" spans="2:18">
      <c r="B110" s="243">
        <v>45477</v>
      </c>
      <c r="C110" s="244">
        <v>1</v>
      </c>
      <c r="D110" s="245">
        <v>401</v>
      </c>
      <c r="E110" s="246">
        <v>39</v>
      </c>
      <c r="F110" s="247">
        <v>30716234114</v>
      </c>
      <c r="G110" s="248" t="str">
        <f>IFERROR(IF(compras_mes7[[#This Row],[CUIT]]="","-",VLOOKUP(compras_mes7[[#This Row],[CUIT]],Lista_CUIT[#All],2,0)),"CUIT NO CARGADO")</f>
        <v>UZUMAKI S.A.S.</v>
      </c>
      <c r="H110" s="249">
        <f>200*933</f>
        <v>186600</v>
      </c>
      <c r="I110" s="250">
        <f>IF(compras_mes7[[#This Row],[NETO GRAVADO]]="","",compras_mes7[[#This Row],[NETO GRAVADO]]*0.21)</f>
        <v>39186</v>
      </c>
      <c r="J110" s="417"/>
      <c r="K110" s="417"/>
      <c r="L110" s="417"/>
      <c r="M110" s="417"/>
      <c r="N110" s="417"/>
      <c r="O110" s="417"/>
      <c r="P110" s="415">
        <f>SUM(compras_mes7[[#This Row],[NETO GRAVADO]:[Otros / No Grav.]])</f>
        <v>225786</v>
      </c>
      <c r="Q110" s="416" t="str">
        <f>IFERROR(IF(compras_mes7[[#This Row],[CUIT]]="","-",VLOOKUP(compras_mes7[[#This Row],[CUIT]],Lista_CUIT[#All],3,0)),"CUIT NO CARGADO")</f>
        <v>Productos Ortopedicos</v>
      </c>
      <c r="R110" s="416">
        <f>IFERROR(IF(compras_mes7[[#This Row],[CUIT]]="","-",VLOOKUP(compras_mes7[[#This Row],[CUIT]],Lista_CUIT[#All],4,0)),"CUIT NO CARGADO")</f>
        <v>0</v>
      </c>
    </row>
    <row r="111" spans="2:18">
      <c r="B111" s="418">
        <v>45474</v>
      </c>
      <c r="C111" s="419">
        <v>1</v>
      </c>
      <c r="D111" s="420">
        <v>1326</v>
      </c>
      <c r="E111" s="421">
        <v>1171020</v>
      </c>
      <c r="F111" s="422">
        <v>30663288497</v>
      </c>
      <c r="G111" s="423" t="str">
        <f>IFERROR(IF(compras_mes7[[#This Row],[CUIT]]="","-",VLOOKUP(compras_mes7[[#This Row],[CUIT]],Lista_CUIT[#All],2,0)),"CUIT NO CARGADO")</f>
        <v>AMX ARG SA</v>
      </c>
      <c r="H111" s="424">
        <v>37410</v>
      </c>
      <c r="I111" s="425">
        <v>2920.05</v>
      </c>
      <c r="J111" s="426">
        <v>6346.35</v>
      </c>
      <c r="K111" s="426"/>
      <c r="L111" s="426"/>
      <c r="M111" s="426"/>
      <c r="N111" s="426">
        <v>1496.4</v>
      </c>
      <c r="O111" s="426">
        <f>1122.3+1237.11</f>
        <v>2359.41</v>
      </c>
      <c r="P111" s="427">
        <f>SUM(compras_mes7[[#This Row],[NETO GRAVADO]:[Otros / No Grav.]])</f>
        <v>50532.210000000006</v>
      </c>
      <c r="Q111" s="428" t="str">
        <f>IFERROR(IF(compras_mes7[[#This Row],[CUIT]]="","-",VLOOKUP(compras_mes7[[#This Row],[CUIT]],Lista_CUIT[#All],3,0)),"CUIT NO CARGADO")</f>
        <v>Servicios Gas-Luz-Agua-Internet</v>
      </c>
      <c r="R111" s="428">
        <f>IFERROR(IF(compras_mes7[[#This Row],[CUIT]]="","-",VLOOKUP(compras_mes7[[#This Row],[CUIT]],Lista_CUIT[#All],4,0)),"CUIT NO CARGADO")</f>
        <v>0</v>
      </c>
    </row>
    <row r="112" spans="2:18">
      <c r="B112" s="243">
        <v>45482</v>
      </c>
      <c r="C112" s="244">
        <v>1</v>
      </c>
      <c r="D112" s="245">
        <v>3101</v>
      </c>
      <c r="E112" s="246">
        <v>138277</v>
      </c>
      <c r="F112" s="247">
        <v>30678814357</v>
      </c>
      <c r="G112" s="248" t="str">
        <f>IFERROR(IF(compras_mes7[[#This Row],[CUIT]]="","-",VLOOKUP(compras_mes7[[#This Row],[CUIT]],Lista_CUIT[#All],2,0)),"CUIT NO CARGADO")</f>
        <v>TELEFONICA MOVILES ARG SA</v>
      </c>
      <c r="H112" s="249">
        <v>56932.1</v>
      </c>
      <c r="I112" s="250"/>
      <c r="J112" s="417">
        <f>compras_mes7[[#This Row],[NETO GRAVADO]]*27/100</f>
        <v>15371.666999999999</v>
      </c>
      <c r="K112" s="417"/>
      <c r="L112" s="417">
        <v>1707.96</v>
      </c>
      <c r="M112" s="417"/>
      <c r="N112" s="417">
        <v>2277.2800000000002</v>
      </c>
      <c r="O112" s="417"/>
      <c r="P112" s="415">
        <f>SUM(compras_mes7[[#This Row],[NETO GRAVADO]:[Otros / No Grav.]])</f>
        <v>76289.006999999998</v>
      </c>
      <c r="Q112" s="416" t="str">
        <f>IFERROR(IF(compras_mes7[[#This Row],[CUIT]]="","-",VLOOKUP(compras_mes7[[#This Row],[CUIT]],Lista_CUIT[#All],3,0)),"CUIT NO CARGADO")</f>
        <v>Servicios Gas-Luz-Agua-Internet</v>
      </c>
      <c r="R112" s="416">
        <f>IFERROR(IF(compras_mes7[[#This Row],[CUIT]]="","-",VLOOKUP(compras_mes7[[#This Row],[CUIT]],Lista_CUIT[#All],4,0)),"CUIT NO CARGADO")</f>
        <v>0</v>
      </c>
    </row>
    <row r="113" spans="2:18">
      <c r="B113" s="243">
        <v>45492</v>
      </c>
      <c r="C113" s="244">
        <v>1</v>
      </c>
      <c r="D113" s="245">
        <v>4264</v>
      </c>
      <c r="E113" s="246">
        <v>4121206</v>
      </c>
      <c r="F113" s="247">
        <v>30639453738</v>
      </c>
      <c r="G113" s="248" t="str">
        <f>IFERROR(IF(compras_mes7[[#This Row],[CUIT]]="","-",VLOOKUP(compras_mes7[[#This Row],[CUIT]],Lista_CUIT[#All],2,0)),"CUIT NO CARGADO")</f>
        <v>TELECOM ARGENTINA SA</v>
      </c>
      <c r="H113" s="249">
        <v>66314.05</v>
      </c>
      <c r="I113" s="250">
        <f>IF(compras_mes7[[#This Row],[NETO GRAVADO]]="","",compras_mes7[[#This Row],[NETO GRAVADO]]*0.21)</f>
        <v>13925.950500000001</v>
      </c>
      <c r="J113" s="417"/>
      <c r="K113" s="417"/>
      <c r="L113" s="417"/>
      <c r="M113" s="417"/>
      <c r="N113" s="417">
        <v>4641.99</v>
      </c>
      <c r="O113" s="417"/>
      <c r="P113" s="415">
        <f>SUM(compras_mes7[[#This Row],[NETO GRAVADO]:[Otros / No Grav.]])</f>
        <v>84881.990500000014</v>
      </c>
      <c r="Q113" s="416" t="str">
        <f>IFERROR(IF(compras_mes7[[#This Row],[CUIT]]="","-",VLOOKUP(compras_mes7[[#This Row],[CUIT]],Lista_CUIT[#All],3,0)),"CUIT NO CARGADO")</f>
        <v>Servicios Gas-Luz-Agua-Internet</v>
      </c>
      <c r="R113" s="416">
        <f>IFERROR(IF(compras_mes7[[#This Row],[CUIT]]="","-",VLOOKUP(compras_mes7[[#This Row],[CUIT]],Lista_CUIT[#All],4,0)),"CUIT NO CARGADO")</f>
        <v>0</v>
      </c>
    </row>
    <row r="114" spans="2:18" ht="17.25" customHeight="1">
      <c r="B114" s="418">
        <v>45495</v>
      </c>
      <c r="C114" s="419">
        <v>1</v>
      </c>
      <c r="D114" s="420">
        <v>2229</v>
      </c>
      <c r="E114" s="421">
        <v>697484</v>
      </c>
      <c r="F114" s="422">
        <v>30678814357</v>
      </c>
      <c r="G114" s="423" t="str">
        <f>IFERROR(IF(compras_mes7[[#This Row],[CUIT]]="","-",VLOOKUP(compras_mes7[[#This Row],[CUIT]],Lista_CUIT[#All],2,0)),"CUIT NO CARGADO")</f>
        <v>TELEFONICA MOVILES ARG SA</v>
      </c>
      <c r="H114" s="424">
        <v>0</v>
      </c>
      <c r="I114" s="425">
        <f>IF(compras_mes7[[#This Row],[NETO GRAVADO]]="","",compras_mes7[[#This Row],[NETO GRAVADO]]*0.21)</f>
        <v>0</v>
      </c>
      <c r="J114" s="426"/>
      <c r="K114" s="426"/>
      <c r="L114" s="426"/>
      <c r="M114" s="426"/>
      <c r="N114" s="426"/>
      <c r="O114" s="426"/>
      <c r="P114" s="427">
        <f>SUM(compras_mes7[[#This Row],[NETO GRAVADO]:[Otros / No Grav.]])</f>
        <v>0</v>
      </c>
      <c r="Q114" s="428" t="str">
        <f>IFERROR(IF(compras_mes7[[#This Row],[CUIT]]="","-",VLOOKUP(compras_mes7[[#This Row],[CUIT]],Lista_CUIT[#All],3,0)),"CUIT NO CARGADO")</f>
        <v>Servicios Gas-Luz-Agua-Internet</v>
      </c>
      <c r="R114" s="428">
        <f>IFERROR(IF(compras_mes7[[#This Row],[CUIT]]="","-",VLOOKUP(compras_mes7[[#This Row],[CUIT]],Lista_CUIT[#All],4,0)),"CUIT NO CARGADO")</f>
        <v>0</v>
      </c>
    </row>
    <row r="115" spans="2:18">
      <c r="B115" s="430">
        <v>45495</v>
      </c>
      <c r="C115" s="419">
        <v>1</v>
      </c>
      <c r="D115" s="431">
        <v>2229</v>
      </c>
      <c r="E115" s="432">
        <v>697778</v>
      </c>
      <c r="F115" s="433">
        <v>30678814357</v>
      </c>
      <c r="G115" s="434" t="str">
        <f>IFERROR(IF(compras_mes7[[#This Row],[CUIT]]="","-",VLOOKUP(compras_mes7[[#This Row],[CUIT]],Lista_CUIT[#All],2,0)),"CUIT NO CARGADO")</f>
        <v>TELEFONICA MOVILES ARG SA</v>
      </c>
      <c r="H115" s="435">
        <v>0</v>
      </c>
      <c r="I115" s="425">
        <f>IF(compras_mes7[[#This Row],[NETO GRAVADO]]="","",compras_mes7[[#This Row],[NETO GRAVADO]]*0.21)</f>
        <v>0</v>
      </c>
      <c r="J115" s="426"/>
      <c r="K115" s="426"/>
      <c r="L115" s="426"/>
      <c r="M115" s="426"/>
      <c r="N115" s="426"/>
      <c r="O115" s="426"/>
      <c r="P115" s="427">
        <f>SUM(compras_mes7[[#This Row],[NETO GRAVADO]:[Otros / No Grav.]])</f>
        <v>0</v>
      </c>
      <c r="Q115" s="428" t="str">
        <f>IFERROR(IF(compras_mes7[[#This Row],[CUIT]]="","-",VLOOKUP(compras_mes7[[#This Row],[CUIT]],Lista_CUIT[#All],3,0)),"CUIT NO CARGADO")</f>
        <v>Servicios Gas-Luz-Agua-Internet</v>
      </c>
      <c r="R115" s="428">
        <f>IFERROR(IF(compras_mes7[[#This Row],[CUIT]]="","-",VLOOKUP(compras_mes7[[#This Row],[CUIT]],Lista_CUIT[#All],4,0)),"CUIT NO CARGADO")</f>
        <v>0</v>
      </c>
    </row>
    <row r="116" spans="2:18">
      <c r="B116" s="243">
        <v>45495</v>
      </c>
      <c r="C116" s="244">
        <v>1</v>
      </c>
      <c r="D116" s="245">
        <v>5</v>
      </c>
      <c r="E116" s="246">
        <v>3084850</v>
      </c>
      <c r="F116" s="247">
        <v>30702652975</v>
      </c>
      <c r="G116" s="248" t="str">
        <f>IFERROR(IF(compras_mes7[[#This Row],[CUIT]]="","-",VLOOKUP(compras_mes7[[#This Row],[CUIT]],Lista_CUIT[#All],2,0)),"CUIT NO CARGADO")</f>
        <v>NSS SA</v>
      </c>
      <c r="H116" s="249">
        <v>27697.81</v>
      </c>
      <c r="I116" s="250">
        <f>IF(compras_mes7[[#This Row],[NETO GRAVADO]]="","",compras_mes7[[#This Row],[NETO GRAVADO]]*0.21)</f>
        <v>5816.5401000000002</v>
      </c>
      <c r="J116" s="417"/>
      <c r="K116" s="417"/>
      <c r="L116" s="417"/>
      <c r="M116" s="417"/>
      <c r="N116" s="417">
        <v>1107.9100000000001</v>
      </c>
      <c r="O116" s="417"/>
      <c r="P116" s="415">
        <f>SUM(compras_mes7[[#This Row],[NETO GRAVADO]:[Otros / No Grav.]])</f>
        <v>34622.260100000007</v>
      </c>
      <c r="Q116" s="416" t="str">
        <f>IFERROR(IF(compras_mes7[[#This Row],[CUIT]]="","-",VLOOKUP(compras_mes7[[#This Row],[CUIT]],Lista_CUIT[#All],3,0)),"CUIT NO CARGADO")</f>
        <v>Servicios Gas-Luz-Agua-Internet</v>
      </c>
      <c r="R116" s="416">
        <f>IFERROR(IF(compras_mes7[[#This Row],[CUIT]]="","-",VLOOKUP(compras_mes7[[#This Row],[CUIT]],Lista_CUIT[#All],4,0)),"CUIT NO CARGADO")</f>
        <v>0</v>
      </c>
    </row>
    <row r="117" spans="2:18">
      <c r="B117" s="40">
        <v>45504</v>
      </c>
      <c r="C117" s="244">
        <v>1</v>
      </c>
      <c r="D117" s="42">
        <v>20</v>
      </c>
      <c r="E117" s="43">
        <v>192175</v>
      </c>
      <c r="F117" s="44">
        <v>30696850972</v>
      </c>
      <c r="G117" s="45" t="str">
        <f>IFERROR(IF(compras_mes7[[#This Row],[CUIT]]="","-",VLOOKUP(compras_mes7[[#This Row],[CUIT]],Lista_CUIT[#All],2,0)),"CUIT NO CARGADO")</f>
        <v>CPS COMUNICACIONES SA</v>
      </c>
      <c r="H117" s="46">
        <v>16601.11</v>
      </c>
      <c r="I117" s="250"/>
      <c r="J117" s="417">
        <f>compras_mes7[[#This Row],[NETO GRAVADO]]*27/100</f>
        <v>4482.2997000000005</v>
      </c>
      <c r="K117" s="417"/>
      <c r="L117" s="417"/>
      <c r="M117" s="417"/>
      <c r="N117" s="417">
        <v>664.04</v>
      </c>
      <c r="O117" s="417"/>
      <c r="P117" s="415">
        <f>SUM(compras_mes7[[#This Row],[NETO GRAVADO]:[Otros / No Grav.]])</f>
        <v>21747.449700000001</v>
      </c>
      <c r="Q117" s="416" t="str">
        <f>IFERROR(IF(compras_mes7[[#This Row],[CUIT]]="","-",VLOOKUP(compras_mes7[[#This Row],[CUIT]],Lista_CUIT[#All],3,0)),"CUIT NO CARGADO")</f>
        <v>Servicios Gas-Luz-Agua-Internet</v>
      </c>
      <c r="R117" s="416">
        <f>IFERROR(IF(compras_mes7[[#This Row],[CUIT]]="","-",VLOOKUP(compras_mes7[[#This Row],[CUIT]],Lista_CUIT[#All],4,0)),"CUIT NO CARGADO")</f>
        <v>0</v>
      </c>
    </row>
    <row r="118" spans="2:18">
      <c r="B118" s="95" t="s">
        <v>110</v>
      </c>
      <c r="C118" s="95"/>
      <c r="D118" s="95"/>
      <c r="E118" s="95"/>
      <c r="F118" s="95"/>
      <c r="G118" s="96"/>
      <c r="H118" s="97">
        <f>SUBTOTAL(109,compras_mes7[NETO GRAVADO])</f>
        <v>60361511.970000006</v>
      </c>
      <c r="I118" s="97">
        <f>SUBTOTAL(109,compras_mes7[IVA 21 %])</f>
        <v>5715125.0099999998</v>
      </c>
      <c r="J118" s="97">
        <f>SUBTOTAL(109,compras_mes7[IVA 27%])</f>
        <v>26200.316699999999</v>
      </c>
      <c r="K118" s="97">
        <f>SUBTOTAL(109,compras_mes7[IVA 10,5%])</f>
        <v>3470207.2397999996</v>
      </c>
      <c r="L118" s="97">
        <f>SUBTOTAL(109,compras_mes7[PERC. IVA])</f>
        <v>1707.96</v>
      </c>
      <c r="M118" s="97">
        <f>SUBTOTAL(109,compras_mes7[PERC IIBB 
BS AS])</f>
        <v>4777.9599999999991</v>
      </c>
      <c r="N118" s="97">
        <f>SUBTOTAL(109,compras_mes7[PERC. IIBB CABA])</f>
        <v>20115.570000000003</v>
      </c>
      <c r="O118" s="97">
        <f>SUBTOTAL(109,compras_mes7[Otros / No Grav.])</f>
        <v>140324.05000000002</v>
      </c>
      <c r="P118" s="97">
        <f>SUBTOTAL(109,compras_mes7[TOTAL])</f>
        <v>69739970.076500013</v>
      </c>
      <c r="Q118" s="95"/>
      <c r="R118" s="95"/>
    </row>
    <row r="119" spans="2:18">
      <c r="B119" s="40"/>
      <c r="C119" s="41"/>
      <c r="D119" s="42"/>
      <c r="E119" s="43"/>
      <c r="F119" s="44"/>
      <c r="G119" s="45"/>
      <c r="H119" s="46"/>
      <c r="I119" s="47"/>
      <c r="J119" s="47"/>
      <c r="K119" s="47"/>
      <c r="L119" s="47"/>
      <c r="M119" s="47"/>
      <c r="N119" s="47"/>
      <c r="O119" s="47"/>
      <c r="P119" s="48"/>
      <c r="Q119" s="49"/>
      <c r="R119" s="49"/>
    </row>
    <row r="120" spans="2:18">
      <c r="B120" s="40"/>
      <c r="C120" s="41"/>
      <c r="D120" s="42"/>
      <c r="E120" s="43"/>
      <c r="F120" s="44"/>
      <c r="G120" s="45"/>
      <c r="H120" s="46"/>
      <c r="I120" s="47"/>
      <c r="J120" s="47"/>
      <c r="K120" s="47"/>
      <c r="L120" s="47"/>
      <c r="M120" s="47"/>
      <c r="N120" s="47"/>
      <c r="O120" s="47"/>
      <c r="P120" s="48"/>
      <c r="Q120" s="49"/>
      <c r="R120" s="49"/>
    </row>
    <row r="121" spans="2:18">
      <c r="B121" s="40"/>
      <c r="C121" s="41"/>
      <c r="D121" s="42"/>
      <c r="E121" s="43"/>
      <c r="F121" s="44"/>
      <c r="G121" s="45"/>
      <c r="H121" s="46"/>
      <c r="I121" s="47"/>
      <c r="J121" s="47"/>
      <c r="K121" s="47"/>
      <c r="L121" s="47"/>
      <c r="M121" s="47"/>
      <c r="N121" s="47"/>
      <c r="O121" s="47"/>
      <c r="P121" s="48"/>
      <c r="Q121" s="49"/>
      <c r="R121" s="49"/>
    </row>
    <row r="122" spans="2:18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</row>
    <row r="123" spans="2:18" ht="21">
      <c r="D123" s="665" t="s">
        <v>15</v>
      </c>
      <c r="E123" s="665"/>
      <c r="F123" s="665"/>
      <c r="G123" s="665"/>
      <c r="H123" s="665"/>
      <c r="I123" s="665"/>
      <c r="J123" s="665"/>
      <c r="K123" s="665"/>
      <c r="L123" s="665"/>
    </row>
    <row r="124" spans="2:18" ht="15.75">
      <c r="D124" s="73" t="s">
        <v>0</v>
      </c>
      <c r="E124" s="74" t="s">
        <v>26</v>
      </c>
      <c r="F124" s="74" t="s">
        <v>3</v>
      </c>
      <c r="G124" s="74" t="s">
        <v>16</v>
      </c>
      <c r="H124" s="74" t="s">
        <v>5</v>
      </c>
      <c r="I124" s="74" t="s">
        <v>17</v>
      </c>
      <c r="J124" s="74" t="s">
        <v>7</v>
      </c>
      <c r="K124" s="75" t="s">
        <v>18</v>
      </c>
      <c r="L124" s="75" t="s">
        <v>19</v>
      </c>
      <c r="M124" s="76" t="s">
        <v>20</v>
      </c>
    </row>
    <row r="125" spans="2:18">
      <c r="D125" s="50">
        <v>45504</v>
      </c>
      <c r="E125" s="80">
        <v>3172024</v>
      </c>
      <c r="F125" s="80">
        <v>30500006613</v>
      </c>
      <c r="G125" s="80" t="s">
        <v>2311</v>
      </c>
      <c r="H125" s="81">
        <v>28125</v>
      </c>
      <c r="I125" s="81">
        <f>extracto_banco_mes7[[#This Row],[NETO]]*21/100</f>
        <v>5906.25</v>
      </c>
      <c r="J125" s="81"/>
      <c r="K125" s="81"/>
      <c r="L125" s="81"/>
      <c r="M125" s="81"/>
    </row>
    <row r="126" spans="2:18">
      <c r="D126" s="50">
        <v>45504</v>
      </c>
      <c r="E126" s="80">
        <v>527326751</v>
      </c>
      <c r="F126" s="80"/>
      <c r="G126" s="80" t="s">
        <v>2169</v>
      </c>
      <c r="H126" s="81">
        <v>16656</v>
      </c>
      <c r="I126" s="81">
        <f>extracto_banco_mes7[[#This Row],[NETO]]*21/100</f>
        <v>3497.76</v>
      </c>
      <c r="J126" s="81"/>
      <c r="K126" s="81"/>
      <c r="L126" s="81">
        <v>390</v>
      </c>
      <c r="M126" s="81">
        <v>520</v>
      </c>
    </row>
    <row r="127" spans="2:18">
      <c r="D127" s="50"/>
      <c r="E127" s="79"/>
      <c r="F127" s="79"/>
      <c r="G127" s="80"/>
      <c r="H127" s="81"/>
      <c r="I127" s="81">
        <f>extracto_banco_mes7[[#This Row],[NETO]]*21/100</f>
        <v>0</v>
      </c>
      <c r="J127" s="81"/>
      <c r="K127" s="81"/>
      <c r="L127" s="81"/>
      <c r="M127" s="81"/>
    </row>
    <row r="128" spans="2:18">
      <c r="D128" s="82" t="s">
        <v>110</v>
      </c>
      <c r="E128" s="80"/>
      <c r="F128" s="80"/>
      <c r="G128" s="80"/>
      <c r="H128" s="83">
        <f>SUBTOTAL(109,extracto_banco_mes7[NETO])</f>
        <v>44781</v>
      </c>
      <c r="I128" s="83">
        <f>SUBTOTAL(109,extracto_banco_mes7[IVA 21%])</f>
        <v>9404.01</v>
      </c>
      <c r="J128" s="83">
        <f>SUBTOTAL(109,extracto_banco_mes7[IVA 10,5%])</f>
        <v>0</v>
      </c>
      <c r="K128" s="83">
        <f>SUBTOTAL(109,extracto_banco_mes7[RET IIBB CABA])</f>
        <v>0</v>
      </c>
      <c r="L128" s="83">
        <f>SUBTOTAL(109,extracto_banco_mes7[PERC IVA])</f>
        <v>390</v>
      </c>
      <c r="M128" s="83">
        <f>SUBTOTAL(109,extracto_banco_mes7[PERC IIBB])</f>
        <v>520</v>
      </c>
    </row>
    <row r="132" spans="4:11" ht="21">
      <c r="D132" s="665" t="s">
        <v>25</v>
      </c>
      <c r="E132" s="665"/>
      <c r="F132" s="665"/>
      <c r="G132" s="665"/>
      <c r="H132" s="665"/>
      <c r="I132" s="665"/>
      <c r="J132" s="665"/>
      <c r="K132" s="665"/>
    </row>
    <row r="133" spans="4:11">
      <c r="D133" s="51" t="s">
        <v>0</v>
      </c>
      <c r="E133" s="51" t="s">
        <v>2</v>
      </c>
      <c r="F133" s="51" t="s">
        <v>74</v>
      </c>
      <c r="G133" s="51" t="s">
        <v>3</v>
      </c>
      <c r="H133" s="51" t="s">
        <v>4</v>
      </c>
      <c r="I133" s="52" t="s">
        <v>10</v>
      </c>
      <c r="J133" s="51" t="s">
        <v>13</v>
      </c>
      <c r="K133" s="51" t="s">
        <v>38</v>
      </c>
    </row>
    <row r="134" spans="4:11" hidden="1">
      <c r="D134" s="281">
        <v>45488</v>
      </c>
      <c r="E134" s="414">
        <v>1</v>
      </c>
      <c r="F134" s="414">
        <v>6</v>
      </c>
      <c r="G134" s="36">
        <v>27443612713</v>
      </c>
      <c r="H134" s="53" t="str">
        <f>IFERROR(IF(factura_c_mes7[[#This Row],[CUIT]]="","-",VLOOKUP(factura_c_mes7[[#This Row],[CUIT]],Lista_CUIT[#All],2,0)),"CUIT NO CARGADO")</f>
        <v>MIGOYA MORIONDO SOFIA</v>
      </c>
      <c r="I134" s="278">
        <v>550000</v>
      </c>
      <c r="J134" s="54" t="str">
        <f>IFERROR(IF(factura_c_mes7[[#This Row],[CUIT]]="","-",VLOOKUP(factura_c_mes7[[#This Row],[CUIT]],Lista_CUIT[#All],3,0)),"CUIT NO CARGADO")</f>
        <v>Alquiler</v>
      </c>
      <c r="K134" s="54">
        <f>IFERROR(IF(factura_c_mes7[[#This Row],[CUIT]]="","-",VLOOKUP(factura_c_mes7[[#This Row],[CUIT]],Lista_CUIT[#All],4,0)),"CUIT NO CARGADO")</f>
        <v>0</v>
      </c>
    </row>
    <row r="135" spans="4:11" hidden="1">
      <c r="D135" s="281">
        <v>45474</v>
      </c>
      <c r="E135" s="414">
        <v>5</v>
      </c>
      <c r="F135" s="414">
        <v>165</v>
      </c>
      <c r="G135" s="36">
        <v>27062343449</v>
      </c>
      <c r="H135" s="53" t="str">
        <f>IFERROR(IF(factura_c_mes7[[#This Row],[CUIT]]="","-",VLOOKUP(factura_c_mes7[[#This Row],[CUIT]],Lista_CUIT[#All],2,0)),"CUIT NO CARGADO")</f>
        <v>FERREIRS LILISNS INES</v>
      </c>
      <c r="I135" s="278">
        <v>395000</v>
      </c>
      <c r="J135" s="54" t="str">
        <f>IFERROR(IF(factura_c_mes7[[#This Row],[CUIT]]="","-",VLOOKUP(factura_c_mes7[[#This Row],[CUIT]],Lista_CUIT[#All],3,0)),"CUIT NO CARGADO")</f>
        <v>ALQUILERES PAGADOS</v>
      </c>
      <c r="K135" s="54">
        <f>IFERROR(IF(factura_c_mes7[[#This Row],[CUIT]]="","-",VLOOKUP(factura_c_mes7[[#This Row],[CUIT]],Lista_CUIT[#All],4,0)),"CUIT NO CARGADO")</f>
        <v>0</v>
      </c>
    </row>
    <row r="136" spans="4:11" hidden="1">
      <c r="D136" s="281">
        <v>45489</v>
      </c>
      <c r="E136" s="414">
        <v>1</v>
      </c>
      <c r="F136" s="414">
        <v>12</v>
      </c>
      <c r="G136" s="36">
        <v>27443612705</v>
      </c>
      <c r="H136" s="53" t="str">
        <f>IFERROR(IF(factura_c_mes7[[#This Row],[CUIT]]="","-",VLOOKUP(factura_c_mes7[[#This Row],[CUIT]],Lista_CUIT[#All],2,0)),"CUIT NO CARGADO")</f>
        <v>MIGOYA MORIONDO MARIA INES</v>
      </c>
      <c r="I136" s="278">
        <v>600000</v>
      </c>
      <c r="J136" s="54" t="str">
        <f>IFERROR(IF(factura_c_mes7[[#This Row],[CUIT]]="","-",VLOOKUP(factura_c_mes7[[#This Row],[CUIT]],Lista_CUIT[#All],3,0)),"CUIT NO CARGADO")</f>
        <v>ALQUILERES PAGADOS</v>
      </c>
      <c r="K136" s="54">
        <f>IFERROR(IF(factura_c_mes7[[#This Row],[CUIT]]="","-",VLOOKUP(factura_c_mes7[[#This Row],[CUIT]],Lista_CUIT[#All],4,0)),"CUIT NO CARGADO")</f>
        <v>0</v>
      </c>
    </row>
    <row r="137" spans="4:11" hidden="1">
      <c r="D137" s="281">
        <v>45496</v>
      </c>
      <c r="E137" s="175">
        <v>5</v>
      </c>
      <c r="F137" s="175">
        <v>166</v>
      </c>
      <c r="G137" s="118">
        <v>27062343449</v>
      </c>
      <c r="H137" s="53" t="str">
        <f>IFERROR(IF(factura_c_mes7[[#This Row],[CUIT]]="","-",VLOOKUP(factura_c_mes7[[#This Row],[CUIT]],Lista_CUIT[#All],2,0)),"CUIT NO CARGADO")</f>
        <v>FERREIRS LILISNS INES</v>
      </c>
      <c r="I137" s="278">
        <v>395000</v>
      </c>
      <c r="J137" s="54" t="str">
        <f>IFERROR(IF(factura_c_mes7[[#This Row],[CUIT]]="","-",VLOOKUP(factura_c_mes7[[#This Row],[CUIT]],Lista_CUIT[#All],3,0)),"CUIT NO CARGADO")</f>
        <v>ALQUILERES PAGADOS</v>
      </c>
      <c r="K137" s="54">
        <f>IFERROR(IF(factura_c_mes7[[#This Row],[CUIT]]="","-",VLOOKUP(factura_c_mes7[[#This Row],[CUIT]],Lista_CUIT[#All],4,0)),"CUIT NO CARGADO")</f>
        <v>0</v>
      </c>
    </row>
    <row r="138" spans="4:11" hidden="1">
      <c r="D138" s="281">
        <v>45484</v>
      </c>
      <c r="E138" s="414">
        <v>1</v>
      </c>
      <c r="F138" s="414">
        <v>32</v>
      </c>
      <c r="G138" s="36">
        <v>23299060179</v>
      </c>
      <c r="H138" s="53" t="str">
        <f>IFERROR(IF(factura_c_mes7[[#This Row],[CUIT]]="","-",VLOOKUP(factura_c_mes7[[#This Row],[CUIT]],Lista_CUIT[#All],2,0)),"CUIT NO CARGADO")</f>
        <v>GARCIA ARCE FRANCISCO</v>
      </c>
      <c r="I138" s="278">
        <v>2432700</v>
      </c>
      <c r="J138" s="54" t="str">
        <f>IFERROR(IF(factura_c_mes7[[#This Row],[CUIT]]="","-",VLOOKUP(factura_c_mes7[[#This Row],[CUIT]],Lista_CUIT[#All],3,0)),"CUIT NO CARGADO")</f>
        <v>Catering</v>
      </c>
      <c r="K138" s="54">
        <f>IFERROR(IF(factura_c_mes7[[#This Row],[CUIT]]="","-",VLOOKUP(factura_c_mes7[[#This Row],[CUIT]],Lista_CUIT[#All],4,0)),"CUIT NO CARGADO")</f>
        <v>0</v>
      </c>
    </row>
    <row r="139" spans="4:11" hidden="1">
      <c r="D139" s="281">
        <v>45481</v>
      </c>
      <c r="E139" s="414">
        <v>1</v>
      </c>
      <c r="F139" s="414">
        <v>1</v>
      </c>
      <c r="G139" s="36">
        <v>23452993104</v>
      </c>
      <c r="H139" s="53" t="str">
        <f>IFERROR(IF(factura_c_mes7[[#This Row],[CUIT]]="","-",VLOOKUP(factura_c_mes7[[#This Row],[CUIT]],Lista_CUIT[#All],2,0)),"CUIT NO CARGADO")</f>
        <v>RODRIGUEZ KEYLA JAEL</v>
      </c>
      <c r="I139" s="278">
        <v>120000</v>
      </c>
      <c r="J139" s="54" t="str">
        <f>IFERROR(IF(factura_c_mes7[[#This Row],[CUIT]]="","-",VLOOKUP(factura_c_mes7[[#This Row],[CUIT]],Lista_CUIT[#All],3,0)),"CUIT NO CARGADO")</f>
        <v>GASTOS ADMINISTRATIVOS</v>
      </c>
      <c r="K139" s="54">
        <f>IFERROR(IF(factura_c_mes7[[#This Row],[CUIT]]="","-",VLOOKUP(factura_c_mes7[[#This Row],[CUIT]],Lista_CUIT[#All],4,0)),"CUIT NO CARGADO")</f>
        <v>0</v>
      </c>
    </row>
    <row r="140" spans="4:11" hidden="1">
      <c r="D140" s="281">
        <v>45484</v>
      </c>
      <c r="E140" s="414">
        <v>1</v>
      </c>
      <c r="F140" s="414">
        <v>3</v>
      </c>
      <c r="G140" s="36">
        <v>23452993104</v>
      </c>
      <c r="H140" s="53" t="str">
        <f>IFERROR(IF(factura_c_mes7[[#This Row],[CUIT]]="","-",VLOOKUP(factura_c_mes7[[#This Row],[CUIT]],Lista_CUIT[#All],2,0)),"CUIT NO CARGADO")</f>
        <v>RODRIGUEZ KEYLA JAEL</v>
      </c>
      <c r="I140" s="278">
        <v>430000</v>
      </c>
      <c r="J140" s="54" t="str">
        <f>IFERROR(IF(factura_c_mes7[[#This Row],[CUIT]]="","-",VLOOKUP(factura_c_mes7[[#This Row],[CUIT]],Lista_CUIT[#All],3,0)),"CUIT NO CARGADO")</f>
        <v>GASTOS ADMINISTRATIVOS</v>
      </c>
      <c r="K140" s="54">
        <f>IFERROR(IF(factura_c_mes7[[#This Row],[CUIT]]="","-",VLOOKUP(factura_c_mes7[[#This Row],[CUIT]],Lista_CUIT[#All],4,0)),"CUIT NO CARGADO")</f>
        <v>0</v>
      </c>
    </row>
    <row r="141" spans="4:11" hidden="1">
      <c r="D141" s="281">
        <v>45476</v>
      </c>
      <c r="E141" s="414">
        <v>1</v>
      </c>
      <c r="F141" s="414">
        <v>67</v>
      </c>
      <c r="G141" s="36">
        <v>20403969886</v>
      </c>
      <c r="H141" s="53" t="str">
        <f>IFERROR(IF(factura_c_mes7[[#This Row],[CUIT]]="","-",VLOOKUP(factura_c_mes7[[#This Row],[CUIT]],Lista_CUIT[#All],2,0)),"CUIT NO CARGADO")</f>
        <v>DEL GESSO FRANCO JESUS</v>
      </c>
      <c r="I141" s="278">
        <v>495020</v>
      </c>
      <c r="J141" s="54" t="str">
        <f>IFERROR(IF(factura_c_mes7[[#This Row],[CUIT]]="","-",VLOOKUP(factura_c_mes7[[#This Row],[CUIT]],Lista_CUIT[#All],3,0)),"CUIT NO CARGADO")</f>
        <v>GASTOS ADMINISTRATIVOS</v>
      </c>
      <c r="K141" s="54">
        <f>IFERROR(IF(factura_c_mes7[[#This Row],[CUIT]]="","-",VLOOKUP(factura_c_mes7[[#This Row],[CUIT]],Lista_CUIT[#All],4,0)),"CUIT NO CARGADO")</f>
        <v>0</v>
      </c>
    </row>
    <row r="142" spans="4:11" hidden="1">
      <c r="D142" s="281">
        <v>45476</v>
      </c>
      <c r="E142" s="414">
        <v>1</v>
      </c>
      <c r="F142" s="414">
        <v>68</v>
      </c>
      <c r="G142" s="36">
        <v>20403969886</v>
      </c>
      <c r="H142" s="53" t="str">
        <f>IFERROR(IF(factura_c_mes7[[#This Row],[CUIT]]="","-",VLOOKUP(factura_c_mes7[[#This Row],[CUIT]],Lista_CUIT[#All],2,0)),"CUIT NO CARGADO")</f>
        <v>DEL GESSO FRANCO JESUS</v>
      </c>
      <c r="I142" s="278">
        <v>550000</v>
      </c>
      <c r="J142" s="54" t="str">
        <f>IFERROR(IF(factura_c_mes7[[#This Row],[CUIT]]="","-",VLOOKUP(factura_c_mes7[[#This Row],[CUIT]],Lista_CUIT[#All],3,0)),"CUIT NO CARGADO")</f>
        <v>GASTOS ADMINISTRATIVOS</v>
      </c>
      <c r="K142" s="54">
        <f>IFERROR(IF(factura_c_mes7[[#This Row],[CUIT]]="","-",VLOOKUP(factura_c_mes7[[#This Row],[CUIT]],Lista_CUIT[#All],4,0)),"CUIT NO CARGADO")</f>
        <v>0</v>
      </c>
    </row>
    <row r="143" spans="4:11" hidden="1">
      <c r="D143" s="281">
        <v>45484</v>
      </c>
      <c r="E143" s="175">
        <v>2</v>
      </c>
      <c r="F143" s="175">
        <v>500</v>
      </c>
      <c r="G143" s="118">
        <v>27178792178</v>
      </c>
      <c r="H143" s="53" t="str">
        <f>IFERROR(IF(factura_c_mes7[[#This Row],[CUIT]]="","-",VLOOKUP(factura_c_mes7[[#This Row],[CUIT]],Lista_CUIT[#All],2,0)),"CUIT NO CARGADO")</f>
        <v>SAMPEDRO SILVIA HERMINIA</v>
      </c>
      <c r="I143" s="278">
        <v>680000</v>
      </c>
      <c r="J143" s="54" t="str">
        <f>IFERROR(IF(factura_c_mes7[[#This Row],[CUIT]]="","-",VLOOKUP(factura_c_mes7[[#This Row],[CUIT]],Lista_CUIT[#All],3,0)),"CUIT NO CARGADO")</f>
        <v>GASTOS ADMINISTRATIVOS</v>
      </c>
      <c r="K143" s="54">
        <f>IFERROR(IF(factura_c_mes7[[#This Row],[CUIT]]="","-",VLOOKUP(factura_c_mes7[[#This Row],[CUIT]],Lista_CUIT[#All],4,0)),"CUIT NO CARGADO")</f>
        <v>0</v>
      </c>
    </row>
    <row r="144" spans="4:11" hidden="1">
      <c r="D144" s="281">
        <v>45474</v>
      </c>
      <c r="E144" s="414">
        <v>3</v>
      </c>
      <c r="F144" s="414">
        <v>330</v>
      </c>
      <c r="G144" s="36">
        <v>23306035444</v>
      </c>
      <c r="H144" s="53" t="str">
        <f>IFERROR(IF(factura_c_mes7[[#This Row],[CUIT]]="","-",VLOOKUP(factura_c_mes7[[#This Row],[CUIT]],Lista_CUIT[#All],2,0)),"CUIT NO CARGADO")</f>
        <v>NADIA TARANTINO</v>
      </c>
      <c r="I144" s="278">
        <v>52000</v>
      </c>
      <c r="J144" s="54" t="str">
        <f>IFERROR(IF(factura_c_mes7[[#This Row],[CUIT]]="","-",VLOOKUP(factura_c_mes7[[#This Row],[CUIT]],Lista_CUIT[#All],3,0)),"CUIT NO CARGADO")</f>
        <v>GASTOS CONTABLES</v>
      </c>
      <c r="K144" s="54">
        <f>IFERROR(IF(factura_c_mes7[[#This Row],[CUIT]]="","-",VLOOKUP(factura_c_mes7[[#This Row],[CUIT]],Lista_CUIT[#All],4,0)),"CUIT NO CARGADO")</f>
        <v>0</v>
      </c>
    </row>
    <row r="145" spans="4:11" hidden="1">
      <c r="D145" s="281">
        <v>45488</v>
      </c>
      <c r="E145" s="414">
        <v>1</v>
      </c>
      <c r="F145" s="414">
        <v>232</v>
      </c>
      <c r="G145" s="36">
        <v>27217606255</v>
      </c>
      <c r="H145" s="53" t="str">
        <f>IFERROR(IF(factura_c_mes7[[#This Row],[CUIT]]="","-",VLOOKUP(factura_c_mes7[[#This Row],[CUIT]],Lista_CUIT[#All],2,0)),"CUIT NO CARGADO")</f>
        <v>SAPUNA MARIAN KARINA</v>
      </c>
      <c r="I145" s="278">
        <v>75604.55</v>
      </c>
      <c r="J145" s="54" t="str">
        <f>IFERROR(IF(factura_c_mes7[[#This Row],[CUIT]]="","-",VLOOKUP(factura_c_mes7[[#This Row],[CUIT]],Lista_CUIT[#All],3,0)),"CUIT NO CARGADO")</f>
        <v>MANTENIMIENTO</v>
      </c>
      <c r="K145" s="54">
        <f>IFERROR(IF(factura_c_mes7[[#This Row],[CUIT]]="","-",VLOOKUP(factura_c_mes7[[#This Row],[CUIT]],Lista_CUIT[#All],4,0)),"CUIT NO CARGADO")</f>
        <v>0</v>
      </c>
    </row>
    <row r="146" spans="4:11" hidden="1">
      <c r="D146" s="281">
        <v>45488</v>
      </c>
      <c r="E146" s="414">
        <v>1</v>
      </c>
      <c r="F146" s="414">
        <v>233</v>
      </c>
      <c r="G146" s="36">
        <v>27217606255</v>
      </c>
      <c r="H146" s="53" t="str">
        <f>IFERROR(IF(factura_c_mes7[[#This Row],[CUIT]]="","-",VLOOKUP(factura_c_mes7[[#This Row],[CUIT]],Lista_CUIT[#All],2,0)),"CUIT NO CARGADO")</f>
        <v>SAPUNA MARIAN KARINA</v>
      </c>
      <c r="I146" s="278">
        <v>66964.03</v>
      </c>
      <c r="J146" s="54" t="str">
        <f>IFERROR(IF(factura_c_mes7[[#This Row],[CUIT]]="","-",VLOOKUP(factura_c_mes7[[#This Row],[CUIT]],Lista_CUIT[#All],3,0)),"CUIT NO CARGADO")</f>
        <v>MANTENIMIENTO</v>
      </c>
      <c r="K146" s="54">
        <f>IFERROR(IF(factura_c_mes7[[#This Row],[CUIT]]="","-",VLOOKUP(factura_c_mes7[[#This Row],[CUIT]],Lista_CUIT[#All],4,0)),"CUIT NO CARGADO")</f>
        <v>0</v>
      </c>
    </row>
    <row r="147" spans="4:11" hidden="1">
      <c r="D147" s="281">
        <v>45489</v>
      </c>
      <c r="E147" s="414">
        <v>1</v>
      </c>
      <c r="F147" s="414">
        <v>235</v>
      </c>
      <c r="G147" s="36">
        <v>27217606255</v>
      </c>
      <c r="H147" s="53" t="str">
        <f>IFERROR(IF(factura_c_mes7[[#This Row],[CUIT]]="","-",VLOOKUP(factura_c_mes7[[#This Row],[CUIT]],Lista_CUIT[#All],2,0)),"CUIT NO CARGADO")</f>
        <v>SAPUNA MARIAN KARINA</v>
      </c>
      <c r="I147" s="278">
        <v>198555.58</v>
      </c>
      <c r="J147" s="54" t="str">
        <f>IFERROR(IF(factura_c_mes7[[#This Row],[CUIT]]="","-",VLOOKUP(factura_c_mes7[[#This Row],[CUIT]],Lista_CUIT[#All],3,0)),"CUIT NO CARGADO")</f>
        <v>MANTENIMIENTO</v>
      </c>
      <c r="K147" s="54">
        <f>IFERROR(IF(factura_c_mes7[[#This Row],[CUIT]]="","-",VLOOKUP(factura_c_mes7[[#This Row],[CUIT]],Lista_CUIT[#All],4,0)),"CUIT NO CARGADO")</f>
        <v>0</v>
      </c>
    </row>
    <row r="148" spans="4:11" hidden="1">
      <c r="D148" s="281">
        <v>45489</v>
      </c>
      <c r="E148" s="414">
        <v>1</v>
      </c>
      <c r="F148" s="414">
        <v>234</v>
      </c>
      <c r="G148" s="36">
        <v>27217606255</v>
      </c>
      <c r="H148" s="53" t="str">
        <f>IFERROR(IF(factura_c_mes7[[#This Row],[CUIT]]="","-",VLOOKUP(factura_c_mes7[[#This Row],[CUIT]],Lista_CUIT[#All],2,0)),"CUIT NO CARGADO")</f>
        <v>SAPUNA MARIAN KARINA</v>
      </c>
      <c r="I148" s="278">
        <v>73444.42</v>
      </c>
      <c r="J148" s="54" t="str">
        <f>IFERROR(IF(factura_c_mes7[[#This Row],[CUIT]]="","-",VLOOKUP(factura_c_mes7[[#This Row],[CUIT]],Lista_CUIT[#All],3,0)),"CUIT NO CARGADO")</f>
        <v>MANTENIMIENTO</v>
      </c>
      <c r="K148" s="54">
        <f>IFERROR(IF(factura_c_mes7[[#This Row],[CUIT]]="","-",VLOOKUP(factura_c_mes7[[#This Row],[CUIT]],Lista_CUIT[#All],4,0)),"CUIT NO CARGADO")</f>
        <v>0</v>
      </c>
    </row>
    <row r="149" spans="4:11" hidden="1">
      <c r="D149" s="281">
        <v>45490</v>
      </c>
      <c r="E149" s="414">
        <v>1</v>
      </c>
      <c r="F149" s="414">
        <v>237</v>
      </c>
      <c r="G149" s="36">
        <v>27217606255</v>
      </c>
      <c r="H149" s="53" t="str">
        <f>IFERROR(IF(factura_c_mes7[[#This Row],[CUIT]]="","-",VLOOKUP(factura_c_mes7[[#This Row],[CUIT]],Lista_CUIT[#All],2,0)),"CUIT NO CARGADO")</f>
        <v>SAPUNA MARIAN KARINA</v>
      </c>
      <c r="I149" s="278">
        <v>140156.88</v>
      </c>
      <c r="J149" s="54" t="str">
        <f>IFERROR(IF(factura_c_mes7[[#This Row],[CUIT]]="","-",VLOOKUP(factura_c_mes7[[#This Row],[CUIT]],Lista_CUIT[#All],3,0)),"CUIT NO CARGADO")</f>
        <v>MANTENIMIENTO</v>
      </c>
      <c r="K149" s="54">
        <f>IFERROR(IF(factura_c_mes7[[#This Row],[CUIT]]="","-",VLOOKUP(factura_c_mes7[[#This Row],[CUIT]],Lista_CUIT[#All],4,0)),"CUIT NO CARGADO")</f>
        <v>0</v>
      </c>
    </row>
    <row r="150" spans="4:11" hidden="1">
      <c r="D150" s="281">
        <v>45490</v>
      </c>
      <c r="E150" s="414">
        <v>1</v>
      </c>
      <c r="F150" s="414">
        <v>236</v>
      </c>
      <c r="G150" s="36">
        <v>27217606255</v>
      </c>
      <c r="H150" s="53" t="str">
        <f>IFERROR(IF(factura_c_mes7[[#This Row],[CUIT]]="","-",VLOOKUP(factura_c_mes7[[#This Row],[CUIT]],Lista_CUIT[#All],2,0)),"CUIT NO CARGADO")</f>
        <v>SAPUNA MARIAN KARINA</v>
      </c>
      <c r="I150" s="278">
        <v>128477.14</v>
      </c>
      <c r="J150" s="54" t="str">
        <f>IFERROR(IF(factura_c_mes7[[#This Row],[CUIT]]="","-",VLOOKUP(factura_c_mes7[[#This Row],[CUIT]],Lista_CUIT[#All],3,0)),"CUIT NO CARGADO")</f>
        <v>MANTENIMIENTO</v>
      </c>
      <c r="K150" s="54">
        <f>IFERROR(IF(factura_c_mes7[[#This Row],[CUIT]]="","-",VLOOKUP(factura_c_mes7[[#This Row],[CUIT]],Lista_CUIT[#All],4,0)),"CUIT NO CARGADO")</f>
        <v>0</v>
      </c>
    </row>
    <row r="151" spans="4:11" hidden="1">
      <c r="D151" s="281">
        <v>45491</v>
      </c>
      <c r="E151" s="414">
        <v>1</v>
      </c>
      <c r="F151" s="414">
        <v>238</v>
      </c>
      <c r="G151" s="36">
        <v>27217606255</v>
      </c>
      <c r="H151" s="53" t="str">
        <f>IFERROR(IF(factura_c_mes7[[#This Row],[CUIT]]="","-",VLOOKUP(factura_c_mes7[[#This Row],[CUIT]],Lista_CUIT[#All],2,0)),"CUIT NO CARGADO")</f>
        <v>SAPUNA MARIAN KARINA</v>
      </c>
      <c r="I151" s="278">
        <v>116797.4</v>
      </c>
      <c r="J151" s="54" t="str">
        <f>IFERROR(IF(factura_c_mes7[[#This Row],[CUIT]]="","-",VLOOKUP(factura_c_mes7[[#This Row],[CUIT]],Lista_CUIT[#All],3,0)),"CUIT NO CARGADO")</f>
        <v>MANTENIMIENTO</v>
      </c>
      <c r="K151" s="54">
        <f>IFERROR(IF(factura_c_mes7[[#This Row],[CUIT]]="","-",VLOOKUP(factura_c_mes7[[#This Row],[CUIT]],Lista_CUIT[#All],4,0)),"CUIT NO CARGADO")</f>
        <v>0</v>
      </c>
    </row>
    <row r="152" spans="4:11" hidden="1">
      <c r="D152" s="281">
        <v>45492</v>
      </c>
      <c r="E152" s="414">
        <v>600</v>
      </c>
      <c r="F152" s="414">
        <v>1284072</v>
      </c>
      <c r="G152" s="36">
        <v>30710573308</v>
      </c>
      <c r="H152" s="53" t="str">
        <f>IFERROR(IF(factura_c_mes7[[#This Row],[CUIT]]="","-",VLOOKUP(factura_c_mes7[[#This Row],[CUIT]],Lista_CUIT[#All],2,0)),"CUIT NO CARGADO")</f>
        <v>CAMARA  DE GRABADORES DE AUTOPARTES DE VEHICULOS AUTOMOTORES Y MOTOVEHICULOS</v>
      </c>
      <c r="I152" s="278">
        <v>40068</v>
      </c>
      <c r="J152" s="54" t="str">
        <f>IFERROR(IF(factura_c_mes7[[#This Row],[CUIT]]="","-",VLOOKUP(factura_c_mes7[[#This Row],[CUIT]],Lista_CUIT[#All],3,0)),"CUIT NO CARGADO")</f>
        <v>MANTENIMIENTO</v>
      </c>
      <c r="K152" s="54">
        <f>IFERROR(IF(factura_c_mes7[[#This Row],[CUIT]]="","-",VLOOKUP(factura_c_mes7[[#This Row],[CUIT]],Lista_CUIT[#All],4,0)),"CUIT NO CARGADO")</f>
        <v>0</v>
      </c>
    </row>
    <row r="153" spans="4:11" hidden="1">
      <c r="D153" s="281">
        <v>45474</v>
      </c>
      <c r="E153" s="414">
        <v>4</v>
      </c>
      <c r="F153" s="414">
        <v>52</v>
      </c>
      <c r="G153" s="36">
        <v>20309935196</v>
      </c>
      <c r="H153" s="53" t="str">
        <f>IFERROR(IF(factura_c_mes7[[#This Row],[CUIT]]="","-",VLOOKUP(factura_c_mes7[[#This Row],[CUIT]],Lista_CUIT[#All],2,0)),"CUIT NO CARGADO")</f>
        <v>SALAS MARCELO ALEJANDRO</v>
      </c>
      <c r="I153" s="278">
        <v>24300</v>
      </c>
      <c r="J153" s="54" t="str">
        <f>IFERROR(IF(factura_c_mes7[[#This Row],[CUIT]]="","-",VLOOKUP(factura_c_mes7[[#This Row],[CUIT]],Lista_CUIT[#All],3,0)),"CUIT NO CARGADO")</f>
        <v>Gastos Varios</v>
      </c>
      <c r="K153" s="54">
        <f>IFERROR(IF(factura_c_mes7[[#This Row],[CUIT]]="","-",VLOOKUP(factura_c_mes7[[#This Row],[CUIT]],Lista_CUIT[#All],4,0)),"CUIT NO CARGADO")</f>
        <v>0</v>
      </c>
    </row>
    <row r="154" spans="4:11" hidden="1">
      <c r="D154" s="281">
        <v>45478</v>
      </c>
      <c r="E154" s="414">
        <v>2019</v>
      </c>
      <c r="F154" s="414">
        <v>4305</v>
      </c>
      <c r="G154" s="36">
        <v>20277164192</v>
      </c>
      <c r="H154" s="53" t="str">
        <f>IFERROR(IF(factura_c_mes7[[#This Row],[CUIT]]="","-",VLOOKUP(factura_c_mes7[[#This Row],[CUIT]],Lista_CUIT[#All],2,0)),"CUIT NO CARGADO")</f>
        <v>PABLO ROBERTO MURUA POU</v>
      </c>
      <c r="I154" s="278">
        <v>5700</v>
      </c>
      <c r="J154" s="54" t="str">
        <f>IFERROR(IF(factura_c_mes7[[#This Row],[CUIT]]="","-",VLOOKUP(factura_c_mes7[[#This Row],[CUIT]],Lista_CUIT[#All],3,0)),"CUIT NO CARGADO")</f>
        <v>GASTOS VARIOS</v>
      </c>
      <c r="K154" s="54">
        <f>IFERROR(IF(factura_c_mes7[[#This Row],[CUIT]]="","-",VLOOKUP(factura_c_mes7[[#This Row],[CUIT]],Lista_CUIT[#All],4,0)),"CUIT NO CARGADO")</f>
        <v>0</v>
      </c>
    </row>
    <row r="155" spans="4:11" hidden="1">
      <c r="D155" s="281">
        <v>45496</v>
      </c>
      <c r="E155" s="414">
        <v>1</v>
      </c>
      <c r="F155" s="414">
        <v>26</v>
      </c>
      <c r="G155" s="36">
        <v>20190742297</v>
      </c>
      <c r="H155" s="53" t="str">
        <f>IFERROR(IF(factura_c_mes7[[#This Row],[CUIT]]="","-",VLOOKUP(factura_c_mes7[[#This Row],[CUIT]],Lista_CUIT[#All],2,0)),"CUIT NO CARGADO")</f>
        <v>CHANCO VILLAVICENCIO ERNESTO ANTONIO</v>
      </c>
      <c r="I155" s="278">
        <v>70000</v>
      </c>
      <c r="J155" s="54" t="str">
        <f>IFERROR(IF(factura_c_mes7[[#This Row],[CUIT]]="","-",VLOOKUP(factura_c_mes7[[#This Row],[CUIT]],Lista_CUIT[#All],3,0)),"CUIT NO CARGADO")</f>
        <v>Gastos Varios</v>
      </c>
      <c r="K155" s="54">
        <f>IFERROR(IF(factura_c_mes7[[#This Row],[CUIT]]="","-",VLOOKUP(factura_c_mes7[[#This Row],[CUIT]],Lista_CUIT[#All],4,0)),"CUIT NO CARGADO")</f>
        <v>0</v>
      </c>
    </row>
    <row r="156" spans="4:11">
      <c r="D156" s="281">
        <v>45478</v>
      </c>
      <c r="E156" s="414">
        <v>2</v>
      </c>
      <c r="F156" s="414">
        <v>125</v>
      </c>
      <c r="G156" s="36">
        <v>20220423655</v>
      </c>
      <c r="H156" s="53" t="str">
        <f>IFERROR(IF(factura_c_mes7[[#This Row],[CUIT]]="","-",VLOOKUP(factura_c_mes7[[#This Row],[CUIT]],Lista_CUIT[#All],2,0)),"CUIT NO CARGADO")</f>
        <v>LANDRO FERNANDO GABRIEL</v>
      </c>
      <c r="I156" s="278">
        <v>464615</v>
      </c>
      <c r="J156" s="54" t="str">
        <f>IFERROR(IF(factura_c_mes7[[#This Row],[CUIT]]="","-",VLOOKUP(factura_c_mes7[[#This Row],[CUIT]],Lista_CUIT[#All],3,0)),"CUIT NO CARGADO")</f>
        <v>GESTION COBRANZAS</v>
      </c>
      <c r="K156" s="54">
        <f>IFERROR(IF(factura_c_mes7[[#This Row],[CUIT]]="","-",VLOOKUP(factura_c_mes7[[#This Row],[CUIT]],Lista_CUIT[#All],4,0)),"CUIT NO CARGADO")</f>
        <v>0</v>
      </c>
    </row>
    <row r="157" spans="4:11">
      <c r="D157" s="281">
        <v>45478</v>
      </c>
      <c r="E157" s="414">
        <v>2</v>
      </c>
      <c r="F157" s="414">
        <v>124</v>
      </c>
      <c r="G157" s="36">
        <v>20220423655</v>
      </c>
      <c r="H157" s="53" t="str">
        <f>IFERROR(IF(factura_c_mes7[[#This Row],[CUIT]]="","-",VLOOKUP(factura_c_mes7[[#This Row],[CUIT]],Lista_CUIT[#All],2,0)),"CUIT NO CARGADO")</f>
        <v>LANDRO FERNANDO GABRIEL</v>
      </c>
      <c r="I157" s="278">
        <v>419670</v>
      </c>
      <c r="J157" s="54" t="str">
        <f>IFERROR(IF(factura_c_mes7[[#This Row],[CUIT]]="","-",VLOOKUP(factura_c_mes7[[#This Row],[CUIT]],Lista_CUIT[#All],3,0)),"CUIT NO CARGADO")</f>
        <v>GESTION COBRANZAS</v>
      </c>
      <c r="K157" s="54">
        <f>IFERROR(IF(factura_c_mes7[[#This Row],[CUIT]]="","-",VLOOKUP(factura_c_mes7[[#This Row],[CUIT]],Lista_CUIT[#All],4,0)),"CUIT NO CARGADO")</f>
        <v>0</v>
      </c>
    </row>
    <row r="158" spans="4:11" hidden="1">
      <c r="D158" s="281">
        <v>45474</v>
      </c>
      <c r="E158" s="414">
        <v>1</v>
      </c>
      <c r="F158" s="414">
        <v>104</v>
      </c>
      <c r="G158" s="36">
        <v>20389908569</v>
      </c>
      <c r="H158" s="53" t="str">
        <f>IFERROR(IF(factura_c_mes7[[#This Row],[CUIT]]="","-",VLOOKUP(factura_c_mes7[[#This Row],[CUIT]],Lista_CUIT[#All],2,0)),"CUIT NO CARGADO")</f>
        <v>BOTINDARI JUAN IGNACIO</v>
      </c>
      <c r="I158" s="278">
        <v>1200000</v>
      </c>
      <c r="J158" s="54" t="str">
        <f>IFERROR(IF(factura_c_mes7[[#This Row],[CUIT]]="","-",VLOOKUP(factura_c_mes7[[#This Row],[CUIT]],Lista_CUIT[#All],3,0)),"CUIT NO CARGADO")</f>
        <v>HONORARIOS</v>
      </c>
      <c r="K158" s="54">
        <f>IFERROR(IF(factura_c_mes7[[#This Row],[CUIT]]="","-",VLOOKUP(factura_c_mes7[[#This Row],[CUIT]],Lista_CUIT[#All],4,0)),"CUIT NO CARGADO")</f>
        <v>0</v>
      </c>
    </row>
    <row r="159" spans="4:11" hidden="1">
      <c r="D159" s="281">
        <v>45476</v>
      </c>
      <c r="E159" s="414">
        <v>3</v>
      </c>
      <c r="F159" s="414">
        <v>857</v>
      </c>
      <c r="G159" s="36">
        <v>20086277523</v>
      </c>
      <c r="H159" s="53" t="str">
        <f>IFERROR(IF(factura_c_mes7[[#This Row],[CUIT]]="","-",VLOOKUP(factura_c_mes7[[#This Row],[CUIT]],Lista_CUIT[#All],2,0)),"CUIT NO CARGADO")</f>
        <v>BOTINDARI JUAN CARLOS</v>
      </c>
      <c r="I159" s="278">
        <v>275500</v>
      </c>
      <c r="J159" s="54" t="str">
        <f>IFERROR(IF(factura_c_mes7[[#This Row],[CUIT]]="","-",VLOOKUP(factura_c_mes7[[#This Row],[CUIT]],Lista_CUIT[#All],3,0)),"CUIT NO CARGADO")</f>
        <v>HONORARIOS</v>
      </c>
      <c r="K159" s="54">
        <f>IFERROR(IF(factura_c_mes7[[#This Row],[CUIT]]="","-",VLOOKUP(factura_c_mes7[[#This Row],[CUIT]],Lista_CUIT[#All],4,0)),"CUIT NO CARGADO")</f>
        <v>0</v>
      </c>
    </row>
    <row r="160" spans="4:11" hidden="1">
      <c r="D160" s="281">
        <v>45497</v>
      </c>
      <c r="E160" s="175">
        <v>1</v>
      </c>
      <c r="F160" s="175">
        <v>68</v>
      </c>
      <c r="G160" s="118">
        <v>23281233084</v>
      </c>
      <c r="H160" s="53" t="str">
        <f>IFERROR(IF(factura_c_mes7[[#This Row],[CUIT]]="","-",VLOOKUP(factura_c_mes7[[#This Row],[CUIT]],Lista_CUIT[#All],2,0)),"CUIT NO CARGADO")</f>
        <v>DRUETTA ANDREA MARIEL</v>
      </c>
      <c r="I160" s="278">
        <v>107900</v>
      </c>
      <c r="J160" s="54" t="str">
        <f>IFERROR(IF(factura_c_mes7[[#This Row],[CUIT]]="","-",VLOOKUP(factura_c_mes7[[#This Row],[CUIT]],Lista_CUIT[#All],3,0)),"CUIT NO CARGADO")</f>
        <v>HONORARIOS TECNICOS</v>
      </c>
      <c r="K160" s="54">
        <f>IFERROR(IF(factura_c_mes7[[#This Row],[CUIT]]="","-",VLOOKUP(factura_c_mes7[[#This Row],[CUIT]],Lista_CUIT[#All],4,0)),"CUIT NO CARGADO")</f>
        <v>0</v>
      </c>
    </row>
    <row r="161" spans="2:18" hidden="1">
      <c r="D161" s="281">
        <v>45504</v>
      </c>
      <c r="E161" s="175">
        <v>2</v>
      </c>
      <c r="F161" s="175">
        <v>7</v>
      </c>
      <c r="G161" s="118">
        <v>20299835260</v>
      </c>
      <c r="H161" s="53" t="str">
        <f>IFERROR(IF(factura_c_mes7[[#This Row],[CUIT]]="","-",VLOOKUP(factura_c_mes7[[#This Row],[CUIT]],Lista_CUIT[#All],2,0)),"CUIT NO CARGADO")</f>
        <v>MALGAREJO NICOLAS EMILIO</v>
      </c>
      <c r="I161" s="278">
        <v>330000</v>
      </c>
      <c r="J161" s="54" t="str">
        <f>IFERROR(IF(factura_c_mes7[[#This Row],[CUIT]]="","-",VLOOKUP(factura_c_mes7[[#This Row],[CUIT]],Lista_CUIT[#All],3,0)),"CUIT NO CARGADO")</f>
        <v>Productos Ortopedicos</v>
      </c>
      <c r="K161" s="54">
        <f>IFERROR(IF(factura_c_mes7[[#This Row],[CUIT]]="","-",VLOOKUP(factura_c_mes7[[#This Row],[CUIT]],Lista_CUIT[#All],4,0)),"CUIT NO CARGADO")</f>
        <v>0</v>
      </c>
    </row>
    <row r="162" spans="2:18" hidden="1">
      <c r="D162" s="281">
        <v>45481</v>
      </c>
      <c r="E162" s="414">
        <v>4</v>
      </c>
      <c r="F162" s="414">
        <v>35</v>
      </c>
      <c r="G162" s="36">
        <v>20272417653</v>
      </c>
      <c r="H162" s="53" t="str">
        <f>IFERROR(IF(factura_c_mes7[[#This Row],[CUIT]]="","-",VLOOKUP(factura_c_mes7[[#This Row],[CUIT]],Lista_CUIT[#All],2,0)),"CUIT NO CARGADO")</f>
        <v>TACACHO ROLANDO GABRIEL</v>
      </c>
      <c r="I162" s="278">
        <v>260000</v>
      </c>
      <c r="J162" s="54" t="str">
        <f>IFERROR(IF(factura_c_mes7[[#This Row],[CUIT]]="","-",VLOOKUP(factura_c_mes7[[#This Row],[CUIT]],Lista_CUIT[#All],3,0)),"CUIT NO CARGADO")</f>
        <v>Mantenimiento</v>
      </c>
      <c r="K162" s="54">
        <f>IFERROR(IF(factura_c_mes7[[#This Row],[CUIT]]="","-",VLOOKUP(factura_c_mes7[[#This Row],[CUIT]],Lista_CUIT[#All],4,0)),"CUIT NO CARGADO")</f>
        <v>0</v>
      </c>
    </row>
    <row r="163" spans="2:18" hidden="1">
      <c r="D163" s="281">
        <v>45484</v>
      </c>
      <c r="E163" s="414">
        <v>1</v>
      </c>
      <c r="F163" s="414">
        <v>3</v>
      </c>
      <c r="G163" s="36">
        <v>20047064946</v>
      </c>
      <c r="H163" s="53" t="str">
        <f>IFERROR(IF(factura_c_mes7[[#This Row],[CUIT]]="","-",VLOOKUP(factura_c_mes7[[#This Row],[CUIT]],Lista_CUIT[#All],2,0)),"CUIT NO CARGADO")</f>
        <v>GARCIA LETTIERI EDUARDO ALBERTO</v>
      </c>
      <c r="I163" s="278">
        <v>2432700</v>
      </c>
      <c r="J163" s="54" t="str">
        <f>IFERROR(IF(factura_c_mes7[[#This Row],[CUIT]]="","-",VLOOKUP(factura_c_mes7[[#This Row],[CUIT]],Lista_CUIT[#All],3,0)),"CUIT NO CARGADO")</f>
        <v>Mantenimiento</v>
      </c>
      <c r="K163" s="54">
        <f>IFERROR(IF(factura_c_mes7[[#This Row],[CUIT]]="","-",VLOOKUP(factura_c_mes7[[#This Row],[CUIT]],Lista_CUIT[#All],4,0)),"CUIT NO CARGADO")</f>
        <v>0</v>
      </c>
    </row>
    <row r="164" spans="2:18" hidden="1">
      <c r="D164" s="281">
        <v>45484</v>
      </c>
      <c r="E164" s="414">
        <v>1</v>
      </c>
      <c r="F164" s="414">
        <v>4</v>
      </c>
      <c r="G164" s="36">
        <v>27122903201</v>
      </c>
      <c r="H164" s="53" t="str">
        <f>IFERROR(IF(factura_c_mes7[[#This Row],[CUIT]]="","-",VLOOKUP(factura_c_mes7[[#This Row],[CUIT]],Lista_CUIT[#All],2,0)),"CUIT NO CARGADO")</f>
        <v>ARCE RAQUEL INES</v>
      </c>
      <c r="I164" s="278">
        <v>2432700</v>
      </c>
      <c r="J164" s="54" t="str">
        <f>IFERROR(IF(factura_c_mes7[[#This Row],[CUIT]]="","-",VLOOKUP(factura_c_mes7[[#This Row],[CUIT]],Lista_CUIT[#All],3,0)),"CUIT NO CARGADO")</f>
        <v>Mantenimiento</v>
      </c>
      <c r="K164" s="54">
        <f>IFERROR(IF(factura_c_mes7[[#This Row],[CUIT]]="","-",VLOOKUP(factura_c_mes7[[#This Row],[CUIT]],Lista_CUIT[#All],4,0)),"CUIT NO CARGADO")</f>
        <v>0</v>
      </c>
    </row>
    <row r="165" spans="2:18" hidden="1">
      <c r="D165" s="281">
        <v>45474</v>
      </c>
      <c r="E165" s="414">
        <v>2</v>
      </c>
      <c r="F165" s="414">
        <v>287</v>
      </c>
      <c r="G165" s="36">
        <v>27265832178</v>
      </c>
      <c r="H165" s="53" t="str">
        <f>IFERROR(IF(factura_c_mes7[[#This Row],[CUIT]]="","-",VLOOKUP(factura_c_mes7[[#This Row],[CUIT]],Lista_CUIT[#All],2,0)),"CUIT NO CARGADO")</f>
        <v>BLASCO MARIA GUADALUPE</v>
      </c>
      <c r="I165" s="278">
        <v>150000</v>
      </c>
      <c r="J165" s="54" t="str">
        <f>IFERROR(IF(factura_c_mes7[[#This Row],[CUIT]]="","-",VLOOKUP(factura_c_mes7[[#This Row],[CUIT]],Lista_CUIT[#All],3,0)),"CUIT NO CARGADO")</f>
        <v>Productos Ortopedicos</v>
      </c>
      <c r="K165" s="54">
        <f>IFERROR(IF(factura_c_mes7[[#This Row],[CUIT]]="","-",VLOOKUP(factura_c_mes7[[#This Row],[CUIT]],Lista_CUIT[#All],4,0)),"CUIT NO CARGADO")</f>
        <v>0</v>
      </c>
    </row>
    <row r="166" spans="2:18" hidden="1">
      <c r="D166" s="281">
        <v>45476</v>
      </c>
      <c r="E166" s="414">
        <v>2</v>
      </c>
      <c r="F166" s="414">
        <v>689</v>
      </c>
      <c r="G166" s="36">
        <v>27294612845</v>
      </c>
      <c r="H166" s="53" t="str">
        <f>IFERROR(IF(factura_c_mes7[[#This Row],[CUIT]]="","-",VLOOKUP(factura_c_mes7[[#This Row],[CUIT]],Lista_CUIT[#All],2,0)),"CUIT NO CARGADO")</f>
        <v>VASTA LUCILA</v>
      </c>
      <c r="I166" s="278">
        <v>1200000</v>
      </c>
      <c r="J166" s="54" t="str">
        <f>IFERROR(IF(factura_c_mes7[[#This Row],[CUIT]]="","-",VLOOKUP(factura_c_mes7[[#This Row],[CUIT]],Lista_CUIT[#All],3,0)),"CUIT NO CARGADO")</f>
        <v>Productos Ortopedicos</v>
      </c>
      <c r="K166" s="54">
        <f>IFERROR(IF(factura_c_mes7[[#This Row],[CUIT]]="","-",VLOOKUP(factura_c_mes7[[#This Row],[CUIT]],Lista_CUIT[#All],4,0)),"CUIT NO CARGADO")</f>
        <v>0</v>
      </c>
    </row>
    <row r="167" spans="2:18" hidden="1">
      <c r="D167" s="281">
        <v>45493</v>
      </c>
      <c r="E167" s="414">
        <v>3</v>
      </c>
      <c r="F167" s="414">
        <v>957</v>
      </c>
      <c r="G167" s="36">
        <v>20216451679</v>
      </c>
      <c r="H167" s="53" t="str">
        <f>IFERROR(IF(factura_c_mes7[[#This Row],[CUIT]]="","-",VLOOKUP(factura_c_mes7[[#This Row],[CUIT]],Lista_CUIT[#All],2,0)),"CUIT NO CARGADO")</f>
        <v>VAZQUEZ RICARDO OSCAR</v>
      </c>
      <c r="I167" s="278">
        <v>125665.2</v>
      </c>
      <c r="J167" s="54" t="str">
        <f>IFERROR(IF(factura_c_mes7[[#This Row],[CUIT]]="","-",VLOOKUP(factura_c_mes7[[#This Row],[CUIT]],Lista_CUIT[#All],3,0)),"CUIT NO CARGADO")</f>
        <v>Productos Ortopedicos</v>
      </c>
      <c r="K167" s="54">
        <f>IFERROR(IF(factura_c_mes7[[#This Row],[CUIT]]="","-",VLOOKUP(factura_c_mes7[[#This Row],[CUIT]],Lista_CUIT[#All],4,0)),"CUIT NO CARGADO")</f>
        <v>0</v>
      </c>
    </row>
    <row r="168" spans="2:18" hidden="1">
      <c r="D168" s="281">
        <v>45493</v>
      </c>
      <c r="E168" s="414">
        <v>1</v>
      </c>
      <c r="F168" s="414">
        <v>142</v>
      </c>
      <c r="G168" s="36">
        <v>27338342840</v>
      </c>
      <c r="H168" s="53" t="str">
        <f>IFERROR(IF(factura_c_mes7[[#This Row],[CUIT]]="","-",VLOOKUP(factura_c_mes7[[#This Row],[CUIT]],Lista_CUIT[#All],2,0)),"CUIT NO CARGADO")</f>
        <v>CANCINO PAMELA RITA</v>
      </c>
      <c r="I168" s="278">
        <v>159200</v>
      </c>
      <c r="J168" s="54" t="str">
        <f>IFERROR(IF(factura_c_mes7[[#This Row],[CUIT]]="","-",VLOOKUP(factura_c_mes7[[#This Row],[CUIT]],Lista_CUIT[#All],3,0)),"CUIT NO CARGADO")</f>
        <v>Productos Ortopedicos</v>
      </c>
      <c r="K168" s="54">
        <f>IFERROR(IF(factura_c_mes7[[#This Row],[CUIT]]="","-",VLOOKUP(factura_c_mes7[[#This Row],[CUIT]],Lista_CUIT[#All],4,0)),"CUIT NO CARGADO")</f>
        <v>0</v>
      </c>
    </row>
    <row r="169" spans="2:18" hidden="1">
      <c r="B169" s="56"/>
      <c r="C169" s="56"/>
      <c r="D169" s="281">
        <v>45495</v>
      </c>
      <c r="E169" s="414">
        <v>2</v>
      </c>
      <c r="F169" s="414">
        <v>291</v>
      </c>
      <c r="G169" s="36">
        <v>27265832178</v>
      </c>
      <c r="H169" s="53" t="str">
        <f>IFERROR(IF(factura_c_mes7[[#This Row],[CUIT]]="","-",VLOOKUP(factura_c_mes7[[#This Row],[CUIT]],Lista_CUIT[#All],2,0)),"CUIT NO CARGADO")</f>
        <v>BLASCO MARIA GUADALUPE</v>
      </c>
      <c r="I169" s="278">
        <v>150000</v>
      </c>
      <c r="J169" s="54" t="str">
        <f>IFERROR(IF(factura_c_mes7[[#This Row],[CUIT]]="","-",VLOOKUP(factura_c_mes7[[#This Row],[CUIT]],Lista_CUIT[#All],3,0)),"CUIT NO CARGADO")</f>
        <v>Productos Ortopedicos</v>
      </c>
      <c r="K169" s="54">
        <f>IFERROR(IF(factura_c_mes7[[#This Row],[CUIT]]="","-",VLOOKUP(factura_c_mes7[[#This Row],[CUIT]],Lista_CUIT[#All],4,0)),"CUIT NO CARGADO")</f>
        <v>0</v>
      </c>
      <c r="L169" s="56"/>
      <c r="M169" s="56"/>
      <c r="N169" s="56"/>
      <c r="O169" s="56"/>
      <c r="P169" s="56"/>
      <c r="Q169" s="56"/>
      <c r="R169" s="56"/>
    </row>
    <row r="170" spans="2:18">
      <c r="D170" s="55" t="s">
        <v>110</v>
      </c>
      <c r="E170" s="55"/>
      <c r="F170" s="55"/>
      <c r="G170" s="55"/>
      <c r="H170" s="57"/>
      <c r="I170" s="58">
        <f>SUBTOTAL(109,factura_c_mes7[TOTAL])</f>
        <v>884285</v>
      </c>
      <c r="J170" s="55"/>
      <c r="K170" s="55"/>
    </row>
    <row r="174" spans="2:18" ht="26.25">
      <c r="B174" s="673" t="s">
        <v>29</v>
      </c>
      <c r="C174" s="673"/>
      <c r="D174" s="673"/>
      <c r="E174" s="673"/>
      <c r="F174" s="673"/>
      <c r="G174" s="673"/>
      <c r="H174" s="673"/>
      <c r="I174" s="673"/>
      <c r="J174" s="673"/>
      <c r="K174" s="669">
        <f>N1</f>
        <v>45474</v>
      </c>
      <c r="L174" s="669"/>
      <c r="M174" s="669"/>
    </row>
    <row r="176" spans="2:18" ht="21">
      <c r="B176" s="666" t="s">
        <v>30</v>
      </c>
      <c r="C176" s="666"/>
    </row>
    <row r="177" spans="2:13" ht="15.75">
      <c r="B177" s="60" t="s">
        <v>0</v>
      </c>
      <c r="C177" s="61" t="s">
        <v>1</v>
      </c>
      <c r="D177" s="61" t="s">
        <v>21</v>
      </c>
      <c r="E177" s="61" t="s">
        <v>22</v>
      </c>
      <c r="F177" s="61" t="s">
        <v>3</v>
      </c>
      <c r="G177" s="61" t="s">
        <v>4</v>
      </c>
      <c r="H177" s="61" t="s">
        <v>23</v>
      </c>
      <c r="I177" s="61" t="s">
        <v>17</v>
      </c>
      <c r="J177" s="61" t="s">
        <v>7</v>
      </c>
      <c r="K177" s="61" t="s">
        <v>24</v>
      </c>
      <c r="L177" s="61" t="s">
        <v>10</v>
      </c>
      <c r="M177" s="62" t="s">
        <v>38</v>
      </c>
    </row>
    <row r="178" spans="2:13">
      <c r="B178" s="40"/>
      <c r="C178" s="41"/>
      <c r="D178" s="42"/>
      <c r="E178" s="43"/>
      <c r="F178" s="44"/>
      <c r="G178" s="98" t="str">
        <f>IFERROR(IF(venta_a_mes7[[#This Row],[CUIT]]="","-",VLOOKUP(venta_a_mes7[[#This Row],[CUIT]],Lista_CUIT[#All],2,0)),"CUIT NO CARGADO")</f>
        <v>-</v>
      </c>
      <c r="H178" s="99"/>
      <c r="I178" s="100">
        <f>venta_a_mes7[[#This Row],[IMPORTE NETO]]*0.21</f>
        <v>0</v>
      </c>
      <c r="J178" s="65"/>
      <c r="K178" s="65"/>
      <c r="L178" s="65">
        <f>SUM(venta_a_mes7[[#This Row],[IMPORTE NETO]:[EXENTO]])</f>
        <v>0</v>
      </c>
      <c r="M178" s="59"/>
    </row>
    <row r="179" spans="2:13">
      <c r="B179" s="40"/>
      <c r="C179" s="41"/>
      <c r="D179" s="42"/>
      <c r="E179" s="43"/>
      <c r="F179" s="44"/>
      <c r="G179" s="98" t="str">
        <f>IFERROR(IF(venta_a_mes7[[#This Row],[CUIT]]="","-",VLOOKUP(venta_a_mes7[[#This Row],[CUIT]],Lista_CUIT[#All],2,0)),"CUIT NO CARGADO")</f>
        <v>-</v>
      </c>
      <c r="H179" s="99"/>
      <c r="I179" s="100">
        <f>venta_a_mes7[[#This Row],[IMPORTE NETO]]*0.21</f>
        <v>0</v>
      </c>
      <c r="J179" s="65"/>
      <c r="K179" s="65"/>
      <c r="L179" s="65">
        <f>SUM(venta_a_mes7[[#This Row],[IMPORTE NETO]:[EXENTO]])</f>
        <v>0</v>
      </c>
      <c r="M179" s="59"/>
    </row>
    <row r="180" spans="2:13">
      <c r="B180" s="40"/>
      <c r="C180" s="41"/>
      <c r="D180" s="42"/>
      <c r="E180" s="43"/>
      <c r="F180" s="44"/>
      <c r="G180" s="98" t="str">
        <f>IFERROR(IF(venta_a_mes7[[#This Row],[CUIT]]="","-",VLOOKUP(venta_a_mes7[[#This Row],[CUIT]],Lista_CUIT[#All],2,0)),"CUIT NO CARGADO")</f>
        <v>-</v>
      </c>
      <c r="H180" s="99"/>
      <c r="I180" s="100">
        <f>venta_a_mes7[[#This Row],[IMPORTE NETO]]*0.21</f>
        <v>0</v>
      </c>
      <c r="J180" s="65"/>
      <c r="K180" s="65"/>
      <c r="L180" s="65">
        <f>SUM(venta_a_mes7[[#This Row],[IMPORTE NETO]:[EXENTO]])</f>
        <v>0</v>
      </c>
      <c r="M180" s="59"/>
    </row>
    <row r="181" spans="2:13">
      <c r="B181" s="40"/>
      <c r="C181" s="41"/>
      <c r="D181" s="42"/>
      <c r="E181" s="43"/>
      <c r="F181" s="44"/>
      <c r="G181" s="98" t="str">
        <f>IFERROR(IF(venta_a_mes7[[#This Row],[CUIT]]="","-",VLOOKUP(venta_a_mes7[[#This Row],[CUIT]],Lista_CUIT[#All],2,0)),"CUIT NO CARGADO")</f>
        <v>-</v>
      </c>
      <c r="H181" s="99"/>
      <c r="I181" s="100">
        <f>venta_a_mes7[[#This Row],[IMPORTE NETO]]*0.21</f>
        <v>0</v>
      </c>
      <c r="J181" s="65"/>
      <c r="K181" s="65"/>
      <c r="L181" s="65">
        <f>SUM(venta_a_mes7[[#This Row],[IMPORTE NETO]:[EXENTO]])</f>
        <v>0</v>
      </c>
      <c r="M181" s="59"/>
    </row>
    <row r="182" spans="2:13">
      <c r="B182" s="40"/>
      <c r="C182" s="41"/>
      <c r="D182" s="42"/>
      <c r="E182" s="43"/>
      <c r="F182" s="44"/>
      <c r="G182" s="98" t="str">
        <f>IFERROR(IF(venta_a_mes7[[#This Row],[CUIT]]="","-",VLOOKUP(venta_a_mes7[[#This Row],[CUIT]],Lista_CUIT[#All],2,0)),"CUIT NO CARGADO")</f>
        <v>-</v>
      </c>
      <c r="H182" s="99"/>
      <c r="I182" s="100">
        <f>venta_a_mes7[[#This Row],[IMPORTE NETO]]*0.21</f>
        <v>0</v>
      </c>
      <c r="J182" s="65"/>
      <c r="K182" s="65"/>
      <c r="L182" s="65">
        <f>SUM(venta_a_mes7[[#This Row],[IMPORTE NETO]:[EXENTO]])</f>
        <v>0</v>
      </c>
      <c r="M182" s="59"/>
    </row>
    <row r="183" spans="2:13">
      <c r="B183" s="40"/>
      <c r="C183" s="41"/>
      <c r="D183" s="42"/>
      <c r="E183" s="43"/>
      <c r="F183" s="44"/>
      <c r="G183" s="98" t="str">
        <f>IFERROR(IF(venta_a_mes7[[#This Row],[CUIT]]="","-",VLOOKUP(venta_a_mes7[[#This Row],[CUIT]],Lista_CUIT[#All],2,0)),"CUIT NO CARGADO")</f>
        <v>-</v>
      </c>
      <c r="H183" s="99"/>
      <c r="I183" s="100">
        <f>venta_a_mes7[[#This Row],[IMPORTE NETO]]*0.21</f>
        <v>0</v>
      </c>
      <c r="J183" s="65"/>
      <c r="K183" s="65"/>
      <c r="L183" s="65">
        <f>SUM(venta_a_mes7[[#This Row],[IMPORTE NETO]:[EXENTO]])</f>
        <v>0</v>
      </c>
      <c r="M183" s="59"/>
    </row>
    <row r="184" spans="2:13">
      <c r="B184" s="40"/>
      <c r="C184" s="41"/>
      <c r="D184" s="42"/>
      <c r="E184" s="43"/>
      <c r="F184" s="44"/>
      <c r="G184" s="98" t="str">
        <f>IFERROR(IF(venta_a_mes7[[#This Row],[CUIT]]="","-",VLOOKUP(venta_a_mes7[[#This Row],[CUIT]],Lista_CUIT[#All],2,0)),"CUIT NO CARGADO")</f>
        <v>-</v>
      </c>
      <c r="H184" s="99"/>
      <c r="I184" s="100">
        <f>venta_a_mes7[[#This Row],[IMPORTE NETO]]*0.21</f>
        <v>0</v>
      </c>
      <c r="J184" s="65"/>
      <c r="K184" s="65"/>
      <c r="L184" s="65">
        <f>SUM(venta_a_mes7[[#This Row],[IMPORTE NETO]:[EXENTO]])</f>
        <v>0</v>
      </c>
      <c r="M184" s="63"/>
    </row>
    <row r="185" spans="2:13">
      <c r="B185" s="101"/>
      <c r="C185" s="102"/>
      <c r="D185" s="103"/>
      <c r="E185" s="104"/>
      <c r="F185" s="105"/>
      <c r="G185" s="98" t="str">
        <f>IFERROR(IF(venta_a_mes7[[#This Row],[CUIT]]="","-",VLOOKUP(venta_a_mes7[[#This Row],[CUIT]],Lista_CUIT[#All],2,0)),"CUIT NO CARGADO")</f>
        <v>-</v>
      </c>
      <c r="H185" s="106"/>
      <c r="I185" s="107">
        <f>venta_a_mes7[[#This Row],[IMPORTE NETO]]*0.21</f>
        <v>0</v>
      </c>
      <c r="J185" s="72"/>
      <c r="K185" s="72"/>
      <c r="L185" s="72">
        <f>SUM(venta_a_mes7[[#This Row],[IMPORTE NETO]:[EXENTO]])</f>
        <v>0</v>
      </c>
      <c r="M185" s="63"/>
    </row>
    <row r="186" spans="2:13">
      <c r="B186" s="108"/>
      <c r="C186" s="109"/>
      <c r="D186" s="110"/>
      <c r="E186" s="111"/>
      <c r="F186" s="112"/>
      <c r="G186" s="98" t="str">
        <f>IFERROR(IF(venta_a_mes7[[#This Row],[CUIT]]="","-",VLOOKUP(venta_a_mes7[[#This Row],[CUIT]],Lista_CUIT[#All],2,0)),"CUIT NO CARGADO")</f>
        <v>-</v>
      </c>
      <c r="H186" s="99"/>
      <c r="I186" s="100">
        <f>venta_a_mes7[[#This Row],[IMPORTE NETO]]*0.21</f>
        <v>0</v>
      </c>
      <c r="J186" s="65"/>
      <c r="K186" s="65"/>
      <c r="L186" s="65">
        <f>SUM(venta_a_mes7[[#This Row],[IMPORTE NETO]:[EXENTO]])</f>
        <v>0</v>
      </c>
      <c r="M186" s="59"/>
    </row>
    <row r="187" spans="2:13">
      <c r="B187" s="66" t="s">
        <v>110</v>
      </c>
      <c r="C187" s="67"/>
      <c r="D187" s="67"/>
      <c r="E187" s="67"/>
      <c r="F187" s="67"/>
      <c r="G187" s="67"/>
      <c r="H187" s="69">
        <f>SUBTOTAL(109,venta_a_mes7[IMPORTE NETO])</f>
        <v>0</v>
      </c>
      <c r="I187" s="70">
        <f>SUBTOTAL(109,venta_a_mes7[IVA 21%])</f>
        <v>0</v>
      </c>
      <c r="J187" s="71">
        <f>SUBTOTAL(109,venta_a_mes7[IVA 10,5%])</f>
        <v>0</v>
      </c>
      <c r="K187" s="71">
        <f>SUBTOTAL(109,venta_a_mes7[EXENTO])</f>
        <v>0</v>
      </c>
      <c r="L187" s="71">
        <f>SUBTOTAL(109,venta_a_mes7[TOTAL])</f>
        <v>0</v>
      </c>
      <c r="M187" s="68">
        <f>SUBTOTAL(103,venta_a_mes7[Provincia])</f>
        <v>0</v>
      </c>
    </row>
    <row r="190" spans="2:13" ht="21">
      <c r="B190" s="666" t="s">
        <v>31</v>
      </c>
      <c r="C190" s="666"/>
    </row>
    <row r="191" spans="2:13" ht="15.75">
      <c r="B191" s="60" t="s">
        <v>0</v>
      </c>
      <c r="C191" s="61" t="s">
        <v>1</v>
      </c>
      <c r="D191" s="61" t="s">
        <v>21</v>
      </c>
      <c r="E191" s="61" t="s">
        <v>22</v>
      </c>
      <c r="F191" s="61" t="s">
        <v>3</v>
      </c>
      <c r="G191" s="61" t="s">
        <v>4</v>
      </c>
      <c r="H191" s="61" t="s">
        <v>23</v>
      </c>
      <c r="I191" s="61" t="s">
        <v>17</v>
      </c>
      <c r="J191" s="61" t="s">
        <v>7</v>
      </c>
      <c r="K191" s="61" t="s">
        <v>24</v>
      </c>
      <c r="L191" s="61" t="s">
        <v>10</v>
      </c>
      <c r="M191" s="62" t="s">
        <v>38</v>
      </c>
    </row>
    <row r="192" spans="2:13">
      <c r="B192" s="40"/>
      <c r="C192" s="41"/>
      <c r="D192" s="42"/>
      <c r="E192" s="43"/>
      <c r="F192" s="44"/>
      <c r="G192" s="1" t="str">
        <f>IFERROR(IF(ventas_b_mes7[[#This Row],[CUIT]]="","-",VLOOKUP(ventas_b_mes7[[#This Row],[CUIT]],Lista_CUIT[#All],2,0)),"CUIT NO CARGADO")</f>
        <v>-</v>
      </c>
      <c r="H192" s="64"/>
      <c r="I192" s="64"/>
      <c r="J192" s="64"/>
      <c r="K192" s="64"/>
      <c r="L192" s="64">
        <f>SUM(ventas_b_mes7[[#This Row],[IMPORTE NETO]:[EXENTO]])</f>
        <v>0</v>
      </c>
      <c r="M192" s="59"/>
    </row>
    <row r="193" spans="2:13">
      <c r="B193" s="40"/>
      <c r="C193" s="41"/>
      <c r="D193" s="42"/>
      <c r="E193" s="43"/>
      <c r="F193" s="44"/>
      <c r="G193" s="1"/>
      <c r="H193" s="64"/>
      <c r="I193" s="64"/>
      <c r="J193" s="64"/>
      <c r="K193" s="64"/>
      <c r="L193" s="64">
        <f>SUM(ventas_b_mes7[[#This Row],[IMPORTE NETO]:[EXENTO]])</f>
        <v>0</v>
      </c>
      <c r="M193" s="59"/>
    </row>
    <row r="194" spans="2:13">
      <c r="B194" s="40"/>
      <c r="C194" s="41"/>
      <c r="D194" s="42"/>
      <c r="E194" s="43"/>
      <c r="F194" s="44"/>
      <c r="G194" s="1"/>
      <c r="H194" s="64"/>
      <c r="I194" s="64"/>
      <c r="J194" s="64"/>
      <c r="K194" s="64"/>
      <c r="L194" s="64">
        <f>SUM(ventas_b_mes7[[#This Row],[IMPORTE NETO]:[EXENTO]])</f>
        <v>0</v>
      </c>
      <c r="M194" s="59"/>
    </row>
    <row r="195" spans="2:13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SUM(ventas_b_mes7[[#This Row],[IMPORTE NETO]:[EXENTO]])</f>
        <v>0</v>
      </c>
      <c r="M195" s="59"/>
    </row>
    <row r="196" spans="2:13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SUM(ventas_b_mes7[[#This Row],[IMPORTE NETO]:[EXENTO]])</f>
        <v>0</v>
      </c>
      <c r="M196" s="59"/>
    </row>
    <row r="197" spans="2:13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SUM(ventas_b_mes7[[#This Row],[IMPORTE NETO]:[EXENTO]])</f>
        <v>0</v>
      </c>
      <c r="M197" s="59"/>
    </row>
    <row r="198" spans="2:13">
      <c r="B198" s="66" t="s">
        <v>110</v>
      </c>
      <c r="C198" s="67"/>
      <c r="D198" s="67"/>
      <c r="E198" s="67"/>
      <c r="F198" s="67"/>
      <c r="G198" s="67"/>
      <c r="H198" s="77">
        <f>SUBTOTAL(109,ventas_b_mes7[IMPORTE NETO])</f>
        <v>0</v>
      </c>
      <c r="I198" s="77">
        <f>SUBTOTAL(109,ventas_b_mes7[IVA 21%])</f>
        <v>0</v>
      </c>
      <c r="J198" s="78">
        <f>SUBTOTAL(109,ventas_b_mes7[IVA 10,5%])</f>
        <v>0</v>
      </c>
      <c r="K198" s="78">
        <f>SUBTOTAL(109,ventas_b_mes7[EXENTO])</f>
        <v>0</v>
      </c>
      <c r="L198" s="78">
        <f>SUBTOTAL(109,ventas_b_mes7[TOTAL])</f>
        <v>0</v>
      </c>
      <c r="M198" s="68">
        <f>SUBTOTAL(103,ventas_b_mes7[Provincia])</f>
        <v>0</v>
      </c>
    </row>
    <row r="205" spans="2:13" ht="15.75" thickBot="1"/>
    <row r="206" spans="2:13" ht="15.75" thickTop="1">
      <c r="C206" s="663" t="s">
        <v>66</v>
      </c>
      <c r="D206" s="663"/>
      <c r="E206" s="663"/>
      <c r="F206" s="663"/>
      <c r="G206" s="663"/>
      <c r="H206" s="32"/>
      <c r="I206" s="32"/>
      <c r="J206" s="32"/>
    </row>
    <row r="207" spans="2:13" ht="15.75">
      <c r="C207" s="113" t="s">
        <v>67</v>
      </c>
      <c r="D207" s="114" t="s">
        <v>68</v>
      </c>
      <c r="E207" s="114" t="s">
        <v>112</v>
      </c>
      <c r="F207" s="114" t="s">
        <v>3</v>
      </c>
      <c r="G207" s="114" t="s">
        <v>4</v>
      </c>
      <c r="H207" s="115" t="s">
        <v>69</v>
      </c>
      <c r="I207" s="115" t="s">
        <v>70</v>
      </c>
      <c r="J207" s="115" t="s">
        <v>71</v>
      </c>
      <c r="K207" s="115" t="s">
        <v>72</v>
      </c>
      <c r="L207" s="115" t="s">
        <v>73</v>
      </c>
    </row>
    <row r="208" spans="2:13">
      <c r="C208" s="116"/>
      <c r="D208" s="117"/>
      <c r="E208" s="117"/>
      <c r="F208" s="118"/>
      <c r="G208" s="53" t="str">
        <f>IFERROR(IF(Retenciones_mes7[[#This Row],[CUIT]]="","-",VLOOKUP(Retenciones_mes7[[#This Row],[CUIT]],Lista_CUIT[#All],2,0)),"CUIT NO CARGADO")</f>
        <v>-</v>
      </c>
      <c r="H208" s="119"/>
      <c r="I208" s="119"/>
      <c r="J208" s="119"/>
      <c r="K208" s="119"/>
      <c r="L208" s="119"/>
    </row>
    <row r="209" spans="3:12">
      <c r="C209" s="116"/>
      <c r="D209" s="117"/>
      <c r="E209" s="117"/>
      <c r="F209" s="118"/>
      <c r="G209" s="53" t="str">
        <f>IFERROR(IF(Retenciones_mes7[[#This Row],[CUIT]]="","-",VLOOKUP(Retenciones_mes7[[#This Row],[CUIT]],Lista_CUIT[#All],2,0)),"CUIT NO CARGADO")</f>
        <v>-</v>
      </c>
      <c r="H209" s="119"/>
      <c r="I209" s="119"/>
      <c r="J209" s="119"/>
      <c r="K209" s="119"/>
      <c r="L209" s="119"/>
    </row>
    <row r="210" spans="3:12">
      <c r="C210" s="116"/>
      <c r="D210" s="117"/>
      <c r="E210" s="117"/>
      <c r="F210" s="118"/>
      <c r="G210" s="53" t="str">
        <f>IFERROR(IF(Retenciones_mes7[[#This Row],[CUIT]]="","-",VLOOKUP(Retenciones_mes7[[#This Row],[CUIT]],Lista_CUIT[#All],2,0)),"CUIT NO CARGADO")</f>
        <v>-</v>
      </c>
      <c r="H210" s="119"/>
      <c r="I210" s="119"/>
      <c r="J210" s="119"/>
      <c r="K210" s="119"/>
      <c r="L210" s="119"/>
    </row>
    <row r="211" spans="3:12">
      <c r="C211" s="116"/>
      <c r="D211" s="117"/>
      <c r="E211" s="117"/>
      <c r="F211" s="118"/>
      <c r="G211" s="53" t="str">
        <f>IFERROR(IF(Retenciones_mes7[[#This Row],[CUIT]]="","-",VLOOKUP(Retenciones_mes7[[#This Row],[CUIT]],Lista_CUIT[#All],2,0)),"CUIT NO CARGADO")</f>
        <v>-</v>
      </c>
      <c r="H211" s="119"/>
      <c r="I211" s="119"/>
      <c r="J211" s="119"/>
      <c r="K211" s="119"/>
      <c r="L211" s="119"/>
    </row>
    <row r="212" spans="3:12">
      <c r="D212" s="117"/>
      <c r="E212" s="117"/>
      <c r="G212" s="53" t="str">
        <f>IFERROR(IF(Retenciones_mes7[[#This Row],[CUIT]]="","-",VLOOKUP(Retenciones_mes7[[#This Row],[CUIT]],Lista_CUIT[#All],2,0)),"CUIT NO CARGADO")</f>
        <v>-</v>
      </c>
    </row>
    <row r="213" spans="3:12">
      <c r="C213" s="33"/>
    </row>
  </sheetData>
  <mergeCells count="20">
    <mergeCell ref="C206:G206"/>
    <mergeCell ref="B4:E4"/>
    <mergeCell ref="G4:H4"/>
    <mergeCell ref="J4:K4"/>
    <mergeCell ref="M4:N4"/>
    <mergeCell ref="D132:K132"/>
    <mergeCell ref="B174:J174"/>
    <mergeCell ref="K174:M174"/>
    <mergeCell ref="B176:C176"/>
    <mergeCell ref="B190:C190"/>
    <mergeCell ref="P4:R4"/>
    <mergeCell ref="D123:L12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whole" allowBlank="1" showInputMessage="1" showErrorMessage="1" sqref="E134:E169 D178:D186 D192:D197 D9:D117">
      <formula1>1</formula1>
      <formula2>9999</formula2>
    </dataValidation>
    <dataValidation type="whole" allowBlank="1" showInputMessage="1" showErrorMessage="1" sqref="F134:F169 E178:E186 E192:E197 E9:E117">
      <formula1>1</formula1>
      <formula2>99999999</formula2>
    </dataValidation>
    <dataValidation type="whole" allowBlank="1" showInputMessage="1" showErrorMessage="1" sqref="G134:G169 F178:F186 F192:F197 F9:F117">
      <formula1>20000000000</formula1>
      <formula2>33999999999</formula2>
    </dataValidation>
    <dataValidation type="date" allowBlank="1" showInputMessage="1" showErrorMessage="1" sqref="D125:D127 B178:B186 B119:B122 B192:B197 D134:D169 B9:B117">
      <formula1>40179</formula1>
      <formula2>TODAY()</formula2>
    </dataValidation>
    <dataValidation type="whole" allowBlank="1" showInputMessage="1" showErrorMessage="1" sqref="C178:C186 C119:C122 C9:C117">
      <formula1>1</formula1>
      <formula2>3</formula2>
    </dataValidation>
    <dataValidation type="custom" allowBlank="1" showInputMessage="1" showErrorMessage="1" sqref="H178:K178 H180:K180 H182:K182 H184:K184">
      <formula1>IF($C178=3,H178&lt;0,H178&gt;=0)</formula1>
    </dataValidation>
    <dataValidation type="whole" allowBlank="1" showInputMessage="1" showErrorMessage="1" sqref="C192:C197">
      <formula1>6</formula1>
      <formula2>8</formula2>
    </dataValidation>
    <dataValidation type="custom" allowBlank="1" showInputMessage="1" showErrorMessage="1" sqref="L178:L182">
      <formula1>IF(#REF!=3,#REF!&lt;0,#REF!&gt;=0)</formula1>
    </dataValidation>
    <dataValidation type="custom" allowBlank="1" showInputMessage="1" showErrorMessage="1" sqref="L183:L184">
      <formula1>IF($C118=3,L118&lt;0,L118&gt;=0)</formula1>
    </dataValidation>
    <dataValidation type="custom" allowBlank="1" showInputMessage="1" showErrorMessage="1" sqref="H192:L197">
      <formula1>IF($C192=8,H192&lt;0,H192&gt;=0)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7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theme="9" tint="0.79998168889431442"/>
  </sheetPr>
  <dimension ref="A1:Z213"/>
  <sheetViews>
    <sheetView showGridLines="0" topLeftCell="C7" zoomScale="90" zoomScaleNormal="90" workbookViewId="0">
      <selection activeCell="I145" activeCellId="2" sqref="H122 O122 I145"/>
    </sheetView>
  </sheetViews>
  <sheetFormatPr baseColWidth="10" defaultColWidth="0" defaultRowHeight="15"/>
  <cols>
    <col min="1" max="1" width="1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16" customWidth="1"/>
    <col min="9" max="9" width="17.5703125" customWidth="1"/>
    <col min="10" max="10" width="34.28515625" customWidth="1"/>
    <col min="11" max="11" width="13.5703125" customWidth="1"/>
    <col min="12" max="12" width="18.42578125" bestFit="1" customWidth="1"/>
    <col min="13" max="13" width="13.42578125" customWidth="1"/>
    <col min="14" max="14" width="17.5703125" bestFit="1" customWidth="1"/>
    <col min="15" max="15" width="13.42578125" customWidth="1"/>
    <col min="16" max="17" width="23.140625" customWidth="1"/>
    <col min="18" max="18" width="14.42578125" customWidth="1"/>
    <col min="19" max="19" width="11.42578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EDATE('Ene-24'!N1,7)</f>
        <v>45505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SUM(compras_mes8[[#Totals],[NETO GRAVADO]])+extracto_banco_mes8[[#Totals],[NETO]]</f>
        <v>315222.15000000002</v>
      </c>
      <c r="C4" s="671"/>
      <c r="D4" s="671"/>
      <c r="E4" s="671"/>
      <c r="F4" s="39"/>
      <c r="G4" s="672">
        <f>compras_mes8[[#Totals],[IVA 21 %]]+compras_mes8[[#Totals],[IVA 27%]]+compras_mes8[[#Totals],[IVA 10,5%]]+extracto_banco_mes8[[#Totals],[IVA 21%]]+extracto_banco_mes8[[#Totals],[IVA 10,5%]]</f>
        <v>66196.651499999993</v>
      </c>
      <c r="H4" s="672"/>
      <c r="I4" s="39"/>
      <c r="J4" s="661">
        <f>venta_a_mes8[[#Totals],[IMPORTE NETO]]+ventas_b_mes8[[#Totals],[IMPORTE NETO]]</f>
        <v>0</v>
      </c>
      <c r="K4" s="661"/>
      <c r="L4" s="39"/>
      <c r="M4" s="661">
        <f>venta_a_mes8[[#Totals],[IVA 21%]]+venta_a_mes8[[#Totals],[IVA 10,5%]]+ventas_b_mes8[[#Totals],[IVA 21%]]+ventas_b_mes8[[#Totals],[IVA 10,5%]]</f>
        <v>0</v>
      </c>
      <c r="N4" s="661"/>
      <c r="O4" s="39"/>
      <c r="P4" s="674">
        <f>G4-M4</f>
        <v>66196.651499999993</v>
      </c>
      <c r="Q4" s="675"/>
      <c r="R4" s="675"/>
    </row>
    <row r="5" spans="1:26" ht="13.35" customHeight="1"/>
    <row r="6" spans="1:26" ht="11.1" customHeight="1"/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610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611" t="s">
        <v>11</v>
      </c>
      <c r="R8" s="84" t="s">
        <v>38</v>
      </c>
    </row>
    <row r="9" spans="1:26" hidden="1">
      <c r="B9" s="40">
        <v>45512</v>
      </c>
      <c r="C9" s="41">
        <v>1</v>
      </c>
      <c r="D9" s="42">
        <v>11</v>
      </c>
      <c r="E9" s="43">
        <v>1701442</v>
      </c>
      <c r="F9" s="44">
        <v>30709776564</v>
      </c>
      <c r="G9" s="45" t="str">
        <f>IFERROR(IF(compras_mes8[[#This Row],[CUIT]]="","-",VLOOKUP(compras_mes8[[#This Row],[CUIT]],Lista_CUIT[#All],2,0)),"CUIT NO CARGADO")</f>
        <v>PROSEGUR ACTIVA ARG SA</v>
      </c>
      <c r="H9" s="46">
        <v>121467.1</v>
      </c>
      <c r="I9" s="85">
        <f>IF(compras_mes8[[#This Row],[NETO GRAVADO]]="","",compras_mes8[[#This Row],[NETO GRAVADO]]*0.21)</f>
        <v>25508.091</v>
      </c>
      <c r="J9" s="85"/>
      <c r="K9" s="85"/>
      <c r="L9" s="85"/>
      <c r="M9" s="85"/>
      <c r="N9" s="85"/>
      <c r="O9" s="85"/>
      <c r="P9" s="48">
        <f>SUM(compras_mes8[[#This Row],[NETO GRAVADO]:[Otros / No Grav.]])</f>
        <v>146975.19099999999</v>
      </c>
      <c r="Q9" s="610" t="str">
        <f>IFERROR(IF(compras_mes8[[#This Row],[CUIT]]="","-",VLOOKUP(compras_mes8[[#This Row],[CUIT]],Lista_CUIT[#All],3,0)),"CUIT NO CARGADO")</f>
        <v>Servicio Seguridad</v>
      </c>
      <c r="R9" s="49">
        <f>IFERROR(IF(compras_mes8[[#This Row],[CUIT]]="","-",VLOOKUP(compras_mes8[[#This Row],[CUIT]],Lista_CUIT[#All],4,0)),"CUIT NO CARGADO")</f>
        <v>0</v>
      </c>
    </row>
    <row r="10" spans="1:26" hidden="1">
      <c r="B10" s="40">
        <v>45506</v>
      </c>
      <c r="C10" s="41">
        <v>1</v>
      </c>
      <c r="D10" s="42">
        <v>2</v>
      </c>
      <c r="E10" s="43">
        <v>214</v>
      </c>
      <c r="F10" s="44">
        <v>30605344352</v>
      </c>
      <c r="G10" s="45" t="str">
        <f>IFERROR(IF(compras_mes8[[#This Row],[CUIT]]="","-",VLOOKUP(compras_mes8[[#This Row],[CUIT]],Lista_CUIT[#All],2,0)),"CUIT NO CARGADO")</f>
        <v>CONSORCIO BARTOLME MITRE 2466</v>
      </c>
      <c r="H10" s="46">
        <v>834000</v>
      </c>
      <c r="I10" s="85">
        <f>IF(compras_mes8[[#This Row],[NETO GRAVADO]]="","",compras_mes8[[#This Row],[NETO GRAVADO]]*0.21)</f>
        <v>175140</v>
      </c>
      <c r="J10" s="85"/>
      <c r="K10" s="85"/>
      <c r="L10" s="85"/>
      <c r="M10" s="85"/>
      <c r="N10" s="85"/>
      <c r="O10" s="85"/>
      <c r="P10" s="48">
        <f>SUM(compras_mes8[[#This Row],[NETO GRAVADO]:[Otros / No Grav.]])</f>
        <v>1009140</v>
      </c>
      <c r="Q10" s="610" t="str">
        <f>IFERROR(IF(compras_mes8[[#This Row],[CUIT]]="","-",VLOOKUP(compras_mes8[[#This Row],[CUIT]],Lista_CUIT[#All],3,0)),"CUIT NO CARGADO")</f>
        <v>ALQUILERES PAGADOS</v>
      </c>
      <c r="R10" s="49">
        <f>IFERROR(IF(compras_mes8[[#This Row],[CUIT]]="","-",VLOOKUP(compras_mes8[[#This Row],[CUIT]],Lista_CUIT[#All],4,0)),"CUIT NO CARGADO")</f>
        <v>0</v>
      </c>
    </row>
    <row r="11" spans="1:26" hidden="1">
      <c r="B11" s="40">
        <v>45530</v>
      </c>
      <c r="C11" s="41">
        <v>1</v>
      </c>
      <c r="D11" s="42">
        <v>1001</v>
      </c>
      <c r="E11" s="43">
        <v>490</v>
      </c>
      <c r="F11" s="44">
        <v>30707370552</v>
      </c>
      <c r="G11" s="45" t="str">
        <f>IFERROR(IF(compras_mes8[[#This Row],[CUIT]]="","-",VLOOKUP(compras_mes8[[#This Row],[CUIT]],Lista_CUIT[#All],2,0)),"CUIT NO CARGADO")</f>
        <v>RAKE SA</v>
      </c>
      <c r="H11" s="46">
        <v>611570.25</v>
      </c>
      <c r="I11" s="85">
        <f>IF(compras_mes8[[#This Row],[NETO GRAVADO]]="","",compras_mes8[[#This Row],[NETO GRAVADO]]*0.21)</f>
        <v>128429.7525</v>
      </c>
      <c r="J11" s="85"/>
      <c r="K11" s="85"/>
      <c r="L11" s="85"/>
      <c r="M11" s="85"/>
      <c r="N11" s="85"/>
      <c r="O11" s="85"/>
      <c r="P11" s="48">
        <f>SUM(compras_mes8[[#This Row],[NETO GRAVADO]:[Otros / No Grav.]])</f>
        <v>740000.00249999994</v>
      </c>
      <c r="Q11" s="610" t="str">
        <f>IFERROR(IF(compras_mes8[[#This Row],[CUIT]]="","-",VLOOKUP(compras_mes8[[#This Row],[CUIT]],Lista_CUIT[#All],3,0)),"CUIT NO CARGADO")</f>
        <v>ALQUILERES PAGADOS</v>
      </c>
      <c r="R11" s="49">
        <f>IFERROR(IF(compras_mes8[[#This Row],[CUIT]]="","-",VLOOKUP(compras_mes8[[#This Row],[CUIT]],Lista_CUIT[#All],4,0)),"CUIT NO CARGADO")</f>
        <v>0</v>
      </c>
    </row>
    <row r="12" spans="1:26" hidden="1">
      <c r="B12" s="40">
        <v>45520</v>
      </c>
      <c r="C12" s="41">
        <v>1</v>
      </c>
      <c r="D12" s="42">
        <v>1</v>
      </c>
      <c r="E12" s="43">
        <v>837</v>
      </c>
      <c r="F12" s="44">
        <v>30715048066</v>
      </c>
      <c r="G12" s="45" t="str">
        <f>IFERROR(IF(compras_mes8[[#This Row],[CUIT]]="","-",VLOOKUP(compras_mes8[[#This Row],[CUIT]],Lista_CUIT[#All],2,0)),"CUIT NO CARGADO")</f>
        <v>ROLLS Y EMPANADAS SA</v>
      </c>
      <c r="H12" s="46">
        <v>813570</v>
      </c>
      <c r="I12" s="85">
        <f>IF(compras_mes8[[#This Row],[NETO GRAVADO]]="","",compras_mes8[[#This Row],[NETO GRAVADO]]*0.21)</f>
        <v>170849.69999999998</v>
      </c>
      <c r="J12" s="85"/>
      <c r="K12" s="85"/>
      <c r="L12" s="85"/>
      <c r="M12" s="85"/>
      <c r="N12" s="85"/>
      <c r="O12" s="85"/>
      <c r="P12" s="48">
        <f>SUM(compras_mes8[[#This Row],[NETO GRAVADO]:[Otros / No Grav.]])</f>
        <v>984419.7</v>
      </c>
      <c r="Q12" s="610" t="str">
        <f>IFERROR(IF(compras_mes8[[#This Row],[CUIT]]="","-",VLOOKUP(compras_mes8[[#This Row],[CUIT]],Lista_CUIT[#All],3,0)),"CUIT NO CARGADO")</f>
        <v>Catering</v>
      </c>
      <c r="R12" s="49">
        <f>IFERROR(IF(compras_mes8[[#This Row],[CUIT]]="","-",VLOOKUP(compras_mes8[[#This Row],[CUIT]],Lista_CUIT[#All],4,0)),"CUIT NO CARGADO")</f>
        <v>0</v>
      </c>
    </row>
    <row r="13" spans="1:26" hidden="1">
      <c r="B13" s="40">
        <v>45505</v>
      </c>
      <c r="C13" s="41">
        <v>1</v>
      </c>
      <c r="D13" s="42">
        <v>2032</v>
      </c>
      <c r="E13" s="43">
        <v>65071</v>
      </c>
      <c r="F13" s="44">
        <v>30516186670</v>
      </c>
      <c r="G13" s="45" t="str">
        <f>IFERROR(IF(compras_mes8[[#This Row],[CUIT]]="","-",VLOOKUP(compras_mes8[[#This Row],[CUIT]],Lista_CUIT[#All],2,0)),"CUIT NO CARGADO")</f>
        <v>DEHEZA SAICF E I</v>
      </c>
      <c r="H13" s="46">
        <v>36018.949999999997</v>
      </c>
      <c r="I13" s="85">
        <f>IF(compras_mes8[[#This Row],[NETO GRAVADO]]="","",compras_mes8[[#This Row],[NETO GRAVADO]]*0.21)</f>
        <v>7563.9794999999995</v>
      </c>
      <c r="J13" s="85"/>
      <c r="K13" s="85"/>
      <c r="L13" s="85"/>
      <c r="M13" s="85"/>
      <c r="N13" s="85"/>
      <c r="O13" s="85"/>
      <c r="P13" s="48">
        <f>SUM(compras_mes8[[#This Row],[NETO GRAVADO]:[Otros / No Grav.]])</f>
        <v>43582.929499999998</v>
      </c>
      <c r="Q13" s="610" t="str">
        <f>IFERROR(IF(compras_mes8[[#This Row],[CUIT]]="","-",VLOOKUP(compras_mes8[[#This Row],[CUIT]],Lista_CUIT[#All],3,0)),"CUIT NO CARGADO")</f>
        <v>COMBUSTIBLE</v>
      </c>
      <c r="R13" s="49">
        <f>IFERROR(IF(compras_mes8[[#This Row],[CUIT]]="","-",VLOOKUP(compras_mes8[[#This Row],[CUIT]],Lista_CUIT[#All],4,0)),"CUIT NO CARGADO")</f>
        <v>0</v>
      </c>
    </row>
    <row r="14" spans="1:26" hidden="1">
      <c r="B14" s="40">
        <v>45505</v>
      </c>
      <c r="C14" s="41">
        <v>1</v>
      </c>
      <c r="D14" s="42">
        <v>8</v>
      </c>
      <c r="E14" s="43">
        <v>12174</v>
      </c>
      <c r="F14" s="44">
        <v>33715594949</v>
      </c>
      <c r="G14" s="45" t="str">
        <f>IFERROR(IF(compras_mes8[[#This Row],[CUIT]]="","-",VLOOKUP(compras_mes8[[#This Row],[CUIT]],Lista_CUIT[#All],2,0)),"CUIT NO CARGADO")</f>
        <v>SOMOS ENERGIA SA</v>
      </c>
      <c r="H14" s="46">
        <v>19379.05</v>
      </c>
      <c r="I14" s="85">
        <f>IF(compras_mes8[[#This Row],[NETO GRAVADO]]="","",compras_mes8[[#This Row],[NETO GRAVADO]]*0.21)</f>
        <v>4069.6004999999996</v>
      </c>
      <c r="J14" s="85"/>
      <c r="K14" s="85"/>
      <c r="L14" s="85"/>
      <c r="M14" s="85"/>
      <c r="N14" s="85"/>
      <c r="O14" s="85"/>
      <c r="P14" s="48">
        <f>SUM(compras_mes8[[#This Row],[NETO GRAVADO]:[Otros / No Grav.]])</f>
        <v>23448.6505</v>
      </c>
      <c r="Q14" s="610" t="str">
        <f>IFERROR(IF(compras_mes8[[#This Row],[CUIT]]="","-",VLOOKUP(compras_mes8[[#This Row],[CUIT]],Lista_CUIT[#All],3,0)),"CUIT NO CARGADO")</f>
        <v>COMBUSTIBLE</v>
      </c>
      <c r="R14" s="49">
        <f>IFERROR(IF(compras_mes8[[#This Row],[CUIT]]="","-",VLOOKUP(compras_mes8[[#This Row],[CUIT]],Lista_CUIT[#All],4,0)),"CUIT NO CARGADO")</f>
        <v>0</v>
      </c>
    </row>
    <row r="15" spans="1:26" hidden="1">
      <c r="B15" s="40">
        <v>45508</v>
      </c>
      <c r="C15" s="41">
        <v>1</v>
      </c>
      <c r="D15" s="42">
        <v>24</v>
      </c>
      <c r="E15" s="43">
        <v>18869</v>
      </c>
      <c r="F15" s="44">
        <v>20139793170</v>
      </c>
      <c r="G15" s="45" t="str">
        <f>IFERROR(IF(compras_mes8[[#This Row],[CUIT]]="","-",VLOOKUP(compras_mes8[[#This Row],[CUIT]],Lista_CUIT[#All],2,0)),"CUIT NO CARGADO")</f>
        <v>IACONO JUAN</v>
      </c>
      <c r="H15" s="46">
        <v>78245.95</v>
      </c>
      <c r="I15" s="85">
        <f>IF(compras_mes8[[#This Row],[NETO GRAVADO]]="","",compras_mes8[[#This Row],[NETO GRAVADO]]*0.21)</f>
        <v>16431.6495</v>
      </c>
      <c r="J15" s="85"/>
      <c r="K15" s="85"/>
      <c r="L15" s="85"/>
      <c r="M15" s="85"/>
      <c r="N15" s="85"/>
      <c r="O15" s="85"/>
      <c r="P15" s="48">
        <f>SUM(compras_mes8[[#This Row],[NETO GRAVADO]:[Otros / No Grav.]])</f>
        <v>94677.599499999997</v>
      </c>
      <c r="Q15" s="610" t="str">
        <f>IFERROR(IF(compras_mes8[[#This Row],[CUIT]]="","-",VLOOKUP(compras_mes8[[#This Row],[CUIT]],Lista_CUIT[#All],3,0)),"CUIT NO CARGADO")</f>
        <v>COMBUSTIBLE</v>
      </c>
      <c r="R15" s="49">
        <f>IFERROR(IF(compras_mes8[[#This Row],[CUIT]]="","-",VLOOKUP(compras_mes8[[#This Row],[CUIT]],Lista_CUIT[#All],4,0)),"CUIT NO CARGADO")</f>
        <v>0</v>
      </c>
    </row>
    <row r="16" spans="1:26" hidden="1">
      <c r="B16" s="40">
        <v>45511</v>
      </c>
      <c r="C16" s="41">
        <v>1</v>
      </c>
      <c r="D16" s="42">
        <v>24</v>
      </c>
      <c r="E16" s="43">
        <v>18947</v>
      </c>
      <c r="F16" s="44">
        <v>20139793170</v>
      </c>
      <c r="G16" s="45" t="str">
        <f>IFERROR(IF(compras_mes8[[#This Row],[CUIT]]="","-",VLOOKUP(compras_mes8[[#This Row],[CUIT]],Lista_CUIT[#All],2,0)),"CUIT NO CARGADO")</f>
        <v>IACONO JUAN</v>
      </c>
      <c r="H16" s="46">
        <v>65283.519999999997</v>
      </c>
      <c r="I16" s="85">
        <f>IF(compras_mes8[[#This Row],[NETO GRAVADO]]="","",compras_mes8[[#This Row],[NETO GRAVADO]]*0.21)</f>
        <v>13709.539199999999</v>
      </c>
      <c r="J16" s="85"/>
      <c r="K16" s="85"/>
      <c r="L16" s="85"/>
      <c r="M16" s="85"/>
      <c r="N16" s="85"/>
      <c r="O16" s="85"/>
      <c r="P16" s="48">
        <f>SUM(compras_mes8[[#This Row],[NETO GRAVADO]:[Otros / No Grav.]])</f>
        <v>78993.059199999989</v>
      </c>
      <c r="Q16" s="610" t="str">
        <f>IFERROR(IF(compras_mes8[[#This Row],[CUIT]]="","-",VLOOKUP(compras_mes8[[#This Row],[CUIT]],Lista_CUIT[#All],3,0)),"CUIT NO CARGADO")</f>
        <v>COMBUSTIBLE</v>
      </c>
      <c r="R16" s="49">
        <f>IFERROR(IF(compras_mes8[[#This Row],[CUIT]]="","-",VLOOKUP(compras_mes8[[#This Row],[CUIT]],Lista_CUIT[#All],4,0)),"CUIT NO CARGADO")</f>
        <v>0</v>
      </c>
    </row>
    <row r="17" spans="2:18" hidden="1">
      <c r="B17" s="40">
        <v>45512</v>
      </c>
      <c r="C17" s="41">
        <v>1</v>
      </c>
      <c r="D17" s="42">
        <v>9056</v>
      </c>
      <c r="E17" s="43">
        <v>24115</v>
      </c>
      <c r="F17" s="44">
        <v>30678774495</v>
      </c>
      <c r="G17" s="45" t="str">
        <f>IFERROR(IF(compras_mes8[[#This Row],[CUIT]]="","-",VLOOKUP(compras_mes8[[#This Row],[CUIT]],Lista_CUIT[#All],2,0)),"CUIT NO CARGADO")</f>
        <v>OPER. DE EST. DE SERV. SA</v>
      </c>
      <c r="H17" s="46">
        <v>22607.9</v>
      </c>
      <c r="I17" s="85">
        <f>IF(compras_mes8[[#This Row],[NETO GRAVADO]]="","",compras_mes8[[#This Row],[NETO GRAVADO]]*0.21)</f>
        <v>4747.6590000000006</v>
      </c>
      <c r="J17" s="85"/>
      <c r="K17" s="85"/>
      <c r="L17" s="85"/>
      <c r="M17" s="85"/>
      <c r="N17" s="85"/>
      <c r="O17" s="85"/>
      <c r="P17" s="48">
        <f>SUM(compras_mes8[[#This Row],[NETO GRAVADO]:[Otros / No Grav.]])</f>
        <v>27355.559000000001</v>
      </c>
      <c r="Q17" s="610" t="str">
        <f>IFERROR(IF(compras_mes8[[#This Row],[CUIT]]="","-",VLOOKUP(compras_mes8[[#This Row],[CUIT]],Lista_CUIT[#All],3,0)),"CUIT NO CARGADO")</f>
        <v>COMBUSTIBLE</v>
      </c>
      <c r="R17" s="49">
        <f>IFERROR(IF(compras_mes8[[#This Row],[CUIT]]="","-",VLOOKUP(compras_mes8[[#This Row],[CUIT]],Lista_CUIT[#All],4,0)),"CUIT NO CARGADO")</f>
        <v>0</v>
      </c>
    </row>
    <row r="18" spans="2:18" hidden="1">
      <c r="B18" s="440">
        <v>45516</v>
      </c>
      <c r="C18" s="441">
        <v>1</v>
      </c>
      <c r="D18" s="442">
        <v>23</v>
      </c>
      <c r="E18" s="443">
        <v>26029</v>
      </c>
      <c r="F18" s="444">
        <v>20139793170</v>
      </c>
      <c r="G18" s="445" t="str">
        <f>IFERROR(IF(compras_mes8[[#This Row],[CUIT]]="","-",VLOOKUP(compras_mes8[[#This Row],[CUIT]],Lista_CUIT[#All],2,0)),"CUIT NO CARGADO")</f>
        <v>IACONO JUAN</v>
      </c>
      <c r="H18" s="446">
        <v>62410.76</v>
      </c>
      <c r="I18" s="447">
        <f>IF(compras_mes8[[#This Row],[NETO GRAVADO]]="","",compras_mes8[[#This Row],[NETO GRAVADO]]*0.21)</f>
        <v>13106.259599999999</v>
      </c>
      <c r="J18" s="447"/>
      <c r="K18" s="447"/>
      <c r="L18" s="447"/>
      <c r="M18" s="447"/>
      <c r="N18" s="447"/>
      <c r="O18" s="447"/>
      <c r="P18" s="448">
        <f>SUM(compras_mes8[[#This Row],[NETO GRAVADO]:[Otros / No Grav.]])</f>
        <v>75517.0196</v>
      </c>
      <c r="Q18" s="627" t="str">
        <f>IFERROR(IF(compras_mes8[[#This Row],[CUIT]]="","-",VLOOKUP(compras_mes8[[#This Row],[CUIT]],Lista_CUIT[#All],3,0)),"CUIT NO CARGADO")</f>
        <v>COMBUSTIBLE</v>
      </c>
      <c r="R18" s="449">
        <f>IFERROR(IF(compras_mes8[[#This Row],[CUIT]]="","-",VLOOKUP(compras_mes8[[#This Row],[CUIT]],Lista_CUIT[#All],4,0)),"CUIT NO CARGADO")</f>
        <v>0</v>
      </c>
    </row>
    <row r="19" spans="2:18" hidden="1">
      <c r="B19" s="440">
        <v>45522</v>
      </c>
      <c r="C19" s="441">
        <v>1</v>
      </c>
      <c r="D19" s="442">
        <v>8</v>
      </c>
      <c r="E19" s="443">
        <v>12374</v>
      </c>
      <c r="F19" s="444">
        <v>33715594949</v>
      </c>
      <c r="G19" s="445" t="str">
        <f>IFERROR(IF(compras_mes8[[#This Row],[CUIT]]="","-",VLOOKUP(compras_mes8[[#This Row],[CUIT]],Lista_CUIT[#All],2,0)),"CUIT NO CARGADO")</f>
        <v>SOMOS ENERGIA SA</v>
      </c>
      <c r="H19" s="446">
        <v>85275.33</v>
      </c>
      <c r="I19" s="447">
        <f>IF(compras_mes8[[#This Row],[NETO GRAVADO]]="","",compras_mes8[[#This Row],[NETO GRAVADO]]*0.21)</f>
        <v>17907.819299999999</v>
      </c>
      <c r="J19" s="447"/>
      <c r="K19" s="447"/>
      <c r="L19" s="447"/>
      <c r="M19" s="447"/>
      <c r="N19" s="447"/>
      <c r="O19" s="447"/>
      <c r="P19" s="448">
        <f>SUM(compras_mes8[[#This Row],[NETO GRAVADO]:[Otros / No Grav.]])</f>
        <v>103183.1493</v>
      </c>
      <c r="Q19" s="627" t="str">
        <f>IFERROR(IF(compras_mes8[[#This Row],[CUIT]]="","-",VLOOKUP(compras_mes8[[#This Row],[CUIT]],Lista_CUIT[#All],3,0)),"CUIT NO CARGADO")</f>
        <v>COMBUSTIBLE</v>
      </c>
      <c r="R19" s="449">
        <f>IFERROR(IF(compras_mes8[[#This Row],[CUIT]]="","-",VLOOKUP(compras_mes8[[#This Row],[CUIT]],Lista_CUIT[#All],4,0)),"CUIT NO CARGADO")</f>
        <v>0</v>
      </c>
    </row>
    <row r="20" spans="2:18" hidden="1">
      <c r="B20" s="40">
        <v>45525</v>
      </c>
      <c r="C20" s="41">
        <v>1</v>
      </c>
      <c r="D20" s="42">
        <v>8</v>
      </c>
      <c r="E20" s="43">
        <v>12418</v>
      </c>
      <c r="F20" s="44">
        <v>33715594949</v>
      </c>
      <c r="G20" s="45" t="str">
        <f>IFERROR(IF(compras_mes8[[#This Row],[CUIT]]="","-",VLOOKUP(compras_mes8[[#This Row],[CUIT]],Lista_CUIT[#All],2,0)),"CUIT NO CARGADO")</f>
        <v>SOMOS ENERGIA SA</v>
      </c>
      <c r="H20" s="46">
        <v>56048.19</v>
      </c>
      <c r="I20" s="85">
        <f>IF(compras_mes8[[#This Row],[NETO GRAVADO]]="","",compras_mes8[[#This Row],[NETO GRAVADO]]*0.21)</f>
        <v>11770.1199</v>
      </c>
      <c r="J20" s="85"/>
      <c r="K20" s="85"/>
      <c r="L20" s="85"/>
      <c r="M20" s="85"/>
      <c r="N20" s="85"/>
      <c r="O20" s="85"/>
      <c r="P20" s="48">
        <f>SUM(compras_mes8[[#This Row],[NETO GRAVADO]:[Otros / No Grav.]])</f>
        <v>67818.309900000007</v>
      </c>
      <c r="Q20" s="610" t="str">
        <f>IFERROR(IF(compras_mes8[[#This Row],[CUIT]]="","-",VLOOKUP(compras_mes8[[#This Row],[CUIT]],Lista_CUIT[#All],3,0)),"CUIT NO CARGADO")</f>
        <v>COMBUSTIBLE</v>
      </c>
      <c r="R20" s="49">
        <f>IFERROR(IF(compras_mes8[[#This Row],[CUIT]]="","-",VLOOKUP(compras_mes8[[#This Row],[CUIT]],Lista_CUIT[#All],4,0)),"CUIT NO CARGADO")</f>
        <v>0</v>
      </c>
    </row>
    <row r="21" spans="2:18" hidden="1">
      <c r="B21" s="40">
        <v>45532</v>
      </c>
      <c r="C21" s="41">
        <v>1</v>
      </c>
      <c r="D21" s="42">
        <v>6936</v>
      </c>
      <c r="E21" s="43">
        <v>30654</v>
      </c>
      <c r="F21" s="44">
        <v>30678774495</v>
      </c>
      <c r="G21" s="45" t="str">
        <f>IFERROR(IF(compras_mes8[[#This Row],[CUIT]]="","-",VLOOKUP(compras_mes8[[#This Row],[CUIT]],Lista_CUIT[#All],2,0)),"CUIT NO CARGADO")</f>
        <v>OPER. DE EST. DE SERV. SA</v>
      </c>
      <c r="H21" s="46">
        <v>35872.07</v>
      </c>
      <c r="I21" s="85">
        <f>IF(compras_mes8[[#This Row],[NETO GRAVADO]]="","",compras_mes8[[#This Row],[NETO GRAVADO]]*0.21)</f>
        <v>7533.1346999999996</v>
      </c>
      <c r="J21" s="85"/>
      <c r="K21" s="85"/>
      <c r="L21" s="85"/>
      <c r="M21" s="85"/>
      <c r="N21" s="85"/>
      <c r="O21" s="85"/>
      <c r="P21" s="48">
        <f>SUM(compras_mes8[[#This Row],[NETO GRAVADO]:[Otros / No Grav.]])</f>
        <v>43405.204700000002</v>
      </c>
      <c r="Q21" s="610" t="str">
        <f>IFERROR(IF(compras_mes8[[#This Row],[CUIT]]="","-",VLOOKUP(compras_mes8[[#This Row],[CUIT]],Lista_CUIT[#All],3,0)),"CUIT NO CARGADO")</f>
        <v>COMBUSTIBLE</v>
      </c>
      <c r="R21" s="49">
        <f>IFERROR(IF(compras_mes8[[#This Row],[CUIT]]="","-",VLOOKUP(compras_mes8[[#This Row],[CUIT]],Lista_CUIT[#All],4,0)),"CUIT NO CARGADO")</f>
        <v>0</v>
      </c>
    </row>
    <row r="22" spans="2:18" hidden="1">
      <c r="B22" s="40">
        <v>45518</v>
      </c>
      <c r="C22" s="41">
        <v>1</v>
      </c>
      <c r="D22" s="42">
        <v>5</v>
      </c>
      <c r="E22" s="43">
        <v>24109</v>
      </c>
      <c r="F22" s="44">
        <v>30712273174</v>
      </c>
      <c r="G22" s="45" t="str">
        <f>IFERROR(IF(compras_mes8[[#This Row],[CUIT]]="","-",VLOOKUP(compras_mes8[[#This Row],[CUIT]],Lista_CUIT[#All],2,0)),"CUIT NO CARGADO")</f>
        <v>HERRAMIENTAS DEL SUR S.A.</v>
      </c>
      <c r="H22" s="46">
        <v>57357.02</v>
      </c>
      <c r="I22" s="85">
        <f>IF(compras_mes8[[#This Row],[NETO GRAVADO]]="","",compras_mes8[[#This Row],[NETO GRAVADO]]*0.21)</f>
        <v>12044.974199999999</v>
      </c>
      <c r="J22" s="85"/>
      <c r="K22" s="85"/>
      <c r="L22" s="85"/>
      <c r="M22" s="85"/>
      <c r="N22" s="85"/>
      <c r="O22" s="85"/>
      <c r="P22" s="48">
        <f>SUM(compras_mes8[[#This Row],[NETO GRAVADO]:[Otros / No Grav.]])</f>
        <v>69401.994200000001</v>
      </c>
      <c r="Q22" s="610" t="str">
        <f>IFERROR(IF(compras_mes8[[#This Row],[CUIT]]="","-",VLOOKUP(compras_mes8[[#This Row],[CUIT]],Lista_CUIT[#All],3,0)),"CUIT NO CARGADO")</f>
        <v>gastos varios</v>
      </c>
      <c r="R22" s="49">
        <f>IFERROR(IF(compras_mes8[[#This Row],[CUIT]]="","-",VLOOKUP(compras_mes8[[#This Row],[CUIT]],Lista_CUIT[#All],4,0)),"CUIT NO CARGADO")</f>
        <v>0</v>
      </c>
    </row>
    <row r="23" spans="2:18" hidden="1">
      <c r="B23" s="440">
        <v>45531</v>
      </c>
      <c r="C23" s="441">
        <v>1</v>
      </c>
      <c r="D23" s="442">
        <v>5</v>
      </c>
      <c r="E23" s="443">
        <v>2285</v>
      </c>
      <c r="F23" s="444">
        <v>27114789033</v>
      </c>
      <c r="G23" s="445" t="str">
        <f>IFERROR(IF(compras_mes8[[#This Row],[CUIT]]="","-",VLOOKUP(compras_mes8[[#This Row],[CUIT]],Lista_CUIT[#All],2,0)),"CUIT NO CARGADO")</f>
        <v>ESPADA FARALDO MARGARITA MERCEDES</v>
      </c>
      <c r="H23" s="446">
        <v>56363.62</v>
      </c>
      <c r="I23" s="447">
        <f>IF(compras_mes8[[#This Row],[NETO GRAVADO]]="","",compras_mes8[[#This Row],[NETO GRAVADO]]*0.21)</f>
        <v>11836.360200000001</v>
      </c>
      <c r="J23" s="447"/>
      <c r="K23" s="447"/>
      <c r="L23" s="447"/>
      <c r="M23" s="447"/>
      <c r="N23" s="447"/>
      <c r="O23" s="447"/>
      <c r="P23" s="448">
        <f>SUM(compras_mes8[[#This Row],[NETO GRAVADO]:[Otros / No Grav.]])</f>
        <v>68199.980200000005</v>
      </c>
      <c r="Q23" s="627" t="str">
        <f>IFERROR(IF(compras_mes8[[#This Row],[CUIT]]="","-",VLOOKUP(compras_mes8[[#This Row],[CUIT]],Lista_CUIT[#All],3,0)),"CUIT NO CARGADO")</f>
        <v>gastos varios</v>
      </c>
      <c r="R23" s="449">
        <f>IFERROR(IF(compras_mes8[[#This Row],[CUIT]]="","-",VLOOKUP(compras_mes8[[#This Row],[CUIT]],Lista_CUIT[#All],4,0)),"CUIT NO CARGADO")</f>
        <v>0</v>
      </c>
    </row>
    <row r="24" spans="2:18" hidden="1">
      <c r="B24" s="440">
        <v>45532</v>
      </c>
      <c r="C24" s="441">
        <v>1</v>
      </c>
      <c r="D24" s="442">
        <v>5</v>
      </c>
      <c r="E24" s="443">
        <v>2291</v>
      </c>
      <c r="F24" s="444">
        <v>27114789033</v>
      </c>
      <c r="G24" s="445" t="str">
        <f>IFERROR(IF(compras_mes8[[#This Row],[CUIT]]="","-",VLOOKUP(compras_mes8[[#This Row],[CUIT]],Lista_CUIT[#All],2,0)),"CUIT NO CARGADO")</f>
        <v>ESPADA FARALDO MARGARITA MERCEDES</v>
      </c>
      <c r="H24" s="446">
        <v>10991.71</v>
      </c>
      <c r="I24" s="447">
        <f>IF(compras_mes8[[#This Row],[NETO GRAVADO]]="","",compras_mes8[[#This Row],[NETO GRAVADO]]*0.21)</f>
        <v>2308.2590999999998</v>
      </c>
      <c r="J24" s="447"/>
      <c r="K24" s="447"/>
      <c r="L24" s="447"/>
      <c r="M24" s="447"/>
      <c r="N24" s="447"/>
      <c r="O24" s="447"/>
      <c r="P24" s="448">
        <f>SUM(compras_mes8[[#This Row],[NETO GRAVADO]:[Otros / No Grav.]])</f>
        <v>13299.969099999998</v>
      </c>
      <c r="Q24" s="627" t="str">
        <f>IFERROR(IF(compras_mes8[[#This Row],[CUIT]]="","-",VLOOKUP(compras_mes8[[#This Row],[CUIT]],Lista_CUIT[#All],3,0)),"CUIT NO CARGADO")</f>
        <v>gastos varios</v>
      </c>
      <c r="R24" s="449">
        <f>IFERROR(IF(compras_mes8[[#This Row],[CUIT]]="","-",VLOOKUP(compras_mes8[[#This Row],[CUIT]],Lista_CUIT[#All],4,0)),"CUIT NO CARGADO")</f>
        <v>0</v>
      </c>
    </row>
    <row r="25" spans="2:18" hidden="1">
      <c r="B25" s="440">
        <v>45533</v>
      </c>
      <c r="C25" s="451">
        <v>1</v>
      </c>
      <c r="D25" s="452">
        <v>5</v>
      </c>
      <c r="E25" s="453">
        <v>2292</v>
      </c>
      <c r="F25" s="454">
        <v>27114789033</v>
      </c>
      <c r="G25" s="455" t="str">
        <f>IFERROR(IF(compras_mes8[[#This Row],[CUIT]]="","-",VLOOKUP(compras_mes8[[#This Row],[CUIT]],Lista_CUIT[#All],2,0)),"CUIT NO CARGADO")</f>
        <v>ESPADA FARALDO MARGARITA MERCEDES</v>
      </c>
      <c r="H25" s="456">
        <v>6942.14</v>
      </c>
      <c r="I25" s="457">
        <f>IF(compras_mes8[[#This Row],[NETO GRAVADO]]="","",compras_mes8[[#This Row],[NETO GRAVADO]]*0.21)</f>
        <v>1457.8494000000001</v>
      </c>
      <c r="J25" s="457"/>
      <c r="K25" s="457"/>
      <c r="L25" s="457"/>
      <c r="M25" s="457"/>
      <c r="N25" s="457"/>
      <c r="O25" s="457"/>
      <c r="P25" s="458">
        <f>SUM(compras_mes8[[#This Row],[NETO GRAVADO]:[Otros / No Grav.]])</f>
        <v>8399.9894000000004</v>
      </c>
      <c r="Q25" s="628" t="str">
        <f>IFERROR(IF(compras_mes8[[#This Row],[CUIT]]="","-",VLOOKUP(compras_mes8[[#This Row],[CUIT]],Lista_CUIT[#All],3,0)),"CUIT NO CARGADO")</f>
        <v>gastos varios</v>
      </c>
      <c r="R25" s="459">
        <f>IFERROR(IF(compras_mes8[[#This Row],[CUIT]]="","-",VLOOKUP(compras_mes8[[#This Row],[CUIT]],Lista_CUIT[#All],4,0)),"CUIT NO CARGADO")</f>
        <v>0</v>
      </c>
    </row>
    <row r="26" spans="2:18">
      <c r="B26" s="40">
        <v>45512</v>
      </c>
      <c r="C26" s="41">
        <v>1</v>
      </c>
      <c r="D26" s="42">
        <v>2</v>
      </c>
      <c r="E26" s="43">
        <v>48876</v>
      </c>
      <c r="F26" s="44">
        <v>30711013969</v>
      </c>
      <c r="G26" s="45" t="str">
        <f>IFERROR(IF(compras_mes8[[#This Row],[CUIT]]="","-",VLOOKUP(compras_mes8[[#This Row],[CUIT]],Lista_CUIT[#All],2,0)),"CUIT NO CARGADO")</f>
        <v>REVICAR S.A.</v>
      </c>
      <c r="H26" s="46">
        <f>55789.26</f>
        <v>55789.26</v>
      </c>
      <c r="I26" s="85">
        <f>IF(compras_mes8[[#This Row],[NETO GRAVADO]]="","",compras_mes8[[#This Row],[NETO GRAVADO]]*0.21)</f>
        <v>11715.7446</v>
      </c>
      <c r="J26" s="85"/>
      <c r="K26" s="85"/>
      <c r="L26" s="85"/>
      <c r="M26" s="85"/>
      <c r="N26" s="85"/>
      <c r="O26" s="85">
        <v>2495</v>
      </c>
      <c r="P26" s="48">
        <f>SUM(compras_mes8[[#This Row],[NETO GRAVADO]:[Otros / No Grav.]])</f>
        <v>70000.0046</v>
      </c>
      <c r="Q26" s="610" t="str">
        <f>IFERROR(IF(compras_mes8[[#This Row],[CUIT]]="","-",VLOOKUP(compras_mes8[[#This Row],[CUIT]],Lista_CUIT[#All],3,0)),"CUIT NO CARGADO")</f>
        <v>FLETE</v>
      </c>
      <c r="R26" s="49">
        <f>IFERROR(IF(compras_mes8[[#This Row],[CUIT]]="","-",VLOOKUP(compras_mes8[[#This Row],[CUIT]],Lista_CUIT[#All],4,0)),"CUIT NO CARGADO")</f>
        <v>0</v>
      </c>
    </row>
    <row r="27" spans="2:18">
      <c r="B27" s="40">
        <v>45520</v>
      </c>
      <c r="C27" s="41">
        <v>1</v>
      </c>
      <c r="D27" s="42">
        <v>10</v>
      </c>
      <c r="E27" s="43">
        <v>30065</v>
      </c>
      <c r="F27" s="44">
        <v>30671096238</v>
      </c>
      <c r="G27" s="45" t="str">
        <f>IFERROR(IF(compras_mes8[[#This Row],[CUIT]]="","-",VLOOKUP(compras_mes8[[#This Row],[CUIT]],Lista_CUIT[#All],2,0)),"CUIT NO CARGADO")</f>
        <v>EDUARDO E MOSTTO LUIS O MOSTTO DANIEL A MOSTTO Y JULIO H MOSTTO</v>
      </c>
      <c r="H27" s="46">
        <v>10228.370000000001</v>
      </c>
      <c r="I27" s="85">
        <f>IF(compras_mes8[[#This Row],[NETO GRAVADO]]="","",compras_mes8[[#This Row],[NETO GRAVADO]]*0.21)</f>
        <v>2147.9576999999999</v>
      </c>
      <c r="J27" s="85"/>
      <c r="K27" s="85"/>
      <c r="L27" s="85"/>
      <c r="M27" s="85"/>
      <c r="N27" s="85"/>
      <c r="O27" s="85"/>
      <c r="P27" s="48">
        <f>SUM(compras_mes8[[#This Row],[NETO GRAVADO]:[Otros / No Grav.]])</f>
        <v>12376.327700000002</v>
      </c>
      <c r="Q27" s="610" t="str">
        <f>IFERROR(IF(compras_mes8[[#This Row],[CUIT]]="","-",VLOOKUP(compras_mes8[[#This Row],[CUIT]],Lista_CUIT[#All],3,0)),"CUIT NO CARGADO")</f>
        <v>FLETE</v>
      </c>
      <c r="R27" s="49">
        <f>IFERROR(IF(compras_mes8[[#This Row],[CUIT]]="","-",VLOOKUP(compras_mes8[[#This Row],[CUIT]],Lista_CUIT[#All],4,0)),"CUIT NO CARGADO")</f>
        <v>0</v>
      </c>
    </row>
    <row r="28" spans="2:18">
      <c r="B28" s="40">
        <v>45526</v>
      </c>
      <c r="C28" s="41">
        <v>1</v>
      </c>
      <c r="D28" s="42">
        <v>2635</v>
      </c>
      <c r="E28" s="43">
        <v>1362</v>
      </c>
      <c r="F28" s="44">
        <v>33699685459</v>
      </c>
      <c r="G28" s="45" t="str">
        <f>IFERROR(IF(compras_mes8[[#This Row],[CUIT]]="","-",VLOOKUP(compras_mes8[[#This Row],[CUIT]],Lista_CUIT[#All],2,0)),"CUIT NO CARGADO")</f>
        <v>CORREO ANDREANI SA</v>
      </c>
      <c r="H28" s="46">
        <v>11983.47</v>
      </c>
      <c r="I28" s="85">
        <f>IF(compras_mes8[[#This Row],[NETO GRAVADO]]="","",compras_mes8[[#This Row],[NETO GRAVADO]]*0.21)</f>
        <v>2516.5286999999998</v>
      </c>
      <c r="J28" s="85"/>
      <c r="K28" s="85"/>
      <c r="L28" s="85"/>
      <c r="M28" s="85"/>
      <c r="N28" s="85"/>
      <c r="O28" s="85"/>
      <c r="P28" s="48">
        <f>SUM(compras_mes8[[#This Row],[NETO GRAVADO]:[Otros / No Grav.]])</f>
        <v>14499.9987</v>
      </c>
      <c r="Q28" s="610" t="str">
        <f>IFERROR(IF(compras_mes8[[#This Row],[CUIT]]="","-",VLOOKUP(compras_mes8[[#This Row],[CUIT]],Lista_CUIT[#All],3,0)),"CUIT NO CARGADO")</f>
        <v>FLETE</v>
      </c>
      <c r="R28" s="49">
        <f>IFERROR(IF(compras_mes8[[#This Row],[CUIT]]="","-",VLOOKUP(compras_mes8[[#This Row],[CUIT]],Lista_CUIT[#All],4,0)),"CUIT NO CARGADO")</f>
        <v>0</v>
      </c>
    </row>
    <row r="29" spans="2:18">
      <c r="B29" s="40">
        <v>45534</v>
      </c>
      <c r="C29" s="41">
        <v>1</v>
      </c>
      <c r="D29" s="42">
        <v>13</v>
      </c>
      <c r="E29" s="43">
        <v>7815</v>
      </c>
      <c r="F29" s="44">
        <v>30708926155</v>
      </c>
      <c r="G29" s="45" t="str">
        <f>IFERROR(IF(compras_mes8[[#This Row],[CUIT]]="","-",VLOOKUP(compras_mes8[[#This Row],[CUIT]],Lista_CUIT[#All],2,0)),"CUIT NO CARGADO")</f>
        <v>TRANSPORTES UNION S. A.</v>
      </c>
      <c r="H29" s="46">
        <v>191636.05</v>
      </c>
      <c r="I29" s="85">
        <f>IF(compras_mes8[[#This Row],[NETO GRAVADO]]="","",compras_mes8[[#This Row],[NETO GRAVADO]]*0.21)</f>
        <v>40243.570499999994</v>
      </c>
      <c r="J29" s="85"/>
      <c r="K29" s="85"/>
      <c r="L29" s="85"/>
      <c r="M29" s="85"/>
      <c r="N29" s="85"/>
      <c r="O29" s="85"/>
      <c r="P29" s="48">
        <f>SUM(compras_mes8[[#This Row],[NETO GRAVADO]:[Otros / No Grav.]])</f>
        <v>231879.62049999999</v>
      </c>
      <c r="Q29" s="610" t="str">
        <f>IFERROR(IF(compras_mes8[[#This Row],[CUIT]]="","-",VLOOKUP(compras_mes8[[#This Row],[CUIT]],Lista_CUIT[#All],3,0)),"CUIT NO CARGADO")</f>
        <v>FLETE</v>
      </c>
      <c r="R29" s="49">
        <f>IFERROR(IF(compras_mes8[[#This Row],[CUIT]]="","-",VLOOKUP(compras_mes8[[#This Row],[CUIT]],Lista_CUIT[#All],4,0)),"CUIT NO CARGADO")</f>
        <v>0</v>
      </c>
    </row>
    <row r="30" spans="2:18" hidden="1">
      <c r="B30" s="40">
        <v>45505</v>
      </c>
      <c r="C30" s="41">
        <v>1</v>
      </c>
      <c r="D30" s="42">
        <v>500</v>
      </c>
      <c r="E30" s="43">
        <v>1595131</v>
      </c>
      <c r="F30" s="44">
        <v>30654118767</v>
      </c>
      <c r="G30" s="45" t="str">
        <f>IFERROR(IF(compras_mes8[[#This Row],[CUIT]]="","-",VLOOKUP(compras_mes8[[#This Row],[CUIT]],Lista_CUIT[#All],2,0)),"CUIT NO CARGADO")</f>
        <v>SOLUCIONES MULTIMEDIA SA</v>
      </c>
      <c r="H30" s="46">
        <v>85197.71</v>
      </c>
      <c r="I30" s="85">
        <f>IF(compras_mes8[[#This Row],[NETO GRAVADO]]="","",compras_mes8[[#This Row],[NETO GRAVADO]]*0.21)</f>
        <v>17891.519100000001</v>
      </c>
      <c r="J30" s="85"/>
      <c r="K30" s="85"/>
      <c r="L30" s="85"/>
      <c r="M30" s="85"/>
      <c r="N30" s="85"/>
      <c r="O30" s="85"/>
      <c r="P30" s="48">
        <f>SUM(compras_mes8[[#This Row],[NETO GRAVADO]:[Otros / No Grav.]])</f>
        <v>103089.22910000001</v>
      </c>
      <c r="Q30" s="610" t="str">
        <f>IFERROR(IF(compras_mes8[[#This Row],[CUIT]]="","-",VLOOKUP(compras_mes8[[#This Row],[CUIT]],Lista_CUIT[#All],3,0)),"CUIT NO CARGADO")</f>
        <v>GASTOS ADMINISTRATIVOS</v>
      </c>
      <c r="R30" s="49">
        <f>IFERROR(IF(compras_mes8[[#This Row],[CUIT]]="","-",VLOOKUP(compras_mes8[[#This Row],[CUIT]],Lista_CUIT[#All],4,0)),"CUIT NO CARGADO")</f>
        <v>0</v>
      </c>
    </row>
    <row r="31" spans="2:18" hidden="1">
      <c r="B31" s="40">
        <v>45533</v>
      </c>
      <c r="C31" s="41">
        <v>1</v>
      </c>
      <c r="D31" s="42">
        <v>11</v>
      </c>
      <c r="E31" s="43">
        <v>4179138</v>
      </c>
      <c r="F31" s="44">
        <v>30703088534</v>
      </c>
      <c r="G31" s="45" t="str">
        <f>IFERROR(IF(compras_mes8[[#This Row],[CUIT]]="","-",VLOOKUP(compras_mes8[[#This Row],[CUIT]],Lista_CUIT[#All],2,0)),"CUIT NO CARGADO")</f>
        <v>MERCADO LIBRE SRL</v>
      </c>
      <c r="H31" s="46">
        <v>34030.58</v>
      </c>
      <c r="I31" s="85">
        <f>IF(compras_mes8[[#This Row],[NETO GRAVADO]]="","",compras_mes8[[#This Row],[NETO GRAVADO]]*0.21)</f>
        <v>7146.4218000000001</v>
      </c>
      <c r="J31" s="85"/>
      <c r="K31" s="85"/>
      <c r="L31" s="85"/>
      <c r="M31" s="85"/>
      <c r="N31" s="85"/>
      <c r="O31" s="85"/>
      <c r="P31" s="48">
        <f>SUM(compras_mes8[[#This Row],[NETO GRAVADO]:[Otros / No Grav.]])</f>
        <v>41177.001799999998</v>
      </c>
      <c r="Q31" s="610" t="str">
        <f>IFERROR(IF(compras_mes8[[#This Row],[CUIT]]="","-",VLOOKUP(compras_mes8[[#This Row],[CUIT]],Lista_CUIT[#All],3,0)),"CUIT NO CARGADO")</f>
        <v>GASTOS COMERCIALIZACION</v>
      </c>
      <c r="R31" s="49">
        <f>IFERROR(IF(compras_mes8[[#This Row],[CUIT]]="","-",VLOOKUP(compras_mes8[[#This Row],[CUIT]],Lista_CUIT[#All],4,0)),"CUIT NO CARGADO")</f>
        <v>0</v>
      </c>
    </row>
    <row r="32" spans="2:18" hidden="1">
      <c r="B32" s="40">
        <v>45533</v>
      </c>
      <c r="C32" s="41">
        <v>1</v>
      </c>
      <c r="D32" s="42">
        <v>23</v>
      </c>
      <c r="E32" s="43">
        <v>2756653</v>
      </c>
      <c r="F32" s="44">
        <v>30703088534</v>
      </c>
      <c r="G32" s="45" t="str">
        <f>IFERROR(IF(compras_mes8[[#This Row],[CUIT]]="","-",VLOOKUP(compras_mes8[[#This Row],[CUIT]],Lista_CUIT[#All],2,0)),"CUIT NO CARGADO")</f>
        <v>MERCADO LIBRE SRL</v>
      </c>
      <c r="H32" s="46">
        <v>40403.72</v>
      </c>
      <c r="I32" s="85">
        <f>IF(compras_mes8[[#This Row],[NETO GRAVADO]]="","",compras_mes8[[#This Row],[NETO GRAVADO]]*0.21)</f>
        <v>8484.7811999999994</v>
      </c>
      <c r="J32" s="85"/>
      <c r="K32" s="85"/>
      <c r="L32" s="85"/>
      <c r="M32" s="85"/>
      <c r="N32" s="85"/>
      <c r="O32" s="85"/>
      <c r="P32" s="48">
        <f>SUM(compras_mes8[[#This Row],[NETO GRAVADO]:[Otros / No Grav.]])</f>
        <v>48888.501199999999</v>
      </c>
      <c r="Q32" s="610" t="str">
        <f>IFERROR(IF(compras_mes8[[#This Row],[CUIT]]="","-",VLOOKUP(compras_mes8[[#This Row],[CUIT]],Lista_CUIT[#All],3,0)),"CUIT NO CARGADO")</f>
        <v>GASTOS COMERCIALIZACION</v>
      </c>
      <c r="R32" s="49">
        <f>IFERROR(IF(compras_mes8[[#This Row],[CUIT]]="","-",VLOOKUP(compras_mes8[[#This Row],[CUIT]],Lista_CUIT[#All],4,0)),"CUIT NO CARGADO")</f>
        <v>0</v>
      </c>
    </row>
    <row r="33" spans="2:18" hidden="1">
      <c r="B33" s="40">
        <v>45533</v>
      </c>
      <c r="C33" s="41">
        <v>3</v>
      </c>
      <c r="D33" s="42">
        <v>23</v>
      </c>
      <c r="E33" s="43">
        <v>101443</v>
      </c>
      <c r="F33" s="44">
        <v>30703088534</v>
      </c>
      <c r="G33" s="45" t="str">
        <f>IFERROR(IF(compras_mes8[[#This Row],[CUIT]]="","-",VLOOKUP(compras_mes8[[#This Row],[CUIT]],Lista_CUIT[#All],2,0)),"CUIT NO CARGADO")</f>
        <v>MERCADO LIBRE SRL</v>
      </c>
      <c r="H33" s="46">
        <v>-508.26</v>
      </c>
      <c r="I33" s="85">
        <f>IF(compras_mes8[[#This Row],[NETO GRAVADO]]="","",compras_mes8[[#This Row],[NETO GRAVADO]]*0.21)</f>
        <v>-106.7346</v>
      </c>
      <c r="J33" s="85"/>
      <c r="K33" s="85"/>
      <c r="L33" s="85"/>
      <c r="M33" s="85"/>
      <c r="N33" s="85"/>
      <c r="O33" s="85"/>
      <c r="P33" s="48">
        <f>SUM(compras_mes8[[#This Row],[NETO GRAVADO]:[Otros / No Grav.]])</f>
        <v>-614.99459999999999</v>
      </c>
      <c r="Q33" s="610" t="str">
        <f>IFERROR(IF(compras_mes8[[#This Row],[CUIT]]="","-",VLOOKUP(compras_mes8[[#This Row],[CUIT]],Lista_CUIT[#All],3,0)),"CUIT NO CARGADO")</f>
        <v>GASTOS COMERCIALIZACION</v>
      </c>
      <c r="R33" s="49">
        <f>IFERROR(IF(compras_mes8[[#This Row],[CUIT]]="","-",VLOOKUP(compras_mes8[[#This Row],[CUIT]],Lista_CUIT[#All],4,0)),"CUIT NO CARGADO")</f>
        <v>0</v>
      </c>
    </row>
    <row r="34" spans="2:18" hidden="1">
      <c r="B34" s="40">
        <v>45510</v>
      </c>
      <c r="C34" s="41">
        <v>1</v>
      </c>
      <c r="D34" s="42">
        <v>1057</v>
      </c>
      <c r="E34" s="43">
        <v>596</v>
      </c>
      <c r="F34" s="44">
        <v>30685849751</v>
      </c>
      <c r="G34" s="45" t="str">
        <f>IFERROR(IF(compras_mes8[[#This Row],[CUIT]]="","-",VLOOKUP(compras_mes8[[#This Row],[CUIT]],Lista_CUIT[#All],2,0)),"CUIT NO CARGADO")</f>
        <v>DIA ARGENTINA S.A.</v>
      </c>
      <c r="H34" s="46">
        <v>12611.56</v>
      </c>
      <c r="I34" s="85">
        <f>IF(compras_mes8[[#This Row],[NETO GRAVADO]]="","",compras_mes8[[#This Row],[NETO GRAVADO]]*0.21)</f>
        <v>2648.4276</v>
      </c>
      <c r="J34" s="85"/>
      <c r="K34" s="85"/>
      <c r="L34" s="85"/>
      <c r="M34" s="85"/>
      <c r="N34" s="85"/>
      <c r="O34" s="85"/>
      <c r="P34" s="48">
        <f>SUM(compras_mes8[[#This Row],[NETO GRAVADO]:[Otros / No Grav.]])</f>
        <v>15259.9876</v>
      </c>
      <c r="Q34" s="610" t="str">
        <f>IFERROR(IF(compras_mes8[[#This Row],[CUIT]]="","-",VLOOKUP(compras_mes8[[#This Row],[CUIT]],Lista_CUIT[#All],3,0)),"CUIT NO CARGADO")</f>
        <v>Gastos Varios</v>
      </c>
      <c r="R34" s="49">
        <f>IFERROR(IF(compras_mes8[[#This Row],[CUIT]]="","-",VLOOKUP(compras_mes8[[#This Row],[CUIT]],Lista_CUIT[#All],4,0)),"CUIT NO CARGADO")</f>
        <v>0</v>
      </c>
    </row>
    <row r="35" spans="2:18" hidden="1">
      <c r="B35" s="40">
        <v>45514</v>
      </c>
      <c r="C35" s="41">
        <v>1</v>
      </c>
      <c r="D35" s="42">
        <v>6360</v>
      </c>
      <c r="E35" s="43">
        <v>232</v>
      </c>
      <c r="F35" s="44">
        <v>30638485733</v>
      </c>
      <c r="G35" s="45" t="str">
        <f>IFERROR(IF(compras_mes8[[#This Row],[CUIT]]="","-",VLOOKUP(compras_mes8[[#This Row],[CUIT]],Lista_CUIT[#All],2,0)),"CUIT NO CARGADO")</f>
        <v>DABRA SOCIEDAD ANONIMA</v>
      </c>
      <c r="H35" s="46">
        <v>66032.240000000005</v>
      </c>
      <c r="I35" s="85">
        <f>IF(compras_mes8[[#This Row],[NETO GRAVADO]]="","",compras_mes8[[#This Row],[NETO GRAVADO]]*0.21)</f>
        <v>13866.770400000001</v>
      </c>
      <c r="J35" s="85"/>
      <c r="K35" s="85"/>
      <c r="L35" s="85"/>
      <c r="M35" s="85"/>
      <c r="N35" s="85"/>
      <c r="O35" s="85"/>
      <c r="P35" s="48">
        <f>SUM(compras_mes8[[#This Row],[NETO GRAVADO]:[Otros / No Grav.]])</f>
        <v>79899.010399999999</v>
      </c>
      <c r="Q35" s="610" t="str">
        <f>IFERROR(IF(compras_mes8[[#This Row],[CUIT]]="","-",VLOOKUP(compras_mes8[[#This Row],[CUIT]],Lista_CUIT[#All],3,0)),"CUIT NO CARGADO")</f>
        <v>gastos varios</v>
      </c>
      <c r="R35" s="49">
        <f>IFERROR(IF(compras_mes8[[#This Row],[CUIT]]="","-",VLOOKUP(compras_mes8[[#This Row],[CUIT]],Lista_CUIT[#All],4,0)),"CUIT NO CARGADO")</f>
        <v>0</v>
      </c>
    </row>
    <row r="36" spans="2:18" hidden="1">
      <c r="B36" s="40">
        <v>45514</v>
      </c>
      <c r="C36" s="41">
        <v>1</v>
      </c>
      <c r="D36" s="42">
        <v>2189</v>
      </c>
      <c r="E36" s="43">
        <v>74788</v>
      </c>
      <c r="F36" s="44">
        <v>30548083156</v>
      </c>
      <c r="G36" s="45" t="str">
        <f>IFERROR(IF(compras_mes8[[#This Row],[CUIT]]="","-",VLOOKUP(compras_mes8[[#This Row],[CUIT]],Lista_CUIT[#All],2,0)),"CUIT NO CARGADO")</f>
        <v>COTO CICSA</v>
      </c>
      <c r="H36" s="46">
        <v>7447.61</v>
      </c>
      <c r="I36" s="85">
        <f>IF(compras_mes8[[#This Row],[NETO GRAVADO]]="","",compras_mes8[[#This Row],[NETO GRAVADO]]*0.21)</f>
        <v>1563.9980999999998</v>
      </c>
      <c r="J36" s="85"/>
      <c r="K36" s="85"/>
      <c r="L36" s="85"/>
      <c r="M36" s="85"/>
      <c r="N36" s="85"/>
      <c r="O36" s="85"/>
      <c r="P36" s="48">
        <f>SUM(compras_mes8[[#This Row],[NETO GRAVADO]:[Otros / No Grav.]])</f>
        <v>9011.6080999999995</v>
      </c>
      <c r="Q36" s="610" t="str">
        <f>IFERROR(IF(compras_mes8[[#This Row],[CUIT]]="","-",VLOOKUP(compras_mes8[[#This Row],[CUIT]],Lista_CUIT[#All],3,0)),"CUIT NO CARGADO")</f>
        <v>Gastos Varios</v>
      </c>
      <c r="R36" s="49">
        <f>IFERROR(IF(compras_mes8[[#This Row],[CUIT]]="","-",VLOOKUP(compras_mes8[[#This Row],[CUIT]],Lista_CUIT[#All],4,0)),"CUIT NO CARGADO")</f>
        <v>0</v>
      </c>
    </row>
    <row r="37" spans="2:18" hidden="1">
      <c r="B37" s="40">
        <v>45516</v>
      </c>
      <c r="C37" s="41">
        <v>1</v>
      </c>
      <c r="D37" s="42">
        <v>3</v>
      </c>
      <c r="E37" s="43">
        <v>7519</v>
      </c>
      <c r="F37" s="44">
        <v>33708218699</v>
      </c>
      <c r="G37" s="45" t="str">
        <f>IFERROR(IF(compras_mes8[[#This Row],[CUIT]]="","-",VLOOKUP(compras_mes8[[#This Row],[CUIT]],Lista_CUIT[#All],2,0)),"CUIT NO CARGADO")</f>
        <v>MANGGINI PABLO Y MANGGINI ULISES SOC. DE HECHO.</v>
      </c>
      <c r="H37" s="46">
        <v>15000</v>
      </c>
      <c r="I37" s="85">
        <f>IF(compras_mes8[[#This Row],[NETO GRAVADO]]="","",compras_mes8[[#This Row],[NETO GRAVADO]]*0.21)</f>
        <v>3150</v>
      </c>
      <c r="J37" s="85"/>
      <c r="K37" s="85"/>
      <c r="L37" s="85"/>
      <c r="M37" s="85"/>
      <c r="N37" s="85"/>
      <c r="O37" s="85"/>
      <c r="P37" s="48">
        <f>SUM(compras_mes8[[#This Row],[NETO GRAVADO]:[Otros / No Grav.]])</f>
        <v>18150</v>
      </c>
      <c r="Q37" s="610" t="str">
        <f>IFERROR(IF(compras_mes8[[#This Row],[CUIT]]="","-",VLOOKUP(compras_mes8[[#This Row],[CUIT]],Lista_CUIT[#All],3,0)),"CUIT NO CARGADO")</f>
        <v>Gastos Varios</v>
      </c>
      <c r="R37" s="49">
        <f>IFERROR(IF(compras_mes8[[#This Row],[CUIT]]="","-",VLOOKUP(compras_mes8[[#This Row],[CUIT]],Lista_CUIT[#All],4,0)),"CUIT NO CARGADO")</f>
        <v>0</v>
      </c>
    </row>
    <row r="38" spans="2:18" hidden="1">
      <c r="B38" s="40">
        <v>45518</v>
      </c>
      <c r="C38" s="41">
        <v>1</v>
      </c>
      <c r="D38" s="42">
        <v>5</v>
      </c>
      <c r="E38" s="43">
        <v>146</v>
      </c>
      <c r="F38" s="44">
        <v>27211511023</v>
      </c>
      <c r="G38" s="45" t="str">
        <f>IFERROR(IF(compras_mes8[[#This Row],[CUIT]]="","-",VLOOKUP(compras_mes8[[#This Row],[CUIT]],Lista_CUIT[#All],2,0)),"CUIT NO CARGADO")</f>
        <v>BRIÑON DANIELA</v>
      </c>
      <c r="H38" s="46">
        <v>97438.02</v>
      </c>
      <c r="I38" s="85">
        <f>IF(compras_mes8[[#This Row],[NETO GRAVADO]]="","",compras_mes8[[#This Row],[NETO GRAVADO]]*0.21)</f>
        <v>20461.984199999999</v>
      </c>
      <c r="J38" s="85"/>
      <c r="K38" s="85"/>
      <c r="L38" s="85"/>
      <c r="M38" s="85"/>
      <c r="N38" s="85"/>
      <c r="O38" s="85"/>
      <c r="P38" s="48">
        <f>SUM(compras_mes8[[#This Row],[NETO GRAVADO]:[Otros / No Grav.]])</f>
        <v>117900.0042</v>
      </c>
      <c r="Q38" s="610" t="str">
        <f>IFERROR(IF(compras_mes8[[#This Row],[CUIT]]="","-",VLOOKUP(compras_mes8[[#This Row],[CUIT]],Lista_CUIT[#All],3,0)),"CUIT NO CARGADO")</f>
        <v>Gastos Varios</v>
      </c>
      <c r="R38" s="49">
        <f>IFERROR(IF(compras_mes8[[#This Row],[CUIT]]="","-",VLOOKUP(compras_mes8[[#This Row],[CUIT]],Lista_CUIT[#All],4,0)),"CUIT NO CARGADO")</f>
        <v>0</v>
      </c>
    </row>
    <row r="39" spans="2:18" hidden="1">
      <c r="B39" s="440">
        <v>45518</v>
      </c>
      <c r="C39" s="441">
        <v>1</v>
      </c>
      <c r="D39" s="442">
        <v>5</v>
      </c>
      <c r="E39" s="443">
        <v>145</v>
      </c>
      <c r="F39" s="444">
        <v>27211511023</v>
      </c>
      <c r="G39" s="445" t="str">
        <f>IFERROR(IF(compras_mes8[[#This Row],[CUIT]]="","-",VLOOKUP(compras_mes8[[#This Row],[CUIT]],Lista_CUIT[#All],2,0)),"CUIT NO CARGADO")</f>
        <v>BRIÑON DANIELA</v>
      </c>
      <c r="H39" s="446">
        <v>108264.47</v>
      </c>
      <c r="I39" s="447">
        <f>IF(compras_mes8[[#This Row],[NETO GRAVADO]]="","",compras_mes8[[#This Row],[NETO GRAVADO]]*0.21)</f>
        <v>22735.538700000001</v>
      </c>
      <c r="J39" s="447"/>
      <c r="K39" s="447"/>
      <c r="L39" s="447"/>
      <c r="M39" s="447"/>
      <c r="N39" s="447"/>
      <c r="O39" s="447"/>
      <c r="P39" s="448">
        <f>SUM(compras_mes8[[#This Row],[NETO GRAVADO]:[Otros / No Grav.]])</f>
        <v>131000.00870000001</v>
      </c>
      <c r="Q39" s="627" t="str">
        <f>IFERROR(IF(compras_mes8[[#This Row],[CUIT]]="","-",VLOOKUP(compras_mes8[[#This Row],[CUIT]],Lista_CUIT[#All],3,0)),"CUIT NO CARGADO")</f>
        <v>Gastos Varios</v>
      </c>
      <c r="R39" s="449">
        <f>IFERROR(IF(compras_mes8[[#This Row],[CUIT]]="","-",VLOOKUP(compras_mes8[[#This Row],[CUIT]],Lista_CUIT[#All],4,0)),"CUIT NO CARGADO")</f>
        <v>0</v>
      </c>
    </row>
    <row r="40" spans="2:18" hidden="1">
      <c r="B40" s="440">
        <v>45518</v>
      </c>
      <c r="C40" s="441">
        <v>3</v>
      </c>
      <c r="D40" s="442">
        <v>5</v>
      </c>
      <c r="E40" s="443">
        <v>8</v>
      </c>
      <c r="F40" s="444">
        <v>27211511023</v>
      </c>
      <c r="G40" s="445" t="str">
        <f>IFERROR(IF(compras_mes8[[#This Row],[CUIT]]="","-",VLOOKUP(compras_mes8[[#This Row],[CUIT]],Lista_CUIT[#All],2,0)),"CUIT NO CARGADO")</f>
        <v>BRIÑON DANIELA</v>
      </c>
      <c r="H40" s="446">
        <v>-108264.47</v>
      </c>
      <c r="I40" s="447">
        <f>IF(compras_mes8[[#This Row],[NETO GRAVADO]]="","",compras_mes8[[#This Row],[NETO GRAVADO]]*0.21)</f>
        <v>-22735.538700000001</v>
      </c>
      <c r="J40" s="447"/>
      <c r="K40" s="447"/>
      <c r="L40" s="447"/>
      <c r="M40" s="447"/>
      <c r="N40" s="447"/>
      <c r="O40" s="447"/>
      <c r="P40" s="448">
        <f>SUM(compras_mes8[[#This Row],[NETO GRAVADO]:[Otros / No Grav.]])</f>
        <v>-131000.00870000001</v>
      </c>
      <c r="Q40" s="627" t="str">
        <f>IFERROR(IF(compras_mes8[[#This Row],[CUIT]]="","-",VLOOKUP(compras_mes8[[#This Row],[CUIT]],Lista_CUIT[#All],3,0)),"CUIT NO CARGADO")</f>
        <v>Gastos Varios</v>
      </c>
      <c r="R40" s="449">
        <f>IFERROR(IF(compras_mes8[[#This Row],[CUIT]]="","-",VLOOKUP(compras_mes8[[#This Row],[CUIT]],Lista_CUIT[#All],4,0)),"CUIT NO CARGADO")</f>
        <v>0</v>
      </c>
    </row>
    <row r="41" spans="2:18" hidden="1">
      <c r="B41" s="40">
        <v>45520</v>
      </c>
      <c r="C41" s="41">
        <v>1</v>
      </c>
      <c r="D41" s="42">
        <v>7</v>
      </c>
      <c r="E41" s="43">
        <v>59091</v>
      </c>
      <c r="F41" s="44">
        <v>30714783129</v>
      </c>
      <c r="G41" s="45" t="str">
        <f>IFERROR(IF(compras_mes8[[#This Row],[CUIT]]="","-",VLOOKUP(compras_mes8[[#This Row],[CUIT]],Lista_CUIT[#All],2,0)),"CUIT NO CARGADO")</f>
        <v>UNIPASE S.A.</v>
      </c>
      <c r="H41" s="46">
        <v>4090.91</v>
      </c>
      <c r="I41" s="85">
        <f>IF(compras_mes8[[#This Row],[NETO GRAVADO]]="","",compras_mes8[[#This Row],[NETO GRAVADO]]*0.21)</f>
        <v>859.09109999999998</v>
      </c>
      <c r="J41" s="85"/>
      <c r="K41" s="85"/>
      <c r="L41" s="85"/>
      <c r="M41" s="85"/>
      <c r="N41" s="85"/>
      <c r="O41" s="85"/>
      <c r="P41" s="48">
        <f>SUM(compras_mes8[[#This Row],[NETO GRAVADO]:[Otros / No Grav.]])</f>
        <v>4950.0010999999995</v>
      </c>
      <c r="Q41" s="610" t="str">
        <f>IFERROR(IF(compras_mes8[[#This Row],[CUIT]]="","-",VLOOKUP(compras_mes8[[#This Row],[CUIT]],Lista_CUIT[#All],3,0)),"CUIT NO CARGADO")</f>
        <v>GASTOS VARIOS</v>
      </c>
      <c r="R41" s="49">
        <f>IFERROR(IF(compras_mes8[[#This Row],[CUIT]]="","-",VLOOKUP(compras_mes8[[#This Row],[CUIT]],Lista_CUIT[#All],4,0)),"CUIT NO CARGADO")</f>
        <v>0</v>
      </c>
    </row>
    <row r="42" spans="2:18" hidden="1">
      <c r="B42" s="40">
        <v>45523</v>
      </c>
      <c r="C42" s="41">
        <v>1</v>
      </c>
      <c r="D42" s="42">
        <v>5</v>
      </c>
      <c r="E42" s="43">
        <v>31</v>
      </c>
      <c r="F42" s="44">
        <v>20929183143</v>
      </c>
      <c r="G42" s="45" t="str">
        <f>IFERROR(IF(compras_mes8[[#This Row],[CUIT]]="","-",VLOOKUP(compras_mes8[[#This Row],[CUIT]],Lista_CUIT[#All],2,0)),"CUIT NO CARGADO")</f>
        <v>MA JUN</v>
      </c>
      <c r="H42" s="46">
        <v>45000</v>
      </c>
      <c r="I42" s="85">
        <f>IF(compras_mes8[[#This Row],[NETO GRAVADO]]="","",compras_mes8[[#This Row],[NETO GRAVADO]]*0.21)</f>
        <v>9450</v>
      </c>
      <c r="J42" s="85"/>
      <c r="K42" s="85"/>
      <c r="L42" s="85"/>
      <c r="M42" s="85"/>
      <c r="N42" s="85"/>
      <c r="O42" s="85"/>
      <c r="P42" s="48">
        <f>SUM(compras_mes8[[#This Row],[NETO GRAVADO]:[Otros / No Grav.]])</f>
        <v>54450</v>
      </c>
      <c r="Q42" s="610" t="str">
        <f>IFERROR(IF(compras_mes8[[#This Row],[CUIT]]="","-",VLOOKUP(compras_mes8[[#This Row],[CUIT]],Lista_CUIT[#All],3,0)),"CUIT NO CARGADO")</f>
        <v>Gastos Varios</v>
      </c>
      <c r="R42" s="49">
        <f>IFERROR(IF(compras_mes8[[#This Row],[CUIT]]="","-",VLOOKUP(compras_mes8[[#This Row],[CUIT]],Lista_CUIT[#All],4,0)),"CUIT NO CARGADO")</f>
        <v>0</v>
      </c>
    </row>
    <row r="43" spans="2:18" hidden="1">
      <c r="B43" s="40">
        <v>45525</v>
      </c>
      <c r="C43" s="41">
        <v>1</v>
      </c>
      <c r="D43" s="42">
        <v>5</v>
      </c>
      <c r="E43" s="43">
        <v>150</v>
      </c>
      <c r="F43" s="44">
        <v>27211511023</v>
      </c>
      <c r="G43" s="45" t="str">
        <f>IFERROR(IF(compras_mes8[[#This Row],[CUIT]]="","-",VLOOKUP(compras_mes8[[#This Row],[CUIT]],Lista_CUIT[#All],2,0)),"CUIT NO CARGADO")</f>
        <v>BRIÑON DANIELA</v>
      </c>
      <c r="H43" s="46">
        <v>164714.89000000001</v>
      </c>
      <c r="I43" s="85">
        <f>IF(compras_mes8[[#This Row],[NETO GRAVADO]]="","",compras_mes8[[#This Row],[NETO GRAVADO]]*0.21)</f>
        <v>34590.126900000003</v>
      </c>
      <c r="J43" s="85"/>
      <c r="K43" s="85"/>
      <c r="L43" s="85"/>
      <c r="M43" s="85"/>
      <c r="N43" s="85"/>
      <c r="O43" s="85"/>
      <c r="P43" s="48">
        <f>SUM(compras_mes8[[#This Row],[NETO GRAVADO]:[Otros / No Grav.]])</f>
        <v>199305.01690000002</v>
      </c>
      <c r="Q43" s="610" t="str">
        <f>IFERROR(IF(compras_mes8[[#This Row],[CUIT]]="","-",VLOOKUP(compras_mes8[[#This Row],[CUIT]],Lista_CUIT[#All],3,0)),"CUIT NO CARGADO")</f>
        <v>Gastos Varios</v>
      </c>
      <c r="R43" s="49">
        <f>IFERROR(IF(compras_mes8[[#This Row],[CUIT]]="","-",VLOOKUP(compras_mes8[[#This Row],[CUIT]],Lista_CUIT[#All],4,0)),"CUIT NO CARGADO")</f>
        <v>0</v>
      </c>
    </row>
    <row r="44" spans="2:18" hidden="1">
      <c r="B44" s="40">
        <v>45526</v>
      </c>
      <c r="C44" s="41">
        <v>1</v>
      </c>
      <c r="D44" s="42">
        <v>2</v>
      </c>
      <c r="E44" s="43">
        <v>785</v>
      </c>
      <c r="F44" s="44">
        <v>20171082464</v>
      </c>
      <c r="G44" s="45" t="str">
        <f>IFERROR(IF(compras_mes8[[#This Row],[CUIT]]="","-",VLOOKUP(compras_mes8[[#This Row],[CUIT]],Lista_CUIT[#All],2,0)),"CUIT NO CARGADO")</f>
        <v>NOLAZCO EDUARDO ARTURO</v>
      </c>
      <c r="H44" s="46">
        <v>522720</v>
      </c>
      <c r="I44" s="85">
        <f>IF(compras_mes8[[#This Row],[NETO GRAVADO]]="","",compras_mes8[[#This Row],[NETO GRAVADO]]*0.21)</f>
        <v>109771.2</v>
      </c>
      <c r="J44" s="85"/>
      <c r="K44" s="85"/>
      <c r="L44" s="85"/>
      <c r="M44" s="85"/>
      <c r="N44" s="85"/>
      <c r="O44" s="85"/>
      <c r="P44" s="48">
        <f>SUM(compras_mes8[[#This Row],[NETO GRAVADO]:[Otros / No Grav.]])</f>
        <v>632491.19999999995</v>
      </c>
      <c r="Q44" s="610" t="str">
        <f>IFERROR(IF(compras_mes8[[#This Row],[CUIT]]="","-",VLOOKUP(compras_mes8[[#This Row],[CUIT]],Lista_CUIT[#All],3,0)),"CUIT NO CARGADO")</f>
        <v>Gastos Varios</v>
      </c>
      <c r="R44" s="49">
        <f>IFERROR(IF(compras_mes8[[#This Row],[CUIT]]="","-",VLOOKUP(compras_mes8[[#This Row],[CUIT]],Lista_CUIT[#All],4,0)),"CUIT NO CARGADO")</f>
        <v>0</v>
      </c>
    </row>
    <row r="45" spans="2:18" hidden="1">
      <c r="B45" s="40">
        <v>45529</v>
      </c>
      <c r="C45" s="41">
        <v>1</v>
      </c>
      <c r="D45" s="42">
        <v>5</v>
      </c>
      <c r="E45" s="43">
        <v>2731</v>
      </c>
      <c r="F45" s="44">
        <v>27238817973</v>
      </c>
      <c r="G45" s="45" t="str">
        <f>IFERROR(IF(compras_mes8[[#This Row],[CUIT]]="","-",VLOOKUP(compras_mes8[[#This Row],[CUIT]],Lista_CUIT[#All],2,0)),"CUIT NO CARGADO")</f>
        <v>ANTIMO VALERIA EDITH</v>
      </c>
      <c r="H45" s="46">
        <v>18417.759999999998</v>
      </c>
      <c r="I45" s="85">
        <f>IF(compras_mes8[[#This Row],[NETO GRAVADO]]="","",compras_mes8[[#This Row],[NETO GRAVADO]]*0.21)</f>
        <v>3867.7295999999997</v>
      </c>
      <c r="J45" s="85"/>
      <c r="K45" s="85"/>
      <c r="L45" s="85"/>
      <c r="M45" s="85"/>
      <c r="N45" s="85"/>
      <c r="O45" s="85"/>
      <c r="P45" s="48">
        <f>SUM(compras_mes8[[#This Row],[NETO GRAVADO]:[Otros / No Grav.]])</f>
        <v>22285.489599999997</v>
      </c>
      <c r="Q45" s="610" t="str">
        <f>IFERROR(IF(compras_mes8[[#This Row],[CUIT]]="","-",VLOOKUP(compras_mes8[[#This Row],[CUIT]],Lista_CUIT[#All],3,0)),"CUIT NO CARGADO")</f>
        <v>Gastos Varios</v>
      </c>
      <c r="R45" s="49">
        <f>IFERROR(IF(compras_mes8[[#This Row],[CUIT]]="","-",VLOOKUP(compras_mes8[[#This Row],[CUIT]],Lista_CUIT[#All],4,0)),"CUIT NO CARGADO")</f>
        <v>0</v>
      </c>
    </row>
    <row r="46" spans="2:18" s="450" customFormat="1" hidden="1">
      <c r="B46" s="40">
        <v>45531</v>
      </c>
      <c r="C46" s="41">
        <v>1</v>
      </c>
      <c r="D46" s="42">
        <v>4</v>
      </c>
      <c r="E46" s="43">
        <v>5770</v>
      </c>
      <c r="F46" s="44">
        <v>20167486666</v>
      </c>
      <c r="G46" s="45" t="str">
        <f>IFERROR(IF(compras_mes8[[#This Row],[CUIT]]="","-",VLOOKUP(compras_mes8[[#This Row],[CUIT]],Lista_CUIT[#All],2,0)),"CUIT NO CARGADO")</f>
        <v>GUTIERREZ CUSSI ARMANDO</v>
      </c>
      <c r="H46" s="46">
        <v>16702.48</v>
      </c>
      <c r="I46" s="85">
        <f>IF(compras_mes8[[#This Row],[NETO GRAVADO]]="","",compras_mes8[[#This Row],[NETO GRAVADO]]*0.21)</f>
        <v>3507.5207999999998</v>
      </c>
      <c r="J46" s="85"/>
      <c r="K46" s="85"/>
      <c r="L46" s="85"/>
      <c r="M46" s="85"/>
      <c r="N46" s="85"/>
      <c r="O46" s="85"/>
      <c r="P46" s="48">
        <f>SUM(compras_mes8[[#This Row],[NETO GRAVADO]:[Otros / No Grav.]])</f>
        <v>20210.000799999998</v>
      </c>
      <c r="Q46" s="610" t="str">
        <f>IFERROR(IF(compras_mes8[[#This Row],[CUIT]]="","-",VLOOKUP(compras_mes8[[#This Row],[CUIT]],Lista_CUIT[#All],3,0)),"CUIT NO CARGADO")</f>
        <v>Gastos Varios</v>
      </c>
      <c r="R46" s="49">
        <f>IFERROR(IF(compras_mes8[[#This Row],[CUIT]]="","-",VLOOKUP(compras_mes8[[#This Row],[CUIT]],Lista_CUIT[#All],4,0)),"CUIT NO CARGADO")</f>
        <v>0</v>
      </c>
    </row>
    <row r="47" spans="2:18" hidden="1">
      <c r="B47" s="40">
        <v>45532</v>
      </c>
      <c r="C47" s="41">
        <v>1</v>
      </c>
      <c r="D47" s="42">
        <v>2</v>
      </c>
      <c r="E47" s="43">
        <v>8959</v>
      </c>
      <c r="F47" s="44">
        <v>30717074781</v>
      </c>
      <c r="G47" s="45" t="str">
        <f>IFERROR(IF(compras_mes8[[#This Row],[CUIT]]="","-",VLOOKUP(compras_mes8[[#This Row],[CUIT]],Lista_CUIT[#All],2,0)),"CUIT NO CARGADO")</f>
        <v>AGUGAS S.A.</v>
      </c>
      <c r="H47" s="46">
        <v>8085.94</v>
      </c>
      <c r="I47" s="85">
        <f>IF(compras_mes8[[#This Row],[NETO GRAVADO]]="","",compras_mes8[[#This Row],[NETO GRAVADO]]*0.21)</f>
        <v>1698.0473999999999</v>
      </c>
      <c r="J47" s="85"/>
      <c r="K47" s="85"/>
      <c r="L47" s="85"/>
      <c r="M47" s="85"/>
      <c r="N47" s="85"/>
      <c r="O47" s="85"/>
      <c r="P47" s="48">
        <f>SUM(compras_mes8[[#This Row],[NETO GRAVADO]:[Otros / No Grav.]])</f>
        <v>9783.9874</v>
      </c>
      <c r="Q47" s="610" t="str">
        <f>IFERROR(IF(compras_mes8[[#This Row],[CUIT]]="","-",VLOOKUP(compras_mes8[[#This Row],[CUIT]],Lista_CUIT[#All],3,0)),"CUIT NO CARGADO")</f>
        <v>Gastos Varios</v>
      </c>
      <c r="R47" s="49">
        <f>IFERROR(IF(compras_mes8[[#This Row],[CUIT]]="","-",VLOOKUP(compras_mes8[[#This Row],[CUIT]],Lista_CUIT[#All],4,0)),"CUIT NO CARGADO")</f>
        <v>0</v>
      </c>
    </row>
    <row r="48" spans="2:18" hidden="1">
      <c r="B48" s="40">
        <v>45535</v>
      </c>
      <c r="C48" s="41">
        <v>1</v>
      </c>
      <c r="D48" s="42">
        <v>113</v>
      </c>
      <c r="E48" s="43">
        <v>3775857</v>
      </c>
      <c r="F48" s="44">
        <v>30577207190</v>
      </c>
      <c r="G48" s="45" t="str">
        <f>IFERROR(IF(compras_mes8[[#This Row],[CUIT]]="","-",VLOOKUP(compras_mes8[[#This Row],[CUIT]],Lista_CUIT[#All],2,0)),"CUIT NO CARGADO")</f>
        <v>COORDINACION ECOLOGICA AREA METROPOLITANA SOCIEDAD DEL ESTADO</v>
      </c>
      <c r="H48" s="46">
        <v>3305.78</v>
      </c>
      <c r="I48" s="85">
        <f>IF(compras_mes8[[#This Row],[NETO GRAVADO]]="","",compras_mes8[[#This Row],[NETO GRAVADO]]*0.21)</f>
        <v>694.21379999999999</v>
      </c>
      <c r="J48" s="85"/>
      <c r="K48" s="85"/>
      <c r="L48" s="85"/>
      <c r="M48" s="85"/>
      <c r="N48" s="85"/>
      <c r="O48" s="85"/>
      <c r="P48" s="48">
        <f>SUM(compras_mes8[[#This Row],[NETO GRAVADO]:[Otros / No Grav.]])</f>
        <v>3999.9938000000002</v>
      </c>
      <c r="Q48" s="610" t="str">
        <f>IFERROR(IF(compras_mes8[[#This Row],[CUIT]]="","-",VLOOKUP(compras_mes8[[#This Row],[CUIT]],Lista_CUIT[#All],3,0)),"CUIT NO CARGADO")</f>
        <v>gastos varios</v>
      </c>
      <c r="R48" s="49">
        <f>IFERROR(IF(compras_mes8[[#This Row],[CUIT]]="","-",VLOOKUP(compras_mes8[[#This Row],[CUIT]],Lista_CUIT[#All],4,0)),"CUIT NO CARGADO")</f>
        <v>0</v>
      </c>
    </row>
    <row r="49" spans="2:18" hidden="1">
      <c r="B49" s="40">
        <v>45535</v>
      </c>
      <c r="C49" s="41">
        <v>1</v>
      </c>
      <c r="D49" s="42">
        <v>6</v>
      </c>
      <c r="E49" s="43">
        <v>17196111</v>
      </c>
      <c r="F49" s="44">
        <v>30620177497</v>
      </c>
      <c r="G49" s="45" t="str">
        <f>IFERROR(IF(compras_mes8[[#This Row],[CUIT]]="","-",VLOOKUP(compras_mes8[[#This Row],[CUIT]],Lista_CUIT[#All],2,0)),"CUIT NO CARGADO")</f>
        <v>POSNET SOCIEDAD DE RESPONSABILIDAD LIMITADA</v>
      </c>
      <c r="H49" s="46">
        <v>0</v>
      </c>
      <c r="I49" s="85">
        <f>IF(compras_mes8[[#This Row],[NETO GRAVADO]]="","",compras_mes8[[#This Row],[NETO GRAVADO]]*0.21)</f>
        <v>0</v>
      </c>
      <c r="J49" s="85"/>
      <c r="K49" s="85"/>
      <c r="L49" s="85"/>
      <c r="M49" s="85"/>
      <c r="N49" s="85"/>
      <c r="O49" s="85"/>
      <c r="P49" s="48">
        <f>SUM(compras_mes8[[#This Row],[NETO GRAVADO]:[Otros / No Grav.]])</f>
        <v>0</v>
      </c>
      <c r="Q49" s="610" t="str">
        <f>IFERROR(IF(compras_mes8[[#This Row],[CUIT]]="","-",VLOOKUP(compras_mes8[[#This Row],[CUIT]],Lista_CUIT[#All],3,0)),"CUIT NO CARGADO")</f>
        <v>Gastos Varios</v>
      </c>
      <c r="R49" s="49">
        <f>IFERROR(IF(compras_mes8[[#This Row],[CUIT]]="","-",VLOOKUP(compras_mes8[[#This Row],[CUIT]],Lista_CUIT[#All],4,0)),"CUIT NO CARGADO")</f>
        <v>0</v>
      </c>
    </row>
    <row r="50" spans="2:18" s="450" customFormat="1" hidden="1">
      <c r="B50" s="40">
        <v>45535</v>
      </c>
      <c r="C50" s="41">
        <v>1</v>
      </c>
      <c r="D50" s="42">
        <v>6</v>
      </c>
      <c r="E50" s="43">
        <v>17335811</v>
      </c>
      <c r="F50" s="44">
        <v>30620177497</v>
      </c>
      <c r="G50" s="45" t="str">
        <f>IFERROR(IF(compras_mes8[[#This Row],[CUIT]]="","-",VLOOKUP(compras_mes8[[#This Row],[CUIT]],Lista_CUIT[#All],2,0)),"CUIT NO CARGADO")</f>
        <v>POSNET SOCIEDAD DE RESPONSABILIDAD LIMITADA</v>
      </c>
      <c r="H50" s="46">
        <v>25157.82</v>
      </c>
      <c r="I50" s="85">
        <f>IF(compras_mes8[[#This Row],[NETO GRAVADO]]="","",compras_mes8[[#This Row],[NETO GRAVADO]]*0.21)</f>
        <v>5283.1421999999993</v>
      </c>
      <c r="J50" s="85"/>
      <c r="K50" s="85"/>
      <c r="L50" s="85"/>
      <c r="M50" s="85"/>
      <c r="N50" s="85"/>
      <c r="O50" s="85"/>
      <c r="P50" s="48">
        <f>SUM(compras_mes8[[#This Row],[NETO GRAVADO]:[Otros / No Grav.]])</f>
        <v>30440.962199999998</v>
      </c>
      <c r="Q50" s="610" t="str">
        <f>IFERROR(IF(compras_mes8[[#This Row],[CUIT]]="","-",VLOOKUP(compras_mes8[[#This Row],[CUIT]],Lista_CUIT[#All],3,0)),"CUIT NO CARGADO")</f>
        <v>Gastos Varios</v>
      </c>
      <c r="R50" s="49">
        <f>IFERROR(IF(compras_mes8[[#This Row],[CUIT]]="","-",VLOOKUP(compras_mes8[[#This Row],[CUIT]],Lista_CUIT[#All],4,0)),"CUIT NO CARGADO")</f>
        <v>0</v>
      </c>
    </row>
    <row r="51" spans="2:18" hidden="1">
      <c r="B51" s="40">
        <v>45528</v>
      </c>
      <c r="C51" s="41">
        <v>1</v>
      </c>
      <c r="D51" s="42">
        <v>12</v>
      </c>
      <c r="E51" s="43">
        <v>2671</v>
      </c>
      <c r="F51" s="44">
        <v>20200212143</v>
      </c>
      <c r="G51" s="45" t="str">
        <f>IFERROR(IF(compras_mes8[[#This Row],[CUIT]]="","-",VLOOKUP(compras_mes8[[#This Row],[CUIT]],Lista_CUIT[#All],2,0)),"CUIT NO CARGADO")</f>
        <v>SUMMER COLOR</v>
      </c>
      <c r="H51" s="46">
        <v>39157.019999999997</v>
      </c>
      <c r="I51" s="85">
        <f>IF(compras_mes8[[#This Row],[NETO GRAVADO]]="","",compras_mes8[[#This Row],[NETO GRAVADO]]*0.21)</f>
        <v>8222.9741999999987</v>
      </c>
      <c r="J51" s="85"/>
      <c r="K51" s="85"/>
      <c r="L51" s="85"/>
      <c r="M51" s="85"/>
      <c r="N51" s="85"/>
      <c r="O51" s="85"/>
      <c r="P51" s="48">
        <f>SUM(compras_mes8[[#This Row],[NETO GRAVADO]:[Otros / No Grav.]])</f>
        <v>47379.994199999994</v>
      </c>
      <c r="Q51" s="610" t="str">
        <f>IFERROR(IF(compras_mes8[[#This Row],[CUIT]]="","-",VLOOKUP(compras_mes8[[#This Row],[CUIT]],Lista_CUIT[#All],3,0)),"CUIT NO CARGADO")</f>
        <v>Gastos Varios</v>
      </c>
      <c r="R51" s="49">
        <f>IFERROR(IF(compras_mes8[[#This Row],[CUIT]]="","-",VLOOKUP(compras_mes8[[#This Row],[CUIT]],Lista_CUIT[#All],4,0)),"CUIT NO CARGADO")</f>
        <v>0</v>
      </c>
    </row>
    <row r="52" spans="2:18" hidden="1">
      <c r="B52" s="291">
        <v>45528</v>
      </c>
      <c r="C52" s="41">
        <v>1</v>
      </c>
      <c r="D52" s="292">
        <v>12</v>
      </c>
      <c r="E52" s="293">
        <v>2672</v>
      </c>
      <c r="F52" s="294">
        <v>20200212143</v>
      </c>
      <c r="G52" s="295" t="str">
        <f>IFERROR(IF(compras_mes8[[#This Row],[CUIT]]="","-",VLOOKUP(compras_mes8[[#This Row],[CUIT]],Lista_CUIT[#All],2,0)),"CUIT NO CARGADO")</f>
        <v>SUMMER COLOR</v>
      </c>
      <c r="H52" s="296">
        <v>4061.16</v>
      </c>
      <c r="I52" s="85">
        <f>IF(compras_mes8[[#This Row],[NETO GRAVADO]]="","",compras_mes8[[#This Row],[NETO GRAVADO]]*0.21)</f>
        <v>852.84359999999992</v>
      </c>
      <c r="J52" s="297"/>
      <c r="K52" s="297"/>
      <c r="L52" s="297"/>
      <c r="M52" s="297"/>
      <c r="N52" s="297"/>
      <c r="O52" s="297"/>
      <c r="P52" s="298">
        <f>SUM(compras_mes8[[#This Row],[NETO GRAVADO]:[Otros / No Grav.]])</f>
        <v>4914.0036</v>
      </c>
      <c r="Q52" s="618" t="str">
        <f>IFERROR(IF(compras_mes8[[#This Row],[CUIT]]="","-",VLOOKUP(compras_mes8[[#This Row],[CUIT]],Lista_CUIT[#All],3,0)),"CUIT NO CARGADO")</f>
        <v>Gastos Varios</v>
      </c>
      <c r="R52" s="299">
        <f>IFERROR(IF(compras_mes8[[#This Row],[CUIT]]="","-",VLOOKUP(compras_mes8[[#This Row],[CUIT]],Lista_CUIT[#All],4,0)),"CUIT NO CARGADO")</f>
        <v>0</v>
      </c>
    </row>
    <row r="53" spans="2:18" hidden="1">
      <c r="B53" s="40">
        <v>45525</v>
      </c>
      <c r="C53" s="41">
        <v>1</v>
      </c>
      <c r="D53" s="42">
        <v>2</v>
      </c>
      <c r="E53" s="43">
        <v>705</v>
      </c>
      <c r="F53" s="44">
        <v>20222347719</v>
      </c>
      <c r="G53" s="45" t="str">
        <f>IFERROR(IF(compras_mes8[[#This Row],[CUIT]]="","-",VLOOKUP(compras_mes8[[#This Row],[CUIT]],Lista_CUIT[#All],2,0)),"CUIT NO CARGADO")</f>
        <v>NUÑEZ FERNANDO MANUEL</v>
      </c>
      <c r="H53" s="46">
        <v>162000</v>
      </c>
      <c r="I53" s="85">
        <f>IF(compras_mes8[[#This Row],[NETO GRAVADO]]="","",compras_mes8[[#This Row],[NETO GRAVADO]]*0.21)</f>
        <v>34020</v>
      </c>
      <c r="J53" s="85"/>
      <c r="K53" s="85"/>
      <c r="L53" s="85"/>
      <c r="M53" s="85"/>
      <c r="N53" s="85"/>
      <c r="O53" s="85"/>
      <c r="P53" s="48">
        <f>SUM(compras_mes8[[#This Row],[NETO GRAVADO]:[Otros / No Grav.]])</f>
        <v>196020</v>
      </c>
      <c r="Q53" s="610" t="str">
        <f>IFERROR(IF(compras_mes8[[#This Row],[CUIT]]="","-",VLOOKUP(compras_mes8[[#This Row],[CUIT]],Lista_CUIT[#All],3,0)),"CUIT NO CARGADO")</f>
        <v>Gtos Sistemas</v>
      </c>
      <c r="R53" s="49">
        <f>IFERROR(IF(compras_mes8[[#This Row],[CUIT]]="","-",VLOOKUP(compras_mes8[[#This Row],[CUIT]],Lista_CUIT[#All],4,0)),"CUIT NO CARGADO")</f>
        <v>0</v>
      </c>
    </row>
    <row r="54" spans="2:18" s="450" customFormat="1" hidden="1">
      <c r="B54" s="40">
        <v>45505</v>
      </c>
      <c r="C54" s="41">
        <v>1</v>
      </c>
      <c r="D54" s="42">
        <v>1</v>
      </c>
      <c r="E54" s="43">
        <v>4139</v>
      </c>
      <c r="F54" s="44">
        <v>30715141201</v>
      </c>
      <c r="G54" s="45" t="str">
        <f>IFERROR(IF(compras_mes8[[#This Row],[CUIT]]="","-",VLOOKUP(compras_mes8[[#This Row],[CUIT]],Lista_CUIT[#All],2,0)),"CUIT NO CARGADO")</f>
        <v>REHAB S.R.L.</v>
      </c>
      <c r="H54" s="46">
        <v>1549687.5</v>
      </c>
      <c r="I54" s="85">
        <f>IF(compras_mes8[[#This Row],[NETO GRAVADO]]="","",compras_mes8[[#This Row],[NETO GRAVADO]]*0.21)</f>
        <v>325434.375</v>
      </c>
      <c r="J54" s="85"/>
      <c r="K54" s="85"/>
      <c r="L54" s="85"/>
      <c r="M54" s="85"/>
      <c r="N54" s="85"/>
      <c r="O54" s="85"/>
      <c r="P54" s="48">
        <f>SUM(compras_mes8[[#This Row],[NETO GRAVADO]:[Otros / No Grav.]])</f>
        <v>1875121.875</v>
      </c>
      <c r="Q54" s="610" t="str">
        <f>IFERROR(IF(compras_mes8[[#This Row],[CUIT]]="","-",VLOOKUP(compras_mes8[[#This Row],[CUIT]],Lista_CUIT[#All],3,0)),"CUIT NO CARGADO")</f>
        <v>Productos Ortopedicos</v>
      </c>
      <c r="R54" s="49">
        <f>IFERROR(IF(compras_mes8[[#This Row],[CUIT]]="","-",VLOOKUP(compras_mes8[[#This Row],[CUIT]],Lista_CUIT[#All],4,0)),"CUIT NO CARGADO")</f>
        <v>0</v>
      </c>
    </row>
    <row r="55" spans="2:18" hidden="1">
      <c r="B55" s="40">
        <v>45505</v>
      </c>
      <c r="C55" s="41">
        <v>1</v>
      </c>
      <c r="D55" s="42">
        <v>1</v>
      </c>
      <c r="E55" s="43">
        <v>4120</v>
      </c>
      <c r="F55" s="44">
        <v>30715141201</v>
      </c>
      <c r="G55" s="45" t="str">
        <f>IFERROR(IF(compras_mes8[[#This Row],[CUIT]]="","-",VLOOKUP(compras_mes8[[#This Row],[CUIT]],Lista_CUIT[#All],2,0)),"CUIT NO CARGADO")</f>
        <v>REHAB S.R.L.</v>
      </c>
      <c r="H55" s="46">
        <v>44375</v>
      </c>
      <c r="I55" s="85">
        <f>IF(compras_mes8[[#This Row],[NETO GRAVADO]]="","",compras_mes8[[#This Row],[NETO GRAVADO]]*0.21)</f>
        <v>9318.75</v>
      </c>
      <c r="J55" s="85"/>
      <c r="K55" s="85"/>
      <c r="L55" s="85"/>
      <c r="M55" s="85"/>
      <c r="N55" s="85"/>
      <c r="O55" s="85"/>
      <c r="P55" s="48">
        <f>SUM(compras_mes8[[#This Row],[NETO GRAVADO]:[Otros / No Grav.]])</f>
        <v>53693.75</v>
      </c>
      <c r="Q55" s="610" t="str">
        <f>IFERROR(IF(compras_mes8[[#This Row],[CUIT]]="","-",VLOOKUP(compras_mes8[[#This Row],[CUIT]],Lista_CUIT[#All],3,0)),"CUIT NO CARGADO")</f>
        <v>Productos Ortopedicos</v>
      </c>
      <c r="R55" s="49">
        <f>IFERROR(IF(compras_mes8[[#This Row],[CUIT]]="","-",VLOOKUP(compras_mes8[[#This Row],[CUIT]],Lista_CUIT[#All],4,0)),"CUIT NO CARGADO")</f>
        <v>0</v>
      </c>
    </row>
    <row r="56" spans="2:18" hidden="1">
      <c r="B56" s="40">
        <v>45506</v>
      </c>
      <c r="C56" s="41">
        <v>1</v>
      </c>
      <c r="D56" s="42">
        <v>1</v>
      </c>
      <c r="E56" s="43">
        <v>4161</v>
      </c>
      <c r="F56" s="44">
        <v>30715141201</v>
      </c>
      <c r="G56" s="45" t="str">
        <f>IFERROR(IF(compras_mes8[[#This Row],[CUIT]]="","-",VLOOKUP(compras_mes8[[#This Row],[CUIT]],Lista_CUIT[#All],2,0)),"CUIT NO CARGADO")</f>
        <v>REHAB S.R.L.</v>
      </c>
      <c r="H56" s="46">
        <v>6290151.75</v>
      </c>
      <c r="I56" s="85">
        <f>IF(compras_mes8[[#This Row],[NETO GRAVADO]]="","",compras_mes8[[#This Row],[NETO GRAVADO]]*0.21)</f>
        <v>1320931.8674999999</v>
      </c>
      <c r="J56" s="85"/>
      <c r="K56" s="85"/>
      <c r="L56" s="85"/>
      <c r="M56" s="85"/>
      <c r="N56" s="85"/>
      <c r="O56" s="85"/>
      <c r="P56" s="48">
        <f>SUM(compras_mes8[[#This Row],[NETO GRAVADO]:[Otros / No Grav.]])</f>
        <v>7611083.6174999997</v>
      </c>
      <c r="Q56" s="610" t="str">
        <f>IFERROR(IF(compras_mes8[[#This Row],[CUIT]]="","-",VLOOKUP(compras_mes8[[#This Row],[CUIT]],Lista_CUIT[#All],3,0)),"CUIT NO CARGADO")</f>
        <v>Productos Ortopedicos</v>
      </c>
      <c r="R56" s="49">
        <f>IFERROR(IF(compras_mes8[[#This Row],[CUIT]]="","-",VLOOKUP(compras_mes8[[#This Row],[CUIT]],Lista_CUIT[#All],4,0)),"CUIT NO CARGADO")</f>
        <v>0</v>
      </c>
    </row>
    <row r="57" spans="2:18" hidden="1">
      <c r="B57" s="40">
        <v>45506</v>
      </c>
      <c r="C57" s="41">
        <v>1</v>
      </c>
      <c r="D57" s="42">
        <v>1</v>
      </c>
      <c r="E57" s="43">
        <v>4160</v>
      </c>
      <c r="F57" s="44">
        <v>30715141201</v>
      </c>
      <c r="G57" s="45" t="str">
        <f>IFERROR(IF(compras_mes8[[#This Row],[CUIT]]="","-",VLOOKUP(compras_mes8[[#This Row],[CUIT]],Lista_CUIT[#All],2,0)),"CUIT NO CARGADO")</f>
        <v>REHAB S.R.L.</v>
      </c>
      <c r="H57" s="46">
        <v>7550464.5099999998</v>
      </c>
      <c r="I57" s="85">
        <f>IF(compras_mes8[[#This Row],[NETO GRAVADO]]="","",compras_mes8[[#This Row],[NETO GRAVADO]]*0.21)</f>
        <v>1585597.5470999999</v>
      </c>
      <c r="J57" s="85"/>
      <c r="K57" s="85"/>
      <c r="L57" s="85"/>
      <c r="M57" s="85"/>
      <c r="N57" s="85"/>
      <c r="O57" s="85"/>
      <c r="P57" s="48">
        <f>SUM(compras_mes8[[#This Row],[NETO GRAVADO]:[Otros / No Grav.]])</f>
        <v>9136062.0570999999</v>
      </c>
      <c r="Q57" s="610" t="str">
        <f>IFERROR(IF(compras_mes8[[#This Row],[CUIT]]="","-",VLOOKUP(compras_mes8[[#This Row],[CUIT]],Lista_CUIT[#All],3,0)),"CUIT NO CARGADO")</f>
        <v>Productos Ortopedicos</v>
      </c>
      <c r="R57" s="49">
        <f>IFERROR(IF(compras_mes8[[#This Row],[CUIT]]="","-",VLOOKUP(compras_mes8[[#This Row],[CUIT]],Lista_CUIT[#All],4,0)),"CUIT NO CARGADO")</f>
        <v>0</v>
      </c>
    </row>
    <row r="58" spans="2:18" hidden="1">
      <c r="B58" s="40">
        <v>45506</v>
      </c>
      <c r="C58" s="41">
        <v>1</v>
      </c>
      <c r="D58" s="42">
        <v>2</v>
      </c>
      <c r="E58" s="43">
        <v>10293</v>
      </c>
      <c r="F58" s="44">
        <v>30714331082</v>
      </c>
      <c r="G58" s="45" t="str">
        <f>IFERROR(IF(compras_mes8[[#This Row],[CUIT]]="","-",VLOOKUP(compras_mes8[[#This Row],[CUIT]],Lista_CUIT[#All],2,0)),"CUIT NO CARGADO")</f>
        <v>ORTOPEDIA CASA ESCALADA SRL</v>
      </c>
      <c r="H58" s="46">
        <v>1339793.5900000001</v>
      </c>
      <c r="I58" s="85">
        <f>IF(compras_mes8[[#This Row],[NETO GRAVADO]]="","",compras_mes8[[#This Row],[NETO GRAVADO]]*0.21)</f>
        <v>281356.65390000003</v>
      </c>
      <c r="J58" s="85"/>
      <c r="K58" s="85"/>
      <c r="L58" s="85"/>
      <c r="M58" s="85"/>
      <c r="N58" s="85"/>
      <c r="O58" s="85"/>
      <c r="P58" s="48">
        <f>SUM(compras_mes8[[#This Row],[NETO GRAVADO]:[Otros / No Grav.]])</f>
        <v>1621150.2439000001</v>
      </c>
      <c r="Q58" s="610" t="str">
        <f>IFERROR(IF(compras_mes8[[#This Row],[CUIT]]="","-",VLOOKUP(compras_mes8[[#This Row],[CUIT]],Lista_CUIT[#All],3,0)),"CUIT NO CARGADO")</f>
        <v>Productos Ortopedicos</v>
      </c>
      <c r="R58" s="49">
        <f>IFERROR(IF(compras_mes8[[#This Row],[CUIT]]="","-",VLOOKUP(compras_mes8[[#This Row],[CUIT]],Lista_CUIT[#All],4,0)),"CUIT NO CARGADO")</f>
        <v>0</v>
      </c>
    </row>
    <row r="59" spans="2:18" hidden="1">
      <c r="B59" s="40">
        <v>45506</v>
      </c>
      <c r="C59" s="41">
        <v>1</v>
      </c>
      <c r="D59" s="42">
        <v>1</v>
      </c>
      <c r="E59" s="43">
        <v>4165</v>
      </c>
      <c r="F59" s="44">
        <v>30715141201</v>
      </c>
      <c r="G59" s="45" t="str">
        <f>IFERROR(IF(compras_mes8[[#This Row],[CUIT]]="","-",VLOOKUP(compras_mes8[[#This Row],[CUIT]],Lista_CUIT[#All],2,0)),"CUIT NO CARGADO")</f>
        <v>REHAB S.R.L.</v>
      </c>
      <c r="H59" s="46">
        <v>1019056.51</v>
      </c>
      <c r="I59" s="85">
        <f>IF(compras_mes8[[#This Row],[NETO GRAVADO]]="","",compras_mes8[[#This Row],[NETO GRAVADO]]*0.21)</f>
        <v>214001.8671</v>
      </c>
      <c r="J59" s="85"/>
      <c r="K59" s="85"/>
      <c r="L59" s="85"/>
      <c r="M59" s="85"/>
      <c r="N59" s="85"/>
      <c r="O59" s="85"/>
      <c r="P59" s="48">
        <f>SUM(compras_mes8[[#This Row],[NETO GRAVADO]:[Otros / No Grav.]])</f>
        <v>1233058.3770999999</v>
      </c>
      <c r="Q59" s="610" t="str">
        <f>IFERROR(IF(compras_mes8[[#This Row],[CUIT]]="","-",VLOOKUP(compras_mes8[[#This Row],[CUIT]],Lista_CUIT[#All],3,0)),"CUIT NO CARGADO")</f>
        <v>Productos Ortopedicos</v>
      </c>
      <c r="R59" s="49">
        <f>IFERROR(IF(compras_mes8[[#This Row],[CUIT]]="","-",VLOOKUP(compras_mes8[[#This Row],[CUIT]],Lista_CUIT[#All],4,0)),"CUIT NO CARGADO")</f>
        <v>0</v>
      </c>
    </row>
    <row r="60" spans="2:18" hidden="1">
      <c r="B60" s="40">
        <v>45510</v>
      </c>
      <c r="C60" s="41">
        <v>1</v>
      </c>
      <c r="D60" s="42">
        <v>17</v>
      </c>
      <c r="E60" s="43">
        <v>2163</v>
      </c>
      <c r="F60" s="44">
        <v>30711764921</v>
      </c>
      <c r="G60" s="45" t="str">
        <f>IFERROR(IF(compras_mes8[[#This Row],[CUIT]]="","-",VLOOKUP(compras_mes8[[#This Row],[CUIT]],Lista_CUIT[#All],2,0)),"CUIT NO CARGADO")</f>
        <v>RELIEF CENTER SRL</v>
      </c>
      <c r="H60" s="46">
        <v>211062</v>
      </c>
      <c r="I60" s="85">
        <f>IF(compras_mes8[[#This Row],[NETO GRAVADO]]="","",compras_mes8[[#This Row],[NETO GRAVADO]]*0.21)</f>
        <v>44323.02</v>
      </c>
      <c r="J60" s="85"/>
      <c r="K60" s="85"/>
      <c r="L60" s="85"/>
      <c r="M60" s="85"/>
      <c r="N60" s="85"/>
      <c r="O60" s="85"/>
      <c r="P60" s="48">
        <f>SUM(compras_mes8[[#This Row],[NETO GRAVADO]:[Otros / No Grav.]])</f>
        <v>255385.02</v>
      </c>
      <c r="Q60" s="610" t="str">
        <f>IFERROR(IF(compras_mes8[[#This Row],[CUIT]]="","-",VLOOKUP(compras_mes8[[#This Row],[CUIT]],Lista_CUIT[#All],3,0)),"CUIT NO CARGADO")</f>
        <v>Productos Ortopedicos</v>
      </c>
      <c r="R60" s="49">
        <f>IFERROR(IF(compras_mes8[[#This Row],[CUIT]]="","-",VLOOKUP(compras_mes8[[#This Row],[CUIT]],Lista_CUIT[#All],4,0)),"CUIT NO CARGADO")</f>
        <v>0</v>
      </c>
    </row>
    <row r="61" spans="2:18" hidden="1">
      <c r="B61" s="40">
        <v>45511</v>
      </c>
      <c r="C61" s="41">
        <v>1</v>
      </c>
      <c r="D61" s="42">
        <v>2</v>
      </c>
      <c r="E61" s="43">
        <v>10326</v>
      </c>
      <c r="F61" s="44">
        <v>30714331082</v>
      </c>
      <c r="G61" s="45" t="str">
        <f>IFERROR(IF(compras_mes8[[#This Row],[CUIT]]="","-",VLOOKUP(compras_mes8[[#This Row],[CUIT]],Lista_CUIT[#All],2,0)),"CUIT NO CARGADO")</f>
        <v>ORTOPEDIA CASA ESCALADA SRL</v>
      </c>
      <c r="H61" s="46">
        <v>1446694.32</v>
      </c>
      <c r="I61" s="85">
        <f>IF(compras_mes8[[#This Row],[NETO GRAVADO]]="","",compras_mes8[[#This Row],[NETO GRAVADO]]*0.21)</f>
        <v>303805.80719999998</v>
      </c>
      <c r="J61" s="85"/>
      <c r="K61" s="85"/>
      <c r="L61" s="85"/>
      <c r="M61" s="85"/>
      <c r="N61" s="85"/>
      <c r="O61" s="85"/>
      <c r="P61" s="48">
        <f>SUM(compras_mes8[[#This Row],[NETO GRAVADO]:[Otros / No Grav.]])</f>
        <v>1750500.1272</v>
      </c>
      <c r="Q61" s="610" t="str">
        <f>IFERROR(IF(compras_mes8[[#This Row],[CUIT]]="","-",VLOOKUP(compras_mes8[[#This Row],[CUIT]],Lista_CUIT[#All],3,0)),"CUIT NO CARGADO")</f>
        <v>Productos Ortopedicos</v>
      </c>
      <c r="R61" s="49">
        <f>IFERROR(IF(compras_mes8[[#This Row],[CUIT]]="","-",VLOOKUP(compras_mes8[[#This Row],[CUIT]],Lista_CUIT[#All],4,0)),"CUIT NO CARGADO")</f>
        <v>0</v>
      </c>
    </row>
    <row r="62" spans="2:18" hidden="1">
      <c r="B62" s="40">
        <v>45511</v>
      </c>
      <c r="C62" s="41">
        <v>1</v>
      </c>
      <c r="D62" s="42">
        <v>17</v>
      </c>
      <c r="E62" s="43">
        <v>2169</v>
      </c>
      <c r="F62" s="44">
        <v>30711764921</v>
      </c>
      <c r="G62" s="45" t="str">
        <f>IFERROR(IF(compras_mes8[[#This Row],[CUIT]]="","-",VLOOKUP(compras_mes8[[#This Row],[CUIT]],Lista_CUIT[#All],2,0)),"CUIT NO CARGADO")</f>
        <v>RELIEF CENTER SRL</v>
      </c>
      <c r="H62" s="46">
        <v>112183</v>
      </c>
      <c r="I62" s="85">
        <f>IF(compras_mes8[[#This Row],[NETO GRAVADO]]="","",compras_mes8[[#This Row],[NETO GRAVADO]]*0.21)</f>
        <v>23558.43</v>
      </c>
      <c r="J62" s="85"/>
      <c r="K62" s="85"/>
      <c r="L62" s="85"/>
      <c r="M62" s="85"/>
      <c r="N62" s="85"/>
      <c r="O62" s="85"/>
      <c r="P62" s="48">
        <f>SUM(compras_mes8[[#This Row],[NETO GRAVADO]:[Otros / No Grav.]])</f>
        <v>135741.43</v>
      </c>
      <c r="Q62" s="610" t="str">
        <f>IFERROR(IF(compras_mes8[[#This Row],[CUIT]]="","-",VLOOKUP(compras_mes8[[#This Row],[CUIT]],Lista_CUIT[#All],3,0)),"CUIT NO CARGADO")</f>
        <v>Productos Ortopedicos</v>
      </c>
      <c r="R62" s="49">
        <f>IFERROR(IF(compras_mes8[[#This Row],[CUIT]]="","-",VLOOKUP(compras_mes8[[#This Row],[CUIT]],Lista_CUIT[#All],4,0)),"CUIT NO CARGADO")</f>
        <v>0</v>
      </c>
    </row>
    <row r="63" spans="2:18" hidden="1">
      <c r="B63" s="40">
        <v>45513</v>
      </c>
      <c r="C63" s="41">
        <v>1</v>
      </c>
      <c r="D63" s="42">
        <v>5</v>
      </c>
      <c r="E63" s="43">
        <v>157550</v>
      </c>
      <c r="F63" s="44">
        <v>30598960093</v>
      </c>
      <c r="G63" s="45" t="str">
        <f>IFERROR(IF(compras_mes8[[#This Row],[CUIT]]="","-",VLOOKUP(compras_mes8[[#This Row],[CUIT]],Lista_CUIT[#All],2,0)),"CUIT NO CARGADO")</f>
        <v>SILVESTRIN FABRIS SRL</v>
      </c>
      <c r="H63" s="46">
        <v>439669.69</v>
      </c>
      <c r="I63" s="85">
        <f>IF(compras_mes8[[#This Row],[NETO GRAVADO]]="","",compras_mes8[[#This Row],[NETO GRAVADO]]*0.21)</f>
        <v>92330.63489999999</v>
      </c>
      <c r="J63" s="85"/>
      <c r="K63" s="85"/>
      <c r="L63" s="85"/>
      <c r="M63" s="85"/>
      <c r="N63" s="85"/>
      <c r="O63" s="85"/>
      <c r="P63" s="48">
        <f>SUM(compras_mes8[[#This Row],[NETO GRAVADO]:[Otros / No Grav.]])</f>
        <v>532000.32490000001</v>
      </c>
      <c r="Q63" s="610" t="str">
        <f>IFERROR(IF(compras_mes8[[#This Row],[CUIT]]="","-",VLOOKUP(compras_mes8[[#This Row],[CUIT]],Lista_CUIT[#All],3,0)),"CUIT NO CARGADO")</f>
        <v>Productos Ortopedicos</v>
      </c>
      <c r="R63" s="49">
        <f>IFERROR(IF(compras_mes8[[#This Row],[CUIT]]="","-",VLOOKUP(compras_mes8[[#This Row],[CUIT]],Lista_CUIT[#All],4,0)),"CUIT NO CARGADO")</f>
        <v>0</v>
      </c>
    </row>
    <row r="64" spans="2:18" hidden="1">
      <c r="B64" s="40">
        <v>45516</v>
      </c>
      <c r="C64" s="41">
        <v>1</v>
      </c>
      <c r="D64" s="42">
        <v>5</v>
      </c>
      <c r="E64" s="43">
        <v>157592</v>
      </c>
      <c r="F64" s="44">
        <v>30598960093</v>
      </c>
      <c r="G64" s="45" t="str">
        <f>IFERROR(IF(compras_mes8[[#This Row],[CUIT]]="","-",VLOOKUP(compras_mes8[[#This Row],[CUIT]],Lista_CUIT[#All],2,0)),"CUIT NO CARGADO")</f>
        <v>SILVESTRIN FABRIS SRL</v>
      </c>
      <c r="H64" s="46">
        <v>1269552</v>
      </c>
      <c r="I64" s="85"/>
      <c r="J64" s="85"/>
      <c r="K64" s="85">
        <f>compras_mes8[[#This Row],[NETO GRAVADO]]*10.5/100</f>
        <v>133302.96</v>
      </c>
      <c r="L64" s="85"/>
      <c r="M64" s="85"/>
      <c r="N64" s="85">
        <v>50782.080000000002</v>
      </c>
      <c r="O64" s="85"/>
      <c r="P64" s="48">
        <f>SUM(compras_mes8[[#This Row],[NETO GRAVADO]:[Otros / No Grav.]])</f>
        <v>1453637.04</v>
      </c>
      <c r="Q64" s="610" t="str">
        <f>IFERROR(IF(compras_mes8[[#This Row],[CUIT]]="","-",VLOOKUP(compras_mes8[[#This Row],[CUIT]],Lista_CUIT[#All],3,0)),"CUIT NO CARGADO")</f>
        <v>Productos Ortopedicos</v>
      </c>
      <c r="R64" s="49">
        <f>IFERROR(IF(compras_mes8[[#This Row],[CUIT]]="","-",VLOOKUP(compras_mes8[[#This Row],[CUIT]],Lista_CUIT[#All],4,0)),"CUIT NO CARGADO")</f>
        <v>0</v>
      </c>
    </row>
    <row r="65" spans="2:18" s="450" customFormat="1" hidden="1">
      <c r="B65" s="40">
        <v>45516</v>
      </c>
      <c r="C65" s="41">
        <v>1</v>
      </c>
      <c r="D65" s="42">
        <v>7</v>
      </c>
      <c r="E65" s="43">
        <v>18709</v>
      </c>
      <c r="F65" s="44">
        <v>30709214078</v>
      </c>
      <c r="G65" s="45" t="str">
        <f>IFERROR(IF(compras_mes8[[#This Row],[CUIT]]="","-",VLOOKUP(compras_mes8[[#This Row],[CUIT]],Lista_CUIT[#All],2,0)),"CUIT NO CARGADO")</f>
        <v>REHAVITA S.A</v>
      </c>
      <c r="H65" s="46">
        <v>688160</v>
      </c>
      <c r="I65" s="85"/>
      <c r="J65" s="85"/>
      <c r="K65" s="85">
        <f>compras_mes8[[#This Row],[NETO GRAVADO]]*10.5/100</f>
        <v>72256.800000000003</v>
      </c>
      <c r="L65" s="85"/>
      <c r="M65" s="85"/>
      <c r="N65" s="85"/>
      <c r="O65" s="85"/>
      <c r="P65" s="48">
        <f>SUM(compras_mes8[[#This Row],[NETO GRAVADO]:[Otros / No Grav.]])</f>
        <v>760416.8</v>
      </c>
      <c r="Q65" s="610" t="str">
        <f>IFERROR(IF(compras_mes8[[#This Row],[CUIT]]="","-",VLOOKUP(compras_mes8[[#This Row],[CUIT]],Lista_CUIT[#All],3,0)),"CUIT NO CARGADO")</f>
        <v>Productos Ortopedicos</v>
      </c>
      <c r="R65" s="49">
        <f>IFERROR(IF(compras_mes8[[#This Row],[CUIT]]="","-",VLOOKUP(compras_mes8[[#This Row],[CUIT]],Lista_CUIT[#All],4,0)),"CUIT NO CARGADO")</f>
        <v>0</v>
      </c>
    </row>
    <row r="66" spans="2:18" hidden="1">
      <c r="B66" s="40">
        <v>45518</v>
      </c>
      <c r="C66" s="41">
        <v>1</v>
      </c>
      <c r="D66" s="42">
        <v>17</v>
      </c>
      <c r="E66" s="43">
        <v>2180</v>
      </c>
      <c r="F66" s="44">
        <v>30711764921</v>
      </c>
      <c r="G66" s="45" t="str">
        <f>IFERROR(IF(compras_mes8[[#This Row],[CUIT]]="","-",VLOOKUP(compras_mes8[[#This Row],[CUIT]],Lista_CUIT[#All],2,0)),"CUIT NO CARGADO")</f>
        <v>RELIEF CENTER SRL</v>
      </c>
      <c r="H66" s="46">
        <v>139967</v>
      </c>
      <c r="I66" s="85">
        <f>IF(compras_mes8[[#This Row],[NETO GRAVADO]]="","",compras_mes8[[#This Row],[NETO GRAVADO]]*0.21)</f>
        <v>29393.07</v>
      </c>
      <c r="J66" s="85"/>
      <c r="K66" s="85"/>
      <c r="L66" s="85"/>
      <c r="M66" s="85"/>
      <c r="N66" s="85"/>
      <c r="O66" s="85"/>
      <c r="P66" s="48">
        <f>SUM(compras_mes8[[#This Row],[NETO GRAVADO]:[Otros / No Grav.]])</f>
        <v>169360.07</v>
      </c>
      <c r="Q66" s="610" t="str">
        <f>IFERROR(IF(compras_mes8[[#This Row],[CUIT]]="","-",VLOOKUP(compras_mes8[[#This Row],[CUIT]],Lista_CUIT[#All],3,0)),"CUIT NO CARGADO")</f>
        <v>Productos Ortopedicos</v>
      </c>
      <c r="R66" s="49">
        <f>IFERROR(IF(compras_mes8[[#This Row],[CUIT]]="","-",VLOOKUP(compras_mes8[[#This Row],[CUIT]],Lista_CUIT[#All],4,0)),"CUIT NO CARGADO")</f>
        <v>0</v>
      </c>
    </row>
    <row r="67" spans="2:18" hidden="1">
      <c r="B67" s="40">
        <v>45518</v>
      </c>
      <c r="C67" s="41">
        <v>1</v>
      </c>
      <c r="D67" s="42">
        <v>1</v>
      </c>
      <c r="E67" s="43">
        <v>4272</v>
      </c>
      <c r="F67" s="44">
        <v>30715141201</v>
      </c>
      <c r="G67" s="45" t="str">
        <f>IFERROR(IF(compras_mes8[[#This Row],[CUIT]]="","-",VLOOKUP(compras_mes8[[#This Row],[CUIT]],Lista_CUIT[#All],2,0)),"CUIT NO CARGADO")</f>
        <v>REHAB S.R.L.</v>
      </c>
      <c r="H67" s="46">
        <v>256551.75</v>
      </c>
      <c r="I67" s="85">
        <f>IF(compras_mes8[[#This Row],[NETO GRAVADO]]="","",compras_mes8[[#This Row],[NETO GRAVADO]]*0.21)</f>
        <v>53875.8675</v>
      </c>
      <c r="J67" s="85"/>
      <c r="K67" s="85"/>
      <c r="L67" s="85"/>
      <c r="M67" s="85"/>
      <c r="N67" s="85"/>
      <c r="O67" s="85"/>
      <c r="P67" s="48">
        <f>SUM(compras_mes8[[#This Row],[NETO GRAVADO]:[Otros / No Grav.]])</f>
        <v>310427.61749999999</v>
      </c>
      <c r="Q67" s="610" t="str">
        <f>IFERROR(IF(compras_mes8[[#This Row],[CUIT]]="","-",VLOOKUP(compras_mes8[[#This Row],[CUIT]],Lista_CUIT[#All],3,0)),"CUIT NO CARGADO")</f>
        <v>Productos Ortopedicos</v>
      </c>
      <c r="R67" s="49">
        <f>IFERROR(IF(compras_mes8[[#This Row],[CUIT]]="","-",VLOOKUP(compras_mes8[[#This Row],[CUIT]],Lista_CUIT[#All],4,0)),"CUIT NO CARGADO")</f>
        <v>0</v>
      </c>
    </row>
    <row r="68" spans="2:18" hidden="1">
      <c r="B68" s="40">
        <v>45519</v>
      </c>
      <c r="C68" s="41">
        <v>1</v>
      </c>
      <c r="D68" s="42">
        <v>1</v>
      </c>
      <c r="E68" s="43">
        <v>4284</v>
      </c>
      <c r="F68" s="44">
        <v>30715141201</v>
      </c>
      <c r="G68" s="45" t="str">
        <f>IFERROR(IF(compras_mes8[[#This Row],[CUIT]]="","-",VLOOKUP(compras_mes8[[#This Row],[CUIT]],Lista_CUIT[#All],2,0)),"CUIT NO CARGADO")</f>
        <v>REHAB S.R.L.</v>
      </c>
      <c r="H68" s="46">
        <v>9737151.5899999999</v>
      </c>
      <c r="I68" s="85">
        <f>IF(compras_mes8[[#This Row],[NETO GRAVADO]]="","",compras_mes8[[#This Row],[NETO GRAVADO]]*0.21)</f>
        <v>2044801.8339</v>
      </c>
      <c r="J68" s="85"/>
      <c r="K68" s="85"/>
      <c r="L68" s="85"/>
      <c r="M68" s="85"/>
      <c r="N68" s="85"/>
      <c r="O68" s="85"/>
      <c r="P68" s="48">
        <f>SUM(compras_mes8[[#This Row],[NETO GRAVADO]:[Otros / No Grav.]])</f>
        <v>11781953.423900001</v>
      </c>
      <c r="Q68" s="610" t="str">
        <f>IFERROR(IF(compras_mes8[[#This Row],[CUIT]]="","-",VLOOKUP(compras_mes8[[#This Row],[CUIT]],Lista_CUIT[#All],3,0)),"CUIT NO CARGADO")</f>
        <v>Productos Ortopedicos</v>
      </c>
      <c r="R68" s="49">
        <f>IFERROR(IF(compras_mes8[[#This Row],[CUIT]]="","-",VLOOKUP(compras_mes8[[#This Row],[CUIT]],Lista_CUIT[#All],4,0)),"CUIT NO CARGADO")</f>
        <v>0</v>
      </c>
    </row>
    <row r="69" spans="2:18" hidden="1">
      <c r="B69" s="40">
        <v>45523</v>
      </c>
      <c r="C69" s="41">
        <v>1</v>
      </c>
      <c r="D69" s="42">
        <v>1</v>
      </c>
      <c r="E69" s="43">
        <v>4324</v>
      </c>
      <c r="F69" s="44">
        <v>30715141201</v>
      </c>
      <c r="G69" s="45" t="str">
        <f>IFERROR(IF(compras_mes8[[#This Row],[CUIT]]="","-",VLOOKUP(compras_mes8[[#This Row],[CUIT]],Lista_CUIT[#All],2,0)),"CUIT NO CARGADO")</f>
        <v>REHAB S.R.L.</v>
      </c>
      <c r="H69" s="46">
        <v>1518336.75</v>
      </c>
      <c r="I69" s="85">
        <f>IF(compras_mes8[[#This Row],[NETO GRAVADO]]="","",compras_mes8[[#This Row],[NETO GRAVADO]]*0.21)</f>
        <v>318850.71749999997</v>
      </c>
      <c r="J69" s="85"/>
      <c r="K69" s="85"/>
      <c r="L69" s="85"/>
      <c r="M69" s="85"/>
      <c r="N69" s="85"/>
      <c r="O69" s="85"/>
      <c r="P69" s="48">
        <f>SUM(compras_mes8[[#This Row],[NETO GRAVADO]:[Otros / No Grav.]])</f>
        <v>1837187.4675</v>
      </c>
      <c r="Q69" s="610" t="str">
        <f>IFERROR(IF(compras_mes8[[#This Row],[CUIT]]="","-",VLOOKUP(compras_mes8[[#This Row],[CUIT]],Lista_CUIT[#All],3,0)),"CUIT NO CARGADO")</f>
        <v>Productos Ortopedicos</v>
      </c>
      <c r="R69" s="49">
        <f>IFERROR(IF(compras_mes8[[#This Row],[CUIT]]="","-",VLOOKUP(compras_mes8[[#This Row],[CUIT]],Lista_CUIT[#All],4,0)),"CUIT NO CARGADO")</f>
        <v>0</v>
      </c>
    </row>
    <row r="70" spans="2:18" hidden="1">
      <c r="B70" s="40">
        <v>45524</v>
      </c>
      <c r="C70" s="41">
        <v>1</v>
      </c>
      <c r="D70" s="42">
        <v>17</v>
      </c>
      <c r="E70" s="43">
        <v>2198</v>
      </c>
      <c r="F70" s="44">
        <v>30711764921</v>
      </c>
      <c r="G70" s="45" t="str">
        <f>IFERROR(IF(compras_mes8[[#This Row],[CUIT]]="","-",VLOOKUP(compras_mes8[[#This Row],[CUIT]],Lista_CUIT[#All],2,0)),"CUIT NO CARGADO")</f>
        <v>RELIEF CENTER SRL</v>
      </c>
      <c r="H70" s="46">
        <v>152964</v>
      </c>
      <c r="I70" s="85">
        <f>IF(compras_mes8[[#This Row],[NETO GRAVADO]]="","",compras_mes8[[#This Row],[NETO GRAVADO]]*0.21)</f>
        <v>32122.44</v>
      </c>
      <c r="J70" s="85"/>
      <c r="K70" s="85"/>
      <c r="L70" s="85"/>
      <c r="M70" s="85"/>
      <c r="N70" s="85"/>
      <c r="O70" s="85"/>
      <c r="P70" s="48">
        <f>SUM(compras_mes8[[#This Row],[NETO GRAVADO]:[Otros / No Grav.]])</f>
        <v>185086.44</v>
      </c>
      <c r="Q70" s="610" t="str">
        <f>IFERROR(IF(compras_mes8[[#This Row],[CUIT]]="","-",VLOOKUP(compras_mes8[[#This Row],[CUIT]],Lista_CUIT[#All],3,0)),"CUIT NO CARGADO")</f>
        <v>Productos Ortopedicos</v>
      </c>
      <c r="R70" s="49">
        <f>IFERROR(IF(compras_mes8[[#This Row],[CUIT]]="","-",VLOOKUP(compras_mes8[[#This Row],[CUIT]],Lista_CUIT[#All],4,0)),"CUIT NO CARGADO")</f>
        <v>0</v>
      </c>
    </row>
    <row r="71" spans="2:18" hidden="1">
      <c r="B71" s="40">
        <v>45525</v>
      </c>
      <c r="C71" s="41">
        <v>1</v>
      </c>
      <c r="D71" s="42">
        <v>4</v>
      </c>
      <c r="E71" s="43">
        <v>71212</v>
      </c>
      <c r="F71" s="44">
        <v>33709738459</v>
      </c>
      <c r="G71" s="45" t="str">
        <f>IFERROR(IF(compras_mes8[[#This Row],[CUIT]]="","-",VLOOKUP(compras_mes8[[#This Row],[CUIT]],Lista_CUIT[#All],2,0)),"CUIT NO CARGADO")</f>
        <v>ORTOPEDICOS ALFOLATEX S.A</v>
      </c>
      <c r="H71" s="46">
        <v>466711.71</v>
      </c>
      <c r="I71" s="85">
        <f>IF(compras_mes8[[#This Row],[NETO GRAVADO]]="","",compras_mes8[[#This Row],[NETO GRAVADO]]*0.21)</f>
        <v>98009.459100000007</v>
      </c>
      <c r="J71" s="85"/>
      <c r="K71" s="85"/>
      <c r="L71" s="85"/>
      <c r="M71" s="85"/>
      <c r="N71" s="85"/>
      <c r="O71" s="85"/>
      <c r="P71" s="48">
        <f>SUM(compras_mes8[[#This Row],[NETO GRAVADO]:[Otros / No Grav.]])</f>
        <v>564721.16910000006</v>
      </c>
      <c r="Q71" s="610" t="str">
        <f>IFERROR(IF(compras_mes8[[#This Row],[CUIT]]="","-",VLOOKUP(compras_mes8[[#This Row],[CUIT]],Lista_CUIT[#All],3,0)),"CUIT NO CARGADO")</f>
        <v>Productos Ortopedicos</v>
      </c>
      <c r="R71" s="49">
        <f>IFERROR(IF(compras_mes8[[#This Row],[CUIT]]="","-",VLOOKUP(compras_mes8[[#This Row],[CUIT]],Lista_CUIT[#All],4,0)),"CUIT NO CARGADO")</f>
        <v>0</v>
      </c>
    </row>
    <row r="72" spans="2:18" hidden="1">
      <c r="B72" s="40">
        <v>45525</v>
      </c>
      <c r="C72" s="41">
        <v>1</v>
      </c>
      <c r="D72" s="42">
        <v>4</v>
      </c>
      <c r="E72" s="43">
        <v>35874</v>
      </c>
      <c r="F72" s="44">
        <v>30683702060</v>
      </c>
      <c r="G72" s="45" t="str">
        <f>IFERROR(IF(compras_mes8[[#This Row],[CUIT]]="","-",VLOOKUP(compras_mes8[[#This Row],[CUIT]],Lista_CUIT[#All],2,0)),"CUIT NO CARGADO")</f>
        <v>ANTARES INDUST. ORTOP SA</v>
      </c>
      <c r="H72" s="46">
        <v>88502</v>
      </c>
      <c r="I72" s="85">
        <f>IF(compras_mes8[[#This Row],[NETO GRAVADO]]="","",compras_mes8[[#This Row],[NETO GRAVADO]]*0.21)</f>
        <v>18585.419999999998</v>
      </c>
      <c r="J72" s="85"/>
      <c r="K72" s="85"/>
      <c r="L72" s="85"/>
      <c r="M72" s="85"/>
      <c r="N72" s="85"/>
      <c r="O72" s="85"/>
      <c r="P72" s="48">
        <f>SUM(compras_mes8[[#This Row],[NETO GRAVADO]:[Otros / No Grav.]])</f>
        <v>107087.42</v>
      </c>
      <c r="Q72" s="610" t="str">
        <f>IFERROR(IF(compras_mes8[[#This Row],[CUIT]]="","-",VLOOKUP(compras_mes8[[#This Row],[CUIT]],Lista_CUIT[#All],3,0)),"CUIT NO CARGADO")</f>
        <v>Productos Ortopedicos</v>
      </c>
      <c r="R72" s="49">
        <f>IFERROR(IF(compras_mes8[[#This Row],[CUIT]]="","-",VLOOKUP(compras_mes8[[#This Row],[CUIT]],Lista_CUIT[#All],4,0)),"CUIT NO CARGADO")</f>
        <v>0</v>
      </c>
    </row>
    <row r="73" spans="2:18" hidden="1">
      <c r="B73" s="40">
        <v>45526</v>
      </c>
      <c r="C73" s="41">
        <v>1</v>
      </c>
      <c r="D73" s="42">
        <v>13</v>
      </c>
      <c r="E73" s="43">
        <v>280</v>
      </c>
      <c r="F73" s="44">
        <v>30563006664</v>
      </c>
      <c r="G73" s="45" t="str">
        <f>IFERROR(IF(compras_mes8[[#This Row],[CUIT]]="","-",VLOOKUP(compras_mes8[[#This Row],[CUIT]],Lista_CUIT[#All],2,0)),"CUIT NO CARGADO")</f>
        <v xml:space="preserve">QUIRO MED S A C I F </v>
      </c>
      <c r="H73" s="46">
        <v>639669.42000000004</v>
      </c>
      <c r="I73" s="85">
        <f>IF(compras_mes8[[#This Row],[NETO GRAVADO]]="","",compras_mes8[[#This Row],[NETO GRAVADO]]*0.21)</f>
        <v>134330.57820000002</v>
      </c>
      <c r="J73" s="85"/>
      <c r="K73" s="85"/>
      <c r="L73" s="85"/>
      <c r="M73" s="85"/>
      <c r="N73" s="85"/>
      <c r="O73" s="85"/>
      <c r="P73" s="48">
        <f>SUM(compras_mes8[[#This Row],[NETO GRAVADO]:[Otros / No Grav.]])</f>
        <v>773999.99820000003</v>
      </c>
      <c r="Q73" s="610" t="str">
        <f>IFERROR(IF(compras_mes8[[#This Row],[CUIT]]="","-",VLOOKUP(compras_mes8[[#This Row],[CUIT]],Lista_CUIT[#All],3,0)),"CUIT NO CARGADO")</f>
        <v>Productos Ortopedicos</v>
      </c>
      <c r="R73" s="49">
        <f>IFERROR(IF(compras_mes8[[#This Row],[CUIT]]="","-",VLOOKUP(compras_mes8[[#This Row],[CUIT]],Lista_CUIT[#All],4,0)),"CUIT NO CARGADO")</f>
        <v>0</v>
      </c>
    </row>
    <row r="74" spans="2:18" hidden="1">
      <c r="B74" s="40">
        <v>45527</v>
      </c>
      <c r="C74" s="41">
        <v>1</v>
      </c>
      <c r="D74" s="42">
        <v>1</v>
      </c>
      <c r="E74" s="43">
        <v>4362</v>
      </c>
      <c r="F74" s="44">
        <v>30715141201</v>
      </c>
      <c r="G74" s="45" t="str">
        <f>IFERROR(IF(compras_mes8[[#This Row],[CUIT]]="","-",VLOOKUP(compras_mes8[[#This Row],[CUIT]],Lista_CUIT[#All],2,0)),"CUIT NO CARGADO")</f>
        <v>REHAB S.R.L.</v>
      </c>
      <c r="H74" s="46">
        <v>258930</v>
      </c>
      <c r="I74" s="85">
        <f>IF(compras_mes8[[#This Row],[NETO GRAVADO]]="","",compras_mes8[[#This Row],[NETO GRAVADO]]*0.21)</f>
        <v>54375.299999999996</v>
      </c>
      <c r="J74" s="85"/>
      <c r="K74" s="85"/>
      <c r="L74" s="85"/>
      <c r="M74" s="85"/>
      <c r="N74" s="85"/>
      <c r="O74" s="85"/>
      <c r="P74" s="48">
        <f>SUM(compras_mes8[[#This Row],[NETO GRAVADO]:[Otros / No Grav.]])</f>
        <v>313305.3</v>
      </c>
      <c r="Q74" s="610" t="str">
        <f>IFERROR(IF(compras_mes8[[#This Row],[CUIT]]="","-",VLOOKUP(compras_mes8[[#This Row],[CUIT]],Lista_CUIT[#All],3,0)),"CUIT NO CARGADO")</f>
        <v>Productos Ortopedicos</v>
      </c>
      <c r="R74" s="49">
        <f>IFERROR(IF(compras_mes8[[#This Row],[CUIT]]="","-",VLOOKUP(compras_mes8[[#This Row],[CUIT]],Lista_CUIT[#All],4,0)),"CUIT NO CARGADO")</f>
        <v>0</v>
      </c>
    </row>
    <row r="75" spans="2:18" hidden="1">
      <c r="B75" s="40">
        <v>45527</v>
      </c>
      <c r="C75" s="41">
        <v>1</v>
      </c>
      <c r="D75" s="42">
        <v>2</v>
      </c>
      <c r="E75" s="43">
        <v>10457</v>
      </c>
      <c r="F75" s="44">
        <v>30714331082</v>
      </c>
      <c r="G75" s="45" t="str">
        <f>IFERROR(IF(compras_mes8[[#This Row],[CUIT]]="","-",VLOOKUP(compras_mes8[[#This Row],[CUIT]],Lista_CUIT[#All],2,0)),"CUIT NO CARGADO")</f>
        <v>ORTOPEDIA CASA ESCALADA SRL</v>
      </c>
      <c r="H75" s="46">
        <v>495561.73</v>
      </c>
      <c r="I75" s="85">
        <f>IF(compras_mes8[[#This Row],[NETO GRAVADO]]="","",compras_mes8[[#This Row],[NETO GRAVADO]]*0.21)</f>
        <v>104067.96329999999</v>
      </c>
      <c r="J75" s="85"/>
      <c r="K75" s="85"/>
      <c r="L75" s="85"/>
      <c r="M75" s="85"/>
      <c r="N75" s="85"/>
      <c r="O75" s="85"/>
      <c r="P75" s="48">
        <f>SUM(compras_mes8[[#This Row],[NETO GRAVADO]:[Otros / No Grav.]])</f>
        <v>599629.69329999993</v>
      </c>
      <c r="Q75" s="610" t="str">
        <f>IFERROR(IF(compras_mes8[[#This Row],[CUIT]]="","-",VLOOKUP(compras_mes8[[#This Row],[CUIT]],Lista_CUIT[#All],3,0)),"CUIT NO CARGADO")</f>
        <v>Productos Ortopedicos</v>
      </c>
      <c r="R75" s="49">
        <f>IFERROR(IF(compras_mes8[[#This Row],[CUIT]]="","-",VLOOKUP(compras_mes8[[#This Row],[CUIT]],Lista_CUIT[#All],4,0)),"CUIT NO CARGADO")</f>
        <v>0</v>
      </c>
    </row>
    <row r="76" spans="2:18" hidden="1">
      <c r="B76" s="40">
        <v>45530</v>
      </c>
      <c r="C76" s="41">
        <v>1</v>
      </c>
      <c r="D76" s="42">
        <v>1</v>
      </c>
      <c r="E76" s="43">
        <v>4383</v>
      </c>
      <c r="F76" s="44">
        <v>30715141201</v>
      </c>
      <c r="G76" s="45" t="str">
        <f>IFERROR(IF(compras_mes8[[#This Row],[CUIT]]="","-",VLOOKUP(compras_mes8[[#This Row],[CUIT]],Lista_CUIT[#All],2,0)),"CUIT NO CARGADO")</f>
        <v>REHAB S.R.L.</v>
      </c>
      <c r="H76" s="46">
        <v>111206.6</v>
      </c>
      <c r="I76" s="85">
        <f>IF(compras_mes8[[#This Row],[NETO GRAVADO]]="","",compras_mes8[[#This Row],[NETO GRAVADO]]*0.21)</f>
        <v>23353.385999999999</v>
      </c>
      <c r="J76" s="85"/>
      <c r="K76" s="85"/>
      <c r="L76" s="85"/>
      <c r="M76" s="85"/>
      <c r="N76" s="85"/>
      <c r="O76" s="85"/>
      <c r="P76" s="48">
        <f>SUM(compras_mes8[[#This Row],[NETO GRAVADO]:[Otros / No Grav.]])</f>
        <v>134559.986</v>
      </c>
      <c r="Q76" s="610" t="str">
        <f>IFERROR(IF(compras_mes8[[#This Row],[CUIT]]="","-",VLOOKUP(compras_mes8[[#This Row],[CUIT]],Lista_CUIT[#All],3,0)),"CUIT NO CARGADO")</f>
        <v>Productos Ortopedicos</v>
      </c>
      <c r="R76" s="49">
        <f>IFERROR(IF(compras_mes8[[#This Row],[CUIT]]="","-",VLOOKUP(compras_mes8[[#This Row],[CUIT]],Lista_CUIT[#All],4,0)),"CUIT NO CARGADO")</f>
        <v>0</v>
      </c>
    </row>
    <row r="77" spans="2:18" hidden="1">
      <c r="B77" s="40">
        <v>45530</v>
      </c>
      <c r="C77" s="41">
        <v>1</v>
      </c>
      <c r="D77" s="42">
        <v>6</v>
      </c>
      <c r="E77" s="43">
        <v>84611</v>
      </c>
      <c r="F77" s="44">
        <v>30711553564</v>
      </c>
      <c r="G77" s="45" t="str">
        <f>IFERROR(IF(compras_mes8[[#This Row],[CUIT]]="","-",VLOOKUP(compras_mes8[[#This Row],[CUIT]],Lista_CUIT[#All],2,0)),"CUIT NO CARGADO")</f>
        <v>SALUD TEX S.A</v>
      </c>
      <c r="H77" s="46">
        <v>714580.2</v>
      </c>
      <c r="I77" s="85">
        <f>IF(compras_mes8[[#This Row],[NETO GRAVADO]]="","",compras_mes8[[#This Row],[NETO GRAVADO]]*0.21)</f>
        <v>150061.84199999998</v>
      </c>
      <c r="J77" s="85"/>
      <c r="K77" s="85"/>
      <c r="L77" s="85"/>
      <c r="M77" s="85"/>
      <c r="N77" s="85"/>
      <c r="O77" s="85"/>
      <c r="P77" s="48">
        <f>SUM(compras_mes8[[#This Row],[NETO GRAVADO]:[Otros / No Grav.]])</f>
        <v>864642.0419999999</v>
      </c>
      <c r="Q77" s="610" t="str">
        <f>IFERROR(IF(compras_mes8[[#This Row],[CUIT]]="","-",VLOOKUP(compras_mes8[[#This Row],[CUIT]],Lista_CUIT[#All],3,0)),"CUIT NO CARGADO")</f>
        <v>Productos Ortopedicos</v>
      </c>
      <c r="R77" s="49">
        <f>IFERROR(IF(compras_mes8[[#This Row],[CUIT]]="","-",VLOOKUP(compras_mes8[[#This Row],[CUIT]],Lista_CUIT[#All],4,0)),"CUIT NO CARGADO")</f>
        <v>0</v>
      </c>
    </row>
    <row r="78" spans="2:18" hidden="1">
      <c r="B78" s="40">
        <v>45531</v>
      </c>
      <c r="C78" s="41">
        <v>1</v>
      </c>
      <c r="D78" s="42">
        <v>2</v>
      </c>
      <c r="E78" s="43">
        <v>10469</v>
      </c>
      <c r="F78" s="44">
        <v>30714331082</v>
      </c>
      <c r="G78" s="45" t="str">
        <f>IFERROR(IF(compras_mes8[[#This Row],[CUIT]]="","-",VLOOKUP(compras_mes8[[#This Row],[CUIT]],Lista_CUIT[#All],2,0)),"CUIT NO CARGADO")</f>
        <v>ORTOPEDIA CASA ESCALADA SRL</v>
      </c>
      <c r="H78" s="46">
        <v>420193.89</v>
      </c>
      <c r="I78" s="85">
        <f>IF(compras_mes8[[#This Row],[NETO GRAVADO]]="","",compras_mes8[[#This Row],[NETO GRAVADO]]*0.21)</f>
        <v>88240.716899999999</v>
      </c>
      <c r="J78" s="85"/>
      <c r="K78" s="85"/>
      <c r="L78" s="85"/>
      <c r="M78" s="85"/>
      <c r="N78" s="85"/>
      <c r="O78" s="85"/>
      <c r="P78" s="48">
        <f>SUM(compras_mes8[[#This Row],[NETO GRAVADO]:[Otros / No Grav.]])</f>
        <v>508434.60690000001</v>
      </c>
      <c r="Q78" s="610" t="str">
        <f>IFERROR(IF(compras_mes8[[#This Row],[CUIT]]="","-",VLOOKUP(compras_mes8[[#This Row],[CUIT]],Lista_CUIT[#All],3,0)),"CUIT NO CARGADO")</f>
        <v>Productos Ortopedicos</v>
      </c>
      <c r="R78" s="49">
        <f>IFERROR(IF(compras_mes8[[#This Row],[CUIT]]="","-",VLOOKUP(compras_mes8[[#This Row],[CUIT]],Lista_CUIT[#All],4,0)),"CUIT NO CARGADO")</f>
        <v>0</v>
      </c>
    </row>
    <row r="79" spans="2:18" hidden="1">
      <c r="B79" s="40">
        <v>45532</v>
      </c>
      <c r="C79" s="41">
        <v>1</v>
      </c>
      <c r="D79" s="42">
        <v>2</v>
      </c>
      <c r="E79" s="43">
        <v>24999</v>
      </c>
      <c r="F79" s="44">
        <v>23233422029</v>
      </c>
      <c r="G79" s="45" t="str">
        <f>IFERROR(IF(compras_mes8[[#This Row],[CUIT]]="","-",VLOOKUP(compras_mes8[[#This Row],[CUIT]],Lista_CUIT[#All],2,0)),"CUIT NO CARGADO")</f>
        <v>RODOLFO SCHULZE</v>
      </c>
      <c r="H79" s="46">
        <v>876630.5</v>
      </c>
      <c r="I79" s="85">
        <f>IF(compras_mes8[[#This Row],[NETO GRAVADO]]="","",compras_mes8[[#This Row],[NETO GRAVADO]]*0.21)</f>
        <v>184092.405</v>
      </c>
      <c r="J79" s="85"/>
      <c r="K79" s="85"/>
      <c r="L79" s="85"/>
      <c r="M79" s="85"/>
      <c r="N79" s="85"/>
      <c r="O79" s="85"/>
      <c r="P79" s="48">
        <f>SUM(compras_mes8[[#This Row],[NETO GRAVADO]:[Otros / No Grav.]])</f>
        <v>1060722.905</v>
      </c>
      <c r="Q79" s="610" t="str">
        <f>IFERROR(IF(compras_mes8[[#This Row],[CUIT]]="","-",VLOOKUP(compras_mes8[[#This Row],[CUIT]],Lista_CUIT[#All],3,0)),"CUIT NO CARGADO")</f>
        <v>Productos Ortopedicos</v>
      </c>
      <c r="R79" s="49">
        <f>IFERROR(IF(compras_mes8[[#This Row],[CUIT]]="","-",VLOOKUP(compras_mes8[[#This Row],[CUIT]],Lista_CUIT[#All],4,0)),"CUIT NO CARGADO")</f>
        <v>0</v>
      </c>
    </row>
    <row r="80" spans="2:18" hidden="1">
      <c r="B80" s="40">
        <v>45534</v>
      </c>
      <c r="C80" s="41">
        <v>1</v>
      </c>
      <c r="D80" s="42">
        <v>1</v>
      </c>
      <c r="E80" s="43">
        <v>4494</v>
      </c>
      <c r="F80" s="44">
        <v>30715141201</v>
      </c>
      <c r="G80" s="45" t="str">
        <f>IFERROR(IF(compras_mes8[[#This Row],[CUIT]]="","-",VLOOKUP(compras_mes8[[#This Row],[CUIT]],Lista_CUIT[#All],2,0)),"CUIT NO CARGADO")</f>
        <v>REHAB S.R.L.</v>
      </c>
      <c r="H80" s="46">
        <v>176691.37</v>
      </c>
      <c r="I80" s="85">
        <f>IF(compras_mes8[[#This Row],[NETO GRAVADO]]="","",compras_mes8[[#This Row],[NETO GRAVADO]]*0.21)</f>
        <v>37105.187699999995</v>
      </c>
      <c r="J80" s="85"/>
      <c r="K80" s="85"/>
      <c r="L80" s="85"/>
      <c r="M80" s="85"/>
      <c r="N80" s="85"/>
      <c r="O80" s="85"/>
      <c r="P80" s="48">
        <f>SUM(compras_mes8[[#This Row],[NETO GRAVADO]:[Otros / No Grav.]])</f>
        <v>213796.5577</v>
      </c>
      <c r="Q80" s="610" t="str">
        <f>IFERROR(IF(compras_mes8[[#This Row],[CUIT]]="","-",VLOOKUP(compras_mes8[[#This Row],[CUIT]],Lista_CUIT[#All],3,0)),"CUIT NO CARGADO")</f>
        <v>Productos Ortopedicos</v>
      </c>
      <c r="R80" s="49">
        <f>IFERROR(IF(compras_mes8[[#This Row],[CUIT]]="","-",VLOOKUP(compras_mes8[[#This Row],[CUIT]],Lista_CUIT[#All],4,0)),"CUIT NO CARGADO")</f>
        <v>0</v>
      </c>
    </row>
    <row r="81" spans="2:18" hidden="1">
      <c r="B81" s="40">
        <v>45525</v>
      </c>
      <c r="C81" s="41">
        <v>1</v>
      </c>
      <c r="D81" s="42">
        <v>6</v>
      </c>
      <c r="E81" s="43">
        <v>1586</v>
      </c>
      <c r="F81" s="44">
        <v>30716815710</v>
      </c>
      <c r="G81" s="45" t="str">
        <f>IFERROR(IF(compras_mes8[[#This Row],[CUIT]]="","-",VLOOKUP(compras_mes8[[#This Row],[CUIT]],Lista_CUIT[#All],2,0)),"CUIT NO CARGADO")</f>
        <v>PAPELERA GEOPEL SRL</v>
      </c>
      <c r="H81" s="46">
        <v>5500</v>
      </c>
      <c r="I81" s="85">
        <f>IF(compras_mes8[[#This Row],[NETO GRAVADO]]="","",compras_mes8[[#This Row],[NETO GRAVADO]]*0.21)</f>
        <v>1155</v>
      </c>
      <c r="J81" s="85"/>
      <c r="K81" s="85"/>
      <c r="L81" s="85"/>
      <c r="M81" s="85"/>
      <c r="N81" s="85"/>
      <c r="O81" s="85"/>
      <c r="P81" s="48">
        <f>SUM(compras_mes8[[#This Row],[NETO GRAVADO]:[Otros / No Grav.]])</f>
        <v>6655</v>
      </c>
      <c r="Q81" s="610" t="str">
        <f>IFERROR(IF(compras_mes8[[#This Row],[CUIT]]="","-",VLOOKUP(compras_mes8[[#This Row],[CUIT]],Lista_CUIT[#All],3,0)),"CUIT NO CARGADO")</f>
        <v>LIBRERÍA</v>
      </c>
      <c r="R81" s="49">
        <f>IFERROR(IF(compras_mes8[[#This Row],[CUIT]]="","-",VLOOKUP(compras_mes8[[#This Row],[CUIT]],Lista_CUIT[#All],4,0)),"CUIT NO CARGADO")</f>
        <v>0</v>
      </c>
    </row>
    <row r="82" spans="2:18" hidden="1">
      <c r="B82" s="40">
        <v>45531</v>
      </c>
      <c r="C82" s="41">
        <v>1</v>
      </c>
      <c r="D82" s="42">
        <v>6</v>
      </c>
      <c r="E82" s="43">
        <v>1597</v>
      </c>
      <c r="F82" s="44">
        <v>30716815710</v>
      </c>
      <c r="G82" s="45" t="str">
        <f>IFERROR(IF(compras_mes8[[#This Row],[CUIT]]="","-",VLOOKUP(compras_mes8[[#This Row],[CUIT]],Lista_CUIT[#All],2,0)),"CUIT NO CARGADO")</f>
        <v>PAPELERA GEOPEL SRL</v>
      </c>
      <c r="H82" s="46">
        <v>8264.48</v>
      </c>
      <c r="I82" s="85">
        <f>IF(compras_mes8[[#This Row],[NETO GRAVADO]]="","",compras_mes8[[#This Row],[NETO GRAVADO]]*0.21)</f>
        <v>1735.5407999999998</v>
      </c>
      <c r="J82" s="85"/>
      <c r="K82" s="85"/>
      <c r="L82" s="85"/>
      <c r="M82" s="85"/>
      <c r="N82" s="85"/>
      <c r="O82" s="85"/>
      <c r="P82" s="48">
        <f>SUM(compras_mes8[[#This Row],[NETO GRAVADO]:[Otros / No Grav.]])</f>
        <v>10000.020799999998</v>
      </c>
      <c r="Q82" s="610" t="str">
        <f>IFERROR(IF(compras_mes8[[#This Row],[CUIT]]="","-",VLOOKUP(compras_mes8[[#This Row],[CUIT]],Lista_CUIT[#All],3,0)),"CUIT NO CARGADO")</f>
        <v>LIBRERÍA</v>
      </c>
      <c r="R82" s="49">
        <f>IFERROR(IF(compras_mes8[[#This Row],[CUIT]]="","-",VLOOKUP(compras_mes8[[#This Row],[CUIT]],Lista_CUIT[#All],4,0)),"CUIT NO CARGADO")</f>
        <v>0</v>
      </c>
    </row>
    <row r="83" spans="2:18" hidden="1">
      <c r="B83" s="40">
        <v>45535</v>
      </c>
      <c r="C83" s="41">
        <v>1</v>
      </c>
      <c r="D83" s="42">
        <v>6</v>
      </c>
      <c r="E83" s="43">
        <v>22247</v>
      </c>
      <c r="F83" s="44">
        <v>30715819461</v>
      </c>
      <c r="G83" s="45" t="str">
        <f>IFERROR(IF(compras_mes8[[#This Row],[CUIT]]="","-",VLOOKUP(compras_mes8[[#This Row],[CUIT]],Lista_CUIT[#All],2,0)),"CUIT NO CARGADO")</f>
        <v>DISTRI AIRES SRL</v>
      </c>
      <c r="H83" s="46">
        <v>10962.8</v>
      </c>
      <c r="I83" s="85">
        <f>IF(compras_mes8[[#This Row],[NETO GRAVADO]]="","",compras_mes8[[#This Row],[NETO GRAVADO]]*0.21)</f>
        <v>2302.1879999999996</v>
      </c>
      <c r="J83" s="85"/>
      <c r="K83" s="85"/>
      <c r="L83" s="85"/>
      <c r="M83" s="85"/>
      <c r="N83" s="85"/>
      <c r="O83" s="85"/>
      <c r="P83" s="48">
        <f>SUM(compras_mes8[[#This Row],[NETO GRAVADO]:[Otros / No Grav.]])</f>
        <v>13264.987999999999</v>
      </c>
      <c r="Q83" s="610" t="str">
        <f>IFERROR(IF(compras_mes8[[#This Row],[CUIT]]="","-",VLOOKUP(compras_mes8[[#This Row],[CUIT]],Lista_CUIT[#All],3,0)),"CUIT NO CARGADO")</f>
        <v>LIBRERÍA</v>
      </c>
      <c r="R83" s="49">
        <f>IFERROR(IF(compras_mes8[[#This Row],[CUIT]]="","-",VLOOKUP(compras_mes8[[#This Row],[CUIT]],Lista_CUIT[#All],4,0)),"CUIT NO CARGADO")</f>
        <v>0</v>
      </c>
    </row>
    <row r="84" spans="2:18" hidden="1">
      <c r="B84" s="40">
        <v>45530</v>
      </c>
      <c r="C84" s="41">
        <v>1</v>
      </c>
      <c r="D84" s="42">
        <v>5</v>
      </c>
      <c r="E84" s="43">
        <v>2820</v>
      </c>
      <c r="F84" s="44">
        <v>30707267077</v>
      </c>
      <c r="G84" s="45" t="str">
        <f>IFERROR(IF(compras_mes8[[#This Row],[CUIT]]="","-",VLOOKUP(compras_mes8[[#This Row],[CUIT]],Lista_CUIT[#All],2,0)),"CUIT NO CARGADO")</f>
        <v>BARBARO SOCIEDAD COLECTIVA</v>
      </c>
      <c r="H84" s="46">
        <v>580000</v>
      </c>
      <c r="I84" s="85">
        <f>IF(compras_mes8[[#This Row],[NETO GRAVADO]]="","",compras_mes8[[#This Row],[NETO GRAVADO]]*0.21)</f>
        <v>121800</v>
      </c>
      <c r="J84" s="85"/>
      <c r="K84" s="85"/>
      <c r="L84" s="85"/>
      <c r="M84" s="85"/>
      <c r="N84" s="85"/>
      <c r="O84" s="85"/>
      <c r="P84" s="48">
        <f>SUM(compras_mes8[[#This Row],[NETO GRAVADO]:[Otros / No Grav.]])</f>
        <v>701800</v>
      </c>
      <c r="Q84" s="610" t="str">
        <f>IFERROR(IF(compras_mes8[[#This Row],[CUIT]]="","-",VLOOKUP(compras_mes8[[#This Row],[CUIT]],Lista_CUIT[#All],3,0)),"CUIT NO CARGADO")</f>
        <v>PROD ORTOP P/ALQ</v>
      </c>
      <c r="R84" s="49">
        <f>IFERROR(IF(compras_mes8[[#This Row],[CUIT]]="","-",VLOOKUP(compras_mes8[[#This Row],[CUIT]],Lista_CUIT[#All],4,0)),"CUIT NO CARGADO")</f>
        <v>0</v>
      </c>
    </row>
    <row r="85" spans="2:18" hidden="1">
      <c r="B85" s="40">
        <v>45507</v>
      </c>
      <c r="C85" s="41">
        <v>1</v>
      </c>
      <c r="D85" s="42">
        <v>629</v>
      </c>
      <c r="E85" s="43">
        <v>5326372</v>
      </c>
      <c r="F85" s="44">
        <v>30663498513</v>
      </c>
      <c r="G85" s="45" t="str">
        <f>IFERROR(IF(compras_mes8[[#This Row],[CUIT]]="","-",VLOOKUP(compras_mes8[[#This Row],[CUIT]],Lista_CUIT[#All],2,0)),"CUIT NO CARGADO")</f>
        <v>GRUPO CONCES. DEL OESTE SA</v>
      </c>
      <c r="H85" s="46">
        <v>2001.44</v>
      </c>
      <c r="I85" s="85">
        <f>IF(compras_mes8[[#This Row],[NETO GRAVADO]]="","",compras_mes8[[#This Row],[NETO GRAVADO]]*0.21)</f>
        <v>420.30239999999998</v>
      </c>
      <c r="J85" s="85"/>
      <c r="K85" s="85"/>
      <c r="L85" s="85"/>
      <c r="M85" s="85"/>
      <c r="N85" s="85"/>
      <c r="O85" s="85">
        <v>286.57</v>
      </c>
      <c r="P85" s="48">
        <f>SUM(compras_mes8[[#This Row],[NETO GRAVADO]:[Otros / No Grav.]])</f>
        <v>2708.3124000000003</v>
      </c>
      <c r="Q85" s="610" t="str">
        <f>IFERROR(IF(compras_mes8[[#This Row],[CUIT]]="","-",VLOOKUP(compras_mes8[[#This Row],[CUIT]],Lista_CUIT[#All],3,0)),"CUIT NO CARGADO")</f>
        <v>PEAJE</v>
      </c>
      <c r="R85" s="49">
        <f>IFERROR(IF(compras_mes8[[#This Row],[CUIT]]="","-",VLOOKUP(compras_mes8[[#This Row],[CUIT]],Lista_CUIT[#All],4,0)),"CUIT NO CARGADO")</f>
        <v>0</v>
      </c>
    </row>
    <row r="86" spans="2:18" hidden="1">
      <c r="B86" s="40">
        <v>45512</v>
      </c>
      <c r="C86" s="41">
        <v>1</v>
      </c>
      <c r="D86" s="42">
        <v>5015</v>
      </c>
      <c r="E86" s="43">
        <v>633091</v>
      </c>
      <c r="F86" s="44">
        <v>30574876474</v>
      </c>
      <c r="G86" s="45" t="str">
        <f>IFERROR(IF(compras_mes8[[#This Row],[CUIT]]="","-",VLOOKUP(compras_mes8[[#This Row],[CUIT]],Lista_CUIT[#All],2,0)),"CUIT NO CARGADO")</f>
        <v>AUTOP. URBANAS SA</v>
      </c>
      <c r="H86" s="46">
        <v>19066.740000000002</v>
      </c>
      <c r="I86" s="85">
        <f>IF(compras_mes8[[#This Row],[NETO GRAVADO]]="","",compras_mes8[[#This Row],[NETO GRAVADO]]*0.21)</f>
        <v>4004.0154000000002</v>
      </c>
      <c r="J86" s="85"/>
      <c r="K86" s="85"/>
      <c r="L86" s="85"/>
      <c r="M86" s="85"/>
      <c r="N86" s="85"/>
      <c r="O86" s="85"/>
      <c r="P86" s="48">
        <f>SUM(compras_mes8[[#This Row],[NETO GRAVADO]:[Otros / No Grav.]])</f>
        <v>23070.755400000002</v>
      </c>
      <c r="Q86" s="610" t="str">
        <f>IFERROR(IF(compras_mes8[[#This Row],[CUIT]]="","-",VLOOKUP(compras_mes8[[#This Row],[CUIT]],Lista_CUIT[#All],3,0)),"CUIT NO CARGADO")</f>
        <v>PEAJE</v>
      </c>
      <c r="R86" s="49">
        <f>IFERROR(IF(compras_mes8[[#This Row],[CUIT]]="","-",VLOOKUP(compras_mes8[[#This Row],[CUIT]],Lista_CUIT[#All],4,0)),"CUIT NO CARGADO")</f>
        <v>0</v>
      </c>
    </row>
    <row r="87" spans="2:18" hidden="1">
      <c r="B87" s="40">
        <v>45520</v>
      </c>
      <c r="C87" s="41">
        <v>1</v>
      </c>
      <c r="D87" s="42">
        <v>5015</v>
      </c>
      <c r="E87" s="43">
        <v>634585</v>
      </c>
      <c r="F87" s="44">
        <v>30574876474</v>
      </c>
      <c r="G87" s="45" t="str">
        <f>IFERROR(IF(compras_mes8[[#This Row],[CUIT]]="","-",VLOOKUP(compras_mes8[[#This Row],[CUIT]],Lista_CUIT[#All],2,0)),"CUIT NO CARGADO")</f>
        <v>AUTOP. URBANAS SA</v>
      </c>
      <c r="H87" s="46">
        <v>17006.75</v>
      </c>
      <c r="I87" s="85">
        <f>IF(compras_mes8[[#This Row],[NETO GRAVADO]]="","",compras_mes8[[#This Row],[NETO GRAVADO]]*0.21)</f>
        <v>3571.4175</v>
      </c>
      <c r="J87" s="85"/>
      <c r="K87" s="85"/>
      <c r="L87" s="85"/>
      <c r="M87" s="85"/>
      <c r="N87" s="85"/>
      <c r="O87" s="85"/>
      <c r="P87" s="48">
        <f>SUM(compras_mes8[[#This Row],[NETO GRAVADO]:[Otros / No Grav.]])</f>
        <v>20578.1675</v>
      </c>
      <c r="Q87" s="610" t="str">
        <f>IFERROR(IF(compras_mes8[[#This Row],[CUIT]]="","-",VLOOKUP(compras_mes8[[#This Row],[CUIT]],Lista_CUIT[#All],3,0)),"CUIT NO CARGADO")</f>
        <v>PEAJE</v>
      </c>
      <c r="R87" s="49">
        <f>IFERROR(IF(compras_mes8[[#This Row],[CUIT]]="","-",VLOOKUP(compras_mes8[[#This Row],[CUIT]],Lista_CUIT[#All],4,0)),"CUIT NO CARGADO")</f>
        <v>0</v>
      </c>
    </row>
    <row r="88" spans="2:18" hidden="1">
      <c r="B88" s="40">
        <v>45520</v>
      </c>
      <c r="C88" s="41">
        <v>1</v>
      </c>
      <c r="D88" s="42">
        <v>5009</v>
      </c>
      <c r="E88" s="43">
        <v>988435</v>
      </c>
      <c r="F88" s="44">
        <v>30574876474</v>
      </c>
      <c r="G88" s="45" t="str">
        <f>IFERROR(IF(compras_mes8[[#This Row],[CUIT]]="","-",VLOOKUP(compras_mes8[[#This Row],[CUIT]],Lista_CUIT[#All],2,0)),"CUIT NO CARGADO")</f>
        <v>AUTOP. URBANAS SA</v>
      </c>
      <c r="H88" s="46">
        <v>3310.24</v>
      </c>
      <c r="I88" s="85">
        <f>IF(compras_mes8[[#This Row],[NETO GRAVADO]]="","",compras_mes8[[#This Row],[NETO GRAVADO]]*0.21)</f>
        <v>695.15039999999988</v>
      </c>
      <c r="J88" s="85"/>
      <c r="K88" s="85"/>
      <c r="L88" s="85"/>
      <c r="M88" s="85"/>
      <c r="N88" s="85"/>
      <c r="O88" s="85"/>
      <c r="P88" s="48">
        <f>SUM(compras_mes8[[#This Row],[NETO GRAVADO]:[Otros / No Grav.]])</f>
        <v>4005.3903999999998</v>
      </c>
      <c r="Q88" s="610" t="str">
        <f>IFERROR(IF(compras_mes8[[#This Row],[CUIT]]="","-",VLOOKUP(compras_mes8[[#This Row],[CUIT]],Lista_CUIT[#All],3,0)),"CUIT NO CARGADO")</f>
        <v>PEAJE</v>
      </c>
      <c r="R88" s="49">
        <f>IFERROR(IF(compras_mes8[[#This Row],[CUIT]]="","-",VLOOKUP(compras_mes8[[#This Row],[CUIT]],Lista_CUIT[#All],4,0)),"CUIT NO CARGADO")</f>
        <v>0</v>
      </c>
    </row>
    <row r="89" spans="2:18" hidden="1">
      <c r="B89" s="40">
        <v>45522</v>
      </c>
      <c r="C89" s="41">
        <v>1</v>
      </c>
      <c r="D89" s="42">
        <v>629</v>
      </c>
      <c r="E89" s="43">
        <v>5366400</v>
      </c>
      <c r="F89" s="44">
        <v>30663498513</v>
      </c>
      <c r="G89" s="45" t="str">
        <f>IFERROR(IF(compras_mes8[[#This Row],[CUIT]]="","-",VLOOKUP(compras_mes8[[#This Row],[CUIT]],Lista_CUIT[#All],2,0)),"CUIT NO CARGADO")</f>
        <v>GRUPO CONCES. DEL OESTE SA</v>
      </c>
      <c r="H89" s="46">
        <v>1573.89</v>
      </c>
      <c r="I89" s="85">
        <f>IF(compras_mes8[[#This Row],[NETO GRAVADO]]="","",compras_mes8[[#This Row],[NETO GRAVADO]]*0.21)</f>
        <v>330.51690000000002</v>
      </c>
      <c r="J89" s="85"/>
      <c r="K89" s="85"/>
      <c r="L89" s="85"/>
      <c r="M89" s="85"/>
      <c r="N89" s="85"/>
      <c r="O89" s="85"/>
      <c r="P89" s="48">
        <f>SUM(compras_mes8[[#This Row],[NETO GRAVADO]:[Otros / No Grav.]])</f>
        <v>1904.4069000000002</v>
      </c>
      <c r="Q89" s="610" t="str">
        <f>IFERROR(IF(compras_mes8[[#This Row],[CUIT]]="","-",VLOOKUP(compras_mes8[[#This Row],[CUIT]],Lista_CUIT[#All],3,0)),"CUIT NO CARGADO")</f>
        <v>PEAJE</v>
      </c>
      <c r="R89" s="49">
        <f>IFERROR(IF(compras_mes8[[#This Row],[CUIT]]="","-",VLOOKUP(compras_mes8[[#This Row],[CUIT]],Lista_CUIT[#All],4,0)),"CUIT NO CARGADO")</f>
        <v>0</v>
      </c>
    </row>
    <row r="90" spans="2:18" hidden="1">
      <c r="B90" s="40">
        <v>45526</v>
      </c>
      <c r="C90" s="41">
        <v>1</v>
      </c>
      <c r="D90" s="42">
        <v>5015</v>
      </c>
      <c r="E90" s="43">
        <v>638083</v>
      </c>
      <c r="F90" s="44">
        <v>30574876474</v>
      </c>
      <c r="G90" s="45" t="str">
        <f>IFERROR(IF(compras_mes8[[#This Row],[CUIT]]="","-",VLOOKUP(compras_mes8[[#This Row],[CUIT]],Lista_CUIT[#All],2,0)),"CUIT NO CARGADO")</f>
        <v>AUTOP. URBANAS SA</v>
      </c>
      <c r="H90" s="46">
        <v>8020.6</v>
      </c>
      <c r="I90" s="85">
        <f>IF(compras_mes8[[#This Row],[NETO GRAVADO]]="","",compras_mes8[[#This Row],[NETO GRAVADO]]*0.21)</f>
        <v>1684.326</v>
      </c>
      <c r="J90" s="85"/>
      <c r="K90" s="85"/>
      <c r="L90" s="85"/>
      <c r="M90" s="85"/>
      <c r="N90" s="85"/>
      <c r="O90" s="85"/>
      <c r="P90" s="48">
        <f>SUM(compras_mes8[[#This Row],[NETO GRAVADO]:[Otros / No Grav.]])</f>
        <v>9704.9259999999995</v>
      </c>
      <c r="Q90" s="610" t="str">
        <f>IFERROR(IF(compras_mes8[[#This Row],[CUIT]]="","-",VLOOKUP(compras_mes8[[#This Row],[CUIT]],Lista_CUIT[#All],3,0)),"CUIT NO CARGADO")</f>
        <v>PEAJE</v>
      </c>
      <c r="R90" s="49">
        <f>IFERROR(IF(compras_mes8[[#This Row],[CUIT]]="","-",VLOOKUP(compras_mes8[[#This Row],[CUIT]],Lista_CUIT[#All],4,0)),"CUIT NO CARGADO")</f>
        <v>0</v>
      </c>
    </row>
    <row r="91" spans="2:18" hidden="1">
      <c r="B91" s="40">
        <v>45532</v>
      </c>
      <c r="C91" s="41">
        <v>1</v>
      </c>
      <c r="D91" s="42">
        <v>503</v>
      </c>
      <c r="E91" s="43">
        <v>1454788</v>
      </c>
      <c r="F91" s="44">
        <v>30639935872</v>
      </c>
      <c r="G91" s="45" t="str">
        <f>IFERROR(IF(compras_mes8[[#This Row],[CUIT]]="","-",VLOOKUP(compras_mes8[[#This Row],[CUIT]],Lista_CUIT[#All],2,0)),"CUIT NO CARGADO")</f>
        <v>CAMINOS DEL RIO URUGUAY S A DE CONSTRUCCIONES Y CONCESIONES VIALES</v>
      </c>
      <c r="H91" s="46">
        <v>2796.35</v>
      </c>
      <c r="I91" s="85">
        <f>IF(compras_mes8[[#This Row],[NETO GRAVADO]]="","",compras_mes8[[#This Row],[NETO GRAVADO]]*0.21)</f>
        <v>587.23349999999994</v>
      </c>
      <c r="J91" s="85"/>
      <c r="K91" s="85"/>
      <c r="L91" s="85"/>
      <c r="M91" s="85"/>
      <c r="N91" s="85"/>
      <c r="O91" s="85"/>
      <c r="P91" s="48">
        <f>SUM(compras_mes8[[#This Row],[NETO GRAVADO]:[Otros / No Grav.]])</f>
        <v>3383.5834999999997</v>
      </c>
      <c r="Q91" s="610" t="str">
        <f>IFERROR(IF(compras_mes8[[#This Row],[CUIT]]="","-",VLOOKUP(compras_mes8[[#This Row],[CUIT]],Lista_CUIT[#All],3,0)),"CUIT NO CARGADO")</f>
        <v>PEAJE</v>
      </c>
      <c r="R91" s="49">
        <f>IFERROR(IF(compras_mes8[[#This Row],[CUIT]]="","-",VLOOKUP(compras_mes8[[#This Row],[CUIT]],Lista_CUIT[#All],4,0)),"CUIT NO CARGADO")</f>
        <v>0</v>
      </c>
    </row>
    <row r="92" spans="2:18" s="56" customFormat="1" ht="18.600000000000001" hidden="1" customHeight="1">
      <c r="B92" s="40">
        <v>45535</v>
      </c>
      <c r="C92" s="41">
        <v>1</v>
      </c>
      <c r="D92" s="42">
        <v>5015</v>
      </c>
      <c r="E92" s="43">
        <v>640345</v>
      </c>
      <c r="F92" s="44">
        <v>30574876474</v>
      </c>
      <c r="G92" s="45" t="str">
        <f>IFERROR(IF(compras_mes8[[#This Row],[CUIT]]="","-",VLOOKUP(compras_mes8[[#This Row],[CUIT]],Lista_CUIT[#All],2,0)),"CUIT NO CARGADO")</f>
        <v>AUTOP. URBANAS SA</v>
      </c>
      <c r="H92" s="46">
        <v>20390.43</v>
      </c>
      <c r="I92" s="85">
        <f>IF(compras_mes8[[#This Row],[NETO GRAVADO]]="","",compras_mes8[[#This Row],[NETO GRAVADO]]*0.21)</f>
        <v>4281.9902999999995</v>
      </c>
      <c r="J92" s="85"/>
      <c r="K92" s="85"/>
      <c r="L92" s="85"/>
      <c r="M92" s="85"/>
      <c r="N92" s="85"/>
      <c r="O92" s="85"/>
      <c r="P92" s="48">
        <f>SUM(compras_mes8[[#This Row],[NETO GRAVADO]:[Otros / No Grav.]])</f>
        <v>24672.420299999998</v>
      </c>
      <c r="Q92" s="610" t="str">
        <f>IFERROR(IF(compras_mes8[[#This Row],[CUIT]]="","-",VLOOKUP(compras_mes8[[#This Row],[CUIT]],Lista_CUIT[#All],3,0)),"CUIT NO CARGADO")</f>
        <v>PEAJE</v>
      </c>
      <c r="R92" s="49">
        <f>IFERROR(IF(compras_mes8[[#This Row],[CUIT]]="","-",VLOOKUP(compras_mes8[[#This Row],[CUIT]],Lista_CUIT[#All],4,0)),"CUIT NO CARGADO")</f>
        <v>0</v>
      </c>
    </row>
    <row r="93" spans="2:18" hidden="1">
      <c r="B93" s="40">
        <v>45507</v>
      </c>
      <c r="C93" s="41">
        <v>1</v>
      </c>
      <c r="D93" s="42">
        <v>711</v>
      </c>
      <c r="E93" s="43">
        <v>5980291</v>
      </c>
      <c r="F93" s="44">
        <v>30677237119</v>
      </c>
      <c r="G93" s="45" t="str">
        <f>IFERROR(IF(compras_mes8[[#This Row],[CUIT]]="","-",VLOOKUP(compras_mes8[[#This Row],[CUIT]],Lista_CUIT[#All],2,0)),"CUIT NO CARGADO")</f>
        <v>AUTOPISTAS DEL SOL SA</v>
      </c>
      <c r="H93" s="46">
        <f>9552.33</f>
        <v>9552.33</v>
      </c>
      <c r="I93" s="85">
        <f>IF(compras_mes8[[#This Row],[NETO GRAVADO]]="","",compras_mes8[[#This Row],[NETO GRAVADO]]*0.21)</f>
        <v>2005.9893</v>
      </c>
      <c r="J93" s="85"/>
      <c r="K93" s="85"/>
      <c r="L93" s="85"/>
      <c r="M93" s="85"/>
      <c r="N93" s="85"/>
      <c r="O93" s="85"/>
      <c r="P93" s="48">
        <f>SUM(compras_mes8[[#This Row],[NETO GRAVADO]:[Otros / No Grav.]])</f>
        <v>11558.319299999999</v>
      </c>
      <c r="Q93" s="610" t="str">
        <f>IFERROR(IF(compras_mes8[[#This Row],[CUIT]]="","-",VLOOKUP(compras_mes8[[#This Row],[CUIT]],Lista_CUIT[#All],3,0)),"CUIT NO CARGADO")</f>
        <v>PEAJE</v>
      </c>
      <c r="R93" s="49">
        <f>IFERROR(IF(compras_mes8[[#This Row],[CUIT]]="","-",VLOOKUP(compras_mes8[[#This Row],[CUIT]],Lista_CUIT[#All],4,0)),"CUIT NO CARGADO")</f>
        <v>0</v>
      </c>
    </row>
    <row r="94" spans="2:18" hidden="1">
      <c r="B94" s="40">
        <v>45510</v>
      </c>
      <c r="C94" s="41">
        <v>1</v>
      </c>
      <c r="D94" s="42">
        <v>700</v>
      </c>
      <c r="E94" s="43">
        <v>1838889</v>
      </c>
      <c r="F94" s="44">
        <v>30715804812</v>
      </c>
      <c r="G94" s="45" t="str">
        <f>IFERROR(IF(compras_mes8[[#This Row],[CUIT]]="","-",VLOOKUP(compras_mes8[[#This Row],[CUIT]],Lista_CUIT[#All],2,0)),"CUIT NO CARGADO")</f>
        <v>CORREDORES VIALES SOCIEDAD ANONIMA</v>
      </c>
      <c r="H94" s="46">
        <v>611.62</v>
      </c>
      <c r="I94" s="85">
        <f>IF(compras_mes8[[#This Row],[NETO GRAVADO]]="","",compras_mes8[[#This Row],[NETO GRAVADO]]*0.21)</f>
        <v>128.4402</v>
      </c>
      <c r="J94" s="85"/>
      <c r="K94" s="85"/>
      <c r="L94" s="85"/>
      <c r="M94" s="85"/>
      <c r="N94" s="85"/>
      <c r="O94" s="85"/>
      <c r="P94" s="48">
        <f>SUM(compras_mes8[[#This Row],[NETO GRAVADO]:[Otros / No Grav.]])</f>
        <v>740.06020000000001</v>
      </c>
      <c r="Q94" s="610" t="str">
        <f>IFERROR(IF(compras_mes8[[#This Row],[CUIT]]="","-",VLOOKUP(compras_mes8[[#This Row],[CUIT]],Lista_CUIT[#All],3,0)),"CUIT NO CARGADO")</f>
        <v>PEAJE</v>
      </c>
      <c r="R94" s="49">
        <f>IFERROR(IF(compras_mes8[[#This Row],[CUIT]]="","-",VLOOKUP(compras_mes8[[#This Row],[CUIT]],Lista_CUIT[#All],4,0)),"CUIT NO CARGADO")</f>
        <v>0</v>
      </c>
    </row>
    <row r="95" spans="2:18" hidden="1">
      <c r="B95" s="40">
        <v>45510</v>
      </c>
      <c r="C95" s="41">
        <v>1</v>
      </c>
      <c r="D95" s="42">
        <v>700</v>
      </c>
      <c r="E95" s="43">
        <v>1838890</v>
      </c>
      <c r="F95" s="44">
        <v>30715804812</v>
      </c>
      <c r="G95" s="45" t="str">
        <f>IFERROR(IF(compras_mes8[[#This Row],[CUIT]]="","-",VLOOKUP(compras_mes8[[#This Row],[CUIT]],Lista_CUIT[#All],2,0)),"CUIT NO CARGADO")</f>
        <v>CORREDORES VIALES SOCIEDAD ANONIMA</v>
      </c>
      <c r="H95" s="46">
        <v>611.62</v>
      </c>
      <c r="I95" s="85">
        <f>IF(compras_mes8[[#This Row],[NETO GRAVADO]]="","",compras_mes8[[#This Row],[NETO GRAVADO]]*0.21)</f>
        <v>128.4402</v>
      </c>
      <c r="J95" s="85"/>
      <c r="K95" s="85"/>
      <c r="L95" s="85"/>
      <c r="M95" s="85"/>
      <c r="N95" s="85"/>
      <c r="O95" s="85"/>
      <c r="P95" s="48">
        <f>SUM(compras_mes8[[#This Row],[NETO GRAVADO]:[Otros / No Grav.]])</f>
        <v>740.06020000000001</v>
      </c>
      <c r="Q95" s="610" t="str">
        <f>IFERROR(IF(compras_mes8[[#This Row],[CUIT]]="","-",VLOOKUP(compras_mes8[[#This Row],[CUIT]],Lista_CUIT[#All],3,0)),"CUIT NO CARGADO")</f>
        <v>PEAJE</v>
      </c>
      <c r="R95" s="49">
        <f>IFERROR(IF(compras_mes8[[#This Row],[CUIT]]="","-",VLOOKUP(compras_mes8[[#This Row],[CUIT]],Lista_CUIT[#All],4,0)),"CUIT NO CARGADO")</f>
        <v>0</v>
      </c>
    </row>
    <row r="96" spans="2:18" ht="14.45" hidden="1" customHeight="1">
      <c r="B96" s="40">
        <v>45522</v>
      </c>
      <c r="C96" s="41">
        <v>1</v>
      </c>
      <c r="D96" s="42">
        <v>711</v>
      </c>
      <c r="E96" s="43">
        <v>6037988</v>
      </c>
      <c r="F96" s="44">
        <v>30677237119</v>
      </c>
      <c r="G96" s="45" t="str">
        <f>IFERROR(IF(compras_mes8[[#This Row],[CUIT]]="","-",VLOOKUP(compras_mes8[[#This Row],[CUIT]],Lista_CUIT[#All],2,0)),"CUIT NO CARGADO")</f>
        <v>AUTOPISTAS DEL SOL SA</v>
      </c>
      <c r="H96" s="46">
        <f>9634.53</f>
        <v>9634.5300000000007</v>
      </c>
      <c r="I96" s="85">
        <f>IF(compras_mes8[[#This Row],[NETO GRAVADO]]="","",compras_mes8[[#This Row],[NETO GRAVADO]]*0.21)</f>
        <v>2023.2513000000001</v>
      </c>
      <c r="J96" s="85"/>
      <c r="K96" s="85"/>
      <c r="L96" s="85"/>
      <c r="M96" s="85"/>
      <c r="N96" s="85"/>
      <c r="O96" s="85">
        <v>289.04000000000002</v>
      </c>
      <c r="P96" s="48">
        <f>SUM(compras_mes8[[#This Row],[NETO GRAVADO]:[Otros / No Grav.]])</f>
        <v>11946.821300000001</v>
      </c>
      <c r="Q96" s="610" t="str">
        <f>IFERROR(IF(compras_mes8[[#This Row],[CUIT]]="","-",VLOOKUP(compras_mes8[[#This Row],[CUIT]],Lista_CUIT[#All],3,0)),"CUIT NO CARGADO")</f>
        <v>PEAJE</v>
      </c>
      <c r="R96" s="49">
        <f>IFERROR(IF(compras_mes8[[#This Row],[CUIT]]="","-",VLOOKUP(compras_mes8[[#This Row],[CUIT]],Lista_CUIT[#All],4,0)),"CUIT NO CARGADO")</f>
        <v>0</v>
      </c>
    </row>
    <row r="97" spans="2:18" hidden="1">
      <c r="B97" s="40">
        <v>45524</v>
      </c>
      <c r="C97" s="41">
        <v>1</v>
      </c>
      <c r="D97" s="42">
        <v>700</v>
      </c>
      <c r="E97" s="43">
        <v>1871084</v>
      </c>
      <c r="F97" s="44">
        <v>30715804812</v>
      </c>
      <c r="G97" s="45" t="str">
        <f>IFERROR(IF(compras_mes8[[#This Row],[CUIT]]="","-",VLOOKUP(compras_mes8[[#This Row],[CUIT]],Lista_CUIT[#All],2,0)),"CUIT NO CARGADO")</f>
        <v>CORREDORES VIALES SOCIEDAD ANONIMA</v>
      </c>
      <c r="H97" s="46">
        <v>867.94</v>
      </c>
      <c r="I97" s="85">
        <f>IF(compras_mes8[[#This Row],[NETO GRAVADO]]="","",compras_mes8[[#This Row],[NETO GRAVADO]]*0.21)</f>
        <v>182.26740000000001</v>
      </c>
      <c r="J97" s="85"/>
      <c r="K97" s="85"/>
      <c r="L97" s="85"/>
      <c r="M97" s="85"/>
      <c r="N97" s="85"/>
      <c r="O97" s="85"/>
      <c r="P97" s="48">
        <f>SUM(compras_mes8[[#This Row],[NETO GRAVADO]:[Otros / No Grav.]])</f>
        <v>1050.2074</v>
      </c>
      <c r="Q97" s="610" t="str">
        <f>IFERROR(IF(compras_mes8[[#This Row],[CUIT]]="","-",VLOOKUP(compras_mes8[[#This Row],[CUIT]],Lista_CUIT[#All],3,0)),"CUIT NO CARGADO")</f>
        <v>PEAJE</v>
      </c>
      <c r="R97" s="49">
        <f>IFERROR(IF(compras_mes8[[#This Row],[CUIT]]="","-",VLOOKUP(compras_mes8[[#This Row],[CUIT]],Lista_CUIT[#All],4,0)),"CUIT NO CARGADO")</f>
        <v>0</v>
      </c>
    </row>
    <row r="98" spans="2:18" hidden="1">
      <c r="B98" s="40">
        <v>45524</v>
      </c>
      <c r="C98" s="41">
        <v>1</v>
      </c>
      <c r="D98" s="42">
        <v>700</v>
      </c>
      <c r="E98" s="43">
        <v>1871085</v>
      </c>
      <c r="F98" s="44">
        <v>30715804812</v>
      </c>
      <c r="G98" s="45" t="str">
        <f>IFERROR(IF(compras_mes8[[#This Row],[CUIT]]="","-",VLOOKUP(compras_mes8[[#This Row],[CUIT]],Lista_CUIT[#All],2,0)),"CUIT NO CARGADO")</f>
        <v>CORREDORES VIALES SOCIEDAD ANONIMA</v>
      </c>
      <c r="H98" s="46">
        <v>1388.7</v>
      </c>
      <c r="I98" s="85">
        <f>IF(compras_mes8[[#This Row],[NETO GRAVADO]]="","",compras_mes8[[#This Row],[NETO GRAVADO]]*0.21)</f>
        <v>291.62700000000001</v>
      </c>
      <c r="J98" s="85"/>
      <c r="K98" s="85"/>
      <c r="L98" s="85"/>
      <c r="M98" s="85"/>
      <c r="N98" s="85"/>
      <c r="O98" s="85"/>
      <c r="P98" s="48">
        <f>SUM(compras_mes8[[#This Row],[NETO GRAVADO]:[Otros / No Grav.]])</f>
        <v>1680.327</v>
      </c>
      <c r="Q98" s="610" t="str">
        <f>IFERROR(IF(compras_mes8[[#This Row],[CUIT]]="","-",VLOOKUP(compras_mes8[[#This Row],[CUIT]],Lista_CUIT[#All],3,0)),"CUIT NO CARGADO")</f>
        <v>PEAJE</v>
      </c>
      <c r="R98" s="49">
        <f>IFERROR(IF(compras_mes8[[#This Row],[CUIT]]="","-",VLOOKUP(compras_mes8[[#This Row],[CUIT]],Lista_CUIT[#All],4,0)),"CUIT NO CARGADO")</f>
        <v>0</v>
      </c>
    </row>
    <row r="99" spans="2:18" s="450" customFormat="1" ht="14.45" hidden="1" customHeight="1">
      <c r="B99" s="40">
        <v>45533</v>
      </c>
      <c r="C99" s="41">
        <v>1</v>
      </c>
      <c r="D99" s="42">
        <v>104</v>
      </c>
      <c r="E99" s="43">
        <v>6551206</v>
      </c>
      <c r="F99" s="44">
        <v>30715804812</v>
      </c>
      <c r="G99" s="45" t="str">
        <f>IFERROR(IF(compras_mes8[[#This Row],[CUIT]]="","-",VLOOKUP(compras_mes8[[#This Row],[CUIT]],Lista_CUIT[#All],2,0)),"CUIT NO CARGADO")</f>
        <v>CORREDORES VIALES SOCIEDAD ANONIMA</v>
      </c>
      <c r="H99" s="46">
        <v>1632.46</v>
      </c>
      <c r="I99" s="85">
        <f>IF(compras_mes8[[#This Row],[NETO GRAVADO]]="","",compras_mes8[[#This Row],[NETO GRAVADO]]*0.21)</f>
        <v>342.81659999999999</v>
      </c>
      <c r="J99" s="85"/>
      <c r="K99" s="85"/>
      <c r="L99" s="85"/>
      <c r="M99" s="85"/>
      <c r="N99" s="85"/>
      <c r="O99" s="85"/>
      <c r="P99" s="48">
        <f>SUM(compras_mes8[[#This Row],[NETO GRAVADO]:[Otros / No Grav.]])</f>
        <v>1975.2766000000001</v>
      </c>
      <c r="Q99" s="610" t="str">
        <f>IFERROR(IF(compras_mes8[[#This Row],[CUIT]]="","-",VLOOKUP(compras_mes8[[#This Row],[CUIT]],Lista_CUIT[#All],3,0)),"CUIT NO CARGADO")</f>
        <v>PEAJE</v>
      </c>
      <c r="R99" s="49">
        <f>IFERROR(IF(compras_mes8[[#This Row],[CUIT]]="","-",VLOOKUP(compras_mes8[[#This Row],[CUIT]],Lista_CUIT[#All],4,0)),"CUIT NO CARGADO")</f>
        <v>0</v>
      </c>
    </row>
    <row r="100" spans="2:18" ht="14.45" hidden="1" customHeight="1">
      <c r="B100" s="40">
        <v>45535</v>
      </c>
      <c r="C100" s="41">
        <v>1</v>
      </c>
      <c r="D100" s="42">
        <v>50</v>
      </c>
      <c r="E100" s="43">
        <v>3749817</v>
      </c>
      <c r="F100" s="44">
        <v>30714112836</v>
      </c>
      <c r="G100" s="45" t="str">
        <f>IFERROR(IF(compras_mes8[[#This Row],[CUIT]]="","-",VLOOKUP(compras_mes8[[#This Row],[CUIT]],Lista_CUIT[#All],2,0)),"CUIT NO CARGADO")</f>
        <v>AUTOPISTAS DE BUENOS AIRES (AUBASA) SA</v>
      </c>
      <c r="H100" s="46">
        <v>2314.0500000000002</v>
      </c>
      <c r="I100" s="85">
        <f>IF(compras_mes8[[#This Row],[NETO GRAVADO]]="","",compras_mes8[[#This Row],[NETO GRAVADO]]*0.21)</f>
        <v>485.95050000000003</v>
      </c>
      <c r="J100" s="85"/>
      <c r="K100" s="85"/>
      <c r="L100" s="85"/>
      <c r="M100" s="85"/>
      <c r="N100" s="85"/>
      <c r="O100" s="85"/>
      <c r="P100" s="48">
        <f>SUM(compras_mes8[[#This Row],[NETO GRAVADO]:[Otros / No Grav.]])</f>
        <v>2800.0005000000001</v>
      </c>
      <c r="Q100" s="610" t="str">
        <f>IFERROR(IF(compras_mes8[[#This Row],[CUIT]]="","-",VLOOKUP(compras_mes8[[#This Row],[CUIT]],Lista_CUIT[#All],3,0)),"CUIT NO CARGADO")</f>
        <v>PEAJE</v>
      </c>
      <c r="R100" s="49">
        <f>IFERROR(IF(compras_mes8[[#This Row],[CUIT]]="","-",VLOOKUP(compras_mes8[[#This Row],[CUIT]],Lista_CUIT[#All],4,0)),"CUIT NO CARGADO")</f>
        <v>0</v>
      </c>
    </row>
    <row r="101" spans="2:18" ht="15" hidden="1" customHeight="1">
      <c r="B101" s="40">
        <v>45517</v>
      </c>
      <c r="C101" s="41">
        <v>1</v>
      </c>
      <c r="D101" s="42">
        <v>1</v>
      </c>
      <c r="E101" s="43">
        <v>791</v>
      </c>
      <c r="F101" s="44">
        <v>30716975602</v>
      </c>
      <c r="G101" s="45" t="str">
        <f>IFERROR(IF(compras_mes8[[#This Row],[CUIT]]="","-",VLOOKUP(compras_mes8[[#This Row],[CUIT]],Lista_CUIT[#All],2,0)),"CUIT NO CARGADO")</f>
        <v>PURTECH S.R.L.</v>
      </c>
      <c r="H101" s="46">
        <v>974415.94</v>
      </c>
      <c r="I101" s="85">
        <f>IF(compras_mes8[[#This Row],[NETO GRAVADO]]="","",compras_mes8[[#This Row],[NETO GRAVADO]]*0.21)</f>
        <v>204627.34739999997</v>
      </c>
      <c r="J101" s="85"/>
      <c r="K101" s="85"/>
      <c r="L101" s="85"/>
      <c r="M101" s="85"/>
      <c r="N101" s="85"/>
      <c r="O101" s="85"/>
      <c r="P101" s="48">
        <f>SUM(compras_mes8[[#This Row],[NETO GRAVADO]:[Otros / No Grav.]])</f>
        <v>1179043.2873999998</v>
      </c>
      <c r="Q101" s="610" t="str">
        <f>IFERROR(IF(compras_mes8[[#This Row],[CUIT]]="","-",VLOOKUP(compras_mes8[[#This Row],[CUIT]],Lista_CUIT[#All],3,0)),"CUIT NO CARGADO")</f>
        <v>Mantenimiento</v>
      </c>
      <c r="R101" s="49">
        <f>IFERROR(IF(compras_mes8[[#This Row],[CUIT]]="","-",VLOOKUP(compras_mes8[[#This Row],[CUIT]],Lista_CUIT[#All],4,0)),"CUIT NO CARGADO")</f>
        <v>0</v>
      </c>
    </row>
    <row r="102" spans="2:18" ht="15" hidden="1" customHeight="1">
      <c r="B102" s="40">
        <v>45505</v>
      </c>
      <c r="C102" s="41">
        <v>1</v>
      </c>
      <c r="D102" s="42">
        <v>2</v>
      </c>
      <c r="E102" s="43">
        <v>687</v>
      </c>
      <c r="F102" s="44">
        <v>20272865869</v>
      </c>
      <c r="G102" s="45" t="str">
        <f>IFERROR(IF(compras_mes8[[#This Row],[CUIT]]="","-",VLOOKUP(compras_mes8[[#This Row],[CUIT]],Lista_CUIT[#All],2,0)),"CUIT NO CARGADO")</f>
        <v>DI FEO MARTIN EZEQUIEL</v>
      </c>
      <c r="H102" s="46">
        <v>182190</v>
      </c>
      <c r="I102" s="85">
        <f>IF(compras_mes8[[#This Row],[NETO GRAVADO]]="","",compras_mes8[[#This Row],[NETO GRAVADO]]*0.21)</f>
        <v>38259.9</v>
      </c>
      <c r="J102" s="85"/>
      <c r="K102" s="85"/>
      <c r="L102" s="85"/>
      <c r="M102" s="85"/>
      <c r="N102" s="85"/>
      <c r="O102" s="85"/>
      <c r="P102" s="48">
        <f>SUM(compras_mes8[[#This Row],[NETO GRAVADO]:[Otros / No Grav.]])</f>
        <v>220449.9</v>
      </c>
      <c r="Q102" s="610" t="str">
        <f>IFERROR(IF(compras_mes8[[#This Row],[CUIT]]="","-",VLOOKUP(compras_mes8[[#This Row],[CUIT]],Lista_CUIT[#All],3,0)),"CUIT NO CARGADO")</f>
        <v>Productos Ortopedicos</v>
      </c>
      <c r="R102" s="49">
        <f>IFERROR(IF(compras_mes8[[#This Row],[CUIT]]="","-",VLOOKUP(compras_mes8[[#This Row],[CUIT]],Lista_CUIT[#All],4,0)),"CUIT NO CARGADO")</f>
        <v>0</v>
      </c>
    </row>
    <row r="103" spans="2:18" ht="15" hidden="1" customHeight="1">
      <c r="B103" s="40">
        <v>45506</v>
      </c>
      <c r="C103" s="41">
        <v>1</v>
      </c>
      <c r="D103" s="42">
        <v>5</v>
      </c>
      <c r="E103" s="43">
        <v>1853</v>
      </c>
      <c r="F103" s="44">
        <v>30712187316</v>
      </c>
      <c r="G103" s="45" t="str">
        <f>IFERROR(IF(compras_mes8[[#This Row],[CUIT]]="","-",VLOOKUP(compras_mes8[[#This Row],[CUIT]],Lista_CUIT[#All],2,0)),"CUIT NO CARGADO")</f>
        <v>ITALOMED PRODUCTOS SRL</v>
      </c>
      <c r="H103" s="46">
        <v>305102.73</v>
      </c>
      <c r="I103" s="85">
        <f>IF(compras_mes8[[#This Row],[NETO GRAVADO]]="","",compras_mes8[[#This Row],[NETO GRAVADO]]*0.21)</f>
        <v>64071.573299999996</v>
      </c>
      <c r="J103" s="85"/>
      <c r="K103" s="85"/>
      <c r="L103" s="85"/>
      <c r="M103" s="85"/>
      <c r="N103" s="85"/>
      <c r="O103" s="85"/>
      <c r="P103" s="48">
        <f>SUM(compras_mes8[[#This Row],[NETO GRAVADO]:[Otros / No Grav.]])</f>
        <v>369174.30329999997</v>
      </c>
      <c r="Q103" s="610" t="str">
        <f>IFERROR(IF(compras_mes8[[#This Row],[CUIT]]="","-",VLOOKUP(compras_mes8[[#This Row],[CUIT]],Lista_CUIT[#All],3,0)),"CUIT NO CARGADO")</f>
        <v>Productos Ortopedicos</v>
      </c>
      <c r="R103" s="49">
        <f>IFERROR(IF(compras_mes8[[#This Row],[CUIT]]="","-",VLOOKUP(compras_mes8[[#This Row],[CUIT]],Lista_CUIT[#All],4,0)),"CUIT NO CARGADO")</f>
        <v>0</v>
      </c>
    </row>
    <row r="104" spans="2:18" ht="15" hidden="1" customHeight="1">
      <c r="B104" s="40">
        <v>45512</v>
      </c>
      <c r="C104" s="41">
        <v>1</v>
      </c>
      <c r="D104" s="42">
        <v>8</v>
      </c>
      <c r="E104" s="43">
        <v>1674</v>
      </c>
      <c r="F104" s="44">
        <v>30708973501</v>
      </c>
      <c r="G104" s="45" t="str">
        <f>IFERROR(IF(compras_mes8[[#This Row],[CUIT]]="","-",VLOOKUP(compras_mes8[[#This Row],[CUIT]],Lista_CUIT[#All],2,0)),"CUIT NO CARGADO")</f>
        <v>ASIAL SRL</v>
      </c>
      <c r="H104" s="46">
        <v>699981</v>
      </c>
      <c r="I104" s="85">
        <f>IF(compras_mes8[[#This Row],[NETO GRAVADO]]="","",compras_mes8[[#This Row],[NETO GRAVADO]]*0.21)</f>
        <v>146996.00999999998</v>
      </c>
      <c r="J104" s="85"/>
      <c r="K104" s="85"/>
      <c r="L104" s="85"/>
      <c r="M104" s="85"/>
      <c r="N104" s="85"/>
      <c r="O104" s="85"/>
      <c r="P104" s="48">
        <f>SUM(compras_mes8[[#This Row],[NETO GRAVADO]:[Otros / No Grav.]])</f>
        <v>846977.01</v>
      </c>
      <c r="Q104" s="610" t="str">
        <f>IFERROR(IF(compras_mes8[[#This Row],[CUIT]]="","-",VLOOKUP(compras_mes8[[#This Row],[CUIT]],Lista_CUIT[#All],3,0)),"CUIT NO CARGADO")</f>
        <v>Productos Ortopedicos</v>
      </c>
      <c r="R104" s="49">
        <f>IFERROR(IF(compras_mes8[[#This Row],[CUIT]]="","-",VLOOKUP(compras_mes8[[#This Row],[CUIT]],Lista_CUIT[#All],4,0)),"CUIT NO CARGADO")</f>
        <v>0</v>
      </c>
    </row>
    <row r="105" spans="2:18" s="450" customFormat="1" ht="15" hidden="1" customHeight="1">
      <c r="B105" s="40">
        <v>45512</v>
      </c>
      <c r="C105" s="41">
        <v>1</v>
      </c>
      <c r="D105" s="42">
        <v>2</v>
      </c>
      <c r="E105" s="43">
        <v>703</v>
      </c>
      <c r="F105" s="44">
        <v>20272865869</v>
      </c>
      <c r="G105" s="45" t="str">
        <f>IFERROR(IF(compras_mes8[[#This Row],[CUIT]]="","-",VLOOKUP(compras_mes8[[#This Row],[CUIT]],Lista_CUIT[#All],2,0)),"CUIT NO CARGADO")</f>
        <v>DI FEO MARTIN EZEQUIEL</v>
      </c>
      <c r="H105" s="46">
        <v>60880</v>
      </c>
      <c r="I105" s="85">
        <f>IF(compras_mes8[[#This Row],[NETO GRAVADO]]="","",compras_mes8[[#This Row],[NETO GRAVADO]]*0.21)</f>
        <v>12784.8</v>
      </c>
      <c r="J105" s="85"/>
      <c r="K105" s="85"/>
      <c r="L105" s="85"/>
      <c r="M105" s="85"/>
      <c r="N105" s="85"/>
      <c r="O105" s="85"/>
      <c r="P105" s="48">
        <f>SUM(compras_mes8[[#This Row],[NETO GRAVADO]:[Otros / No Grav.]])</f>
        <v>73664.800000000003</v>
      </c>
      <c r="Q105" s="610" t="str">
        <f>IFERROR(IF(compras_mes8[[#This Row],[CUIT]]="","-",VLOOKUP(compras_mes8[[#This Row],[CUIT]],Lista_CUIT[#All],3,0)),"CUIT NO CARGADO")</f>
        <v>Productos Ortopedicos</v>
      </c>
      <c r="R105" s="49">
        <f>IFERROR(IF(compras_mes8[[#This Row],[CUIT]]="","-",VLOOKUP(compras_mes8[[#This Row],[CUIT]],Lista_CUIT[#All],4,0)),"CUIT NO CARGADO")</f>
        <v>0</v>
      </c>
    </row>
    <row r="106" spans="2:18" hidden="1">
      <c r="B106" s="40">
        <v>45519</v>
      </c>
      <c r="C106" s="41">
        <v>1</v>
      </c>
      <c r="D106" s="42">
        <v>2</v>
      </c>
      <c r="E106" s="43">
        <v>719</v>
      </c>
      <c r="F106" s="44">
        <v>20272865869</v>
      </c>
      <c r="G106" s="45" t="str">
        <f>IFERROR(IF(compras_mes8[[#This Row],[CUIT]]="","-",VLOOKUP(compras_mes8[[#This Row],[CUIT]],Lista_CUIT[#All],2,0)),"CUIT NO CARGADO")</f>
        <v>DI FEO MARTIN EZEQUIEL</v>
      </c>
      <c r="H106" s="46">
        <v>138530</v>
      </c>
      <c r="I106" s="85">
        <f>IF(compras_mes8[[#This Row],[NETO GRAVADO]]="","",compras_mes8[[#This Row],[NETO GRAVADO]]*0.21)</f>
        <v>29091.3</v>
      </c>
      <c r="J106" s="85"/>
      <c r="K106" s="85"/>
      <c r="L106" s="85"/>
      <c r="M106" s="85"/>
      <c r="N106" s="85"/>
      <c r="O106" s="85"/>
      <c r="P106" s="48">
        <f>SUM(compras_mes8[[#This Row],[NETO GRAVADO]:[Otros / No Grav.]])</f>
        <v>167621.29999999999</v>
      </c>
      <c r="Q106" s="610" t="str">
        <f>IFERROR(IF(compras_mes8[[#This Row],[CUIT]]="","-",VLOOKUP(compras_mes8[[#This Row],[CUIT]],Lista_CUIT[#All],3,0)),"CUIT NO CARGADO")</f>
        <v>Productos Ortopedicos</v>
      </c>
      <c r="R106" s="49">
        <f>IFERROR(IF(compras_mes8[[#This Row],[CUIT]]="","-",VLOOKUP(compras_mes8[[#This Row],[CUIT]],Lista_CUIT[#All],4,0)),"CUIT NO CARGADO")</f>
        <v>0</v>
      </c>
    </row>
    <row r="107" spans="2:18" hidden="1">
      <c r="B107" s="40">
        <v>45520</v>
      </c>
      <c r="C107" s="41">
        <v>1</v>
      </c>
      <c r="D107" s="42">
        <v>2</v>
      </c>
      <c r="E107" s="43">
        <v>721</v>
      </c>
      <c r="F107" s="44">
        <v>20272865869</v>
      </c>
      <c r="G107" s="45" t="str">
        <f>IFERROR(IF(compras_mes8[[#This Row],[CUIT]]="","-",VLOOKUP(compras_mes8[[#This Row],[CUIT]],Lista_CUIT[#All],2,0)),"CUIT NO CARGADO")</f>
        <v>DI FEO MARTIN EZEQUIEL</v>
      </c>
      <c r="H107" s="46">
        <v>45000</v>
      </c>
      <c r="I107" s="85">
        <f>IF(compras_mes8[[#This Row],[NETO GRAVADO]]="","",compras_mes8[[#This Row],[NETO GRAVADO]]*0.21)</f>
        <v>9450</v>
      </c>
      <c r="J107" s="85"/>
      <c r="K107" s="85"/>
      <c r="L107" s="85"/>
      <c r="M107" s="85"/>
      <c r="N107" s="85"/>
      <c r="O107" s="85"/>
      <c r="P107" s="48">
        <f>SUM(compras_mes8[[#This Row],[NETO GRAVADO]:[Otros / No Grav.]])</f>
        <v>54450</v>
      </c>
      <c r="Q107" s="610" t="str">
        <f>IFERROR(IF(compras_mes8[[#This Row],[CUIT]]="","-",VLOOKUP(compras_mes8[[#This Row],[CUIT]],Lista_CUIT[#All],3,0)),"CUIT NO CARGADO")</f>
        <v>Productos Ortopedicos</v>
      </c>
      <c r="R107" s="49">
        <f>IFERROR(IF(compras_mes8[[#This Row],[CUIT]]="","-",VLOOKUP(compras_mes8[[#This Row],[CUIT]],Lista_CUIT[#All],4,0)),"CUIT NO CARGADO")</f>
        <v>0</v>
      </c>
    </row>
    <row r="108" spans="2:18" hidden="1">
      <c r="B108" s="40">
        <v>45525</v>
      </c>
      <c r="C108" s="41">
        <v>1</v>
      </c>
      <c r="D108" s="42">
        <v>2</v>
      </c>
      <c r="E108" s="43">
        <v>7679</v>
      </c>
      <c r="F108" s="44">
        <v>30694549817</v>
      </c>
      <c r="G108" s="45" t="str">
        <f>IFERROR(IF(compras_mes8[[#This Row],[CUIT]]="","-",VLOOKUP(compras_mes8[[#This Row],[CUIT]],Lista_CUIT[#All],2,0)),"CUIT NO CARGADO")</f>
        <v>DISEÑOS JERY SRL</v>
      </c>
      <c r="H108" s="46">
        <v>65193.54</v>
      </c>
      <c r="I108" s="85">
        <f>IF(compras_mes8[[#This Row],[NETO GRAVADO]]="","",compras_mes8[[#This Row],[NETO GRAVADO]]*0.21)</f>
        <v>13690.643399999999</v>
      </c>
      <c r="J108" s="85"/>
      <c r="K108" s="85"/>
      <c r="L108" s="85"/>
      <c r="M108" s="85"/>
      <c r="N108" s="85"/>
      <c r="O108" s="85"/>
      <c r="P108" s="48">
        <f>SUM(compras_mes8[[#This Row],[NETO GRAVADO]:[Otros / No Grav.]])</f>
        <v>78884.183399999994</v>
      </c>
      <c r="Q108" s="610" t="str">
        <f>IFERROR(IF(compras_mes8[[#This Row],[CUIT]]="","-",VLOOKUP(compras_mes8[[#This Row],[CUIT]],Lista_CUIT[#All],3,0)),"CUIT NO CARGADO")</f>
        <v>Productos Ortopedicos</v>
      </c>
      <c r="R108" s="49">
        <f>IFERROR(IF(compras_mes8[[#This Row],[CUIT]]="","-",VLOOKUP(compras_mes8[[#This Row],[CUIT]],Lista_CUIT[#All],4,0)),"CUIT NO CARGADO")</f>
        <v>0</v>
      </c>
    </row>
    <row r="109" spans="2:18" hidden="1">
      <c r="B109" s="40">
        <v>45526</v>
      </c>
      <c r="C109" s="41">
        <v>1</v>
      </c>
      <c r="D109" s="42">
        <v>2</v>
      </c>
      <c r="E109" s="43">
        <v>732</v>
      </c>
      <c r="F109" s="44">
        <v>20272865869</v>
      </c>
      <c r="G109" s="45" t="str">
        <f>IFERROR(IF(compras_mes8[[#This Row],[CUIT]]="","-",VLOOKUP(compras_mes8[[#This Row],[CUIT]],Lista_CUIT[#All],2,0)),"CUIT NO CARGADO")</f>
        <v>DI FEO MARTIN EZEQUIEL</v>
      </c>
      <c r="H109" s="46">
        <v>149600</v>
      </c>
      <c r="I109" s="85">
        <f>IF(compras_mes8[[#This Row],[NETO GRAVADO]]="","",compras_mes8[[#This Row],[NETO GRAVADO]]*0.21)</f>
        <v>31416</v>
      </c>
      <c r="J109" s="85"/>
      <c r="K109" s="85"/>
      <c r="L109" s="85"/>
      <c r="M109" s="85"/>
      <c r="N109" s="85"/>
      <c r="O109" s="85"/>
      <c r="P109" s="48">
        <f>SUM(compras_mes8[[#This Row],[NETO GRAVADO]:[Otros / No Grav.]])</f>
        <v>181016</v>
      </c>
      <c r="Q109" s="610" t="str">
        <f>IFERROR(IF(compras_mes8[[#This Row],[CUIT]]="","-",VLOOKUP(compras_mes8[[#This Row],[CUIT]],Lista_CUIT[#All],3,0)),"CUIT NO CARGADO")</f>
        <v>Productos Ortopedicos</v>
      </c>
      <c r="R109" s="49">
        <f>IFERROR(IF(compras_mes8[[#This Row],[CUIT]]="","-",VLOOKUP(compras_mes8[[#This Row],[CUIT]],Lista_CUIT[#All],4,0)),"CUIT NO CARGADO")</f>
        <v>0</v>
      </c>
    </row>
    <row r="110" spans="2:18" hidden="1">
      <c r="B110" s="40">
        <v>45527</v>
      </c>
      <c r="C110" s="41">
        <v>1</v>
      </c>
      <c r="D110" s="42">
        <v>7</v>
      </c>
      <c r="E110" s="43">
        <v>1269</v>
      </c>
      <c r="F110" s="44">
        <v>30712187316</v>
      </c>
      <c r="G110" s="45" t="str">
        <f>IFERROR(IF(compras_mes8[[#This Row],[CUIT]]="","-",VLOOKUP(compras_mes8[[#This Row],[CUIT]],Lista_CUIT[#All],2,0)),"CUIT NO CARGADO")</f>
        <v>ITALOMED PRODUCTOS SRL</v>
      </c>
      <c r="H110" s="46">
        <v>140407.15</v>
      </c>
      <c r="I110" s="85">
        <f>IF(compras_mes8[[#This Row],[NETO GRAVADO]]="","",compras_mes8[[#This Row],[NETO GRAVADO]]*0.21)</f>
        <v>29485.501499999998</v>
      </c>
      <c r="J110" s="85"/>
      <c r="K110" s="85"/>
      <c r="L110" s="85"/>
      <c r="M110" s="85"/>
      <c r="N110" s="85"/>
      <c r="O110" s="85"/>
      <c r="P110" s="48">
        <f>SUM(compras_mes8[[#This Row],[NETO GRAVADO]:[Otros / No Grav.]])</f>
        <v>169892.65149999998</v>
      </c>
      <c r="Q110" s="610" t="str">
        <f>IFERROR(IF(compras_mes8[[#This Row],[CUIT]]="","-",VLOOKUP(compras_mes8[[#This Row],[CUIT]],Lista_CUIT[#All],3,0)),"CUIT NO CARGADO")</f>
        <v>Productos Ortopedicos</v>
      </c>
      <c r="R110" s="49">
        <f>IFERROR(IF(compras_mes8[[#This Row],[CUIT]]="","-",VLOOKUP(compras_mes8[[#This Row],[CUIT]],Lista_CUIT[#All],4,0)),"CUIT NO CARGADO")</f>
        <v>0</v>
      </c>
    </row>
    <row r="111" spans="2:18" s="450" customFormat="1" hidden="1">
      <c r="B111" s="40">
        <v>45532</v>
      </c>
      <c r="C111" s="41">
        <v>1</v>
      </c>
      <c r="D111" s="42">
        <v>5</v>
      </c>
      <c r="E111" s="43">
        <v>1888</v>
      </c>
      <c r="F111" s="44">
        <v>30712187316</v>
      </c>
      <c r="G111" s="45" t="str">
        <f>IFERROR(IF(compras_mes8[[#This Row],[CUIT]]="","-",VLOOKUP(compras_mes8[[#This Row],[CUIT]],Lista_CUIT[#All],2,0)),"CUIT NO CARGADO")</f>
        <v>ITALOMED PRODUCTOS SRL</v>
      </c>
      <c r="H111" s="46">
        <v>297988.2</v>
      </c>
      <c r="I111" s="85">
        <f>IF(compras_mes8[[#This Row],[NETO GRAVADO]]="","",compras_mes8[[#This Row],[NETO GRAVADO]]*0.21)</f>
        <v>62577.521999999997</v>
      </c>
      <c r="J111" s="85"/>
      <c r="K111" s="85"/>
      <c r="L111" s="85"/>
      <c r="M111" s="85"/>
      <c r="N111" s="85"/>
      <c r="O111" s="85"/>
      <c r="P111" s="48">
        <f>SUM(compras_mes8[[#This Row],[NETO GRAVADO]:[Otros / No Grav.]])</f>
        <v>360565.72200000001</v>
      </c>
      <c r="Q111" s="610" t="str">
        <f>IFERROR(IF(compras_mes8[[#This Row],[CUIT]]="","-",VLOOKUP(compras_mes8[[#This Row],[CUIT]],Lista_CUIT[#All],3,0)),"CUIT NO CARGADO")</f>
        <v>Productos Ortopedicos</v>
      </c>
      <c r="R111" s="49">
        <f>IFERROR(IF(compras_mes8[[#This Row],[CUIT]]="","-",VLOOKUP(compras_mes8[[#This Row],[CUIT]],Lista_CUIT[#All],4,0)),"CUIT NO CARGADO")</f>
        <v>0</v>
      </c>
    </row>
    <row r="112" spans="2:18" hidden="1">
      <c r="B112" s="40">
        <v>45533</v>
      </c>
      <c r="C112" s="41">
        <v>1</v>
      </c>
      <c r="D112" s="42">
        <v>2</v>
      </c>
      <c r="E112" s="43">
        <v>747</v>
      </c>
      <c r="F112" s="44">
        <v>20272865869</v>
      </c>
      <c r="G112" s="45" t="str">
        <f>IFERROR(IF(compras_mes8[[#This Row],[CUIT]]="","-",VLOOKUP(compras_mes8[[#This Row],[CUIT]],Lista_CUIT[#All],2,0)),"CUIT NO CARGADO")</f>
        <v>DI FEO MARTIN EZEQUIEL</v>
      </c>
      <c r="H112" s="46">
        <v>143677.51999999999</v>
      </c>
      <c r="I112" s="85">
        <f>IF(compras_mes8[[#This Row],[NETO GRAVADO]]="","",compras_mes8[[#This Row],[NETO GRAVADO]]*0.21)</f>
        <v>30172.279199999997</v>
      </c>
      <c r="J112" s="85"/>
      <c r="K112" s="85"/>
      <c r="L112" s="85"/>
      <c r="M112" s="85"/>
      <c r="N112" s="85"/>
      <c r="O112" s="85"/>
      <c r="P112" s="48">
        <f>SUM(compras_mes8[[#This Row],[NETO GRAVADO]:[Otros / No Grav.]])</f>
        <v>173849.79919999998</v>
      </c>
      <c r="Q112" s="610" t="str">
        <f>IFERROR(IF(compras_mes8[[#This Row],[CUIT]]="","-",VLOOKUP(compras_mes8[[#This Row],[CUIT]],Lista_CUIT[#All],3,0)),"CUIT NO CARGADO")</f>
        <v>Productos Ortopedicos</v>
      </c>
      <c r="R112" s="49">
        <f>IFERROR(IF(compras_mes8[[#This Row],[CUIT]]="","-",VLOOKUP(compras_mes8[[#This Row],[CUIT]],Lista_CUIT[#All],4,0)),"CUIT NO CARGADO")</f>
        <v>0</v>
      </c>
    </row>
    <row r="113" spans="2:18" hidden="1">
      <c r="B113" s="40">
        <v>45534</v>
      </c>
      <c r="C113" s="41">
        <v>1</v>
      </c>
      <c r="D113" s="42">
        <v>2</v>
      </c>
      <c r="E113" s="43">
        <v>748</v>
      </c>
      <c r="F113" s="44">
        <v>20272865869</v>
      </c>
      <c r="G113" s="45" t="str">
        <f>IFERROR(IF(compras_mes8[[#This Row],[CUIT]]="","-",VLOOKUP(compras_mes8[[#This Row],[CUIT]],Lista_CUIT[#All],2,0)),"CUIT NO CARGADO")</f>
        <v>DI FEO MARTIN EZEQUIEL</v>
      </c>
      <c r="H113" s="46">
        <v>9000</v>
      </c>
      <c r="I113" s="85">
        <f>IF(compras_mes8[[#This Row],[NETO GRAVADO]]="","",compras_mes8[[#This Row],[NETO GRAVADO]]*0.21)</f>
        <v>1890</v>
      </c>
      <c r="J113" s="85"/>
      <c r="K113" s="85"/>
      <c r="L113" s="85"/>
      <c r="M113" s="85"/>
      <c r="N113" s="85"/>
      <c r="O113" s="85"/>
      <c r="P113" s="48">
        <f>SUM(compras_mes8[[#This Row],[NETO GRAVADO]:[Otros / No Grav.]])</f>
        <v>10890</v>
      </c>
      <c r="Q113" s="610" t="str">
        <f>IFERROR(IF(compras_mes8[[#This Row],[CUIT]]="","-",VLOOKUP(compras_mes8[[#This Row],[CUIT]],Lista_CUIT[#All],3,0)),"CUIT NO CARGADO")</f>
        <v>Productos Ortopedicos</v>
      </c>
      <c r="R113" s="49">
        <f>IFERROR(IF(compras_mes8[[#This Row],[CUIT]]="","-",VLOOKUP(compras_mes8[[#This Row],[CUIT]],Lista_CUIT[#All],4,0)),"CUIT NO CARGADO")</f>
        <v>0</v>
      </c>
    </row>
    <row r="114" spans="2:18" hidden="1">
      <c r="B114" s="40">
        <v>45530</v>
      </c>
      <c r="C114" s="41">
        <v>1</v>
      </c>
      <c r="D114" s="42">
        <v>2</v>
      </c>
      <c r="E114" s="43">
        <v>23</v>
      </c>
      <c r="F114" s="44">
        <v>27243660535</v>
      </c>
      <c r="G114" s="45" t="str">
        <f>IFERROR(IF(compras_mes8[[#This Row],[CUIT]]="","-",VLOOKUP(compras_mes8[[#This Row],[CUIT]],Lista_CUIT[#All],2,0)),"CUIT NO CARGADO")</f>
        <v>BARD MARISA SILVIA</v>
      </c>
      <c r="H114" s="46">
        <v>360000</v>
      </c>
      <c r="I114" s="85">
        <f>IF(compras_mes8[[#This Row],[NETO GRAVADO]]="","",compras_mes8[[#This Row],[NETO GRAVADO]]*0.21)</f>
        <v>75600</v>
      </c>
      <c r="J114" s="85"/>
      <c r="K114" s="85"/>
      <c r="L114" s="85"/>
      <c r="M114" s="85"/>
      <c r="N114" s="85"/>
      <c r="O114" s="85"/>
      <c r="P114" s="48">
        <f>SUM(compras_mes8[[#This Row],[NETO GRAVADO]:[Otros / No Grav.]])</f>
        <v>435600</v>
      </c>
      <c r="Q114" s="610" t="str">
        <f>IFERROR(IF(compras_mes8[[#This Row],[CUIT]]="","-",VLOOKUP(compras_mes8[[#This Row],[CUIT]],Lista_CUIT[#All],3,0)),"CUIT NO CARGADO")</f>
        <v>Productos Ortopedicos</v>
      </c>
      <c r="R114" s="49">
        <f>IFERROR(IF(compras_mes8[[#This Row],[CUIT]]="","-",VLOOKUP(compras_mes8[[#This Row],[CUIT]],Lista_CUIT[#All],4,0)),"CUIT NO CARGADO")</f>
        <v>0</v>
      </c>
    </row>
    <row r="115" spans="2:18" hidden="1">
      <c r="B115" s="40">
        <v>45517</v>
      </c>
      <c r="C115" s="41">
        <v>1</v>
      </c>
      <c r="D115" s="42">
        <v>4</v>
      </c>
      <c r="E115" s="43">
        <v>496</v>
      </c>
      <c r="F115" s="44">
        <v>20379223185</v>
      </c>
      <c r="G115" s="45" t="str">
        <f>IFERROR(IF(compras_mes8[[#This Row],[CUIT]]="","-",VLOOKUP(compras_mes8[[#This Row],[CUIT]],Lista_CUIT[#All],2,0)),"CUIT NO CARGADO")</f>
        <v>AYALA MAURICIO JUAN JOSE</v>
      </c>
      <c r="H115" s="46">
        <v>90450</v>
      </c>
      <c r="I115" s="85">
        <f>IF(compras_mes8[[#This Row],[NETO GRAVADO]]="","",compras_mes8[[#This Row],[NETO GRAVADO]]*0.21)</f>
        <v>18994.5</v>
      </c>
      <c r="J115" s="85"/>
      <c r="K115" s="85"/>
      <c r="L115" s="85"/>
      <c r="M115" s="85"/>
      <c r="N115" s="85"/>
      <c r="O115" s="85"/>
      <c r="P115" s="48">
        <f>SUM(compras_mes8[[#This Row],[NETO GRAVADO]:[Otros / No Grav.]])</f>
        <v>109444.5</v>
      </c>
      <c r="Q115" s="610" t="str">
        <f>IFERROR(IF(compras_mes8[[#This Row],[CUIT]]="","-",VLOOKUP(compras_mes8[[#This Row],[CUIT]],Lista_CUIT[#All],3,0)),"CUIT NO CARGADO")</f>
        <v>SERVICIOS</v>
      </c>
      <c r="R115" s="49">
        <f>IFERROR(IF(compras_mes8[[#This Row],[CUIT]]="","-",VLOOKUP(compras_mes8[[#This Row],[CUIT]],Lista_CUIT[#All],4,0)),"CUIT NO CARGADO")</f>
        <v>0</v>
      </c>
    </row>
    <row r="116" spans="2:18" hidden="1">
      <c r="B116" s="40">
        <v>45508</v>
      </c>
      <c r="C116" s="41">
        <v>1</v>
      </c>
      <c r="D116" s="42">
        <v>401</v>
      </c>
      <c r="E116" s="43">
        <v>52</v>
      </c>
      <c r="F116" s="44">
        <v>30716234114</v>
      </c>
      <c r="G116" s="45" t="str">
        <f>IFERROR(IF(compras_mes8[[#This Row],[CUIT]]="","-",VLOOKUP(compras_mes8[[#This Row],[CUIT]],Lista_CUIT[#All],2,0)),"CUIT NO CARGADO")</f>
        <v>UZUMAKI S.A.S.</v>
      </c>
      <c r="H116" s="46">
        <f>1385*129.3</f>
        <v>179080.50000000003</v>
      </c>
      <c r="I116" s="85">
        <f>IF(compras_mes8[[#This Row],[NETO GRAVADO]]="","",compras_mes8[[#This Row],[NETO GRAVADO]]*0.21)</f>
        <v>37606.905000000006</v>
      </c>
      <c r="J116" s="85"/>
      <c r="K116" s="85"/>
      <c r="L116" s="85"/>
      <c r="M116" s="85"/>
      <c r="N116" s="85"/>
      <c r="O116" s="85"/>
      <c r="P116" s="48">
        <f>SUM(compras_mes8[[#This Row],[NETO GRAVADO]:[Otros / No Grav.]])</f>
        <v>216687.40500000003</v>
      </c>
      <c r="Q116" s="610" t="str">
        <f>IFERROR(IF(compras_mes8[[#This Row],[CUIT]]="","-",VLOOKUP(compras_mes8[[#This Row],[CUIT]],Lista_CUIT[#All],3,0)),"CUIT NO CARGADO")</f>
        <v>Productos Ortopedicos</v>
      </c>
      <c r="R116" s="49">
        <f>IFERROR(IF(compras_mes8[[#This Row],[CUIT]]="","-",VLOOKUP(compras_mes8[[#This Row],[CUIT]],Lista_CUIT[#All],4,0)),"CUIT NO CARGADO")</f>
        <v>0</v>
      </c>
    </row>
    <row r="117" spans="2:18" hidden="1">
      <c r="B117" s="40">
        <v>45506</v>
      </c>
      <c r="C117" s="41">
        <v>1</v>
      </c>
      <c r="D117" s="42">
        <v>3051</v>
      </c>
      <c r="E117" s="43">
        <v>784930</v>
      </c>
      <c r="F117" s="44">
        <v>30678814357</v>
      </c>
      <c r="G117" s="45" t="str">
        <f>IFERROR(IF(compras_mes8[[#This Row],[CUIT]]="","-",VLOOKUP(compras_mes8[[#This Row],[CUIT]],Lista_CUIT[#All],2,0)),"CUIT NO CARGADO")</f>
        <v>TELEFONICA MOVILES ARG SA</v>
      </c>
      <c r="H117" s="46">
        <v>12567</v>
      </c>
      <c r="I117" s="85"/>
      <c r="J117" s="85">
        <f>compras_mes8[[#This Row],[NETO GRAVADO]]*27/100</f>
        <v>3393.09</v>
      </c>
      <c r="K117" s="85"/>
      <c r="L117" s="85">
        <v>377.01</v>
      </c>
      <c r="M117" s="85"/>
      <c r="N117" s="85">
        <v>529.14</v>
      </c>
      <c r="O117" s="85">
        <v>661.41</v>
      </c>
      <c r="P117" s="48">
        <f>SUM(compras_mes8[[#This Row],[NETO GRAVADO]:[Otros / No Grav.]])</f>
        <v>17527.650000000001</v>
      </c>
      <c r="Q117" s="610" t="str">
        <f>IFERROR(IF(compras_mes8[[#This Row],[CUIT]]="","-",VLOOKUP(compras_mes8[[#This Row],[CUIT]],Lista_CUIT[#All],3,0)),"CUIT NO CARGADO")</f>
        <v>Servicios Gas-Luz-Agua-Internet</v>
      </c>
      <c r="R117" s="49">
        <f>IFERROR(IF(compras_mes8[[#This Row],[CUIT]]="","-",VLOOKUP(compras_mes8[[#This Row],[CUIT]],Lista_CUIT[#All],4,0)),"CUIT NO CARGADO")</f>
        <v>0</v>
      </c>
    </row>
    <row r="118" spans="2:18" hidden="1">
      <c r="B118" s="40">
        <v>45513</v>
      </c>
      <c r="C118" s="41">
        <v>1</v>
      </c>
      <c r="D118" s="42">
        <v>3101</v>
      </c>
      <c r="E118" s="43">
        <v>153949</v>
      </c>
      <c r="F118" s="44">
        <v>30678814357</v>
      </c>
      <c r="G118" s="45" t="str">
        <f>IFERROR(IF(compras_mes8[[#This Row],[CUIT]]="","-",VLOOKUP(compras_mes8[[#This Row],[CUIT]],Lista_CUIT[#All],2,0)),"CUIT NO CARGADO")</f>
        <v>TELEFONICA MOVILES ARG SA</v>
      </c>
      <c r="H118" s="46">
        <v>60050.87</v>
      </c>
      <c r="I118" s="85"/>
      <c r="J118" s="85">
        <f>compras_mes8[[#This Row],[NETO GRAVADO]]*27/100</f>
        <v>16213.734899999999</v>
      </c>
      <c r="K118" s="85"/>
      <c r="L118" s="85">
        <v>1801.53</v>
      </c>
      <c r="M118" s="85"/>
      <c r="N118" s="85">
        <v>2402.0300000000002</v>
      </c>
      <c r="O118" s="85"/>
      <c r="P118" s="48">
        <f>SUM(compras_mes8[[#This Row],[NETO GRAVADO]:[Otros / No Grav.]])</f>
        <v>80468.164900000003</v>
      </c>
      <c r="Q118" s="610" t="str">
        <f>IFERROR(IF(compras_mes8[[#This Row],[CUIT]]="","-",VLOOKUP(compras_mes8[[#This Row],[CUIT]],Lista_CUIT[#All],3,0)),"CUIT NO CARGADO")</f>
        <v>Servicios Gas-Luz-Agua-Internet</v>
      </c>
      <c r="R118" s="49">
        <f>IFERROR(IF(compras_mes8[[#This Row],[CUIT]]="","-",VLOOKUP(compras_mes8[[#This Row],[CUIT]],Lista_CUIT[#All],4,0)),"CUIT NO CARGADO")</f>
        <v>0</v>
      </c>
    </row>
    <row r="119" spans="2:18" hidden="1">
      <c r="B119" s="40">
        <v>45523</v>
      </c>
      <c r="C119" s="41">
        <v>1</v>
      </c>
      <c r="D119" s="42">
        <v>4264</v>
      </c>
      <c r="E119" s="43">
        <v>4255102</v>
      </c>
      <c r="F119" s="44">
        <v>30639453738</v>
      </c>
      <c r="G119" s="45" t="str">
        <f>IFERROR(IF(compras_mes8[[#This Row],[CUIT]]="","-",VLOOKUP(compras_mes8[[#This Row],[CUIT]],Lista_CUIT[#All],2,0)),"CUIT NO CARGADO")</f>
        <v>TELECOM ARGENTINA SA</v>
      </c>
      <c r="H119" s="46">
        <v>23218.18</v>
      </c>
      <c r="I119" s="85">
        <f>IF(compras_mes8[[#This Row],[NETO GRAVADO]]="","",compras_mes8[[#This Row],[NETO GRAVADO]]*0.21)</f>
        <v>4875.8177999999998</v>
      </c>
      <c r="J119" s="85"/>
      <c r="K119" s="85"/>
      <c r="L119" s="85"/>
      <c r="M119" s="85"/>
      <c r="N119" s="85">
        <v>1625.27</v>
      </c>
      <c r="O119" s="85"/>
      <c r="P119" s="48">
        <f>SUM(compras_mes8[[#This Row],[NETO GRAVADO]:[Otros / No Grav.]])</f>
        <v>29719.267800000001</v>
      </c>
      <c r="Q119" s="610" t="str">
        <f>IFERROR(IF(compras_mes8[[#This Row],[CUIT]]="","-",VLOOKUP(compras_mes8[[#This Row],[CUIT]],Lista_CUIT[#All],3,0)),"CUIT NO CARGADO")</f>
        <v>Servicios Gas-Luz-Agua-Internet</v>
      </c>
      <c r="R119" s="49">
        <f>IFERROR(IF(compras_mes8[[#This Row],[CUIT]]="","-",VLOOKUP(compras_mes8[[#This Row],[CUIT]],Lista_CUIT[#All],4,0)),"CUIT NO CARGADO")</f>
        <v>0</v>
      </c>
    </row>
    <row r="120" spans="2:18" hidden="1">
      <c r="B120" s="40">
        <v>45525</v>
      </c>
      <c r="C120" s="41">
        <v>1</v>
      </c>
      <c r="D120" s="42">
        <v>5</v>
      </c>
      <c r="E120" s="43">
        <v>3106571</v>
      </c>
      <c r="F120" s="44">
        <v>30702652975</v>
      </c>
      <c r="G120" s="45" t="str">
        <f>IFERROR(IF(compras_mes8[[#This Row],[CUIT]]="","-",VLOOKUP(compras_mes8[[#This Row],[CUIT]],Lista_CUIT[#All],2,0)),"CUIT NO CARGADO")</f>
        <v>NSS SA</v>
      </c>
      <c r="H120" s="46">
        <v>28528.63</v>
      </c>
      <c r="I120" s="85">
        <f>IF(compras_mes8[[#This Row],[NETO GRAVADO]]="","",compras_mes8[[#This Row],[NETO GRAVADO]]*0.21)</f>
        <v>5991.0123000000003</v>
      </c>
      <c r="J120" s="85"/>
      <c r="K120" s="85"/>
      <c r="L120" s="85"/>
      <c r="M120" s="85"/>
      <c r="N120" s="85"/>
      <c r="O120" s="85"/>
      <c r="P120" s="48">
        <f>SUM(compras_mes8[[#This Row],[NETO GRAVADO]:[Otros / No Grav.]])</f>
        <v>34519.6423</v>
      </c>
      <c r="Q120" s="610" t="str">
        <f>IFERROR(IF(compras_mes8[[#This Row],[CUIT]]="","-",VLOOKUP(compras_mes8[[#This Row],[CUIT]],Lista_CUIT[#All],3,0)),"CUIT NO CARGADO")</f>
        <v>Servicios Gas-Luz-Agua-Internet</v>
      </c>
      <c r="R120" s="49">
        <f>IFERROR(IF(compras_mes8[[#This Row],[CUIT]]="","-",VLOOKUP(compras_mes8[[#This Row],[CUIT]],Lista_CUIT[#All],4,0)),"CUIT NO CARGADO")</f>
        <v>0</v>
      </c>
    </row>
    <row r="121" spans="2:18" hidden="1">
      <c r="B121" s="40">
        <v>45535</v>
      </c>
      <c r="C121" s="41">
        <v>1</v>
      </c>
      <c r="D121" s="42">
        <v>20</v>
      </c>
      <c r="E121" s="43">
        <v>194987</v>
      </c>
      <c r="F121" s="44">
        <v>30696850972</v>
      </c>
      <c r="G121" s="45" t="str">
        <f>IFERROR(IF(compras_mes8[[#This Row],[CUIT]]="","-",VLOOKUP(compras_mes8[[#This Row],[CUIT]],Lista_CUIT[#All],2,0)),"CUIT NO CARGADO")</f>
        <v>CPS COMUNICACIONES SA</v>
      </c>
      <c r="H121" s="46">
        <v>22562.639999999999</v>
      </c>
      <c r="I121" s="85"/>
      <c r="J121" s="85">
        <f>compras_mes8[[#This Row],[NETO GRAVADO]]*27/100</f>
        <v>6091.9128000000001</v>
      </c>
      <c r="K121" s="85"/>
      <c r="L121" s="85"/>
      <c r="M121" s="85"/>
      <c r="N121" s="85">
        <v>902.51</v>
      </c>
      <c r="O121" s="85"/>
      <c r="P121" s="48">
        <f>SUM(compras_mes8[[#This Row],[NETO GRAVADO]:[Otros / No Grav.]])</f>
        <v>29557.062799999996</v>
      </c>
      <c r="Q121" s="610" t="str">
        <f>IFERROR(IF(compras_mes8[[#This Row],[CUIT]]="","-",VLOOKUP(compras_mes8[[#This Row],[CUIT]],Lista_CUIT[#All],3,0)),"CUIT NO CARGADO")</f>
        <v>Servicios Gas-Luz-Agua-Internet</v>
      </c>
      <c r="R121" s="49">
        <f>IFERROR(IF(compras_mes8[[#This Row],[CUIT]]="","-",VLOOKUP(compras_mes8[[#This Row],[CUIT]],Lista_CUIT[#All],4,0)),"CUIT NO CARGADO")</f>
        <v>0</v>
      </c>
    </row>
    <row r="122" spans="2:18">
      <c r="B122" s="437" t="s">
        <v>110</v>
      </c>
      <c r="C122" s="437"/>
      <c r="D122" s="437"/>
      <c r="E122" s="437"/>
      <c r="F122" s="437"/>
      <c r="G122" s="438"/>
      <c r="H122" s="439">
        <f>SUBTOTAL(109,compras_mes8[NETO GRAVADO])</f>
        <v>269637.15000000002</v>
      </c>
      <c r="I122" s="439">
        <f>SUBTOTAL(109,compras_mes8[IVA 21 %])</f>
        <v>56623.801499999994</v>
      </c>
      <c r="J122" s="439">
        <f>SUBTOTAL(109,compras_mes8[IVA 27%])</f>
        <v>0</v>
      </c>
      <c r="K122" s="439">
        <f>SUBTOTAL(109,compras_mes8[IVA 10,5%])</f>
        <v>0</v>
      </c>
      <c r="L122" s="439">
        <f>SUBTOTAL(109,compras_mes8[PERC. IVA])</f>
        <v>0</v>
      </c>
      <c r="M122" s="439">
        <f>SUBTOTAL(109,compras_mes8[PERC IIBB 
BS AS])</f>
        <v>0</v>
      </c>
      <c r="N122" s="439">
        <f>SUBTOTAL(109,compras_mes8[PERC. IIBB CABA])</f>
        <v>0</v>
      </c>
      <c r="O122" s="439">
        <f>SUBTOTAL(109,compras_mes8[Otros / No Grav.])</f>
        <v>2495</v>
      </c>
      <c r="P122" s="439">
        <f>SUBTOTAL(109,compras_mes8[TOTAL])</f>
        <v>328755.95149999997</v>
      </c>
      <c r="Q122" s="629"/>
      <c r="R122" s="437"/>
    </row>
    <row r="123" spans="2:18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  <c r="M123" s="47"/>
      <c r="N123" s="47"/>
      <c r="O123" s="47"/>
      <c r="P123" s="48"/>
      <c r="Q123" s="610"/>
      <c r="R123" s="49"/>
    </row>
    <row r="124" spans="2:18">
      <c r="B124" s="40"/>
      <c r="C124" s="41"/>
      <c r="D124" s="42"/>
      <c r="E124" s="43"/>
      <c r="F124" s="44"/>
      <c r="G124" s="45"/>
      <c r="H124" s="46"/>
      <c r="I124" s="47"/>
      <c r="J124" s="47"/>
      <c r="K124" s="47"/>
      <c r="L124" s="47"/>
      <c r="M124" s="47"/>
      <c r="N124" s="47"/>
      <c r="O124" s="47"/>
      <c r="P124" s="48"/>
      <c r="Q124" s="610"/>
      <c r="R124" s="49"/>
    </row>
    <row r="125" spans="2:18">
      <c r="B125" s="40"/>
      <c r="C125" s="41"/>
      <c r="D125" s="42"/>
      <c r="E125" s="43"/>
      <c r="F125" s="44"/>
      <c r="G125" s="45"/>
      <c r="H125" s="46"/>
      <c r="I125" s="47"/>
      <c r="J125" s="47"/>
      <c r="K125" s="47"/>
      <c r="L125" s="47"/>
      <c r="M125" s="47"/>
      <c r="N125" s="47"/>
      <c r="O125" s="47"/>
      <c r="P125" s="48"/>
      <c r="Q125" s="610"/>
      <c r="R125" s="49"/>
    </row>
    <row r="126" spans="2:18">
      <c r="B126" s="40"/>
      <c r="C126" s="41"/>
      <c r="D126" s="42"/>
      <c r="E126" s="43"/>
      <c r="F126" s="44"/>
      <c r="G126" s="45"/>
      <c r="H126" s="46"/>
      <c r="I126" s="47"/>
      <c r="J126" s="47"/>
      <c r="K126" s="47"/>
      <c r="L126" s="47"/>
    </row>
    <row r="127" spans="2:18" ht="21">
      <c r="D127" s="665" t="s">
        <v>15</v>
      </c>
      <c r="E127" s="665"/>
      <c r="F127" s="665"/>
      <c r="G127" s="665"/>
      <c r="H127" s="665"/>
      <c r="I127" s="665"/>
      <c r="J127" s="665"/>
      <c r="K127" s="665"/>
      <c r="L127" s="665"/>
    </row>
    <row r="128" spans="2:18" ht="15.75">
      <c r="D128" s="73" t="s">
        <v>0</v>
      </c>
      <c r="E128" s="74" t="s">
        <v>26</v>
      </c>
      <c r="F128" s="74" t="s">
        <v>16</v>
      </c>
      <c r="G128" s="74" t="s">
        <v>5</v>
      </c>
      <c r="H128" s="74" t="s">
        <v>17</v>
      </c>
      <c r="I128" s="74" t="s">
        <v>7</v>
      </c>
      <c r="J128" s="75" t="s">
        <v>18</v>
      </c>
      <c r="K128" s="75" t="s">
        <v>19</v>
      </c>
      <c r="L128" s="76" t="s">
        <v>20</v>
      </c>
    </row>
    <row r="129" spans="2:18">
      <c r="D129" s="50">
        <v>45535</v>
      </c>
      <c r="E129" s="80">
        <v>5325000377</v>
      </c>
      <c r="F129" s="80"/>
      <c r="G129" s="81">
        <v>17660</v>
      </c>
      <c r="H129" s="81">
        <f>extracto_banco_mes8[[#This Row],[NETO]]*0.21</f>
        <v>3708.6</v>
      </c>
      <c r="I129" s="81"/>
      <c r="J129" s="81"/>
      <c r="K129" s="81">
        <v>390</v>
      </c>
      <c r="L129" s="81">
        <v>520</v>
      </c>
    </row>
    <row r="130" spans="2:18">
      <c r="D130" s="50">
        <v>45534</v>
      </c>
      <c r="E130" s="80">
        <v>3082024</v>
      </c>
      <c r="F130" s="80">
        <v>30500006613</v>
      </c>
      <c r="G130" s="81">
        <v>27925</v>
      </c>
      <c r="H130" s="81">
        <f>extracto_banco_mes8[[#This Row],[NETO]]*0.21</f>
        <v>5864.25</v>
      </c>
      <c r="I130" s="81"/>
      <c r="J130" s="81"/>
      <c r="K130" s="81">
        <v>750</v>
      </c>
      <c r="L130" s="81">
        <v>1000</v>
      </c>
    </row>
    <row r="131" spans="2:18">
      <c r="D131" s="50"/>
      <c r="E131" s="79"/>
      <c r="F131" s="80"/>
      <c r="G131" s="81"/>
      <c r="H131" s="81">
        <f>extracto_banco_mes8[[#This Row],[NETO]]*0.21</f>
        <v>0</v>
      </c>
      <c r="I131" s="81"/>
      <c r="J131" s="81"/>
      <c r="K131" s="81"/>
      <c r="L131" s="81"/>
    </row>
    <row r="132" spans="2:18">
      <c r="D132" s="82" t="s">
        <v>110</v>
      </c>
      <c r="E132" s="80"/>
      <c r="F132" s="80"/>
      <c r="G132" s="83">
        <f>SUBTOTAL(109,extracto_banco_mes8[NETO])</f>
        <v>45585</v>
      </c>
      <c r="H132" s="83">
        <f>SUBTOTAL(109,extracto_banco_mes8[IVA 21%])</f>
        <v>9572.85</v>
      </c>
      <c r="I132" s="83">
        <f>SUBTOTAL(109,extracto_banco_mes8[IVA 10,5%])</f>
        <v>0</v>
      </c>
      <c r="J132" s="83">
        <f>SUBTOTAL(109,extracto_banco_mes8[RET IIBB CABA])</f>
        <v>0</v>
      </c>
      <c r="K132" s="83">
        <f>SUBTOTAL(109,extracto_banco_mes8[PERC IVA])</f>
        <v>1140</v>
      </c>
      <c r="L132" s="83">
        <f>SUBTOTAL(109,extracto_banco_mes8[PERC IIBB])</f>
        <v>1520</v>
      </c>
    </row>
    <row r="136" spans="2:18" ht="21">
      <c r="D136" s="665" t="s">
        <v>25</v>
      </c>
      <c r="E136" s="665"/>
      <c r="F136" s="665"/>
      <c r="G136" s="665"/>
      <c r="H136" s="665"/>
      <c r="I136" s="665"/>
      <c r="J136" s="665"/>
      <c r="K136" s="665"/>
    </row>
    <row r="137" spans="2:18">
      <c r="D137" s="51" t="s">
        <v>0</v>
      </c>
      <c r="E137" s="51" t="s">
        <v>2</v>
      </c>
      <c r="F137" s="51" t="s">
        <v>74</v>
      </c>
      <c r="G137" s="51" t="s">
        <v>3</v>
      </c>
      <c r="H137" s="51" t="s">
        <v>4</v>
      </c>
      <c r="I137" s="52" t="s">
        <v>10</v>
      </c>
      <c r="J137" s="51" t="s">
        <v>13</v>
      </c>
      <c r="K137" s="51" t="s">
        <v>38</v>
      </c>
    </row>
    <row r="138" spans="2:18">
      <c r="D138" s="50"/>
      <c r="E138" s="42"/>
      <c r="F138" s="43"/>
      <c r="G138" s="44"/>
      <c r="H138" s="53" t="str">
        <f>IFERROR(IF(factura_c_mes8[[#This Row],[CUIT]]="","-",VLOOKUP(factura_c_mes8[[#This Row],[CUIT]],Lista_CUIT[#All],2,0)),"CUIT NO CARGADO")</f>
        <v>-</v>
      </c>
      <c r="I138" s="283"/>
      <c r="J138" s="54" t="str">
        <f>IFERROR(IF(factura_c_mes8[[#This Row],[CUIT]]="","-",VLOOKUP(factura_c_mes8[[#This Row],[CUIT]],Lista_CUIT[#All],3,0)),"CUIT NO CARGADO")</f>
        <v>-</v>
      </c>
      <c r="K138" s="54" t="str">
        <f>IFERROR(IF(factura_c_mes8[[#This Row],[CUIT]]="","-",VLOOKUP(factura_c_mes8[[#This Row],[CUIT]],Lista_CUIT[#All],4,0)),"CUIT NO CARGADO")</f>
        <v>-</v>
      </c>
    </row>
    <row r="139" spans="2:18">
      <c r="D139" s="50"/>
      <c r="E139" s="42"/>
      <c r="F139" s="43"/>
      <c r="G139" s="44"/>
      <c r="H139" s="53" t="str">
        <f>IFERROR(IF(factura_c_mes8[[#This Row],[CUIT]]="","-",VLOOKUP(factura_c_mes8[[#This Row],[CUIT]],Lista_CUIT[#All],2,0)),"CUIT NO CARGADO")</f>
        <v>-</v>
      </c>
      <c r="I139" s="283"/>
      <c r="J139" s="54" t="str">
        <f>IFERROR(IF(factura_c_mes8[[#This Row],[CUIT]]="","-",VLOOKUP(factura_c_mes8[[#This Row],[CUIT]],Lista_CUIT[#All],3,0)),"CUIT NO CARGADO")</f>
        <v>-</v>
      </c>
      <c r="K139" s="54" t="str">
        <f>IFERROR(IF(factura_c_mes8[[#This Row],[CUIT]]="","-",VLOOKUP(factura_c_mes8[[#This Row],[CUIT]],Lista_CUIT[#All],4,0)),"CUIT NO CARGADO")</f>
        <v>-</v>
      </c>
    </row>
    <row r="140" spans="2:18" s="56" customFormat="1" ht="18.600000000000001" customHeight="1">
      <c r="B140"/>
      <c r="C140"/>
      <c r="D140" s="50"/>
      <c r="E140" s="42"/>
      <c r="F140" s="43"/>
      <c r="G140" s="44"/>
      <c r="H140" s="53" t="str">
        <f>IFERROR(IF(factura_c_mes8[[#This Row],[CUIT]]="","-",VLOOKUP(factura_c_mes8[[#This Row],[CUIT]],Lista_CUIT[#All],2,0)),"CUIT NO CARGADO")</f>
        <v>-</v>
      </c>
      <c r="I140" s="81"/>
      <c r="J140" s="54" t="str">
        <f>IFERROR(IF(factura_c_mes8[[#This Row],[CUIT]]="","-",VLOOKUP(factura_c_mes8[[#This Row],[CUIT]],Lista_CUIT[#All],3,0)),"CUIT NO CARGADO")</f>
        <v>-</v>
      </c>
      <c r="K140" s="54" t="str">
        <f>IFERROR(IF(factura_c_mes8[[#This Row],[CUIT]]="","-",VLOOKUP(factura_c_mes8[[#This Row],[CUIT]],Lista_CUIT[#All],4,0)),"CUIT NO CARGADO")</f>
        <v>-</v>
      </c>
      <c r="L140"/>
      <c r="M140"/>
      <c r="N140"/>
      <c r="O140"/>
      <c r="P140"/>
      <c r="Q140"/>
      <c r="R140"/>
    </row>
    <row r="141" spans="2:18">
      <c r="D141" s="50">
        <v>45524</v>
      </c>
      <c r="E141" s="42">
        <v>1</v>
      </c>
      <c r="F141" s="43">
        <v>7</v>
      </c>
      <c r="G141" s="44">
        <v>27443612713</v>
      </c>
      <c r="H141" s="53" t="str">
        <f>IFERROR(IF(factura_c_mes8[[#This Row],[CUIT]]="","-",VLOOKUP(factura_c_mes8[[#This Row],[CUIT]],Lista_CUIT[#All],2,0)),"CUIT NO CARGADO")</f>
        <v>MIGOYA MORIONDO SOFIA</v>
      </c>
      <c r="I141" s="283">
        <v>650000</v>
      </c>
      <c r="J141" s="630" t="str">
        <f>IFERROR(IF(factura_c_mes8[[#This Row],[CUIT]]="","-",VLOOKUP(factura_c_mes8[[#This Row],[CUIT]],Lista_CUIT[#All],3,0)),"CUIT NO CARGADO")</f>
        <v>Alquiler</v>
      </c>
      <c r="K141" s="54">
        <f>IFERROR(IF(factura_c_mes8[[#This Row],[CUIT]]="","-",VLOOKUP(factura_c_mes8[[#This Row],[CUIT]],Lista_CUIT[#All],4,0)),"CUIT NO CARGADO")</f>
        <v>0</v>
      </c>
    </row>
    <row r="142" spans="2:18">
      <c r="D142" s="50">
        <v>45524</v>
      </c>
      <c r="E142" s="42">
        <v>5</v>
      </c>
      <c r="F142" s="43">
        <v>167</v>
      </c>
      <c r="G142" s="44">
        <v>27062343449</v>
      </c>
      <c r="H142" s="53" t="str">
        <f>IFERROR(IF(factura_c_mes8[[#This Row],[CUIT]]="","-",VLOOKUP(factura_c_mes8[[#This Row],[CUIT]],Lista_CUIT[#All],2,0)),"CUIT NO CARGADO")</f>
        <v>FERREIRS LILISNS INES</v>
      </c>
      <c r="I142" s="283">
        <v>395000</v>
      </c>
      <c r="J142" s="630" t="str">
        <f>IFERROR(IF(factura_c_mes8[[#This Row],[CUIT]]="","-",VLOOKUP(factura_c_mes8[[#This Row],[CUIT]],Lista_CUIT[#All],3,0)),"CUIT NO CARGADO")</f>
        <v>ALQUILERES PAGADOS</v>
      </c>
      <c r="K142" s="54">
        <f>IFERROR(IF(factura_c_mes8[[#This Row],[CUIT]]="","-",VLOOKUP(factura_c_mes8[[#This Row],[CUIT]],Lista_CUIT[#All],4,0)),"CUIT NO CARGADO")</f>
        <v>0</v>
      </c>
    </row>
    <row r="143" spans="2:18">
      <c r="D143" s="50">
        <v>45525</v>
      </c>
      <c r="E143" s="42">
        <v>1</v>
      </c>
      <c r="F143" s="43">
        <v>13</v>
      </c>
      <c r="G143" s="44">
        <v>27443612705</v>
      </c>
      <c r="H143" s="53" t="str">
        <f>IFERROR(IF(factura_c_mes8[[#This Row],[CUIT]]="","-",VLOOKUP(factura_c_mes8[[#This Row],[CUIT]],Lista_CUIT[#All],2,0)),"CUIT NO CARGADO")</f>
        <v>MIGOYA MORIONDO MARIA INES</v>
      </c>
      <c r="I143" s="283">
        <v>600000</v>
      </c>
      <c r="J143" s="630" t="str">
        <f>IFERROR(IF(factura_c_mes8[[#This Row],[CUIT]]="","-",VLOOKUP(factura_c_mes8[[#This Row],[CUIT]],Lista_CUIT[#All],3,0)),"CUIT NO CARGADO")</f>
        <v>ALQUILERES PAGADOS</v>
      </c>
      <c r="K143" s="54">
        <f>IFERROR(IF(factura_c_mes8[[#This Row],[CUIT]]="","-",VLOOKUP(factura_c_mes8[[#This Row],[CUIT]],Lista_CUIT[#All],4,0)),"CUIT NO CARGADO")</f>
        <v>0</v>
      </c>
    </row>
    <row r="144" spans="2:18">
      <c r="D144" s="50">
        <v>45518</v>
      </c>
      <c r="E144" s="42">
        <v>1</v>
      </c>
      <c r="F144" s="43">
        <v>33</v>
      </c>
      <c r="G144" s="44">
        <v>23299060179</v>
      </c>
      <c r="H144" s="53" t="str">
        <f>IFERROR(IF(factura_c_mes8[[#This Row],[CUIT]]="","-",VLOOKUP(factura_c_mes8[[#This Row],[CUIT]],Lista_CUIT[#All],2,0)),"CUIT NO CARGADO")</f>
        <v>GARCIA ARCE FRANCISCO</v>
      </c>
      <c r="I144" s="284">
        <v>1700000</v>
      </c>
      <c r="J144" s="630" t="str">
        <f>IFERROR(IF(factura_c_mes8[[#This Row],[CUIT]]="","-",VLOOKUP(factura_c_mes8[[#This Row],[CUIT]],Lista_CUIT[#All],3,0)),"CUIT NO CARGADO")</f>
        <v>Catering</v>
      </c>
      <c r="K144" s="54">
        <f>IFERROR(IF(factura_c_mes8[[#This Row],[CUIT]]="","-",VLOOKUP(factura_c_mes8[[#This Row],[CUIT]],Lista_CUIT[#All],4,0)),"CUIT NO CARGADO")</f>
        <v>0</v>
      </c>
    </row>
    <row r="145" spans="4:11">
      <c r="D145" s="50">
        <v>45524</v>
      </c>
      <c r="E145" s="42">
        <v>2</v>
      </c>
      <c r="F145" s="43">
        <v>523</v>
      </c>
      <c r="G145" s="44">
        <v>27348534306</v>
      </c>
      <c r="H145" s="53" t="str">
        <f>IFERROR(IF(factura_c_mes8[[#This Row],[CUIT]]="","-",VLOOKUP(factura_c_mes8[[#This Row],[CUIT]],Lista_CUIT[#All],2,0)),"CUIT NO CARGADO")</f>
        <v>VAZQUEZ CAMILA</v>
      </c>
      <c r="I145" s="283">
        <v>22000</v>
      </c>
      <c r="J145" s="630" t="str">
        <f>IFERROR(IF(factura_c_mes8[[#This Row],[CUIT]]="","-",VLOOKUP(factura_c_mes8[[#This Row],[CUIT]],Lista_CUIT[#All],3,0)),"CUIT NO CARGADO")</f>
        <v>Flete</v>
      </c>
      <c r="K145" s="54">
        <f>IFERROR(IF(factura_c_mes8[[#This Row],[CUIT]]="","-",VLOOKUP(factura_c_mes8[[#This Row],[CUIT]],Lista_CUIT[#All],4,0)),"CUIT NO CARGADO")</f>
        <v>0</v>
      </c>
    </row>
    <row r="146" spans="4:11">
      <c r="D146" s="50">
        <v>45520</v>
      </c>
      <c r="E146" s="42">
        <v>2</v>
      </c>
      <c r="F146" s="43">
        <v>502</v>
      </c>
      <c r="G146" s="44">
        <v>27178792178</v>
      </c>
      <c r="H146" s="53" t="str">
        <f>IFERROR(IF(factura_c_mes8[[#This Row],[CUIT]]="","-",VLOOKUP(factura_c_mes8[[#This Row],[CUIT]],Lista_CUIT[#All],2,0)),"CUIT NO CARGADO")</f>
        <v>SAMPEDRO SILVIA HERMINIA</v>
      </c>
      <c r="I146" s="283">
        <v>35000</v>
      </c>
      <c r="J146" s="630" t="str">
        <f>IFERROR(IF(factura_c_mes8[[#This Row],[CUIT]]="","-",VLOOKUP(factura_c_mes8[[#This Row],[CUIT]],Lista_CUIT[#All],3,0)),"CUIT NO CARGADO")</f>
        <v>GASTOS ADMINISTRATIVOS</v>
      </c>
      <c r="K146" s="54">
        <f>IFERROR(IF(factura_c_mes8[[#This Row],[CUIT]]="","-",VLOOKUP(factura_c_mes8[[#This Row],[CUIT]],Lista_CUIT[#All],4,0)),"CUIT NO CARGADO")</f>
        <v>0</v>
      </c>
    </row>
    <row r="147" spans="4:11">
      <c r="D147" s="50">
        <v>45505</v>
      </c>
      <c r="E147" s="42">
        <v>3</v>
      </c>
      <c r="F147" s="43">
        <v>336</v>
      </c>
      <c r="G147" s="44">
        <v>23306035444</v>
      </c>
      <c r="H147" s="53" t="str">
        <f>IFERROR(IF(factura_c_mes8[[#This Row],[CUIT]]="","-",VLOOKUP(factura_c_mes8[[#This Row],[CUIT]],Lista_CUIT[#All],2,0)),"CUIT NO CARGADO")</f>
        <v>NADIA TARANTINO</v>
      </c>
      <c r="I147" s="283">
        <v>52000</v>
      </c>
      <c r="J147" s="630" t="str">
        <f>IFERROR(IF(factura_c_mes8[[#This Row],[CUIT]]="","-",VLOOKUP(factura_c_mes8[[#This Row],[CUIT]],Lista_CUIT[#All],3,0)),"CUIT NO CARGADO")</f>
        <v>GASTOS CONTABLES</v>
      </c>
      <c r="K147" s="54">
        <f>IFERROR(IF(factura_c_mes8[[#This Row],[CUIT]]="","-",VLOOKUP(factura_c_mes8[[#This Row],[CUIT]],Lista_CUIT[#All],4,0)),"CUIT NO CARGADO")</f>
        <v>0</v>
      </c>
    </row>
    <row r="148" spans="4:11">
      <c r="D148" s="50">
        <v>45523</v>
      </c>
      <c r="E148" s="42">
        <v>1</v>
      </c>
      <c r="F148" s="43">
        <v>240</v>
      </c>
      <c r="G148" s="44">
        <v>27217606255</v>
      </c>
      <c r="H148" s="53" t="str">
        <f>IFERROR(IF(factura_c_mes8[[#This Row],[CUIT]]="","-",VLOOKUP(factura_c_mes8[[#This Row],[CUIT]],Lista_CUIT[#All],2,0)),"CUIT NO CARGADO")</f>
        <v>SAPUNA MARIAN KARINA</v>
      </c>
      <c r="I148" s="283">
        <v>56703.42</v>
      </c>
      <c r="J148" s="630" t="str">
        <f>IFERROR(IF(factura_c_mes8[[#This Row],[CUIT]]="","-",VLOOKUP(factura_c_mes8[[#This Row],[CUIT]],Lista_CUIT[#All],3,0)),"CUIT NO CARGADO")</f>
        <v>MANTENIMIENTO</v>
      </c>
      <c r="K148" s="54">
        <f>IFERROR(IF(factura_c_mes8[[#This Row],[CUIT]]="","-",VLOOKUP(factura_c_mes8[[#This Row],[CUIT]],Lista_CUIT[#All],4,0)),"CUIT NO CARGADO")</f>
        <v>0</v>
      </c>
    </row>
    <row r="149" spans="4:11" ht="18" customHeight="1">
      <c r="D149" s="50">
        <v>45524</v>
      </c>
      <c r="E149" s="42">
        <v>7</v>
      </c>
      <c r="F149" s="43">
        <v>2693</v>
      </c>
      <c r="G149" s="44">
        <v>33516994849</v>
      </c>
      <c r="H149" s="53" t="str">
        <f>IFERROR(IF(factura_c_mes8[[#This Row],[CUIT]]="","-",VLOOKUP(factura_c_mes8[[#This Row],[CUIT]],Lista_CUIT[#All],2,0)),"CUIT NO CARGADO")</f>
        <v>FEDERACION ARGENTINA DE ENTIDADES EMPRESARIAS DEL AUTOTRANSPORTE DE CARGAS FADEEAC</v>
      </c>
      <c r="I149" s="283">
        <v>3200</v>
      </c>
      <c r="J149" s="630" t="str">
        <f>IFERROR(IF(factura_c_mes8[[#This Row],[CUIT]]="","-",VLOOKUP(factura_c_mes8[[#This Row],[CUIT]],Lista_CUIT[#All],3,0)),"CUIT NO CARGADO")</f>
        <v>MANTENIMIENTO</v>
      </c>
      <c r="K149" s="54">
        <f>IFERROR(IF(factura_c_mes8[[#This Row],[CUIT]]="","-",VLOOKUP(factura_c_mes8[[#This Row],[CUIT]],Lista_CUIT[#All],4,0)),"CUIT NO CARGADO")</f>
        <v>0</v>
      </c>
    </row>
    <row r="150" spans="4:11">
      <c r="D150" s="50">
        <v>45524</v>
      </c>
      <c r="E150" s="42">
        <v>1</v>
      </c>
      <c r="F150" s="43">
        <v>242</v>
      </c>
      <c r="G150" s="44">
        <v>27217606255</v>
      </c>
      <c r="H150" s="53" t="str">
        <f>IFERROR(IF(factura_c_mes8[[#This Row],[CUIT]]="","-",VLOOKUP(factura_c_mes8[[#This Row],[CUIT]],Lista_CUIT[#All],2,0)),"CUIT NO CARGADO")</f>
        <v>SAPUNA MARIAN KARINA</v>
      </c>
      <c r="I150" s="283">
        <v>55083.32</v>
      </c>
      <c r="J150" s="630" t="str">
        <f>IFERROR(IF(factura_c_mes8[[#This Row],[CUIT]]="","-",VLOOKUP(factura_c_mes8[[#This Row],[CUIT]],Lista_CUIT[#All],3,0)),"CUIT NO CARGADO")</f>
        <v>MANTENIMIENTO</v>
      </c>
      <c r="K150" s="54">
        <f>IFERROR(IF(factura_c_mes8[[#This Row],[CUIT]]="","-",VLOOKUP(factura_c_mes8[[#This Row],[CUIT]],Lista_CUIT[#All],4,0)),"CUIT NO CARGADO")</f>
        <v>0</v>
      </c>
    </row>
    <row r="151" spans="4:11">
      <c r="D151" s="50">
        <v>45524</v>
      </c>
      <c r="E151" s="42">
        <v>1</v>
      </c>
      <c r="F151" s="43">
        <v>241</v>
      </c>
      <c r="G151" s="44">
        <v>27217606255</v>
      </c>
      <c r="H151" s="53" t="str">
        <f>IFERROR(IF(factura_c_mes8[[#This Row],[CUIT]]="","-",VLOOKUP(factura_c_mes8[[#This Row],[CUIT]],Lista_CUIT[#All],2,0)),"CUIT NO CARGADO")</f>
        <v>SAPUNA MARIAN KARINA</v>
      </c>
      <c r="I151" s="283">
        <v>50223.03</v>
      </c>
      <c r="J151" s="630" t="str">
        <f>IFERROR(IF(factura_c_mes8[[#This Row],[CUIT]]="","-",VLOOKUP(factura_c_mes8[[#This Row],[CUIT]],Lista_CUIT[#All],3,0)),"CUIT NO CARGADO")</f>
        <v>MANTENIMIENTO</v>
      </c>
      <c r="K151" s="54">
        <f>IFERROR(IF(factura_c_mes8[[#This Row],[CUIT]]="","-",VLOOKUP(factura_c_mes8[[#This Row],[CUIT]],Lista_CUIT[#All],4,0)),"CUIT NO CARGADO")</f>
        <v>0</v>
      </c>
    </row>
    <row r="152" spans="4:11">
      <c r="D152" s="50">
        <v>45525</v>
      </c>
      <c r="E152" s="42">
        <v>1</v>
      </c>
      <c r="F152" s="43">
        <v>244</v>
      </c>
      <c r="G152" s="44">
        <v>27217606255</v>
      </c>
      <c r="H152" s="53" t="str">
        <f>IFERROR(IF(factura_c_mes8[[#This Row],[CUIT]]="","-",VLOOKUP(factura_c_mes8[[#This Row],[CUIT]],Lista_CUIT[#All],2,0)),"CUIT NO CARGADO")</f>
        <v>SAPUNA MARIAN KARINA</v>
      </c>
      <c r="I152" s="283">
        <v>96357.85</v>
      </c>
      <c r="J152" s="630" t="str">
        <f>IFERROR(IF(factura_c_mes8[[#This Row],[CUIT]]="","-",VLOOKUP(factura_c_mes8[[#This Row],[CUIT]],Lista_CUIT[#All],3,0)),"CUIT NO CARGADO")</f>
        <v>MANTENIMIENTO</v>
      </c>
      <c r="K152" s="54">
        <f>IFERROR(IF(factura_c_mes8[[#This Row],[CUIT]]="","-",VLOOKUP(factura_c_mes8[[#This Row],[CUIT]],Lista_CUIT[#All],4,0)),"CUIT NO CARGADO")</f>
        <v>0</v>
      </c>
    </row>
    <row r="153" spans="4:11">
      <c r="D153" s="50">
        <v>45525</v>
      </c>
      <c r="E153" s="42">
        <v>1</v>
      </c>
      <c r="F153" s="43">
        <v>243</v>
      </c>
      <c r="G153" s="44">
        <v>27217606255</v>
      </c>
      <c r="H153" s="53" t="str">
        <f>IFERROR(IF(factura_c_mes8[[#This Row],[CUIT]]="","-",VLOOKUP(factura_c_mes8[[#This Row],[CUIT]],Lista_CUIT[#All],2,0)),"CUIT NO CARGADO")</f>
        <v>SAPUNA MARIAN KARINA</v>
      </c>
      <c r="I153" s="283">
        <v>148916.68</v>
      </c>
      <c r="J153" s="630" t="str">
        <f>IFERROR(IF(factura_c_mes8[[#This Row],[CUIT]]="","-",VLOOKUP(factura_c_mes8[[#This Row],[CUIT]],Lista_CUIT[#All],3,0)),"CUIT NO CARGADO")</f>
        <v>MANTENIMIENTO</v>
      </c>
      <c r="K153" s="54">
        <f>IFERROR(IF(factura_c_mes8[[#This Row],[CUIT]]="","-",VLOOKUP(factura_c_mes8[[#This Row],[CUIT]],Lista_CUIT[#All],4,0)),"CUIT NO CARGADO")</f>
        <v>0</v>
      </c>
    </row>
    <row r="154" spans="4:11">
      <c r="D154" s="50">
        <v>45526</v>
      </c>
      <c r="E154" s="42">
        <v>1</v>
      </c>
      <c r="F154" s="43">
        <v>245</v>
      </c>
      <c r="G154" s="44">
        <v>27217606255</v>
      </c>
      <c r="H154" s="53" t="str">
        <f>IFERROR(IF(factura_c_mes8[[#This Row],[CUIT]]="","-",VLOOKUP(factura_c_mes8[[#This Row],[CUIT]],Lista_CUIT[#All],2,0)),"CUIT NO CARGADO")</f>
        <v>SAPUNA MARIAN KARINA</v>
      </c>
      <c r="I154" s="283">
        <v>105117.66</v>
      </c>
      <c r="J154" s="630" t="str">
        <f>IFERROR(IF(factura_c_mes8[[#This Row],[CUIT]]="","-",VLOOKUP(factura_c_mes8[[#This Row],[CUIT]],Lista_CUIT[#All],3,0)),"CUIT NO CARGADO")</f>
        <v>MANTENIMIENTO</v>
      </c>
      <c r="K154" s="54">
        <f>IFERROR(IF(factura_c_mes8[[#This Row],[CUIT]]="","-",VLOOKUP(factura_c_mes8[[#This Row],[CUIT]],Lista_CUIT[#All],4,0)),"CUIT NO CARGADO")</f>
        <v>0</v>
      </c>
    </row>
    <row r="155" spans="4:11">
      <c r="D155" s="50">
        <v>45527</v>
      </c>
      <c r="E155" s="42">
        <v>1</v>
      </c>
      <c r="F155" s="43">
        <v>246</v>
      </c>
      <c r="G155" s="44">
        <v>27217606255</v>
      </c>
      <c r="H155" s="53" t="str">
        <f>IFERROR(IF(factura_c_mes8[[#This Row],[CUIT]]="","-",VLOOKUP(factura_c_mes8[[#This Row],[CUIT]],Lista_CUIT[#All],2,0)),"CUIT NO CARGADO")</f>
        <v>SAPUNA MARIAN KARINA</v>
      </c>
      <c r="I155" s="283">
        <v>87598.05</v>
      </c>
      <c r="J155" s="630" t="str">
        <f>IFERROR(IF(factura_c_mes8[[#This Row],[CUIT]]="","-",VLOOKUP(factura_c_mes8[[#This Row],[CUIT]],Lista_CUIT[#All],3,0)),"CUIT NO CARGADO")</f>
        <v>MANTENIMIENTO</v>
      </c>
      <c r="K155" s="54">
        <f>IFERROR(IF(factura_c_mes8[[#This Row],[CUIT]]="","-",VLOOKUP(factura_c_mes8[[#This Row],[CUIT]],Lista_CUIT[#All],4,0)),"CUIT NO CARGADO")</f>
        <v>0</v>
      </c>
    </row>
    <row r="156" spans="4:11">
      <c r="D156" s="50">
        <v>45509</v>
      </c>
      <c r="E156" s="42">
        <v>3</v>
      </c>
      <c r="F156" s="43">
        <v>867</v>
      </c>
      <c r="G156" s="44">
        <v>20086277523</v>
      </c>
      <c r="H156" s="53" t="str">
        <f>IFERROR(IF(factura_c_mes8[[#This Row],[CUIT]]="","-",VLOOKUP(factura_c_mes8[[#This Row],[CUIT]],Lista_CUIT[#All],2,0)),"CUIT NO CARGADO")</f>
        <v>BOTINDARI JUAN CARLOS</v>
      </c>
      <c r="I156" s="284">
        <v>275500</v>
      </c>
      <c r="J156" s="630" t="str">
        <f>IFERROR(IF(factura_c_mes8[[#This Row],[CUIT]]="","-",VLOOKUP(factura_c_mes8[[#This Row],[CUIT]],Lista_CUIT[#All],3,0)),"CUIT NO CARGADO")</f>
        <v>HONORARIOS</v>
      </c>
      <c r="K156" s="54">
        <f>IFERROR(IF(factura_c_mes8[[#This Row],[CUIT]]="","-",VLOOKUP(factura_c_mes8[[#This Row],[CUIT]],Lista_CUIT[#All],4,0)),"CUIT NO CARGADO")</f>
        <v>0</v>
      </c>
    </row>
    <row r="157" spans="4:11">
      <c r="D157" s="50">
        <v>45525</v>
      </c>
      <c r="E157" s="42">
        <v>1</v>
      </c>
      <c r="F157" s="43">
        <v>69</v>
      </c>
      <c r="G157" s="44">
        <v>23281233084</v>
      </c>
      <c r="H157" s="53" t="str">
        <f>IFERROR(IF(factura_c_mes8[[#This Row],[CUIT]]="","-",VLOOKUP(factura_c_mes8[[#This Row],[CUIT]],Lista_CUIT[#All],2,0)),"CUIT NO CARGADO")</f>
        <v>DRUETTA ANDREA MARIEL</v>
      </c>
      <c r="I157" s="283">
        <v>107900</v>
      </c>
      <c r="J157" s="630" t="str">
        <f>IFERROR(IF(factura_c_mes8[[#This Row],[CUIT]]="","-",VLOOKUP(factura_c_mes8[[#This Row],[CUIT]],Lista_CUIT[#All],3,0)),"CUIT NO CARGADO")</f>
        <v>HONORARIOS TECNICOS</v>
      </c>
      <c r="K157" s="54">
        <f>IFERROR(IF(factura_c_mes8[[#This Row],[CUIT]]="","-",VLOOKUP(factura_c_mes8[[#This Row],[CUIT]],Lista_CUIT[#All],4,0)),"CUIT NO CARGADO")</f>
        <v>0</v>
      </c>
    </row>
    <row r="158" spans="4:11">
      <c r="D158" s="50">
        <v>45505</v>
      </c>
      <c r="E158" s="42">
        <v>4</v>
      </c>
      <c r="F158" s="43">
        <v>37</v>
      </c>
      <c r="G158" s="44">
        <v>20272417653</v>
      </c>
      <c r="H158" s="53" t="str">
        <f>IFERROR(IF(factura_c_mes8[[#This Row],[CUIT]]="","-",VLOOKUP(factura_c_mes8[[#This Row],[CUIT]],Lista_CUIT[#All],2,0)),"CUIT NO CARGADO")</f>
        <v>TACACHO ROLANDO GABRIEL</v>
      </c>
      <c r="I158" s="284">
        <v>230000</v>
      </c>
      <c r="J158" s="630" t="str">
        <f>IFERROR(IF(factura_c_mes8[[#This Row],[CUIT]]="","-",VLOOKUP(factura_c_mes8[[#This Row],[CUIT]],Lista_CUIT[#All],3,0)),"CUIT NO CARGADO")</f>
        <v>Mantenimiento</v>
      </c>
      <c r="K158" s="54">
        <f>IFERROR(IF(factura_c_mes8[[#This Row],[CUIT]]="","-",VLOOKUP(factura_c_mes8[[#This Row],[CUIT]],Lista_CUIT[#All],4,0)),"CUIT NO CARGADO")</f>
        <v>0</v>
      </c>
    </row>
    <row r="159" spans="4:11">
      <c r="D159" s="50">
        <v>45518</v>
      </c>
      <c r="E159" s="42">
        <v>1</v>
      </c>
      <c r="F159" s="43">
        <v>4</v>
      </c>
      <c r="G159" s="44">
        <v>20047064946</v>
      </c>
      <c r="H159" s="53" t="str">
        <f>IFERROR(IF(factura_c_mes8[[#This Row],[CUIT]]="","-",VLOOKUP(factura_c_mes8[[#This Row],[CUIT]],Lista_CUIT[#All],2,0)),"CUIT NO CARGADO")</f>
        <v>GARCIA LETTIERI EDUARDO ALBERTO</v>
      </c>
      <c r="I159" s="284">
        <v>1928244</v>
      </c>
      <c r="J159" s="630" t="str">
        <f>IFERROR(IF(factura_c_mes8[[#This Row],[CUIT]]="","-",VLOOKUP(factura_c_mes8[[#This Row],[CUIT]],Lista_CUIT[#All],3,0)),"CUIT NO CARGADO")</f>
        <v>Mantenimiento</v>
      </c>
      <c r="K159" s="54">
        <f>IFERROR(IF(factura_c_mes8[[#This Row],[CUIT]]="","-",VLOOKUP(factura_c_mes8[[#This Row],[CUIT]],Lista_CUIT[#All],4,0)),"CUIT NO CARGADO")</f>
        <v>0</v>
      </c>
    </row>
    <row r="160" spans="4:11">
      <c r="D160" s="50">
        <v>45518</v>
      </c>
      <c r="E160" s="42">
        <v>1</v>
      </c>
      <c r="F160" s="43">
        <v>5</v>
      </c>
      <c r="G160" s="44">
        <v>27122903201</v>
      </c>
      <c r="H160" s="53" t="str">
        <f>IFERROR(IF(factura_c_mes8[[#This Row],[CUIT]]="","-",VLOOKUP(factura_c_mes8[[#This Row],[CUIT]],Lista_CUIT[#All],2,0)),"CUIT NO CARGADO")</f>
        <v>ARCE RAQUEL INES</v>
      </c>
      <c r="I160" s="283">
        <v>1700000</v>
      </c>
      <c r="J160" s="630" t="str">
        <f>IFERROR(IF(factura_c_mes8[[#This Row],[CUIT]]="","-",VLOOKUP(factura_c_mes8[[#This Row],[CUIT]],Lista_CUIT[#All],3,0)),"CUIT NO CARGADO")</f>
        <v>Mantenimiento</v>
      </c>
      <c r="K160" s="54">
        <f>IFERROR(IF(factura_c_mes8[[#This Row],[CUIT]]="","-",VLOOKUP(factura_c_mes8[[#This Row],[CUIT]],Lista_CUIT[#All],4,0)),"CUIT NO CARGADO")</f>
        <v>0</v>
      </c>
    </row>
    <row r="161" spans="2:18" ht="17.25" customHeight="1">
      <c r="D161" s="50">
        <v>45509</v>
      </c>
      <c r="E161" s="42">
        <v>1</v>
      </c>
      <c r="F161" s="43">
        <v>145</v>
      </c>
      <c r="G161" s="44">
        <v>27338342840</v>
      </c>
      <c r="H161" s="53" t="str">
        <f>IFERROR(IF(factura_c_mes8[[#This Row],[CUIT]]="","-",VLOOKUP(factura_c_mes8[[#This Row],[CUIT]],Lista_CUIT[#All],2,0)),"CUIT NO CARGADO")</f>
        <v>CANCINO PAMELA RITA</v>
      </c>
      <c r="I161" s="284">
        <v>84700</v>
      </c>
      <c r="J161" s="630" t="str">
        <f>IFERROR(IF(factura_c_mes8[[#This Row],[CUIT]]="","-",VLOOKUP(factura_c_mes8[[#This Row],[CUIT]],Lista_CUIT[#All],3,0)),"CUIT NO CARGADO")</f>
        <v>Productos Ortopedicos</v>
      </c>
      <c r="K161" s="54">
        <f>IFERROR(IF(factura_c_mes8[[#This Row],[CUIT]]="","-",VLOOKUP(factura_c_mes8[[#This Row],[CUIT]],Lista_CUIT[#All],4,0)),"CUIT NO CARGADO")</f>
        <v>0</v>
      </c>
    </row>
    <row r="162" spans="2:18">
      <c r="D162" s="50">
        <v>45513</v>
      </c>
      <c r="E162" s="42">
        <v>2</v>
      </c>
      <c r="F162" s="43">
        <v>295</v>
      </c>
      <c r="G162" s="44">
        <v>27265832178</v>
      </c>
      <c r="H162" s="53" t="str">
        <f>IFERROR(IF(factura_c_mes8[[#This Row],[CUIT]]="","-",VLOOKUP(factura_c_mes8[[#This Row],[CUIT]],Lista_CUIT[#All],2,0)),"CUIT NO CARGADO")</f>
        <v>BLASCO MARIA GUADALUPE</v>
      </c>
      <c r="I162" s="284">
        <v>150000</v>
      </c>
      <c r="J162" s="630" t="str">
        <f>IFERROR(IF(factura_c_mes8[[#This Row],[CUIT]]="","-",VLOOKUP(factura_c_mes8[[#This Row],[CUIT]],Lista_CUIT[#All],3,0)),"CUIT NO CARGADO")</f>
        <v>Productos Ortopedicos</v>
      </c>
      <c r="K162" s="54">
        <f>IFERROR(IF(factura_c_mes8[[#This Row],[CUIT]]="","-",VLOOKUP(factura_c_mes8[[#This Row],[CUIT]],Lista_CUIT[#All],4,0)),"CUIT NO CARGADO")</f>
        <v>0</v>
      </c>
    </row>
    <row r="163" spans="2:18">
      <c r="D163" s="50">
        <v>45523</v>
      </c>
      <c r="E163" s="42">
        <v>2</v>
      </c>
      <c r="F163" s="43">
        <v>298</v>
      </c>
      <c r="G163" s="44">
        <v>27265832178</v>
      </c>
      <c r="H163" s="53" t="str">
        <f>IFERROR(IF(factura_c_mes8[[#This Row],[CUIT]]="","-",VLOOKUP(factura_c_mes8[[#This Row],[CUIT]],Lista_CUIT[#All],2,0)),"CUIT NO CARGADO")</f>
        <v>BLASCO MARIA GUADALUPE</v>
      </c>
      <c r="I163" s="283">
        <v>150000</v>
      </c>
      <c r="J163" s="630" t="str">
        <f>IFERROR(IF(factura_c_mes8[[#This Row],[CUIT]]="","-",VLOOKUP(factura_c_mes8[[#This Row],[CUIT]],Lista_CUIT[#All],3,0)),"CUIT NO CARGADO")</f>
        <v>Productos Ortopedicos</v>
      </c>
      <c r="K163" s="54">
        <f>IFERROR(IF(factura_c_mes8[[#This Row],[CUIT]]="","-",VLOOKUP(factura_c_mes8[[#This Row],[CUIT]],Lista_CUIT[#All],4,0)),"CUIT NO CARGADO")</f>
        <v>0</v>
      </c>
    </row>
    <row r="164" spans="2:18">
      <c r="D164" s="50">
        <v>45530</v>
      </c>
      <c r="E164" s="42">
        <v>1</v>
      </c>
      <c r="F164" s="43">
        <v>218</v>
      </c>
      <c r="G164" s="44">
        <v>20181517957</v>
      </c>
      <c r="H164" s="53" t="str">
        <f>IFERROR(IF(factura_c_mes8[[#This Row],[CUIT]]="","-",VLOOKUP(factura_c_mes8[[#This Row],[CUIT]],Lista_CUIT[#All],2,0)),"CUIT NO CARGADO")</f>
        <v>MAZAFFRE DANIEL ALBERTO</v>
      </c>
      <c r="I164" s="283">
        <v>109799</v>
      </c>
      <c r="J164" s="630" t="str">
        <f>IFERROR(IF(factura_c_mes8[[#This Row],[CUIT]]="","-",VLOOKUP(factura_c_mes8[[#This Row],[CUIT]],Lista_CUIT[#All],3,0)),"CUIT NO CARGADO")</f>
        <v>Productos Ortopedicos</v>
      </c>
      <c r="K164" s="54">
        <f>IFERROR(IF(factura_c_mes8[[#This Row],[CUIT]]="","-",VLOOKUP(factura_c_mes8[[#This Row],[CUIT]],Lista_CUIT[#All],4,0)),"CUIT NO CARGADO")</f>
        <v>0</v>
      </c>
    </row>
    <row r="165" spans="2:18">
      <c r="D165" s="50">
        <v>45531</v>
      </c>
      <c r="E165" s="42">
        <v>3</v>
      </c>
      <c r="F165" s="43">
        <v>982</v>
      </c>
      <c r="G165" s="44">
        <v>20216451679</v>
      </c>
      <c r="H165" s="53" t="str">
        <f>IFERROR(IF(factura_c_mes8[[#This Row],[CUIT]]="","-",VLOOKUP(factura_c_mes8[[#This Row],[CUIT]],Lista_CUIT[#All],2,0)),"CUIT NO CARGADO")</f>
        <v>VAZQUEZ RICARDO OSCAR</v>
      </c>
      <c r="I165" s="283">
        <v>40000</v>
      </c>
      <c r="J165" s="630" t="str">
        <f>IFERROR(IF(factura_c_mes8[[#This Row],[CUIT]]="","-",VLOOKUP(factura_c_mes8[[#This Row],[CUIT]],Lista_CUIT[#All],3,0)),"CUIT NO CARGADO")</f>
        <v>Productos Ortopedicos</v>
      </c>
      <c r="K165" s="54">
        <f>IFERROR(IF(factura_c_mes8[[#This Row],[CUIT]]="","-",VLOOKUP(factura_c_mes8[[#This Row],[CUIT]],Lista_CUIT[#All],4,0)),"CUIT NO CARGADO")</f>
        <v>0</v>
      </c>
    </row>
    <row r="166" spans="2:18">
      <c r="D166" s="50">
        <v>45520</v>
      </c>
      <c r="E166" s="42">
        <v>2</v>
      </c>
      <c r="F166" s="43">
        <v>69</v>
      </c>
      <c r="G166" s="44">
        <v>27278551909</v>
      </c>
      <c r="H166" s="53" t="str">
        <f>IFERROR(IF(factura_c_mes8[[#This Row],[CUIT]]="","-",VLOOKUP(factura_c_mes8[[#This Row],[CUIT]],Lista_CUIT[#All],2,0)),"CUIT NO CARGADO")</f>
        <v>VECCHI MARIA FERNANDA</v>
      </c>
      <c r="I166" s="283">
        <v>703500</v>
      </c>
      <c r="J166" s="630" t="str">
        <f>IFERROR(IF(factura_c_mes8[[#This Row],[CUIT]]="","-",VLOOKUP(factura_c_mes8[[#This Row],[CUIT]],Lista_CUIT[#All],3,0)),"CUIT NO CARGADO")</f>
        <v>Productos Ortopedicos</v>
      </c>
      <c r="K166" s="54">
        <f>IFERROR(IF(factura_c_mes8[[#This Row],[CUIT]]="","-",VLOOKUP(factura_c_mes8[[#This Row],[CUIT]],Lista_CUIT[#All],4,0)),"CUIT NO CARGADO")</f>
        <v>0</v>
      </c>
    </row>
    <row r="167" spans="2:18">
      <c r="D167" s="50">
        <v>45522</v>
      </c>
      <c r="E167" s="42">
        <v>2</v>
      </c>
      <c r="F167" s="43">
        <v>70</v>
      </c>
      <c r="G167" s="44">
        <v>27278551909</v>
      </c>
      <c r="H167" s="53" t="str">
        <f>IFERROR(IF(factura_c_mes8[[#This Row],[CUIT]]="","-",VLOOKUP(factura_c_mes8[[#This Row],[CUIT]],Lista_CUIT[#All],2,0)),"CUIT NO CARGADO")</f>
        <v>VECCHI MARIA FERNANDA</v>
      </c>
      <c r="I167" s="283">
        <v>984900</v>
      </c>
      <c r="J167" s="630" t="str">
        <f>IFERROR(IF(factura_c_mes8[[#This Row],[CUIT]]="","-",VLOOKUP(factura_c_mes8[[#This Row],[CUIT]],Lista_CUIT[#All],3,0)),"CUIT NO CARGADO")</f>
        <v>Productos Ortopedicos</v>
      </c>
      <c r="K167" s="54">
        <f>IFERROR(IF(factura_c_mes8[[#This Row],[CUIT]]="","-",VLOOKUP(factura_c_mes8[[#This Row],[CUIT]],Lista_CUIT[#All],4,0)),"CUIT NO CARGADO")</f>
        <v>0</v>
      </c>
    </row>
    <row r="168" spans="2:18">
      <c r="D168" s="55" t="s">
        <v>110</v>
      </c>
      <c r="E168" s="55"/>
      <c r="F168" s="55"/>
      <c r="G168" s="55"/>
      <c r="H168" s="57"/>
      <c r="I168" s="58">
        <f>SUBTOTAL(109,factura_c_mes8[TOTAL])</f>
        <v>10521743.01</v>
      </c>
      <c r="J168" s="55"/>
      <c r="K168" s="55"/>
    </row>
    <row r="169" spans="2:18">
      <c r="B169" s="56"/>
      <c r="C169" s="56"/>
      <c r="L169" s="56"/>
      <c r="M169" s="56"/>
      <c r="N169" s="56"/>
      <c r="O169" s="56"/>
      <c r="P169" s="56"/>
      <c r="Q169" s="56"/>
      <c r="R169" s="56"/>
    </row>
    <row r="170" spans="2:18" ht="19.350000000000001" customHeight="1"/>
    <row r="171" spans="2:18" ht="29.1" customHeight="1"/>
    <row r="174" spans="2:18" ht="26.25">
      <c r="B174" s="673" t="s">
        <v>29</v>
      </c>
      <c r="C174" s="673"/>
      <c r="D174" s="673"/>
      <c r="E174" s="673"/>
      <c r="F174" s="673"/>
      <c r="G174" s="673"/>
      <c r="H174" s="673"/>
      <c r="I174" s="673"/>
      <c r="J174" s="673"/>
      <c r="K174" s="669">
        <f>N1</f>
        <v>45505</v>
      </c>
      <c r="L174" s="669"/>
      <c r="M174" s="669"/>
    </row>
    <row r="176" spans="2:18" ht="21">
      <c r="B176" s="666" t="s">
        <v>30</v>
      </c>
      <c r="C176" s="666"/>
    </row>
    <row r="177" spans="2:13" ht="15.75">
      <c r="B177" s="60" t="s">
        <v>0</v>
      </c>
      <c r="C177" s="61" t="s">
        <v>1</v>
      </c>
      <c r="D177" s="61" t="s">
        <v>21</v>
      </c>
      <c r="E177" s="61" t="s">
        <v>22</v>
      </c>
      <c r="F177" s="61" t="s">
        <v>3</v>
      </c>
      <c r="G177" s="61" t="s">
        <v>4</v>
      </c>
      <c r="H177" s="61" t="s">
        <v>23</v>
      </c>
      <c r="I177" s="61" t="s">
        <v>17</v>
      </c>
      <c r="J177" s="61" t="s">
        <v>7</v>
      </c>
      <c r="K177" s="61" t="s">
        <v>24</v>
      </c>
      <c r="L177" s="61" t="s">
        <v>10</v>
      </c>
      <c r="M177" s="62" t="s">
        <v>38</v>
      </c>
    </row>
    <row r="178" spans="2:13">
      <c r="B178" s="40"/>
      <c r="C178" s="41"/>
      <c r="D178" s="42"/>
      <c r="E178" s="43"/>
      <c r="F178" s="44"/>
      <c r="G178" s="98" t="str">
        <f>IFERROR(IF(venta_a_mes8[[#This Row],[CUIT]]="","-",VLOOKUP(venta_a_mes8[[#This Row],[CUIT]],Lista_CUIT[#All],2,0)),"CUIT NO CARGADO")</f>
        <v>-</v>
      </c>
      <c r="H178" s="99"/>
      <c r="I178" s="100">
        <f>venta_a_mes8[[#This Row],[IMPORTE NETO]]*0.21</f>
        <v>0</v>
      </c>
      <c r="J178" s="65"/>
      <c r="K178" s="65"/>
      <c r="L178" s="65">
        <f>SUM(venta_a_mes8[[#This Row],[IMPORTE NETO]:[EXENTO]])</f>
        <v>0</v>
      </c>
      <c r="M178" s="59"/>
    </row>
    <row r="179" spans="2:13">
      <c r="B179" s="40"/>
      <c r="C179" s="41"/>
      <c r="D179" s="42"/>
      <c r="E179" s="43"/>
      <c r="F179" s="44"/>
      <c r="G179" s="98" t="str">
        <f>IFERROR(IF(venta_a_mes8[[#This Row],[CUIT]]="","-",VLOOKUP(venta_a_mes8[[#This Row],[CUIT]],Lista_CUIT[#All],2,0)),"CUIT NO CARGADO")</f>
        <v>-</v>
      </c>
      <c r="H179" s="99"/>
      <c r="I179" s="100">
        <f>venta_a_mes8[[#This Row],[IMPORTE NETO]]*0.21</f>
        <v>0</v>
      </c>
      <c r="J179" s="65"/>
      <c r="K179" s="65"/>
      <c r="L179" s="65">
        <f>SUM(venta_a_mes8[[#This Row],[IMPORTE NETO]:[EXENTO]])</f>
        <v>0</v>
      </c>
      <c r="M179" s="59"/>
    </row>
    <row r="180" spans="2:13">
      <c r="B180" s="40"/>
      <c r="C180" s="41"/>
      <c r="D180" s="42"/>
      <c r="E180" s="43"/>
      <c r="F180" s="44"/>
      <c r="G180" s="98" t="str">
        <f>IFERROR(IF(venta_a_mes8[[#This Row],[CUIT]]="","-",VLOOKUP(venta_a_mes8[[#This Row],[CUIT]],Lista_CUIT[#All],2,0)),"CUIT NO CARGADO")</f>
        <v>-</v>
      </c>
      <c r="H180" s="99"/>
      <c r="I180" s="100">
        <f>venta_a_mes8[[#This Row],[IMPORTE NETO]]*0.21</f>
        <v>0</v>
      </c>
      <c r="J180" s="65"/>
      <c r="K180" s="65"/>
      <c r="L180" s="65">
        <f>SUM(venta_a_mes8[[#This Row],[IMPORTE NETO]:[EXENTO]])</f>
        <v>0</v>
      </c>
      <c r="M180" s="59"/>
    </row>
    <row r="181" spans="2:13">
      <c r="B181" s="40"/>
      <c r="C181" s="41"/>
      <c r="D181" s="42"/>
      <c r="E181" s="43"/>
      <c r="F181" s="44"/>
      <c r="G181" s="98" t="str">
        <f>IFERROR(IF(venta_a_mes8[[#This Row],[CUIT]]="","-",VLOOKUP(venta_a_mes8[[#This Row],[CUIT]],Lista_CUIT[#All],2,0)),"CUIT NO CARGADO")</f>
        <v>-</v>
      </c>
      <c r="H181" s="99"/>
      <c r="I181" s="100">
        <f>venta_a_mes8[[#This Row],[IMPORTE NETO]]*0.21</f>
        <v>0</v>
      </c>
      <c r="J181" s="65"/>
      <c r="K181" s="65"/>
      <c r="L181" s="65">
        <f>SUM(venta_a_mes8[[#This Row],[IMPORTE NETO]:[EXENTO]])</f>
        <v>0</v>
      </c>
      <c r="M181" s="59"/>
    </row>
    <row r="182" spans="2:13">
      <c r="B182" s="40"/>
      <c r="C182" s="41"/>
      <c r="D182" s="42"/>
      <c r="E182" s="43"/>
      <c r="F182" s="44"/>
      <c r="G182" s="98" t="str">
        <f>IFERROR(IF(venta_a_mes8[[#This Row],[CUIT]]="","-",VLOOKUP(venta_a_mes8[[#This Row],[CUIT]],Lista_CUIT[#All],2,0)),"CUIT NO CARGADO")</f>
        <v>-</v>
      </c>
      <c r="H182" s="99"/>
      <c r="I182" s="100">
        <f>venta_a_mes8[[#This Row],[IMPORTE NETO]]*0.21</f>
        <v>0</v>
      </c>
      <c r="J182" s="65"/>
      <c r="K182" s="65"/>
      <c r="L182" s="65">
        <f>SUM(venta_a_mes8[[#This Row],[IMPORTE NETO]:[EXENTO]])</f>
        <v>0</v>
      </c>
      <c r="M182" s="59"/>
    </row>
    <row r="183" spans="2:13">
      <c r="B183" s="40"/>
      <c r="C183" s="41"/>
      <c r="D183" s="42"/>
      <c r="E183" s="43"/>
      <c r="F183" s="44"/>
      <c r="G183" s="98" t="str">
        <f>IFERROR(IF(venta_a_mes8[[#This Row],[CUIT]]="","-",VLOOKUP(venta_a_mes8[[#This Row],[CUIT]],Lista_CUIT[#All],2,0)),"CUIT NO CARGADO")</f>
        <v>-</v>
      </c>
      <c r="H183" s="99"/>
      <c r="I183" s="100">
        <f>venta_a_mes8[[#This Row],[IMPORTE NETO]]*0.21</f>
        <v>0</v>
      </c>
      <c r="J183" s="65"/>
      <c r="K183" s="65"/>
      <c r="L183" s="65">
        <f>SUM(venta_a_mes8[[#This Row],[IMPORTE NETO]:[EXENTO]])</f>
        <v>0</v>
      </c>
      <c r="M183" s="59"/>
    </row>
    <row r="184" spans="2:13">
      <c r="B184" s="40"/>
      <c r="C184" s="41"/>
      <c r="D184" s="42"/>
      <c r="E184" s="43"/>
      <c r="F184" s="44"/>
      <c r="G184" s="98" t="str">
        <f>IFERROR(IF(venta_a_mes8[[#This Row],[CUIT]]="","-",VLOOKUP(venta_a_mes8[[#This Row],[CUIT]],Lista_CUIT[#All],2,0)),"CUIT NO CARGADO")</f>
        <v>-</v>
      </c>
      <c r="H184" s="99"/>
      <c r="I184" s="100">
        <f>venta_a_mes8[[#This Row],[IMPORTE NETO]]*0.21</f>
        <v>0</v>
      </c>
      <c r="J184" s="65"/>
      <c r="K184" s="65"/>
      <c r="L184" s="65">
        <f>SUM(venta_a_mes8[[#This Row],[IMPORTE NETO]:[EXENTO]])</f>
        <v>0</v>
      </c>
      <c r="M184" s="63"/>
    </row>
    <row r="185" spans="2:13">
      <c r="B185" s="101"/>
      <c r="C185" s="102"/>
      <c r="D185" s="103"/>
      <c r="E185" s="104"/>
      <c r="F185" s="105"/>
      <c r="G185" s="98" t="str">
        <f>IFERROR(IF(venta_a_mes8[[#This Row],[CUIT]]="","-",VLOOKUP(venta_a_mes8[[#This Row],[CUIT]],Lista_CUIT[#All],2,0)),"CUIT NO CARGADO")</f>
        <v>-</v>
      </c>
      <c r="H185" s="106"/>
      <c r="I185" s="107">
        <f>venta_a_mes8[[#This Row],[IMPORTE NETO]]*0.21</f>
        <v>0</v>
      </c>
      <c r="J185" s="72"/>
      <c r="K185" s="72"/>
      <c r="L185" s="72">
        <f>SUM(venta_a_mes8[[#This Row],[IMPORTE NETO]:[EXENTO]])</f>
        <v>0</v>
      </c>
      <c r="M185" s="63"/>
    </row>
    <row r="186" spans="2:13">
      <c r="B186" s="108"/>
      <c r="C186" s="109"/>
      <c r="D186" s="110"/>
      <c r="E186" s="111"/>
      <c r="F186" s="112"/>
      <c r="G186" s="98" t="str">
        <f>IFERROR(IF(venta_a_mes8[[#This Row],[CUIT]]="","-",VLOOKUP(venta_a_mes8[[#This Row],[CUIT]],Lista_CUIT[#All],2,0)),"CUIT NO CARGADO")</f>
        <v>-</v>
      </c>
      <c r="H186" s="99"/>
      <c r="I186" s="100">
        <f>venta_a_mes8[[#This Row],[IMPORTE NETO]]*0.21</f>
        <v>0</v>
      </c>
      <c r="J186" s="65"/>
      <c r="K186" s="65"/>
      <c r="L186" s="65">
        <f>SUM(venta_a_mes8[[#This Row],[IMPORTE NETO]:[EXENTO]])</f>
        <v>0</v>
      </c>
      <c r="M186" s="59"/>
    </row>
    <row r="187" spans="2:13">
      <c r="B187" s="66" t="s">
        <v>110</v>
      </c>
      <c r="C187" s="67"/>
      <c r="D187" s="67"/>
      <c r="E187" s="67"/>
      <c r="F187" s="67"/>
      <c r="G187" s="67"/>
      <c r="H187" s="69">
        <f>SUBTOTAL(109,venta_a_mes8[IMPORTE NETO])</f>
        <v>0</v>
      </c>
      <c r="I187" s="70">
        <f>SUBTOTAL(109,venta_a_mes8[IVA 21%])</f>
        <v>0</v>
      </c>
      <c r="J187" s="71">
        <f>SUBTOTAL(109,venta_a_mes8[IVA 10,5%])</f>
        <v>0</v>
      </c>
      <c r="K187" s="71">
        <f>SUBTOTAL(109,venta_a_mes8[EXENTO])</f>
        <v>0</v>
      </c>
      <c r="L187" s="71">
        <f>SUBTOTAL(109,venta_a_mes8[TOTAL])</f>
        <v>0</v>
      </c>
      <c r="M187" s="68">
        <f>SUBTOTAL(103,venta_a_mes8[Provincia])</f>
        <v>0</v>
      </c>
    </row>
    <row r="190" spans="2:13" ht="21">
      <c r="B190" s="666" t="s">
        <v>31</v>
      </c>
      <c r="C190" s="666"/>
    </row>
    <row r="191" spans="2:13" ht="15.75">
      <c r="B191" s="60" t="s">
        <v>0</v>
      </c>
      <c r="C191" s="61" t="s">
        <v>1</v>
      </c>
      <c r="D191" s="61" t="s">
        <v>21</v>
      </c>
      <c r="E191" s="61" t="s">
        <v>22</v>
      </c>
      <c r="F191" s="61" t="s">
        <v>3</v>
      </c>
      <c r="G191" s="61" t="s">
        <v>4</v>
      </c>
      <c r="H191" s="61" t="s">
        <v>23</v>
      </c>
      <c r="I191" s="61" t="s">
        <v>17</v>
      </c>
      <c r="J191" s="61" t="s">
        <v>7</v>
      </c>
      <c r="K191" s="61" t="s">
        <v>24</v>
      </c>
      <c r="L191" s="61" t="s">
        <v>10</v>
      </c>
      <c r="M191" s="62" t="s">
        <v>38</v>
      </c>
    </row>
    <row r="192" spans="2:13">
      <c r="B192" s="40"/>
      <c r="C192" s="41"/>
      <c r="D192" s="42"/>
      <c r="E192" s="43"/>
      <c r="F192" s="44"/>
      <c r="G192" s="1" t="str">
        <f>IFERROR(IF(ventas_b_mes8[[#This Row],[CUIT]]="","-",VLOOKUP(ventas_b_mes8[[#This Row],[CUIT]],Lista_CUIT[#All],2,0)),"CUIT NO CARGADO")</f>
        <v>-</v>
      </c>
      <c r="H192" s="64"/>
      <c r="I192" s="64"/>
      <c r="J192" s="64"/>
      <c r="K192" s="64"/>
      <c r="L192" s="64">
        <f>SUM(ventas_b_mes8[[#This Row],[IMPORTE NETO]:[EXENTO]])</f>
        <v>0</v>
      </c>
      <c r="M192" s="59"/>
    </row>
    <row r="193" spans="2:13">
      <c r="B193" s="40"/>
      <c r="C193" s="41"/>
      <c r="D193" s="42"/>
      <c r="E193" s="43"/>
      <c r="F193" s="44"/>
      <c r="G193" s="1"/>
      <c r="H193" s="64"/>
      <c r="I193" s="64"/>
      <c r="J193" s="64"/>
      <c r="K193" s="64"/>
      <c r="L193" s="64">
        <f>SUM(ventas_b_mes8[[#This Row],[IMPORTE NETO]:[EXENTO]])</f>
        <v>0</v>
      </c>
      <c r="M193" s="59"/>
    </row>
    <row r="194" spans="2:13">
      <c r="B194" s="40"/>
      <c r="C194" s="41"/>
      <c r="D194" s="42"/>
      <c r="E194" s="43"/>
      <c r="F194" s="44"/>
      <c r="G194" s="1"/>
      <c r="H194" s="64"/>
      <c r="I194" s="64"/>
      <c r="J194" s="64"/>
      <c r="K194" s="64"/>
      <c r="L194" s="64">
        <f>SUM(ventas_b_mes8[[#This Row],[IMPORTE NETO]:[EXENTO]])</f>
        <v>0</v>
      </c>
      <c r="M194" s="59"/>
    </row>
    <row r="195" spans="2:13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SUM(ventas_b_mes8[[#This Row],[IMPORTE NETO]:[EXENTO]])</f>
        <v>0</v>
      </c>
      <c r="M195" s="59"/>
    </row>
    <row r="196" spans="2:13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SUM(ventas_b_mes8[[#This Row],[IMPORTE NETO]:[EXENTO]])</f>
        <v>0</v>
      </c>
      <c r="M196" s="59"/>
    </row>
    <row r="197" spans="2:13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SUM(ventas_b_mes8[[#This Row],[IMPORTE NETO]:[EXENTO]])</f>
        <v>0</v>
      </c>
      <c r="M197" s="59"/>
    </row>
    <row r="198" spans="2:13">
      <c r="B198" s="66" t="s">
        <v>110</v>
      </c>
      <c r="C198" s="67"/>
      <c r="D198" s="67"/>
      <c r="E198" s="67"/>
      <c r="F198" s="67"/>
      <c r="G198" s="67"/>
      <c r="H198" s="77">
        <f>SUBTOTAL(109,ventas_b_mes8[IMPORTE NETO])</f>
        <v>0</v>
      </c>
      <c r="I198" s="77">
        <f>SUBTOTAL(109,ventas_b_mes8[IVA 21%])</f>
        <v>0</v>
      </c>
      <c r="J198" s="78">
        <f>SUBTOTAL(109,ventas_b_mes8[IVA 10,5%])</f>
        <v>0</v>
      </c>
      <c r="K198" s="78">
        <f>SUBTOTAL(109,ventas_b_mes8[EXENTO])</f>
        <v>0</v>
      </c>
      <c r="L198" s="78">
        <f>SUBTOTAL(109,ventas_b_mes8[TOTAL])</f>
        <v>0</v>
      </c>
      <c r="M198" s="68">
        <f>SUBTOTAL(103,ventas_b_mes8[Provincia])</f>
        <v>0</v>
      </c>
    </row>
    <row r="205" spans="2:13" ht="15.75" thickBot="1"/>
    <row r="206" spans="2:13" ht="15.75" thickTop="1">
      <c r="C206" s="663" t="s">
        <v>66</v>
      </c>
      <c r="D206" s="663"/>
      <c r="E206" s="663"/>
      <c r="F206" s="663"/>
      <c r="G206" s="663"/>
      <c r="H206" s="32"/>
      <c r="I206" s="32"/>
      <c r="J206" s="32"/>
    </row>
    <row r="207" spans="2:13" ht="15.75">
      <c r="C207" s="113" t="s">
        <v>67</v>
      </c>
      <c r="D207" s="114" t="s">
        <v>68</v>
      </c>
      <c r="E207" s="114" t="s">
        <v>112</v>
      </c>
      <c r="F207" s="114" t="s">
        <v>3</v>
      </c>
      <c r="G207" s="114" t="s">
        <v>4</v>
      </c>
      <c r="H207" s="115" t="s">
        <v>69</v>
      </c>
      <c r="I207" s="115" t="s">
        <v>70</v>
      </c>
      <c r="J207" s="115" t="s">
        <v>71</v>
      </c>
      <c r="K207" s="115" t="s">
        <v>72</v>
      </c>
      <c r="L207" s="115" t="s">
        <v>73</v>
      </c>
    </row>
    <row r="208" spans="2:13">
      <c r="C208" s="116"/>
      <c r="D208" s="117"/>
      <c r="E208" s="117"/>
      <c r="F208" s="118"/>
      <c r="G208" s="53" t="str">
        <f>IFERROR(IF(Retenciones_mes8[[#This Row],[CUIT]]="","-",VLOOKUP(Retenciones_mes8[[#This Row],[CUIT]],Lista_CUIT[#All],2,0)),"CUIT NO CARGADO")</f>
        <v>-</v>
      </c>
      <c r="H208" s="119"/>
      <c r="I208" s="119"/>
      <c r="J208" s="119"/>
      <c r="K208" s="119"/>
      <c r="L208" s="119"/>
    </row>
    <row r="209" spans="3:12">
      <c r="C209" s="116"/>
      <c r="D209" s="117"/>
      <c r="E209" s="117"/>
      <c r="F209" s="118"/>
      <c r="G209" s="53" t="str">
        <f>IFERROR(IF(Retenciones_mes8[[#This Row],[CUIT]]="","-",VLOOKUP(Retenciones_mes8[[#This Row],[CUIT]],Lista_CUIT[#All],2,0)),"CUIT NO CARGADO")</f>
        <v>-</v>
      </c>
      <c r="H209" s="119"/>
      <c r="I209" s="119"/>
      <c r="J209" s="119"/>
      <c r="K209" s="119"/>
      <c r="L209" s="119"/>
    </row>
    <row r="210" spans="3:12">
      <c r="C210" s="116"/>
      <c r="D210" s="117"/>
      <c r="E210" s="117"/>
      <c r="F210" s="118"/>
      <c r="G210" s="53" t="str">
        <f>IFERROR(IF(Retenciones_mes8[[#This Row],[CUIT]]="","-",VLOOKUP(Retenciones_mes8[[#This Row],[CUIT]],Lista_CUIT[#All],2,0)),"CUIT NO CARGADO")</f>
        <v>-</v>
      </c>
      <c r="H210" s="119"/>
      <c r="I210" s="119"/>
      <c r="J210" s="119"/>
      <c r="K210" s="119"/>
      <c r="L210" s="119"/>
    </row>
    <row r="211" spans="3:12">
      <c r="C211" s="116"/>
      <c r="D211" s="117"/>
      <c r="E211" s="117"/>
      <c r="F211" s="118"/>
      <c r="G211" s="53" t="str">
        <f>IFERROR(IF(Retenciones_mes8[[#This Row],[CUIT]]="","-",VLOOKUP(Retenciones_mes8[[#This Row],[CUIT]],Lista_CUIT[#All],2,0)),"CUIT NO CARGADO")</f>
        <v>-</v>
      </c>
      <c r="H211" s="119"/>
      <c r="I211" s="119"/>
      <c r="J211" s="119"/>
      <c r="K211" s="119"/>
      <c r="L211" s="119"/>
    </row>
    <row r="212" spans="3:12">
      <c r="D212" s="117"/>
      <c r="E212" s="117"/>
      <c r="G212" s="53" t="str">
        <f>IFERROR(IF(Retenciones_mes8[[#This Row],[CUIT]]="","-",VLOOKUP(Retenciones_mes8[[#This Row],[CUIT]],Lista_CUIT[#All],2,0)),"CUIT NO CARGADO")</f>
        <v>-</v>
      </c>
    </row>
    <row r="213" spans="3:12">
      <c r="C213" s="33"/>
    </row>
  </sheetData>
  <mergeCells count="20">
    <mergeCell ref="C206:G206"/>
    <mergeCell ref="B4:E4"/>
    <mergeCell ref="G4:H4"/>
    <mergeCell ref="J4:K4"/>
    <mergeCell ref="M4:N4"/>
    <mergeCell ref="D136:K136"/>
    <mergeCell ref="B174:J174"/>
    <mergeCell ref="K174:M174"/>
    <mergeCell ref="B176:C176"/>
    <mergeCell ref="B190:C190"/>
    <mergeCell ref="P4:R4"/>
    <mergeCell ref="D127:L12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92:L197">
      <formula1>IF($C192=8,H192&lt;0,H192&gt;=0)</formula1>
    </dataValidation>
    <dataValidation type="custom" allowBlank="1" showInputMessage="1" showErrorMessage="1" sqref="L180:L182">
      <formula1>IF($C89=3,L89&lt;0,L89&gt;=0)</formula1>
    </dataValidation>
    <dataValidation type="whole" allowBlank="1" showInputMessage="1" showErrorMessage="1" sqref="C192:C197">
      <formula1>6</formula1>
      <formula2>8</formula2>
    </dataValidation>
    <dataValidation type="custom" allowBlank="1" showInputMessage="1" showErrorMessage="1" sqref="H178:K178 H180:K180 H182:K182 H184:K184">
      <formula1>IF($C178=3,H178&lt;0,H178&gt;=0)</formula1>
    </dataValidation>
    <dataValidation type="whole" allowBlank="1" showInputMessage="1" showErrorMessage="1" sqref="C178:C186 C123:C126 C9:C121">
      <formula1>1</formula1>
      <formula2>3</formula2>
    </dataValidation>
    <dataValidation type="date" allowBlank="1" showInputMessage="1" showErrorMessage="1" sqref="D129:D131 B178:B186 D138:D167 B123:B126 B192:B197 B9:B121">
      <formula1>40179</formula1>
      <formula2>TODAY()</formula2>
    </dataValidation>
    <dataValidation type="whole" allowBlank="1" showInputMessage="1" showErrorMessage="1" sqref="G138:G167 F178:F186 F192:F197 F9:F121">
      <formula1>20000000000</formula1>
      <formula2>33999999999</formula2>
    </dataValidation>
    <dataValidation type="whole" allowBlank="1" showInputMessage="1" showErrorMessage="1" sqref="F138:F167 E178:E186 E192:E197 E9:E121">
      <formula1>1</formula1>
      <formula2>99999999</formula2>
    </dataValidation>
    <dataValidation type="whole" allowBlank="1" showInputMessage="1" showErrorMessage="1" sqref="E138:E167 D178:D186 D192:D197 D9:D121">
      <formula1>1</formula1>
      <formula2>9999</formula2>
    </dataValidation>
    <dataValidation type="custom" allowBlank="1" showInputMessage="1" showErrorMessage="1" sqref="L178">
      <formula1>IF($C9=3,L9&lt;0,L9&gt;=0)</formula1>
    </dataValidation>
    <dataValidation type="custom" allowBlank="1" showInputMessage="1" showErrorMessage="1" sqref="L179">
      <formula1>IF($C86=3,L86&lt;0,L86&gt;=0)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21">
      <formula1>IF($C9=3,H9&lt;0,H9&gt;=0)</formula1>
    </dataValidation>
    <dataValidation type="custom" allowBlank="1" showInputMessage="1" showErrorMessage="1" sqref="L183:L184">
      <formula1>IF($C122=3,L122&lt;0,L122&gt;=0)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theme="9" tint="0.79998168889431442"/>
  </sheetPr>
  <dimension ref="A1:Z215"/>
  <sheetViews>
    <sheetView showGridLines="0" topLeftCell="B127" zoomScale="80" zoomScaleNormal="80" workbookViewId="0">
      <selection activeCell="P133" activeCellId="1" sqref="I170 P133"/>
    </sheetView>
  </sheetViews>
  <sheetFormatPr baseColWidth="10" defaultColWidth="0" defaultRowHeight="15"/>
  <cols>
    <col min="1" max="1" width="1.5703125" customWidth="1"/>
    <col min="2" max="2" width="13.7109375" bestFit="1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36.28515625" customWidth="1"/>
    <col min="9" max="9" width="17.5703125" customWidth="1"/>
    <col min="10" max="10" width="32" customWidth="1"/>
    <col min="11" max="11" width="20.42578125" customWidth="1"/>
    <col min="12" max="12" width="18.42578125" bestFit="1" customWidth="1"/>
    <col min="13" max="13" width="15.85546875" customWidth="1"/>
    <col min="14" max="14" width="20.5703125" customWidth="1"/>
    <col min="15" max="15" width="18.5703125" customWidth="1"/>
    <col min="16" max="16" width="23.140625" customWidth="1"/>
    <col min="17" max="17" width="21" customWidth="1"/>
    <col min="18" max="18" width="14.42578125" customWidth="1"/>
    <col min="19" max="19" width="7.5703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EDATE('Ene-24'!N1,8)</f>
        <v>45536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SUM(compras_mes9[[#Totals],[NETO GRAVADO]])+extracto_banco_mes9[[#Totals],[NETO]]</f>
        <v>27615365.260000005</v>
      </c>
      <c r="C4" s="671"/>
      <c r="D4" s="671"/>
      <c r="E4" s="671"/>
      <c r="F4" s="39"/>
      <c r="G4" s="672">
        <f>compras_mes9[[#Totals],[IVA 21 %]]+compras_mes9[[#Totals],[IVA 27%]]+compras_mes9[[#Totals],[IVA 10,5%]]+extracto_banco_mes9[[#Totals],[IVA 21%]]+extracto_banco_mes9[[#Totals],[IVA 10,5%]]</f>
        <v>5640498.6198999994</v>
      </c>
      <c r="H4" s="672"/>
      <c r="I4" s="39"/>
      <c r="J4" s="661">
        <f>venta_a_mes9[[#Totals],[IMPORTE NETO]]+ventas_b_mes9[[#Totals],[IMPORTE NETO]]</f>
        <v>0</v>
      </c>
      <c r="K4" s="661"/>
      <c r="L4" s="39"/>
      <c r="M4" s="661">
        <f>venta_a_mes9[[#Totals],[IVA 21%]]+venta_a_mes9[[#Totals],[IVA 10,5%]]+ventas_b_mes9[[#Totals],[IVA 21%]]+ventas_b_mes9[[#Totals],[IVA 10,5%]]</f>
        <v>0</v>
      </c>
      <c r="N4" s="661"/>
      <c r="O4" s="39"/>
      <c r="P4" s="674">
        <f>G4-M4</f>
        <v>5640498.6198999994</v>
      </c>
      <c r="Q4" s="675"/>
      <c r="R4" s="675"/>
    </row>
    <row r="5" spans="1:26" ht="13.35" customHeight="1"/>
    <row r="6" spans="1:26" ht="11.1" customHeight="1"/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610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611" t="s">
        <v>11</v>
      </c>
      <c r="R8" s="84" t="s">
        <v>38</v>
      </c>
    </row>
    <row r="9" spans="1:26">
      <c r="B9" s="40">
        <v>45543</v>
      </c>
      <c r="C9" s="41">
        <v>1</v>
      </c>
      <c r="D9" s="42">
        <v>12</v>
      </c>
      <c r="E9" s="43">
        <v>1770378</v>
      </c>
      <c r="F9" s="44">
        <v>30709776564</v>
      </c>
      <c r="G9" s="45" t="str">
        <f>IFERROR(IF(compras_mes9[[#This Row],[CUIT]]="","-",VLOOKUP(compras_mes9[[#This Row],[CUIT]],Lista_CUIT[#All],2,0)),"CUIT NO CARGADO")</f>
        <v>PROSEGUR ACTIVA ARG SA</v>
      </c>
      <c r="H9" s="46">
        <v>129241</v>
      </c>
      <c r="I9" s="85">
        <f>IF(compras_mes9[[#This Row],[NETO GRAVADO]]="","",compras_mes9[[#This Row],[NETO GRAVADO]]*0.21)</f>
        <v>27140.61</v>
      </c>
      <c r="J9" s="85"/>
      <c r="K9" s="85"/>
      <c r="L9" s="85"/>
      <c r="M9" s="85"/>
      <c r="N9" s="85"/>
      <c r="O9" s="85"/>
      <c r="P9" s="48">
        <f>SUM(compras_mes9[[#This Row],[NETO GRAVADO]:[Otros / No Grav.]])</f>
        <v>156381.60999999999</v>
      </c>
      <c r="Q9" s="49" t="str">
        <f>IFERROR(IF(compras_mes9[[#This Row],[CUIT]]="","-",VLOOKUP(compras_mes9[[#This Row],[CUIT]],Lista_CUIT[#All],3,0)),"CUIT NO CARGADO")</f>
        <v>Servicio Seguridad</v>
      </c>
      <c r="R9" s="49">
        <f>IFERROR(IF(compras_mes9[[#This Row],[CUIT]]="","-",VLOOKUP(compras_mes9[[#This Row],[CUIT]],Lista_CUIT[#All],4,0)),"CUIT NO CARGADO")</f>
        <v>0</v>
      </c>
    </row>
    <row r="10" spans="1:26">
      <c r="B10" s="40">
        <v>45538</v>
      </c>
      <c r="C10" s="41">
        <v>1</v>
      </c>
      <c r="D10" s="42">
        <v>2</v>
      </c>
      <c r="E10" s="43">
        <v>216</v>
      </c>
      <c r="F10" s="44">
        <v>30605344352</v>
      </c>
      <c r="G10" s="45" t="str">
        <f>IFERROR(IF(compras_mes9[[#This Row],[CUIT]]="","-",VLOOKUP(compras_mes9[[#This Row],[CUIT]],Lista_CUIT[#All],2,0)),"CUIT NO CARGADO")</f>
        <v>CONSORCIO BARTOLME MITRE 2466</v>
      </c>
      <c r="H10" s="46">
        <v>834000</v>
      </c>
      <c r="I10" s="85">
        <f>IF(compras_mes9[[#This Row],[NETO GRAVADO]]="","",compras_mes9[[#This Row],[NETO GRAVADO]]*0.21)</f>
        <v>175140</v>
      </c>
      <c r="J10" s="85"/>
      <c r="K10" s="85"/>
      <c r="L10" s="85"/>
      <c r="M10" s="85"/>
      <c r="N10" s="85"/>
      <c r="O10" s="85"/>
      <c r="P10" s="48">
        <f>SUM(compras_mes9[[#This Row],[NETO GRAVADO]:[Otros / No Grav.]])</f>
        <v>1009140</v>
      </c>
      <c r="Q10" s="49" t="str">
        <f>IFERROR(IF(compras_mes9[[#This Row],[CUIT]]="","-",VLOOKUP(compras_mes9[[#This Row],[CUIT]],Lista_CUIT[#All],3,0)),"CUIT NO CARGADO")</f>
        <v>ALQUILERES PAGADOS</v>
      </c>
      <c r="R10" s="49">
        <f>IFERROR(IF(compras_mes9[[#This Row],[CUIT]]="","-",VLOOKUP(compras_mes9[[#This Row],[CUIT]],Lista_CUIT[#All],4,0)),"CUIT NO CARGADO")</f>
        <v>0</v>
      </c>
    </row>
    <row r="11" spans="1:26">
      <c r="B11" s="470"/>
      <c r="C11" s="460"/>
      <c r="D11" s="461"/>
      <c r="E11" s="462"/>
      <c r="F11" s="463"/>
      <c r="G11" s="464" t="str">
        <f>IFERROR(IF(compras_mes9[[#This Row],[CUIT]]="","-",VLOOKUP(compras_mes9[[#This Row],[CUIT]],Lista_CUIT[#All],2,0)),"CUIT NO CARGADO")</f>
        <v>-</v>
      </c>
      <c r="H11" s="465"/>
      <c r="I11" s="466" t="str">
        <f>IF(compras_mes9[[#This Row],[NETO GRAVADO]]="","",compras_mes9[[#This Row],[NETO GRAVADO]]*0.21)</f>
        <v/>
      </c>
      <c r="J11" s="466"/>
      <c r="K11" s="466"/>
      <c r="L11" s="466"/>
      <c r="M11" s="466"/>
      <c r="N11" s="466"/>
      <c r="O11" s="466"/>
      <c r="P11" s="467">
        <f>SUM(compras_mes9[[#This Row],[NETO GRAVADO]:[Otros / No Grav.]])</f>
        <v>0</v>
      </c>
      <c r="Q11" s="612" t="str">
        <f>IFERROR(IF(compras_mes9[[#This Row],[CUIT]]="","-",VLOOKUP(compras_mes9[[#This Row],[CUIT]],Lista_CUIT[#All],3,0)),"CUIT NO CARGADO")</f>
        <v>-</v>
      </c>
      <c r="R11" s="468" t="str">
        <f>IFERROR(IF(compras_mes9[[#This Row],[CUIT]]="","-",VLOOKUP(compras_mes9[[#This Row],[CUIT]],Lista_CUIT[#All],4,0)),"CUIT NO CARGADO")</f>
        <v>-</v>
      </c>
    </row>
    <row r="12" spans="1:26">
      <c r="B12" s="40">
        <v>45546</v>
      </c>
      <c r="C12" s="41">
        <v>1</v>
      </c>
      <c r="D12" s="42">
        <v>1</v>
      </c>
      <c r="E12" s="43">
        <v>2468</v>
      </c>
      <c r="F12" s="44">
        <v>30717179389</v>
      </c>
      <c r="G12" s="45" t="str">
        <f>IFERROR(IF(compras_mes9[[#This Row],[CUIT]]="","-",VLOOKUP(compras_mes9[[#This Row],[CUIT]],Lista_CUIT[#All],2,0)),"CUIT NO CARGADO")</f>
        <v>NICOLAS TOBIAS SEQUEIRA Y MARIA GABRIELA RATTNER SOCIEDAD DE LA SECCION IV LGS</v>
      </c>
      <c r="H12" s="46">
        <v>82644.62</v>
      </c>
      <c r="I12" s="85">
        <f>IF(compras_mes9[[#This Row],[NETO GRAVADO]]="","",compras_mes9[[#This Row],[NETO GRAVADO]]*0.21)</f>
        <v>17355.370199999998</v>
      </c>
      <c r="J12" s="85"/>
      <c r="K12" s="85"/>
      <c r="L12" s="85"/>
      <c r="M12" s="85"/>
      <c r="N12" s="85"/>
      <c r="O12" s="85"/>
      <c r="P12" s="48">
        <f>SUM(compras_mes9[[#This Row],[NETO GRAVADO]:[Otros / No Grav.]])</f>
        <v>99999.9902</v>
      </c>
      <c r="Q12" s="49" t="str">
        <f>IFERROR(IF(compras_mes9[[#This Row],[CUIT]]="","-",VLOOKUP(compras_mes9[[#This Row],[CUIT]],Lista_CUIT[#All],3,0)),"CUIT NO CARGADO")</f>
        <v>COMBUSTIBLE</v>
      </c>
      <c r="R12" s="49">
        <f>IFERROR(IF(compras_mes9[[#This Row],[CUIT]]="","-",VLOOKUP(compras_mes9[[#This Row],[CUIT]],Lista_CUIT[#All],4,0)),"CUIT NO CARGADO")</f>
        <v>0</v>
      </c>
    </row>
    <row r="13" spans="1:26">
      <c r="B13" s="40">
        <v>45546</v>
      </c>
      <c r="C13" s="41">
        <v>1</v>
      </c>
      <c r="D13" s="42">
        <v>5</v>
      </c>
      <c r="E13" s="43">
        <v>3378</v>
      </c>
      <c r="F13" s="44">
        <v>30717179389</v>
      </c>
      <c r="G13" s="45" t="str">
        <f>IFERROR(IF(compras_mes9[[#This Row],[CUIT]]="","-",VLOOKUP(compras_mes9[[#This Row],[CUIT]],Lista_CUIT[#All],2,0)),"CUIT NO CARGADO")</f>
        <v>NICOLAS TOBIAS SEQUEIRA Y MARIA GABRIELA RATTNER SOCIEDAD DE LA SECCION IV LGS</v>
      </c>
      <c r="H13" s="46">
        <v>82644.63</v>
      </c>
      <c r="I13" s="85">
        <f>IF(compras_mes9[[#This Row],[NETO GRAVADO]]="","",compras_mes9[[#This Row],[NETO GRAVADO]]*0.21)</f>
        <v>17355.372299999999</v>
      </c>
      <c r="J13" s="85"/>
      <c r="K13" s="85"/>
      <c r="L13" s="85"/>
      <c r="M13" s="85"/>
      <c r="N13" s="85"/>
      <c r="O13" s="85"/>
      <c r="P13" s="48">
        <f>SUM(compras_mes9[[#This Row],[NETO GRAVADO]:[Otros / No Grav.]])</f>
        <v>100000.00230000001</v>
      </c>
      <c r="Q13" s="49" t="str">
        <f>IFERROR(IF(compras_mes9[[#This Row],[CUIT]]="","-",VLOOKUP(compras_mes9[[#This Row],[CUIT]],Lista_CUIT[#All],3,0)),"CUIT NO CARGADO")</f>
        <v>COMBUSTIBLE</v>
      </c>
      <c r="R13" s="49">
        <f>IFERROR(IF(compras_mes9[[#This Row],[CUIT]]="","-",VLOOKUP(compras_mes9[[#This Row],[CUIT]],Lista_CUIT[#All],4,0)),"CUIT NO CARGADO")</f>
        <v>0</v>
      </c>
    </row>
    <row r="14" spans="1:26">
      <c r="B14" s="470">
        <v>45547</v>
      </c>
      <c r="C14" s="460">
        <v>1</v>
      </c>
      <c r="D14" s="461">
        <v>6</v>
      </c>
      <c r="E14" s="462">
        <v>19339</v>
      </c>
      <c r="F14" s="463">
        <v>33715594949</v>
      </c>
      <c r="G14" s="464" t="str">
        <f>IFERROR(IF(compras_mes9[[#This Row],[CUIT]]="","-",VLOOKUP(compras_mes9[[#This Row],[CUIT]],Lista_CUIT[#All],2,0)),"CUIT NO CARGADO")</f>
        <v>SOMOS ENERGIA SA</v>
      </c>
      <c r="H14" s="465">
        <v>56204.81</v>
      </c>
      <c r="I14" s="466">
        <f>IF(compras_mes9[[#This Row],[NETO GRAVADO]]="","",compras_mes9[[#This Row],[NETO GRAVADO]]*0.21)</f>
        <v>11803.0101</v>
      </c>
      <c r="J14" s="466"/>
      <c r="K14" s="466"/>
      <c r="L14" s="466"/>
      <c r="M14" s="466"/>
      <c r="N14" s="466"/>
      <c r="O14" s="466"/>
      <c r="P14" s="467">
        <f>SUM(compras_mes9[[#This Row],[NETO GRAVADO]:[Otros / No Grav.]])</f>
        <v>68007.820099999997</v>
      </c>
      <c r="Q14" s="468" t="str">
        <f>IFERROR(IF(compras_mes9[[#This Row],[CUIT]]="","-",VLOOKUP(compras_mes9[[#This Row],[CUIT]],Lista_CUIT[#All],3,0)),"CUIT NO CARGADO")</f>
        <v>COMBUSTIBLE</v>
      </c>
      <c r="R14" s="468">
        <f>IFERROR(IF(compras_mes9[[#This Row],[CUIT]]="","-",VLOOKUP(compras_mes9[[#This Row],[CUIT]],Lista_CUIT[#All],4,0)),"CUIT NO CARGADO")</f>
        <v>0</v>
      </c>
    </row>
    <row r="15" spans="1:26">
      <c r="B15" s="470">
        <v>45553</v>
      </c>
      <c r="C15" s="460">
        <v>1</v>
      </c>
      <c r="D15" s="461">
        <v>8</v>
      </c>
      <c r="E15" s="462">
        <v>12741</v>
      </c>
      <c r="F15" s="463">
        <v>33715594949</v>
      </c>
      <c r="G15" s="464" t="str">
        <f>IFERROR(IF(compras_mes9[[#This Row],[CUIT]]="","-",VLOOKUP(compras_mes9[[#This Row],[CUIT]],Lista_CUIT[#All],2,0)),"CUIT NO CARGADO")</f>
        <v>SOMOS ENERGIA SA</v>
      </c>
      <c r="H15" s="465">
        <v>71317.95</v>
      </c>
      <c r="I15" s="466">
        <f>IF(compras_mes9[[#This Row],[NETO GRAVADO]]="","",compras_mes9[[#This Row],[NETO GRAVADO]]*0.21)</f>
        <v>14976.769499999999</v>
      </c>
      <c r="J15" s="466"/>
      <c r="K15" s="466"/>
      <c r="L15" s="466"/>
      <c r="M15" s="466"/>
      <c r="N15" s="466"/>
      <c r="O15" s="466"/>
      <c r="P15" s="467">
        <f>SUM(compras_mes9[[#This Row],[NETO GRAVADO]:[Otros / No Grav.]])</f>
        <v>86294.719499999992</v>
      </c>
      <c r="Q15" s="468" t="str">
        <f>IFERROR(IF(compras_mes9[[#This Row],[CUIT]]="","-",VLOOKUP(compras_mes9[[#This Row],[CUIT]],Lista_CUIT[#All],3,0)),"CUIT NO CARGADO")</f>
        <v>COMBUSTIBLE</v>
      </c>
      <c r="R15" s="468">
        <f>IFERROR(IF(compras_mes9[[#This Row],[CUIT]]="","-",VLOOKUP(compras_mes9[[#This Row],[CUIT]],Lista_CUIT[#All],4,0)),"CUIT NO CARGADO")</f>
        <v>0</v>
      </c>
    </row>
    <row r="16" spans="1:26">
      <c r="B16" s="470">
        <v>45558</v>
      </c>
      <c r="C16" s="460">
        <v>1</v>
      </c>
      <c r="D16" s="461">
        <v>6</v>
      </c>
      <c r="E16" s="462">
        <v>19495</v>
      </c>
      <c r="F16" s="463">
        <v>33715594949</v>
      </c>
      <c r="G16" s="464" t="str">
        <f>IFERROR(IF(compras_mes9[[#This Row],[CUIT]]="","-",VLOOKUP(compras_mes9[[#This Row],[CUIT]],Lista_CUIT[#All],2,0)),"CUIT NO CARGADO")</f>
        <v>SOMOS ENERGIA SA</v>
      </c>
      <c r="H16" s="465">
        <v>59235.76</v>
      </c>
      <c r="I16" s="466">
        <f>IF(compras_mes9[[#This Row],[NETO GRAVADO]]="","",compras_mes9[[#This Row],[NETO GRAVADO]]*0.21)</f>
        <v>12439.509599999999</v>
      </c>
      <c r="J16" s="466"/>
      <c r="K16" s="466"/>
      <c r="L16" s="466"/>
      <c r="M16" s="466"/>
      <c r="N16" s="466"/>
      <c r="O16" s="466"/>
      <c r="P16" s="467">
        <f>SUM(compras_mes9[[#This Row],[NETO GRAVADO]:[Otros / No Grav.]])</f>
        <v>71675.2696</v>
      </c>
      <c r="Q16" s="468" t="str">
        <f>IFERROR(IF(compras_mes9[[#This Row],[CUIT]]="","-",VLOOKUP(compras_mes9[[#This Row],[CUIT]],Lista_CUIT[#All],3,0)),"CUIT NO CARGADO")</f>
        <v>COMBUSTIBLE</v>
      </c>
      <c r="R16" s="468">
        <f>IFERROR(IF(compras_mes9[[#This Row],[CUIT]]="","-",VLOOKUP(compras_mes9[[#This Row],[CUIT]],Lista_CUIT[#All],4,0)),"CUIT NO CARGADO")</f>
        <v>0</v>
      </c>
    </row>
    <row r="17" spans="2:18">
      <c r="B17" s="470">
        <v>45561</v>
      </c>
      <c r="C17" s="460">
        <v>1</v>
      </c>
      <c r="D17" s="461">
        <v>8</v>
      </c>
      <c r="E17" s="462">
        <v>12831</v>
      </c>
      <c r="F17" s="463">
        <v>33715594949</v>
      </c>
      <c r="G17" s="464" t="str">
        <f>IFERROR(IF(compras_mes9[[#This Row],[CUIT]]="","-",VLOOKUP(compras_mes9[[#This Row],[CUIT]],Lista_CUIT[#All],2,0)),"CUIT NO CARGADO")</f>
        <v>SOMOS ENERGIA SA</v>
      </c>
      <c r="H17" s="465">
        <v>89089.33</v>
      </c>
      <c r="I17" s="466">
        <f>IF(compras_mes9[[#This Row],[NETO GRAVADO]]="","",compras_mes9[[#This Row],[NETO GRAVADO]]*0.21)</f>
        <v>18708.759299999998</v>
      </c>
      <c r="J17" s="466"/>
      <c r="K17" s="466"/>
      <c r="L17" s="466"/>
      <c r="M17" s="466"/>
      <c r="N17" s="466"/>
      <c r="O17" s="466"/>
      <c r="P17" s="467">
        <f>SUM(compras_mes9[[#This Row],[NETO GRAVADO]:[Otros / No Grav.]])</f>
        <v>107798.08929999999</v>
      </c>
      <c r="Q17" s="468" t="str">
        <f>IFERROR(IF(compras_mes9[[#This Row],[CUIT]]="","-",VLOOKUP(compras_mes9[[#This Row],[CUIT]],Lista_CUIT[#All],3,0)),"CUIT NO CARGADO")</f>
        <v>COMBUSTIBLE</v>
      </c>
      <c r="R17" s="468">
        <f>IFERROR(IF(compras_mes9[[#This Row],[CUIT]]="","-",VLOOKUP(compras_mes9[[#This Row],[CUIT]],Lista_CUIT[#All],4,0)),"CUIT NO CARGADO")</f>
        <v>0</v>
      </c>
    </row>
    <row r="18" spans="2:18">
      <c r="B18" s="471">
        <v>45545</v>
      </c>
      <c r="C18" s="472">
        <v>1</v>
      </c>
      <c r="D18" s="473">
        <v>8</v>
      </c>
      <c r="E18" s="474">
        <v>12631</v>
      </c>
      <c r="F18" s="475">
        <v>33715594949</v>
      </c>
      <c r="G18" s="476" t="str">
        <f>IFERROR(IF(compras_mes9[[#This Row],[CUIT]]="","-",VLOOKUP(compras_mes9[[#This Row],[CUIT]],Lista_CUIT[#All],2,0)),"CUIT NO CARGADO")</f>
        <v>SOMOS ENERGIA SA</v>
      </c>
      <c r="H18" s="465">
        <v>44886.67</v>
      </c>
      <c r="I18" s="477">
        <f>IF(compras_mes9[[#This Row],[NETO GRAVADO]]="","",compras_mes9[[#This Row],[NETO GRAVADO]]*0.21)</f>
        <v>9426.2006999999994</v>
      </c>
      <c r="J18" s="477"/>
      <c r="K18" s="477"/>
      <c r="L18" s="477"/>
      <c r="M18" s="477"/>
      <c r="N18" s="477"/>
      <c r="O18" s="477"/>
      <c r="P18" s="478">
        <f>SUM(compras_mes9[[#This Row],[NETO GRAVADO]:[Otros / No Grav.]])</f>
        <v>54312.870699999999</v>
      </c>
      <c r="Q18" s="479" t="str">
        <f>IFERROR(IF(compras_mes9[[#This Row],[CUIT]]="","-",VLOOKUP(compras_mes9[[#This Row],[CUIT]],Lista_CUIT[#All],3,0)),"CUIT NO CARGADO")</f>
        <v>COMBUSTIBLE</v>
      </c>
      <c r="R18" s="479">
        <f>IFERROR(IF(compras_mes9[[#This Row],[CUIT]]="","-",VLOOKUP(compras_mes9[[#This Row],[CUIT]],Lista_CUIT[#All],4,0)),"CUIT NO CARGADO")</f>
        <v>0</v>
      </c>
    </row>
    <row r="19" spans="2:18">
      <c r="B19" s="501">
        <v>45541</v>
      </c>
      <c r="C19" s="489">
        <v>1</v>
      </c>
      <c r="D19" s="490">
        <v>28</v>
      </c>
      <c r="E19" s="491">
        <v>11642</v>
      </c>
      <c r="F19" s="492">
        <v>33712276539</v>
      </c>
      <c r="G19" s="493" t="str">
        <f>IFERROR(IF(compras_mes9[[#This Row],[CUIT]]="","-",VLOOKUP(compras_mes9[[#This Row],[CUIT]],Lista_CUIT[#All],2,0)),"CUIT NO CARGADO")</f>
        <v>CASTAÑO AUTOVOX SRL</v>
      </c>
      <c r="H19" s="465">
        <v>71863.38</v>
      </c>
      <c r="I19" s="494">
        <f>IF(compras_mes9[[#This Row],[NETO GRAVADO]]="","",compras_mes9[[#This Row],[NETO GRAVADO]]*0.21)</f>
        <v>15091.309800000001</v>
      </c>
      <c r="J19" s="494"/>
      <c r="K19" s="494"/>
      <c r="L19" s="494"/>
      <c r="M19" s="494"/>
      <c r="N19" s="494">
        <v>3593.17</v>
      </c>
      <c r="O19" s="494">
        <v>1052.1500000000001</v>
      </c>
      <c r="P19" s="495">
        <f>SUM(compras_mes9[[#This Row],[NETO GRAVADO]:[Otros / No Grav.]])</f>
        <v>91600.0098</v>
      </c>
      <c r="Q19" s="496" t="str">
        <f>IFERROR(IF(compras_mes9[[#This Row],[CUIT]]="","-",VLOOKUP(compras_mes9[[#This Row],[CUIT]],Lista_CUIT[#All],3,0)),"CUIT NO CARGADO")</f>
        <v>COMBUSTIBLE</v>
      </c>
      <c r="R19" s="496">
        <f>IFERROR(IF(compras_mes9[[#This Row],[CUIT]]="","-",VLOOKUP(compras_mes9[[#This Row],[CUIT]],Lista_CUIT[#All],4,0)),"CUIT NO CARGADO")</f>
        <v>0</v>
      </c>
    </row>
    <row r="20" spans="2:18">
      <c r="B20" s="480">
        <v>45536</v>
      </c>
      <c r="C20" s="481">
        <v>1</v>
      </c>
      <c r="D20" s="482">
        <v>12</v>
      </c>
      <c r="E20" s="483">
        <v>41830</v>
      </c>
      <c r="F20" s="484">
        <v>30705740670</v>
      </c>
      <c r="G20" s="502" t="str">
        <f>IFERROR(IF(compras_mes9[[#This Row],[CUIT]]="","-",VLOOKUP(compras_mes9[[#This Row],[CUIT]],Lista_CUIT[#All],2,0)),"CUIT NO CARGADO")</f>
        <v>MAVISUR SA</v>
      </c>
      <c r="H20" s="46">
        <v>69787.539999999994</v>
      </c>
      <c r="I20" s="485">
        <f>IF(compras_mes9[[#This Row],[NETO GRAVADO]]="","",compras_mes9[[#This Row],[NETO GRAVADO]]*0.21)</f>
        <v>14655.383399999999</v>
      </c>
      <c r="J20" s="485"/>
      <c r="K20" s="485"/>
      <c r="L20" s="485"/>
      <c r="M20" s="485"/>
      <c r="N20" s="485"/>
      <c r="O20" s="485">
        <v>7567.07</v>
      </c>
      <c r="P20" s="486">
        <f>SUM(compras_mes9[[#This Row],[NETO GRAVADO]:[Otros / No Grav.]])</f>
        <v>92009.993400000007</v>
      </c>
      <c r="Q20" s="503" t="str">
        <f>IFERROR(IF(compras_mes9[[#This Row],[CUIT]]="","-",VLOOKUP(compras_mes9[[#This Row],[CUIT]],Lista_CUIT[#All],3,0)),"CUIT NO CARGADO")</f>
        <v>COMBUSTIBLE</v>
      </c>
      <c r="R20" s="503">
        <f>IFERROR(IF(compras_mes9[[#This Row],[CUIT]]="","-",VLOOKUP(compras_mes9[[#This Row],[CUIT]],Lista_CUIT[#All],4,0)),"CUIT NO CARGADO")</f>
        <v>0</v>
      </c>
    </row>
    <row r="21" spans="2:18">
      <c r="B21" s="480">
        <v>45565</v>
      </c>
      <c r="C21" s="481">
        <v>1</v>
      </c>
      <c r="D21" s="482">
        <v>11</v>
      </c>
      <c r="E21" s="483">
        <v>12331</v>
      </c>
      <c r="F21" s="484">
        <v>30705740670</v>
      </c>
      <c r="G21" s="502" t="str">
        <f>IFERROR(IF(compras_mes9[[#This Row],[CUIT]]="","-'Sep-24'!G54+Lista_CUIT!B1654",VLOOKUP(compras_mes9[[#This Row],[CUIT]],Lista_CUIT[#All],2,0)),"CUIT NO CARGADO")</f>
        <v>MAVISUR SA</v>
      </c>
      <c r="H21" s="46">
        <v>32023.57</v>
      </c>
      <c r="I21" s="485">
        <f>IF(compras_mes9[[#This Row],[NETO GRAVADO]]="","",compras_mes9[[#This Row],[NETO GRAVADO]]*0.21)</f>
        <v>6724.9497000000001</v>
      </c>
      <c r="J21" s="485"/>
      <c r="K21" s="485"/>
      <c r="L21" s="485"/>
      <c r="M21" s="485"/>
      <c r="N21" s="485"/>
      <c r="O21" s="485">
        <v>3851.48</v>
      </c>
      <c r="P21" s="486">
        <f>SUM(compras_mes9[[#This Row],[NETO GRAVADO]:[Otros / No Grav.]])</f>
        <v>42599.9997</v>
      </c>
      <c r="Q21" s="503" t="str">
        <f>IFERROR(IF(compras_mes9[[#This Row],[CUIT]]="","-",VLOOKUP(compras_mes9[[#This Row],[CUIT]],Lista_CUIT[#All],3,0)),"CUIT NO CARGADO")</f>
        <v>COMBUSTIBLE</v>
      </c>
      <c r="R21" s="503">
        <f>IFERROR(IF(compras_mes9[[#This Row],[CUIT]]="","-",VLOOKUP(compras_mes9[[#This Row],[CUIT]],Lista_CUIT[#All],4,0)),"CUIT NO CARGADO")</f>
        <v>0</v>
      </c>
    </row>
    <row r="22" spans="2:18">
      <c r="B22" s="480">
        <v>45564</v>
      </c>
      <c r="C22" s="481">
        <v>1</v>
      </c>
      <c r="D22" s="482">
        <v>4</v>
      </c>
      <c r="E22" s="483">
        <v>7727</v>
      </c>
      <c r="F22" s="484">
        <v>30715349090</v>
      </c>
      <c r="G22" s="502" t="str">
        <f>IFERROR(IF(compras_mes9[[#This Row],[CUIT]]="","-",VLOOKUP(compras_mes9[[#This Row],[CUIT]],Lista_CUIT[#All],2,0)),"CUIT NO CARGADO")</f>
        <v>MONSEÑOR Z S.A.</v>
      </c>
      <c r="H22" s="46">
        <v>63139.65</v>
      </c>
      <c r="I22" s="485">
        <f>IF(compras_mes9[[#This Row],[NETO GRAVADO]]="","",compras_mes9[[#This Row],[NETO GRAVADO]]*0.21)</f>
        <v>13259.326499999999</v>
      </c>
      <c r="J22" s="485"/>
      <c r="K22" s="485"/>
      <c r="L22" s="485"/>
      <c r="M22" s="485"/>
      <c r="N22" s="485"/>
      <c r="O22" s="485">
        <v>8602.0400000000009</v>
      </c>
      <c r="P22" s="486">
        <f>SUM(compras_mes9[[#This Row],[NETO GRAVADO]:[Otros / No Grav.]])</f>
        <v>85001.016499999998</v>
      </c>
      <c r="Q22" s="503" t="str">
        <f>IFERROR(IF(compras_mes9[[#This Row],[CUIT]]="","-",VLOOKUP(compras_mes9[[#This Row],[CUIT]],Lista_CUIT[#All],3,0)),"CUIT NO CARGADO")</f>
        <v>COMBUSTIBLE</v>
      </c>
      <c r="R22" s="503">
        <f>IFERROR(IF(compras_mes9[[#This Row],[CUIT]]="","-",VLOOKUP(compras_mes9[[#This Row],[CUIT]],Lista_CUIT[#All],4,0)),"CUIT NO CARGADO")</f>
        <v>0</v>
      </c>
    </row>
    <row r="23" spans="2:18">
      <c r="B23" s="480">
        <v>45531</v>
      </c>
      <c r="C23" s="481">
        <v>1</v>
      </c>
      <c r="D23" s="482">
        <v>5</v>
      </c>
      <c r="E23" s="483">
        <v>2285</v>
      </c>
      <c r="F23" s="484">
        <v>27114789033</v>
      </c>
      <c r="G23" s="502" t="str">
        <f>IFERROR(IF(compras_mes9[[#This Row],[CUIT]]="","-",VLOOKUP(compras_mes9[[#This Row],[CUIT]],Lista_CUIT[#All],2,0)),"CUIT NO CARGADO")</f>
        <v>ESPADA FARALDO MARGARITA MERCEDES</v>
      </c>
      <c r="H23" s="46">
        <v>56363.64</v>
      </c>
      <c r="I23" s="485">
        <f>IF(compras_mes9[[#This Row],[NETO GRAVADO]]="","",compras_mes9[[#This Row],[NETO GRAVADO]]*0.21)</f>
        <v>11836.364399999999</v>
      </c>
      <c r="J23" s="485"/>
      <c r="K23" s="485"/>
      <c r="L23" s="485"/>
      <c r="M23" s="485"/>
      <c r="N23" s="485"/>
      <c r="O23" s="485"/>
      <c r="P23" s="486">
        <f>SUM(compras_mes9[[#This Row],[NETO GRAVADO]:[Otros / No Grav.]])</f>
        <v>68200.004400000005</v>
      </c>
      <c r="Q23" s="503" t="str">
        <f>IFERROR(IF(compras_mes9[[#This Row],[CUIT]]="","-",VLOOKUP(compras_mes9[[#This Row],[CUIT]],Lista_CUIT[#All],3,0)),"CUIT NO CARGADO")</f>
        <v>gastos varios</v>
      </c>
      <c r="R23" s="503">
        <f>IFERROR(IF(compras_mes9[[#This Row],[CUIT]]="","-",VLOOKUP(compras_mes9[[#This Row],[CUIT]],Lista_CUIT[#All],4,0)),"CUIT NO CARGADO")</f>
        <v>0</v>
      </c>
    </row>
    <row r="24" spans="2:18">
      <c r="B24" s="480">
        <v>45532</v>
      </c>
      <c r="C24" s="481">
        <v>1</v>
      </c>
      <c r="D24" s="482">
        <v>5</v>
      </c>
      <c r="E24" s="483">
        <v>2291</v>
      </c>
      <c r="F24" s="484">
        <v>27114789033</v>
      </c>
      <c r="G24" s="502" t="str">
        <f>IFERROR(IF(compras_mes9[[#This Row],[CUIT]]="","-",VLOOKUP(compras_mes9[[#This Row],[CUIT]],Lista_CUIT[#All],2,0)),"CUIT NO CARGADO")</f>
        <v>ESPADA FARALDO MARGARITA MERCEDES</v>
      </c>
      <c r="H24" s="46">
        <v>10991.74</v>
      </c>
      <c r="I24" s="485">
        <f>IF(compras_mes9[[#This Row],[NETO GRAVADO]]="","",compras_mes9[[#This Row],[NETO GRAVADO]]*0.21)</f>
        <v>2308.2653999999998</v>
      </c>
      <c r="J24" s="485"/>
      <c r="K24" s="485"/>
      <c r="L24" s="485"/>
      <c r="M24" s="485"/>
      <c r="N24" s="485"/>
      <c r="O24" s="485"/>
      <c r="P24" s="486">
        <f>SUM(compras_mes9[[#This Row],[NETO GRAVADO]:[Otros / No Grav.]])</f>
        <v>13300.0054</v>
      </c>
      <c r="Q24" s="503" t="str">
        <f>IFERROR(IF(compras_mes9[[#This Row],[CUIT]]="","-",VLOOKUP(compras_mes9[[#This Row],[CUIT]],Lista_CUIT[#All],3,0)),"CUIT NO CARGADO")</f>
        <v>gastos varios</v>
      </c>
      <c r="R24" s="503">
        <f>IFERROR(IF(compras_mes9[[#This Row],[CUIT]]="","-",VLOOKUP(compras_mes9[[#This Row],[CUIT]],Lista_CUIT[#All],4,0)),"CUIT NO CARGADO")</f>
        <v>0</v>
      </c>
    </row>
    <row r="25" spans="2:18">
      <c r="B25" s="488">
        <v>45533</v>
      </c>
      <c r="C25" s="489">
        <v>1</v>
      </c>
      <c r="D25" s="490">
        <v>5</v>
      </c>
      <c r="E25" s="491">
        <v>2292</v>
      </c>
      <c r="F25" s="492">
        <v>27114789033</v>
      </c>
      <c r="G25" s="493" t="str">
        <f>IFERROR(IF(compras_mes9[[#This Row],[CUIT]]="","-",VLOOKUP(compras_mes9[[#This Row],[CUIT]],Lista_CUIT[#All],2,0)),"CUIT NO CARGADO")</f>
        <v>ESPADA FARALDO MARGARITA MERCEDES</v>
      </c>
      <c r="H25" s="465">
        <v>6942.15</v>
      </c>
      <c r="I25" s="494">
        <f>IF(compras_mes9[[#This Row],[NETO GRAVADO]]="","",compras_mes9[[#This Row],[NETO GRAVADO]]*0.21)</f>
        <v>1457.8514999999998</v>
      </c>
      <c r="J25" s="494"/>
      <c r="K25" s="494"/>
      <c r="L25" s="494"/>
      <c r="M25" s="494"/>
      <c r="N25" s="494"/>
      <c r="O25" s="494"/>
      <c r="P25" s="495">
        <f>SUM(compras_mes9[[#This Row],[NETO GRAVADO]:[Otros / No Grav.]])</f>
        <v>8400.0014999999985</v>
      </c>
      <c r="Q25" s="496" t="str">
        <f>IFERROR(IF(compras_mes9[[#This Row],[CUIT]]="","-",VLOOKUP(compras_mes9[[#This Row],[CUIT]],Lista_CUIT[#All],3,0)),"CUIT NO CARGADO")</f>
        <v>gastos varios</v>
      </c>
      <c r="R25" s="496">
        <f>IFERROR(IF(compras_mes9[[#This Row],[CUIT]]="","-",VLOOKUP(compras_mes9[[#This Row],[CUIT]],Lista_CUIT[#All],4,0)),"CUIT NO CARGADO")</f>
        <v>0</v>
      </c>
    </row>
    <row r="26" spans="2:18">
      <c r="B26" s="40">
        <v>45548</v>
      </c>
      <c r="C26" s="41">
        <v>1</v>
      </c>
      <c r="D26" s="42">
        <v>3</v>
      </c>
      <c r="E26" s="43">
        <v>170</v>
      </c>
      <c r="F26" s="44">
        <v>20334976433</v>
      </c>
      <c r="G26" s="45" t="str">
        <f>IFERROR(IF(compras_mes9[[#This Row],[CUIT]]="","-",VLOOKUP(compras_mes9[[#This Row],[CUIT]],Lista_CUIT[#All],2,0)),"CUIT NO CARGADO")</f>
        <v>NARDOMARINO EZEQUIEL EDUARDO</v>
      </c>
      <c r="H26" s="46">
        <v>188330</v>
      </c>
      <c r="I26" s="85">
        <f>IF(compras_mes9[[#This Row],[NETO GRAVADO]]="","",compras_mes9[[#This Row],[NETO GRAVADO]]*0.21)</f>
        <v>39549.299999999996</v>
      </c>
      <c r="J26" s="85"/>
      <c r="K26" s="85"/>
      <c r="L26" s="85"/>
      <c r="M26" s="85"/>
      <c r="N26" s="85"/>
      <c r="O26" s="85"/>
      <c r="P26" s="48">
        <f>SUM(compras_mes9[[#This Row],[NETO GRAVADO]:[Otros / No Grav.]])</f>
        <v>227879.3</v>
      </c>
      <c r="Q26" s="49" t="str">
        <f>IFERROR(IF(compras_mes9[[#This Row],[CUIT]]="","-",VLOOKUP(compras_mes9[[#This Row],[CUIT]],Lista_CUIT[#All],3,0)),"CUIT NO CARGADO")</f>
        <v>FLETE</v>
      </c>
      <c r="R26" s="49">
        <f>IFERROR(IF(compras_mes9[[#This Row],[CUIT]]="","-",VLOOKUP(compras_mes9[[#This Row],[CUIT]],Lista_CUIT[#All],4,0)),"CUIT NO CARGADO")</f>
        <v>0</v>
      </c>
    </row>
    <row r="27" spans="2:18">
      <c r="B27" s="40">
        <v>45548</v>
      </c>
      <c r="C27" s="41">
        <v>1</v>
      </c>
      <c r="D27" s="42">
        <v>3</v>
      </c>
      <c r="E27" s="43">
        <v>171</v>
      </c>
      <c r="F27" s="44">
        <v>20334976433</v>
      </c>
      <c r="G27" s="45" t="str">
        <f>IFERROR(IF(compras_mes9[[#This Row],[CUIT]]="","-",VLOOKUP(compras_mes9[[#This Row],[CUIT]],Lista_CUIT[#All],2,0)),"CUIT NO CARGADO")</f>
        <v>NARDOMARINO EZEQUIEL EDUARDO</v>
      </c>
      <c r="H27" s="46">
        <v>153000</v>
      </c>
      <c r="I27" s="85">
        <f>IF(compras_mes9[[#This Row],[NETO GRAVADO]]="","",compras_mes9[[#This Row],[NETO GRAVADO]]*0.21)</f>
        <v>32130</v>
      </c>
      <c r="J27" s="85"/>
      <c r="K27" s="85"/>
      <c r="L27" s="85"/>
      <c r="M27" s="85"/>
      <c r="N27" s="85"/>
      <c r="O27" s="85"/>
      <c r="P27" s="48">
        <f>SUM(compras_mes9[[#This Row],[NETO GRAVADO]:[Otros / No Grav.]])</f>
        <v>185130</v>
      </c>
      <c r="Q27" s="49" t="str">
        <f>IFERROR(IF(compras_mes9[[#This Row],[CUIT]]="","-",VLOOKUP(compras_mes9[[#This Row],[CUIT]],Lista_CUIT[#All],3,0)),"CUIT NO CARGADO")</f>
        <v>FLETE</v>
      </c>
      <c r="R27" s="49">
        <f>IFERROR(IF(compras_mes9[[#This Row],[CUIT]]="","-",VLOOKUP(compras_mes9[[#This Row],[CUIT]],Lista_CUIT[#All],4,0)),"CUIT NO CARGADO")</f>
        <v>0</v>
      </c>
    </row>
    <row r="28" spans="2:18">
      <c r="B28" s="40">
        <v>45561</v>
      </c>
      <c r="C28" s="41">
        <v>1</v>
      </c>
      <c r="D28" s="42">
        <v>3</v>
      </c>
      <c r="E28" s="43">
        <v>172</v>
      </c>
      <c r="F28" s="44">
        <v>20334976433</v>
      </c>
      <c r="G28" s="45" t="str">
        <f>IFERROR(IF(compras_mes9[[#This Row],[CUIT]]="","-",VLOOKUP(compras_mes9[[#This Row],[CUIT]],Lista_CUIT[#All],2,0)),"CUIT NO CARGADO")</f>
        <v>NARDOMARINO EZEQUIEL EDUARDO</v>
      </c>
      <c r="H28" s="46">
        <v>90000</v>
      </c>
      <c r="I28" s="85">
        <f>IF(compras_mes9[[#This Row],[NETO GRAVADO]]="","",compras_mes9[[#This Row],[NETO GRAVADO]]*0.21)</f>
        <v>18900</v>
      </c>
      <c r="J28" s="85"/>
      <c r="K28" s="85"/>
      <c r="L28" s="85"/>
      <c r="M28" s="85"/>
      <c r="N28" s="85"/>
      <c r="O28" s="85"/>
      <c r="P28" s="48">
        <f>SUM(compras_mes9[[#This Row],[NETO GRAVADO]:[Otros / No Grav.]])</f>
        <v>108900</v>
      </c>
      <c r="Q28" s="49" t="str">
        <f>IFERROR(IF(compras_mes9[[#This Row],[CUIT]]="","-",VLOOKUP(compras_mes9[[#This Row],[CUIT]],Lista_CUIT[#All],3,0)),"CUIT NO CARGADO")</f>
        <v>FLETE</v>
      </c>
      <c r="R28" s="49">
        <f>IFERROR(IF(compras_mes9[[#This Row],[CUIT]]="","-",VLOOKUP(compras_mes9[[#This Row],[CUIT]],Lista_CUIT[#All],4,0)),"CUIT NO CARGADO")</f>
        <v>0</v>
      </c>
    </row>
    <row r="29" spans="2:18">
      <c r="B29" s="40">
        <v>45554</v>
      </c>
      <c r="C29" s="41">
        <v>1</v>
      </c>
      <c r="D29" s="42">
        <v>11</v>
      </c>
      <c r="E29" s="43">
        <v>91964</v>
      </c>
      <c r="F29" s="44">
        <v>30526582884</v>
      </c>
      <c r="G29" s="45" t="str">
        <f>IFERROR(IF(compras_mes9[[#This Row],[CUIT]]="","-",VLOOKUP(compras_mes9[[#This Row],[CUIT]],Lista_CUIT[#All],2,0)),"CUIT NO CARGADO")</f>
        <v>EXPRESO MAR DEL PLATA S.A.</v>
      </c>
      <c r="H29" s="46">
        <v>4462.8100000000004</v>
      </c>
      <c r="I29" s="85">
        <f>IF(compras_mes9[[#This Row],[NETO GRAVADO]]="","",compras_mes9[[#This Row],[NETO GRAVADO]]*0.21)</f>
        <v>937.19010000000003</v>
      </c>
      <c r="J29" s="85"/>
      <c r="K29" s="85"/>
      <c r="L29" s="85"/>
      <c r="M29" s="85"/>
      <c r="N29" s="85"/>
      <c r="O29" s="85"/>
      <c r="P29" s="48">
        <f>SUM(compras_mes9[[#This Row],[NETO GRAVADO]:[Otros / No Grav.]])</f>
        <v>5400.0001000000002</v>
      </c>
      <c r="Q29" s="49" t="str">
        <f>IFERROR(IF(compras_mes9[[#This Row],[CUIT]]="","-",VLOOKUP(compras_mes9[[#This Row],[CUIT]],Lista_CUIT[#All],3,0)),"CUIT NO CARGADO")</f>
        <v>FLETE</v>
      </c>
      <c r="R29" s="49">
        <f>IFERROR(IF(compras_mes9[[#This Row],[CUIT]]="","-",VLOOKUP(compras_mes9[[#This Row],[CUIT]],Lista_CUIT[#All],4,0)),"CUIT NO CARGADO")</f>
        <v>0</v>
      </c>
    </row>
    <row r="30" spans="2:18">
      <c r="B30" s="470">
        <v>45538</v>
      </c>
      <c r="C30" s="41">
        <v>1</v>
      </c>
      <c r="D30" s="461">
        <v>2635</v>
      </c>
      <c r="E30" s="462">
        <v>1369</v>
      </c>
      <c r="F30" s="463">
        <v>33699685459</v>
      </c>
      <c r="G30" s="464" t="str">
        <f>IFERROR(IF(compras_mes9[[#This Row],[CUIT]]="","-",VLOOKUP(compras_mes9[[#This Row],[CUIT]],Lista_CUIT[#All],2,0)),"CUIT NO CARGADO")</f>
        <v>CORREO ANDREANI SA</v>
      </c>
      <c r="H30" s="465">
        <v>12449.6</v>
      </c>
      <c r="I30" s="466">
        <f>IF(compras_mes9[[#This Row],[NETO GRAVADO]]="","",compras_mes9[[#This Row],[NETO GRAVADO]]*0.21)</f>
        <v>2614.4160000000002</v>
      </c>
      <c r="J30" s="466"/>
      <c r="K30" s="466"/>
      <c r="L30" s="466"/>
      <c r="M30" s="466"/>
      <c r="N30" s="466"/>
      <c r="O30" s="466"/>
      <c r="P30" s="467">
        <f>SUM(compras_mes9[[#This Row],[NETO GRAVADO]:[Otros / No Grav.]])</f>
        <v>15064.016</v>
      </c>
      <c r="Q30" s="468" t="str">
        <f>IFERROR(IF(compras_mes9[[#This Row],[CUIT]]="","-",VLOOKUP(compras_mes9[[#This Row],[CUIT]],Lista_CUIT[#All],3,0)),"CUIT NO CARGADO")</f>
        <v>FLETE</v>
      </c>
      <c r="R30" s="468">
        <f>IFERROR(IF(compras_mes9[[#This Row],[CUIT]]="","-",VLOOKUP(compras_mes9[[#This Row],[CUIT]],Lista_CUIT[#All],4,0)),"CUIT NO CARGADO")</f>
        <v>0</v>
      </c>
    </row>
    <row r="31" spans="2:18">
      <c r="B31" s="470">
        <v>45548</v>
      </c>
      <c r="C31" s="460">
        <v>3</v>
      </c>
      <c r="D31" s="461">
        <v>3</v>
      </c>
      <c r="E31" s="462">
        <v>17</v>
      </c>
      <c r="F31" s="463">
        <v>20334976433</v>
      </c>
      <c r="G31" s="464" t="str">
        <f>IFERROR(IF(compras_mes9[[#This Row],[CUIT]]="","-",VLOOKUP(compras_mes9[[#This Row],[CUIT]],Lista_CUIT[#All],2,0)),"CUIT NO CARGADO")</f>
        <v>NARDOMARINO EZEQUIEL EDUARDO</v>
      </c>
      <c r="H31" s="465">
        <v>-188330</v>
      </c>
      <c r="I31" s="466">
        <f>IF(compras_mes9[[#This Row],[NETO GRAVADO]]="","",compras_mes9[[#This Row],[NETO GRAVADO]]*0.21)</f>
        <v>-39549.299999999996</v>
      </c>
      <c r="J31" s="466"/>
      <c r="K31" s="466"/>
      <c r="L31" s="466"/>
      <c r="M31" s="466"/>
      <c r="N31" s="466"/>
      <c r="O31" s="466"/>
      <c r="P31" s="467">
        <f>SUM(compras_mes9[[#This Row],[NETO GRAVADO]:[Otros / No Grav.]])</f>
        <v>-227879.3</v>
      </c>
      <c r="Q31" s="468" t="str">
        <f>IFERROR(IF(compras_mes9[[#This Row],[CUIT]]="","-",VLOOKUP(compras_mes9[[#This Row],[CUIT]],Lista_CUIT[#All],3,0)),"CUIT NO CARGADO")</f>
        <v>FLETE</v>
      </c>
      <c r="R31" s="468">
        <f>IFERROR(IF(compras_mes9[[#This Row],[CUIT]]="","-",VLOOKUP(compras_mes9[[#This Row],[CUIT]],Lista_CUIT[#All],4,0)),"CUIT NO CARGADO")</f>
        <v>0</v>
      </c>
    </row>
    <row r="32" spans="2:18">
      <c r="B32" s="470">
        <v>45558</v>
      </c>
      <c r="C32" s="460">
        <v>1</v>
      </c>
      <c r="D32" s="461">
        <v>9</v>
      </c>
      <c r="E32" s="462">
        <v>164699</v>
      </c>
      <c r="F32" s="463">
        <v>30712155694</v>
      </c>
      <c r="G32" s="464" t="str">
        <f>IFERROR(IF(compras_mes9[[#This Row],[CUIT]]="","-",VLOOKUP(compras_mes9[[#This Row],[CUIT]],Lista_CUIT[#All],2,0)),"CUIT NO CARGADO")</f>
        <v>RODRIGUEZ HERMANOS TRANSPORTES S.A.</v>
      </c>
      <c r="H32" s="465">
        <v>24285.71</v>
      </c>
      <c r="I32" s="466">
        <f>IF(compras_mes9[[#This Row],[NETO GRAVADO]]="","",compras_mes9[[#This Row],[NETO GRAVADO]]*0.21)</f>
        <v>5099.9991</v>
      </c>
      <c r="J32" s="466"/>
      <c r="K32" s="466"/>
      <c r="L32" s="466"/>
      <c r="M32" s="466"/>
      <c r="N32" s="466"/>
      <c r="O32" s="466"/>
      <c r="P32" s="467">
        <f>SUM(compras_mes9[[#This Row],[NETO GRAVADO]:[Otros / No Grav.]])</f>
        <v>29385.7091</v>
      </c>
      <c r="Q32" s="468" t="str">
        <f>IFERROR(IF(compras_mes9[[#This Row],[CUIT]]="","-",VLOOKUP(compras_mes9[[#This Row],[CUIT]],Lista_CUIT[#All],3,0)),"CUIT NO CARGADO")</f>
        <v>FLETE</v>
      </c>
      <c r="R32" s="468">
        <f>IFERROR(IF(compras_mes9[[#This Row],[CUIT]]="","-",VLOOKUP(compras_mes9[[#This Row],[CUIT]],Lista_CUIT[#All],4,0)),"CUIT NO CARGADO")</f>
        <v>0</v>
      </c>
    </row>
    <row r="33" spans="2:18">
      <c r="B33" s="40">
        <v>45563</v>
      </c>
      <c r="C33" s="41">
        <v>1</v>
      </c>
      <c r="D33" s="42">
        <v>2</v>
      </c>
      <c r="E33" s="43">
        <v>336</v>
      </c>
      <c r="F33" s="44">
        <v>27251962559</v>
      </c>
      <c r="G33" s="45" t="str">
        <f>IFERROR(IF(compras_mes9[[#This Row],[CUIT]]="","-",VLOOKUP(compras_mes9[[#This Row],[CUIT]],Lista_CUIT[#All],2,0)),"CUIT NO CARGADO")</f>
        <v>CHIARA FLORENCIA</v>
      </c>
      <c r="H33" s="46">
        <v>42396.71</v>
      </c>
      <c r="I33" s="85">
        <f>IF(compras_mes9[[#This Row],[NETO GRAVADO]]="","",compras_mes9[[#This Row],[NETO GRAVADO]]*0.21)</f>
        <v>8903.3090999999986</v>
      </c>
      <c r="J33" s="85"/>
      <c r="K33" s="85"/>
      <c r="L33" s="85"/>
      <c r="M33" s="85"/>
      <c r="N33" s="85"/>
      <c r="O33" s="85"/>
      <c r="P33" s="48">
        <f>SUM(compras_mes9[[#This Row],[NETO GRAVADO]:[Otros / No Grav.]])</f>
        <v>51300.019099999998</v>
      </c>
      <c r="Q33" s="49" t="str">
        <f>IFERROR(IF(compras_mes9[[#This Row],[CUIT]]="","-",VLOOKUP(compras_mes9[[#This Row],[CUIT]],Lista_CUIT[#All],3,0)),"CUIT NO CARGADO")</f>
        <v>Gastos Varios</v>
      </c>
      <c r="R33" s="49">
        <f>IFERROR(IF(compras_mes9[[#This Row],[CUIT]]="","-",VLOOKUP(compras_mes9[[#This Row],[CUIT]],Lista_CUIT[#All],4,0)),"CUIT NO CARGADO")</f>
        <v>0</v>
      </c>
    </row>
    <row r="34" spans="2:18">
      <c r="B34" s="40">
        <v>45565</v>
      </c>
      <c r="C34" s="41">
        <v>1</v>
      </c>
      <c r="D34" s="42">
        <v>1</v>
      </c>
      <c r="E34" s="43">
        <v>591606</v>
      </c>
      <c r="F34" s="44">
        <v>33716307749</v>
      </c>
      <c r="G34" s="45" t="str">
        <f>IFERROR(IF(compras_mes9[[#This Row],[CUIT]]="","-",VLOOKUP(compras_mes9[[#This Row],[CUIT]],Lista_CUIT[#All],2,0)),"CUIT NO CARGADO")</f>
        <v>VERISURE ARGENTINA MONITOREO DE ALARMAS SA</v>
      </c>
      <c r="H34" s="46">
        <v>318999</v>
      </c>
      <c r="I34" s="85">
        <f>IF(compras_mes9[[#This Row],[NETO GRAVADO]]="","",compras_mes9[[#This Row],[NETO GRAVADO]]*0.21)</f>
        <v>66989.789999999994</v>
      </c>
      <c r="J34" s="85"/>
      <c r="K34" s="85"/>
      <c r="L34" s="85"/>
      <c r="M34" s="85"/>
      <c r="N34" s="85"/>
      <c r="O34" s="85"/>
      <c r="P34" s="48">
        <f>SUM(compras_mes9[[#This Row],[NETO GRAVADO]:[Otros / No Grav.]])</f>
        <v>385988.79</v>
      </c>
      <c r="Q34" s="49" t="str">
        <f>IFERROR(IF(compras_mes9[[#This Row],[CUIT]]="","-",VLOOKUP(compras_mes9[[#This Row],[CUIT]],Lista_CUIT[#All],3,0)),"CUIT NO CARGADO")</f>
        <v>Servicio Seguridad</v>
      </c>
      <c r="R34" s="49">
        <f>IFERROR(IF(compras_mes9[[#This Row],[CUIT]]="","-",VLOOKUP(compras_mes9[[#This Row],[CUIT]],Lista_CUIT[#All],4,0)),"CUIT NO CARGADO")</f>
        <v>0</v>
      </c>
    </row>
    <row r="35" spans="2:18">
      <c r="B35" s="430">
        <v>45565</v>
      </c>
      <c r="C35" s="497">
        <v>1</v>
      </c>
      <c r="D35" s="431">
        <v>1</v>
      </c>
      <c r="E35" s="432">
        <v>591663</v>
      </c>
      <c r="F35" s="433">
        <v>33716307749</v>
      </c>
      <c r="G35" s="434" t="str">
        <f>IFERROR(IF(compras_mes9[[#This Row],[CUIT]]="","-",VLOOKUP(compras_mes9[[#This Row],[CUIT]],Lista_CUIT[#All],2,0)),"CUIT NO CARGADO")</f>
        <v>VERISURE ARGENTINA MONITOREO DE ALARMAS SA</v>
      </c>
      <c r="H35" s="46">
        <v>25499.3</v>
      </c>
      <c r="I35" s="498">
        <f>IF(compras_mes9[[#This Row],[NETO GRAVADO]]="","",compras_mes9[[#This Row],[NETO GRAVADO]]*0.21)</f>
        <v>5354.8530000000001</v>
      </c>
      <c r="J35" s="498"/>
      <c r="K35" s="498"/>
      <c r="L35" s="498"/>
      <c r="M35" s="498"/>
      <c r="N35" s="498"/>
      <c r="O35" s="498"/>
      <c r="P35" s="499">
        <f>SUM(compras_mes9[[#This Row],[NETO GRAVADO]:[Otros / No Grav.]])</f>
        <v>30854.152999999998</v>
      </c>
      <c r="Q35" s="49" t="str">
        <f>IFERROR(IF(compras_mes9[[#This Row],[CUIT]]="","-",VLOOKUP(compras_mes9[[#This Row],[CUIT]],Lista_CUIT[#All],3,0)),"CUIT NO CARGADO")</f>
        <v>Servicio Seguridad</v>
      </c>
      <c r="R35" s="500">
        <f>IFERROR(IF(compras_mes9[[#This Row],[CUIT]]="","-",VLOOKUP(compras_mes9[[#This Row],[CUIT]],Lista_CUIT[#All],4,0)),"CUIT NO CARGADO")</f>
        <v>0</v>
      </c>
    </row>
    <row r="36" spans="2:18">
      <c r="B36" s="40">
        <v>45537</v>
      </c>
      <c r="C36" s="41">
        <v>1</v>
      </c>
      <c r="D36" s="42">
        <v>500</v>
      </c>
      <c r="E36" s="43">
        <v>1611886</v>
      </c>
      <c r="F36" s="44">
        <v>30654118767</v>
      </c>
      <c r="G36" s="45" t="str">
        <f>IFERROR(IF(compras_mes9[[#This Row],[CUIT]]="","-",VLOOKUP(compras_mes9[[#This Row],[CUIT]],Lista_CUIT[#All],2,0)),"CUIT NO CARGADO")</f>
        <v>SOLUCIONES MULTIMEDIA SA</v>
      </c>
      <c r="H36" s="46">
        <v>89554.36</v>
      </c>
      <c r="I36" s="85">
        <f>IF(compras_mes9[[#This Row],[NETO GRAVADO]]="","",compras_mes9[[#This Row],[NETO GRAVADO]]*0.21)</f>
        <v>18806.4156</v>
      </c>
      <c r="J36" s="85"/>
      <c r="K36" s="85"/>
      <c r="L36" s="85"/>
      <c r="M36" s="85"/>
      <c r="N36" s="85"/>
      <c r="O36" s="85"/>
      <c r="P36" s="48">
        <f>SUM(compras_mes9[[#This Row],[NETO GRAVADO]:[Otros / No Grav.]])</f>
        <v>108360.77559999999</v>
      </c>
      <c r="Q36" s="49" t="str">
        <f>IFERROR(IF(compras_mes9[[#This Row],[CUIT]]="","-",VLOOKUP(compras_mes9[[#This Row],[CUIT]],Lista_CUIT[#All],3,0)),"CUIT NO CARGADO")</f>
        <v>GASTOS ADMINISTRATIVOS</v>
      </c>
      <c r="R36" s="49">
        <f>IFERROR(IF(compras_mes9[[#This Row],[CUIT]]="","-",VLOOKUP(compras_mes9[[#This Row],[CUIT]],Lista_CUIT[#All],4,0)),"CUIT NO CARGADO")</f>
        <v>0</v>
      </c>
    </row>
    <row r="37" spans="2:18">
      <c r="B37" s="40">
        <v>45564</v>
      </c>
      <c r="C37" s="41">
        <v>1</v>
      </c>
      <c r="D37" s="42">
        <v>25</v>
      </c>
      <c r="E37" s="43">
        <v>2868796</v>
      </c>
      <c r="F37" s="44">
        <v>30703088534</v>
      </c>
      <c r="G37" s="45" t="str">
        <f>IFERROR(IF(compras_mes9[[#This Row],[CUIT]]="","-",VLOOKUP(compras_mes9[[#This Row],[CUIT]],Lista_CUIT[#All],2,0)),"CUIT NO CARGADO")</f>
        <v>MERCADO LIBRE SRL</v>
      </c>
      <c r="H37" s="46">
        <v>37574.04</v>
      </c>
      <c r="I37" s="85">
        <f>IF(compras_mes9[[#This Row],[NETO GRAVADO]]="","",compras_mes9[[#This Row],[NETO GRAVADO]]*0.21)</f>
        <v>7890.5483999999997</v>
      </c>
      <c r="J37" s="85"/>
      <c r="K37" s="85"/>
      <c r="L37" s="85"/>
      <c r="M37" s="85"/>
      <c r="N37" s="85"/>
      <c r="O37" s="85"/>
      <c r="P37" s="48">
        <f>SUM(compras_mes9[[#This Row],[NETO GRAVADO]:[Otros / No Grav.]])</f>
        <v>45464.588400000001</v>
      </c>
      <c r="Q37" s="49" t="str">
        <f>IFERROR(IF(compras_mes9[[#This Row],[CUIT]]="","-",VLOOKUP(compras_mes9[[#This Row],[CUIT]],Lista_CUIT[#All],3,0)),"CUIT NO CARGADO")</f>
        <v>GASTOS COMERCIALIZACION</v>
      </c>
      <c r="R37" s="49">
        <f>IFERROR(IF(compras_mes9[[#This Row],[CUIT]]="","-",VLOOKUP(compras_mes9[[#This Row],[CUIT]],Lista_CUIT[#All],4,0)),"CUIT NO CARGADO")</f>
        <v>0</v>
      </c>
    </row>
    <row r="38" spans="2:18">
      <c r="B38" s="40">
        <v>45548</v>
      </c>
      <c r="C38" s="41">
        <v>1</v>
      </c>
      <c r="D38" s="42">
        <v>2</v>
      </c>
      <c r="E38" s="43">
        <v>4940</v>
      </c>
      <c r="F38" s="44">
        <v>27117233745</v>
      </c>
      <c r="G38" s="607" t="str">
        <f>IFERROR(IF(compras_mes9[[#This Row],[CUIT]]="","-",VLOOKUP(compras_mes9[[#This Row],[CUIT]],Lista_CUIT[#All],2,0)),"CUIT NO CARGADO")</f>
        <v>MANZINI MARTA GRACIELA</v>
      </c>
      <c r="H38" s="46">
        <v>585519</v>
      </c>
      <c r="I38" s="85">
        <f>IF(compras_mes9[[#This Row],[NETO GRAVADO]]="","",compras_mes9[[#This Row],[NETO GRAVADO]]*0.21)</f>
        <v>122958.98999999999</v>
      </c>
      <c r="J38" s="85"/>
      <c r="K38" s="85"/>
      <c r="L38" s="85"/>
      <c r="M38" s="85"/>
      <c r="N38" s="85"/>
      <c r="O38" s="85"/>
      <c r="P38" s="48">
        <f>SUM(compras_mes9[[#This Row],[NETO GRAVADO]:[Otros / No Grav.]])</f>
        <v>708477.99</v>
      </c>
      <c r="Q38" s="49" t="str">
        <f>IFERROR(IF(compras_mes9[[#This Row],[CUIT]]="","-",VLOOKUP(compras_mes9[[#This Row],[CUIT]],Lista_CUIT[#All],3,0)),"CUIT NO CARGADO")</f>
        <v>Honorarios Tecnicos</v>
      </c>
      <c r="R38" s="49">
        <f>IFERROR(IF(compras_mes9[[#This Row],[CUIT]]="","-",VLOOKUP(compras_mes9[[#This Row],[CUIT]],Lista_CUIT[#All],4,0)),"CUIT NO CARGADO")</f>
        <v>0</v>
      </c>
    </row>
    <row r="39" spans="2:18">
      <c r="B39" s="40">
        <v>45553</v>
      </c>
      <c r="C39" s="41">
        <v>1</v>
      </c>
      <c r="D39" s="42">
        <v>2</v>
      </c>
      <c r="E39" s="43">
        <v>4942</v>
      </c>
      <c r="F39" s="44">
        <v>27117233745</v>
      </c>
      <c r="G39" s="607" t="str">
        <f>IFERROR(IF(compras_mes9[[#This Row],[CUIT]]="","-",VLOOKUP(compras_mes9[[#This Row],[CUIT]],Lista_CUIT[#All],2,0)),"CUIT NO CARGADO")</f>
        <v>MANZINI MARTA GRACIELA</v>
      </c>
      <c r="H39" s="46">
        <v>585519</v>
      </c>
      <c r="I39" s="85">
        <f>IF(compras_mes9[[#This Row],[NETO GRAVADO]]="","",compras_mes9[[#This Row],[NETO GRAVADO]]*0.21)</f>
        <v>122958.98999999999</v>
      </c>
      <c r="J39" s="85"/>
      <c r="K39" s="85"/>
      <c r="L39" s="85"/>
      <c r="M39" s="85"/>
      <c r="N39" s="85"/>
      <c r="O39" s="85"/>
      <c r="P39" s="48">
        <f>SUM(compras_mes9[[#This Row],[NETO GRAVADO]:[Otros / No Grav.]])</f>
        <v>708477.99</v>
      </c>
      <c r="Q39" s="49" t="str">
        <f>IFERROR(IF(compras_mes9[[#This Row],[CUIT]]="","-",VLOOKUP(compras_mes9[[#This Row],[CUIT]],Lista_CUIT[#All],3,0)),"CUIT NO CARGADO")</f>
        <v>Honorarios Tecnicos</v>
      </c>
      <c r="R39" s="49">
        <f>IFERROR(IF(compras_mes9[[#This Row],[CUIT]]="","-",VLOOKUP(compras_mes9[[#This Row],[CUIT]],Lista_CUIT[#All],4,0)),"CUIT NO CARGADO")</f>
        <v>0</v>
      </c>
    </row>
    <row r="40" spans="2:18">
      <c r="B40" s="40">
        <v>45561</v>
      </c>
      <c r="C40" s="41">
        <v>1</v>
      </c>
      <c r="D40" s="42">
        <v>7</v>
      </c>
      <c r="E40" s="43">
        <v>3292</v>
      </c>
      <c r="F40" s="44">
        <v>20284183534</v>
      </c>
      <c r="G40" s="45" t="str">
        <f>IFERROR(IF(compras_mes9[[#This Row],[CUIT]]="","-",VLOOKUP(compras_mes9[[#This Row],[CUIT]],Lista_CUIT[#All],2,0)),"CUIT NO CARGADO")</f>
        <v>FURLANETTO MARTIN</v>
      </c>
      <c r="H40" s="46">
        <v>9504.1299999999992</v>
      </c>
      <c r="I40" s="85">
        <f>IF(compras_mes9[[#This Row],[NETO GRAVADO]]="","",compras_mes9[[#This Row],[NETO GRAVADO]]*0.21)</f>
        <v>1995.8672999999997</v>
      </c>
      <c r="J40" s="85"/>
      <c r="K40" s="85"/>
      <c r="L40" s="85"/>
      <c r="M40" s="85"/>
      <c r="N40" s="85"/>
      <c r="O40" s="85"/>
      <c r="P40" s="48">
        <f>SUM(compras_mes9[[#This Row],[NETO GRAVADO]:[Otros / No Grav.]])</f>
        <v>11499.997299999999</v>
      </c>
      <c r="Q40" s="49" t="str">
        <f>IFERROR(IF(compras_mes9[[#This Row],[CUIT]]="","-",VLOOKUP(compras_mes9[[#This Row],[CUIT]],Lista_CUIT[#All],3,0)),"CUIT NO CARGADO")</f>
        <v>gastos varios</v>
      </c>
      <c r="R40" s="49">
        <f>IFERROR(IF(compras_mes9[[#This Row],[CUIT]]="","-",VLOOKUP(compras_mes9[[#This Row],[CUIT]],Lista_CUIT[#All],4,0)),"CUIT NO CARGADO")</f>
        <v>0</v>
      </c>
    </row>
    <row r="41" spans="2:18">
      <c r="B41" s="40">
        <v>45545</v>
      </c>
      <c r="C41" s="41">
        <v>1</v>
      </c>
      <c r="D41" s="42">
        <v>2</v>
      </c>
      <c r="E41" s="43">
        <v>8403</v>
      </c>
      <c r="F41" s="44">
        <v>27363810182</v>
      </c>
      <c r="G41" s="45" t="str">
        <f>IFERROR(IF(compras_mes9[[#This Row],[CUIT]]="","-",VLOOKUP(compras_mes9[[#This Row],[CUIT]],Lista_CUIT[#All],2,0)),"CUIT NO CARGADO")</f>
        <v>HECKER LAURA NOEMI</v>
      </c>
      <c r="H41" s="46">
        <v>3635.54</v>
      </c>
      <c r="I41" s="85">
        <f>IF(compras_mes9[[#This Row],[NETO GRAVADO]]="","",compras_mes9[[#This Row],[NETO GRAVADO]]*0.21)</f>
        <v>763.46339999999998</v>
      </c>
      <c r="J41" s="85"/>
      <c r="K41" s="85"/>
      <c r="L41" s="85"/>
      <c r="M41" s="85"/>
      <c r="N41" s="85"/>
      <c r="O41" s="85"/>
      <c r="P41" s="48">
        <f>SUM(compras_mes9[[#This Row],[NETO GRAVADO]:[Otros / No Grav.]])</f>
        <v>4399.0033999999996</v>
      </c>
      <c r="Q41" s="49" t="str">
        <f>IFERROR(IF(compras_mes9[[#This Row],[CUIT]]="","-",VLOOKUP(compras_mes9[[#This Row],[CUIT]],Lista_CUIT[#All],3,0)),"CUIT NO CARGADO")</f>
        <v>Gastos Varios</v>
      </c>
      <c r="R41" s="49">
        <f>IFERROR(IF(compras_mes9[[#This Row],[CUIT]]="","-",VLOOKUP(compras_mes9[[#This Row],[CUIT]],Lista_CUIT[#All],4,0)),"CUIT NO CARGADO")</f>
        <v>0</v>
      </c>
    </row>
    <row r="42" spans="2:18">
      <c r="B42" s="40">
        <v>45545</v>
      </c>
      <c r="C42" s="41">
        <v>1</v>
      </c>
      <c r="D42" s="42">
        <v>3</v>
      </c>
      <c r="E42" s="43">
        <v>4250</v>
      </c>
      <c r="F42" s="44">
        <v>20184052858</v>
      </c>
      <c r="G42" s="45" t="str">
        <f>IFERROR(IF(compras_mes9[[#This Row],[CUIT]]="","-",VLOOKUP(compras_mes9[[#This Row],[CUIT]],Lista_CUIT[#All],2,0)),"CUIT NO CARGADO")</f>
        <v>ABOUD PABLO DANIEL</v>
      </c>
      <c r="H42" s="46">
        <v>16859.48</v>
      </c>
      <c r="I42" s="85">
        <f>IF(compras_mes9[[#This Row],[NETO GRAVADO]]="","",compras_mes9[[#This Row],[NETO GRAVADO]]*0.21)</f>
        <v>3540.4907999999996</v>
      </c>
      <c r="J42" s="85"/>
      <c r="K42" s="85"/>
      <c r="L42" s="85"/>
      <c r="M42" s="85"/>
      <c r="N42" s="85"/>
      <c r="O42" s="85"/>
      <c r="P42" s="48">
        <f>SUM(compras_mes9[[#This Row],[NETO GRAVADO]:[Otros / No Grav.]])</f>
        <v>20399.970799999999</v>
      </c>
      <c r="Q42" s="49" t="str">
        <f>IFERROR(IF(compras_mes9[[#This Row],[CUIT]]="","-",VLOOKUP(compras_mes9[[#This Row],[CUIT]],Lista_CUIT[#All],3,0)),"CUIT NO CARGADO")</f>
        <v>MANTENIMIENTO</v>
      </c>
      <c r="R42" s="49">
        <f>IFERROR(IF(compras_mes9[[#This Row],[CUIT]]="","-",VLOOKUP(compras_mes9[[#This Row],[CUIT]],Lista_CUIT[#All],4,0)),"CUIT NO CARGADO")</f>
        <v>0</v>
      </c>
    </row>
    <row r="43" spans="2:18">
      <c r="B43" s="40">
        <v>45546</v>
      </c>
      <c r="C43" s="41">
        <v>1</v>
      </c>
      <c r="D43" s="42">
        <v>3</v>
      </c>
      <c r="E43" s="43">
        <v>7676</v>
      </c>
      <c r="F43" s="44">
        <v>33708218699</v>
      </c>
      <c r="G43" s="45" t="str">
        <f>IFERROR(IF(compras_mes9[[#This Row],[CUIT]]="","-",VLOOKUP(compras_mes9[[#This Row],[CUIT]],Lista_CUIT[#All],2,0)),"CUIT NO CARGADO")</f>
        <v>MANGGINI PABLO Y MANGGINI ULISES SOC. DE HECHO.</v>
      </c>
      <c r="H43" s="46">
        <v>15000</v>
      </c>
      <c r="I43" s="85">
        <f>IF(compras_mes9[[#This Row],[NETO GRAVADO]]="","",compras_mes9[[#This Row],[NETO GRAVADO]]*0.21)</f>
        <v>3150</v>
      </c>
      <c r="J43" s="85"/>
      <c r="K43" s="85"/>
      <c r="L43" s="85"/>
      <c r="M43" s="85"/>
      <c r="N43" s="85"/>
      <c r="O43" s="85"/>
      <c r="P43" s="48">
        <f>SUM(compras_mes9[[#This Row],[NETO GRAVADO]:[Otros / No Grav.]])</f>
        <v>18150</v>
      </c>
      <c r="Q43" s="49" t="str">
        <f>IFERROR(IF(compras_mes9[[#This Row],[CUIT]]="","-",VLOOKUP(compras_mes9[[#This Row],[CUIT]],Lista_CUIT[#All],3,0)),"CUIT NO CARGADO")</f>
        <v>Gastos Varios</v>
      </c>
      <c r="R43" s="49">
        <f>IFERROR(IF(compras_mes9[[#This Row],[CUIT]]="","-",VLOOKUP(compras_mes9[[#This Row],[CUIT]],Lista_CUIT[#All],4,0)),"CUIT NO CARGADO")</f>
        <v>0</v>
      </c>
    </row>
    <row r="44" spans="2:18">
      <c r="B44" s="40">
        <v>45565</v>
      </c>
      <c r="C44" s="41">
        <v>1</v>
      </c>
      <c r="D44" s="42">
        <v>3</v>
      </c>
      <c r="E44" s="43">
        <v>4276</v>
      </c>
      <c r="F44" s="44">
        <v>20184052858</v>
      </c>
      <c r="G44" s="45" t="str">
        <f>IFERROR(IF(compras_mes9[[#This Row],[CUIT]]="","-",VLOOKUP(compras_mes9[[#This Row],[CUIT]],Lista_CUIT[#All],2,0)),"CUIT NO CARGADO")</f>
        <v>ABOUD PABLO DANIEL</v>
      </c>
      <c r="H44" s="46">
        <v>71074.33</v>
      </c>
      <c r="I44" s="85">
        <f>IF(compras_mes9[[#This Row],[NETO GRAVADO]]="","",compras_mes9[[#This Row],[NETO GRAVADO]]*0.21)</f>
        <v>14925.6093</v>
      </c>
      <c r="J44" s="85"/>
      <c r="K44" s="85"/>
      <c r="L44" s="85"/>
      <c r="M44" s="85"/>
      <c r="N44" s="85"/>
      <c r="O44" s="85"/>
      <c r="P44" s="48">
        <f>SUM(compras_mes9[[#This Row],[NETO GRAVADO]:[Otros / No Grav.]])</f>
        <v>85999.939299999998</v>
      </c>
      <c r="Q44" s="49" t="str">
        <f>IFERROR(IF(compras_mes9[[#This Row],[CUIT]]="","-",VLOOKUP(compras_mes9[[#This Row],[CUIT]],Lista_CUIT[#All],3,0)),"CUIT NO CARGADO")</f>
        <v>MANTENIMIENTO</v>
      </c>
      <c r="R44" s="49">
        <f>IFERROR(IF(compras_mes9[[#This Row],[CUIT]]="","-",VLOOKUP(compras_mes9[[#This Row],[CUIT]],Lista_CUIT[#All],4,0)),"CUIT NO CARGADO")</f>
        <v>0</v>
      </c>
    </row>
    <row r="45" spans="2:18">
      <c r="B45" s="40">
        <v>45561</v>
      </c>
      <c r="C45" s="41">
        <v>1</v>
      </c>
      <c r="D45" s="42">
        <v>4</v>
      </c>
      <c r="E45" s="43">
        <v>751</v>
      </c>
      <c r="F45" s="44">
        <v>33715005129</v>
      </c>
      <c r="G45" s="45" t="str">
        <f>IFERROR(IF(compras_mes9[[#This Row],[CUIT]]="","-",VLOOKUP(compras_mes9[[#This Row],[CUIT]],Lista_CUIT[#All],2,0)),"CUIT NO CARGADO")</f>
        <v>JUNIN 0 SRL</v>
      </c>
      <c r="H45" s="46">
        <v>51074.38</v>
      </c>
      <c r="I45" s="85">
        <f>IF(compras_mes9[[#This Row],[NETO GRAVADO]]="","",compras_mes9[[#This Row],[NETO GRAVADO]]*0.21)</f>
        <v>10725.619799999999</v>
      </c>
      <c r="J45" s="85"/>
      <c r="K45" s="85"/>
      <c r="L45" s="85"/>
      <c r="M45" s="85"/>
      <c r="N45" s="85"/>
      <c r="O45" s="85"/>
      <c r="P45" s="48">
        <f>SUM(compras_mes9[[#This Row],[NETO GRAVADO]:[Otros / No Grav.]])</f>
        <v>61799.999799999998</v>
      </c>
      <c r="Q45" s="49" t="str">
        <f>IFERROR(IF(compras_mes9[[#This Row],[CUIT]]="","-",VLOOKUP(compras_mes9[[#This Row],[CUIT]],Lista_CUIT[#All],3,0)),"CUIT NO CARGADO")</f>
        <v>gastos varios</v>
      </c>
      <c r="R45" s="49">
        <f>IFERROR(IF(compras_mes9[[#This Row],[CUIT]]="","-",VLOOKUP(compras_mes9[[#This Row],[CUIT]],Lista_CUIT[#All],4,0)),"CUIT NO CARGADO")</f>
        <v>0</v>
      </c>
    </row>
    <row r="46" spans="2:18">
      <c r="B46" s="40">
        <v>45537</v>
      </c>
      <c r="C46" s="41">
        <v>1</v>
      </c>
      <c r="D46" s="42">
        <v>5</v>
      </c>
      <c r="E46" s="43">
        <v>102</v>
      </c>
      <c r="F46" s="44">
        <v>27329449357</v>
      </c>
      <c r="G46" s="45" t="str">
        <f>IFERROR(IF(compras_mes9[[#This Row],[CUIT]]="","-",VLOOKUP(compras_mes9[[#This Row],[CUIT]],Lista_CUIT[#All],2,0)),"CUIT NO CARGADO")</f>
        <v>ANDREANI AGUSTINA SUSANA</v>
      </c>
      <c r="H46" s="46">
        <v>64100</v>
      </c>
      <c r="I46" s="85">
        <f>IF(compras_mes9[[#This Row],[NETO GRAVADO]]="","",compras_mes9[[#This Row],[NETO GRAVADO]]*0.21)</f>
        <v>13461</v>
      </c>
      <c r="J46" s="85"/>
      <c r="K46" s="85"/>
      <c r="L46" s="85"/>
      <c r="M46" s="85"/>
      <c r="N46" s="85"/>
      <c r="O46" s="85"/>
      <c r="P46" s="48">
        <f>SUM(compras_mes9[[#This Row],[NETO GRAVADO]:[Otros / No Grav.]])</f>
        <v>77561</v>
      </c>
      <c r="Q46" s="49" t="str">
        <f>IFERROR(IF(compras_mes9[[#This Row],[CUIT]]="","-",VLOOKUP(compras_mes9[[#This Row],[CUIT]],Lista_CUIT[#All],3,0)),"CUIT NO CARGADO")</f>
        <v>Gastos Varios</v>
      </c>
      <c r="R46" s="49">
        <f>IFERROR(IF(compras_mes9[[#This Row],[CUIT]]="","-",VLOOKUP(compras_mes9[[#This Row],[CUIT]],Lista_CUIT[#All],4,0)),"CUIT NO CARGADO")</f>
        <v>0</v>
      </c>
    </row>
    <row r="47" spans="2:18">
      <c r="B47" s="40">
        <v>45545</v>
      </c>
      <c r="C47" s="41">
        <v>1</v>
      </c>
      <c r="D47" s="42">
        <v>5</v>
      </c>
      <c r="E47" s="43">
        <v>31858</v>
      </c>
      <c r="F47" s="44">
        <v>30710804830</v>
      </c>
      <c r="G47" s="45" t="str">
        <f>IFERROR(IF(compras_mes9[[#This Row],[CUIT]]="","-",VLOOKUP(compras_mes9[[#This Row],[CUIT]],Lista_CUIT[#All],2,0)),"CUIT NO CARGADO")</f>
        <v>ZG MULTITEC SRL</v>
      </c>
      <c r="H47" s="46">
        <v>29410.86</v>
      </c>
      <c r="I47" s="85"/>
      <c r="J47" s="85"/>
      <c r="K47" s="85">
        <f>compras_mes9[[#This Row],[NETO GRAVADO]]*10.5/100</f>
        <v>3088.1403000000005</v>
      </c>
      <c r="L47" s="85"/>
      <c r="M47" s="85"/>
      <c r="N47" s="85"/>
      <c r="O47" s="85"/>
      <c r="P47" s="48">
        <f>SUM(compras_mes9[[#This Row],[NETO GRAVADO]:[Otros / No Grav.]])</f>
        <v>32499.0003</v>
      </c>
      <c r="Q47" s="49" t="str">
        <f>IFERROR(IF(compras_mes9[[#This Row],[CUIT]]="","-",VLOOKUP(compras_mes9[[#This Row],[CUIT]],Lista_CUIT[#All],3,0)),"CUIT NO CARGADO")</f>
        <v>Gastos Varios</v>
      </c>
      <c r="R47" s="49">
        <f>IFERROR(IF(compras_mes9[[#This Row],[CUIT]]="","-",VLOOKUP(compras_mes9[[#This Row],[CUIT]],Lista_CUIT[#All],4,0)),"CUIT NO CARGADO")</f>
        <v>0</v>
      </c>
    </row>
    <row r="48" spans="2:18">
      <c r="B48" s="40">
        <v>45555</v>
      </c>
      <c r="C48" s="41">
        <v>1</v>
      </c>
      <c r="D48" s="42">
        <v>5</v>
      </c>
      <c r="E48" s="43">
        <v>3877</v>
      </c>
      <c r="F48" s="44">
        <v>20348485580</v>
      </c>
      <c r="G48" s="45" t="str">
        <f>IFERROR(IF(compras_mes9[[#This Row],[CUIT]]="","-",VLOOKUP(compras_mes9[[#This Row],[CUIT]],Lista_CUIT[#All],2,0)),"CUIT NO CARGADO")</f>
        <v>NOLASCO ALAN MANUEL</v>
      </c>
      <c r="H48" s="46">
        <v>29099.82</v>
      </c>
      <c r="I48" s="85">
        <f>IF(compras_mes9[[#This Row],[NETO GRAVADO]]="","",compras_mes9[[#This Row],[NETO GRAVADO]]*0.21)</f>
        <v>6110.9621999999999</v>
      </c>
      <c r="J48" s="85"/>
      <c r="K48" s="85"/>
      <c r="L48" s="85"/>
      <c r="M48" s="85"/>
      <c r="N48" s="85"/>
      <c r="O48" s="85"/>
      <c r="P48" s="48">
        <f>SUM(compras_mes9[[#This Row],[NETO GRAVADO]:[Otros / No Grav.]])</f>
        <v>35210.782200000001</v>
      </c>
      <c r="Q48" s="49" t="str">
        <f>IFERROR(IF(compras_mes9[[#This Row],[CUIT]]="","-",VLOOKUP(compras_mes9[[#This Row],[CUIT]],Lista_CUIT[#All],3,0)),"CUIT NO CARGADO")</f>
        <v>Gastos Varios</v>
      </c>
      <c r="R48" s="49">
        <f>IFERROR(IF(compras_mes9[[#This Row],[CUIT]]="","-",VLOOKUP(compras_mes9[[#This Row],[CUIT]],Lista_CUIT[#All],4,0)),"CUIT NO CARGADO")</f>
        <v>0</v>
      </c>
    </row>
    <row r="49" spans="2:18">
      <c r="B49" s="40">
        <v>45561</v>
      </c>
      <c r="C49" s="41">
        <v>1</v>
      </c>
      <c r="D49" s="42">
        <v>5</v>
      </c>
      <c r="E49" s="43">
        <v>32</v>
      </c>
      <c r="F49" s="44">
        <v>20929183143</v>
      </c>
      <c r="G49" s="45" t="str">
        <f>IFERROR(IF(compras_mes9[[#This Row],[CUIT]]="","-",VLOOKUP(compras_mes9[[#This Row],[CUIT]],Lista_CUIT[#All],2,0)),"CUIT NO CARGADO")</f>
        <v>MA JUN</v>
      </c>
      <c r="H49" s="46">
        <v>50000</v>
      </c>
      <c r="I49" s="85">
        <f>IF(compras_mes9[[#This Row],[NETO GRAVADO]]="","",compras_mes9[[#This Row],[NETO GRAVADO]]*0.21)</f>
        <v>10500</v>
      </c>
      <c r="J49" s="85"/>
      <c r="K49" s="85"/>
      <c r="L49" s="85"/>
      <c r="M49" s="85"/>
      <c r="N49" s="85"/>
      <c r="O49" s="85"/>
      <c r="P49" s="48">
        <f>SUM(compras_mes9[[#This Row],[NETO GRAVADO]:[Otros / No Grav.]])</f>
        <v>60500</v>
      </c>
      <c r="Q49" s="49" t="str">
        <f>IFERROR(IF(compras_mes9[[#This Row],[CUIT]]="","-",VLOOKUP(compras_mes9[[#This Row],[CUIT]],Lista_CUIT[#All],3,0)),"CUIT NO CARGADO")</f>
        <v>Gastos Varios</v>
      </c>
      <c r="R49" s="49">
        <f>IFERROR(IF(compras_mes9[[#This Row],[CUIT]]="","-",VLOOKUP(compras_mes9[[#This Row],[CUIT]],Lista_CUIT[#All],4,0)),"CUIT NO CARGADO")</f>
        <v>0</v>
      </c>
    </row>
    <row r="50" spans="2:18">
      <c r="B50" s="40">
        <v>45551</v>
      </c>
      <c r="C50" s="41">
        <v>1</v>
      </c>
      <c r="D50" s="42">
        <v>6</v>
      </c>
      <c r="E50" s="43">
        <v>40318</v>
      </c>
      <c r="F50" s="44">
        <v>30709459399</v>
      </c>
      <c r="G50" s="45" t="str">
        <f>IFERROR(IF(compras_mes9[[#This Row],[CUIT]]="","-",VLOOKUP(compras_mes9[[#This Row],[CUIT]],Lista_CUIT[#All],2,0)),"CUIT NO CARGADO")</f>
        <v>LA JUNIOR S.R.L.</v>
      </c>
      <c r="H50" s="46">
        <v>11807.44</v>
      </c>
      <c r="I50" s="85">
        <f>IF(compras_mes9[[#This Row],[NETO GRAVADO]]="","",compras_mes9[[#This Row],[NETO GRAVADO]]*0.21)</f>
        <v>2479.5623999999998</v>
      </c>
      <c r="J50" s="85"/>
      <c r="K50" s="85"/>
      <c r="L50" s="85"/>
      <c r="M50" s="85"/>
      <c r="N50" s="85"/>
      <c r="O50" s="85"/>
      <c r="P50" s="48">
        <f>SUM(compras_mes9[[#This Row],[NETO GRAVADO]:[Otros / No Grav.]])</f>
        <v>14287.002400000001</v>
      </c>
      <c r="Q50" s="49" t="str">
        <f>IFERROR(IF(compras_mes9[[#This Row],[CUIT]]="","-",VLOOKUP(compras_mes9[[#This Row],[CUIT]],Lista_CUIT[#All],3,0)),"CUIT NO CARGADO")</f>
        <v>gastos Varios</v>
      </c>
      <c r="R50" s="49">
        <f>IFERROR(IF(compras_mes9[[#This Row],[CUIT]]="","-",VLOOKUP(compras_mes9[[#This Row],[CUIT]],Lista_CUIT[#All],4,0)),"CUIT NO CARGADO")</f>
        <v>0</v>
      </c>
    </row>
    <row r="51" spans="2:18">
      <c r="B51" s="40">
        <v>45565</v>
      </c>
      <c r="C51" s="41">
        <v>1</v>
      </c>
      <c r="D51" s="42">
        <v>6</v>
      </c>
      <c r="E51" s="43">
        <v>17599524</v>
      </c>
      <c r="F51" s="44">
        <v>30620177497</v>
      </c>
      <c r="G51" s="45" t="str">
        <f>IFERROR(IF(compras_mes9[[#This Row],[CUIT]]="","-",VLOOKUP(compras_mes9[[#This Row],[CUIT]],Lista_CUIT[#All],2,0)),"CUIT NO CARGADO")</f>
        <v>POSNET SOCIEDAD DE RESPONSABILIDAD LIMITADA</v>
      </c>
      <c r="H51" s="46">
        <v>26164.14</v>
      </c>
      <c r="I51" s="85">
        <f>IF(compras_mes9[[#This Row],[NETO GRAVADO]]="","",compras_mes9[[#This Row],[NETO GRAVADO]]*0.21)</f>
        <v>5494.4694</v>
      </c>
      <c r="J51" s="85"/>
      <c r="K51" s="85"/>
      <c r="L51" s="85"/>
      <c r="M51" s="85"/>
      <c r="N51" s="85"/>
      <c r="O51" s="85"/>
      <c r="P51" s="48">
        <f>SUM(compras_mes9[[#This Row],[NETO GRAVADO]:[Otros / No Grav.]])</f>
        <v>31658.609400000001</v>
      </c>
      <c r="Q51" s="49" t="str">
        <f>IFERROR(IF(compras_mes9[[#This Row],[CUIT]]="","-",VLOOKUP(compras_mes9[[#This Row],[CUIT]],Lista_CUIT[#All],3,0)),"CUIT NO CARGADO")</f>
        <v>Gastos Varios</v>
      </c>
      <c r="R51" s="49">
        <f>IFERROR(IF(compras_mes9[[#This Row],[CUIT]]="","-",VLOOKUP(compras_mes9[[#This Row],[CUIT]],Lista_CUIT[#All],4,0)),"CUIT NO CARGADO")</f>
        <v>0</v>
      </c>
    </row>
    <row r="52" spans="2:18">
      <c r="B52" s="40">
        <v>45565</v>
      </c>
      <c r="C52" s="41">
        <v>1</v>
      </c>
      <c r="D52" s="42">
        <v>6</v>
      </c>
      <c r="E52" s="43">
        <v>17452146</v>
      </c>
      <c r="F52" s="44">
        <v>30620177497</v>
      </c>
      <c r="G52" s="45" t="str">
        <f>IFERROR(IF(compras_mes9[[#This Row],[CUIT]]="","-",VLOOKUP(compras_mes9[[#This Row],[CUIT]],Lista_CUIT[#All],2,0)),"CUIT NO CARGADO")</f>
        <v>POSNET SOCIEDAD DE RESPONSABILIDAD LIMITADA</v>
      </c>
      <c r="H52" s="46">
        <v>0</v>
      </c>
      <c r="I52" s="85">
        <f>IF(compras_mes9[[#This Row],[NETO GRAVADO]]="","",compras_mes9[[#This Row],[NETO GRAVADO]]*0.21)</f>
        <v>0</v>
      </c>
      <c r="J52" s="85"/>
      <c r="K52" s="85"/>
      <c r="L52" s="85"/>
      <c r="M52" s="85"/>
      <c r="N52" s="85"/>
      <c r="O52" s="85"/>
      <c r="P52" s="48">
        <f>SUM(compras_mes9[[#This Row],[NETO GRAVADO]:[Otros / No Grav.]])</f>
        <v>0</v>
      </c>
      <c r="Q52" s="49" t="str">
        <f>IFERROR(IF(compras_mes9[[#This Row],[CUIT]]="","-",VLOOKUP(compras_mes9[[#This Row],[CUIT]],Lista_CUIT[#All],3,0)),"CUIT NO CARGADO")</f>
        <v>Gastos Varios</v>
      </c>
      <c r="R52" s="49">
        <f>IFERROR(IF(compras_mes9[[#This Row],[CUIT]]="","-",VLOOKUP(compras_mes9[[#This Row],[CUIT]],Lista_CUIT[#All],4,0)),"CUIT NO CARGADO")</f>
        <v>0</v>
      </c>
    </row>
    <row r="53" spans="2:18">
      <c r="B53" s="40">
        <v>45565</v>
      </c>
      <c r="C53" s="41">
        <v>1</v>
      </c>
      <c r="D53" s="42">
        <v>6</v>
      </c>
      <c r="E53" s="43">
        <v>804</v>
      </c>
      <c r="F53" s="44">
        <v>20214946867</v>
      </c>
      <c r="G53" s="45" t="str">
        <f>IFERROR(IF(compras_mes9[[#This Row],[CUIT]]="","-",VLOOKUP(compras_mes9[[#This Row],[CUIT]],Lista_CUIT[#All],2,0)),"CUIT NO CARGADO")</f>
        <v>PAIS HECTOR GUILLERMO</v>
      </c>
      <c r="H53" s="46">
        <v>37189.24</v>
      </c>
      <c r="I53" s="85">
        <f>IF(compras_mes9[[#This Row],[NETO GRAVADO]]="","",compras_mes9[[#This Row],[NETO GRAVADO]]*0.21)</f>
        <v>7809.7403999999997</v>
      </c>
      <c r="J53" s="85"/>
      <c r="K53" s="85"/>
      <c r="L53" s="85"/>
      <c r="M53" s="85"/>
      <c r="N53" s="85"/>
      <c r="O53" s="85"/>
      <c r="P53" s="48">
        <f>SUM(compras_mes9[[#This Row],[NETO GRAVADO]:[Otros / No Grav.]])</f>
        <v>44998.9804</v>
      </c>
      <c r="Q53" s="49" t="str">
        <f>IFERROR(IF(compras_mes9[[#This Row],[CUIT]]="","-",VLOOKUP(compras_mes9[[#This Row],[CUIT]],Lista_CUIT[#All],3,0)),"CUIT NO CARGADO")</f>
        <v>GASTOS VARIOS</v>
      </c>
      <c r="R53" s="49">
        <f>IFERROR(IF(compras_mes9[[#This Row],[CUIT]]="","-",VLOOKUP(compras_mes9[[#This Row],[CUIT]],Lista_CUIT[#All],4,0)),"CUIT NO CARGADO")</f>
        <v>0</v>
      </c>
    </row>
    <row r="54" spans="2:18">
      <c r="B54" s="40">
        <v>45539</v>
      </c>
      <c r="C54" s="41">
        <v>1</v>
      </c>
      <c r="D54" s="42">
        <v>7</v>
      </c>
      <c r="E54" s="43">
        <v>3241</v>
      </c>
      <c r="F54" s="44">
        <v>20284183534</v>
      </c>
      <c r="G54" s="45" t="str">
        <f>IFERROR(IF(compras_mes9[[#This Row],[CUIT]]="","-",VLOOKUP(compras_mes9[[#This Row],[CUIT]],Lista_CUIT[#All],2,0)),"CUIT NO CARGADO")</f>
        <v>FURLANETTO MARTIN</v>
      </c>
      <c r="H54" s="46">
        <v>4545.5</v>
      </c>
      <c r="I54" s="85">
        <f>IF(compras_mes9[[#This Row],[NETO GRAVADO]]="","",compras_mes9[[#This Row],[NETO GRAVADO]]*0.21)</f>
        <v>954.55499999999995</v>
      </c>
      <c r="J54" s="85"/>
      <c r="K54" s="85"/>
      <c r="L54" s="85"/>
      <c r="M54" s="85"/>
      <c r="N54" s="85"/>
      <c r="O54" s="85"/>
      <c r="P54" s="48">
        <f>SUM(compras_mes9[[#This Row],[NETO GRAVADO]:[Otros / No Grav.]])</f>
        <v>5500.0550000000003</v>
      </c>
      <c r="Q54" s="49" t="str">
        <f>IFERROR(IF(compras_mes9[[#This Row],[CUIT]]="","-",VLOOKUP(compras_mes9[[#This Row],[CUIT]],Lista_CUIT[#All],3,0)),"CUIT NO CARGADO")</f>
        <v>gastos varios</v>
      </c>
      <c r="R54" s="49">
        <f>IFERROR(IF(compras_mes9[[#This Row],[CUIT]]="","-",VLOOKUP(compras_mes9[[#This Row],[CUIT]],Lista_CUIT[#All],4,0)),"CUIT NO CARGADO")</f>
        <v>0</v>
      </c>
    </row>
    <row r="55" spans="2:18">
      <c r="B55" s="40">
        <v>45554</v>
      </c>
      <c r="C55" s="41">
        <v>1</v>
      </c>
      <c r="D55" s="42">
        <v>7</v>
      </c>
      <c r="E55" s="43">
        <v>6066</v>
      </c>
      <c r="F55" s="44">
        <v>20131067446</v>
      </c>
      <c r="G55" s="45" t="str">
        <f>IFERROR(IF(compras_mes9[[#This Row],[CUIT]]="","-",VLOOKUP(compras_mes9[[#This Row],[CUIT]],Lista_CUIT[#All],2,0)),"CUIT NO CARGADO")</f>
        <v>TRIVEÑO ROMA RAMON</v>
      </c>
      <c r="H55" s="46">
        <v>278865.59999999998</v>
      </c>
      <c r="I55" s="85">
        <f>IF(compras_mes9[[#This Row],[NETO GRAVADO]]="","",compras_mes9[[#This Row],[NETO GRAVADO]]*0.21)</f>
        <v>58561.775999999991</v>
      </c>
      <c r="J55" s="85"/>
      <c r="K55" s="85"/>
      <c r="L55" s="85"/>
      <c r="M55" s="85"/>
      <c r="N55" s="85"/>
      <c r="O55" s="85"/>
      <c r="P55" s="48">
        <f>SUM(compras_mes9[[#This Row],[NETO GRAVADO]:[Otros / No Grav.]])</f>
        <v>337427.37599999999</v>
      </c>
      <c r="Q55" s="49" t="str">
        <f>IFERROR(IF(compras_mes9[[#This Row],[CUIT]]="","-",VLOOKUP(compras_mes9[[#This Row],[CUIT]],Lista_CUIT[#All],3,0)),"CUIT NO CARGADO")</f>
        <v>Gastos Varios</v>
      </c>
      <c r="R55" s="49">
        <f>IFERROR(IF(compras_mes9[[#This Row],[CUIT]]="","-",VLOOKUP(compras_mes9[[#This Row],[CUIT]],Lista_CUIT[#All],4,0)),"CUIT NO CARGADO")</f>
        <v>0</v>
      </c>
    </row>
    <row r="56" spans="2:18">
      <c r="B56" s="40">
        <v>45550</v>
      </c>
      <c r="C56" s="41">
        <v>1</v>
      </c>
      <c r="D56" s="42">
        <v>113</v>
      </c>
      <c r="E56" s="43">
        <v>3802250</v>
      </c>
      <c r="F56" s="44">
        <v>30577207190</v>
      </c>
      <c r="G56" s="45" t="str">
        <f>IFERROR(IF(compras_mes9[[#This Row],[CUIT]]="","-",VLOOKUP(compras_mes9[[#This Row],[CUIT]],Lista_CUIT[#All],2,0)),"CUIT NO CARGADO")</f>
        <v>COORDINACION ECOLOGICA AREA METROPOLITANA SOCIEDAD DEL ESTADO</v>
      </c>
      <c r="H56" s="46">
        <v>2975.21</v>
      </c>
      <c r="I56" s="85">
        <f>IF(compras_mes9[[#This Row],[NETO GRAVADO]]="","",compras_mes9[[#This Row],[NETO GRAVADO]]*0.21)</f>
        <v>624.79409999999996</v>
      </c>
      <c r="J56" s="85"/>
      <c r="K56" s="85"/>
      <c r="L56" s="85"/>
      <c r="M56" s="85"/>
      <c r="N56" s="85"/>
      <c r="O56" s="85"/>
      <c r="P56" s="48">
        <f>SUM(compras_mes9[[#This Row],[NETO GRAVADO]:[Otros / No Grav.]])</f>
        <v>3600.0041000000001</v>
      </c>
      <c r="Q56" s="49" t="str">
        <f>IFERROR(IF(compras_mes9[[#This Row],[CUIT]]="","-",VLOOKUP(compras_mes9[[#This Row],[CUIT]],Lista_CUIT[#All],3,0)),"CUIT NO CARGADO")</f>
        <v>gastos varios</v>
      </c>
      <c r="R56" s="49">
        <f>IFERROR(IF(compras_mes9[[#This Row],[CUIT]]="","-",VLOOKUP(compras_mes9[[#This Row],[CUIT]],Lista_CUIT[#All],4,0)),"CUIT NO CARGADO")</f>
        <v>0</v>
      </c>
    </row>
    <row r="57" spans="2:18">
      <c r="B57" s="40">
        <v>45539</v>
      </c>
      <c r="C57" s="41">
        <v>1</v>
      </c>
      <c r="D57" s="42">
        <v>120</v>
      </c>
      <c r="E57" s="43">
        <v>4949</v>
      </c>
      <c r="F57" s="44">
        <v>30587197215</v>
      </c>
      <c r="G57" s="45" t="str">
        <f>IFERROR(IF(compras_mes9[[#This Row],[CUIT]]="","-",VLOOKUP(compras_mes9[[#This Row],[CUIT]],Lista_CUIT[#All],2,0)),"CUIT NO CARGADO")</f>
        <v>PANATEL SOCIEDAD ANONIMA</v>
      </c>
      <c r="H57" s="46">
        <v>68595.039999999994</v>
      </c>
      <c r="I57" s="85">
        <f>IF(compras_mes9[[#This Row],[NETO GRAVADO]]="","",compras_mes9[[#This Row],[NETO GRAVADO]]*0.21)</f>
        <v>14404.958399999998</v>
      </c>
      <c r="J57" s="85"/>
      <c r="K57" s="85"/>
      <c r="L57" s="85"/>
      <c r="M57" s="85"/>
      <c r="N57" s="85"/>
      <c r="O57" s="85"/>
      <c r="P57" s="48">
        <f>SUM(compras_mes9[[#This Row],[NETO GRAVADO]:[Otros / No Grav.]])</f>
        <v>82999.998399999997</v>
      </c>
      <c r="Q57" s="49" t="str">
        <f>IFERROR(IF(compras_mes9[[#This Row],[CUIT]]="","-",VLOOKUP(compras_mes9[[#This Row],[CUIT]],Lista_CUIT[#All],3,0)),"CUIT NO CARGADO")</f>
        <v>Gastos Varios</v>
      </c>
      <c r="R57" s="49">
        <f>IFERROR(IF(compras_mes9[[#This Row],[CUIT]]="","-",VLOOKUP(compras_mes9[[#This Row],[CUIT]],Lista_CUIT[#All],4,0)),"CUIT NO CARGADO")</f>
        <v>0</v>
      </c>
    </row>
    <row r="58" spans="2:18">
      <c r="B58" s="40">
        <v>45539</v>
      </c>
      <c r="C58" s="41">
        <v>1</v>
      </c>
      <c r="D58" s="42">
        <v>120</v>
      </c>
      <c r="E58" s="43">
        <v>4948</v>
      </c>
      <c r="F58" s="44">
        <v>30587197215</v>
      </c>
      <c r="G58" s="45" t="str">
        <f>IFERROR(IF(compras_mes9[[#This Row],[CUIT]]="","-",VLOOKUP(compras_mes9[[#This Row],[CUIT]],Lista_CUIT[#All],2,0)),"CUIT NO CARGADO")</f>
        <v>PANATEL SOCIEDAD ANONIMA</v>
      </c>
      <c r="H58" s="46">
        <v>68595.039999999994</v>
      </c>
      <c r="I58" s="85">
        <f>IF(compras_mes9[[#This Row],[NETO GRAVADO]]="","",compras_mes9[[#This Row],[NETO GRAVADO]]*0.21)</f>
        <v>14404.958399999998</v>
      </c>
      <c r="J58" s="85"/>
      <c r="K58" s="85"/>
      <c r="L58" s="85"/>
      <c r="M58" s="85"/>
      <c r="N58" s="85"/>
      <c r="O58" s="85"/>
      <c r="P58" s="48">
        <f>SUM(compras_mes9[[#This Row],[NETO GRAVADO]:[Otros / No Grav.]])</f>
        <v>82999.998399999997</v>
      </c>
      <c r="Q58" s="49" t="str">
        <f>IFERROR(IF(compras_mes9[[#This Row],[CUIT]]="","-",VLOOKUP(compras_mes9[[#This Row],[CUIT]],Lista_CUIT[#All],3,0)),"CUIT NO CARGADO")</f>
        <v>Gastos Varios</v>
      </c>
      <c r="R58" s="49">
        <f>IFERROR(IF(compras_mes9[[#This Row],[CUIT]]="","-",VLOOKUP(compras_mes9[[#This Row],[CUIT]],Lista_CUIT[#All],4,0)),"CUIT NO CARGADO")</f>
        <v>0</v>
      </c>
    </row>
    <row r="59" spans="2:18">
      <c r="B59" s="40">
        <v>45559</v>
      </c>
      <c r="C59" s="41">
        <v>1</v>
      </c>
      <c r="D59" s="42">
        <v>1055</v>
      </c>
      <c r="E59" s="43">
        <v>854</v>
      </c>
      <c r="F59" s="44">
        <v>30685849751</v>
      </c>
      <c r="G59" s="45" t="str">
        <f>IFERROR(IF(compras_mes9[[#This Row],[CUIT]]="","-",VLOOKUP(compras_mes9[[#This Row],[CUIT]],Lista_CUIT[#All],2,0)),"CUIT NO CARGADO")</f>
        <v>DIA ARGENTINA S.A.</v>
      </c>
      <c r="H59" s="46">
        <v>6165.28</v>
      </c>
      <c r="I59" s="85">
        <f>IF(compras_mes9[[#This Row],[NETO GRAVADO]]="","",compras_mes9[[#This Row],[NETO GRAVADO]]*0.21)</f>
        <v>1294.7087999999999</v>
      </c>
      <c r="J59" s="85"/>
      <c r="K59" s="85"/>
      <c r="L59" s="85"/>
      <c r="M59" s="85"/>
      <c r="N59" s="85"/>
      <c r="O59" s="85"/>
      <c r="P59" s="48">
        <f>SUM(compras_mes9[[#This Row],[NETO GRAVADO]:[Otros / No Grav.]])</f>
        <v>7459.9887999999992</v>
      </c>
      <c r="Q59" s="49" t="str">
        <f>IFERROR(IF(compras_mes9[[#This Row],[CUIT]]="","-",VLOOKUP(compras_mes9[[#This Row],[CUIT]],Lista_CUIT[#All],3,0)),"CUIT NO CARGADO")</f>
        <v>Gastos Varios</v>
      </c>
      <c r="R59" s="49">
        <f>IFERROR(IF(compras_mes9[[#This Row],[CUIT]]="","-",VLOOKUP(compras_mes9[[#This Row],[CUIT]],Lista_CUIT[#All],4,0)),"CUIT NO CARGADO")</f>
        <v>0</v>
      </c>
    </row>
    <row r="60" spans="2:18">
      <c r="B60" s="40">
        <v>45551</v>
      </c>
      <c r="C60" s="41">
        <v>1</v>
      </c>
      <c r="D60" s="42">
        <v>2002</v>
      </c>
      <c r="E60" s="43">
        <v>72231</v>
      </c>
      <c r="F60" s="44">
        <v>30716425165</v>
      </c>
      <c r="G60" s="45" t="str">
        <f>IFERROR(IF(compras_mes9[[#This Row],[CUIT]]="","-",VLOOKUP(compras_mes9[[#This Row],[CUIT]],Lista_CUIT[#All],2,0)),"CUIT NO CARGADO")</f>
        <v>MERCADO TOTAL SAS</v>
      </c>
      <c r="H60" s="46">
        <v>13842.98</v>
      </c>
      <c r="I60" s="85">
        <f>IF(compras_mes9[[#This Row],[NETO GRAVADO]]="","",compras_mes9[[#This Row],[NETO GRAVADO]]*0.21)</f>
        <v>2907.0257999999999</v>
      </c>
      <c r="J60" s="85"/>
      <c r="K60" s="85"/>
      <c r="L60" s="85"/>
      <c r="M60" s="85"/>
      <c r="N60" s="85"/>
      <c r="O60" s="85"/>
      <c r="P60" s="48">
        <f>SUM(compras_mes9[[#This Row],[NETO GRAVADO]:[Otros / No Grav.]])</f>
        <v>16750.005799999999</v>
      </c>
      <c r="Q60" s="49" t="str">
        <f>IFERROR(IF(compras_mes9[[#This Row],[CUIT]]="","-",VLOOKUP(compras_mes9[[#This Row],[CUIT]],Lista_CUIT[#All],3,0)),"CUIT NO CARGADO")</f>
        <v>Gastos Varios</v>
      </c>
      <c r="R60" s="49">
        <f>IFERROR(IF(compras_mes9[[#This Row],[CUIT]]="","-",VLOOKUP(compras_mes9[[#This Row],[CUIT]],Lista_CUIT[#All],4,0)),"CUIT NO CARGADO")</f>
        <v>0</v>
      </c>
    </row>
    <row r="61" spans="2:18">
      <c r="B61" s="469">
        <v>45555</v>
      </c>
      <c r="C61" s="41">
        <v>1</v>
      </c>
      <c r="D61" s="461">
        <v>2171</v>
      </c>
      <c r="E61" s="462">
        <v>6478</v>
      </c>
      <c r="F61" s="463">
        <v>30548083156</v>
      </c>
      <c r="G61" s="464" t="str">
        <f>IFERROR(IF(compras_mes9[[#This Row],[CUIT]]="","-",VLOOKUP(compras_mes9[[#This Row],[CUIT]],Lista_CUIT[#All],2,0)),"CUIT NO CARGADO")</f>
        <v>COTO CICSA</v>
      </c>
      <c r="H61" s="465">
        <v>4109.47</v>
      </c>
      <c r="I61" s="466">
        <f>IF(compras_mes9[[#This Row],[NETO GRAVADO]]="","",compras_mes9[[#This Row],[NETO GRAVADO]]*0.21)</f>
        <v>862.98869999999999</v>
      </c>
      <c r="J61" s="466"/>
      <c r="K61" s="466"/>
      <c r="L61" s="466"/>
      <c r="M61" s="466"/>
      <c r="N61" s="466"/>
      <c r="O61" s="466"/>
      <c r="P61" s="467">
        <f>SUM(compras_mes9[[#This Row],[NETO GRAVADO]:[Otros / No Grav.]])</f>
        <v>4972.4587000000001</v>
      </c>
      <c r="Q61" s="468" t="str">
        <f>IFERROR(IF(compras_mes9[[#This Row],[CUIT]]="","-",VLOOKUP(compras_mes9[[#This Row],[CUIT]],Lista_CUIT[#All],3,0)),"CUIT NO CARGADO")</f>
        <v>Gastos Varios</v>
      </c>
      <c r="R61" s="468">
        <f>IFERROR(IF(compras_mes9[[#This Row],[CUIT]]="","-",VLOOKUP(compras_mes9[[#This Row],[CUIT]],Lista_CUIT[#All],4,0)),"CUIT NO CARGADO")</f>
        <v>0</v>
      </c>
    </row>
    <row r="62" spans="2:18">
      <c r="B62" s="470">
        <v>45536</v>
      </c>
      <c r="C62" s="41">
        <v>1</v>
      </c>
      <c r="D62" s="461">
        <v>2189</v>
      </c>
      <c r="E62" s="462">
        <v>75919</v>
      </c>
      <c r="F62" s="463">
        <v>30548083156</v>
      </c>
      <c r="G62" s="464" t="str">
        <f>IFERROR(IF(compras_mes9[[#This Row],[CUIT]]="","-",VLOOKUP(compras_mes9[[#This Row],[CUIT]],Lista_CUIT[#All],2,0)),"CUIT NO CARGADO")</f>
        <v>COTO CICSA</v>
      </c>
      <c r="H62" s="465">
        <v>6462.61</v>
      </c>
      <c r="I62" s="466">
        <f>IF(compras_mes9[[#This Row],[NETO GRAVADO]]="","",compras_mes9[[#This Row],[NETO GRAVADO]]*0.21)</f>
        <v>1357.1480999999999</v>
      </c>
      <c r="J62" s="466"/>
      <c r="K62" s="466"/>
      <c r="L62" s="466"/>
      <c r="M62" s="466"/>
      <c r="N62" s="466"/>
      <c r="O62" s="466"/>
      <c r="P62" s="467">
        <f>SUM(compras_mes9[[#This Row],[NETO GRAVADO]:[Otros / No Grav.]])</f>
        <v>7819.7580999999991</v>
      </c>
      <c r="Q62" s="468" t="str">
        <f>IFERROR(IF(compras_mes9[[#This Row],[CUIT]]="","-",VLOOKUP(compras_mes9[[#This Row],[CUIT]],Lista_CUIT[#All],3,0)),"CUIT NO CARGADO")</f>
        <v>Gastos Varios</v>
      </c>
      <c r="R62" s="468">
        <f>IFERROR(IF(compras_mes9[[#This Row],[CUIT]]="","-",VLOOKUP(compras_mes9[[#This Row],[CUIT]],Lista_CUIT[#All],4,0)),"CUIT NO CARGADO")</f>
        <v>0</v>
      </c>
    </row>
    <row r="63" spans="2:18">
      <c r="B63" s="470">
        <v>45563</v>
      </c>
      <c r="C63" s="41">
        <v>1</v>
      </c>
      <c r="D63" s="461">
        <v>2189</v>
      </c>
      <c r="E63" s="462">
        <v>77373</v>
      </c>
      <c r="F63" s="463">
        <v>30548083156</v>
      </c>
      <c r="G63" s="464" t="str">
        <f>IFERROR(IF(compras_mes9[[#This Row],[CUIT]]="","-",VLOOKUP(compras_mes9[[#This Row],[CUIT]],Lista_CUIT[#All],2,0)),"CUIT NO CARGADO")</f>
        <v>COTO CICSA</v>
      </c>
      <c r="H63" s="465">
        <v>3905.09</v>
      </c>
      <c r="I63" s="466">
        <f>IF(compras_mes9[[#This Row],[NETO GRAVADO]]="","",compras_mes9[[#This Row],[NETO GRAVADO]]*0.21)</f>
        <v>820.06889999999999</v>
      </c>
      <c r="J63" s="466"/>
      <c r="K63" s="466"/>
      <c r="L63" s="466"/>
      <c r="M63" s="466"/>
      <c r="N63" s="466"/>
      <c r="O63" s="466"/>
      <c r="P63" s="467">
        <f>SUM(compras_mes9[[#This Row],[NETO GRAVADO]:[Otros / No Grav.]])</f>
        <v>4725.1589000000004</v>
      </c>
      <c r="Q63" s="468" t="str">
        <f>IFERROR(IF(compras_mes9[[#This Row],[CUIT]]="","-",VLOOKUP(compras_mes9[[#This Row],[CUIT]],Lista_CUIT[#All],3,0)),"CUIT NO CARGADO")</f>
        <v>Gastos Varios</v>
      </c>
      <c r="R63" s="468">
        <f>IFERROR(IF(compras_mes9[[#This Row],[CUIT]]="","-",VLOOKUP(compras_mes9[[#This Row],[CUIT]],Lista_CUIT[#All],4,0)),"CUIT NO CARGADO")</f>
        <v>0</v>
      </c>
    </row>
    <row r="64" spans="2:18">
      <c r="B64" s="501">
        <v>45547</v>
      </c>
      <c r="C64" s="489">
        <v>1</v>
      </c>
      <c r="D64" s="490">
        <v>12</v>
      </c>
      <c r="E64" s="491">
        <v>3463</v>
      </c>
      <c r="F64" s="492">
        <v>30708421983</v>
      </c>
      <c r="G64" s="493" t="str">
        <f>IFERROR(IF(compras_mes9[[#This Row],[CUIT]]="","-",VLOOKUP(compras_mes9[[#This Row],[CUIT]],Lista_CUIT[#All],2,0)),"CUIT NO CARGADO")</f>
        <v>GRANADOS HNOS. S.R.L.</v>
      </c>
      <c r="H64" s="465">
        <v>51735.54</v>
      </c>
      <c r="I64" s="494">
        <f>IF(compras_mes9[[#This Row],[NETO GRAVADO]]="","",compras_mes9[[#This Row],[NETO GRAVADO]]*0.21)</f>
        <v>10864.463400000001</v>
      </c>
      <c r="J64" s="494"/>
      <c r="K64" s="494"/>
      <c r="L64" s="494"/>
      <c r="M64" s="494"/>
      <c r="N64" s="494"/>
      <c r="O64" s="494"/>
      <c r="P64" s="495">
        <f>SUM(compras_mes9[[#This Row],[NETO GRAVADO]:[Otros / No Grav.]])</f>
        <v>62600.003400000001</v>
      </c>
      <c r="Q64" s="496" t="str">
        <f>IFERROR(IF(compras_mes9[[#This Row],[CUIT]]="","-",VLOOKUP(compras_mes9[[#This Row],[CUIT]],Lista_CUIT[#All],3,0)),"CUIT NO CARGADO")</f>
        <v>Gastos Varios</v>
      </c>
      <c r="R64" s="496">
        <f>IFERROR(IF(compras_mes9[[#This Row],[CUIT]]="","-",VLOOKUP(compras_mes9[[#This Row],[CUIT]],Lista_CUIT[#All],4,0)),"CUIT NO CARGADO")</f>
        <v>0</v>
      </c>
    </row>
    <row r="65" spans="2:18">
      <c r="B65" s="480">
        <v>45558</v>
      </c>
      <c r="C65" s="481">
        <v>1</v>
      </c>
      <c r="D65" s="482">
        <v>2399</v>
      </c>
      <c r="E65" s="483">
        <v>82822</v>
      </c>
      <c r="F65" s="484">
        <v>30708574836</v>
      </c>
      <c r="G65" s="502" t="str">
        <f>IFERROR(IF(compras_mes9[[#This Row],[CUIT]]="","-",VLOOKUP(compras_mes9[[#This Row],[CUIT]],Lista_CUIT[#All],2,0)),"CUIT NO CARGADO")</f>
        <v>CORREO OFICIAL DE LA REPUBLICA ARGENTINA SOCIEDAD ANONIMA</v>
      </c>
      <c r="H65" s="46"/>
      <c r="I65" s="485" t="str">
        <f>IF(compras_mes9[[#This Row],[NETO GRAVADO]]="","",compras_mes9[[#This Row],[NETO GRAVADO]]*0.21)</f>
        <v/>
      </c>
      <c r="J65" s="485"/>
      <c r="K65" s="485"/>
      <c r="L65" s="485"/>
      <c r="M65" s="485"/>
      <c r="N65" s="485"/>
      <c r="O65" s="485">
        <v>13800</v>
      </c>
      <c r="P65" s="486">
        <f>SUM(compras_mes9[[#This Row],[NETO GRAVADO]:[Otros / No Grav.]])</f>
        <v>13800</v>
      </c>
      <c r="Q65" s="503" t="str">
        <f>IFERROR(IF(compras_mes9[[#This Row],[CUIT]]="","-",VLOOKUP(compras_mes9[[#This Row],[CUIT]],Lista_CUIT[#All],3,0)),"CUIT NO CARGADO")</f>
        <v>Gastos Varios</v>
      </c>
      <c r="R65" s="503">
        <f>IFERROR(IF(compras_mes9[[#This Row],[CUIT]]="","-",VLOOKUP(compras_mes9[[#This Row],[CUIT]],Lista_CUIT[#All],4,0)),"CUIT NO CARGADO")</f>
        <v>0</v>
      </c>
    </row>
    <row r="66" spans="2:18">
      <c r="B66" s="480">
        <v>45563</v>
      </c>
      <c r="C66" s="481">
        <v>1</v>
      </c>
      <c r="D66" s="482">
        <v>4</v>
      </c>
      <c r="E66" s="483">
        <v>235</v>
      </c>
      <c r="F66" s="484">
        <v>30714333093</v>
      </c>
      <c r="G66" s="502" t="str">
        <f>IFERROR(IF(compras_mes9[[#This Row],[CUIT]]="","-",VLOOKUP(compras_mes9[[#This Row],[CUIT]],Lista_CUIT[#All],2,0)),"CUIT NO CARGADO")</f>
        <v>UBDA S.A.</v>
      </c>
      <c r="H66" s="46">
        <v>61652.89</v>
      </c>
      <c r="I66" s="485">
        <f>IF(compras_mes9[[#This Row],[NETO GRAVADO]]="","",compras_mes9[[#This Row],[NETO GRAVADO]]*0.21)</f>
        <v>12947.106899999999</v>
      </c>
      <c r="J66" s="485"/>
      <c r="K66" s="485"/>
      <c r="L66" s="485"/>
      <c r="M66" s="485"/>
      <c r="N66" s="485"/>
      <c r="O66" s="485"/>
      <c r="P66" s="486">
        <f>SUM(compras_mes9[[#This Row],[NETO GRAVADO]:[Otros / No Grav.]])</f>
        <v>74599.996899999998</v>
      </c>
      <c r="Q66" s="503" t="str">
        <f>IFERROR(IF(compras_mes9[[#This Row],[CUIT]]="","-",VLOOKUP(compras_mes9[[#This Row],[CUIT]],Lista_CUIT[#All],3,0)),"CUIT NO CARGADO")</f>
        <v>Gastos Varios</v>
      </c>
      <c r="R66" s="503">
        <f>IFERROR(IF(compras_mes9[[#This Row],[CUIT]]="","-",VLOOKUP(compras_mes9[[#This Row],[CUIT]],Lista_CUIT[#All],4,0)),"CUIT NO CARGADO")</f>
        <v>0</v>
      </c>
    </row>
    <row r="67" spans="2:18">
      <c r="B67" s="40">
        <v>45537</v>
      </c>
      <c r="C67" s="41">
        <v>1</v>
      </c>
      <c r="D67" s="42">
        <v>1</v>
      </c>
      <c r="E67" s="43">
        <v>4517</v>
      </c>
      <c r="F67" s="44">
        <v>30715141201</v>
      </c>
      <c r="G67" s="45" t="str">
        <f>IFERROR(IF(compras_mes9[[#This Row],[CUIT]]="","-",VLOOKUP(compras_mes9[[#This Row],[CUIT]],Lista_CUIT[#All],2,0)),"CUIT NO CARGADO")</f>
        <v>REHAB S.R.L.</v>
      </c>
      <c r="H67" s="46">
        <v>1216380</v>
      </c>
      <c r="I67" s="85">
        <f>IF(compras_mes9[[#This Row],[NETO GRAVADO]]="","",compras_mes9[[#This Row],[NETO GRAVADO]]*0.21)</f>
        <v>255439.8</v>
      </c>
      <c r="J67" s="85"/>
      <c r="K67" s="85"/>
      <c r="L67" s="85"/>
      <c r="M67" s="85"/>
      <c r="N67" s="85"/>
      <c r="O67" s="85"/>
      <c r="P67" s="48">
        <f>SUM(compras_mes9[[#This Row],[NETO GRAVADO]:[Otros / No Grav.]])</f>
        <v>1471819.8</v>
      </c>
      <c r="Q67" s="49" t="str">
        <f>IFERROR(IF(compras_mes9[[#This Row],[CUIT]]="","-",VLOOKUP(compras_mes9[[#This Row],[CUIT]],Lista_CUIT[#All],3,0)),"CUIT NO CARGADO")</f>
        <v>Productos Ortopedicos</v>
      </c>
      <c r="R67" s="49">
        <f>IFERROR(IF(compras_mes9[[#This Row],[CUIT]]="","-",VLOOKUP(compras_mes9[[#This Row],[CUIT]],Lista_CUIT[#All],4,0)),"CUIT NO CARGADO")</f>
        <v>0</v>
      </c>
    </row>
    <row r="68" spans="2:18">
      <c r="B68" s="40">
        <v>45548</v>
      </c>
      <c r="C68" s="41">
        <v>1</v>
      </c>
      <c r="D68" s="42">
        <v>1</v>
      </c>
      <c r="E68" s="43">
        <v>4620</v>
      </c>
      <c r="F68" s="44">
        <v>30715141201</v>
      </c>
      <c r="G68" s="45" t="str">
        <f>IFERROR(IF(compras_mes9[[#This Row],[CUIT]]="","-",VLOOKUP(compras_mes9[[#This Row],[CUIT]],Lista_CUIT[#All],2,0)),"CUIT NO CARGADO")</f>
        <v>REHAB S.R.L.</v>
      </c>
      <c r="H68" s="46">
        <v>29295</v>
      </c>
      <c r="I68" s="85">
        <f>IF(compras_mes9[[#This Row],[NETO GRAVADO]]="","",compras_mes9[[#This Row],[NETO GRAVADO]]*0.21)</f>
        <v>6151.95</v>
      </c>
      <c r="J68" s="85"/>
      <c r="K68" s="85"/>
      <c r="L68" s="85"/>
      <c r="M68" s="85"/>
      <c r="N68" s="85"/>
      <c r="O68" s="85"/>
      <c r="P68" s="48">
        <f>SUM(compras_mes9[[#This Row],[NETO GRAVADO]:[Otros / No Grav.]])</f>
        <v>35446.949999999997</v>
      </c>
      <c r="Q68" s="49" t="str">
        <f>IFERROR(IF(compras_mes9[[#This Row],[CUIT]]="","-",VLOOKUP(compras_mes9[[#This Row],[CUIT]],Lista_CUIT[#All],3,0)),"CUIT NO CARGADO")</f>
        <v>Productos Ortopedicos</v>
      </c>
      <c r="R68" s="49">
        <f>IFERROR(IF(compras_mes9[[#This Row],[CUIT]]="","-",VLOOKUP(compras_mes9[[#This Row],[CUIT]],Lista_CUIT[#All],4,0)),"CUIT NO CARGADO")</f>
        <v>0</v>
      </c>
    </row>
    <row r="69" spans="2:18">
      <c r="B69" s="40">
        <v>45548</v>
      </c>
      <c r="C69" s="41">
        <v>1</v>
      </c>
      <c r="D69" s="42">
        <v>1</v>
      </c>
      <c r="E69" s="43">
        <v>4613</v>
      </c>
      <c r="F69" s="44">
        <v>30715141201</v>
      </c>
      <c r="G69" s="45" t="str">
        <f>IFERROR(IF(compras_mes9[[#This Row],[CUIT]]="","-",VLOOKUP(compras_mes9[[#This Row],[CUIT]],Lista_CUIT[#All],2,0)),"CUIT NO CARGADO")</f>
        <v>REHAB S.R.L.</v>
      </c>
      <c r="H69" s="46">
        <v>3648847.5</v>
      </c>
      <c r="I69" s="85">
        <f>IF(compras_mes9[[#This Row],[NETO GRAVADO]]="","",compras_mes9[[#This Row],[NETO GRAVADO]]*0.21)</f>
        <v>766257.97499999998</v>
      </c>
      <c r="J69" s="85"/>
      <c r="K69" s="85"/>
      <c r="L69" s="85"/>
      <c r="M69" s="85"/>
      <c r="N69" s="85"/>
      <c r="O69" s="85"/>
      <c r="P69" s="48">
        <f>SUM(compras_mes9[[#This Row],[NETO GRAVADO]:[Otros / No Grav.]])</f>
        <v>4415105.4749999996</v>
      </c>
      <c r="Q69" s="49" t="str">
        <f>IFERROR(IF(compras_mes9[[#This Row],[CUIT]]="","-",VLOOKUP(compras_mes9[[#This Row],[CUIT]],Lista_CUIT[#All],3,0)),"CUIT NO CARGADO")</f>
        <v>Productos Ortopedicos</v>
      </c>
      <c r="R69" s="49">
        <f>IFERROR(IF(compras_mes9[[#This Row],[CUIT]]="","-",VLOOKUP(compras_mes9[[#This Row],[CUIT]],Lista_CUIT[#All],4,0)),"CUIT NO CARGADO")</f>
        <v>0</v>
      </c>
    </row>
    <row r="70" spans="2:18">
      <c r="B70" s="40">
        <v>45565</v>
      </c>
      <c r="C70" s="41">
        <v>1</v>
      </c>
      <c r="D70" s="42">
        <v>2</v>
      </c>
      <c r="E70" s="43">
        <v>3548</v>
      </c>
      <c r="F70" s="44">
        <v>30661498575</v>
      </c>
      <c r="G70" s="45" t="str">
        <f>IFERROR(IF(compras_mes9[[#This Row],[CUIT]]="","-",VLOOKUP(compras_mes9[[#This Row],[CUIT]],Lista_CUIT[#All],2,0)),"CUIT NO CARGADO")</f>
        <v>ORTOPEDIA GULLONE SRL</v>
      </c>
      <c r="H70" s="46">
        <v>132396.71</v>
      </c>
      <c r="I70" s="85">
        <f>IF(compras_mes9[[#This Row],[NETO GRAVADO]]="","",compras_mes9[[#This Row],[NETO GRAVADO]]*0.21)</f>
        <v>27803.309099999999</v>
      </c>
      <c r="J70" s="85"/>
      <c r="K70" s="85"/>
      <c r="L70" s="85"/>
      <c r="M70" s="85"/>
      <c r="N70" s="85"/>
      <c r="O70" s="85"/>
      <c r="P70" s="48">
        <f>SUM(compras_mes9[[#This Row],[NETO GRAVADO]:[Otros / No Grav.]])</f>
        <v>160200.01909999998</v>
      </c>
      <c r="Q70" s="49" t="str">
        <f>IFERROR(IF(compras_mes9[[#This Row],[CUIT]]="","-",VLOOKUP(compras_mes9[[#This Row],[CUIT]],Lista_CUIT[#All],3,0)),"CUIT NO CARGADO")</f>
        <v>Productos Ortopedicos</v>
      </c>
      <c r="R70" s="49">
        <f>IFERROR(IF(compras_mes9[[#This Row],[CUIT]]="","-",VLOOKUP(compras_mes9[[#This Row],[CUIT]],Lista_CUIT[#All],4,0)),"CUIT NO CARGADO")</f>
        <v>0</v>
      </c>
    </row>
    <row r="71" spans="2:18">
      <c r="B71" s="40">
        <v>45547</v>
      </c>
      <c r="C71" s="41">
        <v>1</v>
      </c>
      <c r="D71" s="42">
        <v>4</v>
      </c>
      <c r="E71" s="43">
        <v>38394</v>
      </c>
      <c r="F71" s="44">
        <v>20289111329</v>
      </c>
      <c r="G71" s="45" t="str">
        <f>IFERROR(IF(compras_mes9[[#This Row],[CUIT]]="","-",VLOOKUP(compras_mes9[[#This Row],[CUIT]],Lista_CUIT[#All],2,0)),"CUIT NO CARGADO")</f>
        <v>R. N. LEDESMA</v>
      </c>
      <c r="H71" s="46">
        <v>585730.80000000005</v>
      </c>
      <c r="I71" s="85">
        <f>IF(compras_mes9[[#This Row],[NETO GRAVADO]]="","",compras_mes9[[#This Row],[NETO GRAVADO]]*0.21)</f>
        <v>123003.46800000001</v>
      </c>
      <c r="J71" s="85"/>
      <c r="K71" s="85"/>
      <c r="L71" s="85"/>
      <c r="M71" s="85"/>
      <c r="N71" s="85"/>
      <c r="O71" s="85"/>
      <c r="P71" s="48">
        <f>SUM(compras_mes9[[#This Row],[NETO GRAVADO]:[Otros / No Grav.]])</f>
        <v>708734.26800000004</v>
      </c>
      <c r="Q71" s="49" t="str">
        <f>IFERROR(IF(compras_mes9[[#This Row],[CUIT]]="","-",VLOOKUP(compras_mes9[[#This Row],[CUIT]],Lista_CUIT[#All],3,0)),"CUIT NO CARGADO")</f>
        <v>Productos Ortopedicos</v>
      </c>
      <c r="R71" s="49">
        <f>IFERROR(IF(compras_mes9[[#This Row],[CUIT]]="","-",VLOOKUP(compras_mes9[[#This Row],[CUIT]],Lista_CUIT[#All],4,0)),"CUIT NO CARGADO")</f>
        <v>0</v>
      </c>
    </row>
    <row r="72" spans="2:18">
      <c r="B72" s="40">
        <v>45560</v>
      </c>
      <c r="C72" s="41">
        <v>1</v>
      </c>
      <c r="D72" s="42">
        <v>4</v>
      </c>
      <c r="E72" s="43">
        <v>71892</v>
      </c>
      <c r="F72" s="44">
        <v>33709738459</v>
      </c>
      <c r="G72" s="45" t="str">
        <f>IFERROR(IF(compras_mes9[[#This Row],[CUIT]]="","-",VLOOKUP(compras_mes9[[#This Row],[CUIT]],Lista_CUIT[#All],2,0)),"CUIT NO CARGADO")</f>
        <v>ORTOPEDICOS ALFOLATEX S.A</v>
      </c>
      <c r="H72" s="46">
        <v>655324.52</v>
      </c>
      <c r="I72" s="85">
        <f>IF(compras_mes9[[#This Row],[NETO GRAVADO]]="","",compras_mes9[[#This Row],[NETO GRAVADO]]*0.21)</f>
        <v>137618.14919999999</v>
      </c>
      <c r="J72" s="85"/>
      <c r="K72" s="85"/>
      <c r="L72" s="85"/>
      <c r="M72" s="85"/>
      <c r="N72" s="85"/>
      <c r="O72" s="85"/>
      <c r="P72" s="48">
        <f>SUM(compras_mes9[[#This Row],[NETO GRAVADO]:[Otros / No Grav.]])</f>
        <v>792942.6692</v>
      </c>
      <c r="Q72" s="49" t="str">
        <f>IFERROR(IF(compras_mes9[[#This Row],[CUIT]]="","-",VLOOKUP(compras_mes9[[#This Row],[CUIT]],Lista_CUIT[#All],3,0)),"CUIT NO CARGADO")</f>
        <v>Productos Ortopedicos</v>
      </c>
      <c r="R72" s="49">
        <f>IFERROR(IF(compras_mes9[[#This Row],[CUIT]]="","-",VLOOKUP(compras_mes9[[#This Row],[CUIT]],Lista_CUIT[#All],4,0)),"CUIT NO CARGADO")</f>
        <v>0</v>
      </c>
    </row>
    <row r="73" spans="2:18">
      <c r="B73" s="40">
        <v>45537</v>
      </c>
      <c r="C73" s="41">
        <v>1</v>
      </c>
      <c r="D73" s="42">
        <v>5</v>
      </c>
      <c r="E73" s="43">
        <v>158399</v>
      </c>
      <c r="F73" s="44">
        <v>30598960093</v>
      </c>
      <c r="G73" s="45" t="str">
        <f>IFERROR(IF(compras_mes9[[#This Row],[CUIT]]="","-",VLOOKUP(compras_mes9[[#This Row],[CUIT]],Lista_CUIT[#All],2,0)),"CUIT NO CARGADO")</f>
        <v>SILVESTRIN FABRIS SRL</v>
      </c>
      <c r="H73" s="46">
        <v>2376294.2000000002</v>
      </c>
      <c r="I73" s="85">
        <v>176595.34</v>
      </c>
      <c r="J73" s="85"/>
      <c r="K73" s="85">
        <v>161213.22</v>
      </c>
      <c r="L73" s="85"/>
      <c r="M73" s="85"/>
      <c r="N73" s="85"/>
      <c r="O73" s="85"/>
      <c r="P73" s="48">
        <f>SUM(compras_mes9[[#This Row],[NETO GRAVADO]:[Otros / No Grav.]])</f>
        <v>2714102.7600000002</v>
      </c>
      <c r="Q73" s="49" t="str">
        <f>IFERROR(IF(compras_mes9[[#This Row],[CUIT]]="","-",VLOOKUP(compras_mes9[[#This Row],[CUIT]],Lista_CUIT[#All],3,0)),"CUIT NO CARGADO")</f>
        <v>Productos Ortopedicos</v>
      </c>
      <c r="R73" s="49">
        <f>IFERROR(IF(compras_mes9[[#This Row],[CUIT]]="","-",VLOOKUP(compras_mes9[[#This Row],[CUIT]],Lista_CUIT[#All],4,0)),"CUIT NO CARGADO")</f>
        <v>0</v>
      </c>
    </row>
    <row r="74" spans="2:18">
      <c r="B74" s="40">
        <v>45540</v>
      </c>
      <c r="C74" s="41">
        <v>1</v>
      </c>
      <c r="D74" s="42">
        <v>5</v>
      </c>
      <c r="E74" s="43">
        <v>5332</v>
      </c>
      <c r="F74" s="44">
        <v>30715833243</v>
      </c>
      <c r="G74" s="45" t="str">
        <f>IFERROR(IF(compras_mes9[[#This Row],[CUIT]]="","-",VLOOKUP(compras_mes9[[#This Row],[CUIT]],Lista_CUIT[#All],2,0)),"CUIT NO CARGADO")</f>
        <v>BIODINAMICA ASIST E INSUMOS</v>
      </c>
      <c r="H74" s="46">
        <v>44477.18</v>
      </c>
      <c r="I74" s="85">
        <f>IF(compras_mes9[[#This Row],[NETO GRAVADO]]="","",compras_mes9[[#This Row],[NETO GRAVADO]]*0.21)</f>
        <v>9340.2078000000001</v>
      </c>
      <c r="J74" s="85"/>
      <c r="K74" s="85"/>
      <c r="L74" s="85"/>
      <c r="M74" s="85"/>
      <c r="N74" s="85"/>
      <c r="O74" s="85"/>
      <c r="P74" s="48">
        <f>SUM(compras_mes9[[#This Row],[NETO GRAVADO]:[Otros / No Grav.]])</f>
        <v>53817.387799999997</v>
      </c>
      <c r="Q74" s="49" t="str">
        <f>IFERROR(IF(compras_mes9[[#This Row],[CUIT]]="","-",VLOOKUP(compras_mes9[[#This Row],[CUIT]],Lista_CUIT[#All],3,0)),"CUIT NO CARGADO")</f>
        <v>Productos Ortopedicos</v>
      </c>
      <c r="R74" s="49">
        <f>IFERROR(IF(compras_mes9[[#This Row],[CUIT]]="","-",VLOOKUP(compras_mes9[[#This Row],[CUIT]],Lista_CUIT[#All],4,0)),"CUIT NO CARGADO")</f>
        <v>0</v>
      </c>
    </row>
    <row r="75" spans="2:18">
      <c r="B75" s="40">
        <v>45540</v>
      </c>
      <c r="C75" s="41">
        <v>1</v>
      </c>
      <c r="D75" s="42">
        <v>5</v>
      </c>
      <c r="E75" s="43">
        <v>5328</v>
      </c>
      <c r="F75" s="44">
        <v>30715833243</v>
      </c>
      <c r="G75" s="45" t="str">
        <f>IFERROR(IF(compras_mes9[[#This Row],[CUIT]]="","-",VLOOKUP(compras_mes9[[#This Row],[CUIT]],Lista_CUIT[#All],2,0)),"CUIT NO CARGADO")</f>
        <v>BIODINAMICA ASIST E INSUMOS</v>
      </c>
      <c r="H75" s="46">
        <v>205349.64</v>
      </c>
      <c r="I75" s="85">
        <f>IF(compras_mes9[[#This Row],[NETO GRAVADO]]="","",compras_mes9[[#This Row],[NETO GRAVADO]]*0.21)</f>
        <v>43123.424400000004</v>
      </c>
      <c r="J75" s="85"/>
      <c r="K75" s="85"/>
      <c r="L75" s="85"/>
      <c r="M75" s="85"/>
      <c r="N75" s="85"/>
      <c r="O75" s="85"/>
      <c r="P75" s="48">
        <f>SUM(compras_mes9[[#This Row],[NETO GRAVADO]:[Otros / No Grav.]])</f>
        <v>248473.06440000003</v>
      </c>
      <c r="Q75" s="49" t="str">
        <f>IFERROR(IF(compras_mes9[[#This Row],[CUIT]]="","-",VLOOKUP(compras_mes9[[#This Row],[CUIT]],Lista_CUIT[#All],3,0)),"CUIT NO CARGADO")</f>
        <v>Productos Ortopedicos</v>
      </c>
      <c r="R75" s="49">
        <f>IFERROR(IF(compras_mes9[[#This Row],[CUIT]]="","-",VLOOKUP(compras_mes9[[#This Row],[CUIT]],Lista_CUIT[#All],4,0)),"CUIT NO CARGADO")</f>
        <v>0</v>
      </c>
    </row>
    <row r="76" spans="2:18">
      <c r="B76" s="40">
        <v>45544</v>
      </c>
      <c r="C76" s="41">
        <v>1</v>
      </c>
      <c r="D76" s="42">
        <v>6</v>
      </c>
      <c r="E76" s="43">
        <v>54121</v>
      </c>
      <c r="F76" s="44">
        <v>30710177658</v>
      </c>
      <c r="G76" s="45" t="str">
        <f>IFERROR(IF(compras_mes9[[#This Row],[CUIT]]="","-",VLOOKUP(compras_mes9[[#This Row],[CUIT]],Lista_CUIT[#All],2,0)),"CUIT NO CARGADO")</f>
        <v>TARGET MEDICAL SA</v>
      </c>
      <c r="H76" s="46">
        <v>700742.4</v>
      </c>
      <c r="I76" s="85">
        <f>IF(compras_mes9[[#This Row],[NETO GRAVADO]]="","",compras_mes9[[#This Row],[NETO GRAVADO]]*0.21)</f>
        <v>147155.90400000001</v>
      </c>
      <c r="J76" s="85"/>
      <c r="K76" s="85"/>
      <c r="L76" s="85"/>
      <c r="M76" s="85"/>
      <c r="N76" s="85"/>
      <c r="O76" s="85"/>
      <c r="P76" s="48">
        <f>SUM(compras_mes9[[#This Row],[NETO GRAVADO]:[Otros / No Grav.]])</f>
        <v>847898.304</v>
      </c>
      <c r="Q76" s="49" t="str">
        <f>IFERROR(IF(compras_mes9[[#This Row],[CUIT]]="","-",VLOOKUP(compras_mes9[[#This Row],[CUIT]],Lista_CUIT[#All],3,0)),"CUIT NO CARGADO")</f>
        <v>Productos Ortopedicos</v>
      </c>
      <c r="R76" s="49">
        <f>IFERROR(IF(compras_mes9[[#This Row],[CUIT]]="","-",VLOOKUP(compras_mes9[[#This Row],[CUIT]],Lista_CUIT[#All],4,0)),"CUIT NO CARGADO")</f>
        <v>0</v>
      </c>
    </row>
    <row r="77" spans="2:18">
      <c r="B77" s="40">
        <v>45558</v>
      </c>
      <c r="C77" s="41">
        <v>1</v>
      </c>
      <c r="D77" s="42">
        <v>6</v>
      </c>
      <c r="E77" s="43">
        <v>54307</v>
      </c>
      <c r="F77" s="44">
        <v>30710177658</v>
      </c>
      <c r="G77" s="45" t="str">
        <f>IFERROR(IF(compras_mes9[[#This Row],[CUIT]]="","-",VLOOKUP(compras_mes9[[#This Row],[CUIT]],Lista_CUIT[#All],2,0)),"CUIT NO CARGADO")</f>
        <v>TARGET MEDICAL SA</v>
      </c>
      <c r="H77" s="46">
        <v>122080.32000000001</v>
      </c>
      <c r="I77" s="85">
        <f>IF(compras_mes9[[#This Row],[NETO GRAVADO]]="","",compras_mes9[[#This Row],[NETO GRAVADO]]*0.21)</f>
        <v>25636.867200000001</v>
      </c>
      <c r="J77" s="85"/>
      <c r="K77" s="85"/>
      <c r="L77" s="85"/>
      <c r="M77" s="85"/>
      <c r="N77" s="85"/>
      <c r="O77" s="85"/>
      <c r="P77" s="48">
        <f>SUM(compras_mes9[[#This Row],[NETO GRAVADO]:[Otros / No Grav.]])</f>
        <v>147717.18720000001</v>
      </c>
      <c r="Q77" s="49" t="str">
        <f>IFERROR(IF(compras_mes9[[#This Row],[CUIT]]="","-",VLOOKUP(compras_mes9[[#This Row],[CUIT]],Lista_CUIT[#All],3,0)),"CUIT NO CARGADO")</f>
        <v>Productos Ortopedicos</v>
      </c>
      <c r="R77" s="49">
        <f>IFERROR(IF(compras_mes9[[#This Row],[CUIT]]="","-",VLOOKUP(compras_mes9[[#This Row],[CUIT]],Lista_CUIT[#All],4,0)),"CUIT NO CARGADO")</f>
        <v>0</v>
      </c>
    </row>
    <row r="78" spans="2:18">
      <c r="B78" s="40">
        <v>45558</v>
      </c>
      <c r="C78" s="41">
        <v>1</v>
      </c>
      <c r="D78" s="42">
        <v>6</v>
      </c>
      <c r="E78" s="43">
        <v>85435</v>
      </c>
      <c r="F78" s="44">
        <v>30711553564</v>
      </c>
      <c r="G78" s="45" t="str">
        <f>IFERROR(IF(compras_mes9[[#This Row],[CUIT]]="","-",VLOOKUP(compras_mes9[[#This Row],[CUIT]],Lista_CUIT[#All],2,0)),"CUIT NO CARGADO")</f>
        <v>SALUD TEX S.A</v>
      </c>
      <c r="H78" s="46">
        <v>999126</v>
      </c>
      <c r="I78" s="85">
        <f>IF(compras_mes9[[#This Row],[NETO GRAVADO]]="","",compras_mes9[[#This Row],[NETO GRAVADO]]*0.21)</f>
        <v>209816.46</v>
      </c>
      <c r="J78" s="85"/>
      <c r="K78" s="85"/>
      <c r="L78" s="85"/>
      <c r="M78" s="85"/>
      <c r="N78" s="85"/>
      <c r="O78" s="85"/>
      <c r="P78" s="48">
        <f>SUM(compras_mes9[[#This Row],[NETO GRAVADO]:[Otros / No Grav.]])</f>
        <v>1208942.46</v>
      </c>
      <c r="Q78" s="49" t="str">
        <f>IFERROR(IF(compras_mes9[[#This Row],[CUIT]]="","-",VLOOKUP(compras_mes9[[#This Row],[CUIT]],Lista_CUIT[#All],3,0)),"CUIT NO CARGADO")</f>
        <v>Productos Ortopedicos</v>
      </c>
      <c r="R78" s="49">
        <f>IFERROR(IF(compras_mes9[[#This Row],[CUIT]]="","-",VLOOKUP(compras_mes9[[#This Row],[CUIT]],Lista_CUIT[#All],4,0)),"CUIT NO CARGADO")</f>
        <v>0</v>
      </c>
    </row>
    <row r="79" spans="2:18">
      <c r="B79" s="40">
        <v>45560</v>
      </c>
      <c r="C79" s="41">
        <v>1</v>
      </c>
      <c r="D79" s="42">
        <v>6</v>
      </c>
      <c r="E79" s="43">
        <v>54346</v>
      </c>
      <c r="F79" s="44">
        <v>30710177658</v>
      </c>
      <c r="G79" s="45" t="str">
        <f>IFERROR(IF(compras_mes9[[#This Row],[CUIT]]="","-",VLOOKUP(compras_mes9[[#This Row],[CUIT]],Lista_CUIT[#All],2,0)),"CUIT NO CARGADO")</f>
        <v>TARGET MEDICAL SA</v>
      </c>
      <c r="H79" s="46">
        <v>356854.44</v>
      </c>
      <c r="I79" s="85">
        <f>IF(compras_mes9[[#This Row],[NETO GRAVADO]]="","",compras_mes9[[#This Row],[NETO GRAVADO]]*0.21)</f>
        <v>74939.432399999991</v>
      </c>
      <c r="J79" s="85"/>
      <c r="K79" s="85"/>
      <c r="L79" s="85"/>
      <c r="M79" s="85"/>
      <c r="N79" s="85"/>
      <c r="O79" s="85"/>
      <c r="P79" s="48">
        <f>SUM(compras_mes9[[#This Row],[NETO GRAVADO]:[Otros / No Grav.]])</f>
        <v>431793.87239999999</v>
      </c>
      <c r="Q79" s="49" t="str">
        <f>IFERROR(IF(compras_mes9[[#This Row],[CUIT]]="","-",VLOOKUP(compras_mes9[[#This Row],[CUIT]],Lista_CUIT[#All],3,0)),"CUIT NO CARGADO")</f>
        <v>Productos Ortopedicos</v>
      </c>
      <c r="R79" s="49">
        <f>IFERROR(IF(compras_mes9[[#This Row],[CUIT]]="","-",VLOOKUP(compras_mes9[[#This Row],[CUIT]],Lista_CUIT[#All],4,0)),"CUIT NO CARGADO")</f>
        <v>0</v>
      </c>
    </row>
    <row r="80" spans="2:18">
      <c r="B80" s="40">
        <v>45561</v>
      </c>
      <c r="C80" s="41">
        <v>1</v>
      </c>
      <c r="D80" s="42">
        <v>6</v>
      </c>
      <c r="E80" s="43">
        <v>54365</v>
      </c>
      <c r="F80" s="44">
        <v>30710177658</v>
      </c>
      <c r="G80" s="45" t="str">
        <f>IFERROR(IF(compras_mes9[[#This Row],[CUIT]]="","-",VLOOKUP(compras_mes9[[#This Row],[CUIT]],Lista_CUIT[#All],2,0)),"CUIT NO CARGADO")</f>
        <v>TARGET MEDICAL SA</v>
      </c>
      <c r="H80" s="46">
        <v>682125</v>
      </c>
      <c r="I80" s="85">
        <f>IF(compras_mes9[[#This Row],[NETO GRAVADO]]="","",compras_mes9[[#This Row],[NETO GRAVADO]]*0.21)</f>
        <v>143246.25</v>
      </c>
      <c r="J80" s="85"/>
      <c r="K80" s="85"/>
      <c r="L80" s="85"/>
      <c r="M80" s="85"/>
      <c r="N80" s="85"/>
      <c r="O80" s="85"/>
      <c r="P80" s="48">
        <f>SUM(compras_mes9[[#This Row],[NETO GRAVADO]:[Otros / No Grav.]])</f>
        <v>825371.25</v>
      </c>
      <c r="Q80" s="49" t="str">
        <f>IFERROR(IF(compras_mes9[[#This Row],[CUIT]]="","-",VLOOKUP(compras_mes9[[#This Row],[CUIT]],Lista_CUIT[#All],3,0)),"CUIT NO CARGADO")</f>
        <v>Productos Ortopedicos</v>
      </c>
      <c r="R80" s="49">
        <f>IFERROR(IF(compras_mes9[[#This Row],[CUIT]]="","-",VLOOKUP(compras_mes9[[#This Row],[CUIT]],Lista_CUIT[#All],4,0)),"CUIT NO CARGADO")</f>
        <v>0</v>
      </c>
    </row>
    <row r="81" spans="2:18">
      <c r="B81" s="40">
        <v>45537</v>
      </c>
      <c r="C81" s="41">
        <v>1</v>
      </c>
      <c r="D81" s="42">
        <v>17</v>
      </c>
      <c r="E81" s="43">
        <v>2245</v>
      </c>
      <c r="F81" s="44">
        <v>30711764921</v>
      </c>
      <c r="G81" s="45" t="str">
        <f>IFERROR(IF(compras_mes9[[#This Row],[CUIT]]="","-",VLOOKUP(compras_mes9[[#This Row],[CUIT]],Lista_CUIT[#All],2,0)),"CUIT NO CARGADO")</f>
        <v>RELIEF CENTER SRL</v>
      </c>
      <c r="H81" s="46">
        <v>93973</v>
      </c>
      <c r="I81" s="85">
        <f>IF(compras_mes9[[#This Row],[NETO GRAVADO]]="","",compras_mes9[[#This Row],[NETO GRAVADO]]*0.21)</f>
        <v>19734.329999999998</v>
      </c>
      <c r="J81" s="85"/>
      <c r="K81" s="85"/>
      <c r="L81" s="85"/>
      <c r="M81" s="85"/>
      <c r="N81" s="85"/>
      <c r="O81" s="85"/>
      <c r="P81" s="48">
        <f>SUM(compras_mes9[[#This Row],[NETO GRAVADO]:[Otros / No Grav.]])</f>
        <v>113707.33</v>
      </c>
      <c r="Q81" s="49" t="str">
        <f>IFERROR(IF(compras_mes9[[#This Row],[CUIT]]="","-",VLOOKUP(compras_mes9[[#This Row],[CUIT]],Lista_CUIT[#All],3,0)),"CUIT NO CARGADO")</f>
        <v>Productos Ortopedicos</v>
      </c>
      <c r="R81" s="49">
        <f>IFERROR(IF(compras_mes9[[#This Row],[CUIT]]="","-",VLOOKUP(compras_mes9[[#This Row],[CUIT]],Lista_CUIT[#All],4,0)),"CUIT NO CARGADO")</f>
        <v>0</v>
      </c>
    </row>
    <row r="82" spans="2:18">
      <c r="B82" s="40">
        <v>45539</v>
      </c>
      <c r="C82" s="41">
        <v>1</v>
      </c>
      <c r="D82" s="42">
        <v>17</v>
      </c>
      <c r="E82" s="43">
        <v>2255</v>
      </c>
      <c r="F82" s="44">
        <v>30711764921</v>
      </c>
      <c r="G82" s="45" t="str">
        <f>IFERROR(IF(compras_mes9[[#This Row],[CUIT]]="","-",VLOOKUP(compras_mes9[[#This Row],[CUIT]],Lista_CUIT[#All],2,0)),"CUIT NO CARGADO")</f>
        <v>RELIEF CENTER SRL</v>
      </c>
      <c r="H82" s="46">
        <v>527580</v>
      </c>
      <c r="I82" s="85">
        <f>IF(compras_mes9[[#This Row],[NETO GRAVADO]]="","",compras_mes9[[#This Row],[NETO GRAVADO]]*0.21)</f>
        <v>110791.8</v>
      </c>
      <c r="J82" s="85"/>
      <c r="K82" s="85"/>
      <c r="L82" s="85"/>
      <c r="M82" s="85"/>
      <c r="N82" s="85"/>
      <c r="O82" s="85"/>
      <c r="P82" s="48">
        <f>SUM(compras_mes9[[#This Row],[NETO GRAVADO]:[Otros / No Grav.]])</f>
        <v>638371.80000000005</v>
      </c>
      <c r="Q82" s="49" t="str">
        <f>IFERROR(IF(compras_mes9[[#This Row],[CUIT]]="","-",VLOOKUP(compras_mes9[[#This Row],[CUIT]],Lista_CUIT[#All],3,0)),"CUIT NO CARGADO")</f>
        <v>Productos Ortopedicos</v>
      </c>
      <c r="R82" s="49">
        <f>IFERROR(IF(compras_mes9[[#This Row],[CUIT]]="","-",VLOOKUP(compras_mes9[[#This Row],[CUIT]],Lista_CUIT[#All],4,0)),"CUIT NO CARGADO")</f>
        <v>0</v>
      </c>
    </row>
    <row r="83" spans="2:18">
      <c r="B83" s="40">
        <v>45555</v>
      </c>
      <c r="C83" s="41">
        <v>1</v>
      </c>
      <c r="D83" s="42">
        <v>17</v>
      </c>
      <c r="E83" s="43">
        <v>2312</v>
      </c>
      <c r="F83" s="44">
        <v>30711764921</v>
      </c>
      <c r="G83" s="45" t="str">
        <f>IFERROR(IF(compras_mes9[[#This Row],[CUIT]]="","-",VLOOKUP(compras_mes9[[#This Row],[CUIT]],Lista_CUIT[#All],2,0)),"CUIT NO CARGADO")</f>
        <v>RELIEF CENTER SRL</v>
      </c>
      <c r="H83" s="46">
        <v>21394</v>
      </c>
      <c r="I83" s="85">
        <f>IF(compras_mes9[[#This Row],[NETO GRAVADO]]="","",compras_mes9[[#This Row],[NETO GRAVADO]]*0.21)</f>
        <v>4492.74</v>
      </c>
      <c r="J83" s="85"/>
      <c r="K83" s="85"/>
      <c r="L83" s="85"/>
      <c r="M83" s="85"/>
      <c r="N83" s="85"/>
      <c r="O83" s="85"/>
      <c r="P83" s="48">
        <f>SUM(compras_mes9[[#This Row],[NETO GRAVADO]:[Otros / No Grav.]])</f>
        <v>25886.739999999998</v>
      </c>
      <c r="Q83" s="49" t="str">
        <f>IFERROR(IF(compras_mes9[[#This Row],[CUIT]]="","-",VLOOKUP(compras_mes9[[#This Row],[CUIT]],Lista_CUIT[#All],3,0)),"CUIT NO CARGADO")</f>
        <v>Productos Ortopedicos</v>
      </c>
      <c r="R83" s="49">
        <f>IFERROR(IF(compras_mes9[[#This Row],[CUIT]]="","-",VLOOKUP(compras_mes9[[#This Row],[CUIT]],Lista_CUIT[#All],4,0)),"CUIT NO CARGADO")</f>
        <v>0</v>
      </c>
    </row>
    <row r="84" spans="2:18">
      <c r="B84" s="471">
        <v>45540</v>
      </c>
      <c r="C84" s="472">
        <v>1</v>
      </c>
      <c r="D84" s="473">
        <v>5</v>
      </c>
      <c r="E84" s="474">
        <v>5331</v>
      </c>
      <c r="F84" s="475">
        <v>30715833243</v>
      </c>
      <c r="G84" s="476" t="str">
        <f>IFERROR(IF(compras_mes9[[#This Row],[CUIT]]="","-",VLOOKUP(compras_mes9[[#This Row],[CUIT]],Lista_CUIT[#All],2,0)),"CUIT NO CARGADO")</f>
        <v>BIODINAMICA ASIST E INSUMOS</v>
      </c>
      <c r="H84" s="465">
        <v>22238.59</v>
      </c>
      <c r="I84" s="477">
        <f>IF(compras_mes9[[#This Row],[NETO GRAVADO]]="","",compras_mes9[[#This Row],[NETO GRAVADO]]*0.21)</f>
        <v>4670.1039000000001</v>
      </c>
      <c r="J84" s="477"/>
      <c r="K84" s="477"/>
      <c r="L84" s="477"/>
      <c r="M84" s="477"/>
      <c r="N84" s="477"/>
      <c r="O84" s="477"/>
      <c r="P84" s="478">
        <f>SUM(compras_mes9[[#This Row],[NETO GRAVADO]:[Otros / No Grav.]])</f>
        <v>26908.693899999998</v>
      </c>
      <c r="Q84" s="479" t="str">
        <f>IFERROR(IF(compras_mes9[[#This Row],[CUIT]]="","-",VLOOKUP(compras_mes9[[#This Row],[CUIT]],Lista_CUIT[#All],3,0)),"CUIT NO CARGADO")</f>
        <v>Productos Ortopedicos</v>
      </c>
      <c r="R84" s="479">
        <f>IFERROR(IF(compras_mes9[[#This Row],[CUIT]]="","-",VLOOKUP(compras_mes9[[#This Row],[CUIT]],Lista_CUIT[#All],4,0)),"CUIT NO CARGADO")</f>
        <v>0</v>
      </c>
    </row>
    <row r="85" spans="2:18">
      <c r="B85" s="471">
        <v>45540</v>
      </c>
      <c r="C85" s="472">
        <v>3</v>
      </c>
      <c r="D85" s="473">
        <v>5</v>
      </c>
      <c r="E85" s="474">
        <v>803</v>
      </c>
      <c r="F85" s="475">
        <v>30715833243</v>
      </c>
      <c r="G85" s="476" t="str">
        <f>IFERROR(IF(compras_mes9[[#This Row],[CUIT]]="","-",VLOOKUP(compras_mes9[[#This Row],[CUIT]],Lista_CUIT[#All],2,0)),"CUIT NO CARGADO")</f>
        <v>BIODINAMICA ASIST E INSUMOS</v>
      </c>
      <c r="H85" s="465">
        <v>-22238.59</v>
      </c>
      <c r="I85" s="477">
        <f>IF(compras_mes9[[#This Row],[NETO GRAVADO]]="","",compras_mes9[[#This Row],[NETO GRAVADO]]*0.21)</f>
        <v>-4670.1039000000001</v>
      </c>
      <c r="J85" s="477"/>
      <c r="K85" s="477"/>
      <c r="L85" s="477"/>
      <c r="M85" s="477"/>
      <c r="N85" s="477"/>
      <c r="O85" s="477"/>
      <c r="P85" s="478">
        <f>SUM(compras_mes9[[#This Row],[NETO GRAVADO]:[Otros / No Grav.]])</f>
        <v>-26908.693899999998</v>
      </c>
      <c r="Q85" s="479" t="str">
        <f>IFERROR(IF(compras_mes9[[#This Row],[CUIT]]="","-",VLOOKUP(compras_mes9[[#This Row],[CUIT]],Lista_CUIT[#All],3,0)),"CUIT NO CARGADO")</f>
        <v>Productos Ortopedicos</v>
      </c>
      <c r="R85" s="479">
        <f>IFERROR(IF(compras_mes9[[#This Row],[CUIT]]="","-",VLOOKUP(compras_mes9[[#This Row],[CUIT]],Lista_CUIT[#All],4,0)),"CUIT NO CARGADO")</f>
        <v>0</v>
      </c>
    </row>
    <row r="86" spans="2:18">
      <c r="B86" s="40">
        <v>45539</v>
      </c>
      <c r="C86" s="41">
        <v>1</v>
      </c>
      <c r="D86" s="42">
        <v>2</v>
      </c>
      <c r="E86" s="43">
        <v>50685</v>
      </c>
      <c r="F86" s="44">
        <v>30595553535</v>
      </c>
      <c r="G86" s="45" t="str">
        <f>IFERROR(IF(compras_mes9[[#This Row],[CUIT]]="","-",VLOOKUP(compras_mes9[[#This Row],[CUIT]],Lista_CUIT[#All],2,0)),"CUIT NO CARGADO")</f>
        <v>RUBRICOM SA</v>
      </c>
      <c r="H86" s="46">
        <v>4793.3900000000003</v>
      </c>
      <c r="I86" s="85">
        <f>IF(compras_mes9[[#This Row],[NETO GRAVADO]]="","",compras_mes9[[#This Row],[NETO GRAVADO]]*0.21)</f>
        <v>1006.6119</v>
      </c>
      <c r="J86" s="85"/>
      <c r="K86" s="85"/>
      <c r="L86" s="85"/>
      <c r="M86" s="85"/>
      <c r="N86" s="85"/>
      <c r="O86" s="85"/>
      <c r="P86" s="48">
        <f>SUM(compras_mes9[[#This Row],[NETO GRAVADO]:[Otros / No Grav.]])</f>
        <v>5800.0019000000002</v>
      </c>
      <c r="Q86" s="49" t="str">
        <f>IFERROR(IF(compras_mes9[[#This Row],[CUIT]]="","-",VLOOKUP(compras_mes9[[#This Row],[CUIT]],Lista_CUIT[#All],3,0)),"CUIT NO CARGADO")</f>
        <v>LIBRERÍA</v>
      </c>
      <c r="R86" s="49">
        <f>IFERROR(IF(compras_mes9[[#This Row],[CUIT]]="","-",VLOOKUP(compras_mes9[[#This Row],[CUIT]],Lista_CUIT[#All],4,0)),"CUIT NO CARGADO")</f>
        <v>0</v>
      </c>
    </row>
    <row r="87" spans="2:18">
      <c r="B87" s="488">
        <v>45554</v>
      </c>
      <c r="C87" s="489">
        <v>1</v>
      </c>
      <c r="D87" s="490">
        <v>6</v>
      </c>
      <c r="E87" s="491">
        <v>1633</v>
      </c>
      <c r="F87" s="492">
        <v>30716815710</v>
      </c>
      <c r="G87" s="493" t="str">
        <f>IFERROR(IF(compras_mes9[[#This Row],[CUIT]]="","-",VLOOKUP(compras_mes9[[#This Row],[CUIT]],Lista_CUIT[#All],2,0)),"CUIT NO CARGADO")</f>
        <v>PAPELERA GEOPEL SRL</v>
      </c>
      <c r="H87" s="465">
        <v>8500</v>
      </c>
      <c r="I87" s="494">
        <f>IF(compras_mes9[[#This Row],[NETO GRAVADO]]="","",compras_mes9[[#This Row],[NETO GRAVADO]]*0.21)</f>
        <v>1785</v>
      </c>
      <c r="J87" s="494"/>
      <c r="K87" s="494"/>
      <c r="L87" s="494"/>
      <c r="M87" s="494"/>
      <c r="N87" s="494"/>
      <c r="O87" s="494"/>
      <c r="P87" s="495">
        <f>SUM(compras_mes9[[#This Row],[NETO GRAVADO]:[Otros / No Grav.]])</f>
        <v>10285</v>
      </c>
      <c r="Q87" s="496" t="str">
        <f>IFERROR(IF(compras_mes9[[#This Row],[CUIT]]="","-",VLOOKUP(compras_mes9[[#This Row],[CUIT]],Lista_CUIT[#All],3,0)),"CUIT NO CARGADO")</f>
        <v>LIBRERÍA</v>
      </c>
      <c r="R87" s="496">
        <f>IFERROR(IF(compras_mes9[[#This Row],[CUIT]]="","-",VLOOKUP(compras_mes9[[#This Row],[CUIT]],Lista_CUIT[#All],4,0)),"CUIT NO CARGADO")</f>
        <v>0</v>
      </c>
    </row>
    <row r="88" spans="2:18">
      <c r="B88" s="40">
        <v>45552</v>
      </c>
      <c r="C88" s="41">
        <v>1</v>
      </c>
      <c r="D88" s="42">
        <v>7</v>
      </c>
      <c r="E88" s="43">
        <v>524</v>
      </c>
      <c r="F88" s="44">
        <v>30715630040</v>
      </c>
      <c r="G88" s="45" t="str">
        <f>IFERROR(IF(compras_mes9[[#This Row],[CUIT]]="","-",VLOOKUP(compras_mes9[[#This Row],[CUIT]],Lista_CUIT[#All],2,0)),"CUIT NO CARGADO")</f>
        <v>PISOS BODEN S.A.</v>
      </c>
      <c r="H88" s="46">
        <v>3517469.42</v>
      </c>
      <c r="I88" s="85">
        <f>IF(compras_mes9[[#This Row],[NETO GRAVADO]]="","",compras_mes9[[#This Row],[NETO GRAVADO]]*0.21)</f>
        <v>738668.57819999999</v>
      </c>
      <c r="J88" s="85"/>
      <c r="K88" s="85"/>
      <c r="L88" s="85"/>
      <c r="M88" s="85"/>
      <c r="N88" s="85"/>
      <c r="O88" s="85"/>
      <c r="P88" s="48">
        <f>SUM(compras_mes9[[#This Row],[NETO GRAVADO]:[Otros / No Grav.]])</f>
        <v>4256137.9982000003</v>
      </c>
      <c r="Q88" s="49" t="str">
        <f>IFERROR(IF(compras_mes9[[#This Row],[CUIT]]="","-",VLOOKUP(compras_mes9[[#This Row],[CUIT]],Lista_CUIT[#All],3,0)),"CUIT NO CARGADO")</f>
        <v>Mantenimiento</v>
      </c>
      <c r="R88" s="49">
        <f>IFERROR(IF(compras_mes9[[#This Row],[CUIT]]="","-",VLOOKUP(compras_mes9[[#This Row],[CUIT]],Lista_CUIT[#All],4,0)),"CUIT NO CARGADO")</f>
        <v>0</v>
      </c>
    </row>
    <row r="89" spans="2:18">
      <c r="B89" s="40">
        <v>45548</v>
      </c>
      <c r="C89" s="41">
        <v>1</v>
      </c>
      <c r="D89" s="42">
        <v>503</v>
      </c>
      <c r="E89" s="43">
        <v>1469491</v>
      </c>
      <c r="F89" s="44">
        <v>30639935872</v>
      </c>
      <c r="G89" s="45" t="str">
        <f>IFERROR(IF(compras_mes9[[#This Row],[CUIT]]="","-",VLOOKUP(compras_mes9[[#This Row],[CUIT]],Lista_CUIT[#All],2,0)),"CUIT NO CARGADO")</f>
        <v>CAMINOS DEL RIO URUGUAY S A DE CONSTRUCCIONES Y CONCESIONES VIALES</v>
      </c>
      <c r="H89" s="46">
        <v>2934.75</v>
      </c>
      <c r="I89" s="85">
        <f>IF(compras_mes9[[#This Row],[NETO GRAVADO]]="","",compras_mes9[[#This Row],[NETO GRAVADO]]*0.21)</f>
        <v>616.29750000000001</v>
      </c>
      <c r="J89" s="85"/>
      <c r="K89" s="85"/>
      <c r="L89" s="85"/>
      <c r="M89" s="85"/>
      <c r="N89" s="85"/>
      <c r="O89" s="85"/>
      <c r="P89" s="48">
        <f>SUM(compras_mes9[[#This Row],[NETO GRAVADO]:[Otros / No Grav.]])</f>
        <v>3551.0475000000001</v>
      </c>
      <c r="Q89" s="49" t="str">
        <f>IFERROR(IF(compras_mes9[[#This Row],[CUIT]]="","-",VLOOKUP(compras_mes9[[#This Row],[CUIT]],Lista_CUIT[#All],3,0)),"CUIT NO CARGADO")</f>
        <v>PEAJE</v>
      </c>
      <c r="R89" s="49">
        <f>IFERROR(IF(compras_mes9[[#This Row],[CUIT]]="","-",VLOOKUP(compras_mes9[[#This Row],[CUIT]],Lista_CUIT[#All],4,0)),"CUIT NO CARGADO")</f>
        <v>0</v>
      </c>
    </row>
    <row r="90" spans="2:18">
      <c r="B90" s="40">
        <v>45538</v>
      </c>
      <c r="C90" s="41">
        <v>1</v>
      </c>
      <c r="D90" s="42">
        <v>629</v>
      </c>
      <c r="E90" s="43">
        <v>5407463</v>
      </c>
      <c r="F90" s="44">
        <v>30663498513</v>
      </c>
      <c r="G90" s="45" t="str">
        <f>IFERROR(IF(compras_mes9[[#This Row],[CUIT]]="","-",VLOOKUP(compras_mes9[[#This Row],[CUIT]],Lista_CUIT[#All],2,0)),"CUIT NO CARGADO")</f>
        <v>GRUPO CONCES. DEL OESTE SA</v>
      </c>
      <c r="H90" s="46">
        <v>2121.64</v>
      </c>
      <c r="I90" s="85">
        <f>IF(compras_mes9[[#This Row],[NETO GRAVADO]]="","",compras_mes9[[#This Row],[NETO GRAVADO]]*0.21)</f>
        <v>445.54439999999994</v>
      </c>
      <c r="J90" s="85"/>
      <c r="K90" s="85"/>
      <c r="L90" s="85"/>
      <c r="M90" s="85"/>
      <c r="N90" s="85"/>
      <c r="O90" s="85"/>
      <c r="P90" s="48">
        <f>SUM(compras_mes9[[#This Row],[NETO GRAVADO]:[Otros / No Grav.]])</f>
        <v>2567.1843999999996</v>
      </c>
      <c r="Q90" s="49" t="str">
        <f>IFERROR(IF(compras_mes9[[#This Row],[CUIT]]="","-",VLOOKUP(compras_mes9[[#This Row],[CUIT]],Lista_CUIT[#All],3,0)),"CUIT NO CARGADO")</f>
        <v>PEAJE</v>
      </c>
      <c r="R90" s="49">
        <f>IFERROR(IF(compras_mes9[[#This Row],[CUIT]]="","-",VLOOKUP(compras_mes9[[#This Row],[CUIT]],Lista_CUIT[#All],4,0)),"CUIT NO CARGADO")</f>
        <v>0</v>
      </c>
    </row>
    <row r="91" spans="2:18">
      <c r="B91" s="40">
        <v>45552</v>
      </c>
      <c r="C91" s="41">
        <v>1</v>
      </c>
      <c r="D91" s="42">
        <v>629</v>
      </c>
      <c r="E91" s="43">
        <v>5447412</v>
      </c>
      <c r="F91" s="44">
        <v>30663498513</v>
      </c>
      <c r="G91" s="45" t="str">
        <f>IFERROR(IF(compras_mes9[[#This Row],[CUIT]]="","-",VLOOKUP(compras_mes9[[#This Row],[CUIT]],Lista_CUIT[#All],2,0)),"CUIT NO CARGADO")</f>
        <v>GRUPO CONCES. DEL OESTE SA</v>
      </c>
      <c r="H91" s="46">
        <v>3440.74</v>
      </c>
      <c r="I91" s="85">
        <f>IF(compras_mes9[[#This Row],[NETO GRAVADO]]="","",compras_mes9[[#This Row],[NETO GRAVADO]]*0.21)</f>
        <v>722.55539999999996</v>
      </c>
      <c r="J91" s="85"/>
      <c r="K91" s="85"/>
      <c r="L91" s="85"/>
      <c r="M91" s="85"/>
      <c r="N91" s="85"/>
      <c r="O91" s="85"/>
      <c r="P91" s="48">
        <f>SUM(compras_mes9[[#This Row],[NETO GRAVADO]:[Otros / No Grav.]])</f>
        <v>4163.2954</v>
      </c>
      <c r="Q91" s="49" t="str">
        <f>IFERROR(IF(compras_mes9[[#This Row],[CUIT]]="","-",VLOOKUP(compras_mes9[[#This Row],[CUIT]],Lista_CUIT[#All],3,0)),"CUIT NO CARGADO")</f>
        <v>PEAJE</v>
      </c>
      <c r="R91" s="49">
        <f>IFERROR(IF(compras_mes9[[#This Row],[CUIT]]="","-",VLOOKUP(compras_mes9[[#This Row],[CUIT]],Lista_CUIT[#All],4,0)),"CUIT NO CARGADO")</f>
        <v>0</v>
      </c>
    </row>
    <row r="92" spans="2:18">
      <c r="B92" s="470">
        <v>45543</v>
      </c>
      <c r="C92" s="41">
        <v>1</v>
      </c>
      <c r="D92" s="461">
        <v>5015</v>
      </c>
      <c r="E92" s="462">
        <v>643182</v>
      </c>
      <c r="F92" s="463">
        <v>30574876474</v>
      </c>
      <c r="G92" s="464" t="str">
        <f>IFERROR(IF(compras_mes9[[#This Row],[CUIT]]="","-",VLOOKUP(compras_mes9[[#This Row],[CUIT]],Lista_CUIT[#All],2,0)),"CUIT NO CARGADO")</f>
        <v>AUTOP. URBANAS SA</v>
      </c>
      <c r="H92" s="465">
        <v>14073.49</v>
      </c>
      <c r="I92" s="466">
        <f>IF(compras_mes9[[#This Row],[NETO GRAVADO]]="","",compras_mes9[[#This Row],[NETO GRAVADO]]*0.21)</f>
        <v>2955.4328999999998</v>
      </c>
      <c r="J92" s="466"/>
      <c r="K92" s="466"/>
      <c r="L92" s="466"/>
      <c r="M92" s="466"/>
      <c r="N92" s="466"/>
      <c r="O92" s="466"/>
      <c r="P92" s="467">
        <f>SUM(compras_mes9[[#This Row],[NETO GRAVADO]:[Otros / No Grav.]])</f>
        <v>17028.922899999998</v>
      </c>
      <c r="Q92" s="468" t="str">
        <f>IFERROR(IF(compras_mes9[[#This Row],[CUIT]]="","-",VLOOKUP(compras_mes9[[#This Row],[CUIT]],Lista_CUIT[#All],3,0)),"CUIT NO CARGADO")</f>
        <v>PEAJE</v>
      </c>
      <c r="R92" s="468">
        <f>IFERROR(IF(compras_mes9[[#This Row],[CUIT]]="","-",VLOOKUP(compras_mes9[[#This Row],[CUIT]],Lista_CUIT[#All],4,0)),"CUIT NO CARGADO")</f>
        <v>0</v>
      </c>
    </row>
    <row r="93" spans="2:18">
      <c r="B93" s="470">
        <v>45551</v>
      </c>
      <c r="C93" s="41">
        <v>1</v>
      </c>
      <c r="D93" s="461">
        <v>5015</v>
      </c>
      <c r="E93" s="462">
        <v>644558</v>
      </c>
      <c r="F93" s="463">
        <v>30574876474</v>
      </c>
      <c r="G93" s="464" t="str">
        <f>IFERROR(IF(compras_mes9[[#This Row],[CUIT]]="","-",VLOOKUP(compras_mes9[[#This Row],[CUIT]],Lista_CUIT[#All],2,0)),"CUIT NO CARGADO")</f>
        <v>AUTOP. URBANAS SA</v>
      </c>
      <c r="H93" s="465">
        <v>12702.19</v>
      </c>
      <c r="I93" s="466">
        <f>IF(compras_mes9[[#This Row],[NETO GRAVADO]]="","",compras_mes9[[#This Row],[NETO GRAVADO]]*0.21)</f>
        <v>2667.4598999999998</v>
      </c>
      <c r="J93" s="466"/>
      <c r="K93" s="466"/>
      <c r="L93" s="466"/>
      <c r="M93" s="466"/>
      <c r="N93" s="466"/>
      <c r="O93" s="466"/>
      <c r="P93" s="467">
        <f>SUM(compras_mes9[[#This Row],[NETO GRAVADO]:[Otros / No Grav.]])</f>
        <v>15369.6499</v>
      </c>
      <c r="Q93" s="468" t="str">
        <f>IFERROR(IF(compras_mes9[[#This Row],[CUIT]]="","-",VLOOKUP(compras_mes9[[#This Row],[CUIT]],Lista_CUIT[#All],3,0)),"CUIT NO CARGADO")</f>
        <v>PEAJE</v>
      </c>
      <c r="R93" s="468">
        <f>IFERROR(IF(compras_mes9[[#This Row],[CUIT]]="","-",VLOOKUP(compras_mes9[[#This Row],[CUIT]],Lista_CUIT[#All],4,0)),"CUIT NO CARGADO")</f>
        <v>0</v>
      </c>
    </row>
    <row r="94" spans="2:18">
      <c r="B94" s="470">
        <v>45558</v>
      </c>
      <c r="C94" s="41">
        <v>1</v>
      </c>
      <c r="D94" s="461">
        <v>5015</v>
      </c>
      <c r="E94" s="462">
        <v>648091</v>
      </c>
      <c r="F94" s="463">
        <v>30574876474</v>
      </c>
      <c r="G94" s="464" t="str">
        <f>IFERROR(IF(compras_mes9[[#This Row],[CUIT]]="","-",VLOOKUP(compras_mes9[[#This Row],[CUIT]],Lista_CUIT[#All],2,0)),"CUIT NO CARGADO")</f>
        <v>AUTOP. URBANAS SA</v>
      </c>
      <c r="H94" s="465">
        <v>17107.75</v>
      </c>
      <c r="I94" s="466">
        <f>IF(compras_mes9[[#This Row],[NETO GRAVADO]]="","",compras_mes9[[#This Row],[NETO GRAVADO]]*0.21)</f>
        <v>3592.6275000000001</v>
      </c>
      <c r="J94" s="466"/>
      <c r="K94" s="466"/>
      <c r="L94" s="466"/>
      <c r="M94" s="466"/>
      <c r="N94" s="466"/>
      <c r="O94" s="466"/>
      <c r="P94" s="467">
        <f>SUM(compras_mes9[[#This Row],[NETO GRAVADO]:[Otros / No Grav.]])</f>
        <v>20700.377499999999</v>
      </c>
      <c r="Q94" s="468" t="str">
        <f>IFERROR(IF(compras_mes9[[#This Row],[CUIT]]="","-",VLOOKUP(compras_mes9[[#This Row],[CUIT]],Lista_CUIT[#All],3,0)),"CUIT NO CARGADO")</f>
        <v>PEAJE</v>
      </c>
      <c r="R94" s="468">
        <f>IFERROR(IF(compras_mes9[[#This Row],[CUIT]]="","-",VLOOKUP(compras_mes9[[#This Row],[CUIT]],Lista_CUIT[#All],4,0)),"CUIT NO CARGADO")</f>
        <v>0</v>
      </c>
    </row>
    <row r="95" spans="2:18">
      <c r="B95" s="470">
        <v>45565</v>
      </c>
      <c r="C95" s="41">
        <v>1</v>
      </c>
      <c r="D95" s="461">
        <v>5015</v>
      </c>
      <c r="E95" s="462">
        <v>650706</v>
      </c>
      <c r="F95" s="463">
        <v>30574876474</v>
      </c>
      <c r="G95" s="464" t="str">
        <f>IFERROR(IF(compras_mes9[[#This Row],[CUIT]]="","-",VLOOKUP(compras_mes9[[#This Row],[CUIT]],Lista_CUIT[#All],2,0)),"CUIT NO CARGADO")</f>
        <v>AUTOP. URBANAS SA</v>
      </c>
      <c r="H95" s="465">
        <v>24879.27</v>
      </c>
      <c r="I95" s="466">
        <f>IF(compras_mes9[[#This Row],[NETO GRAVADO]]="","",compras_mes9[[#This Row],[NETO GRAVADO]]*0.21)</f>
        <v>5224.6467000000002</v>
      </c>
      <c r="J95" s="466"/>
      <c r="K95" s="466"/>
      <c r="L95" s="466"/>
      <c r="M95" s="466"/>
      <c r="N95" s="466"/>
      <c r="O95" s="466"/>
      <c r="P95" s="467">
        <f>SUM(compras_mes9[[#This Row],[NETO GRAVADO]:[Otros / No Grav.]])</f>
        <v>30103.916700000002</v>
      </c>
      <c r="Q95" s="468" t="str">
        <f>IFERROR(IF(compras_mes9[[#This Row],[CUIT]]="","-",VLOOKUP(compras_mes9[[#This Row],[CUIT]],Lista_CUIT[#All],3,0)),"CUIT NO CARGADO")</f>
        <v>PEAJE</v>
      </c>
      <c r="R95" s="468">
        <f>IFERROR(IF(compras_mes9[[#This Row],[CUIT]]="","-",VLOOKUP(compras_mes9[[#This Row],[CUIT]],Lista_CUIT[#All],4,0)),"CUIT NO CARGADO")</f>
        <v>0</v>
      </c>
    </row>
    <row r="96" spans="2:18">
      <c r="B96" s="40">
        <v>45565</v>
      </c>
      <c r="C96" s="41">
        <v>1</v>
      </c>
      <c r="D96" s="42">
        <v>50</v>
      </c>
      <c r="E96" s="43">
        <v>3791433</v>
      </c>
      <c r="F96" s="44">
        <v>30714112836</v>
      </c>
      <c r="G96" s="45" t="str">
        <f>IFERROR(IF(compras_mes9[[#This Row],[CUIT]]="","-",VLOOKUP(compras_mes9[[#This Row],[CUIT]],Lista_CUIT[#All],2,0)),"CUIT NO CARGADO")</f>
        <v>AUTOPISTAS DE BUENOS AIRES (AUBASA) SA</v>
      </c>
      <c r="H96" s="46">
        <v>5702.48</v>
      </c>
      <c r="I96" s="85">
        <f>IF(compras_mes9[[#This Row],[NETO GRAVADO]]="","",compras_mes9[[#This Row],[NETO GRAVADO]]*0.21)</f>
        <v>1197.5207999999998</v>
      </c>
      <c r="J96" s="85"/>
      <c r="K96" s="85"/>
      <c r="L96" s="85"/>
      <c r="M96" s="85"/>
      <c r="N96" s="85"/>
      <c r="O96" s="85"/>
      <c r="P96" s="48">
        <f>SUM(compras_mes9[[#This Row],[NETO GRAVADO]:[Otros / No Grav.]])</f>
        <v>6900.0007999999998</v>
      </c>
      <c r="Q96" s="49" t="str">
        <f>IFERROR(IF(compras_mes9[[#This Row],[CUIT]]="","-",VLOOKUP(compras_mes9[[#This Row],[CUIT]],Lista_CUIT[#All],3,0)),"CUIT NO CARGADO")</f>
        <v>PEAJE</v>
      </c>
      <c r="R96" s="49">
        <f>IFERROR(IF(compras_mes9[[#This Row],[CUIT]]="","-",VLOOKUP(compras_mes9[[#This Row],[CUIT]],Lista_CUIT[#All],4,0)),"CUIT NO CARGADO")</f>
        <v>0</v>
      </c>
    </row>
    <row r="97" spans="2:18">
      <c r="B97" s="40">
        <v>45549</v>
      </c>
      <c r="C97" s="41">
        <v>1</v>
      </c>
      <c r="D97" s="42">
        <v>104</v>
      </c>
      <c r="E97" s="43">
        <v>6699395</v>
      </c>
      <c r="F97" s="44">
        <v>30715804812</v>
      </c>
      <c r="G97" s="45" t="str">
        <f>IFERROR(IF(compras_mes9[[#This Row],[CUIT]]="","-",VLOOKUP(compras_mes9[[#This Row],[CUIT]],Lista_CUIT[#All],2,0)),"CUIT NO CARGADO")</f>
        <v>CORREDORES VIALES SOCIEDAD ANONIMA</v>
      </c>
      <c r="H97" s="46">
        <v>1675.3</v>
      </c>
      <c r="I97" s="85">
        <f>IF(compras_mes9[[#This Row],[NETO GRAVADO]]="","",compras_mes9[[#This Row],[NETO GRAVADO]]*0.21)</f>
        <v>351.81299999999999</v>
      </c>
      <c r="J97" s="85"/>
      <c r="K97" s="85"/>
      <c r="L97" s="85"/>
      <c r="M97" s="85"/>
      <c r="N97" s="85"/>
      <c r="O97" s="85"/>
      <c r="P97" s="48">
        <f>SUM(compras_mes9[[#This Row],[NETO GRAVADO]:[Otros / No Grav.]])</f>
        <v>2027.1129999999998</v>
      </c>
      <c r="Q97" s="49" t="str">
        <f>IFERROR(IF(compras_mes9[[#This Row],[CUIT]]="","-",VLOOKUP(compras_mes9[[#This Row],[CUIT]],Lista_CUIT[#All],3,0)),"CUIT NO CARGADO")</f>
        <v>PEAJE</v>
      </c>
      <c r="R97" s="49">
        <f>IFERROR(IF(compras_mes9[[#This Row],[CUIT]]="","-",VLOOKUP(compras_mes9[[#This Row],[CUIT]],Lista_CUIT[#All],4,0)),"CUIT NO CARGADO")</f>
        <v>0</v>
      </c>
    </row>
    <row r="98" spans="2:18">
      <c r="B98" s="40">
        <v>45541</v>
      </c>
      <c r="C98" s="41">
        <v>1</v>
      </c>
      <c r="D98" s="42">
        <v>700</v>
      </c>
      <c r="E98" s="43">
        <v>1905419</v>
      </c>
      <c r="F98" s="44">
        <v>30715804812</v>
      </c>
      <c r="G98" s="45" t="str">
        <f>IFERROR(IF(compras_mes9[[#This Row],[CUIT]]="","-",VLOOKUP(compras_mes9[[#This Row],[CUIT]],Lista_CUIT[#All],2,0)),"CUIT NO CARGADO")</f>
        <v>CORREDORES VIALES SOCIEDAD ANONIMA</v>
      </c>
      <c r="H98" s="46">
        <v>3818.92</v>
      </c>
      <c r="I98" s="85">
        <f>IF(compras_mes9[[#This Row],[NETO GRAVADO]]="","",compras_mes9[[#This Row],[NETO GRAVADO]]*0.21)</f>
        <v>801.97320000000002</v>
      </c>
      <c r="J98" s="85"/>
      <c r="K98" s="85"/>
      <c r="L98" s="85"/>
      <c r="M98" s="85"/>
      <c r="N98" s="85"/>
      <c r="O98" s="85"/>
      <c r="P98" s="48">
        <f>SUM(compras_mes9[[#This Row],[NETO GRAVADO]:[Otros / No Grav.]])</f>
        <v>4620.8932000000004</v>
      </c>
      <c r="Q98" s="49" t="str">
        <f>IFERROR(IF(compras_mes9[[#This Row],[CUIT]]="","-",VLOOKUP(compras_mes9[[#This Row],[CUIT]],Lista_CUIT[#All],3,0)),"CUIT NO CARGADO")</f>
        <v>PEAJE</v>
      </c>
      <c r="R98" s="49">
        <f>IFERROR(IF(compras_mes9[[#This Row],[CUIT]]="","-",VLOOKUP(compras_mes9[[#This Row],[CUIT]],Lista_CUIT[#All],4,0)),"CUIT NO CARGADO")</f>
        <v>0</v>
      </c>
    </row>
    <row r="99" spans="2:18">
      <c r="B99" s="40">
        <v>45558</v>
      </c>
      <c r="C99" s="41">
        <v>1</v>
      </c>
      <c r="D99" s="42">
        <v>700</v>
      </c>
      <c r="E99" s="43">
        <v>1936359</v>
      </c>
      <c r="F99" s="44">
        <v>30715804812</v>
      </c>
      <c r="G99" s="45" t="str">
        <f>IFERROR(IF(compras_mes9[[#This Row],[CUIT]]="","-",VLOOKUP(compras_mes9[[#This Row],[CUIT]],Lista_CUIT[#All],2,0)),"CUIT NO CARGADO")</f>
        <v>CORREDORES VIALES SOCIEDAD ANONIMA</v>
      </c>
      <c r="H99" s="46">
        <v>6246.93</v>
      </c>
      <c r="I99" s="85">
        <f>IF(compras_mes9[[#This Row],[NETO GRAVADO]]="","",compras_mes9[[#This Row],[NETO GRAVADO]]*0.21)</f>
        <v>1311.8552999999999</v>
      </c>
      <c r="J99" s="85"/>
      <c r="K99" s="85"/>
      <c r="L99" s="85"/>
      <c r="M99" s="85"/>
      <c r="N99" s="85"/>
      <c r="O99" s="85"/>
      <c r="P99" s="48">
        <f>SUM(compras_mes9[[#This Row],[NETO GRAVADO]:[Otros / No Grav.]])</f>
        <v>7558.7853000000005</v>
      </c>
      <c r="Q99" s="49" t="str">
        <f>IFERROR(IF(compras_mes9[[#This Row],[CUIT]]="","-",VLOOKUP(compras_mes9[[#This Row],[CUIT]],Lista_CUIT[#All],3,0)),"CUIT NO CARGADO")</f>
        <v>PEAJE</v>
      </c>
      <c r="R99" s="49">
        <f>IFERROR(IF(compras_mes9[[#This Row],[CUIT]]="","-",VLOOKUP(compras_mes9[[#This Row],[CUIT]],Lista_CUIT[#All],4,0)),"CUIT NO CARGADO")</f>
        <v>0</v>
      </c>
    </row>
    <row r="100" spans="2:18">
      <c r="B100" s="40">
        <v>45558</v>
      </c>
      <c r="C100" s="41">
        <v>1</v>
      </c>
      <c r="D100" s="42">
        <v>700</v>
      </c>
      <c r="E100" s="43">
        <v>1936360</v>
      </c>
      <c r="F100" s="44">
        <v>30715804812</v>
      </c>
      <c r="G100" s="45" t="str">
        <f>IFERROR(IF(compras_mes9[[#This Row],[CUIT]]="","-",VLOOKUP(compras_mes9[[#This Row],[CUIT]],Lista_CUIT[#All],2,0)),"CUIT NO CARGADO")</f>
        <v>CORREDORES VIALES SOCIEDAD ANONIMA</v>
      </c>
      <c r="H100" s="46">
        <v>728.62</v>
      </c>
      <c r="I100" s="85">
        <f>IF(compras_mes9[[#This Row],[NETO GRAVADO]]="","",compras_mes9[[#This Row],[NETO GRAVADO]]*0.21)</f>
        <v>153.0102</v>
      </c>
      <c r="J100" s="85"/>
      <c r="K100" s="85"/>
      <c r="L100" s="85"/>
      <c r="M100" s="85"/>
      <c r="N100" s="85"/>
      <c r="O100" s="85"/>
      <c r="P100" s="48">
        <f>SUM(compras_mes9[[#This Row],[NETO GRAVADO]:[Otros / No Grav.]])</f>
        <v>881.63020000000006</v>
      </c>
      <c r="Q100" s="49" t="str">
        <f>IFERROR(IF(compras_mes9[[#This Row],[CUIT]]="","-",VLOOKUP(compras_mes9[[#This Row],[CUIT]],Lista_CUIT[#All],3,0)),"CUIT NO CARGADO")</f>
        <v>PEAJE</v>
      </c>
      <c r="R100" s="49">
        <f>IFERROR(IF(compras_mes9[[#This Row],[CUIT]]="","-",VLOOKUP(compras_mes9[[#This Row],[CUIT]],Lista_CUIT[#All],4,0)),"CUIT NO CARGADO")</f>
        <v>0</v>
      </c>
    </row>
    <row r="101" spans="2:18">
      <c r="B101" s="40">
        <v>45538</v>
      </c>
      <c r="C101" s="41">
        <v>1</v>
      </c>
      <c r="D101" s="42">
        <v>711</v>
      </c>
      <c r="E101" s="43">
        <v>6097149</v>
      </c>
      <c r="F101" s="44">
        <v>30677237119</v>
      </c>
      <c r="G101" s="45" t="str">
        <f>IFERROR(IF(compras_mes9[[#This Row],[CUIT]]="","-",VLOOKUP(compras_mes9[[#This Row],[CUIT]],Lista_CUIT[#All],2,0)),"CUIT NO CARGADO")</f>
        <v>AUTOPISTAS DEL SOL SA</v>
      </c>
      <c r="H101" s="46">
        <v>7715.05</v>
      </c>
      <c r="I101" s="85">
        <f>IF(compras_mes9[[#This Row],[NETO GRAVADO]]="","",compras_mes9[[#This Row],[NETO GRAVADO]]*0.21)</f>
        <v>1620.1605</v>
      </c>
      <c r="J101" s="85"/>
      <c r="K101" s="85"/>
      <c r="L101" s="85"/>
      <c r="M101" s="85"/>
      <c r="N101" s="85"/>
      <c r="O101" s="85"/>
      <c r="P101" s="48">
        <f>SUM(compras_mes9[[#This Row],[NETO GRAVADO]:[Otros / No Grav.]])</f>
        <v>9335.210500000001</v>
      </c>
      <c r="Q101" s="49" t="str">
        <f>IFERROR(IF(compras_mes9[[#This Row],[CUIT]]="","-",VLOOKUP(compras_mes9[[#This Row],[CUIT]],Lista_CUIT[#All],3,0)),"CUIT NO CARGADO")</f>
        <v>PEAJE</v>
      </c>
      <c r="R101" s="49">
        <f>IFERROR(IF(compras_mes9[[#This Row],[CUIT]]="","-",VLOOKUP(compras_mes9[[#This Row],[CUIT]],Lista_CUIT[#All],4,0)),"CUIT NO CARGADO")</f>
        <v>0</v>
      </c>
    </row>
    <row r="102" spans="2:18" ht="14.45" customHeight="1">
      <c r="B102" s="40">
        <v>45552</v>
      </c>
      <c r="C102" s="41">
        <v>1</v>
      </c>
      <c r="D102" s="42">
        <v>711</v>
      </c>
      <c r="E102" s="43">
        <v>6155254</v>
      </c>
      <c r="F102" s="44">
        <v>30677237119</v>
      </c>
      <c r="G102" s="45" t="str">
        <f>IFERROR(IF(compras_mes9[[#This Row],[CUIT]]="","-",VLOOKUP(compras_mes9[[#This Row],[CUIT]],Lista_CUIT[#All],2,0)),"CUIT NO CARGADO")</f>
        <v>AUTOPISTAS DEL SOL SA</v>
      </c>
      <c r="H102" s="46">
        <v>5515.3</v>
      </c>
      <c r="I102" s="85">
        <f>IF(compras_mes9[[#This Row],[NETO GRAVADO]]="","",compras_mes9[[#This Row],[NETO GRAVADO]]*0.21)</f>
        <v>1158.213</v>
      </c>
      <c r="J102" s="85"/>
      <c r="K102" s="85"/>
      <c r="L102" s="85"/>
      <c r="M102" s="85"/>
      <c r="N102" s="85"/>
      <c r="O102" s="85"/>
      <c r="P102" s="48">
        <f>SUM(compras_mes9[[#This Row],[NETO GRAVADO]:[Otros / No Grav.]])</f>
        <v>6673.5129999999999</v>
      </c>
      <c r="Q102" s="49" t="str">
        <f>IFERROR(IF(compras_mes9[[#This Row],[CUIT]]="","-",VLOOKUP(compras_mes9[[#This Row],[CUIT]],Lista_CUIT[#All],3,0)),"CUIT NO CARGADO")</f>
        <v>PEAJE</v>
      </c>
      <c r="R102" s="49">
        <f>IFERROR(IF(compras_mes9[[#This Row],[CUIT]]="","-",VLOOKUP(compras_mes9[[#This Row],[CUIT]],Lista_CUIT[#All],4,0)),"CUIT NO CARGADO")</f>
        <v>0</v>
      </c>
    </row>
    <row r="103" spans="2:18">
      <c r="B103" s="40">
        <v>45540</v>
      </c>
      <c r="C103" s="41">
        <v>1</v>
      </c>
      <c r="D103" s="42">
        <v>2</v>
      </c>
      <c r="E103" s="43">
        <v>760</v>
      </c>
      <c r="F103" s="44">
        <v>20272865869</v>
      </c>
      <c r="G103" s="45" t="str">
        <f>IFERROR(IF(compras_mes9[[#This Row],[CUIT]]="","-",VLOOKUP(compras_mes9[[#This Row],[CUIT]],Lista_CUIT[#All],2,0)),"CUIT NO CARGADO")</f>
        <v>DI FEO MARTIN EZEQUIEL</v>
      </c>
      <c r="H103" s="46">
        <v>84450</v>
      </c>
      <c r="I103" s="85">
        <f>IF(compras_mes9[[#This Row],[NETO GRAVADO]]="","",compras_mes9[[#This Row],[NETO GRAVADO]]*0.21)</f>
        <v>17734.5</v>
      </c>
      <c r="J103" s="85"/>
      <c r="K103" s="85"/>
      <c r="L103" s="85"/>
      <c r="M103" s="85"/>
      <c r="N103" s="85"/>
      <c r="O103" s="85"/>
      <c r="P103" s="48">
        <f>SUM(compras_mes9[[#This Row],[NETO GRAVADO]:[Otros / No Grav.]])</f>
        <v>102184.5</v>
      </c>
      <c r="Q103" s="49" t="str">
        <f>IFERROR(IF(compras_mes9[[#This Row],[CUIT]]="","-",VLOOKUP(compras_mes9[[#This Row],[CUIT]],Lista_CUIT[#All],3,0)),"CUIT NO CARGADO")</f>
        <v>Productos Ortopedicos</v>
      </c>
      <c r="R103" s="49">
        <f>IFERROR(IF(compras_mes9[[#This Row],[CUIT]]="","-",VLOOKUP(compras_mes9[[#This Row],[CUIT]],Lista_CUIT[#All],4,0)),"CUIT NO CARGADO")</f>
        <v>0</v>
      </c>
    </row>
    <row r="104" spans="2:18">
      <c r="B104" s="40">
        <v>45547</v>
      </c>
      <c r="C104" s="41">
        <v>1</v>
      </c>
      <c r="D104" s="42">
        <v>2</v>
      </c>
      <c r="E104" s="43">
        <v>778</v>
      </c>
      <c r="F104" s="44">
        <v>20272865869</v>
      </c>
      <c r="G104" s="45" t="str">
        <f>IFERROR(IF(compras_mes9[[#This Row],[CUIT]]="","-",VLOOKUP(compras_mes9[[#This Row],[CUIT]],Lista_CUIT[#All],2,0)),"CUIT NO CARGADO")</f>
        <v>DI FEO MARTIN EZEQUIEL</v>
      </c>
      <c r="H104" s="46">
        <v>128100</v>
      </c>
      <c r="I104" s="85">
        <f>IF(compras_mes9[[#This Row],[NETO GRAVADO]]="","",compras_mes9[[#This Row],[NETO GRAVADO]]*0.21)</f>
        <v>26901</v>
      </c>
      <c r="J104" s="85"/>
      <c r="K104" s="85"/>
      <c r="L104" s="85"/>
      <c r="M104" s="85"/>
      <c r="N104" s="85"/>
      <c r="O104" s="85"/>
      <c r="P104" s="48">
        <f>SUM(compras_mes9[[#This Row],[NETO GRAVADO]:[Otros / No Grav.]])</f>
        <v>155001</v>
      </c>
      <c r="Q104" s="49" t="str">
        <f>IFERROR(IF(compras_mes9[[#This Row],[CUIT]]="","-",VLOOKUP(compras_mes9[[#This Row],[CUIT]],Lista_CUIT[#All],3,0)),"CUIT NO CARGADO")</f>
        <v>Productos Ortopedicos</v>
      </c>
      <c r="R104" s="49">
        <f>IFERROR(IF(compras_mes9[[#This Row],[CUIT]]="","-",VLOOKUP(compras_mes9[[#This Row],[CUIT]],Lista_CUIT[#All],4,0)),"CUIT NO CARGADO")</f>
        <v>0</v>
      </c>
    </row>
    <row r="105" spans="2:18" ht="14.45" customHeight="1">
      <c r="B105" s="40">
        <v>45548</v>
      </c>
      <c r="C105" s="41">
        <v>1</v>
      </c>
      <c r="D105" s="42">
        <v>2</v>
      </c>
      <c r="E105" s="43">
        <v>783</v>
      </c>
      <c r="F105" s="44">
        <v>20272865869</v>
      </c>
      <c r="G105" s="45" t="str">
        <f>IFERROR(IF(compras_mes9[[#This Row],[CUIT]]="","-",VLOOKUP(compras_mes9[[#This Row],[CUIT]],Lista_CUIT[#All],2,0)),"CUIT NO CARGADO")</f>
        <v>DI FEO MARTIN EZEQUIEL</v>
      </c>
      <c r="H105" s="46">
        <v>9950</v>
      </c>
      <c r="I105" s="85">
        <f>IF(compras_mes9[[#This Row],[NETO GRAVADO]]="","",compras_mes9[[#This Row],[NETO GRAVADO]]*0.21)</f>
        <v>2089.5</v>
      </c>
      <c r="J105" s="85"/>
      <c r="K105" s="85"/>
      <c r="L105" s="85"/>
      <c r="M105" s="85"/>
      <c r="N105" s="85"/>
      <c r="O105" s="85"/>
      <c r="P105" s="48">
        <f>SUM(compras_mes9[[#This Row],[NETO GRAVADO]:[Otros / No Grav.]])</f>
        <v>12039.5</v>
      </c>
      <c r="Q105" s="49" t="str">
        <f>IFERROR(IF(compras_mes9[[#This Row],[CUIT]]="","-",VLOOKUP(compras_mes9[[#This Row],[CUIT]],Lista_CUIT[#All],3,0)),"CUIT NO CARGADO")</f>
        <v>Productos Ortopedicos</v>
      </c>
      <c r="R105" s="49">
        <f>IFERROR(IF(compras_mes9[[#This Row],[CUIT]]="","-",VLOOKUP(compras_mes9[[#This Row],[CUIT]],Lista_CUIT[#All],4,0)),"CUIT NO CARGADO")</f>
        <v>0</v>
      </c>
    </row>
    <row r="106" spans="2:18" ht="14.45" customHeight="1">
      <c r="B106" s="40">
        <v>45554</v>
      </c>
      <c r="C106" s="41">
        <v>1</v>
      </c>
      <c r="D106" s="42">
        <v>2</v>
      </c>
      <c r="E106" s="43">
        <v>796</v>
      </c>
      <c r="F106" s="44">
        <v>20272865869</v>
      </c>
      <c r="G106" s="45" t="str">
        <f>IFERROR(IF(compras_mes9[[#This Row],[CUIT]]="","-",VLOOKUP(compras_mes9[[#This Row],[CUIT]],Lista_CUIT[#All],2,0)),"CUIT NO CARGADO")</f>
        <v>DI FEO MARTIN EZEQUIEL</v>
      </c>
      <c r="H106" s="46">
        <v>253100</v>
      </c>
      <c r="I106" s="85">
        <f>IF(compras_mes9[[#This Row],[NETO GRAVADO]]="","",compras_mes9[[#This Row],[NETO GRAVADO]]*0.21)</f>
        <v>53151</v>
      </c>
      <c r="J106" s="85"/>
      <c r="K106" s="85"/>
      <c r="L106" s="85"/>
      <c r="M106" s="85"/>
      <c r="N106" s="85"/>
      <c r="O106" s="85"/>
      <c r="P106" s="48">
        <f>SUM(compras_mes9[[#This Row],[NETO GRAVADO]:[Otros / No Grav.]])</f>
        <v>306251</v>
      </c>
      <c r="Q106" s="49" t="str">
        <f>IFERROR(IF(compras_mes9[[#This Row],[CUIT]]="","-",VLOOKUP(compras_mes9[[#This Row],[CUIT]],Lista_CUIT[#All],3,0)),"CUIT NO CARGADO")</f>
        <v>Productos Ortopedicos</v>
      </c>
      <c r="R106" s="49">
        <f>IFERROR(IF(compras_mes9[[#This Row],[CUIT]]="","-",VLOOKUP(compras_mes9[[#This Row],[CUIT]],Lista_CUIT[#All],4,0)),"CUIT NO CARGADO")</f>
        <v>0</v>
      </c>
    </row>
    <row r="107" spans="2:18" ht="15" customHeight="1">
      <c r="B107" s="40">
        <v>45561</v>
      </c>
      <c r="C107" s="41">
        <v>1</v>
      </c>
      <c r="D107" s="42">
        <v>2</v>
      </c>
      <c r="E107" s="43">
        <v>814</v>
      </c>
      <c r="F107" s="44">
        <v>20272865869</v>
      </c>
      <c r="G107" s="45" t="str">
        <f>IFERROR(IF(compras_mes9[[#This Row],[CUIT]]="","-",VLOOKUP(compras_mes9[[#This Row],[CUIT]],Lista_CUIT[#All],2,0)),"CUIT NO CARGADO")</f>
        <v>DI FEO MARTIN EZEQUIEL</v>
      </c>
      <c r="H107" s="46">
        <v>149150</v>
      </c>
      <c r="I107" s="85">
        <f>IF(compras_mes9[[#This Row],[NETO GRAVADO]]="","",compras_mes9[[#This Row],[NETO GRAVADO]]*0.21)</f>
        <v>31321.5</v>
      </c>
      <c r="J107" s="85"/>
      <c r="K107" s="85"/>
      <c r="L107" s="85"/>
      <c r="M107" s="85"/>
      <c r="N107" s="85"/>
      <c r="O107" s="85"/>
      <c r="P107" s="48">
        <f>SUM(compras_mes9[[#This Row],[NETO GRAVADO]:[Otros / No Grav.]])</f>
        <v>180471.5</v>
      </c>
      <c r="Q107" s="49" t="str">
        <f>IFERROR(IF(compras_mes9[[#This Row],[CUIT]]="","-",VLOOKUP(compras_mes9[[#This Row],[CUIT]],Lista_CUIT[#All],3,0)),"CUIT NO CARGADO")</f>
        <v>Productos Ortopedicos</v>
      </c>
      <c r="R107" s="49">
        <f>IFERROR(IF(compras_mes9[[#This Row],[CUIT]]="","-",VLOOKUP(compras_mes9[[#This Row],[CUIT]],Lista_CUIT[#All],4,0)),"CUIT NO CARGADO")</f>
        <v>0</v>
      </c>
    </row>
    <row r="108" spans="2:18" ht="15" customHeight="1">
      <c r="B108" s="40">
        <v>45562</v>
      </c>
      <c r="C108" s="41">
        <v>1</v>
      </c>
      <c r="D108" s="42">
        <v>2</v>
      </c>
      <c r="E108" s="43">
        <v>819</v>
      </c>
      <c r="F108" s="44">
        <v>20272865869</v>
      </c>
      <c r="G108" s="45" t="str">
        <f>IFERROR(IF(compras_mes9[[#This Row],[CUIT]]="","-",VLOOKUP(compras_mes9[[#This Row],[CUIT]],Lista_CUIT[#All],2,0)),"CUIT NO CARGADO")</f>
        <v>DI FEO MARTIN EZEQUIEL</v>
      </c>
      <c r="H108" s="46">
        <v>105000</v>
      </c>
      <c r="I108" s="85">
        <f>IF(compras_mes9[[#This Row],[NETO GRAVADO]]="","",compras_mes9[[#This Row],[NETO GRAVADO]]*0.21)</f>
        <v>22050</v>
      </c>
      <c r="J108" s="85"/>
      <c r="K108" s="85"/>
      <c r="L108" s="85"/>
      <c r="M108" s="85"/>
      <c r="N108" s="85"/>
      <c r="O108" s="85"/>
      <c r="P108" s="48">
        <f>SUM(compras_mes9[[#This Row],[NETO GRAVADO]:[Otros / No Grav.]])</f>
        <v>127050</v>
      </c>
      <c r="Q108" s="49" t="str">
        <f>IFERROR(IF(compras_mes9[[#This Row],[CUIT]]="","-",VLOOKUP(compras_mes9[[#This Row],[CUIT]],Lista_CUIT[#All],3,0)),"CUIT NO CARGADO")</f>
        <v>Productos Ortopedicos</v>
      </c>
      <c r="R108" s="49">
        <f>IFERROR(IF(compras_mes9[[#This Row],[CUIT]]="","-",VLOOKUP(compras_mes9[[#This Row],[CUIT]],Lista_CUIT[#All],4,0)),"CUIT NO CARGADO")</f>
        <v>0</v>
      </c>
    </row>
    <row r="109" spans="2:18" ht="15" customHeight="1">
      <c r="B109" s="40">
        <v>45562</v>
      </c>
      <c r="C109" s="41">
        <v>1</v>
      </c>
      <c r="D109" s="42">
        <v>2</v>
      </c>
      <c r="E109" s="43">
        <v>816</v>
      </c>
      <c r="F109" s="44">
        <v>20272865869</v>
      </c>
      <c r="G109" s="45" t="str">
        <f>IFERROR(IF(compras_mes9[[#This Row],[CUIT]]="","-",VLOOKUP(compras_mes9[[#This Row],[CUIT]],Lista_CUIT[#All],2,0)),"CUIT NO CARGADO")</f>
        <v>DI FEO MARTIN EZEQUIEL</v>
      </c>
      <c r="H109" s="46">
        <v>9800</v>
      </c>
      <c r="I109" s="85">
        <f>IF(compras_mes9[[#This Row],[NETO GRAVADO]]="","",compras_mes9[[#This Row],[NETO GRAVADO]]*0.21)</f>
        <v>2058</v>
      </c>
      <c r="J109" s="85"/>
      <c r="K109" s="85"/>
      <c r="L109" s="85"/>
      <c r="M109" s="85"/>
      <c r="N109" s="85"/>
      <c r="O109" s="85"/>
      <c r="P109" s="48">
        <f>SUM(compras_mes9[[#This Row],[NETO GRAVADO]:[Otros / No Grav.]])</f>
        <v>11858</v>
      </c>
      <c r="Q109" s="49" t="str">
        <f>IFERROR(IF(compras_mes9[[#This Row],[CUIT]]="","-",VLOOKUP(compras_mes9[[#This Row],[CUIT]],Lista_CUIT[#All],3,0)),"CUIT NO CARGADO")</f>
        <v>Productos Ortopedicos</v>
      </c>
      <c r="R109" s="49">
        <f>IFERROR(IF(compras_mes9[[#This Row],[CUIT]]="","-",VLOOKUP(compras_mes9[[#This Row],[CUIT]],Lista_CUIT[#All],4,0)),"CUIT NO CARGADO")</f>
        <v>0</v>
      </c>
    </row>
    <row r="110" spans="2:18" ht="15" customHeight="1">
      <c r="B110" s="40">
        <v>45562</v>
      </c>
      <c r="C110" s="41">
        <v>1</v>
      </c>
      <c r="D110" s="42">
        <v>3</v>
      </c>
      <c r="E110" s="43">
        <v>7702</v>
      </c>
      <c r="F110" s="44">
        <v>30526492281</v>
      </c>
      <c r="G110" s="45" t="str">
        <f>IFERROR(IF(compras_mes9[[#This Row],[CUIT]]="","-",VLOOKUP(compras_mes9[[#This Row],[CUIT]],Lista_CUIT[#All],2,0)),"CUIT NO CARGADO")</f>
        <v>CASA MAKAROVSKY S A C I I F</v>
      </c>
      <c r="H110" s="46">
        <v>149600</v>
      </c>
      <c r="I110" s="85">
        <f>IF(compras_mes9[[#This Row],[NETO GRAVADO]]="","",compras_mes9[[#This Row],[NETO GRAVADO]]*0.21)</f>
        <v>31416</v>
      </c>
      <c r="J110" s="85"/>
      <c r="K110" s="85"/>
      <c r="L110" s="85"/>
      <c r="M110" s="85"/>
      <c r="N110" s="85"/>
      <c r="O110" s="85"/>
      <c r="P110" s="48">
        <f>SUM(compras_mes9[[#This Row],[NETO GRAVADO]:[Otros / No Grav.]])</f>
        <v>181016</v>
      </c>
      <c r="Q110" s="49" t="str">
        <f>IFERROR(IF(compras_mes9[[#This Row],[CUIT]]="","-",VLOOKUP(compras_mes9[[#This Row],[CUIT]],Lista_CUIT[#All],3,0)),"CUIT NO CARGADO")</f>
        <v>Productos Ortopedicos</v>
      </c>
      <c r="R110" s="49">
        <f>IFERROR(IF(compras_mes9[[#This Row],[CUIT]]="","-",VLOOKUP(compras_mes9[[#This Row],[CUIT]],Lista_CUIT[#All],4,0)),"CUIT NO CARGADO")</f>
        <v>0</v>
      </c>
    </row>
    <row r="111" spans="2:18" ht="15" customHeight="1">
      <c r="B111" s="40">
        <v>45544</v>
      </c>
      <c r="C111" s="41">
        <v>1</v>
      </c>
      <c r="D111" s="42">
        <v>5</v>
      </c>
      <c r="E111" s="43">
        <v>1908</v>
      </c>
      <c r="F111" s="44">
        <v>30712187316</v>
      </c>
      <c r="G111" s="45" t="str">
        <f>IFERROR(IF(compras_mes9[[#This Row],[CUIT]]="","-",VLOOKUP(compras_mes9[[#This Row],[CUIT]],Lista_CUIT[#All],2,0)),"CUIT NO CARGADO")</f>
        <v>ITALOMED PRODUCTOS SRL</v>
      </c>
      <c r="H111" s="46">
        <v>265780.37</v>
      </c>
      <c r="I111" s="85">
        <f>IF(compras_mes9[[#This Row],[NETO GRAVADO]]="","",compras_mes9[[#This Row],[NETO GRAVADO]]*0.21)</f>
        <v>55813.877699999997</v>
      </c>
      <c r="J111" s="85"/>
      <c r="K111" s="85"/>
      <c r="L111" s="85"/>
      <c r="M111" s="85"/>
      <c r="N111" s="85"/>
      <c r="O111" s="85"/>
      <c r="P111" s="48">
        <f>SUM(compras_mes9[[#This Row],[NETO GRAVADO]:[Otros / No Grav.]])</f>
        <v>321594.24770000001</v>
      </c>
      <c r="Q111" s="49" t="str">
        <f>IFERROR(IF(compras_mes9[[#This Row],[CUIT]]="","-",VLOOKUP(compras_mes9[[#This Row],[CUIT]],Lista_CUIT[#All],3,0)),"CUIT NO CARGADO")</f>
        <v>Productos Ortopedicos</v>
      </c>
      <c r="R111" s="49">
        <f>IFERROR(IF(compras_mes9[[#This Row],[CUIT]]="","-",VLOOKUP(compras_mes9[[#This Row],[CUIT]],Lista_CUIT[#All],4,0)),"CUIT NO CARGADO")</f>
        <v>0</v>
      </c>
    </row>
    <row r="112" spans="2:18" ht="15" customHeight="1">
      <c r="B112" s="40">
        <v>45547</v>
      </c>
      <c r="C112" s="41">
        <v>1</v>
      </c>
      <c r="D112" s="42">
        <v>5</v>
      </c>
      <c r="E112" s="43">
        <v>1916</v>
      </c>
      <c r="F112" s="44">
        <v>30712187316</v>
      </c>
      <c r="G112" s="45" t="str">
        <f>IFERROR(IF(compras_mes9[[#This Row],[CUIT]]="","-",VLOOKUP(compras_mes9[[#This Row],[CUIT]],Lista_CUIT[#All],2,0)),"CUIT NO CARGADO")</f>
        <v>ITALOMED PRODUCTOS SRL</v>
      </c>
      <c r="H112" s="46">
        <v>472751.65</v>
      </c>
      <c r="I112" s="85">
        <f>IF(compras_mes9[[#This Row],[NETO GRAVADO]]="","",compras_mes9[[#This Row],[NETO GRAVADO]]*0.21)</f>
        <v>99277.8465</v>
      </c>
      <c r="J112" s="85"/>
      <c r="K112" s="85"/>
      <c r="L112" s="85"/>
      <c r="M112" s="85"/>
      <c r="N112" s="85"/>
      <c r="O112" s="85"/>
      <c r="P112" s="48">
        <f>SUM(compras_mes9[[#This Row],[NETO GRAVADO]:[Otros / No Grav.]])</f>
        <v>572029.49650000001</v>
      </c>
      <c r="Q112" s="49" t="str">
        <f>IFERROR(IF(compras_mes9[[#This Row],[CUIT]]="","-",VLOOKUP(compras_mes9[[#This Row],[CUIT]],Lista_CUIT[#All],3,0)),"CUIT NO CARGADO")</f>
        <v>Productos Ortopedicos</v>
      </c>
      <c r="R112" s="49">
        <f>IFERROR(IF(compras_mes9[[#This Row],[CUIT]]="","-",VLOOKUP(compras_mes9[[#This Row],[CUIT]],Lista_CUIT[#All],4,0)),"CUIT NO CARGADO")</f>
        <v>0</v>
      </c>
    </row>
    <row r="113" spans="2:18" ht="15" customHeight="1">
      <c r="B113" s="40">
        <v>45547</v>
      </c>
      <c r="C113" s="41">
        <v>1</v>
      </c>
      <c r="D113" s="42">
        <v>5</v>
      </c>
      <c r="E113" s="43">
        <v>1915</v>
      </c>
      <c r="F113" s="44">
        <v>30712187316</v>
      </c>
      <c r="G113" s="45" t="str">
        <f>IFERROR(IF(compras_mes9[[#This Row],[CUIT]]="","-",VLOOKUP(compras_mes9[[#This Row],[CUIT]],Lista_CUIT[#All],2,0)),"CUIT NO CARGADO")</f>
        <v>ITALOMED PRODUCTOS SRL</v>
      </c>
      <c r="H113" s="46">
        <v>254033.05</v>
      </c>
      <c r="I113" s="85">
        <f>IF(compras_mes9[[#This Row],[NETO GRAVADO]]="","",compras_mes9[[#This Row],[NETO GRAVADO]]*0.21)</f>
        <v>53346.940499999997</v>
      </c>
      <c r="J113" s="85"/>
      <c r="K113" s="85"/>
      <c r="L113" s="85"/>
      <c r="M113" s="85"/>
      <c r="N113" s="85"/>
      <c r="O113" s="85"/>
      <c r="P113" s="48">
        <f>SUM(compras_mes9[[#This Row],[NETO GRAVADO]:[Otros / No Grav.]])</f>
        <v>307379.99049999996</v>
      </c>
      <c r="Q113" s="49" t="str">
        <f>IFERROR(IF(compras_mes9[[#This Row],[CUIT]]="","-",VLOOKUP(compras_mes9[[#This Row],[CUIT]],Lista_CUIT[#All],3,0)),"CUIT NO CARGADO")</f>
        <v>Productos Ortopedicos</v>
      </c>
      <c r="R113" s="49">
        <f>IFERROR(IF(compras_mes9[[#This Row],[CUIT]]="","-",VLOOKUP(compras_mes9[[#This Row],[CUIT]],Lista_CUIT[#All],4,0)),"CUIT NO CARGADO")</f>
        <v>0</v>
      </c>
    </row>
    <row r="114" spans="2:18" ht="15" customHeight="1">
      <c r="B114" s="40">
        <v>45548</v>
      </c>
      <c r="C114" s="41">
        <v>1</v>
      </c>
      <c r="D114" s="42">
        <v>5</v>
      </c>
      <c r="E114" s="43">
        <v>1920</v>
      </c>
      <c r="F114" s="44">
        <v>30712187316</v>
      </c>
      <c r="G114" s="45" t="str">
        <f>IFERROR(IF(compras_mes9[[#This Row],[CUIT]]="","-",VLOOKUP(compras_mes9[[#This Row],[CUIT]],Lista_CUIT[#All],2,0)),"CUIT NO CARGADO")</f>
        <v>ITALOMED PRODUCTOS SRL</v>
      </c>
      <c r="H114" s="46">
        <v>34718.6</v>
      </c>
      <c r="I114" s="85">
        <f>IF(compras_mes9[[#This Row],[NETO GRAVADO]]="","",compras_mes9[[#This Row],[NETO GRAVADO]]*0.21)</f>
        <v>7290.905999999999</v>
      </c>
      <c r="J114" s="85"/>
      <c r="K114" s="85"/>
      <c r="L114" s="85"/>
      <c r="M114" s="85"/>
      <c r="N114" s="85"/>
      <c r="O114" s="85"/>
      <c r="P114" s="48">
        <f>SUM(compras_mes9[[#This Row],[NETO GRAVADO]:[Otros / No Grav.]])</f>
        <v>42009.505999999994</v>
      </c>
      <c r="Q114" s="49" t="str">
        <f>IFERROR(IF(compras_mes9[[#This Row],[CUIT]]="","-",VLOOKUP(compras_mes9[[#This Row],[CUIT]],Lista_CUIT[#All],3,0)),"CUIT NO CARGADO")</f>
        <v>Productos Ortopedicos</v>
      </c>
      <c r="R114" s="49">
        <f>IFERROR(IF(compras_mes9[[#This Row],[CUIT]]="","-",VLOOKUP(compras_mes9[[#This Row],[CUIT]],Lista_CUIT[#All],4,0)),"CUIT NO CARGADO")</f>
        <v>0</v>
      </c>
    </row>
    <row r="115" spans="2:18" ht="15" customHeight="1">
      <c r="B115" s="40">
        <v>45555</v>
      </c>
      <c r="C115" s="41">
        <v>1</v>
      </c>
      <c r="D115" s="42">
        <v>5</v>
      </c>
      <c r="E115" s="43">
        <v>1937</v>
      </c>
      <c r="F115" s="44">
        <v>30712187316</v>
      </c>
      <c r="G115" s="45" t="str">
        <f>IFERROR(IF(compras_mes9[[#This Row],[CUIT]]="","-",VLOOKUP(compras_mes9[[#This Row],[CUIT]],Lista_CUIT[#All],2,0)),"CUIT NO CARGADO")</f>
        <v>ITALOMED PRODUCTOS SRL</v>
      </c>
      <c r="H115" s="46">
        <v>213988.29</v>
      </c>
      <c r="I115" s="85">
        <f>IF(compras_mes9[[#This Row],[NETO GRAVADO]]="","",compras_mes9[[#This Row],[NETO GRAVADO]]*0.21)</f>
        <v>44937.5409</v>
      </c>
      <c r="J115" s="85"/>
      <c r="K115" s="85"/>
      <c r="L115" s="85"/>
      <c r="M115" s="85"/>
      <c r="N115" s="85"/>
      <c r="O115" s="85"/>
      <c r="P115" s="48">
        <f>SUM(compras_mes9[[#This Row],[NETO GRAVADO]:[Otros / No Grav.]])</f>
        <v>258925.8309</v>
      </c>
      <c r="Q115" s="49" t="str">
        <f>IFERROR(IF(compras_mes9[[#This Row],[CUIT]]="","-",VLOOKUP(compras_mes9[[#This Row],[CUIT]],Lista_CUIT[#All],3,0)),"CUIT NO CARGADO")</f>
        <v>Productos Ortopedicos</v>
      </c>
      <c r="R115" s="49">
        <f>IFERROR(IF(compras_mes9[[#This Row],[CUIT]]="","-",VLOOKUP(compras_mes9[[#This Row],[CUIT]],Lista_CUIT[#All],4,0)),"CUIT NO CARGADO")</f>
        <v>0</v>
      </c>
    </row>
    <row r="116" spans="2:18" s="429" customFormat="1" ht="15" customHeight="1">
      <c r="B116" s="40">
        <v>45541</v>
      </c>
      <c r="C116" s="41">
        <v>1</v>
      </c>
      <c r="D116" s="42">
        <v>8</v>
      </c>
      <c r="E116" s="43">
        <v>306</v>
      </c>
      <c r="F116" s="44">
        <v>30643518364</v>
      </c>
      <c r="G116" s="45" t="str">
        <f>IFERROR(IF(compras_mes9[[#This Row],[CUIT]]="","-",VLOOKUP(compras_mes9[[#This Row],[CUIT]],Lista_CUIT[#All],2,0)),"CUIT NO CARGADO")</f>
        <v>FARMACIA DE MEDRANO SCS</v>
      </c>
      <c r="H116" s="46">
        <v>188610</v>
      </c>
      <c r="I116" s="85">
        <f>IF(compras_mes9[[#This Row],[NETO GRAVADO]]="","",compras_mes9[[#This Row],[NETO GRAVADO]]*0.21)</f>
        <v>39608.1</v>
      </c>
      <c r="J116" s="85"/>
      <c r="K116" s="85"/>
      <c r="L116" s="85"/>
      <c r="M116" s="85"/>
      <c r="N116" s="85"/>
      <c r="O116" s="85"/>
      <c r="P116" s="48">
        <f>SUM(compras_mes9[[#This Row],[NETO GRAVADO]:[Otros / No Grav.]])</f>
        <v>228218.1</v>
      </c>
      <c r="Q116" s="49" t="str">
        <f>IFERROR(IF(compras_mes9[[#This Row],[CUIT]]="","-",VLOOKUP(compras_mes9[[#This Row],[CUIT]],Lista_CUIT[#All],3,0)),"CUIT NO CARGADO")</f>
        <v>Productos Ortopedicos</v>
      </c>
      <c r="R116" s="49">
        <f>IFERROR(IF(compras_mes9[[#This Row],[CUIT]]="","-",VLOOKUP(compras_mes9[[#This Row],[CUIT]],Lista_CUIT[#All],4,0)),"CUIT NO CARGADO")</f>
        <v>0</v>
      </c>
    </row>
    <row r="117" spans="2:18" s="429" customFormat="1" ht="15" customHeight="1">
      <c r="B117" s="40">
        <v>45545</v>
      </c>
      <c r="C117" s="41">
        <v>1</v>
      </c>
      <c r="D117" s="42">
        <v>8</v>
      </c>
      <c r="E117" s="43">
        <v>1684</v>
      </c>
      <c r="F117" s="44">
        <v>30708973501</v>
      </c>
      <c r="G117" s="45" t="str">
        <f>IFERROR(IF(compras_mes9[[#This Row],[CUIT]]="","-",VLOOKUP(compras_mes9[[#This Row],[CUIT]],Lista_CUIT[#All],2,0)),"CUIT NO CARGADO")</f>
        <v>ASIAL SRL</v>
      </c>
      <c r="H117" s="46">
        <v>740255</v>
      </c>
      <c r="I117" s="85">
        <f>IF(compras_mes9[[#This Row],[NETO GRAVADO]]="","",compras_mes9[[#This Row],[NETO GRAVADO]]*0.21)</f>
        <v>155453.54999999999</v>
      </c>
      <c r="J117" s="85"/>
      <c r="K117" s="85"/>
      <c r="L117" s="85"/>
      <c r="M117" s="85"/>
      <c r="N117" s="85"/>
      <c r="O117" s="85"/>
      <c r="P117" s="48">
        <f>SUM(compras_mes9[[#This Row],[NETO GRAVADO]:[Otros / No Grav.]])</f>
        <v>895708.55</v>
      </c>
      <c r="Q117" s="49" t="str">
        <f>IFERROR(IF(compras_mes9[[#This Row],[CUIT]]="","-",VLOOKUP(compras_mes9[[#This Row],[CUIT]],Lista_CUIT[#All],3,0)),"CUIT NO CARGADO")</f>
        <v>Productos Ortopedicos</v>
      </c>
      <c r="R117" s="49">
        <f>IFERROR(IF(compras_mes9[[#This Row],[CUIT]]="","-",VLOOKUP(compras_mes9[[#This Row],[CUIT]],Lista_CUIT[#All],4,0)),"CUIT NO CARGADO")</f>
        <v>0</v>
      </c>
    </row>
    <row r="118" spans="2:18" s="429" customFormat="1" ht="15" customHeight="1">
      <c r="B118" s="471">
        <v>45541</v>
      </c>
      <c r="C118" s="472">
        <v>1</v>
      </c>
      <c r="D118" s="473">
        <v>5</v>
      </c>
      <c r="E118" s="474">
        <v>1901</v>
      </c>
      <c r="F118" s="475">
        <v>30712187316</v>
      </c>
      <c r="G118" s="476" t="str">
        <f>IFERROR(IF(compras_mes9[[#This Row],[CUIT]]="","-",VLOOKUP(compras_mes9[[#This Row],[CUIT]],Lista_CUIT[#All],2,0)),"CUIT NO CARGADO")</f>
        <v>ITALOMED PRODUCTOS SRL</v>
      </c>
      <c r="H118" s="465">
        <v>293619.94</v>
      </c>
      <c r="I118" s="477">
        <f>IF(compras_mes9[[#This Row],[NETO GRAVADO]]="","",compras_mes9[[#This Row],[NETO GRAVADO]]*0.21)</f>
        <v>61660.187399999995</v>
      </c>
      <c r="J118" s="477"/>
      <c r="K118" s="477"/>
      <c r="L118" s="477"/>
      <c r="M118" s="477"/>
      <c r="N118" s="477"/>
      <c r="O118" s="477"/>
      <c r="P118" s="478">
        <f>SUM(compras_mes9[[#This Row],[NETO GRAVADO]:[Otros / No Grav.]])</f>
        <v>355280.1274</v>
      </c>
      <c r="Q118" s="479" t="str">
        <f>IFERROR(IF(compras_mes9[[#This Row],[CUIT]]="","-",VLOOKUP(compras_mes9[[#This Row],[CUIT]],Lista_CUIT[#All],3,0)),"CUIT NO CARGADO")</f>
        <v>Productos Ortopedicos</v>
      </c>
      <c r="R118" s="479">
        <f>IFERROR(IF(compras_mes9[[#This Row],[CUIT]]="","-",VLOOKUP(compras_mes9[[#This Row],[CUIT]],Lista_CUIT[#All],4,0)),"CUIT NO CARGADO")</f>
        <v>0</v>
      </c>
    </row>
    <row r="119" spans="2:18" s="429" customFormat="1" ht="15" customHeight="1">
      <c r="B119" s="471">
        <v>45544</v>
      </c>
      <c r="C119" s="472">
        <v>3</v>
      </c>
      <c r="D119" s="473">
        <v>5</v>
      </c>
      <c r="E119" s="474">
        <v>192</v>
      </c>
      <c r="F119" s="475">
        <v>30712187316</v>
      </c>
      <c r="G119" s="476" t="str">
        <f>IFERROR(IF(compras_mes9[[#This Row],[CUIT]]="","-",VLOOKUP(compras_mes9[[#This Row],[CUIT]],Lista_CUIT[#All],2,0)),"CUIT NO CARGADO")</f>
        <v>ITALOMED PRODUCTOS SRL</v>
      </c>
      <c r="H119" s="465">
        <v>-293619.94</v>
      </c>
      <c r="I119" s="477">
        <f>IF(compras_mes9[[#This Row],[NETO GRAVADO]]="","",compras_mes9[[#This Row],[NETO GRAVADO]]*0.21)</f>
        <v>-61660.187399999995</v>
      </c>
      <c r="J119" s="477"/>
      <c r="K119" s="477"/>
      <c r="L119" s="477"/>
      <c r="M119" s="477"/>
      <c r="N119" s="477"/>
      <c r="O119" s="477"/>
      <c r="P119" s="478">
        <f>SUM(compras_mes9[[#This Row],[NETO GRAVADO]:[Otros / No Grav.]])</f>
        <v>-355280.1274</v>
      </c>
      <c r="Q119" s="479" t="str">
        <f>IFERROR(IF(compras_mes9[[#This Row],[CUIT]]="","-",VLOOKUP(compras_mes9[[#This Row],[CUIT]],Lista_CUIT[#All],3,0)),"CUIT NO CARGADO")</f>
        <v>Productos Ortopedicos</v>
      </c>
      <c r="R119" s="479">
        <f>IFERROR(IF(compras_mes9[[#This Row],[CUIT]]="","-",VLOOKUP(compras_mes9[[#This Row],[CUIT]],Lista_CUIT[#All],4,0)),"CUIT NO CARGADO")</f>
        <v>0</v>
      </c>
    </row>
    <row r="120" spans="2:18" s="429" customFormat="1" ht="15" customHeight="1">
      <c r="B120" s="40">
        <v>45555</v>
      </c>
      <c r="C120" s="41">
        <v>1</v>
      </c>
      <c r="D120" s="42">
        <v>4</v>
      </c>
      <c r="E120" s="43">
        <v>136</v>
      </c>
      <c r="F120" s="44">
        <v>20317488476</v>
      </c>
      <c r="G120" s="45" t="str">
        <f>IFERROR(IF(compras_mes9[[#This Row],[CUIT]]="","-",VLOOKUP(compras_mes9[[#This Row],[CUIT]],Lista_CUIT[#All],2,0)),"CUIT NO CARGADO")</f>
        <v>MIGUEL ANGEL VILLALBA</v>
      </c>
      <c r="H120" s="46">
        <v>1870000</v>
      </c>
      <c r="I120" s="85">
        <f>IF(compras_mes9[[#This Row],[NETO GRAVADO]]="","",compras_mes9[[#This Row],[NETO GRAVADO]]*0.21)</f>
        <v>392700</v>
      </c>
      <c r="J120" s="85"/>
      <c r="K120" s="85"/>
      <c r="L120" s="85"/>
      <c r="M120" s="85"/>
      <c r="N120" s="85"/>
      <c r="O120" s="85"/>
      <c r="P120" s="48">
        <f>SUM(compras_mes9[[#This Row],[NETO GRAVADO]:[Otros / No Grav.]])</f>
        <v>2262700</v>
      </c>
      <c r="Q120" s="49" t="str">
        <f>IFERROR(IF(compras_mes9[[#This Row],[CUIT]]="","-",VLOOKUP(compras_mes9[[#This Row],[CUIT]],Lista_CUIT[#All],3,0)),"CUIT NO CARGADO")</f>
        <v>Recupero P. Ortopedicos</v>
      </c>
      <c r="R120" s="49">
        <f>IFERROR(IF(compras_mes9[[#This Row],[CUIT]]="","-",VLOOKUP(compras_mes9[[#This Row],[CUIT]],Lista_CUIT[#All],4,0)),"CUIT NO CARGADO")</f>
        <v>0</v>
      </c>
    </row>
    <row r="121" spans="2:18" s="487" customFormat="1" ht="15" customHeight="1">
      <c r="B121" s="40">
        <v>45560</v>
      </c>
      <c r="C121" s="41">
        <v>1</v>
      </c>
      <c r="D121" s="42">
        <v>4</v>
      </c>
      <c r="E121" s="43">
        <v>137</v>
      </c>
      <c r="F121" s="44">
        <v>20317488476</v>
      </c>
      <c r="G121" s="45" t="str">
        <f>IFERROR(IF(compras_mes9[[#This Row],[CUIT]]="","-",VLOOKUP(compras_mes9[[#This Row],[CUIT]],Lista_CUIT[#All],2,0)),"CUIT NO CARGADO")</f>
        <v>MIGUEL ANGEL VILLALBA</v>
      </c>
      <c r="H121" s="46">
        <v>105000</v>
      </c>
      <c r="I121" s="85">
        <f>IF(compras_mes9[[#This Row],[NETO GRAVADO]]="","",compras_mes9[[#This Row],[NETO GRAVADO]]*0.21)</f>
        <v>22050</v>
      </c>
      <c r="J121" s="85"/>
      <c r="K121" s="85"/>
      <c r="L121" s="85"/>
      <c r="M121" s="85"/>
      <c r="N121" s="85"/>
      <c r="O121" s="85"/>
      <c r="P121" s="48">
        <f>SUM(compras_mes9[[#This Row],[NETO GRAVADO]:[Otros / No Grav.]])</f>
        <v>127050</v>
      </c>
      <c r="Q121" s="49" t="str">
        <f>IFERROR(IF(compras_mes9[[#This Row],[CUIT]]="","-",VLOOKUP(compras_mes9[[#This Row],[CUIT]],Lista_CUIT[#All],3,0)),"CUIT NO CARGADO")</f>
        <v>Recupero P. Ortopedicos</v>
      </c>
      <c r="R121" s="49">
        <f>IFERROR(IF(compras_mes9[[#This Row],[CUIT]]="","-",VLOOKUP(compras_mes9[[#This Row],[CUIT]],Lista_CUIT[#All],4,0)),"CUIT NO CARGADO")</f>
        <v>0</v>
      </c>
    </row>
    <row r="122" spans="2:18" s="487" customFormat="1" ht="15" customHeight="1">
      <c r="B122" s="40">
        <v>45559</v>
      </c>
      <c r="C122" s="41">
        <v>1</v>
      </c>
      <c r="D122" s="42">
        <v>2</v>
      </c>
      <c r="E122" s="43">
        <v>25</v>
      </c>
      <c r="F122" s="44">
        <v>27243660535</v>
      </c>
      <c r="G122" s="45" t="str">
        <f>IFERROR(IF(compras_mes9[[#This Row],[CUIT]]="","-",VLOOKUP(compras_mes9[[#This Row],[CUIT]],Lista_CUIT[#All],2,0)),"CUIT NO CARGADO")</f>
        <v>BARD MARISA SILVIA</v>
      </c>
      <c r="H122" s="46">
        <v>360000</v>
      </c>
      <c r="I122" s="85">
        <f>IF(compras_mes9[[#This Row],[NETO GRAVADO]]="","",compras_mes9[[#This Row],[NETO GRAVADO]]*0.21)</f>
        <v>75600</v>
      </c>
      <c r="J122" s="85"/>
      <c r="K122" s="85"/>
      <c r="L122" s="85"/>
      <c r="M122" s="85"/>
      <c r="N122" s="85"/>
      <c r="O122" s="85"/>
      <c r="P122" s="48">
        <f>SUM(compras_mes9[[#This Row],[NETO GRAVADO]:[Otros / No Grav.]])</f>
        <v>435600</v>
      </c>
      <c r="Q122" s="49" t="str">
        <f>IFERROR(IF(compras_mes9[[#This Row],[CUIT]]="","-",VLOOKUP(compras_mes9[[#This Row],[CUIT]],Lista_CUIT[#All],3,0)),"CUIT NO CARGADO")</f>
        <v>Productos Ortopedicos</v>
      </c>
      <c r="R122" s="49">
        <f>IFERROR(IF(compras_mes9[[#This Row],[CUIT]]="","-",VLOOKUP(compras_mes9[[#This Row],[CUIT]],Lista_CUIT[#All],4,0)),"CUIT NO CARGADO")</f>
        <v>0</v>
      </c>
    </row>
    <row r="123" spans="2:18" s="487" customFormat="1" ht="15" customHeight="1">
      <c r="B123" s="40">
        <v>45537</v>
      </c>
      <c r="C123" s="41">
        <v>1</v>
      </c>
      <c r="D123" s="42">
        <v>2</v>
      </c>
      <c r="E123" s="43">
        <v>248</v>
      </c>
      <c r="F123" s="44">
        <v>27144282383</v>
      </c>
      <c r="G123" s="45" t="str">
        <f>IFERROR(IF(compras_mes9[[#This Row],[CUIT]]="","-",VLOOKUP(compras_mes9[[#This Row],[CUIT]],Lista_CUIT[#All],2,0)),"CUIT NO CARGADO")</f>
        <v>SCHEJTER LILA ELISA</v>
      </c>
      <c r="H123" s="46">
        <v>160000</v>
      </c>
      <c r="I123" s="85">
        <f>IF(compras_mes9[[#This Row],[NETO GRAVADO]]="","",compras_mes9[[#This Row],[NETO GRAVADO]]*0.21)</f>
        <v>33600</v>
      </c>
      <c r="J123" s="85"/>
      <c r="K123" s="85"/>
      <c r="L123" s="85"/>
      <c r="M123" s="85"/>
      <c r="N123" s="85"/>
      <c r="O123" s="85"/>
      <c r="P123" s="48">
        <f>SUM(compras_mes9[[#This Row],[NETO GRAVADO]:[Otros / No Grav.]])</f>
        <v>193600</v>
      </c>
      <c r="Q123" s="49" t="str">
        <f>IFERROR(IF(compras_mes9[[#This Row],[CUIT]]="","-",VLOOKUP(compras_mes9[[#This Row],[CUIT]],Lista_CUIT[#All],3,0)),"CUIT NO CARGADO")</f>
        <v>Productos Ortopedicos</v>
      </c>
      <c r="R123" s="49">
        <f>IFERROR(IF(compras_mes9[[#This Row],[CUIT]]="","-",VLOOKUP(compras_mes9[[#This Row],[CUIT]],Lista_CUIT[#All],4,0)),"CUIT NO CARGADO")</f>
        <v>0</v>
      </c>
    </row>
    <row r="124" spans="2:18" s="487" customFormat="1" ht="15" customHeight="1">
      <c r="B124" s="40">
        <v>45551</v>
      </c>
      <c r="C124" s="41">
        <v>1</v>
      </c>
      <c r="D124" s="42">
        <v>2</v>
      </c>
      <c r="E124" s="43">
        <v>249</v>
      </c>
      <c r="F124" s="44">
        <v>27144282383</v>
      </c>
      <c r="G124" s="45" t="str">
        <f>IFERROR(IF(compras_mes9[[#This Row],[CUIT]]="","-",VLOOKUP(compras_mes9[[#This Row],[CUIT]],Lista_CUIT[#All],2,0)),"CUIT NO CARGADO")</f>
        <v>SCHEJTER LILA ELISA</v>
      </c>
      <c r="H124" s="46">
        <v>320000</v>
      </c>
      <c r="I124" s="85">
        <f>IF(compras_mes9[[#This Row],[NETO GRAVADO]]="","",compras_mes9[[#This Row],[NETO GRAVADO]]*0.21)</f>
        <v>67200</v>
      </c>
      <c r="J124" s="85"/>
      <c r="K124" s="85"/>
      <c r="L124" s="85"/>
      <c r="M124" s="85"/>
      <c r="N124" s="85"/>
      <c r="O124" s="85"/>
      <c r="P124" s="48">
        <f>SUM(compras_mes9[[#This Row],[NETO GRAVADO]:[Otros / No Grav.]])</f>
        <v>387200</v>
      </c>
      <c r="Q124" s="49" t="str">
        <f>IFERROR(IF(compras_mes9[[#This Row],[CUIT]]="","-",VLOOKUP(compras_mes9[[#This Row],[CUIT]],Lista_CUIT[#All],3,0)),"CUIT NO CARGADO")</f>
        <v>Productos Ortopedicos</v>
      </c>
      <c r="R124" s="49">
        <f>IFERROR(IF(compras_mes9[[#This Row],[CUIT]]="","-",VLOOKUP(compras_mes9[[#This Row],[CUIT]],Lista_CUIT[#All],4,0)),"CUIT NO CARGADO")</f>
        <v>0</v>
      </c>
    </row>
    <row r="125" spans="2:18" s="487" customFormat="1" ht="15" customHeight="1">
      <c r="B125" s="40">
        <v>45555</v>
      </c>
      <c r="C125" s="41">
        <v>1</v>
      </c>
      <c r="D125" s="42">
        <v>2</v>
      </c>
      <c r="E125" s="43">
        <v>250</v>
      </c>
      <c r="F125" s="44">
        <v>27144282383</v>
      </c>
      <c r="G125" s="45" t="str">
        <f>IFERROR(IF(compras_mes9[[#This Row],[CUIT]]="","-",VLOOKUP(compras_mes9[[#This Row],[CUIT]],Lista_CUIT[#All],2,0)),"CUIT NO CARGADO")</f>
        <v>SCHEJTER LILA ELISA</v>
      </c>
      <c r="H125" s="46">
        <v>320000</v>
      </c>
      <c r="I125" s="85">
        <f>IF(compras_mes9[[#This Row],[NETO GRAVADO]]="","",compras_mes9[[#This Row],[NETO GRAVADO]]*0.21)</f>
        <v>67200</v>
      </c>
      <c r="J125" s="85"/>
      <c r="K125" s="85"/>
      <c r="L125" s="85"/>
      <c r="M125" s="85"/>
      <c r="N125" s="85"/>
      <c r="O125" s="85"/>
      <c r="P125" s="48">
        <f>SUM(compras_mes9[[#This Row],[NETO GRAVADO]:[Otros / No Grav.]])</f>
        <v>387200</v>
      </c>
      <c r="Q125" s="49" t="str">
        <f>IFERROR(IF(compras_mes9[[#This Row],[CUIT]]="","-",VLOOKUP(compras_mes9[[#This Row],[CUIT]],Lista_CUIT[#All],3,0)),"CUIT NO CARGADO")</f>
        <v>Productos Ortopedicos</v>
      </c>
      <c r="R125" s="49">
        <f>IFERROR(IF(compras_mes9[[#This Row],[CUIT]]="","-",VLOOKUP(compras_mes9[[#This Row],[CUIT]],Lista_CUIT[#All],4,0)),"CUIT NO CARGADO")</f>
        <v>0</v>
      </c>
    </row>
    <row r="126" spans="2:18" s="487" customFormat="1" ht="15" customHeight="1">
      <c r="B126" s="40">
        <v>45561</v>
      </c>
      <c r="C126" s="41">
        <v>1</v>
      </c>
      <c r="D126" s="42">
        <v>2</v>
      </c>
      <c r="E126" s="43">
        <v>252</v>
      </c>
      <c r="F126" s="44">
        <v>27144282383</v>
      </c>
      <c r="G126" s="45" t="str">
        <f>IFERROR(IF(compras_mes9[[#This Row],[CUIT]]="","-",VLOOKUP(compras_mes9[[#This Row],[CUIT]],Lista_CUIT[#All],2,0)),"CUIT NO CARGADO")</f>
        <v>SCHEJTER LILA ELISA</v>
      </c>
      <c r="H126" s="46">
        <v>300000</v>
      </c>
      <c r="I126" s="85">
        <f>IF(compras_mes9[[#This Row],[NETO GRAVADO]]="","",compras_mes9[[#This Row],[NETO GRAVADO]]*0.21)</f>
        <v>63000</v>
      </c>
      <c r="J126" s="85"/>
      <c r="K126" s="85"/>
      <c r="L126" s="85"/>
      <c r="M126" s="85"/>
      <c r="N126" s="85"/>
      <c r="O126" s="85"/>
      <c r="P126" s="48">
        <f>SUM(compras_mes9[[#This Row],[NETO GRAVADO]:[Otros / No Grav.]])</f>
        <v>363000</v>
      </c>
      <c r="Q126" s="49" t="str">
        <f>IFERROR(IF(compras_mes9[[#This Row],[CUIT]]="","-",VLOOKUP(compras_mes9[[#This Row],[CUIT]],Lista_CUIT[#All],3,0)),"CUIT NO CARGADO")</f>
        <v>Productos Ortopedicos</v>
      </c>
      <c r="R126" s="49">
        <f>IFERROR(IF(compras_mes9[[#This Row],[CUIT]]="","-",VLOOKUP(compras_mes9[[#This Row],[CUIT]],Lista_CUIT[#All],4,0)),"CUIT NO CARGADO")</f>
        <v>0</v>
      </c>
    </row>
    <row r="127" spans="2:18" s="487" customFormat="1" ht="15" customHeight="1">
      <c r="B127" s="40">
        <v>45539</v>
      </c>
      <c r="C127" s="41">
        <v>1</v>
      </c>
      <c r="D127" s="42">
        <v>401</v>
      </c>
      <c r="E127" s="43">
        <v>66</v>
      </c>
      <c r="F127" s="44">
        <v>30716234114</v>
      </c>
      <c r="G127" s="45" t="str">
        <f>IFERROR(IF(compras_mes9[[#This Row],[CUIT]]="","-",VLOOKUP(compras_mes9[[#This Row],[CUIT]],Lista_CUIT[#All],2,0)),"CUIT NO CARGADO")</f>
        <v>UZUMAKI S.A.S.</v>
      </c>
      <c r="H127" s="46">
        <v>168736.5</v>
      </c>
      <c r="I127" s="85">
        <f>IF(compras_mes9[[#This Row],[NETO GRAVADO]]="","",compras_mes9[[#This Row],[NETO GRAVADO]]*0.21)</f>
        <v>35434.665000000001</v>
      </c>
      <c r="J127" s="85"/>
      <c r="K127" s="85"/>
      <c r="L127" s="85"/>
      <c r="M127" s="85"/>
      <c r="N127" s="85"/>
      <c r="O127" s="85"/>
      <c r="P127" s="48">
        <f>SUM(compras_mes9[[#This Row],[NETO GRAVADO]:[Otros / No Grav.]])</f>
        <v>204171.16500000001</v>
      </c>
      <c r="Q127" s="49" t="str">
        <f>IFERROR(IF(compras_mes9[[#This Row],[CUIT]]="","-",VLOOKUP(compras_mes9[[#This Row],[CUIT]],Lista_CUIT[#All],3,0)),"CUIT NO CARGADO")</f>
        <v>Productos Ortopedicos</v>
      </c>
      <c r="R127" s="49">
        <f>IFERROR(IF(compras_mes9[[#This Row],[CUIT]]="","-",VLOOKUP(compras_mes9[[#This Row],[CUIT]],Lista_CUIT[#All],4,0)),"CUIT NO CARGADO")</f>
        <v>0</v>
      </c>
    </row>
    <row r="128" spans="2:18" s="487" customFormat="1" ht="15" customHeight="1">
      <c r="B128" s="40">
        <v>45558</v>
      </c>
      <c r="C128" s="41">
        <v>1</v>
      </c>
      <c r="D128" s="42">
        <v>5</v>
      </c>
      <c r="E128" s="43">
        <v>3128526</v>
      </c>
      <c r="F128" s="44">
        <v>30702652975</v>
      </c>
      <c r="G128" s="45" t="str">
        <f>IFERROR(IF(compras_mes9[[#This Row],[CUIT]]="","-",VLOOKUP(compras_mes9[[#This Row],[CUIT]],Lista_CUIT[#All],2,0)),"CUIT NO CARGADO")</f>
        <v>NSS SA</v>
      </c>
      <c r="H128" s="46">
        <v>28530.17</v>
      </c>
      <c r="I128" s="85">
        <f>IF(compras_mes9[[#This Row],[NETO GRAVADO]]="","",compras_mes9[[#This Row],[NETO GRAVADO]]*0.21)</f>
        <v>5991.3356999999996</v>
      </c>
      <c r="J128" s="85"/>
      <c r="K128" s="85"/>
      <c r="L128" s="85"/>
      <c r="M128" s="85"/>
      <c r="N128" s="85"/>
      <c r="O128" s="85"/>
      <c r="P128" s="48">
        <f>SUM(compras_mes9[[#This Row],[NETO GRAVADO]:[Otros / No Grav.]])</f>
        <v>34521.505699999994</v>
      </c>
      <c r="Q128" s="49" t="str">
        <f>IFERROR(IF(compras_mes9[[#This Row],[CUIT]]="","-",VLOOKUP(compras_mes9[[#This Row],[CUIT]],Lista_CUIT[#All],3,0)),"CUIT NO CARGADO")</f>
        <v>Servicios Gas-Luz-Agua-Internet</v>
      </c>
      <c r="R128" s="49">
        <f>IFERROR(IF(compras_mes9[[#This Row],[CUIT]]="","-",VLOOKUP(compras_mes9[[#This Row],[CUIT]],Lista_CUIT[#All],4,0)),"CUIT NO CARGADO")</f>
        <v>0</v>
      </c>
    </row>
    <row r="129" spans="2:18" s="487" customFormat="1" ht="15" customHeight="1">
      <c r="B129" s="40">
        <v>45565</v>
      </c>
      <c r="C129" s="41">
        <v>1</v>
      </c>
      <c r="D129" s="42">
        <v>20</v>
      </c>
      <c r="E129" s="43">
        <v>197792</v>
      </c>
      <c r="F129" s="44">
        <v>30696850972</v>
      </c>
      <c r="G129" s="45" t="str">
        <f>IFERROR(IF(compras_mes9[[#This Row],[CUIT]]="","-",VLOOKUP(compras_mes9[[#This Row],[CUIT]],Lista_CUIT[#All],2,0)),"CUIT NO CARGADO")</f>
        <v>CPS COMUNICACIONES SA</v>
      </c>
      <c r="H129" s="46">
        <v>19732.580000000002</v>
      </c>
      <c r="I129" s="85"/>
      <c r="J129" s="85">
        <f>compras_mes9[[#This Row],[NETO GRAVADO]]*27/100</f>
        <v>5327.7966000000006</v>
      </c>
      <c r="K129" s="85"/>
      <c r="L129" s="85"/>
      <c r="M129" s="85"/>
      <c r="N129" s="85"/>
      <c r="O129" s="85"/>
      <c r="P129" s="48">
        <f>SUM(compras_mes9[[#This Row],[NETO GRAVADO]:[Otros / No Grav.]])</f>
        <v>25060.376600000003</v>
      </c>
      <c r="Q129" s="49" t="str">
        <f>IFERROR(IF(compras_mes9[[#This Row],[CUIT]]="","-",VLOOKUP(compras_mes9[[#This Row],[CUIT]],Lista_CUIT[#All],3,0)),"CUIT NO CARGADO")</f>
        <v>Servicios Gas-Luz-Agua-Internet</v>
      </c>
      <c r="R129" s="49">
        <f>IFERROR(IF(compras_mes9[[#This Row],[CUIT]]="","-",VLOOKUP(compras_mes9[[#This Row],[CUIT]],Lista_CUIT[#All],4,0)),"CUIT NO CARGADO")</f>
        <v>0</v>
      </c>
    </row>
    <row r="130" spans="2:18" s="487" customFormat="1" ht="15" customHeight="1">
      <c r="B130" s="470">
        <v>45537</v>
      </c>
      <c r="C130" s="41">
        <v>1</v>
      </c>
      <c r="D130" s="461">
        <v>3051</v>
      </c>
      <c r="E130" s="462">
        <v>801967</v>
      </c>
      <c r="F130" s="463">
        <v>30678814357</v>
      </c>
      <c r="G130" s="464" t="str">
        <f>IFERROR(IF(compras_mes9[[#This Row],[CUIT]]="","-",VLOOKUP(compras_mes9[[#This Row],[CUIT]],Lista_CUIT[#All],2,0)),"CUIT NO CARGADO")</f>
        <v>TELEFONICA MOVILES ARG SA</v>
      </c>
      <c r="H130" s="465">
        <v>14407</v>
      </c>
      <c r="I130" s="466"/>
      <c r="J130" s="466">
        <f>compras_mes9[[#This Row],[NETO GRAVADO]]*27/100</f>
        <v>3889.89</v>
      </c>
      <c r="K130" s="466"/>
      <c r="L130" s="466"/>
      <c r="M130" s="466"/>
      <c r="N130" s="466"/>
      <c r="O130" s="466"/>
      <c r="P130" s="467">
        <f>SUM(compras_mes9[[#This Row],[NETO GRAVADO]:[Otros / No Grav.]])</f>
        <v>18296.89</v>
      </c>
      <c r="Q130" s="468" t="str">
        <f>IFERROR(IF(compras_mes9[[#This Row],[CUIT]]="","-",VLOOKUP(compras_mes9[[#This Row],[CUIT]],Lista_CUIT[#All],3,0)),"CUIT NO CARGADO")</f>
        <v>Servicios Gas-Luz-Agua-Internet</v>
      </c>
      <c r="R130" s="468">
        <f>IFERROR(IF(compras_mes9[[#This Row],[CUIT]]="","-",VLOOKUP(compras_mes9[[#This Row],[CUIT]],Lista_CUIT[#All],4,0)),"CUIT NO CARGADO")</f>
        <v>0</v>
      </c>
    </row>
    <row r="131" spans="2:18" s="487" customFormat="1">
      <c r="B131" s="470">
        <v>45544</v>
      </c>
      <c r="C131" s="41">
        <v>1</v>
      </c>
      <c r="D131" s="461">
        <v>3101</v>
      </c>
      <c r="E131" s="462">
        <v>161895</v>
      </c>
      <c r="F131" s="463">
        <v>30678814357</v>
      </c>
      <c r="G131" s="464" t="str">
        <f>IFERROR(IF(compras_mes9[[#This Row],[CUIT]]="","-",VLOOKUP(compras_mes9[[#This Row],[CUIT]],Lista_CUIT[#All],2,0)),"CUIT NO CARGADO")</f>
        <v>TELEFONICA MOVILES ARG SA</v>
      </c>
      <c r="H131" s="465">
        <v>58748.38</v>
      </c>
      <c r="I131" s="466"/>
      <c r="J131" s="466">
        <f>compras_mes9[[#This Row],[NETO GRAVADO]]*27/100</f>
        <v>15862.062599999999</v>
      </c>
      <c r="K131" s="466"/>
      <c r="L131" s="466"/>
      <c r="M131" s="466"/>
      <c r="N131" s="466"/>
      <c r="O131" s="466"/>
      <c r="P131" s="467">
        <f>SUM(compras_mes9[[#This Row],[NETO GRAVADO]:[Otros / No Grav.]])</f>
        <v>74610.442599999995</v>
      </c>
      <c r="Q131" s="468" t="str">
        <f>IFERROR(IF(compras_mes9[[#This Row],[CUIT]]="","-",VLOOKUP(compras_mes9[[#This Row],[CUIT]],Lista_CUIT[#All],3,0)),"CUIT NO CARGADO")</f>
        <v>Servicios Gas-Luz-Agua-Internet</v>
      </c>
      <c r="R131" s="468">
        <f>IFERROR(IF(compras_mes9[[#This Row],[CUIT]]="","-",VLOOKUP(compras_mes9[[#This Row],[CUIT]],Lista_CUIT[#All],4,0)),"CUIT NO CARGADO")</f>
        <v>0</v>
      </c>
    </row>
    <row r="132" spans="2:18">
      <c r="B132" s="470">
        <v>45552</v>
      </c>
      <c r="C132" s="41">
        <v>1</v>
      </c>
      <c r="D132" s="461">
        <v>4264</v>
      </c>
      <c r="E132" s="462">
        <v>4388001</v>
      </c>
      <c r="F132" s="463">
        <v>30639453738</v>
      </c>
      <c r="G132" s="464" t="str">
        <f>IFERROR(IF(compras_mes9[[#This Row],[CUIT]]="","-",VLOOKUP(compras_mes9[[#This Row],[CUIT]],Lista_CUIT[#All],2,0)),"CUIT NO CARGADO")</f>
        <v>TELECOM ARGENTINA SA</v>
      </c>
      <c r="H132" s="465">
        <v>24142.14</v>
      </c>
      <c r="I132" s="466">
        <f>IF(compras_mes9[[#This Row],[NETO GRAVADO]]="","",compras_mes9[[#This Row],[NETO GRAVADO]]*0.21)</f>
        <v>5069.8494000000001</v>
      </c>
      <c r="J132" s="466"/>
      <c r="K132" s="466"/>
      <c r="L132" s="466"/>
      <c r="M132" s="466"/>
      <c r="N132" s="466"/>
      <c r="O132" s="466"/>
      <c r="P132" s="467">
        <f>SUM(compras_mes9[[#This Row],[NETO GRAVADO]:[Otros / No Grav.]])</f>
        <v>29211.989399999999</v>
      </c>
      <c r="Q132" s="468" t="str">
        <f>IFERROR(IF(compras_mes9[[#This Row],[CUIT]]="","-",VLOOKUP(compras_mes9[[#This Row],[CUIT]],Lista_CUIT[#All],3,0)),"CUIT NO CARGADO")</f>
        <v>Servicios Gas-Luz-Agua-Internet</v>
      </c>
      <c r="R132" s="468">
        <f>IFERROR(IF(compras_mes9[[#This Row],[CUIT]]="","-",VLOOKUP(compras_mes9[[#This Row],[CUIT]],Lista_CUIT[#All],4,0)),"CUIT NO CARGADO")</f>
        <v>0</v>
      </c>
    </row>
    <row r="133" spans="2:18" ht="15" customHeight="1">
      <c r="B133" s="613" t="s">
        <v>110</v>
      </c>
      <c r="C133" s="613"/>
      <c r="D133" s="613"/>
      <c r="E133" s="613"/>
      <c r="F133" s="613"/>
      <c r="G133" s="614"/>
      <c r="H133" s="615">
        <f>SUBTOTAL(109,compras_mes9[NETO GRAVADO])</f>
        <v>27561985.260000005</v>
      </c>
      <c r="I133" s="615">
        <f>SUBTOTAL(109,compras_mes9[IVA 21 %])</f>
        <v>5439907.7103999993</v>
      </c>
      <c r="J133" s="615">
        <f>SUBTOTAL(109,compras_mes9[IVA 27%])</f>
        <v>25079.749199999998</v>
      </c>
      <c r="K133" s="615">
        <f>SUBTOTAL(109,compras_mes9[IVA 10,5%])</f>
        <v>164301.3603</v>
      </c>
      <c r="L133" s="615">
        <f>SUBTOTAL(109,compras_mes9[PERC. IVA])</f>
        <v>0</v>
      </c>
      <c r="M133" s="615">
        <f>SUBTOTAL(109,compras_mes9[PERC IIBB 
BS AS])</f>
        <v>0</v>
      </c>
      <c r="N133" s="615">
        <f>SUBTOTAL(109,compras_mes9[PERC. IIBB CABA])</f>
        <v>3593.17</v>
      </c>
      <c r="O133" s="615">
        <f>SUBTOTAL(109,compras_mes9[Otros / No Grav.])</f>
        <v>34872.74</v>
      </c>
      <c r="P133" s="615">
        <f>SUBTOTAL(109,compras_mes9[TOTAL])</f>
        <v>33229739.989899997</v>
      </c>
      <c r="Q133" s="616"/>
      <c r="R133" s="613"/>
    </row>
    <row r="134" spans="2:18" ht="15" customHeight="1">
      <c r="B134" s="40"/>
      <c r="C134" s="41"/>
      <c r="D134" s="42"/>
      <c r="E134" s="43"/>
      <c r="F134" s="44"/>
      <c r="G134" s="45"/>
      <c r="H134" s="46"/>
      <c r="I134" s="47"/>
      <c r="J134" s="47"/>
      <c r="K134" s="47"/>
      <c r="L134" s="47"/>
      <c r="M134" s="47"/>
      <c r="N134" s="47"/>
      <c r="O134" s="47"/>
      <c r="P134" s="48"/>
      <c r="Q134" s="610"/>
      <c r="R134" s="49"/>
    </row>
    <row r="135" spans="2:18" ht="15" customHeight="1">
      <c r="B135" s="40"/>
      <c r="C135" s="41"/>
      <c r="D135" s="42"/>
      <c r="E135" s="43"/>
      <c r="F135" s="44"/>
      <c r="G135" s="45"/>
      <c r="H135" s="46"/>
      <c r="I135" s="47"/>
      <c r="J135" s="47"/>
      <c r="K135" s="47"/>
      <c r="L135" s="47"/>
      <c r="M135" s="47"/>
      <c r="N135" s="47"/>
      <c r="O135" s="47"/>
      <c r="P135" s="48"/>
      <c r="Q135" s="610"/>
      <c r="R135" s="49"/>
    </row>
    <row r="136" spans="2:18" ht="15" customHeight="1">
      <c r="B136" s="40"/>
      <c r="C136" s="41"/>
      <c r="D136" s="42"/>
      <c r="E136" s="43"/>
      <c r="F136" s="44"/>
      <c r="G136" s="45"/>
      <c r="H136" s="46"/>
      <c r="I136" s="47"/>
      <c r="J136" s="47"/>
      <c r="K136" s="47"/>
      <c r="L136" s="47"/>
      <c r="M136" s="47"/>
      <c r="N136" s="47"/>
      <c r="O136" s="47"/>
      <c r="P136" s="48"/>
      <c r="Q136" s="610"/>
      <c r="R136" s="49"/>
    </row>
    <row r="137" spans="2:18" ht="15" customHeight="1">
      <c r="B137" s="40"/>
      <c r="C137" s="41"/>
      <c r="D137" s="42"/>
      <c r="E137" s="43"/>
      <c r="F137" s="44"/>
      <c r="G137" s="45"/>
      <c r="H137" s="46"/>
      <c r="I137" s="47"/>
      <c r="J137" s="47"/>
      <c r="K137" s="47"/>
      <c r="L137" s="47"/>
    </row>
    <row r="138" spans="2:18" ht="15" customHeight="1">
      <c r="D138" s="665" t="s">
        <v>15</v>
      </c>
      <c r="E138" s="665"/>
      <c r="F138" s="665"/>
      <c r="G138" s="665"/>
      <c r="H138" s="665"/>
      <c r="I138" s="665"/>
      <c r="J138" s="665"/>
      <c r="K138" s="665"/>
      <c r="L138" s="665"/>
      <c r="M138" s="665"/>
    </row>
    <row r="139" spans="2:18" ht="15" customHeight="1">
      <c r="D139" s="73" t="s">
        <v>0</v>
      </c>
      <c r="E139" s="74" t="s">
        <v>26</v>
      </c>
      <c r="F139" s="74" t="s">
        <v>16</v>
      </c>
      <c r="G139" s="74" t="s">
        <v>5</v>
      </c>
      <c r="H139" s="74" t="s">
        <v>17</v>
      </c>
      <c r="I139" s="74" t="s">
        <v>7</v>
      </c>
      <c r="J139" s="75" t="s">
        <v>18</v>
      </c>
      <c r="K139" s="75" t="s">
        <v>19</v>
      </c>
      <c r="L139" s="76" t="s">
        <v>20</v>
      </c>
      <c r="M139" s="289" t="s">
        <v>10</v>
      </c>
    </row>
    <row r="140" spans="2:18" ht="15" customHeight="1">
      <c r="D140" s="50"/>
      <c r="E140" s="285"/>
      <c r="F140" s="80" t="s">
        <v>2324</v>
      </c>
      <c r="G140" s="81">
        <v>23460</v>
      </c>
      <c r="H140" s="81">
        <f>extracto_banco_mes9[[#This Row],[NETO]]*0.21</f>
        <v>4926.5999999999995</v>
      </c>
      <c r="I140" s="81"/>
      <c r="J140" s="81">
        <v>1000</v>
      </c>
      <c r="K140" s="81">
        <v>600</v>
      </c>
      <c r="L140" s="81"/>
      <c r="M140" s="290">
        <f>SUM(extracto_banco_mes9[[#This Row],[NETO]:[PERC IIBB]])</f>
        <v>29986.6</v>
      </c>
    </row>
    <row r="141" spans="2:18" ht="15" customHeight="1">
      <c r="D141" s="50"/>
      <c r="E141" s="285"/>
      <c r="F141" s="80" t="s">
        <v>2325</v>
      </c>
      <c r="G141" s="81">
        <v>29920</v>
      </c>
      <c r="H141" s="81">
        <f>extracto_banco_mes9[[#This Row],[NETO]]*0.21</f>
        <v>6283.2</v>
      </c>
      <c r="I141" s="81"/>
      <c r="J141" s="81"/>
      <c r="K141" s="81">
        <v>840</v>
      </c>
      <c r="L141" s="81"/>
      <c r="M141" s="290">
        <f>SUM(extracto_banco_mes9[[#This Row],[NETO]:[PERC IIBB]])</f>
        <v>37043.199999999997</v>
      </c>
    </row>
    <row r="142" spans="2:18">
      <c r="D142" s="286"/>
      <c r="E142" s="285"/>
      <c r="F142" s="80"/>
      <c r="G142" s="287"/>
      <c r="H142" s="81">
        <f>extracto_banco_mes9[[#This Row],[NETO]]*0.21</f>
        <v>0</v>
      </c>
      <c r="I142" s="287"/>
      <c r="J142" s="287"/>
      <c r="K142" s="287"/>
      <c r="L142" s="287"/>
      <c r="M142" s="290">
        <f>SUM(extracto_banco_mes9[[#This Row],[NETO]:[PERC IIBB]])</f>
        <v>0</v>
      </c>
    </row>
    <row r="143" spans="2:18">
      <c r="D143" s="286"/>
      <c r="E143" s="285"/>
      <c r="F143" s="80"/>
      <c r="G143" s="287"/>
      <c r="H143" s="287">
        <f>extracto_banco_mes9[[#This Row],[NETO]]*0.21</f>
        <v>0</v>
      </c>
      <c r="I143" s="287"/>
      <c r="J143" s="287"/>
      <c r="K143" s="287"/>
      <c r="L143" s="287"/>
      <c r="M143" s="290">
        <f>SUM(extracto_banco_mes9[[#This Row],[NETO]:[PERC IIBB]])</f>
        <v>0</v>
      </c>
    </row>
    <row r="144" spans="2:18">
      <c r="D144" s="82" t="s">
        <v>110</v>
      </c>
      <c r="E144" s="80"/>
      <c r="F144" s="80"/>
      <c r="G144" s="83">
        <f>SUBTOTAL(109,extracto_banco_mes9[NETO])</f>
        <v>53380</v>
      </c>
      <c r="H144" s="83">
        <f>SUBTOTAL(109,extracto_banco_mes9[IVA 21%])</f>
        <v>11209.8</v>
      </c>
      <c r="I144" s="83">
        <f>SUBTOTAL(109,extracto_banco_mes9[IVA 10,5%])</f>
        <v>0</v>
      </c>
      <c r="J144" s="83">
        <f>SUBTOTAL(109,extracto_banco_mes9[RET IIBB CABA])</f>
        <v>1000</v>
      </c>
      <c r="K144" s="83">
        <f>SUBTOTAL(109,extracto_banco_mes9[PERC IVA])</f>
        <v>1440</v>
      </c>
      <c r="L144" s="83">
        <f>SUBTOTAL(109,extracto_banco_mes9[PERC IIBB])</f>
        <v>0</v>
      </c>
      <c r="M144" s="288"/>
    </row>
    <row r="148" spans="2:18" ht="21">
      <c r="D148" s="665" t="s">
        <v>25</v>
      </c>
      <c r="E148" s="665"/>
      <c r="F148" s="665"/>
      <c r="G148" s="665"/>
      <c r="H148" s="665"/>
      <c r="I148" s="665"/>
      <c r="J148" s="665"/>
      <c r="K148" s="665"/>
    </row>
    <row r="149" spans="2:18">
      <c r="D149" s="51" t="s">
        <v>0</v>
      </c>
      <c r="E149" s="51" t="s">
        <v>2</v>
      </c>
      <c r="F149" s="51" t="s">
        <v>74</v>
      </c>
      <c r="G149" s="51" t="s">
        <v>3</v>
      </c>
      <c r="H149" s="51" t="s">
        <v>4</v>
      </c>
      <c r="I149" s="52" t="s">
        <v>10</v>
      </c>
      <c r="J149" s="51" t="s">
        <v>13</v>
      </c>
      <c r="K149" s="51" t="s">
        <v>38</v>
      </c>
    </row>
    <row r="150" spans="2:18">
      <c r="D150" s="50" t="s">
        <v>2453</v>
      </c>
      <c r="E150" s="42">
        <v>5</v>
      </c>
      <c r="F150" s="43">
        <v>169</v>
      </c>
      <c r="G150" s="44">
        <v>27062343449</v>
      </c>
      <c r="H150" s="53" t="str">
        <f>IFERROR(IF(factura_c_mes9[[#This Row],[CUIT]]="","-",VLOOKUP(factura_c_mes9[[#This Row],[CUIT]],Lista_CUIT[#All],2,0)),"CUIT NO CARGADO")</f>
        <v>FERREIRS LILISNS INES</v>
      </c>
      <c r="I150" s="81">
        <v>35000</v>
      </c>
      <c r="J150" s="54" t="str">
        <f>IFERROR(IF(factura_c_mes9[[#This Row],[CUIT]]="","-",VLOOKUP(factura_c_mes9[[#This Row],[CUIT]],Lista_CUIT[#All],3,0)),"CUIT NO CARGADO")</f>
        <v>ALQUILERES PAGADOS</v>
      </c>
      <c r="K150" s="54">
        <f>IFERROR(IF(factura_c_mes9[[#This Row],[CUIT]]="","-",VLOOKUP(factura_c_mes9[[#This Row],[CUIT]],Lista_CUIT[#All],4,0)),"CUIT NO CARGADO")</f>
        <v>0</v>
      </c>
    </row>
    <row r="151" spans="2:18">
      <c r="D151" s="50" t="s">
        <v>2453</v>
      </c>
      <c r="E151" s="42">
        <v>5</v>
      </c>
      <c r="F151" s="43">
        <v>168</v>
      </c>
      <c r="G151" s="44">
        <v>27062343449</v>
      </c>
      <c r="H151" s="53" t="str">
        <f>IFERROR(IF(factura_c_mes9[[#This Row],[CUIT]]="","-",VLOOKUP(factura_c_mes9[[#This Row],[CUIT]],Lista_CUIT[#All],2,0)),"CUIT NO CARGADO")</f>
        <v>FERREIRS LILISNS INES</v>
      </c>
      <c r="I151" s="81">
        <v>260000</v>
      </c>
      <c r="J151" s="54" t="str">
        <f>IFERROR(IF(factura_c_mes9[[#This Row],[CUIT]]="","-",VLOOKUP(factura_c_mes9[[#This Row],[CUIT]],Lista_CUIT[#All],3,0)),"CUIT NO CARGADO")</f>
        <v>ALQUILERES PAGADOS</v>
      </c>
      <c r="K151" s="54">
        <f>IFERROR(IF(factura_c_mes9[[#This Row],[CUIT]]="","-",VLOOKUP(factura_c_mes9[[#This Row],[CUIT]],Lista_CUIT[#All],4,0)),"CUIT NO CARGADO")</f>
        <v>0</v>
      </c>
    </row>
    <row r="152" spans="2:18">
      <c r="D152" s="50" t="s">
        <v>2458</v>
      </c>
      <c r="E152" s="42">
        <v>1</v>
      </c>
      <c r="F152" s="43">
        <v>14</v>
      </c>
      <c r="G152" s="44">
        <v>27443612705</v>
      </c>
      <c r="H152" s="53" t="str">
        <f>IFERROR(IF(factura_c_mes9[[#This Row],[CUIT]]="","-",VLOOKUP(factura_c_mes9[[#This Row],[CUIT]],Lista_CUIT[#All],2,0)),"CUIT NO CARGADO")</f>
        <v>MIGOYA MORIONDO MARIA INES</v>
      </c>
      <c r="I152" s="81">
        <v>600000</v>
      </c>
      <c r="J152" s="54" t="str">
        <f>IFERROR(IF(factura_c_mes9[[#This Row],[CUIT]]="","-",VLOOKUP(factura_c_mes9[[#This Row],[CUIT]],Lista_CUIT[#All],3,0)),"CUIT NO CARGADO")</f>
        <v>ALQUILERES PAGADOS</v>
      </c>
      <c r="K152" s="54">
        <f>IFERROR(IF(factura_c_mes9[[#This Row],[CUIT]]="","-",VLOOKUP(factura_c_mes9[[#This Row],[CUIT]],Lista_CUIT[#All],4,0)),"CUIT NO CARGADO")</f>
        <v>0</v>
      </c>
    </row>
    <row r="153" spans="2:18" s="56" customFormat="1" ht="18.600000000000001" customHeight="1">
      <c r="B153"/>
      <c r="C153"/>
      <c r="D153" s="50" t="s">
        <v>2449</v>
      </c>
      <c r="E153" s="42">
        <v>3</v>
      </c>
      <c r="F153" s="43">
        <v>874</v>
      </c>
      <c r="G153" s="44">
        <v>20086277523</v>
      </c>
      <c r="H153" s="53" t="str">
        <f>IFERROR(IF(factura_c_mes9[[#This Row],[CUIT]]="","-",VLOOKUP(factura_c_mes9[[#This Row],[CUIT]],Lista_CUIT[#All],2,0)),"CUIT NO CARGADO")</f>
        <v>BOTINDARI JUAN CARLOS</v>
      </c>
      <c r="I153" s="81">
        <v>275500</v>
      </c>
      <c r="J153" s="54" t="str">
        <f>IFERROR(IF(factura_c_mes9[[#This Row],[CUIT]]="","-",VLOOKUP(factura_c_mes9[[#This Row],[CUIT]],Lista_CUIT[#All],3,0)),"CUIT NO CARGADO")</f>
        <v>HONORARIOS</v>
      </c>
      <c r="K153" s="54">
        <f>IFERROR(IF(factura_c_mes9[[#This Row],[CUIT]]="","-",VLOOKUP(factura_c_mes9[[#This Row],[CUIT]],Lista_CUIT[#All],4,0)),"CUIT NO CARGADO")</f>
        <v>0</v>
      </c>
      <c r="L153"/>
      <c r="M153"/>
      <c r="N153"/>
      <c r="O153"/>
      <c r="P153"/>
      <c r="Q153"/>
      <c r="R153"/>
    </row>
    <row r="154" spans="2:18">
      <c r="D154" s="50" t="s">
        <v>2455</v>
      </c>
      <c r="E154" s="42">
        <v>1</v>
      </c>
      <c r="F154" s="43">
        <v>70</v>
      </c>
      <c r="G154" s="44">
        <v>23281233084</v>
      </c>
      <c r="H154" s="53" t="str">
        <f>IFERROR(IF(factura_c_mes9[[#This Row],[CUIT]]="","-",VLOOKUP(factura_c_mes9[[#This Row],[CUIT]],Lista_CUIT[#All],2,0)),"CUIT NO CARGADO")</f>
        <v>DRUETTA ANDREA MARIEL</v>
      </c>
      <c r="I154" s="81">
        <v>215000</v>
      </c>
      <c r="J154" s="54" t="str">
        <f>IFERROR(IF(factura_c_mes9[[#This Row],[CUIT]]="","-",VLOOKUP(factura_c_mes9[[#This Row],[CUIT]],Lista_CUIT[#All],3,0)),"CUIT NO CARGADO")</f>
        <v>HONORARIOS TECNICOS</v>
      </c>
      <c r="K154" s="54">
        <f>IFERROR(IF(factura_c_mes9[[#This Row],[CUIT]]="","-",VLOOKUP(factura_c_mes9[[#This Row],[CUIT]],Lista_CUIT[#All],4,0)),"CUIT NO CARGADO")</f>
        <v>0</v>
      </c>
    </row>
    <row r="155" spans="2:18">
      <c r="D155" s="50" t="s">
        <v>2455</v>
      </c>
      <c r="E155" s="42">
        <v>1</v>
      </c>
      <c r="F155" s="43">
        <v>71</v>
      </c>
      <c r="G155" s="44">
        <v>23281233084</v>
      </c>
      <c r="H155" s="53" t="str">
        <f>IFERROR(IF(factura_c_mes9[[#This Row],[CUIT]]="","-",VLOOKUP(factura_c_mes9[[#This Row],[CUIT]],Lista_CUIT[#All],2,0)),"CUIT NO CARGADO")</f>
        <v>DRUETTA ANDREA MARIEL</v>
      </c>
      <c r="I155" s="81">
        <v>215000</v>
      </c>
      <c r="J155" s="54" t="str">
        <f>IFERROR(IF(factura_c_mes9[[#This Row],[CUIT]]="","-",VLOOKUP(factura_c_mes9[[#This Row],[CUIT]],Lista_CUIT[#All],3,0)),"CUIT NO CARGADO")</f>
        <v>HONORARIOS TECNICOS</v>
      </c>
      <c r="K155" s="54">
        <f>IFERROR(IF(factura_c_mes9[[#This Row],[CUIT]]="","-",VLOOKUP(factura_c_mes9[[#This Row],[CUIT]],Lista_CUIT[#All],4,0)),"CUIT NO CARGADO")</f>
        <v>0</v>
      </c>
    </row>
    <row r="156" spans="2:18">
      <c r="D156" s="50" t="s">
        <v>2454</v>
      </c>
      <c r="E156" s="42">
        <v>1</v>
      </c>
      <c r="F156" s="43">
        <v>248</v>
      </c>
      <c r="G156" s="44">
        <v>27217606255</v>
      </c>
      <c r="H156" s="53" t="str">
        <f>IFERROR(IF(factura_c_mes9[[#This Row],[CUIT]]="","-",VLOOKUP(factura_c_mes9[[#This Row],[CUIT]],Lista_CUIT[#All],2,0)),"CUIT NO CARGADO")</f>
        <v>SAPUNA MARIAN KARINA</v>
      </c>
      <c r="I156" s="81">
        <v>50223.03</v>
      </c>
      <c r="J156" s="54" t="str">
        <f>IFERROR(IF(factura_c_mes9[[#This Row],[CUIT]]="","-",VLOOKUP(factura_c_mes9[[#This Row],[CUIT]],Lista_CUIT[#All],3,0)),"CUIT NO CARGADO")</f>
        <v>MANTENIMIENTO</v>
      </c>
      <c r="K156" s="54">
        <f>IFERROR(IF(factura_c_mes9[[#This Row],[CUIT]]="","-",VLOOKUP(factura_c_mes9[[#This Row],[CUIT]],Lista_CUIT[#All],4,0)),"CUIT NO CARGADO")</f>
        <v>0</v>
      </c>
    </row>
    <row r="157" spans="2:18">
      <c r="D157" s="50" t="s">
        <v>2454</v>
      </c>
      <c r="E157" s="42">
        <v>1</v>
      </c>
      <c r="F157" s="43">
        <v>247</v>
      </c>
      <c r="G157" s="44">
        <v>27217606255</v>
      </c>
      <c r="H157" s="53" t="str">
        <f>IFERROR(IF(factura_c_mes9[[#This Row],[CUIT]]="","-",VLOOKUP(factura_c_mes9[[#This Row],[CUIT]],Lista_CUIT[#All],2,0)),"CUIT NO CARGADO")</f>
        <v>SAPUNA MARIAN KARINA</v>
      </c>
      <c r="I157" s="81">
        <v>56703.42</v>
      </c>
      <c r="J157" s="54" t="str">
        <f>IFERROR(IF(factura_c_mes9[[#This Row],[CUIT]]="","-",VLOOKUP(factura_c_mes9[[#This Row],[CUIT]],Lista_CUIT[#All],3,0)),"CUIT NO CARGADO")</f>
        <v>MANTENIMIENTO</v>
      </c>
      <c r="K157" s="54">
        <f>IFERROR(IF(factura_c_mes9[[#This Row],[CUIT]]="","-",VLOOKUP(factura_c_mes9[[#This Row],[CUIT]],Lista_CUIT[#All],4,0)),"CUIT NO CARGADO")</f>
        <v>0</v>
      </c>
    </row>
    <row r="158" spans="2:18">
      <c r="D158" s="50" t="s">
        <v>2455</v>
      </c>
      <c r="E158" s="42">
        <v>1</v>
      </c>
      <c r="F158" s="43">
        <v>250</v>
      </c>
      <c r="G158" s="44">
        <v>27217606255</v>
      </c>
      <c r="H158" s="53" t="str">
        <f>IFERROR(IF(factura_c_mes9[[#This Row],[CUIT]]="","-",VLOOKUP(factura_c_mes9[[#This Row],[CUIT]],Lista_CUIT[#All],2,0)),"CUIT NO CARGADO")</f>
        <v>SAPUNA MARIAN KARINA</v>
      </c>
      <c r="I158" s="81">
        <v>148916.68</v>
      </c>
      <c r="J158" s="54" t="str">
        <f>IFERROR(IF(factura_c_mes9[[#This Row],[CUIT]]="","-",VLOOKUP(factura_c_mes9[[#This Row],[CUIT]],Lista_CUIT[#All],3,0)),"CUIT NO CARGADO")</f>
        <v>MANTENIMIENTO</v>
      </c>
      <c r="K158" s="54">
        <f>IFERROR(IF(factura_c_mes9[[#This Row],[CUIT]]="","-",VLOOKUP(factura_c_mes9[[#This Row],[CUIT]],Lista_CUIT[#All],4,0)),"CUIT NO CARGADO")</f>
        <v>0</v>
      </c>
    </row>
    <row r="159" spans="2:18">
      <c r="D159" s="50" t="s">
        <v>2455</v>
      </c>
      <c r="E159" s="42">
        <v>1</v>
      </c>
      <c r="F159" s="43">
        <v>249</v>
      </c>
      <c r="G159" s="44">
        <v>27217606255</v>
      </c>
      <c r="H159" s="53" t="str">
        <f>IFERROR(IF(factura_c_mes9[[#This Row],[CUIT]]="","-",VLOOKUP(factura_c_mes9[[#This Row],[CUIT]],Lista_CUIT[#All],2,0)),"CUIT NO CARGADO")</f>
        <v>SAPUNA MARIAN KARINA</v>
      </c>
      <c r="I159" s="81">
        <v>55083.32</v>
      </c>
      <c r="J159" s="54" t="str">
        <f>IFERROR(IF(factura_c_mes9[[#This Row],[CUIT]]="","-",VLOOKUP(factura_c_mes9[[#This Row],[CUIT]],Lista_CUIT[#All],3,0)),"CUIT NO CARGADO")</f>
        <v>MANTENIMIENTO</v>
      </c>
      <c r="K159" s="54">
        <f>IFERROR(IF(factura_c_mes9[[#This Row],[CUIT]]="","-",VLOOKUP(factura_c_mes9[[#This Row],[CUIT]],Lista_CUIT[#All],4,0)),"CUIT NO CARGADO")</f>
        <v>0</v>
      </c>
    </row>
    <row r="160" spans="2:18" ht="22.5" customHeight="1">
      <c r="D160" s="50" t="s">
        <v>2456</v>
      </c>
      <c r="E160" s="42">
        <v>1</v>
      </c>
      <c r="F160" s="43">
        <v>251</v>
      </c>
      <c r="G160" s="44">
        <v>27217606255</v>
      </c>
      <c r="H160" s="53" t="str">
        <f>IFERROR(IF(factura_c_mes9[[#This Row],[CUIT]]="","-",VLOOKUP(factura_c_mes9[[#This Row],[CUIT]],Lista_CUIT[#All],2,0)),"CUIT NO CARGADO")</f>
        <v>SAPUNA MARIAN KARINA</v>
      </c>
      <c r="I160" s="81">
        <v>96357.85</v>
      </c>
      <c r="J160" s="54" t="str">
        <f>IFERROR(IF(factura_c_mes9[[#This Row],[CUIT]]="","-",VLOOKUP(factura_c_mes9[[#This Row],[CUIT]],Lista_CUIT[#All],3,0)),"CUIT NO CARGADO")</f>
        <v>MANTENIMIENTO</v>
      </c>
      <c r="K160" s="54">
        <f>IFERROR(IF(factura_c_mes9[[#This Row],[CUIT]]="","-",VLOOKUP(factura_c_mes9[[#This Row],[CUIT]],Lista_CUIT[#All],4,0)),"CUIT NO CARGADO")</f>
        <v>0</v>
      </c>
    </row>
    <row r="161" spans="2:18">
      <c r="D161" s="50" t="s">
        <v>2456</v>
      </c>
      <c r="E161" s="42">
        <v>1</v>
      </c>
      <c r="F161" s="43">
        <v>252</v>
      </c>
      <c r="G161" s="44">
        <v>27217606255</v>
      </c>
      <c r="H161" s="53" t="str">
        <f>IFERROR(IF(factura_c_mes9[[#This Row],[CUIT]]="","-",VLOOKUP(factura_c_mes9[[#This Row],[CUIT]],Lista_CUIT[#All],2,0)),"CUIT NO CARGADO")</f>
        <v>SAPUNA MARIAN KARINA</v>
      </c>
      <c r="I161" s="81">
        <v>105117.66</v>
      </c>
      <c r="J161" s="54" t="str">
        <f>IFERROR(IF(factura_c_mes9[[#This Row],[CUIT]]="","-",VLOOKUP(factura_c_mes9[[#This Row],[CUIT]],Lista_CUIT[#All],3,0)),"CUIT NO CARGADO")</f>
        <v>MANTENIMIENTO</v>
      </c>
      <c r="K161" s="54">
        <f>IFERROR(IF(factura_c_mes9[[#This Row],[CUIT]]="","-",VLOOKUP(factura_c_mes9[[#This Row],[CUIT]],Lista_CUIT[#All],4,0)),"CUIT NO CARGADO")</f>
        <v>0</v>
      </c>
    </row>
    <row r="162" spans="2:18" ht="18" customHeight="1">
      <c r="D162" s="50" t="s">
        <v>2457</v>
      </c>
      <c r="E162" s="42">
        <v>1</v>
      </c>
      <c r="F162" s="43">
        <v>253</v>
      </c>
      <c r="G162" s="44">
        <v>27217606255</v>
      </c>
      <c r="H162" s="53" t="str">
        <f>IFERROR(IF(factura_c_mes9[[#This Row],[CUIT]]="","-",VLOOKUP(factura_c_mes9[[#This Row],[CUIT]],Lista_CUIT[#All],2,0)),"CUIT NO CARGADO")</f>
        <v>SAPUNA MARIAN KARINA</v>
      </c>
      <c r="I162" s="81">
        <v>87598.05</v>
      </c>
      <c r="J162" s="54" t="str">
        <f>IFERROR(IF(factura_c_mes9[[#This Row],[CUIT]]="","-",VLOOKUP(factura_c_mes9[[#This Row],[CUIT]],Lista_CUIT[#All],3,0)),"CUIT NO CARGADO")</f>
        <v>MANTENIMIENTO</v>
      </c>
      <c r="K162" s="54">
        <f>IFERROR(IF(factura_c_mes9[[#This Row],[CUIT]]="","-",VLOOKUP(factura_c_mes9[[#This Row],[CUIT]],Lista_CUIT[#All],4,0)),"CUIT NO CARGADO")</f>
        <v>0</v>
      </c>
    </row>
    <row r="163" spans="2:18">
      <c r="D163" s="50" t="s">
        <v>2449</v>
      </c>
      <c r="E163" s="42">
        <v>2</v>
      </c>
      <c r="F163" s="43">
        <v>302</v>
      </c>
      <c r="G163" s="44">
        <v>27265832178</v>
      </c>
      <c r="H163" s="53" t="str">
        <f>IFERROR(IF(factura_c_mes9[[#This Row],[CUIT]]="","-",VLOOKUP(factura_c_mes9[[#This Row],[CUIT]],Lista_CUIT[#All],2,0)),"CUIT NO CARGADO")</f>
        <v>BLASCO MARIA GUADALUPE</v>
      </c>
      <c r="I163" s="81">
        <v>250000</v>
      </c>
      <c r="J163" s="54" t="str">
        <f>IFERROR(IF(factura_c_mes9[[#This Row],[CUIT]]="","-",VLOOKUP(factura_c_mes9[[#This Row],[CUIT]],Lista_CUIT[#All],3,0)),"CUIT NO CARGADO")</f>
        <v>Productos Ortopedicos</v>
      </c>
      <c r="K163" s="54">
        <f>IFERROR(IF(factura_c_mes9[[#This Row],[CUIT]]="","-",VLOOKUP(factura_c_mes9[[#This Row],[CUIT]],Lista_CUIT[#All],4,0)),"CUIT NO CARGADO")</f>
        <v>0</v>
      </c>
    </row>
    <row r="164" spans="2:18">
      <c r="D164" s="50" t="s">
        <v>2450</v>
      </c>
      <c r="E164" s="42">
        <v>1</v>
      </c>
      <c r="F164" s="43">
        <v>148</v>
      </c>
      <c r="G164" s="44">
        <v>27338342840</v>
      </c>
      <c r="H164" s="53" t="str">
        <f>IFERROR(IF(factura_c_mes9[[#This Row],[CUIT]]="","-",VLOOKUP(factura_c_mes9[[#This Row],[CUIT]],Lista_CUIT[#All],2,0)),"CUIT NO CARGADO")</f>
        <v>CANCINO PAMELA RITA</v>
      </c>
      <c r="I164" s="81">
        <v>276800</v>
      </c>
      <c r="J164" s="54" t="str">
        <f>IFERROR(IF(factura_c_mes9[[#This Row],[CUIT]]="","-",VLOOKUP(factura_c_mes9[[#This Row],[CUIT]],Lista_CUIT[#All],3,0)),"CUIT NO CARGADO")</f>
        <v>Productos Ortopedicos</v>
      </c>
      <c r="K164" s="54">
        <f>IFERROR(IF(factura_c_mes9[[#This Row],[CUIT]]="","-",VLOOKUP(factura_c_mes9[[#This Row],[CUIT]],Lista_CUIT[#All],4,0)),"CUIT NO CARGADO")</f>
        <v>0</v>
      </c>
    </row>
    <row r="165" spans="2:18">
      <c r="D165" s="50" t="s">
        <v>2451</v>
      </c>
      <c r="E165" s="42">
        <v>3</v>
      </c>
      <c r="F165" s="43">
        <v>986</v>
      </c>
      <c r="G165" s="44">
        <v>20216451679</v>
      </c>
      <c r="H165" s="53" t="str">
        <f>IFERROR(IF(factura_c_mes9[[#This Row],[CUIT]]="","-",VLOOKUP(factura_c_mes9[[#This Row],[CUIT]],Lista_CUIT[#All],2,0)),"CUIT NO CARGADO")</f>
        <v>VAZQUEZ RICARDO OSCAR</v>
      </c>
      <c r="I165" s="81">
        <v>86000</v>
      </c>
      <c r="J165" s="54" t="str">
        <f>IFERROR(IF(factura_c_mes9[[#This Row],[CUIT]]="","-",VLOOKUP(factura_c_mes9[[#This Row],[CUIT]],Lista_CUIT[#All],3,0)),"CUIT NO CARGADO")</f>
        <v>Productos Ortopedicos</v>
      </c>
      <c r="K165" s="54">
        <f>IFERROR(IF(factura_c_mes9[[#This Row],[CUIT]]="","-",VLOOKUP(factura_c_mes9[[#This Row],[CUIT]],Lista_CUIT[#All],4,0)),"CUIT NO CARGADO")</f>
        <v>0</v>
      </c>
    </row>
    <row r="166" spans="2:18">
      <c r="D166" s="50" t="s">
        <v>2452</v>
      </c>
      <c r="E166" s="42">
        <v>1</v>
      </c>
      <c r="F166" s="43">
        <v>9</v>
      </c>
      <c r="G166" s="44">
        <v>20464199633</v>
      </c>
      <c r="H166" s="53" t="str">
        <f>IFERROR(IF(factura_c_mes9[[#This Row],[CUIT]]="","-",VLOOKUP(factura_c_mes9[[#This Row],[CUIT]],Lista_CUIT[#All],2,0)),"CUIT NO CARGADO")</f>
        <v>OVIEDO JIMENEZ TIZIANO LIONEL</v>
      </c>
      <c r="I166" s="81">
        <v>499950</v>
      </c>
      <c r="J166" s="54" t="str">
        <f>IFERROR(IF(factura_c_mes9[[#This Row],[CUIT]]="","-",VLOOKUP(factura_c_mes9[[#This Row],[CUIT]],Lista_CUIT[#All],3,0)),"CUIT NO CARGADO")</f>
        <v>Productos Ortopedicos</v>
      </c>
      <c r="K166" s="54">
        <f>IFERROR(IF(factura_c_mes9[[#This Row],[CUIT]]="","-",VLOOKUP(factura_c_mes9[[#This Row],[CUIT]],Lista_CUIT[#All],4,0)),"CUIT NO CARGADO")</f>
        <v>0</v>
      </c>
    </row>
    <row r="167" spans="2:18">
      <c r="D167" s="50" t="s">
        <v>2456</v>
      </c>
      <c r="E167" s="42">
        <v>3</v>
      </c>
      <c r="F167" s="43">
        <v>991</v>
      </c>
      <c r="G167" s="44">
        <v>20216451679</v>
      </c>
      <c r="H167" s="53" t="str">
        <f>IFERROR(IF(factura_c_mes9[[#This Row],[CUIT]]="","-",VLOOKUP(factura_c_mes9[[#This Row],[CUIT]],Lista_CUIT[#All],2,0)),"CUIT NO CARGADO")</f>
        <v>VAZQUEZ RICARDO OSCAR</v>
      </c>
      <c r="I167" s="81">
        <v>160000</v>
      </c>
      <c r="J167" s="54" t="str">
        <f>IFERROR(IF(factura_c_mes9[[#This Row],[CUIT]]="","-",VLOOKUP(factura_c_mes9[[#This Row],[CUIT]],Lista_CUIT[#All],3,0)),"CUIT NO CARGADO")</f>
        <v>Productos Ortopedicos</v>
      </c>
      <c r="K167" s="54">
        <f>IFERROR(IF(factura_c_mes9[[#This Row],[CUIT]]="","-",VLOOKUP(factura_c_mes9[[#This Row],[CUIT]],Lista_CUIT[#All],4,0)),"CUIT NO CARGADO")</f>
        <v>0</v>
      </c>
    </row>
    <row r="168" spans="2:18">
      <c r="D168" s="50" t="s">
        <v>2459</v>
      </c>
      <c r="E168" s="42">
        <v>2</v>
      </c>
      <c r="F168" s="43">
        <v>304</v>
      </c>
      <c r="G168" s="44">
        <v>27265832178</v>
      </c>
      <c r="H168" s="53" t="str">
        <f>IFERROR(IF(factura_c_mes9[[#This Row],[CUIT]]="","-",VLOOKUP(factura_c_mes9[[#This Row],[CUIT]],Lista_CUIT[#All],2,0)),"CUIT NO CARGADO")</f>
        <v>BLASCO MARIA GUADALUPE</v>
      </c>
      <c r="I168" s="81">
        <v>250000</v>
      </c>
      <c r="J168" s="54" t="str">
        <f>IFERROR(IF(factura_c_mes9[[#This Row],[CUIT]]="","-",VLOOKUP(factura_c_mes9[[#This Row],[CUIT]],Lista_CUIT[#All],3,0)),"CUIT NO CARGADO")</f>
        <v>Productos Ortopedicos</v>
      </c>
      <c r="K168" s="54">
        <f>IFERROR(IF(factura_c_mes9[[#This Row],[CUIT]]="","-",VLOOKUP(factura_c_mes9[[#This Row],[CUIT]],Lista_CUIT[#All],4,0)),"CUIT NO CARGADO")</f>
        <v>0</v>
      </c>
    </row>
    <row r="169" spans="2:18">
      <c r="D169" s="50" t="s">
        <v>2460</v>
      </c>
      <c r="E169" s="42">
        <v>3</v>
      </c>
      <c r="F169" s="43">
        <v>995</v>
      </c>
      <c r="G169" s="44">
        <v>20216451679</v>
      </c>
      <c r="H169" s="53" t="str">
        <f>IFERROR(IF(factura_c_mes9[[#This Row],[CUIT]]="","-",VLOOKUP(factura_c_mes9[[#This Row],[CUIT]],Lista_CUIT[#All],2,0)),"CUIT NO CARGADO")</f>
        <v>VAZQUEZ RICARDO OSCAR</v>
      </c>
      <c r="I169" s="81">
        <v>160000</v>
      </c>
      <c r="J169" s="54" t="str">
        <f>IFERROR(IF(factura_c_mes9[[#This Row],[CUIT]]="","-",VLOOKUP(factura_c_mes9[[#This Row],[CUIT]],Lista_CUIT[#All],3,0)),"CUIT NO CARGADO")</f>
        <v>Productos Ortopedicos</v>
      </c>
      <c r="K169" s="54">
        <f>IFERROR(IF(factura_c_mes9[[#This Row],[CUIT]]="","-",VLOOKUP(factura_c_mes9[[#This Row],[CUIT]],Lista_CUIT[#All],4,0)),"CUIT NO CARGADO")</f>
        <v>0</v>
      </c>
    </row>
    <row r="170" spans="2:18">
      <c r="D170" s="634" t="s">
        <v>110</v>
      </c>
      <c r="E170" s="634"/>
      <c r="F170" s="634"/>
      <c r="G170" s="634"/>
      <c r="H170" s="635"/>
      <c r="I170" s="636">
        <f>SUBTOTAL(109,factura_c_mes9[TOTAL])</f>
        <v>3883250.01</v>
      </c>
      <c r="J170" s="634"/>
      <c r="K170" s="634"/>
    </row>
    <row r="171" spans="2:18">
      <c r="B171" s="56"/>
      <c r="C171" s="56"/>
      <c r="L171" s="56"/>
      <c r="M171" s="56"/>
      <c r="N171" s="56"/>
      <c r="O171" s="56"/>
      <c r="P171" s="56"/>
      <c r="Q171" s="56"/>
      <c r="R171" s="56"/>
    </row>
    <row r="172" spans="2:18" ht="26.1" customHeight="1"/>
    <row r="174" spans="2:18" ht="17.25" customHeight="1"/>
    <row r="175" spans="2:18" ht="31.5" customHeight="1"/>
    <row r="176" spans="2:18" ht="26.25">
      <c r="B176" s="673" t="s">
        <v>29</v>
      </c>
      <c r="C176" s="673"/>
      <c r="D176" s="673"/>
      <c r="E176" s="673"/>
      <c r="F176" s="673"/>
      <c r="G176" s="673"/>
      <c r="H176" s="673"/>
      <c r="I176" s="673"/>
      <c r="J176" s="673"/>
      <c r="K176" s="669">
        <f>N1</f>
        <v>45536</v>
      </c>
      <c r="L176" s="669"/>
      <c r="M176" s="669"/>
    </row>
    <row r="178" spans="2:13" ht="21">
      <c r="B178" s="666" t="s">
        <v>30</v>
      </c>
      <c r="C178" s="666"/>
    </row>
    <row r="179" spans="2:13" ht="15.75">
      <c r="B179" s="60" t="s">
        <v>0</v>
      </c>
      <c r="C179" s="61" t="s">
        <v>1</v>
      </c>
      <c r="D179" s="61" t="s">
        <v>21</v>
      </c>
      <c r="E179" s="61" t="s">
        <v>22</v>
      </c>
      <c r="F179" s="61" t="s">
        <v>3</v>
      </c>
      <c r="G179" s="61" t="s">
        <v>4</v>
      </c>
      <c r="H179" s="61" t="s">
        <v>23</v>
      </c>
      <c r="I179" s="61" t="s">
        <v>17</v>
      </c>
      <c r="J179" s="61" t="s">
        <v>7</v>
      </c>
      <c r="K179" s="61" t="s">
        <v>24</v>
      </c>
      <c r="L179" s="61" t="s">
        <v>10</v>
      </c>
      <c r="M179" s="62" t="s">
        <v>38</v>
      </c>
    </row>
    <row r="180" spans="2:13">
      <c r="B180" s="40"/>
      <c r="C180" s="41"/>
      <c r="D180" s="42"/>
      <c r="E180" s="43"/>
      <c r="F180" s="44"/>
      <c r="G180" s="98" t="str">
        <f>IFERROR(IF(venta_a_mes9[[#This Row],[CUIT]]="","-",VLOOKUP(venta_a_mes9[[#This Row],[CUIT]],Lista_CUIT[#All],2,0)),"CUIT NO CARGADO")</f>
        <v>-</v>
      </c>
      <c r="H180" s="99"/>
      <c r="I180" s="100">
        <f>venta_a_mes9[[#This Row],[IMPORTE NETO]]*0.21</f>
        <v>0</v>
      </c>
      <c r="J180" s="65"/>
      <c r="K180" s="65"/>
      <c r="L180" s="65">
        <f>SUM(venta_a_mes9[[#This Row],[IMPORTE NETO]:[EXENTO]])</f>
        <v>0</v>
      </c>
      <c r="M180" s="59"/>
    </row>
    <row r="181" spans="2:13">
      <c r="B181" s="40"/>
      <c r="C181" s="41"/>
      <c r="D181" s="42"/>
      <c r="E181" s="43"/>
      <c r="F181" s="44"/>
      <c r="G181" s="98" t="str">
        <f>IFERROR(IF(venta_a_mes9[[#This Row],[CUIT]]="","-",VLOOKUP(venta_a_mes9[[#This Row],[CUIT]],Lista_CUIT[#All],2,0)),"CUIT NO CARGADO")</f>
        <v>-</v>
      </c>
      <c r="H181" s="99"/>
      <c r="I181" s="100">
        <f>venta_a_mes9[[#This Row],[IMPORTE NETO]]*0.21</f>
        <v>0</v>
      </c>
      <c r="J181" s="65"/>
      <c r="K181" s="65"/>
      <c r="L181" s="65">
        <f>SUM(venta_a_mes9[[#This Row],[IMPORTE NETO]:[EXENTO]])</f>
        <v>0</v>
      </c>
      <c r="M181" s="59"/>
    </row>
    <row r="182" spans="2:13">
      <c r="B182" s="40"/>
      <c r="C182" s="41"/>
      <c r="D182" s="42"/>
      <c r="E182" s="43"/>
      <c r="F182" s="44"/>
      <c r="G182" s="98" t="str">
        <f>IFERROR(IF(venta_a_mes9[[#This Row],[CUIT]]="","-",VLOOKUP(venta_a_mes9[[#This Row],[CUIT]],Lista_CUIT[#All],2,0)),"CUIT NO CARGADO")</f>
        <v>-</v>
      </c>
      <c r="H182" s="99"/>
      <c r="I182" s="100">
        <f>venta_a_mes9[[#This Row],[IMPORTE NETO]]*0.21</f>
        <v>0</v>
      </c>
      <c r="J182" s="65"/>
      <c r="K182" s="65"/>
      <c r="L182" s="65">
        <f>SUM(venta_a_mes9[[#This Row],[IMPORTE NETO]:[EXENTO]])</f>
        <v>0</v>
      </c>
      <c r="M182" s="59"/>
    </row>
    <row r="183" spans="2:13">
      <c r="B183" s="40"/>
      <c r="C183" s="41"/>
      <c r="D183" s="42"/>
      <c r="E183" s="43"/>
      <c r="F183" s="44"/>
      <c r="G183" s="98" t="str">
        <f>IFERROR(IF(venta_a_mes9[[#This Row],[CUIT]]="","-",VLOOKUP(venta_a_mes9[[#This Row],[CUIT]],Lista_CUIT[#All],2,0)),"CUIT NO CARGADO")</f>
        <v>-</v>
      </c>
      <c r="H183" s="99"/>
      <c r="I183" s="100">
        <f>venta_a_mes9[[#This Row],[IMPORTE NETO]]*0.21</f>
        <v>0</v>
      </c>
      <c r="J183" s="65"/>
      <c r="K183" s="65"/>
      <c r="L183" s="65">
        <f>SUM(venta_a_mes9[[#This Row],[IMPORTE NETO]:[EXENTO]])</f>
        <v>0</v>
      </c>
      <c r="M183" s="59"/>
    </row>
    <row r="184" spans="2:13">
      <c r="B184" s="40"/>
      <c r="C184" s="41"/>
      <c r="D184" s="42"/>
      <c r="E184" s="43"/>
      <c r="F184" s="44"/>
      <c r="G184" s="98" t="str">
        <f>IFERROR(IF(venta_a_mes9[[#This Row],[CUIT]]="","-",VLOOKUP(venta_a_mes9[[#This Row],[CUIT]],Lista_CUIT[#All],2,0)),"CUIT NO CARGADO")</f>
        <v>-</v>
      </c>
      <c r="H184" s="99"/>
      <c r="I184" s="100">
        <f>venta_a_mes9[[#This Row],[IMPORTE NETO]]*0.21</f>
        <v>0</v>
      </c>
      <c r="J184" s="65"/>
      <c r="K184" s="65"/>
      <c r="L184" s="65">
        <f>SUM(venta_a_mes9[[#This Row],[IMPORTE NETO]:[EXENTO]])</f>
        <v>0</v>
      </c>
      <c r="M184" s="59"/>
    </row>
    <row r="185" spans="2:13" ht="19.350000000000001" customHeight="1">
      <c r="B185" s="40"/>
      <c r="C185" s="41"/>
      <c r="D185" s="42"/>
      <c r="E185" s="43"/>
      <c r="F185" s="44"/>
      <c r="G185" s="98" t="str">
        <f>IFERROR(IF(venta_a_mes9[[#This Row],[CUIT]]="","-",VLOOKUP(venta_a_mes9[[#This Row],[CUIT]],Lista_CUIT[#All],2,0)),"CUIT NO CARGADO")</f>
        <v>-</v>
      </c>
      <c r="H185" s="99"/>
      <c r="I185" s="100">
        <f>venta_a_mes9[[#This Row],[IMPORTE NETO]]*0.21</f>
        <v>0</v>
      </c>
      <c r="J185" s="65"/>
      <c r="K185" s="65"/>
      <c r="L185" s="65">
        <f>SUM(venta_a_mes9[[#This Row],[IMPORTE NETO]:[EXENTO]])</f>
        <v>0</v>
      </c>
      <c r="M185" s="59"/>
    </row>
    <row r="186" spans="2:13" ht="29.1" customHeight="1">
      <c r="B186" s="40"/>
      <c r="C186" s="41"/>
      <c r="D186" s="42"/>
      <c r="E186" s="43"/>
      <c r="F186" s="44"/>
      <c r="G186" s="98" t="str">
        <f>IFERROR(IF(venta_a_mes9[[#This Row],[CUIT]]="","-",VLOOKUP(venta_a_mes9[[#This Row],[CUIT]],Lista_CUIT[#All],2,0)),"CUIT NO CARGADO")</f>
        <v>-</v>
      </c>
      <c r="H186" s="99"/>
      <c r="I186" s="100">
        <f>venta_a_mes9[[#This Row],[IMPORTE NETO]]*0.21</f>
        <v>0</v>
      </c>
      <c r="J186" s="65"/>
      <c r="K186" s="65"/>
      <c r="L186" s="65">
        <f>SUM(venta_a_mes9[[#This Row],[IMPORTE NETO]:[EXENTO]])</f>
        <v>0</v>
      </c>
      <c r="M186" s="63"/>
    </row>
    <row r="187" spans="2:13">
      <c r="B187" s="101"/>
      <c r="C187" s="102"/>
      <c r="D187" s="103"/>
      <c r="E187" s="104"/>
      <c r="F187" s="105"/>
      <c r="G187" s="98" t="str">
        <f>IFERROR(IF(venta_a_mes9[[#This Row],[CUIT]]="","-",VLOOKUP(venta_a_mes9[[#This Row],[CUIT]],Lista_CUIT[#All],2,0)),"CUIT NO CARGADO")</f>
        <v>-</v>
      </c>
      <c r="H187" s="106"/>
      <c r="I187" s="107">
        <f>venta_a_mes9[[#This Row],[IMPORTE NETO]]*0.21</f>
        <v>0</v>
      </c>
      <c r="J187" s="72"/>
      <c r="K187" s="72"/>
      <c r="L187" s="72">
        <f>SUM(venta_a_mes9[[#This Row],[IMPORTE NETO]:[EXENTO]])</f>
        <v>0</v>
      </c>
      <c r="M187" s="63"/>
    </row>
    <row r="188" spans="2:13">
      <c r="B188" s="108"/>
      <c r="C188" s="109"/>
      <c r="D188" s="110"/>
      <c r="E188" s="111"/>
      <c r="F188" s="112"/>
      <c r="G188" s="98" t="str">
        <f>IFERROR(IF(venta_a_mes9[[#This Row],[CUIT]]="","-",VLOOKUP(venta_a_mes9[[#This Row],[CUIT]],Lista_CUIT[#All],2,0)),"CUIT NO CARGADO")</f>
        <v>-</v>
      </c>
      <c r="H188" s="99"/>
      <c r="I188" s="100">
        <f>venta_a_mes9[[#This Row],[IMPORTE NETO]]*0.21</f>
        <v>0</v>
      </c>
      <c r="J188" s="65"/>
      <c r="K188" s="65"/>
      <c r="L188" s="65">
        <f>SUM(venta_a_mes9[[#This Row],[IMPORTE NETO]:[EXENTO]])</f>
        <v>0</v>
      </c>
      <c r="M188" s="59"/>
    </row>
    <row r="189" spans="2:13">
      <c r="B189" s="66" t="s">
        <v>110</v>
      </c>
      <c r="C189" s="67"/>
      <c r="D189" s="67"/>
      <c r="E189" s="67"/>
      <c r="F189" s="67"/>
      <c r="G189" s="67"/>
      <c r="H189" s="69">
        <f>SUBTOTAL(109,venta_a_mes9[IMPORTE NETO])</f>
        <v>0</v>
      </c>
      <c r="I189" s="70">
        <f>SUBTOTAL(109,venta_a_mes9[IVA 21%])</f>
        <v>0</v>
      </c>
      <c r="J189" s="71">
        <f>SUBTOTAL(109,venta_a_mes9[IVA 10,5%])</f>
        <v>0</v>
      </c>
      <c r="K189" s="71">
        <f>SUBTOTAL(109,venta_a_mes9[EXENTO])</f>
        <v>0</v>
      </c>
      <c r="L189" s="71">
        <f>SUBTOTAL(109,venta_a_mes9[TOTAL])</f>
        <v>0</v>
      </c>
      <c r="M189" s="68">
        <f>SUBTOTAL(103,venta_a_mes9[Provincia])</f>
        <v>0</v>
      </c>
    </row>
    <row r="192" spans="2:13" ht="21">
      <c r="B192" s="666" t="s">
        <v>31</v>
      </c>
      <c r="C192" s="666"/>
    </row>
    <row r="193" spans="2:13" ht="15.75">
      <c r="B193" s="60" t="s">
        <v>0</v>
      </c>
      <c r="C193" s="61" t="s">
        <v>1</v>
      </c>
      <c r="D193" s="61" t="s">
        <v>21</v>
      </c>
      <c r="E193" s="61" t="s">
        <v>22</v>
      </c>
      <c r="F193" s="61" t="s">
        <v>3</v>
      </c>
      <c r="G193" s="61" t="s">
        <v>4</v>
      </c>
      <c r="H193" s="61" t="s">
        <v>23</v>
      </c>
      <c r="I193" s="61" t="s">
        <v>17</v>
      </c>
      <c r="J193" s="61" t="s">
        <v>7</v>
      </c>
      <c r="K193" s="61" t="s">
        <v>24</v>
      </c>
      <c r="L193" s="61" t="s">
        <v>10</v>
      </c>
      <c r="M193" s="62" t="s">
        <v>38</v>
      </c>
    </row>
    <row r="194" spans="2:13">
      <c r="B194" s="40"/>
      <c r="C194" s="41"/>
      <c r="D194" s="42"/>
      <c r="E194" s="43"/>
      <c r="F194" s="44"/>
      <c r="G194" s="1" t="str">
        <f>IFERROR(IF(ventas_b_mes9[[#This Row],[CUIT]]="","-",VLOOKUP(ventas_b_mes9[[#This Row],[CUIT]],Lista_CUIT[#All],2,0)),"CUIT NO CARGADO")</f>
        <v>-</v>
      </c>
      <c r="H194" s="64"/>
      <c r="I194" s="64"/>
      <c r="J194" s="64"/>
      <c r="K194" s="64"/>
      <c r="L194" s="64">
        <f>SUM(ventas_b_mes9[[#This Row],[IMPORTE NETO]:[EXENTO]])</f>
        <v>0</v>
      </c>
      <c r="M194" s="59"/>
    </row>
    <row r="195" spans="2:13">
      <c r="B195" s="40"/>
      <c r="C195" s="41"/>
      <c r="D195" s="42"/>
      <c r="E195" s="43"/>
      <c r="F195" s="44"/>
      <c r="G195" s="1"/>
      <c r="H195" s="64"/>
      <c r="I195" s="64"/>
      <c r="J195" s="64"/>
      <c r="K195" s="64"/>
      <c r="L195" s="64">
        <f>SUM(ventas_b_mes9[[#This Row],[IMPORTE NETO]:[EXENTO]])</f>
        <v>0</v>
      </c>
      <c r="M195" s="59"/>
    </row>
    <row r="196" spans="2:13">
      <c r="B196" s="40"/>
      <c r="C196" s="41"/>
      <c r="D196" s="42"/>
      <c r="E196" s="43"/>
      <c r="F196" s="44"/>
      <c r="G196" s="1"/>
      <c r="H196" s="64"/>
      <c r="I196" s="64"/>
      <c r="J196" s="64"/>
      <c r="K196" s="64"/>
      <c r="L196" s="64">
        <f>SUM(ventas_b_mes9[[#This Row],[IMPORTE NETO]:[EXENTO]])</f>
        <v>0</v>
      </c>
      <c r="M196" s="59"/>
    </row>
    <row r="197" spans="2:13">
      <c r="B197" s="40"/>
      <c r="C197" s="41"/>
      <c r="D197" s="42"/>
      <c r="E197" s="43"/>
      <c r="F197" s="44"/>
      <c r="G197" s="1"/>
      <c r="H197" s="64"/>
      <c r="I197" s="64"/>
      <c r="J197" s="64"/>
      <c r="K197" s="64"/>
      <c r="L197" s="64">
        <f>SUM(ventas_b_mes9[[#This Row],[IMPORTE NETO]:[EXENTO]])</f>
        <v>0</v>
      </c>
      <c r="M197" s="59"/>
    </row>
    <row r="198" spans="2:13">
      <c r="B198" s="40"/>
      <c r="C198" s="41"/>
      <c r="D198" s="42"/>
      <c r="E198" s="43"/>
      <c r="F198" s="44"/>
      <c r="G198" s="1"/>
      <c r="H198" s="64"/>
      <c r="I198" s="64"/>
      <c r="J198" s="64"/>
      <c r="K198" s="64"/>
      <c r="L198" s="64">
        <f>SUM(ventas_b_mes9[[#This Row],[IMPORTE NETO]:[EXENTO]])</f>
        <v>0</v>
      </c>
      <c r="M198" s="59"/>
    </row>
    <row r="199" spans="2:13">
      <c r="B199" s="40"/>
      <c r="C199" s="41"/>
      <c r="D199" s="42"/>
      <c r="E199" s="43"/>
      <c r="F199" s="44"/>
      <c r="G199" s="1"/>
      <c r="H199" s="64"/>
      <c r="I199" s="64"/>
      <c r="J199" s="64"/>
      <c r="K199" s="64"/>
      <c r="L199" s="64">
        <f>SUM(ventas_b_mes9[[#This Row],[IMPORTE NETO]:[EXENTO]])</f>
        <v>0</v>
      </c>
      <c r="M199" s="59"/>
    </row>
    <row r="200" spans="2:13">
      <c r="B200" s="66" t="s">
        <v>110</v>
      </c>
      <c r="C200" s="67"/>
      <c r="D200" s="67"/>
      <c r="E200" s="67"/>
      <c r="F200" s="67"/>
      <c r="G200" s="67"/>
      <c r="H200" s="77">
        <f>SUBTOTAL(109,ventas_b_mes9[IMPORTE NETO])</f>
        <v>0</v>
      </c>
      <c r="I200" s="77">
        <f>SUBTOTAL(109,ventas_b_mes9[IVA 21%])</f>
        <v>0</v>
      </c>
      <c r="J200" s="78">
        <f>SUBTOTAL(109,ventas_b_mes9[IVA 10,5%])</f>
        <v>0</v>
      </c>
      <c r="K200" s="78">
        <f>SUBTOTAL(109,ventas_b_mes9[EXENTO])</f>
        <v>0</v>
      </c>
      <c r="L200" s="78">
        <f>SUBTOTAL(109,ventas_b_mes9[TOTAL])</f>
        <v>0</v>
      </c>
      <c r="M200" s="68">
        <f>SUBTOTAL(103,ventas_b_mes9[Provincia])</f>
        <v>0</v>
      </c>
    </row>
    <row r="207" spans="2:13" ht="15.75" thickBot="1"/>
    <row r="208" spans="2:13" ht="15.75" thickTop="1">
      <c r="C208" s="663" t="s">
        <v>66</v>
      </c>
      <c r="D208" s="663"/>
      <c r="E208" s="663"/>
      <c r="F208" s="663"/>
      <c r="G208" s="663"/>
      <c r="H208" s="32"/>
      <c r="I208" s="32"/>
      <c r="J208" s="32"/>
    </row>
    <row r="209" spans="3:12" ht="15.75">
      <c r="C209" s="113" t="s">
        <v>67</v>
      </c>
      <c r="D209" s="114" t="s">
        <v>68</v>
      </c>
      <c r="E209" s="114" t="s">
        <v>112</v>
      </c>
      <c r="F209" s="114" t="s">
        <v>3</v>
      </c>
      <c r="G209" s="114" t="s">
        <v>4</v>
      </c>
      <c r="H209" s="115" t="s">
        <v>69</v>
      </c>
      <c r="I209" s="115" t="s">
        <v>70</v>
      </c>
      <c r="J209" s="115" t="s">
        <v>71</v>
      </c>
      <c r="K209" s="115" t="s">
        <v>72</v>
      </c>
      <c r="L209" s="115" t="s">
        <v>73</v>
      </c>
    </row>
    <row r="210" spans="3:12">
      <c r="C210" s="116"/>
      <c r="D210" s="117"/>
      <c r="E210" s="117"/>
      <c r="F210" s="118"/>
      <c r="G210" s="53" t="str">
        <f>IFERROR(IF(Retenciones_mes9[[#This Row],[CUIT]]="","-",VLOOKUP(Retenciones_mes9[[#This Row],[CUIT]],Lista_CUIT[#All],2,0)),"CUIT NO CARGADO")</f>
        <v>-</v>
      </c>
      <c r="H210" s="119"/>
      <c r="I210" s="119"/>
      <c r="J210" s="119"/>
      <c r="K210" s="119"/>
      <c r="L210" s="119"/>
    </row>
    <row r="211" spans="3:12">
      <c r="C211" s="116"/>
      <c r="D211" s="117"/>
      <c r="E211" s="117"/>
      <c r="F211" s="118"/>
      <c r="G211" s="53" t="str">
        <f>IFERROR(IF(Retenciones_mes9[[#This Row],[CUIT]]="","-",VLOOKUP(Retenciones_mes9[[#This Row],[CUIT]],Lista_CUIT[#All],2,0)),"CUIT NO CARGADO")</f>
        <v>-</v>
      </c>
      <c r="H211" s="119"/>
      <c r="I211" s="119"/>
      <c r="J211" s="119"/>
      <c r="K211" s="119"/>
      <c r="L211" s="119"/>
    </row>
    <row r="212" spans="3:12">
      <c r="C212" s="116"/>
      <c r="D212" s="117"/>
      <c r="E212" s="117"/>
      <c r="F212" s="118"/>
      <c r="G212" s="53" t="str">
        <f>IFERROR(IF(Retenciones_mes9[[#This Row],[CUIT]]="","-",VLOOKUP(Retenciones_mes9[[#This Row],[CUIT]],Lista_CUIT[#All],2,0)),"CUIT NO CARGADO")</f>
        <v>-</v>
      </c>
      <c r="H212" s="119"/>
      <c r="I212" s="119"/>
      <c r="J212" s="119"/>
      <c r="K212" s="119"/>
      <c r="L212" s="119"/>
    </row>
    <row r="213" spans="3:12">
      <c r="C213" s="116"/>
      <c r="D213" s="117"/>
      <c r="E213" s="117"/>
      <c r="F213" s="118"/>
      <c r="G213" s="53" t="str">
        <f>IFERROR(IF(Retenciones_mes9[[#This Row],[CUIT]]="","-",VLOOKUP(Retenciones_mes9[[#This Row],[CUIT]],Lista_CUIT[#All],2,0)),"CUIT NO CARGADO")</f>
        <v>-</v>
      </c>
      <c r="H213" s="119"/>
      <c r="I213" s="119"/>
      <c r="J213" s="119"/>
      <c r="K213" s="119"/>
      <c r="L213" s="119"/>
    </row>
    <row r="214" spans="3:12">
      <c r="D214" s="117"/>
      <c r="E214" s="117"/>
      <c r="G214" s="53" t="str">
        <f>IFERROR(IF(Retenciones_mes9[[#This Row],[CUIT]]="","-",VLOOKUP(Retenciones_mes9[[#This Row],[CUIT]],Lista_CUIT[#All],2,0)),"CUIT NO CARGADO")</f>
        <v>-</v>
      </c>
    </row>
    <row r="215" spans="3:12">
      <c r="C215" s="33"/>
    </row>
  </sheetData>
  <mergeCells count="20">
    <mergeCell ref="C208:G208"/>
    <mergeCell ref="B4:E4"/>
    <mergeCell ref="G4:H4"/>
    <mergeCell ref="J4:K4"/>
    <mergeCell ref="M4:N4"/>
    <mergeCell ref="D148:K148"/>
    <mergeCell ref="B176:J176"/>
    <mergeCell ref="K176:M176"/>
    <mergeCell ref="B178:C178"/>
    <mergeCell ref="B192:C192"/>
    <mergeCell ref="D138:M138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94:L199">
      <formula1>IF($C194=8,H194&lt;0,H194&gt;=0)</formula1>
    </dataValidation>
    <dataValidation type="custom" allowBlank="1" showInputMessage="1" showErrorMessage="1" sqref="L181">
      <formula1>IF($C95=3,L95&lt;0,L95&gt;=0)</formula1>
    </dataValidation>
    <dataValidation type="custom" allowBlank="1" showInputMessage="1" showErrorMessage="1" sqref="L182:L184">
      <formula1>IF(#REF!=3,#REF!&lt;0,#REF!&gt;=0)</formula1>
    </dataValidation>
    <dataValidation type="whole" allowBlank="1" showInputMessage="1" showErrorMessage="1" sqref="C194:C199">
      <formula1>6</formula1>
      <formula2>8</formula2>
    </dataValidation>
    <dataValidation type="custom" allowBlank="1" showInputMessage="1" showErrorMessage="1" sqref="H180:K180 H182:K182 H184:K184 H186:K186">
      <formula1>IF($C180=3,H180&lt;0,H180&gt;=0)</formula1>
    </dataValidation>
    <dataValidation type="whole" allowBlank="1" showInputMessage="1" showErrorMessage="1" sqref="C180:C188 C134:C137 C9:C132">
      <formula1>1</formula1>
      <formula2>3</formula2>
    </dataValidation>
    <dataValidation type="date" allowBlank="1" showInputMessage="1" showErrorMessage="1" sqref="B180:B188 B134:B137 B194:B199 B9:B132 D140:D143 D150:D169">
      <formula1>40179</formula1>
      <formula2>TODAY()</formula2>
    </dataValidation>
    <dataValidation type="whole" allowBlank="1" showInputMessage="1" showErrorMessage="1" sqref="F194:F199 F180:F188 F9:F132 G150:G169">
      <formula1>20000000000</formula1>
      <formula2>33999999999</formula2>
    </dataValidation>
    <dataValidation type="whole" allowBlank="1" showInputMessage="1" showErrorMessage="1" sqref="E180:E188 E194:E199 E9:E132 F150:F169">
      <formula1>1</formula1>
      <formula2>99999999</formula2>
    </dataValidation>
    <dataValidation type="whole" allowBlank="1" showInputMessage="1" showErrorMessage="1" sqref="D180:D188 D194:D199 D9:D132 E150:E169">
      <formula1>1</formula1>
      <formula2>9999</formula2>
    </dataValidation>
    <dataValidation type="custom" allowBlank="1" showInputMessage="1" showErrorMessage="1" sqref="L180">
      <formula1>IF($C9=3,L9&lt;0,L9&gt;=0)</formula1>
    </dataValidation>
    <dataValidation type="custom" allowBlank="1" showInputMessage="1" showErrorMessage="1" sqref="L185:L186">
      <formula1>IF($C133=3,L133&lt;0,L133&gt;=0)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2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Z188"/>
  <sheetViews>
    <sheetView showGridLines="0" topLeftCell="A8" zoomScale="90" zoomScaleNormal="90" workbookViewId="0">
      <selection activeCell="O34" sqref="O34"/>
    </sheetView>
  </sheetViews>
  <sheetFormatPr baseColWidth="10" defaultColWidth="15.5703125" defaultRowHeight="15"/>
  <cols>
    <col min="1" max="1" width="8.5703125" customWidth="1"/>
    <col min="2" max="2" width="10.42578125" customWidth="1"/>
    <col min="3" max="3" width="9.5703125" customWidth="1"/>
    <col min="4" max="4" width="13.42578125" customWidth="1"/>
    <col min="5" max="5" width="14.5703125" customWidth="1"/>
    <col min="6" max="6" width="14.85546875" customWidth="1"/>
    <col min="7" max="7" width="23.140625" customWidth="1"/>
    <col min="8" max="8" width="20" customWidth="1"/>
    <col min="9" max="9" width="15.42578125" customWidth="1"/>
    <col min="10" max="10" width="20.28515625" customWidth="1"/>
    <col min="11" max="11" width="13" customWidth="1"/>
    <col min="12" max="12" width="18.42578125" bestFit="1" customWidth="1"/>
    <col min="13" max="13" width="15.85546875" customWidth="1"/>
    <col min="14" max="14" width="20.5703125" customWidth="1"/>
    <col min="15" max="16" width="18.5703125" customWidth="1"/>
    <col min="17" max="17" width="22.5703125" customWidth="1"/>
    <col min="18" max="18" width="14.42578125" customWidth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EDATE('Ene-24'!N1,9)</f>
        <v>45566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SUM(compras_mes103[[#Totals],[NETO GRAVADO]])+extracto_banco_mes1055[[#Totals],[NETO]]</f>
        <v>30263325.670000002</v>
      </c>
      <c r="C4" s="671"/>
      <c r="D4" s="671"/>
      <c r="E4" s="671"/>
      <c r="F4" s="39"/>
      <c r="G4" s="672">
        <f>compras_mes103[[#Totals],[IVA 21 %]]+compras_mes103[[#Totals],[IVA 27%]]+compras_mes103[[#Totals],[IVA 10,5%]]+extracto_banco_mes1055[[#Totals],[IVA 21%]]+extracto_banco_mes1055[[#Totals],[IVA 10,5%]]</f>
        <v>6111465.2455500001</v>
      </c>
      <c r="H4" s="672"/>
      <c r="I4" s="39"/>
      <c r="J4" s="661">
        <f>venta_a_mes1053[[#Totals],[IMPORTE NETO]]+ventas_b_mes1054[[#Totals],[IMPORTE NETO]]</f>
        <v>0</v>
      </c>
      <c r="K4" s="661"/>
      <c r="L4" s="39"/>
      <c r="M4" s="661">
        <f>venta_a_mes1053[[#Totals],[IVA 21%]]+venta_a_mes1053[[#Totals],[IVA 10,5%]]+ventas_b_mes1054[[#Totals],[IVA 21%]]+ventas_b_mes1054[[#Totals],[IVA 10,5%]]</f>
        <v>0</v>
      </c>
      <c r="N4" s="661"/>
      <c r="O4" s="39"/>
      <c r="P4" s="674">
        <f>G4-M4</f>
        <v>6111465.2455500001</v>
      </c>
      <c r="Q4" s="675"/>
      <c r="R4" s="675"/>
    </row>
    <row r="5" spans="1:26" ht="13.35" customHeight="1"/>
    <row r="6" spans="1:26" ht="11.1" customHeight="1"/>
    <row r="7" spans="1:26" s="2" customFormat="1" ht="11.1" customHeight="1" thickBo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610"/>
      <c r="R7" s="49"/>
      <c r="T7"/>
      <c r="U7"/>
      <c r="V7"/>
      <c r="W7"/>
      <c r="X7"/>
      <c r="Y7"/>
      <c r="Z7"/>
    </row>
    <row r="8" spans="1:26" ht="38.450000000000003" customHeight="1" thickBot="1">
      <c r="B8" s="504" t="s">
        <v>0</v>
      </c>
      <c r="C8" s="505" t="s">
        <v>1</v>
      </c>
      <c r="D8" s="505" t="s">
        <v>2</v>
      </c>
      <c r="E8" s="505" t="s">
        <v>27</v>
      </c>
      <c r="F8" s="505" t="s">
        <v>3</v>
      </c>
      <c r="G8" s="505" t="s">
        <v>4</v>
      </c>
      <c r="H8" s="505" t="s">
        <v>34</v>
      </c>
      <c r="I8" s="505" t="s">
        <v>35</v>
      </c>
      <c r="J8" s="505" t="s">
        <v>6</v>
      </c>
      <c r="K8" s="505" t="s">
        <v>7</v>
      </c>
      <c r="L8" s="505" t="s">
        <v>8</v>
      </c>
      <c r="M8" s="505" t="s">
        <v>33</v>
      </c>
      <c r="N8" s="505" t="s">
        <v>9</v>
      </c>
      <c r="O8" s="505" t="s">
        <v>36</v>
      </c>
      <c r="P8" s="505" t="s">
        <v>10</v>
      </c>
      <c r="Q8" s="617" t="s">
        <v>11</v>
      </c>
      <c r="R8" s="506" t="s">
        <v>38</v>
      </c>
    </row>
    <row r="9" spans="1:26">
      <c r="B9" s="291"/>
      <c r="C9" s="305"/>
      <c r="D9" s="292"/>
      <c r="E9" s="293"/>
      <c r="F9" s="294"/>
      <c r="G9" s="295" t="str">
        <f>IFERROR(IF(compras_mes103[[#This Row],[CUIT]]="","-",VLOOKUP(compras_mes103[[#This Row],[CUIT]],Lista_CUIT[#All],2,0)),"CUIT NO CARGADO")</f>
        <v>-</v>
      </c>
      <c r="H9" s="296"/>
      <c r="I9" s="297" t="str">
        <f>IF(compras_mes103[[#This Row],[NETO GRAVADO]]="","",compras_mes103[[#This Row],[NETO GRAVADO]]*0.21)</f>
        <v/>
      </c>
      <c r="J9" s="297"/>
      <c r="K9" s="297"/>
      <c r="L9" s="297"/>
      <c r="M9" s="297"/>
      <c r="N9" s="297"/>
      <c r="O9" s="297"/>
      <c r="P9" s="298">
        <f>SUM(compras_mes103[[#This Row],[NETO GRAVADO]:[Otros / No Grav.]])</f>
        <v>0</v>
      </c>
      <c r="Q9" s="618" t="str">
        <f>IFERROR(IF(compras_mes103[[#This Row],[CUIT]]="","-",VLOOKUP(compras_mes103[[#This Row],[CUIT]],Lista_CUIT[#All],3,0)),"CUIT NO CARGADO")</f>
        <v>-</v>
      </c>
      <c r="R9" s="299" t="str">
        <f>IFERROR(IF(compras_mes103[[#This Row],[CUIT]]="","-",VLOOKUP(compras_mes103[[#This Row],[CUIT]],Lista_CUIT[#All],4,0)),"CUIT NO CARGADO")</f>
        <v>-</v>
      </c>
    </row>
    <row r="10" spans="1:26">
      <c r="B10" s="291"/>
      <c r="C10" s="305"/>
      <c r="D10" s="292"/>
      <c r="E10" s="293"/>
      <c r="F10" s="294"/>
      <c r="G10" s="295" t="str">
        <f>IFERROR(IF(compras_mes103[[#This Row],[CUIT]]="","-",VLOOKUP(compras_mes103[[#This Row],[CUIT]],Lista_CUIT[#All],2,0)),"CUIT NO CARGADO")</f>
        <v>-</v>
      </c>
      <c r="H10" s="296"/>
      <c r="I10" s="297" t="str">
        <f>IF(compras_mes103[[#This Row],[NETO GRAVADO]]="","",compras_mes103[[#This Row],[NETO GRAVADO]]*0.21)</f>
        <v/>
      </c>
      <c r="J10" s="297"/>
      <c r="K10" s="297"/>
      <c r="L10" s="297"/>
      <c r="M10" s="297"/>
      <c r="N10" s="297"/>
      <c r="O10" s="297"/>
      <c r="P10" s="298">
        <f>SUM(compras_mes103[[#This Row],[NETO GRAVADO]:[Otros / No Grav.]])</f>
        <v>0</v>
      </c>
      <c r="Q10" s="618" t="str">
        <f>IFERROR(IF(compras_mes103[[#This Row],[CUIT]]="","-",VLOOKUP(compras_mes103[[#This Row],[CUIT]],Lista_CUIT[#All],3,0)),"CUIT NO CARGADO")</f>
        <v>-</v>
      </c>
      <c r="R10" s="299" t="str">
        <f>IFERROR(IF(compras_mes103[[#This Row],[CUIT]]="","-",VLOOKUP(compras_mes103[[#This Row],[CUIT]],Lista_CUIT[#All],4,0)),"CUIT NO CARGADO")</f>
        <v>-</v>
      </c>
    </row>
    <row r="11" spans="1:26">
      <c r="B11" s="291">
        <v>45567</v>
      </c>
      <c r="C11" s="305">
        <v>1</v>
      </c>
      <c r="D11" s="292">
        <v>2</v>
      </c>
      <c r="E11" s="293">
        <v>218</v>
      </c>
      <c r="F11" s="294">
        <v>30605344352</v>
      </c>
      <c r="G11" s="295" t="str">
        <f>IFERROR(IF(compras_mes103[[#This Row],[CUIT]]="","-",VLOOKUP(compras_mes103[[#This Row],[CUIT]],Lista_CUIT[#All],2,0)),"CUIT NO CARGADO")</f>
        <v>CONSORCIO BARTOLME MITRE 2466</v>
      </c>
      <c r="H11" s="592">
        <v>834000</v>
      </c>
      <c r="I11" s="297">
        <f>IF(compras_mes103[[#This Row],[NETO GRAVADO]]="","",compras_mes103[[#This Row],[NETO GRAVADO]]*0.21)</f>
        <v>175140</v>
      </c>
      <c r="J11" s="297"/>
      <c r="K11" s="297"/>
      <c r="L11" s="297"/>
      <c r="M11" s="297"/>
      <c r="N11" s="297"/>
      <c r="O11" s="297"/>
      <c r="P11" s="298">
        <f>SUM(compras_mes103[[#This Row],[NETO GRAVADO]:[Otros / No Grav.]])</f>
        <v>1009140</v>
      </c>
      <c r="Q11" s="618" t="str">
        <f>IFERROR(IF(compras_mes103[[#This Row],[CUIT]]="","-",VLOOKUP(compras_mes103[[#This Row],[CUIT]],Lista_CUIT[#All],3,0)),"CUIT NO CARGADO")</f>
        <v>ALQUILERES PAGADOS</v>
      </c>
      <c r="R11" s="299">
        <f>IFERROR(IF(compras_mes103[[#This Row],[CUIT]]="","-",VLOOKUP(compras_mes103[[#This Row],[CUIT]],Lista_CUIT[#All],4,0)),"CUIT NO CARGADO")</f>
        <v>0</v>
      </c>
    </row>
    <row r="12" spans="1:26">
      <c r="B12" s="291">
        <v>45569</v>
      </c>
      <c r="C12" s="305">
        <v>1</v>
      </c>
      <c r="D12" s="292">
        <v>5</v>
      </c>
      <c r="E12" s="293">
        <v>27</v>
      </c>
      <c r="F12" s="294">
        <v>30707370552</v>
      </c>
      <c r="G12" s="295" t="str">
        <f>IFERROR(IF(compras_mes103[[#This Row],[CUIT]]="","-",VLOOKUP(compras_mes103[[#This Row],[CUIT]],Lista_CUIT[#All],2,0)),"CUIT NO CARGADO")</f>
        <v>RAKE SA</v>
      </c>
      <c r="H12" s="592">
        <v>1380000</v>
      </c>
      <c r="I12" s="297">
        <f>IF(compras_mes103[[#This Row],[NETO GRAVADO]]="","",compras_mes103[[#This Row],[NETO GRAVADO]]*0.21)</f>
        <v>289800</v>
      </c>
      <c r="J12" s="297"/>
      <c r="K12" s="297"/>
      <c r="L12" s="297"/>
      <c r="M12" s="297"/>
      <c r="N12" s="297"/>
      <c r="O12" s="297"/>
      <c r="P12" s="298">
        <f>SUM(compras_mes103[[#This Row],[NETO GRAVADO]:[Otros / No Grav.]])</f>
        <v>1669800</v>
      </c>
      <c r="Q12" s="618" t="str">
        <f>IFERROR(IF(compras_mes103[[#This Row],[CUIT]]="","-",VLOOKUP(compras_mes103[[#This Row],[CUIT]],Lista_CUIT[#All],3,0)),"CUIT NO CARGADO")</f>
        <v>ALQUILERES PAGADOS</v>
      </c>
      <c r="R12" s="299">
        <f>IFERROR(IF(compras_mes103[[#This Row],[CUIT]]="","-",VLOOKUP(compras_mes103[[#This Row],[CUIT]],Lista_CUIT[#All],4,0)),"CUIT NO CARGADO")</f>
        <v>0</v>
      </c>
    </row>
    <row r="13" spans="1:26">
      <c r="B13" s="40">
        <v>45580</v>
      </c>
      <c r="C13" s="305">
        <v>1</v>
      </c>
      <c r="D13" s="292">
        <v>5</v>
      </c>
      <c r="E13" s="293">
        <v>32</v>
      </c>
      <c r="F13" s="294">
        <v>30707370552</v>
      </c>
      <c r="G13" s="295" t="str">
        <f>IFERROR(IF(compras_mes103[[#This Row],[CUIT]]="","-",VLOOKUP(compras_mes103[[#This Row],[CUIT]],Lista_CUIT[#All],2,0)),"CUIT NO CARGADO")</f>
        <v>RAKE SA</v>
      </c>
      <c r="H13" s="592">
        <v>895000</v>
      </c>
      <c r="I13" s="297">
        <f>IF(compras_mes103[[#This Row],[NETO GRAVADO]]="","",compras_mes103[[#This Row],[NETO GRAVADO]]*0.21)</f>
        <v>187950</v>
      </c>
      <c r="J13" s="297"/>
      <c r="K13" s="297"/>
      <c r="L13" s="297"/>
      <c r="M13" s="297"/>
      <c r="N13" s="297"/>
      <c r="O13" s="297"/>
      <c r="P13" s="298">
        <f>SUM(compras_mes103[[#This Row],[NETO GRAVADO]:[Otros / No Grav.]])</f>
        <v>1082950</v>
      </c>
      <c r="Q13" s="618" t="str">
        <f>IFERROR(IF(compras_mes103[[#This Row],[CUIT]]="","-",VLOOKUP(compras_mes103[[#This Row],[CUIT]],Lista_CUIT[#All],3,0)),"CUIT NO CARGADO")</f>
        <v>ALQUILERES PAGADOS</v>
      </c>
      <c r="R13" s="299">
        <f>IFERROR(IF(compras_mes103[[#This Row],[CUIT]]="","-",VLOOKUP(compras_mes103[[#This Row],[CUIT]],Lista_CUIT[#All],4,0)),"CUIT NO CARGADO")</f>
        <v>0</v>
      </c>
    </row>
    <row r="14" spans="1:26">
      <c r="B14" s="291">
        <v>45566</v>
      </c>
      <c r="C14" s="305">
        <v>1</v>
      </c>
      <c r="D14" s="292">
        <v>59</v>
      </c>
      <c r="E14" s="293">
        <v>16596</v>
      </c>
      <c r="F14" s="294">
        <v>30541849307</v>
      </c>
      <c r="G14" s="295" t="str">
        <f>IFERROR(IF(compras_mes103[[#This Row],[CUIT]]="","-",VLOOKUP(compras_mes103[[#This Row],[CUIT]],Lista_CUIT[#All],2,0)),"CUIT NO CARGADO")</f>
        <v>GUILLERMO DIETRICH SA.</v>
      </c>
      <c r="H14" s="592">
        <v>330264.46000000002</v>
      </c>
      <c r="I14" s="297">
        <f>IF(compras_mes103[[#This Row],[NETO GRAVADO]]="","",compras_mes103[[#This Row],[NETO GRAVADO]]*0.21)</f>
        <v>69355.536600000007</v>
      </c>
      <c r="J14" s="297"/>
      <c r="K14" s="297"/>
      <c r="L14" s="297"/>
      <c r="M14" s="297"/>
      <c r="N14" s="297"/>
      <c r="O14" s="297"/>
      <c r="P14" s="298">
        <f>SUM(compras_mes103[[#This Row],[NETO GRAVADO]:[Otros / No Grav.]])</f>
        <v>399619.99660000001</v>
      </c>
      <c r="Q14" s="618" t="str">
        <f>IFERROR(IF(compras_mes103[[#This Row],[CUIT]]="","-",VLOOKUP(compras_mes103[[#This Row],[CUIT]],Lista_CUIT[#All],3,0)),"CUIT NO CARGADO")</f>
        <v>COMBUSTIBLE</v>
      </c>
      <c r="R14" s="299">
        <f>IFERROR(IF(compras_mes103[[#This Row],[CUIT]]="","-",VLOOKUP(compras_mes103[[#This Row],[CUIT]],Lista_CUIT[#All],4,0)),"CUIT NO CARGADO")</f>
        <v>0</v>
      </c>
    </row>
    <row r="15" spans="1:26">
      <c r="B15" s="291">
        <v>45567</v>
      </c>
      <c r="C15" s="305">
        <v>1</v>
      </c>
      <c r="D15" s="292">
        <v>32</v>
      </c>
      <c r="E15" s="293">
        <v>13658</v>
      </c>
      <c r="F15" s="294">
        <v>30707304886</v>
      </c>
      <c r="G15" s="295" t="str">
        <f>IFERROR(IF(compras_mes103[[#This Row],[CUIT]]="","-",VLOOKUP(compras_mes103[[#This Row],[CUIT]],Lista_CUIT[#All],2,0)),"CUIT NO CARGADO")</f>
        <v>ARMORAUT SA</v>
      </c>
      <c r="H15" s="592">
        <v>276401.65000000002</v>
      </c>
      <c r="I15" s="297">
        <f>IF(compras_mes103[[#This Row],[NETO GRAVADO]]="","",compras_mes103[[#This Row],[NETO GRAVADO]]*0.21)</f>
        <v>58044.3465</v>
      </c>
      <c r="J15" s="297"/>
      <c r="K15" s="297"/>
      <c r="L15" s="297"/>
      <c r="M15" s="297"/>
      <c r="N15" s="297"/>
      <c r="O15" s="297"/>
      <c r="P15" s="298">
        <f>SUM(compras_mes103[[#This Row],[NETO GRAVADO]:[Otros / No Grav.]])</f>
        <v>334445.99650000001</v>
      </c>
      <c r="Q15" s="618" t="str">
        <f>IFERROR(IF(compras_mes103[[#This Row],[CUIT]]="","-",VLOOKUP(compras_mes103[[#This Row],[CUIT]],Lista_CUIT[#All],3,0)),"CUIT NO CARGADO")</f>
        <v>COMBUSTIBLE</v>
      </c>
      <c r="R15" s="299">
        <f>IFERROR(IF(compras_mes103[[#This Row],[CUIT]]="","-",VLOOKUP(compras_mes103[[#This Row],[CUIT]],Lista_CUIT[#All],4,0)),"CUIT NO CARGADO")</f>
        <v>0</v>
      </c>
    </row>
    <row r="16" spans="1:26">
      <c r="B16" s="518">
        <v>45568</v>
      </c>
      <c r="C16" s="519">
        <v>1</v>
      </c>
      <c r="D16" s="520">
        <v>6</v>
      </c>
      <c r="E16" s="521">
        <v>19623</v>
      </c>
      <c r="F16" s="522">
        <v>33715594949</v>
      </c>
      <c r="G16" s="523" t="str">
        <f>IFERROR(IF(compras_mes103[[#This Row],[CUIT]]="","-",VLOOKUP(compras_mes103[[#This Row],[CUIT]],Lista_CUIT[#All],2,0)),"CUIT NO CARGADO")</f>
        <v>SOMOS ENERGIA SA</v>
      </c>
      <c r="H16" s="626">
        <v>90860.71</v>
      </c>
      <c r="I16" s="525">
        <f>IF(compras_mes103[[#This Row],[NETO GRAVADO]]="","",compras_mes103[[#This Row],[NETO GRAVADO]]*0.21)</f>
        <v>19080.749100000001</v>
      </c>
      <c r="J16" s="525"/>
      <c r="K16" s="525"/>
      <c r="L16" s="525"/>
      <c r="M16" s="525"/>
      <c r="N16" s="525">
        <v>743.66</v>
      </c>
      <c r="O16" s="525">
        <f>6524.94+7268.6</f>
        <v>13793.54</v>
      </c>
      <c r="P16" s="526">
        <f>SUM(compras_mes103[[#This Row],[NETO GRAVADO]:[Otros / No Grav.]])</f>
        <v>124478.65910000002</v>
      </c>
      <c r="Q16" s="619" t="str">
        <f>IFERROR(IF(compras_mes103[[#This Row],[CUIT]]="","-",VLOOKUP(compras_mes103[[#This Row],[CUIT]],Lista_CUIT[#All],3,0)),"CUIT NO CARGADO")</f>
        <v>COMBUSTIBLE</v>
      </c>
      <c r="R16" s="527">
        <f>IFERROR(IF(compras_mes103[[#This Row],[CUIT]]="","-",VLOOKUP(compras_mes103[[#This Row],[CUIT]],Lista_CUIT[#All],4,0)),"CUIT NO CARGADO")</f>
        <v>0</v>
      </c>
    </row>
    <row r="17" spans="2:18">
      <c r="B17" s="518">
        <v>45574</v>
      </c>
      <c r="C17" s="519">
        <v>1</v>
      </c>
      <c r="D17" s="520">
        <v>6</v>
      </c>
      <c r="E17" s="521">
        <v>19699</v>
      </c>
      <c r="F17" s="522">
        <v>33715594949</v>
      </c>
      <c r="G17" s="523" t="str">
        <f>IFERROR(IF(compras_mes103[[#This Row],[CUIT]]="","-",VLOOKUP(compras_mes103[[#This Row],[CUIT]],Lista_CUIT[#All],2,0)),"CUIT NO CARGADO")</f>
        <v>SOMOS ENERGIA SA</v>
      </c>
      <c r="H17" s="626">
        <v>77387.48</v>
      </c>
      <c r="I17" s="525">
        <f>IF(compras_mes103[[#This Row],[NETO GRAVADO]]="","",compras_mes103[[#This Row],[NETO GRAVADO]]*0.21)</f>
        <v>16251.370799999999</v>
      </c>
      <c r="J17" s="525"/>
      <c r="K17" s="525"/>
      <c r="L17" s="525"/>
      <c r="M17" s="525">
        <v>650.1</v>
      </c>
      <c r="N17" s="525"/>
      <c r="O17" s="525">
        <f>5704.03+6354.13</f>
        <v>12058.16</v>
      </c>
      <c r="P17" s="526">
        <f>SUM(compras_mes103[[#This Row],[NETO GRAVADO]:[Otros / No Grav.]])</f>
        <v>106347.11080000001</v>
      </c>
      <c r="Q17" s="619" t="str">
        <f>IFERROR(IF(compras_mes103[[#This Row],[CUIT]]="","-",VLOOKUP(compras_mes103[[#This Row],[CUIT]],Lista_CUIT[#All],3,0)),"CUIT NO CARGADO")</f>
        <v>COMBUSTIBLE</v>
      </c>
      <c r="R17" s="527">
        <f>IFERROR(IF(compras_mes103[[#This Row],[CUIT]]="","-",VLOOKUP(compras_mes103[[#This Row],[CUIT]],Lista_CUIT[#All],4,0)),"CUIT NO CARGADO")</f>
        <v>0</v>
      </c>
    </row>
    <row r="18" spans="2:18">
      <c r="B18" s="518">
        <v>45578</v>
      </c>
      <c r="C18" s="519">
        <v>1</v>
      </c>
      <c r="D18" s="520">
        <v>8</v>
      </c>
      <c r="E18" s="521">
        <v>12982</v>
      </c>
      <c r="F18" s="522">
        <v>33715594949</v>
      </c>
      <c r="G18" s="523" t="str">
        <f>IFERROR(IF(compras_mes103[[#This Row],[CUIT]]="","-",VLOOKUP(compras_mes103[[#This Row],[CUIT]],Lista_CUIT[#All],2,0)),"CUIT NO CARGADO")</f>
        <v>SOMOS ENERGIA SA</v>
      </c>
      <c r="H18" s="626">
        <v>23224.05</v>
      </c>
      <c r="I18" s="525">
        <f>IF(compras_mes103[[#This Row],[NETO GRAVADO]]="","",compras_mes103[[#This Row],[NETO GRAVADO]]*0.21)</f>
        <v>4877.0504999999994</v>
      </c>
      <c r="J18" s="525"/>
      <c r="K18" s="525"/>
      <c r="L18" s="525"/>
      <c r="M18" s="525"/>
      <c r="N18" s="525">
        <v>195.1</v>
      </c>
      <c r="O18" s="525">
        <f>1711.78+1906.88</f>
        <v>3618.66</v>
      </c>
      <c r="P18" s="526">
        <f>SUM(compras_mes103[[#This Row],[NETO GRAVADO]:[Otros / No Grav.]])</f>
        <v>31914.860499999999</v>
      </c>
      <c r="Q18" s="619" t="str">
        <f>IFERROR(IF(compras_mes103[[#This Row],[CUIT]]="","-",VLOOKUP(compras_mes103[[#This Row],[CUIT]],Lista_CUIT[#All],3,0)),"CUIT NO CARGADO")</f>
        <v>COMBUSTIBLE</v>
      </c>
      <c r="R18" s="527">
        <f>IFERROR(IF(compras_mes103[[#This Row],[CUIT]]="","-",VLOOKUP(compras_mes103[[#This Row],[CUIT]],Lista_CUIT[#All],4,0)),"CUIT NO CARGADO")</f>
        <v>0</v>
      </c>
    </row>
    <row r="19" spans="2:18">
      <c r="B19" s="518">
        <v>45581</v>
      </c>
      <c r="C19" s="519">
        <v>1</v>
      </c>
      <c r="D19" s="520">
        <v>15</v>
      </c>
      <c r="E19" s="521">
        <v>38379</v>
      </c>
      <c r="F19" s="522">
        <v>30685116657</v>
      </c>
      <c r="G19" s="523" t="str">
        <f>IFERROR(IF(compras_mes103[[#This Row],[CUIT]]="","-",VLOOKUP(compras_mes103[[#This Row],[CUIT]],Lista_CUIT[#All],2,0)),"CUIT NO CARGADO")</f>
        <v>MIRVAR SA</v>
      </c>
      <c r="H19" s="626">
        <v>48501.760000000002</v>
      </c>
      <c r="I19" s="525">
        <f>IF(compras_mes103[[#This Row],[NETO GRAVADO]]="","",compras_mes103[[#This Row],[NETO GRAVADO]]*0.21)</f>
        <v>10185.3696</v>
      </c>
      <c r="J19" s="525"/>
      <c r="K19" s="525"/>
      <c r="L19" s="525"/>
      <c r="M19" s="525"/>
      <c r="N19" s="525"/>
      <c r="O19" s="525">
        <f>5318.06+5318.06</f>
        <v>10636.12</v>
      </c>
      <c r="P19" s="526">
        <f>SUM(compras_mes103[[#This Row],[NETO GRAVADO]:[Otros / No Grav.]])</f>
        <v>69323.249599999996</v>
      </c>
      <c r="Q19" s="619" t="str">
        <f>IFERROR(IF(compras_mes103[[#This Row],[CUIT]]="","-",VLOOKUP(compras_mes103[[#This Row],[CUIT]],Lista_CUIT[#All],3,0)),"CUIT NO CARGADO")</f>
        <v>COMBUSTIBLE</v>
      </c>
      <c r="R19" s="527">
        <f>IFERROR(IF(compras_mes103[[#This Row],[CUIT]]="","-",VLOOKUP(compras_mes103[[#This Row],[CUIT]],Lista_CUIT[#All],4,0)),"CUIT NO CARGADO")</f>
        <v>0</v>
      </c>
    </row>
    <row r="20" spans="2:18">
      <c r="B20" s="518">
        <v>45586</v>
      </c>
      <c r="C20" s="519">
        <v>1</v>
      </c>
      <c r="D20" s="520">
        <v>8</v>
      </c>
      <c r="E20" s="521">
        <v>13066</v>
      </c>
      <c r="F20" s="522">
        <v>33715594949</v>
      </c>
      <c r="G20" s="523" t="str">
        <f>IFERROR(IF(compras_mes103[[#This Row],[CUIT]]="","-",VLOOKUP(compras_mes103[[#This Row],[CUIT]],Lista_CUIT[#All],2,0)),"CUIT NO CARGADO")</f>
        <v>SOMOS ENERGIA SA</v>
      </c>
      <c r="H20" s="626">
        <v>48198.33</v>
      </c>
      <c r="I20" s="525">
        <f>IF(compras_mes103[[#This Row],[NETO GRAVADO]]="","",compras_mes103[[#This Row],[NETO GRAVADO]]*0.21)</f>
        <v>10121.649299999999</v>
      </c>
      <c r="J20" s="525"/>
      <c r="K20" s="525"/>
      <c r="L20" s="525"/>
      <c r="M20" s="525"/>
      <c r="N20" s="525">
        <v>437.22</v>
      </c>
      <c r="O20" s="525">
        <f>6247.89+6685.11</f>
        <v>12933</v>
      </c>
      <c r="P20" s="526">
        <f>SUM(compras_mes103[[#This Row],[NETO GRAVADO]:[Otros / No Grav.]])</f>
        <v>71690.199300000007</v>
      </c>
      <c r="Q20" s="619" t="str">
        <f>IFERROR(IF(compras_mes103[[#This Row],[CUIT]]="","-",VLOOKUP(compras_mes103[[#This Row],[CUIT]],Lista_CUIT[#All],3,0)),"CUIT NO CARGADO")</f>
        <v>COMBUSTIBLE</v>
      </c>
      <c r="R20" s="527">
        <f>IFERROR(IF(compras_mes103[[#This Row],[CUIT]]="","-",VLOOKUP(compras_mes103[[#This Row],[CUIT]],Lista_CUIT[#All],4,0)),"CUIT NO CARGADO")</f>
        <v>0</v>
      </c>
    </row>
    <row r="21" spans="2:18">
      <c r="B21" s="518">
        <v>45586</v>
      </c>
      <c r="C21" s="519">
        <v>1</v>
      </c>
      <c r="D21" s="520">
        <v>6</v>
      </c>
      <c r="E21" s="521">
        <v>19833</v>
      </c>
      <c r="F21" s="522">
        <v>33715594949</v>
      </c>
      <c r="G21" s="523" t="str">
        <f>IFERROR(IF(compras_mes103[[#This Row],[CUIT]]="","-",VLOOKUP(compras_mes103[[#This Row],[CUIT]],Lista_CUIT[#All],2,0)),"CUIT NO CARGADO")</f>
        <v>SOMOS ENERGIA SA</v>
      </c>
      <c r="H21" s="626">
        <v>46435.81</v>
      </c>
      <c r="I21" s="525">
        <f>IF(compras_mes103[[#This Row],[NETO GRAVADO]]="","",compras_mes103[[#This Row],[NETO GRAVADO]]*0.21)</f>
        <v>9751.5200999999997</v>
      </c>
      <c r="J21" s="525"/>
      <c r="K21" s="525"/>
      <c r="L21" s="525"/>
      <c r="M21" s="525"/>
      <c r="N21" s="525">
        <v>390.09</v>
      </c>
      <c r="O21" s="525">
        <f>3422.66+3812.75</f>
        <v>7235.41</v>
      </c>
      <c r="P21" s="526">
        <f>SUM(compras_mes103[[#This Row],[NETO GRAVADO]:[Otros / No Grav.]])</f>
        <v>63812.830099999992</v>
      </c>
      <c r="Q21" s="619" t="str">
        <f>IFERROR(IF(compras_mes103[[#This Row],[CUIT]]="","-",VLOOKUP(compras_mes103[[#This Row],[CUIT]],Lista_CUIT[#All],3,0)),"CUIT NO CARGADO")</f>
        <v>COMBUSTIBLE</v>
      </c>
      <c r="R21" s="527">
        <f>IFERROR(IF(compras_mes103[[#This Row],[CUIT]]="","-",VLOOKUP(compras_mes103[[#This Row],[CUIT]],Lista_CUIT[#All],4,0)),"CUIT NO CARGADO")</f>
        <v>0</v>
      </c>
    </row>
    <row r="22" spans="2:18">
      <c r="B22" s="430">
        <v>45588</v>
      </c>
      <c r="C22" s="497">
        <v>1</v>
      </c>
      <c r="D22" s="509">
        <v>11</v>
      </c>
      <c r="E22" s="510">
        <v>12631</v>
      </c>
      <c r="F22" s="511">
        <v>30705740670</v>
      </c>
      <c r="G22" s="512" t="str">
        <f>IFERROR(IF(compras_mes103[[#This Row],[CUIT]]="","-",VLOOKUP(compras_mes103[[#This Row],[CUIT]],Lista_CUIT[#All],2,0)),"CUIT NO CARGADO")</f>
        <v>MAVISUR SA</v>
      </c>
      <c r="H22" s="592">
        <v>51347.06</v>
      </c>
      <c r="I22" s="514">
        <f>IF(compras_mes103[[#This Row],[NETO GRAVADO]]="","",compras_mes103[[#This Row],[NETO GRAVADO]]*0.21)</f>
        <v>10782.882599999999</v>
      </c>
      <c r="J22" s="514"/>
      <c r="K22" s="514"/>
      <c r="L22" s="514"/>
      <c r="M22" s="514"/>
      <c r="N22" s="514"/>
      <c r="O22" s="514">
        <v>6872.06</v>
      </c>
      <c r="P22" s="515">
        <f>SUM(compras_mes103[[#This Row],[NETO GRAVADO]:[Otros / No Grav.]])</f>
        <v>69002.002599999993</v>
      </c>
      <c r="Q22" s="620" t="str">
        <f>IFERROR(IF(compras_mes103[[#This Row],[CUIT]]="","-",VLOOKUP(compras_mes103[[#This Row],[CUIT]],Lista_CUIT[#All],3,0)),"CUIT NO CARGADO")</f>
        <v>COMBUSTIBLE</v>
      </c>
      <c r="R22" s="516">
        <f>IFERROR(IF(compras_mes103[[#This Row],[CUIT]]="","-",VLOOKUP(compras_mes103[[#This Row],[CUIT]],Lista_CUIT[#All],4,0)),"CUIT NO CARGADO")</f>
        <v>0</v>
      </c>
    </row>
    <row r="23" spans="2:18">
      <c r="B23" s="518">
        <v>45594</v>
      </c>
      <c r="C23" s="528">
        <v>1</v>
      </c>
      <c r="D23" s="520">
        <v>11</v>
      </c>
      <c r="E23" s="521">
        <v>10960</v>
      </c>
      <c r="F23" s="522">
        <v>20211408511</v>
      </c>
      <c r="G23" s="523" t="str">
        <f>IFERROR(IF(compras_mes103[[#This Row],[CUIT]]="","-",VLOOKUP(compras_mes103[[#This Row],[CUIT]],Lista_CUIT[#All],2,0)),"CUIT NO CARGADO")</f>
        <v>GABRIEL ALEJANDRO SEGAL</v>
      </c>
      <c r="H23" s="626">
        <v>325616.67</v>
      </c>
      <c r="I23" s="525"/>
      <c r="J23" s="525"/>
      <c r="K23" s="525">
        <f>compras_mes103[[#This Row],[NETO GRAVADO]]*0.105</f>
        <v>34189.750349999995</v>
      </c>
      <c r="L23" s="525"/>
      <c r="M23" s="525"/>
      <c r="N23" s="525">
        <v>16280.84</v>
      </c>
      <c r="O23" s="525">
        <v>16280.84</v>
      </c>
      <c r="P23" s="526">
        <f>SUM(compras_mes103[[#This Row],[NETO GRAVADO]:[Otros / No Grav.]])</f>
        <v>392368.10035000002</v>
      </c>
      <c r="Q23" s="619" t="str">
        <f>IFERROR(IF(compras_mes103[[#This Row],[CUIT]]="","-",VLOOKUP(compras_mes103[[#This Row],[CUIT]],Lista_CUIT[#All],3,0)),"CUIT NO CARGADO")</f>
        <v>COMBUSTIBLE</v>
      </c>
      <c r="R23" s="527">
        <f>IFERROR(IF(compras_mes103[[#This Row],[CUIT]]="","-",VLOOKUP(compras_mes103[[#This Row],[CUIT]],Lista_CUIT[#All],4,0)),"CUIT NO CARGADO")</f>
        <v>0</v>
      </c>
    </row>
    <row r="24" spans="2:18">
      <c r="B24" s="518">
        <v>45594</v>
      </c>
      <c r="C24" s="528">
        <v>1</v>
      </c>
      <c r="D24" s="520">
        <v>8</v>
      </c>
      <c r="E24" s="521">
        <v>13145</v>
      </c>
      <c r="F24" s="522">
        <v>33715594949</v>
      </c>
      <c r="G24" s="523" t="str">
        <f>IFERROR(IF(compras_mes103[[#This Row],[CUIT]]="","-",VLOOKUP(compras_mes103[[#This Row],[CUIT]],Lista_CUIT[#All],2,0)),"CUIT NO CARGADO")</f>
        <v>SOMOS ENERGIA SA</v>
      </c>
      <c r="H24" s="626">
        <v>59005.14</v>
      </c>
      <c r="I24" s="525">
        <f>IF(compras_mes103[[#This Row],[NETO GRAVADO]]="","",compras_mes103[[#This Row],[NETO GRAVADO]]*0.21)</f>
        <v>12391.079399999999</v>
      </c>
      <c r="J24" s="525"/>
      <c r="K24" s="525"/>
      <c r="L24" s="525"/>
      <c r="M24" s="525"/>
      <c r="N24" s="525">
        <v>495.68</v>
      </c>
      <c r="O24" s="525">
        <f>4349.12+4844.8</f>
        <v>9193.92</v>
      </c>
      <c r="P24" s="526">
        <f>SUM(compras_mes103[[#This Row],[NETO GRAVADO]:[Otros / No Grav.]])</f>
        <v>81085.819399999993</v>
      </c>
      <c r="Q24" s="619" t="str">
        <f>IFERROR(IF(compras_mes103[[#This Row],[CUIT]]="","-",VLOOKUP(compras_mes103[[#This Row],[CUIT]],Lista_CUIT[#All],3,0)),"CUIT NO CARGADO")</f>
        <v>COMBUSTIBLE</v>
      </c>
      <c r="R24" s="527">
        <f>IFERROR(IF(compras_mes103[[#This Row],[CUIT]]="","-",VLOOKUP(compras_mes103[[#This Row],[CUIT]],Lista_CUIT[#All],4,0)),"CUIT NO CARGADO")</f>
        <v>0</v>
      </c>
    </row>
    <row r="25" spans="2:18">
      <c r="B25" s="518">
        <v>45594</v>
      </c>
      <c r="C25" s="528">
        <v>1</v>
      </c>
      <c r="D25" s="520">
        <v>6</v>
      </c>
      <c r="E25" s="521">
        <v>19925</v>
      </c>
      <c r="F25" s="522">
        <v>33715594949</v>
      </c>
      <c r="G25" s="523" t="str">
        <f>IFERROR(IF(compras_mes103[[#This Row],[CUIT]]="","-",VLOOKUP(compras_mes103[[#This Row],[CUIT]],Lista_CUIT[#All],2,0)),"CUIT NO CARGADO")</f>
        <v>SOMOS ENERGIA SA</v>
      </c>
      <c r="H25" s="626">
        <v>34466.19</v>
      </c>
      <c r="I25" s="525">
        <f>IF(compras_mes103[[#This Row],[NETO GRAVADO]]="","",compras_mes103[[#This Row],[NETO GRAVADO]]*0.21)</f>
        <v>7237.8999000000003</v>
      </c>
      <c r="J25" s="525"/>
      <c r="K25" s="525"/>
      <c r="L25" s="525"/>
      <c r="M25" s="525"/>
      <c r="N25" s="525">
        <v>270.10000000000002</v>
      </c>
      <c r="O25" s="525">
        <f>2369.85+2639.95</f>
        <v>5009.7999999999993</v>
      </c>
      <c r="P25" s="526">
        <f>SUM(compras_mes103[[#This Row],[NETO GRAVADO]:[Otros / No Grav.]])</f>
        <v>46983.9899</v>
      </c>
      <c r="Q25" s="619" t="str">
        <f>IFERROR(IF(compras_mes103[[#This Row],[CUIT]]="","-",VLOOKUP(compras_mes103[[#This Row],[CUIT]],Lista_CUIT[#All],3,0)),"CUIT NO CARGADO")</f>
        <v>COMBUSTIBLE</v>
      </c>
      <c r="R25" s="527">
        <f>IFERROR(IF(compras_mes103[[#This Row],[CUIT]]="","-",VLOOKUP(compras_mes103[[#This Row],[CUIT]],Lista_CUIT[#All],4,0)),"CUIT NO CARGADO")</f>
        <v>0</v>
      </c>
    </row>
    <row r="26" spans="2:18">
      <c r="B26" s="40">
        <v>45595</v>
      </c>
      <c r="C26" s="305">
        <v>1</v>
      </c>
      <c r="D26" s="292">
        <v>1002</v>
      </c>
      <c r="E26" s="293">
        <v>20187</v>
      </c>
      <c r="F26" s="294">
        <v>30712289046</v>
      </c>
      <c r="G26" s="295" t="str">
        <f>IFERROR(IF(compras_mes103[[#This Row],[CUIT]]="","-",VLOOKUP(compras_mes103[[#This Row],[CUIT]],Lista_CUIT[#All],2,0)),"CUIT NO CARGADO")</f>
        <v>IMPIERI, PIÑEIIRO, R  Y A SA</v>
      </c>
      <c r="H26" s="592">
        <v>30011.57</v>
      </c>
      <c r="I26" s="297">
        <f>IF(compras_mes103[[#This Row],[NETO GRAVADO]]="","",compras_mes103[[#This Row],[NETO GRAVADO]]*0.21)</f>
        <v>6302.4296999999997</v>
      </c>
      <c r="J26" s="297"/>
      <c r="K26" s="297"/>
      <c r="L26" s="297"/>
      <c r="M26" s="297"/>
      <c r="N26" s="297"/>
      <c r="O26" s="297"/>
      <c r="P26" s="298">
        <f>SUM(compras_mes103[[#This Row],[NETO GRAVADO]:[Otros / No Grav.]])</f>
        <v>36313.9997</v>
      </c>
      <c r="Q26" s="618" t="str">
        <f>IFERROR(IF(compras_mes103[[#This Row],[CUIT]]="","-",VLOOKUP(compras_mes103[[#This Row],[CUIT]],Lista_CUIT[#All],3,0)),"CUIT NO CARGADO")</f>
        <v>COMBUSTIBLE</v>
      </c>
      <c r="R26" s="299">
        <f>IFERROR(IF(compras_mes103[[#This Row],[CUIT]]="","-",VLOOKUP(compras_mes103[[#This Row],[CUIT]],Lista_CUIT[#All],4,0)),"CUIT NO CARGADO")</f>
        <v>0</v>
      </c>
    </row>
    <row r="27" spans="2:18">
      <c r="B27" s="40">
        <v>45596</v>
      </c>
      <c r="C27" s="305">
        <v>1</v>
      </c>
      <c r="D27" s="292">
        <v>1002</v>
      </c>
      <c r="E27" s="293">
        <v>20230</v>
      </c>
      <c r="F27" s="294">
        <v>30712289046</v>
      </c>
      <c r="G27" s="295" t="str">
        <f>IFERROR(IF(compras_mes103[[#This Row],[CUIT]]="","-",VLOOKUP(compras_mes103[[#This Row],[CUIT]],Lista_CUIT[#All],2,0)),"CUIT NO CARGADO")</f>
        <v>IMPIERI, PIÑEIIRO, R  Y A SA</v>
      </c>
      <c r="H27" s="592">
        <v>45017.3</v>
      </c>
      <c r="I27" s="297">
        <f>IF(compras_mes103[[#This Row],[NETO GRAVADO]]="","",compras_mes103[[#This Row],[NETO GRAVADO]]*0.21)</f>
        <v>9453.6329999999998</v>
      </c>
      <c r="J27" s="297"/>
      <c r="K27" s="297"/>
      <c r="L27" s="297"/>
      <c r="M27" s="297"/>
      <c r="N27" s="297"/>
      <c r="O27" s="297"/>
      <c r="P27" s="298">
        <f>SUM(compras_mes103[[#This Row],[NETO GRAVADO]:[Otros / No Grav.]])</f>
        <v>54470.933000000005</v>
      </c>
      <c r="Q27" s="618" t="str">
        <f>IFERROR(IF(compras_mes103[[#This Row],[CUIT]]="","-",VLOOKUP(compras_mes103[[#This Row],[CUIT]],Lista_CUIT[#All],3,0)),"CUIT NO CARGADO")</f>
        <v>COMBUSTIBLE</v>
      </c>
      <c r="R27" s="299">
        <f>IFERROR(IF(compras_mes103[[#This Row],[CUIT]]="","-",VLOOKUP(compras_mes103[[#This Row],[CUIT]],Lista_CUIT[#All],4,0)),"CUIT NO CARGADO")</f>
        <v>0</v>
      </c>
    </row>
    <row r="28" spans="2:18">
      <c r="B28" s="291">
        <v>45583</v>
      </c>
      <c r="C28" s="305">
        <v>1</v>
      </c>
      <c r="D28" s="292">
        <v>102</v>
      </c>
      <c r="E28" s="293">
        <v>49564</v>
      </c>
      <c r="F28" s="294">
        <v>30701307115</v>
      </c>
      <c r="G28" s="295" t="str">
        <f>IFERROR(IF(compras_mes103[[#This Row],[CUIT]]="","-",VLOOKUP(compras_mes103[[#This Row],[CUIT]],Lista_CUIT[#All],2,0)),"CUIT NO CARGADO")</f>
        <v>DESPEGAR.COM.AR SA</v>
      </c>
      <c r="H28" s="592">
        <v>4218.8900000000003</v>
      </c>
      <c r="I28" s="297">
        <f>IF(compras_mes103[[#This Row],[NETO GRAVADO]]="","",compras_mes103[[#This Row],[NETO GRAVADO]]*0.21)</f>
        <v>885.96690000000001</v>
      </c>
      <c r="J28" s="297"/>
      <c r="K28" s="297"/>
      <c r="L28" s="297"/>
      <c r="M28" s="297"/>
      <c r="N28" s="297"/>
      <c r="O28" s="297"/>
      <c r="P28" s="298">
        <f>SUM(compras_mes103[[#This Row],[NETO GRAVADO]:[Otros / No Grav.]])</f>
        <v>5104.8569000000007</v>
      </c>
      <c r="Q28" s="618" t="str">
        <f>IFERROR(IF(compras_mes103[[#This Row],[CUIT]]="","-",VLOOKUP(compras_mes103[[#This Row],[CUIT]],Lista_CUIT[#All],3,0)),"CUIT NO CARGADO")</f>
        <v>FLETE</v>
      </c>
      <c r="R28" s="299">
        <f>IFERROR(IF(compras_mes103[[#This Row],[CUIT]]="","-",VLOOKUP(compras_mes103[[#This Row],[CUIT]],Lista_CUIT[#All],4,0)),"CUIT NO CARGADO")</f>
        <v>0</v>
      </c>
    </row>
    <row r="29" spans="2:18">
      <c r="B29" s="291">
        <v>45587</v>
      </c>
      <c r="C29" s="305">
        <v>1</v>
      </c>
      <c r="D29" s="292">
        <v>30</v>
      </c>
      <c r="E29" s="293">
        <v>95031</v>
      </c>
      <c r="F29" s="294">
        <v>30690212265</v>
      </c>
      <c r="G29" s="295" t="str">
        <f>IFERROR(IF(compras_mes103[[#This Row],[CUIT]]="","-",VLOOKUP(compras_mes103[[#This Row],[CUIT]],Lista_CUIT[#All],2,0)),"CUIT NO CARGADO")</f>
        <v>GIAMPAOLETTI  S A</v>
      </c>
      <c r="H29" s="592">
        <v>56248.45</v>
      </c>
      <c r="I29" s="297">
        <f>IF(compras_mes103[[#This Row],[NETO GRAVADO]]="","",compras_mes103[[#This Row],[NETO GRAVADO]]*0.21)</f>
        <v>11812.174499999999</v>
      </c>
      <c r="J29" s="297"/>
      <c r="K29" s="297"/>
      <c r="L29" s="297"/>
      <c r="M29" s="297"/>
      <c r="N29" s="297"/>
      <c r="O29" s="297"/>
      <c r="P29" s="298">
        <f>SUM(compras_mes103[[#This Row],[NETO GRAVADO]:[Otros / No Grav.]])</f>
        <v>68060.624499999991</v>
      </c>
      <c r="Q29" s="618" t="str">
        <f>IFERROR(IF(compras_mes103[[#This Row],[CUIT]]="","-",VLOOKUP(compras_mes103[[#This Row],[CUIT]],Lista_CUIT[#All],3,0)),"CUIT NO CARGADO")</f>
        <v>FLETE</v>
      </c>
      <c r="R29" s="299">
        <f>IFERROR(IF(compras_mes103[[#This Row],[CUIT]]="","-",VLOOKUP(compras_mes103[[#This Row],[CUIT]],Lista_CUIT[#All],4,0)),"CUIT NO CARGADO")</f>
        <v>0</v>
      </c>
    </row>
    <row r="30" spans="2:18">
      <c r="B30" s="291">
        <v>45584</v>
      </c>
      <c r="C30" s="305">
        <v>1</v>
      </c>
      <c r="D30" s="292">
        <v>3</v>
      </c>
      <c r="E30" s="293">
        <v>103</v>
      </c>
      <c r="F30" s="294">
        <v>20278292429</v>
      </c>
      <c r="G30" s="295" t="str">
        <f>IFERROR(IF(compras_mes103[[#This Row],[CUIT]]="","-",VLOOKUP(compras_mes103[[#This Row],[CUIT]],Lista_CUIT[#All],2,0)),"CUIT NO CARGADO")</f>
        <v>FREDES LUCAS FEDERICO</v>
      </c>
      <c r="H30" s="592">
        <v>18345.48</v>
      </c>
      <c r="I30" s="297">
        <f>IF(compras_mes103[[#This Row],[NETO GRAVADO]]="","",compras_mes103[[#This Row],[NETO GRAVADO]]*0.21)</f>
        <v>3852.5508</v>
      </c>
      <c r="J30" s="297"/>
      <c r="K30" s="297"/>
      <c r="L30" s="297"/>
      <c r="M30" s="297"/>
      <c r="N30" s="297"/>
      <c r="O30" s="297"/>
      <c r="P30" s="298">
        <f>SUM(compras_mes103[[#This Row],[NETO GRAVADO]:[Otros / No Grav.]])</f>
        <v>22198.0308</v>
      </c>
      <c r="Q30" s="618" t="str">
        <f>IFERROR(IF(compras_mes103[[#This Row],[CUIT]]="","-",VLOOKUP(compras_mes103[[#This Row],[CUIT]],Lista_CUIT[#All],3,0)),"CUIT NO CARGADO")</f>
        <v>Gasto Alojamiento</v>
      </c>
      <c r="R30" s="299">
        <f>IFERROR(IF(compras_mes103[[#This Row],[CUIT]]="","-",VLOOKUP(compras_mes103[[#This Row],[CUIT]],Lista_CUIT[#All],4,0)),"CUIT NO CARGADO")</f>
        <v>0</v>
      </c>
    </row>
    <row r="31" spans="2:18">
      <c r="B31" s="40">
        <v>45566</v>
      </c>
      <c r="C31" s="305">
        <v>1</v>
      </c>
      <c r="D31" s="292">
        <v>500</v>
      </c>
      <c r="E31" s="293">
        <v>1627071</v>
      </c>
      <c r="F31" s="294">
        <v>30654118767</v>
      </c>
      <c r="G31" s="295" t="str">
        <f>IFERROR(IF(compras_mes103[[#This Row],[CUIT]]="","-",VLOOKUP(compras_mes103[[#This Row],[CUIT]],Lista_CUIT[#All],2,0)),"CUIT NO CARGADO")</f>
        <v>SOLUCIONES MULTIMEDIA SA</v>
      </c>
      <c r="H31" s="592">
        <v>94125.18</v>
      </c>
      <c r="I31" s="297">
        <f>IF(compras_mes103[[#This Row],[NETO GRAVADO]]="","",compras_mes103[[#This Row],[NETO GRAVADO]]*0.21)</f>
        <v>19766.287799999998</v>
      </c>
      <c r="J31" s="297"/>
      <c r="K31" s="297"/>
      <c r="L31" s="297"/>
      <c r="M31" s="297"/>
      <c r="N31" s="297"/>
      <c r="O31" s="297"/>
      <c r="P31" s="298">
        <f>SUM(compras_mes103[[#This Row],[NETO GRAVADO]:[Otros / No Grav.]])</f>
        <v>113891.46779999998</v>
      </c>
      <c r="Q31" s="618" t="str">
        <f>IFERROR(IF(compras_mes103[[#This Row],[CUIT]]="","-",VLOOKUP(compras_mes103[[#This Row],[CUIT]],Lista_CUIT[#All],3,0)),"CUIT NO CARGADO")</f>
        <v>GASTOS ADMINISTRATIVOS</v>
      </c>
      <c r="R31" s="49">
        <f>IFERROR(IF(compras_mes103[[#This Row],[CUIT]]="","-",VLOOKUP(compras_mes103[[#This Row],[CUIT]],Lista_CUIT[#All],4,0)),"CUIT NO CARGADO")</f>
        <v>0</v>
      </c>
    </row>
    <row r="32" spans="2:18">
      <c r="B32" s="40">
        <v>45594</v>
      </c>
      <c r="C32" s="305">
        <v>1</v>
      </c>
      <c r="D32" s="292">
        <v>12</v>
      </c>
      <c r="E32" s="293">
        <v>3229486</v>
      </c>
      <c r="F32" s="294">
        <v>30703088534</v>
      </c>
      <c r="G32" s="295" t="str">
        <f>IFERROR(IF(compras_mes103[[#This Row],[CUIT]]="","-",VLOOKUP(compras_mes103[[#This Row],[CUIT]],Lista_CUIT[#All],2,0)),"CUIT NO CARGADO")</f>
        <v>MERCADO LIBRE SRL</v>
      </c>
      <c r="H32" s="592">
        <v>52814.1</v>
      </c>
      <c r="I32" s="297">
        <f>IF(compras_mes103[[#This Row],[NETO GRAVADO]]="","",compras_mes103[[#This Row],[NETO GRAVADO]]*0.21)</f>
        <v>11090.960999999999</v>
      </c>
      <c r="J32" s="297"/>
      <c r="K32" s="297"/>
      <c r="L32" s="297"/>
      <c r="M32" s="297"/>
      <c r="N32" s="297"/>
      <c r="O32" s="297">
        <v>4225.12</v>
      </c>
      <c r="P32" s="298">
        <f>SUM(compras_mes103[[#This Row],[NETO GRAVADO]:[Otros / No Grav.]])</f>
        <v>68130.180999999997</v>
      </c>
      <c r="Q32" s="618" t="str">
        <f>IFERROR(IF(compras_mes103[[#This Row],[CUIT]]="","-",VLOOKUP(compras_mes103[[#This Row],[CUIT]],Lista_CUIT[#All],3,0)),"CUIT NO CARGADO")</f>
        <v>GASTOS COMERCIALIZACION</v>
      </c>
      <c r="R32" s="299">
        <f>IFERROR(IF(compras_mes103[[#This Row],[CUIT]]="","-",VLOOKUP(compras_mes103[[#This Row],[CUIT]],Lista_CUIT[#All],4,0)),"CUIT NO CARGADO")</f>
        <v>0</v>
      </c>
    </row>
    <row r="33" spans="2:18">
      <c r="B33" s="291">
        <v>45573</v>
      </c>
      <c r="C33" s="305">
        <v>1</v>
      </c>
      <c r="D33" s="292">
        <v>120</v>
      </c>
      <c r="E33" s="293">
        <v>5161</v>
      </c>
      <c r="F33" s="294">
        <v>30587197215</v>
      </c>
      <c r="G33" s="295" t="str">
        <f>IFERROR(IF(compras_mes103[[#This Row],[CUIT]]="","-",VLOOKUP(compras_mes103[[#This Row],[CUIT]],Lista_CUIT[#All],2,0)),"CUIT NO CARGADO")</f>
        <v>PANATEL SOCIEDAD ANONIMA</v>
      </c>
      <c r="H33" s="592">
        <v>68595.039999999994</v>
      </c>
      <c r="I33" s="297">
        <f>IF(compras_mes103[[#This Row],[NETO GRAVADO]]="","",compras_mes103[[#This Row],[NETO GRAVADO]]*0.21)</f>
        <v>14404.958399999998</v>
      </c>
      <c r="J33" s="297"/>
      <c r="K33" s="297"/>
      <c r="L33" s="297"/>
      <c r="M33" s="297"/>
      <c r="N33" s="297"/>
      <c r="O33" s="297"/>
      <c r="P33" s="298">
        <f>SUM(compras_mes103[[#This Row],[NETO GRAVADO]:[Otros / No Grav.]])</f>
        <v>82999.998399999997</v>
      </c>
      <c r="Q33" s="618" t="str">
        <f>IFERROR(IF(compras_mes103[[#This Row],[CUIT]]="","-",VLOOKUP(compras_mes103[[#This Row],[CUIT]],Lista_CUIT[#All],3,0)),"CUIT NO CARGADO")</f>
        <v>Gastos Varios</v>
      </c>
      <c r="R33" s="299">
        <f>IFERROR(IF(compras_mes103[[#This Row],[CUIT]]="","-",VLOOKUP(compras_mes103[[#This Row],[CUIT]],Lista_CUIT[#All],4,0)),"CUIT NO CARGADO")</f>
        <v>0</v>
      </c>
    </row>
    <row r="34" spans="2:18">
      <c r="B34" s="291">
        <v>45574</v>
      </c>
      <c r="C34" s="305">
        <v>1</v>
      </c>
      <c r="D34" s="292">
        <v>7</v>
      </c>
      <c r="E34" s="293">
        <v>3332</v>
      </c>
      <c r="F34" s="294">
        <v>20284183534</v>
      </c>
      <c r="G34" s="295" t="str">
        <f>IFERROR(IF(compras_mes103[[#This Row],[CUIT]]="","-",VLOOKUP(compras_mes103[[#This Row],[CUIT]],Lista_CUIT[#All],2,0)),"CUIT NO CARGADO")</f>
        <v>FURLANETTO MARTIN</v>
      </c>
      <c r="H34" s="592">
        <v>5454.6</v>
      </c>
      <c r="I34" s="297">
        <f>IF(compras_mes103[[#This Row],[NETO GRAVADO]]="","",compras_mes103[[#This Row],[NETO GRAVADO]]*0.21)</f>
        <v>1145.4660000000001</v>
      </c>
      <c r="J34" s="297"/>
      <c r="K34" s="297"/>
      <c r="L34" s="297"/>
      <c r="M34" s="297"/>
      <c r="N34" s="297"/>
      <c r="O34" s="297"/>
      <c r="P34" s="298">
        <f>SUM(compras_mes103[[#This Row],[NETO GRAVADO]:[Otros / No Grav.]])</f>
        <v>6600.0660000000007</v>
      </c>
      <c r="Q34" s="618" t="str">
        <f>IFERROR(IF(compras_mes103[[#This Row],[CUIT]]="","-",VLOOKUP(compras_mes103[[#This Row],[CUIT]],Lista_CUIT[#All],3,0)),"CUIT NO CARGADO")</f>
        <v>gastos varios</v>
      </c>
      <c r="R34" s="299">
        <f>IFERROR(IF(compras_mes103[[#This Row],[CUIT]]="","-",VLOOKUP(compras_mes103[[#This Row],[CUIT]],Lista_CUIT[#All],4,0)),"CUIT NO CARGADO")</f>
        <v>0</v>
      </c>
    </row>
    <row r="35" spans="2:18">
      <c r="B35" s="291">
        <v>45575</v>
      </c>
      <c r="C35" s="305">
        <v>1</v>
      </c>
      <c r="D35" s="292">
        <v>32</v>
      </c>
      <c r="E35" s="293">
        <v>148954</v>
      </c>
      <c r="F35" s="294">
        <v>30708847247</v>
      </c>
      <c r="G35" s="295" t="str">
        <f>IFERROR(IF(compras_mes103[[#This Row],[CUIT]]="","-",VLOOKUP(compras_mes103[[#This Row],[CUIT]],Lista_CUIT[#All],2,0)),"CUIT NO CARGADO")</f>
        <v>TOAGRA SRL</v>
      </c>
      <c r="H35" s="592">
        <v>48698.29</v>
      </c>
      <c r="I35" s="297">
        <f>IF(compras_mes103[[#This Row],[NETO GRAVADO]]="","",compras_mes103[[#This Row],[NETO GRAVADO]]*0.21)</f>
        <v>10226.6409</v>
      </c>
      <c r="J35" s="297"/>
      <c r="K35" s="297"/>
      <c r="L35" s="297"/>
      <c r="M35" s="297"/>
      <c r="N35" s="297"/>
      <c r="O35" s="297"/>
      <c r="P35" s="298">
        <f>SUM(compras_mes103[[#This Row],[NETO GRAVADO]:[Otros / No Grav.]])</f>
        <v>58924.930899999999</v>
      </c>
      <c r="Q35" s="618" t="str">
        <f>IFERROR(IF(compras_mes103[[#This Row],[CUIT]]="","-",VLOOKUP(compras_mes103[[#This Row],[CUIT]],Lista_CUIT[#All],3,0)),"CUIT NO CARGADO")</f>
        <v>GASTOS VARIOS</v>
      </c>
      <c r="R35" s="299">
        <f>IFERROR(IF(compras_mes103[[#This Row],[CUIT]]="","-",VLOOKUP(compras_mes103[[#This Row],[CUIT]],Lista_CUIT[#All],4,0)),"CUIT NO CARGADO")</f>
        <v>0</v>
      </c>
    </row>
    <row r="36" spans="2:18">
      <c r="B36" s="291">
        <v>45576</v>
      </c>
      <c r="C36" s="305">
        <v>1</v>
      </c>
      <c r="D36" s="292">
        <v>18</v>
      </c>
      <c r="E36" s="293">
        <v>2831</v>
      </c>
      <c r="F36" s="294">
        <v>27940269100</v>
      </c>
      <c r="G36" s="295" t="str">
        <f>IFERROR(IF(compras_mes103[[#This Row],[CUIT]]="","-",VLOOKUP(compras_mes103[[#This Row],[CUIT]],Lista_CUIT[#All],2,0)),"CUIT NO CARGADO")</f>
        <v>LIN YUMEI</v>
      </c>
      <c r="H36" s="592">
        <v>35123.949999999997</v>
      </c>
      <c r="I36" s="297">
        <f>IF(compras_mes103[[#This Row],[NETO GRAVADO]]="","",compras_mes103[[#This Row],[NETO GRAVADO]]*0.21)</f>
        <v>7376.0294999999987</v>
      </c>
      <c r="J36" s="297"/>
      <c r="K36" s="297"/>
      <c r="L36" s="297"/>
      <c r="M36" s="297"/>
      <c r="N36" s="297"/>
      <c r="O36" s="297"/>
      <c r="P36" s="298">
        <f>SUM(compras_mes103[[#This Row],[NETO GRAVADO]:[Otros / No Grav.]])</f>
        <v>42499.979499999994</v>
      </c>
      <c r="Q36" s="618" t="str">
        <f>IFERROR(IF(compras_mes103[[#This Row],[CUIT]]="","-",VLOOKUP(compras_mes103[[#This Row],[CUIT]],Lista_CUIT[#All],3,0)),"CUIT NO CARGADO")</f>
        <v>Gastos Varios</v>
      </c>
      <c r="R36" s="299">
        <f>IFERROR(IF(compras_mes103[[#This Row],[CUIT]]="","-",VLOOKUP(compras_mes103[[#This Row],[CUIT]],Lista_CUIT[#All],4,0)),"CUIT NO CARGADO")</f>
        <v>0</v>
      </c>
    </row>
    <row r="37" spans="2:18">
      <c r="B37" s="538">
        <v>45580</v>
      </c>
      <c r="C37" s="539">
        <v>1</v>
      </c>
      <c r="D37" s="540">
        <v>113</v>
      </c>
      <c r="E37" s="541">
        <v>3855807</v>
      </c>
      <c r="F37" s="542">
        <v>30577207190</v>
      </c>
      <c r="G37" s="543" t="str">
        <f>IFERROR(IF(compras_mes103[[#This Row],[CUIT]]="","-",VLOOKUP(compras_mes103[[#This Row],[CUIT]],Lista_CUIT[#All],2,0)),"CUIT NO CARGADO")</f>
        <v>COORDINACION ECOLOGICA AREA METROPOLITANA SOCIEDAD DEL ESTADO</v>
      </c>
      <c r="H37" s="592">
        <v>991.73</v>
      </c>
      <c r="I37" s="545">
        <f>IF(compras_mes103[[#This Row],[NETO GRAVADO]]="","",compras_mes103[[#This Row],[NETO GRAVADO]]*0.21)</f>
        <v>208.26329999999999</v>
      </c>
      <c r="J37" s="545"/>
      <c r="K37" s="545"/>
      <c r="L37" s="545"/>
      <c r="M37" s="545"/>
      <c r="N37" s="545"/>
      <c r="O37" s="545"/>
      <c r="P37" s="546">
        <f>SUM(compras_mes103[[#This Row],[NETO GRAVADO]:[Otros / No Grav.]])</f>
        <v>1199.9933000000001</v>
      </c>
      <c r="Q37" s="621" t="str">
        <f>IFERROR(IF(compras_mes103[[#This Row],[CUIT]]="","-",VLOOKUP(compras_mes103[[#This Row],[CUIT]],Lista_CUIT[#All],3,0)),"CUIT NO CARGADO")</f>
        <v>gastos varios</v>
      </c>
      <c r="R37" s="547">
        <f>IFERROR(IF(compras_mes103[[#This Row],[CUIT]]="","-",VLOOKUP(compras_mes103[[#This Row],[CUIT]],Lista_CUIT[#All],4,0)),"CUIT NO CARGADO")</f>
        <v>0</v>
      </c>
    </row>
    <row r="38" spans="2:18">
      <c r="B38" s="40">
        <v>45587</v>
      </c>
      <c r="C38" s="305">
        <v>1</v>
      </c>
      <c r="D38" s="292">
        <v>3</v>
      </c>
      <c r="E38" s="293">
        <v>7855</v>
      </c>
      <c r="F38" s="294">
        <v>33708218699</v>
      </c>
      <c r="G38" s="295" t="str">
        <f>IFERROR(IF(compras_mes103[[#This Row],[CUIT]]="","-",VLOOKUP(compras_mes103[[#This Row],[CUIT]],Lista_CUIT[#All],2,0)),"CUIT NO CARGADO")</f>
        <v>MANGGINI PABLO Y MANGGINI ULISES SOC. DE HECHO.</v>
      </c>
      <c r="H38" s="592">
        <v>15000</v>
      </c>
      <c r="I38" s="297">
        <f>IF(compras_mes103[[#This Row],[NETO GRAVADO]]="","",compras_mes103[[#This Row],[NETO GRAVADO]]*0.21)</f>
        <v>3150</v>
      </c>
      <c r="J38" s="297"/>
      <c r="K38" s="297"/>
      <c r="L38" s="297"/>
      <c r="M38" s="297"/>
      <c r="N38" s="297"/>
      <c r="O38" s="297"/>
      <c r="P38" s="298">
        <f>SUM(compras_mes103[[#This Row],[NETO GRAVADO]:[Otros / No Grav.]])</f>
        <v>18150</v>
      </c>
      <c r="Q38" s="618" t="str">
        <f>IFERROR(IF(compras_mes103[[#This Row],[CUIT]]="","-",VLOOKUP(compras_mes103[[#This Row],[CUIT]],Lista_CUIT[#All],3,0)),"CUIT NO CARGADO")</f>
        <v>Gastos Varios</v>
      </c>
      <c r="R38" s="299">
        <f>IFERROR(IF(compras_mes103[[#This Row],[CUIT]]="","-",VLOOKUP(compras_mes103[[#This Row],[CUIT]],Lista_CUIT[#All],4,0)),"CUIT NO CARGADO")</f>
        <v>0</v>
      </c>
    </row>
    <row r="39" spans="2:18">
      <c r="B39" s="40">
        <v>45589</v>
      </c>
      <c r="C39" s="305">
        <v>1</v>
      </c>
      <c r="D39" s="90">
        <v>21</v>
      </c>
      <c r="E39" s="91">
        <v>476</v>
      </c>
      <c r="F39" s="92">
        <v>20186310005</v>
      </c>
      <c r="G39" s="93" t="str">
        <f>IFERROR(IF(compras_mes103[[#This Row],[CUIT]]="","-",VLOOKUP(compras_mes103[[#This Row],[CUIT]],Lista_CUIT[#All],2,0)),"CUIT NO CARGADO")</f>
        <v>SALEME CARAM</v>
      </c>
      <c r="H39" s="625">
        <v>5000</v>
      </c>
      <c r="I39" s="297">
        <f>IF(compras_mes103[[#This Row],[NETO GRAVADO]]="","",compras_mes103[[#This Row],[NETO GRAVADO]]*0.21)</f>
        <v>1050</v>
      </c>
      <c r="J39" s="86"/>
      <c r="K39" s="86"/>
      <c r="L39" s="86"/>
      <c r="M39" s="86"/>
      <c r="N39" s="86"/>
      <c r="O39" s="86"/>
      <c r="P39" s="48">
        <f>SUM(compras_mes103[[#This Row],[NETO GRAVADO]:[Otros / No Grav.]])</f>
        <v>6050</v>
      </c>
      <c r="Q39" s="622" t="str">
        <f>IFERROR(IF(compras_mes103[[#This Row],[CUIT]]="","-",VLOOKUP(compras_mes103[[#This Row],[CUIT]],Lista_CUIT[#All],3,0)),"CUIT NO CARGADO")</f>
        <v>Gastos Varios</v>
      </c>
      <c r="R39" s="88">
        <f>IFERROR(IF(compras_mes103[[#This Row],[CUIT]]="","-",VLOOKUP(compras_mes103[[#This Row],[CUIT]],Lista_CUIT[#All],4,0)),"CUIT NO CARGADO")</f>
        <v>0</v>
      </c>
    </row>
    <row r="40" spans="2:18">
      <c r="B40" s="529">
        <v>45590</v>
      </c>
      <c r="C40" s="530">
        <v>1</v>
      </c>
      <c r="D40" s="531">
        <v>4</v>
      </c>
      <c r="E40" s="532">
        <v>1202</v>
      </c>
      <c r="F40" s="533">
        <v>20202500138</v>
      </c>
      <c r="G40" s="534" t="str">
        <f>IFERROR(IF(compras_mes103[[#This Row],[CUIT]]="","-",VLOOKUP(compras_mes103[[#This Row],[CUIT]],Lista_CUIT[#All],2,0)),"CUIT NO CARGADO")</f>
        <v>RAMBAUD DIEGO GABRIEL</v>
      </c>
      <c r="H40" s="592">
        <v>12669.68</v>
      </c>
      <c r="I40" s="535"/>
      <c r="J40" s="535"/>
      <c r="K40" s="535">
        <f>compras_mes103[[#This Row],[NETO GRAVADO]]*0.105</f>
        <v>1330.3163999999999</v>
      </c>
      <c r="L40" s="535"/>
      <c r="M40" s="535"/>
      <c r="N40" s="535"/>
      <c r="O40" s="535"/>
      <c r="P40" s="536">
        <f>SUM(compras_mes103[[#This Row],[NETO GRAVADO]:[Otros / No Grav.]])</f>
        <v>13999.9964</v>
      </c>
      <c r="Q40" s="623" t="str">
        <f>IFERROR(IF(compras_mes103[[#This Row],[CUIT]]="","-",VLOOKUP(compras_mes103[[#This Row],[CUIT]],Lista_CUIT[#All],3,0)),"CUIT NO CARGADO")</f>
        <v>GASTOS VARIOS</v>
      </c>
      <c r="R40" s="537">
        <f>IFERROR(IF(compras_mes103[[#This Row],[CUIT]]="","-",VLOOKUP(compras_mes103[[#This Row],[CUIT]],Lista_CUIT[#All],4,0)),"CUIT NO CARGADO")</f>
        <v>0</v>
      </c>
    </row>
    <row r="41" spans="2:18">
      <c r="B41" s="529">
        <v>45590</v>
      </c>
      <c r="C41" s="530">
        <v>1</v>
      </c>
      <c r="D41" s="531">
        <v>2</v>
      </c>
      <c r="E41" s="532">
        <v>1915</v>
      </c>
      <c r="F41" s="533">
        <v>30714228060</v>
      </c>
      <c r="G41" s="534" t="str">
        <f>IFERROR(IF(compras_mes103[[#This Row],[CUIT]]="","-",VLOOKUP(compras_mes103[[#This Row],[CUIT]],Lista_CUIT[#All],2,0)),"CUIT NO CARGADO")</f>
        <v>POTA AMOBLAMIENTOS S.R.L.</v>
      </c>
      <c r="H41" s="592">
        <v>5240000</v>
      </c>
      <c r="I41" s="535">
        <f>IF(compras_mes103[[#This Row],[NETO GRAVADO]]="","",compras_mes103[[#This Row],[NETO GRAVADO]]*0.21)</f>
        <v>1100400</v>
      </c>
      <c r="J41" s="535"/>
      <c r="K41" s="535"/>
      <c r="L41" s="535"/>
      <c r="M41" s="535"/>
      <c r="N41" s="535"/>
      <c r="O41" s="535"/>
      <c r="P41" s="536">
        <f>SUM(compras_mes103[[#This Row],[NETO GRAVADO]:[Otros / No Grav.]])</f>
        <v>6340400</v>
      </c>
      <c r="Q41" s="623" t="str">
        <f>IFERROR(IF(compras_mes103[[#This Row],[CUIT]]="","-",VLOOKUP(compras_mes103[[#This Row],[CUIT]],Lista_CUIT[#All],3,0)),"CUIT NO CARGADO")</f>
        <v>Mantenimiento</v>
      </c>
      <c r="R41" s="537">
        <f>IFERROR(IF(compras_mes103[[#This Row],[CUIT]]="","-",VLOOKUP(compras_mes103[[#This Row],[CUIT]],Lista_CUIT[#All],4,0)),"CUIT NO CARGADO")</f>
        <v>0</v>
      </c>
    </row>
    <row r="42" spans="2:18">
      <c r="B42" s="291">
        <v>45591</v>
      </c>
      <c r="C42" s="305">
        <v>1</v>
      </c>
      <c r="D42" s="292">
        <v>2189</v>
      </c>
      <c r="E42" s="293">
        <v>78820</v>
      </c>
      <c r="F42" s="294">
        <v>30548083156</v>
      </c>
      <c r="G42" s="295" t="str">
        <f>IFERROR(IF(compras_mes103[[#This Row],[CUIT]]="","-",VLOOKUP(compras_mes103[[#This Row],[CUIT]],Lista_CUIT[#All],2,0)),"CUIT NO CARGADO")</f>
        <v>COTO CICSA</v>
      </c>
      <c r="H42" s="592">
        <v>5875.26</v>
      </c>
      <c r="I42" s="297">
        <f>IF(compras_mes103[[#This Row],[NETO GRAVADO]]="","",compras_mes103[[#This Row],[NETO GRAVADO]]*0.21)</f>
        <v>1233.8045999999999</v>
      </c>
      <c r="J42" s="297"/>
      <c r="K42" s="297"/>
      <c r="L42" s="297"/>
      <c r="M42" s="297"/>
      <c r="N42" s="297"/>
      <c r="O42" s="297">
        <v>470.02</v>
      </c>
      <c r="P42" s="298">
        <f>SUM(compras_mes103[[#This Row],[NETO GRAVADO]:[Otros / No Grav.]])</f>
        <v>7579.0846000000001</v>
      </c>
      <c r="Q42" s="618" t="str">
        <f>IFERROR(IF(compras_mes103[[#This Row],[CUIT]]="","-",VLOOKUP(compras_mes103[[#This Row],[CUIT]],Lista_CUIT[#All],3,0)),"CUIT NO CARGADO")</f>
        <v>Gastos Varios</v>
      </c>
      <c r="R42" s="299">
        <f>IFERROR(IF(compras_mes103[[#This Row],[CUIT]]="","-",VLOOKUP(compras_mes103[[#This Row],[CUIT]],Lista_CUIT[#All],4,0)),"CUIT NO CARGADO")</f>
        <v>0</v>
      </c>
    </row>
    <row r="43" spans="2:18">
      <c r="B43" s="291">
        <v>45593</v>
      </c>
      <c r="C43" s="305">
        <v>1</v>
      </c>
      <c r="D43" s="292">
        <v>591</v>
      </c>
      <c r="E43" s="293">
        <v>3828</v>
      </c>
      <c r="F43" s="294">
        <v>30590360763</v>
      </c>
      <c r="G43" s="295" t="str">
        <f>IFERROR(IF(compras_mes103[[#This Row],[CUIT]]="","-",VLOOKUP(compras_mes103[[#This Row],[CUIT]],Lista_CUIT[#All],2,0)),"CUIT NO CARGADO")</f>
        <v>CENCOSUD S.A.</v>
      </c>
      <c r="H43" s="592">
        <v>51727.69</v>
      </c>
      <c r="I43" s="297">
        <f>IF(compras_mes103[[#This Row],[NETO GRAVADO]]="","",compras_mes103[[#This Row],[NETO GRAVADO]]*0.21)</f>
        <v>10862.814899999999</v>
      </c>
      <c r="J43" s="297"/>
      <c r="K43" s="297"/>
      <c r="L43" s="297"/>
      <c r="M43" s="297"/>
      <c r="N43" s="297"/>
      <c r="O43" s="297"/>
      <c r="P43" s="298">
        <f>SUM(compras_mes103[[#This Row],[NETO GRAVADO]:[Otros / No Grav.]])</f>
        <v>62590.5049</v>
      </c>
      <c r="Q43" s="618" t="str">
        <f>IFERROR(IF(compras_mes103[[#This Row],[CUIT]]="","-",VLOOKUP(compras_mes103[[#This Row],[CUIT]],Lista_CUIT[#All],3,0)),"CUIT NO CARGADO")</f>
        <v>Gastos Varios</v>
      </c>
      <c r="R43" s="299">
        <f>IFERROR(IF(compras_mes103[[#This Row],[CUIT]]="","-",VLOOKUP(compras_mes103[[#This Row],[CUIT]],Lista_CUIT[#All],4,0)),"CUIT NO CARGADO")</f>
        <v>0</v>
      </c>
    </row>
    <row r="44" spans="2:18">
      <c r="B44" s="291">
        <v>45595</v>
      </c>
      <c r="C44" s="305">
        <v>1</v>
      </c>
      <c r="D44" s="292">
        <v>5</v>
      </c>
      <c r="E44" s="293">
        <v>33</v>
      </c>
      <c r="F44" s="294">
        <v>20929183143</v>
      </c>
      <c r="G44" s="295" t="str">
        <f>IFERROR(IF(compras_mes103[[#This Row],[CUIT]]="","-",VLOOKUP(compras_mes103[[#This Row],[CUIT]],Lista_CUIT[#All],2,0)),"CUIT NO CARGADO")</f>
        <v>MA JUN</v>
      </c>
      <c r="H44" s="592">
        <v>50000</v>
      </c>
      <c r="I44" s="297">
        <f>IF(compras_mes103[[#This Row],[NETO GRAVADO]]="","",compras_mes103[[#This Row],[NETO GRAVADO]]*0.21)</f>
        <v>10500</v>
      </c>
      <c r="J44" s="297"/>
      <c r="K44" s="297"/>
      <c r="L44" s="297"/>
      <c r="M44" s="297"/>
      <c r="N44" s="297"/>
      <c r="O44" s="297"/>
      <c r="P44" s="298">
        <f>SUM(compras_mes103[[#This Row],[NETO GRAVADO]:[Otros / No Grav.]])</f>
        <v>60500</v>
      </c>
      <c r="Q44" s="618" t="str">
        <f>IFERROR(IF(compras_mes103[[#This Row],[CUIT]]="","-",VLOOKUP(compras_mes103[[#This Row],[CUIT]],Lista_CUIT[#All],3,0)),"CUIT NO CARGADO")</f>
        <v>Gastos Varios</v>
      </c>
      <c r="R44" s="299">
        <f>IFERROR(IF(compras_mes103[[#This Row],[CUIT]]="","-",VLOOKUP(compras_mes103[[#This Row],[CUIT]],Lista_CUIT[#All],4,0)),"CUIT NO CARGADO")</f>
        <v>0</v>
      </c>
    </row>
    <row r="45" spans="2:18">
      <c r="B45" s="538">
        <v>45596</v>
      </c>
      <c r="C45" s="539">
        <v>1</v>
      </c>
      <c r="D45" s="540">
        <v>113</v>
      </c>
      <c r="E45" s="541">
        <v>3883633</v>
      </c>
      <c r="F45" s="542">
        <v>30577207190</v>
      </c>
      <c r="G45" s="543" t="str">
        <f>IFERROR(IF(compras_mes103[[#This Row],[CUIT]]="","-",VLOOKUP(compras_mes103[[#This Row],[CUIT]],Lista_CUIT[#All],2,0)),"CUIT NO CARGADO")</f>
        <v>COORDINACION ECOLOGICA AREA METROPOLITANA SOCIEDAD DEL ESTADO</v>
      </c>
      <c r="H45" s="592">
        <v>2975.21</v>
      </c>
      <c r="I45" s="545">
        <f>IF(compras_mes103[[#This Row],[NETO GRAVADO]]="","",compras_mes103[[#This Row],[NETO GRAVADO]]*0.21)</f>
        <v>624.79409999999996</v>
      </c>
      <c r="J45" s="545"/>
      <c r="K45" s="545"/>
      <c r="L45" s="545"/>
      <c r="M45" s="545"/>
      <c r="N45" s="545"/>
      <c r="O45" s="545"/>
      <c r="P45" s="546">
        <f>SUM(compras_mes103[[#This Row],[NETO GRAVADO]:[Otros / No Grav.]])</f>
        <v>3600.0041000000001</v>
      </c>
      <c r="Q45" s="621" t="str">
        <f>IFERROR(IF(compras_mes103[[#This Row],[CUIT]]="","-",VLOOKUP(compras_mes103[[#This Row],[CUIT]],Lista_CUIT[#All],3,0)),"CUIT NO CARGADO")</f>
        <v>gastos varios</v>
      </c>
      <c r="R45" s="547">
        <f>IFERROR(IF(compras_mes103[[#This Row],[CUIT]]="","-",VLOOKUP(compras_mes103[[#This Row],[CUIT]],Lista_CUIT[#All],4,0)),"CUIT NO CARGADO")</f>
        <v>0</v>
      </c>
    </row>
    <row r="46" spans="2:18">
      <c r="B46" s="291">
        <v>45596</v>
      </c>
      <c r="C46" s="305">
        <v>1</v>
      </c>
      <c r="D46" s="292">
        <v>6</v>
      </c>
      <c r="E46" s="293">
        <v>17717989</v>
      </c>
      <c r="F46" s="294">
        <v>30620177497</v>
      </c>
      <c r="G46" s="295" t="str">
        <f>IFERROR(IF(compras_mes103[[#This Row],[CUIT]]="","-",VLOOKUP(compras_mes103[[#This Row],[CUIT]],Lista_CUIT[#All],2,0)),"CUIT NO CARGADO")</f>
        <v>POSNET SOCIEDAD DE RESPONSABILIDAD LIMITADA</v>
      </c>
      <c r="H46" s="592">
        <v>0</v>
      </c>
      <c r="I46" s="297">
        <f>IF(compras_mes103[[#This Row],[NETO GRAVADO]]="","",compras_mes103[[#This Row],[NETO GRAVADO]]*0.21)</f>
        <v>0</v>
      </c>
      <c r="J46" s="297"/>
      <c r="K46" s="297"/>
      <c r="L46" s="297"/>
      <c r="M46" s="297"/>
      <c r="N46" s="297"/>
      <c r="O46" s="297"/>
      <c r="P46" s="298">
        <f>SUM(compras_mes103[[#This Row],[NETO GRAVADO]:[Otros / No Grav.]])</f>
        <v>0</v>
      </c>
      <c r="Q46" s="618" t="str">
        <f>IFERROR(IF(compras_mes103[[#This Row],[CUIT]]="","-",VLOOKUP(compras_mes103[[#This Row],[CUIT]],Lista_CUIT[#All],3,0)),"CUIT NO CARGADO")</f>
        <v>Gastos Varios</v>
      </c>
      <c r="R46" s="299">
        <f>IFERROR(IF(compras_mes103[[#This Row],[CUIT]]="","-",VLOOKUP(compras_mes103[[#This Row],[CUIT]],Lista_CUIT[#All],4,0)),"CUIT NO CARGADO")</f>
        <v>0</v>
      </c>
    </row>
    <row r="47" spans="2:18">
      <c r="B47" s="291">
        <v>45596</v>
      </c>
      <c r="C47" s="305">
        <v>1</v>
      </c>
      <c r="D47" s="292">
        <v>6</v>
      </c>
      <c r="E47" s="293">
        <v>17862335</v>
      </c>
      <c r="F47" s="294">
        <v>30620177497</v>
      </c>
      <c r="G47" s="295" t="str">
        <f>IFERROR(IF(compras_mes103[[#This Row],[CUIT]]="","-",VLOOKUP(compras_mes103[[#This Row],[CUIT]],Lista_CUIT[#All],2,0)),"CUIT NO CARGADO")</f>
        <v>POSNET SOCIEDAD DE RESPONSABILIDAD LIMITADA</v>
      </c>
      <c r="H47" s="592">
        <v>27263.03</v>
      </c>
      <c r="I47" s="297">
        <f>IF(compras_mes103[[#This Row],[NETO GRAVADO]]="","",compras_mes103[[#This Row],[NETO GRAVADO]]*0.21)</f>
        <v>5725.2362999999996</v>
      </c>
      <c r="J47" s="297"/>
      <c r="K47" s="297"/>
      <c r="L47" s="297"/>
      <c r="M47" s="297"/>
      <c r="N47" s="297"/>
      <c r="O47" s="297"/>
      <c r="P47" s="298">
        <f>SUM(compras_mes103[[#This Row],[NETO GRAVADO]:[Otros / No Grav.]])</f>
        <v>32988.266299999996</v>
      </c>
      <c r="Q47" s="618" t="str">
        <f>IFERROR(IF(compras_mes103[[#This Row],[CUIT]]="","-",VLOOKUP(compras_mes103[[#This Row],[CUIT]],Lista_CUIT[#All],3,0)),"CUIT NO CARGADO")</f>
        <v>Gastos Varios</v>
      </c>
      <c r="R47" s="299">
        <f>IFERROR(IF(compras_mes103[[#This Row],[CUIT]]="","-",VLOOKUP(compras_mes103[[#This Row],[CUIT]],Lista_CUIT[#All],4,0)),"CUIT NO CARGADO")</f>
        <v>0</v>
      </c>
    </row>
    <row r="48" spans="2:18">
      <c r="B48" s="518">
        <v>45574</v>
      </c>
      <c r="C48" s="519">
        <v>1</v>
      </c>
      <c r="D48" s="520">
        <v>6</v>
      </c>
      <c r="E48" s="521">
        <v>1658</v>
      </c>
      <c r="F48" s="522">
        <v>30716815710</v>
      </c>
      <c r="G48" s="523" t="str">
        <f>IFERROR(IF(compras_mes103[[#This Row],[CUIT]]="","-",VLOOKUP(compras_mes103[[#This Row],[CUIT]],Lista_CUIT[#All],2,0)),"CUIT NO CARGADO")</f>
        <v>PAPELERA GEOPEL SRL</v>
      </c>
      <c r="H48" s="524">
        <v>15700</v>
      </c>
      <c r="I48" s="525">
        <f>IF(compras_mes103[[#This Row],[NETO GRAVADO]]="","",compras_mes103[[#This Row],[NETO GRAVADO]]*0.21)</f>
        <v>3297</v>
      </c>
      <c r="J48" s="525"/>
      <c r="K48" s="525"/>
      <c r="L48" s="525"/>
      <c r="M48" s="525"/>
      <c r="N48" s="525"/>
      <c r="O48" s="525"/>
      <c r="P48" s="526">
        <f>SUM(compras_mes103[[#This Row],[NETO GRAVADO]:[Otros / No Grav.]])</f>
        <v>18997</v>
      </c>
      <c r="Q48" s="619" t="str">
        <f>IFERROR(IF(compras_mes103[[#This Row],[CUIT]]="","-",VLOOKUP(compras_mes103[[#This Row],[CUIT]],Lista_CUIT[#All],3,0)),"CUIT NO CARGADO")</f>
        <v>LIBRERÍA</v>
      </c>
      <c r="R48" s="527">
        <f>IFERROR(IF(compras_mes103[[#This Row],[CUIT]]="","-",VLOOKUP(compras_mes103[[#This Row],[CUIT]],Lista_CUIT[#All],4,0)),"CUIT NO CARGADO")</f>
        <v>0</v>
      </c>
    </row>
    <row r="49" spans="2:18">
      <c r="B49" s="291">
        <v>45589</v>
      </c>
      <c r="C49" s="305">
        <v>1</v>
      </c>
      <c r="D49" s="292">
        <v>3</v>
      </c>
      <c r="E49" s="293">
        <v>4307</v>
      </c>
      <c r="F49" s="294">
        <v>20184052858</v>
      </c>
      <c r="G49" s="295" t="str">
        <f>IFERROR(IF(compras_mes103[[#This Row],[CUIT]]="","-",VLOOKUP(compras_mes103[[#This Row],[CUIT]],Lista_CUIT[#All],2,0)),"CUIT NO CARGADO")</f>
        <v>ABOUD PABLO DANIEL</v>
      </c>
      <c r="H49" s="592">
        <v>16859.52</v>
      </c>
      <c r="I49" s="297">
        <f>IF(compras_mes103[[#This Row],[NETO GRAVADO]]="","",compras_mes103[[#This Row],[NETO GRAVADO]]*0.21)</f>
        <v>3540.4991999999997</v>
      </c>
      <c r="J49" s="85"/>
      <c r="K49" s="297"/>
      <c r="L49" s="297"/>
      <c r="M49" s="297"/>
      <c r="N49" s="297"/>
      <c r="O49" s="297"/>
      <c r="P49" s="298">
        <f>SUM(compras_mes103[[#This Row],[NETO GRAVADO]:[Otros / No Grav.]])</f>
        <v>20400.019199999999</v>
      </c>
      <c r="Q49" s="618" t="str">
        <f>IFERROR(IF(compras_mes103[[#This Row],[CUIT]]="","-",VLOOKUP(compras_mes103[[#This Row],[CUIT]],Lista_CUIT[#All],3,0)),"CUIT NO CARGADO")</f>
        <v>MANTENIMIENTO</v>
      </c>
      <c r="R49" s="299">
        <f>IFERROR(IF(compras_mes103[[#This Row],[CUIT]]="","-",VLOOKUP(compras_mes103[[#This Row],[CUIT]],Lista_CUIT[#All],4,0)),"CUIT NO CARGADO")</f>
        <v>0</v>
      </c>
    </row>
    <row r="50" spans="2:18">
      <c r="B50" s="291">
        <v>45576</v>
      </c>
      <c r="C50" s="305">
        <v>1</v>
      </c>
      <c r="D50" s="292">
        <v>3</v>
      </c>
      <c r="E50" s="293">
        <v>4181</v>
      </c>
      <c r="F50" s="294">
        <v>30501077824</v>
      </c>
      <c r="G50" s="295" t="str">
        <f>IFERROR(IF(compras_mes103[[#This Row],[CUIT]]="","-",VLOOKUP(compras_mes103[[#This Row],[CUIT]],Lista_CUIT[#All],2,0)),"CUIT NO CARGADO")</f>
        <v>DADAGLIO HNOS S A I C F I A</v>
      </c>
      <c r="H50" s="296">
        <v>104462.81</v>
      </c>
      <c r="I50" s="297">
        <f>IF(compras_mes103[[#This Row],[NETO GRAVADO]]="","",compras_mes103[[#This Row],[NETO GRAVADO]]*0.21)</f>
        <v>21937.1901</v>
      </c>
      <c r="J50" s="297"/>
      <c r="K50" s="297"/>
      <c r="L50" s="297"/>
      <c r="M50" s="297"/>
      <c r="N50" s="297"/>
      <c r="O50" s="297"/>
      <c r="P50" s="298">
        <f>SUM(compras_mes103[[#This Row],[NETO GRAVADO]:[Otros / No Grav.]])</f>
        <v>126400.0001</v>
      </c>
      <c r="Q50" s="618" t="str">
        <f>IFERROR(IF(compras_mes103[[#This Row],[CUIT]]="","-",VLOOKUP(compras_mes103[[#This Row],[CUIT]],Lista_CUIT[#All],3,0)),"CUIT NO CARGADO")</f>
        <v>Mantenimiento</v>
      </c>
      <c r="R50" s="299">
        <f>IFERROR(IF(compras_mes103[[#This Row],[CUIT]]="","-",VLOOKUP(compras_mes103[[#This Row],[CUIT]],Lista_CUIT[#All],4,0)),"CUIT NO CARGADO")</f>
        <v>0</v>
      </c>
    </row>
    <row r="51" spans="2:18">
      <c r="B51" s="548">
        <v>45567</v>
      </c>
      <c r="C51" s="539">
        <v>1</v>
      </c>
      <c r="D51" s="540">
        <v>629</v>
      </c>
      <c r="E51" s="541">
        <v>5489145</v>
      </c>
      <c r="F51" s="542">
        <v>30663498513</v>
      </c>
      <c r="G51" s="543" t="str">
        <f>IFERROR(IF(compras_mes103[[#This Row],[CUIT]]="","-",VLOOKUP(compras_mes103[[#This Row],[CUIT]],Lista_CUIT[#All],2,0)),"CUIT NO CARGADO")</f>
        <v>GRUPO CONCES. DEL OESTE SA</v>
      </c>
      <c r="H51" s="544">
        <v>3744.33</v>
      </c>
      <c r="I51" s="545">
        <f>IF(compras_mes103[[#This Row],[NETO GRAVADO]]="","",compras_mes103[[#This Row],[NETO GRAVADO]]*0.21)</f>
        <v>786.30930000000001</v>
      </c>
      <c r="J51" s="545"/>
      <c r="K51" s="545"/>
      <c r="L51" s="545"/>
      <c r="M51" s="545"/>
      <c r="N51" s="545"/>
      <c r="O51" s="545"/>
      <c r="P51" s="546">
        <f>SUM(compras_mes103[[#This Row],[NETO GRAVADO]:[Otros / No Grav.]])</f>
        <v>4530.6392999999998</v>
      </c>
      <c r="Q51" s="621" t="str">
        <f>IFERROR(IF(compras_mes103[[#This Row],[CUIT]]="","-",VLOOKUP(compras_mes103[[#This Row],[CUIT]],Lista_CUIT[#All],3,0)),"CUIT NO CARGADO")</f>
        <v>PEAJE</v>
      </c>
      <c r="R51" s="547">
        <f>IFERROR(IF(compras_mes103[[#This Row],[CUIT]]="","-",VLOOKUP(compras_mes103[[#This Row],[CUIT]],Lista_CUIT[#All],4,0)),"CUIT NO CARGADO")</f>
        <v>0</v>
      </c>
    </row>
    <row r="52" spans="2:18">
      <c r="B52" s="291">
        <v>45573</v>
      </c>
      <c r="C52" s="305">
        <v>1</v>
      </c>
      <c r="D52" s="292">
        <v>5015</v>
      </c>
      <c r="E52" s="293">
        <v>653151</v>
      </c>
      <c r="F52" s="294">
        <v>30574876474</v>
      </c>
      <c r="G52" s="295" t="str">
        <f>IFERROR(IF(compras_mes103[[#This Row],[CUIT]]="","-",VLOOKUP(compras_mes103[[#This Row],[CUIT]],Lista_CUIT[#All],2,0)),"CUIT NO CARGADO")</f>
        <v>AUTOP. URBANAS SA</v>
      </c>
      <c r="H52" s="296">
        <v>17804.25</v>
      </c>
      <c r="I52" s="297">
        <f>IF(compras_mes103[[#This Row],[NETO GRAVADO]]="","",compras_mes103[[#This Row],[NETO GRAVADO]]*0.21)</f>
        <v>3738.8924999999999</v>
      </c>
      <c r="J52" s="297"/>
      <c r="K52" s="297"/>
      <c r="L52" s="297"/>
      <c r="M52" s="297"/>
      <c r="N52" s="297"/>
      <c r="O52" s="297"/>
      <c r="P52" s="298">
        <f>SUM(compras_mes103[[#This Row],[NETO GRAVADO]:[Otros / No Grav.]])</f>
        <v>21543.142500000002</v>
      </c>
      <c r="Q52" s="618" t="str">
        <f>IFERROR(IF(compras_mes103[[#This Row],[CUIT]]="","-",VLOOKUP(compras_mes103[[#This Row],[CUIT]],Lista_CUIT[#All],3,0)),"CUIT NO CARGADO")</f>
        <v>PEAJE</v>
      </c>
      <c r="R52" s="299">
        <f>IFERROR(IF(compras_mes103[[#This Row],[CUIT]]="","-",VLOOKUP(compras_mes103[[#This Row],[CUIT]],Lista_CUIT[#All],4,0)),"CUIT NO CARGADO")</f>
        <v>0</v>
      </c>
    </row>
    <row r="53" spans="2:18">
      <c r="B53" s="291">
        <v>45580</v>
      </c>
      <c r="C53" s="305">
        <v>1</v>
      </c>
      <c r="D53" s="292">
        <v>5015</v>
      </c>
      <c r="E53" s="293">
        <v>654620</v>
      </c>
      <c r="F53" s="294">
        <v>30574876474</v>
      </c>
      <c r="G53" s="295" t="str">
        <f>IFERROR(IF(compras_mes103[[#This Row],[CUIT]]="","-",VLOOKUP(compras_mes103[[#This Row],[CUIT]],Lista_CUIT[#All],2,0)),"CUIT NO CARGADO")</f>
        <v>AUTOP. URBANAS SA</v>
      </c>
      <c r="H53" s="296">
        <v>13226.34</v>
      </c>
      <c r="I53" s="297">
        <f>IF(compras_mes103[[#This Row],[NETO GRAVADO]]="","",compras_mes103[[#This Row],[NETO GRAVADO]]*0.21)</f>
        <v>2777.5313999999998</v>
      </c>
      <c r="J53" s="297"/>
      <c r="K53" s="297"/>
      <c r="L53" s="297"/>
      <c r="M53" s="297"/>
      <c r="N53" s="297"/>
      <c r="O53" s="297"/>
      <c r="P53" s="298">
        <f>SUM(compras_mes103[[#This Row],[NETO GRAVADO]:[Otros / No Grav.]])</f>
        <v>16003.8714</v>
      </c>
      <c r="Q53" s="618" t="str">
        <f>IFERROR(IF(compras_mes103[[#This Row],[CUIT]]="","-",VLOOKUP(compras_mes103[[#This Row],[CUIT]],Lista_CUIT[#All],3,0)),"CUIT NO CARGADO")</f>
        <v>PEAJE</v>
      </c>
      <c r="R53" s="299">
        <f>IFERROR(IF(compras_mes103[[#This Row],[CUIT]]="","-",VLOOKUP(compras_mes103[[#This Row],[CUIT]],Lista_CUIT[#All],4,0)),"CUIT NO CARGADO")</f>
        <v>0</v>
      </c>
    </row>
    <row r="54" spans="2:18">
      <c r="B54" s="548">
        <v>45583</v>
      </c>
      <c r="C54" s="539">
        <v>1</v>
      </c>
      <c r="D54" s="540">
        <v>629</v>
      </c>
      <c r="E54" s="541">
        <v>5529485</v>
      </c>
      <c r="F54" s="542">
        <v>30663498513</v>
      </c>
      <c r="G54" s="543" t="str">
        <f>IFERROR(IF(compras_mes103[[#This Row],[CUIT]]="","-",VLOOKUP(compras_mes103[[#This Row],[CUIT]],Lista_CUIT[#All],2,0)),"CUIT NO CARGADO")</f>
        <v>GRUPO CONCES. DEL OESTE SA</v>
      </c>
      <c r="H54" s="544">
        <v>2080.48</v>
      </c>
      <c r="I54" s="545">
        <f>IF(compras_mes103[[#This Row],[NETO GRAVADO]]="","",compras_mes103[[#This Row],[NETO GRAVADO]]*0.21)</f>
        <v>436.9008</v>
      </c>
      <c r="J54" s="545"/>
      <c r="K54" s="545"/>
      <c r="L54" s="545"/>
      <c r="M54" s="545"/>
      <c r="N54" s="545"/>
      <c r="O54" s="545"/>
      <c r="P54" s="546">
        <f>SUM(compras_mes103[[#This Row],[NETO GRAVADO]:[Otros / No Grav.]])</f>
        <v>2517.3807999999999</v>
      </c>
      <c r="Q54" s="621" t="str">
        <f>IFERROR(IF(compras_mes103[[#This Row],[CUIT]]="","-",VLOOKUP(compras_mes103[[#This Row],[CUIT]],Lista_CUIT[#All],3,0)),"CUIT NO CARGADO")</f>
        <v>PEAJE</v>
      </c>
      <c r="R54" s="547">
        <f>IFERROR(IF(compras_mes103[[#This Row],[CUIT]]="","-",VLOOKUP(compras_mes103[[#This Row],[CUIT]],Lista_CUIT[#All],4,0)),"CUIT NO CARGADO")</f>
        <v>0</v>
      </c>
    </row>
    <row r="55" spans="2:18">
      <c r="B55" s="40">
        <v>45588</v>
      </c>
      <c r="C55" s="305">
        <v>1</v>
      </c>
      <c r="D55" s="292">
        <v>5015</v>
      </c>
      <c r="E55" s="293">
        <v>658066</v>
      </c>
      <c r="F55" s="294">
        <v>30574876474</v>
      </c>
      <c r="G55" s="295" t="str">
        <f>IFERROR(IF(compras_mes103[[#This Row],[CUIT]]="","-",VLOOKUP(compras_mes103[[#This Row],[CUIT]],Lista_CUIT[#All],2,0)),"CUIT NO CARGADO")</f>
        <v>AUTOP. URBANAS SA</v>
      </c>
      <c r="H55" s="296">
        <v>19646.61</v>
      </c>
      <c r="I55" s="297">
        <f>IF(compras_mes103[[#This Row],[NETO GRAVADO]]="","",compras_mes103[[#This Row],[NETO GRAVADO]]*0.21)</f>
        <v>4125.7880999999998</v>
      </c>
      <c r="J55" s="297"/>
      <c r="K55" s="297"/>
      <c r="L55" s="297"/>
      <c r="M55" s="297"/>
      <c r="N55" s="297"/>
      <c r="O55" s="297"/>
      <c r="P55" s="298">
        <f>SUM(compras_mes103[[#This Row],[NETO GRAVADO]:[Otros / No Grav.]])</f>
        <v>23772.398099999999</v>
      </c>
      <c r="Q55" s="618" t="str">
        <f>IFERROR(IF(compras_mes103[[#This Row],[CUIT]]="","-",VLOOKUP(compras_mes103[[#This Row],[CUIT]],Lista_CUIT[#All],3,0)),"CUIT NO CARGADO")</f>
        <v>PEAJE</v>
      </c>
      <c r="R55" s="299">
        <f>IFERROR(IF(compras_mes103[[#This Row],[CUIT]]="","-",VLOOKUP(compras_mes103[[#This Row],[CUIT]],Lista_CUIT[#All],4,0)),"CUIT NO CARGADO")</f>
        <v>0</v>
      </c>
    </row>
    <row r="56" spans="2:18">
      <c r="B56" s="291">
        <v>45596</v>
      </c>
      <c r="C56" s="305">
        <v>1</v>
      </c>
      <c r="D56" s="292">
        <v>5015</v>
      </c>
      <c r="E56" s="293">
        <v>660519</v>
      </c>
      <c r="F56" s="294">
        <v>30574876474</v>
      </c>
      <c r="G56" s="295" t="str">
        <f>IFERROR(IF(compras_mes103[[#This Row],[CUIT]]="","-",VLOOKUP(compras_mes103[[#This Row],[CUIT]],Lista_CUIT[#All],2,0)),"CUIT NO CARGADO")</f>
        <v>AUTOP. URBANAS SA</v>
      </c>
      <c r="H56" s="296">
        <v>18764.68</v>
      </c>
      <c r="I56" s="297">
        <f>IF(compras_mes103[[#This Row],[NETO GRAVADO]]="","",compras_mes103[[#This Row],[NETO GRAVADO]]*0.21)</f>
        <v>3940.5828000000001</v>
      </c>
      <c r="J56" s="297"/>
      <c r="K56" s="297"/>
      <c r="L56" s="297"/>
      <c r="M56" s="297"/>
      <c r="N56" s="297"/>
      <c r="O56" s="297"/>
      <c r="P56" s="298">
        <f>SUM(compras_mes103[[#This Row],[NETO GRAVADO]:[Otros / No Grav.]])</f>
        <v>22705.2628</v>
      </c>
      <c r="Q56" s="618" t="str">
        <f>IFERROR(IF(compras_mes103[[#This Row],[CUIT]]="","-",VLOOKUP(compras_mes103[[#This Row],[CUIT]],Lista_CUIT[#All],3,0)),"CUIT NO CARGADO")</f>
        <v>PEAJE</v>
      </c>
      <c r="R56" s="299">
        <f>IFERROR(IF(compras_mes103[[#This Row],[CUIT]]="","-",VLOOKUP(compras_mes103[[#This Row],[CUIT]],Lista_CUIT[#All],4,0)),"CUIT NO CARGADO")</f>
        <v>0</v>
      </c>
    </row>
    <row r="57" spans="2:18">
      <c r="B57" s="40">
        <v>45596</v>
      </c>
      <c r="C57" s="305">
        <v>1</v>
      </c>
      <c r="D57" s="292">
        <v>5009</v>
      </c>
      <c r="E57" s="293">
        <v>1056394</v>
      </c>
      <c r="F57" s="294">
        <v>30574876474</v>
      </c>
      <c r="G57" s="295" t="str">
        <f>IFERROR(IF(compras_mes103[[#This Row],[CUIT]]="","-",VLOOKUP(compras_mes103[[#This Row],[CUIT]],Lista_CUIT[#All],2,0)),"CUIT NO CARGADO")</f>
        <v>AUTOP. URBANAS SA</v>
      </c>
      <c r="H57" s="296">
        <v>5655.83</v>
      </c>
      <c r="I57" s="297">
        <f>IF(compras_mes103[[#This Row],[NETO GRAVADO]]="","",compras_mes103[[#This Row],[NETO GRAVADO]]*0.21)</f>
        <v>1187.7242999999999</v>
      </c>
      <c r="J57" s="297"/>
      <c r="K57" s="297"/>
      <c r="L57" s="297"/>
      <c r="M57" s="297"/>
      <c r="N57" s="297"/>
      <c r="O57" s="297"/>
      <c r="P57" s="298">
        <f>SUM(compras_mes103[[#This Row],[NETO GRAVADO]:[Otros / No Grav.]])</f>
        <v>6843.5542999999998</v>
      </c>
      <c r="Q57" s="618" t="str">
        <f>IFERROR(IF(compras_mes103[[#This Row],[CUIT]]="","-",VLOOKUP(compras_mes103[[#This Row],[CUIT]],Lista_CUIT[#All],3,0)),"CUIT NO CARGADO")</f>
        <v>PEAJE</v>
      </c>
      <c r="R57" s="299">
        <f>IFERROR(IF(compras_mes103[[#This Row],[CUIT]]="","-",VLOOKUP(compras_mes103[[#This Row],[CUIT]],Lista_CUIT[#All],4,0)),"CUIT NO CARGADO")</f>
        <v>0</v>
      </c>
    </row>
    <row r="58" spans="2:18">
      <c r="B58" s="538">
        <v>45567</v>
      </c>
      <c r="C58" s="539">
        <v>1</v>
      </c>
      <c r="D58" s="540">
        <v>711</v>
      </c>
      <c r="E58" s="541">
        <v>6215204</v>
      </c>
      <c r="F58" s="542">
        <v>30677237119</v>
      </c>
      <c r="G58" s="543" t="str">
        <f>IFERROR(IF(compras_mes103[[#This Row],[CUIT]]="","-",VLOOKUP(compras_mes103[[#This Row],[CUIT]],Lista_CUIT[#All],2,0)),"CUIT NO CARGADO")</f>
        <v>AUTOPISTAS DEL SOL SA</v>
      </c>
      <c r="H58" s="544">
        <v>8703.0400000000009</v>
      </c>
      <c r="I58" s="545">
        <f>IF(compras_mes103[[#This Row],[NETO GRAVADO]]="","",compras_mes103[[#This Row],[NETO GRAVADO]]*0.21)</f>
        <v>1827.6384</v>
      </c>
      <c r="J58" s="545"/>
      <c r="K58" s="545"/>
      <c r="L58" s="545"/>
      <c r="M58" s="545"/>
      <c r="N58" s="545"/>
      <c r="O58" s="545">
        <v>261.08999999999997</v>
      </c>
      <c r="P58" s="546">
        <f>SUM(compras_mes103[[#This Row],[NETO GRAVADO]:[Otros / No Grav.]])</f>
        <v>10791.768400000001</v>
      </c>
      <c r="Q58" s="621" t="str">
        <f>IFERROR(IF(compras_mes103[[#This Row],[CUIT]]="","-",VLOOKUP(compras_mes103[[#This Row],[CUIT]],Lista_CUIT[#All],3,0)),"CUIT NO CARGADO")</f>
        <v>PEAJE</v>
      </c>
      <c r="R58" s="547">
        <f>IFERROR(IF(compras_mes103[[#This Row],[CUIT]]="","-",VLOOKUP(compras_mes103[[#This Row],[CUIT]],Lista_CUIT[#All],4,0)),"CUIT NO CARGADO")</f>
        <v>0</v>
      </c>
    </row>
    <row r="59" spans="2:18">
      <c r="B59" s="291">
        <v>45573</v>
      </c>
      <c r="C59" s="305">
        <v>1</v>
      </c>
      <c r="D59" s="292">
        <v>700</v>
      </c>
      <c r="E59" s="293">
        <v>1972986</v>
      </c>
      <c r="F59" s="294">
        <v>30715804812</v>
      </c>
      <c r="G59" s="295" t="str">
        <f>IFERROR(IF(compras_mes103[[#This Row],[CUIT]]="","-",VLOOKUP(compras_mes103[[#This Row],[CUIT]],Lista_CUIT[#All],2,0)),"CUIT NO CARGADO")</f>
        <v>CORREDORES VIALES SOCIEDAD ANONIMA</v>
      </c>
      <c r="H59" s="296">
        <v>13297.33</v>
      </c>
      <c r="I59" s="297">
        <f>IF(compras_mes103[[#This Row],[NETO GRAVADO]]="","",compras_mes103[[#This Row],[NETO GRAVADO]]*0.21)</f>
        <v>2792.4393</v>
      </c>
      <c r="J59" s="297"/>
      <c r="K59" s="297"/>
      <c r="L59" s="297"/>
      <c r="M59" s="297"/>
      <c r="N59" s="297"/>
      <c r="O59" s="297"/>
      <c r="P59" s="298">
        <f>SUM(compras_mes103[[#This Row],[NETO GRAVADO]:[Otros / No Grav.]])</f>
        <v>16089.7693</v>
      </c>
      <c r="Q59" s="618" t="str">
        <f>IFERROR(IF(compras_mes103[[#This Row],[CUIT]]="","-",VLOOKUP(compras_mes103[[#This Row],[CUIT]],Lista_CUIT[#All],3,0)),"CUIT NO CARGADO")</f>
        <v>PEAJE</v>
      </c>
      <c r="R59" s="299">
        <f>IFERROR(IF(compras_mes103[[#This Row],[CUIT]]="","-",VLOOKUP(compras_mes103[[#This Row],[CUIT]],Lista_CUIT[#All],4,0)),"CUIT NO CARGADO")</f>
        <v>0</v>
      </c>
    </row>
    <row r="60" spans="2:18">
      <c r="B60" s="548">
        <v>45580</v>
      </c>
      <c r="C60" s="539">
        <v>1</v>
      </c>
      <c r="D60" s="540">
        <v>104</v>
      </c>
      <c r="E60" s="541">
        <v>6923432</v>
      </c>
      <c r="F60" s="542">
        <v>30715804812</v>
      </c>
      <c r="G60" s="543" t="str">
        <f>IFERROR(IF(compras_mes103[[#This Row],[CUIT]]="","-",VLOOKUP(compras_mes103[[#This Row],[CUIT]],Lista_CUIT[#All],2,0)),"CUIT NO CARGADO")</f>
        <v>CORREDORES VIALES SOCIEDAD ANONIMA</v>
      </c>
      <c r="H60" s="544">
        <v>910.78</v>
      </c>
      <c r="I60" s="545">
        <f>IF(compras_mes103[[#This Row],[NETO GRAVADO]]="","",compras_mes103[[#This Row],[NETO GRAVADO]]*0.21)</f>
        <v>191.26379999999997</v>
      </c>
      <c r="J60" s="545"/>
      <c r="K60" s="545"/>
      <c r="L60" s="545"/>
      <c r="M60" s="545"/>
      <c r="N60" s="545"/>
      <c r="O60" s="545"/>
      <c r="P60" s="546">
        <f>SUM(compras_mes103[[#This Row],[NETO GRAVADO]:[Otros / No Grav.]])</f>
        <v>1102.0437999999999</v>
      </c>
      <c r="Q60" s="621" t="str">
        <f>IFERROR(IF(compras_mes103[[#This Row],[CUIT]]="","-",VLOOKUP(compras_mes103[[#This Row],[CUIT]],Lista_CUIT[#All],3,0)),"CUIT NO CARGADO")</f>
        <v>PEAJE</v>
      </c>
      <c r="R60" s="547">
        <f>IFERROR(IF(compras_mes103[[#This Row],[CUIT]]="","-",VLOOKUP(compras_mes103[[#This Row],[CUIT]],Lista_CUIT[#All],4,0)),"CUIT NO CARGADO")</f>
        <v>0</v>
      </c>
    </row>
    <row r="61" spans="2:18">
      <c r="B61" s="291">
        <v>45581</v>
      </c>
      <c r="C61" s="305">
        <v>1</v>
      </c>
      <c r="D61" s="292">
        <v>50</v>
      </c>
      <c r="E61" s="293">
        <v>3831803</v>
      </c>
      <c r="F61" s="294">
        <v>30714112836</v>
      </c>
      <c r="G61" s="295" t="str">
        <f>IFERROR(IF(compras_mes103[[#This Row],[CUIT]]="","-",VLOOKUP(compras_mes103[[#This Row],[CUIT]],Lista_CUIT[#All],2,0)),"CUIT NO CARGADO")</f>
        <v>AUTOPISTAS DE BUENOS AIRES (AUBASA) SA</v>
      </c>
      <c r="H61" s="296">
        <v>2892.56</v>
      </c>
      <c r="I61" s="297">
        <f>IF(compras_mes103[[#This Row],[NETO GRAVADO]]="","",compras_mes103[[#This Row],[NETO GRAVADO]]*0.21)</f>
        <v>607.43759999999997</v>
      </c>
      <c r="J61" s="297"/>
      <c r="K61" s="297"/>
      <c r="L61" s="297"/>
      <c r="M61" s="297"/>
      <c r="N61" s="297"/>
      <c r="O61" s="297"/>
      <c r="P61" s="298">
        <f>SUM(compras_mes103[[#This Row],[NETO GRAVADO]:[Otros / No Grav.]])</f>
        <v>3499.9975999999997</v>
      </c>
      <c r="Q61" s="618" t="str">
        <f>IFERROR(IF(compras_mes103[[#This Row],[CUIT]]="","-",VLOOKUP(compras_mes103[[#This Row],[CUIT]],Lista_CUIT[#All],3,0)),"CUIT NO CARGADO")</f>
        <v>PEAJE</v>
      </c>
      <c r="R61" s="299">
        <f>IFERROR(IF(compras_mes103[[#This Row],[CUIT]]="","-",VLOOKUP(compras_mes103[[#This Row],[CUIT]],Lista_CUIT[#All],4,0)),"CUIT NO CARGADO")</f>
        <v>0</v>
      </c>
    </row>
    <row r="62" spans="2:18">
      <c r="B62" s="538">
        <v>45583</v>
      </c>
      <c r="C62" s="539">
        <v>1</v>
      </c>
      <c r="D62" s="540">
        <v>711</v>
      </c>
      <c r="E62" s="541">
        <v>6273743</v>
      </c>
      <c r="F62" s="542">
        <v>30677237119</v>
      </c>
      <c r="G62" s="543" t="str">
        <f>IFERROR(IF(compras_mes103[[#This Row],[CUIT]]="","-",VLOOKUP(compras_mes103[[#This Row],[CUIT]],Lista_CUIT[#All],2,0)),"CUIT NO CARGADO")</f>
        <v>AUTOPISTAS DEL SOL SA</v>
      </c>
      <c r="H62" s="544">
        <v>5459.6</v>
      </c>
      <c r="I62" s="545">
        <f>IF(compras_mes103[[#This Row],[NETO GRAVADO]]="","",compras_mes103[[#This Row],[NETO GRAVADO]]*0.21)</f>
        <v>1146.5160000000001</v>
      </c>
      <c r="J62" s="545"/>
      <c r="K62" s="545"/>
      <c r="L62" s="545"/>
      <c r="M62" s="545"/>
      <c r="N62" s="545"/>
      <c r="O62" s="545">
        <v>163.79</v>
      </c>
      <c r="P62" s="546">
        <f>SUM(compras_mes103[[#This Row],[NETO GRAVADO]:[Otros / No Grav.]])</f>
        <v>6769.9059999999999</v>
      </c>
      <c r="Q62" s="621" t="str">
        <f>IFERROR(IF(compras_mes103[[#This Row],[CUIT]]="","-",VLOOKUP(compras_mes103[[#This Row],[CUIT]],Lista_CUIT[#All],3,0)),"CUIT NO CARGADO")</f>
        <v>PEAJE</v>
      </c>
      <c r="R62" s="547">
        <f>IFERROR(IF(compras_mes103[[#This Row],[CUIT]]="","-",VLOOKUP(compras_mes103[[#This Row],[CUIT]],Lista_CUIT[#All],4,0)),"CUIT NO CARGADO")</f>
        <v>0</v>
      </c>
    </row>
    <row r="63" spans="2:18">
      <c r="B63" s="40">
        <v>45588</v>
      </c>
      <c r="C63" s="305">
        <v>1</v>
      </c>
      <c r="D63" s="292">
        <v>700</v>
      </c>
      <c r="E63" s="293">
        <v>2005182</v>
      </c>
      <c r="F63" s="294">
        <v>30715804812</v>
      </c>
      <c r="G63" s="295" t="str">
        <f>IFERROR(IF(compras_mes103[[#This Row],[CUIT]]="","-",VLOOKUP(compras_mes103[[#This Row],[CUIT]],Lista_CUIT[#All],2,0)),"CUIT NO CARGADO")</f>
        <v>CORREDORES VIALES SOCIEDAD ANONIMA</v>
      </c>
      <c r="H63" s="296">
        <v>8845.2199999999993</v>
      </c>
      <c r="I63" s="297">
        <f>IF(compras_mes103[[#This Row],[NETO GRAVADO]]="","",compras_mes103[[#This Row],[NETO GRAVADO]]*0.21)</f>
        <v>1857.4961999999998</v>
      </c>
      <c r="J63" s="297"/>
      <c r="K63" s="297"/>
      <c r="L63" s="297"/>
      <c r="M63" s="297"/>
      <c r="N63" s="297"/>
      <c r="O63" s="297"/>
      <c r="P63" s="298">
        <f>SUM(compras_mes103[[#This Row],[NETO GRAVADO]:[Otros / No Grav.]])</f>
        <v>10702.716199999999</v>
      </c>
      <c r="Q63" s="618" t="str">
        <f>IFERROR(IF(compras_mes103[[#This Row],[CUIT]]="","-",VLOOKUP(compras_mes103[[#This Row],[CUIT]],Lista_CUIT[#All],3,0)),"CUIT NO CARGADO")</f>
        <v>PEAJE</v>
      </c>
      <c r="R63" s="299">
        <f>IFERROR(IF(compras_mes103[[#This Row],[CUIT]]="","-",VLOOKUP(compras_mes103[[#This Row],[CUIT]],Lista_CUIT[#All],4,0)),"CUIT NO CARGADO")</f>
        <v>0</v>
      </c>
    </row>
    <row r="64" spans="2:18">
      <c r="B64" s="40">
        <v>45569</v>
      </c>
      <c r="C64" s="305">
        <v>1</v>
      </c>
      <c r="D64" s="292">
        <v>5</v>
      </c>
      <c r="E64" s="293">
        <v>2859</v>
      </c>
      <c r="F64" s="294">
        <v>30707267077</v>
      </c>
      <c r="G64" s="295" t="str">
        <f>IFERROR(IF(compras_mes103[[#This Row],[CUIT]]="","-",VLOOKUP(compras_mes103[[#This Row],[CUIT]],Lista_CUIT[#All],2,0)),"CUIT NO CARGADO")</f>
        <v>BARBARO SOCIEDAD COLECTIVA</v>
      </c>
      <c r="H64" s="592">
        <v>1388000</v>
      </c>
      <c r="I64" s="297">
        <f>IF(compras_mes103[[#This Row],[NETO GRAVADO]]="","",compras_mes103[[#This Row],[NETO GRAVADO]]*0.21)</f>
        <v>291480</v>
      </c>
      <c r="J64" s="297"/>
      <c r="K64" s="297"/>
      <c r="L64" s="297"/>
      <c r="M64" s="297"/>
      <c r="N64" s="297"/>
      <c r="O64" s="297"/>
      <c r="P64" s="298">
        <f>SUM(compras_mes103[[#This Row],[NETO GRAVADO]:[Otros / No Grav.]])</f>
        <v>1679480</v>
      </c>
      <c r="Q64" s="618" t="str">
        <f>IFERROR(IF(compras_mes103[[#This Row],[CUIT]]="","-",VLOOKUP(compras_mes103[[#This Row],[CUIT]],Lista_CUIT[#All],3,0)),"CUIT NO CARGADO")</f>
        <v>PROD ORTOP P/ALQ</v>
      </c>
      <c r="R64" s="299">
        <f>IFERROR(IF(compras_mes103[[#This Row],[CUIT]]="","-",VLOOKUP(compras_mes103[[#This Row],[CUIT]],Lista_CUIT[#All],4,0)),"CUIT NO CARGADO")</f>
        <v>0</v>
      </c>
    </row>
    <row r="65" spans="2:18" s="56" customFormat="1">
      <c r="B65" s="291">
        <v>45566</v>
      </c>
      <c r="C65" s="305">
        <v>1</v>
      </c>
      <c r="D65" s="292">
        <v>5</v>
      </c>
      <c r="E65" s="293">
        <v>159587</v>
      </c>
      <c r="F65" s="294">
        <v>30598960093</v>
      </c>
      <c r="G65" s="295" t="str">
        <f>IFERROR(IF(compras_mes103[[#This Row],[CUIT]]="","-",VLOOKUP(compras_mes103[[#This Row],[CUIT]],Lista_CUIT[#All],2,0)),"CUIT NO CARGADO")</f>
        <v>SILVESTRIN FABRIS SRL</v>
      </c>
      <c r="H65" s="592">
        <v>1464782.4</v>
      </c>
      <c r="I65" s="297">
        <f>IF(compras_mes103[[#This Row],[NETO GRAVADO]]="","",compras_mes103[[#This Row],[NETO GRAVADO]]*0.21)</f>
        <v>307604.30399999995</v>
      </c>
      <c r="J65" s="297"/>
      <c r="K65" s="297"/>
      <c r="L65" s="297"/>
      <c r="M65" s="297"/>
      <c r="N65" s="297"/>
      <c r="O65" s="297"/>
      <c r="P65" s="298">
        <f>SUM(compras_mes103[[#This Row],[NETO GRAVADO]:[Otros / No Grav.]])</f>
        <v>1772386.7039999999</v>
      </c>
      <c r="Q65" s="618" t="str">
        <f>IFERROR(IF(compras_mes103[[#This Row],[CUIT]]="","-",VLOOKUP(compras_mes103[[#This Row],[CUIT]],Lista_CUIT[#All],3,0)),"CUIT NO CARGADO")</f>
        <v>Productos Ortopedicos</v>
      </c>
      <c r="R65" s="299">
        <f>IFERROR(IF(compras_mes103[[#This Row],[CUIT]]="","-",VLOOKUP(compras_mes103[[#This Row],[CUIT]],Lista_CUIT[#All],4,0)),"CUIT NO CARGADO")</f>
        <v>0</v>
      </c>
    </row>
    <row r="66" spans="2:18">
      <c r="B66" s="291">
        <v>45568</v>
      </c>
      <c r="C66" s="305">
        <v>1</v>
      </c>
      <c r="D66" s="292">
        <v>4</v>
      </c>
      <c r="E66" s="293">
        <v>38516</v>
      </c>
      <c r="F66" s="294">
        <v>20289111329</v>
      </c>
      <c r="G66" s="295" t="str">
        <f>IFERROR(IF(compras_mes103[[#This Row],[CUIT]]="","-",VLOOKUP(compras_mes103[[#This Row],[CUIT]],Lista_CUIT[#All],2,0)),"CUIT NO CARGADO")</f>
        <v>R. N. LEDESMA</v>
      </c>
      <c r="H66" s="592">
        <v>1170696.19</v>
      </c>
      <c r="I66" s="297">
        <f>IF(compras_mes103[[#This Row],[NETO GRAVADO]]="","",compras_mes103[[#This Row],[NETO GRAVADO]]*0.21)</f>
        <v>245846.19989999998</v>
      </c>
      <c r="J66" s="297"/>
      <c r="K66" s="297"/>
      <c r="L66" s="297"/>
      <c r="M66" s="297"/>
      <c r="N66" s="297"/>
      <c r="O66" s="297"/>
      <c r="P66" s="298">
        <f>SUM(compras_mes103[[#This Row],[NETO GRAVADO]:[Otros / No Grav.]])</f>
        <v>1416542.3898999998</v>
      </c>
      <c r="Q66" s="618" t="str">
        <f>IFERROR(IF(compras_mes103[[#This Row],[CUIT]]="","-",VLOOKUP(compras_mes103[[#This Row],[CUIT]],Lista_CUIT[#All],3,0)),"CUIT NO CARGADO")</f>
        <v>Productos Ortopedicos</v>
      </c>
      <c r="R66" s="299">
        <f>IFERROR(IF(compras_mes103[[#This Row],[CUIT]]="","-",VLOOKUP(compras_mes103[[#This Row],[CUIT]],Lista_CUIT[#All],4,0)),"CUIT NO CARGADO")</f>
        <v>0</v>
      </c>
    </row>
    <row r="67" spans="2:18">
      <c r="B67" s="291">
        <v>45569</v>
      </c>
      <c r="C67" s="305">
        <v>1</v>
      </c>
      <c r="D67" s="292">
        <v>7</v>
      </c>
      <c r="E67" s="293">
        <v>19168</v>
      </c>
      <c r="F67" s="294">
        <v>30709214078</v>
      </c>
      <c r="G67" s="295" t="str">
        <f>IFERROR(IF(compras_mes103[[#This Row],[CUIT]]="","-",VLOOKUP(compras_mes103[[#This Row],[CUIT]],Lista_CUIT[#All],2,0)),"CUIT NO CARGADO")</f>
        <v>REHAVITA S.A</v>
      </c>
      <c r="H67" s="592">
        <v>59820</v>
      </c>
      <c r="I67" s="297">
        <f>IF(compras_mes103[[#This Row],[NETO GRAVADO]]="","",compras_mes103[[#This Row],[NETO GRAVADO]]*0.21)</f>
        <v>12562.199999999999</v>
      </c>
      <c r="J67" s="297"/>
      <c r="K67" s="297"/>
      <c r="L67" s="297"/>
      <c r="M67" s="297"/>
      <c r="N67" s="297"/>
      <c r="O67" s="297"/>
      <c r="P67" s="298">
        <f>SUM(compras_mes103[[#This Row],[NETO GRAVADO]:[Otros / No Grav.]])</f>
        <v>72382.2</v>
      </c>
      <c r="Q67" s="618" t="str">
        <f>IFERROR(IF(compras_mes103[[#This Row],[CUIT]]="","-",VLOOKUP(compras_mes103[[#This Row],[CUIT]],Lista_CUIT[#All],3,0)),"CUIT NO CARGADO")</f>
        <v>Productos Ortopedicos</v>
      </c>
      <c r="R67" s="299">
        <f>IFERROR(IF(compras_mes103[[#This Row],[CUIT]]="","-",VLOOKUP(compras_mes103[[#This Row],[CUIT]],Lista_CUIT[#All],4,0)),"CUIT NO CARGADO")</f>
        <v>0</v>
      </c>
    </row>
    <row r="68" spans="2:18">
      <c r="B68" s="40">
        <v>45569</v>
      </c>
      <c r="C68" s="305">
        <v>1</v>
      </c>
      <c r="D68" s="292">
        <v>1</v>
      </c>
      <c r="E68" s="293">
        <v>4929</v>
      </c>
      <c r="F68" s="294">
        <v>30715141201</v>
      </c>
      <c r="G68" s="295" t="str">
        <f>IFERROR(IF(compras_mes103[[#This Row],[CUIT]]="","-",VLOOKUP(compras_mes103[[#This Row],[CUIT]],Lista_CUIT[#All],2,0)),"CUIT NO CARGADO")</f>
        <v>REHAB S.R.L.</v>
      </c>
      <c r="H68" s="592">
        <v>99050</v>
      </c>
      <c r="I68" s="297">
        <f>IF(compras_mes103[[#This Row],[NETO GRAVADO]]="","",compras_mes103[[#This Row],[NETO GRAVADO]]*0.21)</f>
        <v>20800.5</v>
      </c>
      <c r="J68" s="297"/>
      <c r="K68" s="297"/>
      <c r="L68" s="297"/>
      <c r="M68" s="297"/>
      <c r="N68" s="297"/>
      <c r="O68" s="297"/>
      <c r="P68" s="298">
        <f>SUM(compras_mes103[[#This Row],[NETO GRAVADO]:[Otros / No Grav.]])</f>
        <v>119850.5</v>
      </c>
      <c r="Q68" s="618" t="str">
        <f>IFERROR(IF(compras_mes103[[#This Row],[CUIT]]="","-",VLOOKUP(compras_mes103[[#This Row],[CUIT]],Lista_CUIT[#All],3,0)),"CUIT NO CARGADO")</f>
        <v>Productos Ortopedicos</v>
      </c>
      <c r="R68" s="299">
        <f>IFERROR(IF(compras_mes103[[#This Row],[CUIT]]="","-",VLOOKUP(compras_mes103[[#This Row],[CUIT]],Lista_CUIT[#All],4,0)),"CUIT NO CARGADO")</f>
        <v>0</v>
      </c>
    </row>
    <row r="69" spans="2:18" ht="14.45" customHeight="1">
      <c r="B69" s="40">
        <v>45569</v>
      </c>
      <c r="C69" s="305">
        <v>1</v>
      </c>
      <c r="D69" s="292">
        <v>1</v>
      </c>
      <c r="E69" s="293">
        <v>4933</v>
      </c>
      <c r="F69" s="294">
        <v>30715141201</v>
      </c>
      <c r="G69" s="295" t="str">
        <f>IFERROR(IF(compras_mes103[[#This Row],[CUIT]]="","-",VLOOKUP(compras_mes103[[#This Row],[CUIT]],Lista_CUIT[#All],2,0)),"CUIT NO CARGADO")</f>
        <v>REHAB S.R.L.</v>
      </c>
      <c r="H69" s="592">
        <v>639938.25</v>
      </c>
      <c r="I69" s="297">
        <f>IF(compras_mes103[[#This Row],[NETO GRAVADO]]="","",compras_mes103[[#This Row],[NETO GRAVADO]]*0.21)</f>
        <v>134387.0325</v>
      </c>
      <c r="J69" s="297"/>
      <c r="K69" s="297"/>
      <c r="L69" s="297"/>
      <c r="M69" s="297"/>
      <c r="N69" s="297"/>
      <c r="O69" s="297"/>
      <c r="P69" s="298">
        <f>SUM(compras_mes103[[#This Row],[NETO GRAVADO]:[Otros / No Grav.]])</f>
        <v>774325.28249999997</v>
      </c>
      <c r="Q69" s="618" t="str">
        <f>IFERROR(IF(compras_mes103[[#This Row],[CUIT]]="","-",VLOOKUP(compras_mes103[[#This Row],[CUIT]],Lista_CUIT[#All],3,0)),"CUIT NO CARGADO")</f>
        <v>Productos Ortopedicos</v>
      </c>
      <c r="R69" s="299">
        <f>IFERROR(IF(compras_mes103[[#This Row],[CUIT]]="","-",VLOOKUP(compras_mes103[[#This Row],[CUIT]],Lista_CUIT[#All],4,0)),"CUIT NO CARGADO")</f>
        <v>0</v>
      </c>
    </row>
    <row r="70" spans="2:18">
      <c r="B70" s="529">
        <v>45573</v>
      </c>
      <c r="C70" s="530">
        <v>1</v>
      </c>
      <c r="D70" s="531">
        <v>5</v>
      </c>
      <c r="E70" s="532">
        <v>159832</v>
      </c>
      <c r="F70" s="533">
        <v>30598960093</v>
      </c>
      <c r="G70" s="534" t="str">
        <f>IFERROR(IF(compras_mes103[[#This Row],[CUIT]]="","-",VLOOKUP(compras_mes103[[#This Row],[CUIT]],Lista_CUIT[#All],2,0)),"CUIT NO CARGADO")</f>
        <v>SILVESTRIN FABRIS SRL</v>
      </c>
      <c r="H70" s="592">
        <v>1586940</v>
      </c>
      <c r="I70" s="535"/>
      <c r="J70" s="535"/>
      <c r="K70" s="535">
        <f>compras_mes103[[#This Row],[NETO GRAVADO]]*0.105</f>
        <v>166628.69999999998</v>
      </c>
      <c r="L70" s="535"/>
      <c r="M70" s="535"/>
      <c r="N70" s="535">
        <v>79347</v>
      </c>
      <c r="O70" s="535"/>
      <c r="P70" s="536">
        <f>SUM(compras_mes103[[#This Row],[NETO GRAVADO]:[Otros / No Grav.]])</f>
        <v>1832915.7</v>
      </c>
      <c r="Q70" s="623" t="str">
        <f>IFERROR(IF(compras_mes103[[#This Row],[CUIT]]="","-",VLOOKUP(compras_mes103[[#This Row],[CUIT]],Lista_CUIT[#All],3,0)),"CUIT NO CARGADO")</f>
        <v>Productos Ortopedicos</v>
      </c>
      <c r="R70" s="537">
        <f>IFERROR(IF(compras_mes103[[#This Row],[CUIT]]="","-",VLOOKUP(compras_mes103[[#This Row],[CUIT]],Lista_CUIT[#All],4,0)),"CUIT NO CARGADO")</f>
        <v>0</v>
      </c>
    </row>
    <row r="71" spans="2:18">
      <c r="B71" s="291">
        <v>45573</v>
      </c>
      <c r="C71" s="305">
        <v>1</v>
      </c>
      <c r="D71" s="292">
        <v>1</v>
      </c>
      <c r="E71" s="293">
        <v>4966</v>
      </c>
      <c r="F71" s="294">
        <v>30715141201</v>
      </c>
      <c r="G71" s="295" t="str">
        <f>IFERROR(IF(compras_mes103[[#This Row],[CUIT]]="","-",VLOOKUP(compras_mes103[[#This Row],[CUIT]],Lista_CUIT[#All],2,0)),"CUIT NO CARGADO")</f>
        <v>REHAB S.R.L.</v>
      </c>
      <c r="H71" s="592">
        <v>267975</v>
      </c>
      <c r="I71" s="297">
        <f>IF(compras_mes103[[#This Row],[NETO GRAVADO]]="","",compras_mes103[[#This Row],[NETO GRAVADO]]*0.21)</f>
        <v>56274.75</v>
      </c>
      <c r="J71" s="297"/>
      <c r="K71" s="297"/>
      <c r="L71" s="297"/>
      <c r="M71" s="297"/>
      <c r="N71" s="297"/>
      <c r="O71" s="297"/>
      <c r="P71" s="298">
        <f>SUM(compras_mes103[[#This Row],[NETO GRAVADO]:[Otros / No Grav.]])</f>
        <v>324249.75</v>
      </c>
      <c r="Q71" s="618" t="str">
        <f>IFERROR(IF(compras_mes103[[#This Row],[CUIT]]="","-",VLOOKUP(compras_mes103[[#This Row],[CUIT]],Lista_CUIT[#All],3,0)),"CUIT NO CARGADO")</f>
        <v>Productos Ortopedicos</v>
      </c>
      <c r="R71" s="299">
        <f>IFERROR(IF(compras_mes103[[#This Row],[CUIT]]="","-",VLOOKUP(compras_mes103[[#This Row],[CUIT]],Lista_CUIT[#All],4,0)),"CUIT NO CARGADO")</f>
        <v>0</v>
      </c>
    </row>
    <row r="72" spans="2:18" ht="14.45" customHeight="1">
      <c r="B72" s="291">
        <v>45573</v>
      </c>
      <c r="C72" s="305">
        <v>1</v>
      </c>
      <c r="D72" s="292">
        <v>1</v>
      </c>
      <c r="E72" s="293">
        <v>4972</v>
      </c>
      <c r="F72" s="294">
        <v>30715141201</v>
      </c>
      <c r="G72" s="295" t="str">
        <f>IFERROR(IF(compras_mes103[[#This Row],[CUIT]]="","-",VLOOKUP(compras_mes103[[#This Row],[CUIT]],Lista_CUIT[#All],2,0)),"CUIT NO CARGADO")</f>
        <v>REHAB S.R.L.</v>
      </c>
      <c r="H72" s="592">
        <v>601618.51</v>
      </c>
      <c r="I72" s="297">
        <f>IF(compras_mes103[[#This Row],[NETO GRAVADO]]="","",compras_mes103[[#This Row],[NETO GRAVADO]]*0.21)</f>
        <v>126339.88709999999</v>
      </c>
      <c r="J72" s="297"/>
      <c r="K72" s="297"/>
      <c r="L72" s="297"/>
      <c r="M72" s="297"/>
      <c r="N72" s="297"/>
      <c r="O72" s="297"/>
      <c r="P72" s="298">
        <f>SUM(compras_mes103[[#This Row],[NETO GRAVADO]:[Otros / No Grav.]])</f>
        <v>727958.39709999994</v>
      </c>
      <c r="Q72" s="618" t="str">
        <f>IFERROR(IF(compras_mes103[[#This Row],[CUIT]]="","-",VLOOKUP(compras_mes103[[#This Row],[CUIT]],Lista_CUIT[#All],3,0)),"CUIT NO CARGADO")</f>
        <v>Productos Ortopedicos</v>
      </c>
      <c r="R72" s="299">
        <f>IFERROR(IF(compras_mes103[[#This Row],[CUIT]]="","-",VLOOKUP(compras_mes103[[#This Row],[CUIT]],Lista_CUIT[#All],4,0)),"CUIT NO CARGADO")</f>
        <v>0</v>
      </c>
    </row>
    <row r="73" spans="2:18" ht="14.45" customHeight="1">
      <c r="B73" s="291">
        <v>45575</v>
      </c>
      <c r="C73" s="305">
        <v>1</v>
      </c>
      <c r="D73" s="292">
        <v>5</v>
      </c>
      <c r="E73" s="293">
        <v>159946</v>
      </c>
      <c r="F73" s="294">
        <v>30598960093</v>
      </c>
      <c r="G73" s="295" t="str">
        <f>IFERROR(IF(compras_mes103[[#This Row],[CUIT]]="","-",VLOOKUP(compras_mes103[[#This Row],[CUIT]],Lista_CUIT[#All],2,0)),"CUIT NO CARGADO")</f>
        <v>SILVESTRIN FABRIS SRL</v>
      </c>
      <c r="H73" s="592">
        <v>946021.5</v>
      </c>
      <c r="I73" s="297">
        <f>IF(compras_mes103[[#This Row],[NETO GRAVADO]]="","",compras_mes103[[#This Row],[NETO GRAVADO]]*0.21)</f>
        <v>198664.51499999998</v>
      </c>
      <c r="J73" s="297"/>
      <c r="K73" s="297"/>
      <c r="L73" s="297"/>
      <c r="M73" s="297"/>
      <c r="N73" s="297"/>
      <c r="O73" s="297"/>
      <c r="P73" s="298">
        <f>SUM(compras_mes103[[#This Row],[NETO GRAVADO]:[Otros / No Grav.]])</f>
        <v>1144686.0149999999</v>
      </c>
      <c r="Q73" s="618" t="str">
        <f>IFERROR(IF(compras_mes103[[#This Row],[CUIT]]="","-",VLOOKUP(compras_mes103[[#This Row],[CUIT]],Lista_CUIT[#All],3,0)),"CUIT NO CARGADO")</f>
        <v>Productos Ortopedicos</v>
      </c>
      <c r="R73" s="299">
        <f>IFERROR(IF(compras_mes103[[#This Row],[CUIT]]="","-",VLOOKUP(compras_mes103[[#This Row],[CUIT]],Lista_CUIT[#All],4,0)),"CUIT NO CARGADO")</f>
        <v>0</v>
      </c>
    </row>
    <row r="74" spans="2:18" ht="15" customHeight="1">
      <c r="B74" s="291">
        <v>45575</v>
      </c>
      <c r="C74" s="305">
        <v>1</v>
      </c>
      <c r="D74" s="292">
        <v>1</v>
      </c>
      <c r="E74" s="293">
        <v>5011</v>
      </c>
      <c r="F74" s="294">
        <v>30715141201</v>
      </c>
      <c r="G74" s="295" t="str">
        <f>IFERROR(IF(compras_mes103[[#This Row],[CUIT]]="","-",VLOOKUP(compras_mes103[[#This Row],[CUIT]],Lista_CUIT[#All],2,0)),"CUIT NO CARGADO")</f>
        <v>REHAB S.R.L.</v>
      </c>
      <c r="H74" s="592">
        <v>43450</v>
      </c>
      <c r="I74" s="297">
        <f>IF(compras_mes103[[#This Row],[NETO GRAVADO]]="","",compras_mes103[[#This Row],[NETO GRAVADO]]*0.21)</f>
        <v>9124.5</v>
      </c>
      <c r="J74" s="297"/>
      <c r="K74" s="297"/>
      <c r="L74" s="297"/>
      <c r="M74" s="297"/>
      <c r="N74" s="297"/>
      <c r="O74" s="297"/>
      <c r="P74" s="298">
        <f>SUM(compras_mes103[[#This Row],[NETO GRAVADO]:[Otros / No Grav.]])</f>
        <v>52574.5</v>
      </c>
      <c r="Q74" s="618" t="str">
        <f>IFERROR(IF(compras_mes103[[#This Row],[CUIT]]="","-",VLOOKUP(compras_mes103[[#This Row],[CUIT]],Lista_CUIT[#All],3,0)),"CUIT NO CARGADO")</f>
        <v>Productos Ortopedicos</v>
      </c>
      <c r="R74" s="299">
        <f>IFERROR(IF(compras_mes103[[#This Row],[CUIT]]="","-",VLOOKUP(compras_mes103[[#This Row],[CUIT]],Lista_CUIT[#All],4,0)),"CUIT NO CARGADO")</f>
        <v>0</v>
      </c>
    </row>
    <row r="75" spans="2:18" ht="15" customHeight="1">
      <c r="B75" s="40">
        <v>45579</v>
      </c>
      <c r="C75" s="305">
        <v>1</v>
      </c>
      <c r="D75" s="292">
        <v>1</v>
      </c>
      <c r="E75" s="293">
        <v>5027</v>
      </c>
      <c r="F75" s="294">
        <v>30715141201</v>
      </c>
      <c r="G75" s="295" t="str">
        <f>IFERROR(IF(compras_mes103[[#This Row],[CUIT]]="","-",VLOOKUP(compras_mes103[[#This Row],[CUIT]],Lista_CUIT[#All],2,0)),"CUIT NO CARGADO")</f>
        <v>REHAB S.R.L.</v>
      </c>
      <c r="H75" s="592">
        <v>642844.12</v>
      </c>
      <c r="I75" s="297">
        <f>IF(compras_mes103[[#This Row],[NETO GRAVADO]]="","",compras_mes103[[#This Row],[NETO GRAVADO]]*0.21)</f>
        <v>134997.26519999999</v>
      </c>
      <c r="J75" s="297"/>
      <c r="K75" s="297"/>
      <c r="L75" s="297"/>
      <c r="M75" s="297"/>
      <c r="N75" s="297"/>
      <c r="O75" s="297"/>
      <c r="P75" s="298">
        <f>SUM(compras_mes103[[#This Row],[NETO GRAVADO]:[Otros / No Grav.]])</f>
        <v>777841.38520000002</v>
      </c>
      <c r="Q75" s="618" t="str">
        <f>IFERROR(IF(compras_mes103[[#This Row],[CUIT]]="","-",VLOOKUP(compras_mes103[[#This Row],[CUIT]],Lista_CUIT[#All],3,0)),"CUIT NO CARGADO")</f>
        <v>Productos Ortopedicos</v>
      </c>
      <c r="R75" s="299">
        <f>IFERROR(IF(compras_mes103[[#This Row],[CUIT]]="","-",VLOOKUP(compras_mes103[[#This Row],[CUIT]],Lista_CUIT[#All],4,0)),"CUIT NO CARGADO")</f>
        <v>0</v>
      </c>
    </row>
    <row r="76" spans="2:18" ht="15" customHeight="1">
      <c r="B76" s="291">
        <v>45586</v>
      </c>
      <c r="C76" s="305">
        <v>1</v>
      </c>
      <c r="D76" s="292">
        <v>17</v>
      </c>
      <c r="E76" s="293">
        <v>10702</v>
      </c>
      <c r="F76" s="294">
        <v>30661143610</v>
      </c>
      <c r="G76" s="295" t="str">
        <f>IFERROR(IF(compras_mes103[[#This Row],[CUIT]]="","-",VLOOKUP(compras_mes103[[#This Row],[CUIT]],Lista_CUIT[#All],2,0)),"CUIT NO CARGADO")</f>
        <v>ORTOPEDIA BERNAT SRL</v>
      </c>
      <c r="H76" s="592">
        <v>2797795</v>
      </c>
      <c r="I76" s="297">
        <f>IF(compras_mes103[[#This Row],[NETO GRAVADO]]="","",compras_mes103[[#This Row],[NETO GRAVADO]]*0.21)</f>
        <v>587536.94999999995</v>
      </c>
      <c r="J76" s="297"/>
      <c r="K76" s="297"/>
      <c r="L76" s="297"/>
      <c r="M76" s="297"/>
      <c r="N76" s="297"/>
      <c r="O76" s="297"/>
      <c r="P76" s="298">
        <f>SUM(compras_mes103[[#This Row],[NETO GRAVADO]:[Otros / No Grav.]])</f>
        <v>3385331.95</v>
      </c>
      <c r="Q76" s="618" t="str">
        <f>IFERROR(IF(compras_mes103[[#This Row],[CUIT]]="","-",VLOOKUP(compras_mes103[[#This Row],[CUIT]],Lista_CUIT[#All],3,0)),"CUIT NO CARGADO")</f>
        <v>Productos Ortopedicos</v>
      </c>
      <c r="R76" s="299">
        <f>IFERROR(IF(compras_mes103[[#This Row],[CUIT]]="","-",VLOOKUP(compras_mes103[[#This Row],[CUIT]],Lista_CUIT[#All],4,0)),"CUIT NO CARGADO")</f>
        <v>0</v>
      </c>
    </row>
    <row r="77" spans="2:18" ht="15" customHeight="1">
      <c r="B77" s="291">
        <v>45589</v>
      </c>
      <c r="C77" s="305">
        <v>1</v>
      </c>
      <c r="D77" s="292">
        <v>2</v>
      </c>
      <c r="E77" s="293">
        <v>10822</v>
      </c>
      <c r="F77" s="294">
        <v>30714331082</v>
      </c>
      <c r="G77" s="295" t="str">
        <f>IFERROR(IF(compras_mes103[[#This Row],[CUIT]]="","-",VLOOKUP(compras_mes103[[#This Row],[CUIT]],Lista_CUIT[#All],2,0)),"CUIT NO CARGADO")</f>
        <v>ORTOPEDIA CASA ESCALADA SRL</v>
      </c>
      <c r="H77" s="592">
        <v>13081.82</v>
      </c>
      <c r="I77" s="297">
        <f>IF(compras_mes103[[#This Row],[NETO GRAVADO]]="","",compras_mes103[[#This Row],[NETO GRAVADO]]*0.21)</f>
        <v>2747.1821999999997</v>
      </c>
      <c r="J77" s="297"/>
      <c r="K77" s="297"/>
      <c r="L77" s="297"/>
      <c r="M77" s="297"/>
      <c r="N77" s="297"/>
      <c r="O77" s="297"/>
      <c r="P77" s="298">
        <f>SUM(compras_mes103[[#This Row],[NETO GRAVADO]:[Otros / No Grav.]])</f>
        <v>15829.002199999999</v>
      </c>
      <c r="Q77" s="618" t="str">
        <f>IFERROR(IF(compras_mes103[[#This Row],[CUIT]]="","-",VLOOKUP(compras_mes103[[#This Row],[CUIT]],Lista_CUIT[#All],3,0)),"CUIT NO CARGADO")</f>
        <v>Productos Ortopedicos</v>
      </c>
      <c r="R77" s="49">
        <f>IFERROR(IF(compras_mes103[[#This Row],[CUIT]]="","-",VLOOKUP(compras_mes103[[#This Row],[CUIT]],Lista_CUIT[#All],4,0)),"CUIT NO CARGADO")</f>
        <v>0</v>
      </c>
    </row>
    <row r="78" spans="2:18" ht="15" customHeight="1">
      <c r="B78" s="40">
        <v>45589</v>
      </c>
      <c r="C78" s="305">
        <v>1</v>
      </c>
      <c r="D78" s="42">
        <v>5</v>
      </c>
      <c r="E78" s="43">
        <v>160326</v>
      </c>
      <c r="F78" s="44">
        <v>30598960093</v>
      </c>
      <c r="G78" s="45" t="str">
        <f>IFERROR(IF(compras_mes103[[#This Row],[CUIT]]="","-",VLOOKUP(compras_mes103[[#This Row],[CUIT]],Lista_CUIT[#All],2,0)),"CUIT NO CARGADO")</f>
        <v>SILVESTRIN FABRIS SRL</v>
      </c>
      <c r="H78" s="593">
        <v>1977843</v>
      </c>
      <c r="I78" s="297">
        <f>IF(compras_mes103[[#This Row],[NETO GRAVADO]]="","",compras_mes103[[#This Row],[NETO GRAVADO]]*0.21)</f>
        <v>415347.02999999997</v>
      </c>
      <c r="J78" s="85"/>
      <c r="K78" s="85"/>
      <c r="L78" s="85"/>
      <c r="M78" s="85"/>
      <c r="N78" s="85"/>
      <c r="O78" s="85"/>
      <c r="P78" s="298">
        <f>SUM(compras_mes103[[#This Row],[NETO GRAVADO]:[Otros / No Grav.]])</f>
        <v>2393190.0299999998</v>
      </c>
      <c r="Q78" s="610" t="str">
        <f>IFERROR(IF(compras_mes103[[#This Row],[CUIT]]="","-",VLOOKUP(compras_mes103[[#This Row],[CUIT]],Lista_CUIT[#All],3,0)),"CUIT NO CARGADO")</f>
        <v>Productos Ortopedicos</v>
      </c>
      <c r="R78" s="49">
        <f>IFERROR(IF(compras_mes103[[#This Row],[CUIT]]="","-",VLOOKUP(compras_mes103[[#This Row],[CUIT]],Lista_CUIT[#All],4,0)),"CUIT NO CARGADO")</f>
        <v>0</v>
      </c>
    </row>
    <row r="79" spans="2:18">
      <c r="B79" s="291">
        <v>45594</v>
      </c>
      <c r="C79" s="305">
        <v>1</v>
      </c>
      <c r="D79" s="292">
        <v>101</v>
      </c>
      <c r="E79" s="293">
        <v>8782</v>
      </c>
      <c r="F79" s="294">
        <v>33711430879</v>
      </c>
      <c r="G79" s="295" t="str">
        <f>IFERROR(IF(compras_mes103[[#This Row],[CUIT]]="","-",VLOOKUP(compras_mes103[[#This Row],[CUIT]],Lista_CUIT[#All],2,0)),"CUIT NO CARGADO")</f>
        <v>BALANZE S.A.</v>
      </c>
      <c r="H79" s="592">
        <v>125800</v>
      </c>
      <c r="I79" s="297">
        <f>IF(compras_mes103[[#This Row],[NETO GRAVADO]]="","",compras_mes103[[#This Row],[NETO GRAVADO]]*0.21)</f>
        <v>26418</v>
      </c>
      <c r="J79" s="297"/>
      <c r="K79" s="297"/>
      <c r="L79" s="297"/>
      <c r="M79" s="297"/>
      <c r="N79" s="297"/>
      <c r="O79" s="297"/>
      <c r="P79" s="298">
        <f>SUM(compras_mes103[[#This Row],[NETO GRAVADO]:[Otros / No Grav.]])</f>
        <v>152218</v>
      </c>
      <c r="Q79" s="618" t="str">
        <f>IFERROR(IF(compras_mes103[[#This Row],[CUIT]]="","-",VLOOKUP(compras_mes103[[#This Row],[CUIT]],Lista_CUIT[#All],3,0)),"CUIT NO CARGADO")</f>
        <v>Productos Ortopedicos</v>
      </c>
      <c r="R79" s="299">
        <f>IFERROR(IF(compras_mes103[[#This Row],[CUIT]]="","-",VLOOKUP(compras_mes103[[#This Row],[CUIT]],Lista_CUIT[#All],4,0)),"CUIT NO CARGADO")</f>
        <v>0</v>
      </c>
    </row>
    <row r="80" spans="2:18">
      <c r="B80" s="529">
        <v>45595</v>
      </c>
      <c r="C80" s="530">
        <v>1</v>
      </c>
      <c r="D80" s="531">
        <v>7</v>
      </c>
      <c r="E80" s="532">
        <v>19390</v>
      </c>
      <c r="F80" s="533">
        <v>30709214078</v>
      </c>
      <c r="G80" s="534" t="str">
        <f>IFERROR(IF(compras_mes103[[#This Row],[CUIT]]="","-",VLOOKUP(compras_mes103[[#This Row],[CUIT]],Lista_CUIT[#All],2,0)),"CUIT NO CARGADO")</f>
        <v>REHAVITA S.A</v>
      </c>
      <c r="H80" s="592">
        <v>450340</v>
      </c>
      <c r="I80" s="535"/>
      <c r="J80" s="535"/>
      <c r="K80" s="535">
        <f>compras_mes103[[#This Row],[NETO GRAVADO]]*0.105</f>
        <v>47285.7</v>
      </c>
      <c r="L80" s="535"/>
      <c r="M80" s="535"/>
      <c r="N80" s="535"/>
      <c r="O80" s="535"/>
      <c r="P80" s="536">
        <f>SUM(compras_mes103[[#This Row],[NETO GRAVADO]:[Otros / No Grav.]])</f>
        <v>497625.7</v>
      </c>
      <c r="Q80" s="623" t="str">
        <f>IFERROR(IF(compras_mes103[[#This Row],[CUIT]]="","-",VLOOKUP(compras_mes103[[#This Row],[CUIT]],Lista_CUIT[#All],3,0)),"CUIT NO CARGADO")</f>
        <v>Productos Ortopedicos</v>
      </c>
      <c r="R80" s="537">
        <f>IFERROR(IF(compras_mes103[[#This Row],[CUIT]]="","-",VLOOKUP(compras_mes103[[#This Row],[CUIT]],Lista_CUIT[#All],4,0)),"CUIT NO CARGADO")</f>
        <v>0</v>
      </c>
    </row>
    <row r="81" spans="2:18">
      <c r="B81" s="40">
        <v>45595</v>
      </c>
      <c r="C81" s="305">
        <v>1</v>
      </c>
      <c r="D81" s="292">
        <v>4</v>
      </c>
      <c r="E81" s="293">
        <v>38700</v>
      </c>
      <c r="F81" s="294">
        <v>20289111329</v>
      </c>
      <c r="G81" s="295" t="str">
        <f>IFERROR(IF(compras_mes103[[#This Row],[CUIT]]="","-",VLOOKUP(compras_mes103[[#This Row],[CUIT]],Lista_CUIT[#All],2,0)),"CUIT NO CARGADO")</f>
        <v>R. N. LEDESMA</v>
      </c>
      <c r="H81" s="592">
        <v>973752.97</v>
      </c>
      <c r="I81" s="297">
        <f>IF(compras_mes103[[#This Row],[NETO GRAVADO]]="","",compras_mes103[[#This Row],[NETO GRAVADO]]*0.21)</f>
        <v>204488.1237</v>
      </c>
      <c r="J81" s="297"/>
      <c r="K81" s="297"/>
      <c r="L81" s="297"/>
      <c r="M81" s="297"/>
      <c r="N81" s="297"/>
      <c r="O81" s="297"/>
      <c r="P81" s="298">
        <f>SUM(compras_mes103[[#This Row],[NETO GRAVADO]:[Otros / No Grav.]])</f>
        <v>1178241.0937000001</v>
      </c>
      <c r="Q81" s="618" t="str">
        <f>IFERROR(IF(compras_mes103[[#This Row],[CUIT]]="","-",VLOOKUP(compras_mes103[[#This Row],[CUIT]],Lista_CUIT[#All],3,0)),"CUIT NO CARGADO")</f>
        <v>Productos Ortopedicos</v>
      </c>
      <c r="R81" s="299">
        <f>IFERROR(IF(compras_mes103[[#This Row],[CUIT]]="","-",VLOOKUP(compras_mes103[[#This Row],[CUIT]],Lista_CUIT[#All],4,0)),"CUIT NO CARGADO")</f>
        <v>0</v>
      </c>
    </row>
    <row r="82" spans="2:18">
      <c r="B82" s="291">
        <v>45596</v>
      </c>
      <c r="C82" s="305">
        <v>1</v>
      </c>
      <c r="D82" s="292">
        <v>6</v>
      </c>
      <c r="E82" s="293">
        <v>54831</v>
      </c>
      <c r="F82" s="294">
        <v>30710177658</v>
      </c>
      <c r="G82" s="295" t="str">
        <f>IFERROR(IF(compras_mes103[[#This Row],[CUIT]]="","-",VLOOKUP(compras_mes103[[#This Row],[CUIT]],Lista_CUIT[#All],2,0)),"CUIT NO CARGADO")</f>
        <v>TARGET MEDICAL SA</v>
      </c>
      <c r="H82" s="592">
        <v>425830</v>
      </c>
      <c r="I82" s="297">
        <f>IF(compras_mes103[[#This Row],[NETO GRAVADO]]="","",compras_mes103[[#This Row],[NETO GRAVADO]]*0.21)</f>
        <v>89424.3</v>
      </c>
      <c r="J82" s="297"/>
      <c r="K82" s="297"/>
      <c r="L82" s="297"/>
      <c r="M82" s="297"/>
      <c r="N82" s="297"/>
      <c r="O82" s="297"/>
      <c r="P82" s="298">
        <f>SUM(compras_mes103[[#This Row],[NETO GRAVADO]:[Otros / No Grav.]])</f>
        <v>515254.3</v>
      </c>
      <c r="Q82" s="618" t="str">
        <f>IFERROR(IF(compras_mes103[[#This Row],[CUIT]]="","-",VLOOKUP(compras_mes103[[#This Row],[CUIT]],Lista_CUIT[#All],3,0)),"CUIT NO CARGADO")</f>
        <v>Productos Ortopedicos</v>
      </c>
      <c r="R82" s="299">
        <f>IFERROR(IF(compras_mes103[[#This Row],[CUIT]]="","-",VLOOKUP(compras_mes103[[#This Row],[CUIT]],Lista_CUIT[#All],4,0)),"CUIT NO CARGADO")</f>
        <v>0</v>
      </c>
    </row>
    <row r="83" spans="2:18">
      <c r="B83" s="507">
        <v>45595</v>
      </c>
      <c r="C83" s="508">
        <v>1</v>
      </c>
      <c r="D83" s="509">
        <v>13</v>
      </c>
      <c r="E83" s="510">
        <v>1869</v>
      </c>
      <c r="F83" s="511">
        <v>33709914109</v>
      </c>
      <c r="G83" s="512" t="str">
        <f>IFERROR(IF(compras_mes103[[#This Row],[CUIT]]="","-",VLOOKUP(compras_mes103[[#This Row],[CUIT]],Lista_CUIT[#All],2,0)),"CUIT NO CARGADO")</f>
        <v xml:space="preserve">ALAN COLLECTION SA </v>
      </c>
      <c r="H83" s="592">
        <v>19008.259999999998</v>
      </c>
      <c r="I83" s="514">
        <f>IF(compras_mes103[[#This Row],[NETO GRAVADO]]="","",compras_mes103[[#This Row],[NETO GRAVADO]]*0.21)</f>
        <v>3991.7345999999993</v>
      </c>
      <c r="J83" s="514"/>
      <c r="K83" s="514"/>
      <c r="L83" s="514"/>
      <c r="M83" s="514"/>
      <c r="N83" s="514"/>
      <c r="O83" s="514"/>
      <c r="P83" s="515">
        <f>SUM(compras_mes103[[#This Row],[NETO GRAVADO]:[Otros / No Grav.]])</f>
        <v>22999.994599999998</v>
      </c>
      <c r="Q83" s="620" t="str">
        <f>IFERROR(IF(compras_mes103[[#This Row],[CUIT]]="","-",VLOOKUP(compras_mes103[[#This Row],[CUIT]],Lista_CUIT[#All],3,0)),"CUIT NO CARGADO")</f>
        <v>Productos Ortopedicos</v>
      </c>
      <c r="R83" s="516">
        <f>IFERROR(IF(compras_mes103[[#This Row],[CUIT]]="","-",VLOOKUP(compras_mes103[[#This Row],[CUIT]],Lista_CUIT[#All],4,0)),"CUIT NO CARGADO")</f>
        <v>0</v>
      </c>
    </row>
    <row r="84" spans="2:18">
      <c r="B84" s="40">
        <v>45568</v>
      </c>
      <c r="C84" s="305">
        <v>1</v>
      </c>
      <c r="D84" s="292">
        <v>2</v>
      </c>
      <c r="E84" s="293">
        <v>833</v>
      </c>
      <c r="F84" s="294">
        <v>20272865869</v>
      </c>
      <c r="G84" s="295" t="str">
        <f>IFERROR(IF(compras_mes103[[#This Row],[CUIT]]="","-",VLOOKUP(compras_mes103[[#This Row],[CUIT]],Lista_CUIT[#All],2,0)),"CUIT NO CARGADO")</f>
        <v>DI FEO MARTIN EZEQUIEL</v>
      </c>
      <c r="H84" s="592">
        <v>145500</v>
      </c>
      <c r="I84" s="297">
        <f>IF(compras_mes103[[#This Row],[NETO GRAVADO]]="","",compras_mes103[[#This Row],[NETO GRAVADO]]*0.21)</f>
        <v>30555</v>
      </c>
      <c r="J84" s="297"/>
      <c r="K84" s="297"/>
      <c r="L84" s="297"/>
      <c r="M84" s="297"/>
      <c r="N84" s="297"/>
      <c r="O84" s="297"/>
      <c r="P84" s="298">
        <f>SUM(compras_mes103[[#This Row],[NETO GRAVADO]:[Otros / No Grav.]])</f>
        <v>176055</v>
      </c>
      <c r="Q84" s="618" t="str">
        <f>IFERROR(IF(compras_mes103[[#This Row],[CUIT]]="","-",VLOOKUP(compras_mes103[[#This Row],[CUIT]],Lista_CUIT[#All],3,0)),"CUIT NO CARGADO")</f>
        <v>Productos Ortopedicos</v>
      </c>
      <c r="R84" s="299">
        <f>IFERROR(IF(compras_mes103[[#This Row],[CUIT]]="","-",VLOOKUP(compras_mes103[[#This Row],[CUIT]],Lista_CUIT[#All],4,0)),"CUIT NO CARGADO")</f>
        <v>0</v>
      </c>
    </row>
    <row r="85" spans="2:18">
      <c r="B85" s="291">
        <v>45572</v>
      </c>
      <c r="C85" s="305">
        <v>1</v>
      </c>
      <c r="D85" s="292">
        <v>8</v>
      </c>
      <c r="E85" s="293">
        <v>1698</v>
      </c>
      <c r="F85" s="294">
        <v>30708973501</v>
      </c>
      <c r="G85" s="295" t="str">
        <f>IFERROR(IF(compras_mes103[[#This Row],[CUIT]]="","-",VLOOKUP(compras_mes103[[#This Row],[CUIT]],Lista_CUIT[#All],2,0)),"CUIT NO CARGADO")</f>
        <v>ASIAL SRL</v>
      </c>
      <c r="H85" s="592">
        <v>767170</v>
      </c>
      <c r="I85" s="297">
        <f>IF(compras_mes103[[#This Row],[NETO GRAVADO]]="","",compras_mes103[[#This Row],[NETO GRAVADO]]*0.21)</f>
        <v>161105.69999999998</v>
      </c>
      <c r="J85" s="297"/>
      <c r="K85" s="297"/>
      <c r="L85" s="297"/>
      <c r="M85" s="297"/>
      <c r="N85" s="297"/>
      <c r="O85" s="297"/>
      <c r="P85" s="298">
        <f>SUM(compras_mes103[[#This Row],[NETO GRAVADO]:[Otros / No Grav.]])</f>
        <v>928275.7</v>
      </c>
      <c r="Q85" s="618" t="str">
        <f>IFERROR(IF(compras_mes103[[#This Row],[CUIT]]="","-",VLOOKUP(compras_mes103[[#This Row],[CUIT]],Lista_CUIT[#All],3,0)),"CUIT NO CARGADO")</f>
        <v>Productos Ortopedicos</v>
      </c>
      <c r="R85" s="299">
        <f>IFERROR(IF(compras_mes103[[#This Row],[CUIT]]="","-",VLOOKUP(compras_mes103[[#This Row],[CUIT]],Lista_CUIT[#All],4,0)),"CUIT NO CARGADO")</f>
        <v>0</v>
      </c>
    </row>
    <row r="86" spans="2:18">
      <c r="B86" s="291">
        <v>45574</v>
      </c>
      <c r="C86" s="305">
        <v>1</v>
      </c>
      <c r="D86" s="292">
        <v>15</v>
      </c>
      <c r="E86" s="293">
        <v>3722</v>
      </c>
      <c r="F86" s="294">
        <v>30688140923</v>
      </c>
      <c r="G86" s="295" t="str">
        <f>IFERROR(IF(compras_mes103[[#This Row],[CUIT]]="","-",VLOOKUP(compras_mes103[[#This Row],[CUIT]],Lista_CUIT[#All],2,0)),"CUIT NO CARGADO")</f>
        <v>COLTEX SRL</v>
      </c>
      <c r="H86" s="592">
        <v>238328.4</v>
      </c>
      <c r="I86" s="297">
        <f>IF(compras_mes103[[#This Row],[NETO GRAVADO]]="","",compras_mes103[[#This Row],[NETO GRAVADO]]*0.21)</f>
        <v>50048.964</v>
      </c>
      <c r="J86" s="297"/>
      <c r="K86" s="297"/>
      <c r="L86" s="297"/>
      <c r="M86" s="297"/>
      <c r="N86" s="297"/>
      <c r="O86" s="297"/>
      <c r="P86" s="298">
        <f>SUM(compras_mes103[[#This Row],[NETO GRAVADO]:[Otros / No Grav.]])</f>
        <v>288377.364</v>
      </c>
      <c r="Q86" s="618" t="str">
        <f>IFERROR(IF(compras_mes103[[#This Row],[CUIT]]="","-",VLOOKUP(compras_mes103[[#This Row],[CUIT]],Lista_CUIT[#All],3,0)),"CUIT NO CARGADO")</f>
        <v>Productos Ortopedicos</v>
      </c>
      <c r="R86" s="299">
        <f>IFERROR(IF(compras_mes103[[#This Row],[CUIT]]="","-",VLOOKUP(compras_mes103[[#This Row],[CUIT]],Lista_CUIT[#All],4,0)),"CUIT NO CARGADO")</f>
        <v>0</v>
      </c>
    </row>
    <row r="87" spans="2:18">
      <c r="B87" s="291">
        <v>45582</v>
      </c>
      <c r="C87" s="305">
        <v>1</v>
      </c>
      <c r="D87" s="292">
        <v>2</v>
      </c>
      <c r="E87" s="293">
        <v>845</v>
      </c>
      <c r="F87" s="294">
        <v>20272865869</v>
      </c>
      <c r="G87" s="295" t="str">
        <f>IFERROR(IF(compras_mes103[[#This Row],[CUIT]]="","-",VLOOKUP(compras_mes103[[#This Row],[CUIT]],Lista_CUIT[#All],2,0)),"CUIT NO CARGADO")</f>
        <v>DI FEO MARTIN EZEQUIEL</v>
      </c>
      <c r="H87" s="592">
        <v>109000</v>
      </c>
      <c r="I87" s="297">
        <f>IF(compras_mes103[[#This Row],[NETO GRAVADO]]="","",compras_mes103[[#This Row],[NETO GRAVADO]]*0.21)</f>
        <v>22890</v>
      </c>
      <c r="J87" s="297"/>
      <c r="K87" s="297"/>
      <c r="L87" s="297"/>
      <c r="M87" s="297"/>
      <c r="N87" s="297"/>
      <c r="O87" s="297"/>
      <c r="P87" s="298">
        <f>SUM(compras_mes103[[#This Row],[NETO GRAVADO]:[Otros / No Grav.]])</f>
        <v>131890</v>
      </c>
      <c r="Q87" s="618" t="str">
        <f>IFERROR(IF(compras_mes103[[#This Row],[CUIT]]="","-",VLOOKUP(compras_mes103[[#This Row],[CUIT]],Lista_CUIT[#All],3,0)),"CUIT NO CARGADO")</f>
        <v>Productos Ortopedicos</v>
      </c>
      <c r="R87" s="299">
        <f>IFERROR(IF(compras_mes103[[#This Row],[CUIT]]="","-",VLOOKUP(compras_mes103[[#This Row],[CUIT]],Lista_CUIT[#All],4,0)),"CUIT NO CARGADO")</f>
        <v>0</v>
      </c>
    </row>
    <row r="88" spans="2:18">
      <c r="B88" s="291">
        <v>45582</v>
      </c>
      <c r="C88" s="305">
        <v>1</v>
      </c>
      <c r="D88" s="292">
        <v>2</v>
      </c>
      <c r="E88" s="293">
        <v>850</v>
      </c>
      <c r="F88" s="294">
        <v>20272865869</v>
      </c>
      <c r="G88" s="295" t="str">
        <f>IFERROR(IF(compras_mes103[[#This Row],[CUIT]]="","-",VLOOKUP(compras_mes103[[#This Row],[CUIT]],Lista_CUIT[#All],2,0)),"CUIT NO CARGADO")</f>
        <v>DI FEO MARTIN EZEQUIEL</v>
      </c>
      <c r="H88" s="592">
        <v>106750</v>
      </c>
      <c r="I88" s="297">
        <f>IF(compras_mes103[[#This Row],[NETO GRAVADO]]="","",compras_mes103[[#This Row],[NETO GRAVADO]]*0.21)</f>
        <v>22417.5</v>
      </c>
      <c r="J88" s="297"/>
      <c r="K88" s="297"/>
      <c r="L88" s="297"/>
      <c r="M88" s="297"/>
      <c r="N88" s="297"/>
      <c r="O88" s="297"/>
      <c r="P88" s="298">
        <f>SUM(compras_mes103[[#This Row],[NETO GRAVADO]:[Otros / No Grav.]])</f>
        <v>129167.5</v>
      </c>
      <c r="Q88" s="618" t="str">
        <f>IFERROR(IF(compras_mes103[[#This Row],[CUIT]]="","-",VLOOKUP(compras_mes103[[#This Row],[CUIT]],Lista_CUIT[#All],3,0)),"CUIT NO CARGADO")</f>
        <v>Productos Ortopedicos</v>
      </c>
      <c r="R88" s="299">
        <f>IFERROR(IF(compras_mes103[[#This Row],[CUIT]]="","-",VLOOKUP(compras_mes103[[#This Row],[CUIT]],Lista_CUIT[#All],4,0)),"CUIT NO CARGADO")</f>
        <v>0</v>
      </c>
    </row>
    <row r="89" spans="2:18">
      <c r="B89" s="40">
        <v>45583</v>
      </c>
      <c r="C89" s="305">
        <v>1</v>
      </c>
      <c r="D89" s="292">
        <v>13</v>
      </c>
      <c r="E89" s="293">
        <v>3141</v>
      </c>
      <c r="F89" s="294">
        <v>20119743959</v>
      </c>
      <c r="G89" s="295" t="str">
        <f>IFERROR(IF(compras_mes103[[#This Row],[CUIT]]="","-",VLOOKUP(compras_mes103[[#This Row],[CUIT]],Lista_CUIT[#All],2,0)),"CUIT NO CARGADO")</f>
        <v>BENNUN FERNANDO RUBEN</v>
      </c>
      <c r="H89" s="592">
        <v>360000</v>
      </c>
      <c r="I89" s="297">
        <f>IF(compras_mes103[[#This Row],[NETO GRAVADO]]="","",compras_mes103[[#This Row],[NETO GRAVADO]]*0.21)</f>
        <v>75600</v>
      </c>
      <c r="J89" s="297"/>
      <c r="K89" s="297"/>
      <c r="L89" s="297"/>
      <c r="M89" s="297"/>
      <c r="N89" s="297"/>
      <c r="O89" s="297"/>
      <c r="P89" s="298">
        <f>SUM(compras_mes103[[#This Row],[NETO GRAVADO]:[Otros / No Grav.]])</f>
        <v>435600</v>
      </c>
      <c r="Q89" s="618" t="str">
        <f>IFERROR(IF(compras_mes103[[#This Row],[CUIT]]="","-",VLOOKUP(compras_mes103[[#This Row],[CUIT]],Lista_CUIT[#All],3,0)),"CUIT NO CARGADO")</f>
        <v>Productos Ortopedicos</v>
      </c>
      <c r="R89" s="299">
        <f>IFERROR(IF(compras_mes103[[#This Row],[CUIT]]="","-",VLOOKUP(compras_mes103[[#This Row],[CUIT]],Lista_CUIT[#All],4,0)),"CUIT NO CARGADO")</f>
        <v>0</v>
      </c>
    </row>
    <row r="90" spans="2:18">
      <c r="B90" s="291">
        <v>45589</v>
      </c>
      <c r="C90" s="305">
        <v>1</v>
      </c>
      <c r="D90" s="292">
        <v>2</v>
      </c>
      <c r="E90" s="293">
        <v>876</v>
      </c>
      <c r="F90" s="294">
        <v>20272865869</v>
      </c>
      <c r="G90" s="295" t="str">
        <f>IFERROR(IF(compras_mes103[[#This Row],[CUIT]]="","-",VLOOKUP(compras_mes103[[#This Row],[CUIT]],Lista_CUIT[#All],2,0)),"CUIT NO CARGADO")</f>
        <v>DI FEO MARTIN EZEQUIEL</v>
      </c>
      <c r="H90" s="592">
        <v>133850</v>
      </c>
      <c r="I90" s="297">
        <f>IF(compras_mes103[[#This Row],[NETO GRAVADO]]="","",compras_mes103[[#This Row],[NETO GRAVADO]]*0.21)</f>
        <v>28108.5</v>
      </c>
      <c r="J90" s="297"/>
      <c r="K90" s="297"/>
      <c r="L90" s="297"/>
      <c r="M90" s="297"/>
      <c r="N90" s="297"/>
      <c r="O90" s="297"/>
      <c r="P90" s="298">
        <f>SUM(compras_mes103[[#This Row],[NETO GRAVADO]:[Otros / No Grav.]])</f>
        <v>161958.5</v>
      </c>
      <c r="Q90" s="618" t="str">
        <f>IFERROR(IF(compras_mes103[[#This Row],[CUIT]]="","-",VLOOKUP(compras_mes103[[#This Row],[CUIT]],Lista_CUIT[#All],3,0)),"CUIT NO CARGADO")</f>
        <v>Productos Ortopedicos</v>
      </c>
      <c r="R90" s="49">
        <f>IFERROR(IF(compras_mes103[[#This Row],[CUIT]]="","-",VLOOKUP(compras_mes103[[#This Row],[CUIT]],Lista_CUIT[#All],4,0)),"CUIT NO CARGADO")</f>
        <v>0</v>
      </c>
    </row>
    <row r="91" spans="2:18">
      <c r="B91" s="291">
        <v>45594</v>
      </c>
      <c r="C91" s="305">
        <v>1</v>
      </c>
      <c r="D91" s="292">
        <v>5</v>
      </c>
      <c r="E91" s="293">
        <v>2002</v>
      </c>
      <c r="F91" s="294">
        <v>30712187316</v>
      </c>
      <c r="G91" s="295" t="str">
        <f>IFERROR(IF(compras_mes103[[#This Row],[CUIT]]="","-",VLOOKUP(compras_mes103[[#This Row],[CUIT]],Lista_CUIT[#All],2,0)),"CUIT NO CARGADO")</f>
        <v>ITALOMED PRODUCTOS SRL</v>
      </c>
      <c r="H91" s="592">
        <v>289656.77</v>
      </c>
      <c r="I91" s="297">
        <f>IF(compras_mes103[[#This Row],[NETO GRAVADO]]="","",compras_mes103[[#This Row],[NETO GRAVADO]]*0.21)</f>
        <v>60827.921699999999</v>
      </c>
      <c r="J91" s="297"/>
      <c r="K91" s="297"/>
      <c r="L91" s="297"/>
      <c r="M91" s="297"/>
      <c r="N91" s="297"/>
      <c r="O91" s="297"/>
      <c r="P91" s="298">
        <f>SUM(compras_mes103[[#This Row],[NETO GRAVADO]:[Otros / No Grav.]])</f>
        <v>350484.69170000002</v>
      </c>
      <c r="Q91" s="618" t="str">
        <f>IFERROR(IF(compras_mes103[[#This Row],[CUIT]]="","-",VLOOKUP(compras_mes103[[#This Row],[CUIT]],Lista_CUIT[#All],3,0)),"CUIT NO CARGADO")</f>
        <v>Productos Ortopedicos</v>
      </c>
      <c r="R91" s="299">
        <f>IFERROR(IF(compras_mes103[[#This Row],[CUIT]]="","-",VLOOKUP(compras_mes103[[#This Row],[CUIT]],Lista_CUIT[#All],4,0)),"CUIT NO CARGADO")</f>
        <v>0</v>
      </c>
    </row>
    <row r="92" spans="2:18">
      <c r="B92" s="291">
        <v>45596</v>
      </c>
      <c r="C92" s="305">
        <v>1</v>
      </c>
      <c r="D92" s="292">
        <v>2</v>
      </c>
      <c r="E92" s="293">
        <v>886</v>
      </c>
      <c r="F92" s="294">
        <v>20272865869</v>
      </c>
      <c r="G92" s="295" t="str">
        <f>IFERROR(IF(compras_mes103[[#This Row],[CUIT]]="","-",VLOOKUP(compras_mes103[[#This Row],[CUIT]],Lista_CUIT[#All],2,0)),"CUIT NO CARGADO")</f>
        <v>DI FEO MARTIN EZEQUIEL</v>
      </c>
      <c r="H92" s="592">
        <v>94400</v>
      </c>
      <c r="I92" s="297">
        <f>IF(compras_mes103[[#This Row],[NETO GRAVADO]]="","",compras_mes103[[#This Row],[NETO GRAVADO]]*0.21)</f>
        <v>19824</v>
      </c>
      <c r="J92" s="297"/>
      <c r="K92" s="297"/>
      <c r="L92" s="297"/>
      <c r="M92" s="297"/>
      <c r="N92" s="297"/>
      <c r="O92" s="297"/>
      <c r="P92" s="298">
        <f>SUM(compras_mes103[[#This Row],[NETO GRAVADO]:[Otros / No Grav.]])</f>
        <v>114224</v>
      </c>
      <c r="Q92" s="618" t="str">
        <f>IFERROR(IF(compras_mes103[[#This Row],[CUIT]]="","-",VLOOKUP(compras_mes103[[#This Row],[CUIT]],Lista_CUIT[#All],3,0)),"CUIT NO CARGADO")</f>
        <v>Productos Ortopedicos</v>
      </c>
      <c r="R92" s="299">
        <f>IFERROR(IF(compras_mes103[[#This Row],[CUIT]]="","-",VLOOKUP(compras_mes103[[#This Row],[CUIT]],Lista_CUIT[#All],4,0)),"CUIT NO CARGADO")</f>
        <v>0</v>
      </c>
    </row>
    <row r="93" spans="2:18">
      <c r="B93" s="291">
        <v>45588</v>
      </c>
      <c r="C93" s="305">
        <v>1</v>
      </c>
      <c r="D93" s="292">
        <v>2</v>
      </c>
      <c r="E93" s="293">
        <v>26</v>
      </c>
      <c r="F93" s="294">
        <v>27243660535</v>
      </c>
      <c r="G93" s="295" t="str">
        <f>IFERROR(IF(compras_mes103[[#This Row],[CUIT]]="","-",VLOOKUP(compras_mes103[[#This Row],[CUIT]],Lista_CUIT[#All],2,0)),"CUIT NO CARGADO")</f>
        <v>BARD MARISA SILVIA</v>
      </c>
      <c r="H93" s="592">
        <v>360000</v>
      </c>
      <c r="I93" s="297">
        <f>IF(compras_mes103[[#This Row],[NETO GRAVADO]]="","",compras_mes103[[#This Row],[NETO GRAVADO]]*0.21)</f>
        <v>75600</v>
      </c>
      <c r="J93" s="297"/>
      <c r="K93" s="297"/>
      <c r="L93" s="297"/>
      <c r="M93" s="297"/>
      <c r="N93" s="297"/>
      <c r="O93" s="297"/>
      <c r="P93" s="298">
        <f>SUM(compras_mes103[[#This Row],[NETO GRAVADO]:[Otros / No Grav.]])</f>
        <v>435600</v>
      </c>
      <c r="Q93" s="618" t="str">
        <f>IFERROR(IF(compras_mes103[[#This Row],[CUIT]]="","-",VLOOKUP(compras_mes103[[#This Row],[CUIT]],Lista_CUIT[#All],3,0)),"CUIT NO CARGADO")</f>
        <v>Productos Ortopedicos</v>
      </c>
      <c r="R93" s="49">
        <f>IFERROR(IF(compras_mes103[[#This Row],[CUIT]]="","-",VLOOKUP(compras_mes103[[#This Row],[CUIT]],Lista_CUIT[#All],4,0)),"CUIT NO CARGADO")</f>
        <v>0</v>
      </c>
    </row>
    <row r="94" spans="2:18">
      <c r="B94" s="40">
        <v>45569</v>
      </c>
      <c r="C94" s="305">
        <v>1</v>
      </c>
      <c r="D94" s="292">
        <v>401</v>
      </c>
      <c r="E94" s="293">
        <v>80</v>
      </c>
      <c r="F94" s="294">
        <v>30716234114</v>
      </c>
      <c r="G94" s="295" t="str">
        <f>IFERROR(IF(compras_mes103[[#This Row],[CUIT]]="","-",VLOOKUP(compras_mes103[[#This Row],[CUIT]],Lista_CUIT[#All],2,0)),"CUIT NO CARGADO")</f>
        <v>UZUMAKI S.A.S.</v>
      </c>
      <c r="H94" s="592">
        <v>160978.5</v>
      </c>
      <c r="I94" s="297">
        <f>IF(compras_mes103[[#This Row],[NETO GRAVADO]]="","",compras_mes103[[#This Row],[NETO GRAVADO]]*0.21)</f>
        <v>33805.485000000001</v>
      </c>
      <c r="J94" s="297"/>
      <c r="K94" s="297"/>
      <c r="L94" s="297"/>
      <c r="M94" s="297"/>
      <c r="N94" s="297"/>
      <c r="O94" s="297"/>
      <c r="P94" s="298">
        <f>SUM(compras_mes103[[#This Row],[NETO GRAVADO]:[Otros / No Grav.]])</f>
        <v>194783.98499999999</v>
      </c>
      <c r="Q94" s="618" t="str">
        <f>IFERROR(IF(compras_mes103[[#This Row],[CUIT]]="","-",VLOOKUP(compras_mes103[[#This Row],[CUIT]],Lista_CUIT[#All],3,0)),"CUIT NO CARGADO")</f>
        <v>Productos Ortopedicos</v>
      </c>
      <c r="R94" s="299">
        <f>IFERROR(IF(compras_mes103[[#This Row],[CUIT]]="","-",VLOOKUP(compras_mes103[[#This Row],[CUIT]],Lista_CUIT[#All],4,0)),"CUIT NO CARGADO")</f>
        <v>0</v>
      </c>
    </row>
    <row r="95" spans="2:18">
      <c r="B95" s="291">
        <v>45588</v>
      </c>
      <c r="C95" s="305">
        <v>1</v>
      </c>
      <c r="D95" s="292">
        <v>2</v>
      </c>
      <c r="E95" s="293">
        <v>7704</v>
      </c>
      <c r="F95" s="294">
        <v>20253990903</v>
      </c>
      <c r="G95" s="295" t="str">
        <f>IFERROR(IF(compras_mes103[[#This Row],[CUIT]]="","-",VLOOKUP(compras_mes103[[#This Row],[CUIT]],Lista_CUIT[#All],2,0)),"CUIT NO CARGADO")</f>
        <v>LOPEZ MATIAS</v>
      </c>
      <c r="H95" s="592">
        <v>244415</v>
      </c>
      <c r="I95" s="297">
        <f>IF(compras_mes103[[#This Row],[NETO GRAVADO]]="","",compras_mes103[[#This Row],[NETO GRAVADO]]*0.21)</f>
        <v>51327.15</v>
      </c>
      <c r="J95" s="297"/>
      <c r="K95" s="297"/>
      <c r="L95" s="297"/>
      <c r="M95" s="297"/>
      <c r="N95" s="297"/>
      <c r="O95" s="297"/>
      <c r="P95" s="298">
        <f>SUM(compras_mes103[[#This Row],[NETO GRAVADO]:[Otros / No Grav.]])</f>
        <v>295742.15000000002</v>
      </c>
      <c r="Q95" s="618" t="str">
        <f>IFERROR(IF(compras_mes103[[#This Row],[CUIT]]="","-",VLOOKUP(compras_mes103[[#This Row],[CUIT]],Lista_CUIT[#All],3,0)),"CUIT NO CARGADO")</f>
        <v>Productos Ortopedicoss</v>
      </c>
      <c r="R95" s="88">
        <f>IFERROR(IF(compras_mes103[[#This Row],[CUIT]]="","-",VLOOKUP(compras_mes103[[#This Row],[CUIT]],Lista_CUIT[#All],4,0)),"CUIT NO CARGADO")</f>
        <v>0</v>
      </c>
    </row>
    <row r="96" spans="2:18" s="242" customFormat="1">
      <c r="B96" s="40">
        <v>45568</v>
      </c>
      <c r="C96" s="305">
        <v>1</v>
      </c>
      <c r="D96" s="292">
        <v>4</v>
      </c>
      <c r="E96" s="293">
        <v>138</v>
      </c>
      <c r="F96" s="294">
        <v>20317488476</v>
      </c>
      <c r="G96" s="295" t="str">
        <f>IFERROR(IF(compras_mes103[[#This Row],[CUIT]]="","-",VLOOKUP(compras_mes103[[#This Row],[CUIT]],Lista_CUIT[#All],2,0)),"CUIT NO CARGADO")</f>
        <v>MIGUEL ANGEL VILLALBA</v>
      </c>
      <c r="H96" s="592">
        <v>150000</v>
      </c>
      <c r="I96" s="297">
        <f>IF(compras_mes103[[#This Row],[NETO GRAVADO]]="","",compras_mes103[[#This Row],[NETO GRAVADO]]*0.21)</f>
        <v>31500</v>
      </c>
      <c r="J96" s="297"/>
      <c r="K96" s="297"/>
      <c r="L96" s="297"/>
      <c r="M96" s="297"/>
      <c r="N96" s="297"/>
      <c r="O96" s="297"/>
      <c r="P96" s="298">
        <f>SUM(compras_mes103[[#This Row],[NETO GRAVADO]:[Otros / No Grav.]])</f>
        <v>181500</v>
      </c>
      <c r="Q96" s="618" t="str">
        <f>IFERROR(IF(compras_mes103[[#This Row],[CUIT]]="","-",VLOOKUP(compras_mes103[[#This Row],[CUIT]],Lista_CUIT[#All],3,0)),"CUIT NO CARGADO")</f>
        <v>Recupero P. Ortopedicos</v>
      </c>
      <c r="R96" s="299">
        <f>IFERROR(IF(compras_mes103[[#This Row],[CUIT]]="","-",VLOOKUP(compras_mes103[[#This Row],[CUIT]],Lista_CUIT[#All],4,0)),"CUIT NO CARGADO")</f>
        <v>0</v>
      </c>
    </row>
    <row r="97" spans="2:18" s="242" customFormat="1">
      <c r="B97" s="40">
        <v>45580</v>
      </c>
      <c r="C97" s="305">
        <v>1</v>
      </c>
      <c r="D97" s="292">
        <v>4</v>
      </c>
      <c r="E97" s="293">
        <v>140</v>
      </c>
      <c r="F97" s="294">
        <v>20317488476</v>
      </c>
      <c r="G97" s="295" t="str">
        <f>IFERROR(IF(compras_mes103[[#This Row],[CUIT]]="","-",VLOOKUP(compras_mes103[[#This Row],[CUIT]],Lista_CUIT[#All],2,0)),"CUIT NO CARGADO")</f>
        <v>MIGUEL ANGEL VILLALBA</v>
      </c>
      <c r="H97" s="592">
        <v>75000</v>
      </c>
      <c r="I97" s="297">
        <f>IF(compras_mes103[[#This Row],[NETO GRAVADO]]="","",compras_mes103[[#This Row],[NETO GRAVADO]]*0.21)</f>
        <v>15750</v>
      </c>
      <c r="J97" s="297"/>
      <c r="K97" s="297"/>
      <c r="L97" s="297"/>
      <c r="M97" s="297"/>
      <c r="N97" s="297"/>
      <c r="O97" s="297"/>
      <c r="P97" s="298">
        <f>SUM(compras_mes103[[#This Row],[NETO GRAVADO]:[Otros / No Grav.]])</f>
        <v>90750</v>
      </c>
      <c r="Q97" s="618" t="str">
        <f>IFERROR(IF(compras_mes103[[#This Row],[CUIT]]="","-",VLOOKUP(compras_mes103[[#This Row],[CUIT]],Lista_CUIT[#All],3,0)),"CUIT NO CARGADO")</f>
        <v>Recupero P. Ortopedicos</v>
      </c>
      <c r="R97" s="299">
        <f>IFERROR(IF(compras_mes103[[#This Row],[CUIT]]="","-",VLOOKUP(compras_mes103[[#This Row],[CUIT]],Lista_CUIT[#All],4,0)),"CUIT NO CARGADO")</f>
        <v>0</v>
      </c>
    </row>
    <row r="98" spans="2:18" s="242" customFormat="1">
      <c r="B98" s="291">
        <v>45596</v>
      </c>
      <c r="C98" s="305">
        <v>1</v>
      </c>
      <c r="D98" s="292">
        <v>4</v>
      </c>
      <c r="E98" s="293">
        <v>141</v>
      </c>
      <c r="F98" s="294">
        <v>20317488476</v>
      </c>
      <c r="G98" s="295" t="str">
        <f>IFERROR(IF(compras_mes103[[#This Row],[CUIT]]="","-",VLOOKUP(compras_mes103[[#This Row],[CUIT]],Lista_CUIT[#All],2,0)),"CUIT NO CARGADO")</f>
        <v>MIGUEL ANGEL VILLALBA</v>
      </c>
      <c r="H98" s="592">
        <v>300000</v>
      </c>
      <c r="I98" s="297">
        <f>IF(compras_mes103[[#This Row],[NETO GRAVADO]]="","",compras_mes103[[#This Row],[NETO GRAVADO]]*0.21)</f>
        <v>63000</v>
      </c>
      <c r="J98" s="297"/>
      <c r="K98" s="297"/>
      <c r="L98" s="297"/>
      <c r="M98" s="297"/>
      <c r="N98" s="297"/>
      <c r="O98" s="297"/>
      <c r="P98" s="298">
        <f>SUM(compras_mes103[[#This Row],[NETO GRAVADO]:[Otros / No Grav.]])</f>
        <v>363000</v>
      </c>
      <c r="Q98" s="618" t="str">
        <f>IFERROR(IF(compras_mes103[[#This Row],[CUIT]]="","-",VLOOKUP(compras_mes103[[#This Row],[CUIT]],Lista_CUIT[#All],3,0)),"CUIT NO CARGADO")</f>
        <v>Recupero P. Ortopedicos</v>
      </c>
      <c r="R98" s="299">
        <f>IFERROR(IF(compras_mes103[[#This Row],[CUIT]]="","-",VLOOKUP(compras_mes103[[#This Row],[CUIT]],Lista_CUIT[#All],4,0)),"CUIT NO CARGADO")</f>
        <v>0</v>
      </c>
    </row>
    <row r="99" spans="2:18" s="242" customFormat="1">
      <c r="B99" s="40">
        <v>45586</v>
      </c>
      <c r="C99" s="305">
        <v>1</v>
      </c>
      <c r="D99" s="292">
        <v>8</v>
      </c>
      <c r="E99" s="293">
        <v>100796</v>
      </c>
      <c r="F99" s="294">
        <v>30709776564</v>
      </c>
      <c r="G99" s="295" t="str">
        <f>IFERROR(IF(compras_mes103[[#This Row],[CUIT]]="","-",VLOOKUP(compras_mes103[[#This Row],[CUIT]],Lista_CUIT[#All],2,0)),"CUIT NO CARGADO")</f>
        <v>PROSEGUR ACTIVA ARG SA</v>
      </c>
      <c r="H99" s="296">
        <v>129241</v>
      </c>
      <c r="I99" s="297">
        <f>IF(compras_mes103[[#This Row],[NETO GRAVADO]]="","",compras_mes103[[#This Row],[NETO GRAVADO]]*0.21)</f>
        <v>27140.61</v>
      </c>
      <c r="J99" s="297"/>
      <c r="K99" s="297"/>
      <c r="L99" s="297"/>
      <c r="M99" s="297"/>
      <c r="N99" s="297"/>
      <c r="O99" s="297"/>
      <c r="P99" s="298">
        <f>SUM(compras_mes103[[#This Row],[NETO GRAVADO]:[Otros / No Grav.]])</f>
        <v>156381.60999999999</v>
      </c>
      <c r="Q99" s="618" t="str">
        <f>IFERROR(IF(compras_mes103[[#This Row],[CUIT]]="","-",VLOOKUP(compras_mes103[[#This Row],[CUIT]],Lista_CUIT[#All],3,0)),"CUIT NO CARGADO")</f>
        <v>Servicio Seguridad</v>
      </c>
      <c r="R99" s="299">
        <f>IFERROR(IF(compras_mes103[[#This Row],[CUIT]]="","-",VLOOKUP(compras_mes103[[#This Row],[CUIT]],Lista_CUIT[#All],4,0)),"CUIT NO CARGADO")</f>
        <v>0</v>
      </c>
    </row>
    <row r="100" spans="2:18" s="242" customFormat="1">
      <c r="B100" s="291">
        <v>45567</v>
      </c>
      <c r="C100" s="305">
        <v>1</v>
      </c>
      <c r="D100" s="292">
        <v>1</v>
      </c>
      <c r="E100" s="293">
        <v>615464</v>
      </c>
      <c r="F100" s="294">
        <v>33716307749</v>
      </c>
      <c r="G100" s="295" t="str">
        <f>IFERROR(IF(compras_mes103[[#This Row],[CUIT]]="","-",VLOOKUP(compras_mes103[[#This Row],[CUIT]],Lista_CUIT[#All],2,0)),"CUIT NO CARGADO")</f>
        <v>VERISURE ARGENTINA MONITOREO DE ALARMAS SA</v>
      </c>
      <c r="H100" s="296">
        <v>40398.879999999997</v>
      </c>
      <c r="I100" s="297">
        <f>IF(compras_mes103[[#This Row],[NETO GRAVADO]]="","",compras_mes103[[#This Row],[NETO GRAVADO]]*0.21)</f>
        <v>8483.764799999999</v>
      </c>
      <c r="J100" s="297"/>
      <c r="K100" s="297"/>
      <c r="L100" s="297"/>
      <c r="M100" s="297"/>
      <c r="N100" s="297"/>
      <c r="O100" s="297"/>
      <c r="P100" s="298">
        <f>SUM(compras_mes103[[#This Row],[NETO GRAVADO]:[Otros / No Grav.]])</f>
        <v>48882.644799999995</v>
      </c>
      <c r="Q100" s="618" t="str">
        <f>IFERROR(IF(compras_mes103[[#This Row],[CUIT]]="","-",VLOOKUP(compras_mes103[[#This Row],[CUIT]],Lista_CUIT[#All],3,0)),"CUIT NO CARGADO")</f>
        <v>Servicio Seguridad</v>
      </c>
      <c r="R100" s="299">
        <f>IFERROR(IF(compras_mes103[[#This Row],[CUIT]]="","-",VLOOKUP(compras_mes103[[#This Row],[CUIT]],Lista_CUIT[#All],4,0)),"CUIT NO CARGADO")</f>
        <v>0</v>
      </c>
    </row>
    <row r="101" spans="2:18" s="242" customFormat="1">
      <c r="B101" s="291">
        <v>45580</v>
      </c>
      <c r="C101" s="305">
        <v>3</v>
      </c>
      <c r="D101" s="292">
        <v>1</v>
      </c>
      <c r="E101" s="293">
        <v>2238</v>
      </c>
      <c r="F101" s="294">
        <v>33716307749</v>
      </c>
      <c r="G101" s="295" t="str">
        <f>IFERROR(IF(compras_mes103[[#This Row],[CUIT]]="","-",VLOOKUP(compras_mes103[[#This Row],[CUIT]],Lista_CUIT[#All],2,0)),"CUIT NO CARGADO")</f>
        <v>VERISURE ARGENTINA MONITOREO DE ALARMAS SA</v>
      </c>
      <c r="H101" s="296">
        <v>-5399.88</v>
      </c>
      <c r="I101" s="297">
        <f>IF(compras_mes103[[#This Row],[NETO GRAVADO]]="","",compras_mes103[[#This Row],[NETO GRAVADO]]*0.21)</f>
        <v>-1133.9748</v>
      </c>
      <c r="J101" s="297"/>
      <c r="K101" s="297"/>
      <c r="L101" s="297"/>
      <c r="M101" s="297"/>
      <c r="N101" s="297"/>
      <c r="O101" s="297"/>
      <c r="P101" s="298">
        <f>SUM(compras_mes103[[#This Row],[NETO GRAVADO]:[Otros / No Grav.]])</f>
        <v>-6533.8548000000001</v>
      </c>
      <c r="Q101" s="618" t="str">
        <f>IFERROR(IF(compras_mes103[[#This Row],[CUIT]]="","-",VLOOKUP(compras_mes103[[#This Row],[CUIT]],Lista_CUIT[#All],3,0)),"CUIT NO CARGADO")</f>
        <v>Servicio Seguridad</v>
      </c>
      <c r="R101" s="299">
        <f>IFERROR(IF(compras_mes103[[#This Row],[CUIT]]="","-",VLOOKUP(compras_mes103[[#This Row],[CUIT]],Lista_CUIT[#All],4,0)),"CUIT NO CARGADO")</f>
        <v>0</v>
      </c>
    </row>
    <row r="102" spans="2:18" s="242" customFormat="1">
      <c r="B102" s="291">
        <v>45583</v>
      </c>
      <c r="C102" s="305">
        <v>1</v>
      </c>
      <c r="D102" s="292">
        <v>3</v>
      </c>
      <c r="E102" s="293">
        <v>65</v>
      </c>
      <c r="F102" s="294">
        <v>20930857220</v>
      </c>
      <c r="G102" s="295" t="str">
        <f>IFERROR(IF(compras_mes103[[#This Row],[CUIT]]="","-",VLOOKUP(compras_mes103[[#This Row],[CUIT]],Lista_CUIT[#All],2,0)),"CUIT NO CARGADO")</f>
        <v>GARCIA CANO JUAN CARLOS</v>
      </c>
      <c r="H102" s="592">
        <v>8264.48</v>
      </c>
      <c r="I102" s="297">
        <f>IF(compras_mes103[[#This Row],[NETO GRAVADO]]="","",compras_mes103[[#This Row],[NETO GRAVADO]]*0.21)</f>
        <v>1735.5407999999998</v>
      </c>
      <c r="J102" s="297"/>
      <c r="K102" s="297"/>
      <c r="L102" s="297"/>
      <c r="M102" s="297"/>
      <c r="N102" s="297"/>
      <c r="O102" s="297"/>
      <c r="P102" s="298">
        <f>SUM(compras_mes103[[#This Row],[NETO GRAVADO]:[Otros / No Grav.]])</f>
        <v>10000.020799999998</v>
      </c>
      <c r="Q102" s="618" t="str">
        <f>IFERROR(IF(compras_mes103[[#This Row],[CUIT]]="","-",VLOOKUP(compras_mes103[[#This Row],[CUIT]],Lista_CUIT[#All],3,0)),"CUIT NO CARGADO")</f>
        <v>Servicio Transporte</v>
      </c>
      <c r="R102" s="299">
        <f>IFERROR(IF(compras_mes103[[#This Row],[CUIT]]="","-",VLOOKUP(compras_mes103[[#This Row],[CUIT]],Lista_CUIT[#All],4,0)),"CUIT NO CARGADO")</f>
        <v>0</v>
      </c>
    </row>
    <row r="103" spans="2:18" s="242" customFormat="1">
      <c r="B103" s="40">
        <v>45589</v>
      </c>
      <c r="C103" s="305">
        <v>1</v>
      </c>
      <c r="D103" s="90">
        <v>23</v>
      </c>
      <c r="E103" s="91">
        <v>6148</v>
      </c>
      <c r="F103" s="92">
        <v>30711776040</v>
      </c>
      <c r="G103" s="93" t="str">
        <f>IFERROR(IF(compras_mes103[[#This Row],[CUIT]]="","-",VLOOKUP(compras_mes103[[#This Row],[CUIT]],Lista_CUIT[#All],2,0)),"CUIT NO CARGADO")</f>
        <v>EXPRESO BICENTENARIO S.R.L</v>
      </c>
      <c r="H103" s="625">
        <v>12027</v>
      </c>
      <c r="I103" s="297">
        <f>IF(compras_mes103[[#This Row],[NETO GRAVADO]]="","",compras_mes103[[#This Row],[NETO GRAVADO]]*0.21)</f>
        <v>2525.67</v>
      </c>
      <c r="J103" s="86"/>
      <c r="K103" s="86"/>
      <c r="L103" s="86"/>
      <c r="M103" s="86"/>
      <c r="N103" s="86"/>
      <c r="O103" s="86"/>
      <c r="P103" s="298">
        <f>SUM(compras_mes103[[#This Row],[NETO GRAVADO]:[Otros / No Grav.]])</f>
        <v>14552.67</v>
      </c>
      <c r="Q103" s="622" t="str">
        <f>IFERROR(IF(compras_mes103[[#This Row],[CUIT]]="","-",VLOOKUP(compras_mes103[[#This Row],[CUIT]],Lista_CUIT[#All],3,0)),"CUIT NO CARGADO")</f>
        <v>Servicio Transporte</v>
      </c>
      <c r="R103" s="88">
        <f>IFERROR(IF(compras_mes103[[#This Row],[CUIT]]="","-",VLOOKUP(compras_mes103[[#This Row],[CUIT]],Lista_CUIT[#All],4,0)),"CUIT NO CARGADO")</f>
        <v>0</v>
      </c>
    </row>
    <row r="104" spans="2:18">
      <c r="B104" s="291">
        <v>45567</v>
      </c>
      <c r="C104" s="305">
        <v>1</v>
      </c>
      <c r="D104" s="292">
        <v>3051</v>
      </c>
      <c r="E104" s="293">
        <v>823860</v>
      </c>
      <c r="F104" s="294">
        <v>30678814357</v>
      </c>
      <c r="G104" s="295" t="str">
        <f>IFERROR(IF(compras_mes103[[#This Row],[CUIT]]="","-",VLOOKUP(compras_mes103[[#This Row],[CUIT]],Lista_CUIT[#All],2,0)),"CUIT NO CARGADO")</f>
        <v>TELEFONICA MOVILES ARG SA</v>
      </c>
      <c r="H104" s="592">
        <v>34996.67</v>
      </c>
      <c r="I104" s="297"/>
      <c r="J104" s="297">
        <f>compras_mes103[[#This Row],[NETO GRAVADO]]*27/100</f>
        <v>9449.1008999999995</v>
      </c>
      <c r="K104" s="297"/>
      <c r="L104" s="297"/>
      <c r="M104" s="297"/>
      <c r="N104" s="297"/>
      <c r="O104" s="297"/>
      <c r="P104" s="298">
        <f>SUM(compras_mes103[[#This Row],[NETO GRAVADO]:[Otros / No Grav.]])</f>
        <v>44445.770899999996</v>
      </c>
      <c r="Q104" s="618" t="str">
        <f>IFERROR(IF(compras_mes103[[#This Row],[CUIT]]="","-",VLOOKUP(compras_mes103[[#This Row],[CUIT]],Lista_CUIT[#All],3,0)),"CUIT NO CARGADO")</f>
        <v>Servicios Gas-Luz-Agua-Internet</v>
      </c>
      <c r="R104" s="299">
        <f>IFERROR(IF(compras_mes103[[#This Row],[CUIT]]="","-",VLOOKUP(compras_mes103[[#This Row],[CUIT]],Lista_CUIT[#All],4,0)),"CUIT NO CARGADO")</f>
        <v>0</v>
      </c>
    </row>
    <row r="105" spans="2:18">
      <c r="B105" s="40">
        <v>45574</v>
      </c>
      <c r="C105" s="305">
        <v>1</v>
      </c>
      <c r="D105" s="292">
        <v>3101</v>
      </c>
      <c r="E105" s="293">
        <v>185334</v>
      </c>
      <c r="F105" s="294">
        <v>30678814357</v>
      </c>
      <c r="G105" s="295" t="str">
        <f>IFERROR(IF(compras_mes103[[#This Row],[CUIT]]="","-",VLOOKUP(compras_mes103[[#This Row],[CUIT]],Lista_CUIT[#All],2,0)),"CUIT NO CARGADO")</f>
        <v>TELEFONICA MOVILES ARG SA</v>
      </c>
      <c r="H105" s="592">
        <v>58358.69</v>
      </c>
      <c r="I105" s="297"/>
      <c r="J105" s="297">
        <f>compras_mes103[[#This Row],[NETO GRAVADO]]*27/100</f>
        <v>15756.846300000001</v>
      </c>
      <c r="K105" s="297"/>
      <c r="L105" s="297"/>
      <c r="M105" s="297"/>
      <c r="N105" s="297"/>
      <c r="O105" s="297"/>
      <c r="P105" s="298">
        <f>SUM(compras_mes103[[#This Row],[NETO GRAVADO]:[Otros / No Grav.]])</f>
        <v>74115.536300000007</v>
      </c>
      <c r="Q105" s="618" t="str">
        <f>IFERROR(IF(compras_mes103[[#This Row],[CUIT]]="","-",VLOOKUP(compras_mes103[[#This Row],[CUIT]],Lista_CUIT[#All],3,0)),"CUIT NO CARGADO")</f>
        <v>Servicios Gas-Luz-Agua-Internet</v>
      </c>
      <c r="R105" s="299">
        <f>IFERROR(IF(compras_mes103[[#This Row],[CUIT]]="","-",VLOOKUP(compras_mes103[[#This Row],[CUIT]],Lista_CUIT[#All],4,0)),"CUIT NO CARGADO")</f>
        <v>0</v>
      </c>
    </row>
    <row r="106" spans="2:18">
      <c r="B106" s="538">
        <v>45583</v>
      </c>
      <c r="C106" s="539">
        <v>1</v>
      </c>
      <c r="D106" s="540">
        <v>4264</v>
      </c>
      <c r="E106" s="541">
        <v>4521694</v>
      </c>
      <c r="F106" s="542">
        <v>30639453738</v>
      </c>
      <c r="G106" s="543" t="str">
        <f>IFERROR(IF(compras_mes103[[#This Row],[CUIT]]="","-",VLOOKUP(compras_mes103[[#This Row],[CUIT]],Lista_CUIT[#All],2,0)),"CUIT NO CARGADO")</f>
        <v>TELECOM ARGENTINA SA</v>
      </c>
      <c r="H106" s="592">
        <v>25106.400000000001</v>
      </c>
      <c r="I106" s="545">
        <f>IF(compras_mes103[[#This Row],[NETO GRAVADO]]="","",compras_mes103[[#This Row],[NETO GRAVADO]]*0.21)</f>
        <v>5272.3440000000001</v>
      </c>
      <c r="J106" s="545"/>
      <c r="K106" s="545"/>
      <c r="L106" s="545"/>
      <c r="M106" s="545"/>
      <c r="N106" s="545"/>
      <c r="O106" s="545"/>
      <c r="P106" s="546">
        <f>SUM(compras_mes103[[#This Row],[NETO GRAVADO]:[Otros / No Grav.]])</f>
        <v>30378.744000000002</v>
      </c>
      <c r="Q106" s="621" t="str">
        <f>IFERROR(IF(compras_mes103[[#This Row],[CUIT]]="","-",VLOOKUP(compras_mes103[[#This Row],[CUIT]],Lista_CUIT[#All],3,0)),"CUIT NO CARGADO")</f>
        <v>Servicios Gas-Luz-Agua-Internet</v>
      </c>
      <c r="R106" s="547">
        <f>IFERROR(IF(compras_mes103[[#This Row],[CUIT]]="","-",VLOOKUP(compras_mes103[[#This Row],[CUIT]],Lista_CUIT[#All],4,0)),"CUIT NO CARGADO")</f>
        <v>0</v>
      </c>
    </row>
    <row r="107" spans="2:18">
      <c r="B107" s="291">
        <v>45587</v>
      </c>
      <c r="C107" s="305">
        <v>1</v>
      </c>
      <c r="D107" s="292">
        <v>5</v>
      </c>
      <c r="E107" s="293">
        <v>3148753</v>
      </c>
      <c r="F107" s="294">
        <v>30702652975</v>
      </c>
      <c r="G107" s="295" t="str">
        <f>IFERROR(IF(compras_mes103[[#This Row],[CUIT]]="","-",VLOOKUP(compras_mes103[[#This Row],[CUIT]],Lista_CUIT[#All],2,0)),"CUIT NO CARGADO")</f>
        <v>NSS SA</v>
      </c>
      <c r="H107" s="592">
        <v>28528.6</v>
      </c>
      <c r="I107" s="297">
        <f>IF(compras_mes103[[#This Row],[NETO GRAVADO]]="","",compras_mes103[[#This Row],[NETO GRAVADO]]*0.21)</f>
        <v>5991.0059999999994</v>
      </c>
      <c r="J107" s="297"/>
      <c r="K107" s="297"/>
      <c r="L107" s="297"/>
      <c r="M107" s="297"/>
      <c r="N107" s="297"/>
      <c r="O107" s="297"/>
      <c r="P107" s="298">
        <f>SUM(compras_mes103[[#This Row],[NETO GRAVADO]:[Otros / No Grav.]])</f>
        <v>34519.606</v>
      </c>
      <c r="Q107" s="618" t="str">
        <f>IFERROR(IF(compras_mes103[[#This Row],[CUIT]]="","-",VLOOKUP(compras_mes103[[#This Row],[CUIT]],Lista_CUIT[#All],3,0)),"CUIT NO CARGADO")</f>
        <v>Servicios Gas-Luz-Agua-Internet</v>
      </c>
      <c r="R107" s="299">
        <f>IFERROR(IF(compras_mes103[[#This Row],[CUIT]]="","-",VLOOKUP(compras_mes103[[#This Row],[CUIT]],Lista_CUIT[#All],4,0)),"CUIT NO CARGADO")</f>
        <v>0</v>
      </c>
    </row>
    <row r="108" spans="2:18">
      <c r="B108" s="95" t="s">
        <v>110</v>
      </c>
      <c r="C108" s="95"/>
      <c r="D108" s="95"/>
      <c r="E108" s="95"/>
      <c r="F108" s="95"/>
      <c r="G108" s="96"/>
      <c r="H108" s="97">
        <f>SUBTOTAL(109,compras_mes103[NETO GRAVADO])</f>
        <v>30210075.670000002</v>
      </c>
      <c r="I108" s="97">
        <f>SUBTOTAL(109,compras_mes103[IVA 21 %])</f>
        <v>5825642.3316000002</v>
      </c>
      <c r="J108" s="97">
        <f>SUBTOTAL(109,compras_mes103[IVA 27%])</f>
        <v>25205.947200000002</v>
      </c>
      <c r="K108" s="97">
        <f>SUBTOTAL(109,compras_mes103[IVA 10,5%])</f>
        <v>249434.46674999996</v>
      </c>
      <c r="L108" s="97">
        <f>SUBTOTAL(109,compras_mes103[PERC. IVA])</f>
        <v>0</v>
      </c>
      <c r="M108" s="97">
        <f>SUBTOTAL(109,compras_mes103[PERC IIBB 
BS AS])</f>
        <v>650.1</v>
      </c>
      <c r="N108" s="97">
        <f>SUBTOTAL(109,compras_mes103[PERC. IIBB CABA])</f>
        <v>98159.69</v>
      </c>
      <c r="O108" s="97">
        <f>SUBTOTAL(109,compras_mes103[Otros / No Grav.])</f>
        <v>102751.52999999998</v>
      </c>
      <c r="P108" s="97">
        <f>SUBTOTAL(109,compras_mes103[TOTAL])</f>
        <v>36511919.735550009</v>
      </c>
      <c r="Q108" s="624"/>
      <c r="R108" s="95"/>
    </row>
    <row r="109" spans="2:18">
      <c r="B109" s="40"/>
      <c r="C109" s="41"/>
      <c r="D109" s="42"/>
      <c r="E109" s="43"/>
      <c r="F109" s="44"/>
      <c r="G109" s="45"/>
      <c r="H109" s="46"/>
      <c r="I109" s="47"/>
      <c r="J109" s="47"/>
      <c r="K109" s="47"/>
      <c r="L109" s="47"/>
      <c r="M109" s="47"/>
      <c r="N109" s="47"/>
      <c r="O109" s="47"/>
      <c r="P109" s="48"/>
      <c r="Q109" s="610"/>
      <c r="R109" s="49"/>
    </row>
    <row r="110" spans="2:18">
      <c r="B110" s="40"/>
      <c r="C110" s="41"/>
      <c r="D110" s="42"/>
      <c r="E110" s="43"/>
      <c r="F110" s="44"/>
      <c r="G110" s="45"/>
      <c r="H110" s="46"/>
      <c r="I110" s="47"/>
      <c r="J110" s="47"/>
      <c r="K110" s="47"/>
      <c r="L110" s="47"/>
      <c r="M110" s="47"/>
      <c r="N110" s="47"/>
      <c r="O110" s="47"/>
      <c r="P110" s="48"/>
      <c r="Q110" s="610"/>
      <c r="R110" s="49"/>
    </row>
    <row r="111" spans="2:18">
      <c r="B111" s="40"/>
      <c r="C111" s="41"/>
      <c r="D111" s="42"/>
      <c r="E111" s="43"/>
      <c r="F111" s="44"/>
      <c r="G111" s="45"/>
      <c r="H111" s="46"/>
      <c r="I111" s="47"/>
      <c r="J111" s="47"/>
      <c r="K111" s="47"/>
      <c r="L111" s="47"/>
      <c r="M111" s="47"/>
      <c r="N111" s="47"/>
      <c r="O111" s="47"/>
      <c r="P111" s="48"/>
      <c r="Q111" s="610"/>
      <c r="R111" s="49"/>
    </row>
    <row r="112" spans="2:18">
      <c r="B112" s="40"/>
      <c r="C112" s="41"/>
      <c r="D112" s="42"/>
      <c r="E112" s="43"/>
      <c r="F112" s="44"/>
      <c r="G112" s="45"/>
      <c r="H112" s="46"/>
      <c r="I112" s="47"/>
      <c r="J112" s="47"/>
      <c r="K112" s="47"/>
      <c r="L112" s="47"/>
    </row>
    <row r="113" spans="4:12" ht="21">
      <c r="D113" s="665" t="s">
        <v>15</v>
      </c>
      <c r="E113" s="665"/>
      <c r="F113" s="665"/>
      <c r="G113" s="665"/>
      <c r="H113" s="665"/>
      <c r="I113" s="665"/>
      <c r="J113" s="665"/>
      <c r="K113" s="665"/>
      <c r="L113" s="665"/>
    </row>
    <row r="114" spans="4:12" ht="15.75">
      <c r="D114" s="73" t="s">
        <v>0</v>
      </c>
      <c r="E114" s="74" t="s">
        <v>26</v>
      </c>
      <c r="F114" s="74" t="s">
        <v>16</v>
      </c>
      <c r="G114" s="74" t="s">
        <v>5</v>
      </c>
      <c r="H114" s="74" t="s">
        <v>17</v>
      </c>
      <c r="I114" s="74" t="s">
        <v>7</v>
      </c>
      <c r="J114" s="75" t="s">
        <v>18</v>
      </c>
      <c r="K114" s="75" t="s">
        <v>19</v>
      </c>
      <c r="L114" s="76" t="s">
        <v>20</v>
      </c>
    </row>
    <row r="115" spans="4:12">
      <c r="D115" s="50">
        <v>45596</v>
      </c>
      <c r="E115" s="80">
        <v>541124989</v>
      </c>
      <c r="F115" s="80" t="s">
        <v>2169</v>
      </c>
      <c r="G115" s="81">
        <v>23510</v>
      </c>
      <c r="H115" s="81">
        <f>extracto_banco_mes1055[[#This Row],[NETO]]*0.21</f>
        <v>4937.0999999999995</v>
      </c>
      <c r="I115" s="81"/>
      <c r="J115" s="81"/>
      <c r="K115" s="81">
        <v>600</v>
      </c>
      <c r="L115" s="81">
        <v>1000</v>
      </c>
    </row>
    <row r="116" spans="4:12">
      <c r="D116" s="50">
        <v>45596</v>
      </c>
      <c r="E116" s="80">
        <v>31102024</v>
      </c>
      <c r="F116" s="80" t="s">
        <v>2170</v>
      </c>
      <c r="G116" s="517">
        <v>29740</v>
      </c>
      <c r="H116" s="517">
        <f>extracto_banco_mes1055[[#This Row],[NETO]]*0.21</f>
        <v>6245.4</v>
      </c>
      <c r="I116" s="517"/>
      <c r="J116" s="517"/>
      <c r="K116" s="517">
        <v>840</v>
      </c>
      <c r="L116" s="517"/>
    </row>
    <row r="117" spans="4:12">
      <c r="D117" s="50"/>
      <c r="E117" s="80"/>
      <c r="F117" s="80"/>
      <c r="G117" s="81"/>
      <c r="H117" s="81">
        <f>extracto_banco_mes1055[[#This Row],[NETO]]*0.21</f>
        <v>0</v>
      </c>
      <c r="I117" s="81"/>
      <c r="J117" s="81"/>
      <c r="K117" s="81"/>
      <c r="L117" s="81"/>
    </row>
    <row r="118" spans="4:12">
      <c r="D118" s="82" t="s">
        <v>110</v>
      </c>
      <c r="E118" s="80"/>
      <c r="F118" s="80"/>
      <c r="G118" s="83">
        <f>SUBTOTAL(109,extracto_banco_mes1055[NETO])</f>
        <v>53250</v>
      </c>
      <c r="H118" s="83">
        <f>SUBTOTAL(109,extracto_banco_mes1055[IVA 21%])</f>
        <v>11182.5</v>
      </c>
      <c r="I118" s="83">
        <f>SUBTOTAL(109,extracto_banco_mes1055[IVA 10,5%])</f>
        <v>0</v>
      </c>
      <c r="J118" s="83">
        <f>SUBTOTAL(109,extracto_banco_mes1055[RET IIBB CABA])</f>
        <v>0</v>
      </c>
      <c r="K118" s="83">
        <f>SUBTOTAL(109,extracto_banco_mes1055[PERC IVA])</f>
        <v>1440</v>
      </c>
      <c r="L118" s="83">
        <f>SUBTOTAL(109,extracto_banco_mes1055[PERC IIBB])</f>
        <v>1000</v>
      </c>
    </row>
    <row r="122" spans="4:12" ht="21">
      <c r="D122" s="665" t="s">
        <v>25</v>
      </c>
      <c r="E122" s="665"/>
      <c r="F122" s="665"/>
      <c r="G122" s="665"/>
      <c r="H122" s="665"/>
      <c r="I122" s="665"/>
      <c r="J122" s="665"/>
      <c r="K122" s="665"/>
    </row>
    <row r="123" spans="4:12">
      <c r="D123" s="51" t="s">
        <v>0</v>
      </c>
      <c r="E123" s="51" t="s">
        <v>2</v>
      </c>
      <c r="F123" s="51" t="s">
        <v>74</v>
      </c>
      <c r="G123" s="51" t="s">
        <v>3</v>
      </c>
      <c r="H123" s="51" t="s">
        <v>4</v>
      </c>
      <c r="I123" s="52" t="s">
        <v>10</v>
      </c>
      <c r="J123" s="51" t="s">
        <v>13</v>
      </c>
      <c r="K123" s="51" t="s">
        <v>38</v>
      </c>
    </row>
    <row r="124" spans="4:12">
      <c r="D124" s="291">
        <v>45567</v>
      </c>
      <c r="E124" s="300">
        <v>1</v>
      </c>
      <c r="F124" s="300">
        <v>8</v>
      </c>
      <c r="G124" s="301">
        <v>27443612713</v>
      </c>
      <c r="H124" s="302" t="str">
        <f>IFERROR(IF(factura_c_mes1052[[#This Row],[CUIT]]="","-",VLOOKUP(factura_c_mes1052[[#This Row],[CUIT]],Lista_CUIT[#All],2,0)),"CUIT NO CARGADO")</f>
        <v>MIGOYA MORIONDO SOFIA</v>
      </c>
      <c r="I124" s="176">
        <v>750000</v>
      </c>
      <c r="J124" s="304" t="str">
        <f>IFERROR(IF(factura_c_mes1052[[#This Row],[CUIT]]="","-",VLOOKUP(factura_c_mes1052[[#This Row],[CUIT]],Lista_CUIT[#All],3,0)),"CUIT NO CARGADO")</f>
        <v>Alquiler</v>
      </c>
      <c r="K124" s="304">
        <f>IFERROR(IF(factura_c_mes1052[[#This Row],[CUIT]]="","-",VLOOKUP(factura_c_mes1052[[#This Row],[CUIT]],Lista_CUIT[#All],4,0)),"CUIT NO CARGADO")</f>
        <v>0</v>
      </c>
    </row>
    <row r="125" spans="4:12">
      <c r="D125" s="291">
        <v>45566</v>
      </c>
      <c r="E125" s="300">
        <v>5</v>
      </c>
      <c r="F125" s="300">
        <v>170</v>
      </c>
      <c r="G125" s="301">
        <v>27062343449</v>
      </c>
      <c r="H125" s="302" t="str">
        <f>IFERROR(IF(factura_c_mes1052[[#This Row],[CUIT]]="","-",VLOOKUP(factura_c_mes1052[[#This Row],[CUIT]],Lista_CUIT[#All],2,0)),"CUIT NO CARGADO")</f>
        <v>FERREIRS LILISNS INES</v>
      </c>
      <c r="I125" s="176">
        <v>250000</v>
      </c>
      <c r="J125" s="304" t="str">
        <f>IFERROR(IF(factura_c_mes1052[[#This Row],[CUIT]]="","-",VLOOKUP(factura_c_mes1052[[#This Row],[CUIT]],Lista_CUIT[#All],3,0)),"CUIT NO CARGADO")</f>
        <v>ALQUILERES PAGADOS</v>
      </c>
      <c r="K125" s="304">
        <f>IFERROR(IF(factura_c_mes1052[[#This Row],[CUIT]]="","-",VLOOKUP(factura_c_mes1052[[#This Row],[CUIT]],Lista_CUIT[#All],4,0)),"CUIT NO CARGADO")</f>
        <v>0</v>
      </c>
    </row>
    <row r="126" spans="4:12">
      <c r="D126" s="291">
        <v>45569</v>
      </c>
      <c r="E126" s="300">
        <v>5</v>
      </c>
      <c r="F126" s="300">
        <v>171</v>
      </c>
      <c r="G126" s="301">
        <v>27062343449</v>
      </c>
      <c r="H126" s="302" t="str">
        <f>IFERROR(IF(factura_c_mes1052[[#This Row],[CUIT]]="","-",VLOOKUP(factura_c_mes1052[[#This Row],[CUIT]],Lista_CUIT[#All],2,0)),"CUIT NO CARGADO")</f>
        <v>FERREIRS LILISNS INES</v>
      </c>
      <c r="I126" s="176">
        <v>100000</v>
      </c>
      <c r="J126" s="304" t="str">
        <f>IFERROR(IF(factura_c_mes1052[[#This Row],[CUIT]]="","-",VLOOKUP(factura_c_mes1052[[#This Row],[CUIT]],Lista_CUIT[#All],3,0)),"CUIT NO CARGADO")</f>
        <v>ALQUILERES PAGADOS</v>
      </c>
      <c r="K126" s="304">
        <f>IFERROR(IF(factura_c_mes1052[[#This Row],[CUIT]]="","-",VLOOKUP(factura_c_mes1052[[#This Row],[CUIT]],Lista_CUIT[#All],4,0)),"CUIT NO CARGADO")</f>
        <v>0</v>
      </c>
    </row>
    <row r="127" spans="4:12">
      <c r="D127" s="291">
        <v>45583</v>
      </c>
      <c r="E127" s="300">
        <v>1</v>
      </c>
      <c r="F127" s="300">
        <v>15</v>
      </c>
      <c r="G127" s="301">
        <v>27443612705</v>
      </c>
      <c r="H127" s="302" t="str">
        <f>IFERROR(IF(factura_c_mes1052[[#This Row],[CUIT]]="","-",VLOOKUP(factura_c_mes1052[[#This Row],[CUIT]],Lista_CUIT[#All],2,0)),"CUIT NO CARGADO")</f>
        <v>MIGOYA MORIONDO MARIA INES</v>
      </c>
      <c r="I127" s="176">
        <v>800000</v>
      </c>
      <c r="J127" s="304" t="str">
        <f>IFERROR(IF(factura_c_mes1052[[#This Row],[CUIT]]="","-",VLOOKUP(factura_c_mes1052[[#This Row],[CUIT]],Lista_CUIT[#All],3,0)),"CUIT NO CARGADO")</f>
        <v>ALQUILERES PAGADOS</v>
      </c>
      <c r="K127" s="304">
        <f>IFERROR(IF(factura_c_mes1052[[#This Row],[CUIT]]="","-",VLOOKUP(factura_c_mes1052[[#This Row],[CUIT]],Lista_CUIT[#All],4,0)),"CUIT NO CARGADO")</f>
        <v>0</v>
      </c>
    </row>
    <row r="128" spans="4:12">
      <c r="D128" s="291">
        <v>45590</v>
      </c>
      <c r="E128" s="300">
        <v>2</v>
      </c>
      <c r="F128" s="300">
        <v>156</v>
      </c>
      <c r="G128" s="301">
        <v>27179026967</v>
      </c>
      <c r="H128" s="302" t="str">
        <f>IFERROR(IF(factura_c_mes1052[[#This Row],[CUIT]]="","-",VLOOKUP(factura_c_mes1052[[#This Row],[CUIT]],Lista_CUIT[#All],2,0)),"CUIT NO CARGADO")</f>
        <v>ARABIA FABIANA</v>
      </c>
      <c r="I128" s="176">
        <v>100430</v>
      </c>
      <c r="J128" s="304" t="str">
        <f>IFERROR(IF(factura_c_mes1052[[#This Row],[CUIT]]="","-",VLOOKUP(factura_c_mes1052[[#This Row],[CUIT]],Lista_CUIT[#All],3,0)),"CUIT NO CARGADO")</f>
        <v>GASTOS ADMINISTRATIVOS</v>
      </c>
      <c r="K128" s="304">
        <f>IFERROR(IF(factura_c_mes1052[[#This Row],[CUIT]]="","-",VLOOKUP(factura_c_mes1052[[#This Row],[CUIT]],Lista_CUIT[#All],4,0)),"CUIT NO CARGADO")</f>
        <v>0</v>
      </c>
    </row>
    <row r="129" spans="2:18">
      <c r="D129" s="291">
        <v>45583</v>
      </c>
      <c r="E129" s="300">
        <v>1</v>
      </c>
      <c r="F129" s="300">
        <v>254</v>
      </c>
      <c r="G129" s="301">
        <v>27217606255</v>
      </c>
      <c r="H129" s="302" t="str">
        <f>IFERROR(IF(factura_c_mes1052[[#This Row],[CUIT]]="","-",VLOOKUP(factura_c_mes1052[[#This Row],[CUIT]],Lista_CUIT[#All],2,0)),"CUIT NO CARGADO")</f>
        <v>SAPUNA MARIAN KARINA</v>
      </c>
      <c r="I129" s="176">
        <v>163808.35</v>
      </c>
      <c r="J129" s="304" t="str">
        <f>IFERROR(IF(factura_c_mes1052[[#This Row],[CUIT]]="","-",VLOOKUP(factura_c_mes1052[[#This Row],[CUIT]],Lista_CUIT[#All],3,0)),"CUIT NO CARGADO")</f>
        <v>MANTENIMIENTO</v>
      </c>
      <c r="K129" s="304">
        <f>IFERROR(IF(factura_c_mes1052[[#This Row],[CUIT]]="","-",VLOOKUP(factura_c_mes1052[[#This Row],[CUIT]],Lista_CUIT[#All],4,0)),"CUIT NO CARGADO")</f>
        <v>0</v>
      </c>
    </row>
    <row r="130" spans="2:18">
      <c r="D130" s="291">
        <v>45584</v>
      </c>
      <c r="E130" s="300">
        <v>1</v>
      </c>
      <c r="F130" s="300">
        <v>255</v>
      </c>
      <c r="G130" s="301">
        <v>27217606255</v>
      </c>
      <c r="H130" s="302" t="str">
        <f>IFERROR(IF(factura_c_mes1052[[#This Row],[CUIT]]="","-",VLOOKUP(factura_c_mes1052[[#This Row],[CUIT]],Lista_CUIT[#All],2,0)),"CUIT NO CARGADO")</f>
        <v>SAPUNA MARIAN KARINA</v>
      </c>
      <c r="I130" s="176">
        <v>105993.64</v>
      </c>
      <c r="J130" s="304" t="str">
        <f>IFERROR(IF(factura_c_mes1052[[#This Row],[CUIT]]="","-",VLOOKUP(factura_c_mes1052[[#This Row],[CUIT]],Lista_CUIT[#All],3,0)),"CUIT NO CARGADO")</f>
        <v>MANTENIMIENTO</v>
      </c>
      <c r="K130" s="304">
        <f>IFERROR(IF(factura_c_mes1052[[#This Row],[CUIT]]="","-",VLOOKUP(factura_c_mes1052[[#This Row],[CUIT]],Lista_CUIT[#All],4,0)),"CUIT NO CARGADO")</f>
        <v>0</v>
      </c>
    </row>
    <row r="131" spans="2:18">
      <c r="D131" s="291">
        <v>45586</v>
      </c>
      <c r="E131" s="300">
        <v>1</v>
      </c>
      <c r="F131" s="300">
        <v>256</v>
      </c>
      <c r="G131" s="301">
        <v>27217606255</v>
      </c>
      <c r="H131" s="302" t="str">
        <f>IFERROR(IF(factura_c_mes1052[[#This Row],[CUIT]]="","-",VLOOKUP(factura_c_mes1052[[#This Row],[CUIT]],Lista_CUIT[#All],2,0)),"CUIT NO CARGADO")</f>
        <v>SAPUNA MARIAN KARINA</v>
      </c>
      <c r="I131" s="176">
        <v>115629.42</v>
      </c>
      <c r="J131" s="304" t="str">
        <f>IFERROR(IF(factura_c_mes1052[[#This Row],[CUIT]]="","-",VLOOKUP(factura_c_mes1052[[#This Row],[CUIT]],Lista_CUIT[#All],3,0)),"CUIT NO CARGADO")</f>
        <v>MANTENIMIENTO</v>
      </c>
      <c r="K131" s="304">
        <f>IFERROR(IF(factura_c_mes1052[[#This Row],[CUIT]]="","-",VLOOKUP(factura_c_mes1052[[#This Row],[CUIT]],Lista_CUIT[#All],4,0)),"CUIT NO CARGADO")</f>
        <v>0</v>
      </c>
    </row>
    <row r="132" spans="2:18">
      <c r="D132" s="291">
        <v>45586</v>
      </c>
      <c r="E132" s="300">
        <v>1</v>
      </c>
      <c r="F132" s="300">
        <v>257</v>
      </c>
      <c r="G132" s="301">
        <v>27217606255</v>
      </c>
      <c r="H132" s="302" t="str">
        <f>IFERROR(IF(factura_c_mes1052[[#This Row],[CUIT]]="","-",VLOOKUP(factura_c_mes1052[[#This Row],[CUIT]],Lista_CUIT[#All],2,0)),"CUIT NO CARGADO")</f>
        <v>SAPUNA MARIAN KARINA</v>
      </c>
      <c r="I132" s="176">
        <v>96357.85</v>
      </c>
      <c r="J132" s="304" t="str">
        <f>IFERROR(IF(factura_c_mes1052[[#This Row],[CUIT]]="","-",VLOOKUP(factura_c_mes1052[[#This Row],[CUIT]],Lista_CUIT[#All],3,0)),"CUIT NO CARGADO")</f>
        <v>MANTENIMIENTO</v>
      </c>
      <c r="K132" s="304">
        <f>IFERROR(IF(factura_c_mes1052[[#This Row],[CUIT]]="","-",VLOOKUP(factura_c_mes1052[[#This Row],[CUIT]],Lista_CUIT[#All],4,0)),"CUIT NO CARGADO")</f>
        <v>0</v>
      </c>
    </row>
    <row r="133" spans="2:18" ht="19.350000000000001" customHeight="1">
      <c r="D133" s="291">
        <v>45593</v>
      </c>
      <c r="E133" s="300">
        <v>1</v>
      </c>
      <c r="F133" s="300">
        <v>258</v>
      </c>
      <c r="G133" s="301">
        <v>27217606255</v>
      </c>
      <c r="H133" s="302" t="str">
        <f>IFERROR(IF(factura_c_mes1052[[#This Row],[CUIT]]="","-",VLOOKUP(factura_c_mes1052[[#This Row],[CUIT]],Lista_CUIT[#All],2,0)),"CUIT NO CARGADO")</f>
        <v>SAPUNA MARIAN KARINA</v>
      </c>
      <c r="I133" s="176">
        <v>62373.760000000002</v>
      </c>
      <c r="J133" s="304" t="str">
        <f>IFERROR(IF(factura_c_mes1052[[#This Row],[CUIT]]="","-",VLOOKUP(factura_c_mes1052[[#This Row],[CUIT]],Lista_CUIT[#All],3,0)),"CUIT NO CARGADO")</f>
        <v>MANTENIMIENTO</v>
      </c>
      <c r="K133" s="304">
        <f>IFERROR(IF(factura_c_mes1052[[#This Row],[CUIT]]="","-",VLOOKUP(factura_c_mes1052[[#This Row],[CUIT]],Lista_CUIT[#All],4,0)),"CUIT NO CARGADO")</f>
        <v>0</v>
      </c>
    </row>
    <row r="134" spans="2:18">
      <c r="D134" s="291">
        <v>45593</v>
      </c>
      <c r="E134" s="300">
        <v>1</v>
      </c>
      <c r="F134" s="300">
        <v>259</v>
      </c>
      <c r="G134" s="301">
        <v>27217606255</v>
      </c>
      <c r="H134" s="302" t="str">
        <f>IFERROR(IF(factura_c_mes1052[[#This Row],[CUIT]]="","-",VLOOKUP(factura_c_mes1052[[#This Row],[CUIT]],Lista_CUIT[#All],2,0)),"CUIT NO CARGADO")</f>
        <v>SAPUNA MARIAN KARINA</v>
      </c>
      <c r="I134" s="176">
        <v>55245.33</v>
      </c>
      <c r="J134" s="304" t="str">
        <f>IFERROR(IF(factura_c_mes1052[[#This Row],[CUIT]]="","-",VLOOKUP(factura_c_mes1052[[#This Row],[CUIT]],Lista_CUIT[#All],3,0)),"CUIT NO CARGADO")</f>
        <v>MANTENIMIENTO</v>
      </c>
      <c r="K134" s="304">
        <f>IFERROR(IF(factura_c_mes1052[[#This Row],[CUIT]]="","-",VLOOKUP(factura_c_mes1052[[#This Row],[CUIT]],Lista_CUIT[#All],4,0)),"CUIT NO CARGADO")</f>
        <v>0</v>
      </c>
    </row>
    <row r="135" spans="2:18">
      <c r="D135" s="291">
        <v>45593</v>
      </c>
      <c r="E135" s="300">
        <v>1</v>
      </c>
      <c r="F135" s="300">
        <v>260</v>
      </c>
      <c r="G135" s="301">
        <v>27217606255</v>
      </c>
      <c r="H135" s="302" t="str">
        <f>IFERROR(IF(factura_c_mes1052[[#This Row],[CUIT]]="","-",VLOOKUP(factura_c_mes1052[[#This Row],[CUIT]],Lista_CUIT[#All],2,0)),"CUIT NO CARGADO")</f>
        <v>SAPUNA MARIAN KARINA</v>
      </c>
      <c r="I135" s="176">
        <v>60591.65</v>
      </c>
      <c r="J135" s="304" t="str">
        <f>IFERROR(IF(factura_c_mes1052[[#This Row],[CUIT]]="","-",VLOOKUP(factura_c_mes1052[[#This Row],[CUIT]],Lista_CUIT[#All],3,0)),"CUIT NO CARGADO")</f>
        <v>MANTENIMIENTO</v>
      </c>
      <c r="K135" s="304">
        <f>IFERROR(IF(factura_c_mes1052[[#This Row],[CUIT]]="","-",VLOOKUP(factura_c_mes1052[[#This Row],[CUIT]],Lista_CUIT[#All],4,0)),"CUIT NO CARGADO")</f>
        <v>0</v>
      </c>
    </row>
    <row r="136" spans="2:18">
      <c r="D136" s="291">
        <v>45568</v>
      </c>
      <c r="E136" s="300">
        <v>3</v>
      </c>
      <c r="F136" s="300">
        <v>882</v>
      </c>
      <c r="G136" s="301">
        <v>20086277523</v>
      </c>
      <c r="H136" s="302" t="str">
        <f>IFERROR(IF(factura_c_mes1052[[#This Row],[CUIT]]="","-",VLOOKUP(factura_c_mes1052[[#This Row],[CUIT]],Lista_CUIT[#All],2,0)),"CUIT NO CARGADO")</f>
        <v>BOTINDARI JUAN CARLOS</v>
      </c>
      <c r="I136" s="176">
        <v>275500</v>
      </c>
      <c r="J136" s="304" t="str">
        <f>IFERROR(IF(factura_c_mes1052[[#This Row],[CUIT]]="","-",VLOOKUP(factura_c_mes1052[[#This Row],[CUIT]],Lista_CUIT[#All],3,0)),"CUIT NO CARGADO")</f>
        <v>HONORARIOS</v>
      </c>
      <c r="K136" s="304">
        <f>IFERROR(IF(factura_c_mes1052[[#This Row],[CUIT]]="","-",VLOOKUP(factura_c_mes1052[[#This Row],[CUIT]],Lista_CUIT[#All],4,0)),"CUIT NO CARGADO")</f>
        <v>0</v>
      </c>
    </row>
    <row r="137" spans="2:18">
      <c r="D137" s="291">
        <v>45574</v>
      </c>
      <c r="E137" s="300">
        <v>1</v>
      </c>
      <c r="F137" s="300">
        <v>73</v>
      </c>
      <c r="G137" s="301">
        <v>23281233084</v>
      </c>
      <c r="H137" s="302" t="str">
        <f>IFERROR(IF(factura_c_mes1052[[#This Row],[CUIT]]="","-",VLOOKUP(factura_c_mes1052[[#This Row],[CUIT]],Lista_CUIT[#All],2,0)),"CUIT NO CARGADO")</f>
        <v>DRUETTA ANDREA MARIEL</v>
      </c>
      <c r="I137" s="176">
        <v>230000</v>
      </c>
      <c r="J137" s="304" t="str">
        <f>IFERROR(IF(factura_c_mes1052[[#This Row],[CUIT]]="","-",VLOOKUP(factura_c_mes1052[[#This Row],[CUIT]],Lista_CUIT[#All],3,0)),"CUIT NO CARGADO")</f>
        <v>HONORARIOS TECNICOS</v>
      </c>
      <c r="K137" s="304">
        <f>IFERROR(IF(factura_c_mes1052[[#This Row],[CUIT]]="","-",VLOOKUP(factura_c_mes1052[[#This Row],[CUIT]],Lista_CUIT[#All],4,0)),"CUIT NO CARGADO")</f>
        <v>0</v>
      </c>
    </row>
    <row r="138" spans="2:18">
      <c r="D138" s="291">
        <v>45574</v>
      </c>
      <c r="E138" s="300">
        <v>1</v>
      </c>
      <c r="F138" s="300">
        <v>72</v>
      </c>
      <c r="G138" s="301">
        <v>23281233084</v>
      </c>
      <c r="H138" s="302" t="str">
        <f>IFERROR(IF(factura_c_mes1052[[#This Row],[CUIT]]="","-",VLOOKUP(factura_c_mes1052[[#This Row],[CUIT]],Lista_CUIT[#All],2,0)),"CUIT NO CARGADO")</f>
        <v>DRUETTA ANDREA MARIEL</v>
      </c>
      <c r="I138" s="176">
        <v>44200</v>
      </c>
      <c r="J138" s="304" t="str">
        <f>IFERROR(IF(factura_c_mes1052[[#This Row],[CUIT]]="","-",VLOOKUP(factura_c_mes1052[[#This Row],[CUIT]],Lista_CUIT[#All],3,0)),"CUIT NO CARGADO")</f>
        <v>HONORARIOS TECNICOS</v>
      </c>
      <c r="K138" s="304">
        <f>IFERROR(IF(factura_c_mes1052[[#This Row],[CUIT]]="","-",VLOOKUP(factura_c_mes1052[[#This Row],[CUIT]],Lista_CUIT[#All],4,0)),"CUIT NO CARGADO")</f>
        <v>0</v>
      </c>
    </row>
    <row r="139" spans="2:18">
      <c r="D139" s="291">
        <v>45569</v>
      </c>
      <c r="E139" s="300">
        <v>1</v>
      </c>
      <c r="F139" s="300">
        <v>12</v>
      </c>
      <c r="G139" s="301">
        <v>20464199633</v>
      </c>
      <c r="H139" s="302" t="str">
        <f>IFERROR(IF(factura_c_mes1052[[#This Row],[CUIT]]="","-",VLOOKUP(factura_c_mes1052[[#This Row],[CUIT]],Lista_CUIT[#All],2,0)),"CUIT NO CARGADO")</f>
        <v>OVIEDO JIMENEZ TIZIANO LIONEL</v>
      </c>
      <c r="I139" s="176">
        <v>422450</v>
      </c>
      <c r="J139" s="304" t="str">
        <f>IFERROR(IF(factura_c_mes1052[[#This Row],[CUIT]]="","-",VLOOKUP(factura_c_mes1052[[#This Row],[CUIT]],Lista_CUIT[#All],3,0)),"CUIT NO CARGADO")</f>
        <v>Productos Ortopedicos</v>
      </c>
      <c r="K139" s="304">
        <f>IFERROR(IF(factura_c_mes1052[[#This Row],[CUIT]]="","-",VLOOKUP(factura_c_mes1052[[#This Row],[CUIT]],Lista_CUIT[#All],4,0)),"CUIT NO CARGADO")</f>
        <v>0</v>
      </c>
    </row>
    <row r="140" spans="2:18">
      <c r="D140" s="291">
        <v>45572</v>
      </c>
      <c r="E140" s="300">
        <v>2</v>
      </c>
      <c r="F140" s="300">
        <v>307</v>
      </c>
      <c r="G140" s="301">
        <v>27265832178</v>
      </c>
      <c r="H140" s="302" t="str">
        <f>IFERROR(IF(factura_c_mes1052[[#This Row],[CUIT]]="","-",VLOOKUP(factura_c_mes1052[[#This Row],[CUIT]],Lista_CUIT[#All],2,0)),"CUIT NO CARGADO")</f>
        <v>BLASCO MARIA GUADALUPE</v>
      </c>
      <c r="I140" s="176">
        <v>3200000</v>
      </c>
      <c r="J140" s="304" t="str">
        <f>IFERROR(IF(factura_c_mes1052[[#This Row],[CUIT]]="","-",VLOOKUP(factura_c_mes1052[[#This Row],[CUIT]],Lista_CUIT[#All],3,0)),"CUIT NO CARGADO")</f>
        <v>Productos Ortopedicos</v>
      </c>
      <c r="K140" s="304">
        <f>IFERROR(IF(factura_c_mes1052[[#This Row],[CUIT]]="","-",VLOOKUP(factura_c_mes1052[[#This Row],[CUIT]],Lista_CUIT[#All],4,0)),"CUIT NO CARGADO")</f>
        <v>0</v>
      </c>
    </row>
    <row r="141" spans="2:18">
      <c r="D141" s="291">
        <v>45574</v>
      </c>
      <c r="E141" s="300">
        <v>3</v>
      </c>
      <c r="F141" s="300">
        <v>1004</v>
      </c>
      <c r="G141" s="301">
        <v>20216451679</v>
      </c>
      <c r="H141" s="302" t="str">
        <f>IFERROR(IF(factura_c_mes1052[[#This Row],[CUIT]]="","-",VLOOKUP(factura_c_mes1052[[#This Row],[CUIT]],Lista_CUIT[#All],2,0)),"CUIT NO CARGADO")</f>
        <v>VAZQUEZ RICARDO OSCAR</v>
      </c>
      <c r="I141" s="176">
        <v>360000</v>
      </c>
      <c r="J141" s="304" t="str">
        <f>IFERROR(IF(factura_c_mes1052[[#This Row],[CUIT]]="","-",VLOOKUP(factura_c_mes1052[[#This Row],[CUIT]],Lista_CUIT[#All],3,0)),"CUIT NO CARGADO")</f>
        <v>Productos Ortopedicos</v>
      </c>
      <c r="K141" s="304">
        <f>IFERROR(IF(factura_c_mes1052[[#This Row],[CUIT]]="","-",VLOOKUP(factura_c_mes1052[[#This Row],[CUIT]],Lista_CUIT[#All],4,0)),"CUIT NO CARGADO")</f>
        <v>0</v>
      </c>
    </row>
    <row r="142" spans="2:18">
      <c r="D142" s="291">
        <v>45588</v>
      </c>
      <c r="E142" s="300">
        <v>1</v>
      </c>
      <c r="F142" s="300">
        <v>156</v>
      </c>
      <c r="G142" s="301">
        <v>27338342840</v>
      </c>
      <c r="H142" s="302" t="str">
        <f>IFERROR(IF(factura_c_mes1052[[#This Row],[CUIT]]="","-",VLOOKUP(factura_c_mes1052[[#This Row],[CUIT]],Lista_CUIT[#All],2,0)),"CUIT NO CARGADO")</f>
        <v>CANCINO PAMELA RITA</v>
      </c>
      <c r="I142" s="176">
        <v>552800</v>
      </c>
      <c r="J142" s="304" t="str">
        <f>IFERROR(IF(factura_c_mes1052[[#This Row],[CUIT]]="","-",VLOOKUP(factura_c_mes1052[[#This Row],[CUIT]],Lista_CUIT[#All],3,0)),"CUIT NO CARGADO")</f>
        <v>Productos Ortopedicos</v>
      </c>
      <c r="K142" s="304">
        <f>IFERROR(IF(factura_c_mes1052[[#This Row],[CUIT]]="","-",VLOOKUP(factura_c_mes1052[[#This Row],[CUIT]],Lista_CUIT[#All],4,0)),"CUIT NO CARGADO")</f>
        <v>0</v>
      </c>
    </row>
    <row r="143" spans="2:18">
      <c r="D143" s="55" t="s">
        <v>110</v>
      </c>
      <c r="E143" s="55"/>
      <c r="F143" s="55"/>
      <c r="G143" s="55"/>
      <c r="H143" s="57"/>
      <c r="I143" s="58">
        <f>SUBTOTAL(109,factura_c_mes1052[TOTAL])</f>
        <v>7745380</v>
      </c>
      <c r="J143" s="55"/>
      <c r="K143" s="55"/>
    </row>
    <row r="144" spans="2:18">
      <c r="B144" s="56"/>
      <c r="C144" s="56"/>
      <c r="L144" s="56"/>
      <c r="M144" s="56"/>
      <c r="N144" s="56"/>
      <c r="O144" s="56"/>
      <c r="P144" s="56"/>
      <c r="Q144" s="56"/>
      <c r="R144" s="56"/>
    </row>
    <row r="149" spans="2:13" ht="26.25">
      <c r="B149" s="673" t="s">
        <v>29</v>
      </c>
      <c r="C149" s="673"/>
      <c r="D149" s="673"/>
      <c r="E149" s="673"/>
      <c r="F149" s="673"/>
      <c r="G149" s="673"/>
      <c r="H149" s="673"/>
      <c r="I149" s="673"/>
      <c r="J149" s="673"/>
      <c r="K149" s="669">
        <f>N1</f>
        <v>45566</v>
      </c>
      <c r="L149" s="669"/>
      <c r="M149" s="669"/>
    </row>
    <row r="151" spans="2:13" ht="21">
      <c r="B151" s="666" t="s">
        <v>30</v>
      </c>
      <c r="C151" s="666"/>
    </row>
    <row r="152" spans="2:13" ht="15.75">
      <c r="B152" s="60" t="s">
        <v>0</v>
      </c>
      <c r="C152" s="61" t="s">
        <v>1</v>
      </c>
      <c r="D152" s="61" t="s">
        <v>21</v>
      </c>
      <c r="E152" s="61" t="s">
        <v>22</v>
      </c>
      <c r="F152" s="61" t="s">
        <v>3</v>
      </c>
      <c r="G152" s="61" t="s">
        <v>4</v>
      </c>
      <c r="H152" s="61" t="s">
        <v>23</v>
      </c>
      <c r="I152" s="61" t="s">
        <v>17</v>
      </c>
      <c r="J152" s="61" t="s">
        <v>7</v>
      </c>
      <c r="K152" s="61" t="s">
        <v>24</v>
      </c>
      <c r="L152" s="61" t="s">
        <v>10</v>
      </c>
      <c r="M152" s="62" t="s">
        <v>38</v>
      </c>
    </row>
    <row r="153" spans="2:13">
      <c r="B153" s="40"/>
      <c r="C153" s="41"/>
      <c r="D153" s="42"/>
      <c r="E153" s="43"/>
      <c r="F153" s="44"/>
      <c r="G153" s="98" t="str">
        <f>IFERROR(IF(venta_a_mes1053[[#This Row],[CUIT]]="","-",VLOOKUP(venta_a_mes1053[[#This Row],[CUIT]],Lista_CUIT[#All],2,0)),"CUIT NO CARGADO")</f>
        <v>-</v>
      </c>
      <c r="H153" s="99"/>
      <c r="I153" s="100">
        <f>venta_a_mes1053[[#This Row],[IMPORTE NETO]]*0.21</f>
        <v>0</v>
      </c>
      <c r="J153" s="65"/>
      <c r="K153" s="65"/>
      <c r="L153" s="65">
        <f>SUM(venta_a_mes1053[[#This Row],[IMPORTE NETO]:[EXENTO]])</f>
        <v>0</v>
      </c>
      <c r="M153" s="59"/>
    </row>
    <row r="154" spans="2:13">
      <c r="B154" s="40"/>
      <c r="C154" s="41"/>
      <c r="D154" s="42"/>
      <c r="E154" s="43"/>
      <c r="F154" s="44"/>
      <c r="G154" s="98" t="str">
        <f>IFERROR(IF(venta_a_mes1053[[#This Row],[CUIT]]="","-",VLOOKUP(venta_a_mes1053[[#This Row],[CUIT]],Lista_CUIT[#All],2,0)),"CUIT NO CARGADO")</f>
        <v>-</v>
      </c>
      <c r="H154" s="99"/>
      <c r="I154" s="100">
        <f>venta_a_mes1053[[#This Row],[IMPORTE NETO]]*0.21</f>
        <v>0</v>
      </c>
      <c r="J154" s="65"/>
      <c r="K154" s="65"/>
      <c r="L154" s="65">
        <f>SUM(venta_a_mes1053[[#This Row],[IMPORTE NETO]:[EXENTO]])</f>
        <v>0</v>
      </c>
      <c r="M154" s="59"/>
    </row>
    <row r="155" spans="2:13">
      <c r="B155" s="40"/>
      <c r="C155" s="41"/>
      <c r="D155" s="42"/>
      <c r="E155" s="43"/>
      <c r="F155" s="44"/>
      <c r="G155" s="98" t="str">
        <f>IFERROR(IF(venta_a_mes1053[[#This Row],[CUIT]]="","-",VLOOKUP(venta_a_mes1053[[#This Row],[CUIT]],Lista_CUIT[#All],2,0)),"CUIT NO CARGADO")</f>
        <v>-</v>
      </c>
      <c r="H155" s="99"/>
      <c r="I155" s="100">
        <f>venta_a_mes1053[[#This Row],[IMPORTE NETO]]*0.21</f>
        <v>0</v>
      </c>
      <c r="J155" s="65"/>
      <c r="K155" s="65"/>
      <c r="L155" s="65">
        <f>SUM(venta_a_mes1053[[#This Row],[IMPORTE NETO]:[EXENTO]])</f>
        <v>0</v>
      </c>
      <c r="M155" s="59"/>
    </row>
    <row r="156" spans="2:13">
      <c r="B156" s="40"/>
      <c r="C156" s="41"/>
      <c r="D156" s="42"/>
      <c r="E156" s="43"/>
      <c r="F156" s="44"/>
      <c r="G156" s="98" t="str">
        <f>IFERROR(IF(venta_a_mes1053[[#This Row],[CUIT]]="","-",VLOOKUP(venta_a_mes1053[[#This Row],[CUIT]],Lista_CUIT[#All],2,0)),"CUIT NO CARGADO")</f>
        <v>-</v>
      </c>
      <c r="H156" s="99"/>
      <c r="I156" s="100">
        <f>venta_a_mes1053[[#This Row],[IMPORTE NETO]]*0.21</f>
        <v>0</v>
      </c>
      <c r="J156" s="65"/>
      <c r="K156" s="65"/>
      <c r="L156" s="65">
        <f>SUM(venta_a_mes1053[[#This Row],[IMPORTE NETO]:[EXENTO]])</f>
        <v>0</v>
      </c>
      <c r="M156" s="59"/>
    </row>
    <row r="157" spans="2:13">
      <c r="B157" s="40"/>
      <c r="C157" s="41"/>
      <c r="D157" s="42"/>
      <c r="E157" s="43"/>
      <c r="F157" s="44"/>
      <c r="G157" s="98" t="str">
        <f>IFERROR(IF(venta_a_mes1053[[#This Row],[CUIT]]="","-",VLOOKUP(venta_a_mes1053[[#This Row],[CUIT]],Lista_CUIT[#All],2,0)),"CUIT NO CARGADO")</f>
        <v>-</v>
      </c>
      <c r="H157" s="99"/>
      <c r="I157" s="100">
        <f>venta_a_mes1053[[#This Row],[IMPORTE NETO]]*0.21</f>
        <v>0</v>
      </c>
      <c r="J157" s="65"/>
      <c r="K157" s="65"/>
      <c r="L157" s="65">
        <f>SUM(venta_a_mes1053[[#This Row],[IMPORTE NETO]:[EXENTO]])</f>
        <v>0</v>
      </c>
      <c r="M157" s="59"/>
    </row>
    <row r="158" spans="2:13">
      <c r="B158" s="40"/>
      <c r="C158" s="41"/>
      <c r="D158" s="42"/>
      <c r="E158" s="43"/>
      <c r="F158" s="44"/>
      <c r="G158" s="98" t="str">
        <f>IFERROR(IF(venta_a_mes1053[[#This Row],[CUIT]]="","-",VLOOKUP(venta_a_mes1053[[#This Row],[CUIT]],Lista_CUIT[#All],2,0)),"CUIT NO CARGADO")</f>
        <v>-</v>
      </c>
      <c r="H158" s="99"/>
      <c r="I158" s="100">
        <f>venta_a_mes1053[[#This Row],[IMPORTE NETO]]*0.21</f>
        <v>0</v>
      </c>
      <c r="J158" s="65"/>
      <c r="K158" s="65"/>
      <c r="L158" s="65">
        <f>SUM(venta_a_mes1053[[#This Row],[IMPORTE NETO]:[EXENTO]])</f>
        <v>0</v>
      </c>
      <c r="M158" s="59"/>
    </row>
    <row r="159" spans="2:13">
      <c r="B159" s="40"/>
      <c r="C159" s="41"/>
      <c r="D159" s="42"/>
      <c r="E159" s="43"/>
      <c r="F159" s="44"/>
      <c r="G159" s="98" t="str">
        <f>IFERROR(IF(venta_a_mes1053[[#This Row],[CUIT]]="","-",VLOOKUP(venta_a_mes1053[[#This Row],[CUIT]],Lista_CUIT[#All],2,0)),"CUIT NO CARGADO")</f>
        <v>-</v>
      </c>
      <c r="H159" s="99"/>
      <c r="I159" s="100">
        <f>venta_a_mes1053[[#This Row],[IMPORTE NETO]]*0.21</f>
        <v>0</v>
      </c>
      <c r="J159" s="65"/>
      <c r="K159" s="65"/>
      <c r="L159" s="65">
        <f>SUM(venta_a_mes1053[[#This Row],[IMPORTE NETO]:[EXENTO]])</f>
        <v>0</v>
      </c>
      <c r="M159" s="63"/>
    </row>
    <row r="160" spans="2:13">
      <c r="B160" s="101"/>
      <c r="C160" s="102"/>
      <c r="D160" s="103"/>
      <c r="E160" s="104"/>
      <c r="F160" s="105"/>
      <c r="G160" s="98" t="str">
        <f>IFERROR(IF(venta_a_mes1053[[#This Row],[CUIT]]="","-",VLOOKUP(venta_a_mes1053[[#This Row],[CUIT]],Lista_CUIT[#All],2,0)),"CUIT NO CARGADO")</f>
        <v>-</v>
      </c>
      <c r="H160" s="106"/>
      <c r="I160" s="107">
        <f>venta_a_mes1053[[#This Row],[IMPORTE NETO]]*0.21</f>
        <v>0</v>
      </c>
      <c r="J160" s="72"/>
      <c r="K160" s="72"/>
      <c r="L160" s="72">
        <f>SUM(venta_a_mes1053[[#This Row],[IMPORTE NETO]:[EXENTO]])</f>
        <v>0</v>
      </c>
      <c r="M160" s="63"/>
    </row>
    <row r="161" spans="2:13">
      <c r="B161" s="108"/>
      <c r="C161" s="109"/>
      <c r="D161" s="110"/>
      <c r="E161" s="111"/>
      <c r="F161" s="112"/>
      <c r="G161" s="98" t="str">
        <f>IFERROR(IF(venta_a_mes1053[[#This Row],[CUIT]]="","-",VLOOKUP(venta_a_mes1053[[#This Row],[CUIT]],Lista_CUIT[#All],2,0)),"CUIT NO CARGADO")</f>
        <v>-</v>
      </c>
      <c r="H161" s="99"/>
      <c r="I161" s="100">
        <f>venta_a_mes1053[[#This Row],[IMPORTE NETO]]*0.21</f>
        <v>0</v>
      </c>
      <c r="J161" s="65"/>
      <c r="K161" s="65"/>
      <c r="L161" s="65">
        <f>SUM(venta_a_mes1053[[#This Row],[IMPORTE NETO]:[EXENTO]])</f>
        <v>0</v>
      </c>
      <c r="M161" s="59"/>
    </row>
    <row r="162" spans="2:13">
      <c r="B162" s="66" t="s">
        <v>110</v>
      </c>
      <c r="C162" s="67"/>
      <c r="D162" s="67"/>
      <c r="E162" s="67"/>
      <c r="F162" s="67"/>
      <c r="G162" s="67"/>
      <c r="H162" s="69">
        <f>SUBTOTAL(109,venta_a_mes1053[IMPORTE NETO])</f>
        <v>0</v>
      </c>
      <c r="I162" s="70">
        <f>SUBTOTAL(109,venta_a_mes1053[IVA 21%])</f>
        <v>0</v>
      </c>
      <c r="J162" s="71">
        <f>SUBTOTAL(109,venta_a_mes1053[IVA 10,5%])</f>
        <v>0</v>
      </c>
      <c r="K162" s="71">
        <f>SUBTOTAL(109,venta_a_mes1053[EXENTO])</f>
        <v>0</v>
      </c>
      <c r="L162" s="71">
        <f>SUBTOTAL(109,venta_a_mes1053[TOTAL])</f>
        <v>0</v>
      </c>
      <c r="M162" s="68">
        <f>SUBTOTAL(103,venta_a_mes1053[Provincia])</f>
        <v>0</v>
      </c>
    </row>
    <row r="165" spans="2:13" ht="21">
      <c r="B165" s="666" t="s">
        <v>31</v>
      </c>
      <c r="C165" s="666"/>
    </row>
    <row r="166" spans="2:13" ht="15.75">
      <c r="B166" s="60" t="s">
        <v>0</v>
      </c>
      <c r="C166" s="61" t="s">
        <v>1</v>
      </c>
      <c r="D166" s="61" t="s">
        <v>21</v>
      </c>
      <c r="E166" s="61" t="s">
        <v>22</v>
      </c>
      <c r="F166" s="61" t="s">
        <v>3</v>
      </c>
      <c r="G166" s="61" t="s">
        <v>4</v>
      </c>
      <c r="H166" s="61" t="s">
        <v>23</v>
      </c>
      <c r="I166" s="61" t="s">
        <v>17</v>
      </c>
      <c r="J166" s="61" t="s">
        <v>7</v>
      </c>
      <c r="K166" s="61" t="s">
        <v>24</v>
      </c>
      <c r="L166" s="61" t="s">
        <v>10</v>
      </c>
      <c r="M166" s="62" t="s">
        <v>38</v>
      </c>
    </row>
    <row r="167" spans="2:13">
      <c r="B167" s="40"/>
      <c r="C167" s="41"/>
      <c r="D167" s="42"/>
      <c r="E167" s="43"/>
      <c r="F167" s="44"/>
      <c r="G167" s="1" t="str">
        <f>IFERROR(IF(ventas_b_mes1054[[#This Row],[CUIT]]="","-",VLOOKUP(ventas_b_mes1054[[#This Row],[CUIT]],Lista_CUIT[#All],2,0)),"CUIT NO CARGADO")</f>
        <v>-</v>
      </c>
      <c r="H167" s="64"/>
      <c r="I167" s="64"/>
      <c r="J167" s="64"/>
      <c r="K167" s="64"/>
      <c r="L167" s="64">
        <f>SUM(ventas_b_mes1054[[#This Row],[IMPORTE NETO]:[EXENTO]])</f>
        <v>0</v>
      </c>
      <c r="M167" s="59"/>
    </row>
    <row r="168" spans="2:13">
      <c r="B168" s="40"/>
      <c r="C168" s="41"/>
      <c r="D168" s="42"/>
      <c r="E168" s="43"/>
      <c r="F168" s="44"/>
      <c r="G168" s="1"/>
      <c r="H168" s="64"/>
      <c r="I168" s="64"/>
      <c r="J168" s="64"/>
      <c r="K168" s="64"/>
      <c r="L168" s="64">
        <f>SUM(ventas_b_mes1054[[#This Row],[IMPORTE NETO]:[EXENTO]])</f>
        <v>0</v>
      </c>
      <c r="M168" s="59"/>
    </row>
    <row r="169" spans="2:13">
      <c r="B169" s="40"/>
      <c r="C169" s="41"/>
      <c r="D169" s="42"/>
      <c r="E169" s="43"/>
      <c r="F169" s="44"/>
      <c r="G169" s="1"/>
      <c r="H169" s="64"/>
      <c r="I169" s="64"/>
      <c r="J169" s="64"/>
      <c r="K169" s="64"/>
      <c r="L169" s="64">
        <f>SUM(ventas_b_mes1054[[#This Row],[IMPORTE NETO]:[EXENTO]])</f>
        <v>0</v>
      </c>
      <c r="M169" s="59"/>
    </row>
    <row r="170" spans="2:13">
      <c r="B170" s="40"/>
      <c r="C170" s="41"/>
      <c r="D170" s="42"/>
      <c r="E170" s="43"/>
      <c r="F170" s="44"/>
      <c r="G170" s="1"/>
      <c r="H170" s="64"/>
      <c r="I170" s="64"/>
      <c r="J170" s="64"/>
      <c r="K170" s="64"/>
      <c r="L170" s="64">
        <f>SUM(ventas_b_mes1054[[#This Row],[IMPORTE NETO]:[EXENTO]])</f>
        <v>0</v>
      </c>
      <c r="M170" s="59"/>
    </row>
    <row r="171" spans="2:13">
      <c r="B171" s="40"/>
      <c r="C171" s="41"/>
      <c r="D171" s="42"/>
      <c r="E171" s="43"/>
      <c r="F171" s="44"/>
      <c r="G171" s="1"/>
      <c r="H171" s="64"/>
      <c r="I171" s="64"/>
      <c r="J171" s="64"/>
      <c r="K171" s="64"/>
      <c r="L171" s="64">
        <f>SUM(ventas_b_mes1054[[#This Row],[IMPORTE NETO]:[EXENTO]])</f>
        <v>0</v>
      </c>
      <c r="M171" s="59"/>
    </row>
    <row r="172" spans="2:13">
      <c r="B172" s="40"/>
      <c r="C172" s="41"/>
      <c r="D172" s="42"/>
      <c r="E172" s="43"/>
      <c r="F172" s="44"/>
      <c r="G172" s="1"/>
      <c r="H172" s="64"/>
      <c r="I172" s="64"/>
      <c r="J172" s="64"/>
      <c r="K172" s="64"/>
      <c r="L172" s="64">
        <f>SUM(ventas_b_mes1054[[#This Row],[IMPORTE NETO]:[EXENTO]])</f>
        <v>0</v>
      </c>
      <c r="M172" s="59"/>
    </row>
    <row r="173" spans="2:13">
      <c r="B173" s="66" t="s">
        <v>110</v>
      </c>
      <c r="C173" s="67"/>
      <c r="D173" s="67"/>
      <c r="E173" s="67"/>
      <c r="F173" s="67"/>
      <c r="G173" s="67"/>
      <c r="H173" s="77">
        <f>SUBTOTAL(109,ventas_b_mes1054[IMPORTE NETO])</f>
        <v>0</v>
      </c>
      <c r="I173" s="77">
        <f>SUBTOTAL(109,ventas_b_mes1054[IVA 21%])</f>
        <v>0</v>
      </c>
      <c r="J173" s="78">
        <f>SUBTOTAL(109,ventas_b_mes1054[IVA 10,5%])</f>
        <v>0</v>
      </c>
      <c r="K173" s="78">
        <f>SUBTOTAL(109,ventas_b_mes1054[EXENTO])</f>
        <v>0</v>
      </c>
      <c r="L173" s="78">
        <f>SUBTOTAL(109,ventas_b_mes1054[TOTAL])</f>
        <v>0</v>
      </c>
      <c r="M173" s="68">
        <f>SUBTOTAL(103,ventas_b_mes1054[Provincia])</f>
        <v>0</v>
      </c>
    </row>
    <row r="180" spans="3:12" ht="15.75" thickBot="1"/>
    <row r="181" spans="3:12" ht="15.75" thickTop="1">
      <c r="C181" s="663" t="s">
        <v>66</v>
      </c>
      <c r="D181" s="663"/>
      <c r="E181" s="663"/>
      <c r="F181" s="663"/>
      <c r="G181" s="663"/>
      <c r="H181" s="32"/>
      <c r="I181" s="32"/>
      <c r="J181" s="32"/>
    </row>
    <row r="182" spans="3:12" ht="15.75">
      <c r="C182" s="113" t="s">
        <v>67</v>
      </c>
      <c r="D182" s="114" t="s">
        <v>68</v>
      </c>
      <c r="E182" s="114" t="s">
        <v>112</v>
      </c>
      <c r="F182" s="114" t="s">
        <v>3</v>
      </c>
      <c r="G182" s="114" t="s">
        <v>4</v>
      </c>
      <c r="H182" s="115" t="s">
        <v>69</v>
      </c>
      <c r="I182" s="115" t="s">
        <v>70</v>
      </c>
      <c r="J182" s="115" t="s">
        <v>71</v>
      </c>
      <c r="K182" s="115" t="s">
        <v>72</v>
      </c>
      <c r="L182" s="115" t="s">
        <v>73</v>
      </c>
    </row>
    <row r="183" spans="3:12">
      <c r="C183" s="116"/>
      <c r="D183" s="117"/>
      <c r="E183" s="117"/>
      <c r="F183" s="118"/>
      <c r="G183" s="53" t="str">
        <f>IFERROR(IF(Retenciones_mes1056[[#This Row],[CUIT]]="","-",VLOOKUP(Retenciones_mes1056[[#This Row],[CUIT]],Lista_CUIT[#All],2,0)),"CUIT NO CARGADO")</f>
        <v>-</v>
      </c>
      <c r="H183" s="119"/>
      <c r="I183" s="119"/>
      <c r="J183" s="119"/>
      <c r="K183" s="119"/>
      <c r="L183" s="119"/>
    </row>
    <row r="184" spans="3:12">
      <c r="C184" s="116"/>
      <c r="D184" s="117"/>
      <c r="E184" s="117"/>
      <c r="F184" s="118"/>
      <c r="G184" s="53" t="str">
        <f>IFERROR(IF(Retenciones_mes1056[[#This Row],[CUIT]]="","-",VLOOKUP(Retenciones_mes1056[[#This Row],[CUIT]],Lista_CUIT[#All],2,0)),"CUIT NO CARGADO")</f>
        <v>-</v>
      </c>
      <c r="H184" s="119"/>
      <c r="I184" s="119"/>
      <c r="J184" s="119"/>
      <c r="K184" s="119"/>
      <c r="L184" s="119"/>
    </row>
    <row r="185" spans="3:12">
      <c r="C185" s="116"/>
      <c r="D185" s="117"/>
      <c r="E185" s="117"/>
      <c r="F185" s="118"/>
      <c r="G185" s="53" t="str">
        <f>IFERROR(IF(Retenciones_mes1056[[#This Row],[CUIT]]="","-",VLOOKUP(Retenciones_mes1056[[#This Row],[CUIT]],Lista_CUIT[#All],2,0)),"CUIT NO CARGADO")</f>
        <v>-</v>
      </c>
      <c r="H185" s="119"/>
      <c r="I185" s="119"/>
      <c r="J185" s="119"/>
      <c r="K185" s="119"/>
      <c r="L185" s="119"/>
    </row>
    <row r="186" spans="3:12">
      <c r="C186" s="116"/>
      <c r="D186" s="117"/>
      <c r="E186" s="117"/>
      <c r="F186" s="118"/>
      <c r="G186" s="53" t="str">
        <f>IFERROR(IF(Retenciones_mes1056[[#This Row],[CUIT]]="","-",VLOOKUP(Retenciones_mes1056[[#This Row],[CUIT]],Lista_CUIT[#All],2,0)),"CUIT NO CARGADO")</f>
        <v>-</v>
      </c>
      <c r="H186" s="119"/>
      <c r="I186" s="119"/>
      <c r="J186" s="119"/>
      <c r="K186" s="119"/>
      <c r="L186" s="119"/>
    </row>
    <row r="187" spans="3:12">
      <c r="D187" s="117"/>
      <c r="E187" s="117"/>
      <c r="G187" s="53" t="str">
        <f>IFERROR(IF(Retenciones_mes1056[[#This Row],[CUIT]]="","-",VLOOKUP(Retenciones_mes1056[[#This Row],[CUIT]],Lista_CUIT[#All],2,0)),"CUIT NO CARGADO")</f>
        <v>-</v>
      </c>
    </row>
    <row r="188" spans="3:12">
      <c r="C188" s="33"/>
    </row>
  </sheetData>
  <mergeCells count="20">
    <mergeCell ref="C181:G181"/>
    <mergeCell ref="B4:E4"/>
    <mergeCell ref="G4:H4"/>
    <mergeCell ref="J4:K4"/>
    <mergeCell ref="M4:N4"/>
    <mergeCell ref="D122:K122"/>
    <mergeCell ref="B149:J149"/>
    <mergeCell ref="K149:M149"/>
    <mergeCell ref="B151:C151"/>
    <mergeCell ref="B165:C165"/>
    <mergeCell ref="P4:R4"/>
    <mergeCell ref="D113:L113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4">
    <dataValidation type="custom" allowBlank="1" showInputMessage="1" showErrorMessage="1" sqref="L158:L159">
      <formula1>IF($C108=3,L108&lt;0,L108&gt;=0)</formula1>
    </dataValidation>
    <dataValidation type="custom" allowBlank="1" showInputMessage="1" showErrorMessage="1" sqref="L154">
      <formula1>IF($C59=3,L59&lt;0,L59&gt;=0)</formula1>
    </dataValidation>
    <dataValidation type="custom" allowBlank="1" showInputMessage="1" showErrorMessage="1" sqref="L153">
      <formula1>IF($C9=3,L9&lt;0,L9&gt;=0)</formula1>
    </dataValidation>
    <dataValidation type="whole" allowBlank="1" showInputMessage="1" showErrorMessage="1" sqref="D153:D161 D167:D172 D9:D107 E124:E142">
      <formula1>1</formula1>
      <formula2>9999</formula2>
    </dataValidation>
    <dataValidation type="whole" allowBlank="1" showInputMessage="1" showErrorMessage="1" sqref="E153:E161 E167:E172 E9:E107 F124:F142">
      <formula1>1</formula1>
      <formula2>99999999</formula2>
    </dataValidation>
    <dataValidation type="whole" allowBlank="1" showInputMessage="1" showErrorMessage="1" sqref="F153:F161 F167:F172 F9:F107 G124:G142">
      <formula1>20000000000</formula1>
      <formula2>33999999999</formula2>
    </dataValidation>
    <dataValidation type="date" allowBlank="1" showInputMessage="1" showErrorMessage="1" sqref="D115:D117 B153:B161 B109:B112 B167:B172 B9:B107 D124:D142">
      <formula1>40179</formula1>
      <formula2>TODAY()</formula2>
    </dataValidation>
    <dataValidation type="whole" allowBlank="1" showInputMessage="1" showErrorMessage="1" sqref="C109:C112 C153:C161 C9:C107">
      <formula1>1</formula1>
      <formula2>3</formula2>
    </dataValidation>
    <dataValidation type="custom" allowBlank="1" showInputMessage="1" showErrorMessage="1" sqref="H153:K153 H155:K155 H157:K157 H159:K159">
      <formula1>IF($C153=3,H153&lt;0,H153&gt;=0)</formula1>
    </dataValidation>
    <dataValidation type="whole" allowBlank="1" showInputMessage="1" showErrorMessage="1" sqref="C167:C172">
      <formula1>6</formula1>
      <formula2>8</formula2>
    </dataValidation>
    <dataValidation type="custom" allowBlank="1" showInputMessage="1" showErrorMessage="1" sqref="H167:L172">
      <formula1>IF($C167=8,H167&lt;0,H167&gt;=0)</formula1>
    </dataValidation>
    <dataValidation type="custom" allowBlank="1" showInputMessage="1" showErrorMessage="1" sqref="L155">
      <formula1>IF(#REF!=3,#REF!&lt;0,#REF!&gt;=0)</formula1>
    </dataValidation>
    <dataValidation type="custom" allowBlank="1" showInputMessage="1" showErrorMessage="1" sqref="L156:L157">
      <formula1>IF($C64=3,L64&lt;0,L64&gt;=0)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7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tabColor theme="9" tint="0.79998168889431442"/>
  </sheetPr>
  <dimension ref="A1:Z400"/>
  <sheetViews>
    <sheetView showGridLines="0" topLeftCell="A5" zoomScale="90" zoomScaleNormal="90" workbookViewId="0">
      <selection activeCell="I123" activeCellId="1" sqref="I129 I123"/>
    </sheetView>
  </sheetViews>
  <sheetFormatPr baseColWidth="10" defaultColWidth="11.5703125" defaultRowHeight="15"/>
  <cols>
    <col min="1" max="1" width="1.5703125" customWidth="1"/>
    <col min="2" max="2" width="11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24.5703125" customWidth="1"/>
    <col min="11" max="11" width="12.42578125" customWidth="1"/>
    <col min="12" max="12" width="9.42578125" customWidth="1"/>
    <col min="13" max="13" width="8.42578125" customWidth="1"/>
    <col min="14" max="14" width="12" customWidth="1"/>
    <col min="15" max="15" width="18.5703125" customWidth="1"/>
    <col min="16" max="16" width="17.42578125" customWidth="1"/>
    <col min="17" max="17" width="23.42578125" customWidth="1"/>
    <col min="18" max="18" width="14.42578125" customWidth="1"/>
    <col min="19" max="19" width="12.42578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EDATE('Ene-24'!N1,10)</f>
        <v>45597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SUM(compras_mes11[[#Totals],[NETO GRAVADO]])+extracto_banco_mes11[[#Totals],[NETO]]</f>
        <v>34323887.119999997</v>
      </c>
      <c r="C4" s="671"/>
      <c r="D4" s="671"/>
      <c r="E4" s="671"/>
      <c r="F4" s="39"/>
      <c r="G4" s="672">
        <f>compras_mes11[[#Totals],[IVA 21 %]]+compras_mes11[[#Totals],[IVA 27%]]+compras_mes11[[#Totals],[IVA 10,5%]]+extracto_banco_mes11[[#Totals],[IVA 21%]]+extracto_banco_mes11[[#Totals],[IVA 10,5%]]</f>
        <v>7166141.7899499983</v>
      </c>
      <c r="H4" s="672"/>
      <c r="I4" s="39"/>
      <c r="J4" s="661">
        <f>venta_a_mes11[[#Totals],[IMPORTE NETO]]+ventas_b_mes11[[#Totals],[IMPORTE NETO]]</f>
        <v>0</v>
      </c>
      <c r="K4" s="661"/>
      <c r="L4" s="39"/>
      <c r="M4" s="661">
        <f>venta_a_mes11[[#Totals],[IVA 21%]]+venta_a_mes11[[#Totals],[IVA 10,5%]]+ventas_b_mes11[[#Totals],[IVA 21%]]+ventas_b_mes11[[#Totals],[IVA 10,5%]]</f>
        <v>0</v>
      </c>
      <c r="N4" s="661"/>
      <c r="O4" s="39"/>
      <c r="P4" s="674">
        <f>G4-M4</f>
        <v>7166141.7899499983</v>
      </c>
      <c r="Q4" s="675"/>
      <c r="R4" s="675"/>
    </row>
    <row r="5" spans="1:26" ht="13.35" customHeight="1"/>
    <row r="6" spans="1:26" ht="11.1" customHeight="1"/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s="549" customFormat="1">
      <c r="B9" s="556">
        <v>45600</v>
      </c>
      <c r="C9" s="305">
        <v>1</v>
      </c>
      <c r="D9" s="292">
        <v>2</v>
      </c>
      <c r="E9" s="293">
        <v>221</v>
      </c>
      <c r="F9" s="294">
        <v>30605344352</v>
      </c>
      <c r="G9" s="295" t="str">
        <f>IFERROR(IF(compras_mes11[[#This Row],[CUIT]]="","-",VLOOKUP(compras_mes11[[#This Row],[CUIT]],Lista_CUIT[#All],2,0)),"CUIT NO CARGADO")</f>
        <v>CONSORCIO BARTOLME MITRE 2466</v>
      </c>
      <c r="H9" s="296">
        <v>834000</v>
      </c>
      <c r="I9" s="551">
        <f>IF(compras_mes11[[#This Row],[NETO GRAVADO]]="","",compras_mes11[[#This Row],[NETO GRAVADO]]*0.21)</f>
        <v>175140</v>
      </c>
      <c r="J9" s="551"/>
      <c r="K9" s="551"/>
      <c r="L9" s="551"/>
      <c r="M9" s="551"/>
      <c r="N9" s="551"/>
      <c r="O9" s="551"/>
      <c r="P9" s="552">
        <f>SUM(compras_mes11[[#This Row],[NETO GRAVADO]:[Otros / No Grav.]])</f>
        <v>1009140</v>
      </c>
      <c r="Q9" s="550" t="str">
        <f>IFERROR(IF(compras_mes11[[#This Row],[CUIT]]="","-",VLOOKUP(compras_mes11[[#This Row],[CUIT]],Lista_CUIT[#All],3,0)),"CUIT NO CARGADO")</f>
        <v>ALQUILERES PAGADOS</v>
      </c>
      <c r="R9" s="550">
        <f>IFERROR(IF(compras_mes11[[#This Row],[CUIT]]="","-",VLOOKUP(compras_mes11[[#This Row],[CUIT]],Lista_CUIT[#All],4,0)),"CUIT NO CARGADO")</f>
        <v>0</v>
      </c>
    </row>
    <row r="10" spans="1:26" s="549" customFormat="1">
      <c r="B10" s="556">
        <v>45608</v>
      </c>
      <c r="C10" s="305">
        <v>1</v>
      </c>
      <c r="D10" s="292">
        <v>5</v>
      </c>
      <c r="E10" s="293">
        <v>38</v>
      </c>
      <c r="F10" s="294">
        <v>30707370552</v>
      </c>
      <c r="G10" s="295" t="str">
        <f>IFERROR(IF(compras_mes11[[#This Row],[CUIT]]="","-",VLOOKUP(compras_mes11[[#This Row],[CUIT]],Lista_CUIT[#All],2,0)),"CUIT NO CARGADO")</f>
        <v>RAKE SA</v>
      </c>
      <c r="H10" s="296">
        <v>950000</v>
      </c>
      <c r="I10" s="551">
        <f>IF(compras_mes11[[#This Row],[NETO GRAVADO]]="","",compras_mes11[[#This Row],[NETO GRAVADO]]*0.21)</f>
        <v>199500</v>
      </c>
      <c r="J10" s="551"/>
      <c r="K10" s="551"/>
      <c r="L10" s="551"/>
      <c r="M10" s="551"/>
      <c r="N10" s="551"/>
      <c r="O10" s="551"/>
      <c r="P10" s="552">
        <f>SUM(compras_mes11[[#This Row],[NETO GRAVADO]:[Otros / No Grav.]])</f>
        <v>1149500</v>
      </c>
      <c r="Q10" s="550" t="str">
        <f>IFERROR(IF(compras_mes11[[#This Row],[CUIT]]="","-",VLOOKUP(compras_mes11[[#This Row],[CUIT]],Lista_CUIT[#All],3,0)),"CUIT NO CARGADO")</f>
        <v>ALQUILERES PAGADOS</v>
      </c>
      <c r="R10" s="550">
        <f>IFERROR(IF(compras_mes11[[#This Row],[CUIT]]="","-",VLOOKUP(compras_mes11[[#This Row],[CUIT]],Lista_CUIT[#All],4,0)),"CUIT NO CARGADO")</f>
        <v>0</v>
      </c>
    </row>
    <row r="11" spans="1:26" s="549" customFormat="1">
      <c r="B11" s="556">
        <v>45625</v>
      </c>
      <c r="C11" s="305">
        <v>1</v>
      </c>
      <c r="D11" s="292">
        <v>1</v>
      </c>
      <c r="E11" s="293">
        <v>108</v>
      </c>
      <c r="F11" s="294">
        <v>20359609087</v>
      </c>
      <c r="G11" s="295" t="str">
        <f>IFERROR(IF(compras_mes11[[#This Row],[CUIT]]="","-",VLOOKUP(compras_mes11[[#This Row],[CUIT]],Lista_CUIT[#All],2,0)),"CUIT NO CARGADO")</f>
        <v>BUGALLO FACUNDO</v>
      </c>
      <c r="H11" s="296">
        <v>2973555</v>
      </c>
      <c r="I11" s="551">
        <f>IF(compras_mes11[[#This Row],[NETO GRAVADO]]="","",compras_mes11[[#This Row],[NETO GRAVADO]]*0.21)</f>
        <v>624446.54999999993</v>
      </c>
      <c r="J11" s="551"/>
      <c r="K11" s="551"/>
      <c r="L11" s="551"/>
      <c r="M11" s="551"/>
      <c r="N11" s="551"/>
      <c r="O11" s="551"/>
      <c r="P11" s="552">
        <f>SUM(compras_mes11[[#This Row],[NETO GRAVADO]:[Otros / No Grav.]])</f>
        <v>3598001.55</v>
      </c>
      <c r="Q11" s="550" t="str">
        <f>IFERROR(IF(compras_mes11[[#This Row],[CUIT]]="","-",VLOOKUP(compras_mes11[[#This Row],[CUIT]],Lista_CUIT[#All],3,0)),"CUIT NO CARGADO")</f>
        <v>Catering</v>
      </c>
      <c r="R11" s="550">
        <f>IFERROR(IF(compras_mes11[[#This Row],[CUIT]]="","-",VLOOKUP(compras_mes11[[#This Row],[CUIT]],Lista_CUIT[#All],4,0)),"CUIT NO CARGADO")</f>
        <v>0</v>
      </c>
    </row>
    <row r="12" spans="1:26" s="549" customFormat="1">
      <c r="B12" s="564">
        <v>45598</v>
      </c>
      <c r="C12" s="508">
        <v>1</v>
      </c>
      <c r="D12" s="509">
        <v>6</v>
      </c>
      <c r="E12" s="510">
        <v>19958</v>
      </c>
      <c r="F12" s="511">
        <v>33715594949</v>
      </c>
      <c r="G12" s="512" t="str">
        <f>IFERROR(IF(compras_mes11[[#This Row],[CUIT]]="","-",VLOOKUP(compras_mes11[[#This Row],[CUIT]],Lista_CUIT[#All],2,0)),"CUIT NO CARGADO")</f>
        <v>SOMOS ENERGIA SA</v>
      </c>
      <c r="H12" s="513">
        <v>50154.48</v>
      </c>
      <c r="I12" s="570">
        <f>IF(compras_mes11[[#This Row],[NETO GRAVADO]]="","",compras_mes11[[#This Row],[NETO GRAVADO]]*0.21)</f>
        <v>10532.4408</v>
      </c>
      <c r="J12" s="570"/>
      <c r="K12" s="570"/>
      <c r="L12" s="570"/>
      <c r="M12" s="570"/>
      <c r="N12" s="570"/>
      <c r="O12" s="570"/>
      <c r="P12" s="571">
        <f>SUM(compras_mes11[[#This Row],[NETO GRAVADO]:[Otros / No Grav.]])</f>
        <v>60686.920800000007</v>
      </c>
      <c r="Q12" s="572" t="str">
        <f>IFERROR(IF(compras_mes11[[#This Row],[CUIT]]="","-",VLOOKUP(compras_mes11[[#This Row],[CUIT]],Lista_CUIT[#All],3,0)),"CUIT NO CARGADO")</f>
        <v>COMBUSTIBLE</v>
      </c>
      <c r="R12" s="572">
        <f>IFERROR(IF(compras_mes11[[#This Row],[CUIT]]="","-",VLOOKUP(compras_mes11[[#This Row],[CUIT]],Lista_CUIT[#All],4,0)),"CUIT NO CARGADO")</f>
        <v>0</v>
      </c>
    </row>
    <row r="13" spans="1:26" s="549" customFormat="1">
      <c r="B13" s="564">
        <v>45603</v>
      </c>
      <c r="C13" s="508">
        <v>1</v>
      </c>
      <c r="D13" s="509">
        <v>6</v>
      </c>
      <c r="E13" s="510">
        <v>20024</v>
      </c>
      <c r="F13" s="511">
        <v>33715594949</v>
      </c>
      <c r="G13" s="512" t="str">
        <f>IFERROR(IF(compras_mes11[[#This Row],[CUIT]]="","-",VLOOKUP(compras_mes11[[#This Row],[CUIT]],Lista_CUIT[#All],2,0)),"CUIT NO CARGADO")</f>
        <v>SOMOS ENERGIA SA</v>
      </c>
      <c r="H13" s="513">
        <v>67728.33</v>
      </c>
      <c r="I13" s="570">
        <f>IF(compras_mes11[[#This Row],[NETO GRAVADO]]="","",compras_mes11[[#This Row],[NETO GRAVADO]]*0.21)</f>
        <v>14222.9493</v>
      </c>
      <c r="J13" s="570"/>
      <c r="K13" s="570"/>
      <c r="L13" s="570"/>
      <c r="M13" s="570"/>
      <c r="N13" s="570"/>
      <c r="O13" s="570"/>
      <c r="P13" s="571">
        <f>SUM(compras_mes11[[#This Row],[NETO GRAVADO]:[Otros / No Grav.]])</f>
        <v>81951.279299999995</v>
      </c>
      <c r="Q13" s="572" t="str">
        <f>IFERROR(IF(compras_mes11[[#This Row],[CUIT]]="","-",VLOOKUP(compras_mes11[[#This Row],[CUIT]],Lista_CUIT[#All],3,0)),"CUIT NO CARGADO")</f>
        <v>COMBUSTIBLE</v>
      </c>
      <c r="R13" s="572">
        <f>IFERROR(IF(compras_mes11[[#This Row],[CUIT]]="","-",VLOOKUP(compras_mes11[[#This Row],[CUIT]],Lista_CUIT[#All],4,0)),"CUIT NO CARGADO")</f>
        <v>0</v>
      </c>
    </row>
    <row r="14" spans="1:26" s="549" customFormat="1">
      <c r="B14" s="564">
        <v>45617</v>
      </c>
      <c r="C14" s="508">
        <v>1</v>
      </c>
      <c r="D14" s="509">
        <v>8</v>
      </c>
      <c r="E14" s="510">
        <v>13359</v>
      </c>
      <c r="F14" s="511">
        <v>33715594949</v>
      </c>
      <c r="G14" s="512" t="str">
        <f>IFERROR(IF(compras_mes11[[#This Row],[CUIT]]="","-",VLOOKUP(compras_mes11[[#This Row],[CUIT]],Lista_CUIT[#All],2,0)),"CUIT NO CARGADO")</f>
        <v>SOMOS ENERGIA SA</v>
      </c>
      <c r="H14" s="513">
        <v>89743.57</v>
      </c>
      <c r="I14" s="570">
        <f>IF(compras_mes11[[#This Row],[NETO GRAVADO]]="","",compras_mes11[[#This Row],[NETO GRAVADO]]*0.21)</f>
        <v>18846.149700000002</v>
      </c>
      <c r="J14" s="570"/>
      <c r="K14" s="570"/>
      <c r="L14" s="570"/>
      <c r="M14" s="570"/>
      <c r="N14" s="570"/>
      <c r="O14" s="570"/>
      <c r="P14" s="571">
        <f>SUM(compras_mes11[[#This Row],[NETO GRAVADO]:[Otros / No Grav.]])</f>
        <v>108589.71970000002</v>
      </c>
      <c r="Q14" s="572" t="str">
        <f>IFERROR(IF(compras_mes11[[#This Row],[CUIT]]="","-",VLOOKUP(compras_mes11[[#This Row],[CUIT]],Lista_CUIT[#All],3,0)),"CUIT NO CARGADO")</f>
        <v>COMBUSTIBLE</v>
      </c>
      <c r="R14" s="572">
        <f>IFERROR(IF(compras_mes11[[#This Row],[CUIT]]="","-",VLOOKUP(compras_mes11[[#This Row],[CUIT]],Lista_CUIT[#All],4,0)),"CUIT NO CARGADO")</f>
        <v>0</v>
      </c>
    </row>
    <row r="15" spans="1:26" s="549" customFormat="1">
      <c r="B15" s="564">
        <v>45623</v>
      </c>
      <c r="C15" s="508">
        <v>1</v>
      </c>
      <c r="D15" s="509">
        <v>6</v>
      </c>
      <c r="E15" s="510">
        <v>20262</v>
      </c>
      <c r="F15" s="511">
        <v>33715594949</v>
      </c>
      <c r="G15" s="512" t="str">
        <f>IFERROR(IF(compras_mes11[[#This Row],[CUIT]]="","-",VLOOKUP(compras_mes11[[#This Row],[CUIT]],Lista_CUIT[#All],2,0)),"CUIT NO CARGADO")</f>
        <v>SOMOS ENERGIA SA</v>
      </c>
      <c r="H15" s="513">
        <v>99460.81</v>
      </c>
      <c r="I15" s="570">
        <f>IF(compras_mes11[[#This Row],[NETO GRAVADO]]="","",compras_mes11[[#This Row],[NETO GRAVADO]]*0.21)</f>
        <v>20886.770099999998</v>
      </c>
      <c r="J15" s="570"/>
      <c r="K15" s="570"/>
      <c r="L15" s="570"/>
      <c r="M15" s="570"/>
      <c r="N15" s="570"/>
      <c r="O15" s="570"/>
      <c r="P15" s="571">
        <f>SUM(compras_mes11[[#This Row],[NETO GRAVADO]:[Otros / No Grav.]])</f>
        <v>120347.58009999999</v>
      </c>
      <c r="Q15" s="572" t="str">
        <f>IFERROR(IF(compras_mes11[[#This Row],[CUIT]]="","-",VLOOKUP(compras_mes11[[#This Row],[CUIT]],Lista_CUIT[#All],3,0)),"CUIT NO CARGADO")</f>
        <v>COMBUSTIBLE</v>
      </c>
      <c r="R15" s="572">
        <f>IFERROR(IF(compras_mes11[[#This Row],[CUIT]]="","-",VLOOKUP(compras_mes11[[#This Row],[CUIT]],Lista_CUIT[#All],4,0)),"CUIT NO CARGADO")</f>
        <v>0</v>
      </c>
    </row>
    <row r="16" spans="1:26" s="549" customFormat="1">
      <c r="B16" s="556">
        <v>45611</v>
      </c>
      <c r="C16" s="305">
        <v>1</v>
      </c>
      <c r="D16" s="292">
        <v>11</v>
      </c>
      <c r="E16" s="293">
        <v>93020</v>
      </c>
      <c r="F16" s="294">
        <v>30526582884</v>
      </c>
      <c r="G16" s="295" t="str">
        <f>IFERROR(IF(compras_mes11[[#This Row],[CUIT]]="","-",VLOOKUP(compras_mes11[[#This Row],[CUIT]],Lista_CUIT[#All],2,0)),"CUIT NO CARGADO")</f>
        <v>EXPRESO MAR DEL PLATA S.A.</v>
      </c>
      <c r="H16" s="296">
        <v>59818.18</v>
      </c>
      <c r="I16" s="551">
        <f>IF(compras_mes11[[#This Row],[NETO GRAVADO]]="","",compras_mes11[[#This Row],[NETO GRAVADO]]*0.21)</f>
        <v>12561.817799999999</v>
      </c>
      <c r="J16" s="551"/>
      <c r="K16" s="551"/>
      <c r="L16" s="551"/>
      <c r="M16" s="551"/>
      <c r="N16" s="551"/>
      <c r="O16" s="551"/>
      <c r="P16" s="552">
        <f>SUM(compras_mes11[[#This Row],[NETO GRAVADO]:[Otros / No Grav.]])</f>
        <v>72379.997799999997</v>
      </c>
      <c r="Q16" s="550" t="str">
        <f>IFERROR(IF(compras_mes11[[#This Row],[CUIT]]="","-",VLOOKUP(compras_mes11[[#This Row],[CUIT]],Lista_CUIT[#All],3,0)),"CUIT NO CARGADO")</f>
        <v>FLETE</v>
      </c>
      <c r="R16" s="550">
        <f>IFERROR(IF(compras_mes11[[#This Row],[CUIT]]="","-",VLOOKUP(compras_mes11[[#This Row],[CUIT]],Lista_CUIT[#All],4,0)),"CUIT NO CARGADO")</f>
        <v>0</v>
      </c>
    </row>
    <row r="17" spans="2:18" s="549" customFormat="1">
      <c r="B17" s="564">
        <v>45615</v>
      </c>
      <c r="C17" s="508">
        <v>1</v>
      </c>
      <c r="D17" s="565">
        <v>326</v>
      </c>
      <c r="E17" s="566">
        <v>79605</v>
      </c>
      <c r="F17" s="567">
        <v>30556565798</v>
      </c>
      <c r="G17" s="568" t="str">
        <f>IFERROR(IF(compras_mes11[[#This Row],[CUIT]]="","-",VLOOKUP(compras_mes11[[#This Row],[CUIT]],Lista_CUIT[#All],2,0)),"CUIT NO CARGADO")</f>
        <v>VICTOR MASSON TRANSPORTES CRUZ DEL SUR S A</v>
      </c>
      <c r="H17" s="569">
        <v>21901.87</v>
      </c>
      <c r="I17" s="570">
        <f>IF(compras_mes11[[#This Row],[NETO GRAVADO]]="","",compras_mes11[[#This Row],[NETO GRAVADO]]*0.21)</f>
        <v>4599.3926999999994</v>
      </c>
      <c r="J17" s="570"/>
      <c r="K17" s="570"/>
      <c r="L17" s="570"/>
      <c r="M17" s="570"/>
      <c r="N17" s="570"/>
      <c r="O17" s="570"/>
      <c r="P17" s="571">
        <f>SUM(compras_mes11[[#This Row],[NETO GRAVADO]:[Otros / No Grav.]])</f>
        <v>26501.262699999999</v>
      </c>
      <c r="Q17" s="572" t="str">
        <f>IFERROR(IF(compras_mes11[[#This Row],[CUIT]]="","-",VLOOKUP(compras_mes11[[#This Row],[CUIT]],Lista_CUIT[#All],3,0)),"CUIT NO CARGADO")</f>
        <v>FLETE</v>
      </c>
      <c r="R17" s="572">
        <f>IFERROR(IF(compras_mes11[[#This Row],[CUIT]]="","-",VLOOKUP(compras_mes11[[#This Row],[CUIT]],Lista_CUIT[#All],4,0)),"CUIT NO CARGADO")</f>
        <v>0</v>
      </c>
    </row>
    <row r="18" spans="2:18" s="549" customFormat="1">
      <c r="B18" s="556">
        <v>45625</v>
      </c>
      <c r="C18" s="305">
        <v>1</v>
      </c>
      <c r="D18" s="292">
        <v>1000</v>
      </c>
      <c r="E18" s="293">
        <v>209165</v>
      </c>
      <c r="F18" s="294">
        <v>30715123483</v>
      </c>
      <c r="G18" s="295" t="str">
        <f>IFERROR(IF(compras_mes11[[#This Row],[CUIT]]="","-",VLOOKUP(compras_mes11[[#This Row],[CUIT]],Lista_CUIT[#All],2,0)),"CUIT NO CARGADO")</f>
        <v>ITPROUSER SA</v>
      </c>
      <c r="H18" s="296">
        <v>11314.04</v>
      </c>
      <c r="I18" s="551">
        <f>IF(compras_mes11[[#This Row],[NETO GRAVADO]]="","",compras_mes11[[#This Row],[NETO GRAVADO]]*0.21)</f>
        <v>2375.9484000000002</v>
      </c>
      <c r="J18" s="551"/>
      <c r="K18" s="551"/>
      <c r="L18" s="551"/>
      <c r="M18" s="551"/>
      <c r="N18" s="551"/>
      <c r="O18" s="551"/>
      <c r="P18" s="552">
        <f>SUM(compras_mes11[[#This Row],[NETO GRAVADO]:[Otros / No Grav.]])</f>
        <v>13689.988400000002</v>
      </c>
      <c r="Q18" s="550" t="str">
        <f>IFERROR(IF(compras_mes11[[#This Row],[CUIT]]="","-",VLOOKUP(compras_mes11[[#This Row],[CUIT]],Lista_CUIT[#All],3,0)),"CUIT NO CARGADO")</f>
        <v>FLETE</v>
      </c>
      <c r="R18" s="550">
        <f>IFERROR(IF(compras_mes11[[#This Row],[CUIT]]="","-",VLOOKUP(compras_mes11[[#This Row],[CUIT]],Lista_CUIT[#All],4,0)),"CUIT NO CARGADO")</f>
        <v>0</v>
      </c>
    </row>
    <row r="19" spans="2:18" s="549" customFormat="1">
      <c r="B19" s="556">
        <v>45597</v>
      </c>
      <c r="C19" s="305">
        <v>1</v>
      </c>
      <c r="D19" s="292">
        <v>500</v>
      </c>
      <c r="E19" s="293">
        <v>1641624</v>
      </c>
      <c r="F19" s="294">
        <v>30654118767</v>
      </c>
      <c r="G19" s="295" t="str">
        <f>IFERROR(IF(compras_mes11[[#This Row],[CUIT]]="","-",VLOOKUP(compras_mes11[[#This Row],[CUIT]],Lista_CUIT[#All],2,0)),"CUIT NO CARGADO")</f>
        <v>SOLUCIONES MULTIMEDIA SA</v>
      </c>
      <c r="H19" s="296">
        <v>102077.93</v>
      </c>
      <c r="I19" s="551">
        <f>IF(compras_mes11[[#This Row],[NETO GRAVADO]]="","",compras_mes11[[#This Row],[NETO GRAVADO]]*0.21)</f>
        <v>21436.365299999998</v>
      </c>
      <c r="J19" s="551"/>
      <c r="K19" s="551"/>
      <c r="L19" s="551"/>
      <c r="M19" s="551"/>
      <c r="N19" s="551"/>
      <c r="O19" s="551"/>
      <c r="P19" s="552">
        <f>SUM(compras_mes11[[#This Row],[NETO GRAVADO]:[Otros / No Grav.]])</f>
        <v>123514.2953</v>
      </c>
      <c r="Q19" s="550" t="str">
        <f>IFERROR(IF(compras_mes11[[#This Row],[CUIT]]="","-",VLOOKUP(compras_mes11[[#This Row],[CUIT]],Lista_CUIT[#All],3,0)),"CUIT NO CARGADO")</f>
        <v>GASTOS ADMINISTRATIVOS</v>
      </c>
      <c r="R19" s="550">
        <f>IFERROR(IF(compras_mes11[[#This Row],[CUIT]]="","-",VLOOKUP(compras_mes11[[#This Row],[CUIT]],Lista_CUIT[#All],4,0)),"CUIT NO CARGADO")</f>
        <v>0</v>
      </c>
    </row>
    <row r="20" spans="2:18" s="549" customFormat="1">
      <c r="B20" s="556">
        <v>45625</v>
      </c>
      <c r="C20" s="305">
        <v>1</v>
      </c>
      <c r="D20" s="292">
        <v>68</v>
      </c>
      <c r="E20" s="293">
        <v>68872</v>
      </c>
      <c r="F20" s="294">
        <v>30703088534</v>
      </c>
      <c r="G20" s="295" t="str">
        <f>IFERROR(IF(compras_mes11[[#This Row],[CUIT]]="","-",VLOOKUP(compras_mes11[[#This Row],[CUIT]],Lista_CUIT[#All],2,0)),"CUIT NO CARGADO")</f>
        <v>MERCADO LIBRE SRL</v>
      </c>
      <c r="H20" s="296">
        <v>59228.63</v>
      </c>
      <c r="I20" s="551">
        <f>IF(compras_mes11[[#This Row],[NETO GRAVADO]]="","",compras_mes11[[#This Row],[NETO GRAVADO]]*0.21)</f>
        <v>12438.012299999999</v>
      </c>
      <c r="J20" s="551"/>
      <c r="K20" s="551"/>
      <c r="L20" s="551"/>
      <c r="M20" s="551"/>
      <c r="N20" s="551"/>
      <c r="O20" s="551"/>
      <c r="P20" s="552">
        <f>SUM(compras_mes11[[#This Row],[NETO GRAVADO]:[Otros / No Grav.]])</f>
        <v>71666.642299999992</v>
      </c>
      <c r="Q20" s="550" t="str">
        <f>IFERROR(IF(compras_mes11[[#This Row],[CUIT]]="","-",VLOOKUP(compras_mes11[[#This Row],[CUIT]],Lista_CUIT[#All],3,0)),"CUIT NO CARGADO")</f>
        <v>GASTOS COMERCIALIZACION</v>
      </c>
      <c r="R20" s="550">
        <f>IFERROR(IF(compras_mes11[[#This Row],[CUIT]]="","-",VLOOKUP(compras_mes11[[#This Row],[CUIT]],Lista_CUIT[#All],4,0)),"CUIT NO CARGADO")</f>
        <v>0</v>
      </c>
    </row>
    <row r="21" spans="2:18" s="549" customFormat="1">
      <c r="B21" s="556">
        <v>45602</v>
      </c>
      <c r="C21" s="305">
        <v>1</v>
      </c>
      <c r="D21" s="292">
        <v>1</v>
      </c>
      <c r="E21" s="293">
        <v>106971</v>
      </c>
      <c r="F21" s="294">
        <v>30714864269</v>
      </c>
      <c r="G21" s="295" t="str">
        <f>IFERROR(IF(compras_mes11[[#This Row],[CUIT]]="","-",VLOOKUP(compras_mes11[[#This Row],[CUIT]],Lista_CUIT[#All],2,0)),"CUIT NO CARGADO")</f>
        <v>CONTABILIUM SA</v>
      </c>
      <c r="H21" s="296">
        <v>115939.17</v>
      </c>
      <c r="I21" s="551">
        <f>IF(compras_mes11[[#This Row],[NETO GRAVADO]]="","",compras_mes11[[#This Row],[NETO GRAVADO]]*0.21)</f>
        <v>24347.225699999999</v>
      </c>
      <c r="J21" s="551"/>
      <c r="K21" s="551"/>
      <c r="L21" s="551"/>
      <c r="M21" s="551"/>
      <c r="N21" s="551"/>
      <c r="O21" s="551"/>
      <c r="P21" s="552">
        <f>SUM(compras_mes11[[#This Row],[NETO GRAVADO]:[Otros / No Grav.]])</f>
        <v>140286.39569999999</v>
      </c>
      <c r="Q21" s="550" t="str">
        <f>IFERROR(IF(compras_mes11[[#This Row],[CUIT]]="","-",VLOOKUP(compras_mes11[[#This Row],[CUIT]],Lista_CUIT[#All],3,0)),"CUIT NO CARGADO")</f>
        <v>GASTOS CONTABLES</v>
      </c>
      <c r="R21" s="550">
        <f>IFERROR(IF(compras_mes11[[#This Row],[CUIT]]="","-",VLOOKUP(compras_mes11[[#This Row],[CUIT]],Lista_CUIT[#All],4,0)),"CUIT NO CARGADO")</f>
        <v>0</v>
      </c>
    </row>
    <row r="22" spans="2:18" s="549" customFormat="1">
      <c r="B22" s="556">
        <v>45609</v>
      </c>
      <c r="C22" s="305">
        <v>1</v>
      </c>
      <c r="D22" s="292">
        <v>3</v>
      </c>
      <c r="E22" s="293">
        <v>7984</v>
      </c>
      <c r="F22" s="294">
        <v>33708218699</v>
      </c>
      <c r="G22" s="295" t="str">
        <f>IFERROR(IF(compras_mes11[[#This Row],[CUIT]]="","-",VLOOKUP(compras_mes11[[#This Row],[CUIT]],Lista_CUIT[#All],2,0)),"CUIT NO CARGADO")</f>
        <v>MANGGINI PABLO Y MANGGINI ULISES SOC. DE HECHO.</v>
      </c>
      <c r="H22" s="296">
        <v>19000</v>
      </c>
      <c r="I22" s="551">
        <f>IF(compras_mes11[[#This Row],[NETO GRAVADO]]="","",compras_mes11[[#This Row],[NETO GRAVADO]]*0.21)</f>
        <v>3990</v>
      </c>
      <c r="J22" s="551"/>
      <c r="K22" s="551"/>
      <c r="L22" s="551"/>
      <c r="M22" s="551"/>
      <c r="N22" s="551"/>
      <c r="O22" s="551"/>
      <c r="P22" s="552">
        <f>SUM(compras_mes11[[#This Row],[NETO GRAVADO]:[Otros / No Grav.]])</f>
        <v>22990</v>
      </c>
      <c r="Q22" s="550" t="str">
        <f>IFERROR(IF(compras_mes11[[#This Row],[CUIT]]="","-",VLOOKUP(compras_mes11[[#This Row],[CUIT]],Lista_CUIT[#All],3,0)),"CUIT NO CARGADO")</f>
        <v>Gastos Varios</v>
      </c>
      <c r="R22" s="550">
        <f>IFERROR(IF(compras_mes11[[#This Row],[CUIT]]="","-",VLOOKUP(compras_mes11[[#This Row],[CUIT]],Lista_CUIT[#All],4,0)),"CUIT NO CARGADO")</f>
        <v>0</v>
      </c>
    </row>
    <row r="23" spans="2:18" s="549" customFormat="1">
      <c r="B23" s="556">
        <v>45597</v>
      </c>
      <c r="C23" s="305">
        <v>1</v>
      </c>
      <c r="D23" s="292">
        <v>2</v>
      </c>
      <c r="E23" s="293">
        <v>6</v>
      </c>
      <c r="F23" s="294">
        <v>20233007820</v>
      </c>
      <c r="G23" s="295" t="str">
        <f>IFERROR(IF(compras_mes11[[#This Row],[CUIT]]="","-",VLOOKUP(compras_mes11[[#This Row],[CUIT]],Lista_CUIT[#All],2,0)),"CUIT NO CARGADO")</f>
        <v>MUSSO LUIS ADRIAN</v>
      </c>
      <c r="H23" s="296">
        <v>23600</v>
      </c>
      <c r="I23" s="551">
        <f>IF(compras_mes11[[#This Row],[NETO GRAVADO]]="","",compras_mes11[[#This Row],[NETO GRAVADO]]*0.21)</f>
        <v>4956</v>
      </c>
      <c r="J23" s="551"/>
      <c r="K23" s="551"/>
      <c r="L23" s="551"/>
      <c r="M23" s="551"/>
      <c r="N23" s="551"/>
      <c r="O23" s="551"/>
      <c r="P23" s="552">
        <f>SUM(compras_mes11[[#This Row],[NETO GRAVADO]:[Otros / No Grav.]])</f>
        <v>28556</v>
      </c>
      <c r="Q23" s="550" t="str">
        <f>IFERROR(IF(compras_mes11[[#This Row],[CUIT]]="","-",VLOOKUP(compras_mes11[[#This Row],[CUIT]],Lista_CUIT[#All],3,0)),"CUIT NO CARGADO")</f>
        <v>Gastos Varios</v>
      </c>
      <c r="R23" s="550">
        <f>IFERROR(IF(compras_mes11[[#This Row],[CUIT]]="","-",VLOOKUP(compras_mes11[[#This Row],[CUIT]],Lista_CUIT[#All],4,0)),"CUIT NO CARGADO")</f>
        <v>0</v>
      </c>
    </row>
    <row r="24" spans="2:18" s="549" customFormat="1">
      <c r="B24" s="556">
        <v>45615</v>
      </c>
      <c r="C24" s="305">
        <v>1</v>
      </c>
      <c r="D24" s="292">
        <v>1</v>
      </c>
      <c r="E24" s="293">
        <v>1695</v>
      </c>
      <c r="F24" s="294">
        <v>30717207188</v>
      </c>
      <c r="G24" s="295" t="str">
        <f>IFERROR(IF(compras_mes11[[#This Row],[CUIT]]="","-",VLOOKUP(compras_mes11[[#This Row],[CUIT]],Lista_CUIT[#All],2,0)),"CUIT NO CARGADO")</f>
        <v>IMPORTACIONES BRANDON S.R.L.</v>
      </c>
      <c r="H24" s="296">
        <v>9000</v>
      </c>
      <c r="I24" s="551"/>
      <c r="J24" s="551"/>
      <c r="K24" s="551">
        <f>compras_mes11[[#This Row],[NETO GRAVADO]]*10.5/100</f>
        <v>945</v>
      </c>
      <c r="L24" s="551"/>
      <c r="M24" s="551"/>
      <c r="N24" s="551"/>
      <c r="O24" s="551"/>
      <c r="P24" s="552">
        <f>SUM(compras_mes11[[#This Row],[NETO GRAVADO]:[Otros / No Grav.]])</f>
        <v>9945</v>
      </c>
      <c r="Q24" s="550" t="str">
        <f>IFERROR(IF(compras_mes11[[#This Row],[CUIT]]="","-",VLOOKUP(compras_mes11[[#This Row],[CUIT]],Lista_CUIT[#All],3,0)),"CUIT NO CARGADO")</f>
        <v>Gastos Varios</v>
      </c>
      <c r="R24" s="550">
        <f>IFERROR(IF(compras_mes11[[#This Row],[CUIT]]="","-",VLOOKUP(compras_mes11[[#This Row],[CUIT]],Lista_CUIT[#All],4,0)),"CUIT NO CARGADO")</f>
        <v>0</v>
      </c>
    </row>
    <row r="25" spans="2:18" s="549" customFormat="1">
      <c r="B25" s="556">
        <v>45621</v>
      </c>
      <c r="C25" s="305">
        <v>1</v>
      </c>
      <c r="D25" s="292">
        <v>2</v>
      </c>
      <c r="E25" s="293">
        <v>39919</v>
      </c>
      <c r="F25" s="294">
        <v>30717273520</v>
      </c>
      <c r="G25" s="295" t="str">
        <f>IFERROR(IF(compras_mes11[[#This Row],[CUIT]]="","-",VLOOKUP(compras_mes11[[#This Row],[CUIT]],Lista_CUIT[#All],2,0)),"CUIT NO CARGADO")</f>
        <v>SMART IT SOLUTIONS S.R.L</v>
      </c>
      <c r="H25" s="296">
        <v>6928.1</v>
      </c>
      <c r="I25" s="551">
        <f>IF(compras_mes11[[#This Row],[NETO GRAVADO]]="","",compras_mes11[[#This Row],[NETO GRAVADO]]*0.21)</f>
        <v>1454.9010000000001</v>
      </c>
      <c r="J25" s="551"/>
      <c r="K25" s="551"/>
      <c r="L25" s="551"/>
      <c r="M25" s="551"/>
      <c r="N25" s="551"/>
      <c r="O25" s="551"/>
      <c r="P25" s="552">
        <f>SUM(compras_mes11[[#This Row],[NETO GRAVADO]:[Otros / No Grav.]])</f>
        <v>8383.0010000000002</v>
      </c>
      <c r="Q25" s="550" t="str">
        <f>IFERROR(IF(compras_mes11[[#This Row],[CUIT]]="","-",VLOOKUP(compras_mes11[[#This Row],[CUIT]],Lista_CUIT[#All],3,0)),"CUIT NO CARGADO")</f>
        <v>Gastos Varios</v>
      </c>
      <c r="R25" s="550">
        <f>IFERROR(IF(compras_mes11[[#This Row],[CUIT]]="","-",VLOOKUP(compras_mes11[[#This Row],[CUIT]],Lista_CUIT[#All],4,0)),"CUIT NO CARGADO")</f>
        <v>0</v>
      </c>
    </row>
    <row r="26" spans="2:18" s="549" customFormat="1">
      <c r="B26" s="556">
        <v>45604</v>
      </c>
      <c r="C26" s="305">
        <v>1</v>
      </c>
      <c r="D26" s="557">
        <v>120</v>
      </c>
      <c r="E26" s="558">
        <v>5322</v>
      </c>
      <c r="F26" s="559">
        <v>30587197215</v>
      </c>
      <c r="G26" s="560" t="str">
        <f>IFERROR(IF(compras_mes11[[#This Row],[CUIT]]="","-",VLOOKUP(compras_mes11[[#This Row],[CUIT]],Lista_CUIT[#All],2,0)),"CUIT NO CARGADO")</f>
        <v>PANATEL SOCIEDAD ANONIMA</v>
      </c>
      <c r="H26" s="561">
        <v>68595.039999999994</v>
      </c>
      <c r="I26" s="551">
        <f>IF(compras_mes11[[#This Row],[NETO GRAVADO]]="","",compras_mes11[[#This Row],[NETO GRAVADO]]*0.21)</f>
        <v>14404.958399999998</v>
      </c>
      <c r="J26" s="551"/>
      <c r="K26" s="551"/>
      <c r="L26" s="551"/>
      <c r="M26" s="551"/>
      <c r="N26" s="551"/>
      <c r="O26" s="551"/>
      <c r="P26" s="552">
        <f>SUM(compras_mes11[[#This Row],[NETO GRAVADO]:[Otros / No Grav.]])</f>
        <v>82999.998399999997</v>
      </c>
      <c r="Q26" s="550" t="str">
        <f>IFERROR(IF(compras_mes11[[#This Row],[CUIT]]="","-",VLOOKUP(compras_mes11[[#This Row],[CUIT]],Lista_CUIT[#All],3,0)),"CUIT NO CARGADO")</f>
        <v>Gastos Varios</v>
      </c>
      <c r="R26" s="550">
        <f>IFERROR(IF(compras_mes11[[#This Row],[CUIT]]="","-",VLOOKUP(compras_mes11[[#This Row],[CUIT]],Lista_CUIT[#All],4,0)),"CUIT NO CARGADO")</f>
        <v>0</v>
      </c>
    </row>
    <row r="27" spans="2:18" s="549" customFormat="1">
      <c r="B27" s="556">
        <v>45610</v>
      </c>
      <c r="C27" s="305">
        <v>1</v>
      </c>
      <c r="D27" s="292">
        <v>32</v>
      </c>
      <c r="E27" s="293">
        <v>151158</v>
      </c>
      <c r="F27" s="294">
        <v>30708847247</v>
      </c>
      <c r="G27" s="295" t="str">
        <f>IFERROR(IF(compras_mes11[[#This Row],[CUIT]]="","-",VLOOKUP(compras_mes11[[#This Row],[CUIT]],Lista_CUIT[#All],2,0)),"CUIT NO CARGADO")</f>
        <v>TOAGRA SRL</v>
      </c>
      <c r="H27" s="296">
        <v>25084.76</v>
      </c>
      <c r="I27" s="551">
        <f>IF(compras_mes11[[#This Row],[NETO GRAVADO]]="","",compras_mes11[[#This Row],[NETO GRAVADO]]*0.21)</f>
        <v>5267.7995999999994</v>
      </c>
      <c r="J27" s="551"/>
      <c r="K27" s="551"/>
      <c r="L27" s="551"/>
      <c r="M27" s="551"/>
      <c r="N27" s="551"/>
      <c r="O27" s="551"/>
      <c r="P27" s="552">
        <f>SUM(compras_mes11[[#This Row],[NETO GRAVADO]:[Otros / No Grav.]])</f>
        <v>30352.559599999997</v>
      </c>
      <c r="Q27" s="550" t="str">
        <f>IFERROR(IF(compras_mes11[[#This Row],[CUIT]]="","-",VLOOKUP(compras_mes11[[#This Row],[CUIT]],Lista_CUIT[#All],3,0)),"CUIT NO CARGADO")</f>
        <v>GASTOS VARIOS</v>
      </c>
      <c r="R27" s="550">
        <f>IFERROR(IF(compras_mes11[[#This Row],[CUIT]]="","-",VLOOKUP(compras_mes11[[#This Row],[CUIT]],Lista_CUIT[#All],4,0)),"CUIT NO CARGADO")</f>
        <v>0</v>
      </c>
    </row>
    <row r="28" spans="2:18" s="549" customFormat="1">
      <c r="B28" s="556">
        <v>45610</v>
      </c>
      <c r="C28" s="305">
        <v>1</v>
      </c>
      <c r="D28" s="292">
        <v>7</v>
      </c>
      <c r="E28" s="293">
        <v>3420</v>
      </c>
      <c r="F28" s="294">
        <v>20284183534</v>
      </c>
      <c r="G28" s="295" t="str">
        <f>IFERROR(IF(compras_mes11[[#This Row],[CUIT]]="","-",VLOOKUP(compras_mes11[[#This Row],[CUIT]],Lista_CUIT[#All],2,0)),"CUIT NO CARGADO")</f>
        <v>FURLANETTO MARTIN</v>
      </c>
      <c r="H28" s="296">
        <v>3801.66</v>
      </c>
      <c r="I28" s="551">
        <f>IF(compras_mes11[[#This Row],[NETO GRAVADO]]="","",compras_mes11[[#This Row],[NETO GRAVADO]]*0.21)</f>
        <v>798.34859999999992</v>
      </c>
      <c r="J28" s="551"/>
      <c r="K28" s="551"/>
      <c r="L28" s="551"/>
      <c r="M28" s="551"/>
      <c r="N28" s="551"/>
      <c r="O28" s="551"/>
      <c r="P28" s="552">
        <f>SUM(compras_mes11[[#This Row],[NETO GRAVADO]:[Otros / No Grav.]])</f>
        <v>4600.0086000000001</v>
      </c>
      <c r="Q28" s="550" t="str">
        <f>IFERROR(IF(compras_mes11[[#This Row],[CUIT]]="","-",VLOOKUP(compras_mes11[[#This Row],[CUIT]],Lista_CUIT[#All],3,0)),"CUIT NO CARGADO")</f>
        <v>gastos varios</v>
      </c>
      <c r="R28" s="550">
        <f>IFERROR(IF(compras_mes11[[#This Row],[CUIT]]="","-",VLOOKUP(compras_mes11[[#This Row],[CUIT]],Lista_CUIT[#All],4,0)),"CUIT NO CARGADO")</f>
        <v>0</v>
      </c>
    </row>
    <row r="29" spans="2:18" s="549" customFormat="1">
      <c r="B29" s="556">
        <v>45615</v>
      </c>
      <c r="C29" s="305">
        <v>1</v>
      </c>
      <c r="D29" s="292">
        <v>5</v>
      </c>
      <c r="E29" s="293">
        <v>34</v>
      </c>
      <c r="F29" s="294">
        <v>20929183143</v>
      </c>
      <c r="G29" s="295" t="str">
        <f>IFERROR(IF(compras_mes11[[#This Row],[CUIT]]="","-",VLOOKUP(compras_mes11[[#This Row],[CUIT]],Lista_CUIT[#All],2,0)),"CUIT NO CARGADO")</f>
        <v>MA JUN</v>
      </c>
      <c r="H29" s="296">
        <v>70000</v>
      </c>
      <c r="I29" s="551">
        <f>IF(compras_mes11[[#This Row],[NETO GRAVADO]]="","",compras_mes11[[#This Row],[NETO GRAVADO]]*0.21)</f>
        <v>14700</v>
      </c>
      <c r="J29" s="551"/>
      <c r="K29" s="551"/>
      <c r="L29" s="551"/>
      <c r="M29" s="551"/>
      <c r="N29" s="551"/>
      <c r="O29" s="551"/>
      <c r="P29" s="552">
        <f>SUM(compras_mes11[[#This Row],[NETO GRAVADO]:[Otros / No Grav.]])</f>
        <v>84700</v>
      </c>
      <c r="Q29" s="550" t="str">
        <f>IFERROR(IF(compras_mes11[[#This Row],[CUIT]]="","-",VLOOKUP(compras_mes11[[#This Row],[CUIT]],Lista_CUIT[#All],3,0)),"CUIT NO CARGADO")</f>
        <v>Gastos Varios</v>
      </c>
      <c r="R29" s="550">
        <f>IFERROR(IF(compras_mes11[[#This Row],[CUIT]]="","-",VLOOKUP(compras_mes11[[#This Row],[CUIT]],Lista_CUIT[#All],4,0)),"CUIT NO CARGADO")</f>
        <v>0</v>
      </c>
    </row>
    <row r="30" spans="2:18" s="549" customFormat="1">
      <c r="B30" s="556">
        <v>45626</v>
      </c>
      <c r="C30" s="305">
        <v>1</v>
      </c>
      <c r="D30" s="292">
        <v>113</v>
      </c>
      <c r="E30" s="293">
        <v>3939720</v>
      </c>
      <c r="F30" s="294">
        <v>30577207190</v>
      </c>
      <c r="G30" s="295" t="str">
        <f>IFERROR(IF(compras_mes11[[#This Row],[CUIT]]="","-",VLOOKUP(compras_mes11[[#This Row],[CUIT]],Lista_CUIT[#All],2,0)),"CUIT NO CARGADO")</f>
        <v>COORDINACION ECOLOGICA AREA METROPOLITANA SOCIEDAD DEL ESTADO</v>
      </c>
      <c r="H30" s="296">
        <v>1983.47</v>
      </c>
      <c r="I30" s="551">
        <f>IF(compras_mes11[[#This Row],[NETO GRAVADO]]="","",compras_mes11[[#This Row],[NETO GRAVADO]]*0.21)</f>
        <v>416.52870000000001</v>
      </c>
      <c r="J30" s="551"/>
      <c r="K30" s="551"/>
      <c r="L30" s="551"/>
      <c r="M30" s="551"/>
      <c r="N30" s="551"/>
      <c r="O30" s="551"/>
      <c r="P30" s="552">
        <f>SUM(compras_mes11[[#This Row],[NETO GRAVADO]:[Otros / No Grav.]])</f>
        <v>2399.9987000000001</v>
      </c>
      <c r="Q30" s="550" t="str">
        <f>IFERROR(IF(compras_mes11[[#This Row],[CUIT]]="","-",VLOOKUP(compras_mes11[[#This Row],[CUIT]],Lista_CUIT[#All],3,0)),"CUIT NO CARGADO")</f>
        <v>gastos varios</v>
      </c>
      <c r="R30" s="550">
        <f>IFERROR(IF(compras_mes11[[#This Row],[CUIT]]="","-",VLOOKUP(compras_mes11[[#This Row],[CUIT]],Lista_CUIT[#All],4,0)),"CUIT NO CARGADO")</f>
        <v>0</v>
      </c>
    </row>
    <row r="31" spans="2:18" s="549" customFormat="1">
      <c r="B31" s="556">
        <v>45626</v>
      </c>
      <c r="C31" s="305">
        <v>1</v>
      </c>
      <c r="D31" s="557">
        <v>6</v>
      </c>
      <c r="E31" s="558">
        <v>18120737</v>
      </c>
      <c r="F31" s="559">
        <v>30620177497</v>
      </c>
      <c r="G31" s="560" t="str">
        <f>IFERROR(IF(compras_mes11[[#This Row],[CUIT]]="","-",VLOOKUP(compras_mes11[[#This Row],[CUIT]],Lista_CUIT[#All],2,0)),"CUIT NO CARGADO")</f>
        <v>POSNET SOCIEDAD DE RESPONSABILIDAD LIMITADA</v>
      </c>
      <c r="H31" s="561">
        <v>28217.24</v>
      </c>
      <c r="I31" s="551">
        <f>IF(compras_mes11[[#This Row],[NETO GRAVADO]]="","",compras_mes11[[#This Row],[NETO GRAVADO]]*0.21)</f>
        <v>5925.6203999999998</v>
      </c>
      <c r="J31" s="551"/>
      <c r="K31" s="551"/>
      <c r="L31" s="551"/>
      <c r="M31" s="551"/>
      <c r="N31" s="551"/>
      <c r="O31" s="551"/>
      <c r="P31" s="552">
        <f>SUM(compras_mes11[[#This Row],[NETO GRAVADO]:[Otros / No Grav.]])</f>
        <v>34142.860400000005</v>
      </c>
      <c r="Q31" s="550" t="str">
        <f>IFERROR(IF(compras_mes11[[#This Row],[CUIT]]="","-",VLOOKUP(compras_mes11[[#This Row],[CUIT]],Lista_CUIT[#All],3,0)),"CUIT NO CARGADO")</f>
        <v>Gastos Varios</v>
      </c>
      <c r="R31" s="550">
        <f>IFERROR(IF(compras_mes11[[#This Row],[CUIT]]="","-",VLOOKUP(compras_mes11[[#This Row],[CUIT]],Lista_CUIT[#All],4,0)),"CUIT NO CARGADO")</f>
        <v>0</v>
      </c>
    </row>
    <row r="32" spans="2:18" s="549" customFormat="1">
      <c r="B32" s="556">
        <v>45626</v>
      </c>
      <c r="C32" s="305">
        <v>1</v>
      </c>
      <c r="D32" s="557">
        <v>6</v>
      </c>
      <c r="E32" s="558">
        <v>17981249</v>
      </c>
      <c r="F32" s="559">
        <v>30620177497</v>
      </c>
      <c r="G32" s="560" t="str">
        <f>IFERROR(IF(compras_mes11[[#This Row],[CUIT]]="","-",VLOOKUP(compras_mes11[[#This Row],[CUIT]],Lista_CUIT[#All],2,0)),"CUIT NO CARGADO")</f>
        <v>POSNET SOCIEDAD DE RESPONSABILIDAD LIMITADA</v>
      </c>
      <c r="H32" s="561">
        <v>0</v>
      </c>
      <c r="I32" s="551">
        <f>IF(compras_mes11[[#This Row],[NETO GRAVADO]]="","",compras_mes11[[#This Row],[NETO GRAVADO]]*0.21)</f>
        <v>0</v>
      </c>
      <c r="J32" s="551"/>
      <c r="K32" s="551"/>
      <c r="L32" s="551"/>
      <c r="M32" s="551"/>
      <c r="N32" s="551"/>
      <c r="O32" s="551"/>
      <c r="P32" s="552">
        <f>SUM(compras_mes11[[#This Row],[NETO GRAVADO]:[Otros / No Grav.]])</f>
        <v>0</v>
      </c>
      <c r="Q32" s="550" t="str">
        <f>IFERROR(IF(compras_mes11[[#This Row],[CUIT]]="","-",VLOOKUP(compras_mes11[[#This Row],[CUIT]],Lista_CUIT[#All],3,0)),"CUIT NO CARGADO")</f>
        <v>Gastos Varios</v>
      </c>
      <c r="R32" s="550">
        <f>IFERROR(IF(compras_mes11[[#This Row],[CUIT]]="","-",VLOOKUP(compras_mes11[[#This Row],[CUIT]],Lista_CUIT[#All],4,0)),"CUIT NO CARGADO")</f>
        <v>0</v>
      </c>
    </row>
    <row r="33" spans="2:18" s="549" customFormat="1">
      <c r="B33" s="564">
        <v>45616</v>
      </c>
      <c r="C33" s="508">
        <v>1</v>
      </c>
      <c r="D33" s="509">
        <v>6</v>
      </c>
      <c r="E33" s="510">
        <v>1710</v>
      </c>
      <c r="F33" s="511">
        <v>30716815710</v>
      </c>
      <c r="G33" s="512" t="str">
        <f>IFERROR(IF(compras_mes11[[#This Row],[CUIT]]="","-",VLOOKUP(compras_mes11[[#This Row],[CUIT]],Lista_CUIT[#All],2,0)),"CUIT NO CARGADO")</f>
        <v>PAPELERA GEOPEL SRL</v>
      </c>
      <c r="H33" s="513">
        <v>14800</v>
      </c>
      <c r="I33" s="570">
        <f>IF(compras_mes11[[#This Row],[NETO GRAVADO]]="","",compras_mes11[[#This Row],[NETO GRAVADO]]*0.21)</f>
        <v>3108</v>
      </c>
      <c r="J33" s="570"/>
      <c r="K33" s="570"/>
      <c r="L33" s="570"/>
      <c r="M33" s="570"/>
      <c r="N33" s="570"/>
      <c r="O33" s="570"/>
      <c r="P33" s="571">
        <f>SUM(compras_mes11[[#This Row],[NETO GRAVADO]:[Otros / No Grav.]])</f>
        <v>17908</v>
      </c>
      <c r="Q33" s="572" t="str">
        <f>IFERROR(IF(compras_mes11[[#This Row],[CUIT]]="","-",VLOOKUP(compras_mes11[[#This Row],[CUIT]],Lista_CUIT[#All],3,0)),"CUIT NO CARGADO")</f>
        <v>LIBRERÍA</v>
      </c>
      <c r="R33" s="572">
        <f>IFERROR(IF(compras_mes11[[#This Row],[CUIT]]="","-",VLOOKUP(compras_mes11[[#This Row],[CUIT]],Lista_CUIT[#All],4,0)),"CUIT NO CARGADO")</f>
        <v>0</v>
      </c>
    </row>
    <row r="34" spans="2:18" s="549" customFormat="1">
      <c r="B34" s="556">
        <v>45603</v>
      </c>
      <c r="C34" s="305">
        <v>1</v>
      </c>
      <c r="D34" s="292">
        <v>5015</v>
      </c>
      <c r="E34" s="293">
        <v>663243</v>
      </c>
      <c r="F34" s="294">
        <v>30574876474</v>
      </c>
      <c r="G34" s="295" t="str">
        <f>IFERROR(IF(compras_mes11[[#This Row],[CUIT]]="","-",VLOOKUP(compras_mes11[[#This Row],[CUIT]],Lista_CUIT[#All],2,0)),"CUIT NO CARGADO")</f>
        <v>AUTOP. URBANAS SA</v>
      </c>
      <c r="H34" s="296">
        <v>5655.84</v>
      </c>
      <c r="I34" s="551">
        <f>IF(compras_mes11[[#This Row],[NETO GRAVADO]]="","",compras_mes11[[#This Row],[NETO GRAVADO]]*0.21)</f>
        <v>1187.7264</v>
      </c>
      <c r="J34" s="551"/>
      <c r="K34" s="551"/>
      <c r="L34" s="551"/>
      <c r="M34" s="551"/>
      <c r="N34" s="551"/>
      <c r="O34" s="551"/>
      <c r="P34" s="552">
        <f>SUM(compras_mes11[[#This Row],[NETO GRAVADO]:[Otros / No Grav.]])</f>
        <v>6843.5663999999997</v>
      </c>
      <c r="Q34" s="550" t="str">
        <f>IFERROR(IF(compras_mes11[[#This Row],[CUIT]]="","-",VLOOKUP(compras_mes11[[#This Row],[CUIT]],Lista_CUIT[#All],3,0)),"CUIT NO CARGADO")</f>
        <v>PEAJE</v>
      </c>
      <c r="R34" s="550">
        <f>IFERROR(IF(compras_mes11[[#This Row],[CUIT]]="","-",VLOOKUP(compras_mes11[[#This Row],[CUIT]],Lista_CUIT[#All],4,0)),"CUIT NO CARGADO")</f>
        <v>0</v>
      </c>
    </row>
    <row r="35" spans="2:18" s="549" customFormat="1">
      <c r="B35" s="556">
        <v>45612</v>
      </c>
      <c r="C35" s="305">
        <v>1</v>
      </c>
      <c r="D35" s="292">
        <v>5009</v>
      </c>
      <c r="E35" s="293">
        <v>1067282</v>
      </c>
      <c r="F35" s="294">
        <v>30574876474</v>
      </c>
      <c r="G35" s="295" t="str">
        <f>IFERROR(IF(compras_mes11[[#This Row],[CUIT]]="","-",VLOOKUP(compras_mes11[[#This Row],[CUIT]],Lista_CUIT[#All],2,0)),"CUIT NO CARGADO")</f>
        <v>AUTOP. URBANAS SA</v>
      </c>
      <c r="H35" s="296">
        <v>4691.18</v>
      </c>
      <c r="I35" s="551">
        <f>IF(compras_mes11[[#This Row],[NETO GRAVADO]]="","",compras_mes11[[#This Row],[NETO GRAVADO]]*0.21)</f>
        <v>985.14780000000007</v>
      </c>
      <c r="J35" s="551"/>
      <c r="K35" s="551"/>
      <c r="L35" s="551"/>
      <c r="M35" s="551"/>
      <c r="N35" s="551"/>
      <c r="O35" s="551"/>
      <c r="P35" s="552">
        <f>SUM(compras_mes11[[#This Row],[NETO GRAVADO]:[Otros / No Grav.]])</f>
        <v>5676.3278</v>
      </c>
      <c r="Q35" s="550" t="str">
        <f>IFERROR(IF(compras_mes11[[#This Row],[CUIT]]="","-",VLOOKUP(compras_mes11[[#This Row],[CUIT]],Lista_CUIT[#All],3,0)),"CUIT NO CARGADO")</f>
        <v>PEAJE</v>
      </c>
      <c r="R35" s="550">
        <f>IFERROR(IF(compras_mes11[[#This Row],[CUIT]]="","-",VLOOKUP(compras_mes11[[#This Row],[CUIT]],Lista_CUIT[#All],4,0)),"CUIT NO CARGADO")</f>
        <v>0</v>
      </c>
    </row>
    <row r="36" spans="2:18" s="549" customFormat="1">
      <c r="B36" s="556">
        <v>45612</v>
      </c>
      <c r="C36" s="305">
        <v>1</v>
      </c>
      <c r="D36" s="292">
        <v>5015</v>
      </c>
      <c r="E36" s="293">
        <v>664668</v>
      </c>
      <c r="F36" s="294">
        <v>30574876474</v>
      </c>
      <c r="G36" s="295" t="str">
        <f>IFERROR(IF(compras_mes11[[#This Row],[CUIT]]="","-",VLOOKUP(compras_mes11[[#This Row],[CUIT]],Lista_CUIT[#All],2,0)),"CUIT NO CARGADO")</f>
        <v>AUTOP. URBANAS SA</v>
      </c>
      <c r="H36" s="296">
        <v>16419.080000000002</v>
      </c>
      <c r="I36" s="551">
        <f>IF(compras_mes11[[#This Row],[NETO GRAVADO]]="","",compras_mes11[[#This Row],[NETO GRAVADO]]*0.21)</f>
        <v>3448.0068000000001</v>
      </c>
      <c r="J36" s="551"/>
      <c r="K36" s="551"/>
      <c r="L36" s="551"/>
      <c r="M36" s="551"/>
      <c r="N36" s="551"/>
      <c r="O36" s="551"/>
      <c r="P36" s="552">
        <f>SUM(compras_mes11[[#This Row],[NETO GRAVADO]:[Otros / No Grav.]])</f>
        <v>19867.086800000001</v>
      </c>
      <c r="Q36" s="550" t="str">
        <f>IFERROR(IF(compras_mes11[[#This Row],[CUIT]]="","-",VLOOKUP(compras_mes11[[#This Row],[CUIT]],Lista_CUIT[#All],3,0)),"CUIT NO CARGADO")</f>
        <v>PEAJE</v>
      </c>
      <c r="R36" s="550">
        <f>IFERROR(IF(compras_mes11[[#This Row],[CUIT]]="","-",VLOOKUP(compras_mes11[[#This Row],[CUIT]],Lista_CUIT[#All],4,0)),"CUIT NO CARGADO")</f>
        <v>0</v>
      </c>
    </row>
    <row r="37" spans="2:18" s="549" customFormat="1">
      <c r="B37" s="556">
        <v>45619</v>
      </c>
      <c r="C37" s="305">
        <v>1</v>
      </c>
      <c r="D37" s="292">
        <v>5015</v>
      </c>
      <c r="E37" s="293">
        <v>668157</v>
      </c>
      <c r="F37" s="294">
        <v>30574876474</v>
      </c>
      <c r="G37" s="295" t="str">
        <f>IFERROR(IF(compras_mes11[[#This Row],[CUIT]]="","-",VLOOKUP(compras_mes11[[#This Row],[CUIT]],Lista_CUIT[#All],2,0)),"CUIT NO CARGADO")</f>
        <v>AUTOP. URBANAS SA</v>
      </c>
      <c r="H37" s="296">
        <v>21292.13</v>
      </c>
      <c r="I37" s="551">
        <f>IF(compras_mes11[[#This Row],[NETO GRAVADO]]="","",compras_mes11[[#This Row],[NETO GRAVADO]]*0.21)</f>
        <v>4471.3473000000004</v>
      </c>
      <c r="J37" s="551"/>
      <c r="K37" s="551"/>
      <c r="L37" s="551"/>
      <c r="M37" s="551"/>
      <c r="N37" s="551"/>
      <c r="O37" s="551"/>
      <c r="P37" s="552">
        <f>SUM(compras_mes11[[#This Row],[NETO GRAVADO]:[Otros / No Grav.]])</f>
        <v>25763.477300000002</v>
      </c>
      <c r="Q37" s="550" t="str">
        <f>IFERROR(IF(compras_mes11[[#This Row],[CUIT]]="","-",VLOOKUP(compras_mes11[[#This Row],[CUIT]],Lista_CUIT[#All],3,0)),"CUIT NO CARGADO")</f>
        <v>PEAJE</v>
      </c>
      <c r="R37" s="550">
        <f>IFERROR(IF(compras_mes11[[#This Row],[CUIT]]="","-",VLOOKUP(compras_mes11[[#This Row],[CUIT]],Lista_CUIT[#All],4,0)),"CUIT NO CARGADO")</f>
        <v>0</v>
      </c>
    </row>
    <row r="38" spans="2:18" s="549" customFormat="1">
      <c r="B38" s="556">
        <v>45626</v>
      </c>
      <c r="C38" s="305">
        <v>1</v>
      </c>
      <c r="D38" s="292">
        <v>5015</v>
      </c>
      <c r="E38" s="293">
        <v>670627</v>
      </c>
      <c r="F38" s="294">
        <v>30574876474</v>
      </c>
      <c r="G38" s="295" t="str">
        <f>IFERROR(IF(compras_mes11[[#This Row],[CUIT]]="","-",VLOOKUP(compras_mes11[[#This Row],[CUIT]],Lista_CUIT[#All],2,0)),"CUIT NO CARGADO")</f>
        <v>AUTOP. URBANAS SA</v>
      </c>
      <c r="H38" s="296">
        <v>26086.09</v>
      </c>
      <c r="I38" s="551">
        <f>IF(compras_mes11[[#This Row],[NETO GRAVADO]]="","",compras_mes11[[#This Row],[NETO GRAVADO]]*0.21)</f>
        <v>5478.0788999999995</v>
      </c>
      <c r="J38" s="551"/>
      <c r="K38" s="551"/>
      <c r="L38" s="551"/>
      <c r="M38" s="551"/>
      <c r="N38" s="551"/>
      <c r="O38" s="551"/>
      <c r="P38" s="552">
        <f>SUM(compras_mes11[[#This Row],[NETO GRAVADO]:[Otros / No Grav.]])</f>
        <v>31564.168900000001</v>
      </c>
      <c r="Q38" s="550" t="str">
        <f>IFERROR(IF(compras_mes11[[#This Row],[CUIT]]="","-",VLOOKUP(compras_mes11[[#This Row],[CUIT]],Lista_CUIT[#All],3,0)),"CUIT NO CARGADO")</f>
        <v>PEAJE</v>
      </c>
      <c r="R38" s="550">
        <f>IFERROR(IF(compras_mes11[[#This Row],[CUIT]]="","-",VLOOKUP(compras_mes11[[#This Row],[CUIT]],Lista_CUIT[#All],4,0)),"CUIT NO CARGADO")</f>
        <v>0</v>
      </c>
    </row>
    <row r="39" spans="2:18" s="549" customFormat="1">
      <c r="B39" s="556">
        <v>45597</v>
      </c>
      <c r="C39" s="305">
        <v>1</v>
      </c>
      <c r="D39" s="292">
        <v>629</v>
      </c>
      <c r="E39" s="293">
        <v>5571683</v>
      </c>
      <c r="F39" s="294">
        <v>30663498513</v>
      </c>
      <c r="G39" s="295" t="str">
        <f>IFERROR(IF(compras_mes11[[#This Row],[CUIT]]="","-",VLOOKUP(compras_mes11[[#This Row],[CUIT]],Lista_CUIT[#All],2,0)),"CUIT NO CARGADO")</f>
        <v>GRUPO CONCES. DEL OESTE SA</v>
      </c>
      <c r="H39" s="296">
        <v>6731.58</v>
      </c>
      <c r="I39" s="551">
        <f>IF(compras_mes11[[#This Row],[NETO GRAVADO]]="","",compras_mes11[[#This Row],[NETO GRAVADO]]*0.21)</f>
        <v>1413.6317999999999</v>
      </c>
      <c r="J39" s="551"/>
      <c r="K39" s="551"/>
      <c r="L39" s="551"/>
      <c r="M39" s="551"/>
      <c r="N39" s="551"/>
      <c r="O39" s="551"/>
      <c r="P39" s="552">
        <f>SUM(compras_mes11[[#This Row],[NETO GRAVADO]:[Otros / No Grav.]])</f>
        <v>8145.2118</v>
      </c>
      <c r="Q39" s="550" t="str">
        <f>IFERROR(IF(compras_mes11[[#This Row],[CUIT]]="","-",VLOOKUP(compras_mes11[[#This Row],[CUIT]],Lista_CUIT[#All],3,0)),"CUIT NO CARGADO")</f>
        <v>PEAJE</v>
      </c>
      <c r="R39" s="550">
        <f>IFERROR(IF(compras_mes11[[#This Row],[CUIT]]="","-",VLOOKUP(compras_mes11[[#This Row],[CUIT]],Lista_CUIT[#All],4,0)),"CUIT NO CARGADO")</f>
        <v>0</v>
      </c>
    </row>
    <row r="40" spans="2:18" s="549" customFormat="1">
      <c r="B40" s="556">
        <v>45613</v>
      </c>
      <c r="C40" s="305">
        <v>1</v>
      </c>
      <c r="D40" s="292">
        <v>629</v>
      </c>
      <c r="E40" s="293">
        <v>5613318</v>
      </c>
      <c r="F40" s="294">
        <v>30663498513</v>
      </c>
      <c r="G40" s="295" t="str">
        <f>IFERROR(IF(compras_mes11[[#This Row],[CUIT]]="","-",VLOOKUP(compras_mes11[[#This Row],[CUIT]],Lista_CUIT[#All],2,0)),"CUIT NO CARGADO")</f>
        <v>GRUPO CONCES. DEL OESTE SA</v>
      </c>
      <c r="H40" s="296">
        <v>2457.58</v>
      </c>
      <c r="I40" s="551">
        <f>IF(compras_mes11[[#This Row],[NETO GRAVADO]]="","",compras_mes11[[#This Row],[NETO GRAVADO]]*0.21)</f>
        <v>516.09179999999992</v>
      </c>
      <c r="J40" s="551"/>
      <c r="K40" s="551"/>
      <c r="L40" s="551"/>
      <c r="M40" s="551"/>
      <c r="N40" s="551"/>
      <c r="O40" s="551"/>
      <c r="P40" s="552">
        <f>SUM(compras_mes11[[#This Row],[NETO GRAVADO]:[Otros / No Grav.]])</f>
        <v>2973.6718000000001</v>
      </c>
      <c r="Q40" s="550" t="str">
        <f>IFERROR(IF(compras_mes11[[#This Row],[CUIT]]="","-",VLOOKUP(compras_mes11[[#This Row],[CUIT]],Lista_CUIT[#All],3,0)),"CUIT NO CARGADO")</f>
        <v>PEAJE</v>
      </c>
      <c r="R40" s="550">
        <f>IFERROR(IF(compras_mes11[[#This Row],[CUIT]]="","-",VLOOKUP(compras_mes11[[#This Row],[CUIT]],Lista_CUIT[#All],4,0)),"CUIT NO CARGADO")</f>
        <v>0</v>
      </c>
    </row>
    <row r="41" spans="2:18" s="573" customFormat="1">
      <c r="B41" s="556">
        <v>45597</v>
      </c>
      <c r="C41" s="305">
        <v>1</v>
      </c>
      <c r="D41" s="292">
        <v>711</v>
      </c>
      <c r="E41" s="293">
        <v>6334596</v>
      </c>
      <c r="F41" s="294">
        <v>30677237119</v>
      </c>
      <c r="G41" s="295" t="str">
        <f>IFERROR(IF(compras_mes11[[#This Row],[CUIT]]="","-",VLOOKUP(compras_mes11[[#This Row],[CUIT]],Lista_CUIT[#All],2,0)),"CUIT NO CARGADO")</f>
        <v>AUTOPISTAS DEL SOL SA</v>
      </c>
      <c r="H41" s="296">
        <v>3312.36</v>
      </c>
      <c r="I41" s="551">
        <f>IF(compras_mes11[[#This Row],[NETO GRAVADO]]="","",compras_mes11[[#This Row],[NETO GRAVADO]]*0.21)</f>
        <v>695.59559999999999</v>
      </c>
      <c r="J41" s="551"/>
      <c r="K41" s="551"/>
      <c r="L41" s="551"/>
      <c r="M41" s="551"/>
      <c r="N41" s="551"/>
      <c r="O41" s="551">
        <v>99.37</v>
      </c>
      <c r="P41" s="552">
        <f>SUM(compras_mes11[[#This Row],[NETO GRAVADO]:[Otros / No Grav.]])</f>
        <v>4107.3256000000001</v>
      </c>
      <c r="Q41" s="550" t="str">
        <f>IFERROR(IF(compras_mes11[[#This Row],[CUIT]]="","-",VLOOKUP(compras_mes11[[#This Row],[CUIT]],Lista_CUIT[#All],3,0)),"CUIT NO CARGADO")</f>
        <v>PEAJE</v>
      </c>
      <c r="R41" s="550">
        <f>IFERROR(IF(compras_mes11[[#This Row],[CUIT]]="","-",VLOOKUP(compras_mes11[[#This Row],[CUIT]],Lista_CUIT[#All],4,0)),"CUIT NO CARGADO")</f>
        <v>0</v>
      </c>
    </row>
    <row r="42" spans="2:18" s="549" customFormat="1">
      <c r="B42" s="556">
        <v>45602</v>
      </c>
      <c r="C42" s="305">
        <v>1</v>
      </c>
      <c r="D42" s="292">
        <v>700</v>
      </c>
      <c r="E42" s="293">
        <v>2041657</v>
      </c>
      <c r="F42" s="294">
        <v>30715804812</v>
      </c>
      <c r="G42" s="295" t="str">
        <f>IFERROR(IF(compras_mes11[[#This Row],[CUIT]]="","-",VLOOKUP(compras_mes11[[#This Row],[CUIT]],Lista_CUIT[#All],2,0)),"CUIT NO CARGADO")</f>
        <v>CORREDORES VIALES SOCIEDAD ANONIMA</v>
      </c>
      <c r="H42" s="296">
        <v>1923.32</v>
      </c>
      <c r="I42" s="551">
        <f>IF(compras_mes11[[#This Row],[NETO GRAVADO]]="","",compras_mes11[[#This Row],[NETO GRAVADO]]*0.21)</f>
        <v>403.8972</v>
      </c>
      <c r="J42" s="551"/>
      <c r="K42" s="551"/>
      <c r="L42" s="551"/>
      <c r="M42" s="551"/>
      <c r="N42" s="551"/>
      <c r="O42" s="551"/>
      <c r="P42" s="552">
        <f>SUM(compras_mes11[[#This Row],[NETO GRAVADO]:[Otros / No Grav.]])</f>
        <v>2327.2172</v>
      </c>
      <c r="Q42" s="550" t="str">
        <f>IFERROR(IF(compras_mes11[[#This Row],[CUIT]]="","-",VLOOKUP(compras_mes11[[#This Row],[CUIT]],Lista_CUIT[#All],3,0)),"CUIT NO CARGADO")</f>
        <v>PEAJE</v>
      </c>
      <c r="R42" s="550">
        <f>IFERROR(IF(compras_mes11[[#This Row],[CUIT]]="","-",VLOOKUP(compras_mes11[[#This Row],[CUIT]],Lista_CUIT[#All],4,0)),"CUIT NO CARGADO")</f>
        <v>0</v>
      </c>
    </row>
    <row r="43" spans="2:18" s="549" customFormat="1">
      <c r="B43" s="556">
        <v>45602</v>
      </c>
      <c r="C43" s="305">
        <v>1</v>
      </c>
      <c r="D43" s="292">
        <v>700</v>
      </c>
      <c r="E43" s="293">
        <v>2041658</v>
      </c>
      <c r="F43" s="294">
        <v>30715804812</v>
      </c>
      <c r="G43" s="295" t="str">
        <f>IFERROR(IF(compras_mes11[[#This Row],[CUIT]]="","-",VLOOKUP(compras_mes11[[#This Row],[CUIT]],Lista_CUIT[#All],2,0)),"CUIT NO CARGADO")</f>
        <v>CORREDORES VIALES SOCIEDAD ANONIMA</v>
      </c>
      <c r="H43" s="296">
        <v>3077.32</v>
      </c>
      <c r="I43" s="551">
        <f>IF(compras_mes11[[#This Row],[NETO GRAVADO]]="","",compras_mes11[[#This Row],[NETO GRAVADO]]*0.21)</f>
        <v>646.23720000000003</v>
      </c>
      <c r="J43" s="551"/>
      <c r="K43" s="551"/>
      <c r="L43" s="551"/>
      <c r="M43" s="551"/>
      <c r="N43" s="551"/>
      <c r="O43" s="551"/>
      <c r="P43" s="552">
        <f>SUM(compras_mes11[[#This Row],[NETO GRAVADO]:[Otros / No Grav.]])</f>
        <v>3723.5572000000002</v>
      </c>
      <c r="Q43" s="550" t="str">
        <f>IFERROR(IF(compras_mes11[[#This Row],[CUIT]]="","-",VLOOKUP(compras_mes11[[#This Row],[CUIT]],Lista_CUIT[#All],3,0)),"CUIT NO CARGADO")</f>
        <v>PEAJE</v>
      </c>
      <c r="R43" s="550">
        <f>IFERROR(IF(compras_mes11[[#This Row],[CUIT]]="","-",VLOOKUP(compras_mes11[[#This Row],[CUIT]],Lista_CUIT[#All],4,0)),"CUIT NO CARGADO")</f>
        <v>0</v>
      </c>
    </row>
    <row r="44" spans="2:18" s="549" customFormat="1">
      <c r="B44" s="556">
        <v>45612</v>
      </c>
      <c r="C44" s="305">
        <v>1</v>
      </c>
      <c r="D44" s="557">
        <v>50</v>
      </c>
      <c r="E44" s="558">
        <v>3901222</v>
      </c>
      <c r="F44" s="559">
        <v>30714112836</v>
      </c>
      <c r="G44" s="560" t="str">
        <f>IFERROR(IF(compras_mes11[[#This Row],[CUIT]]="","-",VLOOKUP(compras_mes11[[#This Row],[CUIT]],Lista_CUIT[#All],2,0)),"CUIT NO CARGADO")</f>
        <v>AUTOPISTAS DE BUENOS AIRES (AUBASA) SA</v>
      </c>
      <c r="H44" s="561">
        <v>1818.18</v>
      </c>
      <c r="I44" s="551">
        <f>IF(compras_mes11[[#This Row],[NETO GRAVADO]]="","",compras_mes11[[#This Row],[NETO GRAVADO]]*0.21)</f>
        <v>381.81779999999998</v>
      </c>
      <c r="J44" s="551"/>
      <c r="K44" s="551"/>
      <c r="L44" s="551"/>
      <c r="M44" s="551"/>
      <c r="N44" s="551"/>
      <c r="O44" s="551"/>
      <c r="P44" s="552">
        <f>SUM(compras_mes11[[#This Row],[NETO GRAVADO]:[Otros / No Grav.]])</f>
        <v>2199.9978000000001</v>
      </c>
      <c r="Q44" s="550" t="str">
        <f>IFERROR(IF(compras_mes11[[#This Row],[CUIT]]="","-",VLOOKUP(compras_mes11[[#This Row],[CUIT]],Lista_CUIT[#All],3,0)),"CUIT NO CARGADO")</f>
        <v>PEAJE</v>
      </c>
      <c r="R44" s="550">
        <f>IFERROR(IF(compras_mes11[[#This Row],[CUIT]]="","-",VLOOKUP(compras_mes11[[#This Row],[CUIT]],Lista_CUIT[#All],4,0)),"CUIT NO CARGADO")</f>
        <v>0</v>
      </c>
    </row>
    <row r="45" spans="2:18" s="549" customFormat="1">
      <c r="B45" s="556">
        <v>45613</v>
      </c>
      <c r="C45" s="305">
        <v>1</v>
      </c>
      <c r="D45" s="292">
        <v>711</v>
      </c>
      <c r="E45" s="293">
        <v>6394443</v>
      </c>
      <c r="F45" s="294">
        <v>30677237119</v>
      </c>
      <c r="G45" s="295" t="str">
        <f>IFERROR(IF(compras_mes11[[#This Row],[CUIT]]="","-",VLOOKUP(compras_mes11[[#This Row],[CUIT]],Lista_CUIT[#All],2,0)),"CUIT NO CARGADO")</f>
        <v>AUTOPISTAS DEL SOL SA</v>
      </c>
      <c r="H45" s="296">
        <v>3312.36</v>
      </c>
      <c r="I45" s="551">
        <f>IF(compras_mes11[[#This Row],[NETO GRAVADO]]="","",compras_mes11[[#This Row],[NETO GRAVADO]]*0.21)</f>
        <v>695.59559999999999</v>
      </c>
      <c r="J45" s="551"/>
      <c r="K45" s="551"/>
      <c r="L45" s="551"/>
      <c r="M45" s="551"/>
      <c r="N45" s="551"/>
      <c r="O45" s="551">
        <v>99.37</v>
      </c>
      <c r="P45" s="552">
        <f>SUM(compras_mes11[[#This Row],[NETO GRAVADO]:[Otros / No Grav.]])</f>
        <v>4107.3256000000001</v>
      </c>
      <c r="Q45" s="550" t="str">
        <f>IFERROR(IF(compras_mes11[[#This Row],[CUIT]]="","-",VLOOKUP(compras_mes11[[#This Row],[CUIT]],Lista_CUIT[#All],3,0)),"CUIT NO CARGADO")</f>
        <v>PEAJE</v>
      </c>
      <c r="R45" s="550">
        <f>IFERROR(IF(compras_mes11[[#This Row],[CUIT]]="","-",VLOOKUP(compras_mes11[[#This Row],[CUIT]],Lista_CUIT[#All],4,0)),"CUIT NO CARGADO")</f>
        <v>0</v>
      </c>
    </row>
    <row r="46" spans="2:18" s="549" customFormat="1">
      <c r="B46" s="556">
        <v>45618</v>
      </c>
      <c r="C46" s="305">
        <v>1</v>
      </c>
      <c r="D46" s="292">
        <v>700</v>
      </c>
      <c r="E46" s="293">
        <v>2073391</v>
      </c>
      <c r="F46" s="294">
        <v>30715804812</v>
      </c>
      <c r="G46" s="295" t="str">
        <f>IFERROR(IF(compras_mes11[[#This Row],[CUIT]]="","-",VLOOKUP(compras_mes11[[#This Row],[CUIT]],Lista_CUIT[#All],2,0)),"CUIT NO CARGADO")</f>
        <v>CORREDORES VIALES SOCIEDAD ANONIMA</v>
      </c>
      <c r="H46" s="296">
        <v>1923.32</v>
      </c>
      <c r="I46" s="551">
        <f>IF(compras_mes11[[#This Row],[NETO GRAVADO]]="","",compras_mes11[[#This Row],[NETO GRAVADO]]*0.21)</f>
        <v>403.8972</v>
      </c>
      <c r="J46" s="551"/>
      <c r="K46" s="551"/>
      <c r="L46" s="551"/>
      <c r="M46" s="551"/>
      <c r="N46" s="551"/>
      <c r="O46" s="551"/>
      <c r="P46" s="552">
        <f>SUM(compras_mes11[[#This Row],[NETO GRAVADO]:[Otros / No Grav.]])</f>
        <v>2327.2172</v>
      </c>
      <c r="Q46" s="550" t="str">
        <f>IFERROR(IF(compras_mes11[[#This Row],[CUIT]]="","-",VLOOKUP(compras_mes11[[#This Row],[CUIT]],Lista_CUIT[#All],3,0)),"CUIT NO CARGADO")</f>
        <v>PEAJE</v>
      </c>
      <c r="R46" s="550">
        <f>IFERROR(IF(compras_mes11[[#This Row],[CUIT]]="","-",VLOOKUP(compras_mes11[[#This Row],[CUIT]],Lista_CUIT[#All],4,0)),"CUIT NO CARGADO")</f>
        <v>0</v>
      </c>
    </row>
    <row r="47" spans="2:18" s="549" customFormat="1">
      <c r="B47" s="556">
        <v>45626</v>
      </c>
      <c r="C47" s="305">
        <v>1</v>
      </c>
      <c r="D47" s="557">
        <v>50</v>
      </c>
      <c r="E47" s="558">
        <v>3938445</v>
      </c>
      <c r="F47" s="559">
        <v>30714112836</v>
      </c>
      <c r="G47" s="560" t="str">
        <f>IFERROR(IF(compras_mes11[[#This Row],[CUIT]]="","-",VLOOKUP(compras_mes11[[#This Row],[CUIT]],Lista_CUIT[#All],2,0)),"CUIT NO CARGADO")</f>
        <v>AUTOPISTAS DE BUENOS AIRES (AUBASA) SA</v>
      </c>
      <c r="H47" s="561">
        <v>1322.31</v>
      </c>
      <c r="I47" s="551">
        <f>IF(compras_mes11[[#This Row],[NETO GRAVADO]]="","",compras_mes11[[#This Row],[NETO GRAVADO]]*0.21)</f>
        <v>277.68509999999998</v>
      </c>
      <c r="J47" s="551"/>
      <c r="K47" s="551"/>
      <c r="L47" s="551"/>
      <c r="M47" s="551"/>
      <c r="N47" s="551"/>
      <c r="O47" s="551"/>
      <c r="P47" s="552">
        <f>SUM(compras_mes11[[#This Row],[NETO GRAVADO]:[Otros / No Grav.]])</f>
        <v>1599.9950999999999</v>
      </c>
      <c r="Q47" s="550" t="str">
        <f>IFERROR(IF(compras_mes11[[#This Row],[CUIT]]="","-",VLOOKUP(compras_mes11[[#This Row],[CUIT]],Lista_CUIT[#All],3,0)),"CUIT NO CARGADO")</f>
        <v>PEAJE</v>
      </c>
      <c r="R47" s="550">
        <f>IFERROR(IF(compras_mes11[[#This Row],[CUIT]]="","-",VLOOKUP(compras_mes11[[#This Row],[CUIT]],Lista_CUIT[#All],4,0)),"CUIT NO CARGADO")</f>
        <v>0</v>
      </c>
    </row>
    <row r="48" spans="2:18" s="549" customFormat="1">
      <c r="B48" s="556">
        <v>45597</v>
      </c>
      <c r="C48" s="305">
        <v>1</v>
      </c>
      <c r="D48" s="292">
        <v>17</v>
      </c>
      <c r="E48" s="293">
        <v>10855</v>
      </c>
      <c r="F48" s="294">
        <v>30661143610</v>
      </c>
      <c r="G48" s="295" t="str">
        <f>IFERROR(IF(compras_mes11[[#This Row],[CUIT]]="","-",VLOOKUP(compras_mes11[[#This Row],[CUIT]],Lista_CUIT[#All],2,0)),"CUIT NO CARGADO")</f>
        <v>ORTOPEDIA BERNAT SRL</v>
      </c>
      <c r="H48" s="296">
        <v>3950700</v>
      </c>
      <c r="I48" s="551">
        <f>IF(compras_mes11[[#This Row],[NETO GRAVADO]]="","",compras_mes11[[#This Row],[NETO GRAVADO]]*0.21)</f>
        <v>829647</v>
      </c>
      <c r="J48" s="551"/>
      <c r="K48" s="551"/>
      <c r="L48" s="551"/>
      <c r="M48" s="551"/>
      <c r="N48" s="551"/>
      <c r="O48" s="551"/>
      <c r="P48" s="552">
        <f>SUM(compras_mes11[[#This Row],[NETO GRAVADO]:[Otros / No Grav.]])</f>
        <v>4780347</v>
      </c>
      <c r="Q48" s="550" t="str">
        <f>IFERROR(IF(compras_mes11[[#This Row],[CUIT]]="","-",VLOOKUP(compras_mes11[[#This Row],[CUIT]],Lista_CUIT[#All],3,0)),"CUIT NO CARGADO")</f>
        <v>Productos Ortopedicos</v>
      </c>
      <c r="R48" s="550">
        <f>IFERROR(IF(compras_mes11[[#This Row],[CUIT]]="","-",VLOOKUP(compras_mes11[[#This Row],[CUIT]],Lista_CUIT[#All],4,0)),"CUIT NO CARGADO")</f>
        <v>0</v>
      </c>
    </row>
    <row r="49" spans="2:18" s="549" customFormat="1">
      <c r="B49" s="556">
        <v>45600</v>
      </c>
      <c r="C49" s="305">
        <v>1</v>
      </c>
      <c r="D49" s="292">
        <v>6</v>
      </c>
      <c r="E49" s="293">
        <v>86458</v>
      </c>
      <c r="F49" s="294">
        <v>30711553564</v>
      </c>
      <c r="G49" s="295" t="str">
        <f>IFERROR(IF(compras_mes11[[#This Row],[CUIT]]="","-",VLOOKUP(compras_mes11[[#This Row],[CUIT]],Lista_CUIT[#All],2,0)),"CUIT NO CARGADO")</f>
        <v>SALUD TEX S.A</v>
      </c>
      <c r="H49" s="296">
        <v>1182131.93</v>
      </c>
      <c r="I49" s="551">
        <f>IF(compras_mes11[[#This Row],[NETO GRAVADO]]="","",compras_mes11[[#This Row],[NETO GRAVADO]]*0.21)</f>
        <v>248247.70529999997</v>
      </c>
      <c r="J49" s="551"/>
      <c r="K49" s="551"/>
      <c r="L49" s="551"/>
      <c r="M49" s="551"/>
      <c r="N49" s="551"/>
      <c r="O49" s="551"/>
      <c r="P49" s="552">
        <f>SUM(compras_mes11[[#This Row],[NETO GRAVADO]:[Otros / No Grav.]])</f>
        <v>1430379.6353</v>
      </c>
      <c r="Q49" s="550" t="str">
        <f>IFERROR(IF(compras_mes11[[#This Row],[CUIT]]="","-",VLOOKUP(compras_mes11[[#This Row],[CUIT]],Lista_CUIT[#All],3,0)),"CUIT NO CARGADO")</f>
        <v>Productos Ortopedicos</v>
      </c>
      <c r="R49" s="550">
        <f>IFERROR(IF(compras_mes11[[#This Row],[CUIT]]="","-",VLOOKUP(compras_mes11[[#This Row],[CUIT]],Lista_CUIT[#All],4,0)),"CUIT NO CARGADO")</f>
        <v>0</v>
      </c>
    </row>
    <row r="50" spans="2:18" s="549" customFormat="1">
      <c r="B50" s="556">
        <v>45600</v>
      </c>
      <c r="C50" s="305">
        <v>1</v>
      </c>
      <c r="D50" s="540">
        <v>5</v>
      </c>
      <c r="E50" s="541">
        <v>160663</v>
      </c>
      <c r="F50" s="542">
        <v>30598960093</v>
      </c>
      <c r="G50" s="543" t="str">
        <f>IFERROR(IF(compras_mes11[[#This Row],[CUIT]]="","-",VLOOKUP(compras_mes11[[#This Row],[CUIT]],Lista_CUIT[#All],2,0)),"CUIT NO CARGADO")</f>
        <v>SILVESTRIN FABRIS SRL</v>
      </c>
      <c r="H50" s="544">
        <v>642151.5</v>
      </c>
      <c r="I50" s="551">
        <f>IF(compras_mes11[[#This Row],[NETO GRAVADO]]="","",compras_mes11[[#This Row],[NETO GRAVADO]]*0.21)</f>
        <v>134851.815</v>
      </c>
      <c r="J50" s="551"/>
      <c r="K50" s="551"/>
      <c r="L50" s="551"/>
      <c r="M50" s="551"/>
      <c r="N50" s="551"/>
      <c r="O50" s="551"/>
      <c r="P50" s="552">
        <f>SUM(compras_mes11[[#This Row],[NETO GRAVADO]:[Otros / No Grav.]])</f>
        <v>777003.31499999994</v>
      </c>
      <c r="Q50" s="550" t="str">
        <f>IFERROR(IF(compras_mes11[[#This Row],[CUIT]]="","-",VLOOKUP(compras_mes11[[#This Row],[CUIT]],Lista_CUIT[#All],3,0)),"CUIT NO CARGADO")</f>
        <v>Productos Ortopedicos</v>
      </c>
      <c r="R50" s="550">
        <f>IFERROR(IF(compras_mes11[[#This Row],[CUIT]]="","-",VLOOKUP(compras_mes11[[#This Row],[CUIT]],Lista_CUIT[#All],4,0)),"CUIT NO CARGADO")</f>
        <v>0</v>
      </c>
    </row>
    <row r="51" spans="2:18" s="549" customFormat="1">
      <c r="B51" s="556">
        <v>45600</v>
      </c>
      <c r="C51" s="305">
        <v>1</v>
      </c>
      <c r="D51" s="292">
        <v>6</v>
      </c>
      <c r="E51" s="293">
        <v>86462</v>
      </c>
      <c r="F51" s="294">
        <v>30711553564</v>
      </c>
      <c r="G51" s="295" t="str">
        <f>IFERROR(IF(compras_mes11[[#This Row],[CUIT]]="","-",VLOOKUP(compras_mes11[[#This Row],[CUIT]],Lista_CUIT[#All],2,0)),"CUIT NO CARGADO")</f>
        <v>SALUD TEX S.A</v>
      </c>
      <c r="H51" s="296">
        <v>249584</v>
      </c>
      <c r="I51" s="551">
        <f>IF(compras_mes11[[#This Row],[NETO GRAVADO]]="","",compras_mes11[[#This Row],[NETO GRAVADO]]*0.21)</f>
        <v>52412.639999999999</v>
      </c>
      <c r="J51" s="551"/>
      <c r="K51" s="551"/>
      <c r="L51" s="551"/>
      <c r="M51" s="551"/>
      <c r="N51" s="551"/>
      <c r="O51" s="551"/>
      <c r="P51" s="552">
        <f>SUM(compras_mes11[[#This Row],[NETO GRAVADO]:[Otros / No Grav.]])</f>
        <v>301996.64</v>
      </c>
      <c r="Q51" s="550" t="str">
        <f>IFERROR(IF(compras_mes11[[#This Row],[CUIT]]="","-",VLOOKUP(compras_mes11[[#This Row],[CUIT]],Lista_CUIT[#All],3,0)),"CUIT NO CARGADO")</f>
        <v>Productos Ortopedicos</v>
      </c>
      <c r="R51" s="550">
        <f>IFERROR(IF(compras_mes11[[#This Row],[CUIT]]="","-",VLOOKUP(compras_mes11[[#This Row],[CUIT]],Lista_CUIT[#All],4,0)),"CUIT NO CARGADO")</f>
        <v>0</v>
      </c>
    </row>
    <row r="52" spans="2:18" s="549" customFormat="1">
      <c r="B52" s="556">
        <v>45600</v>
      </c>
      <c r="C52" s="305">
        <v>1</v>
      </c>
      <c r="D52" s="292">
        <v>5</v>
      </c>
      <c r="E52" s="293">
        <v>160678</v>
      </c>
      <c r="F52" s="294">
        <v>30598960093</v>
      </c>
      <c r="G52" s="295" t="str">
        <f>IFERROR(IF(compras_mes11[[#This Row],[CUIT]]="","-",VLOOKUP(compras_mes11[[#This Row],[CUIT]],Lista_CUIT[#All],2,0)),"CUIT NO CARGADO")</f>
        <v>SILVESTRIN FABRIS SRL</v>
      </c>
      <c r="H52" s="296">
        <v>393556.5</v>
      </c>
      <c r="I52" s="551">
        <f>IF(compras_mes11[[#This Row],[NETO GRAVADO]]="","",compras_mes11[[#This Row],[NETO GRAVADO]]*0.21)</f>
        <v>82646.864999999991</v>
      </c>
      <c r="J52" s="551"/>
      <c r="K52" s="551"/>
      <c r="L52" s="551"/>
      <c r="M52" s="551"/>
      <c r="N52" s="551"/>
      <c r="O52" s="551"/>
      <c r="P52" s="552">
        <f>SUM(compras_mes11[[#This Row],[NETO GRAVADO]:[Otros / No Grav.]])</f>
        <v>476203.36499999999</v>
      </c>
      <c r="Q52" s="550" t="str">
        <f>IFERROR(IF(compras_mes11[[#This Row],[CUIT]]="","-",VLOOKUP(compras_mes11[[#This Row],[CUIT]],Lista_CUIT[#All],3,0)),"CUIT NO CARGADO")</f>
        <v>Productos Ortopedicos</v>
      </c>
      <c r="R52" s="550">
        <f>IFERROR(IF(compras_mes11[[#This Row],[CUIT]]="","-",VLOOKUP(compras_mes11[[#This Row],[CUIT]],Lista_CUIT[#All],4,0)),"CUIT NO CARGADO")</f>
        <v>0</v>
      </c>
    </row>
    <row r="53" spans="2:18" s="549" customFormat="1">
      <c r="B53" s="556">
        <v>45600</v>
      </c>
      <c r="C53" s="305">
        <v>1</v>
      </c>
      <c r="D53" s="292">
        <v>6</v>
      </c>
      <c r="E53" s="293">
        <v>86459</v>
      </c>
      <c r="F53" s="294">
        <v>30711553564</v>
      </c>
      <c r="G53" s="295" t="str">
        <f>IFERROR(IF(compras_mes11[[#This Row],[CUIT]]="","-",VLOOKUP(compras_mes11[[#This Row],[CUIT]],Lista_CUIT[#All],2,0)),"CUIT NO CARGADO")</f>
        <v>SALUD TEX S.A</v>
      </c>
      <c r="H53" s="296">
        <v>831346.9</v>
      </c>
      <c r="I53" s="551">
        <f>IF(compras_mes11[[#This Row],[NETO GRAVADO]]="","",compras_mes11[[#This Row],[NETO GRAVADO]]*0.21)</f>
        <v>174582.84899999999</v>
      </c>
      <c r="J53" s="551"/>
      <c r="K53" s="551"/>
      <c r="L53" s="551"/>
      <c r="M53" s="551"/>
      <c r="N53" s="551"/>
      <c r="O53" s="551"/>
      <c r="P53" s="552">
        <f>SUM(compras_mes11[[#This Row],[NETO GRAVADO]:[Otros / No Grav.]])</f>
        <v>1005929.7490000001</v>
      </c>
      <c r="Q53" s="550" t="str">
        <f>IFERROR(IF(compras_mes11[[#This Row],[CUIT]]="","-",VLOOKUP(compras_mes11[[#This Row],[CUIT]],Lista_CUIT[#All],3,0)),"CUIT NO CARGADO")</f>
        <v>Productos Ortopedicos</v>
      </c>
      <c r="R53" s="550">
        <f>IFERROR(IF(compras_mes11[[#This Row],[CUIT]]="","-",VLOOKUP(compras_mes11[[#This Row],[CUIT]],Lista_CUIT[#All],4,0)),"CUIT NO CARGADO")</f>
        <v>0</v>
      </c>
    </row>
    <row r="54" spans="2:18" s="549" customFormat="1">
      <c r="B54" s="556">
        <v>45600</v>
      </c>
      <c r="C54" s="305">
        <v>1</v>
      </c>
      <c r="D54" s="292">
        <v>6</v>
      </c>
      <c r="E54" s="293">
        <v>86460</v>
      </c>
      <c r="F54" s="294">
        <v>30711553564</v>
      </c>
      <c r="G54" s="295" t="str">
        <f>IFERROR(IF(compras_mes11[[#This Row],[CUIT]]="","-",VLOOKUP(compras_mes11[[#This Row],[CUIT]],Lista_CUIT[#All],2,0)),"CUIT NO CARGADO")</f>
        <v>SALUD TEX S.A</v>
      </c>
      <c r="H54" s="296">
        <v>224853.6</v>
      </c>
      <c r="I54" s="551">
        <f>IF(compras_mes11[[#This Row],[NETO GRAVADO]]="","",compras_mes11[[#This Row],[NETO GRAVADO]]*0.21)</f>
        <v>47219.256000000001</v>
      </c>
      <c r="J54" s="551"/>
      <c r="K54" s="551"/>
      <c r="L54" s="551"/>
      <c r="M54" s="551"/>
      <c r="N54" s="551"/>
      <c r="O54" s="551"/>
      <c r="P54" s="552">
        <f>SUM(compras_mes11[[#This Row],[NETO GRAVADO]:[Otros / No Grav.]])</f>
        <v>272072.85600000003</v>
      </c>
      <c r="Q54" s="550" t="str">
        <f>IFERROR(IF(compras_mes11[[#This Row],[CUIT]]="","-",VLOOKUP(compras_mes11[[#This Row],[CUIT]],Lista_CUIT[#All],3,0)),"CUIT NO CARGADO")</f>
        <v>Productos Ortopedicos</v>
      </c>
      <c r="R54" s="550">
        <f>IFERROR(IF(compras_mes11[[#This Row],[CUIT]]="","-",VLOOKUP(compras_mes11[[#This Row],[CUIT]],Lista_CUIT[#All],4,0)),"CUIT NO CARGADO")</f>
        <v>0</v>
      </c>
    </row>
    <row r="55" spans="2:18" s="549" customFormat="1">
      <c r="B55" s="556">
        <v>45602</v>
      </c>
      <c r="C55" s="305">
        <v>1</v>
      </c>
      <c r="D55" s="292">
        <v>17</v>
      </c>
      <c r="E55" s="293">
        <v>10884</v>
      </c>
      <c r="F55" s="294">
        <v>30661143610</v>
      </c>
      <c r="G55" s="295" t="str">
        <f>IFERROR(IF(compras_mes11[[#This Row],[CUIT]]="","-",VLOOKUP(compras_mes11[[#This Row],[CUIT]],Lista_CUIT[#All],2,0)),"CUIT NO CARGADO")</f>
        <v>ORTOPEDIA BERNAT SRL</v>
      </c>
      <c r="H55" s="296">
        <v>565493.55000000005</v>
      </c>
      <c r="I55" s="551">
        <f>IF(compras_mes11[[#This Row],[NETO GRAVADO]]="","",compras_mes11[[#This Row],[NETO GRAVADO]]*0.21)</f>
        <v>118753.6455</v>
      </c>
      <c r="J55" s="551"/>
      <c r="K55" s="551"/>
      <c r="L55" s="551"/>
      <c r="M55" s="551"/>
      <c r="N55" s="551"/>
      <c r="O55" s="551"/>
      <c r="P55" s="552">
        <f>SUM(compras_mes11[[#This Row],[NETO GRAVADO]:[Otros / No Grav.]])</f>
        <v>684247.19550000003</v>
      </c>
      <c r="Q55" s="550" t="str">
        <f>IFERROR(IF(compras_mes11[[#This Row],[CUIT]]="","-",VLOOKUP(compras_mes11[[#This Row],[CUIT]],Lista_CUIT[#All],3,0)),"CUIT NO CARGADO")</f>
        <v>Productos Ortopedicos</v>
      </c>
      <c r="R55" s="550">
        <f>IFERROR(IF(compras_mes11[[#This Row],[CUIT]]="","-",VLOOKUP(compras_mes11[[#This Row],[CUIT]],Lista_CUIT[#All],4,0)),"CUIT NO CARGADO")</f>
        <v>0</v>
      </c>
    </row>
    <row r="56" spans="2:18" s="549" customFormat="1">
      <c r="B56" s="556">
        <v>45604</v>
      </c>
      <c r="C56" s="305">
        <v>1</v>
      </c>
      <c r="D56" s="292">
        <v>4</v>
      </c>
      <c r="E56" s="293">
        <v>38780</v>
      </c>
      <c r="F56" s="294">
        <v>20289111329</v>
      </c>
      <c r="G56" s="295" t="str">
        <f>IFERROR(IF(compras_mes11[[#This Row],[CUIT]]="","-",VLOOKUP(compras_mes11[[#This Row],[CUIT]],Lista_CUIT[#All],2,0)),"CUIT NO CARGADO")</f>
        <v>R. N. LEDESMA</v>
      </c>
      <c r="H56" s="296">
        <v>585348.09</v>
      </c>
      <c r="I56" s="551">
        <f>IF(compras_mes11[[#This Row],[NETO GRAVADO]]="","",compras_mes11[[#This Row],[NETO GRAVADO]]*0.21)</f>
        <v>122923.09889999998</v>
      </c>
      <c r="J56" s="551"/>
      <c r="K56" s="551"/>
      <c r="L56" s="551"/>
      <c r="M56" s="551"/>
      <c r="N56" s="551"/>
      <c r="O56" s="551"/>
      <c r="P56" s="552">
        <f>SUM(compras_mes11[[#This Row],[NETO GRAVADO]:[Otros / No Grav.]])</f>
        <v>708271.18889999995</v>
      </c>
      <c r="Q56" s="550" t="str">
        <f>IFERROR(IF(compras_mes11[[#This Row],[CUIT]]="","-",VLOOKUP(compras_mes11[[#This Row],[CUIT]],Lista_CUIT[#All],3,0)),"CUIT NO CARGADO")</f>
        <v>Productos Ortopedicos</v>
      </c>
      <c r="R56" s="550">
        <f>IFERROR(IF(compras_mes11[[#This Row],[CUIT]]="","-",VLOOKUP(compras_mes11[[#This Row],[CUIT]],Lista_CUIT[#All],4,0)),"CUIT NO CARGADO")</f>
        <v>0</v>
      </c>
    </row>
    <row r="57" spans="2:18" s="549" customFormat="1">
      <c r="B57" s="556">
        <v>45608</v>
      </c>
      <c r="C57" s="305">
        <v>1</v>
      </c>
      <c r="D57" s="292">
        <v>17</v>
      </c>
      <c r="E57" s="293">
        <v>2449</v>
      </c>
      <c r="F57" s="294">
        <v>30711764921</v>
      </c>
      <c r="G57" s="295" t="str">
        <f>IFERROR(IF(compras_mes11[[#This Row],[CUIT]]="","-",VLOOKUP(compras_mes11[[#This Row],[CUIT]],Lista_CUIT[#All],2,0)),"CUIT NO CARGADO")</f>
        <v>RELIEF CENTER SRL</v>
      </c>
      <c r="H57" s="296">
        <v>305928</v>
      </c>
      <c r="I57" s="551">
        <f>IF(compras_mes11[[#This Row],[NETO GRAVADO]]="","",compras_mes11[[#This Row],[NETO GRAVADO]]*0.21)</f>
        <v>64244.88</v>
      </c>
      <c r="J57" s="551"/>
      <c r="K57" s="551"/>
      <c r="L57" s="551"/>
      <c r="M57" s="551"/>
      <c r="N57" s="551"/>
      <c r="O57" s="551"/>
      <c r="P57" s="552">
        <f>SUM(compras_mes11[[#This Row],[NETO GRAVADO]:[Otros / No Grav.]])</f>
        <v>370172.88</v>
      </c>
      <c r="Q57" s="550" t="str">
        <f>IFERROR(IF(compras_mes11[[#This Row],[CUIT]]="","-",VLOOKUP(compras_mes11[[#This Row],[CUIT]],Lista_CUIT[#All],3,0)),"CUIT NO CARGADO")</f>
        <v>Productos Ortopedicos</v>
      </c>
      <c r="R57" s="550">
        <f>IFERROR(IF(compras_mes11[[#This Row],[CUIT]]="","-",VLOOKUP(compras_mes11[[#This Row],[CUIT]],Lista_CUIT[#All],4,0)),"CUIT NO CARGADO")</f>
        <v>0</v>
      </c>
    </row>
    <row r="58" spans="2:18" s="549" customFormat="1">
      <c r="B58" s="556">
        <v>45609</v>
      </c>
      <c r="C58" s="305">
        <v>1</v>
      </c>
      <c r="D58" s="292">
        <v>6</v>
      </c>
      <c r="E58" s="293">
        <v>54963</v>
      </c>
      <c r="F58" s="294">
        <v>30710177658</v>
      </c>
      <c r="G58" s="295" t="str">
        <f>IFERROR(IF(compras_mes11[[#This Row],[CUIT]]="","-",VLOOKUP(compras_mes11[[#This Row],[CUIT]],Lista_CUIT[#All],2,0)),"CUIT NO CARGADO")</f>
        <v>TARGET MEDICAL SA</v>
      </c>
      <c r="H58" s="296">
        <v>372380</v>
      </c>
      <c r="I58" s="551">
        <f>IF(compras_mes11[[#This Row],[NETO GRAVADO]]="","",compras_mes11[[#This Row],[NETO GRAVADO]]*0.21)</f>
        <v>78199.8</v>
      </c>
      <c r="J58" s="551"/>
      <c r="K58" s="551"/>
      <c r="L58" s="551"/>
      <c r="M58" s="551"/>
      <c r="N58" s="551"/>
      <c r="O58" s="551"/>
      <c r="P58" s="552">
        <f>SUM(compras_mes11[[#This Row],[NETO GRAVADO]:[Otros / No Grav.]])</f>
        <v>450579.8</v>
      </c>
      <c r="Q58" s="550" t="str">
        <f>IFERROR(IF(compras_mes11[[#This Row],[CUIT]]="","-",VLOOKUP(compras_mes11[[#This Row],[CUIT]],Lista_CUIT[#All],3,0)),"CUIT NO CARGADO")</f>
        <v>Productos Ortopedicos</v>
      </c>
      <c r="R58" s="550">
        <f>IFERROR(IF(compras_mes11[[#This Row],[CUIT]]="","-",VLOOKUP(compras_mes11[[#This Row],[CUIT]],Lista_CUIT[#All],4,0)),"CUIT NO CARGADO")</f>
        <v>0</v>
      </c>
    </row>
    <row r="59" spans="2:18" s="549" customFormat="1">
      <c r="B59" s="556">
        <v>45610</v>
      </c>
      <c r="C59" s="305">
        <v>1</v>
      </c>
      <c r="D59" s="292">
        <v>2</v>
      </c>
      <c r="E59" s="293">
        <v>10948</v>
      </c>
      <c r="F59" s="294">
        <v>30714331082</v>
      </c>
      <c r="G59" s="295" t="str">
        <f>IFERROR(IF(compras_mes11[[#This Row],[CUIT]]="","-",VLOOKUP(compras_mes11[[#This Row],[CUIT]],Lista_CUIT[#All],2,0)),"CUIT NO CARGADO")</f>
        <v>ORTOPEDIA CASA ESCALADA SRL</v>
      </c>
      <c r="H59" s="296">
        <v>438505.63</v>
      </c>
      <c r="I59" s="551"/>
      <c r="J59" s="551"/>
      <c r="K59" s="551">
        <f>compras_mes11[[#This Row],[NETO GRAVADO]]*10.5/100</f>
        <v>46043.09115</v>
      </c>
      <c r="L59" s="551"/>
      <c r="M59" s="551"/>
      <c r="N59" s="551"/>
      <c r="O59" s="551"/>
      <c r="P59" s="552">
        <f>SUM(compras_mes11[[#This Row],[NETO GRAVADO]:[Otros / No Grav.]])</f>
        <v>484548.72115</v>
      </c>
      <c r="Q59" s="550" t="str">
        <f>IFERROR(IF(compras_mes11[[#This Row],[CUIT]]="","-",VLOOKUP(compras_mes11[[#This Row],[CUIT]],Lista_CUIT[#All],3,0)),"CUIT NO CARGADO")</f>
        <v>Productos Ortopedicos</v>
      </c>
      <c r="R59" s="550">
        <f>IFERROR(IF(compras_mes11[[#This Row],[CUIT]]="","-",VLOOKUP(compras_mes11[[#This Row],[CUIT]],Lista_CUIT[#All],4,0)),"CUIT NO CARGADO")</f>
        <v>0</v>
      </c>
    </row>
    <row r="60" spans="2:18" s="549" customFormat="1">
      <c r="B60" s="556">
        <v>45610</v>
      </c>
      <c r="C60" s="305">
        <v>1</v>
      </c>
      <c r="D60" s="292">
        <v>7</v>
      </c>
      <c r="E60" s="293">
        <v>19529</v>
      </c>
      <c r="F60" s="294">
        <v>30709214078</v>
      </c>
      <c r="G60" s="295" t="str">
        <f>IFERROR(IF(compras_mes11[[#This Row],[CUIT]]="","-",VLOOKUP(compras_mes11[[#This Row],[CUIT]],Lista_CUIT[#All],2,0)),"CUIT NO CARGADO")</f>
        <v>REHAVITA S.A</v>
      </c>
      <c r="H60" s="296">
        <v>1669800</v>
      </c>
      <c r="I60" s="551">
        <f>IF(compras_mes11[[#This Row],[NETO GRAVADO]]="","",compras_mes11[[#This Row],[NETO GRAVADO]]*0.21)</f>
        <v>350658</v>
      </c>
      <c r="J60" s="551"/>
      <c r="K60" s="551"/>
      <c r="L60" s="551"/>
      <c r="M60" s="551"/>
      <c r="N60" s="551"/>
      <c r="O60" s="551"/>
      <c r="P60" s="552">
        <f>SUM(compras_mes11[[#This Row],[NETO GRAVADO]:[Otros / No Grav.]])</f>
        <v>2020458</v>
      </c>
      <c r="Q60" s="550" t="str">
        <f>IFERROR(IF(compras_mes11[[#This Row],[CUIT]]="","-",VLOOKUP(compras_mes11[[#This Row],[CUIT]],Lista_CUIT[#All],3,0)),"CUIT NO CARGADO")</f>
        <v>Productos Ortopedicos</v>
      </c>
      <c r="R60" s="550">
        <f>IFERROR(IF(compras_mes11[[#This Row],[CUIT]]="","-",VLOOKUP(compras_mes11[[#This Row],[CUIT]],Lista_CUIT[#All],4,0)),"CUIT NO CARGADO")</f>
        <v>0</v>
      </c>
    </row>
    <row r="61" spans="2:18" s="549" customFormat="1">
      <c r="B61" s="556">
        <v>45610</v>
      </c>
      <c r="C61" s="305">
        <v>1</v>
      </c>
      <c r="D61" s="292">
        <v>5</v>
      </c>
      <c r="E61" s="293">
        <v>19996</v>
      </c>
      <c r="F61" s="294">
        <v>30715668994</v>
      </c>
      <c r="G61" s="295" t="str">
        <f>IFERROR(IF(compras_mes11[[#This Row],[CUIT]]="","-",VLOOKUP(compras_mes11[[#This Row],[CUIT]],Lista_CUIT[#All],2,0)),"CUIT NO CARGADO")</f>
        <v>SS METAL MECANICA SRL</v>
      </c>
      <c r="H61" s="296">
        <v>18420</v>
      </c>
      <c r="I61" s="551">
        <f>IF(compras_mes11[[#This Row],[NETO GRAVADO]]="","",compras_mes11[[#This Row],[NETO GRAVADO]]*0.21)</f>
        <v>3868.2</v>
      </c>
      <c r="J61" s="551"/>
      <c r="K61" s="551"/>
      <c r="L61" s="551"/>
      <c r="M61" s="551"/>
      <c r="N61" s="551"/>
      <c r="O61" s="551"/>
      <c r="P61" s="552">
        <f>SUM(compras_mes11[[#This Row],[NETO GRAVADO]:[Otros / No Grav.]])</f>
        <v>22288.2</v>
      </c>
      <c r="Q61" s="550" t="str">
        <f>IFERROR(IF(compras_mes11[[#This Row],[CUIT]]="","-",VLOOKUP(compras_mes11[[#This Row],[CUIT]],Lista_CUIT[#All],3,0)),"CUIT NO CARGADO")</f>
        <v>Productos Ortopedicos</v>
      </c>
      <c r="R61" s="550">
        <f>IFERROR(IF(compras_mes11[[#This Row],[CUIT]]="","-",VLOOKUP(compras_mes11[[#This Row],[CUIT]],Lista_CUIT[#All],4,0)),"CUIT NO CARGADO")</f>
        <v>0</v>
      </c>
    </row>
    <row r="62" spans="2:18" s="549" customFormat="1">
      <c r="B62" s="556">
        <v>45612</v>
      </c>
      <c r="C62" s="305">
        <v>1</v>
      </c>
      <c r="D62" s="292">
        <v>11</v>
      </c>
      <c r="E62" s="293">
        <v>65381</v>
      </c>
      <c r="F62" s="294">
        <v>30711091552</v>
      </c>
      <c r="G62" s="295" t="str">
        <f>IFERROR(IF(compras_mes11[[#This Row],[CUIT]]="","-",VLOOKUP(compras_mes11[[#This Row],[CUIT]],Lista_CUIT[#All],2,0)),"CUIT NO CARGADO")</f>
        <v>BIGBOX S.A.</v>
      </c>
      <c r="H62" s="296">
        <v>57851.24</v>
      </c>
      <c r="I62" s="551">
        <f>IF(compras_mes11[[#This Row],[NETO GRAVADO]]="","",compras_mes11[[#This Row],[NETO GRAVADO]]*0.21)</f>
        <v>12148.760399999999</v>
      </c>
      <c r="J62" s="551"/>
      <c r="K62" s="551"/>
      <c r="L62" s="551"/>
      <c r="M62" s="551"/>
      <c r="N62" s="551"/>
      <c r="O62" s="551"/>
      <c r="P62" s="552">
        <f>SUM(compras_mes11[[#This Row],[NETO GRAVADO]:[Otros / No Grav.]])</f>
        <v>70000.00039999999</v>
      </c>
      <c r="Q62" s="550" t="str">
        <f>IFERROR(IF(compras_mes11[[#This Row],[CUIT]]="","-",VLOOKUP(compras_mes11[[#This Row],[CUIT]],Lista_CUIT[#All],3,0)),"CUIT NO CARGADO")</f>
        <v>Productos Ortopedicos</v>
      </c>
      <c r="R62" s="550">
        <f>IFERROR(IF(compras_mes11[[#This Row],[CUIT]]="","-",VLOOKUP(compras_mes11[[#This Row],[CUIT]],Lista_CUIT[#All],4,0)),"CUIT NO CARGADO")</f>
        <v>0</v>
      </c>
    </row>
    <row r="63" spans="2:18" s="549" customFormat="1">
      <c r="B63" s="556">
        <v>45615</v>
      </c>
      <c r="C63" s="305">
        <v>1</v>
      </c>
      <c r="D63" s="292">
        <v>5</v>
      </c>
      <c r="E63" s="293">
        <v>161142</v>
      </c>
      <c r="F63" s="294">
        <v>30598960093</v>
      </c>
      <c r="G63" s="295" t="str">
        <f>IFERROR(IF(compras_mes11[[#This Row],[CUIT]]="","-",VLOOKUP(compras_mes11[[#This Row],[CUIT]],Lista_CUIT[#All],2,0)),"CUIT NO CARGADO")</f>
        <v>SILVESTRIN FABRIS SRL</v>
      </c>
      <c r="H63" s="296">
        <v>1576702.5</v>
      </c>
      <c r="I63" s="551">
        <f>IF(compras_mes11[[#This Row],[NETO GRAVADO]]="","",compras_mes11[[#This Row],[NETO GRAVADO]]*0.21)</f>
        <v>331107.52499999997</v>
      </c>
      <c r="J63" s="551"/>
      <c r="K63" s="551"/>
      <c r="L63" s="551"/>
      <c r="M63" s="551"/>
      <c r="N63" s="551"/>
      <c r="O63" s="551"/>
      <c r="P63" s="552">
        <f>SUM(compras_mes11[[#This Row],[NETO GRAVADO]:[Otros / No Grav.]])</f>
        <v>1907810.0249999999</v>
      </c>
      <c r="Q63" s="550" t="str">
        <f>IFERROR(IF(compras_mes11[[#This Row],[CUIT]]="","-",VLOOKUP(compras_mes11[[#This Row],[CUIT]],Lista_CUIT[#All],3,0)),"CUIT NO CARGADO")</f>
        <v>Productos Ortopedicos</v>
      </c>
      <c r="R63" s="550">
        <f>IFERROR(IF(compras_mes11[[#This Row],[CUIT]]="","-",VLOOKUP(compras_mes11[[#This Row],[CUIT]],Lista_CUIT[#All],4,0)),"CUIT NO CARGADO")</f>
        <v>0</v>
      </c>
    </row>
    <row r="64" spans="2:18" s="549" customFormat="1">
      <c r="B64" s="556">
        <v>45615</v>
      </c>
      <c r="C64" s="305">
        <v>1</v>
      </c>
      <c r="D64" s="292">
        <v>6</v>
      </c>
      <c r="E64" s="293">
        <v>55038</v>
      </c>
      <c r="F64" s="294">
        <v>30710177658</v>
      </c>
      <c r="G64" s="295" t="str">
        <f>IFERROR(IF(compras_mes11[[#This Row],[CUIT]]="","-",VLOOKUP(compras_mes11[[#This Row],[CUIT]],Lista_CUIT[#All],2,0)),"CUIT NO CARGADO")</f>
        <v>TARGET MEDICAL SA</v>
      </c>
      <c r="H64" s="296">
        <v>272630</v>
      </c>
      <c r="I64" s="551">
        <f>IF(compras_mes11[[#This Row],[NETO GRAVADO]]="","",compras_mes11[[#This Row],[NETO GRAVADO]]*0.21)</f>
        <v>57252.299999999996</v>
      </c>
      <c r="J64" s="551"/>
      <c r="K64" s="551"/>
      <c r="L64" s="551"/>
      <c r="M64" s="551"/>
      <c r="N64" s="551"/>
      <c r="O64" s="551"/>
      <c r="P64" s="552">
        <f>SUM(compras_mes11[[#This Row],[NETO GRAVADO]:[Otros / No Grav.]])</f>
        <v>329882.3</v>
      </c>
      <c r="Q64" s="550" t="str">
        <f>IFERROR(IF(compras_mes11[[#This Row],[CUIT]]="","-",VLOOKUP(compras_mes11[[#This Row],[CUIT]],Lista_CUIT[#All],3,0)),"CUIT NO CARGADO")</f>
        <v>Productos Ortopedicos</v>
      </c>
      <c r="R64" s="550">
        <f>IFERROR(IF(compras_mes11[[#This Row],[CUIT]]="","-",VLOOKUP(compras_mes11[[#This Row],[CUIT]],Lista_CUIT[#All],4,0)),"CUIT NO CARGADO")</f>
        <v>0</v>
      </c>
    </row>
    <row r="65" spans="2:18" s="549" customFormat="1">
      <c r="B65" s="556">
        <v>45615</v>
      </c>
      <c r="C65" s="305">
        <v>1</v>
      </c>
      <c r="D65" s="292">
        <v>6</v>
      </c>
      <c r="E65" s="293">
        <v>812</v>
      </c>
      <c r="F65" s="294">
        <v>20289111329</v>
      </c>
      <c r="G65" s="295" t="str">
        <f>IFERROR(IF(compras_mes11[[#This Row],[CUIT]]="","-",VLOOKUP(compras_mes11[[#This Row],[CUIT]],Lista_CUIT[#All],2,0)),"CUIT NO CARGADO")</f>
        <v>R. N. LEDESMA</v>
      </c>
      <c r="H65" s="296">
        <v>1243125</v>
      </c>
      <c r="I65" s="551">
        <f>IF(compras_mes11[[#This Row],[NETO GRAVADO]]="","",compras_mes11[[#This Row],[NETO GRAVADO]]*0.21)</f>
        <v>261056.25</v>
      </c>
      <c r="J65" s="551"/>
      <c r="K65" s="551"/>
      <c r="L65" s="551"/>
      <c r="M65" s="551"/>
      <c r="N65" s="551"/>
      <c r="O65" s="551"/>
      <c r="P65" s="552">
        <f>SUM(compras_mes11[[#This Row],[NETO GRAVADO]:[Otros / No Grav.]])</f>
        <v>1504181.25</v>
      </c>
      <c r="Q65" s="550" t="str">
        <f>IFERROR(IF(compras_mes11[[#This Row],[CUIT]]="","-",VLOOKUP(compras_mes11[[#This Row],[CUIT]],Lista_CUIT[#All],3,0)),"CUIT NO CARGADO")</f>
        <v>Productos Ortopedicos</v>
      </c>
      <c r="R65" s="550">
        <f>IFERROR(IF(compras_mes11[[#This Row],[CUIT]]="","-",VLOOKUP(compras_mes11[[#This Row],[CUIT]],Lista_CUIT[#All],4,0)),"CUIT NO CARGADO")</f>
        <v>0</v>
      </c>
    </row>
    <row r="66" spans="2:18" s="573" customFormat="1">
      <c r="B66" s="556">
        <v>45616</v>
      </c>
      <c r="C66" s="305">
        <v>1</v>
      </c>
      <c r="D66" s="292">
        <v>4</v>
      </c>
      <c r="E66" s="293">
        <v>38881</v>
      </c>
      <c r="F66" s="294">
        <v>20289111329</v>
      </c>
      <c r="G66" s="295" t="str">
        <f>IFERROR(IF(compras_mes11[[#This Row],[CUIT]]="","-",VLOOKUP(compras_mes11[[#This Row],[CUIT]],Lista_CUIT[#All],2,0)),"CUIT NO CARGADO")</f>
        <v>R. N. LEDESMA</v>
      </c>
      <c r="H66" s="296">
        <v>188195.56</v>
      </c>
      <c r="I66" s="551">
        <f>IF(compras_mes11[[#This Row],[NETO GRAVADO]]="","",compras_mes11[[#This Row],[NETO GRAVADO]]*0.21)</f>
        <v>39521.067599999995</v>
      </c>
      <c r="J66" s="551"/>
      <c r="K66" s="551"/>
      <c r="L66" s="551"/>
      <c r="M66" s="551"/>
      <c r="N66" s="551"/>
      <c r="O66" s="551"/>
      <c r="P66" s="552">
        <f>SUM(compras_mes11[[#This Row],[NETO GRAVADO]:[Otros / No Grav.]])</f>
        <v>227716.62760000001</v>
      </c>
      <c r="Q66" s="550" t="str">
        <f>IFERROR(IF(compras_mes11[[#This Row],[CUIT]]="","-",VLOOKUP(compras_mes11[[#This Row],[CUIT]],Lista_CUIT[#All],3,0)),"CUIT NO CARGADO")</f>
        <v>Productos Ortopedicos</v>
      </c>
      <c r="R66" s="550">
        <f>IFERROR(IF(compras_mes11[[#This Row],[CUIT]]="","-",VLOOKUP(compras_mes11[[#This Row],[CUIT]],Lista_CUIT[#All],4,0)),"CUIT NO CARGADO")</f>
        <v>0</v>
      </c>
    </row>
    <row r="67" spans="2:18" s="573" customFormat="1">
      <c r="B67" s="556">
        <v>45617</v>
      </c>
      <c r="C67" s="305">
        <v>1</v>
      </c>
      <c r="D67" s="292">
        <v>6</v>
      </c>
      <c r="E67" s="293">
        <v>55075</v>
      </c>
      <c r="F67" s="294">
        <v>30710177658</v>
      </c>
      <c r="G67" s="295" t="str">
        <f>IFERROR(IF(compras_mes11[[#This Row],[CUIT]]="","-",VLOOKUP(compras_mes11[[#This Row],[CUIT]],Lista_CUIT[#All],2,0)),"CUIT NO CARGADO")</f>
        <v>TARGET MEDICAL SA</v>
      </c>
      <c r="H67" s="296">
        <v>0</v>
      </c>
      <c r="I67" s="551">
        <f>IF(compras_mes11[[#This Row],[NETO GRAVADO]]="","",compras_mes11[[#This Row],[NETO GRAVADO]]*0.21)</f>
        <v>0</v>
      </c>
      <c r="J67" s="551"/>
      <c r="K67" s="551"/>
      <c r="L67" s="551"/>
      <c r="M67" s="551"/>
      <c r="N67" s="551"/>
      <c r="O67" s="551"/>
      <c r="P67" s="552">
        <f>SUM(compras_mes11[[#This Row],[NETO GRAVADO]:[Otros / No Grav.]])</f>
        <v>0</v>
      </c>
      <c r="Q67" s="550" t="str">
        <f>IFERROR(IF(compras_mes11[[#This Row],[CUIT]]="","-",VLOOKUP(compras_mes11[[#This Row],[CUIT]],Lista_CUIT[#All],3,0)),"CUIT NO CARGADO")</f>
        <v>Productos Ortopedicos</v>
      </c>
      <c r="R67" s="550">
        <f>IFERROR(IF(compras_mes11[[#This Row],[CUIT]]="","-",VLOOKUP(compras_mes11[[#This Row],[CUIT]],Lista_CUIT[#All],4,0)),"CUIT NO CARGADO")</f>
        <v>0</v>
      </c>
    </row>
    <row r="68" spans="2:18" s="573" customFormat="1">
      <c r="B68" s="556">
        <v>45621</v>
      </c>
      <c r="C68" s="305">
        <v>1</v>
      </c>
      <c r="D68" s="292">
        <v>6</v>
      </c>
      <c r="E68" s="293">
        <v>87011</v>
      </c>
      <c r="F68" s="294">
        <v>30711553564</v>
      </c>
      <c r="G68" s="295" t="str">
        <f>IFERROR(IF(compras_mes11[[#This Row],[CUIT]]="","-",VLOOKUP(compras_mes11[[#This Row],[CUIT]],Lista_CUIT[#All],2,0)),"CUIT NO CARGADO")</f>
        <v>SALUD TEX S.A</v>
      </c>
      <c r="H68" s="296">
        <v>78414</v>
      </c>
      <c r="I68" s="551">
        <f>IF(compras_mes11[[#This Row],[NETO GRAVADO]]="","",compras_mes11[[#This Row],[NETO GRAVADO]]*0.21)</f>
        <v>16466.939999999999</v>
      </c>
      <c r="J68" s="551"/>
      <c r="K68" s="551"/>
      <c r="L68" s="551"/>
      <c r="M68" s="551"/>
      <c r="N68" s="551"/>
      <c r="O68" s="551"/>
      <c r="P68" s="552">
        <f>SUM(compras_mes11[[#This Row],[NETO GRAVADO]:[Otros / No Grav.]])</f>
        <v>94880.94</v>
      </c>
      <c r="Q68" s="550" t="str">
        <f>IFERROR(IF(compras_mes11[[#This Row],[CUIT]]="","-",VLOOKUP(compras_mes11[[#This Row],[CUIT]],Lista_CUIT[#All],3,0)),"CUIT NO CARGADO")</f>
        <v>Productos Ortopedicos</v>
      </c>
      <c r="R68" s="550">
        <f>IFERROR(IF(compras_mes11[[#This Row],[CUIT]]="","-",VLOOKUP(compras_mes11[[#This Row],[CUIT]],Lista_CUIT[#All],4,0)),"CUIT NO CARGADO")</f>
        <v>0</v>
      </c>
    </row>
    <row r="69" spans="2:18" s="573" customFormat="1">
      <c r="B69" s="556">
        <v>45622</v>
      </c>
      <c r="C69" s="305">
        <v>1</v>
      </c>
      <c r="D69" s="292">
        <v>5</v>
      </c>
      <c r="E69" s="293">
        <v>161347</v>
      </c>
      <c r="F69" s="294">
        <v>30598960093</v>
      </c>
      <c r="G69" s="295" t="str">
        <f>IFERROR(IF(compras_mes11[[#This Row],[CUIT]]="","-",VLOOKUP(compras_mes11[[#This Row],[CUIT]],Lista_CUIT[#All],2,0)),"CUIT NO CARGADO")</f>
        <v>SILVESTRIN FABRIS SRL</v>
      </c>
      <c r="H69" s="296">
        <v>946021.5</v>
      </c>
      <c r="I69" s="551">
        <f>IF(compras_mes11[[#This Row],[NETO GRAVADO]]="","",compras_mes11[[#This Row],[NETO GRAVADO]]*0.21)</f>
        <v>198664.51499999998</v>
      </c>
      <c r="J69" s="551"/>
      <c r="K69" s="551"/>
      <c r="L69" s="551"/>
      <c r="M69" s="551"/>
      <c r="N69" s="551"/>
      <c r="O69" s="551"/>
      <c r="P69" s="552">
        <f>SUM(compras_mes11[[#This Row],[NETO GRAVADO]:[Otros / No Grav.]])</f>
        <v>1144686.0149999999</v>
      </c>
      <c r="Q69" s="550" t="str">
        <f>IFERROR(IF(compras_mes11[[#This Row],[CUIT]]="","-",VLOOKUP(compras_mes11[[#This Row],[CUIT]],Lista_CUIT[#All],3,0)),"CUIT NO CARGADO")</f>
        <v>Productos Ortopedicos</v>
      </c>
      <c r="R69" s="550">
        <f>IFERROR(IF(compras_mes11[[#This Row],[CUIT]]="","-",VLOOKUP(compras_mes11[[#This Row],[CUIT]],Lista_CUIT[#All],4,0)),"CUIT NO CARGADO")</f>
        <v>0</v>
      </c>
    </row>
    <row r="70" spans="2:18" s="573" customFormat="1">
      <c r="B70" s="556">
        <v>45624</v>
      </c>
      <c r="C70" s="305">
        <v>1</v>
      </c>
      <c r="D70" s="42">
        <v>12</v>
      </c>
      <c r="E70" s="43">
        <v>2139</v>
      </c>
      <c r="F70" s="44">
        <v>27041809715</v>
      </c>
      <c r="G70" s="45" t="str">
        <f>IFERROR(IF(compras_mes11[[#This Row],[CUIT]]="","-",VLOOKUP(compras_mes11[[#This Row],[CUIT]],Lista_CUIT[#All],2,0)),"CUIT NO CARGADO")</f>
        <v>NOYA BEATRIZ SUSANA</v>
      </c>
      <c r="H70" s="46">
        <v>47812.73</v>
      </c>
      <c r="I70" s="551">
        <f>IF(compras_mes11[[#This Row],[NETO GRAVADO]]="","",compras_mes11[[#This Row],[NETO GRAVADO]]*0.21)</f>
        <v>10040.6733</v>
      </c>
      <c r="J70" s="551"/>
      <c r="K70" s="551"/>
      <c r="L70" s="551"/>
      <c r="M70" s="551"/>
      <c r="N70" s="551"/>
      <c r="O70" s="551"/>
      <c r="P70" s="552">
        <f>SUM(compras_mes11[[#This Row],[NETO GRAVADO]:[Otros / No Grav.]])</f>
        <v>57853.403300000005</v>
      </c>
      <c r="Q70" s="550" t="str">
        <f>IFERROR(IF(compras_mes11[[#This Row],[CUIT]]="","-",VLOOKUP(compras_mes11[[#This Row],[CUIT]],Lista_CUIT[#All],3,0)),"CUIT NO CARGADO")</f>
        <v>Productos Ortopedicos</v>
      </c>
      <c r="R70" s="550">
        <f>IFERROR(IF(compras_mes11[[#This Row],[CUIT]]="","-",VLOOKUP(compras_mes11[[#This Row],[CUIT]],Lista_CUIT[#All],4,0)),"CUIT NO CARGADO")</f>
        <v>0</v>
      </c>
    </row>
    <row r="71" spans="2:18" s="549" customFormat="1">
      <c r="B71" s="556">
        <v>45600</v>
      </c>
      <c r="C71" s="305">
        <v>3</v>
      </c>
      <c r="D71" s="292">
        <v>6</v>
      </c>
      <c r="E71" s="293">
        <v>12145</v>
      </c>
      <c r="F71" s="294">
        <v>30711553564</v>
      </c>
      <c r="G71" s="295" t="str">
        <f>IFERROR(IF(compras_mes11[[#This Row],[CUIT]]="","-",VLOOKUP(compras_mes11[[#This Row],[CUIT]],Lista_CUIT[#All],2,0)),"CUIT NO CARGADO")</f>
        <v>SALUD TEX S.A</v>
      </c>
      <c r="H71" s="296">
        <v>-145916.26</v>
      </c>
      <c r="I71" s="562">
        <f>IF(compras_mes11[[#This Row],[NETO GRAVADO]]="","",compras_mes11[[#This Row],[NETO GRAVADO]]*0.21)</f>
        <v>-30642.4146</v>
      </c>
      <c r="J71" s="562"/>
      <c r="K71" s="562"/>
      <c r="L71" s="562"/>
      <c r="M71" s="562"/>
      <c r="N71" s="562"/>
      <c r="O71" s="562"/>
      <c r="P71" s="563">
        <f>SUM(compras_mes11[[#This Row],[NETO GRAVADO]:[Otros / No Grav.]])</f>
        <v>-176558.6746</v>
      </c>
      <c r="Q71" s="550" t="str">
        <f>IFERROR(IF(compras_mes11[[#This Row],[CUIT]]="","-",VLOOKUP(compras_mes11[[#This Row],[CUIT]],Lista_CUIT[#All],3,0)),"CUIT NO CARGADO")</f>
        <v>Productos Ortopedicos</v>
      </c>
      <c r="R71" s="550">
        <f>IFERROR(IF(compras_mes11[[#This Row],[CUIT]]="","-",VLOOKUP(compras_mes11[[#This Row],[CUIT]],Lista_CUIT[#All],4,0)),"CUIT NO CARGADO")</f>
        <v>0</v>
      </c>
    </row>
    <row r="72" spans="2:18" s="549" customFormat="1">
      <c r="B72" s="556">
        <v>45611</v>
      </c>
      <c r="C72" s="305">
        <v>3</v>
      </c>
      <c r="D72" s="292">
        <v>5</v>
      </c>
      <c r="E72" s="293">
        <v>691</v>
      </c>
      <c r="F72" s="294">
        <v>30715668994</v>
      </c>
      <c r="G72" s="295" t="str">
        <f>IFERROR(IF(compras_mes11[[#This Row],[CUIT]]="","-",VLOOKUP(compras_mes11[[#This Row],[CUIT]],Lista_CUIT[#All],2,0)),"CUIT NO CARGADO")</f>
        <v>SS METAL MECANICA SRL</v>
      </c>
      <c r="H72" s="296">
        <v>-18420</v>
      </c>
      <c r="I72" s="562">
        <f>IF(compras_mes11[[#This Row],[NETO GRAVADO]]="","",compras_mes11[[#This Row],[NETO GRAVADO]]*0.21)</f>
        <v>-3868.2</v>
      </c>
      <c r="J72" s="562"/>
      <c r="K72" s="562"/>
      <c r="L72" s="562"/>
      <c r="M72" s="562"/>
      <c r="N72" s="562"/>
      <c r="O72" s="562"/>
      <c r="P72" s="563">
        <f>SUM(compras_mes11[[#This Row],[NETO GRAVADO]:[Otros / No Grav.]])</f>
        <v>-22288.2</v>
      </c>
      <c r="Q72" s="550" t="str">
        <f>IFERROR(IF(compras_mes11[[#This Row],[CUIT]]="","-",VLOOKUP(compras_mes11[[#This Row],[CUIT]],Lista_CUIT[#All],3,0)),"CUIT NO CARGADO")</f>
        <v>Productos Ortopedicos</v>
      </c>
      <c r="R72" s="550">
        <f>IFERROR(IF(compras_mes11[[#This Row],[CUIT]]="","-",VLOOKUP(compras_mes11[[#This Row],[CUIT]],Lista_CUIT[#All],4,0)),"CUIT NO CARGADO")</f>
        <v>0</v>
      </c>
    </row>
    <row r="73" spans="2:18" s="549" customFormat="1">
      <c r="B73" s="556">
        <v>45608</v>
      </c>
      <c r="C73" s="305">
        <v>1</v>
      </c>
      <c r="D73" s="292">
        <v>1</v>
      </c>
      <c r="E73" s="293">
        <v>5319</v>
      </c>
      <c r="F73" s="294">
        <v>30715141201</v>
      </c>
      <c r="G73" s="295" t="str">
        <f>IFERROR(IF(compras_mes11[[#This Row],[CUIT]]="","-",VLOOKUP(compras_mes11[[#This Row],[CUIT]],Lista_CUIT[#All],2,0)),"CUIT NO CARGADO")</f>
        <v>REHAB S.R.L.</v>
      </c>
      <c r="H73" s="296">
        <v>665437.5</v>
      </c>
      <c r="I73" s="551">
        <f>IF(compras_mes11[[#This Row],[NETO GRAVADO]]="","",compras_mes11[[#This Row],[NETO GRAVADO]]*0.21)</f>
        <v>139741.875</v>
      </c>
      <c r="J73" s="551"/>
      <c r="K73" s="551"/>
      <c r="L73" s="551"/>
      <c r="M73" s="551"/>
      <c r="N73" s="551"/>
      <c r="O73" s="551"/>
      <c r="P73" s="552">
        <f>SUM(compras_mes11[[#This Row],[NETO GRAVADO]:[Otros / No Grav.]])</f>
        <v>805179.375</v>
      </c>
      <c r="Q73" s="550" t="str">
        <f>IFERROR(IF(compras_mes11[[#This Row],[CUIT]]="","-",VLOOKUP(compras_mes11[[#This Row],[CUIT]],Lista_CUIT[#All],3,0)),"CUIT NO CARGADO")</f>
        <v>Productos Ortopedicos</v>
      </c>
      <c r="R73" s="550">
        <f>IFERROR(IF(compras_mes11[[#This Row],[CUIT]]="","-",VLOOKUP(compras_mes11[[#This Row],[CUIT]],Lista_CUIT[#All],4,0)),"CUIT NO CARGADO")</f>
        <v>0</v>
      </c>
    </row>
    <row r="74" spans="2:18" s="555" customFormat="1">
      <c r="B74" s="556">
        <v>45608</v>
      </c>
      <c r="C74" s="305">
        <v>1</v>
      </c>
      <c r="D74" s="292">
        <v>1</v>
      </c>
      <c r="E74" s="293">
        <v>5318</v>
      </c>
      <c r="F74" s="294">
        <v>30715141201</v>
      </c>
      <c r="G74" s="295" t="str">
        <f>IFERROR(IF(compras_mes11[[#This Row],[CUIT]]="","-",VLOOKUP(compras_mes11[[#This Row],[CUIT]],Lista_CUIT[#All],2,0)),"CUIT NO CARGADO")</f>
        <v>REHAB S.R.L.</v>
      </c>
      <c r="H74" s="296">
        <v>273915</v>
      </c>
      <c r="I74" s="551">
        <f>IF(compras_mes11[[#This Row],[NETO GRAVADO]]="","",compras_mes11[[#This Row],[NETO GRAVADO]]*0.21)</f>
        <v>57522.15</v>
      </c>
      <c r="J74" s="551"/>
      <c r="K74" s="551"/>
      <c r="L74" s="551"/>
      <c r="M74" s="551"/>
      <c r="N74" s="551"/>
      <c r="O74" s="551"/>
      <c r="P74" s="552">
        <f>SUM(compras_mes11[[#This Row],[NETO GRAVADO]:[Otros / No Grav.]])</f>
        <v>331437.15000000002</v>
      </c>
      <c r="Q74" s="550" t="str">
        <f>IFERROR(IF(compras_mes11[[#This Row],[CUIT]]="","-",VLOOKUP(compras_mes11[[#This Row],[CUIT]],Lista_CUIT[#All],3,0)),"CUIT NO CARGADO")</f>
        <v>Productos Ortopedicos</v>
      </c>
      <c r="R74" s="550">
        <f>IFERROR(IF(compras_mes11[[#This Row],[CUIT]]="","-",VLOOKUP(compras_mes11[[#This Row],[CUIT]],Lista_CUIT[#All],4,0)),"CUIT NO CARGADO")</f>
        <v>0</v>
      </c>
    </row>
    <row r="75" spans="2:18" s="549" customFormat="1">
      <c r="B75" s="556">
        <v>45621</v>
      </c>
      <c r="C75" s="305">
        <v>1</v>
      </c>
      <c r="D75" s="292">
        <v>1</v>
      </c>
      <c r="E75" s="293">
        <v>5468</v>
      </c>
      <c r="F75" s="294">
        <v>30715141201</v>
      </c>
      <c r="G75" s="295" t="str">
        <f>IFERROR(IF(compras_mes11[[#This Row],[CUIT]]="","-",VLOOKUP(compras_mes11[[#This Row],[CUIT]],Lista_CUIT[#All],2,0)),"CUIT NO CARGADO")</f>
        <v>REHAB S.R.L.</v>
      </c>
      <c r="H75" s="296">
        <v>7781132.3700000001</v>
      </c>
      <c r="I75" s="551">
        <f>IF(compras_mes11[[#This Row],[NETO GRAVADO]]="","",compras_mes11[[#This Row],[NETO GRAVADO]]*0.21)</f>
        <v>1634037.7977</v>
      </c>
      <c r="J75" s="551"/>
      <c r="K75" s="551"/>
      <c r="L75" s="551"/>
      <c r="M75" s="551"/>
      <c r="N75" s="551"/>
      <c r="O75" s="551"/>
      <c r="P75" s="552">
        <f>SUM(compras_mes11[[#This Row],[NETO GRAVADO]:[Otros / No Grav.]])</f>
        <v>9415170.1677000001</v>
      </c>
      <c r="Q75" s="550" t="str">
        <f>IFERROR(IF(compras_mes11[[#This Row],[CUIT]]="","-",VLOOKUP(compras_mes11[[#This Row],[CUIT]],Lista_CUIT[#All],3,0)),"CUIT NO CARGADO")</f>
        <v>Productos Ortopedicos</v>
      </c>
      <c r="R75" s="550">
        <f>IFERROR(IF(compras_mes11[[#This Row],[CUIT]]="","-",VLOOKUP(compras_mes11[[#This Row],[CUIT]],Lista_CUIT[#All],4,0)),"CUIT NO CARGADO")</f>
        <v>0</v>
      </c>
    </row>
    <row r="76" spans="2:18" s="549" customFormat="1">
      <c r="B76" s="556">
        <v>45607</v>
      </c>
      <c r="C76" s="305">
        <v>1</v>
      </c>
      <c r="D76" s="557">
        <v>7</v>
      </c>
      <c r="E76" s="558">
        <v>6</v>
      </c>
      <c r="F76" s="559">
        <v>27325223273</v>
      </c>
      <c r="G76" s="295" t="str">
        <f>IFERROR(IF(compras_mes11[[#This Row],[CUIT]]="","-",VLOOKUP(compras_mes11[[#This Row],[CUIT]],Lista_CUIT[#All],2,0)),"CUIT NO CARGADO")</f>
        <v>SOUSA ALDERETE ALEJANDRA MABEL</v>
      </c>
      <c r="H76" s="561">
        <v>850000</v>
      </c>
      <c r="I76" s="551">
        <f>IF(compras_mes11[[#This Row],[NETO GRAVADO]]="","",compras_mes11[[#This Row],[NETO GRAVADO]]*0.21)</f>
        <v>178500</v>
      </c>
      <c r="J76" s="551"/>
      <c r="K76" s="551"/>
      <c r="L76" s="551"/>
      <c r="M76" s="551"/>
      <c r="N76" s="551"/>
      <c r="O76" s="551"/>
      <c r="P76" s="552">
        <f>SUM(compras_mes11[[#This Row],[NETO GRAVADO]:[Otros / No Grav.]])</f>
        <v>1028500</v>
      </c>
      <c r="Q76" s="550" t="str">
        <f>IFERROR(IF(compras_mes11[[#This Row],[CUIT]]="","-",VLOOKUP(compras_mes11[[#This Row],[CUIT]],Lista_CUIT[#All],3,0)),"CUIT NO CARGADO")</f>
        <v>Productos Ortopedicos</v>
      </c>
      <c r="R76" s="550">
        <f>IFERROR(IF(compras_mes11[[#This Row],[CUIT]]="","-",VLOOKUP(compras_mes11[[#This Row],[CUIT]],Lista_CUIT[#All],4,0)),"CUIT NO CARGADO")</f>
        <v>0</v>
      </c>
    </row>
    <row r="77" spans="2:18" s="549" customFormat="1">
      <c r="B77" s="556">
        <v>45622</v>
      </c>
      <c r="C77" s="305">
        <v>1</v>
      </c>
      <c r="D77" s="90">
        <v>1001</v>
      </c>
      <c r="E77" s="91">
        <v>5588</v>
      </c>
      <c r="F77" s="92">
        <v>30715848623</v>
      </c>
      <c r="G77" s="295" t="str">
        <f>IFERROR(IF(compras_mes11[[#This Row],[CUIT]]="","-",VLOOKUP(compras_mes11[[#This Row],[CUIT]],Lista_CUIT[#All],2,0)),"CUIT NO CARGADO")</f>
        <v>BIENESTAR Y SOLUCIONES S.R.L.</v>
      </c>
      <c r="H77" s="94">
        <v>35044.15</v>
      </c>
      <c r="I77" s="551">
        <f>IF(compras_mes11[[#This Row],[NETO GRAVADO]]="","",compras_mes11[[#This Row],[NETO GRAVADO]]*0.21)</f>
        <v>7359.2714999999998</v>
      </c>
      <c r="J77" s="551"/>
      <c r="K77" s="551"/>
      <c r="L77" s="551"/>
      <c r="M77" s="551"/>
      <c r="N77" s="551"/>
      <c r="O77" s="551"/>
      <c r="P77" s="552">
        <f>SUM(compras_mes11[[#This Row],[NETO GRAVADO]:[Otros / No Grav.]])</f>
        <v>42403.421500000004</v>
      </c>
      <c r="Q77" s="550" t="str">
        <f>IFERROR(IF(compras_mes11[[#This Row],[CUIT]]="","-",VLOOKUP(compras_mes11[[#This Row],[CUIT]],Lista_CUIT[#All],3,0)),"CUIT NO CARGADO")</f>
        <v>Productos Ortopedicos</v>
      </c>
      <c r="R77" s="550">
        <f>IFERROR(IF(compras_mes11[[#This Row],[CUIT]]="","-",VLOOKUP(compras_mes11[[#This Row],[CUIT]],Lista_CUIT[#All],4,0)),"CUIT NO CARGADO")</f>
        <v>0</v>
      </c>
    </row>
    <row r="78" spans="2:18" s="549" customFormat="1">
      <c r="B78" s="556">
        <v>45602</v>
      </c>
      <c r="C78" s="305">
        <v>1</v>
      </c>
      <c r="D78" s="292">
        <v>8</v>
      </c>
      <c r="E78" s="293">
        <v>1712</v>
      </c>
      <c r="F78" s="294">
        <v>30708973501</v>
      </c>
      <c r="G78" s="295" t="str">
        <f>IFERROR(IF(compras_mes11[[#This Row],[CUIT]]="","-",VLOOKUP(compras_mes11[[#This Row],[CUIT]],Lista_CUIT[#All],2,0)),"CUIT NO CARGADO")</f>
        <v>ASIAL SRL</v>
      </c>
      <c r="H78" s="296">
        <v>831850</v>
      </c>
      <c r="I78" s="551">
        <f>IF(compras_mes11[[#This Row],[NETO GRAVADO]]="","",compras_mes11[[#This Row],[NETO GRAVADO]]*0.21)</f>
        <v>174688.5</v>
      </c>
      <c r="J78" s="551"/>
      <c r="K78" s="551"/>
      <c r="L78" s="551"/>
      <c r="M78" s="551"/>
      <c r="N78" s="551"/>
      <c r="O78" s="551"/>
      <c r="P78" s="552">
        <f>SUM(compras_mes11[[#This Row],[NETO GRAVADO]:[Otros / No Grav.]])</f>
        <v>1006538.5</v>
      </c>
      <c r="Q78" s="550" t="str">
        <f>IFERROR(IF(compras_mes11[[#This Row],[CUIT]]="","-",VLOOKUP(compras_mes11[[#This Row],[CUIT]],Lista_CUIT[#All],3,0)),"CUIT NO CARGADO")</f>
        <v>Productos Ortopedicos</v>
      </c>
      <c r="R78" s="550">
        <f>IFERROR(IF(compras_mes11[[#This Row],[CUIT]]="","-",VLOOKUP(compras_mes11[[#This Row],[CUIT]],Lista_CUIT[#All],4,0)),"CUIT NO CARGADO")</f>
        <v>0</v>
      </c>
    </row>
    <row r="79" spans="2:18" s="549" customFormat="1">
      <c r="B79" s="556">
        <v>45603</v>
      </c>
      <c r="C79" s="305">
        <v>1</v>
      </c>
      <c r="D79" s="292">
        <v>2</v>
      </c>
      <c r="E79" s="293">
        <v>908</v>
      </c>
      <c r="F79" s="294">
        <v>20272865869</v>
      </c>
      <c r="G79" s="295" t="str">
        <f>IFERROR(IF(compras_mes11[[#This Row],[CUIT]]="","-",VLOOKUP(compras_mes11[[#This Row],[CUIT]],Lista_CUIT[#All],2,0)),"CUIT NO CARGADO")</f>
        <v>DI FEO MARTIN EZEQUIEL</v>
      </c>
      <c r="H79" s="296">
        <v>126700</v>
      </c>
      <c r="I79" s="551">
        <f>IF(compras_mes11[[#This Row],[NETO GRAVADO]]="","",compras_mes11[[#This Row],[NETO GRAVADO]]*0.21)</f>
        <v>26607</v>
      </c>
      <c r="J79" s="551"/>
      <c r="K79" s="551"/>
      <c r="L79" s="551"/>
      <c r="M79" s="551"/>
      <c r="N79" s="551"/>
      <c r="O79" s="551"/>
      <c r="P79" s="552">
        <f>SUM(compras_mes11[[#This Row],[NETO GRAVADO]:[Otros / No Grav.]])</f>
        <v>153307</v>
      </c>
      <c r="Q79" s="550" t="str">
        <f>IFERROR(IF(compras_mes11[[#This Row],[CUIT]]="","-",VLOOKUP(compras_mes11[[#This Row],[CUIT]],Lista_CUIT[#All],3,0)),"CUIT NO CARGADO")</f>
        <v>Productos Ortopedicos</v>
      </c>
      <c r="R79" s="550">
        <f>IFERROR(IF(compras_mes11[[#This Row],[CUIT]]="","-",VLOOKUP(compras_mes11[[#This Row],[CUIT]],Lista_CUIT[#All],4,0)),"CUIT NO CARGADO")</f>
        <v>0</v>
      </c>
    </row>
    <row r="80" spans="2:18" s="549" customFormat="1">
      <c r="B80" s="556">
        <v>45604</v>
      </c>
      <c r="C80" s="305">
        <v>1</v>
      </c>
      <c r="D80" s="292">
        <v>2</v>
      </c>
      <c r="E80" s="293">
        <v>909</v>
      </c>
      <c r="F80" s="294">
        <v>20272865869</v>
      </c>
      <c r="G80" s="295" t="str">
        <f>IFERROR(IF(compras_mes11[[#This Row],[CUIT]]="","-",VLOOKUP(compras_mes11[[#This Row],[CUIT]],Lista_CUIT[#All],2,0)),"CUIT NO CARGADO")</f>
        <v>DI FEO MARTIN EZEQUIEL</v>
      </c>
      <c r="H80" s="296">
        <v>10050</v>
      </c>
      <c r="I80" s="551">
        <f>IF(compras_mes11[[#This Row],[NETO GRAVADO]]="","",compras_mes11[[#This Row],[NETO GRAVADO]]*0.21)</f>
        <v>2110.5</v>
      </c>
      <c r="J80" s="551"/>
      <c r="K80" s="551"/>
      <c r="L80" s="551"/>
      <c r="M80" s="551"/>
      <c r="N80" s="551"/>
      <c r="O80" s="551"/>
      <c r="P80" s="552">
        <f>SUM(compras_mes11[[#This Row],[NETO GRAVADO]:[Otros / No Grav.]])</f>
        <v>12160.5</v>
      </c>
      <c r="Q80" s="550" t="str">
        <f>IFERROR(IF(compras_mes11[[#This Row],[CUIT]]="","-",VLOOKUP(compras_mes11[[#This Row],[CUIT]],Lista_CUIT[#All],3,0)),"CUIT NO CARGADO")</f>
        <v>Productos Ortopedicos</v>
      </c>
      <c r="R80" s="550">
        <f>IFERROR(IF(compras_mes11[[#This Row],[CUIT]]="","-",VLOOKUP(compras_mes11[[#This Row],[CUIT]],Lista_CUIT[#All],4,0)),"CUIT NO CARGADO")</f>
        <v>0</v>
      </c>
    </row>
    <row r="81" spans="2:18" s="549" customFormat="1">
      <c r="B81" s="556">
        <v>45604</v>
      </c>
      <c r="C81" s="305">
        <v>1</v>
      </c>
      <c r="D81" s="292">
        <v>5</v>
      </c>
      <c r="E81" s="293">
        <v>2014</v>
      </c>
      <c r="F81" s="294">
        <v>30712187316</v>
      </c>
      <c r="G81" s="295" t="str">
        <f>IFERROR(IF(compras_mes11[[#This Row],[CUIT]]="","-",VLOOKUP(compras_mes11[[#This Row],[CUIT]],Lista_CUIT[#All],2,0)),"CUIT NO CARGADO")</f>
        <v>ITALOMED PRODUCTOS SRL</v>
      </c>
      <c r="H81" s="296">
        <v>263903.45</v>
      </c>
      <c r="I81" s="551">
        <f>IF(compras_mes11[[#This Row],[NETO GRAVADO]]="","",compras_mes11[[#This Row],[NETO GRAVADO]]*0.21)</f>
        <v>55419.724500000004</v>
      </c>
      <c r="J81" s="551"/>
      <c r="K81" s="551"/>
      <c r="L81" s="551"/>
      <c r="M81" s="551"/>
      <c r="N81" s="551"/>
      <c r="O81" s="551"/>
      <c r="P81" s="552">
        <f>SUM(compras_mes11[[#This Row],[NETO GRAVADO]:[Otros / No Grav.]])</f>
        <v>319323.17450000002</v>
      </c>
      <c r="Q81" s="550" t="str">
        <f>IFERROR(IF(compras_mes11[[#This Row],[CUIT]]="","-",VLOOKUP(compras_mes11[[#This Row],[CUIT]],Lista_CUIT[#All],3,0)),"CUIT NO CARGADO")</f>
        <v>Productos Ortopedicos</v>
      </c>
      <c r="R81" s="550">
        <f>IFERROR(IF(compras_mes11[[#This Row],[CUIT]]="","-",VLOOKUP(compras_mes11[[#This Row],[CUIT]],Lista_CUIT[#All],4,0)),"CUIT NO CARGADO")</f>
        <v>0</v>
      </c>
    </row>
    <row r="82" spans="2:18" s="549" customFormat="1">
      <c r="B82" s="556">
        <v>45610</v>
      </c>
      <c r="C82" s="305">
        <v>1</v>
      </c>
      <c r="D82" s="557">
        <v>2</v>
      </c>
      <c r="E82" s="558">
        <v>920</v>
      </c>
      <c r="F82" s="559">
        <v>20272865869</v>
      </c>
      <c r="G82" s="560" t="str">
        <f>IFERROR(IF(compras_mes11[[#This Row],[CUIT]]="","-",VLOOKUP(compras_mes11[[#This Row],[CUIT]],Lista_CUIT[#All],2,0)),"CUIT NO CARGADO")</f>
        <v>DI FEO MARTIN EZEQUIEL</v>
      </c>
      <c r="H82" s="561">
        <v>184250</v>
      </c>
      <c r="I82" s="551">
        <f>IF(compras_mes11[[#This Row],[NETO GRAVADO]]="","",compras_mes11[[#This Row],[NETO GRAVADO]]*0.21)</f>
        <v>38692.5</v>
      </c>
      <c r="J82" s="551"/>
      <c r="K82" s="551"/>
      <c r="L82" s="551"/>
      <c r="M82" s="551"/>
      <c r="N82" s="551"/>
      <c r="O82" s="551"/>
      <c r="P82" s="552">
        <f>SUM(compras_mes11[[#This Row],[NETO GRAVADO]:[Otros / No Grav.]])</f>
        <v>222942.5</v>
      </c>
      <c r="Q82" s="550" t="str">
        <f>IFERROR(IF(compras_mes11[[#This Row],[CUIT]]="","-",VLOOKUP(compras_mes11[[#This Row],[CUIT]],Lista_CUIT[#All],3,0)),"CUIT NO CARGADO")</f>
        <v>Productos Ortopedicos</v>
      </c>
      <c r="R82" s="550">
        <f>IFERROR(IF(compras_mes11[[#This Row],[CUIT]]="","-",VLOOKUP(compras_mes11[[#This Row],[CUIT]],Lista_CUIT[#All],4,0)),"CUIT NO CARGADO")</f>
        <v>0</v>
      </c>
    </row>
    <row r="83" spans="2:18" s="549" customFormat="1">
      <c r="B83" s="556">
        <v>45617</v>
      </c>
      <c r="C83" s="305">
        <v>1</v>
      </c>
      <c r="D83" s="292">
        <v>2</v>
      </c>
      <c r="E83" s="293">
        <v>938</v>
      </c>
      <c r="F83" s="294">
        <v>20272865869</v>
      </c>
      <c r="G83" s="295" t="str">
        <f>IFERROR(IF(compras_mes11[[#This Row],[CUIT]]="","-",VLOOKUP(compras_mes11[[#This Row],[CUIT]],Lista_CUIT[#All],2,0)),"CUIT NO CARGADO")</f>
        <v>DI FEO MARTIN EZEQUIEL</v>
      </c>
      <c r="H83" s="296">
        <v>216450</v>
      </c>
      <c r="I83" s="551">
        <f>IF(compras_mes11[[#This Row],[NETO GRAVADO]]="","",compras_mes11[[#This Row],[NETO GRAVADO]]*0.21)</f>
        <v>45454.5</v>
      </c>
      <c r="J83" s="551"/>
      <c r="K83" s="551"/>
      <c r="L83" s="551"/>
      <c r="M83" s="551"/>
      <c r="N83" s="551"/>
      <c r="O83" s="551"/>
      <c r="P83" s="552">
        <f>SUM(compras_mes11[[#This Row],[NETO GRAVADO]:[Otros / No Grav.]])</f>
        <v>261904.5</v>
      </c>
      <c r="Q83" s="550" t="str">
        <f>IFERROR(IF(compras_mes11[[#This Row],[CUIT]]="","-",VLOOKUP(compras_mes11[[#This Row],[CUIT]],Lista_CUIT[#All],3,0)),"CUIT NO CARGADO")</f>
        <v>Productos Ortopedicos</v>
      </c>
      <c r="R83" s="550">
        <f>IFERROR(IF(compras_mes11[[#This Row],[CUIT]]="","-",VLOOKUP(compras_mes11[[#This Row],[CUIT]],Lista_CUIT[#All],4,0)),"CUIT NO CARGADO")</f>
        <v>0</v>
      </c>
    </row>
    <row r="84" spans="2:18" s="549" customFormat="1">
      <c r="B84" s="556">
        <v>45618</v>
      </c>
      <c r="C84" s="305">
        <v>1</v>
      </c>
      <c r="D84" s="292">
        <v>2</v>
      </c>
      <c r="E84" s="293">
        <v>7795</v>
      </c>
      <c r="F84" s="294">
        <v>30694549817</v>
      </c>
      <c r="G84" s="295" t="str">
        <f>IFERROR(IF(compras_mes11[[#This Row],[CUIT]]="","-",VLOOKUP(compras_mes11[[#This Row],[CUIT]],Lista_CUIT[#All],2,0)),"CUIT NO CARGADO")</f>
        <v>DISEÑOS JERY SRL</v>
      </c>
      <c r="H84" s="296">
        <v>89807.43</v>
      </c>
      <c r="I84" s="551">
        <f>IF(compras_mes11[[#This Row],[NETO GRAVADO]]="","",compras_mes11[[#This Row],[NETO GRAVADO]]*0.21)</f>
        <v>18859.560299999997</v>
      </c>
      <c r="J84" s="551"/>
      <c r="K84" s="551"/>
      <c r="L84" s="551"/>
      <c r="M84" s="551"/>
      <c r="N84" s="551"/>
      <c r="O84" s="551"/>
      <c r="P84" s="552">
        <f>SUM(compras_mes11[[#This Row],[NETO GRAVADO]:[Otros / No Grav.]])</f>
        <v>108666.99029999999</v>
      </c>
      <c r="Q84" s="550" t="str">
        <f>IFERROR(IF(compras_mes11[[#This Row],[CUIT]]="","-",VLOOKUP(compras_mes11[[#This Row],[CUIT]],Lista_CUIT[#All],3,0)),"CUIT NO CARGADO")</f>
        <v>Productos Ortopedicos</v>
      </c>
      <c r="R84" s="550">
        <f>IFERROR(IF(compras_mes11[[#This Row],[CUIT]]="","-",VLOOKUP(compras_mes11[[#This Row],[CUIT]],Lista_CUIT[#All],4,0)),"CUIT NO CARGADO")</f>
        <v>0</v>
      </c>
    </row>
    <row r="85" spans="2:18" s="549" customFormat="1">
      <c r="B85" s="556">
        <v>45624</v>
      </c>
      <c r="C85" s="305">
        <v>1</v>
      </c>
      <c r="D85" s="292">
        <v>2</v>
      </c>
      <c r="E85" s="293">
        <v>952</v>
      </c>
      <c r="F85" s="294">
        <v>20272865869</v>
      </c>
      <c r="G85" s="295" t="str">
        <f>IFERROR(IF(compras_mes11[[#This Row],[CUIT]]="","-",VLOOKUP(compras_mes11[[#This Row],[CUIT]],Lista_CUIT[#All],2,0)),"CUIT NO CARGADO")</f>
        <v>DI FEO MARTIN EZEQUIEL</v>
      </c>
      <c r="H85" s="296">
        <v>125000</v>
      </c>
      <c r="I85" s="551">
        <f>IF(compras_mes11[[#This Row],[NETO GRAVADO]]="","",compras_mes11[[#This Row],[NETO GRAVADO]]*0.21)</f>
        <v>26250</v>
      </c>
      <c r="J85" s="551"/>
      <c r="K85" s="551"/>
      <c r="L85" s="551"/>
      <c r="M85" s="551"/>
      <c r="N85" s="551"/>
      <c r="O85" s="551"/>
      <c r="P85" s="552">
        <f>SUM(compras_mes11[[#This Row],[NETO GRAVADO]:[Otros / No Grav.]])</f>
        <v>151250</v>
      </c>
      <c r="Q85" s="550" t="str">
        <f>IFERROR(IF(compras_mes11[[#This Row],[CUIT]]="","-",VLOOKUP(compras_mes11[[#This Row],[CUIT]],Lista_CUIT[#All],3,0)),"CUIT NO CARGADO")</f>
        <v>Productos Ortopedicos</v>
      </c>
      <c r="R85" s="550">
        <f>IFERROR(IF(compras_mes11[[#This Row],[CUIT]]="","-",VLOOKUP(compras_mes11[[#This Row],[CUIT]],Lista_CUIT[#All],4,0)),"CUIT NO CARGADO")</f>
        <v>0</v>
      </c>
    </row>
    <row r="86" spans="2:18" s="549" customFormat="1">
      <c r="B86" s="556">
        <v>45614</v>
      </c>
      <c r="C86" s="305">
        <v>1</v>
      </c>
      <c r="D86" s="292">
        <v>2</v>
      </c>
      <c r="E86" s="293">
        <v>28</v>
      </c>
      <c r="F86" s="294">
        <v>27243660535</v>
      </c>
      <c r="G86" s="295" t="str">
        <f>IFERROR(IF(compras_mes11[[#This Row],[CUIT]]="","-",VLOOKUP(compras_mes11[[#This Row],[CUIT]],Lista_CUIT[#All],2,0)),"CUIT NO CARGADO")</f>
        <v>BARD MARISA SILVIA</v>
      </c>
      <c r="H86" s="296">
        <v>414537</v>
      </c>
      <c r="I86" s="551">
        <f>IF(compras_mes11[[#This Row],[NETO GRAVADO]]="","",compras_mes11[[#This Row],[NETO GRAVADO]]*0.21)</f>
        <v>87052.76999999999</v>
      </c>
      <c r="J86" s="551"/>
      <c r="K86" s="551"/>
      <c r="L86" s="551"/>
      <c r="M86" s="551"/>
      <c r="N86" s="551"/>
      <c r="O86" s="551"/>
      <c r="P86" s="552">
        <f>SUM(compras_mes11[[#This Row],[NETO GRAVADO]:[Otros / No Grav.]])</f>
        <v>501589.77</v>
      </c>
      <c r="Q86" s="550" t="str">
        <f>IFERROR(IF(compras_mes11[[#This Row],[CUIT]]="","-",VLOOKUP(compras_mes11[[#This Row],[CUIT]],Lista_CUIT[#All],3,0)),"CUIT NO CARGADO")</f>
        <v>Productos Ortopedicos</v>
      </c>
      <c r="R86" s="550">
        <f>IFERROR(IF(compras_mes11[[#This Row],[CUIT]]="","-",VLOOKUP(compras_mes11[[#This Row],[CUIT]],Lista_CUIT[#All],4,0)),"CUIT NO CARGADO")</f>
        <v>0</v>
      </c>
    </row>
    <row r="87" spans="2:18" s="549" customFormat="1">
      <c r="B87" s="556">
        <v>45607</v>
      </c>
      <c r="C87" s="305">
        <v>1</v>
      </c>
      <c r="D87" s="292">
        <v>2</v>
      </c>
      <c r="E87" s="293">
        <v>255</v>
      </c>
      <c r="F87" s="294">
        <v>27144282383</v>
      </c>
      <c r="G87" s="295" t="str">
        <f>IFERROR(IF(compras_mes11[[#This Row],[CUIT]]="","-",VLOOKUP(compras_mes11[[#This Row],[CUIT]],Lista_CUIT[#All],2,0)),"CUIT NO CARGADO")</f>
        <v>SCHEJTER LILA ELISA</v>
      </c>
      <c r="H87" s="296">
        <v>50000</v>
      </c>
      <c r="I87" s="551">
        <f>IF(compras_mes11[[#This Row],[NETO GRAVADO]]="","",compras_mes11[[#This Row],[NETO GRAVADO]]*0.21)</f>
        <v>10500</v>
      </c>
      <c r="J87" s="551"/>
      <c r="K87" s="551"/>
      <c r="L87" s="551"/>
      <c r="M87" s="551"/>
      <c r="N87" s="551"/>
      <c r="O87" s="551"/>
      <c r="P87" s="552">
        <f>SUM(compras_mes11[[#This Row],[NETO GRAVADO]:[Otros / No Grav.]])</f>
        <v>60500</v>
      </c>
      <c r="Q87" s="550" t="str">
        <f>IFERROR(IF(compras_mes11[[#This Row],[CUIT]]="","-",VLOOKUP(compras_mes11[[#This Row],[CUIT]],Lista_CUIT[#All],3,0)),"CUIT NO CARGADO")</f>
        <v>Productos Ortopedicos</v>
      </c>
      <c r="R87" s="550">
        <f>IFERROR(IF(compras_mes11[[#This Row],[CUIT]]="","-",VLOOKUP(compras_mes11[[#This Row],[CUIT]],Lista_CUIT[#All],4,0)),"CUIT NO CARGADO")</f>
        <v>0</v>
      </c>
    </row>
    <row r="88" spans="2:18" s="549" customFormat="1">
      <c r="B88" s="556">
        <v>45617</v>
      </c>
      <c r="C88" s="305">
        <v>1</v>
      </c>
      <c r="D88" s="292">
        <v>2</v>
      </c>
      <c r="E88" s="293">
        <v>257</v>
      </c>
      <c r="F88" s="294">
        <v>27144282383</v>
      </c>
      <c r="G88" s="295" t="str">
        <f>IFERROR(IF(compras_mes11[[#This Row],[CUIT]]="","-",VLOOKUP(compras_mes11[[#This Row],[CUIT]],Lista_CUIT[#All],2,0)),"CUIT NO CARGADO")</f>
        <v>SCHEJTER LILA ELISA</v>
      </c>
      <c r="H88" s="296">
        <v>300000</v>
      </c>
      <c r="I88" s="551">
        <f>IF(compras_mes11[[#This Row],[NETO GRAVADO]]="","",compras_mes11[[#This Row],[NETO GRAVADO]]*0.21)</f>
        <v>63000</v>
      </c>
      <c r="J88" s="551"/>
      <c r="K88" s="551"/>
      <c r="L88" s="551"/>
      <c r="M88" s="551"/>
      <c r="N88" s="551"/>
      <c r="O88" s="551"/>
      <c r="P88" s="552">
        <f>SUM(compras_mes11[[#This Row],[NETO GRAVADO]:[Otros / No Grav.]])</f>
        <v>363000</v>
      </c>
      <c r="Q88" s="550" t="str">
        <f>IFERROR(IF(compras_mes11[[#This Row],[CUIT]]="","-",VLOOKUP(compras_mes11[[#This Row],[CUIT]],Lista_CUIT[#All],3,0)),"CUIT NO CARGADO")</f>
        <v>Productos Ortopedicos</v>
      </c>
      <c r="R88" s="550">
        <f>IFERROR(IF(compras_mes11[[#This Row],[CUIT]]="","-",VLOOKUP(compras_mes11[[#This Row],[CUIT]],Lista_CUIT[#All],4,0)),"CUIT NO CARGADO")</f>
        <v>0</v>
      </c>
    </row>
    <row r="89" spans="2:18" s="549" customFormat="1">
      <c r="B89" s="556">
        <v>45600</v>
      </c>
      <c r="C89" s="305">
        <v>1</v>
      </c>
      <c r="D89" s="292">
        <v>401</v>
      </c>
      <c r="E89" s="293">
        <v>100</v>
      </c>
      <c r="F89" s="294">
        <v>30716234114</v>
      </c>
      <c r="G89" s="295" t="str">
        <f>IFERROR(IF(compras_mes11[[#This Row],[CUIT]]="","-",VLOOKUP(compras_mes11[[#This Row],[CUIT]],Lista_CUIT[#All],2,0)),"CUIT NO CARGADO")</f>
        <v>UZUMAKI S.A.S.</v>
      </c>
      <c r="H89" s="296">
        <v>157746</v>
      </c>
      <c r="I89" s="551">
        <f>IF(compras_mes11[[#This Row],[NETO GRAVADO]]="","",compras_mes11[[#This Row],[NETO GRAVADO]]*0.21)</f>
        <v>33126.659999999996</v>
      </c>
      <c r="J89" s="551"/>
      <c r="K89" s="551"/>
      <c r="L89" s="551"/>
      <c r="M89" s="551"/>
      <c r="N89" s="551"/>
      <c r="O89" s="551"/>
      <c r="P89" s="552">
        <f>SUM(compras_mes11[[#This Row],[NETO GRAVADO]:[Otros / No Grav.]])</f>
        <v>190872.66</v>
      </c>
      <c r="Q89" s="550" t="str">
        <f>IFERROR(IF(compras_mes11[[#This Row],[CUIT]]="","-",VLOOKUP(compras_mes11[[#This Row],[CUIT]],Lista_CUIT[#All],3,0)),"CUIT NO CARGADO")</f>
        <v>Productos Ortopedicos</v>
      </c>
      <c r="R89" s="550">
        <f>IFERROR(IF(compras_mes11[[#This Row],[CUIT]]="","-",VLOOKUP(compras_mes11[[#This Row],[CUIT]],Lista_CUIT[#All],4,0)),"CUIT NO CARGADO")</f>
        <v>0</v>
      </c>
    </row>
    <row r="90" spans="2:18" s="549" customFormat="1">
      <c r="B90" s="556">
        <v>45621</v>
      </c>
      <c r="C90" s="305">
        <v>1</v>
      </c>
      <c r="D90" s="90">
        <v>16</v>
      </c>
      <c r="E90" s="91">
        <v>27</v>
      </c>
      <c r="F90" s="92">
        <v>27310367813</v>
      </c>
      <c r="G90" s="93" t="str">
        <f>IFERROR(IF(compras_mes11[[#This Row],[CUIT]]="","-",VLOOKUP(compras_mes11[[#This Row],[CUIT]],Lista_CUIT[#All],2,0)),"CUIT NO CARGADO")</f>
        <v>LA BRUNA MARIA VIRGINIA</v>
      </c>
      <c r="H90" s="94">
        <v>133140.5</v>
      </c>
      <c r="I90" s="551">
        <f>IF(compras_mes11[[#This Row],[NETO GRAVADO]]="","",compras_mes11[[#This Row],[NETO GRAVADO]]*0.21)</f>
        <v>27959.504999999997</v>
      </c>
      <c r="J90" s="551"/>
      <c r="K90" s="551"/>
      <c r="L90" s="551"/>
      <c r="M90" s="551"/>
      <c r="N90" s="551"/>
      <c r="O90" s="551"/>
      <c r="P90" s="552">
        <f>SUM(compras_mes11[[#This Row],[NETO GRAVADO]:[Otros / No Grav.]])</f>
        <v>161100.005</v>
      </c>
      <c r="Q90" s="550" t="str">
        <f>IFERROR(IF(compras_mes11[[#This Row],[CUIT]]="","-",VLOOKUP(compras_mes11[[#This Row],[CUIT]],Lista_CUIT[#All],3,0)),"CUIT NO CARGADO")</f>
        <v>Ropa Trabajo</v>
      </c>
      <c r="R90" s="550">
        <f>IFERROR(IF(compras_mes11[[#This Row],[CUIT]]="","-",VLOOKUP(compras_mes11[[#This Row],[CUIT]],Lista_CUIT[#All],4,0)),"CUIT NO CARGADO")</f>
        <v>0</v>
      </c>
    </row>
    <row r="91" spans="2:18" s="549" customFormat="1">
      <c r="B91" s="556">
        <v>45603</v>
      </c>
      <c r="C91" s="305">
        <v>1</v>
      </c>
      <c r="D91" s="292">
        <v>12</v>
      </c>
      <c r="E91" s="293">
        <v>1790771</v>
      </c>
      <c r="F91" s="294">
        <v>30709776564</v>
      </c>
      <c r="G91" s="295" t="str">
        <f>IFERROR(IF(compras_mes11[[#This Row],[CUIT]]="","-",VLOOKUP(compras_mes11[[#This Row],[CUIT]],Lista_CUIT[#All],2,0)),"CUIT NO CARGADO")</f>
        <v>PROSEGUR ACTIVA ARG SA</v>
      </c>
      <c r="H91" s="296">
        <v>129241</v>
      </c>
      <c r="I91" s="551">
        <f>IF(compras_mes11[[#This Row],[NETO GRAVADO]]="","",compras_mes11[[#This Row],[NETO GRAVADO]]*0.21)</f>
        <v>27140.61</v>
      </c>
      <c r="J91" s="551"/>
      <c r="K91" s="551"/>
      <c r="L91" s="551"/>
      <c r="M91" s="551"/>
      <c r="N91" s="551"/>
      <c r="O91" s="551"/>
      <c r="P91" s="552">
        <f>SUM(compras_mes11[[#This Row],[NETO GRAVADO]:[Otros / No Grav.]])</f>
        <v>156381.60999999999</v>
      </c>
      <c r="Q91" s="550" t="str">
        <f>IFERROR(IF(compras_mes11[[#This Row],[CUIT]]="","-",VLOOKUP(compras_mes11[[#This Row],[CUIT]],Lista_CUIT[#All],3,0)),"CUIT NO CARGADO")</f>
        <v>Servicio Seguridad</v>
      </c>
      <c r="R91" s="550">
        <f>IFERROR(IF(compras_mes11[[#This Row],[CUIT]]="","-",VLOOKUP(compras_mes11[[#This Row],[CUIT]],Lista_CUIT[#All],4,0)),"CUIT NO CARGADO")</f>
        <v>0</v>
      </c>
    </row>
    <row r="92" spans="2:18" s="549" customFormat="1">
      <c r="B92" s="556">
        <v>45621</v>
      </c>
      <c r="C92" s="305">
        <v>3</v>
      </c>
      <c r="D92" s="292">
        <v>15</v>
      </c>
      <c r="E92" s="293">
        <v>171535</v>
      </c>
      <c r="F92" s="294">
        <v>30709776564</v>
      </c>
      <c r="G92" s="295" t="str">
        <f>IFERROR(IF(compras_mes11[[#This Row],[CUIT]]="","-",VLOOKUP(compras_mes11[[#This Row],[CUIT]],Lista_CUIT[#All],2,0)),"CUIT NO CARGADO")</f>
        <v>PROSEGUR ACTIVA ARG SA</v>
      </c>
      <c r="H92" s="296">
        <v>-129241</v>
      </c>
      <c r="I92" s="562">
        <f>IF(compras_mes11[[#This Row],[NETO GRAVADO]]="","",compras_mes11[[#This Row],[NETO GRAVADO]]*0.21)</f>
        <v>-27140.61</v>
      </c>
      <c r="J92" s="562"/>
      <c r="K92" s="562"/>
      <c r="L92" s="562"/>
      <c r="M92" s="562"/>
      <c r="N92" s="562"/>
      <c r="O92" s="562"/>
      <c r="P92" s="563">
        <f>SUM(compras_mes11[[#This Row],[NETO GRAVADO]:[Otros / No Grav.]])</f>
        <v>-156381.60999999999</v>
      </c>
      <c r="Q92" s="550" t="str">
        <f>IFERROR(IF(compras_mes11[[#This Row],[CUIT]]="","-",VLOOKUP(compras_mes11[[#This Row],[CUIT]],Lista_CUIT[#All],3,0)),"CUIT NO CARGADO")</f>
        <v>Servicio Seguridad</v>
      </c>
      <c r="R92" s="550">
        <f>IFERROR(IF(compras_mes11[[#This Row],[CUIT]]="","-",VLOOKUP(compras_mes11[[#This Row],[CUIT]],Lista_CUIT[#All],4,0)),"CUIT NO CARGADO")</f>
        <v>0</v>
      </c>
    </row>
    <row r="93" spans="2:18" s="549" customFormat="1">
      <c r="B93" s="556">
        <v>45600</v>
      </c>
      <c r="C93" s="305">
        <v>1</v>
      </c>
      <c r="D93" s="557">
        <v>1</v>
      </c>
      <c r="E93" s="558">
        <v>649205</v>
      </c>
      <c r="F93" s="559">
        <v>33716307749</v>
      </c>
      <c r="G93" s="560" t="str">
        <f>IFERROR(IF(compras_mes11[[#This Row],[CUIT]]="","-",VLOOKUP(compras_mes11[[#This Row],[CUIT]],Lista_CUIT[#All],2,0)),"CUIT NO CARGADO")</f>
        <v>VERISURE ARGENTINA MONITOREO DE ALARMAS SA</v>
      </c>
      <c r="H93" s="561">
        <v>34999</v>
      </c>
      <c r="I93" s="551">
        <f>IF(compras_mes11[[#This Row],[NETO GRAVADO]]="","",compras_mes11[[#This Row],[NETO GRAVADO]]*0.21)</f>
        <v>7349.79</v>
      </c>
      <c r="J93" s="554"/>
      <c r="K93" s="554"/>
      <c r="L93" s="554"/>
      <c r="M93" s="554"/>
      <c r="N93" s="554"/>
      <c r="O93" s="554"/>
      <c r="P93" s="552">
        <f>SUM(compras_mes11[[#This Row],[NETO GRAVADO]:[Otros / No Grav.]])</f>
        <v>42348.79</v>
      </c>
      <c r="Q93" s="553" t="str">
        <f>IFERROR(IF(compras_mes11[[#This Row],[CUIT]]="","-",VLOOKUP(compras_mes11[[#This Row],[CUIT]],Lista_CUIT[#All],3,0)),"CUIT NO CARGADO")</f>
        <v>Servicio Seguridad</v>
      </c>
      <c r="R93" s="553">
        <f>IFERROR(IF(compras_mes11[[#This Row],[CUIT]]="","-",VLOOKUP(compras_mes11[[#This Row],[CUIT]],Lista_CUIT[#All],4,0)),"CUIT NO CARGADO")</f>
        <v>0</v>
      </c>
    </row>
    <row r="94" spans="2:18" s="549" customFormat="1">
      <c r="B94" s="556">
        <v>45613</v>
      </c>
      <c r="C94" s="305">
        <v>1</v>
      </c>
      <c r="D94" s="292">
        <v>4</v>
      </c>
      <c r="E94" s="293">
        <v>1340</v>
      </c>
      <c r="F94" s="294">
        <v>30712434704</v>
      </c>
      <c r="G94" s="295" t="str">
        <f>IFERROR(IF(compras_mes11[[#This Row],[CUIT]]="","-",VLOOKUP(compras_mes11[[#This Row],[CUIT]],Lista_CUIT[#All],2,0)),"CUIT NO CARGADO")</f>
        <v>BLAUGRANA EVENTOS S.R.L.</v>
      </c>
      <c r="H94" s="296">
        <v>27438.02</v>
      </c>
      <c r="I94" s="551">
        <f>IF(compras_mes11[[#This Row],[NETO GRAVADO]]="","",compras_mes11[[#This Row],[NETO GRAVADO]]*0.21)</f>
        <v>5761.9841999999999</v>
      </c>
      <c r="J94" s="551"/>
      <c r="K94" s="551"/>
      <c r="L94" s="551"/>
      <c r="M94" s="551"/>
      <c r="N94" s="551"/>
      <c r="O94" s="551"/>
      <c r="P94" s="552">
        <f>SUM(compras_mes11[[#This Row],[NETO GRAVADO]:[Otros / No Grav.]])</f>
        <v>33200.004200000003</v>
      </c>
      <c r="Q94" s="550" t="str">
        <f>IFERROR(IF(compras_mes11[[#This Row],[CUIT]]="","-",VLOOKUP(compras_mes11[[#This Row],[CUIT]],Lista_CUIT[#All],3,0)),"CUIT NO CARGADO")</f>
        <v>SERVICIOS DE ALOJAMIENTO EN HOTELES</v>
      </c>
      <c r="R94" s="550">
        <f>IFERROR(IF(compras_mes11[[#This Row],[CUIT]]="","-",VLOOKUP(compras_mes11[[#This Row],[CUIT]],Lista_CUIT[#All],4,0)),"CUIT NO CARGADO")</f>
        <v>0</v>
      </c>
    </row>
    <row r="95" spans="2:18" s="555" customFormat="1">
      <c r="B95" s="556">
        <v>45598</v>
      </c>
      <c r="C95" s="305">
        <v>1</v>
      </c>
      <c r="D95" s="292">
        <v>3051</v>
      </c>
      <c r="E95" s="293">
        <v>831166</v>
      </c>
      <c r="F95" s="294">
        <v>30678814357</v>
      </c>
      <c r="G95" s="295" t="str">
        <f>IFERROR(IF(compras_mes11[[#This Row],[CUIT]]="","-",VLOOKUP(compras_mes11[[#This Row],[CUIT]],Lista_CUIT[#All],2,0)),"CUIT NO CARGADO")</f>
        <v>TELEFONICA MOVILES ARG SA</v>
      </c>
      <c r="H95" s="296">
        <v>28282.81</v>
      </c>
      <c r="I95" s="551"/>
      <c r="J95" s="551">
        <f>compras_mes11[[#This Row],[NETO GRAVADO]]*27/100</f>
        <v>7636.3586999999998</v>
      </c>
      <c r="K95" s="551"/>
      <c r="L95" s="551"/>
      <c r="M95" s="551"/>
      <c r="N95" s="551"/>
      <c r="O95" s="551"/>
      <c r="P95" s="552">
        <f>SUM(compras_mes11[[#This Row],[NETO GRAVADO]:[Otros / No Grav.]])</f>
        <v>35919.168700000002</v>
      </c>
      <c r="Q95" s="550" t="str">
        <f>IFERROR(IF(compras_mes11[[#This Row],[CUIT]]="","-",VLOOKUP(compras_mes11[[#This Row],[CUIT]],Lista_CUIT[#All],3,0)),"CUIT NO CARGADO")</f>
        <v>Servicios Gas-Luz-Agua-Internet</v>
      </c>
      <c r="R95" s="550">
        <f>IFERROR(IF(compras_mes11[[#This Row],[CUIT]]="","-",VLOOKUP(compras_mes11[[#This Row],[CUIT]],Lista_CUIT[#All],4,0)),"CUIT NO CARGADO")</f>
        <v>0</v>
      </c>
    </row>
    <row r="96" spans="2:18" s="549" customFormat="1">
      <c r="B96" s="556">
        <v>45605</v>
      </c>
      <c r="C96" s="305">
        <v>1</v>
      </c>
      <c r="D96" s="292">
        <v>3101</v>
      </c>
      <c r="E96" s="293">
        <v>197858</v>
      </c>
      <c r="F96" s="294">
        <v>30678814357</v>
      </c>
      <c r="G96" s="295" t="str">
        <f>IFERROR(IF(compras_mes11[[#This Row],[CUIT]]="","-",VLOOKUP(compras_mes11[[#This Row],[CUIT]],Lista_CUIT[#All],2,0)),"CUIT NO CARGADO")</f>
        <v>TELEFONICA MOVILES ARG SA</v>
      </c>
      <c r="H96" s="296">
        <v>68662.570000000007</v>
      </c>
      <c r="I96" s="551"/>
      <c r="J96" s="551">
        <f>compras_mes11[[#This Row],[NETO GRAVADO]]*27/100</f>
        <v>18538.893900000003</v>
      </c>
      <c r="K96" s="551"/>
      <c r="L96" s="551"/>
      <c r="M96" s="551"/>
      <c r="N96" s="551"/>
      <c r="O96" s="551"/>
      <c r="P96" s="552">
        <f>SUM(compras_mes11[[#This Row],[NETO GRAVADO]:[Otros / No Grav.]])</f>
        <v>87201.463900000002</v>
      </c>
      <c r="Q96" s="550" t="str">
        <f>IFERROR(IF(compras_mes11[[#This Row],[CUIT]]="","-",VLOOKUP(compras_mes11[[#This Row],[CUIT]],Lista_CUIT[#All],3,0)),"CUIT NO CARGADO")</f>
        <v>Servicios Gas-Luz-Agua-Internet</v>
      </c>
      <c r="R96" s="550">
        <f>IFERROR(IF(compras_mes11[[#This Row],[CUIT]]="","-",VLOOKUP(compras_mes11[[#This Row],[CUIT]],Lista_CUIT[#All],4,0)),"CUIT NO CARGADO")</f>
        <v>0</v>
      </c>
    </row>
    <row r="97" spans="2:19" s="549" customFormat="1">
      <c r="B97" s="556">
        <v>45615</v>
      </c>
      <c r="C97" s="305">
        <v>1</v>
      </c>
      <c r="D97" s="557">
        <v>4264</v>
      </c>
      <c r="E97" s="558">
        <v>4655209</v>
      </c>
      <c r="F97" s="559">
        <v>30639453738</v>
      </c>
      <c r="G97" s="560" t="str">
        <f>IFERROR(IF(compras_mes11[[#This Row],[CUIT]]="","-",VLOOKUP(compras_mes11[[#This Row],[CUIT]],Lista_CUIT[#All],2,0)),"CUIT NO CARGADO")</f>
        <v>TELECOM ARGENTINA SA</v>
      </c>
      <c r="H97" s="561">
        <v>25106.400000000001</v>
      </c>
      <c r="I97" s="551">
        <f>IF(compras_mes11[[#This Row],[NETO GRAVADO]]="","",compras_mes11[[#This Row],[NETO GRAVADO]]*0.21)</f>
        <v>5272.3440000000001</v>
      </c>
      <c r="J97" s="551"/>
      <c r="K97" s="551"/>
      <c r="L97" s="551"/>
      <c r="M97" s="551"/>
      <c r="N97" s="551"/>
      <c r="O97" s="551"/>
      <c r="P97" s="552">
        <f>SUM(compras_mes11[[#This Row],[NETO GRAVADO]:[Otros / No Grav.]])</f>
        <v>30378.744000000002</v>
      </c>
      <c r="Q97" s="550" t="str">
        <f>IFERROR(IF(compras_mes11[[#This Row],[CUIT]]="","-",VLOOKUP(compras_mes11[[#This Row],[CUIT]],Lista_CUIT[#All],3,0)),"CUIT NO CARGADO")</f>
        <v>Servicios Gas-Luz-Agua-Internet</v>
      </c>
      <c r="R97" s="550">
        <f>IFERROR(IF(compras_mes11[[#This Row],[CUIT]]="","-",VLOOKUP(compras_mes11[[#This Row],[CUIT]],Lista_CUIT[#All],4,0)),"CUIT NO CARGADO")</f>
        <v>0</v>
      </c>
    </row>
    <row r="98" spans="2:19" s="549" customFormat="1">
      <c r="B98" s="556">
        <v>45617</v>
      </c>
      <c r="C98" s="305">
        <v>1</v>
      </c>
      <c r="D98" s="292">
        <v>5</v>
      </c>
      <c r="E98" s="293">
        <v>3171882</v>
      </c>
      <c r="F98" s="294">
        <v>30702652975</v>
      </c>
      <c r="G98" s="295" t="str">
        <f>IFERROR(IF(compras_mes11[[#This Row],[CUIT]]="","-",VLOOKUP(compras_mes11[[#This Row],[CUIT]],Lista_CUIT[#All],2,0)),"CUIT NO CARGADO")</f>
        <v>NSS SA</v>
      </c>
      <c r="H98" s="296">
        <v>28528.6</v>
      </c>
      <c r="I98" s="551">
        <f>IF(compras_mes11[[#This Row],[NETO GRAVADO]]="","",compras_mes11[[#This Row],[NETO GRAVADO]]*0.21)</f>
        <v>5991.0059999999994</v>
      </c>
      <c r="J98" s="551"/>
      <c r="K98" s="551"/>
      <c r="L98" s="551"/>
      <c r="M98" s="551"/>
      <c r="N98" s="551"/>
      <c r="O98" s="551"/>
      <c r="P98" s="552">
        <f>SUM(compras_mes11[[#This Row],[NETO GRAVADO]:[Otros / No Grav.]])</f>
        <v>34519.606</v>
      </c>
      <c r="Q98" s="550" t="str">
        <f>IFERROR(IF(compras_mes11[[#This Row],[CUIT]]="","-",VLOOKUP(compras_mes11[[#This Row],[CUIT]],Lista_CUIT[#All],3,0)),"CUIT NO CARGADO")</f>
        <v>Servicios Gas-Luz-Agua-Internet</v>
      </c>
      <c r="R98" s="550">
        <f>IFERROR(IF(compras_mes11[[#This Row],[CUIT]]="","-",VLOOKUP(compras_mes11[[#This Row],[CUIT]],Lista_CUIT[#All],4,0)),"CUIT NO CARGADO")</f>
        <v>0</v>
      </c>
      <c r="S98" s="549" t="s">
        <v>2250</v>
      </c>
    </row>
    <row r="99" spans="2:19" s="549" customFormat="1">
      <c r="B99" s="556">
        <v>45611</v>
      </c>
      <c r="C99" s="305">
        <v>3</v>
      </c>
      <c r="D99" s="292">
        <v>3177</v>
      </c>
      <c r="E99" s="293">
        <v>62698</v>
      </c>
      <c r="F99" s="294">
        <v>30678814357</v>
      </c>
      <c r="G99" s="295" t="str">
        <f>IFERROR(IF(compras_mes11[[#This Row],[CUIT]]="","-",VLOOKUP(compras_mes11[[#This Row],[CUIT]],Lista_CUIT[#All],2,0)),"CUIT NO CARGADO")</f>
        <v>TELEFONICA MOVILES ARG SA</v>
      </c>
      <c r="H99" s="296">
        <v>-3703.7</v>
      </c>
      <c r="I99" s="562"/>
      <c r="J99" s="562">
        <f>compras_mes11[[#This Row],[NETO GRAVADO]]*27/100</f>
        <v>-999.99899999999991</v>
      </c>
      <c r="K99" s="562"/>
      <c r="L99" s="562"/>
      <c r="M99" s="562"/>
      <c r="N99" s="562"/>
      <c r="O99" s="562"/>
      <c r="P99" s="563">
        <f>SUM(compras_mes11[[#This Row],[NETO GRAVADO]:[Otros / No Grav.]])</f>
        <v>-4703.6989999999996</v>
      </c>
      <c r="Q99" s="550" t="str">
        <f>IFERROR(IF(compras_mes11[[#This Row],[CUIT]]="","-",VLOOKUP(compras_mes11[[#This Row],[CUIT]],Lista_CUIT[#All],3,0)),"CUIT NO CARGADO")</f>
        <v>Servicios Gas-Luz-Agua-Internet</v>
      </c>
      <c r="R99" s="550">
        <f>IFERROR(IF(compras_mes11[[#This Row],[CUIT]]="","-",VLOOKUP(compras_mes11[[#This Row],[CUIT]],Lista_CUIT[#All],4,0)),"CUIT NO CARGADO")</f>
        <v>0</v>
      </c>
    </row>
    <row r="100" spans="2:19">
      <c r="B100" s="95" t="s">
        <v>110</v>
      </c>
      <c r="C100" s="95"/>
      <c r="D100" s="95"/>
      <c r="E100" s="95"/>
      <c r="F100" s="95"/>
      <c r="G100" s="96"/>
      <c r="H100" s="97">
        <f>SUBTOTAL(109,compras_mes11[NETO GRAVADO])</f>
        <v>34200848</v>
      </c>
      <c r="I100" s="97">
        <f>SUBTOTAL(109,compras_mes11[IVA 21 %])</f>
        <v>7068621.1448999979</v>
      </c>
      <c r="J100" s="97">
        <f>SUBTOTAL(109,compras_mes11[IVA 27%])</f>
        <v>25175.253600000004</v>
      </c>
      <c r="K100" s="97">
        <f>SUBTOTAL(109,compras_mes11[IVA 10,5%])</f>
        <v>46988.09115</v>
      </c>
      <c r="L100" s="97">
        <f>SUBTOTAL(109,compras_mes11[PERC. IVA])</f>
        <v>0</v>
      </c>
      <c r="M100" s="97">
        <f>SUBTOTAL(109,compras_mes11[PERC IIBB 
BS AS])</f>
        <v>0</v>
      </c>
      <c r="N100" s="97">
        <f>SUBTOTAL(109,compras_mes11[PERC. IIBB CABA])</f>
        <v>0</v>
      </c>
      <c r="O100" s="97">
        <f>SUBTOTAL(109,compras_mes11[Otros / No Grav.])</f>
        <v>198.74</v>
      </c>
      <c r="P100" s="97">
        <f>SUBTOTAL(109,compras_mes11[TOTAL])</f>
        <v>41341831.229649998</v>
      </c>
      <c r="Q100" s="95"/>
      <c r="R100" s="95"/>
    </row>
    <row r="101" spans="2:19">
      <c r="B101" s="40"/>
      <c r="C101" s="41"/>
      <c r="D101" s="42"/>
      <c r="E101" s="43"/>
      <c r="F101" s="44"/>
      <c r="G101" s="45"/>
      <c r="H101" s="46"/>
      <c r="I101" s="47"/>
      <c r="J101" s="47"/>
      <c r="K101" s="47"/>
      <c r="L101" s="47"/>
      <c r="M101" s="47"/>
      <c r="N101" s="47"/>
      <c r="O101" s="47"/>
      <c r="P101" s="48"/>
      <c r="Q101" s="49"/>
      <c r="R101" s="49"/>
    </row>
    <row r="102" spans="2:19">
      <c r="B102" s="40"/>
      <c r="C102" s="41"/>
      <c r="D102" s="42"/>
      <c r="E102" s="43"/>
      <c r="F102" s="44"/>
      <c r="G102" s="45"/>
      <c r="H102" s="46"/>
      <c r="I102" s="47"/>
      <c r="J102" s="47"/>
      <c r="K102" s="47"/>
      <c r="L102" s="47"/>
      <c r="M102" s="47"/>
      <c r="N102" s="47"/>
      <c r="O102" s="47"/>
      <c r="P102" s="48"/>
      <c r="Q102" s="49"/>
      <c r="R102" s="49"/>
    </row>
    <row r="103" spans="2:19">
      <c r="B103" s="40"/>
      <c r="C103" s="41"/>
      <c r="D103" s="42"/>
      <c r="E103" s="43"/>
      <c r="F103" s="44"/>
      <c r="G103" s="45"/>
      <c r="H103" s="46"/>
      <c r="I103" s="47"/>
      <c r="J103" s="47"/>
      <c r="K103" s="47"/>
      <c r="L103" s="47"/>
      <c r="M103" s="47"/>
      <c r="N103" s="47"/>
      <c r="O103" s="47"/>
      <c r="P103" s="48"/>
      <c r="Q103" s="49"/>
      <c r="R103" s="49"/>
    </row>
    <row r="104" spans="2:19">
      <c r="B104" s="40"/>
      <c r="C104" s="41"/>
      <c r="D104" s="42"/>
      <c r="E104" s="43"/>
      <c r="F104" s="44"/>
      <c r="G104" s="45"/>
      <c r="H104" s="46"/>
      <c r="I104" s="47"/>
      <c r="J104" s="47"/>
      <c r="K104" s="47"/>
      <c r="L104" s="47"/>
    </row>
    <row r="105" spans="2:19" ht="21">
      <c r="D105" s="665" t="s">
        <v>15</v>
      </c>
      <c r="E105" s="665"/>
      <c r="F105" s="665"/>
      <c r="G105" s="665"/>
      <c r="H105" s="665"/>
      <c r="I105" s="665"/>
      <c r="J105" s="665"/>
      <c r="K105" s="665"/>
      <c r="L105" s="665"/>
    </row>
    <row r="106" spans="2:19" ht="15.75">
      <c r="D106" s="73" t="s">
        <v>0</v>
      </c>
      <c r="E106" s="74" t="s">
        <v>26</v>
      </c>
      <c r="F106" s="74" t="s">
        <v>3</v>
      </c>
      <c r="G106" s="74" t="s">
        <v>16</v>
      </c>
      <c r="H106" s="74" t="s">
        <v>5</v>
      </c>
      <c r="I106" s="74" t="s">
        <v>17</v>
      </c>
      <c r="J106" s="74" t="s">
        <v>7</v>
      </c>
      <c r="K106" s="75" t="s">
        <v>18</v>
      </c>
      <c r="L106" s="75" t="s">
        <v>19</v>
      </c>
      <c r="M106" s="76" t="s">
        <v>20</v>
      </c>
    </row>
    <row r="107" spans="2:19">
      <c r="D107" s="50">
        <v>45625</v>
      </c>
      <c r="E107" s="80">
        <v>20241129</v>
      </c>
      <c r="F107" s="80">
        <v>30500006613</v>
      </c>
      <c r="G107" s="80" t="s">
        <v>2170</v>
      </c>
      <c r="H107" s="81">
        <v>35150</v>
      </c>
      <c r="I107" s="81">
        <f>extracto_banco_mes11[[#This Row],[NETO]]*0.21</f>
        <v>7381.5</v>
      </c>
      <c r="J107" s="81"/>
      <c r="K107" s="81"/>
      <c r="L107" s="81">
        <v>1020</v>
      </c>
      <c r="M107" s="81">
        <v>300</v>
      </c>
    </row>
    <row r="108" spans="2:19">
      <c r="D108" s="50">
        <v>45626</v>
      </c>
      <c r="E108" s="80">
        <v>54563335</v>
      </c>
      <c r="F108" s="80">
        <v>30571421352</v>
      </c>
      <c r="G108" s="80" t="s">
        <v>2169</v>
      </c>
      <c r="H108" s="577">
        <v>29707</v>
      </c>
      <c r="I108" s="577">
        <f>extracto_banco_mes11[[#This Row],[NETO]]*0.21</f>
        <v>6238.4699999999993</v>
      </c>
      <c r="J108" s="577"/>
      <c r="K108" s="577"/>
      <c r="L108" s="577">
        <v>1000</v>
      </c>
      <c r="M108" s="577"/>
    </row>
    <row r="109" spans="2:19">
      <c r="D109" s="574">
        <v>45624</v>
      </c>
      <c r="E109" s="575" t="s">
        <v>2348</v>
      </c>
      <c r="F109" s="576">
        <v>30571421352</v>
      </c>
      <c r="G109" s="576" t="s">
        <v>2349</v>
      </c>
      <c r="H109" s="577">
        <v>55834.69</v>
      </c>
      <c r="I109" s="577">
        <v>10763.45</v>
      </c>
      <c r="J109" s="577">
        <v>480.92</v>
      </c>
      <c r="K109" s="577">
        <v>100341.81</v>
      </c>
      <c r="L109" s="577">
        <v>755.51</v>
      </c>
      <c r="M109" s="577">
        <v>38.76</v>
      </c>
    </row>
    <row r="110" spans="2:19">
      <c r="D110" s="574">
        <v>45623</v>
      </c>
      <c r="E110" s="575" t="s">
        <v>2350</v>
      </c>
      <c r="F110" s="576">
        <v>30571421352</v>
      </c>
      <c r="G110" s="576" t="s">
        <v>2351</v>
      </c>
      <c r="H110" s="81">
        <v>2113.4299999999998</v>
      </c>
      <c r="I110" s="81">
        <f>extracto_banco_mes11[[#This Row],[NETO]]*0.21</f>
        <v>443.82029999999997</v>
      </c>
      <c r="J110" s="81"/>
      <c r="K110" s="81">
        <v>6551.64</v>
      </c>
      <c r="L110" s="81"/>
      <c r="M110" s="81"/>
    </row>
    <row r="111" spans="2:19">
      <c r="D111" s="50">
        <v>45624</v>
      </c>
      <c r="E111" s="80">
        <v>4622583</v>
      </c>
      <c r="F111" s="80">
        <v>30571421352</v>
      </c>
      <c r="G111" s="80" t="s">
        <v>2352</v>
      </c>
      <c r="H111" s="81">
        <v>234</v>
      </c>
      <c r="I111" s="81">
        <f>extracto_banco_mes11[[#This Row],[NETO]]*0.21</f>
        <v>49.14</v>
      </c>
      <c r="J111" s="81"/>
      <c r="K111" s="81">
        <v>317.92</v>
      </c>
      <c r="L111" s="81"/>
      <c r="M111" s="81"/>
    </row>
    <row r="112" spans="2:19">
      <c r="D112" s="578" t="s">
        <v>110</v>
      </c>
      <c r="E112" s="576"/>
      <c r="F112" s="576"/>
      <c r="G112" s="576"/>
      <c r="H112" s="579">
        <f>SUBTOTAL(109,extracto_banco_mes11[NETO])</f>
        <v>123039.12</v>
      </c>
      <c r="I112" s="579">
        <f>SUBTOTAL(109,extracto_banco_mes11[IVA 21%])</f>
        <v>24876.380299999997</v>
      </c>
      <c r="J112" s="579">
        <f>SUBTOTAL(109,extracto_banco_mes11[IVA 10,5%])</f>
        <v>480.92</v>
      </c>
      <c r="K112" s="579">
        <f>SUBTOTAL(109,extracto_banco_mes11[RET IIBB CABA])</f>
        <v>107211.37</v>
      </c>
      <c r="L112" s="579">
        <f>SUBTOTAL(109,extracto_banco_mes11[PERC IVA])</f>
        <v>2775.51</v>
      </c>
      <c r="M112" s="579">
        <f>SUBTOTAL(109,extracto_banco_mes11[PERC IIBB])</f>
        <v>338.76</v>
      </c>
    </row>
    <row r="116" spans="4:11" ht="21">
      <c r="D116" s="665" t="s">
        <v>25</v>
      </c>
      <c r="E116" s="665"/>
      <c r="F116" s="665"/>
      <c r="G116" s="665"/>
      <c r="H116" s="665"/>
      <c r="I116" s="665"/>
      <c r="J116" s="665"/>
      <c r="K116" s="665"/>
    </row>
    <row r="117" spans="4:11">
      <c r="D117" s="51" t="s">
        <v>0</v>
      </c>
      <c r="E117" s="51" t="s">
        <v>2</v>
      </c>
      <c r="F117" s="51" t="s">
        <v>74</v>
      </c>
      <c r="G117" s="51" t="s">
        <v>3</v>
      </c>
      <c r="H117" s="51" t="s">
        <v>4</v>
      </c>
      <c r="I117" s="52" t="s">
        <v>10</v>
      </c>
      <c r="J117" s="51" t="s">
        <v>13</v>
      </c>
      <c r="K117" s="51" t="s">
        <v>38</v>
      </c>
    </row>
    <row r="118" spans="4:11">
      <c r="D118" s="50">
        <v>45602</v>
      </c>
      <c r="E118" s="42">
        <v>1</v>
      </c>
      <c r="F118" s="43">
        <v>9</v>
      </c>
      <c r="G118" s="44">
        <v>27443612713</v>
      </c>
      <c r="H118" s="302" t="str">
        <f>IFERROR(IF(factura_c_mes11[[#This Row],[CUIT]]="","-",VLOOKUP(factura_c_mes11[[#This Row],[CUIT]],Lista_CUIT[#All],2,0)),"CUIT NO CARGADO")</f>
        <v>MIGOYA MORIONDO SOFIA</v>
      </c>
      <c r="I118" s="303">
        <v>850000</v>
      </c>
      <c r="J118" s="631" t="str">
        <f>IFERROR(IF(factura_c_mes11[[#This Row],[CUIT]]="","-",VLOOKUP(factura_c_mes11[[#This Row],[CUIT]],Lista_CUIT[#All],3,0)),"CUIT NO CARGADO")</f>
        <v>Alquiler</v>
      </c>
      <c r="K118" s="304">
        <f>IFERROR(IF(factura_c_mes11[[#This Row],[CUIT]]="","-",VLOOKUP(factura_c_mes11[[#This Row],[CUIT]],Lista_CUIT[#All],4,0)),"CUIT NO CARGADO")</f>
        <v>0</v>
      </c>
    </row>
    <row r="119" spans="4:11">
      <c r="D119" s="50">
        <v>45616</v>
      </c>
      <c r="E119" s="42">
        <v>1</v>
      </c>
      <c r="F119" s="43">
        <v>16</v>
      </c>
      <c r="G119" s="44">
        <v>27443612705</v>
      </c>
      <c r="H119" s="302" t="str">
        <f>IFERROR(IF(factura_c_mes11[[#This Row],[CUIT]]="","-",VLOOKUP(factura_c_mes11[[#This Row],[CUIT]],Lista_CUIT[#All],2,0)),"CUIT NO CARGADO")</f>
        <v>MIGOYA MORIONDO MARIA INES</v>
      </c>
      <c r="I119" s="303">
        <v>450000</v>
      </c>
      <c r="J119" s="631" t="str">
        <f>IFERROR(IF(factura_c_mes11[[#This Row],[CUIT]]="","-",VLOOKUP(factura_c_mes11[[#This Row],[CUIT]],Lista_CUIT[#All],3,0)),"CUIT NO CARGADO")</f>
        <v>ALQUILERES PAGADOS</v>
      </c>
      <c r="K119" s="304">
        <f>IFERROR(IF(factura_c_mes11[[#This Row],[CUIT]]="","-",VLOOKUP(factura_c_mes11[[#This Row],[CUIT]],Lista_CUIT[#All],4,0)),"CUIT NO CARGADO")</f>
        <v>0</v>
      </c>
    </row>
    <row r="120" spans="4:11">
      <c r="D120" s="50">
        <v>45621</v>
      </c>
      <c r="E120" s="42">
        <v>1</v>
      </c>
      <c r="F120" s="175">
        <v>17</v>
      </c>
      <c r="G120" s="118">
        <v>27443612705</v>
      </c>
      <c r="H120" s="53" t="str">
        <f>IFERROR(IF(factura_c_mes11[[#This Row],[CUIT]]="","-",VLOOKUP(factura_c_mes11[[#This Row],[CUIT]],Lista_CUIT[#All],2,0)),"CUIT NO CARGADO")</f>
        <v>MIGOYA MORIONDO MARIA INES</v>
      </c>
      <c r="I120" s="176">
        <v>450000</v>
      </c>
      <c r="J120" s="630" t="str">
        <f>IFERROR(IF(factura_c_mes11[[#This Row],[CUIT]]="","-",VLOOKUP(factura_c_mes11[[#This Row],[CUIT]],Lista_CUIT[#All],3,0)),"CUIT NO CARGADO")</f>
        <v>ALQUILERES PAGADOS</v>
      </c>
      <c r="K120" s="54">
        <f>IFERROR(IF(factura_c_mes11[[#This Row],[CUIT]]="","-",VLOOKUP(factura_c_mes11[[#This Row],[CUIT]],Lista_CUIT[#All],4,0)),"CUIT NO CARGADO")</f>
        <v>0</v>
      </c>
    </row>
    <row r="121" spans="4:11">
      <c r="D121" s="50">
        <v>45625</v>
      </c>
      <c r="E121" s="42">
        <v>5</v>
      </c>
      <c r="F121" s="175">
        <v>172</v>
      </c>
      <c r="G121" s="118">
        <v>27062343449</v>
      </c>
      <c r="H121" s="53" t="str">
        <f>IFERROR(IF(factura_c_mes11[[#This Row],[CUIT]]="","-",VLOOKUP(factura_c_mes11[[#This Row],[CUIT]],Lista_CUIT[#All],2,0)),"CUIT NO CARGADO")</f>
        <v>FERREIRS LILISNS INES</v>
      </c>
      <c r="I121" s="176">
        <v>250000</v>
      </c>
      <c r="J121" s="630" t="str">
        <f>IFERROR(IF(factura_c_mes11[[#This Row],[CUIT]]="","-",VLOOKUP(factura_c_mes11[[#This Row],[CUIT]],Lista_CUIT[#All],3,0)),"CUIT NO CARGADO")</f>
        <v>ALQUILERES PAGADOS</v>
      </c>
      <c r="K121" s="54">
        <f>IFERROR(IF(factura_c_mes11[[#This Row],[CUIT]]="","-",VLOOKUP(factura_c_mes11[[#This Row],[CUIT]],Lista_CUIT[#All],4,0)),"CUIT NO CARGADO")</f>
        <v>0</v>
      </c>
    </row>
    <row r="122" spans="4:11">
      <c r="D122" s="50">
        <v>45625</v>
      </c>
      <c r="E122" s="42">
        <v>5</v>
      </c>
      <c r="F122" s="175">
        <v>173</v>
      </c>
      <c r="G122" s="118">
        <v>27062343449</v>
      </c>
      <c r="H122" s="53" t="str">
        <f>IFERROR(IF(factura_c_mes11[[#This Row],[CUIT]]="","-",VLOOKUP(factura_c_mes11[[#This Row],[CUIT]],Lista_CUIT[#All],2,0)),"CUIT NO CARGADO")</f>
        <v>FERREIRS LILISNS INES</v>
      </c>
      <c r="I122" s="176">
        <v>100000</v>
      </c>
      <c r="J122" s="630" t="str">
        <f>IFERROR(IF(factura_c_mes11[[#This Row],[CUIT]]="","-",VLOOKUP(factura_c_mes11[[#This Row],[CUIT]],Lista_CUIT[#All],3,0)),"CUIT NO CARGADO")</f>
        <v>ALQUILERES PAGADOS</v>
      </c>
      <c r="K122" s="54">
        <f>IFERROR(IF(factura_c_mes11[[#This Row],[CUIT]]="","-",VLOOKUP(factura_c_mes11[[#This Row],[CUIT]],Lista_CUIT[#All],4,0)),"CUIT NO CARGADO")</f>
        <v>0</v>
      </c>
    </row>
    <row r="123" spans="4:11">
      <c r="D123" s="50">
        <v>45609</v>
      </c>
      <c r="E123" s="42">
        <v>2</v>
      </c>
      <c r="F123" s="43">
        <v>114</v>
      </c>
      <c r="G123" s="44">
        <v>27315710508</v>
      </c>
      <c r="H123" s="302" t="str">
        <f>IFERROR(IF(factura_c_mes11[[#This Row],[CUIT]]="","-",VLOOKUP(factura_c_mes11[[#This Row],[CUIT]],Lista_CUIT[#All],2,0)),"CUIT NO CARGADO")</f>
        <v>RIVERO GABRIELA ROCIO</v>
      </c>
      <c r="I123" s="303">
        <v>440000</v>
      </c>
      <c r="J123" s="631" t="str">
        <f>IFERROR(IF(factura_c_mes11[[#This Row],[CUIT]]="","-",VLOOKUP(factura_c_mes11[[#This Row],[CUIT]],Lista_CUIT[#All],3,0)),"CUIT NO CARGADO")</f>
        <v>Gasto Tecnico</v>
      </c>
      <c r="K123" s="304">
        <f>IFERROR(IF(factura_c_mes11[[#This Row],[CUIT]]="","-",VLOOKUP(factura_c_mes11[[#This Row],[CUIT]],Lista_CUIT[#All],4,0)),"CUIT NO CARGADO")</f>
        <v>0</v>
      </c>
    </row>
    <row r="124" spans="4:11">
      <c r="D124" s="50">
        <v>45610</v>
      </c>
      <c r="E124" s="42">
        <v>1</v>
      </c>
      <c r="F124" s="43">
        <v>1</v>
      </c>
      <c r="G124" s="44">
        <v>20236043631</v>
      </c>
      <c r="H124" s="302" t="str">
        <f>IFERROR(IF(factura_c_mes11[[#This Row],[CUIT]]="","-",VLOOKUP(factura_c_mes11[[#This Row],[CUIT]],Lista_CUIT[#All],2,0)),"CUIT NO CARGADO")</f>
        <v>RODRIGUEZ PATRICIO SALVADOR</v>
      </c>
      <c r="I124" s="303">
        <v>500000</v>
      </c>
      <c r="J124" s="631" t="str">
        <f>IFERROR(IF(factura_c_mes11[[#This Row],[CUIT]]="","-",VLOOKUP(factura_c_mes11[[#This Row],[CUIT]],Lista_CUIT[#All],3,0)),"CUIT NO CARGADO")</f>
        <v>GASTOS ADMINISTRATIVOS</v>
      </c>
      <c r="K124" s="304">
        <f>IFERROR(IF(factura_c_mes11[[#This Row],[CUIT]]="","-",VLOOKUP(factura_c_mes11[[#This Row],[CUIT]],Lista_CUIT[#All],4,0)),"CUIT NO CARGADO")</f>
        <v>0</v>
      </c>
    </row>
    <row r="125" spans="4:11">
      <c r="D125" s="50">
        <v>45600</v>
      </c>
      <c r="E125" s="42">
        <v>3</v>
      </c>
      <c r="F125" s="43">
        <v>9725</v>
      </c>
      <c r="G125" s="44">
        <v>20167634436</v>
      </c>
      <c r="H125" s="302" t="str">
        <f>IFERROR(IF(factura_c_mes11[[#This Row],[CUIT]]="","-",VLOOKUP(factura_c_mes11[[#This Row],[CUIT]],Lista_CUIT[#All],2,0)),"CUIT NO CARGADO")</f>
        <v>DEMARIA AUGUSTO CARLOS</v>
      </c>
      <c r="I125" s="303">
        <v>4570</v>
      </c>
      <c r="J125" s="631" t="str">
        <f>IFERROR(IF(factura_c_mes11[[#This Row],[CUIT]]="","-",VLOOKUP(factura_c_mes11[[#This Row],[CUIT]],Lista_CUIT[#All],3,0)),"CUIT NO CARGADO")</f>
        <v>Gastos Varios</v>
      </c>
      <c r="K125" s="304">
        <f>IFERROR(IF(factura_c_mes11[[#This Row],[CUIT]]="","-",VLOOKUP(factura_c_mes11[[#This Row],[CUIT]],Lista_CUIT[#All],4,0)),"CUIT NO CARGADO")</f>
        <v>0</v>
      </c>
    </row>
    <row r="126" spans="4:11">
      <c r="D126" s="50">
        <v>45616</v>
      </c>
      <c r="E126" s="42">
        <v>3</v>
      </c>
      <c r="F126" s="43">
        <v>2379</v>
      </c>
      <c r="G126" s="44">
        <v>20182999661</v>
      </c>
      <c r="H126" s="302" t="str">
        <f>IFERROR(IF(factura_c_mes11[[#This Row],[CUIT]]="","-",VLOOKUP(factura_c_mes11[[#This Row],[CUIT]],Lista_CUIT[#All],2,0)),"CUIT NO CARGADO")</f>
        <v>KLAINER ABEL JAVIER</v>
      </c>
      <c r="I126" s="303">
        <v>14000</v>
      </c>
      <c r="J126" s="631" t="str">
        <f>IFERROR(IF(factura_c_mes11[[#This Row],[CUIT]]="","-",VLOOKUP(factura_c_mes11[[#This Row],[CUIT]],Lista_CUIT[#All],3,0)),"CUIT NO CARGADO")</f>
        <v>Gastos Varios</v>
      </c>
      <c r="K126" s="304">
        <f>IFERROR(IF(factura_c_mes11[[#This Row],[CUIT]]="","-",VLOOKUP(factura_c_mes11[[#This Row],[CUIT]],Lista_CUIT[#All],4,0)),"CUIT NO CARGADO")</f>
        <v>0</v>
      </c>
    </row>
    <row r="127" spans="4:11">
      <c r="D127" s="50">
        <v>45600</v>
      </c>
      <c r="E127" s="42">
        <v>3</v>
      </c>
      <c r="F127" s="43">
        <v>893</v>
      </c>
      <c r="G127" s="44">
        <v>20086277523</v>
      </c>
      <c r="H127" s="302" t="str">
        <f>IFERROR(IF(factura_c_mes11[[#This Row],[CUIT]]="","-",VLOOKUP(factura_c_mes11[[#This Row],[CUIT]],Lista_CUIT[#All],2,0)),"CUIT NO CARGADO")</f>
        <v>BOTINDARI JUAN CARLOS</v>
      </c>
      <c r="I127" s="303">
        <v>275500</v>
      </c>
      <c r="J127" s="631" t="str">
        <f>IFERROR(IF(factura_c_mes11[[#This Row],[CUIT]]="","-",VLOOKUP(factura_c_mes11[[#This Row],[CUIT]],Lista_CUIT[#All],3,0)),"CUIT NO CARGADO")</f>
        <v>HONORARIOS</v>
      </c>
      <c r="K127" s="304">
        <f>IFERROR(IF(factura_c_mes11[[#This Row],[CUIT]]="","-",VLOOKUP(factura_c_mes11[[#This Row],[CUIT]],Lista_CUIT[#All],4,0)),"CUIT NO CARGADO")</f>
        <v>0</v>
      </c>
    </row>
    <row r="128" spans="4:11">
      <c r="D128" s="50">
        <v>45610</v>
      </c>
      <c r="E128" s="42">
        <v>3</v>
      </c>
      <c r="F128" s="43">
        <v>902</v>
      </c>
      <c r="G128" s="44">
        <v>20086277523</v>
      </c>
      <c r="H128" s="302" t="str">
        <f>IFERROR(IF(factura_c_mes11[[#This Row],[CUIT]]="","-",VLOOKUP(factura_c_mes11[[#This Row],[CUIT]],Lista_CUIT[#All],2,0)),"CUIT NO CARGADO")</f>
        <v>BOTINDARI JUAN CARLOS</v>
      </c>
      <c r="I128" s="303">
        <v>145000</v>
      </c>
      <c r="J128" s="631" t="str">
        <f>IFERROR(IF(factura_c_mes11[[#This Row],[CUIT]]="","-",VLOOKUP(factura_c_mes11[[#This Row],[CUIT]],Lista_CUIT[#All],3,0)),"CUIT NO CARGADO")</f>
        <v>HONORARIOS</v>
      </c>
      <c r="K128" s="304">
        <f>IFERROR(IF(factura_c_mes11[[#This Row],[CUIT]]="","-",VLOOKUP(factura_c_mes11[[#This Row],[CUIT]],Lista_CUIT[#All],4,0)),"CUIT NO CARGADO")</f>
        <v>0</v>
      </c>
    </row>
    <row r="129" spans="2:18">
      <c r="D129" s="50">
        <v>45608</v>
      </c>
      <c r="E129" s="42">
        <v>1</v>
      </c>
      <c r="F129" s="43">
        <v>74</v>
      </c>
      <c r="G129" s="44">
        <v>23281233084</v>
      </c>
      <c r="H129" s="302" t="str">
        <f>IFERROR(IF(factura_c_mes11[[#This Row],[CUIT]]="","-",VLOOKUP(factura_c_mes11[[#This Row],[CUIT]],Lista_CUIT[#All],2,0)),"CUIT NO CARGADO")</f>
        <v>DRUETTA ANDREA MARIEL</v>
      </c>
      <c r="I129" s="303">
        <v>240000</v>
      </c>
      <c r="J129" s="631" t="str">
        <f>IFERROR(IF(factura_c_mes11[[#This Row],[CUIT]]="","-",VLOOKUP(factura_c_mes11[[#This Row],[CUIT]],Lista_CUIT[#All],3,0)),"CUIT NO CARGADO")</f>
        <v>HONORARIOS TECNICOS</v>
      </c>
      <c r="K129" s="304">
        <f>IFERROR(IF(factura_c_mes11[[#This Row],[CUIT]]="","-",VLOOKUP(factura_c_mes11[[#This Row],[CUIT]],Lista_CUIT[#All],4,0)),"CUIT NO CARGADO")</f>
        <v>0</v>
      </c>
    </row>
    <row r="130" spans="2:18">
      <c r="D130" s="50">
        <v>45614</v>
      </c>
      <c r="E130" s="42">
        <v>1</v>
      </c>
      <c r="F130" s="43">
        <v>263</v>
      </c>
      <c r="G130" s="44">
        <v>27217606255</v>
      </c>
      <c r="H130" s="302" t="str">
        <f>IFERROR(IF(factura_c_mes11[[#This Row],[CUIT]]="","-",VLOOKUP(factura_c_mes11[[#This Row],[CUIT]],Lista_CUIT[#All],2,0)),"CUIT NO CARGADO")</f>
        <v>SAPUNA MARIAN KARINA</v>
      </c>
      <c r="I130" s="303">
        <v>85055.12</v>
      </c>
      <c r="J130" s="631" t="str">
        <f>IFERROR(IF(factura_c_mes11[[#This Row],[CUIT]]="","-",VLOOKUP(factura_c_mes11[[#This Row],[CUIT]],Lista_CUIT[#All],3,0)),"CUIT NO CARGADO")</f>
        <v>MANTENIMIENTO</v>
      </c>
      <c r="K130" s="304">
        <f>IFERROR(IF(factura_c_mes11[[#This Row],[CUIT]]="","-",VLOOKUP(factura_c_mes11[[#This Row],[CUIT]],Lista_CUIT[#All],4,0)),"CUIT NO CARGADO")</f>
        <v>0</v>
      </c>
    </row>
    <row r="131" spans="2:18">
      <c r="D131" s="50">
        <v>45615</v>
      </c>
      <c r="E131" s="42">
        <v>1</v>
      </c>
      <c r="F131" s="43">
        <v>264</v>
      </c>
      <c r="G131" s="44">
        <v>27217606255</v>
      </c>
      <c r="H131" s="302" t="str">
        <f>IFERROR(IF(factura_c_mes11[[#This Row],[CUIT]]="","-",VLOOKUP(factura_c_mes11[[#This Row],[CUIT]],Lista_CUIT[#All],2,0)),"CUIT NO CARGADO")</f>
        <v>SAPUNA MARIAN KARINA</v>
      </c>
      <c r="I131" s="303">
        <v>75334.539999999994</v>
      </c>
      <c r="J131" s="631" t="str">
        <f>IFERROR(IF(factura_c_mes11[[#This Row],[CUIT]]="","-",VLOOKUP(factura_c_mes11[[#This Row],[CUIT]],Lista_CUIT[#All],3,0)),"CUIT NO CARGADO")</f>
        <v>MANTENIMIENTO</v>
      </c>
      <c r="K131" s="304">
        <f>IFERROR(IF(factura_c_mes11[[#This Row],[CUIT]]="","-",VLOOKUP(factura_c_mes11[[#This Row],[CUIT]],Lista_CUIT[#All],4,0)),"CUIT NO CARGADO")</f>
        <v>0</v>
      </c>
    </row>
    <row r="132" spans="2:18">
      <c r="D132" s="50">
        <v>45616</v>
      </c>
      <c r="E132" s="42">
        <v>1</v>
      </c>
      <c r="F132" s="43">
        <v>266</v>
      </c>
      <c r="G132" s="44">
        <v>27217606255</v>
      </c>
      <c r="H132" s="302" t="str">
        <f>IFERROR(IF(factura_c_mes11[[#This Row],[CUIT]]="","-",VLOOKUP(factura_c_mes11[[#This Row],[CUIT]],Lista_CUIT[#All],2,0)),"CUIT NO CARGADO")</f>
        <v>SAPUNA MARIAN KARINA</v>
      </c>
      <c r="I132" s="303">
        <v>223375.02</v>
      </c>
      <c r="J132" s="631" t="str">
        <f>IFERROR(IF(factura_c_mes11[[#This Row],[CUIT]]="","-",VLOOKUP(factura_c_mes11[[#This Row],[CUIT]],Lista_CUIT[#All],3,0)),"CUIT NO CARGADO")</f>
        <v>MANTENIMIENTO</v>
      </c>
      <c r="K132" s="304">
        <f>IFERROR(IF(factura_c_mes11[[#This Row],[CUIT]]="","-",VLOOKUP(factura_c_mes11[[#This Row],[CUIT]],Lista_CUIT[#All],4,0)),"CUIT NO CARGADO")</f>
        <v>0</v>
      </c>
    </row>
    <row r="133" spans="2:18">
      <c r="D133" s="50">
        <v>45616</v>
      </c>
      <c r="E133" s="42">
        <v>1</v>
      </c>
      <c r="F133" s="43">
        <v>265</v>
      </c>
      <c r="G133" s="44">
        <v>27217606255</v>
      </c>
      <c r="H133" s="302" t="str">
        <f>IFERROR(IF(factura_c_mes11[[#This Row],[CUIT]]="","-",VLOOKUP(factura_c_mes11[[#This Row],[CUIT]],Lista_CUIT[#All],2,0)),"CUIT NO CARGADO")</f>
        <v>SAPUNA MARIAN KARINA</v>
      </c>
      <c r="I133" s="303">
        <v>82624.98</v>
      </c>
      <c r="J133" s="631" t="str">
        <f>IFERROR(IF(factura_c_mes11[[#This Row],[CUIT]]="","-",VLOOKUP(factura_c_mes11[[#This Row],[CUIT]],Lista_CUIT[#All],3,0)),"CUIT NO CARGADO")</f>
        <v>MANTENIMIENTO</v>
      </c>
      <c r="K133" s="304">
        <f>IFERROR(IF(factura_c_mes11[[#This Row],[CUIT]]="","-",VLOOKUP(factura_c_mes11[[#This Row],[CUIT]],Lista_CUIT[#All],4,0)),"CUIT NO CARGADO")</f>
        <v>0</v>
      </c>
    </row>
    <row r="134" spans="2:18">
      <c r="D134" s="50">
        <v>45617</v>
      </c>
      <c r="E134" s="42">
        <v>1</v>
      </c>
      <c r="F134" s="43">
        <v>267</v>
      </c>
      <c r="G134" s="44">
        <v>27217606255</v>
      </c>
      <c r="H134" s="53" t="str">
        <f>IFERROR(IF(factura_c_mes11[[#This Row],[CUIT]]="","-",VLOOKUP(factura_c_mes11[[#This Row],[CUIT]],Lista_CUIT[#All],2,0)),"CUIT NO CARGADO")</f>
        <v>SAPUNA MARIAN KARINA</v>
      </c>
      <c r="I134" s="81">
        <v>144536.78</v>
      </c>
      <c r="J134" s="630" t="str">
        <f>IFERROR(IF(factura_c_mes11[[#This Row],[CUIT]]="","-",VLOOKUP(factura_c_mes11[[#This Row],[CUIT]],Lista_CUIT[#All],3,0)),"CUIT NO CARGADO")</f>
        <v>MANTENIMIENTO</v>
      </c>
      <c r="K134" s="54">
        <f>IFERROR(IF(factura_c_mes11[[#This Row],[CUIT]]="","-",VLOOKUP(factura_c_mes11[[#This Row],[CUIT]],Lista_CUIT[#All],4,0)),"CUIT NO CARGADO")</f>
        <v>0</v>
      </c>
    </row>
    <row r="135" spans="2:18">
      <c r="D135" s="50">
        <v>45618</v>
      </c>
      <c r="E135" s="42">
        <v>1</v>
      </c>
      <c r="F135" s="43">
        <v>268</v>
      </c>
      <c r="G135" s="44">
        <v>27217606255</v>
      </c>
      <c r="H135" s="53" t="str">
        <f>IFERROR(IF(factura_c_mes11[[#This Row],[CUIT]]="","-",VLOOKUP(factura_c_mes11[[#This Row],[CUIT]],Lista_CUIT[#All],2,0)),"CUIT NO CARGADO")</f>
        <v>SAPUNA MARIAN KARINA</v>
      </c>
      <c r="I135" s="81">
        <v>157676.49</v>
      </c>
      <c r="J135" s="630" t="str">
        <f>IFERROR(IF(factura_c_mes11[[#This Row],[CUIT]]="","-",VLOOKUP(factura_c_mes11[[#This Row],[CUIT]],Lista_CUIT[#All],3,0)),"CUIT NO CARGADO")</f>
        <v>MANTENIMIENTO</v>
      </c>
      <c r="K135" s="54">
        <f>IFERROR(IF(factura_c_mes11[[#This Row],[CUIT]]="","-",VLOOKUP(factura_c_mes11[[#This Row],[CUIT]],Lista_CUIT[#All],4,0)),"CUIT NO CARGADO")</f>
        <v>0</v>
      </c>
    </row>
    <row r="136" spans="2:18">
      <c r="D136" s="50">
        <v>45618</v>
      </c>
      <c r="E136" s="42">
        <v>1</v>
      </c>
      <c r="F136" s="175">
        <v>269</v>
      </c>
      <c r="G136" s="118">
        <v>27217606255</v>
      </c>
      <c r="H136" s="53" t="str">
        <f>IFERROR(IF(factura_c_mes11[[#This Row],[CUIT]]="","-",VLOOKUP(factura_c_mes11[[#This Row],[CUIT]],Lista_CUIT[#All],2,0)),"CUIT NO CARGADO")</f>
        <v>SAPUNA MARIAN KARINA</v>
      </c>
      <c r="I136" s="176">
        <v>131397.07</v>
      </c>
      <c r="J136" s="630" t="str">
        <f>IFERROR(IF(factura_c_mes11[[#This Row],[CUIT]]="","-",VLOOKUP(factura_c_mes11[[#This Row],[CUIT]],Lista_CUIT[#All],3,0)),"CUIT NO CARGADO")</f>
        <v>MANTENIMIENTO</v>
      </c>
      <c r="K136" s="54">
        <f>IFERROR(IF(factura_c_mes11[[#This Row],[CUIT]]="","-",VLOOKUP(factura_c_mes11[[#This Row],[CUIT]],Lista_CUIT[#All],4,0)),"CUIT NO CARGADO")</f>
        <v>0</v>
      </c>
    </row>
    <row r="137" spans="2:18">
      <c r="D137" s="50">
        <v>45603</v>
      </c>
      <c r="E137" s="42">
        <v>2</v>
      </c>
      <c r="F137" s="43">
        <v>514</v>
      </c>
      <c r="G137" s="44">
        <v>27299725761</v>
      </c>
      <c r="H137" s="302" t="str">
        <f>IFERROR(IF(factura_c_mes11[[#This Row],[CUIT]]="","-",VLOOKUP(factura_c_mes11[[#This Row],[CUIT]],Lista_CUIT[#All],2,0)),"CUIT NO CARGADO")</f>
        <v>TURSARKISIAN MISISIAN VERONICA GEMA</v>
      </c>
      <c r="I137" s="303">
        <v>460000</v>
      </c>
      <c r="J137" s="631" t="str">
        <f>IFERROR(IF(factura_c_mes11[[#This Row],[CUIT]]="","-",VLOOKUP(factura_c_mes11[[#This Row],[CUIT]],Lista_CUIT[#All],3,0)),"CUIT NO CARGADO")</f>
        <v>Productos Ortopedicos</v>
      </c>
      <c r="K137" s="304">
        <f>IFERROR(IF(factura_c_mes11[[#This Row],[CUIT]]="","-",VLOOKUP(factura_c_mes11[[#This Row],[CUIT]],Lista_CUIT[#All],4,0)),"CUIT NO CARGADO")</f>
        <v>0</v>
      </c>
    </row>
    <row r="138" spans="2:18">
      <c r="D138" s="50">
        <v>45617</v>
      </c>
      <c r="E138" s="42">
        <v>2</v>
      </c>
      <c r="F138" s="43">
        <v>515</v>
      </c>
      <c r="G138" s="44">
        <v>27299725761</v>
      </c>
      <c r="H138" s="302" t="str">
        <f>IFERROR(IF(factura_c_mes11[[#This Row],[CUIT]]="","-",VLOOKUP(factura_c_mes11[[#This Row],[CUIT]],Lista_CUIT[#All],2,0)),"CUIT NO CARGADO")</f>
        <v>TURSARKISIAN MISISIAN VERONICA GEMA</v>
      </c>
      <c r="I138" s="303">
        <v>570000</v>
      </c>
      <c r="J138" s="631" t="str">
        <f>IFERROR(IF(factura_c_mes11[[#This Row],[CUIT]]="","-",VLOOKUP(factura_c_mes11[[#This Row],[CUIT]],Lista_CUIT[#All],3,0)),"CUIT NO CARGADO")</f>
        <v>Productos Ortopedicos</v>
      </c>
      <c r="K138" s="304">
        <f>IFERROR(IF(factura_c_mes11[[#This Row],[CUIT]]="","-",VLOOKUP(factura_c_mes11[[#This Row],[CUIT]],Lista_CUIT[#All],4,0)),"CUIT NO CARGADO")</f>
        <v>0</v>
      </c>
    </row>
    <row r="139" spans="2:18">
      <c r="B139" s="56"/>
      <c r="C139" s="56"/>
      <c r="D139" s="50">
        <v>45597</v>
      </c>
      <c r="E139" s="42">
        <v>3</v>
      </c>
      <c r="F139" s="43">
        <v>1010</v>
      </c>
      <c r="G139" s="44">
        <v>20216451679</v>
      </c>
      <c r="H139" s="53" t="str">
        <f>IFERROR(IF(factura_c_mes11[[#This Row],[CUIT]]="","-",VLOOKUP(factura_c_mes11[[#This Row],[CUIT]],Lista_CUIT[#All],2,0)),"CUIT NO CARGADO")</f>
        <v>VAZQUEZ RICARDO OSCAR</v>
      </c>
      <c r="I139" s="81">
        <v>400000</v>
      </c>
      <c r="J139" s="630" t="str">
        <f>IFERROR(IF(factura_c_mes11[[#This Row],[CUIT]]="","-",VLOOKUP(factura_c_mes11[[#This Row],[CUIT]],Lista_CUIT[#All],3,0)),"CUIT NO CARGADO")</f>
        <v>Productos Ortopedicos</v>
      </c>
      <c r="K139" s="54">
        <f>IFERROR(IF(factura_c_mes11[[#This Row],[CUIT]]="","-",VLOOKUP(factura_c_mes11[[#This Row],[CUIT]],Lista_CUIT[#All],4,0)),"CUIT NO CARGADO")</f>
        <v>0</v>
      </c>
      <c r="L139" s="56"/>
      <c r="M139" s="56"/>
      <c r="N139" s="56"/>
      <c r="O139" s="56"/>
      <c r="P139" s="56"/>
      <c r="Q139" s="56"/>
      <c r="R139" s="56"/>
    </row>
    <row r="140" spans="2:18">
      <c r="D140" s="50">
        <v>45600</v>
      </c>
      <c r="E140" s="42">
        <v>2</v>
      </c>
      <c r="F140" s="43">
        <v>313</v>
      </c>
      <c r="G140" s="44">
        <v>27265832178</v>
      </c>
      <c r="H140" s="302" t="str">
        <f>IFERROR(IF(factura_c_mes11[[#This Row],[CUIT]]="","-",VLOOKUP(factura_c_mes11[[#This Row],[CUIT]],Lista_CUIT[#All],2,0)),"CUIT NO CARGADO")</f>
        <v>BLASCO MARIA GUADALUPE</v>
      </c>
      <c r="I140" s="303">
        <v>3200000</v>
      </c>
      <c r="J140" s="631" t="str">
        <f>IFERROR(IF(factura_c_mes11[[#This Row],[CUIT]]="","-",VLOOKUP(factura_c_mes11[[#This Row],[CUIT]],Lista_CUIT[#All],3,0)),"CUIT NO CARGADO")</f>
        <v>Productos Ortopedicos</v>
      </c>
      <c r="K140" s="304">
        <f>IFERROR(IF(factura_c_mes11[[#This Row],[CUIT]]="","-",VLOOKUP(factura_c_mes11[[#This Row],[CUIT]],Lista_CUIT[#All],4,0)),"CUIT NO CARGADO")</f>
        <v>0</v>
      </c>
    </row>
    <row r="141" spans="2:18">
      <c r="D141" s="50">
        <v>45616</v>
      </c>
      <c r="E141" s="42">
        <v>1</v>
      </c>
      <c r="F141" s="43">
        <v>15</v>
      </c>
      <c r="G141" s="44">
        <v>20464199633</v>
      </c>
      <c r="H141" s="302" t="str">
        <f>IFERROR(IF(factura_c_mes11[[#This Row],[CUIT]]="","-",VLOOKUP(factura_c_mes11[[#This Row],[CUIT]],Lista_CUIT[#All],2,0)),"CUIT NO CARGADO")</f>
        <v>OVIEDO JIMENEZ TIZIANO LIONEL</v>
      </c>
      <c r="I141" s="303">
        <v>759750</v>
      </c>
      <c r="J141" s="631" t="str">
        <f>IFERROR(IF(factura_c_mes11[[#This Row],[CUIT]]="","-",VLOOKUP(factura_c_mes11[[#This Row],[CUIT]],Lista_CUIT[#All],3,0)),"CUIT NO CARGADO")</f>
        <v>Productos Ortopedicos</v>
      </c>
      <c r="K141" s="304">
        <f>IFERROR(IF(factura_c_mes11[[#This Row],[CUIT]]="","-",VLOOKUP(factura_c_mes11[[#This Row],[CUIT]],Lista_CUIT[#All],4,0)),"CUIT NO CARGADO")</f>
        <v>0</v>
      </c>
    </row>
    <row r="142" spans="2:18">
      <c r="D142" s="50">
        <v>45618</v>
      </c>
      <c r="E142" s="42">
        <v>1</v>
      </c>
      <c r="F142" s="175">
        <v>158</v>
      </c>
      <c r="G142" s="118">
        <v>27338342840</v>
      </c>
      <c r="H142" s="53" t="str">
        <f>IFERROR(IF(factura_c_mes11[[#This Row],[CUIT]]="","-",VLOOKUP(factura_c_mes11[[#This Row],[CUIT]],Lista_CUIT[#All],2,0)),"CUIT NO CARGADO")</f>
        <v>CANCINO PAMELA RITA</v>
      </c>
      <c r="I142" s="176">
        <v>223271</v>
      </c>
      <c r="J142" s="630" t="str">
        <f>IFERROR(IF(factura_c_mes11[[#This Row],[CUIT]]="","-",VLOOKUP(factura_c_mes11[[#This Row],[CUIT]],Lista_CUIT[#All],3,0)),"CUIT NO CARGADO")</f>
        <v>Productos Ortopedicos</v>
      </c>
      <c r="K142" s="54">
        <f>IFERROR(IF(factura_c_mes11[[#This Row],[CUIT]]="","-",VLOOKUP(factura_c_mes11[[#This Row],[CUIT]],Lista_CUIT[#All],4,0)),"CUIT NO CARGADO")</f>
        <v>0</v>
      </c>
    </row>
    <row r="143" spans="2:18">
      <c r="D143" s="55" t="s">
        <v>110</v>
      </c>
      <c r="E143" s="55"/>
      <c r="F143" s="55"/>
      <c r="G143" s="55"/>
      <c r="H143" s="57"/>
      <c r="I143" s="58">
        <f>SUBTOTAL(109,factura_c_mes11[TOTAL])</f>
        <v>10232091</v>
      </c>
      <c r="J143" s="55"/>
      <c r="K143" s="55"/>
    </row>
    <row r="144" spans="2:18" ht="26.25">
      <c r="B144" s="673" t="s">
        <v>29</v>
      </c>
      <c r="C144" s="673"/>
      <c r="D144" s="673"/>
      <c r="E144" s="673"/>
      <c r="F144" s="673"/>
      <c r="G144" s="673"/>
      <c r="H144" s="673"/>
      <c r="I144" s="673"/>
      <c r="J144" s="673"/>
      <c r="K144" s="669">
        <f>N1</f>
        <v>45597</v>
      </c>
      <c r="L144" s="669"/>
      <c r="M144" s="669"/>
    </row>
    <row r="146" spans="2:13" ht="21">
      <c r="B146" s="666" t="s">
        <v>30</v>
      </c>
      <c r="C146" s="666"/>
    </row>
    <row r="147" spans="2:13" ht="31.5">
      <c r="B147" s="60" t="s">
        <v>0</v>
      </c>
      <c r="C147" s="61" t="s">
        <v>1</v>
      </c>
      <c r="D147" s="61" t="s">
        <v>21</v>
      </c>
      <c r="E147" s="61" t="s">
        <v>22</v>
      </c>
      <c r="F147" s="61" t="s">
        <v>3</v>
      </c>
      <c r="G147" s="61" t="s">
        <v>4</v>
      </c>
      <c r="H147" s="61" t="s">
        <v>23</v>
      </c>
      <c r="I147" s="61" t="s">
        <v>17</v>
      </c>
      <c r="J147" s="61" t="s">
        <v>7</v>
      </c>
      <c r="K147" s="61" t="s">
        <v>24</v>
      </c>
      <c r="L147" s="61" t="s">
        <v>10</v>
      </c>
      <c r="M147" s="62" t="s">
        <v>38</v>
      </c>
    </row>
    <row r="148" spans="2:13">
      <c r="B148" s="40"/>
      <c r="C148" s="41"/>
      <c r="D148" s="42"/>
      <c r="E148" s="43"/>
      <c r="F148" s="44"/>
      <c r="G148" s="98" t="str">
        <f>IFERROR(IF(venta_a_mes11[[#This Row],[CUIT]]="","-",VLOOKUP(venta_a_mes11[[#This Row],[CUIT]],Lista_CUIT[#All],2,0)),"CUIT NO CARGADO")</f>
        <v>-</v>
      </c>
      <c r="H148" s="99"/>
      <c r="I148" s="100">
        <f>venta_a_mes11[[#This Row],[IMPORTE NETO]]*0.21</f>
        <v>0</v>
      </c>
      <c r="J148" s="65"/>
      <c r="K148" s="65"/>
      <c r="L148" s="65">
        <f>SUM(venta_a_mes11[[#This Row],[IMPORTE NETO]:[EXENTO]])</f>
        <v>0</v>
      </c>
      <c r="M148" s="59"/>
    </row>
    <row r="149" spans="2:13">
      <c r="B149" s="316"/>
      <c r="C149" s="41"/>
      <c r="D149" s="317"/>
      <c r="E149" s="318"/>
      <c r="F149" s="319"/>
      <c r="G149" s="320" t="str">
        <f>IFERROR(IF(venta_a_mes11[[#This Row],[CUIT]]="","-",VLOOKUP(venta_a_mes11[[#This Row],[CUIT]],Lista_CUIT[#All],2,0)),"CUIT NO CARGADO")</f>
        <v>-</v>
      </c>
      <c r="H149" s="99"/>
      <c r="I149" s="321">
        <f>venta_a_mes11[[#This Row],[IMPORTE NETO]]*0.21</f>
        <v>0</v>
      </c>
      <c r="J149" s="322"/>
      <c r="K149" s="322"/>
      <c r="L149" s="322">
        <f>SUM(venta_a_mes11[[#This Row],[IMPORTE NETO]:[EXENTO]])</f>
        <v>0</v>
      </c>
      <c r="M149" s="315"/>
    </row>
    <row r="150" spans="2:13">
      <c r="B150" s="316"/>
      <c r="C150" s="41"/>
      <c r="D150" s="317"/>
      <c r="E150" s="318"/>
      <c r="F150" s="319"/>
      <c r="G150" s="320" t="str">
        <f>IFERROR(IF(venta_a_mes11[[#This Row],[CUIT]]="","-",VLOOKUP(venta_a_mes11[[#This Row],[CUIT]],Lista_CUIT[#All],2,0)),"CUIT NO CARGADO")</f>
        <v>-</v>
      </c>
      <c r="H150" s="99"/>
      <c r="I150" s="321">
        <f>venta_a_mes11[[#This Row],[IMPORTE NETO]]*0.21</f>
        <v>0</v>
      </c>
      <c r="J150" s="322"/>
      <c r="K150" s="322"/>
      <c r="L150" s="322">
        <f>SUM(venta_a_mes11[[#This Row],[IMPORTE NETO]:[EXENTO]])</f>
        <v>0</v>
      </c>
      <c r="M150" s="315"/>
    </row>
    <row r="151" spans="2:13">
      <c r="B151" s="316"/>
      <c r="C151" s="41"/>
      <c r="D151" s="317"/>
      <c r="E151" s="318"/>
      <c r="F151" s="319"/>
      <c r="G151" s="320" t="str">
        <f>IFERROR(IF(venta_a_mes11[[#This Row],[CUIT]]="","-",VLOOKUP(venta_a_mes11[[#This Row],[CUIT]],Lista_CUIT[#All],2,0)),"CUIT NO CARGADO")</f>
        <v>-</v>
      </c>
      <c r="H151" s="99"/>
      <c r="I151" s="321">
        <f>venta_a_mes11[[#This Row],[IMPORTE NETO]]*0.21</f>
        <v>0</v>
      </c>
      <c r="J151" s="322"/>
      <c r="K151" s="322"/>
      <c r="L151" s="322">
        <f>SUM(venta_a_mes11[[#This Row],[IMPORTE NETO]:[EXENTO]])</f>
        <v>0</v>
      </c>
      <c r="M151" s="315"/>
    </row>
    <row r="152" spans="2:13">
      <c r="B152" s="316"/>
      <c r="C152" s="41"/>
      <c r="D152" s="317"/>
      <c r="E152" s="318"/>
      <c r="F152" s="319"/>
      <c r="G152" s="320" t="str">
        <f>IFERROR(IF(venta_a_mes11[[#This Row],[CUIT]]="","-",VLOOKUP(venta_a_mes11[[#This Row],[CUIT]],Lista_CUIT[#All],2,0)),"CUIT NO CARGADO")</f>
        <v>-</v>
      </c>
      <c r="H152" s="99"/>
      <c r="I152" s="321">
        <f>venta_a_mes11[[#This Row],[IMPORTE NETO]]*0.21</f>
        <v>0</v>
      </c>
      <c r="J152" s="322"/>
      <c r="K152" s="322"/>
      <c r="L152" s="322">
        <f>SUM(venta_a_mes11[[#This Row],[IMPORTE NETO]:[EXENTO]])</f>
        <v>0</v>
      </c>
      <c r="M152" s="315"/>
    </row>
    <row r="153" spans="2:13">
      <c r="B153" s="108"/>
      <c r="C153" s="109"/>
      <c r="D153" s="110"/>
      <c r="E153" s="111"/>
      <c r="F153" s="112"/>
      <c r="G153" s="98" t="str">
        <f>IFERROR(IF(venta_a_mes11[[#This Row],[CUIT]]="","-",VLOOKUP(venta_a_mes11[[#This Row],[CUIT]],Lista_CUIT[#All],2,0)),"CUIT NO CARGADO")</f>
        <v>-</v>
      </c>
      <c r="H153" s="99"/>
      <c r="I153" s="100">
        <f>venta_a_mes11[[#This Row],[IMPORTE NETO]]*0.21</f>
        <v>0</v>
      </c>
      <c r="J153" s="65"/>
      <c r="K153" s="65"/>
      <c r="L153" s="65">
        <f>SUM(venta_a_mes11[[#This Row],[IMPORTE NETO]:[EXENTO]])</f>
        <v>0</v>
      </c>
      <c r="M153" s="59"/>
    </row>
    <row r="154" spans="2:13">
      <c r="B154" s="66" t="s">
        <v>110</v>
      </c>
      <c r="C154" s="67"/>
      <c r="D154" s="67"/>
      <c r="E154" s="67"/>
      <c r="F154" s="67"/>
      <c r="G154" s="67"/>
      <c r="H154" s="69">
        <f>SUBTOTAL(109,venta_a_mes11[IMPORTE NETO])</f>
        <v>0</v>
      </c>
      <c r="I154" s="70">
        <f>SUBTOTAL(109,venta_a_mes11[IVA 21%])</f>
        <v>0</v>
      </c>
      <c r="J154" s="71">
        <f>SUBTOTAL(109,venta_a_mes11[IVA 10,5%])</f>
        <v>0</v>
      </c>
      <c r="K154" s="71">
        <f>SUBTOTAL(109,venta_a_mes11[EXENTO])</f>
        <v>0</v>
      </c>
      <c r="L154" s="71">
        <f>SUBTOTAL(109,venta_a_mes11[TOTAL])</f>
        <v>0</v>
      </c>
      <c r="M154" s="68">
        <f>SUBTOTAL(103,venta_a_mes11[Provincia])</f>
        <v>0</v>
      </c>
    </row>
    <row r="157" spans="2:13" ht="21">
      <c r="B157" s="666" t="s">
        <v>31</v>
      </c>
      <c r="C157" s="666"/>
    </row>
    <row r="158" spans="2:13" ht="31.5">
      <c r="B158" s="60" t="s">
        <v>0</v>
      </c>
      <c r="C158" s="61" t="s">
        <v>1</v>
      </c>
      <c r="D158" s="61" t="s">
        <v>21</v>
      </c>
      <c r="E158" s="61" t="s">
        <v>22</v>
      </c>
      <c r="F158" s="61" t="s">
        <v>3</v>
      </c>
      <c r="G158" s="61" t="s">
        <v>4</v>
      </c>
      <c r="H158" s="61" t="s">
        <v>23</v>
      </c>
      <c r="I158" s="61" t="s">
        <v>17</v>
      </c>
      <c r="J158" s="61" t="s">
        <v>7</v>
      </c>
      <c r="K158" s="61" t="s">
        <v>24</v>
      </c>
      <c r="L158" s="61" t="s">
        <v>10</v>
      </c>
      <c r="M158" s="62" t="s">
        <v>38</v>
      </c>
    </row>
    <row r="159" spans="2:13">
      <c r="B159" s="40"/>
      <c r="C159" s="41"/>
      <c r="D159" s="42"/>
      <c r="E159" s="43"/>
      <c r="F159" s="44"/>
      <c r="G159" s="1" t="str">
        <f>IFERROR(IF(ventas_b_mes11[[#This Row],[CUIT]]="","-",VLOOKUP(ventas_b_mes11[[#This Row],[CUIT]],Lista_CUIT[#All],2,0)),"CUIT NO CARGADO")</f>
        <v>-</v>
      </c>
      <c r="H159" s="64"/>
      <c r="I159" s="64"/>
      <c r="J159" s="64"/>
      <c r="K159" s="64"/>
      <c r="L159" s="64">
        <f>SUM(ventas_b_mes11[[#This Row],[IMPORTE NETO]:[EXENTO]])</f>
        <v>0</v>
      </c>
      <c r="M159" s="59"/>
    </row>
    <row r="160" spans="2:13">
      <c r="B160" s="306"/>
      <c r="C160" s="41"/>
      <c r="D160" s="308"/>
      <c r="E160" s="309"/>
      <c r="F160" s="310"/>
      <c r="G160" s="311" t="str">
        <f>IFERROR(IF(ventas_b_mes11[[#This Row],[CUIT]]="","-",VLOOKUP(ventas_b_mes11[[#This Row],[CUIT]],Lista_CUIT[#All],2,0)),"CUIT NO CARGADO")</f>
        <v>-</v>
      </c>
      <c r="H160" s="312"/>
      <c r="I160" s="313"/>
      <c r="J160" s="314"/>
      <c r="K160" s="314"/>
      <c r="L160" s="314">
        <f>SUM(ventas_b_mes11[[#This Row],[IMPORTE NETO]:[EXENTO]])</f>
        <v>0</v>
      </c>
      <c r="M160" s="315"/>
    </row>
    <row r="161" spans="2:13">
      <c r="B161" s="306"/>
      <c r="C161" s="41"/>
      <c r="D161" s="308"/>
      <c r="E161" s="309"/>
      <c r="F161" s="310"/>
      <c r="G161" s="311" t="str">
        <f>IFERROR(IF(ventas_b_mes11[[#This Row],[CUIT]]="","-",VLOOKUP(ventas_b_mes11[[#This Row],[CUIT]],Lista_CUIT[#All],2,0)),"CUIT NO CARGADO")</f>
        <v>-</v>
      </c>
      <c r="H161" s="312"/>
      <c r="I161" s="313"/>
      <c r="J161" s="314"/>
      <c r="K161" s="314"/>
      <c r="L161" s="314">
        <f>SUM(ventas_b_mes11[[#This Row],[IMPORTE NETO]:[EXENTO]])</f>
        <v>0</v>
      </c>
      <c r="M161" s="315"/>
    </row>
    <row r="162" spans="2:13">
      <c r="B162" s="306"/>
      <c r="C162" s="41"/>
      <c r="D162" s="308"/>
      <c r="E162" s="309"/>
      <c r="F162" s="310"/>
      <c r="G162" s="311" t="str">
        <f>IFERROR(IF(ventas_b_mes11[[#This Row],[CUIT]]="","-",VLOOKUP(ventas_b_mes11[[#This Row],[CUIT]],Lista_CUIT[#All],2,0)),"CUIT NO CARGADO")</f>
        <v>-</v>
      </c>
      <c r="H162" s="312"/>
      <c r="I162" s="313"/>
      <c r="J162" s="314"/>
      <c r="K162" s="314"/>
      <c r="L162" s="314">
        <f>SUM(ventas_b_mes11[[#This Row],[IMPORTE NETO]:[EXENTO]])</f>
        <v>0</v>
      </c>
      <c r="M162" s="315"/>
    </row>
    <row r="163" spans="2:13">
      <c r="B163" s="306"/>
      <c r="C163" s="41"/>
      <c r="D163" s="308"/>
      <c r="E163" s="309"/>
      <c r="F163" s="310"/>
      <c r="G163" s="311" t="str">
        <f>IFERROR(IF(ventas_b_mes11[[#This Row],[CUIT]]="","-",VLOOKUP(ventas_b_mes11[[#This Row],[CUIT]],Lista_CUIT[#All],2,0)),"CUIT NO CARGADO")</f>
        <v>-</v>
      </c>
      <c r="H163" s="312"/>
      <c r="I163" s="313"/>
      <c r="J163" s="314"/>
      <c r="K163" s="314"/>
      <c r="L163" s="314">
        <f>SUM(ventas_b_mes11[[#This Row],[IMPORTE NETO]:[EXENTO]])</f>
        <v>0</v>
      </c>
      <c r="M163" s="315"/>
    </row>
    <row r="164" spans="2:13">
      <c r="B164" s="306"/>
      <c r="C164" s="41"/>
      <c r="D164" s="308"/>
      <c r="E164" s="309"/>
      <c r="F164" s="310"/>
      <c r="G164" s="311" t="str">
        <f>IFERROR(IF(ventas_b_mes11[[#This Row],[CUIT]]="","-",VLOOKUP(ventas_b_mes11[[#This Row],[CUIT]],Lista_CUIT[#All],2,0)),"CUIT NO CARGADO")</f>
        <v>-</v>
      </c>
      <c r="H164" s="312"/>
      <c r="I164" s="313"/>
      <c r="J164" s="314"/>
      <c r="K164" s="314"/>
      <c r="L164" s="314">
        <f>SUM(ventas_b_mes11[[#This Row],[IMPORTE NETO]:[EXENTO]])</f>
        <v>0</v>
      </c>
      <c r="M164" s="315"/>
    </row>
    <row r="165" spans="2:13">
      <c r="B165" s="306"/>
      <c r="C165" s="41"/>
      <c r="D165" s="308"/>
      <c r="E165" s="309"/>
      <c r="F165" s="310"/>
      <c r="G165" s="311" t="str">
        <f>IFERROR(IF(ventas_b_mes11[[#This Row],[CUIT]]="","-",VLOOKUP(ventas_b_mes11[[#This Row],[CUIT]],Lista_CUIT[#All],2,0)),"CUIT NO CARGADO")</f>
        <v>-</v>
      </c>
      <c r="H165" s="312"/>
      <c r="I165" s="313"/>
      <c r="J165" s="314"/>
      <c r="K165" s="314"/>
      <c r="L165" s="314">
        <f>SUM(ventas_b_mes11[[#This Row],[IMPORTE NETO]:[EXENTO]])</f>
        <v>0</v>
      </c>
      <c r="M165" s="315"/>
    </row>
    <row r="166" spans="2:13">
      <c r="B166" s="306"/>
      <c r="C166" s="41"/>
      <c r="D166" s="308"/>
      <c r="E166" s="309"/>
      <c r="F166" s="310"/>
      <c r="G166" s="311" t="str">
        <f>IFERROR(IF(ventas_b_mes11[[#This Row],[CUIT]]="","-",VLOOKUP(ventas_b_mes11[[#This Row],[CUIT]],Lista_CUIT[#All],2,0)),"CUIT NO CARGADO")</f>
        <v>-</v>
      </c>
      <c r="H166" s="312"/>
      <c r="I166" s="313"/>
      <c r="J166" s="314"/>
      <c r="K166" s="314"/>
      <c r="L166" s="314">
        <f>SUM(ventas_b_mes11[[#This Row],[IMPORTE NETO]:[EXENTO]])</f>
        <v>0</v>
      </c>
      <c r="M166" s="315"/>
    </row>
    <row r="167" spans="2:13">
      <c r="B167" s="306"/>
      <c r="C167" s="41"/>
      <c r="D167" s="308"/>
      <c r="E167" s="309"/>
      <c r="F167" s="310"/>
      <c r="G167" s="311" t="str">
        <f>IFERROR(IF(ventas_b_mes11[[#This Row],[CUIT]]="","-",VLOOKUP(ventas_b_mes11[[#This Row],[CUIT]],Lista_CUIT[#All],2,0)),"CUIT NO CARGADO")</f>
        <v>-</v>
      </c>
      <c r="H167" s="312"/>
      <c r="I167" s="313"/>
      <c r="J167" s="314"/>
      <c r="K167" s="314"/>
      <c r="L167" s="314">
        <f>SUM(ventas_b_mes11[[#This Row],[IMPORTE NETO]:[EXENTO]])</f>
        <v>0</v>
      </c>
      <c r="M167" s="315"/>
    </row>
    <row r="168" spans="2:13">
      <c r="B168" s="306"/>
      <c r="C168" s="41"/>
      <c r="D168" s="308"/>
      <c r="E168" s="309"/>
      <c r="F168" s="310"/>
      <c r="G168" s="311" t="str">
        <f>IFERROR(IF(ventas_b_mes11[[#This Row],[CUIT]]="","-",VLOOKUP(ventas_b_mes11[[#This Row],[CUIT]],Lista_CUIT[#All],2,0)),"CUIT NO CARGADO")</f>
        <v>-</v>
      </c>
      <c r="H168" s="312"/>
      <c r="I168" s="313"/>
      <c r="J168" s="314"/>
      <c r="K168" s="314"/>
      <c r="L168" s="314">
        <f>SUM(ventas_b_mes11[[#This Row],[IMPORTE NETO]:[EXENTO]])</f>
        <v>0</v>
      </c>
      <c r="M168" s="315"/>
    </row>
    <row r="169" spans="2:13">
      <c r="B169" s="306"/>
      <c r="C169" s="41"/>
      <c r="D169" s="308"/>
      <c r="E169" s="309"/>
      <c r="F169" s="310"/>
      <c r="G169" s="311" t="str">
        <f>IFERROR(IF(ventas_b_mes11[[#This Row],[CUIT]]="","-",VLOOKUP(ventas_b_mes11[[#This Row],[CUIT]],Lista_CUIT[#All],2,0)),"CUIT NO CARGADO")</f>
        <v>-</v>
      </c>
      <c r="H169" s="312"/>
      <c r="I169" s="313"/>
      <c r="J169" s="314"/>
      <c r="K169" s="314"/>
      <c r="L169" s="314">
        <f>SUM(ventas_b_mes11[[#This Row],[IMPORTE NETO]:[EXENTO]])</f>
        <v>0</v>
      </c>
      <c r="M169" s="315"/>
    </row>
    <row r="170" spans="2:13">
      <c r="B170" s="306"/>
      <c r="C170" s="41"/>
      <c r="D170" s="308"/>
      <c r="E170" s="309"/>
      <c r="F170" s="310"/>
      <c r="G170" s="311" t="str">
        <f>IFERROR(IF(ventas_b_mes11[[#This Row],[CUIT]]="","-",VLOOKUP(ventas_b_mes11[[#This Row],[CUIT]],Lista_CUIT[#All],2,0)),"CUIT NO CARGADO")</f>
        <v>-</v>
      </c>
      <c r="H170" s="312"/>
      <c r="I170" s="313"/>
      <c r="J170" s="314"/>
      <c r="K170" s="314"/>
      <c r="L170" s="314">
        <f>SUM(ventas_b_mes11[[#This Row],[IMPORTE NETO]:[EXENTO]])</f>
        <v>0</v>
      </c>
      <c r="M170" s="315"/>
    </row>
    <row r="171" spans="2:13">
      <c r="B171" s="306"/>
      <c r="C171" s="41"/>
      <c r="D171" s="308"/>
      <c r="E171" s="309"/>
      <c r="F171" s="310"/>
      <c r="G171" s="311" t="str">
        <f>IFERROR(IF(ventas_b_mes11[[#This Row],[CUIT]]="","-",VLOOKUP(ventas_b_mes11[[#This Row],[CUIT]],Lista_CUIT[#All],2,0)),"CUIT NO CARGADO")</f>
        <v>-</v>
      </c>
      <c r="H171" s="312"/>
      <c r="I171" s="313"/>
      <c r="J171" s="314"/>
      <c r="K171" s="314"/>
      <c r="L171" s="314">
        <f>SUM(ventas_b_mes11[[#This Row],[IMPORTE NETO]:[EXENTO]])</f>
        <v>0</v>
      </c>
      <c r="M171" s="315"/>
    </row>
    <row r="172" spans="2:13">
      <c r="B172" s="306"/>
      <c r="C172" s="41"/>
      <c r="D172" s="308"/>
      <c r="E172" s="309"/>
      <c r="F172" s="310"/>
      <c r="G172" s="311" t="str">
        <f>IFERROR(IF(ventas_b_mes11[[#This Row],[CUIT]]="","-",VLOOKUP(ventas_b_mes11[[#This Row],[CUIT]],Lista_CUIT[#All],2,0)),"CUIT NO CARGADO")</f>
        <v>-</v>
      </c>
      <c r="H172" s="312"/>
      <c r="I172" s="313"/>
      <c r="J172" s="314"/>
      <c r="K172" s="314"/>
      <c r="L172" s="314">
        <f>SUM(ventas_b_mes11[[#This Row],[IMPORTE NETO]:[EXENTO]])</f>
        <v>0</v>
      </c>
      <c r="M172" s="315"/>
    </row>
    <row r="173" spans="2:13">
      <c r="B173" s="306"/>
      <c r="C173" s="41"/>
      <c r="D173" s="308"/>
      <c r="E173" s="309"/>
      <c r="F173" s="310"/>
      <c r="G173" s="311" t="str">
        <f>IFERROR(IF(ventas_b_mes11[[#This Row],[CUIT]]="","-",VLOOKUP(ventas_b_mes11[[#This Row],[CUIT]],Lista_CUIT[#All],2,0)),"CUIT NO CARGADO")</f>
        <v>-</v>
      </c>
      <c r="H173" s="312"/>
      <c r="I173" s="313"/>
      <c r="J173" s="314"/>
      <c r="K173" s="314"/>
      <c r="L173" s="314">
        <f>SUM(ventas_b_mes11[[#This Row],[IMPORTE NETO]:[EXENTO]])</f>
        <v>0</v>
      </c>
      <c r="M173" s="315"/>
    </row>
    <row r="174" spans="2:13">
      <c r="B174" s="306"/>
      <c r="C174" s="41"/>
      <c r="D174" s="308"/>
      <c r="E174" s="309"/>
      <c r="F174" s="310"/>
      <c r="G174" s="311" t="str">
        <f>IFERROR(IF(ventas_b_mes11[[#This Row],[CUIT]]="","-",VLOOKUP(ventas_b_mes11[[#This Row],[CUIT]],Lista_CUIT[#All],2,0)),"CUIT NO CARGADO")</f>
        <v>-</v>
      </c>
      <c r="H174" s="312"/>
      <c r="I174" s="313"/>
      <c r="J174" s="314"/>
      <c r="K174" s="314"/>
      <c r="L174" s="314">
        <f>SUM(ventas_b_mes11[[#This Row],[IMPORTE NETO]:[EXENTO]])</f>
        <v>0</v>
      </c>
      <c r="M174" s="315"/>
    </row>
    <row r="175" spans="2:13">
      <c r="B175" s="306"/>
      <c r="C175" s="41"/>
      <c r="D175" s="308"/>
      <c r="E175" s="309"/>
      <c r="F175" s="310"/>
      <c r="G175" s="311" t="str">
        <f>IFERROR(IF(ventas_b_mes11[[#This Row],[CUIT]]="","-",VLOOKUP(ventas_b_mes11[[#This Row],[CUIT]],Lista_CUIT[#All],2,0)),"CUIT NO CARGADO")</f>
        <v>-</v>
      </c>
      <c r="H175" s="312"/>
      <c r="I175" s="313"/>
      <c r="J175" s="314"/>
      <c r="K175" s="314"/>
      <c r="L175" s="314">
        <f>SUM(ventas_b_mes11[[#This Row],[IMPORTE NETO]:[EXENTO]])</f>
        <v>0</v>
      </c>
      <c r="M175" s="315"/>
    </row>
    <row r="176" spans="2:13">
      <c r="B176" s="306"/>
      <c r="C176" s="41"/>
      <c r="D176" s="308"/>
      <c r="E176" s="309"/>
      <c r="F176" s="310"/>
      <c r="G176" s="311" t="str">
        <f>IFERROR(IF(ventas_b_mes11[[#This Row],[CUIT]]="","-",VLOOKUP(ventas_b_mes11[[#This Row],[CUIT]],Lista_CUIT[#All],2,0)),"CUIT NO CARGADO")</f>
        <v>-</v>
      </c>
      <c r="H176" s="312"/>
      <c r="I176" s="313"/>
      <c r="J176" s="314"/>
      <c r="K176" s="314"/>
      <c r="L176" s="314">
        <f>SUM(ventas_b_mes11[[#This Row],[IMPORTE NETO]:[EXENTO]])</f>
        <v>0</v>
      </c>
      <c r="M176" s="315"/>
    </row>
    <row r="177" spans="2:13">
      <c r="B177" s="306"/>
      <c r="C177" s="41"/>
      <c r="D177" s="308"/>
      <c r="E177" s="309"/>
      <c r="F177" s="310"/>
      <c r="G177" s="311" t="str">
        <f>IFERROR(IF(ventas_b_mes11[[#This Row],[CUIT]]="","-",VLOOKUP(ventas_b_mes11[[#This Row],[CUIT]],Lista_CUIT[#All],2,0)),"CUIT NO CARGADO")</f>
        <v>-</v>
      </c>
      <c r="H177" s="312"/>
      <c r="I177" s="313"/>
      <c r="J177" s="314"/>
      <c r="K177" s="314"/>
      <c r="L177" s="314">
        <f>SUM(ventas_b_mes11[[#This Row],[IMPORTE NETO]:[EXENTO]])</f>
        <v>0</v>
      </c>
      <c r="M177" s="315"/>
    </row>
    <row r="178" spans="2:13">
      <c r="B178" s="40"/>
      <c r="C178" s="41"/>
      <c r="D178" s="42"/>
      <c r="E178" s="43"/>
      <c r="F178" s="44"/>
      <c r="G178" s="1"/>
      <c r="H178" s="64"/>
      <c r="I178" s="64"/>
      <c r="J178" s="64"/>
      <c r="K178" s="64"/>
      <c r="L178" s="64">
        <f>SUM(ventas_b_mes11[[#This Row],[IMPORTE NETO]:[EXENTO]])</f>
        <v>0</v>
      </c>
      <c r="M178" s="59"/>
    </row>
    <row r="179" spans="2:13">
      <c r="B179" s="40"/>
      <c r="C179" s="41"/>
      <c r="D179" s="42"/>
      <c r="E179" s="43"/>
      <c r="F179" s="44"/>
      <c r="G179" s="1"/>
      <c r="H179" s="64"/>
      <c r="I179" s="64"/>
      <c r="J179" s="64"/>
      <c r="K179" s="64"/>
      <c r="L179" s="64">
        <f>SUM(ventas_b_mes11[[#This Row],[IMPORTE NETO]:[EXENTO]])</f>
        <v>0</v>
      </c>
      <c r="M179" s="59"/>
    </row>
    <row r="180" spans="2:13">
      <c r="B180" s="40"/>
      <c r="C180" s="41"/>
      <c r="D180" s="42"/>
      <c r="E180" s="43"/>
      <c r="F180" s="44"/>
      <c r="G180" s="1"/>
      <c r="H180" s="64"/>
      <c r="I180" s="64"/>
      <c r="J180" s="64"/>
      <c r="K180" s="64"/>
      <c r="L180" s="64">
        <f>SUM(ventas_b_mes11[[#This Row],[IMPORTE NETO]:[EXENTO]])</f>
        <v>0</v>
      </c>
      <c r="M180" s="59"/>
    </row>
    <row r="181" spans="2:13">
      <c r="B181" s="40"/>
      <c r="C181" s="41"/>
      <c r="D181" s="42"/>
      <c r="E181" s="43"/>
      <c r="F181" s="44"/>
      <c r="G181" s="1"/>
      <c r="H181" s="64"/>
      <c r="I181" s="64"/>
      <c r="J181" s="64"/>
      <c r="K181" s="64"/>
      <c r="L181" s="64">
        <f>SUM(ventas_b_mes11[[#This Row],[IMPORTE NETO]:[EXENTO]])</f>
        <v>0</v>
      </c>
      <c r="M181" s="59"/>
    </row>
    <row r="182" spans="2:13">
      <c r="B182" s="40"/>
      <c r="C182" s="41"/>
      <c r="D182" s="42"/>
      <c r="E182" s="43"/>
      <c r="F182" s="44"/>
      <c r="G182" s="1"/>
      <c r="H182" s="64"/>
      <c r="I182" s="64"/>
      <c r="J182" s="64"/>
      <c r="K182" s="64"/>
      <c r="L182" s="64">
        <f>SUM(ventas_b_mes11[[#This Row],[IMPORTE NETO]:[EXENTO]])</f>
        <v>0</v>
      </c>
      <c r="M182" s="59"/>
    </row>
    <row r="183" spans="2:13">
      <c r="B183" s="306"/>
      <c r="C183" s="41"/>
      <c r="D183" s="308"/>
      <c r="E183" s="309"/>
      <c r="F183" s="310"/>
      <c r="G183" s="311" t="str">
        <f>IFERROR(IF(ventas_b_mes11[[#This Row],[CUIT]]="","-",VLOOKUP(ventas_b_mes11[[#This Row],[CUIT]],Lista_CUIT[#All],2,0)),"CUIT NO CARGADO")</f>
        <v>-</v>
      </c>
      <c r="H183" s="312"/>
      <c r="I183" s="313"/>
      <c r="J183" s="314"/>
      <c r="K183" s="314"/>
      <c r="L183" s="314">
        <f>SUM(ventas_b_mes11[[#This Row],[IMPORTE NETO]:[EXENTO]])</f>
        <v>0</v>
      </c>
      <c r="M183" s="315"/>
    </row>
    <row r="184" spans="2:13">
      <c r="B184" s="306"/>
      <c r="C184" s="41"/>
      <c r="D184" s="308"/>
      <c r="E184" s="309"/>
      <c r="F184" s="310"/>
      <c r="G184" s="311" t="str">
        <f>IFERROR(IF(ventas_b_mes11[[#This Row],[CUIT]]="","-",VLOOKUP(ventas_b_mes11[[#This Row],[CUIT]],Lista_CUIT[#All],2,0)),"CUIT NO CARGADO")</f>
        <v>-</v>
      </c>
      <c r="H184" s="312"/>
      <c r="I184" s="313"/>
      <c r="J184" s="314"/>
      <c r="K184" s="314"/>
      <c r="L184" s="314">
        <f>SUM(ventas_b_mes11[[#This Row],[IMPORTE NETO]:[EXENTO]])</f>
        <v>0</v>
      </c>
      <c r="M184" s="315"/>
    </row>
    <row r="185" spans="2:13">
      <c r="B185" s="306"/>
      <c r="C185" s="41"/>
      <c r="D185" s="308"/>
      <c r="E185" s="309"/>
      <c r="F185" s="310"/>
      <c r="G185" s="311" t="str">
        <f>IFERROR(IF(ventas_b_mes11[[#This Row],[CUIT]]="","-",VLOOKUP(ventas_b_mes11[[#This Row],[CUIT]],Lista_CUIT[#All],2,0)),"CUIT NO CARGADO")</f>
        <v>-</v>
      </c>
      <c r="H185" s="312"/>
      <c r="I185" s="313"/>
      <c r="J185" s="314"/>
      <c r="K185" s="314"/>
      <c r="L185" s="314">
        <f>SUM(ventas_b_mes11[[#This Row],[IMPORTE NETO]:[EXENTO]])</f>
        <v>0</v>
      </c>
      <c r="M185" s="315"/>
    </row>
    <row r="186" spans="2:13">
      <c r="B186" s="306"/>
      <c r="C186" s="41"/>
      <c r="D186" s="308"/>
      <c r="E186" s="309"/>
      <c r="F186" s="310"/>
      <c r="G186" s="311" t="str">
        <f>IFERROR(IF(ventas_b_mes11[[#This Row],[CUIT]]="","-",VLOOKUP(ventas_b_mes11[[#This Row],[CUIT]],Lista_CUIT[#All],2,0)),"CUIT NO CARGADO")</f>
        <v>-</v>
      </c>
      <c r="H186" s="312"/>
      <c r="I186" s="313"/>
      <c r="J186" s="314"/>
      <c r="K186" s="314"/>
      <c r="L186" s="314">
        <f>SUM(ventas_b_mes11[[#This Row],[IMPORTE NETO]:[EXENTO]])</f>
        <v>0</v>
      </c>
      <c r="M186" s="315"/>
    </row>
    <row r="187" spans="2:13">
      <c r="B187" s="306"/>
      <c r="C187" s="41"/>
      <c r="D187" s="308"/>
      <c r="E187" s="309"/>
      <c r="F187" s="310"/>
      <c r="G187" s="311" t="str">
        <f>IFERROR(IF(ventas_b_mes11[[#This Row],[CUIT]]="","-",VLOOKUP(ventas_b_mes11[[#This Row],[CUIT]],Lista_CUIT[#All],2,0)),"CUIT NO CARGADO")</f>
        <v>-</v>
      </c>
      <c r="H187" s="312"/>
      <c r="I187" s="313"/>
      <c r="J187" s="314"/>
      <c r="K187" s="314"/>
      <c r="L187" s="314">
        <f>SUM(ventas_b_mes11[[#This Row],[IMPORTE NETO]:[EXENTO]])</f>
        <v>0</v>
      </c>
      <c r="M187" s="315"/>
    </row>
    <row r="188" spans="2:13">
      <c r="B188" s="306"/>
      <c r="C188" s="41"/>
      <c r="D188" s="308"/>
      <c r="E188" s="309"/>
      <c r="F188" s="310"/>
      <c r="G188" s="311" t="str">
        <f>IFERROR(IF(ventas_b_mes11[[#This Row],[CUIT]]="","-",VLOOKUP(ventas_b_mes11[[#This Row],[CUIT]],Lista_CUIT[#All],2,0)),"CUIT NO CARGADO")</f>
        <v>-</v>
      </c>
      <c r="H188" s="312"/>
      <c r="I188" s="313"/>
      <c r="J188" s="314"/>
      <c r="K188" s="314"/>
      <c r="L188" s="314">
        <f>SUM(ventas_b_mes11[[#This Row],[IMPORTE NETO]:[EXENTO]])</f>
        <v>0</v>
      </c>
      <c r="M188" s="315"/>
    </row>
    <row r="189" spans="2:13">
      <c r="B189" s="306"/>
      <c r="C189" s="41"/>
      <c r="D189" s="308"/>
      <c r="E189" s="309"/>
      <c r="F189" s="310"/>
      <c r="G189" s="311" t="str">
        <f>IFERROR(IF(ventas_b_mes11[[#This Row],[CUIT]]="","-",VLOOKUP(ventas_b_mes11[[#This Row],[CUIT]],Lista_CUIT[#All],2,0)),"CUIT NO CARGADO")</f>
        <v>-</v>
      </c>
      <c r="H189" s="312"/>
      <c r="I189" s="313"/>
      <c r="J189" s="314"/>
      <c r="K189" s="314"/>
      <c r="L189" s="314">
        <f>SUM(ventas_b_mes11[[#This Row],[IMPORTE NETO]:[EXENTO]])</f>
        <v>0</v>
      </c>
      <c r="M189" s="315"/>
    </row>
    <row r="190" spans="2:13">
      <c r="B190" s="306"/>
      <c r="C190" s="41"/>
      <c r="D190" s="308"/>
      <c r="E190" s="309"/>
      <c r="F190" s="310"/>
      <c r="G190" s="311" t="str">
        <f>IFERROR(IF(ventas_b_mes11[[#This Row],[CUIT]]="","-",VLOOKUP(ventas_b_mes11[[#This Row],[CUIT]],Lista_CUIT[#All],2,0)),"CUIT NO CARGADO")</f>
        <v>-</v>
      </c>
      <c r="H190" s="312"/>
      <c r="I190" s="313"/>
      <c r="J190" s="314"/>
      <c r="K190" s="314"/>
      <c r="L190" s="314">
        <f>SUM(ventas_b_mes11[[#This Row],[IMPORTE NETO]:[EXENTO]])</f>
        <v>0</v>
      </c>
      <c r="M190" s="315"/>
    </row>
    <row r="191" spans="2:13">
      <c r="B191" s="306"/>
      <c r="C191" s="41"/>
      <c r="D191" s="308"/>
      <c r="E191" s="309"/>
      <c r="F191" s="310"/>
      <c r="G191" s="311" t="str">
        <f>IFERROR(IF(ventas_b_mes11[[#This Row],[CUIT]]="","-",VLOOKUP(ventas_b_mes11[[#This Row],[CUIT]],Lista_CUIT[#All],2,0)),"CUIT NO CARGADO")</f>
        <v>-</v>
      </c>
      <c r="H191" s="312"/>
      <c r="I191" s="313"/>
      <c r="J191" s="314"/>
      <c r="K191" s="314"/>
      <c r="L191" s="314">
        <f>SUM(ventas_b_mes11[[#This Row],[IMPORTE NETO]:[EXENTO]])</f>
        <v>0</v>
      </c>
      <c r="M191" s="315"/>
    </row>
    <row r="192" spans="2:13">
      <c r="B192" s="306"/>
      <c r="C192" s="41"/>
      <c r="D192" s="308"/>
      <c r="E192" s="309"/>
      <c r="F192" s="310"/>
      <c r="G192" s="311" t="str">
        <f>IFERROR(IF(ventas_b_mes11[[#This Row],[CUIT]]="","-",VLOOKUP(ventas_b_mes11[[#This Row],[CUIT]],Lista_CUIT[#All],2,0)),"CUIT NO CARGADO")</f>
        <v>-</v>
      </c>
      <c r="H192" s="312"/>
      <c r="I192" s="313"/>
      <c r="J192" s="314"/>
      <c r="K192" s="314"/>
      <c r="L192" s="314">
        <f>SUM(ventas_b_mes11[[#This Row],[IMPORTE NETO]:[EXENTO]])</f>
        <v>0</v>
      </c>
      <c r="M192" s="315"/>
    </row>
    <row r="193" spans="2:13">
      <c r="B193" s="306"/>
      <c r="C193" s="41"/>
      <c r="D193" s="308"/>
      <c r="E193" s="309"/>
      <c r="F193" s="310"/>
      <c r="G193" s="311" t="str">
        <f>IFERROR(IF(ventas_b_mes11[[#This Row],[CUIT]]="","-",VLOOKUP(ventas_b_mes11[[#This Row],[CUIT]],Lista_CUIT[#All],2,0)),"CUIT NO CARGADO")</f>
        <v>-</v>
      </c>
      <c r="H193" s="312"/>
      <c r="I193" s="313"/>
      <c r="J193" s="314"/>
      <c r="K193" s="314"/>
      <c r="L193" s="314">
        <f>SUM(ventas_b_mes11[[#This Row],[IMPORTE NETO]:[EXENTO]])</f>
        <v>0</v>
      </c>
      <c r="M193" s="315"/>
    </row>
    <row r="194" spans="2:13">
      <c r="B194" s="306"/>
      <c r="C194" s="41"/>
      <c r="D194" s="308"/>
      <c r="E194" s="309"/>
      <c r="F194" s="310"/>
      <c r="G194" s="311" t="str">
        <f>IFERROR(IF(ventas_b_mes11[[#This Row],[CUIT]]="","-",VLOOKUP(ventas_b_mes11[[#This Row],[CUIT]],Lista_CUIT[#All],2,0)),"CUIT NO CARGADO")</f>
        <v>-</v>
      </c>
      <c r="H194" s="312"/>
      <c r="I194" s="313"/>
      <c r="J194" s="314"/>
      <c r="K194" s="314"/>
      <c r="L194" s="314">
        <f>SUM(ventas_b_mes11[[#This Row],[IMPORTE NETO]:[EXENTO]])</f>
        <v>0</v>
      </c>
      <c r="M194" s="315"/>
    </row>
    <row r="195" spans="2:13">
      <c r="B195" s="306"/>
      <c r="C195" s="41"/>
      <c r="D195" s="308"/>
      <c r="E195" s="309"/>
      <c r="F195" s="310"/>
      <c r="G195" s="311" t="str">
        <f>IFERROR(IF(ventas_b_mes11[[#This Row],[CUIT]]="","-",VLOOKUP(ventas_b_mes11[[#This Row],[CUIT]],Lista_CUIT[#All],2,0)),"CUIT NO CARGADO")</f>
        <v>-</v>
      </c>
      <c r="H195" s="312"/>
      <c r="I195" s="313"/>
      <c r="J195" s="314"/>
      <c r="K195" s="314"/>
      <c r="L195" s="314">
        <f>SUM(ventas_b_mes11[[#This Row],[IMPORTE NETO]:[EXENTO]])</f>
        <v>0</v>
      </c>
      <c r="M195" s="315"/>
    </row>
    <row r="196" spans="2:13">
      <c r="B196" s="306"/>
      <c r="C196" s="41"/>
      <c r="D196" s="308"/>
      <c r="E196" s="309"/>
      <c r="F196" s="310"/>
      <c r="G196" s="311" t="str">
        <f>IFERROR(IF(ventas_b_mes11[[#This Row],[CUIT]]="","-",VLOOKUP(ventas_b_mes11[[#This Row],[CUIT]],Lista_CUIT[#All],2,0)),"CUIT NO CARGADO")</f>
        <v>-</v>
      </c>
      <c r="H196" s="312"/>
      <c r="I196" s="313"/>
      <c r="J196" s="314"/>
      <c r="K196" s="314"/>
      <c r="L196" s="314">
        <f>SUM(ventas_b_mes11[[#This Row],[IMPORTE NETO]:[EXENTO]])</f>
        <v>0</v>
      </c>
      <c r="M196" s="315"/>
    </row>
    <row r="197" spans="2:13">
      <c r="B197" s="306"/>
      <c r="C197" s="41"/>
      <c r="D197" s="308"/>
      <c r="E197" s="309"/>
      <c r="F197" s="310"/>
      <c r="G197" s="311" t="str">
        <f>IFERROR(IF(ventas_b_mes11[[#This Row],[CUIT]]="","-",VLOOKUP(ventas_b_mes11[[#This Row],[CUIT]],Lista_CUIT[#All],2,0)),"CUIT NO CARGADO")</f>
        <v>-</v>
      </c>
      <c r="H197" s="312"/>
      <c r="I197" s="313"/>
      <c r="J197" s="314"/>
      <c r="K197" s="314"/>
      <c r="L197" s="314">
        <f>SUM(ventas_b_mes11[[#This Row],[IMPORTE NETO]:[EXENTO]])</f>
        <v>0</v>
      </c>
      <c r="M197" s="315"/>
    </row>
    <row r="198" spans="2:13">
      <c r="B198" s="306"/>
      <c r="C198" s="41"/>
      <c r="D198" s="308"/>
      <c r="E198" s="309"/>
      <c r="F198" s="310"/>
      <c r="G198" s="311" t="str">
        <f>IFERROR(IF(ventas_b_mes11[[#This Row],[CUIT]]="","-",VLOOKUP(ventas_b_mes11[[#This Row],[CUIT]],Lista_CUIT[#All],2,0)),"CUIT NO CARGADO")</f>
        <v>-</v>
      </c>
      <c r="H198" s="312"/>
      <c r="I198" s="313"/>
      <c r="J198" s="314"/>
      <c r="K198" s="314"/>
      <c r="L198" s="314">
        <f>SUM(ventas_b_mes11[[#This Row],[IMPORTE NETO]:[EXENTO]])</f>
        <v>0</v>
      </c>
      <c r="M198" s="315"/>
    </row>
    <row r="199" spans="2:13">
      <c r="B199" s="306"/>
      <c r="C199" s="41"/>
      <c r="D199" s="308"/>
      <c r="E199" s="309"/>
      <c r="F199" s="310"/>
      <c r="G199" s="311" t="str">
        <f>IFERROR(IF(ventas_b_mes11[[#This Row],[CUIT]]="","-",VLOOKUP(ventas_b_mes11[[#This Row],[CUIT]],Lista_CUIT[#All],2,0)),"CUIT NO CARGADO")</f>
        <v>-</v>
      </c>
      <c r="H199" s="312"/>
      <c r="I199" s="313"/>
      <c r="J199" s="314"/>
      <c r="K199" s="314"/>
      <c r="L199" s="314">
        <f>SUM(ventas_b_mes11[[#This Row],[IMPORTE NETO]:[EXENTO]])</f>
        <v>0</v>
      </c>
      <c r="M199" s="315"/>
    </row>
    <row r="200" spans="2:13">
      <c r="B200" s="306"/>
      <c r="C200" s="41"/>
      <c r="D200" s="308"/>
      <c r="E200" s="309"/>
      <c r="F200" s="310"/>
      <c r="G200" s="311" t="str">
        <f>IFERROR(IF(ventas_b_mes11[[#This Row],[CUIT]]="","-",VLOOKUP(ventas_b_mes11[[#This Row],[CUIT]],Lista_CUIT[#All],2,0)),"CUIT NO CARGADO")</f>
        <v>-</v>
      </c>
      <c r="H200" s="312"/>
      <c r="I200" s="313"/>
      <c r="J200" s="314"/>
      <c r="K200" s="314"/>
      <c r="L200" s="314">
        <f>SUM(ventas_b_mes11[[#This Row],[IMPORTE NETO]:[EXENTO]])</f>
        <v>0</v>
      </c>
      <c r="M200" s="315"/>
    </row>
    <row r="201" spans="2:13">
      <c r="B201" s="306"/>
      <c r="C201" s="41"/>
      <c r="D201" s="308"/>
      <c r="E201" s="309"/>
      <c r="F201" s="310"/>
      <c r="G201" s="311" t="str">
        <f>IFERROR(IF(ventas_b_mes11[[#This Row],[CUIT]]="","-",VLOOKUP(ventas_b_mes11[[#This Row],[CUIT]],Lista_CUIT[#All],2,0)),"CUIT NO CARGADO")</f>
        <v>-</v>
      </c>
      <c r="H201" s="312"/>
      <c r="I201" s="313"/>
      <c r="J201" s="314"/>
      <c r="K201" s="314"/>
      <c r="L201" s="314">
        <f>SUM(ventas_b_mes11[[#This Row],[IMPORTE NETO]:[EXENTO]])</f>
        <v>0</v>
      </c>
      <c r="M201" s="315"/>
    </row>
    <row r="202" spans="2:13">
      <c r="B202" s="306"/>
      <c r="C202" s="41"/>
      <c r="D202" s="308"/>
      <c r="E202" s="309"/>
      <c r="F202" s="310"/>
      <c r="G202" s="311" t="str">
        <f>IFERROR(IF(ventas_b_mes11[[#This Row],[CUIT]]="","-",VLOOKUP(ventas_b_mes11[[#This Row],[CUIT]],Lista_CUIT[#All],2,0)),"CUIT NO CARGADO")</f>
        <v>-</v>
      </c>
      <c r="H202" s="312"/>
      <c r="I202" s="313"/>
      <c r="J202" s="314"/>
      <c r="K202" s="314"/>
      <c r="L202" s="314">
        <f>SUM(ventas_b_mes11[[#This Row],[IMPORTE NETO]:[EXENTO]])</f>
        <v>0</v>
      </c>
      <c r="M202" s="315"/>
    </row>
    <row r="203" spans="2:13">
      <c r="B203" s="306"/>
      <c r="C203" s="41"/>
      <c r="D203" s="308"/>
      <c r="E203" s="309"/>
      <c r="F203" s="310"/>
      <c r="G203" s="311" t="str">
        <f>IFERROR(IF(ventas_b_mes11[[#This Row],[CUIT]]="","-",VLOOKUP(ventas_b_mes11[[#This Row],[CUIT]],Lista_CUIT[#All],2,0)),"CUIT NO CARGADO")</f>
        <v>-</v>
      </c>
      <c r="H203" s="312"/>
      <c r="I203" s="313"/>
      <c r="J203" s="314"/>
      <c r="K203" s="314"/>
      <c r="L203" s="314">
        <f>SUM(ventas_b_mes11[[#This Row],[IMPORTE NETO]:[EXENTO]])</f>
        <v>0</v>
      </c>
      <c r="M203" s="315"/>
    </row>
    <row r="204" spans="2:13">
      <c r="B204" s="306"/>
      <c r="C204" s="41"/>
      <c r="D204" s="308"/>
      <c r="E204" s="309"/>
      <c r="F204" s="310"/>
      <c r="G204" s="311" t="str">
        <f>IFERROR(IF(ventas_b_mes11[[#This Row],[CUIT]]="","-",VLOOKUP(ventas_b_mes11[[#This Row],[CUIT]],Lista_CUIT[#All],2,0)),"CUIT NO CARGADO")</f>
        <v>-</v>
      </c>
      <c r="H204" s="312"/>
      <c r="I204" s="313"/>
      <c r="J204" s="314"/>
      <c r="K204" s="314"/>
      <c r="L204" s="314">
        <f>SUM(ventas_b_mes11[[#This Row],[IMPORTE NETO]:[EXENTO]])</f>
        <v>0</v>
      </c>
      <c r="M204" s="315"/>
    </row>
    <row r="205" spans="2:13">
      <c r="B205" s="306"/>
      <c r="C205" s="41"/>
      <c r="D205" s="308"/>
      <c r="E205" s="309"/>
      <c r="F205" s="310"/>
      <c r="G205" s="311" t="str">
        <f>IFERROR(IF(ventas_b_mes11[[#This Row],[CUIT]]="","-",VLOOKUP(ventas_b_mes11[[#This Row],[CUIT]],Lista_CUIT[#All],2,0)),"CUIT NO CARGADO")</f>
        <v>-</v>
      </c>
      <c r="H205" s="312"/>
      <c r="I205" s="313"/>
      <c r="J205" s="314"/>
      <c r="K205" s="314"/>
      <c r="L205" s="314">
        <f>SUM(ventas_b_mes11[[#This Row],[IMPORTE NETO]:[EXENTO]])</f>
        <v>0</v>
      </c>
      <c r="M205" s="315"/>
    </row>
    <row r="206" spans="2:13">
      <c r="B206" s="306"/>
      <c r="C206" s="41"/>
      <c r="D206" s="308"/>
      <c r="E206" s="309"/>
      <c r="F206" s="310"/>
      <c r="G206" s="311" t="str">
        <f>IFERROR(IF(ventas_b_mes11[[#This Row],[CUIT]]="","-",VLOOKUP(ventas_b_mes11[[#This Row],[CUIT]],Lista_CUIT[#All],2,0)),"CUIT NO CARGADO")</f>
        <v>-</v>
      </c>
      <c r="H206" s="312"/>
      <c r="I206" s="313"/>
      <c r="J206" s="314"/>
      <c r="K206" s="314"/>
      <c r="L206" s="314">
        <f>SUM(ventas_b_mes11[[#This Row],[IMPORTE NETO]:[EXENTO]])</f>
        <v>0</v>
      </c>
      <c r="M206" s="315"/>
    </row>
    <row r="207" spans="2:13">
      <c r="B207" s="306"/>
      <c r="C207" s="41"/>
      <c r="D207" s="308"/>
      <c r="E207" s="309"/>
      <c r="F207" s="310"/>
      <c r="G207" s="311" t="str">
        <f>IFERROR(IF(ventas_b_mes11[[#This Row],[CUIT]]="","-",VLOOKUP(ventas_b_mes11[[#This Row],[CUIT]],Lista_CUIT[#All],2,0)),"CUIT NO CARGADO")</f>
        <v>-</v>
      </c>
      <c r="H207" s="312"/>
      <c r="I207" s="313"/>
      <c r="J207" s="314"/>
      <c r="K207" s="314"/>
      <c r="L207" s="314">
        <f>SUM(ventas_b_mes11[[#This Row],[IMPORTE NETO]:[EXENTO]])</f>
        <v>0</v>
      </c>
      <c r="M207" s="315"/>
    </row>
    <row r="208" spans="2:13">
      <c r="B208" s="306"/>
      <c r="C208" s="41"/>
      <c r="D208" s="308"/>
      <c r="E208" s="309"/>
      <c r="F208" s="310"/>
      <c r="G208" s="311" t="str">
        <f>IFERROR(IF(ventas_b_mes11[[#This Row],[CUIT]]="","-",VLOOKUP(ventas_b_mes11[[#This Row],[CUIT]],Lista_CUIT[#All],2,0)),"CUIT NO CARGADO")</f>
        <v>-</v>
      </c>
      <c r="H208" s="312"/>
      <c r="I208" s="313"/>
      <c r="J208" s="314"/>
      <c r="K208" s="314"/>
      <c r="L208" s="314">
        <f>SUM(ventas_b_mes11[[#This Row],[IMPORTE NETO]:[EXENTO]])</f>
        <v>0</v>
      </c>
      <c r="M208" s="315"/>
    </row>
    <row r="209" spans="2:13">
      <c r="B209" s="306"/>
      <c r="C209" s="41"/>
      <c r="D209" s="308"/>
      <c r="E209" s="309"/>
      <c r="F209" s="310"/>
      <c r="G209" s="311" t="str">
        <f>IFERROR(IF(ventas_b_mes11[[#This Row],[CUIT]]="","-",VLOOKUP(ventas_b_mes11[[#This Row],[CUIT]],Lista_CUIT[#All],2,0)),"CUIT NO CARGADO")</f>
        <v>-</v>
      </c>
      <c r="H209" s="312"/>
      <c r="I209" s="313"/>
      <c r="J209" s="314"/>
      <c r="K209" s="314"/>
      <c r="L209" s="314">
        <f>SUM(ventas_b_mes11[[#This Row],[IMPORTE NETO]:[EXENTO]])</f>
        <v>0</v>
      </c>
      <c r="M209" s="315"/>
    </row>
    <row r="210" spans="2:13">
      <c r="B210" s="306"/>
      <c r="C210" s="41"/>
      <c r="D210" s="308"/>
      <c r="E210" s="309"/>
      <c r="F210" s="310"/>
      <c r="G210" s="311" t="str">
        <f>IFERROR(IF(ventas_b_mes11[[#This Row],[CUIT]]="","-",VLOOKUP(ventas_b_mes11[[#This Row],[CUIT]],Lista_CUIT[#All],2,0)),"CUIT NO CARGADO")</f>
        <v>-</v>
      </c>
      <c r="H210" s="312"/>
      <c r="I210" s="313"/>
      <c r="J210" s="314"/>
      <c r="K210" s="314"/>
      <c r="L210" s="314">
        <f>SUM(ventas_b_mes11[[#This Row],[IMPORTE NETO]:[EXENTO]])</f>
        <v>0</v>
      </c>
      <c r="M210" s="315"/>
    </row>
    <row r="211" spans="2:13">
      <c r="B211" s="306"/>
      <c r="C211" s="41"/>
      <c r="D211" s="308"/>
      <c r="E211" s="309"/>
      <c r="F211" s="310"/>
      <c r="G211" s="311" t="str">
        <f>IFERROR(IF(ventas_b_mes11[[#This Row],[CUIT]]="","-",VLOOKUP(ventas_b_mes11[[#This Row],[CUIT]],Lista_CUIT[#All],2,0)),"CUIT NO CARGADO")</f>
        <v>-</v>
      </c>
      <c r="H211" s="312"/>
      <c r="I211" s="313"/>
      <c r="J211" s="314"/>
      <c r="K211" s="314"/>
      <c r="L211" s="314">
        <f>SUM(ventas_b_mes11[[#This Row],[IMPORTE NETO]:[EXENTO]])</f>
        <v>0</v>
      </c>
      <c r="M211" s="315"/>
    </row>
    <row r="212" spans="2:13">
      <c r="B212" s="306"/>
      <c r="C212" s="41"/>
      <c r="D212" s="308"/>
      <c r="E212" s="309"/>
      <c r="F212" s="310"/>
      <c r="G212" s="311" t="str">
        <f>IFERROR(IF(ventas_b_mes11[[#This Row],[CUIT]]="","-",VLOOKUP(ventas_b_mes11[[#This Row],[CUIT]],Lista_CUIT[#All],2,0)),"CUIT NO CARGADO")</f>
        <v>-</v>
      </c>
      <c r="H212" s="312"/>
      <c r="I212" s="313"/>
      <c r="J212" s="314"/>
      <c r="K212" s="314"/>
      <c r="L212" s="314">
        <f>SUM(ventas_b_mes11[[#This Row],[IMPORTE NETO]:[EXENTO]])</f>
        <v>0</v>
      </c>
      <c r="M212" s="315"/>
    </row>
    <row r="213" spans="2:13">
      <c r="B213" s="306"/>
      <c r="C213" s="41"/>
      <c r="D213" s="308"/>
      <c r="E213" s="309"/>
      <c r="F213" s="310"/>
      <c r="G213" s="311" t="str">
        <f>IFERROR(IF(ventas_b_mes11[[#This Row],[CUIT]]="","-",VLOOKUP(ventas_b_mes11[[#This Row],[CUIT]],Lista_CUIT[#All],2,0)),"CUIT NO CARGADO")</f>
        <v>-</v>
      </c>
      <c r="H213" s="312"/>
      <c r="I213" s="313"/>
      <c r="J213" s="314"/>
      <c r="K213" s="314"/>
      <c r="L213" s="314">
        <f>SUM(ventas_b_mes11[[#This Row],[IMPORTE NETO]:[EXENTO]])</f>
        <v>0</v>
      </c>
      <c r="M213" s="315"/>
    </row>
    <row r="214" spans="2:13">
      <c r="B214" s="306"/>
      <c r="C214" s="41"/>
      <c r="D214" s="308"/>
      <c r="E214" s="309"/>
      <c r="F214" s="310"/>
      <c r="G214" s="311" t="str">
        <f>IFERROR(IF(ventas_b_mes11[[#This Row],[CUIT]]="","-",VLOOKUP(ventas_b_mes11[[#This Row],[CUIT]],Lista_CUIT[#All],2,0)),"CUIT NO CARGADO")</f>
        <v>-</v>
      </c>
      <c r="H214" s="312"/>
      <c r="I214" s="313"/>
      <c r="J214" s="314"/>
      <c r="K214" s="314"/>
      <c r="L214" s="314">
        <f>SUM(ventas_b_mes11[[#This Row],[IMPORTE NETO]:[EXENTO]])</f>
        <v>0</v>
      </c>
      <c r="M214" s="315"/>
    </row>
    <row r="215" spans="2:13">
      <c r="B215" s="306"/>
      <c r="C215" s="41"/>
      <c r="D215" s="308"/>
      <c r="E215" s="309"/>
      <c r="F215" s="310"/>
      <c r="G215" s="311" t="str">
        <f>IFERROR(IF(ventas_b_mes11[[#This Row],[CUIT]]="","-",VLOOKUP(ventas_b_mes11[[#This Row],[CUIT]],Lista_CUIT[#All],2,0)),"CUIT NO CARGADO")</f>
        <v>-</v>
      </c>
      <c r="H215" s="312"/>
      <c r="I215" s="313"/>
      <c r="J215" s="314"/>
      <c r="K215" s="314"/>
      <c r="L215" s="314">
        <f>SUM(ventas_b_mes11[[#This Row],[IMPORTE NETO]:[EXENTO]])</f>
        <v>0</v>
      </c>
      <c r="M215" s="315"/>
    </row>
    <row r="216" spans="2:13">
      <c r="B216" s="306"/>
      <c r="C216" s="41"/>
      <c r="D216" s="308"/>
      <c r="E216" s="309"/>
      <c r="F216" s="310"/>
      <c r="G216" s="311" t="str">
        <f>IFERROR(IF(ventas_b_mes11[[#This Row],[CUIT]]="","-",VLOOKUP(ventas_b_mes11[[#This Row],[CUIT]],Lista_CUIT[#All],2,0)),"CUIT NO CARGADO")</f>
        <v>-</v>
      </c>
      <c r="H216" s="312"/>
      <c r="I216" s="313"/>
      <c r="J216" s="314"/>
      <c r="K216" s="314"/>
      <c r="L216" s="314">
        <f>SUM(ventas_b_mes11[[#This Row],[IMPORTE NETO]:[EXENTO]])</f>
        <v>0</v>
      </c>
      <c r="M216" s="315"/>
    </row>
    <row r="217" spans="2:13">
      <c r="B217" s="306"/>
      <c r="C217" s="41"/>
      <c r="D217" s="308"/>
      <c r="E217" s="309"/>
      <c r="F217" s="310"/>
      <c r="G217" s="311" t="str">
        <f>IFERROR(IF(ventas_b_mes11[[#This Row],[CUIT]]="","-",VLOOKUP(ventas_b_mes11[[#This Row],[CUIT]],Lista_CUIT[#All],2,0)),"CUIT NO CARGADO")</f>
        <v>-</v>
      </c>
      <c r="H217" s="312"/>
      <c r="I217" s="313"/>
      <c r="J217" s="314"/>
      <c r="K217" s="314"/>
      <c r="L217" s="314">
        <f>SUM(ventas_b_mes11[[#This Row],[IMPORTE NETO]:[EXENTO]])</f>
        <v>0</v>
      </c>
      <c r="M217" s="315"/>
    </row>
    <row r="218" spans="2:13">
      <c r="B218" s="306"/>
      <c r="C218" s="41"/>
      <c r="D218" s="308"/>
      <c r="E218" s="309"/>
      <c r="F218" s="310"/>
      <c r="G218" s="311" t="str">
        <f>IFERROR(IF(ventas_b_mes11[[#This Row],[CUIT]]="","-",VLOOKUP(ventas_b_mes11[[#This Row],[CUIT]],Lista_CUIT[#All],2,0)),"CUIT NO CARGADO")</f>
        <v>-</v>
      </c>
      <c r="H218" s="312"/>
      <c r="I218" s="313"/>
      <c r="J218" s="314"/>
      <c r="K218" s="314"/>
      <c r="L218" s="314">
        <f>SUM(ventas_b_mes11[[#This Row],[IMPORTE NETO]:[EXENTO]])</f>
        <v>0</v>
      </c>
      <c r="M218" s="315"/>
    </row>
    <row r="219" spans="2:13">
      <c r="B219" s="306"/>
      <c r="C219" s="41"/>
      <c r="D219" s="308"/>
      <c r="E219" s="309"/>
      <c r="F219" s="310"/>
      <c r="G219" s="311" t="str">
        <f>IFERROR(IF(ventas_b_mes11[[#This Row],[CUIT]]="","-",VLOOKUP(ventas_b_mes11[[#This Row],[CUIT]],Lista_CUIT[#All],2,0)),"CUIT NO CARGADO")</f>
        <v>-</v>
      </c>
      <c r="H219" s="312"/>
      <c r="I219" s="313"/>
      <c r="J219" s="314"/>
      <c r="K219" s="314"/>
      <c r="L219" s="314">
        <f>SUM(ventas_b_mes11[[#This Row],[IMPORTE NETO]:[EXENTO]])</f>
        <v>0</v>
      </c>
      <c r="M219" s="315"/>
    </row>
    <row r="220" spans="2:13">
      <c r="B220" s="306"/>
      <c r="C220" s="41"/>
      <c r="D220" s="308"/>
      <c r="E220" s="309"/>
      <c r="F220" s="310"/>
      <c r="G220" s="311" t="str">
        <f>IFERROR(IF(ventas_b_mes11[[#This Row],[CUIT]]="","-",VLOOKUP(ventas_b_mes11[[#This Row],[CUIT]],Lista_CUIT[#All],2,0)),"CUIT NO CARGADO")</f>
        <v>-</v>
      </c>
      <c r="H220" s="312"/>
      <c r="I220" s="313"/>
      <c r="J220" s="314"/>
      <c r="K220" s="314"/>
      <c r="L220" s="314">
        <f>SUM(ventas_b_mes11[[#This Row],[IMPORTE NETO]:[EXENTO]])</f>
        <v>0</v>
      </c>
      <c r="M220" s="315"/>
    </row>
    <row r="221" spans="2:13">
      <c r="B221" s="306"/>
      <c r="C221" s="41"/>
      <c r="D221" s="308"/>
      <c r="E221" s="309"/>
      <c r="F221" s="310"/>
      <c r="G221" s="311" t="str">
        <f>IFERROR(IF(ventas_b_mes11[[#This Row],[CUIT]]="","-",VLOOKUP(ventas_b_mes11[[#This Row],[CUIT]],Lista_CUIT[#All],2,0)),"CUIT NO CARGADO")</f>
        <v>-</v>
      </c>
      <c r="H221" s="312"/>
      <c r="I221" s="313"/>
      <c r="J221" s="314"/>
      <c r="K221" s="314"/>
      <c r="L221" s="314">
        <f>SUM(ventas_b_mes11[[#This Row],[IMPORTE NETO]:[EXENTO]])</f>
        <v>0</v>
      </c>
      <c r="M221" s="315"/>
    </row>
    <row r="222" spans="2:13">
      <c r="B222" s="306"/>
      <c r="C222" s="41"/>
      <c r="D222" s="308"/>
      <c r="E222" s="309"/>
      <c r="F222" s="310"/>
      <c r="G222" s="311" t="str">
        <f>IFERROR(IF(ventas_b_mes11[[#This Row],[CUIT]]="","-",VLOOKUP(ventas_b_mes11[[#This Row],[CUIT]],Lista_CUIT[#All],2,0)),"CUIT NO CARGADO")</f>
        <v>-</v>
      </c>
      <c r="H222" s="312"/>
      <c r="I222" s="313"/>
      <c r="J222" s="314"/>
      <c r="K222" s="314"/>
      <c r="L222" s="314">
        <f>SUM(ventas_b_mes11[[#This Row],[IMPORTE NETO]:[EXENTO]])</f>
        <v>0</v>
      </c>
      <c r="M222" s="315"/>
    </row>
    <row r="223" spans="2:13">
      <c r="B223" s="306"/>
      <c r="C223" s="41"/>
      <c r="D223" s="308"/>
      <c r="E223" s="309"/>
      <c r="F223" s="310"/>
      <c r="G223" s="311" t="str">
        <f>IFERROR(IF(ventas_b_mes11[[#This Row],[CUIT]]="","-",VLOOKUP(ventas_b_mes11[[#This Row],[CUIT]],Lista_CUIT[#All],2,0)),"CUIT NO CARGADO")</f>
        <v>-</v>
      </c>
      <c r="H223" s="312"/>
      <c r="I223" s="313"/>
      <c r="J223" s="314"/>
      <c r="K223" s="314"/>
      <c r="L223" s="314">
        <f>SUM(ventas_b_mes11[[#This Row],[IMPORTE NETO]:[EXENTO]])</f>
        <v>0</v>
      </c>
      <c r="M223" s="315"/>
    </row>
    <row r="224" spans="2:13">
      <c r="B224" s="306"/>
      <c r="C224" s="41"/>
      <c r="D224" s="308"/>
      <c r="E224" s="309"/>
      <c r="F224" s="310"/>
      <c r="G224" s="311" t="str">
        <f>IFERROR(IF(ventas_b_mes11[[#This Row],[CUIT]]="","-",VLOOKUP(ventas_b_mes11[[#This Row],[CUIT]],Lista_CUIT[#All],2,0)),"CUIT NO CARGADO")</f>
        <v>-</v>
      </c>
      <c r="H224" s="312"/>
      <c r="I224" s="313"/>
      <c r="J224" s="314"/>
      <c r="K224" s="314"/>
      <c r="L224" s="314">
        <f>SUM(ventas_b_mes11[[#This Row],[IMPORTE NETO]:[EXENTO]])</f>
        <v>0</v>
      </c>
      <c r="M224" s="315"/>
    </row>
    <row r="225" spans="2:13">
      <c r="B225" s="306"/>
      <c r="C225" s="41"/>
      <c r="D225" s="308"/>
      <c r="E225" s="309"/>
      <c r="F225" s="310"/>
      <c r="G225" s="311" t="str">
        <f>IFERROR(IF(ventas_b_mes11[[#This Row],[CUIT]]="","-",VLOOKUP(ventas_b_mes11[[#This Row],[CUIT]],Lista_CUIT[#All],2,0)),"CUIT NO CARGADO")</f>
        <v>-</v>
      </c>
      <c r="H225" s="312"/>
      <c r="I225" s="313"/>
      <c r="J225" s="314"/>
      <c r="K225" s="314"/>
      <c r="L225" s="314">
        <f>SUM(ventas_b_mes11[[#This Row],[IMPORTE NETO]:[EXENTO]])</f>
        <v>0</v>
      </c>
      <c r="M225" s="315"/>
    </row>
    <row r="226" spans="2:13">
      <c r="B226" s="306"/>
      <c r="C226" s="41"/>
      <c r="D226" s="308"/>
      <c r="E226" s="309"/>
      <c r="F226" s="310"/>
      <c r="G226" s="311" t="str">
        <f>IFERROR(IF(ventas_b_mes11[[#This Row],[CUIT]]="","-",VLOOKUP(ventas_b_mes11[[#This Row],[CUIT]],Lista_CUIT[#All],2,0)),"CUIT NO CARGADO")</f>
        <v>-</v>
      </c>
      <c r="H226" s="312"/>
      <c r="I226" s="313"/>
      <c r="J226" s="314"/>
      <c r="K226" s="314"/>
      <c r="L226" s="314">
        <f>SUM(ventas_b_mes11[[#This Row],[IMPORTE NETO]:[EXENTO]])</f>
        <v>0</v>
      </c>
      <c r="M226" s="315"/>
    </row>
    <row r="227" spans="2:13">
      <c r="B227" s="306"/>
      <c r="C227" s="41"/>
      <c r="D227" s="308"/>
      <c r="E227" s="309"/>
      <c r="F227" s="310"/>
      <c r="G227" s="311" t="str">
        <f>IFERROR(IF(ventas_b_mes11[[#This Row],[CUIT]]="","-",VLOOKUP(ventas_b_mes11[[#This Row],[CUIT]],Lista_CUIT[#All],2,0)),"CUIT NO CARGADO")</f>
        <v>-</v>
      </c>
      <c r="H227" s="312"/>
      <c r="I227" s="313"/>
      <c r="J227" s="314"/>
      <c r="K227" s="314"/>
      <c r="L227" s="314">
        <f>SUM(ventas_b_mes11[[#This Row],[IMPORTE NETO]:[EXENTO]])</f>
        <v>0</v>
      </c>
      <c r="M227" s="315"/>
    </row>
    <row r="228" spans="2:13">
      <c r="B228" s="306"/>
      <c r="C228" s="41"/>
      <c r="D228" s="308"/>
      <c r="E228" s="309"/>
      <c r="F228" s="310"/>
      <c r="G228" s="311" t="str">
        <f>IFERROR(IF(ventas_b_mes11[[#This Row],[CUIT]]="","-",VLOOKUP(ventas_b_mes11[[#This Row],[CUIT]],Lista_CUIT[#All],2,0)),"CUIT NO CARGADO")</f>
        <v>-</v>
      </c>
      <c r="H228" s="312"/>
      <c r="I228" s="313"/>
      <c r="J228" s="314"/>
      <c r="K228" s="314"/>
      <c r="L228" s="314">
        <f>SUM(ventas_b_mes11[[#This Row],[IMPORTE NETO]:[EXENTO]])</f>
        <v>0</v>
      </c>
      <c r="M228" s="315"/>
    </row>
    <row r="229" spans="2:13">
      <c r="B229" s="306"/>
      <c r="C229" s="41"/>
      <c r="D229" s="308"/>
      <c r="E229" s="309"/>
      <c r="F229" s="310"/>
      <c r="G229" s="311" t="str">
        <f>IFERROR(IF(ventas_b_mes11[[#This Row],[CUIT]]="","-",VLOOKUP(ventas_b_mes11[[#This Row],[CUIT]],Lista_CUIT[#All],2,0)),"CUIT NO CARGADO")</f>
        <v>-</v>
      </c>
      <c r="H229" s="312"/>
      <c r="I229" s="313"/>
      <c r="J229" s="314"/>
      <c r="K229" s="314"/>
      <c r="L229" s="314">
        <f>SUM(ventas_b_mes11[[#This Row],[IMPORTE NETO]:[EXENTO]])</f>
        <v>0</v>
      </c>
      <c r="M229" s="315"/>
    </row>
    <row r="230" spans="2:13">
      <c r="B230" s="306"/>
      <c r="C230" s="41"/>
      <c r="D230" s="308"/>
      <c r="E230" s="309"/>
      <c r="F230" s="310"/>
      <c r="G230" s="311" t="str">
        <f>IFERROR(IF(ventas_b_mes11[[#This Row],[CUIT]]="","-",VLOOKUP(ventas_b_mes11[[#This Row],[CUIT]],Lista_CUIT[#All],2,0)),"CUIT NO CARGADO")</f>
        <v>-</v>
      </c>
      <c r="H230" s="312"/>
      <c r="I230" s="313"/>
      <c r="J230" s="314"/>
      <c r="K230" s="314"/>
      <c r="L230" s="314">
        <f>SUM(ventas_b_mes11[[#This Row],[IMPORTE NETO]:[EXENTO]])</f>
        <v>0</v>
      </c>
      <c r="M230" s="315"/>
    </row>
    <row r="231" spans="2:13">
      <c r="B231" s="306"/>
      <c r="C231" s="41"/>
      <c r="D231" s="308"/>
      <c r="E231" s="309"/>
      <c r="F231" s="310"/>
      <c r="G231" s="311" t="str">
        <f>IFERROR(IF(ventas_b_mes11[[#This Row],[CUIT]]="","-",VLOOKUP(ventas_b_mes11[[#This Row],[CUIT]],Lista_CUIT[#All],2,0)),"CUIT NO CARGADO")</f>
        <v>-</v>
      </c>
      <c r="H231" s="312"/>
      <c r="I231" s="313"/>
      <c r="J231" s="314"/>
      <c r="K231" s="314"/>
      <c r="L231" s="314">
        <f>SUM(ventas_b_mes11[[#This Row],[IMPORTE NETO]:[EXENTO]])</f>
        <v>0</v>
      </c>
      <c r="M231" s="315"/>
    </row>
    <row r="232" spans="2:13">
      <c r="B232" s="306"/>
      <c r="C232" s="41"/>
      <c r="D232" s="308"/>
      <c r="E232" s="309"/>
      <c r="F232" s="310"/>
      <c r="G232" s="311" t="str">
        <f>IFERROR(IF(ventas_b_mes11[[#This Row],[CUIT]]="","-",VLOOKUP(ventas_b_mes11[[#This Row],[CUIT]],Lista_CUIT[#All],2,0)),"CUIT NO CARGADO")</f>
        <v>-</v>
      </c>
      <c r="H232" s="312"/>
      <c r="I232" s="313"/>
      <c r="J232" s="314"/>
      <c r="K232" s="314"/>
      <c r="L232" s="314">
        <f>SUM(ventas_b_mes11[[#This Row],[IMPORTE NETO]:[EXENTO]])</f>
        <v>0</v>
      </c>
      <c r="M232" s="315"/>
    </row>
    <row r="233" spans="2:13">
      <c r="B233" s="306"/>
      <c r="C233" s="41"/>
      <c r="D233" s="308"/>
      <c r="E233" s="309"/>
      <c r="F233" s="310"/>
      <c r="G233" s="311" t="str">
        <f>IFERROR(IF(ventas_b_mes11[[#This Row],[CUIT]]="","-",VLOOKUP(ventas_b_mes11[[#This Row],[CUIT]],Lista_CUIT[#All],2,0)),"CUIT NO CARGADO")</f>
        <v>-</v>
      </c>
      <c r="H233" s="312"/>
      <c r="I233" s="313"/>
      <c r="J233" s="314"/>
      <c r="K233" s="314"/>
      <c r="L233" s="314">
        <f>SUM(ventas_b_mes11[[#This Row],[IMPORTE NETO]:[EXENTO]])</f>
        <v>0</v>
      </c>
      <c r="M233" s="315"/>
    </row>
    <row r="234" spans="2:13">
      <c r="B234" s="306"/>
      <c r="C234" s="41"/>
      <c r="D234" s="308"/>
      <c r="E234" s="309"/>
      <c r="F234" s="310"/>
      <c r="G234" s="311" t="str">
        <f>IFERROR(IF(ventas_b_mes11[[#This Row],[CUIT]]="","-",VLOOKUP(ventas_b_mes11[[#This Row],[CUIT]],Lista_CUIT[#All],2,0)),"CUIT NO CARGADO")</f>
        <v>-</v>
      </c>
      <c r="H234" s="312"/>
      <c r="I234" s="313"/>
      <c r="J234" s="314"/>
      <c r="K234" s="314"/>
      <c r="L234" s="314">
        <f>SUM(ventas_b_mes11[[#This Row],[IMPORTE NETO]:[EXENTO]])</f>
        <v>0</v>
      </c>
      <c r="M234" s="315"/>
    </row>
    <row r="235" spans="2:13">
      <c r="B235" s="306"/>
      <c r="C235" s="41"/>
      <c r="D235" s="308"/>
      <c r="E235" s="309"/>
      <c r="F235" s="310"/>
      <c r="G235" s="311" t="str">
        <f>IFERROR(IF(ventas_b_mes11[[#This Row],[CUIT]]="","-",VLOOKUP(ventas_b_mes11[[#This Row],[CUIT]],Lista_CUIT[#All],2,0)),"CUIT NO CARGADO")</f>
        <v>-</v>
      </c>
      <c r="H235" s="312"/>
      <c r="I235" s="313"/>
      <c r="J235" s="314"/>
      <c r="K235" s="314"/>
      <c r="L235" s="314">
        <f>SUM(ventas_b_mes11[[#This Row],[IMPORTE NETO]:[EXENTO]])</f>
        <v>0</v>
      </c>
      <c r="M235" s="315"/>
    </row>
    <row r="236" spans="2:13">
      <c r="B236" s="306"/>
      <c r="C236" s="41"/>
      <c r="D236" s="308"/>
      <c r="E236" s="309"/>
      <c r="F236" s="310"/>
      <c r="G236" s="311" t="str">
        <f>IFERROR(IF(ventas_b_mes11[[#This Row],[CUIT]]="","-",VLOOKUP(ventas_b_mes11[[#This Row],[CUIT]],Lista_CUIT[#All],2,0)),"CUIT NO CARGADO")</f>
        <v>-</v>
      </c>
      <c r="H236" s="312"/>
      <c r="I236" s="313"/>
      <c r="J236" s="314"/>
      <c r="K236" s="314"/>
      <c r="L236" s="314">
        <f>SUM(ventas_b_mes11[[#This Row],[IMPORTE NETO]:[EXENTO]])</f>
        <v>0</v>
      </c>
      <c r="M236" s="315"/>
    </row>
    <row r="237" spans="2:13">
      <c r="B237" s="306"/>
      <c r="C237" s="41"/>
      <c r="D237" s="308"/>
      <c r="E237" s="309"/>
      <c r="F237" s="310"/>
      <c r="G237" s="311" t="str">
        <f>IFERROR(IF(ventas_b_mes11[[#This Row],[CUIT]]="","-",VLOOKUP(ventas_b_mes11[[#This Row],[CUIT]],Lista_CUIT[#All],2,0)),"CUIT NO CARGADO")</f>
        <v>-</v>
      </c>
      <c r="H237" s="312"/>
      <c r="I237" s="313"/>
      <c r="J237" s="314"/>
      <c r="K237" s="314"/>
      <c r="L237" s="314">
        <f>SUM(ventas_b_mes11[[#This Row],[IMPORTE NETO]:[EXENTO]])</f>
        <v>0</v>
      </c>
      <c r="M237" s="315"/>
    </row>
    <row r="238" spans="2:13">
      <c r="B238" s="306"/>
      <c r="C238" s="41"/>
      <c r="D238" s="308"/>
      <c r="E238" s="309"/>
      <c r="F238" s="310"/>
      <c r="G238" s="311" t="str">
        <f>IFERROR(IF(ventas_b_mes11[[#This Row],[CUIT]]="","-",VLOOKUP(ventas_b_mes11[[#This Row],[CUIT]],Lista_CUIT[#All],2,0)),"CUIT NO CARGADO")</f>
        <v>-</v>
      </c>
      <c r="H238" s="312"/>
      <c r="I238" s="313"/>
      <c r="J238" s="314"/>
      <c r="K238" s="314"/>
      <c r="L238" s="314">
        <f>SUM(ventas_b_mes11[[#This Row],[IMPORTE NETO]:[EXENTO]])</f>
        <v>0</v>
      </c>
      <c r="M238" s="315"/>
    </row>
    <row r="239" spans="2:13">
      <c r="B239" s="306"/>
      <c r="C239" s="41"/>
      <c r="D239" s="308"/>
      <c r="E239" s="309"/>
      <c r="F239" s="310"/>
      <c r="G239" s="311" t="str">
        <f>IFERROR(IF(ventas_b_mes11[[#This Row],[CUIT]]="","-",VLOOKUP(ventas_b_mes11[[#This Row],[CUIT]],Lista_CUIT[#All],2,0)),"CUIT NO CARGADO")</f>
        <v>-</v>
      </c>
      <c r="H239" s="312"/>
      <c r="I239" s="313"/>
      <c r="J239" s="314"/>
      <c r="K239" s="314"/>
      <c r="L239" s="314">
        <f>SUM(ventas_b_mes11[[#This Row],[IMPORTE NETO]:[EXENTO]])</f>
        <v>0</v>
      </c>
      <c r="M239" s="315"/>
    </row>
    <row r="240" spans="2:13">
      <c r="B240" s="306"/>
      <c r="C240" s="41"/>
      <c r="D240" s="308"/>
      <c r="E240" s="309"/>
      <c r="F240" s="310"/>
      <c r="G240" s="311" t="str">
        <f>IFERROR(IF(ventas_b_mes11[[#This Row],[CUIT]]="","-",VLOOKUP(ventas_b_mes11[[#This Row],[CUIT]],Lista_CUIT[#All],2,0)),"CUIT NO CARGADO")</f>
        <v>-</v>
      </c>
      <c r="H240" s="312"/>
      <c r="I240" s="313"/>
      <c r="J240" s="314"/>
      <c r="K240" s="314"/>
      <c r="L240" s="314">
        <f>SUM(ventas_b_mes11[[#This Row],[IMPORTE NETO]:[EXENTO]])</f>
        <v>0</v>
      </c>
      <c r="M240" s="315"/>
    </row>
    <row r="241" spans="2:13">
      <c r="B241" s="306"/>
      <c r="C241" s="41"/>
      <c r="D241" s="308"/>
      <c r="E241" s="309"/>
      <c r="F241" s="310"/>
      <c r="G241" s="311" t="str">
        <f>IFERROR(IF(ventas_b_mes11[[#This Row],[CUIT]]="","-",VLOOKUP(ventas_b_mes11[[#This Row],[CUIT]],Lista_CUIT[#All],2,0)),"CUIT NO CARGADO")</f>
        <v>-</v>
      </c>
      <c r="H241" s="312"/>
      <c r="I241" s="313"/>
      <c r="J241" s="314"/>
      <c r="K241" s="314"/>
      <c r="L241" s="314">
        <f>SUM(ventas_b_mes11[[#This Row],[IMPORTE NETO]:[EXENTO]])</f>
        <v>0</v>
      </c>
      <c r="M241" s="315"/>
    </row>
    <row r="242" spans="2:13">
      <c r="B242" s="306"/>
      <c r="C242" s="41"/>
      <c r="D242" s="308"/>
      <c r="E242" s="309"/>
      <c r="F242" s="310"/>
      <c r="G242" s="311" t="str">
        <f>IFERROR(IF(ventas_b_mes11[[#This Row],[CUIT]]="","-",VLOOKUP(ventas_b_mes11[[#This Row],[CUIT]],Lista_CUIT[#All],2,0)),"CUIT NO CARGADO")</f>
        <v>-</v>
      </c>
      <c r="H242" s="312"/>
      <c r="I242" s="313"/>
      <c r="J242" s="314"/>
      <c r="K242" s="314"/>
      <c r="L242" s="314">
        <f>SUM(ventas_b_mes11[[#This Row],[IMPORTE NETO]:[EXENTO]])</f>
        <v>0</v>
      </c>
      <c r="M242" s="315"/>
    </row>
    <row r="243" spans="2:13">
      <c r="B243" s="306"/>
      <c r="C243" s="41"/>
      <c r="D243" s="308"/>
      <c r="E243" s="309"/>
      <c r="F243" s="310"/>
      <c r="G243" s="311" t="str">
        <f>IFERROR(IF(ventas_b_mes11[[#This Row],[CUIT]]="","-",VLOOKUP(ventas_b_mes11[[#This Row],[CUIT]],Lista_CUIT[#All],2,0)),"CUIT NO CARGADO")</f>
        <v>-</v>
      </c>
      <c r="H243" s="312"/>
      <c r="I243" s="313"/>
      <c r="J243" s="314"/>
      <c r="K243" s="314"/>
      <c r="L243" s="314">
        <f>SUM(ventas_b_mes11[[#This Row],[IMPORTE NETO]:[EXENTO]])</f>
        <v>0</v>
      </c>
      <c r="M243" s="315"/>
    </row>
    <row r="244" spans="2:13">
      <c r="B244" s="306"/>
      <c r="C244" s="41"/>
      <c r="D244" s="308"/>
      <c r="E244" s="309"/>
      <c r="F244" s="310"/>
      <c r="G244" s="311" t="str">
        <f>IFERROR(IF(ventas_b_mes11[[#This Row],[CUIT]]="","-",VLOOKUP(ventas_b_mes11[[#This Row],[CUIT]],Lista_CUIT[#All],2,0)),"CUIT NO CARGADO")</f>
        <v>-</v>
      </c>
      <c r="H244" s="312"/>
      <c r="I244" s="313"/>
      <c r="J244" s="314"/>
      <c r="K244" s="314"/>
      <c r="L244" s="314">
        <f>SUM(ventas_b_mes11[[#This Row],[IMPORTE NETO]:[EXENTO]])</f>
        <v>0</v>
      </c>
      <c r="M244" s="315"/>
    </row>
    <row r="245" spans="2:13">
      <c r="B245" s="306"/>
      <c r="C245" s="41"/>
      <c r="D245" s="308"/>
      <c r="E245" s="309"/>
      <c r="F245" s="310"/>
      <c r="G245" s="311" t="str">
        <f>IFERROR(IF(ventas_b_mes11[[#This Row],[CUIT]]="","-",VLOOKUP(ventas_b_mes11[[#This Row],[CUIT]],Lista_CUIT[#All],2,0)),"CUIT NO CARGADO")</f>
        <v>-</v>
      </c>
      <c r="H245" s="312"/>
      <c r="I245" s="313"/>
      <c r="J245" s="314"/>
      <c r="K245" s="314"/>
      <c r="L245" s="314">
        <f>SUM(ventas_b_mes11[[#This Row],[IMPORTE NETO]:[EXENTO]])</f>
        <v>0</v>
      </c>
      <c r="M245" s="315"/>
    </row>
    <row r="246" spans="2:13">
      <c r="B246" s="306"/>
      <c r="C246" s="41"/>
      <c r="D246" s="308"/>
      <c r="E246" s="309"/>
      <c r="F246" s="310"/>
      <c r="G246" s="311" t="str">
        <f>IFERROR(IF(ventas_b_mes11[[#This Row],[CUIT]]="","-",VLOOKUP(ventas_b_mes11[[#This Row],[CUIT]],Lista_CUIT[#All],2,0)),"CUIT NO CARGADO")</f>
        <v>-</v>
      </c>
      <c r="H246" s="312"/>
      <c r="I246" s="313"/>
      <c r="J246" s="314"/>
      <c r="K246" s="314"/>
      <c r="L246" s="314">
        <f>SUM(ventas_b_mes11[[#This Row],[IMPORTE NETO]:[EXENTO]])</f>
        <v>0</v>
      </c>
      <c r="M246" s="315"/>
    </row>
    <row r="247" spans="2:13">
      <c r="B247" s="306"/>
      <c r="C247" s="41"/>
      <c r="D247" s="308"/>
      <c r="E247" s="309"/>
      <c r="F247" s="310"/>
      <c r="G247" s="311" t="str">
        <f>IFERROR(IF(ventas_b_mes11[[#This Row],[CUIT]]="","-",VLOOKUP(ventas_b_mes11[[#This Row],[CUIT]],Lista_CUIT[#All],2,0)),"CUIT NO CARGADO")</f>
        <v>-</v>
      </c>
      <c r="H247" s="312"/>
      <c r="I247" s="313"/>
      <c r="J247" s="314"/>
      <c r="K247" s="314"/>
      <c r="L247" s="314">
        <f>SUM(ventas_b_mes11[[#This Row],[IMPORTE NETO]:[EXENTO]])</f>
        <v>0</v>
      </c>
      <c r="M247" s="315"/>
    </row>
    <row r="248" spans="2:13">
      <c r="B248" s="306"/>
      <c r="C248" s="41"/>
      <c r="D248" s="308"/>
      <c r="E248" s="309"/>
      <c r="F248" s="310"/>
      <c r="G248" s="311" t="str">
        <f>IFERROR(IF(ventas_b_mes11[[#This Row],[CUIT]]="","-",VLOOKUP(ventas_b_mes11[[#This Row],[CUIT]],Lista_CUIT[#All],2,0)),"CUIT NO CARGADO")</f>
        <v>-</v>
      </c>
      <c r="H248" s="312"/>
      <c r="I248" s="313"/>
      <c r="J248" s="314"/>
      <c r="K248" s="314"/>
      <c r="L248" s="314">
        <f>SUM(ventas_b_mes11[[#This Row],[IMPORTE NETO]:[EXENTO]])</f>
        <v>0</v>
      </c>
      <c r="M248" s="315"/>
    </row>
    <row r="249" spans="2:13">
      <c r="B249" s="306"/>
      <c r="C249" s="41"/>
      <c r="D249" s="308"/>
      <c r="E249" s="309"/>
      <c r="F249" s="310"/>
      <c r="G249" s="311" t="str">
        <f>IFERROR(IF(ventas_b_mes11[[#This Row],[CUIT]]="","-",VLOOKUP(ventas_b_mes11[[#This Row],[CUIT]],Lista_CUIT[#All],2,0)),"CUIT NO CARGADO")</f>
        <v>-</v>
      </c>
      <c r="H249" s="312"/>
      <c r="I249" s="313"/>
      <c r="J249" s="314"/>
      <c r="K249" s="314"/>
      <c r="L249" s="314">
        <f>SUM(ventas_b_mes11[[#This Row],[IMPORTE NETO]:[EXENTO]])</f>
        <v>0</v>
      </c>
      <c r="M249" s="315"/>
    </row>
    <row r="250" spans="2:13">
      <c r="B250" s="306"/>
      <c r="C250" s="41"/>
      <c r="D250" s="308"/>
      <c r="E250" s="309"/>
      <c r="F250" s="310"/>
      <c r="G250" s="311" t="str">
        <f>IFERROR(IF(ventas_b_mes11[[#This Row],[CUIT]]="","-",VLOOKUP(ventas_b_mes11[[#This Row],[CUIT]],Lista_CUIT[#All],2,0)),"CUIT NO CARGADO")</f>
        <v>-</v>
      </c>
      <c r="H250" s="312"/>
      <c r="I250" s="313"/>
      <c r="J250" s="314"/>
      <c r="K250" s="314"/>
      <c r="L250" s="314">
        <f>SUM(ventas_b_mes11[[#This Row],[IMPORTE NETO]:[EXENTO]])</f>
        <v>0</v>
      </c>
      <c r="M250" s="315"/>
    </row>
    <row r="251" spans="2:13">
      <c r="B251" s="306"/>
      <c r="C251" s="41"/>
      <c r="D251" s="308"/>
      <c r="E251" s="309"/>
      <c r="F251" s="310"/>
      <c r="G251" s="311" t="str">
        <f>IFERROR(IF(ventas_b_mes11[[#This Row],[CUIT]]="","-",VLOOKUP(ventas_b_mes11[[#This Row],[CUIT]],Lista_CUIT[#All],2,0)),"CUIT NO CARGADO")</f>
        <v>-</v>
      </c>
      <c r="H251" s="312"/>
      <c r="I251" s="313"/>
      <c r="J251" s="314"/>
      <c r="K251" s="314"/>
      <c r="L251" s="314">
        <f>SUM(ventas_b_mes11[[#This Row],[IMPORTE NETO]:[EXENTO]])</f>
        <v>0</v>
      </c>
      <c r="M251" s="315"/>
    </row>
    <row r="252" spans="2:13">
      <c r="B252" s="306"/>
      <c r="C252" s="41"/>
      <c r="D252" s="308"/>
      <c r="E252" s="309"/>
      <c r="F252" s="310"/>
      <c r="G252" s="311" t="str">
        <f>IFERROR(IF(ventas_b_mes11[[#This Row],[CUIT]]="","-",VLOOKUP(ventas_b_mes11[[#This Row],[CUIT]],Lista_CUIT[#All],2,0)),"CUIT NO CARGADO")</f>
        <v>-</v>
      </c>
      <c r="H252" s="312"/>
      <c r="I252" s="313"/>
      <c r="J252" s="314"/>
      <c r="K252" s="314"/>
      <c r="L252" s="314">
        <f>SUM(ventas_b_mes11[[#This Row],[IMPORTE NETO]:[EXENTO]])</f>
        <v>0</v>
      </c>
      <c r="M252" s="315"/>
    </row>
    <row r="253" spans="2:13">
      <c r="B253" s="306"/>
      <c r="C253" s="41"/>
      <c r="D253" s="308"/>
      <c r="E253" s="309"/>
      <c r="F253" s="310"/>
      <c r="G253" s="311" t="str">
        <f>IFERROR(IF(ventas_b_mes11[[#This Row],[CUIT]]="","-",VLOOKUP(ventas_b_mes11[[#This Row],[CUIT]],Lista_CUIT[#All],2,0)),"CUIT NO CARGADO")</f>
        <v>-</v>
      </c>
      <c r="H253" s="312"/>
      <c r="I253" s="313"/>
      <c r="J253" s="314"/>
      <c r="K253" s="314"/>
      <c r="L253" s="314">
        <f>SUM(ventas_b_mes11[[#This Row],[IMPORTE NETO]:[EXENTO]])</f>
        <v>0</v>
      </c>
      <c r="M253" s="315"/>
    </row>
    <row r="254" spans="2:13">
      <c r="B254" s="306"/>
      <c r="C254" s="41"/>
      <c r="D254" s="308"/>
      <c r="E254" s="309"/>
      <c r="F254" s="310"/>
      <c r="G254" s="311" t="str">
        <f>IFERROR(IF(ventas_b_mes11[[#This Row],[CUIT]]="","-",VLOOKUP(ventas_b_mes11[[#This Row],[CUIT]],Lista_CUIT[#All],2,0)),"CUIT NO CARGADO")</f>
        <v>-</v>
      </c>
      <c r="H254" s="312"/>
      <c r="I254" s="313"/>
      <c r="J254" s="314"/>
      <c r="K254" s="314"/>
      <c r="L254" s="314">
        <f>SUM(ventas_b_mes11[[#This Row],[IMPORTE NETO]:[EXENTO]])</f>
        <v>0</v>
      </c>
      <c r="M254" s="315"/>
    </row>
    <row r="255" spans="2:13">
      <c r="B255" s="306"/>
      <c r="C255" s="41"/>
      <c r="D255" s="308"/>
      <c r="E255" s="309"/>
      <c r="F255" s="310"/>
      <c r="G255" s="311" t="str">
        <f>IFERROR(IF(ventas_b_mes11[[#This Row],[CUIT]]="","-",VLOOKUP(ventas_b_mes11[[#This Row],[CUIT]],Lista_CUIT[#All],2,0)),"CUIT NO CARGADO")</f>
        <v>-</v>
      </c>
      <c r="H255" s="312"/>
      <c r="I255" s="313"/>
      <c r="J255" s="314"/>
      <c r="K255" s="314"/>
      <c r="L255" s="314">
        <f>SUM(ventas_b_mes11[[#This Row],[IMPORTE NETO]:[EXENTO]])</f>
        <v>0</v>
      </c>
      <c r="M255" s="315"/>
    </row>
    <row r="256" spans="2:13">
      <c r="B256" s="306"/>
      <c r="C256" s="41"/>
      <c r="D256" s="308"/>
      <c r="E256" s="309"/>
      <c r="F256" s="310"/>
      <c r="G256" s="311" t="str">
        <f>IFERROR(IF(ventas_b_mes11[[#This Row],[CUIT]]="","-",VLOOKUP(ventas_b_mes11[[#This Row],[CUIT]],Lista_CUIT[#All],2,0)),"CUIT NO CARGADO")</f>
        <v>-</v>
      </c>
      <c r="H256" s="312"/>
      <c r="I256" s="313"/>
      <c r="J256" s="314"/>
      <c r="K256" s="314"/>
      <c r="L256" s="314">
        <f>SUM(ventas_b_mes11[[#This Row],[IMPORTE NETO]:[EXENTO]])</f>
        <v>0</v>
      </c>
      <c r="M256" s="315"/>
    </row>
    <row r="257" spans="2:13">
      <c r="B257" s="306"/>
      <c r="C257" s="41"/>
      <c r="D257" s="308"/>
      <c r="E257" s="309"/>
      <c r="F257" s="310"/>
      <c r="G257" s="311" t="str">
        <f>IFERROR(IF(ventas_b_mes11[[#This Row],[CUIT]]="","-",VLOOKUP(ventas_b_mes11[[#This Row],[CUIT]],Lista_CUIT[#All],2,0)),"CUIT NO CARGADO")</f>
        <v>-</v>
      </c>
      <c r="H257" s="312"/>
      <c r="I257" s="313"/>
      <c r="J257" s="314"/>
      <c r="K257" s="314"/>
      <c r="L257" s="314">
        <f>SUM(ventas_b_mes11[[#This Row],[IMPORTE NETO]:[EXENTO]])</f>
        <v>0</v>
      </c>
      <c r="M257" s="315"/>
    </row>
    <row r="258" spans="2:13">
      <c r="B258" s="306"/>
      <c r="C258" s="41"/>
      <c r="D258" s="308"/>
      <c r="E258" s="309"/>
      <c r="F258" s="310"/>
      <c r="G258" s="311" t="str">
        <f>IFERROR(IF(ventas_b_mes11[[#This Row],[CUIT]]="","-",VLOOKUP(ventas_b_mes11[[#This Row],[CUIT]],Lista_CUIT[#All],2,0)),"CUIT NO CARGADO")</f>
        <v>-</v>
      </c>
      <c r="H258" s="312"/>
      <c r="I258" s="313"/>
      <c r="J258" s="314"/>
      <c r="K258" s="314"/>
      <c r="L258" s="314">
        <f>SUM(ventas_b_mes11[[#This Row],[IMPORTE NETO]:[EXENTO]])</f>
        <v>0</v>
      </c>
      <c r="M258" s="315"/>
    </row>
    <row r="259" spans="2:13">
      <c r="B259" s="306"/>
      <c r="C259" s="41"/>
      <c r="D259" s="308"/>
      <c r="E259" s="309"/>
      <c r="F259" s="310"/>
      <c r="G259" s="311" t="str">
        <f>IFERROR(IF(ventas_b_mes11[[#This Row],[CUIT]]="","-",VLOOKUP(ventas_b_mes11[[#This Row],[CUIT]],Lista_CUIT[#All],2,0)),"CUIT NO CARGADO")</f>
        <v>-</v>
      </c>
      <c r="H259" s="312"/>
      <c r="I259" s="313"/>
      <c r="J259" s="314"/>
      <c r="K259" s="314"/>
      <c r="L259" s="314">
        <f>SUM(ventas_b_mes11[[#This Row],[IMPORTE NETO]:[EXENTO]])</f>
        <v>0</v>
      </c>
      <c r="M259" s="315"/>
    </row>
    <row r="260" spans="2:13">
      <c r="B260" s="306"/>
      <c r="C260" s="41"/>
      <c r="D260" s="308"/>
      <c r="E260" s="309"/>
      <c r="F260" s="310"/>
      <c r="G260" s="311" t="str">
        <f>IFERROR(IF(ventas_b_mes11[[#This Row],[CUIT]]="","-",VLOOKUP(ventas_b_mes11[[#This Row],[CUIT]],Lista_CUIT[#All],2,0)),"CUIT NO CARGADO")</f>
        <v>-</v>
      </c>
      <c r="H260" s="312"/>
      <c r="I260" s="313"/>
      <c r="J260" s="314"/>
      <c r="K260" s="314"/>
      <c r="L260" s="314">
        <f>SUM(ventas_b_mes11[[#This Row],[IMPORTE NETO]:[EXENTO]])</f>
        <v>0</v>
      </c>
      <c r="M260" s="315"/>
    </row>
    <row r="261" spans="2:13">
      <c r="B261" s="306"/>
      <c r="C261" s="41"/>
      <c r="D261" s="308"/>
      <c r="E261" s="309"/>
      <c r="F261" s="310"/>
      <c r="G261" s="311" t="str">
        <f>IFERROR(IF(ventas_b_mes11[[#This Row],[CUIT]]="","-",VLOOKUP(ventas_b_mes11[[#This Row],[CUIT]],Lista_CUIT[#All],2,0)),"CUIT NO CARGADO")</f>
        <v>-</v>
      </c>
      <c r="H261" s="312"/>
      <c r="I261" s="313"/>
      <c r="J261" s="314"/>
      <c r="K261" s="314"/>
      <c r="L261" s="314">
        <f>SUM(ventas_b_mes11[[#This Row],[IMPORTE NETO]:[EXENTO]])</f>
        <v>0</v>
      </c>
      <c r="M261" s="315"/>
    </row>
    <row r="262" spans="2:13">
      <c r="B262" s="306"/>
      <c r="C262" s="41"/>
      <c r="D262" s="308"/>
      <c r="E262" s="309"/>
      <c r="F262" s="310"/>
      <c r="G262" s="311" t="str">
        <f>IFERROR(IF(ventas_b_mes11[[#This Row],[CUIT]]="","-",VLOOKUP(ventas_b_mes11[[#This Row],[CUIT]],Lista_CUIT[#All],2,0)),"CUIT NO CARGADO")</f>
        <v>-</v>
      </c>
      <c r="H262" s="312"/>
      <c r="I262" s="313"/>
      <c r="J262" s="314"/>
      <c r="K262" s="314"/>
      <c r="L262" s="314">
        <f>SUM(ventas_b_mes11[[#This Row],[IMPORTE NETO]:[EXENTO]])</f>
        <v>0</v>
      </c>
      <c r="M262" s="315"/>
    </row>
    <row r="263" spans="2:13">
      <c r="B263" s="306"/>
      <c r="C263" s="41"/>
      <c r="D263" s="308"/>
      <c r="E263" s="309"/>
      <c r="F263" s="310"/>
      <c r="G263" s="311" t="str">
        <f>IFERROR(IF(ventas_b_mes11[[#This Row],[CUIT]]="","-",VLOOKUP(ventas_b_mes11[[#This Row],[CUIT]],Lista_CUIT[#All],2,0)),"CUIT NO CARGADO")</f>
        <v>-</v>
      </c>
      <c r="H263" s="312"/>
      <c r="I263" s="313"/>
      <c r="J263" s="314"/>
      <c r="K263" s="314"/>
      <c r="L263" s="314">
        <f>SUM(ventas_b_mes11[[#This Row],[IMPORTE NETO]:[EXENTO]])</f>
        <v>0</v>
      </c>
      <c r="M263" s="315"/>
    </row>
    <row r="264" spans="2:13">
      <c r="B264" s="306"/>
      <c r="C264" s="41"/>
      <c r="D264" s="308"/>
      <c r="E264" s="309"/>
      <c r="F264" s="310"/>
      <c r="G264" s="311" t="str">
        <f>IFERROR(IF(ventas_b_mes11[[#This Row],[CUIT]]="","-",VLOOKUP(ventas_b_mes11[[#This Row],[CUIT]],Lista_CUIT[#All],2,0)),"CUIT NO CARGADO")</f>
        <v>-</v>
      </c>
      <c r="H264" s="312"/>
      <c r="I264" s="313"/>
      <c r="J264" s="314"/>
      <c r="K264" s="314"/>
      <c r="L264" s="314">
        <f>SUM(ventas_b_mes11[[#This Row],[IMPORTE NETO]:[EXENTO]])</f>
        <v>0</v>
      </c>
      <c r="M264" s="315"/>
    </row>
    <row r="265" spans="2:13">
      <c r="B265" s="306"/>
      <c r="C265" s="41"/>
      <c r="D265" s="308"/>
      <c r="E265" s="309"/>
      <c r="F265" s="310"/>
      <c r="G265" s="311" t="str">
        <f>IFERROR(IF(ventas_b_mes11[[#This Row],[CUIT]]="","-",VLOOKUP(ventas_b_mes11[[#This Row],[CUIT]],Lista_CUIT[#All],2,0)),"CUIT NO CARGADO")</f>
        <v>-</v>
      </c>
      <c r="H265" s="312"/>
      <c r="I265" s="313"/>
      <c r="J265" s="314"/>
      <c r="K265" s="314"/>
      <c r="L265" s="314">
        <f>SUM(ventas_b_mes11[[#This Row],[IMPORTE NETO]:[EXENTO]])</f>
        <v>0</v>
      </c>
      <c r="M265" s="315"/>
    </row>
    <row r="266" spans="2:13">
      <c r="B266" s="306"/>
      <c r="C266" s="41"/>
      <c r="D266" s="308"/>
      <c r="E266" s="309"/>
      <c r="F266" s="310"/>
      <c r="G266" s="311" t="str">
        <f>IFERROR(IF(ventas_b_mes11[[#This Row],[CUIT]]="","-",VLOOKUP(ventas_b_mes11[[#This Row],[CUIT]],Lista_CUIT[#All],2,0)),"CUIT NO CARGADO")</f>
        <v>-</v>
      </c>
      <c r="H266" s="312"/>
      <c r="I266" s="313"/>
      <c r="J266" s="314"/>
      <c r="K266" s="314"/>
      <c r="L266" s="314">
        <f>SUM(ventas_b_mes11[[#This Row],[IMPORTE NETO]:[EXENTO]])</f>
        <v>0</v>
      </c>
      <c r="M266" s="315"/>
    </row>
    <row r="267" spans="2:13">
      <c r="B267" s="306"/>
      <c r="C267" s="41"/>
      <c r="D267" s="308"/>
      <c r="E267" s="309"/>
      <c r="F267" s="310"/>
      <c r="G267" s="311" t="str">
        <f>IFERROR(IF(ventas_b_mes11[[#This Row],[CUIT]]="","-",VLOOKUP(ventas_b_mes11[[#This Row],[CUIT]],Lista_CUIT[#All],2,0)),"CUIT NO CARGADO")</f>
        <v>-</v>
      </c>
      <c r="H267" s="312"/>
      <c r="I267" s="313"/>
      <c r="J267" s="314"/>
      <c r="K267" s="314"/>
      <c r="L267" s="314">
        <f>SUM(ventas_b_mes11[[#This Row],[IMPORTE NETO]:[EXENTO]])</f>
        <v>0</v>
      </c>
      <c r="M267" s="315"/>
    </row>
    <row r="268" spans="2:13">
      <c r="B268" s="306"/>
      <c r="C268" s="41"/>
      <c r="D268" s="308"/>
      <c r="E268" s="309"/>
      <c r="F268" s="310"/>
      <c r="G268" s="311" t="str">
        <f>IFERROR(IF(ventas_b_mes11[[#This Row],[CUIT]]="","-",VLOOKUP(ventas_b_mes11[[#This Row],[CUIT]],Lista_CUIT[#All],2,0)),"CUIT NO CARGADO")</f>
        <v>-</v>
      </c>
      <c r="H268" s="312"/>
      <c r="I268" s="313"/>
      <c r="J268" s="314"/>
      <c r="K268" s="314"/>
      <c r="L268" s="314">
        <f>SUM(ventas_b_mes11[[#This Row],[IMPORTE NETO]:[EXENTO]])</f>
        <v>0</v>
      </c>
      <c r="M268" s="315"/>
    </row>
    <row r="269" spans="2:13">
      <c r="B269" s="306"/>
      <c r="C269" s="41"/>
      <c r="D269" s="308"/>
      <c r="E269" s="309"/>
      <c r="F269" s="310"/>
      <c r="G269" s="311" t="str">
        <f>IFERROR(IF(ventas_b_mes11[[#This Row],[CUIT]]="","-",VLOOKUP(ventas_b_mes11[[#This Row],[CUIT]],Lista_CUIT[#All],2,0)),"CUIT NO CARGADO")</f>
        <v>-</v>
      </c>
      <c r="H269" s="312"/>
      <c r="I269" s="313"/>
      <c r="J269" s="314"/>
      <c r="K269" s="314"/>
      <c r="L269" s="314">
        <f>SUM(ventas_b_mes11[[#This Row],[IMPORTE NETO]:[EXENTO]])</f>
        <v>0</v>
      </c>
      <c r="M269" s="315"/>
    </row>
    <row r="270" spans="2:13">
      <c r="B270" s="306"/>
      <c r="C270" s="41"/>
      <c r="D270" s="308"/>
      <c r="E270" s="309"/>
      <c r="F270" s="310"/>
      <c r="G270" s="311" t="str">
        <f>IFERROR(IF(ventas_b_mes11[[#This Row],[CUIT]]="","-",VLOOKUP(ventas_b_mes11[[#This Row],[CUIT]],Lista_CUIT[#All],2,0)),"CUIT NO CARGADO")</f>
        <v>-</v>
      </c>
      <c r="H270" s="312"/>
      <c r="I270" s="313"/>
      <c r="J270" s="314"/>
      <c r="K270" s="314"/>
      <c r="L270" s="314">
        <f>SUM(ventas_b_mes11[[#This Row],[IMPORTE NETO]:[EXENTO]])</f>
        <v>0</v>
      </c>
      <c r="M270" s="315"/>
    </row>
    <row r="271" spans="2:13">
      <c r="B271" s="306"/>
      <c r="C271" s="41"/>
      <c r="D271" s="308"/>
      <c r="E271" s="309"/>
      <c r="F271" s="310"/>
      <c r="G271" s="311" t="str">
        <f>IFERROR(IF(ventas_b_mes11[[#This Row],[CUIT]]="","-",VLOOKUP(ventas_b_mes11[[#This Row],[CUIT]],Lista_CUIT[#All],2,0)),"CUIT NO CARGADO")</f>
        <v>-</v>
      </c>
      <c r="H271" s="312"/>
      <c r="I271" s="313"/>
      <c r="J271" s="314"/>
      <c r="K271" s="314"/>
      <c r="L271" s="314">
        <f>SUM(ventas_b_mes11[[#This Row],[IMPORTE NETO]:[EXENTO]])</f>
        <v>0</v>
      </c>
      <c r="M271" s="315"/>
    </row>
    <row r="272" spans="2:13">
      <c r="B272" s="306"/>
      <c r="C272" s="41"/>
      <c r="D272" s="308"/>
      <c r="E272" s="309"/>
      <c r="F272" s="310"/>
      <c r="G272" s="311" t="str">
        <f>IFERROR(IF(ventas_b_mes11[[#This Row],[CUIT]]="","-",VLOOKUP(ventas_b_mes11[[#This Row],[CUIT]],Lista_CUIT[#All],2,0)),"CUIT NO CARGADO")</f>
        <v>-</v>
      </c>
      <c r="H272" s="312"/>
      <c r="I272" s="313"/>
      <c r="J272" s="314"/>
      <c r="K272" s="314"/>
      <c r="L272" s="314">
        <f>SUM(ventas_b_mes11[[#This Row],[IMPORTE NETO]:[EXENTO]])</f>
        <v>0</v>
      </c>
      <c r="M272" s="315"/>
    </row>
    <row r="273" spans="2:13">
      <c r="B273" s="306"/>
      <c r="C273" s="41"/>
      <c r="D273" s="308"/>
      <c r="E273" s="309"/>
      <c r="F273" s="310"/>
      <c r="G273" s="311" t="str">
        <f>IFERROR(IF(ventas_b_mes11[[#This Row],[CUIT]]="","-",VLOOKUP(ventas_b_mes11[[#This Row],[CUIT]],Lista_CUIT[#All],2,0)),"CUIT NO CARGADO")</f>
        <v>-</v>
      </c>
      <c r="H273" s="312"/>
      <c r="I273" s="313"/>
      <c r="J273" s="314"/>
      <c r="K273" s="314"/>
      <c r="L273" s="314">
        <f>SUM(ventas_b_mes11[[#This Row],[IMPORTE NETO]:[EXENTO]])</f>
        <v>0</v>
      </c>
      <c r="M273" s="315"/>
    </row>
    <row r="274" spans="2:13">
      <c r="B274" s="306"/>
      <c r="C274" s="41"/>
      <c r="D274" s="308"/>
      <c r="E274" s="309"/>
      <c r="F274" s="310"/>
      <c r="G274" s="311" t="str">
        <f>IFERROR(IF(ventas_b_mes11[[#This Row],[CUIT]]="","-",VLOOKUP(ventas_b_mes11[[#This Row],[CUIT]],Lista_CUIT[#All],2,0)),"CUIT NO CARGADO")</f>
        <v>-</v>
      </c>
      <c r="H274" s="312"/>
      <c r="I274" s="313"/>
      <c r="J274" s="314"/>
      <c r="K274" s="314"/>
      <c r="L274" s="314">
        <f>SUM(ventas_b_mes11[[#This Row],[IMPORTE NETO]:[EXENTO]])</f>
        <v>0</v>
      </c>
      <c r="M274" s="315"/>
    </row>
    <row r="275" spans="2:13">
      <c r="B275" s="306"/>
      <c r="C275" s="41"/>
      <c r="D275" s="308"/>
      <c r="E275" s="309"/>
      <c r="F275" s="310"/>
      <c r="G275" s="311" t="str">
        <f>IFERROR(IF(ventas_b_mes11[[#This Row],[CUIT]]="","-",VLOOKUP(ventas_b_mes11[[#This Row],[CUIT]],Lista_CUIT[#All],2,0)),"CUIT NO CARGADO")</f>
        <v>-</v>
      </c>
      <c r="H275" s="312"/>
      <c r="I275" s="313"/>
      <c r="J275" s="314"/>
      <c r="K275" s="314"/>
      <c r="L275" s="314">
        <f>SUM(ventas_b_mes11[[#This Row],[IMPORTE NETO]:[EXENTO]])</f>
        <v>0</v>
      </c>
      <c r="M275" s="315"/>
    </row>
    <row r="276" spans="2:13">
      <c r="B276" s="306"/>
      <c r="C276" s="41"/>
      <c r="D276" s="308"/>
      <c r="E276" s="309"/>
      <c r="F276" s="310"/>
      <c r="G276" s="311" t="str">
        <f>IFERROR(IF(ventas_b_mes11[[#This Row],[CUIT]]="","-",VLOOKUP(ventas_b_mes11[[#This Row],[CUIT]],Lista_CUIT[#All],2,0)),"CUIT NO CARGADO")</f>
        <v>-</v>
      </c>
      <c r="H276" s="312"/>
      <c r="I276" s="313"/>
      <c r="J276" s="314"/>
      <c r="K276" s="314"/>
      <c r="L276" s="314">
        <f>SUM(ventas_b_mes11[[#This Row],[IMPORTE NETO]:[EXENTO]])</f>
        <v>0</v>
      </c>
      <c r="M276" s="315"/>
    </row>
    <row r="277" spans="2:13">
      <c r="B277" s="306"/>
      <c r="C277" s="41"/>
      <c r="D277" s="308"/>
      <c r="E277" s="309"/>
      <c r="F277" s="310"/>
      <c r="G277" s="311" t="str">
        <f>IFERROR(IF(ventas_b_mes11[[#This Row],[CUIT]]="","-",VLOOKUP(ventas_b_mes11[[#This Row],[CUIT]],Lista_CUIT[#All],2,0)),"CUIT NO CARGADO")</f>
        <v>-</v>
      </c>
      <c r="H277" s="312"/>
      <c r="I277" s="313"/>
      <c r="J277" s="314"/>
      <c r="K277" s="314"/>
      <c r="L277" s="314">
        <f>SUM(ventas_b_mes11[[#This Row],[IMPORTE NETO]:[EXENTO]])</f>
        <v>0</v>
      </c>
      <c r="M277" s="315"/>
    </row>
    <row r="278" spans="2:13">
      <c r="B278" s="306"/>
      <c r="C278" s="41"/>
      <c r="D278" s="308"/>
      <c r="E278" s="309"/>
      <c r="F278" s="310"/>
      <c r="G278" s="311" t="str">
        <f>IFERROR(IF(ventas_b_mes11[[#This Row],[CUIT]]="","-",VLOOKUP(ventas_b_mes11[[#This Row],[CUIT]],Lista_CUIT[#All],2,0)),"CUIT NO CARGADO")</f>
        <v>-</v>
      </c>
      <c r="H278" s="312"/>
      <c r="I278" s="313"/>
      <c r="J278" s="314"/>
      <c r="K278" s="314"/>
      <c r="L278" s="314">
        <f>SUM(ventas_b_mes11[[#This Row],[IMPORTE NETO]:[EXENTO]])</f>
        <v>0</v>
      </c>
      <c r="M278" s="315"/>
    </row>
    <row r="279" spans="2:13">
      <c r="B279" s="306"/>
      <c r="C279" s="41"/>
      <c r="D279" s="308"/>
      <c r="E279" s="309"/>
      <c r="F279" s="310"/>
      <c r="G279" s="311" t="str">
        <f>IFERROR(IF(ventas_b_mes11[[#This Row],[CUIT]]="","-",VLOOKUP(ventas_b_mes11[[#This Row],[CUIT]],Lista_CUIT[#All],2,0)),"CUIT NO CARGADO")</f>
        <v>-</v>
      </c>
      <c r="H279" s="312"/>
      <c r="I279" s="313"/>
      <c r="J279" s="314"/>
      <c r="K279" s="314"/>
      <c r="L279" s="314">
        <f>SUM(ventas_b_mes11[[#This Row],[IMPORTE NETO]:[EXENTO]])</f>
        <v>0</v>
      </c>
      <c r="M279" s="315"/>
    </row>
    <row r="280" spans="2:13">
      <c r="B280" s="306"/>
      <c r="C280" s="41"/>
      <c r="D280" s="308"/>
      <c r="E280" s="309"/>
      <c r="F280" s="310"/>
      <c r="G280" s="311" t="str">
        <f>IFERROR(IF(ventas_b_mes11[[#This Row],[CUIT]]="","-",VLOOKUP(ventas_b_mes11[[#This Row],[CUIT]],Lista_CUIT[#All],2,0)),"CUIT NO CARGADO")</f>
        <v>-</v>
      </c>
      <c r="H280" s="312"/>
      <c r="I280" s="313"/>
      <c r="J280" s="314"/>
      <c r="K280" s="314"/>
      <c r="L280" s="314">
        <f>SUM(ventas_b_mes11[[#This Row],[IMPORTE NETO]:[EXENTO]])</f>
        <v>0</v>
      </c>
      <c r="M280" s="315"/>
    </row>
    <row r="281" spans="2:13">
      <c r="B281" s="306"/>
      <c r="C281" s="41"/>
      <c r="D281" s="308"/>
      <c r="E281" s="309"/>
      <c r="F281" s="310"/>
      <c r="G281" s="311" t="str">
        <f>IFERROR(IF(ventas_b_mes11[[#This Row],[CUIT]]="","-",VLOOKUP(ventas_b_mes11[[#This Row],[CUIT]],Lista_CUIT[#All],2,0)),"CUIT NO CARGADO")</f>
        <v>-</v>
      </c>
      <c r="H281" s="312"/>
      <c r="I281" s="313"/>
      <c r="J281" s="314"/>
      <c r="K281" s="314"/>
      <c r="L281" s="314">
        <f>SUM(ventas_b_mes11[[#This Row],[IMPORTE NETO]:[EXENTO]])</f>
        <v>0</v>
      </c>
      <c r="M281" s="315"/>
    </row>
    <row r="282" spans="2:13">
      <c r="B282" s="306"/>
      <c r="C282" s="41"/>
      <c r="D282" s="308"/>
      <c r="E282" s="309"/>
      <c r="F282" s="310"/>
      <c r="G282" s="311" t="str">
        <f>IFERROR(IF(ventas_b_mes11[[#This Row],[CUIT]]="","-",VLOOKUP(ventas_b_mes11[[#This Row],[CUIT]],Lista_CUIT[#All],2,0)),"CUIT NO CARGADO")</f>
        <v>-</v>
      </c>
      <c r="H282" s="312"/>
      <c r="I282" s="313"/>
      <c r="J282" s="314"/>
      <c r="K282" s="314"/>
      <c r="L282" s="314">
        <f>SUM(ventas_b_mes11[[#This Row],[IMPORTE NETO]:[EXENTO]])</f>
        <v>0</v>
      </c>
      <c r="M282" s="315"/>
    </row>
    <row r="283" spans="2:13">
      <c r="B283" s="306"/>
      <c r="C283" s="41"/>
      <c r="D283" s="308"/>
      <c r="E283" s="309"/>
      <c r="F283" s="310"/>
      <c r="G283" s="311" t="str">
        <f>IFERROR(IF(ventas_b_mes11[[#This Row],[CUIT]]="","-",VLOOKUP(ventas_b_mes11[[#This Row],[CUIT]],Lista_CUIT[#All],2,0)),"CUIT NO CARGADO")</f>
        <v>-</v>
      </c>
      <c r="H283" s="312"/>
      <c r="I283" s="313"/>
      <c r="J283" s="314"/>
      <c r="K283" s="314"/>
      <c r="L283" s="314">
        <f>SUM(ventas_b_mes11[[#This Row],[IMPORTE NETO]:[EXENTO]])</f>
        <v>0</v>
      </c>
      <c r="M283" s="315"/>
    </row>
    <row r="284" spans="2:13">
      <c r="B284" s="306"/>
      <c r="C284" s="41"/>
      <c r="D284" s="308"/>
      <c r="E284" s="309"/>
      <c r="F284" s="310"/>
      <c r="G284" s="311" t="str">
        <f>IFERROR(IF(ventas_b_mes11[[#This Row],[CUIT]]="","-",VLOOKUP(ventas_b_mes11[[#This Row],[CUIT]],Lista_CUIT[#All],2,0)),"CUIT NO CARGADO")</f>
        <v>-</v>
      </c>
      <c r="H284" s="312"/>
      <c r="I284" s="313"/>
      <c r="J284" s="314"/>
      <c r="K284" s="314"/>
      <c r="L284" s="314">
        <f>SUM(ventas_b_mes11[[#This Row],[IMPORTE NETO]:[EXENTO]])</f>
        <v>0</v>
      </c>
      <c r="M284" s="315"/>
    </row>
    <row r="285" spans="2:13">
      <c r="B285" s="306"/>
      <c r="C285" s="41"/>
      <c r="D285" s="308"/>
      <c r="E285" s="309"/>
      <c r="F285" s="310"/>
      <c r="G285" s="311" t="str">
        <f>IFERROR(IF(ventas_b_mes11[[#This Row],[CUIT]]="","-",VLOOKUP(ventas_b_mes11[[#This Row],[CUIT]],Lista_CUIT[#All],2,0)),"CUIT NO CARGADO")</f>
        <v>-</v>
      </c>
      <c r="H285" s="312"/>
      <c r="I285" s="313"/>
      <c r="J285" s="314"/>
      <c r="K285" s="314"/>
      <c r="L285" s="314">
        <f>SUM(ventas_b_mes11[[#This Row],[IMPORTE NETO]:[EXENTO]])</f>
        <v>0</v>
      </c>
      <c r="M285" s="315"/>
    </row>
    <row r="286" spans="2:13">
      <c r="B286" s="306"/>
      <c r="C286" s="41"/>
      <c r="D286" s="308"/>
      <c r="E286" s="309"/>
      <c r="F286" s="310"/>
      <c r="G286" s="311" t="str">
        <f>IFERROR(IF(ventas_b_mes11[[#This Row],[CUIT]]="","-",VLOOKUP(ventas_b_mes11[[#This Row],[CUIT]],Lista_CUIT[#All],2,0)),"CUIT NO CARGADO")</f>
        <v>-</v>
      </c>
      <c r="H286" s="312"/>
      <c r="I286" s="313"/>
      <c r="J286" s="314"/>
      <c r="K286" s="314"/>
      <c r="L286" s="314">
        <f>SUM(ventas_b_mes11[[#This Row],[IMPORTE NETO]:[EXENTO]])</f>
        <v>0</v>
      </c>
      <c r="M286" s="315"/>
    </row>
    <row r="287" spans="2:13">
      <c r="B287" s="306"/>
      <c r="C287" s="41"/>
      <c r="D287" s="308"/>
      <c r="E287" s="309"/>
      <c r="F287" s="310"/>
      <c r="G287" s="311" t="str">
        <f>IFERROR(IF(ventas_b_mes11[[#This Row],[CUIT]]="","-",VLOOKUP(ventas_b_mes11[[#This Row],[CUIT]],Lista_CUIT[#All],2,0)),"CUIT NO CARGADO")</f>
        <v>-</v>
      </c>
      <c r="H287" s="312"/>
      <c r="I287" s="313"/>
      <c r="J287" s="314"/>
      <c r="K287" s="314"/>
      <c r="L287" s="314">
        <f>SUM(ventas_b_mes11[[#This Row],[IMPORTE NETO]:[EXENTO]])</f>
        <v>0</v>
      </c>
      <c r="M287" s="315"/>
    </row>
    <row r="288" spans="2:13">
      <c r="B288" s="306"/>
      <c r="C288" s="41"/>
      <c r="D288" s="308"/>
      <c r="E288" s="309"/>
      <c r="F288" s="310"/>
      <c r="G288" s="311" t="str">
        <f>IFERROR(IF(ventas_b_mes11[[#This Row],[CUIT]]="","-",VLOOKUP(ventas_b_mes11[[#This Row],[CUIT]],Lista_CUIT[#All],2,0)),"CUIT NO CARGADO")</f>
        <v>-</v>
      </c>
      <c r="H288" s="312"/>
      <c r="I288" s="313"/>
      <c r="J288" s="314"/>
      <c r="K288" s="314"/>
      <c r="L288" s="314">
        <f>SUM(ventas_b_mes11[[#This Row],[IMPORTE NETO]:[EXENTO]])</f>
        <v>0</v>
      </c>
      <c r="M288" s="315"/>
    </row>
    <row r="289" spans="2:13">
      <c r="B289" s="306"/>
      <c r="C289" s="41"/>
      <c r="D289" s="308"/>
      <c r="E289" s="309"/>
      <c r="F289" s="310"/>
      <c r="G289" s="311" t="str">
        <f>IFERROR(IF(ventas_b_mes11[[#This Row],[CUIT]]="","-",VLOOKUP(ventas_b_mes11[[#This Row],[CUIT]],Lista_CUIT[#All],2,0)),"CUIT NO CARGADO")</f>
        <v>-</v>
      </c>
      <c r="H289" s="312"/>
      <c r="I289" s="313"/>
      <c r="J289" s="314"/>
      <c r="K289" s="314"/>
      <c r="L289" s="314">
        <f>SUM(ventas_b_mes11[[#This Row],[IMPORTE NETO]:[EXENTO]])</f>
        <v>0</v>
      </c>
      <c r="M289" s="315"/>
    </row>
    <row r="290" spans="2:13">
      <c r="B290" s="306"/>
      <c r="C290" s="41"/>
      <c r="D290" s="308"/>
      <c r="E290" s="309"/>
      <c r="F290" s="310"/>
      <c r="G290" s="311" t="str">
        <f>IFERROR(IF(ventas_b_mes11[[#This Row],[CUIT]]="","-",VLOOKUP(ventas_b_mes11[[#This Row],[CUIT]],Lista_CUIT[#All],2,0)),"CUIT NO CARGADO")</f>
        <v>-</v>
      </c>
      <c r="H290" s="312"/>
      <c r="I290" s="313"/>
      <c r="J290" s="314"/>
      <c r="K290" s="314"/>
      <c r="L290" s="314">
        <f>SUM(ventas_b_mes11[[#This Row],[IMPORTE NETO]:[EXENTO]])</f>
        <v>0</v>
      </c>
      <c r="M290" s="315"/>
    </row>
    <row r="291" spans="2:13">
      <c r="B291" s="306"/>
      <c r="C291" s="41"/>
      <c r="D291" s="308"/>
      <c r="E291" s="309"/>
      <c r="F291" s="310"/>
      <c r="G291" s="311" t="str">
        <f>IFERROR(IF(ventas_b_mes11[[#This Row],[CUIT]]="","-",VLOOKUP(ventas_b_mes11[[#This Row],[CUIT]],Lista_CUIT[#All],2,0)),"CUIT NO CARGADO")</f>
        <v>-</v>
      </c>
      <c r="H291" s="312"/>
      <c r="I291" s="313"/>
      <c r="J291" s="314"/>
      <c r="K291" s="314"/>
      <c r="L291" s="314">
        <f>SUM(ventas_b_mes11[[#This Row],[IMPORTE NETO]:[EXENTO]])</f>
        <v>0</v>
      </c>
      <c r="M291" s="315"/>
    </row>
    <row r="292" spans="2:13">
      <c r="B292" s="306"/>
      <c r="C292" s="41"/>
      <c r="D292" s="308"/>
      <c r="E292" s="309"/>
      <c r="F292" s="310"/>
      <c r="G292" s="311" t="str">
        <f>IFERROR(IF(ventas_b_mes11[[#This Row],[CUIT]]="","-",VLOOKUP(ventas_b_mes11[[#This Row],[CUIT]],Lista_CUIT[#All],2,0)),"CUIT NO CARGADO")</f>
        <v>-</v>
      </c>
      <c r="H292" s="312"/>
      <c r="I292" s="313"/>
      <c r="J292" s="314"/>
      <c r="K292" s="314"/>
      <c r="L292" s="314">
        <f>SUM(ventas_b_mes11[[#This Row],[IMPORTE NETO]:[EXENTO]])</f>
        <v>0</v>
      </c>
      <c r="M292" s="315"/>
    </row>
    <row r="293" spans="2:13">
      <c r="B293" s="306"/>
      <c r="C293" s="41"/>
      <c r="D293" s="308"/>
      <c r="E293" s="309"/>
      <c r="F293" s="310"/>
      <c r="G293" s="311" t="str">
        <f>IFERROR(IF(ventas_b_mes11[[#This Row],[CUIT]]="","-",VLOOKUP(ventas_b_mes11[[#This Row],[CUIT]],Lista_CUIT[#All],2,0)),"CUIT NO CARGADO")</f>
        <v>-</v>
      </c>
      <c r="H293" s="312"/>
      <c r="I293" s="313"/>
      <c r="J293" s="314"/>
      <c r="K293" s="314"/>
      <c r="L293" s="314">
        <f>SUM(ventas_b_mes11[[#This Row],[IMPORTE NETO]:[EXENTO]])</f>
        <v>0</v>
      </c>
      <c r="M293" s="315"/>
    </row>
    <row r="294" spans="2:13">
      <c r="B294" s="306"/>
      <c r="C294" s="41"/>
      <c r="D294" s="308"/>
      <c r="E294" s="309"/>
      <c r="F294" s="310"/>
      <c r="G294" s="311" t="str">
        <f>IFERROR(IF(ventas_b_mes11[[#This Row],[CUIT]]="","-",VLOOKUP(ventas_b_mes11[[#This Row],[CUIT]],Lista_CUIT[#All],2,0)),"CUIT NO CARGADO")</f>
        <v>-</v>
      </c>
      <c r="H294" s="312"/>
      <c r="I294" s="313"/>
      <c r="J294" s="314"/>
      <c r="K294" s="314"/>
      <c r="L294" s="314">
        <f>SUM(ventas_b_mes11[[#This Row],[IMPORTE NETO]:[EXENTO]])</f>
        <v>0</v>
      </c>
      <c r="M294" s="315"/>
    </row>
    <row r="295" spans="2:13">
      <c r="B295" s="306"/>
      <c r="C295" s="41"/>
      <c r="D295" s="308"/>
      <c r="E295" s="309"/>
      <c r="F295" s="310"/>
      <c r="G295" s="311" t="str">
        <f>IFERROR(IF(ventas_b_mes11[[#This Row],[CUIT]]="","-",VLOOKUP(ventas_b_mes11[[#This Row],[CUIT]],Lista_CUIT[#All],2,0)),"CUIT NO CARGADO")</f>
        <v>-</v>
      </c>
      <c r="H295" s="312"/>
      <c r="I295" s="313"/>
      <c r="J295" s="314"/>
      <c r="K295" s="314"/>
      <c r="L295" s="314">
        <f>SUM(ventas_b_mes11[[#This Row],[IMPORTE NETO]:[EXENTO]])</f>
        <v>0</v>
      </c>
      <c r="M295" s="315"/>
    </row>
    <row r="296" spans="2:13">
      <c r="B296" s="306"/>
      <c r="C296" s="41"/>
      <c r="D296" s="308"/>
      <c r="E296" s="309"/>
      <c r="F296" s="310"/>
      <c r="G296" s="311" t="str">
        <f>IFERROR(IF(ventas_b_mes11[[#This Row],[CUIT]]="","-",VLOOKUP(ventas_b_mes11[[#This Row],[CUIT]],Lista_CUIT[#All],2,0)),"CUIT NO CARGADO")</f>
        <v>-</v>
      </c>
      <c r="H296" s="312"/>
      <c r="I296" s="313"/>
      <c r="J296" s="314"/>
      <c r="K296" s="314"/>
      <c r="L296" s="314">
        <f>SUM(ventas_b_mes11[[#This Row],[IMPORTE NETO]:[EXENTO]])</f>
        <v>0</v>
      </c>
      <c r="M296" s="315"/>
    </row>
    <row r="297" spans="2:13">
      <c r="B297" s="306"/>
      <c r="C297" s="41"/>
      <c r="D297" s="308"/>
      <c r="E297" s="309"/>
      <c r="F297" s="310"/>
      <c r="G297" s="311" t="str">
        <f>IFERROR(IF(ventas_b_mes11[[#This Row],[CUIT]]="","-",VLOOKUP(ventas_b_mes11[[#This Row],[CUIT]],Lista_CUIT[#All],2,0)),"CUIT NO CARGADO")</f>
        <v>-</v>
      </c>
      <c r="H297" s="312"/>
      <c r="I297" s="313"/>
      <c r="J297" s="314"/>
      <c r="K297" s="314"/>
      <c r="L297" s="314">
        <f>SUM(ventas_b_mes11[[#This Row],[IMPORTE NETO]:[EXENTO]])</f>
        <v>0</v>
      </c>
      <c r="M297" s="315"/>
    </row>
    <row r="298" spans="2:13">
      <c r="B298" s="306"/>
      <c r="C298" s="41"/>
      <c r="D298" s="308"/>
      <c r="E298" s="309"/>
      <c r="F298" s="310"/>
      <c r="G298" s="311" t="str">
        <f>IFERROR(IF(ventas_b_mes11[[#This Row],[CUIT]]="","-",VLOOKUP(ventas_b_mes11[[#This Row],[CUIT]],Lista_CUIT[#All],2,0)),"CUIT NO CARGADO")</f>
        <v>-</v>
      </c>
      <c r="H298" s="312"/>
      <c r="I298" s="313"/>
      <c r="J298" s="314"/>
      <c r="K298" s="314"/>
      <c r="L298" s="314">
        <f>SUM(ventas_b_mes11[[#This Row],[IMPORTE NETO]:[EXENTO]])</f>
        <v>0</v>
      </c>
      <c r="M298" s="315"/>
    </row>
    <row r="299" spans="2:13">
      <c r="B299" s="306"/>
      <c r="C299" s="41"/>
      <c r="D299" s="308"/>
      <c r="E299" s="309"/>
      <c r="F299" s="310"/>
      <c r="G299" s="311" t="str">
        <f>IFERROR(IF(ventas_b_mes11[[#This Row],[CUIT]]="","-",VLOOKUP(ventas_b_mes11[[#This Row],[CUIT]],Lista_CUIT[#All],2,0)),"CUIT NO CARGADO")</f>
        <v>-</v>
      </c>
      <c r="H299" s="312"/>
      <c r="I299" s="313"/>
      <c r="J299" s="314"/>
      <c r="K299" s="314"/>
      <c r="L299" s="314">
        <f>SUM(ventas_b_mes11[[#This Row],[IMPORTE NETO]:[EXENTO]])</f>
        <v>0</v>
      </c>
      <c r="M299" s="315"/>
    </row>
    <row r="300" spans="2:13">
      <c r="B300" s="306"/>
      <c r="C300" s="41"/>
      <c r="D300" s="308"/>
      <c r="E300" s="309"/>
      <c r="F300" s="310"/>
      <c r="G300" s="311" t="str">
        <f>IFERROR(IF(ventas_b_mes11[[#This Row],[CUIT]]="","-",VLOOKUP(ventas_b_mes11[[#This Row],[CUIT]],Lista_CUIT[#All],2,0)),"CUIT NO CARGADO")</f>
        <v>-</v>
      </c>
      <c r="H300" s="312"/>
      <c r="I300" s="313"/>
      <c r="J300" s="314"/>
      <c r="K300" s="314"/>
      <c r="L300" s="314">
        <f>SUM(ventas_b_mes11[[#This Row],[IMPORTE NETO]:[EXENTO]])</f>
        <v>0</v>
      </c>
      <c r="M300" s="315"/>
    </row>
    <row r="301" spans="2:13">
      <c r="B301" s="306"/>
      <c r="C301" s="41"/>
      <c r="D301" s="308"/>
      <c r="E301" s="309"/>
      <c r="F301" s="310"/>
      <c r="G301" s="311" t="str">
        <f>IFERROR(IF(ventas_b_mes11[[#This Row],[CUIT]]="","-",VLOOKUP(ventas_b_mes11[[#This Row],[CUIT]],Lista_CUIT[#All],2,0)),"CUIT NO CARGADO")</f>
        <v>-</v>
      </c>
      <c r="H301" s="312"/>
      <c r="I301" s="313"/>
      <c r="J301" s="314"/>
      <c r="K301" s="314"/>
      <c r="L301" s="314">
        <f>SUM(ventas_b_mes11[[#This Row],[IMPORTE NETO]:[EXENTO]])</f>
        <v>0</v>
      </c>
      <c r="M301" s="315"/>
    </row>
    <row r="302" spans="2:13">
      <c r="B302" s="306"/>
      <c r="C302" s="41"/>
      <c r="D302" s="308"/>
      <c r="E302" s="309"/>
      <c r="F302" s="310"/>
      <c r="G302" s="311" t="str">
        <f>IFERROR(IF(ventas_b_mes11[[#This Row],[CUIT]]="","-",VLOOKUP(ventas_b_mes11[[#This Row],[CUIT]],Lista_CUIT[#All],2,0)),"CUIT NO CARGADO")</f>
        <v>-</v>
      </c>
      <c r="H302" s="312"/>
      <c r="I302" s="313"/>
      <c r="J302" s="314"/>
      <c r="K302" s="314"/>
      <c r="L302" s="314">
        <f>SUM(ventas_b_mes11[[#This Row],[IMPORTE NETO]:[EXENTO]])</f>
        <v>0</v>
      </c>
      <c r="M302" s="315"/>
    </row>
    <row r="303" spans="2:13">
      <c r="B303" s="306"/>
      <c r="C303" s="41"/>
      <c r="D303" s="308"/>
      <c r="E303" s="309"/>
      <c r="F303" s="310"/>
      <c r="G303" s="311" t="str">
        <f>IFERROR(IF(ventas_b_mes11[[#This Row],[CUIT]]="","-",VLOOKUP(ventas_b_mes11[[#This Row],[CUIT]],Lista_CUIT[#All],2,0)),"CUIT NO CARGADO")</f>
        <v>-</v>
      </c>
      <c r="H303" s="312"/>
      <c r="I303" s="313"/>
      <c r="J303" s="314"/>
      <c r="K303" s="314"/>
      <c r="L303" s="314">
        <f>SUM(ventas_b_mes11[[#This Row],[IMPORTE NETO]:[EXENTO]])</f>
        <v>0</v>
      </c>
      <c r="M303" s="315"/>
    </row>
    <row r="304" spans="2:13">
      <c r="B304" s="306"/>
      <c r="C304" s="41"/>
      <c r="D304" s="308"/>
      <c r="E304" s="309"/>
      <c r="F304" s="310"/>
      <c r="G304" s="311" t="str">
        <f>IFERROR(IF(ventas_b_mes11[[#This Row],[CUIT]]="","-",VLOOKUP(ventas_b_mes11[[#This Row],[CUIT]],Lista_CUIT[#All],2,0)),"CUIT NO CARGADO")</f>
        <v>-</v>
      </c>
      <c r="H304" s="312"/>
      <c r="I304" s="313"/>
      <c r="J304" s="314"/>
      <c r="K304" s="314"/>
      <c r="L304" s="314">
        <f>SUM(ventas_b_mes11[[#This Row],[IMPORTE NETO]:[EXENTO]])</f>
        <v>0</v>
      </c>
      <c r="M304" s="315"/>
    </row>
    <row r="305" spans="2:13">
      <c r="B305" s="306"/>
      <c r="C305" s="41"/>
      <c r="D305" s="308"/>
      <c r="E305" s="309"/>
      <c r="F305" s="310"/>
      <c r="G305" s="311" t="str">
        <f>IFERROR(IF(ventas_b_mes11[[#This Row],[CUIT]]="","-",VLOOKUP(ventas_b_mes11[[#This Row],[CUIT]],Lista_CUIT[#All],2,0)),"CUIT NO CARGADO")</f>
        <v>-</v>
      </c>
      <c r="H305" s="312"/>
      <c r="I305" s="313"/>
      <c r="J305" s="314"/>
      <c r="K305" s="314"/>
      <c r="L305" s="314">
        <f>SUM(ventas_b_mes11[[#This Row],[IMPORTE NETO]:[EXENTO]])</f>
        <v>0</v>
      </c>
      <c r="M305" s="315"/>
    </row>
    <row r="306" spans="2:13">
      <c r="B306" s="306"/>
      <c r="C306" s="41"/>
      <c r="D306" s="308"/>
      <c r="E306" s="309"/>
      <c r="F306" s="310"/>
      <c r="G306" s="311" t="str">
        <f>IFERROR(IF(ventas_b_mes11[[#This Row],[CUIT]]="","-",VLOOKUP(ventas_b_mes11[[#This Row],[CUIT]],Lista_CUIT[#All],2,0)),"CUIT NO CARGADO")</f>
        <v>-</v>
      </c>
      <c r="H306" s="312"/>
      <c r="I306" s="313"/>
      <c r="J306" s="314"/>
      <c r="K306" s="314"/>
      <c r="L306" s="314">
        <f>SUM(ventas_b_mes11[[#This Row],[IMPORTE NETO]:[EXENTO]])</f>
        <v>0</v>
      </c>
      <c r="M306" s="315"/>
    </row>
    <row r="307" spans="2:13">
      <c r="B307" s="306"/>
      <c r="C307" s="41"/>
      <c r="D307" s="308"/>
      <c r="E307" s="309"/>
      <c r="F307" s="310"/>
      <c r="G307" s="311" t="str">
        <f>IFERROR(IF(ventas_b_mes11[[#This Row],[CUIT]]="","-",VLOOKUP(ventas_b_mes11[[#This Row],[CUIT]],Lista_CUIT[#All],2,0)),"CUIT NO CARGADO")</f>
        <v>-</v>
      </c>
      <c r="H307" s="312"/>
      <c r="I307" s="313"/>
      <c r="J307" s="314"/>
      <c r="K307" s="314"/>
      <c r="L307" s="314">
        <f>SUM(ventas_b_mes11[[#This Row],[IMPORTE NETO]:[EXENTO]])</f>
        <v>0</v>
      </c>
      <c r="M307" s="315"/>
    </row>
    <row r="308" spans="2:13">
      <c r="B308" s="306"/>
      <c r="C308" s="41"/>
      <c r="D308" s="308"/>
      <c r="E308" s="309"/>
      <c r="F308" s="310"/>
      <c r="G308" s="311" t="str">
        <f>IFERROR(IF(ventas_b_mes11[[#This Row],[CUIT]]="","-",VLOOKUP(ventas_b_mes11[[#This Row],[CUIT]],Lista_CUIT[#All],2,0)),"CUIT NO CARGADO")</f>
        <v>-</v>
      </c>
      <c r="H308" s="312"/>
      <c r="I308" s="313"/>
      <c r="J308" s="314"/>
      <c r="K308" s="314"/>
      <c r="L308" s="314">
        <f>SUM(ventas_b_mes11[[#This Row],[IMPORTE NETO]:[EXENTO]])</f>
        <v>0</v>
      </c>
      <c r="M308" s="315"/>
    </row>
    <row r="309" spans="2:13">
      <c r="B309" s="306"/>
      <c r="C309" s="41"/>
      <c r="D309" s="308"/>
      <c r="E309" s="309"/>
      <c r="F309" s="310"/>
      <c r="G309" s="311" t="str">
        <f>IFERROR(IF(ventas_b_mes11[[#This Row],[CUIT]]="","-",VLOOKUP(ventas_b_mes11[[#This Row],[CUIT]],Lista_CUIT[#All],2,0)),"CUIT NO CARGADO")</f>
        <v>-</v>
      </c>
      <c r="H309" s="312"/>
      <c r="I309" s="313"/>
      <c r="J309" s="314"/>
      <c r="K309" s="314"/>
      <c r="L309" s="314">
        <f>SUM(ventas_b_mes11[[#This Row],[IMPORTE NETO]:[EXENTO]])</f>
        <v>0</v>
      </c>
      <c r="M309" s="315"/>
    </row>
    <row r="310" spans="2:13">
      <c r="B310" s="306"/>
      <c r="C310" s="41"/>
      <c r="D310" s="308"/>
      <c r="E310" s="309"/>
      <c r="F310" s="310"/>
      <c r="G310" s="311" t="str">
        <f>IFERROR(IF(ventas_b_mes11[[#This Row],[CUIT]]="","-",VLOOKUP(ventas_b_mes11[[#This Row],[CUIT]],Lista_CUIT[#All],2,0)),"CUIT NO CARGADO")</f>
        <v>-</v>
      </c>
      <c r="H310" s="312"/>
      <c r="I310" s="313"/>
      <c r="J310" s="314"/>
      <c r="K310" s="314"/>
      <c r="L310" s="314">
        <f>SUM(ventas_b_mes11[[#This Row],[IMPORTE NETO]:[EXENTO]])</f>
        <v>0</v>
      </c>
      <c r="M310" s="315"/>
    </row>
    <row r="311" spans="2:13">
      <c r="B311" s="306"/>
      <c r="C311" s="41"/>
      <c r="D311" s="308"/>
      <c r="E311" s="309"/>
      <c r="F311" s="310"/>
      <c r="G311" s="311" t="str">
        <f>IFERROR(IF(ventas_b_mes11[[#This Row],[CUIT]]="","-",VLOOKUP(ventas_b_mes11[[#This Row],[CUIT]],Lista_CUIT[#All],2,0)),"CUIT NO CARGADO")</f>
        <v>-</v>
      </c>
      <c r="H311" s="312"/>
      <c r="I311" s="313"/>
      <c r="J311" s="314"/>
      <c r="K311" s="314"/>
      <c r="L311" s="314">
        <f>SUM(ventas_b_mes11[[#This Row],[IMPORTE NETO]:[EXENTO]])</f>
        <v>0</v>
      </c>
      <c r="M311" s="315"/>
    </row>
    <row r="312" spans="2:13">
      <c r="B312" s="306"/>
      <c r="C312" s="41"/>
      <c r="D312" s="308"/>
      <c r="E312" s="309"/>
      <c r="F312" s="310"/>
      <c r="G312" s="311" t="str">
        <f>IFERROR(IF(ventas_b_mes11[[#This Row],[CUIT]]="","-",VLOOKUP(ventas_b_mes11[[#This Row],[CUIT]],Lista_CUIT[#All],2,0)),"CUIT NO CARGADO")</f>
        <v>-</v>
      </c>
      <c r="H312" s="312"/>
      <c r="I312" s="313"/>
      <c r="J312" s="314"/>
      <c r="K312" s="314"/>
      <c r="L312" s="314">
        <f>SUM(ventas_b_mes11[[#This Row],[IMPORTE NETO]:[EXENTO]])</f>
        <v>0</v>
      </c>
      <c r="M312" s="315"/>
    </row>
    <row r="313" spans="2:13">
      <c r="B313" s="306"/>
      <c r="C313" s="41"/>
      <c r="D313" s="308"/>
      <c r="E313" s="309"/>
      <c r="F313" s="310"/>
      <c r="G313" s="311" t="str">
        <f>IFERROR(IF(ventas_b_mes11[[#This Row],[CUIT]]="","-",VLOOKUP(ventas_b_mes11[[#This Row],[CUIT]],Lista_CUIT[#All],2,0)),"CUIT NO CARGADO")</f>
        <v>-</v>
      </c>
      <c r="H313" s="312"/>
      <c r="I313" s="313"/>
      <c r="J313" s="314"/>
      <c r="K313" s="314"/>
      <c r="L313" s="314">
        <f>SUM(ventas_b_mes11[[#This Row],[IMPORTE NETO]:[EXENTO]])</f>
        <v>0</v>
      </c>
      <c r="M313" s="315"/>
    </row>
    <row r="314" spans="2:13">
      <c r="B314" s="306"/>
      <c r="C314" s="41"/>
      <c r="D314" s="308"/>
      <c r="E314" s="309"/>
      <c r="F314" s="310"/>
      <c r="G314" s="311" t="str">
        <f>IFERROR(IF(ventas_b_mes11[[#This Row],[CUIT]]="","-",VLOOKUP(ventas_b_mes11[[#This Row],[CUIT]],Lista_CUIT[#All],2,0)),"CUIT NO CARGADO")</f>
        <v>-</v>
      </c>
      <c r="H314" s="312"/>
      <c r="I314" s="313"/>
      <c r="J314" s="314"/>
      <c r="K314" s="314"/>
      <c r="L314" s="314">
        <f>SUM(ventas_b_mes11[[#This Row],[IMPORTE NETO]:[EXENTO]])</f>
        <v>0</v>
      </c>
      <c r="M314" s="315"/>
    </row>
    <row r="315" spans="2:13">
      <c r="B315" s="306"/>
      <c r="C315" s="41"/>
      <c r="D315" s="308"/>
      <c r="E315" s="309"/>
      <c r="F315" s="310"/>
      <c r="G315" s="311" t="str">
        <f>IFERROR(IF(ventas_b_mes11[[#This Row],[CUIT]]="","-",VLOOKUP(ventas_b_mes11[[#This Row],[CUIT]],Lista_CUIT[#All],2,0)),"CUIT NO CARGADO")</f>
        <v>-</v>
      </c>
      <c r="H315" s="312"/>
      <c r="I315" s="313"/>
      <c r="J315" s="314"/>
      <c r="K315" s="314"/>
      <c r="L315" s="314">
        <f>SUM(ventas_b_mes11[[#This Row],[IMPORTE NETO]:[EXENTO]])</f>
        <v>0</v>
      </c>
      <c r="M315" s="315"/>
    </row>
    <row r="316" spans="2:13">
      <c r="B316" s="306"/>
      <c r="C316" s="41"/>
      <c r="D316" s="308"/>
      <c r="E316" s="309"/>
      <c r="F316" s="310"/>
      <c r="G316" s="311" t="str">
        <f>IFERROR(IF(ventas_b_mes11[[#This Row],[CUIT]]="","-",VLOOKUP(ventas_b_mes11[[#This Row],[CUIT]],Lista_CUIT[#All],2,0)),"CUIT NO CARGADO")</f>
        <v>-</v>
      </c>
      <c r="H316" s="312"/>
      <c r="I316" s="313"/>
      <c r="J316" s="314"/>
      <c r="K316" s="314"/>
      <c r="L316" s="314">
        <f>SUM(ventas_b_mes11[[#This Row],[IMPORTE NETO]:[EXENTO]])</f>
        <v>0</v>
      </c>
      <c r="M316" s="315"/>
    </row>
    <row r="317" spans="2:13">
      <c r="B317" s="306"/>
      <c r="C317" s="41"/>
      <c r="D317" s="308"/>
      <c r="E317" s="309"/>
      <c r="F317" s="310"/>
      <c r="G317" s="311" t="str">
        <f>IFERROR(IF(ventas_b_mes11[[#This Row],[CUIT]]="","-",VLOOKUP(ventas_b_mes11[[#This Row],[CUIT]],Lista_CUIT[#All],2,0)),"CUIT NO CARGADO")</f>
        <v>-</v>
      </c>
      <c r="H317" s="312"/>
      <c r="I317" s="313"/>
      <c r="J317" s="314"/>
      <c r="K317" s="314"/>
      <c r="L317" s="314">
        <f>SUM(ventas_b_mes11[[#This Row],[IMPORTE NETO]:[EXENTO]])</f>
        <v>0</v>
      </c>
      <c r="M317" s="315"/>
    </row>
    <row r="318" spans="2:13">
      <c r="B318" s="306"/>
      <c r="C318" s="41"/>
      <c r="D318" s="308"/>
      <c r="E318" s="309"/>
      <c r="F318" s="310"/>
      <c r="G318" s="311" t="str">
        <f>IFERROR(IF(ventas_b_mes11[[#This Row],[CUIT]]="","-",VLOOKUP(ventas_b_mes11[[#This Row],[CUIT]],Lista_CUIT[#All],2,0)),"CUIT NO CARGADO")</f>
        <v>-</v>
      </c>
      <c r="H318" s="312"/>
      <c r="I318" s="313"/>
      <c r="J318" s="314"/>
      <c r="K318" s="314"/>
      <c r="L318" s="314">
        <f>SUM(ventas_b_mes11[[#This Row],[IMPORTE NETO]:[EXENTO]])</f>
        <v>0</v>
      </c>
      <c r="M318" s="315"/>
    </row>
    <row r="319" spans="2:13">
      <c r="B319" s="306"/>
      <c r="C319" s="41"/>
      <c r="D319" s="308"/>
      <c r="E319" s="309"/>
      <c r="F319" s="310"/>
      <c r="G319" s="311" t="str">
        <f>IFERROR(IF(ventas_b_mes11[[#This Row],[CUIT]]="","-",VLOOKUP(ventas_b_mes11[[#This Row],[CUIT]],Lista_CUIT[#All],2,0)),"CUIT NO CARGADO")</f>
        <v>-</v>
      </c>
      <c r="H319" s="312"/>
      <c r="I319" s="313"/>
      <c r="J319" s="314"/>
      <c r="K319" s="314"/>
      <c r="L319" s="314">
        <f>SUM(ventas_b_mes11[[#This Row],[IMPORTE NETO]:[EXENTO]])</f>
        <v>0</v>
      </c>
      <c r="M319" s="315"/>
    </row>
    <row r="320" spans="2:13">
      <c r="B320" s="306"/>
      <c r="C320" s="41"/>
      <c r="D320" s="308"/>
      <c r="E320" s="309"/>
      <c r="F320" s="310"/>
      <c r="G320" s="311" t="str">
        <f>IFERROR(IF(ventas_b_mes11[[#This Row],[CUIT]]="","-",VLOOKUP(ventas_b_mes11[[#This Row],[CUIT]],Lista_CUIT[#All],2,0)),"CUIT NO CARGADO")</f>
        <v>-</v>
      </c>
      <c r="H320" s="312"/>
      <c r="I320" s="313"/>
      <c r="J320" s="314"/>
      <c r="K320" s="314"/>
      <c r="L320" s="314">
        <f>SUM(ventas_b_mes11[[#This Row],[IMPORTE NETO]:[EXENTO]])</f>
        <v>0</v>
      </c>
      <c r="M320" s="315"/>
    </row>
    <row r="321" spans="2:13">
      <c r="B321" s="306"/>
      <c r="C321" s="41"/>
      <c r="D321" s="308"/>
      <c r="E321" s="309"/>
      <c r="F321" s="310"/>
      <c r="G321" s="311" t="str">
        <f>IFERROR(IF(ventas_b_mes11[[#This Row],[CUIT]]="","-",VLOOKUP(ventas_b_mes11[[#This Row],[CUIT]],Lista_CUIT[#All],2,0)),"CUIT NO CARGADO")</f>
        <v>-</v>
      </c>
      <c r="H321" s="312"/>
      <c r="I321" s="313"/>
      <c r="J321" s="314"/>
      <c r="K321" s="314"/>
      <c r="L321" s="314">
        <f>SUM(ventas_b_mes11[[#This Row],[IMPORTE NETO]:[EXENTO]])</f>
        <v>0</v>
      </c>
      <c r="M321" s="315"/>
    </row>
    <row r="322" spans="2:13">
      <c r="B322" s="306"/>
      <c r="C322" s="41"/>
      <c r="D322" s="308"/>
      <c r="E322" s="309"/>
      <c r="F322" s="310"/>
      <c r="G322" s="311" t="str">
        <f>IFERROR(IF(ventas_b_mes11[[#This Row],[CUIT]]="","-",VLOOKUP(ventas_b_mes11[[#This Row],[CUIT]],Lista_CUIT[#All],2,0)),"CUIT NO CARGADO")</f>
        <v>-</v>
      </c>
      <c r="H322" s="312"/>
      <c r="I322" s="313"/>
      <c r="J322" s="314"/>
      <c r="K322" s="314"/>
      <c r="L322" s="314">
        <f>SUM(ventas_b_mes11[[#This Row],[IMPORTE NETO]:[EXENTO]])</f>
        <v>0</v>
      </c>
      <c r="M322" s="315"/>
    </row>
    <row r="323" spans="2:13">
      <c r="B323" s="306"/>
      <c r="C323" s="41"/>
      <c r="D323" s="308"/>
      <c r="E323" s="309"/>
      <c r="F323" s="310"/>
      <c r="G323" s="311" t="str">
        <f>IFERROR(IF(ventas_b_mes11[[#This Row],[CUIT]]="","-",VLOOKUP(ventas_b_mes11[[#This Row],[CUIT]],Lista_CUIT[#All],2,0)),"CUIT NO CARGADO")</f>
        <v>-</v>
      </c>
      <c r="H323" s="312"/>
      <c r="I323" s="313"/>
      <c r="J323" s="314"/>
      <c r="K323" s="314"/>
      <c r="L323" s="314">
        <f>SUM(ventas_b_mes11[[#This Row],[IMPORTE NETO]:[EXENTO]])</f>
        <v>0</v>
      </c>
      <c r="M323" s="315"/>
    </row>
    <row r="324" spans="2:13">
      <c r="B324" s="306"/>
      <c r="C324" s="41"/>
      <c r="D324" s="308"/>
      <c r="E324" s="309"/>
      <c r="F324" s="310"/>
      <c r="G324" s="311" t="str">
        <f>IFERROR(IF(ventas_b_mes11[[#This Row],[CUIT]]="","-",VLOOKUP(ventas_b_mes11[[#This Row],[CUIT]],Lista_CUIT[#All],2,0)),"CUIT NO CARGADO")</f>
        <v>-</v>
      </c>
      <c r="H324" s="312"/>
      <c r="I324" s="313"/>
      <c r="J324" s="314"/>
      <c r="K324" s="314"/>
      <c r="L324" s="314">
        <f>SUM(ventas_b_mes11[[#This Row],[IMPORTE NETO]:[EXENTO]])</f>
        <v>0</v>
      </c>
      <c r="M324" s="315"/>
    </row>
    <row r="325" spans="2:13">
      <c r="B325" s="306"/>
      <c r="C325" s="41"/>
      <c r="D325" s="308"/>
      <c r="E325" s="309"/>
      <c r="F325" s="310"/>
      <c r="G325" s="311" t="str">
        <f>IFERROR(IF(ventas_b_mes11[[#This Row],[CUIT]]="","-",VLOOKUP(ventas_b_mes11[[#This Row],[CUIT]],Lista_CUIT[#All],2,0)),"CUIT NO CARGADO")</f>
        <v>-</v>
      </c>
      <c r="H325" s="312"/>
      <c r="I325" s="313"/>
      <c r="J325" s="314"/>
      <c r="K325" s="314"/>
      <c r="L325" s="314">
        <f>SUM(ventas_b_mes11[[#This Row],[IMPORTE NETO]:[EXENTO]])</f>
        <v>0</v>
      </c>
      <c r="M325" s="315"/>
    </row>
    <row r="326" spans="2:13">
      <c r="B326" s="306"/>
      <c r="C326" s="41"/>
      <c r="D326" s="308"/>
      <c r="E326" s="309"/>
      <c r="F326" s="310"/>
      <c r="G326" s="311" t="str">
        <f>IFERROR(IF(ventas_b_mes11[[#This Row],[CUIT]]="","-",VLOOKUP(ventas_b_mes11[[#This Row],[CUIT]],Lista_CUIT[#All],2,0)),"CUIT NO CARGADO")</f>
        <v>-</v>
      </c>
      <c r="H326" s="312"/>
      <c r="I326" s="313"/>
      <c r="J326" s="314"/>
      <c r="K326" s="314"/>
      <c r="L326" s="314">
        <f>SUM(ventas_b_mes11[[#This Row],[IMPORTE NETO]:[EXENTO]])</f>
        <v>0</v>
      </c>
      <c r="M326" s="315"/>
    </row>
    <row r="327" spans="2:13">
      <c r="B327" s="306"/>
      <c r="C327" s="41"/>
      <c r="D327" s="308"/>
      <c r="E327" s="309"/>
      <c r="F327" s="310"/>
      <c r="G327" s="311" t="str">
        <f>IFERROR(IF(ventas_b_mes11[[#This Row],[CUIT]]="","-",VLOOKUP(ventas_b_mes11[[#This Row],[CUIT]],Lista_CUIT[#All],2,0)),"CUIT NO CARGADO")</f>
        <v>-</v>
      </c>
      <c r="H327" s="312"/>
      <c r="I327" s="313"/>
      <c r="J327" s="314"/>
      <c r="K327" s="314"/>
      <c r="L327" s="314">
        <f>SUM(ventas_b_mes11[[#This Row],[IMPORTE NETO]:[EXENTO]])</f>
        <v>0</v>
      </c>
      <c r="M327" s="315"/>
    </row>
    <row r="328" spans="2:13">
      <c r="B328" s="306"/>
      <c r="C328" s="41"/>
      <c r="D328" s="308"/>
      <c r="E328" s="309"/>
      <c r="F328" s="310"/>
      <c r="G328" s="311" t="str">
        <f>IFERROR(IF(ventas_b_mes11[[#This Row],[CUIT]]="","-",VLOOKUP(ventas_b_mes11[[#This Row],[CUIT]],Lista_CUIT[#All],2,0)),"CUIT NO CARGADO")</f>
        <v>-</v>
      </c>
      <c r="H328" s="312"/>
      <c r="I328" s="313"/>
      <c r="J328" s="314"/>
      <c r="K328" s="314"/>
      <c r="L328" s="314">
        <f>SUM(ventas_b_mes11[[#This Row],[IMPORTE NETO]:[EXENTO]])</f>
        <v>0</v>
      </c>
      <c r="M328" s="315"/>
    </row>
    <row r="329" spans="2:13">
      <c r="B329" s="306"/>
      <c r="C329" s="41"/>
      <c r="D329" s="308"/>
      <c r="E329" s="309"/>
      <c r="F329" s="310"/>
      <c r="G329" s="311" t="str">
        <f>IFERROR(IF(ventas_b_mes11[[#This Row],[CUIT]]="","-",VLOOKUP(ventas_b_mes11[[#This Row],[CUIT]],Lista_CUIT[#All],2,0)),"CUIT NO CARGADO")</f>
        <v>-</v>
      </c>
      <c r="H329" s="312"/>
      <c r="I329" s="313"/>
      <c r="J329" s="314"/>
      <c r="K329" s="314"/>
      <c r="L329" s="314">
        <f>SUM(ventas_b_mes11[[#This Row],[IMPORTE NETO]:[EXENTO]])</f>
        <v>0</v>
      </c>
      <c r="M329" s="315"/>
    </row>
    <row r="330" spans="2:13">
      <c r="B330" s="306"/>
      <c r="C330" s="41"/>
      <c r="D330" s="308"/>
      <c r="E330" s="309"/>
      <c r="F330" s="310"/>
      <c r="G330" s="311" t="str">
        <f>IFERROR(IF(ventas_b_mes11[[#This Row],[CUIT]]="","-",VLOOKUP(ventas_b_mes11[[#This Row],[CUIT]],Lista_CUIT[#All],2,0)),"CUIT NO CARGADO")</f>
        <v>-</v>
      </c>
      <c r="H330" s="312"/>
      <c r="I330" s="313"/>
      <c r="J330" s="314"/>
      <c r="K330" s="314"/>
      <c r="L330" s="314">
        <f>SUM(ventas_b_mes11[[#This Row],[IMPORTE NETO]:[EXENTO]])</f>
        <v>0</v>
      </c>
      <c r="M330" s="315"/>
    </row>
    <row r="331" spans="2:13">
      <c r="B331" s="306"/>
      <c r="C331" s="41"/>
      <c r="D331" s="308"/>
      <c r="E331" s="309"/>
      <c r="F331" s="310"/>
      <c r="G331" s="311" t="str">
        <f>IFERROR(IF(ventas_b_mes11[[#This Row],[CUIT]]="","-",VLOOKUP(ventas_b_mes11[[#This Row],[CUIT]],Lista_CUIT[#All],2,0)),"CUIT NO CARGADO")</f>
        <v>-</v>
      </c>
      <c r="H331" s="312"/>
      <c r="I331" s="313"/>
      <c r="J331" s="314"/>
      <c r="K331" s="314"/>
      <c r="L331" s="314">
        <f>SUM(ventas_b_mes11[[#This Row],[IMPORTE NETO]:[EXENTO]])</f>
        <v>0</v>
      </c>
      <c r="M331" s="315"/>
    </row>
    <row r="332" spans="2:13">
      <c r="B332" s="306"/>
      <c r="C332" s="41"/>
      <c r="D332" s="308"/>
      <c r="E332" s="309"/>
      <c r="F332" s="310"/>
      <c r="G332" s="311" t="str">
        <f>IFERROR(IF(ventas_b_mes11[[#This Row],[CUIT]]="","-",VLOOKUP(ventas_b_mes11[[#This Row],[CUIT]],Lista_CUIT[#All],2,0)),"CUIT NO CARGADO")</f>
        <v>-</v>
      </c>
      <c r="H332" s="312"/>
      <c r="I332" s="313"/>
      <c r="J332" s="314"/>
      <c r="K332" s="314"/>
      <c r="L332" s="314">
        <f>SUM(ventas_b_mes11[[#This Row],[IMPORTE NETO]:[EXENTO]])</f>
        <v>0</v>
      </c>
      <c r="M332" s="315"/>
    </row>
    <row r="333" spans="2:13">
      <c r="B333" s="306"/>
      <c r="C333" s="41"/>
      <c r="D333" s="308"/>
      <c r="E333" s="309"/>
      <c r="F333" s="310"/>
      <c r="G333" s="311" t="str">
        <f>IFERROR(IF(ventas_b_mes11[[#This Row],[CUIT]]="","-",VLOOKUP(ventas_b_mes11[[#This Row],[CUIT]],Lista_CUIT[#All],2,0)),"CUIT NO CARGADO")</f>
        <v>-</v>
      </c>
      <c r="H333" s="312"/>
      <c r="I333" s="313"/>
      <c r="J333" s="314"/>
      <c r="K333" s="314"/>
      <c r="L333" s="314">
        <f>SUM(ventas_b_mes11[[#This Row],[IMPORTE NETO]:[EXENTO]])</f>
        <v>0</v>
      </c>
      <c r="M333" s="315"/>
    </row>
    <row r="334" spans="2:13">
      <c r="B334" s="306"/>
      <c r="C334" s="41"/>
      <c r="D334" s="308"/>
      <c r="E334" s="309"/>
      <c r="F334" s="310"/>
      <c r="G334" s="311" t="str">
        <f>IFERROR(IF(ventas_b_mes11[[#This Row],[CUIT]]="","-",VLOOKUP(ventas_b_mes11[[#This Row],[CUIT]],Lista_CUIT[#All],2,0)),"CUIT NO CARGADO")</f>
        <v>-</v>
      </c>
      <c r="H334" s="312"/>
      <c r="I334" s="313"/>
      <c r="J334" s="314"/>
      <c r="K334" s="314"/>
      <c r="L334" s="314">
        <f>SUM(ventas_b_mes11[[#This Row],[IMPORTE NETO]:[EXENTO]])</f>
        <v>0</v>
      </c>
      <c r="M334" s="315"/>
    </row>
    <row r="335" spans="2:13">
      <c r="B335" s="306"/>
      <c r="C335" s="41"/>
      <c r="D335" s="308"/>
      <c r="E335" s="309"/>
      <c r="F335" s="310"/>
      <c r="G335" s="311" t="str">
        <f>IFERROR(IF(ventas_b_mes11[[#This Row],[CUIT]]="","-",VLOOKUP(ventas_b_mes11[[#This Row],[CUIT]],Lista_CUIT[#All],2,0)),"CUIT NO CARGADO")</f>
        <v>-</v>
      </c>
      <c r="H335" s="312"/>
      <c r="I335" s="313"/>
      <c r="J335" s="314"/>
      <c r="K335" s="314"/>
      <c r="L335" s="314">
        <f>SUM(ventas_b_mes11[[#This Row],[IMPORTE NETO]:[EXENTO]])</f>
        <v>0</v>
      </c>
      <c r="M335" s="315"/>
    </row>
    <row r="336" spans="2:13">
      <c r="B336" s="306"/>
      <c r="C336" s="41"/>
      <c r="D336" s="308"/>
      <c r="E336" s="309"/>
      <c r="F336" s="310"/>
      <c r="G336" s="311" t="str">
        <f>IFERROR(IF(ventas_b_mes11[[#This Row],[CUIT]]="","-",VLOOKUP(ventas_b_mes11[[#This Row],[CUIT]],Lista_CUIT[#All],2,0)),"CUIT NO CARGADO")</f>
        <v>-</v>
      </c>
      <c r="H336" s="312"/>
      <c r="I336" s="313"/>
      <c r="J336" s="314"/>
      <c r="K336" s="314"/>
      <c r="L336" s="314">
        <f>SUM(ventas_b_mes11[[#This Row],[IMPORTE NETO]:[EXENTO]])</f>
        <v>0</v>
      </c>
      <c r="M336" s="315"/>
    </row>
    <row r="337" spans="2:13">
      <c r="B337" s="306"/>
      <c r="C337" s="41"/>
      <c r="D337" s="308"/>
      <c r="E337" s="309"/>
      <c r="F337" s="310"/>
      <c r="G337" s="311" t="str">
        <f>IFERROR(IF(ventas_b_mes11[[#This Row],[CUIT]]="","-",VLOOKUP(ventas_b_mes11[[#This Row],[CUIT]],Lista_CUIT[#All],2,0)),"CUIT NO CARGADO")</f>
        <v>-</v>
      </c>
      <c r="H337" s="312"/>
      <c r="I337" s="313"/>
      <c r="J337" s="314"/>
      <c r="K337" s="314"/>
      <c r="L337" s="314">
        <f>SUM(ventas_b_mes11[[#This Row],[IMPORTE NETO]:[EXENTO]])</f>
        <v>0</v>
      </c>
      <c r="M337" s="315"/>
    </row>
    <row r="338" spans="2:13">
      <c r="B338" s="306"/>
      <c r="C338" s="41"/>
      <c r="D338" s="308"/>
      <c r="E338" s="309"/>
      <c r="F338" s="310"/>
      <c r="G338" s="311" t="str">
        <f>IFERROR(IF(ventas_b_mes11[[#This Row],[CUIT]]="","-",VLOOKUP(ventas_b_mes11[[#This Row],[CUIT]],Lista_CUIT[#All],2,0)),"CUIT NO CARGADO")</f>
        <v>-</v>
      </c>
      <c r="H338" s="312"/>
      <c r="I338" s="313"/>
      <c r="J338" s="314"/>
      <c r="K338" s="314"/>
      <c r="L338" s="314">
        <f>SUM(ventas_b_mes11[[#This Row],[IMPORTE NETO]:[EXENTO]])</f>
        <v>0</v>
      </c>
      <c r="M338" s="315"/>
    </row>
    <row r="339" spans="2:13">
      <c r="B339" s="306"/>
      <c r="C339" s="41"/>
      <c r="D339" s="308"/>
      <c r="E339" s="309"/>
      <c r="F339" s="310"/>
      <c r="G339" s="311" t="str">
        <f>IFERROR(IF(ventas_b_mes11[[#This Row],[CUIT]]="","-",VLOOKUP(ventas_b_mes11[[#This Row],[CUIT]],Lista_CUIT[#All],2,0)),"CUIT NO CARGADO")</f>
        <v>-</v>
      </c>
      <c r="H339" s="312"/>
      <c r="I339" s="313"/>
      <c r="J339" s="314"/>
      <c r="K339" s="314"/>
      <c r="L339" s="314">
        <f>SUM(ventas_b_mes11[[#This Row],[IMPORTE NETO]:[EXENTO]])</f>
        <v>0</v>
      </c>
      <c r="M339" s="315"/>
    </row>
    <row r="340" spans="2:13">
      <c r="B340" s="306"/>
      <c r="C340" s="41"/>
      <c r="D340" s="308"/>
      <c r="E340" s="309"/>
      <c r="F340" s="310"/>
      <c r="G340" s="311" t="str">
        <f>IFERROR(IF(ventas_b_mes11[[#This Row],[CUIT]]="","-",VLOOKUP(ventas_b_mes11[[#This Row],[CUIT]],Lista_CUIT[#All],2,0)),"CUIT NO CARGADO")</f>
        <v>-</v>
      </c>
      <c r="H340" s="312"/>
      <c r="I340" s="313"/>
      <c r="J340" s="314"/>
      <c r="K340" s="314"/>
      <c r="L340" s="314">
        <f>SUM(ventas_b_mes11[[#This Row],[IMPORTE NETO]:[EXENTO]])</f>
        <v>0</v>
      </c>
      <c r="M340" s="315"/>
    </row>
    <row r="341" spans="2:13">
      <c r="B341" s="306"/>
      <c r="C341" s="41"/>
      <c r="D341" s="308"/>
      <c r="E341" s="309"/>
      <c r="F341" s="310"/>
      <c r="G341" s="311" t="str">
        <f>IFERROR(IF(ventas_b_mes11[[#This Row],[CUIT]]="","-",VLOOKUP(ventas_b_mes11[[#This Row],[CUIT]],Lista_CUIT[#All],2,0)),"CUIT NO CARGADO")</f>
        <v>-</v>
      </c>
      <c r="H341" s="312"/>
      <c r="I341" s="313"/>
      <c r="J341" s="314"/>
      <c r="K341" s="314"/>
      <c r="L341" s="314">
        <f>SUM(ventas_b_mes11[[#This Row],[IMPORTE NETO]:[EXENTO]])</f>
        <v>0</v>
      </c>
      <c r="M341" s="315"/>
    </row>
    <row r="342" spans="2:13">
      <c r="B342" s="306"/>
      <c r="C342" s="41"/>
      <c r="D342" s="308"/>
      <c r="E342" s="309"/>
      <c r="F342" s="310"/>
      <c r="G342" s="311" t="str">
        <f>IFERROR(IF(ventas_b_mes11[[#This Row],[CUIT]]="","-",VLOOKUP(ventas_b_mes11[[#This Row],[CUIT]],Lista_CUIT[#All],2,0)),"CUIT NO CARGADO")</f>
        <v>-</v>
      </c>
      <c r="H342" s="312"/>
      <c r="I342" s="313"/>
      <c r="J342" s="314"/>
      <c r="K342" s="314"/>
      <c r="L342" s="314">
        <f>SUM(ventas_b_mes11[[#This Row],[IMPORTE NETO]:[EXENTO]])</f>
        <v>0</v>
      </c>
      <c r="M342" s="315"/>
    </row>
    <row r="343" spans="2:13">
      <c r="B343" s="306"/>
      <c r="C343" s="41"/>
      <c r="D343" s="308"/>
      <c r="E343" s="309"/>
      <c r="F343" s="310"/>
      <c r="G343" s="311" t="str">
        <f>IFERROR(IF(ventas_b_mes11[[#This Row],[CUIT]]="","-",VLOOKUP(ventas_b_mes11[[#This Row],[CUIT]],Lista_CUIT[#All],2,0)),"CUIT NO CARGADO")</f>
        <v>-</v>
      </c>
      <c r="H343" s="312"/>
      <c r="I343" s="313"/>
      <c r="J343" s="314"/>
      <c r="K343" s="314"/>
      <c r="L343" s="314">
        <f>SUM(ventas_b_mes11[[#This Row],[IMPORTE NETO]:[EXENTO]])</f>
        <v>0</v>
      </c>
      <c r="M343" s="315"/>
    </row>
    <row r="344" spans="2:13">
      <c r="B344" s="306"/>
      <c r="C344" s="41"/>
      <c r="D344" s="308"/>
      <c r="E344" s="309"/>
      <c r="F344" s="310"/>
      <c r="G344" s="311" t="str">
        <f>IFERROR(IF(ventas_b_mes11[[#This Row],[CUIT]]="","-",VLOOKUP(ventas_b_mes11[[#This Row],[CUIT]],Lista_CUIT[#All],2,0)),"CUIT NO CARGADO")</f>
        <v>-</v>
      </c>
      <c r="H344" s="312"/>
      <c r="I344" s="313"/>
      <c r="J344" s="314"/>
      <c r="K344" s="314"/>
      <c r="L344" s="314">
        <f>SUM(ventas_b_mes11[[#This Row],[IMPORTE NETO]:[EXENTO]])</f>
        <v>0</v>
      </c>
      <c r="M344" s="315"/>
    </row>
    <row r="345" spans="2:13">
      <c r="B345" s="306"/>
      <c r="C345" s="41"/>
      <c r="D345" s="308"/>
      <c r="E345" s="309"/>
      <c r="F345" s="310"/>
      <c r="G345" s="311" t="str">
        <f>IFERROR(IF(ventas_b_mes11[[#This Row],[CUIT]]="","-",VLOOKUP(ventas_b_mes11[[#This Row],[CUIT]],Lista_CUIT[#All],2,0)),"CUIT NO CARGADO")</f>
        <v>-</v>
      </c>
      <c r="H345" s="312"/>
      <c r="I345" s="313"/>
      <c r="J345" s="314"/>
      <c r="K345" s="314"/>
      <c r="L345" s="314">
        <f>SUM(ventas_b_mes11[[#This Row],[IMPORTE NETO]:[EXENTO]])</f>
        <v>0</v>
      </c>
      <c r="M345" s="315"/>
    </row>
    <row r="346" spans="2:13">
      <c r="B346" s="306"/>
      <c r="C346" s="41"/>
      <c r="D346" s="308"/>
      <c r="E346" s="309"/>
      <c r="F346" s="310"/>
      <c r="G346" s="311" t="str">
        <f>IFERROR(IF(ventas_b_mes11[[#This Row],[CUIT]]="","-",VLOOKUP(ventas_b_mes11[[#This Row],[CUIT]],Lista_CUIT[#All],2,0)),"CUIT NO CARGADO")</f>
        <v>-</v>
      </c>
      <c r="H346" s="312"/>
      <c r="I346" s="313"/>
      <c r="J346" s="314"/>
      <c r="K346" s="314"/>
      <c r="L346" s="314">
        <f>SUM(ventas_b_mes11[[#This Row],[IMPORTE NETO]:[EXENTO]])</f>
        <v>0</v>
      </c>
      <c r="M346" s="315"/>
    </row>
    <row r="347" spans="2:13">
      <c r="B347" s="306"/>
      <c r="C347" s="41"/>
      <c r="D347" s="308"/>
      <c r="E347" s="309"/>
      <c r="F347" s="310"/>
      <c r="G347" s="311" t="str">
        <f>IFERROR(IF(ventas_b_mes11[[#This Row],[CUIT]]="","-",VLOOKUP(ventas_b_mes11[[#This Row],[CUIT]],Lista_CUIT[#All],2,0)),"CUIT NO CARGADO")</f>
        <v>-</v>
      </c>
      <c r="H347" s="312"/>
      <c r="I347" s="313"/>
      <c r="J347" s="314"/>
      <c r="K347" s="314"/>
      <c r="L347" s="314">
        <f>SUM(ventas_b_mes11[[#This Row],[IMPORTE NETO]:[EXENTO]])</f>
        <v>0</v>
      </c>
      <c r="M347" s="315"/>
    </row>
    <row r="348" spans="2:13">
      <c r="B348" s="306"/>
      <c r="C348" s="41"/>
      <c r="D348" s="308"/>
      <c r="E348" s="309"/>
      <c r="F348" s="310"/>
      <c r="G348" s="311" t="str">
        <f>IFERROR(IF(ventas_b_mes11[[#This Row],[CUIT]]="","-",VLOOKUP(ventas_b_mes11[[#This Row],[CUIT]],Lista_CUIT[#All],2,0)),"CUIT NO CARGADO")</f>
        <v>-</v>
      </c>
      <c r="H348" s="312"/>
      <c r="I348" s="313"/>
      <c r="J348" s="314"/>
      <c r="K348" s="314"/>
      <c r="L348" s="314">
        <f>SUM(ventas_b_mes11[[#This Row],[IMPORTE NETO]:[EXENTO]])</f>
        <v>0</v>
      </c>
      <c r="M348" s="315"/>
    </row>
    <row r="349" spans="2:13">
      <c r="B349" s="306"/>
      <c r="C349" s="41"/>
      <c r="D349" s="308"/>
      <c r="E349" s="309"/>
      <c r="F349" s="310"/>
      <c r="G349" s="311" t="str">
        <f>IFERROR(IF(ventas_b_mes11[[#This Row],[CUIT]]="","-",VLOOKUP(ventas_b_mes11[[#This Row],[CUIT]],Lista_CUIT[#All],2,0)),"CUIT NO CARGADO")</f>
        <v>-</v>
      </c>
      <c r="H349" s="312"/>
      <c r="I349" s="313"/>
      <c r="J349" s="314"/>
      <c r="K349" s="314"/>
      <c r="L349" s="314">
        <f>SUM(ventas_b_mes11[[#This Row],[IMPORTE NETO]:[EXENTO]])</f>
        <v>0</v>
      </c>
      <c r="M349" s="315"/>
    </row>
    <row r="350" spans="2:13">
      <c r="B350" s="306"/>
      <c r="C350" s="41"/>
      <c r="D350" s="308"/>
      <c r="E350" s="309"/>
      <c r="F350" s="310"/>
      <c r="G350" s="311" t="str">
        <f>IFERROR(IF(ventas_b_mes11[[#This Row],[CUIT]]="","-",VLOOKUP(ventas_b_mes11[[#This Row],[CUIT]],Lista_CUIT[#All],2,0)),"CUIT NO CARGADO")</f>
        <v>-</v>
      </c>
      <c r="H350" s="312"/>
      <c r="I350" s="313"/>
      <c r="J350" s="314"/>
      <c r="K350" s="314"/>
      <c r="L350" s="314">
        <f>SUM(ventas_b_mes11[[#This Row],[IMPORTE NETO]:[EXENTO]])</f>
        <v>0</v>
      </c>
      <c r="M350" s="315"/>
    </row>
    <row r="351" spans="2:13">
      <c r="B351" s="306"/>
      <c r="C351" s="41"/>
      <c r="D351" s="308"/>
      <c r="E351" s="309"/>
      <c r="F351" s="310"/>
      <c r="G351" s="311" t="str">
        <f>IFERROR(IF(ventas_b_mes11[[#This Row],[CUIT]]="","-",VLOOKUP(ventas_b_mes11[[#This Row],[CUIT]],Lista_CUIT[#All],2,0)),"CUIT NO CARGADO")</f>
        <v>-</v>
      </c>
      <c r="H351" s="312"/>
      <c r="I351" s="313"/>
      <c r="J351" s="314"/>
      <c r="K351" s="314"/>
      <c r="L351" s="314">
        <f>SUM(ventas_b_mes11[[#This Row],[IMPORTE NETO]:[EXENTO]])</f>
        <v>0</v>
      </c>
      <c r="M351" s="315"/>
    </row>
    <row r="352" spans="2:13">
      <c r="B352" s="306"/>
      <c r="C352" s="41"/>
      <c r="D352" s="308"/>
      <c r="E352" s="309"/>
      <c r="F352" s="310"/>
      <c r="G352" s="311" t="str">
        <f>IFERROR(IF(ventas_b_mes11[[#This Row],[CUIT]]="","-",VLOOKUP(ventas_b_mes11[[#This Row],[CUIT]],Lista_CUIT[#All],2,0)),"CUIT NO CARGADO")</f>
        <v>-</v>
      </c>
      <c r="H352" s="312"/>
      <c r="I352" s="313"/>
      <c r="J352" s="314"/>
      <c r="K352" s="314"/>
      <c r="L352" s="314">
        <f>SUM(ventas_b_mes11[[#This Row],[IMPORTE NETO]:[EXENTO]])</f>
        <v>0</v>
      </c>
      <c r="M352" s="315"/>
    </row>
    <row r="353" spans="2:13">
      <c r="B353" s="306"/>
      <c r="C353" s="41"/>
      <c r="D353" s="308"/>
      <c r="E353" s="309"/>
      <c r="F353" s="310"/>
      <c r="G353" s="311" t="str">
        <f>IFERROR(IF(ventas_b_mes11[[#This Row],[CUIT]]="","-",VLOOKUP(ventas_b_mes11[[#This Row],[CUIT]],Lista_CUIT[#All],2,0)),"CUIT NO CARGADO")</f>
        <v>-</v>
      </c>
      <c r="H353" s="312"/>
      <c r="I353" s="313"/>
      <c r="J353" s="314"/>
      <c r="K353" s="314"/>
      <c r="L353" s="314">
        <f>SUM(ventas_b_mes11[[#This Row],[IMPORTE NETO]:[EXENTO]])</f>
        <v>0</v>
      </c>
      <c r="M353" s="315"/>
    </row>
    <row r="354" spans="2:13">
      <c r="B354" s="306"/>
      <c r="C354" s="41"/>
      <c r="D354" s="308"/>
      <c r="E354" s="309"/>
      <c r="F354" s="310"/>
      <c r="G354" s="311" t="str">
        <f>IFERROR(IF(ventas_b_mes11[[#This Row],[CUIT]]="","-",VLOOKUP(ventas_b_mes11[[#This Row],[CUIT]],Lista_CUIT[#All],2,0)),"CUIT NO CARGADO")</f>
        <v>-</v>
      </c>
      <c r="H354" s="312"/>
      <c r="I354" s="313"/>
      <c r="J354" s="314"/>
      <c r="K354" s="314"/>
      <c r="L354" s="314">
        <f>SUM(ventas_b_mes11[[#This Row],[IMPORTE NETO]:[EXENTO]])</f>
        <v>0</v>
      </c>
      <c r="M354" s="315"/>
    </row>
    <row r="355" spans="2:13">
      <c r="B355" s="306"/>
      <c r="C355" s="41"/>
      <c r="D355" s="308"/>
      <c r="E355" s="309"/>
      <c r="F355" s="310"/>
      <c r="G355" s="311" t="str">
        <f>IFERROR(IF(ventas_b_mes11[[#This Row],[CUIT]]="","-",VLOOKUP(ventas_b_mes11[[#This Row],[CUIT]],Lista_CUIT[#All],2,0)),"CUIT NO CARGADO")</f>
        <v>-</v>
      </c>
      <c r="H355" s="312"/>
      <c r="I355" s="313"/>
      <c r="J355" s="314"/>
      <c r="K355" s="314"/>
      <c r="L355" s="314">
        <f>SUM(ventas_b_mes11[[#This Row],[IMPORTE NETO]:[EXENTO]])</f>
        <v>0</v>
      </c>
      <c r="M355" s="315"/>
    </row>
    <row r="356" spans="2:13">
      <c r="B356" s="306"/>
      <c r="C356" s="41"/>
      <c r="D356" s="308"/>
      <c r="E356" s="309"/>
      <c r="F356" s="310"/>
      <c r="G356" s="311" t="str">
        <f>IFERROR(IF(ventas_b_mes11[[#This Row],[CUIT]]="","-",VLOOKUP(ventas_b_mes11[[#This Row],[CUIT]],Lista_CUIT[#All],2,0)),"CUIT NO CARGADO")</f>
        <v>-</v>
      </c>
      <c r="H356" s="312"/>
      <c r="I356" s="313"/>
      <c r="J356" s="314"/>
      <c r="K356" s="314"/>
      <c r="L356" s="314">
        <f>SUM(ventas_b_mes11[[#This Row],[IMPORTE NETO]:[EXENTO]])</f>
        <v>0</v>
      </c>
      <c r="M356" s="315"/>
    </row>
    <row r="357" spans="2:13">
      <c r="B357" s="306"/>
      <c r="C357" s="41"/>
      <c r="D357" s="308"/>
      <c r="E357" s="309"/>
      <c r="F357" s="310"/>
      <c r="G357" s="311" t="str">
        <f>IFERROR(IF(ventas_b_mes11[[#This Row],[CUIT]]="","-",VLOOKUP(ventas_b_mes11[[#This Row],[CUIT]],Lista_CUIT[#All],2,0)),"CUIT NO CARGADO")</f>
        <v>-</v>
      </c>
      <c r="H357" s="312"/>
      <c r="I357" s="313"/>
      <c r="J357" s="314"/>
      <c r="K357" s="314"/>
      <c r="L357" s="314">
        <f>SUM(ventas_b_mes11[[#This Row],[IMPORTE NETO]:[EXENTO]])</f>
        <v>0</v>
      </c>
      <c r="M357" s="315"/>
    </row>
    <row r="358" spans="2:13">
      <c r="B358" s="306"/>
      <c r="C358" s="41"/>
      <c r="D358" s="308"/>
      <c r="E358" s="309"/>
      <c r="F358" s="310"/>
      <c r="G358" s="311" t="str">
        <f>IFERROR(IF(ventas_b_mes11[[#This Row],[CUIT]]="","-",VLOOKUP(ventas_b_mes11[[#This Row],[CUIT]],Lista_CUIT[#All],2,0)),"CUIT NO CARGADO")</f>
        <v>-</v>
      </c>
      <c r="H358" s="312"/>
      <c r="I358" s="313"/>
      <c r="J358" s="314"/>
      <c r="K358" s="314"/>
      <c r="L358" s="314">
        <f>SUM(ventas_b_mes11[[#This Row],[IMPORTE NETO]:[EXENTO]])</f>
        <v>0</v>
      </c>
      <c r="M358" s="315"/>
    </row>
    <row r="359" spans="2:13">
      <c r="B359" s="306"/>
      <c r="C359" s="41"/>
      <c r="D359" s="308"/>
      <c r="E359" s="309"/>
      <c r="F359" s="310"/>
      <c r="G359" s="311" t="str">
        <f>IFERROR(IF(ventas_b_mes11[[#This Row],[CUIT]]="","-",VLOOKUP(ventas_b_mes11[[#This Row],[CUIT]],Lista_CUIT[#All],2,0)),"CUIT NO CARGADO")</f>
        <v>-</v>
      </c>
      <c r="H359" s="312"/>
      <c r="I359" s="313"/>
      <c r="J359" s="314"/>
      <c r="K359" s="314"/>
      <c r="L359" s="314">
        <f>SUM(ventas_b_mes11[[#This Row],[IMPORTE NETO]:[EXENTO]])</f>
        <v>0</v>
      </c>
      <c r="M359" s="315"/>
    </row>
    <row r="360" spans="2:13">
      <c r="B360" s="306"/>
      <c r="C360" s="41"/>
      <c r="D360" s="308"/>
      <c r="E360" s="309"/>
      <c r="F360" s="310"/>
      <c r="G360" s="311" t="str">
        <f>IFERROR(IF(ventas_b_mes11[[#This Row],[CUIT]]="","-",VLOOKUP(ventas_b_mes11[[#This Row],[CUIT]],Lista_CUIT[#All],2,0)),"CUIT NO CARGADO")</f>
        <v>-</v>
      </c>
      <c r="H360" s="312"/>
      <c r="I360" s="313"/>
      <c r="J360" s="314"/>
      <c r="K360" s="314"/>
      <c r="L360" s="314">
        <f>SUM(ventas_b_mes11[[#This Row],[IMPORTE NETO]:[EXENTO]])</f>
        <v>0</v>
      </c>
      <c r="M360" s="315"/>
    </row>
    <row r="361" spans="2:13">
      <c r="B361" s="306"/>
      <c r="C361" s="41"/>
      <c r="D361" s="308"/>
      <c r="E361" s="309"/>
      <c r="F361" s="310"/>
      <c r="G361" s="311" t="str">
        <f>IFERROR(IF(ventas_b_mes11[[#This Row],[CUIT]]="","-",VLOOKUP(ventas_b_mes11[[#This Row],[CUIT]],Lista_CUIT[#All],2,0)),"CUIT NO CARGADO")</f>
        <v>-</v>
      </c>
      <c r="H361" s="312"/>
      <c r="I361" s="313"/>
      <c r="J361" s="314"/>
      <c r="K361" s="314"/>
      <c r="L361" s="314">
        <f>SUM(ventas_b_mes11[[#This Row],[IMPORTE NETO]:[EXENTO]])</f>
        <v>0</v>
      </c>
      <c r="M361" s="315"/>
    </row>
    <row r="362" spans="2:13">
      <c r="B362" s="306"/>
      <c r="C362" s="41"/>
      <c r="D362" s="308"/>
      <c r="E362" s="309"/>
      <c r="F362" s="310"/>
      <c r="G362" s="311" t="str">
        <f>IFERROR(IF(ventas_b_mes11[[#This Row],[CUIT]]="","-",VLOOKUP(ventas_b_mes11[[#This Row],[CUIT]],Lista_CUIT[#All],2,0)),"CUIT NO CARGADO")</f>
        <v>-</v>
      </c>
      <c r="H362" s="312"/>
      <c r="I362" s="313"/>
      <c r="J362" s="314"/>
      <c r="K362" s="314"/>
      <c r="L362" s="314">
        <f>SUM(ventas_b_mes11[[#This Row],[IMPORTE NETO]:[EXENTO]])</f>
        <v>0</v>
      </c>
      <c r="M362" s="315"/>
    </row>
    <row r="363" spans="2:13">
      <c r="B363" s="306"/>
      <c r="C363" s="41"/>
      <c r="D363" s="308"/>
      <c r="E363" s="309"/>
      <c r="F363" s="310"/>
      <c r="G363" s="311" t="str">
        <f>IFERROR(IF(ventas_b_mes11[[#This Row],[CUIT]]="","-",VLOOKUP(ventas_b_mes11[[#This Row],[CUIT]],Lista_CUIT[#All],2,0)),"CUIT NO CARGADO")</f>
        <v>-</v>
      </c>
      <c r="H363" s="312"/>
      <c r="I363" s="313"/>
      <c r="J363" s="314"/>
      <c r="K363" s="314"/>
      <c r="L363" s="314">
        <f>SUM(ventas_b_mes11[[#This Row],[IMPORTE NETO]:[EXENTO]])</f>
        <v>0</v>
      </c>
      <c r="M363" s="315"/>
    </row>
    <row r="364" spans="2:13">
      <c r="B364" s="306"/>
      <c r="C364" s="41"/>
      <c r="D364" s="308"/>
      <c r="E364" s="309"/>
      <c r="F364" s="310"/>
      <c r="G364" s="311" t="str">
        <f>IFERROR(IF(ventas_b_mes11[[#This Row],[CUIT]]="","-",VLOOKUP(ventas_b_mes11[[#This Row],[CUIT]],Lista_CUIT[#All],2,0)),"CUIT NO CARGADO")</f>
        <v>-</v>
      </c>
      <c r="H364" s="312"/>
      <c r="I364" s="313"/>
      <c r="J364" s="314"/>
      <c r="K364" s="314"/>
      <c r="L364" s="314">
        <f>SUM(ventas_b_mes11[[#This Row],[IMPORTE NETO]:[EXENTO]])</f>
        <v>0</v>
      </c>
      <c r="M364" s="315"/>
    </row>
    <row r="365" spans="2:13">
      <c r="B365" s="306"/>
      <c r="C365" s="41"/>
      <c r="D365" s="308"/>
      <c r="E365" s="309"/>
      <c r="F365" s="310"/>
      <c r="G365" s="311" t="str">
        <f>IFERROR(IF(ventas_b_mes11[[#This Row],[CUIT]]="","-",VLOOKUP(ventas_b_mes11[[#This Row],[CUIT]],Lista_CUIT[#All],2,0)),"CUIT NO CARGADO")</f>
        <v>-</v>
      </c>
      <c r="H365" s="312"/>
      <c r="I365" s="313"/>
      <c r="J365" s="314"/>
      <c r="K365" s="314"/>
      <c r="L365" s="314">
        <f>SUM(ventas_b_mes11[[#This Row],[IMPORTE NETO]:[EXENTO]])</f>
        <v>0</v>
      </c>
      <c r="M365" s="315"/>
    </row>
    <row r="366" spans="2:13">
      <c r="B366" s="306"/>
      <c r="C366" s="41"/>
      <c r="D366" s="308"/>
      <c r="E366" s="309"/>
      <c r="F366" s="310"/>
      <c r="G366" s="311" t="str">
        <f>IFERROR(IF(ventas_b_mes11[[#This Row],[CUIT]]="","-",VLOOKUP(ventas_b_mes11[[#This Row],[CUIT]],Lista_CUIT[#All],2,0)),"CUIT NO CARGADO")</f>
        <v>-</v>
      </c>
      <c r="H366" s="312"/>
      <c r="I366" s="313"/>
      <c r="J366" s="314"/>
      <c r="K366" s="314"/>
      <c r="L366" s="314">
        <f>SUM(ventas_b_mes11[[#This Row],[IMPORTE NETO]:[EXENTO]])</f>
        <v>0</v>
      </c>
      <c r="M366" s="315"/>
    </row>
    <row r="367" spans="2:13">
      <c r="B367" s="306"/>
      <c r="C367" s="41"/>
      <c r="D367" s="308"/>
      <c r="E367" s="309"/>
      <c r="F367" s="310"/>
      <c r="G367" s="311" t="str">
        <f>IFERROR(IF(ventas_b_mes11[[#This Row],[CUIT]]="","-",VLOOKUP(ventas_b_mes11[[#This Row],[CUIT]],Lista_CUIT[#All],2,0)),"CUIT NO CARGADO")</f>
        <v>-</v>
      </c>
      <c r="H367" s="312"/>
      <c r="I367" s="313"/>
      <c r="J367" s="314"/>
      <c r="K367" s="314"/>
      <c r="L367" s="314">
        <f>SUM(ventas_b_mes11[[#This Row],[IMPORTE NETO]:[EXENTO]])</f>
        <v>0</v>
      </c>
      <c r="M367" s="315"/>
    </row>
    <row r="368" spans="2:13">
      <c r="B368" s="306"/>
      <c r="C368" s="41"/>
      <c r="D368" s="308"/>
      <c r="E368" s="309"/>
      <c r="F368" s="310"/>
      <c r="G368" s="311" t="str">
        <f>IFERROR(IF(ventas_b_mes11[[#This Row],[CUIT]]="","-",VLOOKUP(ventas_b_mes11[[#This Row],[CUIT]],Lista_CUIT[#All],2,0)),"CUIT NO CARGADO")</f>
        <v>-</v>
      </c>
      <c r="H368" s="312"/>
      <c r="I368" s="313"/>
      <c r="J368" s="314"/>
      <c r="K368" s="314"/>
      <c r="L368" s="314">
        <f>SUM(ventas_b_mes11[[#This Row],[IMPORTE NETO]:[EXENTO]])</f>
        <v>0</v>
      </c>
      <c r="M368" s="315"/>
    </row>
    <row r="369" spans="2:13">
      <c r="B369" s="306"/>
      <c r="C369" s="41"/>
      <c r="D369" s="308"/>
      <c r="E369" s="309"/>
      <c r="F369" s="310"/>
      <c r="G369" s="311" t="str">
        <f>IFERROR(IF(ventas_b_mes11[[#This Row],[CUIT]]="","-",VLOOKUP(ventas_b_mes11[[#This Row],[CUIT]],Lista_CUIT[#All],2,0)),"CUIT NO CARGADO")</f>
        <v>-</v>
      </c>
      <c r="H369" s="312"/>
      <c r="I369" s="313"/>
      <c r="J369" s="314"/>
      <c r="K369" s="314"/>
      <c r="L369" s="314">
        <f>SUM(ventas_b_mes11[[#This Row],[IMPORTE NETO]:[EXENTO]])</f>
        <v>0</v>
      </c>
      <c r="M369" s="315"/>
    </row>
    <row r="370" spans="2:13">
      <c r="B370" s="306"/>
      <c r="C370" s="41"/>
      <c r="D370" s="308"/>
      <c r="E370" s="309"/>
      <c r="F370" s="310"/>
      <c r="G370" s="311" t="str">
        <f>IFERROR(IF(ventas_b_mes11[[#This Row],[CUIT]]="","-",VLOOKUP(ventas_b_mes11[[#This Row],[CUIT]],Lista_CUIT[#All],2,0)),"CUIT NO CARGADO")</f>
        <v>-</v>
      </c>
      <c r="H370" s="312"/>
      <c r="I370" s="313"/>
      <c r="J370" s="314"/>
      <c r="K370" s="314"/>
      <c r="L370" s="314">
        <f>SUM(ventas_b_mes11[[#This Row],[IMPORTE NETO]:[EXENTO]])</f>
        <v>0</v>
      </c>
      <c r="M370" s="315"/>
    </row>
    <row r="371" spans="2:13">
      <c r="B371" s="306"/>
      <c r="C371" s="41"/>
      <c r="D371" s="308"/>
      <c r="E371" s="309"/>
      <c r="F371" s="310"/>
      <c r="G371" s="311" t="str">
        <f>IFERROR(IF(ventas_b_mes11[[#This Row],[CUIT]]="","-",VLOOKUP(ventas_b_mes11[[#This Row],[CUIT]],Lista_CUIT[#All],2,0)),"CUIT NO CARGADO")</f>
        <v>-</v>
      </c>
      <c r="H371" s="312"/>
      <c r="I371" s="313"/>
      <c r="J371" s="314"/>
      <c r="K371" s="314"/>
      <c r="L371" s="314">
        <f>SUM(ventas_b_mes11[[#This Row],[IMPORTE NETO]:[EXENTO]])</f>
        <v>0</v>
      </c>
      <c r="M371" s="315"/>
    </row>
    <row r="372" spans="2:13">
      <c r="B372" s="306"/>
      <c r="C372" s="41"/>
      <c r="D372" s="308"/>
      <c r="E372" s="309"/>
      <c r="F372" s="310"/>
      <c r="G372" s="311" t="str">
        <f>IFERROR(IF(ventas_b_mes11[[#This Row],[CUIT]]="","-",VLOOKUP(ventas_b_mes11[[#This Row],[CUIT]],Lista_CUIT[#All],2,0)),"CUIT NO CARGADO")</f>
        <v>-</v>
      </c>
      <c r="H372" s="312"/>
      <c r="I372" s="313"/>
      <c r="J372" s="314"/>
      <c r="K372" s="314"/>
      <c r="L372" s="314">
        <f>SUM(ventas_b_mes11[[#This Row],[IMPORTE NETO]:[EXENTO]])</f>
        <v>0</v>
      </c>
      <c r="M372" s="315"/>
    </row>
    <row r="373" spans="2:13">
      <c r="B373" s="306"/>
      <c r="C373" s="41"/>
      <c r="D373" s="308"/>
      <c r="E373" s="309"/>
      <c r="F373" s="310"/>
      <c r="G373" s="311" t="str">
        <f>IFERROR(IF(ventas_b_mes11[[#This Row],[CUIT]]="","-",VLOOKUP(ventas_b_mes11[[#This Row],[CUIT]],Lista_CUIT[#All],2,0)),"CUIT NO CARGADO")</f>
        <v>-</v>
      </c>
      <c r="H373" s="312"/>
      <c r="I373" s="313"/>
      <c r="J373" s="314"/>
      <c r="K373" s="314"/>
      <c r="L373" s="314">
        <f>SUM(ventas_b_mes11[[#This Row],[IMPORTE NETO]:[EXENTO]])</f>
        <v>0</v>
      </c>
      <c r="M373" s="315"/>
    </row>
    <row r="374" spans="2:13">
      <c r="B374" s="306"/>
      <c r="C374" s="41"/>
      <c r="D374" s="308"/>
      <c r="E374" s="309"/>
      <c r="F374" s="310"/>
      <c r="G374" s="311" t="str">
        <f>IFERROR(IF(ventas_b_mes11[[#This Row],[CUIT]]="","-",VLOOKUP(ventas_b_mes11[[#This Row],[CUIT]],Lista_CUIT[#All],2,0)),"CUIT NO CARGADO")</f>
        <v>-</v>
      </c>
      <c r="H374" s="312"/>
      <c r="I374" s="313"/>
      <c r="J374" s="314"/>
      <c r="K374" s="314"/>
      <c r="L374" s="314">
        <f>SUM(ventas_b_mes11[[#This Row],[IMPORTE NETO]:[EXENTO]])</f>
        <v>0</v>
      </c>
      <c r="M374" s="315"/>
    </row>
    <row r="375" spans="2:13">
      <c r="B375" s="306"/>
      <c r="C375" s="41"/>
      <c r="D375" s="308"/>
      <c r="E375" s="309"/>
      <c r="F375" s="310"/>
      <c r="G375" s="311" t="str">
        <f>IFERROR(IF(ventas_b_mes11[[#This Row],[CUIT]]="","-",VLOOKUP(ventas_b_mes11[[#This Row],[CUIT]],Lista_CUIT[#All],2,0)),"CUIT NO CARGADO")</f>
        <v>-</v>
      </c>
      <c r="H375" s="312"/>
      <c r="I375" s="313"/>
      <c r="J375" s="314"/>
      <c r="K375" s="314"/>
      <c r="L375" s="314">
        <f>SUM(ventas_b_mes11[[#This Row],[IMPORTE NETO]:[EXENTO]])</f>
        <v>0</v>
      </c>
      <c r="M375" s="315"/>
    </row>
    <row r="376" spans="2:13">
      <c r="B376" s="306"/>
      <c r="C376" s="41"/>
      <c r="D376" s="308"/>
      <c r="E376" s="309"/>
      <c r="F376" s="310"/>
      <c r="G376" s="311" t="str">
        <f>IFERROR(IF(ventas_b_mes11[[#This Row],[CUIT]]="","-",VLOOKUP(ventas_b_mes11[[#This Row],[CUIT]],Lista_CUIT[#All],2,0)),"CUIT NO CARGADO")</f>
        <v>-</v>
      </c>
      <c r="H376" s="312"/>
      <c r="I376" s="313"/>
      <c r="J376" s="314"/>
      <c r="K376" s="314"/>
      <c r="L376" s="314">
        <f>SUM(ventas_b_mes11[[#This Row],[IMPORTE NETO]:[EXENTO]])</f>
        <v>0</v>
      </c>
      <c r="M376" s="315"/>
    </row>
    <row r="377" spans="2:13">
      <c r="B377" s="306"/>
      <c r="C377" s="41"/>
      <c r="D377" s="308"/>
      <c r="E377" s="309"/>
      <c r="F377" s="310"/>
      <c r="G377" s="311" t="str">
        <f>IFERROR(IF(ventas_b_mes11[[#This Row],[CUIT]]="","-",VLOOKUP(ventas_b_mes11[[#This Row],[CUIT]],Lista_CUIT[#All],2,0)),"CUIT NO CARGADO")</f>
        <v>-</v>
      </c>
      <c r="H377" s="312"/>
      <c r="I377" s="313"/>
      <c r="J377" s="314"/>
      <c r="K377" s="314"/>
      <c r="L377" s="314">
        <f>SUM(ventas_b_mes11[[#This Row],[IMPORTE NETO]:[EXENTO]])</f>
        <v>0</v>
      </c>
      <c r="M377" s="315"/>
    </row>
    <row r="378" spans="2:13">
      <c r="B378" s="306"/>
      <c r="C378" s="41"/>
      <c r="D378" s="308"/>
      <c r="E378" s="309"/>
      <c r="F378" s="310"/>
      <c r="G378" s="311" t="str">
        <f>IFERROR(IF(ventas_b_mes11[[#This Row],[CUIT]]="","-",VLOOKUP(ventas_b_mes11[[#This Row],[CUIT]],Lista_CUIT[#All],2,0)),"CUIT NO CARGADO")</f>
        <v>-</v>
      </c>
      <c r="H378" s="312"/>
      <c r="I378" s="313"/>
      <c r="J378" s="314"/>
      <c r="K378" s="314"/>
      <c r="L378" s="314">
        <f>SUM(ventas_b_mes11[[#This Row],[IMPORTE NETO]:[EXENTO]])</f>
        <v>0</v>
      </c>
      <c r="M378" s="315"/>
    </row>
    <row r="379" spans="2:13">
      <c r="B379" s="306"/>
      <c r="C379" s="41"/>
      <c r="D379" s="308"/>
      <c r="E379" s="309"/>
      <c r="F379" s="310"/>
      <c r="G379" s="311" t="str">
        <f>IFERROR(IF(ventas_b_mes11[[#This Row],[CUIT]]="","-",VLOOKUP(ventas_b_mes11[[#This Row],[CUIT]],Lista_CUIT[#All],2,0)),"CUIT NO CARGADO")</f>
        <v>-</v>
      </c>
      <c r="H379" s="312"/>
      <c r="I379" s="313"/>
      <c r="J379" s="314"/>
      <c r="K379" s="314"/>
      <c r="L379" s="314">
        <f>SUM(ventas_b_mes11[[#This Row],[IMPORTE NETO]:[EXENTO]])</f>
        <v>0</v>
      </c>
      <c r="M379" s="315"/>
    </row>
    <row r="380" spans="2:13">
      <c r="B380" s="306"/>
      <c r="C380" s="41"/>
      <c r="D380" s="308"/>
      <c r="E380" s="309"/>
      <c r="F380" s="310"/>
      <c r="G380" s="311" t="str">
        <f>IFERROR(IF(ventas_b_mes11[[#This Row],[CUIT]]="","-",VLOOKUP(ventas_b_mes11[[#This Row],[CUIT]],Lista_CUIT[#All],2,0)),"CUIT NO CARGADO")</f>
        <v>-</v>
      </c>
      <c r="H380" s="312"/>
      <c r="I380" s="313"/>
      <c r="J380" s="314"/>
      <c r="K380" s="314"/>
      <c r="L380" s="314">
        <f>SUM(ventas_b_mes11[[#This Row],[IMPORTE NETO]:[EXENTO]])</f>
        <v>0</v>
      </c>
      <c r="M380" s="315"/>
    </row>
    <row r="381" spans="2:13">
      <c r="B381" s="306"/>
      <c r="C381" s="41"/>
      <c r="D381" s="308"/>
      <c r="E381" s="309"/>
      <c r="F381" s="310"/>
      <c r="G381" s="311" t="str">
        <f>IFERROR(IF(ventas_b_mes11[[#This Row],[CUIT]]="","-",VLOOKUP(ventas_b_mes11[[#This Row],[CUIT]],Lista_CUIT[#All],2,0)),"CUIT NO CARGADO")</f>
        <v>-</v>
      </c>
      <c r="H381" s="312"/>
      <c r="I381" s="313"/>
      <c r="J381" s="314"/>
      <c r="K381" s="314"/>
      <c r="L381" s="314">
        <f>SUM(ventas_b_mes11[[#This Row],[IMPORTE NETO]:[EXENTO]])</f>
        <v>0</v>
      </c>
      <c r="M381" s="315"/>
    </row>
    <row r="382" spans="2:13">
      <c r="B382" s="306"/>
      <c r="C382" s="41"/>
      <c r="D382" s="308"/>
      <c r="E382" s="309"/>
      <c r="F382" s="310"/>
      <c r="G382" s="311" t="str">
        <f>IFERROR(IF(ventas_b_mes11[[#This Row],[CUIT]]="","-",VLOOKUP(ventas_b_mes11[[#This Row],[CUIT]],Lista_CUIT[#All],2,0)),"CUIT NO CARGADO")</f>
        <v>-</v>
      </c>
      <c r="H382" s="312"/>
      <c r="I382" s="313"/>
      <c r="J382" s="314"/>
      <c r="K382" s="314"/>
      <c r="L382" s="314">
        <f>SUM(ventas_b_mes11[[#This Row],[IMPORTE NETO]:[EXENTO]])</f>
        <v>0</v>
      </c>
      <c r="M382" s="315"/>
    </row>
    <row r="383" spans="2:13">
      <c r="B383" s="306"/>
      <c r="C383" s="41"/>
      <c r="D383" s="308"/>
      <c r="E383" s="309"/>
      <c r="F383" s="310"/>
      <c r="G383" s="311" t="str">
        <f>IFERROR(IF(ventas_b_mes11[[#This Row],[CUIT]]="","-",VLOOKUP(ventas_b_mes11[[#This Row],[CUIT]],Lista_CUIT[#All],2,0)),"CUIT NO CARGADO")</f>
        <v>-</v>
      </c>
      <c r="H383" s="312"/>
      <c r="I383" s="313"/>
      <c r="J383" s="314"/>
      <c r="K383" s="314"/>
      <c r="L383" s="314">
        <f>SUM(ventas_b_mes11[[#This Row],[IMPORTE NETO]:[EXENTO]])</f>
        <v>0</v>
      </c>
      <c r="M383" s="315"/>
    </row>
    <row r="384" spans="2:13">
      <c r="B384" s="306"/>
      <c r="C384" s="41"/>
      <c r="D384" s="308"/>
      <c r="E384" s="309"/>
      <c r="F384" s="310"/>
      <c r="G384" s="311" t="str">
        <f>IFERROR(IF(ventas_b_mes11[[#This Row],[CUIT]]="","-",VLOOKUP(ventas_b_mes11[[#This Row],[CUIT]],Lista_CUIT[#All],2,0)),"CUIT NO CARGADO")</f>
        <v>-</v>
      </c>
      <c r="H384" s="312"/>
      <c r="I384" s="313"/>
      <c r="J384" s="314"/>
      <c r="K384" s="314"/>
      <c r="L384" s="314">
        <f>SUM(ventas_b_mes11[[#This Row],[IMPORTE NETO]:[EXENTO]])</f>
        <v>0</v>
      </c>
      <c r="M384" s="315"/>
    </row>
    <row r="385" spans="2:13">
      <c r="B385" s="306"/>
      <c r="C385" s="41"/>
      <c r="D385" s="308"/>
      <c r="E385" s="309"/>
      <c r="F385" s="310"/>
      <c r="G385" s="311" t="str">
        <f>IFERROR(IF(ventas_b_mes11[[#This Row],[CUIT]]="","-",VLOOKUP(ventas_b_mes11[[#This Row],[CUIT]],Lista_CUIT[#All],2,0)),"CUIT NO CARGADO")</f>
        <v>-</v>
      </c>
      <c r="H385" s="312"/>
      <c r="I385" s="313"/>
      <c r="J385" s="314"/>
      <c r="K385" s="314"/>
      <c r="L385" s="314">
        <f>SUM(ventas_b_mes11[[#This Row],[IMPORTE NETO]:[EXENTO]])</f>
        <v>0</v>
      </c>
      <c r="M385" s="315"/>
    </row>
    <row r="386" spans="2:13">
      <c r="B386" s="306"/>
      <c r="C386" s="41"/>
      <c r="D386" s="308"/>
      <c r="E386" s="309"/>
      <c r="F386" s="310"/>
      <c r="G386" s="311" t="str">
        <f>IFERROR(IF(ventas_b_mes11[[#This Row],[CUIT]]="","-",VLOOKUP(ventas_b_mes11[[#This Row],[CUIT]],Lista_CUIT[#All],2,0)),"CUIT NO CARGADO")</f>
        <v>-</v>
      </c>
      <c r="H386" s="312"/>
      <c r="I386" s="313"/>
      <c r="J386" s="314"/>
      <c r="K386" s="314"/>
      <c r="L386" s="314">
        <f>SUM(ventas_b_mes11[[#This Row],[IMPORTE NETO]:[EXENTO]])</f>
        <v>0</v>
      </c>
      <c r="M386" s="315"/>
    </row>
    <row r="387" spans="2:13">
      <c r="B387" s="306"/>
      <c r="C387" s="41"/>
      <c r="D387" s="308"/>
      <c r="E387" s="309"/>
      <c r="F387" s="310"/>
      <c r="G387" s="311" t="str">
        <f>IFERROR(IF(ventas_b_mes11[[#This Row],[CUIT]]="","-",VLOOKUP(ventas_b_mes11[[#This Row],[CUIT]],Lista_CUIT[#All],2,0)),"CUIT NO CARGADO")</f>
        <v>-</v>
      </c>
      <c r="H387" s="312"/>
      <c r="I387" s="313"/>
      <c r="J387" s="314"/>
      <c r="K387" s="314"/>
      <c r="L387" s="314">
        <f>SUM(ventas_b_mes11[[#This Row],[IMPORTE NETO]:[EXENTO]])</f>
        <v>0</v>
      </c>
      <c r="M387" s="315"/>
    </row>
    <row r="388" spans="2:13">
      <c r="B388" s="306"/>
      <c r="C388" s="41"/>
      <c r="D388" s="308"/>
      <c r="E388" s="309"/>
      <c r="F388" s="310"/>
      <c r="G388" s="311" t="str">
        <f>IFERROR(IF(ventas_b_mes11[[#This Row],[CUIT]]="","-",VLOOKUP(ventas_b_mes11[[#This Row],[CUIT]],Lista_CUIT[#All],2,0)),"CUIT NO CARGADO")</f>
        <v>-</v>
      </c>
      <c r="H388" s="312"/>
      <c r="I388" s="313"/>
      <c r="J388" s="314"/>
      <c r="K388" s="314"/>
      <c r="L388" s="314">
        <f>SUM(ventas_b_mes11[[#This Row],[IMPORTE NETO]:[EXENTO]])</f>
        <v>0</v>
      </c>
      <c r="M388" s="315"/>
    </row>
    <row r="389" spans="2:13">
      <c r="B389" s="306"/>
      <c r="C389" s="307"/>
      <c r="D389" s="308"/>
      <c r="E389" s="309"/>
      <c r="F389" s="310"/>
      <c r="G389" s="311" t="str">
        <f>IFERROR(IF(ventas_b_mes11[[#This Row],[CUIT]]="","-",VLOOKUP(ventas_b_mes11[[#This Row],[CUIT]],Lista_CUIT[#All],2,0)),"CUIT NO CARGADO")</f>
        <v>-</v>
      </c>
      <c r="H389" s="312"/>
      <c r="I389" s="313"/>
      <c r="J389" s="314"/>
      <c r="K389" s="314"/>
      <c r="L389" s="314">
        <f>SUM(ventas_b_mes11[[#This Row],[IMPORTE NETO]:[EXENTO]])</f>
        <v>0</v>
      </c>
      <c r="M389" s="315"/>
    </row>
    <row r="390" spans="2:13">
      <c r="B390" s="306"/>
      <c r="C390" s="307"/>
      <c r="D390" s="308"/>
      <c r="E390" s="309"/>
      <c r="F390" s="310"/>
      <c r="G390" s="311" t="str">
        <f>IFERROR(IF(ventas_b_mes11[[#This Row],[CUIT]]="","-",VLOOKUP(ventas_b_mes11[[#This Row],[CUIT]],Lista_CUIT[#All],2,0)),"CUIT NO CARGADO")</f>
        <v>-</v>
      </c>
      <c r="H390" s="312"/>
      <c r="I390" s="313"/>
      <c r="J390" s="314"/>
      <c r="K390" s="314"/>
      <c r="L390" s="314">
        <f>SUM(ventas_b_mes11[[#This Row],[IMPORTE NETO]:[EXENTO]])</f>
        <v>0</v>
      </c>
      <c r="M390" s="315"/>
    </row>
    <row r="391" spans="2:13">
      <c r="B391" s="306"/>
      <c r="C391" s="307"/>
      <c r="D391" s="308"/>
      <c r="E391" s="309"/>
      <c r="F391" s="310"/>
      <c r="G391" s="311" t="str">
        <f>IFERROR(IF(ventas_b_mes11[[#This Row],[CUIT]]="","-",VLOOKUP(ventas_b_mes11[[#This Row],[CUIT]],Lista_CUIT[#All],2,0)),"CUIT NO CARGADO")</f>
        <v>-</v>
      </c>
      <c r="H391" s="312"/>
      <c r="I391" s="313"/>
      <c r="J391" s="314"/>
      <c r="K391" s="314"/>
      <c r="L391" s="314">
        <f>SUM(ventas_b_mes11[[#This Row],[IMPORTE NETO]:[EXENTO]])</f>
        <v>0</v>
      </c>
      <c r="M391" s="315"/>
    </row>
    <row r="392" spans="2:13" ht="15.75" thickBot="1">
      <c r="B392" s="66" t="s">
        <v>110</v>
      </c>
      <c r="C392" s="67"/>
      <c r="D392" s="67"/>
      <c r="E392" s="67"/>
      <c r="F392" s="67"/>
      <c r="G392" s="67"/>
      <c r="H392" s="77">
        <f>SUBTOTAL(109,ventas_b_mes11[IMPORTE NETO])</f>
        <v>0</v>
      </c>
      <c r="I392" s="77">
        <f>SUBTOTAL(109,ventas_b_mes11[IVA 21%])</f>
        <v>0</v>
      </c>
      <c r="J392" s="78">
        <f>SUBTOTAL(109,ventas_b_mes11[IVA 10,5%])</f>
        <v>0</v>
      </c>
      <c r="K392" s="78">
        <f>SUBTOTAL(109,ventas_b_mes11[EXENTO])</f>
        <v>0</v>
      </c>
      <c r="L392" s="78">
        <f>SUBTOTAL(109,ventas_b_mes11[TOTAL])</f>
        <v>0</v>
      </c>
      <c r="M392" s="68">
        <f>SUBTOTAL(103,ventas_b_mes11[Provincia])</f>
        <v>0</v>
      </c>
    </row>
    <row r="393" spans="2:13" ht="15.75" thickTop="1">
      <c r="C393" s="663" t="s">
        <v>66</v>
      </c>
      <c r="D393" s="663"/>
      <c r="E393" s="663"/>
      <c r="F393" s="663"/>
      <c r="G393" s="663"/>
      <c r="H393" s="32"/>
      <c r="I393" s="32"/>
      <c r="J393" s="32"/>
    </row>
    <row r="394" spans="2:13" ht="15.75">
      <c r="C394" s="113" t="s">
        <v>67</v>
      </c>
      <c r="D394" s="114" t="s">
        <v>68</v>
      </c>
      <c r="E394" s="114" t="s">
        <v>112</v>
      </c>
      <c r="F394" s="114" t="s">
        <v>3</v>
      </c>
      <c r="G394" s="114" t="s">
        <v>4</v>
      </c>
      <c r="H394" s="115" t="s">
        <v>69</v>
      </c>
      <c r="I394" s="115" t="s">
        <v>70</v>
      </c>
      <c r="J394" s="115" t="s">
        <v>71</v>
      </c>
      <c r="K394" s="115" t="s">
        <v>72</v>
      </c>
      <c r="L394" s="115" t="s">
        <v>73</v>
      </c>
    </row>
    <row r="395" spans="2:13">
      <c r="C395" s="116"/>
      <c r="D395" s="117"/>
      <c r="E395" s="117"/>
      <c r="F395" s="118"/>
      <c r="G395" s="53" t="str">
        <f>IFERROR(IF(Retenciones_mes11[[#This Row],[CUIT]]="","-",VLOOKUP(Retenciones_mes11[[#This Row],[CUIT]],Lista_CUIT[#All],2,0)),"CUIT NO CARGADO")</f>
        <v>-</v>
      </c>
      <c r="H395" s="119"/>
      <c r="I395" s="119"/>
      <c r="J395" s="119"/>
      <c r="K395" s="119"/>
      <c r="L395" s="119"/>
    </row>
    <row r="396" spans="2:13">
      <c r="C396" s="116"/>
      <c r="D396" s="117"/>
      <c r="E396" s="117"/>
      <c r="F396" s="118"/>
      <c r="G396" s="53" t="str">
        <f>IFERROR(IF(Retenciones_mes11[[#This Row],[CUIT]]="","-",VLOOKUP(Retenciones_mes11[[#This Row],[CUIT]],Lista_CUIT[#All],2,0)),"CUIT NO CARGADO")</f>
        <v>-</v>
      </c>
      <c r="H396" s="119"/>
      <c r="I396" s="119"/>
      <c r="J396" s="119"/>
      <c r="K396" s="119"/>
      <c r="L396" s="119"/>
    </row>
    <row r="397" spans="2:13">
      <c r="C397" s="116"/>
      <c r="D397" s="117"/>
      <c r="E397" s="117"/>
      <c r="F397" s="118"/>
      <c r="G397" s="53" t="str">
        <f>IFERROR(IF(Retenciones_mes11[[#This Row],[CUIT]]="","-",VLOOKUP(Retenciones_mes11[[#This Row],[CUIT]],Lista_CUIT[#All],2,0)),"CUIT NO CARGADO")</f>
        <v>-</v>
      </c>
      <c r="H397" s="119"/>
      <c r="I397" s="119"/>
      <c r="J397" s="119"/>
      <c r="K397" s="119"/>
      <c r="L397" s="119"/>
    </row>
    <row r="398" spans="2:13">
      <c r="C398" s="116"/>
      <c r="D398" s="117"/>
      <c r="E398" s="117"/>
      <c r="F398" s="118"/>
      <c r="G398" s="53" t="str">
        <f>IFERROR(IF(Retenciones_mes11[[#This Row],[CUIT]]="","-",VLOOKUP(Retenciones_mes11[[#This Row],[CUIT]],Lista_CUIT[#All],2,0)),"CUIT NO CARGADO")</f>
        <v>-</v>
      </c>
      <c r="H398" s="119"/>
      <c r="I398" s="119"/>
      <c r="J398" s="119"/>
      <c r="K398" s="119"/>
      <c r="L398" s="119"/>
    </row>
    <row r="399" spans="2:13">
      <c r="D399" s="117"/>
      <c r="E399" s="117"/>
      <c r="G399" s="53" t="str">
        <f>IFERROR(IF(Retenciones_mes11[[#This Row],[CUIT]]="","-",VLOOKUP(Retenciones_mes11[[#This Row],[CUIT]],Lista_CUIT[#All],2,0)),"CUIT NO CARGADO")</f>
        <v>-</v>
      </c>
    </row>
    <row r="400" spans="2:13">
      <c r="C400" s="33"/>
    </row>
  </sheetData>
  <mergeCells count="20">
    <mergeCell ref="C393:G393"/>
    <mergeCell ref="B4:E4"/>
    <mergeCell ref="G4:H4"/>
    <mergeCell ref="J4:K4"/>
    <mergeCell ref="M4:N4"/>
    <mergeCell ref="D116:K116"/>
    <mergeCell ref="B144:J144"/>
    <mergeCell ref="K144:M144"/>
    <mergeCell ref="B146:C146"/>
    <mergeCell ref="B157:C157"/>
    <mergeCell ref="P4:R4"/>
    <mergeCell ref="D105:L105"/>
    <mergeCell ref="B1:F1"/>
    <mergeCell ref="G1:M1"/>
    <mergeCell ref="N1:R1"/>
    <mergeCell ref="B3:E3"/>
    <mergeCell ref="G3:H3"/>
    <mergeCell ref="J3:K3"/>
    <mergeCell ref="M3:N3"/>
    <mergeCell ref="P3:R3"/>
  </mergeCells>
  <dataValidations count="10">
    <dataValidation type="whole" allowBlank="1" showInputMessage="1" showErrorMessage="1" sqref="D159:D391 D148:D153 E118:E142 D9:D99">
      <formula1>1</formula1>
      <formula2>9999</formula2>
    </dataValidation>
    <dataValidation type="whole" allowBlank="1" showInputMessage="1" showErrorMessage="1" sqref="E159:E391 E148:E153 F118:F142 E9:E99">
      <formula1>1</formula1>
      <formula2>99999999</formula2>
    </dataValidation>
    <dataValidation type="whole" allowBlank="1" showInputMessage="1" showErrorMessage="1" sqref="F148:F153 F159:F391 G118:G142 F9:F99">
      <formula1>20000000000</formula1>
      <formula2>33999999999</formula2>
    </dataValidation>
    <dataValidation type="date" allowBlank="1" showInputMessage="1" showErrorMessage="1" sqref="D118:D142 B101:B104 B159:B391 B148:B153 D107:D109 D111 B9:B99">
      <formula1>40179</formula1>
      <formula2>TODAY()</formula2>
    </dataValidation>
    <dataValidation type="whole" allowBlank="1" showInputMessage="1" showErrorMessage="1" sqref="C101:C104 C148:C153 C9:C99">
      <formula1>1</formula1>
      <formula2>3</formula2>
    </dataValidation>
    <dataValidation type="custom" allowBlank="1" showInputMessage="1" showErrorMessage="1" sqref="L148:L152">
      <formula1>IF($C9=3,L9&lt;0,L9&gt;=0)</formula1>
    </dataValidation>
    <dataValidation type="whole" allowBlank="1" showInputMessage="1" showErrorMessage="1" sqref="C159:C391">
      <formula1>6</formula1>
      <formula2>8</formula2>
    </dataValidation>
    <dataValidation type="custom" allowBlank="1" showInputMessage="1" showErrorMessage="1" sqref="H159:L391">
      <formula1>IF($C159=8,H159&lt;0,H159&gt;=0)</formula1>
    </dataValidation>
    <dataValidation type="custom" allowBlank="1" showInputMessage="1" showErrorMessage="1" sqref="H148:K152">
      <formula1>IF($C148=3,H148&lt;0,H148&gt;=0)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99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theme="9" tint="0.79998168889431442"/>
  </sheetPr>
  <dimension ref="A1:Z203"/>
  <sheetViews>
    <sheetView showGridLines="0" topLeftCell="A122" zoomScale="80" zoomScaleNormal="80" workbookViewId="0">
      <selection activeCell="P155" sqref="P155"/>
    </sheetView>
  </sheetViews>
  <sheetFormatPr baseColWidth="10" defaultColWidth="0" defaultRowHeight="15"/>
  <cols>
    <col min="1" max="1" width="1.5703125" customWidth="1"/>
    <col min="2" max="2" width="11.42578125" customWidth="1"/>
    <col min="3" max="3" width="9.5703125" customWidth="1"/>
    <col min="4" max="4" width="13.42578125" customWidth="1"/>
    <col min="5" max="5" width="14.5703125" customWidth="1"/>
    <col min="6" max="6" width="17.5703125" customWidth="1"/>
    <col min="7" max="7" width="29.42578125" customWidth="1"/>
    <col min="8" max="8" width="20" customWidth="1"/>
    <col min="9" max="9" width="17.5703125" customWidth="1"/>
    <col min="10" max="10" width="19.7109375" customWidth="1"/>
    <col min="11" max="11" width="13.42578125" customWidth="1"/>
    <col min="12" max="12" width="12.85546875" customWidth="1"/>
    <col min="13" max="13" width="12.42578125" customWidth="1"/>
    <col min="14" max="14" width="16.42578125" customWidth="1"/>
    <col min="15" max="15" width="13.42578125" customWidth="1"/>
    <col min="16" max="16" width="23.140625" customWidth="1"/>
    <col min="17" max="17" width="18.42578125" customWidth="1"/>
    <col min="18" max="18" width="10" customWidth="1"/>
    <col min="19" max="19" width="11.42578125" customWidth="1"/>
    <col min="20" max="20" width="8.85546875" customWidth="1"/>
    <col min="21" max="22" width="8.85546875" hidden="1" customWidth="1"/>
    <col min="23" max="23" width="12.425781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5.1" customHeight="1">
      <c r="A1" s="37"/>
      <c r="B1" s="667" t="s">
        <v>28</v>
      </c>
      <c r="C1" s="667"/>
      <c r="D1" s="667"/>
      <c r="E1" s="667"/>
      <c r="F1" s="667"/>
      <c r="G1" s="677" t="str">
        <f>'Ene-24'!G1:M1</f>
        <v>ORTOPEDIA GEMINIS S.A.</v>
      </c>
      <c r="H1" s="677"/>
      <c r="I1" s="677"/>
      <c r="J1" s="677"/>
      <c r="K1" s="677"/>
      <c r="L1" s="677"/>
      <c r="M1" s="677"/>
      <c r="N1" s="664">
        <f>EDATE('Ene-24'!N1,11)</f>
        <v>45627</v>
      </c>
      <c r="O1" s="664"/>
      <c r="P1" s="664"/>
      <c r="Q1" s="664"/>
      <c r="R1" s="664"/>
    </row>
    <row r="2" spans="1:26" ht="15" customHeight="1"/>
    <row r="3" spans="1:26" ht="26.45" customHeight="1">
      <c r="B3" s="670" t="s">
        <v>65</v>
      </c>
      <c r="C3" s="670"/>
      <c r="D3" s="670"/>
      <c r="E3" s="670"/>
      <c r="F3" s="38"/>
      <c r="G3" s="670" t="s">
        <v>37</v>
      </c>
      <c r="H3" s="670"/>
      <c r="I3" s="38"/>
      <c r="J3" s="662" t="s">
        <v>14</v>
      </c>
      <c r="K3" s="662"/>
      <c r="L3" s="38"/>
      <c r="M3" s="662" t="s">
        <v>12</v>
      </c>
      <c r="N3" s="662"/>
      <c r="O3" s="38"/>
      <c r="P3" s="676" t="s">
        <v>109</v>
      </c>
      <c r="Q3" s="676"/>
      <c r="R3" s="676"/>
    </row>
    <row r="4" spans="1:26" ht="25.35" customHeight="1">
      <c r="B4" s="671">
        <f>SUM(compras_mes12[[#Totals],[NETO GRAVADO]])+extracto_banco_mes12[[#Totals],[NETO]]</f>
        <v>31943104.770000007</v>
      </c>
      <c r="C4" s="671"/>
      <c r="D4" s="671"/>
      <c r="E4" s="671"/>
      <c r="F4" s="39"/>
      <c r="G4" s="678">
        <f>compras_mes12[[#Totals],[IVA 21 %]]+compras_mes12[[#Totals],[IVA 27%]]+compras_mes12[[#Totals],[IVA 10,5%]]+extracto_banco_mes12[[#Totals],[IVA 21%]]+extracto_banco_mes12[[#Totals],[IVA 10,5%]]</f>
        <v>6667560.7275</v>
      </c>
      <c r="H4" s="678"/>
      <c r="I4" s="39"/>
      <c r="J4" s="661">
        <f>venta_a_mes12[[#Totals],[IMPORTE NETO]]+ventas_b_mes12[[#Totals],[IMPORTE NETO]]</f>
        <v>0</v>
      </c>
      <c r="K4" s="661"/>
      <c r="L4" s="39"/>
      <c r="M4" s="661">
        <f>venta_a_mes12[[#Totals],[IVA 21%]]+venta_a_mes12[[#Totals],[IVA 10,5%]]+ventas_b_mes12[[#Totals],[IVA 21%]]+ventas_b_mes12[[#Totals],[IVA 10,5%]]</f>
        <v>0</v>
      </c>
      <c r="N4" s="661"/>
      <c r="O4" s="39"/>
      <c r="P4" s="674">
        <f>G4-M4</f>
        <v>6667560.7275</v>
      </c>
      <c r="Q4" s="675"/>
      <c r="R4" s="675"/>
    </row>
    <row r="5" spans="1:26" ht="13.35" customHeight="1"/>
    <row r="6" spans="1:26" ht="11.1" customHeight="1"/>
    <row r="7" spans="1:26" s="2" customFormat="1" ht="11.1" customHeight="1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>
      <c r="B9" s="291">
        <v>45629</v>
      </c>
      <c r="C9" s="305">
        <v>1</v>
      </c>
      <c r="D9" s="292">
        <v>2</v>
      </c>
      <c r="E9" s="293">
        <v>223</v>
      </c>
      <c r="F9" s="294">
        <v>30605344352</v>
      </c>
      <c r="G9" s="295" t="str">
        <f>IFERROR(IF(compras_mes12[[#This Row],[CUIT]]="","-",VLOOKUP(compras_mes12[[#This Row],[CUIT]],Lista_CUIT[#All],2,0)),"CUIT NO CARGADO")</f>
        <v>CONSORCIO BARTOLME MITRE 2466</v>
      </c>
      <c r="H9" s="592">
        <v>834000</v>
      </c>
      <c r="I9" s="297">
        <f>IF(compras_mes12[[#This Row],[NETO GRAVADO]]="","",compras_mes12[[#This Row],[NETO GRAVADO]]*0.21)</f>
        <v>175140</v>
      </c>
      <c r="J9" s="297"/>
      <c r="K9" s="297"/>
      <c r="L9" s="297"/>
      <c r="M9" s="297"/>
      <c r="N9" s="297"/>
      <c r="O9" s="297"/>
      <c r="P9" s="298">
        <f>SUM(compras_mes12[[#This Row],[NETO GRAVADO]:[Otros / No Grav.]])</f>
        <v>1009140</v>
      </c>
      <c r="Q9" s="299" t="str">
        <f>IFERROR(IF(compras_mes12[[#This Row],[CUIT]]="","-",VLOOKUP(compras_mes12[[#This Row],[CUIT]],Lista_CUIT[#All],3,0)),"CUIT NO CARGADO")</f>
        <v>ALQUILERES PAGADOS</v>
      </c>
      <c r="R9" s="299">
        <f>IFERROR(IF(compras_mes12[[#This Row],[CUIT]]="","-",VLOOKUP(compras_mes12[[#This Row],[CUIT]],Lista_CUIT[#All],4,0)),"CUIT NO CARGADO")</f>
        <v>0</v>
      </c>
    </row>
    <row r="10" spans="1:26">
      <c r="B10" s="291">
        <v>45635</v>
      </c>
      <c r="C10" s="305">
        <v>1</v>
      </c>
      <c r="D10" s="292">
        <v>5</v>
      </c>
      <c r="E10" s="293">
        <v>52</v>
      </c>
      <c r="F10" s="294">
        <v>30707370552</v>
      </c>
      <c r="G10" s="295" t="str">
        <f>IFERROR(IF(compras_mes12[[#This Row],[CUIT]]="","-",VLOOKUP(compras_mes12[[#This Row],[CUIT]],Lista_CUIT[#All],2,0)),"CUIT NO CARGADO")</f>
        <v>RAKE SA</v>
      </c>
      <c r="H10" s="592">
        <v>1050000</v>
      </c>
      <c r="I10" s="297">
        <f>IF(compras_mes12[[#This Row],[NETO GRAVADO]]="","",compras_mes12[[#This Row],[NETO GRAVADO]]*0.21)</f>
        <v>220500</v>
      </c>
      <c r="J10" s="297"/>
      <c r="K10" s="297"/>
      <c r="L10" s="297"/>
      <c r="M10" s="297"/>
      <c r="N10" s="297"/>
      <c r="O10" s="297"/>
      <c r="P10" s="48">
        <f>SUM(compras_mes12[[#This Row],[NETO GRAVADO]:[Otros / No Grav.]])</f>
        <v>1270500</v>
      </c>
      <c r="Q10" s="49" t="str">
        <f>IFERROR(IF(compras_mes12[[#This Row],[CUIT]]="","-",VLOOKUP(compras_mes12[[#This Row],[CUIT]],Lista_CUIT[#All],3,0)),"CUIT NO CARGADO")</f>
        <v>ALQUILERES PAGADOS</v>
      </c>
      <c r="R10" s="49">
        <f>IFERROR(IF(compras_mes12[[#This Row],[CUIT]]="","-",VLOOKUP(compras_mes12[[#This Row],[CUIT]],Lista_CUIT[#All],4,0)),"CUIT NO CARGADO")</f>
        <v>0</v>
      </c>
    </row>
    <row r="11" spans="1:26" s="450" customFormat="1">
      <c r="B11" s="291">
        <v>45653</v>
      </c>
      <c r="C11" s="305">
        <v>1</v>
      </c>
      <c r="D11" s="292">
        <v>21</v>
      </c>
      <c r="E11" s="293">
        <v>878</v>
      </c>
      <c r="F11" s="294">
        <v>20166808201</v>
      </c>
      <c r="G11" s="295" t="str">
        <f>IFERROR(IF(compras_mes12[[#This Row],[CUIT]]="","-",VLOOKUP(compras_mes12[[#This Row],[CUIT]],Lista_CUIT[#All],2,0)),"CUIT NO CARGADO")</f>
        <v>CARLOS ALBERTO QUIRINO</v>
      </c>
      <c r="H11" s="592">
        <v>293938.08</v>
      </c>
      <c r="I11" s="297">
        <f>IF(compras_mes12[[#This Row],[NETO GRAVADO]]="","",compras_mes12[[#This Row],[NETO GRAVADO]]*0.21)</f>
        <v>61726.996800000001</v>
      </c>
      <c r="J11" s="297"/>
      <c r="K11" s="297"/>
      <c r="L11" s="297">
        <v>8818.14</v>
      </c>
      <c r="M11" s="297"/>
      <c r="N11" s="297">
        <v>11757.52</v>
      </c>
      <c r="O11" s="297"/>
      <c r="P11" s="298">
        <f>SUM(compras_mes12[[#This Row],[NETO GRAVADO]:[Otros / No Grav.]])</f>
        <v>376240.73680000007</v>
      </c>
      <c r="Q11" s="299" t="str">
        <f>IFERROR(IF(compras_mes12[[#This Row],[CUIT]]="","-",VLOOKUP(compras_mes12[[#This Row],[CUIT]],Lista_CUIT[#All],3,0)),"CUIT NO CARGADO")</f>
        <v>CATERING</v>
      </c>
      <c r="R11" s="299">
        <f>IFERROR(IF(compras_mes12[[#This Row],[CUIT]]="","-",VLOOKUP(compras_mes12[[#This Row],[CUIT]],Lista_CUIT[#All],4,0)),"CUIT NO CARGADO")</f>
        <v>0</v>
      </c>
    </row>
    <row r="12" spans="1:26">
      <c r="B12" s="291">
        <v>45639</v>
      </c>
      <c r="C12" s="305">
        <v>1</v>
      </c>
      <c r="D12" s="292">
        <v>6938</v>
      </c>
      <c r="E12" s="293">
        <v>25552</v>
      </c>
      <c r="F12" s="294">
        <v>30678774495</v>
      </c>
      <c r="G12" s="295" t="str">
        <f>IFERROR(IF(compras_mes12[[#This Row],[CUIT]]="","-",VLOOKUP(compras_mes12[[#This Row],[CUIT]],Lista_CUIT[#All],2,0)),"CUIT NO CARGADO")</f>
        <v>OPER. DE EST. DE SERV. SA</v>
      </c>
      <c r="H12" s="592">
        <v>36348.74</v>
      </c>
      <c r="I12" s="297">
        <f>IF(compras_mes12[[#This Row],[NETO GRAVADO]]="","",compras_mes12[[#This Row],[NETO GRAVADO]]*0.21)</f>
        <v>7633.2353999999996</v>
      </c>
      <c r="J12" s="297"/>
      <c r="K12" s="297"/>
      <c r="L12" s="297"/>
      <c r="M12" s="297"/>
      <c r="N12" s="297"/>
      <c r="O12" s="297">
        <v>9528.0499999999993</v>
      </c>
      <c r="P12" s="48">
        <f>SUM(compras_mes12[[#This Row],[NETO GRAVADO]:[Otros / No Grav.]])</f>
        <v>53510.025399999999</v>
      </c>
      <c r="Q12" s="299" t="str">
        <f>IFERROR(IF(compras_mes12[[#This Row],[CUIT]]="","-",VLOOKUP(compras_mes12[[#This Row],[CUIT]],Lista_CUIT[#All],3,0)),"CUIT NO CARGADO")</f>
        <v>COMBUSTIBLE</v>
      </c>
      <c r="R12" s="299">
        <f>IFERROR(IF(compras_mes12[[#This Row],[CUIT]]="","-",VLOOKUP(compras_mes12[[#This Row],[CUIT]],Lista_CUIT[#All],4,0)),"CUIT NO CARGADO")</f>
        <v>0</v>
      </c>
    </row>
    <row r="13" spans="1:26">
      <c r="B13" s="291">
        <v>45653</v>
      </c>
      <c r="C13" s="305">
        <v>1</v>
      </c>
      <c r="D13" s="292">
        <v>6870</v>
      </c>
      <c r="E13" s="293">
        <v>29207</v>
      </c>
      <c r="F13" s="294">
        <v>30678774495</v>
      </c>
      <c r="G13" s="295" t="str">
        <f>IFERROR(IF(compras_mes12[[#This Row],[CUIT]]="","-",VLOOKUP(compras_mes12[[#This Row],[CUIT]],Lista_CUIT[#All],2,0)),"CUIT NO CARGADO")</f>
        <v>OPER. DE EST. DE SERV. SA</v>
      </c>
      <c r="H13" s="592">
        <v>38310.11</v>
      </c>
      <c r="I13" s="297">
        <f>IF(compras_mes12[[#This Row],[NETO GRAVADO]]="","",compras_mes12[[#This Row],[NETO GRAVADO]]*0.21)</f>
        <v>8045.1230999999998</v>
      </c>
      <c r="J13" s="297"/>
      <c r="K13" s="297"/>
      <c r="L13" s="297"/>
      <c r="M13" s="297"/>
      <c r="N13" s="297"/>
      <c r="O13" s="297">
        <v>10051.74</v>
      </c>
      <c r="P13" s="298">
        <f>SUM(compras_mes12[[#This Row],[NETO GRAVADO]:[Otros / No Grav.]])</f>
        <v>56406.973099999996</v>
      </c>
      <c r="Q13" s="299" t="str">
        <f>IFERROR(IF(compras_mes12[[#This Row],[CUIT]]="","-",VLOOKUP(compras_mes12[[#This Row],[CUIT]],Lista_CUIT[#All],3,0)),"CUIT NO CARGADO")</f>
        <v>COMBUSTIBLE</v>
      </c>
      <c r="R13" s="299">
        <f>IFERROR(IF(compras_mes12[[#This Row],[CUIT]]="","-",VLOOKUP(compras_mes12[[#This Row],[CUIT]],Lista_CUIT[#All],4,0)),"CUIT NO CARGADO")</f>
        <v>0</v>
      </c>
    </row>
    <row r="14" spans="1:26" s="450" customFormat="1">
      <c r="B14" s="291">
        <v>45635</v>
      </c>
      <c r="C14" s="305">
        <v>1</v>
      </c>
      <c r="D14" s="292">
        <v>24</v>
      </c>
      <c r="E14" s="293">
        <v>21437</v>
      </c>
      <c r="F14" s="294">
        <v>20139793170</v>
      </c>
      <c r="G14" s="295" t="str">
        <f>IFERROR(IF(compras_mes12[[#This Row],[CUIT]]="","-",VLOOKUP(compras_mes12[[#This Row],[CUIT]],Lista_CUIT[#All],2,0)),"CUIT NO CARGADO")</f>
        <v>IACONO JUAN</v>
      </c>
      <c r="H14" s="592">
        <v>22603.57</v>
      </c>
      <c r="I14" s="297">
        <f>IF(compras_mes12[[#This Row],[NETO GRAVADO]]="","",compras_mes12[[#This Row],[NETO GRAVADO]]*0.21)</f>
        <v>4746.7496999999994</v>
      </c>
      <c r="J14" s="297"/>
      <c r="K14" s="297"/>
      <c r="L14" s="297"/>
      <c r="M14" s="297"/>
      <c r="N14" s="297"/>
      <c r="O14" s="297">
        <f>1979.45</f>
        <v>1979.45</v>
      </c>
      <c r="P14" s="298">
        <f>SUM(compras_mes12[[#This Row],[NETO GRAVADO]:[Otros / No Grav.]])</f>
        <v>29329.769700000001</v>
      </c>
      <c r="Q14" s="299" t="str">
        <f>IFERROR(IF(compras_mes12[[#This Row],[CUIT]]="","-",VLOOKUP(compras_mes12[[#This Row],[CUIT]],Lista_CUIT[#All],3,0)),"CUIT NO CARGADO")</f>
        <v>COMBUSTIBLE</v>
      </c>
      <c r="R14" s="299">
        <f>IFERROR(IF(compras_mes12[[#This Row],[CUIT]]="","-",VLOOKUP(compras_mes12[[#This Row],[CUIT]],Lista_CUIT[#All],4,0)),"CUIT NO CARGADO")</f>
        <v>0</v>
      </c>
    </row>
    <row r="15" spans="1:26">
      <c r="B15" s="291">
        <v>45642</v>
      </c>
      <c r="C15" s="305">
        <v>1</v>
      </c>
      <c r="D15" s="292">
        <v>6</v>
      </c>
      <c r="E15" s="293">
        <v>20470</v>
      </c>
      <c r="F15" s="294">
        <v>33715594949</v>
      </c>
      <c r="G15" s="295" t="str">
        <f>IFERROR(IF(compras_mes12[[#This Row],[CUIT]]="","-",VLOOKUP(compras_mes12[[#This Row],[CUIT]],Lista_CUIT[#All],2,0)),"CUIT NO CARGADO")</f>
        <v>SOMOS ENERGIA SA</v>
      </c>
      <c r="H15" s="592">
        <v>74978.240000000005</v>
      </c>
      <c r="I15" s="297">
        <f>IF(compras_mes12[[#This Row],[NETO GRAVADO]]="","",compras_mes12[[#This Row],[NETO GRAVADO]]*0.21)</f>
        <v>15745.430400000001</v>
      </c>
      <c r="J15" s="297"/>
      <c r="K15" s="297"/>
      <c r="L15" s="297"/>
      <c r="M15" s="297"/>
      <c r="N15" s="297">
        <v>927.64</v>
      </c>
      <c r="O15" s="297">
        <v>8348.73</v>
      </c>
      <c r="P15" s="298">
        <f>SUM(compras_mes12[[#This Row],[NETO GRAVADO]:[Otros / No Grav.]])</f>
        <v>100000.0404</v>
      </c>
      <c r="Q15" s="299" t="str">
        <f>IFERROR(IF(compras_mes12[[#This Row],[CUIT]]="","-",VLOOKUP(compras_mes12[[#This Row],[CUIT]],Lista_CUIT[#All],3,0)),"CUIT NO CARGADO")</f>
        <v>COMBUSTIBLE</v>
      </c>
      <c r="R15" s="299">
        <f>IFERROR(IF(compras_mes12[[#This Row],[CUIT]]="","-",VLOOKUP(compras_mes12[[#This Row],[CUIT]],Lista_CUIT[#All],4,0)),"CUIT NO CARGADO")</f>
        <v>0</v>
      </c>
    </row>
    <row r="16" spans="1:26">
      <c r="B16" s="291">
        <v>45642</v>
      </c>
      <c r="C16" s="305">
        <v>1</v>
      </c>
      <c r="D16" s="292">
        <v>6</v>
      </c>
      <c r="E16" s="293">
        <v>20471</v>
      </c>
      <c r="F16" s="294">
        <v>33715594949</v>
      </c>
      <c r="G16" s="295" t="str">
        <f>IFERROR(IF(compras_mes12[[#This Row],[CUIT]]="","-",VLOOKUP(compras_mes12[[#This Row],[CUIT]],Lista_CUIT[#All],2,0)),"CUIT NO CARGADO")</f>
        <v>SOMOS ENERGIA SA</v>
      </c>
      <c r="H16" s="592">
        <v>22492.71</v>
      </c>
      <c r="I16" s="297">
        <f>IF(compras_mes12[[#This Row],[NETO GRAVADO]]="","",compras_mes12[[#This Row],[NETO GRAVADO]]*0.21)</f>
        <v>4723.4690999999993</v>
      </c>
      <c r="J16" s="297"/>
      <c r="K16" s="297"/>
      <c r="L16" s="297"/>
      <c r="M16" s="297"/>
      <c r="N16" s="297">
        <v>278.27999999999997</v>
      </c>
      <c r="O16" s="297">
        <v>2504.5300000000002</v>
      </c>
      <c r="P16" s="298">
        <f>SUM(compras_mes12[[#This Row],[NETO GRAVADO]:[Otros / No Grav.]])</f>
        <v>29998.989099999995</v>
      </c>
      <c r="Q16" s="299" t="str">
        <f>IFERROR(IF(compras_mes12[[#This Row],[CUIT]]="","-",VLOOKUP(compras_mes12[[#This Row],[CUIT]],Lista_CUIT[#All],3,0)),"CUIT NO CARGADO")</f>
        <v>COMBUSTIBLE</v>
      </c>
      <c r="R16" s="299">
        <f>IFERROR(IF(compras_mes12[[#This Row],[CUIT]]="","-",VLOOKUP(compras_mes12[[#This Row],[CUIT]],Lista_CUIT[#All],4,0)),"CUIT NO CARGADO")</f>
        <v>0</v>
      </c>
    </row>
    <row r="17" spans="2:18">
      <c r="B17" s="583">
        <v>45635</v>
      </c>
      <c r="C17" s="584">
        <v>1</v>
      </c>
      <c r="D17" s="585">
        <v>6</v>
      </c>
      <c r="E17" s="586">
        <v>20388</v>
      </c>
      <c r="F17" s="587">
        <v>33715594949</v>
      </c>
      <c r="G17" s="588" t="str">
        <f>IFERROR(IF(compras_mes12[[#This Row],[CUIT]]="","-",VLOOKUP(compras_mes12[[#This Row],[CUIT]],Lista_CUIT[#All],2,0)),"CUIT NO CARGADO")</f>
        <v>SOMOS ENERGIA SA</v>
      </c>
      <c r="H17" s="604">
        <v>82477.570000000007</v>
      </c>
      <c r="I17" s="605">
        <f>IF(compras_mes12[[#This Row],[NETO GRAVADO]]="","",compras_mes12[[#This Row],[NETO GRAVADO]]*0.21)</f>
        <v>17320.289700000001</v>
      </c>
      <c r="J17" s="589"/>
      <c r="K17" s="589"/>
      <c r="L17" s="589"/>
      <c r="M17" s="589"/>
      <c r="N17" s="589"/>
      <c r="O17" s="589">
        <f>9183.77+1020.42</f>
        <v>10204.19</v>
      </c>
      <c r="P17" s="590">
        <f>SUM(compras_mes12[[#This Row],[NETO GRAVADO]:[Otros / No Grav.]])</f>
        <v>110002.0497</v>
      </c>
      <c r="Q17" s="591" t="str">
        <f>IFERROR(IF(compras_mes12[[#This Row],[CUIT]]="","-",VLOOKUP(compras_mes12[[#This Row],[CUIT]],Lista_CUIT[#All],3,0)),"CUIT NO CARGADO")</f>
        <v>COMBUSTIBLE</v>
      </c>
      <c r="R17" s="591">
        <f>IFERROR(IF(compras_mes12[[#This Row],[CUIT]]="","-",VLOOKUP(compras_mes12[[#This Row],[CUIT]],Lista_CUIT[#All],4,0)),"CUIT NO CARGADO")</f>
        <v>0</v>
      </c>
    </row>
    <row r="18" spans="2:18">
      <c r="B18" s="40">
        <v>45652</v>
      </c>
      <c r="C18" s="41">
        <v>1</v>
      </c>
      <c r="D18" s="42">
        <v>6</v>
      </c>
      <c r="E18" s="43">
        <v>20583</v>
      </c>
      <c r="F18" s="44">
        <v>33715594949</v>
      </c>
      <c r="G18" s="45" t="str">
        <f>IFERROR(IF(compras_mes12[[#This Row],[CUIT]]="","-",VLOOKUP(compras_mes12[[#This Row],[CUIT]],Lista_CUIT[#All],2,0)),"CUIT NO CARGADO")</f>
        <v>SOMOS ENERGIA SA</v>
      </c>
      <c r="H18" s="593">
        <v>37489.11</v>
      </c>
      <c r="I18" s="606">
        <f>IF(compras_mes12[[#This Row],[NETO GRAVADO]]="","",compras_mes12[[#This Row],[NETO GRAVADO]]*0.21)</f>
        <v>7872.7130999999999</v>
      </c>
      <c r="J18" s="85"/>
      <c r="K18" s="85"/>
      <c r="L18" s="85"/>
      <c r="M18" s="85"/>
      <c r="N18" s="85"/>
      <c r="O18" s="85">
        <f>4174.36+463.82</f>
        <v>4638.1799999999994</v>
      </c>
      <c r="P18" s="48">
        <f>SUM(compras_mes12[[#This Row],[NETO GRAVADO]:[Otros / No Grav.]])</f>
        <v>50000.003100000002</v>
      </c>
      <c r="Q18" s="49" t="str">
        <f>IFERROR(IF(compras_mes12[[#This Row],[CUIT]]="","-",VLOOKUP(compras_mes12[[#This Row],[CUIT]],Lista_CUIT[#All],3,0)),"CUIT NO CARGADO")</f>
        <v>COMBUSTIBLE</v>
      </c>
      <c r="R18" s="49">
        <f>IFERROR(IF(compras_mes12[[#This Row],[CUIT]]="","-",VLOOKUP(compras_mes12[[#This Row],[CUIT]],Lista_CUIT[#All],4,0)),"CUIT NO CARGADO")</f>
        <v>0</v>
      </c>
    </row>
    <row r="19" spans="2:18">
      <c r="B19" s="583">
        <v>45655</v>
      </c>
      <c r="C19" s="584">
        <v>1</v>
      </c>
      <c r="D19" s="585">
        <v>6</v>
      </c>
      <c r="E19" s="586">
        <v>20617</v>
      </c>
      <c r="F19" s="587">
        <v>33715594949</v>
      </c>
      <c r="G19" s="588" t="str">
        <f>IFERROR(IF(compras_mes12[[#This Row],[CUIT]]="","-",VLOOKUP(compras_mes12[[#This Row],[CUIT]],Lista_CUIT[#All],2,0)),"CUIT NO CARGADO")</f>
        <v>SOMOS ENERGIA SA</v>
      </c>
      <c r="H19" s="604">
        <v>44986.93</v>
      </c>
      <c r="I19" s="605">
        <f>IF(compras_mes12[[#This Row],[NETO GRAVADO]]="","",compras_mes12[[#This Row],[NETO GRAVADO]]*0.21)</f>
        <v>9447.2552999999989</v>
      </c>
      <c r="J19" s="589"/>
      <c r="K19" s="589"/>
      <c r="L19" s="589"/>
      <c r="M19" s="589"/>
      <c r="N19" s="589"/>
      <c r="O19" s="589">
        <v>5565.82</v>
      </c>
      <c r="P19" s="590">
        <f>SUM(compras_mes12[[#This Row],[NETO GRAVADO]:[Otros / No Grav.]])</f>
        <v>60000.005299999997</v>
      </c>
      <c r="Q19" s="591" t="str">
        <f>IFERROR(IF(compras_mes12[[#This Row],[CUIT]]="","-",VLOOKUP(compras_mes12[[#This Row],[CUIT]],Lista_CUIT[#All],3,0)),"CUIT NO CARGADO")</f>
        <v>COMBUSTIBLE</v>
      </c>
      <c r="R19" s="591">
        <f>IFERROR(IF(compras_mes12[[#This Row],[CUIT]]="","-",VLOOKUP(compras_mes12[[#This Row],[CUIT]],Lista_CUIT[#All],4,0)),"CUIT NO CARGADO")</f>
        <v>0</v>
      </c>
    </row>
    <row r="20" spans="2:18">
      <c r="B20" s="291">
        <v>45644</v>
      </c>
      <c r="C20" s="305">
        <v>1</v>
      </c>
      <c r="D20" s="292">
        <v>114</v>
      </c>
      <c r="E20" s="293">
        <v>3711</v>
      </c>
      <c r="F20" s="294">
        <v>33546505729</v>
      </c>
      <c r="G20" s="295" t="str">
        <f>IFERROR(IF(compras_mes12[[#This Row],[CUIT]]="","-",VLOOKUP(compras_mes12[[#This Row],[CUIT]],Lista_CUIT[#All],2,0)),"CUIT NO CARGADO")</f>
        <v>LA UNION SRL</v>
      </c>
      <c r="H20" s="592">
        <v>9256.2000000000007</v>
      </c>
      <c r="I20" s="297">
        <f>IF(compras_mes12[[#This Row],[NETO GRAVADO]]="","",compras_mes12[[#This Row],[NETO GRAVADO]]*0.21)</f>
        <v>1943.8020000000001</v>
      </c>
      <c r="J20" s="297"/>
      <c r="K20" s="297"/>
      <c r="L20" s="297"/>
      <c r="M20" s="297"/>
      <c r="N20" s="297"/>
      <c r="O20" s="297"/>
      <c r="P20" s="48">
        <f>SUM(compras_mes12[[#This Row],[NETO GRAVADO]:[Otros / No Grav.]])</f>
        <v>11200.002</v>
      </c>
      <c r="Q20" s="49" t="str">
        <f>IFERROR(IF(compras_mes12[[#This Row],[CUIT]]="","-",VLOOKUP(compras_mes12[[#This Row],[CUIT]],Lista_CUIT[#All],3,0)),"CUIT NO CARGADO")</f>
        <v>FLETE</v>
      </c>
      <c r="R20" s="49">
        <f>IFERROR(IF(compras_mes12[[#This Row],[CUIT]]="","-",VLOOKUP(compras_mes12[[#This Row],[CUIT]],Lista_CUIT[#All],4,0)),"CUIT NO CARGADO")</f>
        <v>0</v>
      </c>
    </row>
    <row r="21" spans="2:18">
      <c r="B21" s="291">
        <v>45631</v>
      </c>
      <c r="C21" s="305">
        <v>1</v>
      </c>
      <c r="D21" s="292">
        <v>2</v>
      </c>
      <c r="E21" s="293">
        <v>26398</v>
      </c>
      <c r="F21" s="294">
        <v>30642604488</v>
      </c>
      <c r="G21" s="295" t="str">
        <f>IFERROR(IF(compras_mes12[[#This Row],[CUIT]]="","-",VLOOKUP(compras_mes12[[#This Row],[CUIT]],Lista_CUIT[#All],2,0)),"CUIT NO CARGADO")</f>
        <v>HORIZONTE TRANSPORTES S R L</v>
      </c>
      <c r="H21" s="592">
        <v>67400</v>
      </c>
      <c r="I21" s="297">
        <f>IF(compras_mes12[[#This Row],[NETO GRAVADO]]="","",compras_mes12[[#This Row],[NETO GRAVADO]]*0.21)</f>
        <v>14154</v>
      </c>
      <c r="J21" s="297"/>
      <c r="K21" s="297"/>
      <c r="L21" s="297"/>
      <c r="M21" s="297"/>
      <c r="N21" s="297"/>
      <c r="O21" s="297"/>
      <c r="P21" s="48">
        <f>SUM(compras_mes12[[#This Row],[NETO GRAVADO]:[Otros / No Grav.]])</f>
        <v>81554</v>
      </c>
      <c r="Q21" s="49" t="str">
        <f>IFERROR(IF(compras_mes12[[#This Row],[CUIT]]="","-",VLOOKUP(compras_mes12[[#This Row],[CUIT]],Lista_CUIT[#All],3,0)),"CUIT NO CARGADO")</f>
        <v>Flete</v>
      </c>
      <c r="R21" s="49">
        <f>IFERROR(IF(compras_mes12[[#This Row],[CUIT]]="","-",VLOOKUP(compras_mes12[[#This Row],[CUIT]],Lista_CUIT[#All],4,0)),"CUIT NO CARGADO")</f>
        <v>0</v>
      </c>
    </row>
    <row r="22" spans="2:18">
      <c r="B22" s="291">
        <v>45632</v>
      </c>
      <c r="C22" s="305">
        <v>1</v>
      </c>
      <c r="D22" s="292">
        <v>3</v>
      </c>
      <c r="E22" s="293">
        <v>197</v>
      </c>
      <c r="F22" s="294">
        <v>20334976433</v>
      </c>
      <c r="G22" s="295" t="str">
        <f>IFERROR(IF(compras_mes12[[#This Row],[CUIT]]="","-",VLOOKUP(compras_mes12[[#This Row],[CUIT]],Lista_CUIT[#All],2,0)),"CUIT NO CARGADO")</f>
        <v>NARDOMARINO EZEQUIEL EDUARDO</v>
      </c>
      <c r="H22" s="592">
        <v>947800</v>
      </c>
      <c r="I22" s="297">
        <f>IF(compras_mes12[[#This Row],[NETO GRAVADO]]="","",compras_mes12[[#This Row],[NETO GRAVADO]]*0.21)</f>
        <v>199038</v>
      </c>
      <c r="J22" s="297"/>
      <c r="K22" s="297"/>
      <c r="L22" s="297"/>
      <c r="M22" s="297"/>
      <c r="N22" s="297"/>
      <c r="O22" s="297"/>
      <c r="P22" s="298">
        <f>SUM(compras_mes12[[#This Row],[NETO GRAVADO]:[Otros / No Grav.]])</f>
        <v>1146838</v>
      </c>
      <c r="Q22" s="299" t="str">
        <f>IFERROR(IF(compras_mes12[[#This Row],[CUIT]]="","-",VLOOKUP(compras_mes12[[#This Row],[CUIT]],Lista_CUIT[#All],3,0)),"CUIT NO CARGADO")</f>
        <v>FLETE</v>
      </c>
      <c r="R22" s="299">
        <f>IFERROR(IF(compras_mes12[[#This Row],[CUIT]]="","-",VLOOKUP(compras_mes12[[#This Row],[CUIT]],Lista_CUIT[#All],4,0)),"CUIT NO CARGADO")</f>
        <v>0</v>
      </c>
    </row>
    <row r="23" spans="2:18" s="450" customFormat="1">
      <c r="B23" s="291">
        <v>45635</v>
      </c>
      <c r="C23" s="305">
        <v>1</v>
      </c>
      <c r="D23" s="292">
        <v>12</v>
      </c>
      <c r="E23" s="293">
        <v>40989</v>
      </c>
      <c r="F23" s="294">
        <v>30526582884</v>
      </c>
      <c r="G23" s="295" t="str">
        <f>IFERROR(IF(compras_mes12[[#This Row],[CUIT]]="","-",VLOOKUP(compras_mes12[[#This Row],[CUIT]],Lista_CUIT[#All],2,0)),"CUIT NO CARGADO")</f>
        <v>EXPRESO MAR DEL PLATA S.A.</v>
      </c>
      <c r="H23" s="592">
        <v>96958.68</v>
      </c>
      <c r="I23" s="297">
        <f>IF(compras_mes12[[#This Row],[NETO GRAVADO]]="","",compras_mes12[[#This Row],[NETO GRAVADO]]*0.21)</f>
        <v>20361.322799999998</v>
      </c>
      <c r="J23" s="297"/>
      <c r="K23" s="297"/>
      <c r="L23" s="297"/>
      <c r="M23" s="297"/>
      <c r="N23" s="297"/>
      <c r="O23" s="297"/>
      <c r="P23" s="48">
        <f>SUM(compras_mes12[[#This Row],[NETO GRAVADO]:[Otros / No Grav.]])</f>
        <v>117320.00279999999</v>
      </c>
      <c r="Q23" s="49" t="str">
        <f>IFERROR(IF(compras_mes12[[#This Row],[CUIT]]="","-",VLOOKUP(compras_mes12[[#This Row],[CUIT]],Lista_CUIT[#All],3,0)),"CUIT NO CARGADO")</f>
        <v>FLETE</v>
      </c>
      <c r="R23" s="49">
        <f>IFERROR(IF(compras_mes12[[#This Row],[CUIT]]="","-",VLOOKUP(compras_mes12[[#This Row],[CUIT]],Lista_CUIT[#All],4,0)),"CUIT NO CARGADO")</f>
        <v>0</v>
      </c>
    </row>
    <row r="24" spans="2:18">
      <c r="B24" s="291">
        <v>45639</v>
      </c>
      <c r="C24" s="305">
        <v>1</v>
      </c>
      <c r="D24" s="292">
        <v>3</v>
      </c>
      <c r="E24" s="293">
        <v>204</v>
      </c>
      <c r="F24" s="294">
        <v>20334976433</v>
      </c>
      <c r="G24" s="295" t="str">
        <f>IFERROR(IF(compras_mes12[[#This Row],[CUIT]]="","-",VLOOKUP(compras_mes12[[#This Row],[CUIT]],Lista_CUIT[#All],2,0)),"CUIT NO CARGADO")</f>
        <v>NARDOMARINO EZEQUIEL EDUARDO</v>
      </c>
      <c r="H24" s="592">
        <v>50000</v>
      </c>
      <c r="I24" s="297">
        <f>IF(compras_mes12[[#This Row],[NETO GRAVADO]]="","",compras_mes12[[#This Row],[NETO GRAVADO]]*0.21)</f>
        <v>10500</v>
      </c>
      <c r="J24" s="297"/>
      <c r="K24" s="297"/>
      <c r="L24" s="297"/>
      <c r="M24" s="297"/>
      <c r="N24" s="297"/>
      <c r="O24" s="297"/>
      <c r="P24" s="298">
        <f>SUM(compras_mes12[[#This Row],[NETO GRAVADO]:[Otros / No Grav.]])</f>
        <v>60500</v>
      </c>
      <c r="Q24" s="299" t="str">
        <f>IFERROR(IF(compras_mes12[[#This Row],[CUIT]]="","-",VLOOKUP(compras_mes12[[#This Row],[CUIT]],Lista_CUIT[#All],3,0)),"CUIT NO CARGADO")</f>
        <v>FLETE</v>
      </c>
      <c r="R24" s="299">
        <f>IFERROR(IF(compras_mes12[[#This Row],[CUIT]]="","-",VLOOKUP(compras_mes12[[#This Row],[CUIT]],Lista_CUIT[#All],4,0)),"CUIT NO CARGADO")</f>
        <v>0</v>
      </c>
    </row>
    <row r="25" spans="2:18">
      <c r="B25" s="291">
        <v>45644</v>
      </c>
      <c r="C25" s="305">
        <v>1</v>
      </c>
      <c r="D25" s="292">
        <v>327</v>
      </c>
      <c r="E25" s="293">
        <v>2023388</v>
      </c>
      <c r="F25" s="294">
        <v>30579939008</v>
      </c>
      <c r="G25" s="295" t="str">
        <f>IFERROR(IF(compras_mes12[[#This Row],[CUIT]]="","-",VLOOKUP(compras_mes12[[#This Row],[CUIT]],Lista_CUIT[#All],2,0)),"CUIT NO CARGADO")</f>
        <v>TRANSPORTES LA SERVILLANITA</v>
      </c>
      <c r="H25" s="592">
        <v>88013.06</v>
      </c>
      <c r="I25" s="297">
        <f>IF(compras_mes12[[#This Row],[NETO GRAVADO]]="","",compras_mes12[[#This Row],[NETO GRAVADO]]*0.21)</f>
        <v>18482.742599999998</v>
      </c>
      <c r="J25" s="297"/>
      <c r="K25" s="297"/>
      <c r="L25" s="297"/>
      <c r="M25" s="297"/>
      <c r="N25" s="297"/>
      <c r="O25" s="297"/>
      <c r="P25" s="298">
        <f>SUM(compras_mes12[[#This Row],[NETO GRAVADO]:[Otros / No Grav.]])</f>
        <v>106495.8026</v>
      </c>
      <c r="Q25" s="299" t="str">
        <f>IFERROR(IF(compras_mes12[[#This Row],[CUIT]]="","-",VLOOKUP(compras_mes12[[#This Row],[CUIT]],Lista_CUIT[#All],3,0)),"CUIT NO CARGADO")</f>
        <v>FLETE</v>
      </c>
      <c r="R25" s="299">
        <f>IFERROR(IF(compras_mes12[[#This Row],[CUIT]]="","-",VLOOKUP(compras_mes12[[#This Row],[CUIT]],Lista_CUIT[#All],4,0)),"CUIT NO CARGADO")</f>
        <v>0</v>
      </c>
    </row>
    <row r="26" spans="2:18">
      <c r="B26" s="291">
        <v>45646</v>
      </c>
      <c r="C26" s="305">
        <v>1</v>
      </c>
      <c r="D26" s="292">
        <v>3</v>
      </c>
      <c r="E26" s="293">
        <v>205</v>
      </c>
      <c r="F26" s="294">
        <v>20334976433</v>
      </c>
      <c r="G26" s="295" t="str">
        <f>IFERROR(IF(compras_mes12[[#This Row],[CUIT]]="","-",VLOOKUP(compras_mes12[[#This Row],[CUIT]],Lista_CUIT[#All],2,0)),"CUIT NO CARGADO")</f>
        <v>NARDOMARINO EZEQUIEL EDUARDO</v>
      </c>
      <c r="H26" s="592">
        <v>160000</v>
      </c>
      <c r="I26" s="297">
        <f>IF(compras_mes12[[#This Row],[NETO GRAVADO]]="","",compras_mes12[[#This Row],[NETO GRAVADO]]*0.21)</f>
        <v>33600</v>
      </c>
      <c r="J26" s="297"/>
      <c r="K26" s="297"/>
      <c r="L26" s="297"/>
      <c r="M26" s="297"/>
      <c r="N26" s="297"/>
      <c r="O26" s="297"/>
      <c r="P26" s="298">
        <f>SUM(compras_mes12[[#This Row],[NETO GRAVADO]:[Otros / No Grav.]])</f>
        <v>193600</v>
      </c>
      <c r="Q26" s="299" t="str">
        <f>IFERROR(IF(compras_mes12[[#This Row],[CUIT]]="","-",VLOOKUP(compras_mes12[[#This Row],[CUIT]],Lista_CUIT[#All],3,0)),"CUIT NO CARGADO")</f>
        <v>FLETE</v>
      </c>
      <c r="R26" s="299">
        <f>IFERROR(IF(compras_mes12[[#This Row],[CUIT]]="","-",VLOOKUP(compras_mes12[[#This Row],[CUIT]],Lista_CUIT[#All],4,0)),"CUIT NO CARGADO")</f>
        <v>0</v>
      </c>
    </row>
    <row r="27" spans="2:18">
      <c r="B27" s="291">
        <v>45646</v>
      </c>
      <c r="C27" s="305">
        <v>1</v>
      </c>
      <c r="D27" s="292">
        <v>3</v>
      </c>
      <c r="E27" s="293">
        <v>206</v>
      </c>
      <c r="F27" s="294">
        <v>20334976433</v>
      </c>
      <c r="G27" s="295" t="str">
        <f>IFERROR(IF(compras_mes12[[#This Row],[CUIT]]="","-",VLOOKUP(compras_mes12[[#This Row],[CUIT]],Lista_CUIT[#All],2,0)),"CUIT NO CARGADO")</f>
        <v>NARDOMARINO EZEQUIEL EDUARDO</v>
      </c>
      <c r="H27" s="592">
        <v>80000</v>
      </c>
      <c r="I27" s="297">
        <f>IF(compras_mes12[[#This Row],[NETO GRAVADO]]="","",compras_mes12[[#This Row],[NETO GRAVADO]]*0.21)</f>
        <v>16800</v>
      </c>
      <c r="J27" s="297"/>
      <c r="K27" s="297"/>
      <c r="L27" s="297"/>
      <c r="M27" s="297"/>
      <c r="N27" s="297"/>
      <c r="O27" s="297"/>
      <c r="P27" s="298">
        <f>SUM(compras_mes12[[#This Row],[NETO GRAVADO]:[Otros / No Grav.]])</f>
        <v>96800</v>
      </c>
      <c r="Q27" s="299" t="str">
        <f>IFERROR(IF(compras_mes12[[#This Row],[CUIT]]="","-",VLOOKUP(compras_mes12[[#This Row],[CUIT]],Lista_CUIT[#All],3,0)),"CUIT NO CARGADO")</f>
        <v>FLETE</v>
      </c>
      <c r="R27" s="299">
        <f>IFERROR(IF(compras_mes12[[#This Row],[CUIT]]="","-",VLOOKUP(compras_mes12[[#This Row],[CUIT]],Lista_CUIT[#All],4,0)),"CUIT NO CARGADO")</f>
        <v>0</v>
      </c>
    </row>
    <row r="28" spans="2:18">
      <c r="B28" s="291">
        <v>45628</v>
      </c>
      <c r="C28" s="305">
        <v>1</v>
      </c>
      <c r="D28" s="292">
        <v>500</v>
      </c>
      <c r="E28" s="293">
        <v>1655637</v>
      </c>
      <c r="F28" s="294">
        <v>30654118767</v>
      </c>
      <c r="G28" s="295" t="str">
        <f>IFERROR(IF(compras_mes12[[#This Row],[CUIT]]="","-",VLOOKUP(compras_mes12[[#This Row],[CUIT]],Lista_CUIT[#All],2,0)),"CUIT NO CARGADO")</f>
        <v>SOLUCIONES MULTIMEDIA SA</v>
      </c>
      <c r="H28" s="592">
        <v>105092.93</v>
      </c>
      <c r="I28" s="297">
        <f>IF(compras_mes12[[#This Row],[NETO GRAVADO]]="","",compras_mes12[[#This Row],[NETO GRAVADO]]*0.21)</f>
        <v>22069.515299999999</v>
      </c>
      <c r="J28" s="297"/>
      <c r="K28" s="297"/>
      <c r="L28" s="297"/>
      <c r="M28" s="297"/>
      <c r="N28" s="297">
        <v>5239.3</v>
      </c>
      <c r="O28" s="297"/>
      <c r="P28" s="48">
        <f>SUM(compras_mes12[[#This Row],[NETO GRAVADO]:[Otros / No Grav.]])</f>
        <v>132401.74529999998</v>
      </c>
      <c r="Q28" s="49" t="str">
        <f>IFERROR(IF(compras_mes12[[#This Row],[CUIT]]="","-",VLOOKUP(compras_mes12[[#This Row],[CUIT]],Lista_CUIT[#All],3,0)),"CUIT NO CARGADO")</f>
        <v>GASTOS ADMINISTRATIVOS</v>
      </c>
      <c r="R28" s="49">
        <f>IFERROR(IF(compras_mes12[[#This Row],[CUIT]]="","-",VLOOKUP(compras_mes12[[#This Row],[CUIT]],Lista_CUIT[#All],4,0)),"CUIT NO CARGADO")</f>
        <v>0</v>
      </c>
    </row>
    <row r="29" spans="2:18">
      <c r="B29" s="291">
        <v>45655</v>
      </c>
      <c r="C29" s="305">
        <v>1</v>
      </c>
      <c r="D29" s="292">
        <v>63</v>
      </c>
      <c r="E29" s="293">
        <v>105559</v>
      </c>
      <c r="F29" s="294">
        <v>30703088534</v>
      </c>
      <c r="G29" s="295" t="str">
        <f>IFERROR(IF(compras_mes12[[#This Row],[CUIT]]="","-",VLOOKUP(compras_mes12[[#This Row],[CUIT]],Lista_CUIT[#All],2,0)),"CUIT NO CARGADO")</f>
        <v>MERCADO LIBRE SRL</v>
      </c>
      <c r="H29" s="592">
        <v>61436.94</v>
      </c>
      <c r="I29" s="297">
        <f>IF(compras_mes12[[#This Row],[NETO GRAVADO]]="","",compras_mes12[[#This Row],[NETO GRAVADO]]*0.21)</f>
        <v>12901.7574</v>
      </c>
      <c r="J29" s="297"/>
      <c r="K29" s="297"/>
      <c r="L29" s="297"/>
      <c r="M29" s="297"/>
      <c r="N29" s="297"/>
      <c r="O29" s="297">
        <v>4300.58</v>
      </c>
      <c r="P29" s="298">
        <f>SUM(compras_mes12[[#This Row],[NETO GRAVADO]:[Otros / No Grav.]])</f>
        <v>78639.277400000006</v>
      </c>
      <c r="Q29" s="299" t="str">
        <f>IFERROR(IF(compras_mes12[[#This Row],[CUIT]]="","-",VLOOKUP(compras_mes12[[#This Row],[CUIT]],Lista_CUIT[#All],3,0)),"CUIT NO CARGADO")</f>
        <v>GASTOS COMERCIALIZACION</v>
      </c>
      <c r="R29" s="299">
        <f>IFERROR(IF(compras_mes12[[#This Row],[CUIT]]="","-",VLOOKUP(compras_mes12[[#This Row],[CUIT]],Lista_CUIT[#All],4,0)),"CUIT NO CARGADO")</f>
        <v>0</v>
      </c>
    </row>
    <row r="30" spans="2:18">
      <c r="B30" s="291">
        <v>45629</v>
      </c>
      <c r="C30" s="305">
        <v>1</v>
      </c>
      <c r="D30" s="292">
        <v>1</v>
      </c>
      <c r="E30" s="293">
        <v>109430</v>
      </c>
      <c r="F30" s="294">
        <v>30714864269</v>
      </c>
      <c r="G30" s="295" t="str">
        <f>IFERROR(IF(compras_mes12[[#This Row],[CUIT]]="","-",VLOOKUP(compras_mes12[[#This Row],[CUIT]],Lista_CUIT[#All],2,0)),"CUIT NO CARGADO")</f>
        <v>CONTABILIUM SA</v>
      </c>
      <c r="H30" s="592">
        <v>139127</v>
      </c>
      <c r="I30" s="297">
        <f>IF(compras_mes12[[#This Row],[NETO GRAVADO]]="","",compras_mes12[[#This Row],[NETO GRAVADO]]*0.21)</f>
        <v>29216.67</v>
      </c>
      <c r="J30" s="297"/>
      <c r="K30" s="297"/>
      <c r="L30" s="297"/>
      <c r="M30" s="297"/>
      <c r="N30" s="297"/>
      <c r="O30" s="297"/>
      <c r="P30" s="298">
        <f>SUM(compras_mes12[[#This Row],[NETO GRAVADO]:[Otros / No Grav.]])</f>
        <v>168343.66999999998</v>
      </c>
      <c r="Q30" s="299" t="str">
        <f>IFERROR(IF(compras_mes12[[#This Row],[CUIT]]="","-",VLOOKUP(compras_mes12[[#This Row],[CUIT]],Lista_CUIT[#All],3,0)),"CUIT NO CARGADO")</f>
        <v>GASTOS CONTABLES</v>
      </c>
      <c r="R30" s="299">
        <f>IFERROR(IF(compras_mes12[[#This Row],[CUIT]]="","-",VLOOKUP(compras_mes12[[#This Row],[CUIT]],Lista_CUIT[#All],4,0)),"CUIT NO CARGADO")</f>
        <v>0</v>
      </c>
    </row>
    <row r="31" spans="2:18">
      <c r="B31" s="291">
        <v>45636</v>
      </c>
      <c r="C31" s="305">
        <v>1</v>
      </c>
      <c r="D31" s="292">
        <v>3</v>
      </c>
      <c r="E31" s="293">
        <v>8119</v>
      </c>
      <c r="F31" s="294">
        <v>33708218699</v>
      </c>
      <c r="G31" s="295" t="str">
        <f>IFERROR(IF(compras_mes12[[#This Row],[CUIT]]="","-",VLOOKUP(compras_mes12[[#This Row],[CUIT]],Lista_CUIT[#All],2,0)),"CUIT NO CARGADO")</f>
        <v>MANGGINI PABLO Y MANGGINI ULISES SOC. DE HECHO.</v>
      </c>
      <c r="H31" s="592">
        <v>19000</v>
      </c>
      <c r="I31" s="297">
        <f>IF(compras_mes12[[#This Row],[NETO GRAVADO]]="","",compras_mes12[[#This Row],[NETO GRAVADO]]*0.21)</f>
        <v>3990</v>
      </c>
      <c r="J31" s="297"/>
      <c r="K31" s="297"/>
      <c r="L31" s="297"/>
      <c r="M31" s="297"/>
      <c r="N31" s="297"/>
      <c r="O31" s="297"/>
      <c r="P31" s="48">
        <f>SUM(compras_mes12[[#This Row],[NETO GRAVADO]:[Otros / No Grav.]])</f>
        <v>22990</v>
      </c>
      <c r="Q31" s="299" t="str">
        <f>IFERROR(IF(compras_mes12[[#This Row],[CUIT]]="","-",VLOOKUP(compras_mes12[[#This Row],[CUIT]],Lista_CUIT[#All],3,0)),"CUIT NO CARGADO")</f>
        <v>Gastos Varios</v>
      </c>
      <c r="R31" s="299">
        <f>IFERROR(IF(compras_mes12[[#This Row],[CUIT]]="","-",VLOOKUP(compras_mes12[[#This Row],[CUIT]],Lista_CUIT[#All],4,0)),"CUIT NO CARGADO")</f>
        <v>0</v>
      </c>
    </row>
    <row r="32" spans="2:18">
      <c r="B32" s="291">
        <v>45650</v>
      </c>
      <c r="C32" s="305">
        <v>1</v>
      </c>
      <c r="D32" s="292">
        <v>2</v>
      </c>
      <c r="E32" s="293">
        <v>41100</v>
      </c>
      <c r="F32" s="294">
        <v>30717273520</v>
      </c>
      <c r="G32" s="295" t="str">
        <f>IFERROR(IF(compras_mes12[[#This Row],[CUIT]]="","-",VLOOKUP(compras_mes12[[#This Row],[CUIT]],Lista_CUIT[#All],2,0)),"CUIT NO CARGADO")</f>
        <v>SMART IT SOLUTIONS S.R.L</v>
      </c>
      <c r="H32" s="592">
        <v>6928.1</v>
      </c>
      <c r="I32" s="297">
        <f>IF(compras_mes12[[#This Row],[NETO GRAVADO]]="","",compras_mes12[[#This Row],[NETO GRAVADO]]*0.21)</f>
        <v>1454.9010000000001</v>
      </c>
      <c r="J32" s="297"/>
      <c r="K32" s="297"/>
      <c r="L32" s="297"/>
      <c r="M32" s="297"/>
      <c r="N32" s="297"/>
      <c r="O32" s="297"/>
      <c r="P32" s="298">
        <f>SUM(compras_mes12[[#This Row],[NETO GRAVADO]:[Otros / No Grav.]])</f>
        <v>8383.0010000000002</v>
      </c>
      <c r="Q32" s="299" t="str">
        <f>IFERROR(IF(compras_mes12[[#This Row],[CUIT]]="","-",VLOOKUP(compras_mes12[[#This Row],[CUIT]],Lista_CUIT[#All],3,0)),"CUIT NO CARGADO")</f>
        <v>Gastos Varios</v>
      </c>
      <c r="R32" s="299">
        <f>IFERROR(IF(compras_mes12[[#This Row],[CUIT]]="","-",VLOOKUP(compras_mes12[[#This Row],[CUIT]],Lista_CUIT[#All],4,0)),"CUIT NO CARGADO")</f>
        <v>0</v>
      </c>
    </row>
    <row r="33" spans="2:18">
      <c r="B33" s="291">
        <v>45655</v>
      </c>
      <c r="C33" s="305">
        <v>1</v>
      </c>
      <c r="D33" s="292">
        <v>6</v>
      </c>
      <c r="E33" s="293">
        <v>4376</v>
      </c>
      <c r="F33" s="294">
        <v>20148864471</v>
      </c>
      <c r="G33" s="295" t="str">
        <f>IFERROR(IF(compras_mes12[[#This Row],[CUIT]]="","-",VLOOKUP(compras_mes12[[#This Row],[CUIT]],Lista_CUIT[#All],2,0)),"CUIT NO CARGADO")</f>
        <v>BARNATAN MARCOS ARIEL</v>
      </c>
      <c r="H33" s="592">
        <v>28098.35</v>
      </c>
      <c r="I33" s="297">
        <f>IF(compras_mes12[[#This Row],[NETO GRAVADO]]="","",compras_mes12[[#This Row],[NETO GRAVADO]]*0.21)</f>
        <v>5900.6534999999994</v>
      </c>
      <c r="J33" s="297"/>
      <c r="K33" s="297"/>
      <c r="L33" s="297"/>
      <c r="M33" s="297"/>
      <c r="N33" s="297"/>
      <c r="O33" s="297"/>
      <c r="P33" s="298">
        <f>SUM(compras_mes12[[#This Row],[NETO GRAVADO]:[Otros / No Grav.]])</f>
        <v>33999.003499999999</v>
      </c>
      <c r="Q33" s="299" t="str">
        <f>IFERROR(IF(compras_mes12[[#This Row],[CUIT]]="","-",VLOOKUP(compras_mes12[[#This Row],[CUIT]],Lista_CUIT[#All],3,0)),"CUIT NO CARGADO")</f>
        <v>Gastos Varios</v>
      </c>
      <c r="R33" s="299">
        <f>IFERROR(IF(compras_mes12[[#This Row],[CUIT]]="","-",VLOOKUP(compras_mes12[[#This Row],[CUIT]],Lista_CUIT[#All],4,0)),"CUIT NO CARGADO")</f>
        <v>0</v>
      </c>
    </row>
    <row r="34" spans="2:18">
      <c r="B34" s="291">
        <v>45631</v>
      </c>
      <c r="C34" s="305">
        <v>1</v>
      </c>
      <c r="D34" s="292">
        <v>120</v>
      </c>
      <c r="E34" s="293">
        <v>5406</v>
      </c>
      <c r="F34" s="294">
        <v>30587197215</v>
      </c>
      <c r="G34" s="295" t="str">
        <f>IFERROR(IF(compras_mes12[[#This Row],[CUIT]]="","-",VLOOKUP(compras_mes12[[#This Row],[CUIT]],Lista_CUIT[#All],2,0)),"CUIT NO CARGADO")</f>
        <v>PANATEL SOCIEDAD ANONIMA</v>
      </c>
      <c r="H34" s="592">
        <v>95041.32</v>
      </c>
      <c r="I34" s="297">
        <f>IF(compras_mes12[[#This Row],[NETO GRAVADO]]="","",compras_mes12[[#This Row],[NETO GRAVADO]]*0.21)</f>
        <v>19958.677200000002</v>
      </c>
      <c r="J34" s="297"/>
      <c r="K34" s="297"/>
      <c r="L34" s="297"/>
      <c r="M34" s="297"/>
      <c r="N34" s="297">
        <v>3801.65</v>
      </c>
      <c r="O34" s="297"/>
      <c r="P34" s="48">
        <f>SUM(compras_mes12[[#This Row],[NETO GRAVADO]:[Otros / No Grav.]])</f>
        <v>118801.64720000001</v>
      </c>
      <c r="Q34" s="49" t="str">
        <f>IFERROR(IF(compras_mes12[[#This Row],[CUIT]]="","-",VLOOKUP(compras_mes12[[#This Row],[CUIT]],Lista_CUIT[#All],3,0)),"CUIT NO CARGADO")</f>
        <v>Gastos Varios</v>
      </c>
      <c r="R34" s="49">
        <f>IFERROR(IF(compras_mes12[[#This Row],[CUIT]]="","-",VLOOKUP(compras_mes12[[#This Row],[CUIT]],Lista_CUIT[#All],4,0)),"CUIT NO CARGADO")</f>
        <v>0</v>
      </c>
    </row>
    <row r="35" spans="2:18">
      <c r="B35" s="291">
        <v>45632</v>
      </c>
      <c r="C35" s="305">
        <v>1</v>
      </c>
      <c r="D35" s="292">
        <v>2189</v>
      </c>
      <c r="E35" s="293">
        <v>81012</v>
      </c>
      <c r="F35" s="294">
        <v>30548083156</v>
      </c>
      <c r="G35" s="295" t="str">
        <f>IFERROR(IF(compras_mes12[[#This Row],[CUIT]]="","-",VLOOKUP(compras_mes12[[#This Row],[CUIT]],Lista_CUIT[#All],2,0)),"CUIT NO CARGADO")</f>
        <v>COTO CICSA</v>
      </c>
      <c r="H35" s="592">
        <v>7639.42</v>
      </c>
      <c r="I35" s="297">
        <f>IF(compras_mes12[[#This Row],[NETO GRAVADO]]="","",compras_mes12[[#This Row],[NETO GRAVADO]]*0.21)</f>
        <v>1604.2782</v>
      </c>
      <c r="J35" s="297"/>
      <c r="K35" s="297"/>
      <c r="L35" s="297"/>
      <c r="M35" s="297"/>
      <c r="N35" s="297"/>
      <c r="O35" s="297">
        <v>534.76</v>
      </c>
      <c r="P35" s="298">
        <f>SUM(compras_mes12[[#This Row],[NETO GRAVADO]:[Otros / No Grav.]])</f>
        <v>9778.4582000000009</v>
      </c>
      <c r="Q35" s="299" t="str">
        <f>IFERROR(IF(compras_mes12[[#This Row],[CUIT]]="","-",VLOOKUP(compras_mes12[[#This Row],[CUIT]],Lista_CUIT[#All],3,0)),"CUIT NO CARGADO")</f>
        <v>Gastos Varios</v>
      </c>
      <c r="R35" s="299">
        <f>IFERROR(IF(compras_mes12[[#This Row],[CUIT]]="","-",VLOOKUP(compras_mes12[[#This Row],[CUIT]],Lista_CUIT[#All],4,0)),"CUIT NO CARGADO")</f>
        <v>0</v>
      </c>
    </row>
    <row r="36" spans="2:18" s="450" customFormat="1">
      <c r="B36" s="291">
        <v>45636</v>
      </c>
      <c r="C36" s="305">
        <v>1</v>
      </c>
      <c r="D36" s="292">
        <v>47</v>
      </c>
      <c r="E36" s="293">
        <v>30782</v>
      </c>
      <c r="F36" s="294">
        <v>30708847247</v>
      </c>
      <c r="G36" s="295" t="str">
        <f>IFERROR(IF(compras_mes12[[#This Row],[CUIT]]="","-",VLOOKUP(compras_mes12[[#This Row],[CUIT]],Lista_CUIT[#All],2,0)),"CUIT NO CARGADO")</f>
        <v>TOAGRA SRL</v>
      </c>
      <c r="H36" s="592">
        <v>29908.48</v>
      </c>
      <c r="I36" s="297">
        <f>IF(compras_mes12[[#This Row],[NETO GRAVADO]]="","",compras_mes12[[#This Row],[NETO GRAVADO]]*0.21)</f>
        <v>6280.7807999999995</v>
      </c>
      <c r="J36" s="297"/>
      <c r="K36" s="297"/>
      <c r="L36" s="297"/>
      <c r="M36" s="297"/>
      <c r="N36" s="297">
        <v>1196.3399999999999</v>
      </c>
      <c r="O36" s="297"/>
      <c r="P36" s="48">
        <f>SUM(compras_mes12[[#This Row],[NETO GRAVADO]:[Otros / No Grav.]])</f>
        <v>37385.600799999993</v>
      </c>
      <c r="Q36" s="49" t="str">
        <f>IFERROR(IF(compras_mes12[[#This Row],[CUIT]]="","-",VLOOKUP(compras_mes12[[#This Row],[CUIT]],Lista_CUIT[#All],3,0)),"CUIT NO CARGADO")</f>
        <v>GASTOS VARIOS</v>
      </c>
      <c r="R36" s="49">
        <f>IFERROR(IF(compras_mes12[[#This Row],[CUIT]]="","-",VLOOKUP(compras_mes12[[#This Row],[CUIT]],Lista_CUIT[#All],4,0)),"CUIT NO CARGADO")</f>
        <v>0</v>
      </c>
    </row>
    <row r="37" spans="2:18">
      <c r="B37" s="291">
        <v>45636</v>
      </c>
      <c r="C37" s="305">
        <v>1</v>
      </c>
      <c r="D37" s="292">
        <v>7</v>
      </c>
      <c r="E37" s="293">
        <v>3497</v>
      </c>
      <c r="F37" s="294">
        <v>20284183534</v>
      </c>
      <c r="G37" s="295" t="str">
        <f>IFERROR(IF(compras_mes12[[#This Row],[CUIT]]="","-",VLOOKUP(compras_mes12[[#This Row],[CUIT]],Lista_CUIT[#All],2,0)),"CUIT NO CARGADO")</f>
        <v>FURLANETTO MARTIN</v>
      </c>
      <c r="H37" s="592">
        <v>7727.27</v>
      </c>
      <c r="I37" s="297">
        <f>IF(compras_mes12[[#This Row],[NETO GRAVADO]]="","",compras_mes12[[#This Row],[NETO GRAVADO]]*0.21)</f>
        <v>1622.7266999999999</v>
      </c>
      <c r="J37" s="297"/>
      <c r="K37" s="297"/>
      <c r="L37" s="297"/>
      <c r="M37" s="297"/>
      <c r="N37" s="297"/>
      <c r="O37" s="297"/>
      <c r="P37" s="48">
        <f>SUM(compras_mes12[[#This Row],[NETO GRAVADO]:[Otros / No Grav.]])</f>
        <v>9349.9966999999997</v>
      </c>
      <c r="Q37" s="49" t="str">
        <f>IFERROR(IF(compras_mes12[[#This Row],[CUIT]]="","-",VLOOKUP(compras_mes12[[#This Row],[CUIT]],Lista_CUIT[#All],3,0)),"CUIT NO CARGADO")</f>
        <v>gastos varios</v>
      </c>
      <c r="R37" s="49">
        <f>IFERROR(IF(compras_mes12[[#This Row],[CUIT]]="","-",VLOOKUP(compras_mes12[[#This Row],[CUIT]],Lista_CUIT[#All],4,0)),"CUIT NO CARGADO")</f>
        <v>0</v>
      </c>
    </row>
    <row r="38" spans="2:18">
      <c r="B38" s="291">
        <v>45641</v>
      </c>
      <c r="C38" s="305">
        <v>1</v>
      </c>
      <c r="D38" s="292">
        <v>113</v>
      </c>
      <c r="E38" s="293">
        <v>3966754</v>
      </c>
      <c r="F38" s="294">
        <v>30577207190</v>
      </c>
      <c r="G38" s="295" t="str">
        <f>IFERROR(IF(compras_mes12[[#This Row],[CUIT]]="","-",VLOOKUP(compras_mes12[[#This Row],[CUIT]],Lista_CUIT[#All],2,0)),"CUIT NO CARGADO")</f>
        <v>COORDINACION ECOLOGICA AREA METROPOLITANA SOCIEDAD DEL ESTADO</v>
      </c>
      <c r="H38" s="592">
        <v>991.73</v>
      </c>
      <c r="I38" s="297">
        <f>IF(compras_mes12[[#This Row],[NETO GRAVADO]]="","",compras_mes12[[#This Row],[NETO GRAVADO]]*0.21)</f>
        <v>208.26329999999999</v>
      </c>
      <c r="J38" s="297"/>
      <c r="K38" s="297"/>
      <c r="L38" s="297"/>
      <c r="M38" s="297"/>
      <c r="N38" s="297"/>
      <c r="O38" s="297"/>
      <c r="P38" s="298">
        <f>SUM(compras_mes12[[#This Row],[NETO GRAVADO]:[Otros / No Grav.]])</f>
        <v>1199.9933000000001</v>
      </c>
      <c r="Q38" s="299" t="str">
        <f>IFERROR(IF(compras_mes12[[#This Row],[CUIT]]="","-",VLOOKUP(compras_mes12[[#This Row],[CUIT]],Lista_CUIT[#All],3,0)),"CUIT NO CARGADO")</f>
        <v>gastos varios</v>
      </c>
      <c r="R38" s="299">
        <f>IFERROR(IF(compras_mes12[[#This Row],[CUIT]]="","-",VLOOKUP(compras_mes12[[#This Row],[CUIT]],Lista_CUIT[#All],4,0)),"CUIT NO CARGADO")</f>
        <v>0</v>
      </c>
    </row>
    <row r="39" spans="2:18">
      <c r="B39" s="291">
        <v>45642</v>
      </c>
      <c r="C39" s="305">
        <v>1</v>
      </c>
      <c r="D39" s="292">
        <v>5</v>
      </c>
      <c r="E39" s="293">
        <v>35</v>
      </c>
      <c r="F39" s="294">
        <v>20929183143</v>
      </c>
      <c r="G39" s="295" t="str">
        <f>IFERROR(IF(compras_mes12[[#This Row],[CUIT]]="","-",VLOOKUP(compras_mes12[[#This Row],[CUIT]],Lista_CUIT[#All],2,0)),"CUIT NO CARGADO")</f>
        <v>MA JUN</v>
      </c>
      <c r="H39" s="592">
        <v>70000</v>
      </c>
      <c r="I39" s="297">
        <f>IF(compras_mes12[[#This Row],[NETO GRAVADO]]="","",compras_mes12[[#This Row],[NETO GRAVADO]]*0.21)</f>
        <v>14700</v>
      </c>
      <c r="J39" s="297"/>
      <c r="K39" s="297"/>
      <c r="L39" s="297"/>
      <c r="M39" s="297"/>
      <c r="N39" s="297"/>
      <c r="O39" s="297"/>
      <c r="P39" s="298">
        <f>SUM(compras_mes12[[#This Row],[NETO GRAVADO]:[Otros / No Grav.]])</f>
        <v>84700</v>
      </c>
      <c r="Q39" s="299" t="str">
        <f>IFERROR(IF(compras_mes12[[#This Row],[CUIT]]="","-",VLOOKUP(compras_mes12[[#This Row],[CUIT]],Lista_CUIT[#All],3,0)),"CUIT NO CARGADO")</f>
        <v>Gastos Varios</v>
      </c>
      <c r="R39" s="299">
        <f>IFERROR(IF(compras_mes12[[#This Row],[CUIT]]="","-",VLOOKUP(compras_mes12[[#This Row],[CUIT]],Lista_CUIT[#All],4,0)),"CUIT NO CARGADO")</f>
        <v>0</v>
      </c>
    </row>
    <row r="40" spans="2:18">
      <c r="B40" s="291">
        <v>45649</v>
      </c>
      <c r="C40" s="305">
        <v>1</v>
      </c>
      <c r="D40" s="292">
        <v>4</v>
      </c>
      <c r="E40" s="293">
        <v>1274</v>
      </c>
      <c r="F40" s="294">
        <v>20202500138</v>
      </c>
      <c r="G40" s="295" t="str">
        <f>IFERROR(IF(compras_mes12[[#This Row],[CUIT]]="","-",VLOOKUP(compras_mes12[[#This Row],[CUIT]],Lista_CUIT[#All],2,0)),"CUIT NO CARGADO")</f>
        <v>RAMBAUD DIEGO GABRIEL</v>
      </c>
      <c r="H40" s="592">
        <v>18181.82</v>
      </c>
      <c r="I40" s="297">
        <f>IF(compras_mes12[[#This Row],[NETO GRAVADO]]="","",compras_mes12[[#This Row],[NETO GRAVADO]]*0.21)</f>
        <v>3818.1821999999997</v>
      </c>
      <c r="J40" s="297"/>
      <c r="K40" s="297"/>
      <c r="L40" s="297"/>
      <c r="M40" s="297"/>
      <c r="N40" s="297"/>
      <c r="O40" s="297"/>
      <c r="P40" s="298">
        <f>SUM(compras_mes12[[#This Row],[NETO GRAVADO]:[Otros / No Grav.]])</f>
        <v>22000.002199999999</v>
      </c>
      <c r="Q40" s="299" t="str">
        <f>IFERROR(IF(compras_mes12[[#This Row],[CUIT]]="","-",VLOOKUP(compras_mes12[[#This Row],[CUIT]],Lista_CUIT[#All],3,0)),"CUIT NO CARGADO")</f>
        <v>GASTOS VARIOS</v>
      </c>
      <c r="R40" s="299">
        <f>IFERROR(IF(compras_mes12[[#This Row],[CUIT]]="","-",VLOOKUP(compras_mes12[[#This Row],[CUIT]],Lista_CUIT[#All],4,0)),"CUIT NO CARGADO")</f>
        <v>0</v>
      </c>
    </row>
    <row r="41" spans="2:18" s="450" customFormat="1">
      <c r="B41" s="594">
        <v>45657</v>
      </c>
      <c r="C41" s="595">
        <v>1</v>
      </c>
      <c r="D41" s="596">
        <v>113</v>
      </c>
      <c r="E41" s="597">
        <v>3995318</v>
      </c>
      <c r="F41" s="598">
        <v>30577207190</v>
      </c>
      <c r="G41" s="599" t="str">
        <f>IFERROR(IF(compras_mes12[[#This Row],[CUIT]]="","-",VLOOKUP(compras_mes12[[#This Row],[CUIT]],Lista_CUIT[#All],2,0)),"CUIT NO CARGADO")</f>
        <v>COORDINACION ECOLOGICA AREA METROPOLITANA SOCIEDAD DEL ESTADO</v>
      </c>
      <c r="H41" s="600">
        <v>4968.59</v>
      </c>
      <c r="I41" s="601">
        <f>IF(compras_mes12[[#This Row],[NETO GRAVADO]]="","",compras_mes12[[#This Row],[NETO GRAVADO]]*0.21)</f>
        <v>1043.4039</v>
      </c>
      <c r="J41" s="601"/>
      <c r="K41" s="601"/>
      <c r="L41" s="601"/>
      <c r="M41" s="601"/>
      <c r="N41" s="601"/>
      <c r="O41" s="601"/>
      <c r="P41" s="602">
        <f>SUM(compras_mes12[[#This Row],[NETO GRAVADO]:[Otros / No Grav.]])</f>
        <v>6011.9939000000004</v>
      </c>
      <c r="Q41" s="603" t="str">
        <f>IFERROR(IF(compras_mes12[[#This Row],[CUIT]]="","-",VLOOKUP(compras_mes12[[#This Row],[CUIT]],Lista_CUIT[#All],3,0)),"CUIT NO CARGADO")</f>
        <v>gastos varios</v>
      </c>
      <c r="R41" s="603">
        <f>IFERROR(IF(compras_mes12[[#This Row],[CUIT]]="","-",VLOOKUP(compras_mes12[[#This Row],[CUIT]],Lista_CUIT[#All],4,0)),"CUIT NO CARGADO")</f>
        <v>0</v>
      </c>
    </row>
    <row r="42" spans="2:18">
      <c r="B42" s="594">
        <v>45657</v>
      </c>
      <c r="C42" s="595">
        <v>1</v>
      </c>
      <c r="D42" s="596">
        <v>6</v>
      </c>
      <c r="E42" s="597">
        <v>18240679</v>
      </c>
      <c r="F42" s="598">
        <v>30620177497</v>
      </c>
      <c r="G42" s="599" t="str">
        <f>IFERROR(IF(compras_mes12[[#This Row],[CUIT]]="","-",VLOOKUP(compras_mes12[[#This Row],[CUIT]],Lista_CUIT[#All],2,0)),"CUIT NO CARGADO")</f>
        <v>POSNET SOCIEDAD DE RESPONSABILIDAD LIMITADA</v>
      </c>
      <c r="H42" s="600">
        <v>0</v>
      </c>
      <c r="I42" s="601">
        <f>IF(compras_mes12[[#This Row],[NETO GRAVADO]]="","",compras_mes12[[#This Row],[NETO GRAVADO]]*0.21)</f>
        <v>0</v>
      </c>
      <c r="J42" s="601"/>
      <c r="K42" s="601"/>
      <c r="L42" s="601"/>
      <c r="M42" s="601"/>
      <c r="N42" s="601"/>
      <c r="O42" s="601"/>
      <c r="P42" s="602">
        <f>SUM(compras_mes12[[#This Row],[NETO GRAVADO]:[Otros / No Grav.]])</f>
        <v>0</v>
      </c>
      <c r="Q42" s="603" t="str">
        <f>IFERROR(IF(compras_mes12[[#This Row],[CUIT]]="","-",VLOOKUP(compras_mes12[[#This Row],[CUIT]],Lista_CUIT[#All],3,0)),"CUIT NO CARGADO")</f>
        <v>Gastos Varios</v>
      </c>
      <c r="R42" s="603">
        <f>IFERROR(IF(compras_mes12[[#This Row],[CUIT]]="","-",VLOOKUP(compras_mes12[[#This Row],[CUIT]],Lista_CUIT[#All],4,0)),"CUIT NO CARGADO")</f>
        <v>0</v>
      </c>
    </row>
    <row r="43" spans="2:18">
      <c r="B43" s="291">
        <v>45657</v>
      </c>
      <c r="C43" s="305">
        <v>1</v>
      </c>
      <c r="D43" s="292">
        <v>6</v>
      </c>
      <c r="E43" s="293">
        <v>18370743</v>
      </c>
      <c r="F43" s="294">
        <v>30620177497</v>
      </c>
      <c r="G43" s="295" t="str">
        <f>IFERROR(IF(compras_mes12[[#This Row],[CUIT]]="","-",VLOOKUP(compras_mes12[[#This Row],[CUIT]],Lista_CUIT[#All],2,0)),"CUIT NO CARGADO")</f>
        <v>POSNET SOCIEDAD DE RESPONSABILIDAD LIMITADA</v>
      </c>
      <c r="H43" s="592">
        <v>28979.1</v>
      </c>
      <c r="I43" s="297">
        <f>IF(compras_mes12[[#This Row],[NETO GRAVADO]]="","",compras_mes12[[#This Row],[NETO GRAVADO]]*0.21)</f>
        <v>6085.6109999999999</v>
      </c>
      <c r="J43" s="297"/>
      <c r="K43" s="297"/>
      <c r="L43" s="297"/>
      <c r="M43" s="297"/>
      <c r="N43" s="297">
        <v>2028.53</v>
      </c>
      <c r="O43" s="297"/>
      <c r="P43" s="298">
        <f>SUM(compras_mes12[[#This Row],[NETO GRAVADO]:[Otros / No Grav.]])</f>
        <v>37093.240999999995</v>
      </c>
      <c r="Q43" s="299" t="str">
        <f>IFERROR(IF(compras_mes12[[#This Row],[CUIT]]="","-",VLOOKUP(compras_mes12[[#This Row],[CUIT]],Lista_CUIT[#All],3,0)),"CUIT NO CARGADO")</f>
        <v>Gastos Varios</v>
      </c>
      <c r="R43" s="299">
        <f>IFERROR(IF(compras_mes12[[#This Row],[CUIT]]="","-",VLOOKUP(compras_mes12[[#This Row],[CUIT]],Lista_CUIT[#All],4,0)),"CUIT NO CARGADO")</f>
        <v>0</v>
      </c>
    </row>
    <row r="44" spans="2:18">
      <c r="B44" s="291">
        <v>45631</v>
      </c>
      <c r="C44" s="305">
        <v>1</v>
      </c>
      <c r="D44" s="292">
        <v>6</v>
      </c>
      <c r="E44" s="293">
        <v>1731</v>
      </c>
      <c r="F44" s="294">
        <v>30716815710</v>
      </c>
      <c r="G44" s="295" t="str">
        <f>IFERROR(IF(compras_mes12[[#This Row],[CUIT]]="","-",VLOOKUP(compras_mes12[[#This Row],[CUIT]],Lista_CUIT[#All],2,0)),"CUIT NO CARGADO")</f>
        <v>PAPELERA GEOPEL SRL</v>
      </c>
      <c r="H44" s="592">
        <v>15000</v>
      </c>
      <c r="I44" s="297">
        <f>IF(compras_mes12[[#This Row],[NETO GRAVADO]]="","",compras_mes12[[#This Row],[NETO GRAVADO]]*0.21)</f>
        <v>3150</v>
      </c>
      <c r="J44" s="297"/>
      <c r="K44" s="297"/>
      <c r="L44" s="297"/>
      <c r="M44" s="297"/>
      <c r="N44" s="297"/>
      <c r="O44" s="297"/>
      <c r="P44" s="298">
        <f>SUM(compras_mes12[[#This Row],[NETO GRAVADO]:[Otros / No Grav.]])</f>
        <v>18150</v>
      </c>
      <c r="Q44" s="299" t="str">
        <f>IFERROR(IF(compras_mes12[[#This Row],[CUIT]]="","-",VLOOKUP(compras_mes12[[#This Row],[CUIT]],Lista_CUIT[#All],3,0)),"CUIT NO CARGADO")</f>
        <v>LIBRERÍA</v>
      </c>
      <c r="R44" s="299">
        <f>IFERROR(IF(compras_mes12[[#This Row],[CUIT]]="","-",VLOOKUP(compras_mes12[[#This Row],[CUIT]],Lista_CUIT[#All],4,0)),"CUIT NO CARGADO")</f>
        <v>0</v>
      </c>
    </row>
    <row r="45" spans="2:18">
      <c r="B45" s="291">
        <v>45632</v>
      </c>
      <c r="C45" s="305">
        <v>1</v>
      </c>
      <c r="D45" s="292">
        <v>6</v>
      </c>
      <c r="E45" s="293">
        <v>1735</v>
      </c>
      <c r="F45" s="294">
        <v>30716815710</v>
      </c>
      <c r="G45" s="295" t="str">
        <f>IFERROR(IF(compras_mes12[[#This Row],[CUIT]]="","-",VLOOKUP(compras_mes12[[#This Row],[CUIT]],Lista_CUIT[#All],2,0)),"CUIT NO CARGADO")</f>
        <v>PAPELERA GEOPEL SRL</v>
      </c>
      <c r="H45" s="592">
        <v>16300</v>
      </c>
      <c r="I45" s="297">
        <f>IF(compras_mes12[[#This Row],[NETO GRAVADO]]="","",compras_mes12[[#This Row],[NETO GRAVADO]]*0.21)</f>
        <v>3423</v>
      </c>
      <c r="J45" s="297"/>
      <c r="K45" s="297"/>
      <c r="L45" s="297"/>
      <c r="M45" s="297"/>
      <c r="N45" s="297"/>
      <c r="O45" s="297"/>
      <c r="P45" s="298">
        <f>SUM(compras_mes12[[#This Row],[NETO GRAVADO]:[Otros / No Grav.]])</f>
        <v>19723</v>
      </c>
      <c r="Q45" s="299" t="str">
        <f>IFERROR(IF(compras_mes12[[#This Row],[CUIT]]="","-",VLOOKUP(compras_mes12[[#This Row],[CUIT]],Lista_CUIT[#All],3,0)),"CUIT NO CARGADO")</f>
        <v>LIBRERÍA</v>
      </c>
      <c r="R45" s="299">
        <f>IFERROR(IF(compras_mes12[[#This Row],[CUIT]]="","-",VLOOKUP(compras_mes12[[#This Row],[CUIT]],Lista_CUIT[#All],4,0)),"CUIT NO CARGADO")</f>
        <v>0</v>
      </c>
    </row>
    <row r="46" spans="2:18">
      <c r="B46" s="291">
        <v>45644</v>
      </c>
      <c r="C46" s="305">
        <v>1</v>
      </c>
      <c r="D46" s="292">
        <v>6</v>
      </c>
      <c r="E46" s="293">
        <v>1752</v>
      </c>
      <c r="F46" s="294">
        <v>30716815710</v>
      </c>
      <c r="G46" s="295" t="str">
        <f>IFERROR(IF(compras_mes12[[#This Row],[CUIT]]="","-",VLOOKUP(compras_mes12[[#This Row],[CUIT]],Lista_CUIT[#All],2,0)),"CUIT NO CARGADO")</f>
        <v>PAPELERA GEOPEL SRL</v>
      </c>
      <c r="H46" s="592">
        <v>3400</v>
      </c>
      <c r="I46" s="297">
        <f>IF(compras_mes12[[#This Row],[NETO GRAVADO]]="","",compras_mes12[[#This Row],[NETO GRAVADO]]*0.21)</f>
        <v>714</v>
      </c>
      <c r="J46" s="297"/>
      <c r="K46" s="297"/>
      <c r="L46" s="297"/>
      <c r="M46" s="297"/>
      <c r="N46" s="297"/>
      <c r="O46" s="297"/>
      <c r="P46" s="298">
        <f>SUM(compras_mes12[[#This Row],[NETO GRAVADO]:[Otros / No Grav.]])</f>
        <v>4114</v>
      </c>
      <c r="Q46" s="299" t="str">
        <f>IFERROR(IF(compras_mes12[[#This Row],[CUIT]]="","-",VLOOKUP(compras_mes12[[#This Row],[CUIT]],Lista_CUIT[#All],3,0)),"CUIT NO CARGADO")</f>
        <v>LIBRERÍA</v>
      </c>
      <c r="R46" s="299">
        <f>IFERROR(IF(compras_mes12[[#This Row],[CUIT]]="","-",VLOOKUP(compras_mes12[[#This Row],[CUIT]],Lista_CUIT[#All],4,0)),"CUIT NO CARGADO")</f>
        <v>0</v>
      </c>
    </row>
    <row r="47" spans="2:18">
      <c r="B47" s="291">
        <v>45645</v>
      </c>
      <c r="C47" s="305">
        <v>1</v>
      </c>
      <c r="D47" s="292">
        <v>6</v>
      </c>
      <c r="E47" s="293">
        <v>1753</v>
      </c>
      <c r="F47" s="294">
        <v>30716815710</v>
      </c>
      <c r="G47" s="295" t="str">
        <f>IFERROR(IF(compras_mes12[[#This Row],[CUIT]]="","-",VLOOKUP(compras_mes12[[#This Row],[CUIT]],Lista_CUIT[#All],2,0)),"CUIT NO CARGADO")</f>
        <v>PAPELERA GEOPEL SRL</v>
      </c>
      <c r="H47" s="592">
        <v>28900</v>
      </c>
      <c r="I47" s="297">
        <f>IF(compras_mes12[[#This Row],[NETO GRAVADO]]="","",compras_mes12[[#This Row],[NETO GRAVADO]]*0.21)</f>
        <v>6069</v>
      </c>
      <c r="J47" s="297"/>
      <c r="K47" s="297"/>
      <c r="L47" s="297"/>
      <c r="M47" s="297"/>
      <c r="N47" s="297"/>
      <c r="O47" s="297"/>
      <c r="P47" s="298">
        <f>SUM(compras_mes12[[#This Row],[NETO GRAVADO]:[Otros / No Grav.]])</f>
        <v>34969</v>
      </c>
      <c r="Q47" s="299" t="str">
        <f>IFERROR(IF(compras_mes12[[#This Row],[CUIT]]="","-",VLOOKUP(compras_mes12[[#This Row],[CUIT]],Lista_CUIT[#All],3,0)),"CUIT NO CARGADO")</f>
        <v>LIBRERÍA</v>
      </c>
      <c r="R47" s="299">
        <f>IFERROR(IF(compras_mes12[[#This Row],[CUIT]]="","-",VLOOKUP(compras_mes12[[#This Row],[CUIT]],Lista_CUIT[#All],4,0)),"CUIT NO CARGADO")</f>
        <v>0</v>
      </c>
    </row>
    <row r="48" spans="2:18">
      <c r="B48" s="291">
        <v>45653</v>
      </c>
      <c r="C48" s="305">
        <v>1</v>
      </c>
      <c r="D48" s="292">
        <v>14</v>
      </c>
      <c r="E48" s="293">
        <v>1649</v>
      </c>
      <c r="F48" s="294">
        <v>30693293754</v>
      </c>
      <c r="G48" s="295" t="str">
        <f>IFERROR(IF(compras_mes12[[#This Row],[CUIT]]="","-",VLOOKUP(compras_mes12[[#This Row],[CUIT]],Lista_CUIT[#All],2,0)),"CUIT NO CARGADO")</f>
        <v>CPT INTEGRAL SA</v>
      </c>
      <c r="H48" s="592">
        <v>46693.39</v>
      </c>
      <c r="I48" s="297">
        <f>IF(compras_mes12[[#This Row],[NETO GRAVADO]]="","",compras_mes12[[#This Row],[NETO GRAVADO]]*0.21)</f>
        <v>9805.6118999999999</v>
      </c>
      <c r="J48" s="297"/>
      <c r="K48" s="297"/>
      <c r="L48" s="297"/>
      <c r="M48" s="297"/>
      <c r="N48" s="297">
        <v>1867.74</v>
      </c>
      <c r="O48" s="297"/>
      <c r="P48" s="298">
        <f>SUM(compras_mes12[[#This Row],[NETO GRAVADO]:[Otros / No Grav.]])</f>
        <v>58366.741900000001</v>
      </c>
      <c r="Q48" s="299" t="str">
        <f>IFERROR(IF(compras_mes12[[#This Row],[CUIT]]="","-",VLOOKUP(compras_mes12[[#This Row],[CUIT]],Lista_CUIT[#All],3,0)),"CUIT NO CARGADO")</f>
        <v>LIBRERÍA</v>
      </c>
      <c r="R48" s="299">
        <f>IFERROR(IF(compras_mes12[[#This Row],[CUIT]]="","-",VLOOKUP(compras_mes12[[#This Row],[CUIT]],Lista_CUIT[#All],4,0)),"CUIT NO CARGADO")</f>
        <v>0</v>
      </c>
    </row>
    <row r="49" spans="2:18">
      <c r="B49" s="583">
        <v>45645</v>
      </c>
      <c r="C49" s="584">
        <v>1</v>
      </c>
      <c r="D49" s="585">
        <v>6</v>
      </c>
      <c r="E49" s="586">
        <v>11323</v>
      </c>
      <c r="F49" s="587">
        <v>30707988378</v>
      </c>
      <c r="G49" s="588" t="str">
        <f>IFERROR(IF(compras_mes12[[#This Row],[CUIT]]="","-",VLOOKUP(compras_mes12[[#This Row],[CUIT]],Lista_CUIT[#All],2,0)),"CUIT NO CARGADO")</f>
        <v>CARMAS COMPOSITES S.R.L.</v>
      </c>
      <c r="H49" s="604">
        <f>356.13*1043</f>
        <v>371443.58999999997</v>
      </c>
      <c r="I49" s="605">
        <f>IF(compras_mes12[[#This Row],[NETO GRAVADO]]="","",compras_mes12[[#This Row],[NETO GRAVADO]]*0.21)</f>
        <v>78003.15389999999</v>
      </c>
      <c r="J49" s="589"/>
      <c r="K49" s="589"/>
      <c r="L49" s="589"/>
      <c r="M49" s="589"/>
      <c r="N49" s="589"/>
      <c r="O49" s="589"/>
      <c r="P49" s="590">
        <f>SUM(compras_mes12[[#This Row],[NETO GRAVADO]:[Otros / No Grav.]])</f>
        <v>449446.74389999994</v>
      </c>
      <c r="Q49" s="591" t="str">
        <f>IFERROR(IF(compras_mes12[[#This Row],[CUIT]]="","-",VLOOKUP(compras_mes12[[#This Row],[CUIT]],Lista_CUIT[#All],3,0)),"CUIT NO CARGADO")</f>
        <v>Mantenimiento</v>
      </c>
      <c r="R49" s="591">
        <f>IFERROR(IF(compras_mes12[[#This Row],[CUIT]]="","-",VLOOKUP(compras_mes12[[#This Row],[CUIT]],Lista_CUIT[#All],4,0)),"CUIT NO CARGADO")</f>
        <v>0</v>
      </c>
    </row>
    <row r="50" spans="2:18">
      <c r="B50" s="291">
        <v>45639</v>
      </c>
      <c r="C50" s="305">
        <v>1</v>
      </c>
      <c r="D50" s="292">
        <v>1</v>
      </c>
      <c r="E50" s="293">
        <v>822</v>
      </c>
      <c r="F50" s="294">
        <v>30715568760</v>
      </c>
      <c r="G50" s="295" t="str">
        <f>IFERROR(IF(compras_mes12[[#This Row],[CUIT]]="","-",VLOOKUP(compras_mes12[[#This Row],[CUIT]],Lista_CUIT[#All],2,0)),"CUIT NO CARGADO")</f>
        <v>ALUFRAME S.R.L</v>
      </c>
      <c r="H50" s="592">
        <v>336000</v>
      </c>
      <c r="I50" s="297">
        <f>IF(compras_mes12[[#This Row],[NETO GRAVADO]]="","",compras_mes12[[#This Row],[NETO GRAVADO]]*0.21)</f>
        <v>70560</v>
      </c>
      <c r="J50" s="297"/>
      <c r="K50" s="297"/>
      <c r="L50" s="297"/>
      <c r="M50" s="297"/>
      <c r="N50" s="297"/>
      <c r="O50" s="297"/>
      <c r="P50" s="48">
        <f>SUM(compras_mes12[[#This Row],[NETO GRAVADO]:[Otros / No Grav.]])</f>
        <v>406560</v>
      </c>
      <c r="Q50" s="49" t="str">
        <f>IFERROR(IF(compras_mes12[[#This Row],[CUIT]]="","-",VLOOKUP(compras_mes12[[#This Row],[CUIT]],Lista_CUIT[#All],3,0)),"CUIT NO CARGADO")</f>
        <v>Mantenimiento</v>
      </c>
      <c r="R50" s="49">
        <f>IFERROR(IF(compras_mes12[[#This Row],[CUIT]]="","-",VLOOKUP(compras_mes12[[#This Row],[CUIT]],Lista_CUIT[#All],4,0)),"CUIT NO CARGADO")</f>
        <v>0</v>
      </c>
    </row>
    <row r="51" spans="2:18">
      <c r="B51" s="291">
        <v>45630</v>
      </c>
      <c r="C51" s="305">
        <v>1</v>
      </c>
      <c r="D51" s="292">
        <v>7</v>
      </c>
      <c r="E51" s="293">
        <v>26242</v>
      </c>
      <c r="F51" s="294">
        <v>30710951647</v>
      </c>
      <c r="G51" s="295" t="str">
        <f>IFERROR(IF(compras_mes12[[#This Row],[CUIT]]="","-",VLOOKUP(compras_mes12[[#This Row],[CUIT]],Lista_CUIT[#All],2,0)),"CUIT NO CARGADO")</f>
        <v>SOLUCIONES TECNOLOGICAS INTEGRALES SRL</v>
      </c>
      <c r="H51" s="592">
        <v>156102.39999999999</v>
      </c>
      <c r="I51" s="297"/>
      <c r="J51" s="297"/>
      <c r="K51" s="297">
        <f>compras_mes12[[#This Row],[NETO GRAVADO]]*10.5/100</f>
        <v>16390.752</v>
      </c>
      <c r="L51" s="297"/>
      <c r="M51" s="297"/>
      <c r="N51" s="297"/>
      <c r="O51" s="297">
        <v>7805.12</v>
      </c>
      <c r="P51" s="298">
        <f>SUM(compras_mes12[[#This Row],[NETO GRAVADO]:[Otros / No Grav.]])</f>
        <v>180298.272</v>
      </c>
      <c r="Q51" s="299" t="str">
        <f>IFERROR(IF(compras_mes12[[#This Row],[CUIT]]="","-",VLOOKUP(compras_mes12[[#This Row],[CUIT]],Lista_CUIT[#All],3,0)),"CUIT NO CARGADO")</f>
        <v>Mantenimiento</v>
      </c>
      <c r="R51" s="299">
        <f>IFERROR(IF(compras_mes12[[#This Row],[CUIT]]="","-",VLOOKUP(compras_mes12[[#This Row],[CUIT]],Lista_CUIT[#All],4,0)),"CUIT NO CARGADO")</f>
        <v>0</v>
      </c>
    </row>
    <row r="52" spans="2:18">
      <c r="B52" s="291">
        <v>45634</v>
      </c>
      <c r="C52" s="305">
        <v>1</v>
      </c>
      <c r="D52" s="292">
        <v>5015</v>
      </c>
      <c r="E52" s="293">
        <v>673036</v>
      </c>
      <c r="F52" s="294">
        <v>30574876474</v>
      </c>
      <c r="G52" s="295" t="str">
        <f>IFERROR(IF(compras_mes12[[#This Row],[CUIT]]="","-",VLOOKUP(compras_mes12[[#This Row],[CUIT]],Lista_CUIT[#All],2,0)),"CUIT NO CARGADO")</f>
        <v>AUTOP. URBANAS SA</v>
      </c>
      <c r="H52" s="592">
        <v>3329.43</v>
      </c>
      <c r="I52" s="297">
        <f>IF(compras_mes12[[#This Row],[NETO GRAVADO]]="","",compras_mes12[[#This Row],[NETO GRAVADO]]*0.21)</f>
        <v>699.18029999999999</v>
      </c>
      <c r="J52" s="297"/>
      <c r="K52" s="297"/>
      <c r="L52" s="297"/>
      <c r="M52" s="297"/>
      <c r="N52" s="297"/>
      <c r="O52" s="297">
        <f>99.88+332.94</f>
        <v>432.82</v>
      </c>
      <c r="P52" s="298">
        <f>SUM(compras_mes12[[#This Row],[NETO GRAVADO]:[Otros / No Grav.]])</f>
        <v>4461.4303</v>
      </c>
      <c r="Q52" s="299" t="str">
        <f>IFERROR(IF(compras_mes12[[#This Row],[CUIT]]="","-",VLOOKUP(compras_mes12[[#This Row],[CUIT]],Lista_CUIT[#All],3,0)),"CUIT NO CARGADO")</f>
        <v>PEAJE</v>
      </c>
      <c r="R52" s="299">
        <f>IFERROR(IF(compras_mes12[[#This Row],[CUIT]]="","-",VLOOKUP(compras_mes12[[#This Row],[CUIT]],Lista_CUIT[#All],4,0)),"CUIT NO CARGADO")</f>
        <v>0</v>
      </c>
    </row>
    <row r="53" spans="2:18">
      <c r="B53" s="291">
        <v>45642</v>
      </c>
      <c r="C53" s="305">
        <v>1</v>
      </c>
      <c r="D53" s="292">
        <v>5009</v>
      </c>
      <c r="E53" s="293">
        <v>1102661</v>
      </c>
      <c r="F53" s="294">
        <v>30574876474</v>
      </c>
      <c r="G53" s="295" t="str">
        <f>IFERROR(IF(compras_mes12[[#This Row],[CUIT]]="","-",VLOOKUP(compras_mes12[[#This Row],[CUIT]],Lista_CUIT[#All],2,0)),"CUIT NO CARGADO")</f>
        <v>AUTOP. URBANAS SA</v>
      </c>
      <c r="H53" s="592">
        <v>4000.71</v>
      </c>
      <c r="I53" s="297">
        <f>IF(compras_mes12[[#This Row],[NETO GRAVADO]]="","",compras_mes12[[#This Row],[NETO GRAVADO]]*0.21)</f>
        <v>840.14909999999998</v>
      </c>
      <c r="J53" s="297"/>
      <c r="K53" s="297"/>
      <c r="L53" s="297"/>
      <c r="M53" s="297"/>
      <c r="N53" s="297"/>
      <c r="O53" s="297">
        <v>520.09</v>
      </c>
      <c r="P53" s="48">
        <f>SUM(compras_mes12[[#This Row],[NETO GRAVADO]:[Otros / No Grav.]])</f>
        <v>5360.9490999999998</v>
      </c>
      <c r="Q53" s="49" t="str">
        <f>IFERROR(IF(compras_mes12[[#This Row],[CUIT]]="","-",VLOOKUP(compras_mes12[[#This Row],[CUIT]],Lista_CUIT[#All],3,0)),"CUIT NO CARGADO")</f>
        <v>PEAJE</v>
      </c>
      <c r="R53" s="49">
        <f>IFERROR(IF(compras_mes12[[#This Row],[CUIT]]="","-",VLOOKUP(compras_mes12[[#This Row],[CUIT]],Lista_CUIT[#All],4,0)),"CUIT NO CARGADO")</f>
        <v>0</v>
      </c>
    </row>
    <row r="54" spans="2:18">
      <c r="B54" s="594">
        <v>45642</v>
      </c>
      <c r="C54" s="595">
        <v>1</v>
      </c>
      <c r="D54" s="596">
        <v>5015</v>
      </c>
      <c r="E54" s="597">
        <v>676181</v>
      </c>
      <c r="F54" s="598">
        <v>30574876474</v>
      </c>
      <c r="G54" s="599" t="str">
        <f>IFERROR(IF(compras_mes12[[#This Row],[CUIT]]="","-",VLOOKUP(compras_mes12[[#This Row],[CUIT]],Lista_CUIT[#All],2,0)),"CUIT NO CARGADO")</f>
        <v>AUTOP. URBANAS SA</v>
      </c>
      <c r="H54" s="600">
        <v>11734.83</v>
      </c>
      <c r="I54" s="601">
        <f>IF(compras_mes12[[#This Row],[NETO GRAVADO]]="","",compras_mes12[[#This Row],[NETO GRAVADO]]*0.21)</f>
        <v>2464.3143</v>
      </c>
      <c r="J54" s="601"/>
      <c r="K54" s="601"/>
      <c r="L54" s="601"/>
      <c r="M54" s="601"/>
      <c r="N54" s="601"/>
      <c r="O54" s="601">
        <f>352.04+1173.48</f>
        <v>1525.52</v>
      </c>
      <c r="P54" s="602">
        <f>SUM(compras_mes12[[#This Row],[NETO GRAVADO]:[Otros / No Grav.]])</f>
        <v>15724.6643</v>
      </c>
      <c r="Q54" s="603" t="str">
        <f>IFERROR(IF(compras_mes12[[#This Row],[CUIT]]="","-",VLOOKUP(compras_mes12[[#This Row],[CUIT]],Lista_CUIT[#All],3,0)),"CUIT NO CARGADO")</f>
        <v>PEAJE</v>
      </c>
      <c r="R54" s="603">
        <f>IFERROR(IF(compras_mes12[[#This Row],[CUIT]]="","-",VLOOKUP(compras_mes12[[#This Row],[CUIT]],Lista_CUIT[#All],4,0)),"CUIT NO CARGADO")</f>
        <v>0</v>
      </c>
    </row>
    <row r="55" spans="2:18">
      <c r="B55" s="594">
        <v>45649</v>
      </c>
      <c r="C55" s="595">
        <v>1</v>
      </c>
      <c r="D55" s="596">
        <v>5015</v>
      </c>
      <c r="E55" s="597">
        <v>693155</v>
      </c>
      <c r="F55" s="598">
        <v>30574876474</v>
      </c>
      <c r="G55" s="599" t="str">
        <f>IFERROR(IF(compras_mes12[[#This Row],[CUIT]]="","-",VLOOKUP(compras_mes12[[#This Row],[CUIT]],Lista_CUIT[#All],2,0)),"CUIT NO CARGADO")</f>
        <v>AUTOP. URBANAS SA</v>
      </c>
      <c r="H55" s="600">
        <v>11616.43</v>
      </c>
      <c r="I55" s="601">
        <f>IF(compras_mes12[[#This Row],[NETO GRAVADO]]="","",compras_mes12[[#This Row],[NETO GRAVADO]]*0.21)</f>
        <v>2439.4503</v>
      </c>
      <c r="J55" s="601"/>
      <c r="K55" s="601"/>
      <c r="L55" s="601"/>
      <c r="M55" s="601"/>
      <c r="N55" s="601"/>
      <c r="O55" s="601">
        <f>348.49+1161.64</f>
        <v>1510.13</v>
      </c>
      <c r="P55" s="602">
        <f>SUM(compras_mes12[[#This Row],[NETO GRAVADO]:[Otros / No Grav.]])</f>
        <v>15566.010300000002</v>
      </c>
      <c r="Q55" s="603" t="str">
        <f>IFERROR(IF(compras_mes12[[#This Row],[CUIT]]="","-",VLOOKUP(compras_mes12[[#This Row],[CUIT]],Lista_CUIT[#All],3,0)),"CUIT NO CARGADO")</f>
        <v>PEAJE</v>
      </c>
      <c r="R55" s="603">
        <f>IFERROR(IF(compras_mes12[[#This Row],[CUIT]]="","-",VLOOKUP(compras_mes12[[#This Row],[CUIT]],Lista_CUIT[#All],4,0)),"CUIT NO CARGADO")</f>
        <v>0</v>
      </c>
    </row>
    <row r="56" spans="2:18">
      <c r="B56" s="291">
        <v>45657</v>
      </c>
      <c r="C56" s="305">
        <v>1</v>
      </c>
      <c r="D56" s="292">
        <v>5015</v>
      </c>
      <c r="E56" s="293">
        <v>700320</v>
      </c>
      <c r="F56" s="294">
        <v>30574876474</v>
      </c>
      <c r="G56" s="295" t="str">
        <f>IFERROR(IF(compras_mes12[[#This Row],[CUIT]]="","-",VLOOKUP(compras_mes12[[#This Row],[CUIT]],Lista_CUIT[#All],2,0)),"CUIT NO CARGADO")</f>
        <v>AUTOP. URBANAS SA</v>
      </c>
      <c r="H56" s="592">
        <v>13666.86</v>
      </c>
      <c r="I56" s="297">
        <f>IF(compras_mes12[[#This Row],[NETO GRAVADO]]="","",compras_mes12[[#This Row],[NETO GRAVADO]]*0.21)</f>
        <v>2870.0405999999998</v>
      </c>
      <c r="J56" s="297"/>
      <c r="K56" s="297"/>
      <c r="L56" s="297"/>
      <c r="M56" s="297"/>
      <c r="N56" s="297"/>
      <c r="O56" s="297">
        <f>410+1366.68</f>
        <v>1776.68</v>
      </c>
      <c r="P56" s="298">
        <f>SUM(compras_mes12[[#This Row],[NETO GRAVADO]:[Otros / No Grav.]])</f>
        <v>18313.580600000001</v>
      </c>
      <c r="Q56" s="299" t="str">
        <f>IFERROR(IF(compras_mes12[[#This Row],[CUIT]]="","-",VLOOKUP(compras_mes12[[#This Row],[CUIT]],Lista_CUIT[#All],3,0)),"CUIT NO CARGADO")</f>
        <v>PEAJE</v>
      </c>
      <c r="R56" s="299">
        <f>IFERROR(IF(compras_mes12[[#This Row],[CUIT]]="","-",VLOOKUP(compras_mes12[[#This Row],[CUIT]],Lista_CUIT[#All],4,0)),"CUIT NO CARGADO")</f>
        <v>0</v>
      </c>
    </row>
    <row r="57" spans="2:18">
      <c r="B57" s="594">
        <v>45628</v>
      </c>
      <c r="C57" s="595">
        <v>1</v>
      </c>
      <c r="D57" s="596">
        <v>629</v>
      </c>
      <c r="E57" s="597">
        <v>5656259</v>
      </c>
      <c r="F57" s="598">
        <v>30663498513</v>
      </c>
      <c r="G57" s="599" t="str">
        <f>IFERROR(IF(compras_mes12[[#This Row],[CUIT]]="","-",VLOOKUP(compras_mes12[[#This Row],[CUIT]],Lista_CUIT[#All],2,0)),"CUIT NO CARGADO")</f>
        <v>GRUPO CONCES. DEL OESTE SA</v>
      </c>
      <c r="H57" s="600">
        <v>558.01</v>
      </c>
      <c r="I57" s="601">
        <f>IF(compras_mes12[[#This Row],[NETO GRAVADO]]="","",compras_mes12[[#This Row],[NETO GRAVADO]]*0.21)</f>
        <v>117.18209999999999</v>
      </c>
      <c r="J57" s="601"/>
      <c r="K57" s="601"/>
      <c r="L57" s="601"/>
      <c r="M57" s="601"/>
      <c r="N57" s="601"/>
      <c r="O57" s="601"/>
      <c r="P57" s="448">
        <f>SUM(compras_mes12[[#This Row],[NETO GRAVADO]:[Otros / No Grav.]])</f>
        <v>675.19209999999998</v>
      </c>
      <c r="Q57" s="449" t="str">
        <f>IFERROR(IF(compras_mes12[[#This Row],[CUIT]]="","-",VLOOKUP(compras_mes12[[#This Row],[CUIT]],Lista_CUIT[#All],3,0)),"CUIT NO CARGADO")</f>
        <v>PEAJE</v>
      </c>
      <c r="R57" s="449">
        <f>IFERROR(IF(compras_mes12[[#This Row],[CUIT]]="","-",VLOOKUP(compras_mes12[[#This Row],[CUIT]],Lista_CUIT[#All],4,0)),"CUIT NO CARGADO")</f>
        <v>0</v>
      </c>
    </row>
    <row r="58" spans="2:18">
      <c r="B58" s="594">
        <v>45642</v>
      </c>
      <c r="C58" s="595">
        <v>1</v>
      </c>
      <c r="D58" s="596">
        <v>629</v>
      </c>
      <c r="E58" s="597">
        <v>5697193</v>
      </c>
      <c r="F58" s="598">
        <v>30663498513</v>
      </c>
      <c r="G58" s="599" t="str">
        <f>IFERROR(IF(compras_mes12[[#This Row],[CUIT]]="","-",VLOOKUP(compras_mes12[[#This Row],[CUIT]],Lista_CUIT[#All],2,0)),"CUIT NO CARGADO")</f>
        <v>GRUPO CONCES. DEL OESTE SA</v>
      </c>
      <c r="H58" s="600">
        <v>1362.95</v>
      </c>
      <c r="I58" s="601">
        <f>IF(compras_mes12[[#This Row],[NETO GRAVADO]]="","",compras_mes12[[#This Row],[NETO GRAVADO]]*0.21)</f>
        <v>286.21949999999998</v>
      </c>
      <c r="J58" s="601"/>
      <c r="K58" s="601"/>
      <c r="L58" s="601"/>
      <c r="M58" s="601"/>
      <c r="N58" s="601">
        <v>54.52</v>
      </c>
      <c r="O58" s="601"/>
      <c r="P58" s="602">
        <f>SUM(compras_mes12[[#This Row],[NETO GRAVADO]:[Otros / No Grav.]])</f>
        <v>1703.6895</v>
      </c>
      <c r="Q58" s="603" t="str">
        <f>IFERROR(IF(compras_mes12[[#This Row],[CUIT]]="","-",VLOOKUP(compras_mes12[[#This Row],[CUIT]],Lista_CUIT[#All],3,0)),"CUIT NO CARGADO")</f>
        <v>PEAJE</v>
      </c>
      <c r="R58" s="603">
        <f>IFERROR(IF(compras_mes12[[#This Row],[CUIT]]="","-",VLOOKUP(compras_mes12[[#This Row],[CUIT]],Lista_CUIT[#All],4,0)),"CUIT NO CARGADO")</f>
        <v>0</v>
      </c>
    </row>
    <row r="59" spans="2:18" s="450" customFormat="1">
      <c r="B59" s="594">
        <v>45628</v>
      </c>
      <c r="C59" s="595">
        <v>1</v>
      </c>
      <c r="D59" s="596">
        <v>711</v>
      </c>
      <c r="E59" s="597">
        <v>6455819</v>
      </c>
      <c r="F59" s="598">
        <v>30677237119</v>
      </c>
      <c r="G59" s="599" t="str">
        <f>IFERROR(IF(compras_mes12[[#This Row],[CUIT]]="","-",VLOOKUP(compras_mes12[[#This Row],[CUIT]],Lista_CUIT[#All],2,0)),"CUIT NO CARGADO")</f>
        <v>AUTOPISTAS DEL SOL SA</v>
      </c>
      <c r="H59" s="600">
        <v>11433.18</v>
      </c>
      <c r="I59" s="601">
        <f>IF(compras_mes12[[#This Row],[NETO GRAVADO]]="","",compras_mes12[[#This Row],[NETO GRAVADO]]*0.21)</f>
        <v>2400.9677999999999</v>
      </c>
      <c r="J59" s="601"/>
      <c r="K59" s="601"/>
      <c r="L59" s="601">
        <v>343</v>
      </c>
      <c r="M59" s="601"/>
      <c r="N59" s="601">
        <v>457.33</v>
      </c>
      <c r="O59" s="601"/>
      <c r="P59" s="448">
        <f>SUM(compras_mes12[[#This Row],[NETO GRAVADO]:[Otros / No Grav.]])</f>
        <v>14634.477800000001</v>
      </c>
      <c r="Q59" s="449" t="str">
        <f>IFERROR(IF(compras_mes12[[#This Row],[CUIT]]="","-",VLOOKUP(compras_mes12[[#This Row],[CUIT]],Lista_CUIT[#All],3,0)),"CUIT NO CARGADO")</f>
        <v>PEAJE</v>
      </c>
      <c r="R59" s="449">
        <f>IFERROR(IF(compras_mes12[[#This Row],[CUIT]]="","-",VLOOKUP(compras_mes12[[#This Row],[CUIT]],Lista_CUIT[#All],4,0)),"CUIT NO CARGADO")</f>
        <v>0</v>
      </c>
    </row>
    <row r="60" spans="2:18" s="450" customFormat="1">
      <c r="B60" s="594">
        <v>45635</v>
      </c>
      <c r="C60" s="595">
        <v>1</v>
      </c>
      <c r="D60" s="596">
        <v>700</v>
      </c>
      <c r="E60" s="597">
        <v>2110090</v>
      </c>
      <c r="F60" s="598">
        <v>30715804812</v>
      </c>
      <c r="G60" s="599" t="str">
        <f>IFERROR(IF(compras_mes12[[#This Row],[CUIT]]="","-",VLOOKUP(compras_mes12[[#This Row],[CUIT]],Lista_CUIT[#All],2,0)),"CUIT NO CARGADO")</f>
        <v>CORREDORES VIALES SOCIEDAD ANONIMA</v>
      </c>
      <c r="H60" s="600">
        <v>9672.33</v>
      </c>
      <c r="I60" s="601">
        <f>IF(compras_mes12[[#This Row],[NETO GRAVADO]]="","",compras_mes12[[#This Row],[NETO GRAVADO]]*0.21)</f>
        <v>2031.1893</v>
      </c>
      <c r="J60" s="601"/>
      <c r="K60" s="601"/>
      <c r="L60" s="601"/>
      <c r="M60" s="601"/>
      <c r="N60" s="601">
        <v>386.89</v>
      </c>
      <c r="O60" s="601"/>
      <c r="P60" s="602">
        <f>SUM(compras_mes12[[#This Row],[NETO GRAVADO]:[Otros / No Grav.]])</f>
        <v>12090.409299999999</v>
      </c>
      <c r="Q60" s="603" t="str">
        <f>IFERROR(IF(compras_mes12[[#This Row],[CUIT]]="","-",VLOOKUP(compras_mes12[[#This Row],[CUIT]],Lista_CUIT[#All],3,0)),"CUIT NO CARGADO")</f>
        <v>PEAJE</v>
      </c>
      <c r="R60" s="603">
        <f>IFERROR(IF(compras_mes12[[#This Row],[CUIT]]="","-",VLOOKUP(compras_mes12[[#This Row],[CUIT]],Lista_CUIT[#All],4,0)),"CUIT NO CARGADO")</f>
        <v>0</v>
      </c>
    </row>
    <row r="61" spans="2:18" s="450" customFormat="1">
      <c r="B61" s="594">
        <v>45642</v>
      </c>
      <c r="C61" s="595">
        <v>1</v>
      </c>
      <c r="D61" s="596">
        <v>50</v>
      </c>
      <c r="E61" s="597">
        <v>3973434</v>
      </c>
      <c r="F61" s="598">
        <v>30714112836</v>
      </c>
      <c r="G61" s="599" t="str">
        <f>IFERROR(IF(compras_mes12[[#This Row],[CUIT]]="","-",VLOOKUP(compras_mes12[[#This Row],[CUIT]],Lista_CUIT[#All],2,0)),"CUIT NO CARGADO")</f>
        <v>AUTOPISTAS DE BUENOS AIRES (AUBASA) SA</v>
      </c>
      <c r="H61" s="600">
        <v>1074.3800000000001</v>
      </c>
      <c r="I61" s="601">
        <f>IF(compras_mes12[[#This Row],[NETO GRAVADO]]="","",compras_mes12[[#This Row],[NETO GRAVADO]]*0.21)</f>
        <v>225.61980000000003</v>
      </c>
      <c r="J61" s="601"/>
      <c r="K61" s="601"/>
      <c r="L61" s="601"/>
      <c r="M61" s="601"/>
      <c r="N61" s="601"/>
      <c r="O61" s="601"/>
      <c r="P61" s="602">
        <f>SUM(compras_mes12[[#This Row],[NETO GRAVADO]:[Otros / No Grav.]])</f>
        <v>1299.9998000000001</v>
      </c>
      <c r="Q61" s="603" t="str">
        <f>IFERROR(IF(compras_mes12[[#This Row],[CUIT]]="","-",VLOOKUP(compras_mes12[[#This Row],[CUIT]],Lista_CUIT[#All],3,0)),"CUIT NO CARGADO")</f>
        <v>PEAJE</v>
      </c>
      <c r="R61" s="603">
        <f>IFERROR(IF(compras_mes12[[#This Row],[CUIT]]="","-",VLOOKUP(compras_mes12[[#This Row],[CUIT]],Lista_CUIT[#All],4,0)),"CUIT NO CARGADO")</f>
        <v>0</v>
      </c>
    </row>
    <row r="62" spans="2:18">
      <c r="B62" s="291">
        <v>45642</v>
      </c>
      <c r="C62" s="305">
        <v>1</v>
      </c>
      <c r="D62" s="292">
        <v>711</v>
      </c>
      <c r="E62" s="293">
        <v>6515693</v>
      </c>
      <c r="F62" s="294">
        <v>30677237119</v>
      </c>
      <c r="G62" s="295" t="str">
        <f>IFERROR(IF(compras_mes12[[#This Row],[CUIT]]="","-",VLOOKUP(compras_mes12[[#This Row],[CUIT]],Lista_CUIT[#All],2,0)),"CUIT NO CARGADO")</f>
        <v>AUTOPISTAS DEL SOL SA</v>
      </c>
      <c r="H62" s="592">
        <v>5715.46</v>
      </c>
      <c r="I62" s="297">
        <f>IF(compras_mes12[[#This Row],[NETO GRAVADO]]="","",compras_mes12[[#This Row],[NETO GRAVADO]]*0.21)</f>
        <v>1200.2465999999999</v>
      </c>
      <c r="J62" s="297"/>
      <c r="K62" s="297"/>
      <c r="L62" s="297">
        <v>171.46</v>
      </c>
      <c r="M62" s="297"/>
      <c r="N62" s="297">
        <v>228.62</v>
      </c>
      <c r="O62" s="297"/>
      <c r="P62" s="48">
        <f>SUM(compras_mes12[[#This Row],[NETO GRAVADO]:[Otros / No Grav.]])</f>
        <v>7315.7865999999995</v>
      </c>
      <c r="Q62" s="49" t="str">
        <f>IFERROR(IF(compras_mes12[[#This Row],[CUIT]]="","-",VLOOKUP(compras_mes12[[#This Row],[CUIT]],Lista_CUIT[#All],3,0)),"CUIT NO CARGADO")</f>
        <v>PEAJE</v>
      </c>
      <c r="R62" s="49">
        <f>IFERROR(IF(compras_mes12[[#This Row],[CUIT]]="","-",VLOOKUP(compras_mes12[[#This Row],[CUIT]],Lista_CUIT[#All],4,0)),"CUIT NO CARGADO")</f>
        <v>0</v>
      </c>
    </row>
    <row r="63" spans="2:18">
      <c r="B63" s="594">
        <v>45652</v>
      </c>
      <c r="C63" s="595">
        <v>1</v>
      </c>
      <c r="D63" s="596">
        <v>700</v>
      </c>
      <c r="E63" s="597">
        <v>2143617</v>
      </c>
      <c r="F63" s="598">
        <v>30715804812</v>
      </c>
      <c r="G63" s="599" t="str">
        <f>IFERROR(IF(compras_mes12[[#This Row],[CUIT]]="","-",VLOOKUP(compras_mes12[[#This Row],[CUIT]],Lista_CUIT[#All],2,0)),"CUIT NO CARGADO")</f>
        <v>CORREDORES VIALES SOCIEDAD ANONIMA</v>
      </c>
      <c r="H63" s="600">
        <v>8700.2999999999993</v>
      </c>
      <c r="I63" s="601">
        <f>IF(compras_mes12[[#This Row],[NETO GRAVADO]]="","",compras_mes12[[#This Row],[NETO GRAVADO]]*0.21)</f>
        <v>1827.0629999999999</v>
      </c>
      <c r="J63" s="601"/>
      <c r="K63" s="601"/>
      <c r="L63" s="601"/>
      <c r="M63" s="601"/>
      <c r="N63" s="601">
        <v>348.01</v>
      </c>
      <c r="O63" s="601"/>
      <c r="P63" s="602">
        <f>SUM(compras_mes12[[#This Row],[NETO GRAVADO]:[Otros / No Grav.]])</f>
        <v>10875.373</v>
      </c>
      <c r="Q63" s="603" t="str">
        <f>IFERROR(IF(compras_mes12[[#This Row],[CUIT]]="","-",VLOOKUP(compras_mes12[[#This Row],[CUIT]],Lista_CUIT[#All],3,0)),"CUIT NO CARGADO")</f>
        <v>PEAJE</v>
      </c>
      <c r="R63" s="603">
        <f>IFERROR(IF(compras_mes12[[#This Row],[CUIT]]="","-",VLOOKUP(compras_mes12[[#This Row],[CUIT]],Lista_CUIT[#All],4,0)),"CUIT NO CARGADO")</f>
        <v>0</v>
      </c>
    </row>
    <row r="64" spans="2:18">
      <c r="B64" s="291">
        <v>45652</v>
      </c>
      <c r="C64" s="305">
        <v>1</v>
      </c>
      <c r="D64" s="292">
        <v>700</v>
      </c>
      <c r="E64" s="293">
        <v>2143618</v>
      </c>
      <c r="F64" s="294">
        <v>30715804812</v>
      </c>
      <c r="G64" s="295" t="str">
        <f>IFERROR(IF(compras_mes12[[#This Row],[CUIT]]="","-",VLOOKUP(compras_mes12[[#This Row],[CUIT]],Lista_CUIT[#All],2,0)),"CUIT NO CARGADO")</f>
        <v>CORREDORES VIALES SOCIEDAD ANONIMA</v>
      </c>
      <c r="H64" s="592">
        <v>2812.4</v>
      </c>
      <c r="I64" s="297">
        <f>IF(compras_mes12[[#This Row],[NETO GRAVADO]]="","",compras_mes12[[#This Row],[NETO GRAVADO]]*0.21)</f>
        <v>590.60400000000004</v>
      </c>
      <c r="J64" s="297"/>
      <c r="K64" s="297"/>
      <c r="L64" s="297"/>
      <c r="M64" s="297"/>
      <c r="N64" s="297"/>
      <c r="O64" s="297"/>
      <c r="P64" s="298">
        <f>SUM(compras_mes12[[#This Row],[NETO GRAVADO]:[Otros / No Grav.]])</f>
        <v>3403.0039999999999</v>
      </c>
      <c r="Q64" s="299" t="str">
        <f>IFERROR(IF(compras_mes12[[#This Row],[CUIT]]="","-",VLOOKUP(compras_mes12[[#This Row],[CUIT]],Lista_CUIT[#All],3,0)),"CUIT NO CARGADO")</f>
        <v>PEAJE</v>
      </c>
      <c r="R64" s="299">
        <f>IFERROR(IF(compras_mes12[[#This Row],[CUIT]]="","-",VLOOKUP(compras_mes12[[#This Row],[CUIT]],Lista_CUIT[#All],4,0)),"CUIT NO CARGADO")</f>
        <v>0</v>
      </c>
    </row>
    <row r="65" spans="2:18">
      <c r="B65" s="291">
        <v>45632</v>
      </c>
      <c r="C65" s="305">
        <v>1</v>
      </c>
      <c r="D65" s="292">
        <v>5</v>
      </c>
      <c r="E65" s="293">
        <v>2261</v>
      </c>
      <c r="F65" s="294">
        <v>20242126158</v>
      </c>
      <c r="G65" s="295" t="str">
        <f>IFERROR(IF(compras_mes12[[#This Row],[CUIT]]="","-",VLOOKUP(compras_mes12[[#This Row],[CUIT]],Lista_CUIT[#All],2,0)),"CUIT NO CARGADO")</f>
        <v>IALLONARDO SERGIO</v>
      </c>
      <c r="H65" s="592">
        <v>16470</v>
      </c>
      <c r="I65" s="297">
        <f>IF(compras_mes12[[#This Row],[NETO GRAVADO]]="","",compras_mes12[[#This Row],[NETO GRAVADO]]*0.21)</f>
        <v>3458.7</v>
      </c>
      <c r="J65" s="297"/>
      <c r="K65" s="297"/>
      <c r="L65" s="297"/>
      <c r="M65" s="297"/>
      <c r="N65" s="297"/>
      <c r="O65" s="297"/>
      <c r="P65" s="298">
        <f>SUM(compras_mes12[[#This Row],[NETO GRAVADO]:[Otros / No Grav.]])</f>
        <v>19928.7</v>
      </c>
      <c r="Q65" s="299" t="str">
        <f>IFERROR(IF(compras_mes12[[#This Row],[CUIT]]="","-",VLOOKUP(compras_mes12[[#This Row],[CUIT]],Lista_CUIT[#All],3,0)),"CUIT NO CARGADO")</f>
        <v>PROD ORTOP P/ALQ</v>
      </c>
      <c r="R65" s="299">
        <f>IFERROR(IF(compras_mes12[[#This Row],[CUIT]]="","-",VLOOKUP(compras_mes12[[#This Row],[CUIT]],Lista_CUIT[#All],4,0)),"CUIT NO CARGADO")</f>
        <v>0</v>
      </c>
    </row>
    <row r="66" spans="2:18">
      <c r="B66" s="291">
        <v>45636</v>
      </c>
      <c r="C66" s="305">
        <v>1</v>
      </c>
      <c r="D66" s="292">
        <v>5</v>
      </c>
      <c r="E66" s="293">
        <v>2269</v>
      </c>
      <c r="F66" s="294">
        <v>20242126158</v>
      </c>
      <c r="G66" s="295" t="str">
        <f>IFERROR(IF(compras_mes12[[#This Row],[CUIT]]="","-",VLOOKUP(compras_mes12[[#This Row],[CUIT]],Lista_CUIT[#All],2,0)),"CUIT NO CARGADO")</f>
        <v>IALLONARDO SERGIO</v>
      </c>
      <c r="H66" s="592">
        <v>504360</v>
      </c>
      <c r="I66" s="297">
        <f>IF(compras_mes12[[#This Row],[NETO GRAVADO]]="","",compras_mes12[[#This Row],[NETO GRAVADO]]*0.21)</f>
        <v>105915.59999999999</v>
      </c>
      <c r="J66" s="297"/>
      <c r="K66" s="297"/>
      <c r="L66" s="297"/>
      <c r="M66" s="297"/>
      <c r="N66" s="297"/>
      <c r="O66" s="297"/>
      <c r="P66" s="48">
        <f>SUM(compras_mes12[[#This Row],[NETO GRAVADO]:[Otros / No Grav.]])</f>
        <v>610275.6</v>
      </c>
      <c r="Q66" s="49" t="str">
        <f>IFERROR(IF(compras_mes12[[#This Row],[CUIT]]="","-",VLOOKUP(compras_mes12[[#This Row],[CUIT]],Lista_CUIT[#All],3,0)),"CUIT NO CARGADO")</f>
        <v>PROD ORTOP P/ALQ</v>
      </c>
      <c r="R66" s="49">
        <f>IFERROR(IF(compras_mes12[[#This Row],[CUIT]]="","-",VLOOKUP(compras_mes12[[#This Row],[CUIT]],Lista_CUIT[#All],4,0)),"CUIT NO CARGADO")</f>
        <v>0</v>
      </c>
    </row>
    <row r="67" spans="2:18" s="450" customFormat="1">
      <c r="B67" s="291">
        <v>45643</v>
      </c>
      <c r="C67" s="305">
        <v>1</v>
      </c>
      <c r="D67" s="292">
        <v>5</v>
      </c>
      <c r="E67" s="293">
        <v>2299</v>
      </c>
      <c r="F67" s="294">
        <v>20242126158</v>
      </c>
      <c r="G67" s="295" t="str">
        <f>IFERROR(IF(compras_mes12[[#This Row],[CUIT]]="","-",VLOOKUP(compras_mes12[[#This Row],[CUIT]],Lista_CUIT[#All],2,0)),"CUIT NO CARGADO")</f>
        <v>IALLONARDO SERGIO</v>
      </c>
      <c r="H67" s="592">
        <v>49410</v>
      </c>
      <c r="I67" s="297">
        <f>IF(compras_mes12[[#This Row],[NETO GRAVADO]]="","",compras_mes12[[#This Row],[NETO GRAVADO]]*0.21)</f>
        <v>10376.1</v>
      </c>
      <c r="J67" s="297"/>
      <c r="K67" s="297"/>
      <c r="L67" s="297"/>
      <c r="M67" s="297"/>
      <c r="N67" s="297"/>
      <c r="O67" s="297"/>
      <c r="P67" s="298">
        <f>SUM(compras_mes12[[#This Row],[NETO GRAVADO]:[Otros / No Grav.]])</f>
        <v>59786.1</v>
      </c>
      <c r="Q67" s="299" t="str">
        <f>IFERROR(IF(compras_mes12[[#This Row],[CUIT]]="","-",VLOOKUP(compras_mes12[[#This Row],[CUIT]],Lista_CUIT[#All],3,0)),"CUIT NO CARGADO")</f>
        <v>PROD ORTOP P/ALQ</v>
      </c>
      <c r="R67" s="299">
        <f>IFERROR(IF(compras_mes12[[#This Row],[CUIT]]="","-",VLOOKUP(compras_mes12[[#This Row],[CUIT]],Lista_CUIT[#All],4,0)),"CUIT NO CARGADO")</f>
        <v>0</v>
      </c>
    </row>
    <row r="68" spans="2:18">
      <c r="B68" s="291">
        <v>45628</v>
      </c>
      <c r="C68" s="305">
        <v>1</v>
      </c>
      <c r="D68" s="292">
        <v>6</v>
      </c>
      <c r="E68" s="293">
        <v>55227</v>
      </c>
      <c r="F68" s="294">
        <v>30710177658</v>
      </c>
      <c r="G68" s="295" t="str">
        <f>IFERROR(IF(compras_mes12[[#This Row],[CUIT]]="","-",VLOOKUP(compras_mes12[[#This Row],[CUIT]],Lista_CUIT[#All],2,0)),"CUIT NO CARGADO")</f>
        <v>TARGET MEDICAL SA</v>
      </c>
      <c r="H68" s="592">
        <v>412110</v>
      </c>
      <c r="I68" s="297">
        <f>IF(compras_mes12[[#This Row],[NETO GRAVADO]]="","",compras_mes12[[#This Row],[NETO GRAVADO]]*0.21)</f>
        <v>86543.099999999991</v>
      </c>
      <c r="J68" s="297"/>
      <c r="K68" s="297"/>
      <c r="L68" s="297"/>
      <c r="M68" s="297"/>
      <c r="N68" s="297"/>
      <c r="O68" s="297"/>
      <c r="P68" s="298">
        <f>SUM(compras_mes12[[#This Row],[NETO GRAVADO]:[Otros / No Grav.]])</f>
        <v>498653.1</v>
      </c>
      <c r="Q68" s="299" t="str">
        <f>IFERROR(IF(compras_mes12[[#This Row],[CUIT]]="","-",VLOOKUP(compras_mes12[[#This Row],[CUIT]],Lista_CUIT[#All],3,0)),"CUIT NO CARGADO")</f>
        <v>Productos Ortopedicos</v>
      </c>
      <c r="R68" s="299">
        <f>IFERROR(IF(compras_mes12[[#This Row],[CUIT]]="","-",VLOOKUP(compras_mes12[[#This Row],[CUIT]],Lista_CUIT[#All],4,0)),"CUIT NO CARGADO")</f>
        <v>0</v>
      </c>
    </row>
    <row r="69" spans="2:18">
      <c r="B69" s="291">
        <v>45628</v>
      </c>
      <c r="C69" s="305">
        <v>1</v>
      </c>
      <c r="D69" s="292">
        <v>101</v>
      </c>
      <c r="E69" s="293">
        <v>8845</v>
      </c>
      <c r="F69" s="294">
        <v>33711430879</v>
      </c>
      <c r="G69" s="295" t="str">
        <f>IFERROR(IF(compras_mes12[[#This Row],[CUIT]]="","-",VLOOKUP(compras_mes12[[#This Row],[CUIT]],Lista_CUIT[#All],2,0)),"CUIT NO CARGADO")</f>
        <v>BALANZE S.A.</v>
      </c>
      <c r="H69" s="592">
        <v>1328291</v>
      </c>
      <c r="I69" s="297">
        <f>IF(compras_mes12[[#This Row],[NETO GRAVADO]]="","",compras_mes12[[#This Row],[NETO GRAVADO]]*0.21)</f>
        <v>278941.11</v>
      </c>
      <c r="J69" s="297"/>
      <c r="K69" s="297"/>
      <c r="L69" s="297"/>
      <c r="M69" s="297"/>
      <c r="N69" s="297"/>
      <c r="O69" s="297"/>
      <c r="P69" s="298">
        <f>SUM(compras_mes12[[#This Row],[NETO GRAVADO]:[Otros / No Grav.]])</f>
        <v>1607232.1099999999</v>
      </c>
      <c r="Q69" s="299" t="str">
        <f>IFERROR(IF(compras_mes12[[#This Row],[CUIT]]="","-",VLOOKUP(compras_mes12[[#This Row],[CUIT]],Lista_CUIT[#All],3,0)),"CUIT NO CARGADO")</f>
        <v>Productos Ortopedicos</v>
      </c>
      <c r="R69" s="299">
        <f>IFERROR(IF(compras_mes12[[#This Row],[CUIT]]="","-",VLOOKUP(compras_mes12[[#This Row],[CUIT]],Lista_CUIT[#All],4,0)),"CUIT NO CARGADO")</f>
        <v>0</v>
      </c>
    </row>
    <row r="70" spans="2:18">
      <c r="B70" s="291">
        <v>45628</v>
      </c>
      <c r="C70" s="305">
        <v>1</v>
      </c>
      <c r="D70" s="292">
        <v>4</v>
      </c>
      <c r="E70" s="293">
        <v>38976</v>
      </c>
      <c r="F70" s="294">
        <v>20289111329</v>
      </c>
      <c r="G70" s="295" t="str">
        <f>IFERROR(IF(compras_mes12[[#This Row],[CUIT]]="","-",VLOOKUP(compras_mes12[[#This Row],[CUIT]],Lista_CUIT[#All],2,0)),"CUIT NO CARGADO")</f>
        <v>R. N. LEDESMA</v>
      </c>
      <c r="H70" s="592">
        <v>2174566.0099999998</v>
      </c>
      <c r="I70" s="297">
        <f>IF(compras_mes12[[#This Row],[NETO GRAVADO]]="","",compras_mes12[[#This Row],[NETO GRAVADO]]*0.21)</f>
        <v>456658.86209999991</v>
      </c>
      <c r="J70" s="297"/>
      <c r="K70" s="297"/>
      <c r="L70" s="297"/>
      <c r="M70" s="297"/>
      <c r="N70" s="297"/>
      <c r="O70" s="297"/>
      <c r="P70" s="298">
        <f>SUM(compras_mes12[[#This Row],[NETO GRAVADO]:[Otros / No Grav.]])</f>
        <v>2631224.8720999998</v>
      </c>
      <c r="Q70" s="299" t="str">
        <f>IFERROR(IF(compras_mes12[[#This Row],[CUIT]]="","-",VLOOKUP(compras_mes12[[#This Row],[CUIT]],Lista_CUIT[#All],3,0)),"CUIT NO CARGADO")</f>
        <v>Productos Ortopedicos</v>
      </c>
      <c r="R70" s="299">
        <f>IFERROR(IF(compras_mes12[[#This Row],[CUIT]]="","-",VLOOKUP(compras_mes12[[#This Row],[CUIT]],Lista_CUIT[#All],4,0)),"CUIT NO CARGADO")</f>
        <v>0</v>
      </c>
    </row>
    <row r="71" spans="2:18">
      <c r="B71" s="291">
        <v>45628</v>
      </c>
      <c r="C71" s="305">
        <v>1</v>
      </c>
      <c r="D71" s="292">
        <v>6</v>
      </c>
      <c r="E71" s="293">
        <v>55223</v>
      </c>
      <c r="F71" s="294">
        <v>30710177658</v>
      </c>
      <c r="G71" s="295" t="str">
        <f>IFERROR(IF(compras_mes12[[#This Row],[CUIT]]="","-",VLOOKUP(compras_mes12[[#This Row],[CUIT]],Lista_CUIT[#All],2,0)),"CUIT NO CARGADO")</f>
        <v>TARGET MEDICAL SA</v>
      </c>
      <c r="H71" s="592">
        <v>3760920</v>
      </c>
      <c r="I71" s="297">
        <f>IF(compras_mes12[[#This Row],[NETO GRAVADO]]="","",compras_mes12[[#This Row],[NETO GRAVADO]]*0.21)</f>
        <v>789793.2</v>
      </c>
      <c r="J71" s="297"/>
      <c r="K71" s="297"/>
      <c r="L71" s="297"/>
      <c r="M71" s="297"/>
      <c r="N71" s="297">
        <v>150436.79999999999</v>
      </c>
      <c r="O71" s="297"/>
      <c r="P71" s="298">
        <f>SUM(compras_mes12[[#This Row],[NETO GRAVADO]:[Otros / No Grav.]])</f>
        <v>4701150</v>
      </c>
      <c r="Q71" s="299" t="str">
        <f>IFERROR(IF(compras_mes12[[#This Row],[CUIT]]="","-",VLOOKUP(compras_mes12[[#This Row],[CUIT]],Lista_CUIT[#All],3,0)),"CUIT NO CARGADO")</f>
        <v>Productos Ortopedicos</v>
      </c>
      <c r="R71" s="299">
        <f>IFERROR(IF(compras_mes12[[#This Row],[CUIT]]="","-",VLOOKUP(compras_mes12[[#This Row],[CUIT]],Lista_CUIT[#All],4,0)),"CUIT NO CARGADO")</f>
        <v>0</v>
      </c>
    </row>
    <row r="72" spans="2:18">
      <c r="B72" s="40">
        <v>45629</v>
      </c>
      <c r="C72" s="305">
        <v>1</v>
      </c>
      <c r="D72" s="42">
        <v>4</v>
      </c>
      <c r="E72" s="43">
        <v>38981</v>
      </c>
      <c r="F72" s="44">
        <v>20289111329</v>
      </c>
      <c r="G72" s="45" t="str">
        <f>IFERROR(IF(compras_mes12[[#This Row],[CUIT]]="","-",VLOOKUP(compras_mes12[[#This Row],[CUIT]],Lista_CUIT[#All],2,0)),"CUIT NO CARGADO")</f>
        <v>R. N. LEDESMA</v>
      </c>
      <c r="H72" s="593">
        <v>727465.05</v>
      </c>
      <c r="I72" s="297">
        <f>IF(compras_mes12[[#This Row],[NETO GRAVADO]]="","",compras_mes12[[#This Row],[NETO GRAVADO]]*0.21)</f>
        <v>152767.6605</v>
      </c>
      <c r="J72" s="85"/>
      <c r="K72" s="85"/>
      <c r="L72" s="85"/>
      <c r="M72" s="85"/>
      <c r="N72" s="85"/>
      <c r="O72" s="85"/>
      <c r="P72" s="48">
        <f>SUM(compras_mes12[[#This Row],[NETO GRAVADO]:[Otros / No Grav.]])</f>
        <v>880232.71050000004</v>
      </c>
      <c r="Q72" s="49" t="str">
        <f>IFERROR(IF(compras_mes12[[#This Row],[CUIT]]="","-",VLOOKUP(compras_mes12[[#This Row],[CUIT]],Lista_CUIT[#All],3,0)),"CUIT NO CARGADO")</f>
        <v>Productos Ortopedicos</v>
      </c>
      <c r="R72" s="49">
        <f>IFERROR(IF(compras_mes12[[#This Row],[CUIT]]="","-",VLOOKUP(compras_mes12[[#This Row],[CUIT]],Lista_CUIT[#All],4,0)),"CUIT NO CARGADO")</f>
        <v>0</v>
      </c>
    </row>
    <row r="73" spans="2:18">
      <c r="B73" s="291">
        <v>45629</v>
      </c>
      <c r="C73" s="305">
        <v>1</v>
      </c>
      <c r="D73" s="292">
        <v>5</v>
      </c>
      <c r="E73" s="293">
        <v>161604</v>
      </c>
      <c r="F73" s="294">
        <v>30598960093</v>
      </c>
      <c r="G73" s="295" t="str">
        <f>IFERROR(IF(compras_mes12[[#This Row],[CUIT]]="","-",VLOOKUP(compras_mes12[[#This Row],[CUIT]],Lista_CUIT[#All],2,0)),"CUIT NO CARGADO")</f>
        <v>SILVESTRIN FABRIS SRL</v>
      </c>
      <c r="H73" s="592">
        <v>2554513.5</v>
      </c>
      <c r="I73" s="297">
        <f>IF(compras_mes12[[#This Row],[NETO GRAVADO]]="","",compras_mes12[[#This Row],[NETO GRAVADO]]*0.21)</f>
        <v>536447.83499999996</v>
      </c>
      <c r="J73" s="297"/>
      <c r="K73" s="297"/>
      <c r="L73" s="297"/>
      <c r="M73" s="297"/>
      <c r="N73" s="297">
        <v>102180.54</v>
      </c>
      <c r="O73" s="297"/>
      <c r="P73" s="298">
        <f>SUM(compras_mes12[[#This Row],[NETO GRAVADO]:[Otros / No Grav.]])</f>
        <v>3193141.875</v>
      </c>
      <c r="Q73" s="299" t="str">
        <f>IFERROR(IF(compras_mes12[[#This Row],[CUIT]]="","-",VLOOKUP(compras_mes12[[#This Row],[CUIT]],Lista_CUIT[#All],3,0)),"CUIT NO CARGADO")</f>
        <v>Productos Ortopedicos</v>
      </c>
      <c r="R73" s="299">
        <f>IFERROR(IF(compras_mes12[[#This Row],[CUIT]]="","-",VLOOKUP(compras_mes12[[#This Row],[CUIT]],Lista_CUIT[#All],4,0)),"CUIT NO CARGADO")</f>
        <v>0</v>
      </c>
    </row>
    <row r="74" spans="2:18">
      <c r="B74" s="291">
        <v>45630</v>
      </c>
      <c r="C74" s="305">
        <v>1</v>
      </c>
      <c r="D74" s="292">
        <v>4</v>
      </c>
      <c r="E74" s="293">
        <v>20038</v>
      </c>
      <c r="F74" s="294">
        <v>30504854023</v>
      </c>
      <c r="G74" s="295" t="str">
        <f>IFERROR(IF(compras_mes12[[#This Row],[CUIT]]="","-",VLOOKUP(compras_mes12[[#This Row],[CUIT]],Lista_CUIT[#All],2,0)),"CUIT NO CARGADO")</f>
        <v xml:space="preserve">NYLTEF SAICFI </v>
      </c>
      <c r="H74" s="592">
        <v>72100</v>
      </c>
      <c r="I74" s="297">
        <f>IF(compras_mes12[[#This Row],[NETO GRAVADO]]="","",compras_mes12[[#This Row],[NETO GRAVADO]]*0.21)</f>
        <v>15141</v>
      </c>
      <c r="J74" s="297"/>
      <c r="K74" s="297"/>
      <c r="L74" s="297"/>
      <c r="M74" s="297"/>
      <c r="N74" s="297">
        <v>2884</v>
      </c>
      <c r="O74" s="297"/>
      <c r="P74" s="48">
        <f>SUM(compras_mes12[[#This Row],[NETO GRAVADO]:[Otros / No Grav.]])</f>
        <v>90125</v>
      </c>
      <c r="Q74" s="49" t="str">
        <f>IFERROR(IF(compras_mes12[[#This Row],[CUIT]]="","-",VLOOKUP(compras_mes12[[#This Row],[CUIT]],Lista_CUIT[#All],3,0)),"CUIT NO CARGADO")</f>
        <v>Productos Ortopedicos</v>
      </c>
      <c r="R74" s="49">
        <f>IFERROR(IF(compras_mes12[[#This Row],[CUIT]]="","-",VLOOKUP(compras_mes12[[#This Row],[CUIT]],Lista_CUIT[#All],4,0)),"CUIT NO CARGADO")</f>
        <v>0</v>
      </c>
    </row>
    <row r="75" spans="2:18">
      <c r="B75" s="291">
        <v>45631</v>
      </c>
      <c r="C75" s="305">
        <v>1</v>
      </c>
      <c r="D75" s="292">
        <v>7</v>
      </c>
      <c r="E75" s="293">
        <v>19690</v>
      </c>
      <c r="F75" s="294">
        <v>30709214078</v>
      </c>
      <c r="G75" s="295" t="str">
        <f>IFERROR(IF(compras_mes12[[#This Row],[CUIT]]="","-",VLOOKUP(compras_mes12[[#This Row],[CUIT]],Lista_CUIT[#All],2,0)),"CUIT NO CARGADO")</f>
        <v>REHAVITA S.A</v>
      </c>
      <c r="H75" s="592">
        <v>192492</v>
      </c>
      <c r="I75" s="297">
        <f>IF(compras_mes12[[#This Row],[NETO GRAVADO]]="","",compras_mes12[[#This Row],[NETO GRAVADO]]*0.21)</f>
        <v>40423.32</v>
      </c>
      <c r="J75" s="297"/>
      <c r="K75" s="297"/>
      <c r="L75" s="297"/>
      <c r="M75" s="297"/>
      <c r="N75" s="297"/>
      <c r="O75" s="297"/>
      <c r="P75" s="48">
        <f>SUM(compras_mes12[[#This Row],[NETO GRAVADO]:[Otros / No Grav.]])</f>
        <v>232915.32</v>
      </c>
      <c r="Q75" s="299" t="str">
        <f>IFERROR(IF(compras_mes12[[#This Row],[CUIT]]="","-",VLOOKUP(compras_mes12[[#This Row],[CUIT]],Lista_CUIT[#All],3,0)),"CUIT NO CARGADO")</f>
        <v>Productos Ortopedicos</v>
      </c>
      <c r="R75" s="299">
        <f>IFERROR(IF(compras_mes12[[#This Row],[CUIT]]="","-",VLOOKUP(compras_mes12[[#This Row],[CUIT]],Lista_CUIT[#All],4,0)),"CUIT NO CARGADO")</f>
        <v>0</v>
      </c>
    </row>
    <row r="76" spans="2:18">
      <c r="B76" s="291">
        <v>45631</v>
      </c>
      <c r="C76" s="305">
        <v>1</v>
      </c>
      <c r="D76" s="292">
        <v>2</v>
      </c>
      <c r="E76" s="293">
        <v>11064</v>
      </c>
      <c r="F76" s="294">
        <v>30714331082</v>
      </c>
      <c r="G76" s="295" t="str">
        <f>IFERROR(IF(compras_mes12[[#This Row],[CUIT]]="","-",VLOOKUP(compras_mes12[[#This Row],[CUIT]],Lista_CUIT[#All],2,0)),"CUIT NO CARGADO")</f>
        <v>ORTOPEDIA CASA ESCALADA SRL</v>
      </c>
      <c r="H76" s="592">
        <v>81488.509999999995</v>
      </c>
      <c r="I76" s="297">
        <f>IF(compras_mes12[[#This Row],[NETO GRAVADO]]="","",compras_mes12[[#This Row],[NETO GRAVADO]]*0.21)</f>
        <v>17112.587099999997</v>
      </c>
      <c r="J76" s="297"/>
      <c r="K76" s="297"/>
      <c r="L76" s="297"/>
      <c r="M76" s="297"/>
      <c r="N76" s="297"/>
      <c r="O76" s="297"/>
      <c r="P76" s="298">
        <f>SUM(compras_mes12[[#This Row],[NETO GRAVADO]:[Otros / No Grav.]])</f>
        <v>98601.097099999984</v>
      </c>
      <c r="Q76" s="299" t="str">
        <f>IFERROR(IF(compras_mes12[[#This Row],[CUIT]]="","-",VLOOKUP(compras_mes12[[#This Row],[CUIT]],Lista_CUIT[#All],3,0)),"CUIT NO CARGADO")</f>
        <v>Productos Ortopedicos</v>
      </c>
      <c r="R76" s="299">
        <f>IFERROR(IF(compras_mes12[[#This Row],[CUIT]]="","-",VLOOKUP(compras_mes12[[#This Row],[CUIT]],Lista_CUIT[#All],4,0)),"CUIT NO CARGADO")</f>
        <v>0</v>
      </c>
    </row>
    <row r="77" spans="2:18">
      <c r="B77" s="291">
        <v>45632</v>
      </c>
      <c r="C77" s="305">
        <v>1</v>
      </c>
      <c r="D77" s="292">
        <v>7</v>
      </c>
      <c r="E77" s="293">
        <v>19693</v>
      </c>
      <c r="F77" s="294">
        <v>30709214078</v>
      </c>
      <c r="G77" s="295" t="str">
        <f>IFERROR(IF(compras_mes12[[#This Row],[CUIT]]="","-",VLOOKUP(compras_mes12[[#This Row],[CUIT]],Lista_CUIT[#All],2,0)),"CUIT NO CARGADO")</f>
        <v>REHAVITA S.A</v>
      </c>
      <c r="H77" s="592">
        <v>151800</v>
      </c>
      <c r="I77" s="297"/>
      <c r="J77" s="297"/>
      <c r="K77" s="297">
        <f>compras_mes12[[#This Row],[NETO GRAVADO]]*10.5/100</f>
        <v>15939</v>
      </c>
      <c r="L77" s="297"/>
      <c r="M77" s="297"/>
      <c r="N77" s="297"/>
      <c r="O77" s="297"/>
      <c r="P77" s="298">
        <f>SUM(compras_mes12[[#This Row],[NETO GRAVADO]:[Otros / No Grav.]])</f>
        <v>167739</v>
      </c>
      <c r="Q77" s="299" t="str">
        <f>IFERROR(IF(compras_mes12[[#This Row],[CUIT]]="","-",VLOOKUP(compras_mes12[[#This Row],[CUIT]],Lista_CUIT[#All],3,0)),"CUIT NO CARGADO")</f>
        <v>Productos Ortopedicos</v>
      </c>
      <c r="R77" s="299">
        <f>IFERROR(IF(compras_mes12[[#This Row],[CUIT]]="","-",VLOOKUP(compras_mes12[[#This Row],[CUIT]],Lista_CUIT[#All],4,0)),"CUIT NO CARGADO")</f>
        <v>0</v>
      </c>
    </row>
    <row r="78" spans="2:18">
      <c r="B78" s="291">
        <v>45635</v>
      </c>
      <c r="C78" s="305">
        <v>1</v>
      </c>
      <c r="D78" s="292">
        <v>4</v>
      </c>
      <c r="E78" s="293">
        <v>39047</v>
      </c>
      <c r="F78" s="294">
        <v>20289111329</v>
      </c>
      <c r="G78" s="295" t="str">
        <f>IFERROR(IF(compras_mes12[[#This Row],[CUIT]]="","-",VLOOKUP(compras_mes12[[#This Row],[CUIT]],Lista_CUIT[#All],2,0)),"CUIT NO CARGADO")</f>
        <v>R. N. LEDESMA</v>
      </c>
      <c r="H78" s="592">
        <v>585348.09</v>
      </c>
      <c r="I78" s="297">
        <f>IF(compras_mes12[[#This Row],[NETO GRAVADO]]="","",compras_mes12[[#This Row],[NETO GRAVADO]]*0.21)</f>
        <v>122923.09889999998</v>
      </c>
      <c r="J78" s="297"/>
      <c r="K78" s="297"/>
      <c r="L78" s="297"/>
      <c r="M78" s="297"/>
      <c r="N78" s="297"/>
      <c r="O78" s="297"/>
      <c r="P78" s="298">
        <f>SUM(compras_mes12[[#This Row],[NETO GRAVADO]:[Otros / No Grav.]])</f>
        <v>708271.18889999995</v>
      </c>
      <c r="Q78" s="299" t="str">
        <f>IFERROR(IF(compras_mes12[[#This Row],[CUIT]]="","-",VLOOKUP(compras_mes12[[#This Row],[CUIT]],Lista_CUIT[#All],3,0)),"CUIT NO CARGADO")</f>
        <v>Productos Ortopedicos</v>
      </c>
      <c r="R78" s="299">
        <f>IFERROR(IF(compras_mes12[[#This Row],[CUIT]]="","-",VLOOKUP(compras_mes12[[#This Row],[CUIT]],Lista_CUIT[#All],4,0)),"CUIT NO CARGADO")</f>
        <v>0</v>
      </c>
    </row>
    <row r="79" spans="2:18">
      <c r="B79" s="291">
        <v>45635</v>
      </c>
      <c r="C79" s="305">
        <v>1</v>
      </c>
      <c r="D79" s="292">
        <v>17</v>
      </c>
      <c r="E79" s="293">
        <v>11167</v>
      </c>
      <c r="F79" s="294">
        <v>30661143610</v>
      </c>
      <c r="G79" s="295" t="str">
        <f>IFERROR(IF(compras_mes12[[#This Row],[CUIT]]="","-",VLOOKUP(compras_mes12[[#This Row],[CUIT]],Lista_CUIT[#All],2,0)),"CUIT NO CARGADO")</f>
        <v>ORTOPEDIA BERNAT SRL</v>
      </c>
      <c r="H79" s="592">
        <v>1328690</v>
      </c>
      <c r="I79" s="297">
        <f>IF(compras_mes12[[#This Row],[NETO GRAVADO]]="","",compras_mes12[[#This Row],[NETO GRAVADO]]*0.21)</f>
        <v>279024.89999999997</v>
      </c>
      <c r="J79" s="297"/>
      <c r="K79" s="297"/>
      <c r="L79" s="297"/>
      <c r="M79" s="297"/>
      <c r="N79" s="297">
        <v>53147.6</v>
      </c>
      <c r="O79" s="297"/>
      <c r="P79" s="298">
        <f>SUM(compras_mes12[[#This Row],[NETO GRAVADO]:[Otros / No Grav.]])</f>
        <v>1660862.5</v>
      </c>
      <c r="Q79" s="299" t="str">
        <f>IFERROR(IF(compras_mes12[[#This Row],[CUIT]]="","-",VLOOKUP(compras_mes12[[#This Row],[CUIT]],Lista_CUIT[#All],3,0)),"CUIT NO CARGADO")</f>
        <v>Productos Ortopedicos</v>
      </c>
      <c r="R79" s="299">
        <f>IFERROR(IF(compras_mes12[[#This Row],[CUIT]]="","-",VLOOKUP(compras_mes12[[#This Row],[CUIT]],Lista_CUIT[#All],4,0)),"CUIT NO CARGADO")</f>
        <v>0</v>
      </c>
    </row>
    <row r="80" spans="2:18">
      <c r="B80" s="291">
        <v>45642</v>
      </c>
      <c r="C80" s="305">
        <v>1</v>
      </c>
      <c r="D80" s="292">
        <v>6</v>
      </c>
      <c r="E80" s="293">
        <v>87588</v>
      </c>
      <c r="F80" s="294">
        <v>30711553564</v>
      </c>
      <c r="G80" s="295" t="str">
        <f>IFERROR(IF(compras_mes12[[#This Row],[CUIT]]="","-",VLOOKUP(compras_mes12[[#This Row],[CUIT]],Lista_CUIT[#All],2,0)),"CUIT NO CARGADO")</f>
        <v>SALUD TEX S.A</v>
      </c>
      <c r="H80" s="592">
        <v>629391</v>
      </c>
      <c r="I80" s="297">
        <f>IF(compras_mes12[[#This Row],[NETO GRAVADO]]="","",compras_mes12[[#This Row],[NETO GRAVADO]]*0.21)</f>
        <v>132172.10999999999</v>
      </c>
      <c r="J80" s="297"/>
      <c r="K80" s="297"/>
      <c r="L80" s="297"/>
      <c r="M80" s="297"/>
      <c r="N80" s="297"/>
      <c r="O80" s="297"/>
      <c r="P80" s="298">
        <f>SUM(compras_mes12[[#This Row],[NETO GRAVADO]:[Otros / No Grav.]])</f>
        <v>761563.11</v>
      </c>
      <c r="Q80" s="299" t="str">
        <f>IFERROR(IF(compras_mes12[[#This Row],[CUIT]]="","-",VLOOKUP(compras_mes12[[#This Row],[CUIT]],Lista_CUIT[#All],3,0)),"CUIT NO CARGADO")</f>
        <v>Productos Ortopedicos</v>
      </c>
      <c r="R80" s="299">
        <f>IFERROR(IF(compras_mes12[[#This Row],[CUIT]]="","-",VLOOKUP(compras_mes12[[#This Row],[CUIT]],Lista_CUIT[#All],4,0)),"CUIT NO CARGADO")</f>
        <v>0</v>
      </c>
    </row>
    <row r="81" spans="2:18">
      <c r="B81" s="291">
        <v>45642</v>
      </c>
      <c r="C81" s="305">
        <v>1</v>
      </c>
      <c r="D81" s="292">
        <v>6</v>
      </c>
      <c r="E81" s="293">
        <v>1283</v>
      </c>
      <c r="F81" s="294">
        <v>20247225243</v>
      </c>
      <c r="G81" s="295" t="str">
        <f>IFERROR(IF(compras_mes12[[#This Row],[CUIT]]="","-",VLOOKUP(compras_mes12[[#This Row],[CUIT]],Lista_CUIT[#All],2,0)),"CUIT NO CARGADO")</f>
        <v>VENTO HUGO GABRIEL</v>
      </c>
      <c r="H81" s="592">
        <v>445238</v>
      </c>
      <c r="I81" s="297">
        <f>IF(compras_mes12[[#This Row],[NETO GRAVADO]]="","",compras_mes12[[#This Row],[NETO GRAVADO]]*0.21)</f>
        <v>93499.98</v>
      </c>
      <c r="J81" s="297"/>
      <c r="K81" s="297"/>
      <c r="L81" s="297"/>
      <c r="M81" s="297"/>
      <c r="N81" s="297"/>
      <c r="O81" s="297"/>
      <c r="P81" s="298">
        <f>SUM(compras_mes12[[#This Row],[NETO GRAVADO]:[Otros / No Grav.]])</f>
        <v>538737.98</v>
      </c>
      <c r="Q81" s="299" t="str">
        <f>IFERROR(IF(compras_mes12[[#This Row],[CUIT]]="","-",VLOOKUP(compras_mes12[[#This Row],[CUIT]],Lista_CUIT[#All],3,0)),"CUIT NO CARGADO")</f>
        <v>Productos Ortopedicos</v>
      </c>
      <c r="R81" s="299">
        <f>IFERROR(IF(compras_mes12[[#This Row],[CUIT]]="","-",VLOOKUP(compras_mes12[[#This Row],[CUIT]],Lista_CUIT[#All],4,0)),"CUIT NO CARGADO")</f>
        <v>0</v>
      </c>
    </row>
    <row r="82" spans="2:18">
      <c r="B82" s="291">
        <v>45642</v>
      </c>
      <c r="C82" s="305">
        <v>1</v>
      </c>
      <c r="D82" s="292">
        <v>5</v>
      </c>
      <c r="E82" s="293">
        <v>161959</v>
      </c>
      <c r="F82" s="294">
        <v>30598960093</v>
      </c>
      <c r="G82" s="295" t="str">
        <f>IFERROR(IF(compras_mes12[[#This Row],[CUIT]]="","-",VLOOKUP(compras_mes12[[#This Row],[CUIT]],Lista_CUIT[#All],2,0)),"CUIT NO CARGADO")</f>
        <v>SILVESTRIN FABRIS SRL</v>
      </c>
      <c r="H82" s="592">
        <v>2662681.5</v>
      </c>
      <c r="I82" s="297">
        <f>IF(compras_mes12[[#This Row],[NETO GRAVADO]]="","",compras_mes12[[#This Row],[NETO GRAVADO]]*0.21)</f>
        <v>559163.11499999999</v>
      </c>
      <c r="J82" s="297"/>
      <c r="K82" s="297"/>
      <c r="L82" s="297"/>
      <c r="M82" s="297"/>
      <c r="N82" s="297">
        <v>106507.26</v>
      </c>
      <c r="O82" s="297"/>
      <c r="P82" s="298">
        <f>SUM(compras_mes12[[#This Row],[NETO GRAVADO]:[Otros / No Grav.]])</f>
        <v>3328351.875</v>
      </c>
      <c r="Q82" s="299" t="str">
        <f>IFERROR(IF(compras_mes12[[#This Row],[CUIT]]="","-",VLOOKUP(compras_mes12[[#This Row],[CUIT]],Lista_CUIT[#All],3,0)),"CUIT NO CARGADO")</f>
        <v>Productos Ortopedicos</v>
      </c>
      <c r="R82" s="299">
        <f>IFERROR(IF(compras_mes12[[#This Row],[CUIT]]="","-",VLOOKUP(compras_mes12[[#This Row],[CUIT]],Lista_CUIT[#All],4,0)),"CUIT NO CARGADO")</f>
        <v>0</v>
      </c>
    </row>
    <row r="83" spans="2:18" s="450" customFormat="1">
      <c r="B83" s="291">
        <v>45643</v>
      </c>
      <c r="C83" s="305">
        <v>1</v>
      </c>
      <c r="D83" s="292">
        <v>5</v>
      </c>
      <c r="E83" s="293">
        <v>1406</v>
      </c>
      <c r="F83" s="294">
        <v>27265302225</v>
      </c>
      <c r="G83" s="295" t="str">
        <f>IFERROR(IF(compras_mes12[[#This Row],[CUIT]]="","-",VLOOKUP(compras_mes12[[#This Row],[CUIT]],Lista_CUIT[#All],2,0)),"CUIT NO CARGADO")</f>
        <v>PRADO MARISOL</v>
      </c>
      <c r="H83" s="592">
        <v>750000</v>
      </c>
      <c r="I83" s="297">
        <f>IF(compras_mes12[[#This Row],[NETO GRAVADO]]="","",compras_mes12[[#This Row],[NETO GRAVADO]]*0.21)</f>
        <v>157500</v>
      </c>
      <c r="J83" s="297"/>
      <c r="K83" s="297"/>
      <c r="L83" s="297"/>
      <c r="M83" s="297"/>
      <c r="N83" s="297"/>
      <c r="O83" s="297"/>
      <c r="P83" s="298">
        <f>SUM(compras_mes12[[#This Row],[NETO GRAVADO]:[Otros / No Grav.]])</f>
        <v>907500</v>
      </c>
      <c r="Q83" s="299" t="str">
        <f>IFERROR(IF(compras_mes12[[#This Row],[CUIT]]="","-",VLOOKUP(compras_mes12[[#This Row],[CUIT]],Lista_CUIT[#All],3,0)),"CUIT NO CARGADO")</f>
        <v>Productos Ortopedicos</v>
      </c>
      <c r="R83" s="299">
        <f>IFERROR(IF(compras_mes12[[#This Row],[CUIT]]="","-",VLOOKUP(compras_mes12[[#This Row],[CUIT]],Lista_CUIT[#All],4,0)),"CUIT NO CARGADO")</f>
        <v>0</v>
      </c>
    </row>
    <row r="84" spans="2:18">
      <c r="B84" s="291">
        <v>45644</v>
      </c>
      <c r="C84" s="305">
        <v>1</v>
      </c>
      <c r="D84" s="292">
        <v>17</v>
      </c>
      <c r="E84" s="293">
        <v>11263</v>
      </c>
      <c r="F84" s="294">
        <v>30661143610</v>
      </c>
      <c r="G84" s="295" t="str">
        <f>IFERROR(IF(compras_mes12[[#This Row],[CUIT]]="","-",VLOOKUP(compras_mes12[[#This Row],[CUIT]],Lista_CUIT[#All],2,0)),"CUIT NO CARGADO")</f>
        <v>ORTOPEDIA BERNAT SRL</v>
      </c>
      <c r="H84" s="592">
        <v>614780</v>
      </c>
      <c r="I84" s="297">
        <f>IF(compras_mes12[[#This Row],[NETO GRAVADO]]="","",compras_mes12[[#This Row],[NETO GRAVADO]]*0.21)</f>
        <v>129103.79999999999</v>
      </c>
      <c r="J84" s="297"/>
      <c r="K84" s="297"/>
      <c r="L84" s="297"/>
      <c r="M84" s="297"/>
      <c r="N84" s="297">
        <v>24591.200000000001</v>
      </c>
      <c r="O84" s="297"/>
      <c r="P84" s="298">
        <f>SUM(compras_mes12[[#This Row],[NETO GRAVADO]:[Otros / No Grav.]])</f>
        <v>768475</v>
      </c>
      <c r="Q84" s="299" t="str">
        <f>IFERROR(IF(compras_mes12[[#This Row],[CUIT]]="","-",VLOOKUP(compras_mes12[[#This Row],[CUIT]],Lista_CUIT[#All],3,0)),"CUIT NO CARGADO")</f>
        <v>Productos Ortopedicos</v>
      </c>
      <c r="R84" s="299">
        <f>IFERROR(IF(compras_mes12[[#This Row],[CUIT]]="","-",VLOOKUP(compras_mes12[[#This Row],[CUIT]],Lista_CUIT[#All],4,0)),"CUIT NO CARGADO")</f>
        <v>0</v>
      </c>
    </row>
    <row r="85" spans="2:18">
      <c r="B85" s="291">
        <v>45644</v>
      </c>
      <c r="C85" s="305">
        <v>1</v>
      </c>
      <c r="D85" s="292">
        <v>2</v>
      </c>
      <c r="E85" s="293">
        <v>11142</v>
      </c>
      <c r="F85" s="294">
        <v>30714331082</v>
      </c>
      <c r="G85" s="295" t="str">
        <f>IFERROR(IF(compras_mes12[[#This Row],[CUIT]]="","-",VLOOKUP(compras_mes12[[#This Row],[CUIT]],Lista_CUIT[#All],2,0)),"CUIT NO CARGADO")</f>
        <v>ORTOPEDIA CASA ESCALADA SRL</v>
      </c>
      <c r="H85" s="592">
        <v>81488.509999999995</v>
      </c>
      <c r="I85" s="297">
        <f>IF(compras_mes12[[#This Row],[NETO GRAVADO]]="","",compras_mes12[[#This Row],[NETO GRAVADO]]*0.21)</f>
        <v>17112.587099999997</v>
      </c>
      <c r="J85" s="297"/>
      <c r="K85" s="297"/>
      <c r="L85" s="297"/>
      <c r="M85" s="297"/>
      <c r="N85" s="297"/>
      <c r="O85" s="297"/>
      <c r="P85" s="298">
        <f>SUM(compras_mes12[[#This Row],[NETO GRAVADO]:[Otros / No Grav.]])</f>
        <v>98601.097099999984</v>
      </c>
      <c r="Q85" s="299" t="str">
        <f>IFERROR(IF(compras_mes12[[#This Row],[CUIT]]="","-",VLOOKUP(compras_mes12[[#This Row],[CUIT]],Lista_CUIT[#All],3,0)),"CUIT NO CARGADO")</f>
        <v>Productos Ortopedicos</v>
      </c>
      <c r="R85" s="299">
        <f>IFERROR(IF(compras_mes12[[#This Row],[CUIT]]="","-",VLOOKUP(compras_mes12[[#This Row],[CUIT]],Lista_CUIT[#All],4,0)),"CUIT NO CARGADO")</f>
        <v>0</v>
      </c>
    </row>
    <row r="86" spans="2:18">
      <c r="B86" s="291">
        <v>45645</v>
      </c>
      <c r="C86" s="305">
        <v>1</v>
      </c>
      <c r="D86" s="292">
        <v>17</v>
      </c>
      <c r="E86" s="293">
        <v>2569</v>
      </c>
      <c r="F86" s="294">
        <v>30711764921</v>
      </c>
      <c r="G86" s="295" t="str">
        <f>IFERROR(IF(compras_mes12[[#This Row],[CUIT]]="","-",VLOOKUP(compras_mes12[[#This Row],[CUIT]],Lista_CUIT[#All],2,0)),"CUIT NO CARGADO")</f>
        <v>RELIEF CENTER SRL</v>
      </c>
      <c r="H86" s="592">
        <v>187885</v>
      </c>
      <c r="I86" s="297">
        <f>IF(compras_mes12[[#This Row],[NETO GRAVADO]]="","",compras_mes12[[#This Row],[NETO GRAVADO]]*0.21)</f>
        <v>39455.85</v>
      </c>
      <c r="J86" s="297"/>
      <c r="K86" s="297"/>
      <c r="L86" s="297"/>
      <c r="M86" s="297"/>
      <c r="N86" s="297"/>
      <c r="O86" s="297"/>
      <c r="P86" s="298">
        <f>SUM(compras_mes12[[#This Row],[NETO GRAVADO]:[Otros / No Grav.]])</f>
        <v>227340.85</v>
      </c>
      <c r="Q86" s="299" t="str">
        <f>IFERROR(IF(compras_mes12[[#This Row],[CUIT]]="","-",VLOOKUP(compras_mes12[[#This Row],[CUIT]],Lista_CUIT[#All],3,0)),"CUIT NO CARGADO")</f>
        <v>Productos Ortopedicos</v>
      </c>
      <c r="R86" s="299">
        <f>IFERROR(IF(compras_mes12[[#This Row],[CUIT]]="","-",VLOOKUP(compras_mes12[[#This Row],[CUIT]],Lista_CUIT[#All],4,0)),"CUIT NO CARGADO")</f>
        <v>0</v>
      </c>
    </row>
    <row r="87" spans="2:18">
      <c r="B87" s="291">
        <v>45646</v>
      </c>
      <c r="C87" s="305">
        <v>1</v>
      </c>
      <c r="D87" s="292">
        <v>11</v>
      </c>
      <c r="E87" s="293">
        <v>67962</v>
      </c>
      <c r="F87" s="294">
        <v>30711091552</v>
      </c>
      <c r="G87" s="295" t="str">
        <f>IFERROR(IF(compras_mes12[[#This Row],[CUIT]]="","-",VLOOKUP(compras_mes12[[#This Row],[CUIT]],Lista_CUIT[#All],2,0)),"CUIT NO CARGADO")</f>
        <v>BIGBOX S.A.</v>
      </c>
      <c r="H87" s="592">
        <v>140909.09</v>
      </c>
      <c r="I87" s="297">
        <f>IF(compras_mes12[[#This Row],[NETO GRAVADO]]="","",compras_mes12[[#This Row],[NETO GRAVADO]]*0.21)</f>
        <v>29590.908899999999</v>
      </c>
      <c r="J87" s="297"/>
      <c r="K87" s="297"/>
      <c r="L87" s="297"/>
      <c r="M87" s="297"/>
      <c r="N87" s="297"/>
      <c r="O87" s="297"/>
      <c r="P87" s="48">
        <f>SUM(compras_mes12[[#This Row],[NETO GRAVADO]:[Otros / No Grav.]])</f>
        <v>170499.99890000001</v>
      </c>
      <c r="Q87" s="49" t="str">
        <f>IFERROR(IF(compras_mes12[[#This Row],[CUIT]]="","-",VLOOKUP(compras_mes12[[#This Row],[CUIT]],Lista_CUIT[#All],3,0)),"CUIT NO CARGADO")</f>
        <v>Productos Ortopedicos</v>
      </c>
      <c r="R87" s="49">
        <f>IFERROR(IF(compras_mes12[[#This Row],[CUIT]]="","-",VLOOKUP(compras_mes12[[#This Row],[CUIT]],Lista_CUIT[#All],4,0)),"CUIT NO CARGADO")</f>
        <v>0</v>
      </c>
    </row>
    <row r="88" spans="2:18" s="450" customFormat="1">
      <c r="B88" s="291">
        <v>45649</v>
      </c>
      <c r="C88" s="305">
        <v>1</v>
      </c>
      <c r="D88" s="292">
        <v>7</v>
      </c>
      <c r="E88" s="293">
        <v>19809</v>
      </c>
      <c r="F88" s="294">
        <v>30709214078</v>
      </c>
      <c r="G88" s="295" t="str">
        <f>IFERROR(IF(compras_mes12[[#This Row],[CUIT]]="","-",VLOOKUP(compras_mes12[[#This Row],[CUIT]],Lista_CUIT[#All],2,0)),"CUIT NO CARGADO")</f>
        <v>REHAVITA S.A</v>
      </c>
      <c r="H88" s="592">
        <v>151800</v>
      </c>
      <c r="I88" s="297"/>
      <c r="J88" s="297"/>
      <c r="K88" s="297">
        <f>compras_mes12[[#This Row],[NETO GRAVADO]]*10.5/100</f>
        <v>15939</v>
      </c>
      <c r="L88" s="297"/>
      <c r="M88" s="297"/>
      <c r="N88" s="297"/>
      <c r="O88" s="297"/>
      <c r="P88" s="298">
        <f>SUM(compras_mes12[[#This Row],[NETO GRAVADO]:[Otros / No Grav.]])</f>
        <v>167739</v>
      </c>
      <c r="Q88" s="299" t="str">
        <f>IFERROR(IF(compras_mes12[[#This Row],[CUIT]]="","-",VLOOKUP(compras_mes12[[#This Row],[CUIT]],Lista_CUIT[#All],3,0)),"CUIT NO CARGADO")</f>
        <v>Productos Ortopedicos</v>
      </c>
      <c r="R88" s="299">
        <f>IFERROR(IF(compras_mes12[[#This Row],[CUIT]]="","-",VLOOKUP(compras_mes12[[#This Row],[CUIT]],Lista_CUIT[#All],4,0)),"CUIT NO CARGADO")</f>
        <v>0</v>
      </c>
    </row>
    <row r="89" spans="2:18">
      <c r="B89" s="291">
        <v>45649</v>
      </c>
      <c r="C89" s="305">
        <v>1</v>
      </c>
      <c r="D89" s="292">
        <v>5</v>
      </c>
      <c r="E89" s="293">
        <v>1411</v>
      </c>
      <c r="F89" s="294">
        <v>27265302225</v>
      </c>
      <c r="G89" s="295" t="str">
        <f>IFERROR(IF(compras_mes12[[#This Row],[CUIT]]="","-",VLOOKUP(compras_mes12[[#This Row],[CUIT]],Lista_CUIT[#All],2,0)),"CUIT NO CARGADO")</f>
        <v>PRADO MARISOL</v>
      </c>
      <c r="H89" s="592">
        <v>650000</v>
      </c>
      <c r="I89" s="297">
        <f>IF(compras_mes12[[#This Row],[NETO GRAVADO]]="","",compras_mes12[[#This Row],[NETO GRAVADO]]*0.21)</f>
        <v>136500</v>
      </c>
      <c r="J89" s="297"/>
      <c r="K89" s="297"/>
      <c r="L89" s="297"/>
      <c r="M89" s="297"/>
      <c r="N89" s="297"/>
      <c r="O89" s="297"/>
      <c r="P89" s="298">
        <f>SUM(compras_mes12[[#This Row],[NETO GRAVADO]:[Otros / No Grav.]])</f>
        <v>786500</v>
      </c>
      <c r="Q89" s="299" t="str">
        <f>IFERROR(IF(compras_mes12[[#This Row],[CUIT]]="","-",VLOOKUP(compras_mes12[[#This Row],[CUIT]],Lista_CUIT[#All],3,0)),"CUIT NO CARGADO")</f>
        <v>Productos Ortopedicos</v>
      </c>
      <c r="R89" s="299">
        <f>IFERROR(IF(compras_mes12[[#This Row],[CUIT]]="","-",VLOOKUP(compras_mes12[[#This Row],[CUIT]],Lista_CUIT[#All],4,0)),"CUIT NO CARGADO")</f>
        <v>0</v>
      </c>
    </row>
    <row r="90" spans="2:18">
      <c r="B90" s="291">
        <v>45650</v>
      </c>
      <c r="C90" s="305">
        <v>1</v>
      </c>
      <c r="D90" s="292">
        <v>11</v>
      </c>
      <c r="E90" s="293">
        <v>68685</v>
      </c>
      <c r="F90" s="294">
        <v>30711091552</v>
      </c>
      <c r="G90" s="295" t="str">
        <f>IFERROR(IF(compras_mes12[[#This Row],[CUIT]]="","-",VLOOKUP(compras_mes12[[#This Row],[CUIT]],Lista_CUIT[#All],2,0)),"CUIT NO CARGADO")</f>
        <v>BIGBOX S.A.</v>
      </c>
      <c r="H90" s="592">
        <v>221280.98</v>
      </c>
      <c r="I90" s="297">
        <f>IF(compras_mes12[[#This Row],[NETO GRAVADO]]="","",compras_mes12[[#This Row],[NETO GRAVADO]]*0.21)</f>
        <v>46469.005799999999</v>
      </c>
      <c r="J90" s="297"/>
      <c r="K90" s="297"/>
      <c r="L90" s="297"/>
      <c r="M90" s="297"/>
      <c r="N90" s="297"/>
      <c r="O90" s="297"/>
      <c r="P90" s="298">
        <f>SUM(compras_mes12[[#This Row],[NETO GRAVADO]:[Otros / No Grav.]])</f>
        <v>267749.98580000002</v>
      </c>
      <c r="Q90" s="299" t="str">
        <f>IFERROR(IF(compras_mes12[[#This Row],[CUIT]]="","-",VLOOKUP(compras_mes12[[#This Row],[CUIT]],Lista_CUIT[#All],3,0)),"CUIT NO CARGADO")</f>
        <v>Productos Ortopedicos</v>
      </c>
      <c r="R90" s="299">
        <f>IFERROR(IF(compras_mes12[[#This Row],[CUIT]]="","-",VLOOKUP(compras_mes12[[#This Row],[CUIT]],Lista_CUIT[#All],4,0)),"CUIT NO CARGADO")</f>
        <v>0</v>
      </c>
    </row>
    <row r="91" spans="2:18">
      <c r="B91" s="291">
        <v>45653</v>
      </c>
      <c r="C91" s="305">
        <v>1</v>
      </c>
      <c r="D91" s="292">
        <v>4</v>
      </c>
      <c r="E91" s="293">
        <v>20128</v>
      </c>
      <c r="F91" s="294">
        <v>30504854023</v>
      </c>
      <c r="G91" s="295" t="str">
        <f>IFERROR(IF(compras_mes12[[#This Row],[CUIT]]="","-",VLOOKUP(compras_mes12[[#This Row],[CUIT]],Lista_CUIT[#All],2,0)),"CUIT NO CARGADO")</f>
        <v xml:space="preserve">NYLTEF SAICFI </v>
      </c>
      <c r="H91" s="592">
        <v>73570</v>
      </c>
      <c r="I91" s="297">
        <f>IF(compras_mes12[[#This Row],[NETO GRAVADO]]="","",compras_mes12[[#This Row],[NETO GRAVADO]]*0.21)</f>
        <v>15449.699999999999</v>
      </c>
      <c r="J91" s="297"/>
      <c r="K91" s="297"/>
      <c r="L91" s="297"/>
      <c r="M91" s="297"/>
      <c r="N91" s="297">
        <v>2942.8</v>
      </c>
      <c r="O91" s="297"/>
      <c r="P91" s="298">
        <f>SUM(compras_mes12[[#This Row],[NETO GRAVADO]:[Otros / No Grav.]])</f>
        <v>91962.5</v>
      </c>
      <c r="Q91" s="299" t="str">
        <f>IFERROR(IF(compras_mes12[[#This Row],[CUIT]]="","-",VLOOKUP(compras_mes12[[#This Row],[CUIT]],Lista_CUIT[#All],3,0)),"CUIT NO CARGADO")</f>
        <v>Productos Ortopedicos</v>
      </c>
      <c r="R91" s="299">
        <f>IFERROR(IF(compras_mes12[[#This Row],[CUIT]]="","-",VLOOKUP(compras_mes12[[#This Row],[CUIT]],Lista_CUIT[#All],4,0)),"CUIT NO CARGADO")</f>
        <v>0</v>
      </c>
    </row>
    <row r="92" spans="2:18">
      <c r="B92" s="291">
        <v>45656</v>
      </c>
      <c r="C92" s="305">
        <v>1</v>
      </c>
      <c r="D92" s="292">
        <v>3</v>
      </c>
      <c r="E92" s="293">
        <v>3964</v>
      </c>
      <c r="F92" s="294">
        <v>20182721787</v>
      </c>
      <c r="G92" s="295" t="str">
        <f>IFERROR(IF(compras_mes12[[#This Row],[CUIT]]="","-",VLOOKUP(compras_mes12[[#This Row],[CUIT]],Lista_CUIT[#All],2,0)),"CUIT NO CARGADO")</f>
        <v>CARLOS DANIEL QUIROZ</v>
      </c>
      <c r="H92" s="592">
        <v>44628.29</v>
      </c>
      <c r="I92" s="297">
        <f>IF(compras_mes12[[#This Row],[NETO GRAVADO]]="","",compras_mes12[[#This Row],[NETO GRAVADO]]*0.21)</f>
        <v>9371.9408999999996</v>
      </c>
      <c r="J92" s="297"/>
      <c r="K92" s="297"/>
      <c r="L92" s="297"/>
      <c r="M92" s="297"/>
      <c r="N92" s="297"/>
      <c r="O92" s="297"/>
      <c r="P92" s="298">
        <f>SUM(compras_mes12[[#This Row],[NETO GRAVADO]:[Otros / No Grav.]])</f>
        <v>54000.230900000002</v>
      </c>
      <c r="Q92" s="299" t="str">
        <f>IFERROR(IF(compras_mes12[[#This Row],[CUIT]]="","-",VLOOKUP(compras_mes12[[#This Row],[CUIT]],Lista_CUIT[#All],3,0)),"CUIT NO CARGADO")</f>
        <v>Productos Ortopedicos</v>
      </c>
      <c r="R92" s="299">
        <f>IFERROR(IF(compras_mes12[[#This Row],[CUIT]]="","-",VLOOKUP(compras_mes12[[#This Row],[CUIT]],Lista_CUIT[#All],4,0)),"CUIT NO CARGADO")</f>
        <v>0</v>
      </c>
    </row>
    <row r="93" spans="2:18">
      <c r="B93" s="291">
        <v>45630</v>
      </c>
      <c r="C93" s="305">
        <v>3</v>
      </c>
      <c r="D93" s="292">
        <v>4</v>
      </c>
      <c r="E93" s="293">
        <v>3139</v>
      </c>
      <c r="F93" s="294">
        <v>20289111329</v>
      </c>
      <c r="G93" s="295" t="str">
        <f>IFERROR(IF(compras_mes12[[#This Row],[CUIT]]="","-",VLOOKUP(compras_mes12[[#This Row],[CUIT]],Lista_CUIT[#All],2,0)),"CUIT NO CARGADO")</f>
        <v>R. N. LEDESMA</v>
      </c>
      <c r="H93" s="592">
        <v>-727465.05</v>
      </c>
      <c r="I93" s="297">
        <f>IF(compras_mes12[[#This Row],[NETO GRAVADO]]="","",compras_mes12[[#This Row],[NETO GRAVADO]]*0.21)</f>
        <v>-152767.6605</v>
      </c>
      <c r="J93" s="297"/>
      <c r="K93" s="297"/>
      <c r="L93" s="297"/>
      <c r="M93" s="297"/>
      <c r="N93" s="297"/>
      <c r="O93" s="297"/>
      <c r="P93" s="298">
        <f>SUM(compras_mes12[[#This Row],[NETO GRAVADO]:[Otros / No Grav.]])</f>
        <v>-880232.71050000004</v>
      </c>
      <c r="Q93" s="299" t="str">
        <f>IFERROR(IF(compras_mes12[[#This Row],[CUIT]]="","-",VLOOKUP(compras_mes12[[#This Row],[CUIT]],Lista_CUIT[#All],3,0)),"CUIT NO CARGADO")</f>
        <v>Productos Ortopedicos</v>
      </c>
      <c r="R93" s="299">
        <f>IFERROR(IF(compras_mes12[[#This Row],[CUIT]]="","-",VLOOKUP(compras_mes12[[#This Row],[CUIT]],Lista_CUIT[#All],4,0)),"CUIT NO CARGADO")</f>
        <v>0</v>
      </c>
    </row>
    <row r="94" spans="2:18">
      <c r="B94" s="291">
        <v>45631</v>
      </c>
      <c r="C94" s="305">
        <v>3</v>
      </c>
      <c r="D94" s="292">
        <v>7</v>
      </c>
      <c r="E94" s="293">
        <v>1322</v>
      </c>
      <c r="F94" s="294">
        <v>30709214078</v>
      </c>
      <c r="G94" s="295" t="str">
        <f>IFERROR(IF(compras_mes12[[#This Row],[CUIT]]="","-",VLOOKUP(compras_mes12[[#This Row],[CUIT]],Lista_CUIT[#All],2,0)),"CUIT NO CARGADO")</f>
        <v>REHAVITA S.A</v>
      </c>
      <c r="H94" s="592">
        <v>-59820</v>
      </c>
      <c r="I94" s="297">
        <f>IF(compras_mes12[[#This Row],[NETO GRAVADO]]="","",compras_mes12[[#This Row],[NETO GRAVADO]]*0.21)</f>
        <v>-12562.199999999999</v>
      </c>
      <c r="J94" s="297"/>
      <c r="K94" s="297"/>
      <c r="L94" s="297"/>
      <c r="M94" s="297"/>
      <c r="N94" s="297"/>
      <c r="O94" s="297"/>
      <c r="P94" s="298">
        <f>SUM(compras_mes12[[#This Row],[NETO GRAVADO]:[Otros / No Grav.]])</f>
        <v>-72382.2</v>
      </c>
      <c r="Q94" s="299" t="str">
        <f>IFERROR(IF(compras_mes12[[#This Row],[CUIT]]="","-",VLOOKUP(compras_mes12[[#This Row],[CUIT]],Lista_CUIT[#All],3,0)),"CUIT NO CARGADO")</f>
        <v>Productos Ortopedicos</v>
      </c>
      <c r="R94" s="299">
        <f>IFERROR(IF(compras_mes12[[#This Row],[CUIT]]="","-",VLOOKUP(compras_mes12[[#This Row],[CUIT]],Lista_CUIT[#All],4,0)),"CUIT NO CARGADO")</f>
        <v>0</v>
      </c>
    </row>
    <row r="95" spans="2:18">
      <c r="B95" s="291">
        <v>45644</v>
      </c>
      <c r="C95" s="305">
        <v>3</v>
      </c>
      <c r="D95" s="292">
        <v>17</v>
      </c>
      <c r="E95" s="293">
        <v>701</v>
      </c>
      <c r="F95" s="294">
        <v>30661143610</v>
      </c>
      <c r="G95" s="295" t="str">
        <f>IFERROR(IF(compras_mes12[[#This Row],[CUIT]]="","-",VLOOKUP(compras_mes12[[#This Row],[CUIT]],Lista_CUIT[#All],2,0)),"CUIT NO CARGADO")</f>
        <v>ORTOPEDIA BERNAT SRL</v>
      </c>
      <c r="H95" s="592">
        <v>-1328690</v>
      </c>
      <c r="I95" s="297">
        <f>IF(compras_mes12[[#This Row],[NETO GRAVADO]]="","",compras_mes12[[#This Row],[NETO GRAVADO]]*0.21)</f>
        <v>-279024.89999999997</v>
      </c>
      <c r="J95" s="297"/>
      <c r="K95" s="297"/>
      <c r="L95" s="297"/>
      <c r="M95" s="297"/>
      <c r="N95" s="297"/>
      <c r="O95" s="297"/>
      <c r="P95" s="298">
        <f>SUM(compras_mes12[[#This Row],[NETO GRAVADO]:[Otros / No Grav.]])</f>
        <v>-1607714.9</v>
      </c>
      <c r="Q95" s="299" t="str">
        <f>IFERROR(IF(compras_mes12[[#This Row],[CUIT]]="","-",VLOOKUP(compras_mes12[[#This Row],[CUIT]],Lista_CUIT[#All],3,0)),"CUIT NO CARGADO")</f>
        <v>Productos Ortopedicos</v>
      </c>
      <c r="R95" s="299">
        <f>IFERROR(IF(compras_mes12[[#This Row],[CUIT]]="","-",VLOOKUP(compras_mes12[[#This Row],[CUIT]],Lista_CUIT[#All],4,0)),"CUIT NO CARGADO")</f>
        <v>0</v>
      </c>
    </row>
    <row r="96" spans="2:18">
      <c r="B96" s="291">
        <v>45629</v>
      </c>
      <c r="C96" s="305">
        <v>1</v>
      </c>
      <c r="D96" s="292">
        <v>1</v>
      </c>
      <c r="E96" s="293">
        <v>5589</v>
      </c>
      <c r="F96" s="294">
        <v>30715141201</v>
      </c>
      <c r="G96" s="295" t="str">
        <f>IFERROR(IF(compras_mes12[[#This Row],[CUIT]]="","-",VLOOKUP(compras_mes12[[#This Row],[CUIT]],Lista_CUIT[#All],2,0)),"CUIT NO CARGADO")</f>
        <v>REHAB S.R.L.</v>
      </c>
      <c r="H96" s="592">
        <v>139185</v>
      </c>
      <c r="I96" s="297">
        <f>IF(compras_mes12[[#This Row],[NETO GRAVADO]]="","",compras_mes12[[#This Row],[NETO GRAVADO]]*0.21)</f>
        <v>29228.85</v>
      </c>
      <c r="J96" s="297"/>
      <c r="K96" s="297"/>
      <c r="L96" s="297"/>
      <c r="M96" s="297"/>
      <c r="N96" s="297"/>
      <c r="O96" s="297"/>
      <c r="P96" s="298">
        <f>SUM(compras_mes12[[#This Row],[NETO GRAVADO]:[Otros / No Grav.]])</f>
        <v>168413.85</v>
      </c>
      <c r="Q96" s="299" t="str">
        <f>IFERROR(IF(compras_mes12[[#This Row],[CUIT]]="","-",VLOOKUP(compras_mes12[[#This Row],[CUIT]],Lista_CUIT[#All],3,0)),"CUIT NO CARGADO")</f>
        <v>Productos Ortopedicos</v>
      </c>
      <c r="R96" s="299">
        <f>IFERROR(IF(compras_mes12[[#This Row],[CUIT]]="","-",VLOOKUP(compras_mes12[[#This Row],[CUIT]],Lista_CUIT[#All],4,0)),"CUIT NO CARGADO")</f>
        <v>0</v>
      </c>
    </row>
    <row r="97" spans="2:18">
      <c r="B97" s="291">
        <v>45644</v>
      </c>
      <c r="C97" s="305">
        <v>1</v>
      </c>
      <c r="D97" s="292">
        <v>1</v>
      </c>
      <c r="E97" s="293">
        <v>5748</v>
      </c>
      <c r="F97" s="294">
        <v>30715141201</v>
      </c>
      <c r="G97" s="295" t="str">
        <f>IFERROR(IF(compras_mes12[[#This Row],[CUIT]]="","-",VLOOKUP(compras_mes12[[#This Row],[CUIT]],Lista_CUIT[#All],2,0)),"CUIT NO CARGADO")</f>
        <v>REHAB S.R.L.</v>
      </c>
      <c r="H97" s="592">
        <v>166140</v>
      </c>
      <c r="I97" s="297">
        <f>IF(compras_mes12[[#This Row],[NETO GRAVADO]]="","",compras_mes12[[#This Row],[NETO GRAVADO]]*0.21)</f>
        <v>34889.4</v>
      </c>
      <c r="J97" s="297"/>
      <c r="K97" s="297"/>
      <c r="L97" s="297"/>
      <c r="M97" s="297"/>
      <c r="N97" s="297"/>
      <c r="O97" s="297"/>
      <c r="P97" s="48">
        <f>SUM(compras_mes12[[#This Row],[NETO GRAVADO]:[Otros / No Grav.]])</f>
        <v>201029.4</v>
      </c>
      <c r="Q97" s="49" t="str">
        <f>IFERROR(IF(compras_mes12[[#This Row],[CUIT]]="","-",VLOOKUP(compras_mes12[[#This Row],[CUIT]],Lista_CUIT[#All],3,0)),"CUIT NO CARGADO")</f>
        <v>Productos Ortopedicos</v>
      </c>
      <c r="R97" s="49">
        <f>IFERROR(IF(compras_mes12[[#This Row],[CUIT]]="","-",VLOOKUP(compras_mes12[[#This Row],[CUIT]],Lista_CUIT[#All],4,0)),"CUIT NO CARGADO")</f>
        <v>0</v>
      </c>
    </row>
    <row r="98" spans="2:18">
      <c r="B98" s="291">
        <v>45652</v>
      </c>
      <c r="C98" s="305">
        <v>1</v>
      </c>
      <c r="D98" s="292">
        <v>1</v>
      </c>
      <c r="E98" s="293">
        <v>5823</v>
      </c>
      <c r="F98" s="294">
        <v>30715141201</v>
      </c>
      <c r="G98" s="295" t="str">
        <f>IFERROR(IF(compras_mes12[[#This Row],[CUIT]]="","-",VLOOKUP(compras_mes12[[#This Row],[CUIT]],Lista_CUIT[#All],2,0)),"CUIT NO CARGADO")</f>
        <v>REHAB S.R.L.</v>
      </c>
      <c r="H98" s="592">
        <v>684140.63</v>
      </c>
      <c r="I98" s="297">
        <f>IF(compras_mes12[[#This Row],[NETO GRAVADO]]="","",compras_mes12[[#This Row],[NETO GRAVADO]]*0.21)</f>
        <v>143669.53229999999</v>
      </c>
      <c r="J98" s="297"/>
      <c r="K98" s="297"/>
      <c r="L98" s="297"/>
      <c r="M98" s="297"/>
      <c r="N98" s="297"/>
      <c r="O98" s="297"/>
      <c r="P98" s="298">
        <f>SUM(compras_mes12[[#This Row],[NETO GRAVADO]:[Otros / No Grav.]])</f>
        <v>827810.16229999997</v>
      </c>
      <c r="Q98" s="299" t="str">
        <f>IFERROR(IF(compras_mes12[[#This Row],[CUIT]]="","-",VLOOKUP(compras_mes12[[#This Row],[CUIT]],Lista_CUIT[#All],3,0)),"CUIT NO CARGADO")</f>
        <v>Productos Ortopedicos</v>
      </c>
      <c r="R98" s="299">
        <f>IFERROR(IF(compras_mes12[[#This Row],[CUIT]]="","-",VLOOKUP(compras_mes12[[#This Row],[CUIT]],Lista_CUIT[#All],4,0)),"CUIT NO CARGADO")</f>
        <v>0</v>
      </c>
    </row>
    <row r="99" spans="2:18">
      <c r="B99" s="291">
        <v>45652</v>
      </c>
      <c r="C99" s="305">
        <v>1</v>
      </c>
      <c r="D99" s="292">
        <v>1</v>
      </c>
      <c r="E99" s="293">
        <v>5849</v>
      </c>
      <c r="F99" s="294">
        <v>30715141201</v>
      </c>
      <c r="G99" s="295" t="str">
        <f>IFERROR(IF(compras_mes12[[#This Row],[CUIT]]="","-",VLOOKUP(compras_mes12[[#This Row],[CUIT]],Lista_CUIT[#All],2,0)),"CUIT NO CARGADO")</f>
        <v>REHAB S.R.L.</v>
      </c>
      <c r="H99" s="592">
        <v>2085611.17</v>
      </c>
      <c r="I99" s="297">
        <f>IF(compras_mes12[[#This Row],[NETO GRAVADO]]="","",compras_mes12[[#This Row],[NETO GRAVADO]]*0.21)</f>
        <v>437978.34569999995</v>
      </c>
      <c r="J99" s="297"/>
      <c r="K99" s="297"/>
      <c r="L99" s="297"/>
      <c r="M99" s="297"/>
      <c r="N99" s="297"/>
      <c r="O99" s="297"/>
      <c r="P99" s="298">
        <f>SUM(compras_mes12[[#This Row],[NETO GRAVADO]:[Otros / No Grav.]])</f>
        <v>2523589.5156999999</v>
      </c>
      <c r="Q99" s="299" t="str">
        <f>IFERROR(IF(compras_mes12[[#This Row],[CUIT]]="","-",VLOOKUP(compras_mes12[[#This Row],[CUIT]],Lista_CUIT[#All],3,0)),"CUIT NO CARGADO")</f>
        <v>Productos Ortopedicos</v>
      </c>
      <c r="R99" s="299">
        <f>IFERROR(IF(compras_mes12[[#This Row],[CUIT]]="","-",VLOOKUP(compras_mes12[[#This Row],[CUIT]],Lista_CUIT[#All],4,0)),"CUIT NO CARGADO")</f>
        <v>0</v>
      </c>
    </row>
    <row r="100" spans="2:18" s="450" customFormat="1">
      <c r="B100" s="291">
        <v>45636</v>
      </c>
      <c r="C100" s="305">
        <v>1</v>
      </c>
      <c r="D100" s="292">
        <v>3</v>
      </c>
      <c r="E100" s="293">
        <v>47165</v>
      </c>
      <c r="F100" s="294">
        <v>30711454388</v>
      </c>
      <c r="G100" s="295" t="str">
        <f>IFERROR(IF(compras_mes12[[#This Row],[CUIT]]="","-",VLOOKUP(compras_mes12[[#This Row],[CUIT]],Lista_CUIT[#All],2,0)),"CUIT NO CARGADO")</f>
        <v>LIPROT S.R.L.</v>
      </c>
      <c r="H100" s="592">
        <v>272569.92</v>
      </c>
      <c r="I100" s="297">
        <f>IF(compras_mes12[[#This Row],[NETO GRAVADO]]="","",compras_mes12[[#This Row],[NETO GRAVADO]]*0.21)</f>
        <v>57239.683199999992</v>
      </c>
      <c r="J100" s="297"/>
      <c r="K100" s="297"/>
      <c r="L100" s="297"/>
      <c r="M100" s="297"/>
      <c r="N100" s="297"/>
      <c r="O100" s="297"/>
      <c r="P100" s="298">
        <f>SUM(compras_mes12[[#This Row],[NETO GRAVADO]:[Otros / No Grav.]])</f>
        <v>329809.60319999995</v>
      </c>
      <c r="Q100" s="299" t="str">
        <f>IFERROR(IF(compras_mes12[[#This Row],[CUIT]]="","-",VLOOKUP(compras_mes12[[#This Row],[CUIT]],Lista_CUIT[#All],3,0)),"CUIT NO CARGADO")</f>
        <v>Productos Ortopedicos</v>
      </c>
      <c r="R100" s="299">
        <f>IFERROR(IF(compras_mes12[[#This Row],[CUIT]]="","-",VLOOKUP(compras_mes12[[#This Row],[CUIT]],Lista_CUIT[#All],4,0)),"CUIT NO CARGADO")</f>
        <v>0</v>
      </c>
    </row>
    <row r="101" spans="2:18" s="450" customFormat="1">
      <c r="B101" s="291">
        <v>45646</v>
      </c>
      <c r="C101" s="305">
        <v>1</v>
      </c>
      <c r="D101" s="292">
        <v>3</v>
      </c>
      <c r="E101" s="293">
        <v>25</v>
      </c>
      <c r="F101" s="294">
        <v>20216164262</v>
      </c>
      <c r="G101" s="295" t="str">
        <f>IFERROR(IF(compras_mes12[[#This Row],[CUIT]]="","-",VLOOKUP(compras_mes12[[#This Row],[CUIT]],Lista_CUIT[#All],2,0)),"CUIT NO CARGADO")</f>
        <v>VELEZ ALEJANDRO MARCELO</v>
      </c>
      <c r="H101" s="592">
        <v>727272.71</v>
      </c>
      <c r="I101" s="297">
        <f>IF(compras_mes12[[#This Row],[NETO GRAVADO]]="","",compras_mes12[[#This Row],[NETO GRAVADO]]*0.21)</f>
        <v>152727.26909999998</v>
      </c>
      <c r="J101" s="297"/>
      <c r="K101" s="297"/>
      <c r="L101" s="297"/>
      <c r="M101" s="297"/>
      <c r="N101" s="297"/>
      <c r="O101" s="297"/>
      <c r="P101" s="48">
        <f>SUM(compras_mes12[[#This Row],[NETO GRAVADO]:[Otros / No Grav.]])</f>
        <v>879999.97909999988</v>
      </c>
      <c r="Q101" s="299" t="str">
        <f>IFERROR(IF(compras_mes12[[#This Row],[CUIT]]="","-",VLOOKUP(compras_mes12[[#This Row],[CUIT]],Lista_CUIT[#All],3,0)),"CUIT NO CARGADO")</f>
        <v>Productos Ortopedicos</v>
      </c>
      <c r="R101" s="299">
        <f>IFERROR(IF(compras_mes12[[#This Row],[CUIT]]="","-",VLOOKUP(compras_mes12[[#This Row],[CUIT]],Lista_CUIT[#All],4,0)),"CUIT NO CARGADO")</f>
        <v>0</v>
      </c>
    </row>
    <row r="102" spans="2:18">
      <c r="B102" s="291">
        <v>45631</v>
      </c>
      <c r="C102" s="305">
        <v>1</v>
      </c>
      <c r="D102" s="292">
        <v>2</v>
      </c>
      <c r="E102" s="293">
        <v>963</v>
      </c>
      <c r="F102" s="294">
        <v>20272865869</v>
      </c>
      <c r="G102" s="295" t="str">
        <f>IFERROR(IF(compras_mes12[[#This Row],[CUIT]]="","-",VLOOKUP(compras_mes12[[#This Row],[CUIT]],Lista_CUIT[#All],2,0)),"CUIT NO CARGADO")</f>
        <v>DI FEO MARTIN EZEQUIEL</v>
      </c>
      <c r="H102" s="592">
        <v>93200.04</v>
      </c>
      <c r="I102" s="297">
        <f>IF(compras_mes12[[#This Row],[NETO GRAVADO]]="","",compras_mes12[[#This Row],[NETO GRAVADO]]*0.21)</f>
        <v>19572.008399999999</v>
      </c>
      <c r="J102" s="297"/>
      <c r="K102" s="297"/>
      <c r="L102" s="297"/>
      <c r="M102" s="297"/>
      <c r="N102" s="297"/>
      <c r="O102" s="297"/>
      <c r="P102" s="48">
        <f>SUM(compras_mes12[[#This Row],[NETO GRAVADO]:[Otros / No Grav.]])</f>
        <v>112772.0484</v>
      </c>
      <c r="Q102" s="49" t="str">
        <f>IFERROR(IF(compras_mes12[[#This Row],[CUIT]]="","-",VLOOKUP(compras_mes12[[#This Row],[CUIT]],Lista_CUIT[#All],3,0)),"CUIT NO CARGADO")</f>
        <v>Productos Ortopedicos</v>
      </c>
      <c r="R102" s="49">
        <f>IFERROR(IF(compras_mes12[[#This Row],[CUIT]]="","-",VLOOKUP(compras_mes12[[#This Row],[CUIT]],Lista_CUIT[#All],4,0)),"CUIT NO CARGADO")</f>
        <v>0</v>
      </c>
    </row>
    <row r="103" spans="2:18">
      <c r="B103" s="291">
        <v>45635</v>
      </c>
      <c r="C103" s="305">
        <v>1</v>
      </c>
      <c r="D103" s="292">
        <v>8</v>
      </c>
      <c r="E103" s="293">
        <v>350</v>
      </c>
      <c r="F103" s="294">
        <v>30643518364</v>
      </c>
      <c r="G103" s="295" t="str">
        <f>IFERROR(IF(compras_mes12[[#This Row],[CUIT]]="","-",VLOOKUP(compras_mes12[[#This Row],[CUIT]],Lista_CUIT[#All],2,0)),"CUIT NO CARGADO")</f>
        <v>FARMACIA DE MEDRANO SCS</v>
      </c>
      <c r="H103" s="592">
        <v>461140</v>
      </c>
      <c r="I103" s="297">
        <f>IF(compras_mes12[[#This Row],[NETO GRAVADO]]="","",compras_mes12[[#This Row],[NETO GRAVADO]]*0.21)</f>
        <v>96839.4</v>
      </c>
      <c r="J103" s="297"/>
      <c r="K103" s="297"/>
      <c r="L103" s="297"/>
      <c r="M103" s="297"/>
      <c r="N103" s="297"/>
      <c r="O103" s="297"/>
      <c r="P103" s="298">
        <f>SUM(compras_mes12[[#This Row],[NETO GRAVADO]:[Otros / No Grav.]])</f>
        <v>557979.4</v>
      </c>
      <c r="Q103" s="299" t="str">
        <f>IFERROR(IF(compras_mes12[[#This Row],[CUIT]]="","-",VLOOKUP(compras_mes12[[#This Row],[CUIT]],Lista_CUIT[#All],3,0)),"CUIT NO CARGADO")</f>
        <v>Productos Ortopedicos</v>
      </c>
      <c r="R103" s="299">
        <f>IFERROR(IF(compras_mes12[[#This Row],[CUIT]]="","-",VLOOKUP(compras_mes12[[#This Row],[CUIT]],Lista_CUIT[#All],4,0)),"CUIT NO CARGADO")</f>
        <v>0</v>
      </c>
    </row>
    <row r="104" spans="2:18">
      <c r="B104" s="291">
        <v>45639</v>
      </c>
      <c r="C104" s="305">
        <v>1</v>
      </c>
      <c r="D104" s="292">
        <v>8</v>
      </c>
      <c r="E104" s="293">
        <v>1728</v>
      </c>
      <c r="F104" s="294">
        <v>30708973501</v>
      </c>
      <c r="G104" s="295" t="str">
        <f>IFERROR(IF(compras_mes12[[#This Row],[CUIT]]="","-",VLOOKUP(compras_mes12[[#This Row],[CUIT]],Lista_CUIT[#All],2,0)),"CUIT NO CARGADO")</f>
        <v>ASIAL SRL</v>
      </c>
      <c r="H104" s="592">
        <v>728960</v>
      </c>
      <c r="I104" s="297">
        <f>IF(compras_mes12[[#This Row],[NETO GRAVADO]]="","",compras_mes12[[#This Row],[NETO GRAVADO]]*0.21)</f>
        <v>153081.60000000001</v>
      </c>
      <c r="J104" s="297"/>
      <c r="K104" s="297"/>
      <c r="L104" s="297"/>
      <c r="M104" s="297"/>
      <c r="N104" s="297"/>
      <c r="O104" s="297"/>
      <c r="P104" s="48">
        <f>SUM(compras_mes12[[#This Row],[NETO GRAVADO]:[Otros / No Grav.]])</f>
        <v>882041.6</v>
      </c>
      <c r="Q104" s="299" t="str">
        <f>IFERROR(IF(compras_mes12[[#This Row],[CUIT]]="","-",VLOOKUP(compras_mes12[[#This Row],[CUIT]],Lista_CUIT[#All],3,0)),"CUIT NO CARGADO")</f>
        <v>Productos Ortopedicos</v>
      </c>
      <c r="R104" s="299">
        <f>IFERROR(IF(compras_mes12[[#This Row],[CUIT]]="","-",VLOOKUP(compras_mes12[[#This Row],[CUIT]],Lista_CUIT[#All],4,0)),"CUIT NO CARGADO")</f>
        <v>0</v>
      </c>
    </row>
    <row r="105" spans="2:18">
      <c r="B105" s="291">
        <v>45645</v>
      </c>
      <c r="C105" s="305">
        <v>1</v>
      </c>
      <c r="D105" s="292">
        <v>2</v>
      </c>
      <c r="E105" s="293">
        <v>996</v>
      </c>
      <c r="F105" s="294">
        <v>20272865869</v>
      </c>
      <c r="G105" s="295" t="str">
        <f>IFERROR(IF(compras_mes12[[#This Row],[CUIT]]="","-",VLOOKUP(compras_mes12[[#This Row],[CUIT]],Lista_CUIT[#All],2,0)),"CUIT NO CARGADO")</f>
        <v>DI FEO MARTIN EZEQUIEL</v>
      </c>
      <c r="H105" s="592">
        <v>38000</v>
      </c>
      <c r="I105" s="297">
        <f>IF(compras_mes12[[#This Row],[NETO GRAVADO]]="","",compras_mes12[[#This Row],[NETO GRAVADO]]*0.21)</f>
        <v>7980</v>
      </c>
      <c r="J105" s="297"/>
      <c r="K105" s="297"/>
      <c r="L105" s="297"/>
      <c r="M105" s="297"/>
      <c r="N105" s="297"/>
      <c r="O105" s="297"/>
      <c r="P105" s="298">
        <f>SUM(compras_mes12[[#This Row],[NETO GRAVADO]:[Otros / No Grav.]])</f>
        <v>45980</v>
      </c>
      <c r="Q105" s="299" t="str">
        <f>IFERROR(IF(compras_mes12[[#This Row],[CUIT]]="","-",VLOOKUP(compras_mes12[[#This Row],[CUIT]],Lista_CUIT[#All],3,0)),"CUIT NO CARGADO")</f>
        <v>Productos Ortopedicos</v>
      </c>
      <c r="R105" s="299">
        <f>IFERROR(IF(compras_mes12[[#This Row],[CUIT]]="","-",VLOOKUP(compras_mes12[[#This Row],[CUIT]],Lista_CUIT[#All],4,0)),"CUIT NO CARGADO")</f>
        <v>0</v>
      </c>
    </row>
    <row r="106" spans="2:18">
      <c r="B106" s="291">
        <v>45645</v>
      </c>
      <c r="C106" s="305">
        <v>1</v>
      </c>
      <c r="D106" s="292">
        <v>2</v>
      </c>
      <c r="E106" s="293">
        <v>992</v>
      </c>
      <c r="F106" s="294">
        <v>20272865869</v>
      </c>
      <c r="G106" s="295" t="str">
        <f>IFERROR(IF(compras_mes12[[#This Row],[CUIT]]="","-",VLOOKUP(compras_mes12[[#This Row],[CUIT]],Lista_CUIT[#All],2,0)),"CUIT NO CARGADO")</f>
        <v>DI FEO MARTIN EZEQUIEL</v>
      </c>
      <c r="H106" s="592">
        <v>172314.47</v>
      </c>
      <c r="I106" s="297">
        <f>IF(compras_mes12[[#This Row],[NETO GRAVADO]]="","",compras_mes12[[#This Row],[NETO GRAVADO]]*0.21)</f>
        <v>36186.038699999997</v>
      </c>
      <c r="J106" s="297"/>
      <c r="K106" s="297"/>
      <c r="L106" s="297"/>
      <c r="M106" s="297"/>
      <c r="N106" s="297"/>
      <c r="O106" s="297"/>
      <c r="P106" s="48">
        <f>SUM(compras_mes12[[#This Row],[NETO GRAVADO]:[Otros / No Grav.]])</f>
        <v>208500.50870000001</v>
      </c>
      <c r="Q106" s="49" t="str">
        <f>IFERROR(IF(compras_mes12[[#This Row],[CUIT]]="","-",VLOOKUP(compras_mes12[[#This Row],[CUIT]],Lista_CUIT[#All],3,0)),"CUIT NO CARGADO")</f>
        <v>Productos Ortopedicos</v>
      </c>
      <c r="R106" s="49">
        <f>IFERROR(IF(compras_mes12[[#This Row],[CUIT]]="","-",VLOOKUP(compras_mes12[[#This Row],[CUIT]],Lista_CUIT[#All],4,0)),"CUIT NO CARGADO")</f>
        <v>0</v>
      </c>
    </row>
    <row r="107" spans="2:18">
      <c r="B107" s="291">
        <v>45645</v>
      </c>
      <c r="C107" s="305">
        <v>1</v>
      </c>
      <c r="D107" s="292">
        <v>2</v>
      </c>
      <c r="E107" s="293">
        <v>994</v>
      </c>
      <c r="F107" s="294">
        <v>20272865869</v>
      </c>
      <c r="G107" s="295" t="str">
        <f>IFERROR(IF(compras_mes12[[#This Row],[CUIT]]="","-",VLOOKUP(compras_mes12[[#This Row],[CUIT]],Lista_CUIT[#All],2,0)),"CUIT NO CARGADO")</f>
        <v>DI FEO MARTIN EZEQUIEL</v>
      </c>
      <c r="H107" s="592">
        <v>102700</v>
      </c>
      <c r="I107" s="297">
        <f>IF(compras_mes12[[#This Row],[NETO GRAVADO]]="","",compras_mes12[[#This Row],[NETO GRAVADO]]*0.21)</f>
        <v>21567</v>
      </c>
      <c r="J107" s="297"/>
      <c r="K107" s="297"/>
      <c r="L107" s="297"/>
      <c r="M107" s="297"/>
      <c r="N107" s="297"/>
      <c r="O107" s="297"/>
      <c r="P107" s="298">
        <f>SUM(compras_mes12[[#This Row],[NETO GRAVADO]:[Otros / No Grav.]])</f>
        <v>124267</v>
      </c>
      <c r="Q107" s="299" t="str">
        <f>IFERROR(IF(compras_mes12[[#This Row],[CUIT]]="","-",VLOOKUP(compras_mes12[[#This Row],[CUIT]],Lista_CUIT[#All],3,0)),"CUIT NO CARGADO")</f>
        <v>Productos Ortopedicos</v>
      </c>
      <c r="R107" s="299">
        <f>IFERROR(IF(compras_mes12[[#This Row],[CUIT]]="","-",VLOOKUP(compras_mes12[[#This Row],[CUIT]],Lista_CUIT[#All],4,0)),"CUIT NO CARGADO")</f>
        <v>0</v>
      </c>
    </row>
    <row r="108" spans="2:18">
      <c r="B108" s="291">
        <v>45646</v>
      </c>
      <c r="C108" s="305">
        <v>1</v>
      </c>
      <c r="D108" s="292">
        <v>2</v>
      </c>
      <c r="E108" s="293">
        <v>997</v>
      </c>
      <c r="F108" s="294">
        <v>20272865869</v>
      </c>
      <c r="G108" s="295" t="str">
        <f>IFERROR(IF(compras_mes12[[#This Row],[CUIT]]="","-",VLOOKUP(compras_mes12[[#This Row],[CUIT]],Lista_CUIT[#All],2,0)),"CUIT NO CARGADO")</f>
        <v>DI FEO MARTIN EZEQUIEL</v>
      </c>
      <c r="H108" s="592">
        <v>13070</v>
      </c>
      <c r="I108" s="297">
        <f>IF(compras_mes12[[#This Row],[NETO GRAVADO]]="","",compras_mes12[[#This Row],[NETO GRAVADO]]*0.21)</f>
        <v>2744.7</v>
      </c>
      <c r="J108" s="297"/>
      <c r="K108" s="297"/>
      <c r="L108" s="297"/>
      <c r="M108" s="297"/>
      <c r="N108" s="297"/>
      <c r="O108" s="297"/>
      <c r="P108" s="48">
        <f>SUM(compras_mes12[[#This Row],[NETO GRAVADO]:[Otros / No Grav.]])</f>
        <v>15814.7</v>
      </c>
      <c r="Q108" s="49" t="str">
        <f>IFERROR(IF(compras_mes12[[#This Row],[CUIT]]="","-",VLOOKUP(compras_mes12[[#This Row],[CUIT]],Lista_CUIT[#All],3,0)),"CUIT NO CARGADO")</f>
        <v>Productos Ortopedicos</v>
      </c>
      <c r="R108" s="49">
        <f>IFERROR(IF(compras_mes12[[#This Row],[CUIT]]="","-",VLOOKUP(compras_mes12[[#This Row],[CUIT]],Lista_CUIT[#All],4,0)),"CUIT NO CARGADO")</f>
        <v>0</v>
      </c>
    </row>
    <row r="109" spans="2:18">
      <c r="B109" s="291">
        <v>45652</v>
      </c>
      <c r="C109" s="305">
        <v>1</v>
      </c>
      <c r="D109" s="292">
        <v>2</v>
      </c>
      <c r="E109" s="293">
        <v>1012</v>
      </c>
      <c r="F109" s="294">
        <v>20272865869</v>
      </c>
      <c r="G109" s="295" t="str">
        <f>IFERROR(IF(compras_mes12[[#This Row],[CUIT]]="","-",VLOOKUP(compras_mes12[[#This Row],[CUIT]],Lista_CUIT[#All],2,0)),"CUIT NO CARGADO")</f>
        <v>DI FEO MARTIN EZEQUIEL</v>
      </c>
      <c r="H109" s="592">
        <v>94020</v>
      </c>
      <c r="I109" s="297">
        <f>IF(compras_mes12[[#This Row],[NETO GRAVADO]]="","",compras_mes12[[#This Row],[NETO GRAVADO]]*0.21)</f>
        <v>19744.2</v>
      </c>
      <c r="J109" s="297"/>
      <c r="K109" s="297"/>
      <c r="L109" s="297"/>
      <c r="M109" s="297"/>
      <c r="N109" s="297"/>
      <c r="O109" s="297"/>
      <c r="P109" s="298">
        <f>SUM(compras_mes12[[#This Row],[NETO GRAVADO]:[Otros / No Grav.]])</f>
        <v>113764.2</v>
      </c>
      <c r="Q109" s="299" t="str">
        <f>IFERROR(IF(compras_mes12[[#This Row],[CUIT]]="","-",VLOOKUP(compras_mes12[[#This Row],[CUIT]],Lista_CUIT[#All],3,0)),"CUIT NO CARGADO")</f>
        <v>Productos Ortopedicos</v>
      </c>
      <c r="R109" s="299">
        <f>IFERROR(IF(compras_mes12[[#This Row],[CUIT]]="","-",VLOOKUP(compras_mes12[[#This Row],[CUIT]],Lista_CUIT[#All],4,0)),"CUIT NO CARGADO")</f>
        <v>0</v>
      </c>
    </row>
    <row r="110" spans="2:18">
      <c r="B110" s="291">
        <v>45646</v>
      </c>
      <c r="C110" s="305">
        <v>3</v>
      </c>
      <c r="D110" s="292">
        <v>2</v>
      </c>
      <c r="E110" s="293">
        <v>68</v>
      </c>
      <c r="F110" s="294">
        <v>20272865869</v>
      </c>
      <c r="G110" s="295" t="str">
        <f>IFERROR(IF(compras_mes12[[#This Row],[CUIT]]="","-",VLOOKUP(compras_mes12[[#This Row],[CUIT]],Lista_CUIT[#All],2,0)),"CUIT NO CARGADO")</f>
        <v>DI FEO MARTIN EZEQUIEL</v>
      </c>
      <c r="H110" s="592">
        <v>-12300</v>
      </c>
      <c r="I110" s="297">
        <f>IF(compras_mes12[[#This Row],[NETO GRAVADO]]="","",compras_mes12[[#This Row],[NETO GRAVADO]]*0.21)</f>
        <v>-2583</v>
      </c>
      <c r="J110" s="297"/>
      <c r="K110" s="297"/>
      <c r="L110" s="297"/>
      <c r="M110" s="297"/>
      <c r="N110" s="297"/>
      <c r="O110" s="297"/>
      <c r="P110" s="298">
        <f>SUM(compras_mes12[[#This Row],[NETO GRAVADO]:[Otros / No Grav.]])</f>
        <v>-14883</v>
      </c>
      <c r="Q110" s="299" t="str">
        <f>IFERROR(IF(compras_mes12[[#This Row],[CUIT]]="","-",VLOOKUP(compras_mes12[[#This Row],[CUIT]],Lista_CUIT[#All],3,0)),"CUIT NO CARGADO")</f>
        <v>Productos Ortopedicos</v>
      </c>
      <c r="R110" s="299">
        <f>IFERROR(IF(compras_mes12[[#This Row],[CUIT]]="","-",VLOOKUP(compras_mes12[[#This Row],[CUIT]],Lista_CUIT[#All],4,0)),"CUIT NO CARGADO")</f>
        <v>0</v>
      </c>
    </row>
    <row r="111" spans="2:18">
      <c r="B111" s="291">
        <v>45636</v>
      </c>
      <c r="C111" s="305">
        <v>1</v>
      </c>
      <c r="D111" s="292">
        <v>2</v>
      </c>
      <c r="E111" s="293">
        <v>30</v>
      </c>
      <c r="F111" s="294">
        <v>27243660535</v>
      </c>
      <c r="G111" s="295" t="str">
        <f>IFERROR(IF(compras_mes12[[#This Row],[CUIT]]="","-",VLOOKUP(compras_mes12[[#This Row],[CUIT]],Lista_CUIT[#All],2,0)),"CUIT NO CARGADO")</f>
        <v>BARD MARISA SILVIA</v>
      </c>
      <c r="H111" s="592">
        <v>414537</v>
      </c>
      <c r="I111" s="297">
        <f>IF(compras_mes12[[#This Row],[NETO GRAVADO]]="","",compras_mes12[[#This Row],[NETO GRAVADO]]*0.21)</f>
        <v>87052.76999999999</v>
      </c>
      <c r="J111" s="297"/>
      <c r="K111" s="297"/>
      <c r="L111" s="297"/>
      <c r="M111" s="297"/>
      <c r="N111" s="297"/>
      <c r="O111" s="297"/>
      <c r="P111" s="298">
        <f>SUM(compras_mes12[[#This Row],[NETO GRAVADO]:[Otros / No Grav.]])</f>
        <v>501589.77</v>
      </c>
      <c r="Q111" s="299" t="str">
        <f>IFERROR(IF(compras_mes12[[#This Row],[CUIT]]="","-",VLOOKUP(compras_mes12[[#This Row],[CUIT]],Lista_CUIT[#All],3,0)),"CUIT NO CARGADO")</f>
        <v>Productos Ortopedicos</v>
      </c>
      <c r="R111" s="299">
        <f>IFERROR(IF(compras_mes12[[#This Row],[CUIT]]="","-",VLOOKUP(compras_mes12[[#This Row],[CUIT]],Lista_CUIT[#All],4,0)),"CUIT NO CARGADO")</f>
        <v>0</v>
      </c>
    </row>
    <row r="112" spans="2:18">
      <c r="B112" s="291">
        <v>45630</v>
      </c>
      <c r="C112" s="305">
        <v>1</v>
      </c>
      <c r="D112" s="292">
        <v>4</v>
      </c>
      <c r="E112" s="293">
        <v>145</v>
      </c>
      <c r="F112" s="294">
        <v>20317488476</v>
      </c>
      <c r="G112" s="295" t="str">
        <f>IFERROR(IF(compras_mes12[[#This Row],[CUIT]]="","-",VLOOKUP(compras_mes12[[#This Row],[CUIT]],Lista_CUIT[#All],2,0)),"CUIT NO CARGADO")</f>
        <v>MIGUEL ANGEL VILLALBA</v>
      </c>
      <c r="H112" s="592">
        <v>1155000</v>
      </c>
      <c r="I112" s="297">
        <f>IF(compras_mes12[[#This Row],[NETO GRAVADO]]="","",compras_mes12[[#This Row],[NETO GRAVADO]]*0.21)</f>
        <v>242550</v>
      </c>
      <c r="J112" s="297"/>
      <c r="K112" s="297"/>
      <c r="L112" s="297"/>
      <c r="M112" s="297"/>
      <c r="N112" s="297"/>
      <c r="O112" s="297"/>
      <c r="P112" s="48">
        <f>SUM(compras_mes12[[#This Row],[NETO GRAVADO]:[Otros / No Grav.]])</f>
        <v>1397550</v>
      </c>
      <c r="Q112" s="49" t="str">
        <f>IFERROR(IF(compras_mes12[[#This Row],[CUIT]]="","-",VLOOKUP(compras_mes12[[#This Row],[CUIT]],Lista_CUIT[#All],3,0)),"CUIT NO CARGADO")</f>
        <v>Recupero P. Ortopedicos</v>
      </c>
      <c r="R112" s="49">
        <f>IFERROR(IF(compras_mes12[[#This Row],[CUIT]]="","-",VLOOKUP(compras_mes12[[#This Row],[CUIT]],Lista_CUIT[#All],4,0)),"CUIT NO CARGADO")</f>
        <v>0</v>
      </c>
    </row>
    <row r="113" spans="2:18">
      <c r="B113" s="594">
        <v>45635</v>
      </c>
      <c r="C113" s="595">
        <v>1</v>
      </c>
      <c r="D113" s="596">
        <v>11</v>
      </c>
      <c r="E113" s="597">
        <v>1741771</v>
      </c>
      <c r="F113" s="598">
        <v>30709776564</v>
      </c>
      <c r="G113" s="599" t="str">
        <f>IFERROR(IF(compras_mes12[[#This Row],[CUIT]]="","-",VLOOKUP(compras_mes12[[#This Row],[CUIT]],Lista_CUIT[#All],2,0)),"CUIT NO CARGADO")</f>
        <v>PROSEGUR ACTIVA ARG SA</v>
      </c>
      <c r="H113" s="600">
        <v>129241</v>
      </c>
      <c r="I113" s="601">
        <f>IF(compras_mes12[[#This Row],[NETO GRAVADO]]="","",compras_mes12[[#This Row],[NETO GRAVADO]]*0.21)</f>
        <v>27140.61</v>
      </c>
      <c r="J113" s="601"/>
      <c r="K113" s="601"/>
      <c r="L113" s="601"/>
      <c r="M113" s="601"/>
      <c r="N113" s="601">
        <v>5169.6400000000003</v>
      </c>
      <c r="O113" s="601"/>
      <c r="P113" s="602">
        <f>SUM(compras_mes12[[#This Row],[NETO GRAVADO]:[Otros / No Grav.]])</f>
        <v>161551.25</v>
      </c>
      <c r="Q113" s="603" t="str">
        <f>IFERROR(IF(compras_mes12[[#This Row],[CUIT]]="","-",VLOOKUP(compras_mes12[[#This Row],[CUIT]],Lista_CUIT[#All],3,0)),"CUIT NO CARGADO")</f>
        <v>Servicio Seguridad</v>
      </c>
      <c r="R113" s="603">
        <f>IFERROR(IF(compras_mes12[[#This Row],[CUIT]]="","-",VLOOKUP(compras_mes12[[#This Row],[CUIT]],Lista_CUIT[#All],4,0)),"CUIT NO CARGADO")</f>
        <v>0</v>
      </c>
    </row>
    <row r="114" spans="2:18">
      <c r="B114" s="594">
        <v>45630</v>
      </c>
      <c r="C114" s="595">
        <v>1</v>
      </c>
      <c r="D114" s="596">
        <v>1</v>
      </c>
      <c r="E114" s="597">
        <v>666828</v>
      </c>
      <c r="F114" s="598">
        <v>33716307749</v>
      </c>
      <c r="G114" s="599" t="str">
        <f>IFERROR(IF(compras_mes12[[#This Row],[CUIT]]="","-",VLOOKUP(compras_mes12[[#This Row],[CUIT]],Lista_CUIT[#All],2,0)),"CUIT NO CARGADO")</f>
        <v>VERISURE ARGENTINA MONITOREO DE ALARMAS SA</v>
      </c>
      <c r="H114" s="600">
        <v>41128</v>
      </c>
      <c r="I114" s="601">
        <f>IF(compras_mes12[[#This Row],[NETO GRAVADO]]="","",compras_mes12[[#This Row],[NETO GRAVADO]]*0.21)</f>
        <v>8636.8799999999992</v>
      </c>
      <c r="J114" s="601"/>
      <c r="K114" s="601"/>
      <c r="L114" s="601"/>
      <c r="M114" s="601"/>
      <c r="N114" s="601">
        <v>1645.12</v>
      </c>
      <c r="O114" s="601"/>
      <c r="P114" s="602">
        <f>SUM(compras_mes12[[#This Row],[NETO GRAVADO]:[Otros / No Grav.]])</f>
        <v>51410</v>
      </c>
      <c r="Q114" s="603" t="str">
        <f>IFERROR(IF(compras_mes12[[#This Row],[CUIT]]="","-",VLOOKUP(compras_mes12[[#This Row],[CUIT]],Lista_CUIT[#All],3,0)),"CUIT NO CARGADO")</f>
        <v>Servicio Seguridad</v>
      </c>
      <c r="R114" s="603">
        <f>IFERROR(IF(compras_mes12[[#This Row],[CUIT]]="","-",VLOOKUP(compras_mes12[[#This Row],[CUIT]],Lista_CUIT[#All],4,0)),"CUIT NO CARGADO")</f>
        <v>0</v>
      </c>
    </row>
    <row r="115" spans="2:18">
      <c r="B115" s="291">
        <v>45628</v>
      </c>
      <c r="C115" s="305">
        <v>1</v>
      </c>
      <c r="D115" s="292">
        <v>3051</v>
      </c>
      <c r="E115" s="293">
        <v>844548</v>
      </c>
      <c r="F115" s="294">
        <v>30678814357</v>
      </c>
      <c r="G115" s="295" t="str">
        <f>IFERROR(IF(compras_mes12[[#This Row],[CUIT]]="","-",VLOOKUP(compras_mes12[[#This Row],[CUIT]],Lista_CUIT[#All],2,0)),"CUIT NO CARGADO")</f>
        <v>TELEFONICA MOVILES ARG SA</v>
      </c>
      <c r="H115" s="592">
        <v>53954</v>
      </c>
      <c r="I115" s="297"/>
      <c r="J115" s="297">
        <f>compras_mes12[[#This Row],[NETO GRAVADO]]*27/100</f>
        <v>14567.58</v>
      </c>
      <c r="K115" s="297"/>
      <c r="L115" s="297">
        <v>1618.692</v>
      </c>
      <c r="M115" s="297"/>
      <c r="N115" s="297">
        <v>2271.75</v>
      </c>
      <c r="O115" s="297">
        <v>2839.65</v>
      </c>
      <c r="P115" s="298">
        <f>SUM(compras_mes12[[#This Row],[NETO GRAVADO]:[Otros / No Grav.]])</f>
        <v>75251.671999999991</v>
      </c>
      <c r="Q115" s="299" t="str">
        <f>IFERROR(IF(compras_mes12[[#This Row],[CUIT]]="","-",VLOOKUP(compras_mes12[[#This Row],[CUIT]],Lista_CUIT[#All],3,0)),"CUIT NO CARGADO")</f>
        <v>Servicios Gas-Luz-Agua-Internet</v>
      </c>
      <c r="R115" s="299">
        <f>IFERROR(IF(compras_mes12[[#This Row],[CUIT]]="","-",VLOOKUP(compras_mes12[[#This Row],[CUIT]],Lista_CUIT[#All],4,0)),"CUIT NO CARGADO")</f>
        <v>0</v>
      </c>
    </row>
    <row r="116" spans="2:18">
      <c r="B116" s="291">
        <v>45635</v>
      </c>
      <c r="C116" s="305">
        <v>1</v>
      </c>
      <c r="D116" s="292">
        <v>3101</v>
      </c>
      <c r="E116" s="293">
        <v>220773</v>
      </c>
      <c r="F116" s="294">
        <v>30678814357</v>
      </c>
      <c r="G116" s="295" t="str">
        <f>IFERROR(IF(compras_mes12[[#This Row],[CUIT]]="","-",VLOOKUP(compras_mes12[[#This Row],[CUIT]],Lista_CUIT[#All],2,0)),"CUIT NO CARGADO")</f>
        <v>TELEFONICA MOVILES ARG SA</v>
      </c>
      <c r="H116" s="592">
        <v>75670.63</v>
      </c>
      <c r="I116" s="297"/>
      <c r="J116" s="297">
        <f>compras_mes12[[#This Row],[NETO GRAVADO]]*27/100</f>
        <v>20431.070100000001</v>
      </c>
      <c r="K116" s="297"/>
      <c r="L116" s="297">
        <v>2270.12</v>
      </c>
      <c r="M116" s="297"/>
      <c r="N116" s="297">
        <v>3026.83</v>
      </c>
      <c r="O116" s="297"/>
      <c r="P116" s="48">
        <f>SUM(compras_mes12[[#This Row],[NETO GRAVADO]:[Otros / No Grav.]])</f>
        <v>101398.6501</v>
      </c>
      <c r="Q116" s="49" t="str">
        <f>IFERROR(IF(compras_mes12[[#This Row],[CUIT]]="","-",VLOOKUP(compras_mes12[[#This Row],[CUIT]],Lista_CUIT[#All],3,0)),"CUIT NO CARGADO")</f>
        <v>Servicios Gas-Luz-Agua-Internet</v>
      </c>
      <c r="R116" s="49">
        <f>IFERROR(IF(compras_mes12[[#This Row],[CUIT]]="","-",VLOOKUP(compras_mes12[[#This Row],[CUIT]],Lista_CUIT[#All],4,0)),"CUIT NO CARGADO")</f>
        <v>0</v>
      </c>
    </row>
    <row r="117" spans="2:18">
      <c r="B117" s="594">
        <v>45644</v>
      </c>
      <c r="C117" s="595">
        <v>1</v>
      </c>
      <c r="D117" s="596">
        <v>4264</v>
      </c>
      <c r="E117" s="597">
        <v>4790521</v>
      </c>
      <c r="F117" s="598">
        <v>30639453738</v>
      </c>
      <c r="G117" s="599" t="str">
        <f>IFERROR(IF(compras_mes12[[#This Row],[CUIT]]="","-",VLOOKUP(compras_mes12[[#This Row],[CUIT]],Lista_CUIT[#All],2,0)),"CUIT NO CARGADO")</f>
        <v>TELECOM ARGENTINA SA</v>
      </c>
      <c r="H117" s="600">
        <v>26994.42</v>
      </c>
      <c r="I117" s="601">
        <f>IF(compras_mes12[[#This Row],[NETO GRAVADO]]="","",compras_mes12[[#This Row],[NETO GRAVADO]]*0.21)</f>
        <v>5668.828199999999</v>
      </c>
      <c r="J117" s="601"/>
      <c r="K117" s="601"/>
      <c r="L117" s="601"/>
      <c r="M117" s="601"/>
      <c r="N117" s="601">
        <v>2159.5500000000002</v>
      </c>
      <c r="O117" s="601"/>
      <c r="P117" s="602">
        <f>SUM(compras_mes12[[#This Row],[NETO GRAVADO]:[Otros / No Grav.]])</f>
        <v>34822.798199999997</v>
      </c>
      <c r="Q117" s="603" t="str">
        <f>IFERROR(IF(compras_mes12[[#This Row],[CUIT]]="","-",VLOOKUP(compras_mes12[[#This Row],[CUIT]],Lista_CUIT[#All],3,0)),"CUIT NO CARGADO")</f>
        <v>Servicios Gas-Luz-Agua-Internet</v>
      </c>
      <c r="R117" s="603">
        <f>IFERROR(IF(compras_mes12[[#This Row],[CUIT]]="","-",VLOOKUP(compras_mes12[[#This Row],[CUIT]],Lista_CUIT[#All],4,0)),"CUIT NO CARGADO")</f>
        <v>0</v>
      </c>
    </row>
    <row r="118" spans="2:18">
      <c r="B118" s="291">
        <v>45652</v>
      </c>
      <c r="C118" s="305">
        <v>1</v>
      </c>
      <c r="D118" s="292">
        <v>5</v>
      </c>
      <c r="E118" s="293">
        <v>3193012</v>
      </c>
      <c r="F118" s="294">
        <v>30702652975</v>
      </c>
      <c r="G118" s="295" t="str">
        <f>IFERROR(IF(compras_mes12[[#This Row],[CUIT]]="","-",VLOOKUP(compras_mes12[[#This Row],[CUIT]],Lista_CUIT[#All],2,0)),"CUIT NO CARGADO")</f>
        <v>NSS SA</v>
      </c>
      <c r="H118" s="592">
        <v>28528.6</v>
      </c>
      <c r="I118" s="297">
        <f>IF(compras_mes12[[#This Row],[NETO GRAVADO]]="","",compras_mes12[[#This Row],[NETO GRAVADO]]*0.21)</f>
        <v>5991.0059999999994</v>
      </c>
      <c r="J118" s="297"/>
      <c r="K118" s="297"/>
      <c r="L118" s="297"/>
      <c r="M118" s="297"/>
      <c r="N118" s="297">
        <v>1141.1400000000001</v>
      </c>
      <c r="O118" s="297"/>
      <c r="P118" s="298">
        <f>SUM(compras_mes12[[#This Row],[NETO GRAVADO]:[Otros / No Grav.]])</f>
        <v>35660.745999999999</v>
      </c>
      <c r="Q118" s="299" t="str">
        <f>IFERROR(IF(compras_mes12[[#This Row],[CUIT]]="","-",VLOOKUP(compras_mes12[[#This Row],[CUIT]],Lista_CUIT[#All],3,0)),"CUIT NO CARGADO")</f>
        <v>Servicios Gas-Luz-Agua-Internet</v>
      </c>
      <c r="R118" s="299">
        <f>IFERROR(IF(compras_mes12[[#This Row],[CUIT]]="","-",VLOOKUP(compras_mes12[[#This Row],[CUIT]],Lista_CUIT[#All],4,0)),"CUIT NO CARGADO")</f>
        <v>0</v>
      </c>
    </row>
    <row r="119" spans="2:18">
      <c r="B119" s="580" t="s">
        <v>110</v>
      </c>
      <c r="C119" s="580"/>
      <c r="D119" s="580"/>
      <c r="E119" s="580"/>
      <c r="F119" s="580"/>
      <c r="G119" s="581"/>
      <c r="H119" s="582">
        <f>SUBTOTAL(109,compras_mes12[NETO GRAVADO])</f>
        <v>31888469.770000007</v>
      </c>
      <c r="I119" s="582">
        <f>SUBTOTAL(109,compras_mes12[IVA 21 %])</f>
        <v>6572819.9753999999</v>
      </c>
      <c r="J119" s="582">
        <f>SUBTOTAL(109,compras_mes12[IVA 27%])</f>
        <v>34998.650099999999</v>
      </c>
      <c r="K119" s="582">
        <f>SUBTOTAL(109,compras_mes12[IVA 10,5%])</f>
        <v>48268.752</v>
      </c>
      <c r="L119" s="582">
        <f>SUBTOTAL(109,compras_mes12[PERC. IVA])</f>
        <v>13221.411999999997</v>
      </c>
      <c r="M119" s="582">
        <f>SUBTOTAL(109,compras_mes12[PERC IIBB 
BS AS])</f>
        <v>0</v>
      </c>
      <c r="N119" s="582">
        <f>SUBTOTAL(109,compras_mes12[PERC. IIBB CABA])</f>
        <v>486676.6</v>
      </c>
      <c r="O119" s="582">
        <f>SUBTOTAL(109,compras_mes12[Otros / No Grav.])</f>
        <v>74066.040000000008</v>
      </c>
      <c r="P119" s="582">
        <f>SUBTOTAL(109,compras_mes12[TOTAL])</f>
        <v>39118521.199500009</v>
      </c>
      <c r="Q119" s="580"/>
      <c r="R119" s="580"/>
    </row>
    <row r="120" spans="2:18">
      <c r="B120" s="40"/>
      <c r="C120" s="41"/>
      <c r="D120" s="42"/>
      <c r="E120" s="43"/>
      <c r="F120" s="44"/>
      <c r="G120" s="45"/>
      <c r="H120" s="46"/>
      <c r="I120" s="47"/>
      <c r="J120" s="47"/>
      <c r="K120" s="47"/>
      <c r="L120" s="47"/>
      <c r="M120" s="47"/>
      <c r="N120" s="47"/>
      <c r="O120" s="47"/>
      <c r="P120" s="48"/>
      <c r="Q120" s="49"/>
      <c r="R120" s="49"/>
    </row>
    <row r="121" spans="2:18">
      <c r="B121" s="40"/>
      <c r="C121" s="41"/>
      <c r="D121" s="42"/>
      <c r="E121" s="43"/>
      <c r="F121" s="44"/>
      <c r="G121" s="45"/>
      <c r="H121" s="46"/>
      <c r="I121" s="47"/>
      <c r="J121" s="47"/>
      <c r="K121" s="47"/>
      <c r="L121" s="47"/>
      <c r="M121" s="47"/>
      <c r="N121" s="47"/>
      <c r="O121" s="47"/>
      <c r="P121" s="48"/>
      <c r="Q121" s="49"/>
      <c r="R121" s="49"/>
    </row>
    <row r="122" spans="2:18">
      <c r="B122" s="40"/>
      <c r="C122" s="41"/>
      <c r="D122" s="42"/>
      <c r="E122" s="43"/>
      <c r="F122" s="44"/>
      <c r="G122" s="45"/>
      <c r="H122" s="46"/>
      <c r="I122" s="47"/>
      <c r="J122" s="47"/>
      <c r="K122" s="47"/>
      <c r="L122" s="47"/>
      <c r="M122" s="47"/>
      <c r="N122" s="47"/>
      <c r="O122" s="47"/>
      <c r="P122" s="48"/>
      <c r="Q122" s="49"/>
      <c r="R122" s="49"/>
    </row>
    <row r="123" spans="2:18">
      <c r="B123" s="40"/>
      <c r="C123" s="41"/>
      <c r="D123" s="42"/>
      <c r="E123" s="43"/>
      <c r="F123" s="44"/>
      <c r="G123" s="45"/>
      <c r="H123" s="46"/>
      <c r="I123" s="47"/>
      <c r="J123" s="47"/>
      <c r="K123" s="47"/>
      <c r="L123" s="47"/>
    </row>
    <row r="124" spans="2:18" ht="21">
      <c r="D124" s="665" t="s">
        <v>15</v>
      </c>
      <c r="E124" s="665"/>
      <c r="F124" s="665"/>
      <c r="G124" s="665"/>
      <c r="H124" s="665"/>
      <c r="I124" s="665"/>
      <c r="J124" s="665"/>
      <c r="K124" s="665"/>
      <c r="L124" s="665"/>
    </row>
    <row r="125" spans="2:18" ht="15.75">
      <c r="D125" s="73" t="s">
        <v>0</v>
      </c>
      <c r="E125" s="74" t="s">
        <v>26</v>
      </c>
      <c r="F125" s="74" t="s">
        <v>16</v>
      </c>
      <c r="G125" s="74" t="s">
        <v>5</v>
      </c>
      <c r="H125" s="74" t="s">
        <v>17</v>
      </c>
      <c r="I125" s="74" t="s">
        <v>7</v>
      </c>
      <c r="J125" s="75" t="s">
        <v>18</v>
      </c>
      <c r="K125" s="75" t="s">
        <v>19</v>
      </c>
      <c r="L125" s="76" t="s">
        <v>20</v>
      </c>
    </row>
    <row r="126" spans="2:18">
      <c r="D126" s="50">
        <v>45657</v>
      </c>
      <c r="E126" s="80">
        <v>550806626</v>
      </c>
      <c r="F126" s="80" t="s">
        <v>2169</v>
      </c>
      <c r="G126" s="81">
        <v>24435</v>
      </c>
      <c r="H126" s="81">
        <f>extracto_banco_mes12[[#This Row],[NETO]]*21/100</f>
        <v>5131.3500000000004</v>
      </c>
      <c r="I126" s="81"/>
      <c r="J126" s="283"/>
      <c r="K126" s="283">
        <v>720</v>
      </c>
      <c r="L126" s="81">
        <v>880</v>
      </c>
    </row>
    <row r="127" spans="2:18">
      <c r="D127" s="50">
        <v>45656</v>
      </c>
      <c r="E127" s="80">
        <v>119007808</v>
      </c>
      <c r="F127" s="80" t="s">
        <v>2170</v>
      </c>
      <c r="G127" s="81">
        <v>30200</v>
      </c>
      <c r="H127" s="81">
        <f>extracto_banco_mes12[[#This Row],[NETO]]*21/100</f>
        <v>6342</v>
      </c>
      <c r="I127" s="81"/>
      <c r="J127" s="81"/>
      <c r="K127" s="81">
        <v>900</v>
      </c>
      <c r="L127" s="81">
        <v>1200</v>
      </c>
    </row>
    <row r="128" spans="2:18">
      <c r="D128" s="50"/>
      <c r="E128" s="79"/>
      <c r="F128" s="80"/>
      <c r="G128" s="81"/>
      <c r="H128" s="81">
        <f>extracto_banco_mes12[[#This Row],[NETO]]*21/100</f>
        <v>0</v>
      </c>
      <c r="I128" s="81"/>
      <c r="J128" s="81"/>
      <c r="K128" s="81"/>
      <c r="L128" s="81"/>
    </row>
    <row r="129" spans="4:12">
      <c r="D129" s="578" t="s">
        <v>110</v>
      </c>
      <c r="E129" s="576"/>
      <c r="F129" s="576"/>
      <c r="G129" s="579">
        <f>SUBTOTAL(109,extracto_banco_mes12[NETO])</f>
        <v>54635</v>
      </c>
      <c r="H129" s="579">
        <f>SUBTOTAL(109,extracto_banco_mes12[IVA 21%])</f>
        <v>11473.35</v>
      </c>
      <c r="I129" s="579">
        <f>SUBTOTAL(109,extracto_banco_mes12[IVA 10,5%])</f>
        <v>0</v>
      </c>
      <c r="J129" s="579">
        <f>SUBTOTAL(109,extracto_banco_mes12[RET IIBB CABA])</f>
        <v>0</v>
      </c>
      <c r="K129" s="579">
        <f>SUBTOTAL(109,extracto_banco_mes12[PERC IVA])</f>
        <v>1620</v>
      </c>
      <c r="L129" s="579">
        <f>SUBTOTAL(109,extracto_banco_mes12[PERC IIBB])</f>
        <v>2080</v>
      </c>
    </row>
    <row r="130" spans="4:12">
      <c r="F130">
        <v>30571421352</v>
      </c>
    </row>
    <row r="131" spans="4:12">
      <c r="F131">
        <v>30500006613</v>
      </c>
    </row>
    <row r="133" spans="4:12" ht="18" customHeight="1">
      <c r="D133" s="665" t="s">
        <v>25</v>
      </c>
      <c r="E133" s="665"/>
      <c r="F133" s="665"/>
      <c r="G133" s="665"/>
      <c r="H133" s="665"/>
      <c r="I133" s="665"/>
      <c r="J133" s="665"/>
      <c r="K133" s="665"/>
    </row>
    <row r="134" spans="4:12">
      <c r="D134" s="51" t="s">
        <v>0</v>
      </c>
      <c r="E134" s="51" t="s">
        <v>2</v>
      </c>
      <c r="F134" s="51" t="s">
        <v>74</v>
      </c>
      <c r="G134" s="51" t="s">
        <v>3</v>
      </c>
      <c r="H134" s="51" t="s">
        <v>4</v>
      </c>
      <c r="I134" s="52" t="s">
        <v>10</v>
      </c>
      <c r="J134" s="51" t="s">
        <v>13</v>
      </c>
      <c r="K134" s="51" t="s">
        <v>38</v>
      </c>
    </row>
    <row r="135" spans="4:12">
      <c r="D135" s="50">
        <v>45631</v>
      </c>
      <c r="E135" s="42">
        <v>1</v>
      </c>
      <c r="F135" s="300">
        <v>10</v>
      </c>
      <c r="G135" s="301">
        <v>27443612713</v>
      </c>
      <c r="H135" s="302" t="str">
        <f>IFERROR(IF(factura_c_mes12[[#This Row],[CUIT]]="","-",VLOOKUP(factura_c_mes12[[#This Row],[CUIT]],Lista_CUIT[#All],2,0)),"CUIT NO CARGADO")</f>
        <v>MIGOYA MORIONDO SOFIA</v>
      </c>
      <c r="I135" s="303">
        <v>750000</v>
      </c>
      <c r="J135" s="631" t="str">
        <f>IFERROR(IF(factura_c_mes12[[#This Row],[CUIT]]="","-",VLOOKUP(factura_c_mes12[[#This Row],[CUIT]],Lista_CUIT[#All],3,0)),"CUIT NO CARGADO")</f>
        <v>Alquiler</v>
      </c>
      <c r="K135" s="304">
        <f>IFERROR(IF(factura_c_mes12[[#This Row],[CUIT]]="","-",VLOOKUP(factura_c_mes12[[#This Row],[CUIT]],Lista_CUIT[#All],4,0)),"CUIT NO CARGADO")</f>
        <v>0</v>
      </c>
    </row>
    <row r="136" spans="4:12">
      <c r="D136" s="50">
        <v>45644</v>
      </c>
      <c r="E136" s="42">
        <v>1</v>
      </c>
      <c r="F136" s="300">
        <v>18</v>
      </c>
      <c r="G136" s="301">
        <v>27443612705</v>
      </c>
      <c r="H136" s="302" t="str">
        <f>IFERROR(IF(factura_c_mes12[[#This Row],[CUIT]]="","-",VLOOKUP(factura_c_mes12[[#This Row],[CUIT]],Lista_CUIT[#All],2,0)),"CUIT NO CARGADO")</f>
        <v>MIGOYA MORIONDO MARIA INES</v>
      </c>
      <c r="I136" s="303">
        <v>900000</v>
      </c>
      <c r="J136" s="631" t="str">
        <f>IFERROR(IF(factura_c_mes12[[#This Row],[CUIT]]="","-",VLOOKUP(factura_c_mes12[[#This Row],[CUIT]],Lista_CUIT[#All],3,0)),"CUIT NO CARGADO")</f>
        <v>ALQUILERES PAGADOS</v>
      </c>
      <c r="K136" s="304">
        <f>IFERROR(IF(factura_c_mes12[[#This Row],[CUIT]]="","-",VLOOKUP(factura_c_mes12[[#This Row],[CUIT]],Lista_CUIT[#All],4,0)),"CUIT NO CARGADO")</f>
        <v>0</v>
      </c>
    </row>
    <row r="137" spans="4:12">
      <c r="D137" s="50">
        <v>45638</v>
      </c>
      <c r="E137" s="42">
        <v>2</v>
      </c>
      <c r="F137" s="300">
        <v>116</v>
      </c>
      <c r="G137" s="301">
        <v>27315710508</v>
      </c>
      <c r="H137" s="302" t="str">
        <f>IFERROR(IF(factura_c_mes12[[#This Row],[CUIT]]="","-",VLOOKUP(factura_c_mes12[[#This Row],[CUIT]],Lista_CUIT[#All],2,0)),"CUIT NO CARGADO")</f>
        <v>RIVERO GABRIELA ROCIO</v>
      </c>
      <c r="I137" s="303">
        <v>40000</v>
      </c>
      <c r="J137" s="631" t="str">
        <f>IFERROR(IF(factura_c_mes12[[#This Row],[CUIT]]="","-",VLOOKUP(factura_c_mes12[[#This Row],[CUIT]],Lista_CUIT[#All],3,0)),"CUIT NO CARGADO")</f>
        <v>Gasto Tecnico</v>
      </c>
      <c r="K137" s="304">
        <f>IFERROR(IF(factura_c_mes12[[#This Row],[CUIT]]="","-",VLOOKUP(factura_c_mes12[[#This Row],[CUIT]],Lista_CUIT[#All],4,0)),"CUIT NO CARGADO")</f>
        <v>0</v>
      </c>
    </row>
    <row r="138" spans="4:12">
      <c r="D138" s="50">
        <v>45642</v>
      </c>
      <c r="E138" s="42">
        <v>1</v>
      </c>
      <c r="F138" s="300">
        <v>2</v>
      </c>
      <c r="G138" s="301">
        <v>20236043631</v>
      </c>
      <c r="H138" s="302" t="str">
        <f>IFERROR(IF(factura_c_mes12[[#This Row],[CUIT]]="","-",VLOOKUP(factura_c_mes12[[#This Row],[CUIT]],Lista_CUIT[#All],2,0)),"CUIT NO CARGADO")</f>
        <v>RODRIGUEZ PATRICIO SALVADOR</v>
      </c>
      <c r="I138" s="303">
        <v>500000</v>
      </c>
      <c r="J138" s="631" t="str">
        <f>IFERROR(IF(factura_c_mes12[[#This Row],[CUIT]]="","-",VLOOKUP(factura_c_mes12[[#This Row],[CUIT]],Lista_CUIT[#All],3,0)),"CUIT NO CARGADO")</f>
        <v>GASTOS ADMINISTRATIVOS</v>
      </c>
      <c r="K138" s="304">
        <f>IFERROR(IF(factura_c_mes12[[#This Row],[CUIT]]="","-",VLOOKUP(factura_c_mes12[[#This Row],[CUIT]],Lista_CUIT[#All],4,0)),"CUIT NO CARGADO")</f>
        <v>0</v>
      </c>
    </row>
    <row r="139" spans="4:12">
      <c r="D139" s="50">
        <v>45629</v>
      </c>
      <c r="E139" s="42">
        <v>3</v>
      </c>
      <c r="F139" s="300">
        <v>61</v>
      </c>
      <c r="G139" s="301">
        <v>23163457369</v>
      </c>
      <c r="H139" s="302" t="str">
        <f>IFERROR(IF(factura_c_mes12[[#This Row],[CUIT]]="","-",VLOOKUP(factura_c_mes12[[#This Row],[CUIT]],Lista_CUIT[#All],2,0)),"CUIT NO CARGADO")</f>
        <v>ASTORGA JORGE DANIEL</v>
      </c>
      <c r="I139" s="303">
        <v>450000</v>
      </c>
      <c r="J139" s="631" t="str">
        <f>IFERROR(IF(factura_c_mes12[[#This Row],[CUIT]]="","-",VLOOKUP(factura_c_mes12[[#This Row],[CUIT]],Lista_CUIT[#All],3,0)),"CUIT NO CARGADO")</f>
        <v>Gastos Varios</v>
      </c>
      <c r="K139" s="304">
        <f>IFERROR(IF(factura_c_mes12[[#This Row],[CUIT]]="","-",VLOOKUP(factura_c_mes12[[#This Row],[CUIT]],Lista_CUIT[#All],4,0)),"CUIT NO CARGADO")</f>
        <v>0</v>
      </c>
    </row>
    <row r="140" spans="4:12">
      <c r="D140" s="50">
        <v>45628</v>
      </c>
      <c r="E140" s="42">
        <v>3</v>
      </c>
      <c r="F140" s="300">
        <v>905</v>
      </c>
      <c r="G140" s="301">
        <v>20086277523</v>
      </c>
      <c r="H140" s="302" t="str">
        <f>IFERROR(IF(factura_c_mes12[[#This Row],[CUIT]]="","-",VLOOKUP(factura_c_mes12[[#This Row],[CUIT]],Lista_CUIT[#All],2,0)),"CUIT NO CARGADO")</f>
        <v>BOTINDARI JUAN CARLOS</v>
      </c>
      <c r="I140" s="303">
        <v>275500</v>
      </c>
      <c r="J140" s="631" t="str">
        <f>IFERROR(IF(factura_c_mes12[[#This Row],[CUIT]]="","-",VLOOKUP(factura_c_mes12[[#This Row],[CUIT]],Lista_CUIT[#All],3,0)),"CUIT NO CARGADO")</f>
        <v>HONORARIOS</v>
      </c>
      <c r="K140" s="304">
        <f>IFERROR(IF(factura_c_mes12[[#This Row],[CUIT]]="","-",VLOOKUP(factura_c_mes12[[#This Row],[CUIT]],Lista_CUIT[#All],4,0)),"CUIT NO CARGADO")</f>
        <v>0</v>
      </c>
    </row>
    <row r="141" spans="4:12">
      <c r="D141" s="50">
        <v>45638</v>
      </c>
      <c r="E141" s="42">
        <v>1</v>
      </c>
      <c r="F141" s="300">
        <v>75</v>
      </c>
      <c r="G141" s="301">
        <v>23281233084</v>
      </c>
      <c r="H141" s="302" t="str">
        <f>IFERROR(IF(factura_c_mes12[[#This Row],[CUIT]]="","-",VLOOKUP(factura_c_mes12[[#This Row],[CUIT]],Lista_CUIT[#All],2,0)),"CUIT NO CARGADO")</f>
        <v>DRUETTA ANDREA MARIEL</v>
      </c>
      <c r="I141" s="303">
        <v>240000</v>
      </c>
      <c r="J141" s="631" t="str">
        <f>IFERROR(IF(factura_c_mes12[[#This Row],[CUIT]]="","-",VLOOKUP(factura_c_mes12[[#This Row],[CUIT]],Lista_CUIT[#All],3,0)),"CUIT NO CARGADO")</f>
        <v>HONORARIOS TECNICOS</v>
      </c>
      <c r="K141" s="304">
        <f>IFERROR(IF(factura_c_mes12[[#This Row],[CUIT]]="","-",VLOOKUP(factura_c_mes12[[#This Row],[CUIT]],Lista_CUIT[#All],4,0)),"CUIT NO CARGADO")</f>
        <v>0</v>
      </c>
    </row>
    <row r="142" spans="4:12">
      <c r="D142" s="50">
        <v>45642</v>
      </c>
      <c r="E142" s="42">
        <v>1</v>
      </c>
      <c r="F142" s="300">
        <v>272</v>
      </c>
      <c r="G142" s="301">
        <v>27217606255</v>
      </c>
      <c r="H142" s="302" t="str">
        <f>IFERROR(IF(factura_c_mes12[[#This Row],[CUIT]]="","-",VLOOKUP(factura_c_mes12[[#This Row],[CUIT]],Lista_CUIT[#All],2,0)),"CUIT NO CARGADO")</f>
        <v>SAPUNA MARIAN KARINA</v>
      </c>
      <c r="I142" s="303">
        <v>85055.12</v>
      </c>
      <c r="J142" s="631" t="str">
        <f>IFERROR(IF(factura_c_mes12[[#This Row],[CUIT]]="","-",VLOOKUP(factura_c_mes12[[#This Row],[CUIT]],Lista_CUIT[#All],3,0)),"CUIT NO CARGADO")</f>
        <v>MANTENIMIENTO</v>
      </c>
      <c r="K142" s="304">
        <f>IFERROR(IF(factura_c_mes12[[#This Row],[CUIT]]="","-",VLOOKUP(factura_c_mes12[[#This Row],[CUIT]],Lista_CUIT[#All],4,0)),"CUIT NO CARGADO")</f>
        <v>0</v>
      </c>
    </row>
    <row r="143" spans="4:12">
      <c r="D143" s="50">
        <v>45643</v>
      </c>
      <c r="E143" s="42">
        <v>1</v>
      </c>
      <c r="F143" s="300">
        <v>273</v>
      </c>
      <c r="G143" s="301">
        <v>27217606255</v>
      </c>
      <c r="H143" s="302" t="str">
        <f>IFERROR(IF(factura_c_mes12[[#This Row],[CUIT]]="","-",VLOOKUP(factura_c_mes12[[#This Row],[CUIT]],Lista_CUIT[#All],2,0)),"CUIT NO CARGADO")</f>
        <v>SAPUNA MARIAN KARINA</v>
      </c>
      <c r="I143" s="303">
        <v>75334.539999999994</v>
      </c>
      <c r="J143" s="631" t="str">
        <f>IFERROR(IF(factura_c_mes12[[#This Row],[CUIT]]="","-",VLOOKUP(factura_c_mes12[[#This Row],[CUIT]],Lista_CUIT[#All],3,0)),"CUIT NO CARGADO")</f>
        <v>MANTENIMIENTO</v>
      </c>
      <c r="K143" s="304">
        <f>IFERROR(IF(factura_c_mes12[[#This Row],[CUIT]]="","-",VLOOKUP(factura_c_mes12[[#This Row],[CUIT]],Lista_CUIT[#All],4,0)),"CUIT NO CARGADO")</f>
        <v>0</v>
      </c>
    </row>
    <row r="144" spans="4:12">
      <c r="D144" s="50">
        <v>45644</v>
      </c>
      <c r="E144" s="42">
        <v>1</v>
      </c>
      <c r="F144" s="300">
        <v>274</v>
      </c>
      <c r="G144" s="301">
        <v>27217606255</v>
      </c>
      <c r="H144" s="302" t="str">
        <f>IFERROR(IF(factura_c_mes12[[#This Row],[CUIT]]="","-",VLOOKUP(factura_c_mes12[[#This Row],[CUIT]],Lista_CUIT[#All],2,0)),"CUIT NO CARGADO")</f>
        <v>SAPUNA MARIAN KARINA</v>
      </c>
      <c r="I144" s="303">
        <v>82624.98</v>
      </c>
      <c r="J144" s="631" t="str">
        <f>IFERROR(IF(factura_c_mes12[[#This Row],[CUIT]]="","-",VLOOKUP(factura_c_mes12[[#This Row],[CUIT]],Lista_CUIT[#All],3,0)),"CUIT NO CARGADO")</f>
        <v>MANTENIMIENTO</v>
      </c>
      <c r="K144" s="304">
        <f>IFERROR(IF(factura_c_mes12[[#This Row],[CUIT]]="","-",VLOOKUP(factura_c_mes12[[#This Row],[CUIT]],Lista_CUIT[#All],4,0)),"CUIT NO CARGADO")</f>
        <v>0</v>
      </c>
    </row>
    <row r="145" spans="2:18">
      <c r="D145" s="50">
        <v>45644</v>
      </c>
      <c r="E145" s="42">
        <v>1</v>
      </c>
      <c r="F145" s="300">
        <v>276</v>
      </c>
      <c r="G145" s="301">
        <v>27217606255</v>
      </c>
      <c r="H145" s="302" t="str">
        <f>IFERROR(IF(factura_c_mes12[[#This Row],[CUIT]]="","-",VLOOKUP(factura_c_mes12[[#This Row],[CUIT]],Lista_CUIT[#All],2,0)),"CUIT NO CARGADO")</f>
        <v>SAPUNA MARIAN KARINA</v>
      </c>
      <c r="I145" s="303">
        <v>144536.78</v>
      </c>
      <c r="J145" s="631" t="str">
        <f>IFERROR(IF(factura_c_mes12[[#This Row],[CUIT]]="","-",VLOOKUP(factura_c_mes12[[#This Row],[CUIT]],Lista_CUIT[#All],3,0)),"CUIT NO CARGADO")</f>
        <v>MANTENIMIENTO</v>
      </c>
      <c r="K145" s="304">
        <f>IFERROR(IF(factura_c_mes12[[#This Row],[CUIT]]="","-",VLOOKUP(factura_c_mes12[[#This Row],[CUIT]],Lista_CUIT[#All],4,0)),"CUIT NO CARGADO")</f>
        <v>0</v>
      </c>
    </row>
    <row r="146" spans="2:18">
      <c r="D146" s="50">
        <v>45644</v>
      </c>
      <c r="E146" s="42">
        <v>1</v>
      </c>
      <c r="F146" s="300">
        <v>275</v>
      </c>
      <c r="G146" s="301">
        <v>27217606255</v>
      </c>
      <c r="H146" s="302" t="str">
        <f>IFERROR(IF(factura_c_mes12[[#This Row],[CUIT]]="","-",VLOOKUP(factura_c_mes12[[#This Row],[CUIT]],Lista_CUIT[#All],2,0)),"CUIT NO CARGADO")</f>
        <v>SAPUNA MARIAN KARINA</v>
      </c>
      <c r="I146" s="303">
        <v>223375.02</v>
      </c>
      <c r="J146" s="631" t="str">
        <f>IFERROR(IF(factura_c_mes12[[#This Row],[CUIT]]="","-",VLOOKUP(factura_c_mes12[[#This Row],[CUIT]],Lista_CUIT[#All],3,0)),"CUIT NO CARGADO")</f>
        <v>MANTENIMIENTO</v>
      </c>
      <c r="K146" s="304">
        <f>IFERROR(IF(factura_c_mes12[[#This Row],[CUIT]]="","-",VLOOKUP(factura_c_mes12[[#This Row],[CUIT]],Lista_CUIT[#All],4,0)),"CUIT NO CARGADO")</f>
        <v>0</v>
      </c>
    </row>
    <row r="147" spans="2:18">
      <c r="D147" s="50">
        <v>45645</v>
      </c>
      <c r="E147" s="42">
        <v>1</v>
      </c>
      <c r="F147" s="300">
        <v>277</v>
      </c>
      <c r="G147" s="301">
        <v>27217606255</v>
      </c>
      <c r="H147" s="302" t="str">
        <f>IFERROR(IF(factura_c_mes12[[#This Row],[CUIT]]="","-",VLOOKUP(factura_c_mes12[[#This Row],[CUIT]],Lista_CUIT[#All],2,0)),"CUIT NO CARGADO")</f>
        <v>SAPUNA MARIAN KARINA</v>
      </c>
      <c r="I147" s="303">
        <v>157676.49</v>
      </c>
      <c r="J147" s="631" t="str">
        <f>IFERROR(IF(factura_c_mes12[[#This Row],[CUIT]]="","-",VLOOKUP(factura_c_mes12[[#This Row],[CUIT]],Lista_CUIT[#All],3,0)),"CUIT NO CARGADO")</f>
        <v>MANTENIMIENTO</v>
      </c>
      <c r="K147" s="304">
        <f>IFERROR(IF(factura_c_mes12[[#This Row],[CUIT]]="","-",VLOOKUP(factura_c_mes12[[#This Row],[CUIT]],Lista_CUIT[#All],4,0)),"CUIT NO CARGADO")</f>
        <v>0</v>
      </c>
    </row>
    <row r="148" spans="2:18">
      <c r="D148" s="50">
        <v>45646</v>
      </c>
      <c r="E148" s="42">
        <v>1</v>
      </c>
      <c r="F148" s="300">
        <v>278</v>
      </c>
      <c r="G148" s="301">
        <v>27217606255</v>
      </c>
      <c r="H148" s="302" t="str">
        <f>IFERROR(IF(factura_c_mes12[[#This Row],[CUIT]]="","-",VLOOKUP(factura_c_mes12[[#This Row],[CUIT]],Lista_CUIT[#All],2,0)),"CUIT NO CARGADO")</f>
        <v>SAPUNA MARIAN KARINA</v>
      </c>
      <c r="I148" s="303">
        <v>131397.07</v>
      </c>
      <c r="J148" s="631" t="str">
        <f>IFERROR(IF(factura_c_mes12[[#This Row],[CUIT]]="","-",VLOOKUP(factura_c_mes12[[#This Row],[CUIT]],Lista_CUIT[#All],3,0)),"CUIT NO CARGADO")</f>
        <v>MANTENIMIENTO</v>
      </c>
      <c r="K148" s="304">
        <f>IFERROR(IF(factura_c_mes12[[#This Row],[CUIT]]="","-",VLOOKUP(factura_c_mes12[[#This Row],[CUIT]],Lista_CUIT[#All],4,0)),"CUIT NO CARGADO")</f>
        <v>0</v>
      </c>
    </row>
    <row r="149" spans="2:18">
      <c r="D149" s="50">
        <v>45649</v>
      </c>
      <c r="E149" s="42">
        <v>2</v>
      </c>
      <c r="F149" s="300">
        <v>516</v>
      </c>
      <c r="G149" s="301">
        <v>27299725761</v>
      </c>
      <c r="H149" s="302" t="str">
        <f>IFERROR(IF(factura_c_mes12[[#This Row],[CUIT]]="","-",VLOOKUP(factura_c_mes12[[#This Row],[CUIT]],Lista_CUIT[#All],2,0)),"CUIT NO CARGADO")</f>
        <v>TURSARKISIAN MISISIAN VERONICA GEMA</v>
      </c>
      <c r="I149" s="303">
        <v>850000</v>
      </c>
      <c r="J149" s="631" t="str">
        <f>IFERROR(IF(factura_c_mes12[[#This Row],[CUIT]]="","-",VLOOKUP(factura_c_mes12[[#This Row],[CUIT]],Lista_CUIT[#All],3,0)),"CUIT NO CARGADO")</f>
        <v>Productos Ortopedicos</v>
      </c>
      <c r="K149" s="304">
        <f>IFERROR(IF(factura_c_mes12[[#This Row],[CUIT]]="","-",VLOOKUP(factura_c_mes12[[#This Row],[CUIT]],Lista_CUIT[#All],4,0)),"CUIT NO CARGADO")</f>
        <v>0</v>
      </c>
    </row>
    <row r="150" spans="2:18">
      <c r="D150" s="50">
        <v>45628</v>
      </c>
      <c r="E150" s="42">
        <v>2</v>
      </c>
      <c r="F150" s="300">
        <v>319</v>
      </c>
      <c r="G150" s="301">
        <v>27265832178</v>
      </c>
      <c r="H150" s="302" t="str">
        <f>IFERROR(IF(factura_c_mes12[[#This Row],[CUIT]]="","-",VLOOKUP(factura_c_mes12[[#This Row],[CUIT]],Lista_CUIT[#All],2,0)),"CUIT NO CARGADO")</f>
        <v>BLASCO MARIA GUADALUPE</v>
      </c>
      <c r="I150" s="303">
        <v>3200000</v>
      </c>
      <c r="J150" s="631" t="str">
        <f>IFERROR(IF(factura_c_mes12[[#This Row],[CUIT]]="","-",VLOOKUP(factura_c_mes12[[#This Row],[CUIT]],Lista_CUIT[#All],3,0)),"CUIT NO CARGADO")</f>
        <v>Productos Ortopedicos</v>
      </c>
      <c r="K150" s="304">
        <f>IFERROR(IF(factura_c_mes12[[#This Row],[CUIT]]="","-",VLOOKUP(factura_c_mes12[[#This Row],[CUIT]],Lista_CUIT[#All],4,0)),"CUIT NO CARGADO")</f>
        <v>0</v>
      </c>
    </row>
    <row r="151" spans="2:18">
      <c r="D151" s="50">
        <v>45629</v>
      </c>
      <c r="E151" s="42">
        <v>1</v>
      </c>
      <c r="F151" s="300">
        <v>162</v>
      </c>
      <c r="G151" s="301">
        <v>27338342840</v>
      </c>
      <c r="H151" s="302" t="str">
        <f>IFERROR(IF(factura_c_mes12[[#This Row],[CUIT]]="","-",VLOOKUP(factura_c_mes12[[#This Row],[CUIT]],Lista_CUIT[#All],2,0)),"CUIT NO CARGADO")</f>
        <v>CANCINO PAMELA RITA</v>
      </c>
      <c r="I151" s="303">
        <v>130800</v>
      </c>
      <c r="J151" s="631" t="str">
        <f>IFERROR(IF(factura_c_mes12[[#This Row],[CUIT]]="","-",VLOOKUP(factura_c_mes12[[#This Row],[CUIT]],Lista_CUIT[#All],3,0)),"CUIT NO CARGADO")</f>
        <v>Productos Ortopedicos</v>
      </c>
      <c r="K151" s="304">
        <f>IFERROR(IF(factura_c_mes12[[#This Row],[CUIT]]="","-",VLOOKUP(factura_c_mes12[[#This Row],[CUIT]],Lista_CUIT[#All],4,0)),"CUIT NO CARGADO")</f>
        <v>0</v>
      </c>
    </row>
    <row r="152" spans="2:18">
      <c r="D152" s="50">
        <v>45649</v>
      </c>
      <c r="E152" s="42">
        <v>3</v>
      </c>
      <c r="F152" s="300">
        <v>1026</v>
      </c>
      <c r="G152" s="301">
        <v>20216451679</v>
      </c>
      <c r="H152" s="302" t="str">
        <f>IFERROR(IF(factura_c_mes12[[#This Row],[CUIT]]="","-",VLOOKUP(factura_c_mes12[[#This Row],[CUIT]],Lista_CUIT[#All],2,0)),"CUIT NO CARGADO")</f>
        <v>VAZQUEZ RICARDO OSCAR</v>
      </c>
      <c r="I152" s="303">
        <v>394381</v>
      </c>
      <c r="J152" s="631" t="str">
        <f>IFERROR(IF(factura_c_mes12[[#This Row],[CUIT]]="","-",VLOOKUP(factura_c_mes12[[#This Row],[CUIT]],Lista_CUIT[#All],3,0)),"CUIT NO CARGADO")</f>
        <v>Productos Ortopedicos</v>
      </c>
      <c r="K152" s="304">
        <f>IFERROR(IF(factura_c_mes12[[#This Row],[CUIT]]="","-",VLOOKUP(factura_c_mes12[[#This Row],[CUIT]],Lista_CUIT[#All],4,0)),"CUIT NO CARGADO")</f>
        <v>0</v>
      </c>
    </row>
    <row r="153" spans="2:18">
      <c r="D153" s="50">
        <v>45653</v>
      </c>
      <c r="E153" s="42">
        <v>1</v>
      </c>
      <c r="F153" s="43">
        <v>18</v>
      </c>
      <c r="G153" s="44">
        <v>20464199633</v>
      </c>
      <c r="H153" s="53" t="str">
        <f>IFERROR(IF(factura_c_mes12[[#This Row],[CUIT]]="","-",VLOOKUP(factura_c_mes12[[#This Row],[CUIT]],Lista_CUIT[#All],2,0)),"CUIT NO CARGADO")</f>
        <v>OVIEDO JIMENEZ TIZIANO LIONEL</v>
      </c>
      <c r="I153" s="81">
        <v>444750</v>
      </c>
      <c r="J153" s="630" t="str">
        <f>IFERROR(IF(factura_c_mes12[[#This Row],[CUIT]]="","-",VLOOKUP(factura_c_mes12[[#This Row],[CUIT]],Lista_CUIT[#All],3,0)),"CUIT NO CARGADO")</f>
        <v>Productos Ortopedicos</v>
      </c>
      <c r="K153" s="54">
        <f>IFERROR(IF(factura_c_mes12[[#This Row],[CUIT]]="","-",VLOOKUP(factura_c_mes12[[#This Row],[CUIT]],Lista_CUIT[#All],4,0)),"CUIT NO CARGADO")</f>
        <v>0</v>
      </c>
    </row>
    <row r="154" spans="2:18">
      <c r="D154" s="50">
        <v>45632</v>
      </c>
      <c r="E154" s="42">
        <v>2</v>
      </c>
      <c r="F154" s="300">
        <v>1</v>
      </c>
      <c r="G154" s="301">
        <v>27344304551</v>
      </c>
      <c r="H154" s="302" t="str">
        <f>IFERROR(IF(factura_c_mes12[[#This Row],[CUIT]]="","-",VLOOKUP(factura_c_mes12[[#This Row],[CUIT]],Lista_CUIT[#All],2,0)),"CUIT NO CARGADO")</f>
        <v>BOCCACCI MARIA FLORENCIA</v>
      </c>
      <c r="I154" s="303">
        <v>200000</v>
      </c>
      <c r="J154" s="631" t="str">
        <f>IFERROR(IF(factura_c_mes12[[#This Row],[CUIT]]="","-",VLOOKUP(factura_c_mes12[[#This Row],[CUIT]],Lista_CUIT[#All],3,0)),"CUIT NO CARGADO")</f>
        <v>Productos Ortopedicos</v>
      </c>
      <c r="K154" s="304">
        <f>IFERROR(IF(factura_c_mes12[[#This Row],[CUIT]]="","-",VLOOKUP(factura_c_mes12[[#This Row],[CUIT]],Lista_CUIT[#All],4,0)),"CUIT NO CARGADO")</f>
        <v>0</v>
      </c>
    </row>
    <row r="155" spans="2:18">
      <c r="D155" s="50">
        <v>45643</v>
      </c>
      <c r="E155" s="42">
        <v>1</v>
      </c>
      <c r="F155" s="300">
        <v>11</v>
      </c>
      <c r="G155" s="301">
        <v>27950736858</v>
      </c>
      <c r="H155" s="302" t="str">
        <f>IFERROR(IF(factura_c_mes12[[#This Row],[CUIT]]="","-",VLOOKUP(factura_c_mes12[[#This Row],[CUIT]],Lista_CUIT[#All],2,0)),"CUIT NO CARGADO")</f>
        <v>VANONI OBANDO ROMY PRISCILLA</v>
      </c>
      <c r="I155" s="303">
        <v>750000</v>
      </c>
      <c r="J155" s="631" t="str">
        <f>IFERROR(IF(factura_c_mes12[[#This Row],[CUIT]]="","-",VLOOKUP(factura_c_mes12[[#This Row],[CUIT]],Lista_CUIT[#All],3,0)),"CUIT NO CARGADO")</f>
        <v>Servicio Enseñanza</v>
      </c>
      <c r="K155" s="304">
        <f>IFERROR(IF(factura_c_mes12[[#This Row],[CUIT]]="","-",VLOOKUP(factura_c_mes12[[#This Row],[CUIT]],Lista_CUIT[#All],4,0)),"CUIT NO CARGADO")</f>
        <v>0</v>
      </c>
    </row>
    <row r="156" spans="2:18">
      <c r="D156" s="50">
        <v>45644</v>
      </c>
      <c r="E156" s="42">
        <v>1</v>
      </c>
      <c r="F156" s="300">
        <v>13</v>
      </c>
      <c r="G156" s="301">
        <v>27950736858</v>
      </c>
      <c r="H156" s="302" t="str">
        <f>IFERROR(IF(factura_c_mes12[[#This Row],[CUIT]]="","-",VLOOKUP(factura_c_mes12[[#This Row],[CUIT]],Lista_CUIT[#All],2,0)),"CUIT NO CARGADO")</f>
        <v>VANONI OBANDO ROMY PRISCILLA</v>
      </c>
      <c r="I156" s="303">
        <v>750000</v>
      </c>
      <c r="J156" s="631" t="str">
        <f>IFERROR(IF(factura_c_mes12[[#This Row],[CUIT]]="","-",VLOOKUP(factura_c_mes12[[#This Row],[CUIT]],Lista_CUIT[#All],3,0)),"CUIT NO CARGADO")</f>
        <v>Servicio Enseñanza</v>
      </c>
      <c r="K156" s="304">
        <f>IFERROR(IF(factura_c_mes12[[#This Row],[CUIT]]="","-",VLOOKUP(factura_c_mes12[[#This Row],[CUIT]],Lista_CUIT[#All],4,0)),"CUIT NO CARGADO")</f>
        <v>0</v>
      </c>
    </row>
    <row r="157" spans="2:18">
      <c r="D157" s="50">
        <v>45643</v>
      </c>
      <c r="E157" s="42">
        <v>1</v>
      </c>
      <c r="F157" s="43">
        <v>1</v>
      </c>
      <c r="G157" s="44">
        <v>27950736858</v>
      </c>
      <c r="H157" s="53" t="str">
        <f>IFERROR(IF(factura_c_mes12[[#This Row],[CUIT]]="","-",VLOOKUP(factura_c_mes12[[#This Row],[CUIT]],Lista_CUIT[#All],2,0)),"CUIT NO CARGADO")</f>
        <v>VANONI OBANDO ROMY PRISCILLA</v>
      </c>
      <c r="I157" s="81">
        <v>-750000</v>
      </c>
      <c r="J157" s="630" t="str">
        <f>IFERROR(IF(factura_c_mes12[[#This Row],[CUIT]]="","-",VLOOKUP(factura_c_mes12[[#This Row],[CUIT]],Lista_CUIT[#All],3,0)),"CUIT NO CARGADO")</f>
        <v>Servicio Enseñanza</v>
      </c>
      <c r="K157" s="54">
        <f>IFERROR(IF(factura_c_mes12[[#This Row],[CUIT]]="","-",VLOOKUP(factura_c_mes12[[#This Row],[CUIT]],Lista_CUIT[#All],4,0)),"CUIT NO CARGADO")</f>
        <v>0</v>
      </c>
    </row>
    <row r="158" spans="2:18">
      <c r="D158" s="50">
        <v>45644</v>
      </c>
      <c r="E158" s="42">
        <v>1</v>
      </c>
      <c r="F158" s="43">
        <v>2</v>
      </c>
      <c r="G158" s="44">
        <v>27950736858</v>
      </c>
      <c r="H158" s="53" t="str">
        <f>IFERROR(IF(factura_c_mes12[[#This Row],[CUIT]]="","-",VLOOKUP(factura_c_mes12[[#This Row],[CUIT]],Lista_CUIT[#All],2,0)),"CUIT NO CARGADO")</f>
        <v>VANONI OBANDO ROMY PRISCILLA</v>
      </c>
      <c r="I158" s="81">
        <v>-750000</v>
      </c>
      <c r="J158" s="630" t="str">
        <f>IFERROR(IF(factura_c_mes12[[#This Row],[CUIT]]="","-",VLOOKUP(factura_c_mes12[[#This Row],[CUIT]],Lista_CUIT[#All],3,0)),"CUIT NO CARGADO")</f>
        <v>Servicio Enseñanza</v>
      </c>
      <c r="K158" s="54">
        <f>IFERROR(IF(factura_c_mes12[[#This Row],[CUIT]]="","-",VLOOKUP(factura_c_mes12[[#This Row],[CUIT]],Lista_CUIT[#All],4,0)),"CUIT NO CARGADO")</f>
        <v>0</v>
      </c>
    </row>
    <row r="159" spans="2:18">
      <c r="B159" s="56"/>
      <c r="C159" s="56"/>
      <c r="D159" s="55" t="s">
        <v>110</v>
      </c>
      <c r="E159" s="55"/>
      <c r="F159" s="55"/>
      <c r="G159" s="55"/>
      <c r="H159" s="57"/>
      <c r="I159" s="58">
        <f>SUBTOTAL(109,factura_c_mes12[TOTAL])</f>
        <v>9275431</v>
      </c>
      <c r="J159" s="55"/>
      <c r="K159" s="55"/>
      <c r="L159" s="56"/>
      <c r="M159" s="56"/>
      <c r="N159" s="56"/>
      <c r="O159" s="56"/>
      <c r="P159" s="56"/>
      <c r="Q159" s="56"/>
      <c r="R159" s="56"/>
    </row>
    <row r="164" spans="2:13" ht="26.25">
      <c r="B164" s="673" t="s">
        <v>29</v>
      </c>
      <c r="C164" s="673"/>
      <c r="D164" s="673"/>
      <c r="E164" s="673"/>
      <c r="F164" s="673"/>
      <c r="G164" s="673"/>
      <c r="H164" s="673"/>
      <c r="I164" s="673"/>
      <c r="J164" s="673"/>
      <c r="K164" s="669">
        <f>N1</f>
        <v>45627</v>
      </c>
      <c r="L164" s="669"/>
      <c r="M164" s="669"/>
    </row>
    <row r="166" spans="2:13" ht="21">
      <c r="B166" s="666" t="s">
        <v>30</v>
      </c>
      <c r="C166" s="666"/>
    </row>
    <row r="167" spans="2:13" ht="15.75">
      <c r="B167" s="60" t="s">
        <v>0</v>
      </c>
      <c r="C167" s="61" t="s">
        <v>1</v>
      </c>
      <c r="D167" s="61" t="s">
        <v>21</v>
      </c>
      <c r="E167" s="61" t="s">
        <v>22</v>
      </c>
      <c r="F167" s="61" t="s">
        <v>3</v>
      </c>
      <c r="G167" s="61" t="s">
        <v>4</v>
      </c>
      <c r="H167" s="61" t="s">
        <v>23</v>
      </c>
      <c r="I167" s="61" t="s">
        <v>17</v>
      </c>
      <c r="J167" s="61" t="s">
        <v>7</v>
      </c>
      <c r="K167" s="61" t="s">
        <v>24</v>
      </c>
      <c r="L167" s="61" t="s">
        <v>10</v>
      </c>
      <c r="M167" s="62" t="s">
        <v>38</v>
      </c>
    </row>
    <row r="168" spans="2:13">
      <c r="B168" s="40"/>
      <c r="C168" s="41"/>
      <c r="D168" s="42"/>
      <c r="E168" s="43"/>
      <c r="F168" s="44"/>
      <c r="G168" s="98" t="str">
        <f>IFERROR(IF(venta_a_mes12[[#This Row],[CUIT]]="","-",VLOOKUP(venta_a_mes12[[#This Row],[CUIT]],Lista_CUIT[#All],2,0)),"CUIT NO CARGADO")</f>
        <v>-</v>
      </c>
      <c r="H168" s="99"/>
      <c r="I168" s="100">
        <f>venta_a_mes12[[#This Row],[IMPORTE NETO]]*0.21</f>
        <v>0</v>
      </c>
      <c r="J168" s="65"/>
      <c r="K168" s="65"/>
      <c r="L168" s="65">
        <f>SUM(venta_a_mes12[[#This Row],[IMPORTE NETO]:[EXENTO]])</f>
        <v>0</v>
      </c>
      <c r="M168" s="59"/>
    </row>
    <row r="169" spans="2:13">
      <c r="B169" s="40"/>
      <c r="C169" s="41"/>
      <c r="D169" s="42"/>
      <c r="E169" s="43"/>
      <c r="F169" s="44"/>
      <c r="G169" s="98" t="str">
        <f>IFERROR(IF(venta_a_mes12[[#This Row],[CUIT]]="","-",VLOOKUP(venta_a_mes12[[#This Row],[CUIT]],Lista_CUIT[#All],2,0)),"CUIT NO CARGADO")</f>
        <v>-</v>
      </c>
      <c r="H169" s="99"/>
      <c r="I169" s="100">
        <f>venta_a_mes12[[#This Row],[IMPORTE NETO]]*0.21</f>
        <v>0</v>
      </c>
      <c r="J169" s="65"/>
      <c r="K169" s="65"/>
      <c r="L169" s="65">
        <f>SUM(venta_a_mes12[[#This Row],[IMPORTE NETO]:[EXENTO]])</f>
        <v>0</v>
      </c>
      <c r="M169" s="59"/>
    </row>
    <row r="170" spans="2:13">
      <c r="B170" s="40"/>
      <c r="C170" s="41"/>
      <c r="D170" s="42"/>
      <c r="E170" s="43"/>
      <c r="F170" s="44"/>
      <c r="G170" s="98" t="str">
        <f>IFERROR(IF(venta_a_mes12[[#This Row],[CUIT]]="","-",VLOOKUP(venta_a_mes12[[#This Row],[CUIT]],Lista_CUIT[#All],2,0)),"CUIT NO CARGADO")</f>
        <v>-</v>
      </c>
      <c r="H170" s="99"/>
      <c r="I170" s="100">
        <f>venta_a_mes12[[#This Row],[IMPORTE NETO]]*0.21</f>
        <v>0</v>
      </c>
      <c r="J170" s="65"/>
      <c r="K170" s="65"/>
      <c r="L170" s="65">
        <f>SUM(venta_a_mes12[[#This Row],[IMPORTE NETO]:[EXENTO]])</f>
        <v>0</v>
      </c>
      <c r="M170" s="59"/>
    </row>
    <row r="171" spans="2:13">
      <c r="B171" s="40"/>
      <c r="C171" s="41"/>
      <c r="D171" s="42"/>
      <c r="E171" s="43"/>
      <c r="F171" s="44"/>
      <c r="G171" s="98" t="str">
        <f>IFERROR(IF(venta_a_mes12[[#This Row],[CUIT]]="","-",VLOOKUP(venta_a_mes12[[#This Row],[CUIT]],Lista_CUIT[#All],2,0)),"CUIT NO CARGADO")</f>
        <v>-</v>
      </c>
      <c r="H171" s="99"/>
      <c r="I171" s="100">
        <f>venta_a_mes12[[#This Row],[IMPORTE NETO]]*0.21</f>
        <v>0</v>
      </c>
      <c r="J171" s="65"/>
      <c r="K171" s="65"/>
      <c r="L171" s="65">
        <f>SUM(venta_a_mes12[[#This Row],[IMPORTE NETO]:[EXENTO]])</f>
        <v>0</v>
      </c>
      <c r="M171" s="59"/>
    </row>
    <row r="172" spans="2:13">
      <c r="B172" s="40"/>
      <c r="C172" s="41"/>
      <c r="D172" s="42"/>
      <c r="E172" s="43"/>
      <c r="F172" s="44"/>
      <c r="G172" s="98" t="str">
        <f>IFERROR(IF(venta_a_mes12[[#This Row],[CUIT]]="","-",VLOOKUP(venta_a_mes12[[#This Row],[CUIT]],Lista_CUIT[#All],2,0)),"CUIT NO CARGADO")</f>
        <v>-</v>
      </c>
      <c r="H172" s="99"/>
      <c r="I172" s="100">
        <f>venta_a_mes12[[#This Row],[IMPORTE NETO]]*0.21</f>
        <v>0</v>
      </c>
      <c r="J172" s="65"/>
      <c r="K172" s="65"/>
      <c r="L172" s="65">
        <f>SUM(venta_a_mes12[[#This Row],[IMPORTE NETO]:[EXENTO]])</f>
        <v>0</v>
      </c>
      <c r="M172" s="59"/>
    </row>
    <row r="173" spans="2:13">
      <c r="B173" s="40"/>
      <c r="C173" s="41"/>
      <c r="D173" s="42"/>
      <c r="E173" s="43"/>
      <c r="F173" s="44"/>
      <c r="G173" s="98" t="str">
        <f>IFERROR(IF(venta_a_mes12[[#This Row],[CUIT]]="","-",VLOOKUP(venta_a_mes12[[#This Row],[CUIT]],Lista_CUIT[#All],2,0)),"CUIT NO CARGADO")</f>
        <v>-</v>
      </c>
      <c r="H173" s="99"/>
      <c r="I173" s="100">
        <f>venta_a_mes12[[#This Row],[IMPORTE NETO]]*0.21</f>
        <v>0</v>
      </c>
      <c r="J173" s="65"/>
      <c r="K173" s="65"/>
      <c r="L173" s="65">
        <f>SUM(venta_a_mes12[[#This Row],[IMPORTE NETO]:[EXENTO]])</f>
        <v>0</v>
      </c>
      <c r="M173" s="59"/>
    </row>
    <row r="174" spans="2:13">
      <c r="B174" s="40"/>
      <c r="C174" s="41"/>
      <c r="D174" s="42"/>
      <c r="E174" s="43"/>
      <c r="F174" s="44"/>
      <c r="G174" s="98" t="str">
        <f>IFERROR(IF(venta_a_mes12[[#This Row],[CUIT]]="","-",VLOOKUP(venta_a_mes12[[#This Row],[CUIT]],Lista_CUIT[#All],2,0)),"CUIT NO CARGADO")</f>
        <v>-</v>
      </c>
      <c r="H174" s="99"/>
      <c r="I174" s="100">
        <f>venta_a_mes12[[#This Row],[IMPORTE NETO]]*0.21</f>
        <v>0</v>
      </c>
      <c r="J174" s="65"/>
      <c r="K174" s="65"/>
      <c r="L174" s="65">
        <f>SUM(venta_a_mes12[[#This Row],[IMPORTE NETO]:[EXENTO]])</f>
        <v>0</v>
      </c>
      <c r="M174" s="63"/>
    </row>
    <row r="175" spans="2:13">
      <c r="B175" s="101"/>
      <c r="C175" s="102"/>
      <c r="D175" s="103"/>
      <c r="E175" s="104"/>
      <c r="F175" s="105"/>
      <c r="G175" s="98" t="str">
        <f>IFERROR(IF(venta_a_mes12[[#This Row],[CUIT]]="","-",VLOOKUP(venta_a_mes12[[#This Row],[CUIT]],Lista_CUIT[#All],2,0)),"CUIT NO CARGADO")</f>
        <v>-</v>
      </c>
      <c r="H175" s="106"/>
      <c r="I175" s="107">
        <f>venta_a_mes12[[#This Row],[IMPORTE NETO]]*0.21</f>
        <v>0</v>
      </c>
      <c r="J175" s="72"/>
      <c r="K175" s="72"/>
      <c r="L175" s="72">
        <f>SUM(venta_a_mes12[[#This Row],[IMPORTE NETO]:[EXENTO]])</f>
        <v>0</v>
      </c>
      <c r="M175" s="63"/>
    </row>
    <row r="176" spans="2:13">
      <c r="B176" s="108"/>
      <c r="C176" s="109"/>
      <c r="D176" s="110"/>
      <c r="E176" s="111"/>
      <c r="F176" s="112"/>
      <c r="G176" s="98" t="str">
        <f>IFERROR(IF(venta_a_mes12[[#This Row],[CUIT]]="","-",VLOOKUP(venta_a_mes12[[#This Row],[CUIT]],Lista_CUIT[#All],2,0)),"CUIT NO CARGADO")</f>
        <v>-</v>
      </c>
      <c r="H176" s="99"/>
      <c r="I176" s="100">
        <f>venta_a_mes12[[#This Row],[IMPORTE NETO]]*0.21</f>
        <v>0</v>
      </c>
      <c r="J176" s="65"/>
      <c r="K176" s="65"/>
      <c r="L176" s="65">
        <f>SUM(venta_a_mes12[[#This Row],[IMPORTE NETO]:[EXENTO]])</f>
        <v>0</v>
      </c>
      <c r="M176" s="59"/>
    </row>
    <row r="177" spans="2:13">
      <c r="B177" s="66" t="s">
        <v>110</v>
      </c>
      <c r="C177" s="67"/>
      <c r="D177" s="67"/>
      <c r="E177" s="67"/>
      <c r="F177" s="67"/>
      <c r="G177" s="67"/>
      <c r="H177" s="69">
        <f>SUBTOTAL(109,venta_a_mes12[IMPORTE NETO])</f>
        <v>0</v>
      </c>
      <c r="I177" s="70">
        <f>SUBTOTAL(109,venta_a_mes12[IVA 21%])</f>
        <v>0</v>
      </c>
      <c r="J177" s="71">
        <f>SUBTOTAL(109,venta_a_mes12[IVA 10,5%])</f>
        <v>0</v>
      </c>
      <c r="K177" s="71">
        <f>SUBTOTAL(109,venta_a_mes12[EXENTO])</f>
        <v>0</v>
      </c>
      <c r="L177" s="71">
        <f>SUBTOTAL(109,venta_a_mes12[TOTAL])</f>
        <v>0</v>
      </c>
      <c r="M177" s="68">
        <f>SUBTOTAL(103,venta_a_mes12[Provincia])</f>
        <v>0</v>
      </c>
    </row>
    <row r="180" spans="2:13" ht="21">
      <c r="B180" s="666" t="s">
        <v>31</v>
      </c>
      <c r="C180" s="666"/>
    </row>
    <row r="181" spans="2:13" ht="15.75">
      <c r="B181" s="60" t="s">
        <v>0</v>
      </c>
      <c r="C181" s="61" t="s">
        <v>1</v>
      </c>
      <c r="D181" s="61" t="s">
        <v>21</v>
      </c>
      <c r="E181" s="61" t="s">
        <v>22</v>
      </c>
      <c r="F181" s="61" t="s">
        <v>3</v>
      </c>
      <c r="G181" s="61" t="s">
        <v>4</v>
      </c>
      <c r="H181" s="61" t="s">
        <v>23</v>
      </c>
      <c r="I181" s="61" t="s">
        <v>17</v>
      </c>
      <c r="J181" s="61" t="s">
        <v>7</v>
      </c>
      <c r="K181" s="61" t="s">
        <v>24</v>
      </c>
      <c r="L181" s="61" t="s">
        <v>10</v>
      </c>
      <c r="M181" s="62" t="s">
        <v>38</v>
      </c>
    </row>
    <row r="182" spans="2:13">
      <c r="B182" s="40"/>
      <c r="C182" s="41"/>
      <c r="D182" s="42"/>
      <c r="E182" s="43"/>
      <c r="F182" s="44"/>
      <c r="G182" s="1" t="str">
        <f>IFERROR(IF(ventas_b_mes12[[#This Row],[CUIT]]="","-",VLOOKUP(ventas_b_mes12[[#This Row],[CUIT]],Lista_CUIT[#All],2,0)),"CUIT NO CARGADO")</f>
        <v>-</v>
      </c>
      <c r="H182" s="64"/>
      <c r="I182" s="64"/>
      <c r="J182" s="64"/>
      <c r="K182" s="64"/>
      <c r="L182" s="64">
        <f>SUM(ventas_b_mes12[[#This Row],[IMPORTE NETO]:[EXENTO]])</f>
        <v>0</v>
      </c>
      <c r="M182" s="59"/>
    </row>
    <row r="183" spans="2:13">
      <c r="B183" s="40"/>
      <c r="C183" s="41"/>
      <c r="D183" s="42"/>
      <c r="E183" s="43"/>
      <c r="F183" s="44"/>
      <c r="G183" s="1"/>
      <c r="H183" s="64"/>
      <c r="I183" s="64"/>
      <c r="J183" s="64"/>
      <c r="K183" s="64"/>
      <c r="L183" s="64">
        <f>SUM(ventas_b_mes12[[#This Row],[IMPORTE NETO]:[EXENTO]])</f>
        <v>0</v>
      </c>
      <c r="M183" s="59"/>
    </row>
    <row r="184" spans="2:13">
      <c r="B184" s="40"/>
      <c r="C184" s="41"/>
      <c r="D184" s="42"/>
      <c r="E184" s="43"/>
      <c r="F184" s="44"/>
      <c r="G184" s="1"/>
      <c r="H184" s="64"/>
      <c r="I184" s="64"/>
      <c r="J184" s="64"/>
      <c r="K184" s="64"/>
      <c r="L184" s="64">
        <f>SUM(ventas_b_mes12[[#This Row],[IMPORTE NETO]:[EXENTO]])</f>
        <v>0</v>
      </c>
      <c r="M184" s="59"/>
    </row>
    <row r="185" spans="2:13">
      <c r="B185" s="40"/>
      <c r="C185" s="41"/>
      <c r="D185" s="42"/>
      <c r="E185" s="43"/>
      <c r="F185" s="44"/>
      <c r="G185" s="1"/>
      <c r="H185" s="64"/>
      <c r="I185" s="64"/>
      <c r="J185" s="64"/>
      <c r="K185" s="64"/>
      <c r="L185" s="64">
        <f>SUM(ventas_b_mes12[[#This Row],[IMPORTE NETO]:[EXENTO]])</f>
        <v>0</v>
      </c>
      <c r="M185" s="59"/>
    </row>
    <row r="186" spans="2:13">
      <c r="B186" s="40"/>
      <c r="C186" s="41"/>
      <c r="D186" s="42"/>
      <c r="E186" s="43"/>
      <c r="F186" s="44"/>
      <c r="G186" s="1"/>
      <c r="H186" s="64"/>
      <c r="I186" s="64"/>
      <c r="J186" s="64"/>
      <c r="K186" s="64"/>
      <c r="L186" s="64">
        <f>SUM(ventas_b_mes12[[#This Row],[IMPORTE NETO]:[EXENTO]])</f>
        <v>0</v>
      </c>
      <c r="M186" s="59"/>
    </row>
    <row r="187" spans="2:13">
      <c r="B187" s="40"/>
      <c r="C187" s="41"/>
      <c r="D187" s="42"/>
      <c r="E187" s="43"/>
      <c r="F187" s="44"/>
      <c r="G187" s="1"/>
      <c r="H187" s="64"/>
      <c r="I187" s="64"/>
      <c r="J187" s="64"/>
      <c r="K187" s="64"/>
      <c r="L187" s="64">
        <f>SUM(ventas_b_mes12[[#This Row],[IMPORTE NETO]:[EXENTO]])</f>
        <v>0</v>
      </c>
      <c r="M187" s="59"/>
    </row>
    <row r="188" spans="2:13">
      <c r="B188" s="66" t="s">
        <v>110</v>
      </c>
      <c r="C188" s="67"/>
      <c r="D188" s="67"/>
      <c r="E188" s="67"/>
      <c r="F188" s="67"/>
      <c r="G188" s="67"/>
      <c r="H188" s="77">
        <f>SUBTOTAL(109,ventas_b_mes12[IMPORTE NETO])</f>
        <v>0</v>
      </c>
      <c r="I188" s="77">
        <f>SUBTOTAL(109,ventas_b_mes12[IVA 21%])</f>
        <v>0</v>
      </c>
      <c r="J188" s="78">
        <f>SUBTOTAL(109,ventas_b_mes12[IVA 10,5%])</f>
        <v>0</v>
      </c>
      <c r="K188" s="78">
        <f>SUBTOTAL(109,ventas_b_mes12[EXENTO])</f>
        <v>0</v>
      </c>
      <c r="L188" s="78">
        <f>SUBTOTAL(109,ventas_b_mes12[TOTAL])</f>
        <v>0</v>
      </c>
      <c r="M188" s="68">
        <f>SUBTOTAL(103,ventas_b_mes12[Provincia])</f>
        <v>0</v>
      </c>
    </row>
    <row r="195" spans="3:12" ht="15.75" thickBot="1"/>
    <row r="196" spans="3:12" ht="15.75" thickTop="1">
      <c r="C196" s="663" t="s">
        <v>66</v>
      </c>
      <c r="D196" s="663"/>
      <c r="E196" s="663"/>
      <c r="F196" s="663"/>
      <c r="G196" s="663"/>
      <c r="H196" s="32"/>
      <c r="I196" s="32"/>
      <c r="J196" s="32"/>
    </row>
    <row r="197" spans="3:12" ht="15.75">
      <c r="C197" s="113" t="s">
        <v>67</v>
      </c>
      <c r="D197" s="114" t="s">
        <v>68</v>
      </c>
      <c r="E197" s="114" t="s">
        <v>112</v>
      </c>
      <c r="F197" s="114" t="s">
        <v>3</v>
      </c>
      <c r="G197" s="114" t="s">
        <v>4</v>
      </c>
      <c r="H197" s="115" t="s">
        <v>69</v>
      </c>
      <c r="I197" s="115" t="s">
        <v>70</v>
      </c>
      <c r="J197" s="115" t="s">
        <v>71</v>
      </c>
      <c r="K197" s="115" t="s">
        <v>72</v>
      </c>
      <c r="L197" s="115" t="s">
        <v>73</v>
      </c>
    </row>
    <row r="198" spans="3:12">
      <c r="C198" s="116"/>
      <c r="D198" s="117"/>
      <c r="E198" s="117"/>
      <c r="F198" s="118"/>
      <c r="G198" s="53" t="str">
        <f>IFERROR(IF(Retenciones_mes12[[#This Row],[CUIT]]="","-",VLOOKUP(Retenciones_mes12[[#This Row],[CUIT]],Lista_CUIT[#All],2,0)),"CUIT NO CARGADO")</f>
        <v>-</v>
      </c>
      <c r="H198" s="119"/>
      <c r="I198" s="119"/>
      <c r="J198" s="119"/>
      <c r="K198" s="119"/>
      <c r="L198" s="119"/>
    </row>
    <row r="199" spans="3:12">
      <c r="C199" s="116"/>
      <c r="D199" s="117"/>
      <c r="E199" s="117"/>
      <c r="F199" s="118"/>
      <c r="G199" s="53" t="str">
        <f>IFERROR(IF(Retenciones_mes12[[#This Row],[CUIT]]="","-",VLOOKUP(Retenciones_mes12[[#This Row],[CUIT]],Lista_CUIT[#All],2,0)),"CUIT NO CARGADO")</f>
        <v>-</v>
      </c>
      <c r="H199" s="119"/>
      <c r="I199" s="119"/>
      <c r="J199" s="119"/>
      <c r="K199" s="119"/>
      <c r="L199" s="119"/>
    </row>
    <row r="200" spans="3:12">
      <c r="C200" s="116"/>
      <c r="D200" s="117"/>
      <c r="E200" s="117"/>
      <c r="F200" s="118"/>
      <c r="G200" s="53" t="str">
        <f>IFERROR(IF(Retenciones_mes12[[#This Row],[CUIT]]="","-",VLOOKUP(Retenciones_mes12[[#This Row],[CUIT]],Lista_CUIT[#All],2,0)),"CUIT NO CARGADO")</f>
        <v>-</v>
      </c>
      <c r="H200" s="119"/>
      <c r="I200" s="119"/>
      <c r="J200" s="119"/>
      <c r="K200" s="119"/>
      <c r="L200" s="119"/>
    </row>
    <row r="201" spans="3:12">
      <c r="C201" s="116"/>
      <c r="D201" s="117"/>
      <c r="E201" s="117"/>
      <c r="F201" s="118"/>
      <c r="G201" s="53" t="str">
        <f>IFERROR(IF(Retenciones_mes12[[#This Row],[CUIT]]="","-",VLOOKUP(Retenciones_mes12[[#This Row],[CUIT]],Lista_CUIT[#All],2,0)),"CUIT NO CARGADO")</f>
        <v>-</v>
      </c>
      <c r="H201" s="119"/>
      <c r="I201" s="119"/>
      <c r="J201" s="119"/>
      <c r="K201" s="119"/>
      <c r="L201" s="119"/>
    </row>
    <row r="202" spans="3:12">
      <c r="D202" s="117"/>
      <c r="E202" s="117"/>
      <c r="G202" s="53" t="str">
        <f>IFERROR(IF(Retenciones_mes12[[#This Row],[CUIT]]="","-",VLOOKUP(Retenciones_mes12[[#This Row],[CUIT]],Lista_CUIT[#All],2,0)),"CUIT NO CARGADO")</f>
        <v>-</v>
      </c>
    </row>
    <row r="203" spans="3:12">
      <c r="C203" s="33"/>
    </row>
  </sheetData>
  <mergeCells count="20">
    <mergeCell ref="C196:G196"/>
    <mergeCell ref="B4:E4"/>
    <mergeCell ref="G4:H4"/>
    <mergeCell ref="J4:K4"/>
    <mergeCell ref="M4:N4"/>
    <mergeCell ref="D133:K133"/>
    <mergeCell ref="B164:J164"/>
    <mergeCell ref="K164:M164"/>
    <mergeCell ref="B166:C166"/>
    <mergeCell ref="B180:C180"/>
    <mergeCell ref="P4:R4"/>
    <mergeCell ref="D124:L12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82:L187">
      <formula1>IF($C182=8,H182&lt;0,H182&gt;=0)</formula1>
    </dataValidation>
    <dataValidation type="custom" allowBlank="1" showInputMessage="1" showErrorMessage="1" sqref="L170:L172">
      <formula1>IF(#REF!=3,#REF!&lt;0,#REF!&gt;=0)</formula1>
    </dataValidation>
    <dataValidation type="custom" allowBlank="1" showInputMessage="1" showErrorMessage="1" sqref="L168:L169">
      <formula1>IF($C9=3,L9&lt;0,L9&gt;=0)</formula1>
    </dataValidation>
    <dataValidation type="whole" allowBlank="1" showInputMessage="1" showErrorMessage="1" sqref="C182:C187">
      <formula1>6</formula1>
      <formula2>8</formula2>
    </dataValidation>
    <dataValidation type="custom" allowBlank="1" showInputMessage="1" showErrorMessage="1" sqref="H168:K168 H170:K170 H172:K172 H174:K174">
      <formula1>IF($C168=3,H168&lt;0,H168&gt;=0)</formula1>
    </dataValidation>
    <dataValidation type="whole" allowBlank="1" showInputMessage="1" showErrorMessage="1" sqref="C120:C123 C168:C176 C9:C118">
      <formula1>1</formula1>
      <formula2>3</formula2>
    </dataValidation>
    <dataValidation type="date" allowBlank="1" showInputMessage="1" showErrorMessage="1" sqref="D126:D128 B168:B176 B120:B123 B182:B187 B9:B118 D135:D158">
      <formula1>40179</formula1>
      <formula2>TODAY()</formula2>
    </dataValidation>
    <dataValidation type="whole" allowBlank="1" showInputMessage="1" showErrorMessage="1" sqref="F168:F176 F182:F187 F9:F118 G135:G158">
      <formula1>20000000000</formula1>
      <formula2>33999999999</formula2>
    </dataValidation>
    <dataValidation type="whole" allowBlank="1" showInputMessage="1" showErrorMessage="1" sqref="E168:E176 E182:E187 E9:E118 F135:F158">
      <formula1>1</formula1>
      <formula2>99999999</formula2>
    </dataValidation>
    <dataValidation type="whole" allowBlank="1" showInputMessage="1" showErrorMessage="1" sqref="D168:D176 D182:D187 D9:D118 E135:E158">
      <formula1>1</formula1>
      <formula2>9999</formula2>
    </dataValidation>
    <dataValidation type="custom" allowBlank="1" showInputMessage="1" showErrorMessage="1" sqref="L173:L174">
      <formula1>IF($C119=3,L119&lt;0,L119&gt;=0)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18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theme="8" tint="0.39997558519241921"/>
  </sheetPr>
  <dimension ref="B2:Q108"/>
  <sheetViews>
    <sheetView showGridLines="0" topLeftCell="A2" zoomScaleNormal="100" workbookViewId="0">
      <selection activeCell="D5" sqref="D5"/>
    </sheetView>
  </sheetViews>
  <sheetFormatPr baseColWidth="10" defaultColWidth="11.5703125" defaultRowHeight="15"/>
  <cols>
    <col min="1" max="1" width="3.42578125" customWidth="1"/>
    <col min="3" max="3" width="20.42578125" bestFit="1" customWidth="1"/>
    <col min="4" max="4" width="12.5703125" bestFit="1" customWidth="1"/>
    <col min="5" max="5" width="14.140625" customWidth="1"/>
    <col min="6" max="6" width="3.42578125" customWidth="1"/>
    <col min="8" max="8" width="20.42578125" bestFit="1" customWidth="1"/>
    <col min="9" max="9" width="12.5703125" bestFit="1" customWidth="1"/>
    <col min="10" max="10" width="13.5703125" customWidth="1"/>
    <col min="11" max="11" width="2.140625" customWidth="1"/>
    <col min="13" max="13" width="17.42578125" customWidth="1"/>
    <col min="14" max="14" width="12.5703125" bestFit="1" customWidth="1"/>
    <col min="15" max="15" width="13.85546875" customWidth="1"/>
    <col min="16" max="16" width="6.5703125" customWidth="1"/>
  </cols>
  <sheetData>
    <row r="2" spans="2:17" ht="31.5">
      <c r="B2" s="684" t="s">
        <v>59</v>
      </c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</row>
    <row r="3" spans="2:17" ht="11.1" customHeight="1" thickBot="1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>
      <c r="B4" s="680">
        <f>'Ene-24'!N1</f>
        <v>45292</v>
      </c>
      <c r="C4" s="681"/>
      <c r="D4" s="681"/>
      <c r="E4" s="682"/>
      <c r="F4" s="3"/>
      <c r="G4" s="680">
        <f>EDATE($B$4,1)</f>
        <v>45323</v>
      </c>
      <c r="H4" s="681"/>
      <c r="I4" s="681"/>
      <c r="J4" s="682"/>
      <c r="K4" s="3"/>
      <c r="L4" s="680">
        <f>EDATE($G$4,1)</f>
        <v>45352</v>
      </c>
      <c r="M4" s="681"/>
      <c r="N4" s="681"/>
      <c r="O4" s="682"/>
    </row>
    <row r="5" spans="2:17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>
      <c r="B25" s="11"/>
      <c r="C25" s="14"/>
      <c r="D25" s="120"/>
      <c r="E25" s="18"/>
      <c r="F25" s="3"/>
      <c r="G25" s="11" t="str">
        <f>IF($B$25="","",$B$25)</f>
        <v/>
      </c>
      <c r="H25" s="14" t="str">
        <f>IF($C$25="","",$C$25)</f>
        <v/>
      </c>
      <c r="I25" s="120"/>
      <c r="J25" s="18"/>
      <c r="K25" s="3"/>
      <c r="L25" s="11" t="str">
        <f>IF($B$25="","",$B$25)</f>
        <v/>
      </c>
      <c r="M25" s="14" t="str">
        <f>IF($C$25="","",$C$25)</f>
        <v/>
      </c>
      <c r="N25" s="120"/>
      <c r="O25" s="18"/>
    </row>
    <row r="26" spans="2:17">
      <c r="B26" s="11"/>
      <c r="C26" s="14"/>
      <c r="D26" s="120"/>
      <c r="E26" s="18"/>
      <c r="F26" s="3"/>
      <c r="G26" s="11" t="str">
        <f>IF($B$26="","",$B$26)</f>
        <v/>
      </c>
      <c r="H26" s="14" t="str">
        <f>IF($C$26="","",$C$26)</f>
        <v/>
      </c>
      <c r="I26" s="120"/>
      <c r="J26" s="18"/>
      <c r="K26" s="3"/>
      <c r="L26" s="11" t="str">
        <f>IF($B$26="","",$B$26)</f>
        <v/>
      </c>
      <c r="M26" s="14" t="str">
        <f>IF($C$26="","",$C$26)</f>
        <v/>
      </c>
      <c r="N26" s="120"/>
      <c r="O26" s="18"/>
    </row>
    <row r="27" spans="2:17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>
      <c r="B28" s="683" t="s">
        <v>54</v>
      </c>
      <c r="C28" s="683"/>
      <c r="D28" s="683"/>
      <c r="E28" s="8">
        <v>0</v>
      </c>
      <c r="F28" s="3"/>
      <c r="G28" s="683" t="s">
        <v>55</v>
      </c>
      <c r="H28" s="683"/>
      <c r="I28" s="683"/>
      <c r="J28" s="8">
        <v>0</v>
      </c>
      <c r="K28" s="3"/>
      <c r="L28" s="683" t="s">
        <v>56</v>
      </c>
      <c r="M28" s="683"/>
      <c r="N28" s="683"/>
      <c r="O28" s="8">
        <v>0</v>
      </c>
    </row>
    <row r="29" spans="2:17" ht="15.75" thickBot="1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>
      <c r="B30" s="680">
        <f>EDATE($L$4,1)</f>
        <v>45383</v>
      </c>
      <c r="C30" s="681"/>
      <c r="D30" s="681"/>
      <c r="E30" s="682"/>
      <c r="F30" s="3"/>
      <c r="G30" s="680">
        <f>EDATE($B$30,1)</f>
        <v>45413</v>
      </c>
      <c r="H30" s="681"/>
      <c r="I30" s="681"/>
      <c r="J30" s="682"/>
      <c r="K30" s="3"/>
      <c r="L30" s="680">
        <f>EDATE($G$30,1)</f>
        <v>45444</v>
      </c>
      <c r="M30" s="681"/>
      <c r="N30" s="681"/>
      <c r="O30" s="682"/>
    </row>
    <row r="31" spans="2:17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>
      <c r="B51" s="11" t="str">
        <f>IF($B$25="","",$B$25)</f>
        <v/>
      </c>
      <c r="C51" s="14" t="str">
        <f>IF($C$25="","",$C$25)</f>
        <v/>
      </c>
      <c r="D51" s="120"/>
      <c r="E51" s="18"/>
      <c r="F51" s="3"/>
      <c r="G51" s="11" t="str">
        <f>IF($B$25="","",$B$25)</f>
        <v/>
      </c>
      <c r="H51" s="14" t="str">
        <f>IF($C$25="","",$C$25)</f>
        <v/>
      </c>
      <c r="I51" s="120"/>
      <c r="J51" s="18"/>
      <c r="K51" s="3"/>
      <c r="L51" s="11" t="str">
        <f>IF($B$25="","",$B$25)</f>
        <v/>
      </c>
      <c r="M51" s="14" t="str">
        <f>IF($C$25="","",$C$25)</f>
        <v/>
      </c>
      <c r="N51" s="120"/>
      <c r="O51" s="18"/>
    </row>
    <row r="52" spans="2:15">
      <c r="B52" s="11" t="str">
        <f>IF($B$26="","",$B$26)</f>
        <v/>
      </c>
      <c r="C52" s="14" t="str">
        <f>IF($C$26="","",$C$26)</f>
        <v/>
      </c>
      <c r="D52" s="120"/>
      <c r="E52" s="18"/>
      <c r="F52" s="3"/>
      <c r="G52" s="11" t="str">
        <f>IF($B$26="","",$B$26)</f>
        <v/>
      </c>
      <c r="H52" s="14" t="str">
        <f>IF($C$26="","",$C$26)</f>
        <v/>
      </c>
      <c r="I52" s="120"/>
      <c r="J52" s="18"/>
      <c r="K52" s="3"/>
      <c r="L52" s="11" t="str">
        <f>IF($B$26="","",$B$26)</f>
        <v/>
      </c>
      <c r="M52" s="14" t="str">
        <f>IF($C$26="","",$C$26)</f>
        <v/>
      </c>
      <c r="N52" s="120"/>
      <c r="O52" s="18"/>
    </row>
    <row r="53" spans="2:1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>
      <c r="B54" s="683"/>
      <c r="C54" s="683"/>
      <c r="D54" s="683"/>
      <c r="E54" s="8">
        <v>0</v>
      </c>
      <c r="F54" s="3"/>
      <c r="G54" s="683"/>
      <c r="H54" s="683"/>
      <c r="I54" s="683"/>
      <c r="J54" s="8">
        <v>0</v>
      </c>
      <c r="K54" s="3"/>
      <c r="L54" s="683"/>
      <c r="M54" s="683"/>
      <c r="N54" s="683"/>
      <c r="O54" s="8">
        <v>0</v>
      </c>
    </row>
    <row r="55" spans="2:15" ht="15.75" thickBo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>
      <c r="B56" s="680">
        <f>EDATE($L$30,1)</f>
        <v>45474</v>
      </c>
      <c r="C56" s="681"/>
      <c r="D56" s="681"/>
      <c r="E56" s="682"/>
      <c r="F56" s="3"/>
      <c r="G56" s="680">
        <f>EDATE($B$56,1)</f>
        <v>45505</v>
      </c>
      <c r="H56" s="681"/>
      <c r="I56" s="681"/>
      <c r="J56" s="682"/>
      <c r="K56" s="3"/>
      <c r="L56" s="680">
        <f>EDATE($G$56,1)</f>
        <v>45536</v>
      </c>
      <c r="M56" s="681"/>
      <c r="N56" s="681"/>
      <c r="O56" s="682"/>
    </row>
    <row r="57" spans="2:1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>
      <c r="B77" s="11" t="str">
        <f>IF($B$25="","",$B$25)</f>
        <v/>
      </c>
      <c r="C77" s="14" t="str">
        <f>IF($C$25="","",$C$25)</f>
        <v/>
      </c>
      <c r="D77" s="120"/>
      <c r="E77" s="18"/>
      <c r="F77" s="3"/>
      <c r="G77" s="11" t="str">
        <f>IF($B$25="","",$B$25)</f>
        <v/>
      </c>
      <c r="H77" s="14" t="str">
        <f>IF($C$25="","",$C$25)</f>
        <v/>
      </c>
      <c r="I77" s="120"/>
      <c r="J77" s="18"/>
      <c r="K77" s="3"/>
      <c r="L77" s="11" t="str">
        <f>IF($B$25="","",$B$25)</f>
        <v/>
      </c>
      <c r="M77" s="14" t="str">
        <f>IF($C$25="","",$C$25)</f>
        <v/>
      </c>
      <c r="N77" s="120"/>
      <c r="O77" s="18"/>
    </row>
    <row r="78" spans="2:15">
      <c r="B78" s="11" t="str">
        <f>IF($B$26="","",$B$26)</f>
        <v/>
      </c>
      <c r="C78" s="14" t="str">
        <f>IF($C$26="","",$C$26)</f>
        <v/>
      </c>
      <c r="D78" s="120"/>
      <c r="E78" s="18"/>
      <c r="F78" s="3"/>
      <c r="G78" s="11" t="str">
        <f>IF($B$26="","",$B$26)</f>
        <v/>
      </c>
      <c r="H78" s="14" t="str">
        <f>IF($C$26="","",$C$26)</f>
        <v/>
      </c>
      <c r="I78" s="120"/>
      <c r="J78" s="18"/>
      <c r="K78" s="3"/>
      <c r="L78" s="11" t="str">
        <f>IF($B$26="","",$B$26)</f>
        <v/>
      </c>
      <c r="M78" s="14" t="str">
        <f>IF($C$26="","",$C$26)</f>
        <v/>
      </c>
      <c r="N78" s="120"/>
      <c r="O78" s="18"/>
    </row>
    <row r="79" spans="2:1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>
      <c r="B80" s="683"/>
      <c r="C80" s="683"/>
      <c r="D80" s="683"/>
      <c r="E80" s="8">
        <v>0</v>
      </c>
      <c r="F80" s="3"/>
      <c r="G80" s="683"/>
      <c r="H80" s="683"/>
      <c r="I80" s="683"/>
      <c r="J80" s="8">
        <v>0</v>
      </c>
      <c r="K80" s="3"/>
      <c r="L80" s="683"/>
      <c r="M80" s="683"/>
      <c r="N80" s="683"/>
      <c r="O80" s="8">
        <v>0</v>
      </c>
    </row>
    <row r="81" spans="2:15" ht="15.75" thickBo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>
      <c r="B82" s="680">
        <f>EDATE($L$56,1)</f>
        <v>45566</v>
      </c>
      <c r="C82" s="681"/>
      <c r="D82" s="681"/>
      <c r="E82" s="682"/>
      <c r="F82" s="3"/>
      <c r="G82" s="680">
        <f>EDATE($B$82,1)</f>
        <v>45597</v>
      </c>
      <c r="H82" s="681"/>
      <c r="I82" s="681"/>
      <c r="J82" s="682"/>
      <c r="K82" s="3"/>
      <c r="L82" s="680">
        <f>EDATE($G$82,1)</f>
        <v>45627</v>
      </c>
      <c r="M82" s="681"/>
      <c r="N82" s="681"/>
      <c r="O82" s="682"/>
    </row>
    <row r="83" spans="2:1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>
      <c r="B103" s="11" t="str">
        <f>IF($B$25="","",$B$25)</f>
        <v/>
      </c>
      <c r="C103" s="14" t="str">
        <f>IF($C$25="","",$C$25)</f>
        <v/>
      </c>
      <c r="D103" s="120"/>
      <c r="E103" s="18"/>
      <c r="F103" s="3"/>
      <c r="G103" s="11" t="str">
        <f>IF($B$25="","",$B$25)</f>
        <v/>
      </c>
      <c r="H103" s="14" t="str">
        <f>IF($C$25="","",$C$25)</f>
        <v/>
      </c>
      <c r="I103" s="120"/>
      <c r="J103" s="18"/>
      <c r="K103" s="3"/>
      <c r="L103" s="11" t="str">
        <f>IF($B$25="","",$B$25)</f>
        <v/>
      </c>
      <c r="M103" s="14" t="str">
        <f>IF($C$25="","",$C$25)</f>
        <v/>
      </c>
      <c r="N103" s="120"/>
      <c r="O103" s="18"/>
    </row>
    <row r="104" spans="2:15">
      <c r="B104" s="11" t="str">
        <f>IF($B$26="","",$B$26)</f>
        <v/>
      </c>
      <c r="C104" s="14" t="str">
        <f>IF($C$26="","",$C$26)</f>
        <v/>
      </c>
      <c r="D104" s="120"/>
      <c r="E104" s="18"/>
      <c r="F104" s="3"/>
      <c r="G104" s="11" t="str">
        <f>IF($B$26="","",$B$26)</f>
        <v/>
      </c>
      <c r="H104" s="14" t="str">
        <f>IF($C$26="","",$C$26)</f>
        <v/>
      </c>
      <c r="I104" s="120"/>
      <c r="J104" s="18"/>
      <c r="K104" s="3"/>
      <c r="L104" s="11" t="str">
        <f>IF($B$26="","",$B$26)</f>
        <v/>
      </c>
      <c r="M104" s="14" t="str">
        <f>IF($C$26="","",$C$26)</f>
        <v/>
      </c>
      <c r="N104" s="120"/>
      <c r="O104" s="18"/>
    </row>
    <row r="105" spans="2:1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>
      <c r="B106" s="683"/>
      <c r="C106" s="683"/>
      <c r="D106" s="683"/>
      <c r="E106" s="8">
        <v>0</v>
      </c>
      <c r="F106" s="3"/>
      <c r="G106" s="683"/>
      <c r="H106" s="683"/>
      <c r="I106" s="683"/>
      <c r="J106" s="8">
        <v>0</v>
      </c>
      <c r="K106" s="3"/>
      <c r="L106" s="683"/>
      <c r="M106" s="683"/>
      <c r="N106" s="683"/>
      <c r="O106" s="8">
        <v>0</v>
      </c>
    </row>
    <row r="107" spans="2:15">
      <c r="B107" s="3"/>
      <c r="C107" s="3"/>
      <c r="D107" s="3"/>
      <c r="E107" s="3"/>
      <c r="L107" s="679"/>
      <c r="M107" s="679"/>
      <c r="N107" s="679"/>
      <c r="O107" s="3"/>
    </row>
    <row r="108" spans="2:1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8" tint="0.39997558519241921"/>
  </sheetPr>
  <dimension ref="A2:R30"/>
  <sheetViews>
    <sheetView showGridLines="0" topLeftCell="A32" workbookViewId="0">
      <selection activeCell="H51" sqref="H50:H51"/>
    </sheetView>
  </sheetViews>
  <sheetFormatPr baseColWidth="10" defaultColWidth="0" defaultRowHeight="15"/>
  <cols>
    <col min="1" max="1" width="3.425781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>
      <c r="B2" s="684" t="s">
        <v>60</v>
      </c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</row>
    <row r="3" spans="2:15" ht="15.75" thickBo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>
      <c r="B4" s="680">
        <f>'Ene-24'!N1</f>
        <v>45292</v>
      </c>
      <c r="C4" s="681"/>
      <c r="D4" s="681"/>
      <c r="E4" s="682"/>
      <c r="F4" s="3"/>
      <c r="G4" s="680">
        <f>EDATE($B$4,1)</f>
        <v>45323</v>
      </c>
      <c r="H4" s="681"/>
      <c r="I4" s="681"/>
      <c r="J4" s="682"/>
      <c r="K4" s="3"/>
      <c r="L4" s="680">
        <f>EDATE($B$4,2)</f>
        <v>45352</v>
      </c>
      <c r="M4" s="681"/>
      <c r="N4" s="681"/>
      <c r="O4" s="682"/>
    </row>
    <row r="5" spans="2:1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>
      <c r="B11" s="680">
        <f>EDATE($B$4,3)</f>
        <v>45383</v>
      </c>
      <c r="C11" s="681"/>
      <c r="D11" s="681"/>
      <c r="E11" s="682"/>
      <c r="F11" s="3"/>
      <c r="G11" s="680">
        <f>EDATE($B$4,4)</f>
        <v>45413</v>
      </c>
      <c r="H11" s="681"/>
      <c r="I11" s="681"/>
      <c r="J11" s="682"/>
      <c r="K11" s="3"/>
      <c r="L11" s="680">
        <f>EDATE($B$4,5)</f>
        <v>45444</v>
      </c>
      <c r="M11" s="681"/>
      <c r="N11" s="681"/>
      <c r="O11" s="682"/>
    </row>
    <row r="12" spans="2:1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>
      <c r="B18" s="680">
        <f>EDATE($B$4,6)</f>
        <v>45474</v>
      </c>
      <c r="C18" s="681"/>
      <c r="D18" s="681"/>
      <c r="E18" s="682"/>
      <c r="F18" s="3"/>
      <c r="G18" s="680">
        <f>EDATE($B$4,7)</f>
        <v>45505</v>
      </c>
      <c r="H18" s="681"/>
      <c r="I18" s="681"/>
      <c r="J18" s="682"/>
      <c r="K18" s="3"/>
      <c r="L18" s="680">
        <f>EDATE($B$4,8)</f>
        <v>45536</v>
      </c>
      <c r="M18" s="681"/>
      <c r="N18" s="681"/>
      <c r="O18" s="682"/>
    </row>
    <row r="19" spans="2:1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>
      <c r="B25" s="680">
        <f>EDATE($B$4,9)</f>
        <v>45566</v>
      </c>
      <c r="C25" s="681"/>
      <c r="D25" s="681"/>
      <c r="E25" s="682"/>
      <c r="F25" s="3"/>
      <c r="G25" s="680">
        <f>EDATE($B$4,10)</f>
        <v>45597</v>
      </c>
      <c r="H25" s="681"/>
      <c r="I25" s="681"/>
      <c r="J25" s="682"/>
      <c r="K25" s="3"/>
      <c r="L25" s="680">
        <f>EDATE($B$4,11)</f>
        <v>45627</v>
      </c>
      <c r="M25" s="681"/>
      <c r="N25" s="681"/>
      <c r="O25" s="682"/>
    </row>
    <row r="26" spans="2:1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J19"/>
  <sheetViews>
    <sheetView workbookViewId="0">
      <selection activeCell="I19" sqref="I19:J19"/>
    </sheetView>
  </sheetViews>
  <sheetFormatPr baseColWidth="10" defaultColWidth="11.5703125" defaultRowHeight="15"/>
  <sheetData>
    <row r="1" spans="1:10">
      <c r="A1" t="s">
        <v>5</v>
      </c>
      <c r="B1" t="s">
        <v>2353</v>
      </c>
      <c r="C1" t="s">
        <v>19</v>
      </c>
      <c r="D1" t="s">
        <v>2354</v>
      </c>
      <c r="F1" t="s">
        <v>2170</v>
      </c>
    </row>
    <row r="2" spans="1:10">
      <c r="A2">
        <v>24</v>
      </c>
      <c r="B2">
        <f>A2*21/100</f>
        <v>5.04</v>
      </c>
      <c r="G2" t="s">
        <v>5</v>
      </c>
      <c r="H2" t="s">
        <v>2353</v>
      </c>
      <c r="I2" t="s">
        <v>19</v>
      </c>
      <c r="J2" t="s">
        <v>2354</v>
      </c>
    </row>
    <row r="3" spans="1:10">
      <c r="A3">
        <v>16</v>
      </c>
      <c r="B3">
        <f t="shared" ref="B3:B18" si="0">A3*21/100</f>
        <v>3.36</v>
      </c>
      <c r="G3">
        <v>50</v>
      </c>
      <c r="H3">
        <f>G3*21/100</f>
        <v>10.5</v>
      </c>
    </row>
    <row r="4" spans="1:10">
      <c r="A4">
        <v>16</v>
      </c>
      <c r="B4">
        <f t="shared" si="0"/>
        <v>3.36</v>
      </c>
      <c r="G4">
        <v>50</v>
      </c>
      <c r="H4">
        <f t="shared" ref="H4:H18" si="1">G4*21/100</f>
        <v>10.5</v>
      </c>
    </row>
    <row r="5" spans="1:10">
      <c r="A5">
        <v>315</v>
      </c>
      <c r="B5">
        <f t="shared" si="0"/>
        <v>66.150000000000006</v>
      </c>
      <c r="G5">
        <v>25</v>
      </c>
      <c r="H5">
        <f t="shared" si="1"/>
        <v>5.25</v>
      </c>
    </row>
    <row r="6" spans="1:10">
      <c r="A6">
        <v>16</v>
      </c>
      <c r="B6">
        <f t="shared" si="0"/>
        <v>3.36</v>
      </c>
      <c r="G6">
        <v>25</v>
      </c>
      <c r="H6">
        <f t="shared" si="1"/>
        <v>5.25</v>
      </c>
    </row>
    <row r="7" spans="1:10">
      <c r="A7">
        <v>16</v>
      </c>
      <c r="B7">
        <f t="shared" si="0"/>
        <v>3.36</v>
      </c>
      <c r="G7">
        <v>25</v>
      </c>
      <c r="H7">
        <f t="shared" si="1"/>
        <v>5.25</v>
      </c>
      <c r="J7">
        <v>1200</v>
      </c>
    </row>
    <row r="8" spans="1:10">
      <c r="A8">
        <v>2000</v>
      </c>
      <c r="B8">
        <f t="shared" si="0"/>
        <v>420</v>
      </c>
      <c r="C8">
        <v>60</v>
      </c>
      <c r="G8">
        <v>25</v>
      </c>
      <c r="H8">
        <f t="shared" si="1"/>
        <v>5.25</v>
      </c>
    </row>
    <row r="9" spans="1:10">
      <c r="A9">
        <v>16</v>
      </c>
      <c r="B9">
        <f t="shared" si="0"/>
        <v>3.36</v>
      </c>
      <c r="G9">
        <v>30000</v>
      </c>
      <c r="H9">
        <f t="shared" si="1"/>
        <v>6300</v>
      </c>
      <c r="I9">
        <v>900</v>
      </c>
    </row>
    <row r="10" spans="1:10">
      <c r="A10">
        <v>16</v>
      </c>
      <c r="B10">
        <f t="shared" si="0"/>
        <v>3.36</v>
      </c>
      <c r="C10">
        <v>660</v>
      </c>
      <c r="D10">
        <v>880</v>
      </c>
      <c r="H10">
        <f t="shared" si="1"/>
        <v>0</v>
      </c>
    </row>
    <row r="11" spans="1:10">
      <c r="A11">
        <v>22000</v>
      </c>
      <c r="B11">
        <f t="shared" si="0"/>
        <v>4620</v>
      </c>
      <c r="H11">
        <f t="shared" si="1"/>
        <v>0</v>
      </c>
    </row>
    <row r="12" spans="1:10">
      <c r="B12">
        <f t="shared" si="0"/>
        <v>0</v>
      </c>
      <c r="H12">
        <f t="shared" si="1"/>
        <v>0</v>
      </c>
    </row>
    <row r="13" spans="1:10">
      <c r="B13">
        <f t="shared" si="0"/>
        <v>0</v>
      </c>
      <c r="H13">
        <f t="shared" si="1"/>
        <v>0</v>
      </c>
    </row>
    <row r="14" spans="1:10">
      <c r="B14">
        <f t="shared" si="0"/>
        <v>0</v>
      </c>
      <c r="H14">
        <f t="shared" si="1"/>
        <v>0</v>
      </c>
    </row>
    <row r="15" spans="1:10">
      <c r="B15">
        <f t="shared" si="0"/>
        <v>0</v>
      </c>
      <c r="H15">
        <f t="shared" si="1"/>
        <v>0</v>
      </c>
    </row>
    <row r="16" spans="1:10">
      <c r="B16">
        <f t="shared" si="0"/>
        <v>0</v>
      </c>
      <c r="H16">
        <f t="shared" si="1"/>
        <v>0</v>
      </c>
    </row>
    <row r="17" spans="1:10">
      <c r="B17">
        <f t="shared" si="0"/>
        <v>0</v>
      </c>
      <c r="H17">
        <f t="shared" si="1"/>
        <v>0</v>
      </c>
    </row>
    <row r="18" spans="1:10">
      <c r="B18">
        <f t="shared" si="0"/>
        <v>0</v>
      </c>
      <c r="H18">
        <f t="shared" si="1"/>
        <v>0</v>
      </c>
    </row>
    <row r="19" spans="1:10">
      <c r="A19">
        <f>SUM(A2:A18)</f>
        <v>24435</v>
      </c>
      <c r="B19">
        <f t="shared" ref="B19:D19" si="2">SUM(B2:B18)</f>
        <v>5131.3500000000004</v>
      </c>
      <c r="C19">
        <f t="shared" si="2"/>
        <v>720</v>
      </c>
      <c r="D19">
        <f t="shared" si="2"/>
        <v>880</v>
      </c>
      <c r="G19">
        <f>SUM(G3:G18)</f>
        <v>30200</v>
      </c>
      <c r="H19">
        <f t="shared" ref="H19:J19" si="3">SUM(H3:H18)</f>
        <v>6342</v>
      </c>
      <c r="I19">
        <f t="shared" si="3"/>
        <v>900</v>
      </c>
      <c r="J19">
        <f t="shared" si="3"/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Ene-24</vt:lpstr>
      <vt:lpstr>Feb-24</vt:lpstr>
      <vt:lpstr>Mar-24</vt:lpstr>
      <vt:lpstr>Abr-24</vt:lpstr>
      <vt:lpstr>May-24</vt:lpstr>
      <vt:lpstr>Jun-24</vt:lpstr>
      <vt:lpstr>Jul-24</vt:lpstr>
      <vt:lpstr>Ago-24</vt:lpstr>
      <vt:lpstr>Sep-24</vt:lpstr>
      <vt:lpstr>Oct-24</vt:lpstr>
      <vt:lpstr>Nov-24</vt:lpstr>
      <vt:lpstr>Dic-24</vt:lpstr>
      <vt:lpstr>Asto-Cpras</vt:lpstr>
      <vt:lpstr>Asto-Vtas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Hogar</cp:lastModifiedBy>
  <dcterms:created xsi:type="dcterms:W3CDTF">2006-09-16T00:00:00Z</dcterms:created>
  <dcterms:modified xsi:type="dcterms:W3CDTF">2025-04-08T16:52:52Z</dcterms:modified>
</cp:coreProperties>
</file>