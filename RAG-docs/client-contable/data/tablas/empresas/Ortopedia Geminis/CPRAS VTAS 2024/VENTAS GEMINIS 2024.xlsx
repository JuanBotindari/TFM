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ORTOPEDIA GEMINIS\CPRAS VTAS 2024\"/>
    </mc:Choice>
  </mc:AlternateContent>
  <xr:revisionPtr revIDLastSave="0" documentId="13_ncr:1_{DDB95F5F-FACB-4840-91A2-C200AC3C06E6}" xr6:coauthVersionLast="47" xr6:coauthVersionMax="47" xr10:uidLastSave="{00000000-0000-0000-0000-000000000000}"/>
  <bookViews>
    <workbookView xWindow="14430" yWindow="0" windowWidth="14100" windowHeight="10815" firstSheet="8" activeTab="11" xr2:uid="{00000000-000D-0000-FFFF-FFFF00000000}"/>
  </bookViews>
  <sheets>
    <sheet name="01-2024" sheetId="1" r:id="rId1"/>
    <sheet name="02-2024" sheetId="2" r:id="rId2"/>
    <sheet name="03-2024" sheetId="3" r:id="rId3"/>
    <sheet name="04-2024" sheetId="4" r:id="rId4"/>
    <sheet name="05-2024" sheetId="5" r:id="rId5"/>
    <sheet name="06-2024" sheetId="6" r:id="rId6"/>
    <sheet name="07-2024" sheetId="7" r:id="rId7"/>
    <sheet name="08-2024" sheetId="8" r:id="rId8"/>
    <sheet name="09-2024" sheetId="9" r:id="rId9"/>
    <sheet name="09-2024 (2)" sheetId="10" r:id="rId10"/>
    <sheet name="10-2024" sheetId="11" r:id="rId11"/>
    <sheet name="11-2024" sheetId="12" r:id="rId12"/>
    <sheet name="12-2024" sheetId="14" r:id="rId13"/>
  </sheets>
  <definedNames>
    <definedName name="_xlnm._FilterDatabase" localSheetId="0" hidden="1">'01-2024'!$A$85:$N$337</definedName>
    <definedName name="_xlnm._FilterDatabase" localSheetId="5" hidden="1">'06-2024'!$A$4:$N$364</definedName>
    <definedName name="_xlnm._FilterDatabase" localSheetId="6" hidden="1">'07-2024'!$A$99:$N$386</definedName>
    <definedName name="_xlnm._FilterDatabase" localSheetId="7" hidden="1">'08-2024'!$A$81:$N$487</definedName>
    <definedName name="_xlnm._FilterDatabase" localSheetId="8" hidden="1">'09-2024'!$A$4:$N$433</definedName>
    <definedName name="_xlnm._FilterDatabase" localSheetId="9" hidden="1">'09-2024 (2)'!$A$66:$N$441</definedName>
    <definedName name="_xlnm._FilterDatabase" localSheetId="10" hidden="1">'10-2024'!$A$100:$Q$508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51" i="14" l="1"/>
  <c r="I443" i="14" l="1"/>
  <c r="J443" i="14"/>
  <c r="K443" i="14"/>
  <c r="L443" i="14"/>
  <c r="M443" i="14"/>
  <c r="N443" i="14"/>
  <c r="O443" i="14"/>
  <c r="H443" i="14"/>
  <c r="K450" i="14" s="1"/>
  <c r="I99" i="14"/>
  <c r="J99" i="14"/>
  <c r="K99" i="14"/>
  <c r="L99" i="14"/>
  <c r="M99" i="14"/>
  <c r="N99" i="14"/>
  <c r="O99" i="14"/>
  <c r="H99" i="14"/>
  <c r="K449" i="14" s="1"/>
  <c r="M450" i="14" l="1"/>
  <c r="N450" i="14" s="1"/>
  <c r="N451" i="14" s="1"/>
  <c r="M449" i="14"/>
  <c r="N449" i="14" s="1"/>
  <c r="K451" i="14"/>
  <c r="P353" i="12"/>
  <c r="P223" i="12"/>
  <c r="P161" i="12"/>
  <c r="P149" i="12"/>
  <c r="P101" i="12"/>
  <c r="P18" i="12"/>
  <c r="P525" i="12"/>
  <c r="N532" i="12"/>
  <c r="M525" i="12"/>
  <c r="N525" i="12"/>
  <c r="O525" i="12"/>
  <c r="Q525" i="12"/>
  <c r="L525" i="12"/>
  <c r="M353" i="12"/>
  <c r="N353" i="12"/>
  <c r="O353" i="12"/>
  <c r="Q353" i="12"/>
  <c r="L353" i="12"/>
  <c r="L223" i="12"/>
  <c r="M223" i="12"/>
  <c r="N223" i="12"/>
  <c r="O223" i="12"/>
  <c r="Q223" i="12"/>
  <c r="M161" i="12"/>
  <c r="N161" i="12"/>
  <c r="O161" i="12"/>
  <c r="Q161" i="12"/>
  <c r="L161" i="12"/>
  <c r="M149" i="12"/>
  <c r="N149" i="12"/>
  <c r="O149" i="12"/>
  <c r="Q149" i="12"/>
  <c r="L149" i="12"/>
  <c r="L101" i="12"/>
  <c r="M101" i="12"/>
  <c r="N101" i="12"/>
  <c r="O101" i="12"/>
  <c r="Q101" i="12"/>
  <c r="L18" i="12"/>
  <c r="M18" i="12"/>
  <c r="N18" i="12"/>
  <c r="O18" i="12"/>
  <c r="Q18" i="12"/>
  <c r="M530" i="12" l="1"/>
  <c r="O531" i="12"/>
  <c r="M531" i="12"/>
  <c r="M532" i="12" s="1"/>
  <c r="M451" i="14"/>
  <c r="O530" i="12"/>
  <c r="P530" i="12" s="1"/>
  <c r="G441" i="10"/>
  <c r="G443" i="10" s="1"/>
  <c r="H441" i="10"/>
  <c r="H443" i="10" s="1"/>
  <c r="I441" i="10"/>
  <c r="I443" i="10" s="1"/>
  <c r="J441" i="10"/>
  <c r="J443" i="10" s="1"/>
  <c r="K441" i="10"/>
  <c r="L441" i="10"/>
  <c r="L443" i="10" s="1"/>
  <c r="M441" i="10"/>
  <c r="M443" i="10" s="1"/>
  <c r="N441" i="10"/>
  <c r="F441" i="10"/>
  <c r="O532" i="12" l="1"/>
  <c r="P531" i="12"/>
  <c r="P532" i="12" s="1"/>
  <c r="M509" i="11"/>
  <c r="N509" i="11"/>
  <c r="O509" i="11"/>
  <c r="P509" i="11"/>
  <c r="Q509" i="11"/>
  <c r="Q511" i="11" s="1"/>
  <c r="L509" i="11"/>
  <c r="L511" i="11" s="1"/>
  <c r="M99" i="11"/>
  <c r="N99" i="11"/>
  <c r="O99" i="11"/>
  <c r="P99" i="11"/>
  <c r="Q99" i="11"/>
  <c r="L99" i="11"/>
  <c r="P511" i="11" l="1"/>
  <c r="N385" i="10"/>
  <c r="K385" i="10"/>
  <c r="F385" i="10"/>
  <c r="N65" i="10"/>
  <c r="K65" i="10"/>
  <c r="F65" i="10"/>
  <c r="N23" i="10"/>
  <c r="K23" i="10"/>
  <c r="F23" i="10"/>
  <c r="E447" i="10" s="1"/>
  <c r="F449" i="10"/>
  <c r="F432" i="9"/>
  <c r="G432" i="9"/>
  <c r="H432" i="9"/>
  <c r="I432" i="9"/>
  <c r="J432" i="9"/>
  <c r="L432" i="9"/>
  <c r="M432" i="9"/>
  <c r="N432" i="9"/>
  <c r="K432" i="9"/>
  <c r="K443" i="10" l="1"/>
  <c r="N443" i="10"/>
  <c r="F443" i="10"/>
  <c r="E448" i="10"/>
  <c r="E449" i="10" s="1"/>
  <c r="G447" i="10"/>
  <c r="J447" i="10" s="1"/>
  <c r="F494" i="8"/>
  <c r="F80" i="8"/>
  <c r="G487" i="8"/>
  <c r="H487" i="8"/>
  <c r="I487" i="8"/>
  <c r="J487" i="8"/>
  <c r="K487" i="8"/>
  <c r="L487" i="8"/>
  <c r="M487" i="8"/>
  <c r="N487" i="8"/>
  <c r="F487" i="8"/>
  <c r="G418" i="8"/>
  <c r="H418" i="8"/>
  <c r="I418" i="8"/>
  <c r="J418" i="8"/>
  <c r="K418" i="8"/>
  <c r="L418" i="8"/>
  <c r="M418" i="8"/>
  <c r="N418" i="8"/>
  <c r="F418" i="8"/>
  <c r="G25" i="8"/>
  <c r="H25" i="8"/>
  <c r="I25" i="8"/>
  <c r="J25" i="8"/>
  <c r="K25" i="8"/>
  <c r="L25" i="8"/>
  <c r="M25" i="8"/>
  <c r="N25" i="8"/>
  <c r="F25" i="8"/>
  <c r="E492" i="8" l="1"/>
  <c r="G448" i="10"/>
  <c r="G449" i="10"/>
  <c r="J448" i="10"/>
  <c r="J449" i="10" s="1"/>
  <c r="E493" i="8"/>
  <c r="E494" i="8" s="1"/>
  <c r="G493" i="8"/>
  <c r="G492" i="8"/>
  <c r="J492" i="8" s="1"/>
  <c r="F449" i="7"/>
  <c r="G449" i="7" s="1"/>
  <c r="H449" i="7" s="1"/>
  <c r="F18" i="7"/>
  <c r="K16" i="7"/>
  <c r="K18" i="7" s="1"/>
  <c r="K5" i="7"/>
  <c r="N5" i="7" s="1"/>
  <c r="K6" i="7"/>
  <c r="N6" i="7" s="1"/>
  <c r="K7" i="7"/>
  <c r="N7" i="7" s="1"/>
  <c r="K8" i="7"/>
  <c r="N8" i="7" s="1"/>
  <c r="K9" i="7"/>
  <c r="N9" i="7" s="1"/>
  <c r="K10" i="7"/>
  <c r="N10" i="7" s="1"/>
  <c r="K11" i="7"/>
  <c r="N11" i="7" s="1"/>
  <c r="K12" i="7"/>
  <c r="N12" i="7" s="1"/>
  <c r="K13" i="7"/>
  <c r="N13" i="7" s="1"/>
  <c r="F14" i="7"/>
  <c r="G18" i="7"/>
  <c r="H18" i="7"/>
  <c r="I18" i="7"/>
  <c r="J18" i="7"/>
  <c r="L18" i="7"/>
  <c r="M18" i="7"/>
  <c r="K23" i="7"/>
  <c r="N23" i="7" s="1"/>
  <c r="N30" i="7" s="1"/>
  <c r="F30" i="7"/>
  <c r="G30" i="7"/>
  <c r="H30" i="7"/>
  <c r="I30" i="7"/>
  <c r="J30" i="7"/>
  <c r="L30" i="7"/>
  <c r="M30" i="7"/>
  <c r="F98" i="7"/>
  <c r="G98" i="7"/>
  <c r="H98" i="7"/>
  <c r="I98" i="7"/>
  <c r="J98" i="7"/>
  <c r="K98" i="7"/>
  <c r="L98" i="7"/>
  <c r="M98" i="7"/>
  <c r="N98" i="7"/>
  <c r="F386" i="7"/>
  <c r="G386" i="7"/>
  <c r="H386" i="7"/>
  <c r="I386" i="7"/>
  <c r="J386" i="7"/>
  <c r="K386" i="7"/>
  <c r="L386" i="7"/>
  <c r="M386" i="7"/>
  <c r="N386" i="7"/>
  <c r="F444" i="7"/>
  <c r="G444" i="7"/>
  <c r="H444" i="7"/>
  <c r="I444" i="7"/>
  <c r="J444" i="7"/>
  <c r="K444" i="7"/>
  <c r="L444" i="7"/>
  <c r="M444" i="7"/>
  <c r="N444" i="7"/>
  <c r="F450" i="7"/>
  <c r="G446" i="7" l="1"/>
  <c r="N16" i="7"/>
  <c r="N18" i="7" s="1"/>
  <c r="L446" i="7"/>
  <c r="G494" i="8"/>
  <c r="J493" i="8"/>
  <c r="J494" i="8" s="1"/>
  <c r="H446" i="7"/>
  <c r="F451" i="7"/>
  <c r="J446" i="7"/>
  <c r="F446" i="7"/>
  <c r="K30" i="7"/>
  <c r="M446" i="7"/>
  <c r="I446" i="7"/>
  <c r="G450" i="7"/>
  <c r="K14" i="7"/>
  <c r="E369" i="6"/>
  <c r="D369" i="6"/>
  <c r="F369" i="6" s="1"/>
  <c r="E368" i="6"/>
  <c r="D368" i="6"/>
  <c r="G364" i="6"/>
  <c r="H364" i="6"/>
  <c r="I364" i="6"/>
  <c r="J364" i="6"/>
  <c r="K364" i="6"/>
  <c r="L364" i="6"/>
  <c r="M364" i="6"/>
  <c r="N364" i="6"/>
  <c r="F364" i="6"/>
  <c r="F368" i="6" l="1"/>
  <c r="K446" i="7"/>
  <c r="G451" i="7"/>
  <c r="H450" i="7"/>
  <c r="H451" i="7" s="1"/>
  <c r="N14" i="7"/>
  <c r="N446" i="7" s="1"/>
  <c r="E370" i="6"/>
  <c r="D370" i="6"/>
  <c r="F370" i="6"/>
  <c r="I380" i="5"/>
  <c r="I379" i="5"/>
  <c r="F376" i="5"/>
  <c r="G376" i="5"/>
  <c r="H376" i="5"/>
  <c r="I376" i="5"/>
  <c r="J376" i="5"/>
  <c r="K376" i="5"/>
  <c r="L376" i="5"/>
  <c r="M376" i="5"/>
  <c r="N376" i="5"/>
  <c r="G381" i="5" l="1"/>
  <c r="H381" i="5"/>
  <c r="I381" i="5"/>
  <c r="H334" i="4"/>
  <c r="G334" i="4"/>
  <c r="I333" i="4"/>
  <c r="I332" i="4"/>
  <c r="G329" i="4"/>
  <c r="H329" i="4"/>
  <c r="I329" i="4"/>
  <c r="J329" i="4"/>
  <c r="K329" i="4"/>
  <c r="L329" i="4"/>
  <c r="M329" i="4"/>
  <c r="N329" i="4"/>
  <c r="F329" i="4"/>
  <c r="I334" i="4" l="1"/>
  <c r="N265" i="3"/>
  <c r="L271" i="3" s="1"/>
  <c r="K265" i="3"/>
  <c r="K271" i="3" s="1"/>
  <c r="F265" i="3"/>
  <c r="J271" i="3" s="1"/>
  <c r="N62" i="3"/>
  <c r="L270" i="3" s="1"/>
  <c r="K62" i="3"/>
  <c r="K270" i="3" s="1"/>
  <c r="F62" i="3"/>
  <c r="J270" i="3" s="1"/>
  <c r="J272" i="3" l="1"/>
  <c r="K272" i="3"/>
  <c r="L272" i="3"/>
  <c r="N292" i="2"/>
  <c r="L296" i="2" s="1"/>
  <c r="N225" i="2"/>
  <c r="L297" i="2" s="1"/>
  <c r="F225" i="2"/>
  <c r="J297" i="2" s="1"/>
  <c r="F292" i="2"/>
  <c r="J296" i="2" s="1"/>
  <c r="K292" i="2"/>
  <c r="K296" i="2" s="1"/>
  <c r="K225" i="2"/>
  <c r="K297" i="2" s="1"/>
  <c r="K298" i="2" s="1"/>
  <c r="J298" i="2" l="1"/>
  <c r="M225" i="2"/>
  <c r="L225" i="2"/>
  <c r="J225" i="2"/>
  <c r="I225" i="2"/>
  <c r="H225" i="2"/>
  <c r="G225" i="2"/>
  <c r="N83" i="1"/>
  <c r="K83" i="1"/>
  <c r="I341" i="1" s="1"/>
  <c r="F83" i="1"/>
  <c r="H341" i="1" s="1"/>
  <c r="N337" i="1"/>
  <c r="K337" i="1"/>
  <c r="I342" i="1" s="1"/>
  <c r="F337" i="1"/>
  <c r="H342" i="1" s="1"/>
  <c r="J341" i="1" l="1"/>
  <c r="H343" i="1"/>
  <c r="I343" i="1"/>
  <c r="J342" i="1"/>
  <c r="F489" i="8"/>
  <c r="J343" i="1" l="1"/>
  <c r="K489" i="8"/>
  <c r="K80" i="8"/>
  <c r="H489" i="8"/>
  <c r="H80" i="8"/>
  <c r="J80" i="8"/>
  <c r="J489" i="8"/>
  <c r="M489" i="8"/>
  <c r="M80" i="8"/>
  <c r="I489" i="8"/>
  <c r="I80" i="8"/>
  <c r="N489" i="8"/>
  <c r="N80" i="8"/>
  <c r="L489" i="8"/>
  <c r="L80" i="8"/>
  <c r="G80" i="8"/>
  <c r="G489" i="8"/>
</calcChain>
</file>

<file path=xl/sharedStrings.xml><?xml version="1.0" encoding="utf-8"?>
<sst xmlns="http://schemas.openxmlformats.org/spreadsheetml/2006/main" count="24362" uniqueCount="4599">
  <si>
    <t>Ventas Libro de IVA 01/01/2024 - 31/01/2024</t>
  </si>
  <si>
    <t>Ortopedia Geminis S.A.</t>
  </si>
  <si>
    <t>Fecha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</si>
  <si>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</si>
  <si>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</si>
  <si>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</si>
  <si>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</si>
  <si>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</si>
  <si>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</si>
  <si>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</si>
  <si>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</si>
  <si>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</si>
  <si>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IVA 21%</t>
  </si>
  <si>
    <t>IVA 27%</t>
  </si>
  <si>
    <t>Otros Imp</t>
  </si>
  <si>
    <t>Total Compr.</t>
  </si>
  <si>
    <t>18/01/2024</t>
  </si>
  <si>
    <t>FA-A 0005-00000141</t>
  </si>
  <si>
    <t>Fran Glass S.R.L</t>
  </si>
  <si>
    <t>IVA Responsable Inscripto</t>
  </si>
  <si>
    <t>26/01/2024</t>
  </si>
  <si>
    <t>FA-A 0005-00000142</t>
  </si>
  <si>
    <t>Metalurgica Codel Srl</t>
  </si>
  <si>
    <t>02/01/2024</t>
  </si>
  <si>
    <t>FA-A 0006-00000422</t>
  </si>
  <si>
    <t>Galeno Argentina Sociedad Anonima</t>
  </si>
  <si>
    <t>03/01/2024</t>
  </si>
  <si>
    <t>FA-A 0006-00000423</t>
  </si>
  <si>
    <t>FA-A 0006-00000424</t>
  </si>
  <si>
    <t>04/01/2024</t>
  </si>
  <si>
    <t>FA-A 0006-00000425</t>
  </si>
  <si>
    <t>09/01/2024</t>
  </si>
  <si>
    <t>FA-A 0006-00000426</t>
  </si>
  <si>
    <t>FA-A 0006-00000427</t>
  </si>
  <si>
    <t>10/01/2024</t>
  </si>
  <si>
    <t>FA-A 0006-00000428</t>
  </si>
  <si>
    <t>Obra Social Union Personal De La Union  Del Personal Civil De La Nacion</t>
  </si>
  <si>
    <t>FA-A 0006-00000429</t>
  </si>
  <si>
    <t>11/01/2024</t>
  </si>
  <si>
    <t>FA-A 0006-00000430</t>
  </si>
  <si>
    <t>15/01/2024</t>
  </si>
  <si>
    <t>FA-A 0006-00000431</t>
  </si>
  <si>
    <t>22/01/2024</t>
  </si>
  <si>
    <t>FA-A 0006-00000432</t>
  </si>
  <si>
    <t>FA-A 0007-00001769</t>
  </si>
  <si>
    <t>Obra Social Del Personal De Las Telecomunicaciones De La Republica Argentina</t>
  </si>
  <si>
    <t>FA-A 0007-00001770</t>
  </si>
  <si>
    <t>FA-A 0007-00001771</t>
  </si>
  <si>
    <t>FA-A 0007-00001772</t>
  </si>
  <si>
    <t>FA-A 0007-00001773</t>
  </si>
  <si>
    <t>FA-A 0007-00001774</t>
  </si>
  <si>
    <t>FA-A 0007-00001775</t>
  </si>
  <si>
    <t>FA-A 0007-00001776</t>
  </si>
  <si>
    <t>FA-A 0007-00001777</t>
  </si>
  <si>
    <t>FA-A 0007-00001778</t>
  </si>
  <si>
    <t>FA-A 0007-00001779</t>
  </si>
  <si>
    <t>FA-A 0007-00001780</t>
  </si>
  <si>
    <t>FA-A 0007-00001781</t>
  </si>
  <si>
    <t>FA-A 0007-00001782</t>
  </si>
  <si>
    <t>FA-A 0007-00001783</t>
  </si>
  <si>
    <t>FA-A 0007-00001784</t>
  </si>
  <si>
    <t>FA-A 0007-00001785</t>
  </si>
  <si>
    <t>FA-A 0007-00001786</t>
  </si>
  <si>
    <t>FA-A 0007-00001787</t>
  </si>
  <si>
    <t>FA-A 0007-00001788</t>
  </si>
  <si>
    <t>05/01/2024</t>
  </si>
  <si>
    <t>FA-A 0007-00001789</t>
  </si>
  <si>
    <t>Hc Homecare Internacion Domiciliaria S.A.</t>
  </si>
  <si>
    <t>FA-A 0007-00001790</t>
  </si>
  <si>
    <t>FA-A 0007-00001791</t>
  </si>
  <si>
    <t>Zc Diabetes Srl</t>
  </si>
  <si>
    <t>08/01/2024</t>
  </si>
  <si>
    <t>FA-A 0007-00001792</t>
  </si>
  <si>
    <t>Amparo Salud S.R.L.</t>
  </si>
  <si>
    <t>FA-A 0007-00001793</t>
  </si>
  <si>
    <t>FA-A 0007-00001794</t>
  </si>
  <si>
    <t>EGESAC S.A.</t>
  </si>
  <si>
    <t>FA-A 0007-00001795</t>
  </si>
  <si>
    <t>Sc Pilar S.A.</t>
  </si>
  <si>
    <t>FA-A 0007-00001796</t>
  </si>
  <si>
    <t>Centro Medico Amenabar Srl</t>
  </si>
  <si>
    <t>FA-A 0007-00001797</t>
  </si>
  <si>
    <t>Fundacion Empresaria Maderera</t>
  </si>
  <si>
    <t>FA-A 0007-00001798</t>
  </si>
  <si>
    <t>Medicus Sociedad Anonima De Asistencia Medica Y Cientifica</t>
  </si>
  <si>
    <t>FA-A 0007-00001799</t>
  </si>
  <si>
    <t>Medincare Argentina S.A.</t>
  </si>
  <si>
    <t>FA-A 0007-00001800</t>
  </si>
  <si>
    <t>Login Door S.A</t>
  </si>
  <si>
    <t>FA-A 0007-00001801</t>
  </si>
  <si>
    <t>Alexander Fleming S A</t>
  </si>
  <si>
    <t>FA-A 0007-00001802</t>
  </si>
  <si>
    <t>MGR IMPLANTES SA</t>
  </si>
  <si>
    <t>FA-A 0007-00001803</t>
  </si>
  <si>
    <t>FA-A 0007-00001804</t>
  </si>
  <si>
    <t>FA-A 0007-00001805</t>
  </si>
  <si>
    <t>FA-A 0007-00001806</t>
  </si>
  <si>
    <t>FA-A 0007-00001807</t>
  </si>
  <si>
    <t>FA-A 0007-00001808</t>
  </si>
  <si>
    <t>FA-A 0007-00001809</t>
  </si>
  <si>
    <t>FA-A 0007-00001810</t>
  </si>
  <si>
    <t>FA-A 0007-00001811</t>
  </si>
  <si>
    <t>FA-A 0007-00001812</t>
  </si>
  <si>
    <t>FA-A 0007-00001813</t>
  </si>
  <si>
    <t>16/01/2024</t>
  </si>
  <si>
    <t>FA-A 0007-00001814</t>
  </si>
  <si>
    <t>FA-A 0007-00001815</t>
  </si>
  <si>
    <t>FA-A 0007-00001816</t>
  </si>
  <si>
    <t>NOBILI, MATIAS</t>
  </si>
  <si>
    <t>19/01/2024</t>
  </si>
  <si>
    <t>FA-A 0007-00001817</t>
  </si>
  <si>
    <t>FA-A 0007-00001818</t>
  </si>
  <si>
    <t>23/01/2024</t>
  </si>
  <si>
    <t>FA-A 0007-00001819</t>
  </si>
  <si>
    <t>FA-A 0007-00001820</t>
  </si>
  <si>
    <t>Atencion Ambulatoria Sa</t>
  </si>
  <si>
    <t>FA-A 0007-00001821</t>
  </si>
  <si>
    <t>FA-A 0007-00001822</t>
  </si>
  <si>
    <t>24/01/2024</t>
  </si>
  <si>
    <t>FA-A 0007-00001823</t>
  </si>
  <si>
    <t>Piaggio, Paula Andrea</t>
  </si>
  <si>
    <t>25/01/2024</t>
  </si>
  <si>
    <t>FA-A 0007-00001824</t>
  </si>
  <si>
    <t>31/01/2024</t>
  </si>
  <si>
    <t>FA-A 0007-00001825</t>
  </si>
  <si>
    <t>17/01/2024</t>
  </si>
  <si>
    <t>NC-A 0006-00000051</t>
  </si>
  <si>
    <t>NC-A 0006-00000052</t>
  </si>
  <si>
    <t>NC-A 0006-00000053</t>
  </si>
  <si>
    <t>NC-A 0007-00000123</t>
  </si>
  <si>
    <t>NC-A 0007-00000124</t>
  </si>
  <si>
    <t>NC-A 0007-00000125</t>
  </si>
  <si>
    <t>NC-A 0007-00000126</t>
  </si>
  <si>
    <t>FA-B 0005-00009772</t>
  </si>
  <si>
    <t>.CONSUMIDOR FINAL</t>
  </si>
  <si>
    <t>Consumidor Final</t>
  </si>
  <si>
    <t/>
  </si>
  <si>
    <t>FA-B 0005-00009773</t>
  </si>
  <si>
    <t>FA-B 0005-00009774</t>
  </si>
  <si>
    <t>FA-B 0005-00009775</t>
  </si>
  <si>
    <t>FA-B 0005-00009776</t>
  </si>
  <si>
    <t>FA-B 0005-00009777</t>
  </si>
  <si>
    <t>FA-B 0005-00009778</t>
  </si>
  <si>
    <t>FA-B 0005-00009779</t>
  </si>
  <si>
    <t>FA-B 0005-00009780</t>
  </si>
  <si>
    <t>FA-B 0005-00009781</t>
  </si>
  <si>
    <t>FA-B 0005-00009782</t>
  </si>
  <si>
    <t>FA-B 0005-00009783</t>
  </si>
  <si>
    <t>FA-B 0005-00009784</t>
  </si>
  <si>
    <t>FA-B 0005-00009785</t>
  </si>
  <si>
    <t>FA-B 0005-00009786</t>
  </si>
  <si>
    <t>FA-B 0005-00009787</t>
  </si>
  <si>
    <t>FA-B 0005-00009788</t>
  </si>
  <si>
    <t>FA-B 0005-00009789</t>
  </si>
  <si>
    <t>FA-B 0005-00009790</t>
  </si>
  <si>
    <t>FA-B 0005-00009791</t>
  </si>
  <si>
    <t>FA-B 0005-00009792</t>
  </si>
  <si>
    <t>FA-B 0005-00009793</t>
  </si>
  <si>
    <t>FA-B 0005-00009794</t>
  </si>
  <si>
    <t>FA-B 0005-00009795</t>
  </si>
  <si>
    <t>BARRERA THIAGO</t>
  </si>
  <si>
    <t>FA-B 0005-00009796</t>
  </si>
  <si>
    <t>FA-B 0005-00009797</t>
  </si>
  <si>
    <t>FA-B 0005-00009798</t>
  </si>
  <si>
    <t>FA-B 0005-00009799</t>
  </si>
  <si>
    <t>FA-B 0005-00009800</t>
  </si>
  <si>
    <t>FA-B 0005-00009801</t>
  </si>
  <si>
    <t>FA-B 0005-00009802</t>
  </si>
  <si>
    <t>FA-B 0005-00009803</t>
  </si>
  <si>
    <t>FA-B 0005-00009804</t>
  </si>
  <si>
    <t>FA-B 0005-00009805</t>
  </si>
  <si>
    <t>FA-B 0005-00009806</t>
  </si>
  <si>
    <t>FA-B 0005-00009807</t>
  </si>
  <si>
    <t>FA-B 0005-00009808</t>
  </si>
  <si>
    <t>FA-B 0005-00009809</t>
  </si>
  <si>
    <t>FA-B 0005-00009810</t>
  </si>
  <si>
    <t>BANAUDI MARÍA EMILIA</t>
  </si>
  <si>
    <t>FA-B 0005-00009811</t>
  </si>
  <si>
    <t>FA-B 0005-00009812</t>
  </si>
  <si>
    <t>FA-B 0005-00009813</t>
  </si>
  <si>
    <t>FA-B 0005-00009814</t>
  </si>
  <si>
    <t>FA-B 0005-00009815</t>
  </si>
  <si>
    <t>FA-B 0005-00009816</t>
  </si>
  <si>
    <t>FA-B 0005-00009817</t>
  </si>
  <si>
    <t>FA-B 0005-00009818</t>
  </si>
  <si>
    <t>FA-B 0005-00009819</t>
  </si>
  <si>
    <t>FA-B 0005-00009820</t>
  </si>
  <si>
    <t>FA-B 0005-00009821</t>
  </si>
  <si>
    <t>FA-B 0005-00009822</t>
  </si>
  <si>
    <t>FA-B 0005-00009823</t>
  </si>
  <si>
    <t>FA-B 0005-00009824</t>
  </si>
  <si>
    <t>FA-B 0005-00009825</t>
  </si>
  <si>
    <t>FA-B 0005-00009826</t>
  </si>
  <si>
    <t>FA-B 0005-00009827</t>
  </si>
  <si>
    <t>FA-B 0005-00009828</t>
  </si>
  <si>
    <t>FA-B 0005-00009829</t>
  </si>
  <si>
    <t>FA-B 0005-00009830</t>
  </si>
  <si>
    <t>FA-B 0005-00009831</t>
  </si>
  <si>
    <t>FA-B 0005-00009832</t>
  </si>
  <si>
    <t>FA-B 0005-00009833</t>
  </si>
  <si>
    <t>FA-B 0005-00009834</t>
  </si>
  <si>
    <t>LÓPEZ ISADORA</t>
  </si>
  <si>
    <t>FA-B 0005-00009835</t>
  </si>
  <si>
    <t>FA-B 0005-00009836</t>
  </si>
  <si>
    <t>FA-B 0005-00009837</t>
  </si>
  <si>
    <t>FA-B 0005-00009838</t>
  </si>
  <si>
    <t>CASTRO MATÍAS URIEL</t>
  </si>
  <si>
    <t>FA-B 0005-00009839</t>
  </si>
  <si>
    <t>FA-B 0005-00009840</t>
  </si>
  <si>
    <t>ACUÑA MARISOL</t>
  </si>
  <si>
    <t>FA-B 0005-00009841</t>
  </si>
  <si>
    <t>FA-B 0005-00009842</t>
  </si>
  <si>
    <t>FA-B 0005-00009843</t>
  </si>
  <si>
    <t>FA-B 0005-00009844</t>
  </si>
  <si>
    <t>FA-B 0005-00009845</t>
  </si>
  <si>
    <t>FA-B 0005-00009846</t>
  </si>
  <si>
    <t>FA-B 0005-00009847</t>
  </si>
  <si>
    <t>FA-B 0005-00009848</t>
  </si>
  <si>
    <t>FA-B 0005-00009849</t>
  </si>
  <si>
    <t>FA-B 0005-00009850</t>
  </si>
  <si>
    <t>FA-B 0005-00009851</t>
  </si>
  <si>
    <t>FA-B 0005-00009852</t>
  </si>
  <si>
    <t>12/01/2024</t>
  </si>
  <si>
    <t>FA-B 0005-00009853</t>
  </si>
  <si>
    <t>FA-B 0005-00009854</t>
  </si>
  <si>
    <t>FA-B 0005-00009855</t>
  </si>
  <si>
    <t>FA-B 0005-00009856</t>
  </si>
  <si>
    <t>FA-B 0005-00009857</t>
  </si>
  <si>
    <t>FA-B 0005-00009858</t>
  </si>
  <si>
    <t>FA-B 0005-00009859</t>
  </si>
  <si>
    <t>FA-B 0005-00009860</t>
  </si>
  <si>
    <t>FA-B 0005-00009861</t>
  </si>
  <si>
    <t>MEZZINA LUCÍA</t>
  </si>
  <si>
    <t>FA-B 0005-00009862</t>
  </si>
  <si>
    <t>FA-B 0005-00009863</t>
  </si>
  <si>
    <t>FA-B 0005-00009864</t>
  </si>
  <si>
    <t>FA-B 0005-00009865</t>
  </si>
  <si>
    <t>FA-B 0005-00009866</t>
  </si>
  <si>
    <t>FA-B 0005-00009867</t>
  </si>
  <si>
    <t>FA-B 0005-00009868</t>
  </si>
  <si>
    <t>FA-B 0005-00009869</t>
  </si>
  <si>
    <t>FA-B 0005-00009870</t>
  </si>
  <si>
    <t>FA-B 0005-00009871</t>
  </si>
  <si>
    <t>FA-B 0005-00009872</t>
  </si>
  <si>
    <t>FA-B 0005-00009873</t>
  </si>
  <si>
    <t>FA-B 0005-00009874</t>
  </si>
  <si>
    <t>FA-B 0005-00009875</t>
  </si>
  <si>
    <t>FA-B 0005-00009876</t>
  </si>
  <si>
    <t>FA-B 0005-00009877</t>
  </si>
  <si>
    <t>FA-B 0005-00009878</t>
  </si>
  <si>
    <t>FA-B 0005-00009879</t>
  </si>
  <si>
    <t>FA-B 0005-00009880</t>
  </si>
  <si>
    <t>FA-B 0005-00009881</t>
  </si>
  <si>
    <t>FA-B 0005-00009882</t>
  </si>
  <si>
    <t>DASSIEU MARÍA ESTHER</t>
  </si>
  <si>
    <t>FA-B 0005-00009883</t>
  </si>
  <si>
    <t>FA-B 0005-00009884</t>
  </si>
  <si>
    <t>FA-B 0005-00009885</t>
  </si>
  <si>
    <t>FA-B 0005-00009886</t>
  </si>
  <si>
    <t>FA-B 0005-00009887</t>
  </si>
  <si>
    <t>GUANZIROLI MERCEDES</t>
  </si>
  <si>
    <t>FA-B 0005-00009888</t>
  </si>
  <si>
    <t>FA-B 0005-00009889</t>
  </si>
  <si>
    <t>FA-B 0005-00009890</t>
  </si>
  <si>
    <t>FA-B 0005-00009891</t>
  </si>
  <si>
    <t>FA-B 0005-00009892</t>
  </si>
  <si>
    <t>FA-B 0005-00009893</t>
  </si>
  <si>
    <t>FA-B 0005-00009894</t>
  </si>
  <si>
    <t>FA-B 0005-00009895</t>
  </si>
  <si>
    <t>FA-B 0005-00009896</t>
  </si>
  <si>
    <t>FA-B 0005-00009897</t>
  </si>
  <si>
    <t>FA-B 0005-00009898</t>
  </si>
  <si>
    <t>FA-B 0005-00009899</t>
  </si>
  <si>
    <t>FA-B 0005-00009900</t>
  </si>
  <si>
    <t>FA-B 0005-00009901</t>
  </si>
  <si>
    <t>FA-B 0005-00009902</t>
  </si>
  <si>
    <t>FA-B 0005-00009903</t>
  </si>
  <si>
    <t>FA-B 0005-00009904</t>
  </si>
  <si>
    <t>FA-B 0005-00009905</t>
  </si>
  <si>
    <t>FA-B 0005-00009906</t>
  </si>
  <si>
    <t>FA-B 0005-00009907</t>
  </si>
  <si>
    <t>FA-B 0005-00009908</t>
  </si>
  <si>
    <t>FA-B 0005-00009909</t>
  </si>
  <si>
    <t>FA-B 0005-00009910</t>
  </si>
  <si>
    <t>GODOY ROCÍO</t>
  </si>
  <si>
    <t>FA-B 0005-00009911</t>
  </si>
  <si>
    <t>FA-B 0005-00009912</t>
  </si>
  <si>
    <t>FA-B 0005-00009913</t>
  </si>
  <si>
    <t>FA-B 0005-00009914</t>
  </si>
  <si>
    <t>FA-B 0005-00009915</t>
  </si>
  <si>
    <t>FA-B 0005-00009916</t>
  </si>
  <si>
    <t>FA-B 0005-00009917</t>
  </si>
  <si>
    <t>FA-B 0005-00009918</t>
  </si>
  <si>
    <t>FA-B 0005-00009919</t>
  </si>
  <si>
    <t>FA-B 0005-00009920</t>
  </si>
  <si>
    <t>FA-B 0005-00009921</t>
  </si>
  <si>
    <t>FA-B 0005-00009922</t>
  </si>
  <si>
    <t>FA-B 0005-00009923</t>
  </si>
  <si>
    <t>FA-B 0005-00009924</t>
  </si>
  <si>
    <t>FA-B 0005-00009925</t>
  </si>
  <si>
    <t>FA-B 0005-00009926</t>
  </si>
  <si>
    <t>FA-B 0005-00009927</t>
  </si>
  <si>
    <t>FA-B 0005-00009928</t>
  </si>
  <si>
    <t>FA-B 0005-00009929</t>
  </si>
  <si>
    <t>FA-B 0005-00009930</t>
  </si>
  <si>
    <t>29/01/2024</t>
  </si>
  <si>
    <t>FA-B 0005-00009931</t>
  </si>
  <si>
    <t>FA-B 0005-00009932</t>
  </si>
  <si>
    <t>FA-B 0005-00009933</t>
  </si>
  <si>
    <t>FA-B 0005-00009934</t>
  </si>
  <si>
    <t>FA-B 0005-00009935</t>
  </si>
  <si>
    <t>FA-B 0005-00009936</t>
  </si>
  <si>
    <t>FA-B 0005-00009937</t>
  </si>
  <si>
    <t>FA-B 0005-00009938</t>
  </si>
  <si>
    <t>FA-B 0005-00009939</t>
  </si>
  <si>
    <t>FA-B 0005-00009940</t>
  </si>
  <si>
    <t>FA-B 0005-00009941</t>
  </si>
  <si>
    <t>FA-B 0005-00009942</t>
  </si>
  <si>
    <t>30/01/2024</t>
  </si>
  <si>
    <t>FA-B 0005-00009943</t>
  </si>
  <si>
    <t>FA-B 0005-00009944</t>
  </si>
  <si>
    <t>FA-B 0005-00009945</t>
  </si>
  <si>
    <t>FA-B 0005-00009946</t>
  </si>
  <si>
    <t>FA-B 0005-00009947</t>
  </si>
  <si>
    <t>FA-B 0005-00009948</t>
  </si>
  <si>
    <t>FA-B 0005-00009949</t>
  </si>
  <si>
    <t>RECOUSO, ROBERTO</t>
  </si>
  <si>
    <t>FA-B 0005-00009950</t>
  </si>
  <si>
    <t>MAJIC LAURA</t>
  </si>
  <si>
    <t>FA-B 0005-00009951</t>
  </si>
  <si>
    <t>DIAZ MARTINA</t>
  </si>
  <si>
    <t>FA-B 0005-00009952</t>
  </si>
  <si>
    <t>FA-B 0005-00009953</t>
  </si>
  <si>
    <t>FA-B 0005-00009954</t>
  </si>
  <si>
    <t>FA-B 0005-00009955</t>
  </si>
  <si>
    <t>FA-B 0005-00009956</t>
  </si>
  <si>
    <t>FA-B 0005-00009957</t>
  </si>
  <si>
    <t>FA-B 0005-00009958</t>
  </si>
  <si>
    <t>FA-B 0005-00009959</t>
  </si>
  <si>
    <t>FA-B 0007-00004882</t>
  </si>
  <si>
    <t>TARANTO FACUNDO GABRIEL</t>
  </si>
  <si>
    <t>FA-B 0007-00004883</t>
  </si>
  <si>
    <t>Asociacion Mutual Sancor Salud</t>
  </si>
  <si>
    <t>IVA Sujeto Exento</t>
  </si>
  <si>
    <t>FA-B 0007-00004884</t>
  </si>
  <si>
    <t>Obra Social De Los Trabajadores De La Industria Del Gas</t>
  </si>
  <si>
    <t>FA-B 0007-00004885</t>
  </si>
  <si>
    <t>Obra Social Del Personal De La Industria Del Plastico</t>
  </si>
  <si>
    <t>FA-B 0007-00004886</t>
  </si>
  <si>
    <t>FA-B 0007-00004887</t>
  </si>
  <si>
    <t>ENRIQUETA MARIA DEL SOCORRO MAJO</t>
  </si>
  <si>
    <t>FA-B 0007-00004888</t>
  </si>
  <si>
    <t>Chiari Maria Enriqueta del Socorro</t>
  </si>
  <si>
    <t>FA-B 0007-00004889</t>
  </si>
  <si>
    <t>RAQUEL DURAÑONA</t>
  </si>
  <si>
    <t>FA-B 0007-00004890</t>
  </si>
  <si>
    <t>Herman Patricia</t>
  </si>
  <si>
    <t>FA-B 0007-00004891</t>
  </si>
  <si>
    <t>MARIA ELENA RODRIGUEZ</t>
  </si>
  <si>
    <t>FA-B 0007-00004892</t>
  </si>
  <si>
    <t xml:space="preserve">SAGGESE, ENRIQUE LUIS </t>
  </si>
  <si>
    <t>FA-B 0007-00004893</t>
  </si>
  <si>
    <t>VOLPI, ALBERTO JAVIER</t>
  </si>
  <si>
    <t>FA-B 0007-00004894</t>
  </si>
  <si>
    <t>FA-B 0007-00004895</t>
  </si>
  <si>
    <t xml:space="preserve">IZZO, ADRIANA </t>
  </si>
  <si>
    <t>FA-B 0007-00004896</t>
  </si>
  <si>
    <t>CARUSO LUCIA</t>
  </si>
  <si>
    <t>FA-B 0007-00004897</t>
  </si>
  <si>
    <t>SAENZ, MAGDALENA.</t>
  </si>
  <si>
    <t>FA-B 0007-00004898</t>
  </si>
  <si>
    <t>BUNCHICOFF, MARIA</t>
  </si>
  <si>
    <t>FA-B 0007-00004899</t>
  </si>
  <si>
    <t>Instituto Provincial De Salud De Salta  (Ips)</t>
  </si>
  <si>
    <t>FA-B 0007-00004900</t>
  </si>
  <si>
    <t>JUAN PABLO MINVIELLE</t>
  </si>
  <si>
    <t>FA-B 0007-00004901</t>
  </si>
  <si>
    <t xml:space="preserve">ARANA, MARCELLA OFELIA </t>
  </si>
  <si>
    <t>FA-B 0007-00004902</t>
  </si>
  <si>
    <t>CUDERO, SILVINA</t>
  </si>
  <si>
    <t>FA-B 0007-00004903</t>
  </si>
  <si>
    <t>MINERVINI, MARIA DEL CARMEN LILIANA</t>
  </si>
  <si>
    <t>FA-B 0007-00004904</t>
  </si>
  <si>
    <t>FA-B 0007-00004905</t>
  </si>
  <si>
    <t>Najus Anibal Ruben</t>
  </si>
  <si>
    <t>FA-B 0007-00004906</t>
  </si>
  <si>
    <t>Galeno A.R.T. S.A.</t>
  </si>
  <si>
    <t>FA-B 0007-00004907</t>
  </si>
  <si>
    <t>SCHELGEL, LUIS ALBERTO</t>
  </si>
  <si>
    <t>FA-B 0007-00004908</t>
  </si>
  <si>
    <t>PEDROZO, PAULA GABRIELA</t>
  </si>
  <si>
    <t>FA-B 0007-00004909</t>
  </si>
  <si>
    <t>ANDREOTTI, CECILIA BEATRIZ</t>
  </si>
  <si>
    <t>FA-B 0007-00004910</t>
  </si>
  <si>
    <t>REPETTO LYNCH, BENJAMIN MARIA</t>
  </si>
  <si>
    <t>FA-B 0007-00004911</t>
  </si>
  <si>
    <t>AGOSTINO MIRIAM</t>
  </si>
  <si>
    <t>FA-B 0007-00004912</t>
  </si>
  <si>
    <t>CAMPOS, SUSANA ESTER</t>
  </si>
  <si>
    <t>FA-B 0007-00004913</t>
  </si>
  <si>
    <t>LOMBARDO DE GATTO, ISABEL ROSA</t>
  </si>
  <si>
    <t>FA-B 0007-00004914</t>
  </si>
  <si>
    <t xml:space="preserve">NÚÑEZ DÍAZ, MICAELA VICTORIA </t>
  </si>
  <si>
    <t>FA-B 0007-00004915</t>
  </si>
  <si>
    <t>MAZÁS, NORBERTO EDUARDO</t>
  </si>
  <si>
    <t>FA-B 0007-00004916</t>
  </si>
  <si>
    <t>ZANOTTI, ANA LAURA</t>
  </si>
  <si>
    <t>FA-B 0007-00004917</t>
  </si>
  <si>
    <t>BIANCHI TERESA GERMANA</t>
  </si>
  <si>
    <t>FA-B 0007-00004918</t>
  </si>
  <si>
    <t>FA-B 0007-00004919</t>
  </si>
  <si>
    <t>DURAND DE CEBALLOS ROSA N</t>
  </si>
  <si>
    <t>FA-B 0007-00004920</t>
  </si>
  <si>
    <t>SORIANO, EDGARDO TOMAS</t>
  </si>
  <si>
    <t>FA-B 0007-00004921</t>
  </si>
  <si>
    <t>TRISTAN SARA ADELA</t>
  </si>
  <si>
    <t>FA-B 0007-00004922</t>
  </si>
  <si>
    <t>PINO, ANA PAULA</t>
  </si>
  <si>
    <t>FA-B 0007-00004923</t>
  </si>
  <si>
    <t>FIORI FRAVOLINI, HELENA</t>
  </si>
  <si>
    <t>FA-B 0007-00004924</t>
  </si>
  <si>
    <t xml:space="preserve">HIGA MARCELA SANDRA </t>
  </si>
  <si>
    <t>FA-B 0007-00004925</t>
  </si>
  <si>
    <t>FA-B 0007-00004926</t>
  </si>
  <si>
    <t>MIGUEL, EDUARDO ADRIAN</t>
  </si>
  <si>
    <t>FA-B 0007-00004927</t>
  </si>
  <si>
    <t>MONTI, MARIA PAULA</t>
  </si>
  <si>
    <t>FA-B 0007-00004928</t>
  </si>
  <si>
    <t>KARIVALI DESPINA</t>
  </si>
  <si>
    <t>FA-B 0007-00004929</t>
  </si>
  <si>
    <t>CAMPOBASSO, MARIANA LAURA</t>
  </si>
  <si>
    <t>FA-B 0007-00004930</t>
  </si>
  <si>
    <t>FERRAZIN, CAROLINA ELEONORA INES</t>
  </si>
  <si>
    <t>FA-B 0007-00004931</t>
  </si>
  <si>
    <t xml:space="preserve">SARA STRASBERG </t>
  </si>
  <si>
    <t>FA-B 0007-00004932</t>
  </si>
  <si>
    <t>Suburu Monica</t>
  </si>
  <si>
    <t>FA-B 0007-00004933</t>
  </si>
  <si>
    <t>SANZIO, INMACULADA CONCEPCION</t>
  </si>
  <si>
    <t>FA-B 0007-00004934</t>
  </si>
  <si>
    <t>Desalvo Miguel Angel</t>
  </si>
  <si>
    <t>FA-B 0007-00004935</t>
  </si>
  <si>
    <t>FA-B 0007-00004936</t>
  </si>
  <si>
    <t>ESCOT, ALICIA INES</t>
  </si>
  <si>
    <t>FA-B 0007-00004937</t>
  </si>
  <si>
    <t>CORIGLIANO, LORENA ELISA</t>
  </si>
  <si>
    <t>FA-B 0007-00004938</t>
  </si>
  <si>
    <t>MATSUO, MARGARITA NOEMI</t>
  </si>
  <si>
    <t>FA-B 0007-00004939</t>
  </si>
  <si>
    <t>HIDALGO OSCAR ATILIO</t>
  </si>
  <si>
    <t>FA-B 0007-00004940</t>
  </si>
  <si>
    <t>GABRIELA VANINA GALLO</t>
  </si>
  <si>
    <t>FA-B 0007-00004941</t>
  </si>
  <si>
    <t>ALEJANDRA SIFFREDI TORRES SANMARCO</t>
  </si>
  <si>
    <t>FA-B 0007-00004942</t>
  </si>
  <si>
    <t>SALLES, ANA MARIA</t>
  </si>
  <si>
    <t>FA-B 0007-00004943</t>
  </si>
  <si>
    <t>Romero Leonardo Gabriel</t>
  </si>
  <si>
    <t>NC-B 0007-00000146</t>
  </si>
  <si>
    <t>TOTAL</t>
  </si>
  <si>
    <t>NETO</t>
  </si>
  <si>
    <t xml:space="preserve">VENTAS A </t>
  </si>
  <si>
    <t>VENTAS B</t>
  </si>
  <si>
    <t xml:space="preserve">IVA </t>
  </si>
  <si>
    <t>Ventas Libro de IVA 01/02/2024 - 29/02/2024</t>
  </si>
  <si>
    <t>01/02/2024</t>
  </si>
  <si>
    <t>FA-B 0005-00009960</t>
  </si>
  <si>
    <t>FA-B 0005-00009961</t>
  </si>
  <si>
    <t>FA-B 0005-00009962</t>
  </si>
  <si>
    <t>FA-B 0005-00009963</t>
  </si>
  <si>
    <t>FA-B 0005-00009964</t>
  </si>
  <si>
    <t>FA-B 0005-00009965</t>
  </si>
  <si>
    <t>SANTORO MARIA</t>
  </si>
  <si>
    <t>FA-B 0005-00009966</t>
  </si>
  <si>
    <t>FA-B 0005-00009967</t>
  </si>
  <si>
    <t>NC-A 0006-00000054</t>
  </si>
  <si>
    <t>FA-B 0007-00004944</t>
  </si>
  <si>
    <t>FA-B 0007-00004945</t>
  </si>
  <si>
    <t>FA-B 0007-00004946</t>
  </si>
  <si>
    <t xml:space="preserve">GONZALEZ, LAURA BEATRIZ </t>
  </si>
  <si>
    <t>FA-B 0007-00004947</t>
  </si>
  <si>
    <t>TISSONE, JOSE ERNESTO</t>
  </si>
  <si>
    <t>FA-B 0007-00004948</t>
  </si>
  <si>
    <t>02/02/2024</t>
  </si>
  <si>
    <t>FA-B 0005-00009968</t>
  </si>
  <si>
    <t>FA-B 0005-00009969</t>
  </si>
  <si>
    <t>FA-B 0005-00009970</t>
  </si>
  <si>
    <t>FA-B 0005-00009971</t>
  </si>
  <si>
    <t>FA-B 0005-00009972</t>
  </si>
  <si>
    <t>FA-B 0005-00009973</t>
  </si>
  <si>
    <t>FA-B 0005-00009974</t>
  </si>
  <si>
    <t>FA-B 0005-00009975</t>
  </si>
  <si>
    <t>FA-B 0005-00009976</t>
  </si>
  <si>
    <t>FA-B 0005-00009977</t>
  </si>
  <si>
    <t>FA-A 0006-00000433</t>
  </si>
  <si>
    <t>FA-A 0006-00000434</t>
  </si>
  <si>
    <t>FA-B 0007-00004949</t>
  </si>
  <si>
    <t>FA-B 0007-00004950</t>
  </si>
  <si>
    <t>LOCOCO, CARMEN</t>
  </si>
  <si>
    <t>05/02/2024</t>
  </si>
  <si>
    <t>FA-B 0005-00009978</t>
  </si>
  <si>
    <t>FA-B 0005-00009979</t>
  </si>
  <si>
    <t>FA-B 0005-00009980</t>
  </si>
  <si>
    <t>FA-B 0005-00009981</t>
  </si>
  <si>
    <t>FA-B 0005-00009982</t>
  </si>
  <si>
    <t>FA-B 0005-00009983</t>
  </si>
  <si>
    <t>FA-B 0005-00009984</t>
  </si>
  <si>
    <t>FA-A 0006-00000435</t>
  </si>
  <si>
    <t>FA-B 0007-00004951</t>
  </si>
  <si>
    <t>FA-B 0007-00004952</t>
  </si>
  <si>
    <t>06/02/2024</t>
  </si>
  <si>
    <t>FA-B 0005-00009985</t>
  </si>
  <si>
    <t>FA-B 0005-00009986</t>
  </si>
  <si>
    <t>FA-B 0005-00009987</t>
  </si>
  <si>
    <t>ACOSTA JULIETA</t>
  </si>
  <si>
    <t>FA-B 0005-00009988</t>
  </si>
  <si>
    <t>FA-A 0006-00000436</t>
  </si>
  <si>
    <t>FA-A 0006-00000437</t>
  </si>
  <si>
    <t>NC-A 0007-00000127</t>
  </si>
  <si>
    <t>FA-A 0007-00001826</t>
  </si>
  <si>
    <t>FA-A 0007-00001827</t>
  </si>
  <si>
    <t>FA-A 0007-00001828</t>
  </si>
  <si>
    <t>FA-A 0007-00001829</t>
  </si>
  <si>
    <t>FA-A 0007-00001830</t>
  </si>
  <si>
    <t>FA-A 0007-00001831</t>
  </si>
  <si>
    <t>FA-A 0007-00001832</t>
  </si>
  <si>
    <t>FA-A 0007-00001833</t>
  </si>
  <si>
    <t>FA-A 0007-00001834</t>
  </si>
  <si>
    <t>FA-A 0007-00001835</t>
  </si>
  <si>
    <t>FA-B 0007-00004953</t>
  </si>
  <si>
    <t>FA-B 0007-00004954</t>
  </si>
  <si>
    <t>FA-B 0007-00004955</t>
  </si>
  <si>
    <t>07/02/2024</t>
  </si>
  <si>
    <t>FA-B 0005-00009989</t>
  </si>
  <si>
    <t>FA-B 0005-00009990</t>
  </si>
  <si>
    <t>FA-B 0005-00009991</t>
  </si>
  <si>
    <t>FA-B 0005-00009992</t>
  </si>
  <si>
    <t>FA-B 0005-00009993</t>
  </si>
  <si>
    <t>FA-B 0005-00009994</t>
  </si>
  <si>
    <t>FA-A 0006-00000438</t>
  </si>
  <si>
    <t>FA-A 0006-00000439</t>
  </si>
  <si>
    <t>FA-A 0006-00000440</t>
  </si>
  <si>
    <t>FA-A 0007-00001836</t>
  </si>
  <si>
    <t>FA-B 0007-00004956</t>
  </si>
  <si>
    <t>FA-B 0007-00004957</t>
  </si>
  <si>
    <t>FA-B 0007-00004958</t>
  </si>
  <si>
    <t>FA-B 0007-00004959</t>
  </si>
  <si>
    <t>FA-B 0007-00004960</t>
  </si>
  <si>
    <t>08/02/2024</t>
  </si>
  <si>
    <t>FA-B 0005-00009995</t>
  </si>
  <si>
    <t>FA-B 0005-00009996</t>
  </si>
  <si>
    <t>FA-B 0005-00009997</t>
  </si>
  <si>
    <t>FA-B 0005-00009998</t>
  </si>
  <si>
    <t>FA-B 0005-00009999</t>
  </si>
  <si>
    <t>FA-B 0005-00010000</t>
  </si>
  <si>
    <t>FA-B 0005-00010001</t>
  </si>
  <si>
    <t>FA-B 0005-00010002</t>
  </si>
  <si>
    <t>FA-A 0006-00000441</t>
  </si>
  <si>
    <t>FA-A 0006-00000442</t>
  </si>
  <si>
    <t>FA-A 0006-00000443</t>
  </si>
  <si>
    <t>FA-A 0006-00000444</t>
  </si>
  <si>
    <t>FA-A 0007-00001837</t>
  </si>
  <si>
    <t>FA-B 0007-00004961</t>
  </si>
  <si>
    <t>09/02/2024</t>
  </si>
  <si>
    <t>FA-B 0005-00010003</t>
  </si>
  <si>
    <t>ILIARTE DANIEL</t>
  </si>
  <si>
    <t>FA-B 0005-00010004</t>
  </si>
  <si>
    <t>FA-B 0005-00010005</t>
  </si>
  <si>
    <t>FA-B 0005-00010006</t>
  </si>
  <si>
    <t>FA-B 0005-00010007</t>
  </si>
  <si>
    <t>FA-B 0005-00010008</t>
  </si>
  <si>
    <t>FA-B 0005-00010009</t>
  </si>
  <si>
    <t>FA-B 0005-00010010</t>
  </si>
  <si>
    <t>FA-A 0006-00000445</t>
  </si>
  <si>
    <t>NC-A 0007-00000128</t>
  </si>
  <si>
    <t>NC-A 0007-00000129</t>
  </si>
  <si>
    <t>FA-A 0007-00001838</t>
  </si>
  <si>
    <t>FA-A 0007-00001839</t>
  </si>
  <si>
    <t>FA-A 0007-00001840</t>
  </si>
  <si>
    <t>FA-A 0007-00001841</t>
  </si>
  <si>
    <t>FA-A 0007-00001842</t>
  </si>
  <si>
    <t>FA-A 0007-00001843</t>
  </si>
  <si>
    <t>FA-A 0007-00001844</t>
  </si>
  <si>
    <t>FA-A 0007-00001845</t>
  </si>
  <si>
    <t>FA-A 0007-00001846</t>
  </si>
  <si>
    <t>FA-A 0007-00001847</t>
  </si>
  <si>
    <t>FA-A 0007-00001848</t>
  </si>
  <si>
    <t>FA-A 0007-00001849</t>
  </si>
  <si>
    <t>FA-A 0007-00001850</t>
  </si>
  <si>
    <t>FA-A 0007-00001851</t>
  </si>
  <si>
    <t>FA-A 0007-00001852</t>
  </si>
  <si>
    <t>FA-A 0007-00001853</t>
  </si>
  <si>
    <t>FA-A 0007-00001854</t>
  </si>
  <si>
    <t>FA-A 0007-00001855</t>
  </si>
  <si>
    <t>FA-A 0007-00001856</t>
  </si>
  <si>
    <t>FA-A 0007-00001857</t>
  </si>
  <si>
    <t>FA-A 0007-00001858</t>
  </si>
  <si>
    <t>FA-B 0007-00004962</t>
  </si>
  <si>
    <t>FA-B 0007-00004963</t>
  </si>
  <si>
    <t>FA-B 0007-00004964</t>
  </si>
  <si>
    <t>FA-B 0007-00004965</t>
  </si>
  <si>
    <t>FA-B 0007-00004966</t>
  </si>
  <si>
    <t>FA-B 0007-00004967</t>
  </si>
  <si>
    <t>FA-B 0007-00004968</t>
  </si>
  <si>
    <t>FA-B 0007-00004969</t>
  </si>
  <si>
    <t>14/02/2024</t>
  </si>
  <si>
    <t>FA-B 0005-00010011</t>
  </si>
  <si>
    <t>FA-B 0005-00010012</t>
  </si>
  <si>
    <t>FA-B 0005-00010013</t>
  </si>
  <si>
    <t>FA-B 0005-00010014</t>
  </si>
  <si>
    <t>FA-B 0005-00010015</t>
  </si>
  <si>
    <t>FA-B 0005-00010016</t>
  </si>
  <si>
    <t>FA-B 0005-00010017</t>
  </si>
  <si>
    <t>FA-A 0006-00000446</t>
  </si>
  <si>
    <t>FA-A 0006-00000447</t>
  </si>
  <si>
    <t>FA-B 0007-00004970</t>
  </si>
  <si>
    <t>15/02/2024</t>
  </si>
  <si>
    <t>FA-B 0005-00010018</t>
  </si>
  <si>
    <t>FA-B 0005-00010019</t>
  </si>
  <si>
    <t>FA-B 0005-00010020</t>
  </si>
  <si>
    <t>FA-B 0005-00010021</t>
  </si>
  <si>
    <t>FA-B 0005-00010022</t>
  </si>
  <si>
    <t>FA-B 0005-00010023</t>
  </si>
  <si>
    <t>FA-B 0005-00010024</t>
  </si>
  <si>
    <t>FA-B 0005-00010025</t>
  </si>
  <si>
    <t>FA-B 0005-00010026</t>
  </si>
  <si>
    <t>FA-B 0005-00010027</t>
  </si>
  <si>
    <t>FA-A 0006-00000448</t>
  </si>
  <si>
    <t>NC-A 0007-00000130</t>
  </si>
  <si>
    <t>NC-A 0007-00000131</t>
  </si>
  <si>
    <t>FA-A 0007-00001859</t>
  </si>
  <si>
    <t>FA-A 0007-00001860</t>
  </si>
  <si>
    <t>FA-B 0007-00004971</t>
  </si>
  <si>
    <t>USAL, DIEGO ARIEL</t>
  </si>
  <si>
    <t>16/02/2024</t>
  </si>
  <si>
    <t>FA-B 0005-00010028</t>
  </si>
  <si>
    <t>FA-B 0005-00010029</t>
  </si>
  <si>
    <t>FA-B 0005-00010030</t>
  </si>
  <si>
    <t>FA-B 0005-00010031</t>
  </si>
  <si>
    <t>FA-B 0005-00010032</t>
  </si>
  <si>
    <t>FA-B 0005-00010033</t>
  </si>
  <si>
    <t>FA-B 0005-00010034</t>
  </si>
  <si>
    <t>FA-B 0005-00010035</t>
  </si>
  <si>
    <t>FA-B 0005-00010036</t>
  </si>
  <si>
    <t>FA-B 0005-00010037</t>
  </si>
  <si>
    <t>FA-B 0005-00010038</t>
  </si>
  <si>
    <t>19/02/2024</t>
  </si>
  <si>
    <t>FA-B 0005-00010039</t>
  </si>
  <si>
    <t>FA-B 0005-00010040</t>
  </si>
  <si>
    <t>FA-B 0005-00010041</t>
  </si>
  <si>
    <t>FA-B 0005-00010042</t>
  </si>
  <si>
    <t>FA-B 0005-00010043</t>
  </si>
  <si>
    <t>FA-B 0005-00010044</t>
  </si>
  <si>
    <t>FA-B 0005-00010045</t>
  </si>
  <si>
    <t>NC-A 0007-00000132</t>
  </si>
  <si>
    <t>FA-A 0007-00001861</t>
  </si>
  <si>
    <t>FA-A 0007-00001862</t>
  </si>
  <si>
    <t>FA-B 0007-00004972</t>
  </si>
  <si>
    <t>ALANIS, IRENE LUISA</t>
  </si>
  <si>
    <t>20/02/2024</t>
  </si>
  <si>
    <t>FA-A 0005-00000143</t>
  </si>
  <si>
    <t>FA-B 0005-00010046</t>
  </si>
  <si>
    <t>FA-B 0005-00010047</t>
  </si>
  <si>
    <t>FA-B 0005-00010048</t>
  </si>
  <si>
    <t>FA-B 0005-00010049</t>
  </si>
  <si>
    <t>FA-B 0005-00010050</t>
  </si>
  <si>
    <t>FA-B 0005-00010051</t>
  </si>
  <si>
    <t>FA-B 0005-00010052</t>
  </si>
  <si>
    <t>FA-B 0005-00010053</t>
  </si>
  <si>
    <t>FA-B 0005-00010054</t>
  </si>
  <si>
    <t>FA-B 0005-00010055</t>
  </si>
  <si>
    <t>FA-B 0005-00010056</t>
  </si>
  <si>
    <t>FA-B 0007-00004973</t>
  </si>
  <si>
    <t>SILVIA ROLDAN</t>
  </si>
  <si>
    <t>21/02/2024</t>
  </si>
  <si>
    <t>FA-B 0005-00010057</t>
  </si>
  <si>
    <t>FA-B 0005-00010058</t>
  </si>
  <si>
    <t>SANABRIA ANTONELLA</t>
  </si>
  <si>
    <t>FA-B 0005-00010059</t>
  </si>
  <si>
    <t>FA-B 0005-00010060</t>
  </si>
  <si>
    <t>FA-B 0005-00010061</t>
  </si>
  <si>
    <t>FA-B 0005-00010062</t>
  </si>
  <si>
    <t>FA-B 0005-00010063</t>
  </si>
  <si>
    <t>FA-B 0005-00010064</t>
  </si>
  <si>
    <t>FA-B 0007-00004974</t>
  </si>
  <si>
    <t>FA-B 0007-00004975</t>
  </si>
  <si>
    <t>FA-B 0007-00004976</t>
  </si>
  <si>
    <t>FA-B 0007-00004977</t>
  </si>
  <si>
    <t>FA-B 0007-00004978</t>
  </si>
  <si>
    <t>22/02/2024</t>
  </si>
  <si>
    <t>FA-B 0005-00010065</t>
  </si>
  <si>
    <t>FA-B 0005-00010066</t>
  </si>
  <si>
    <t>FA-B 0005-00010067</t>
  </si>
  <si>
    <t>FA-B 0005-00010068</t>
  </si>
  <si>
    <t>FA-B 0005-00010069</t>
  </si>
  <si>
    <t>FA-B 0005-00010070</t>
  </si>
  <si>
    <t>FA-B 0007-00004979</t>
  </si>
  <si>
    <t>FA-B 0007-00004980</t>
  </si>
  <si>
    <t>FA-B 0007-00004981</t>
  </si>
  <si>
    <t>FA-B 0007-00004982</t>
  </si>
  <si>
    <t>FA-B 0007-00004983</t>
  </si>
  <si>
    <t>23/02/2024</t>
  </si>
  <si>
    <t>FA-B 0005-00010071</t>
  </si>
  <si>
    <t>FA-B 0005-00010072</t>
  </si>
  <si>
    <t>FA-B 0005-00010073</t>
  </si>
  <si>
    <t>FA-B 0005-00010074</t>
  </si>
  <si>
    <t>FA-B 0005-00010075</t>
  </si>
  <si>
    <t>FA-B 0005-00010076</t>
  </si>
  <si>
    <t>FA-B 0005-00010077</t>
  </si>
  <si>
    <t>FA-B 0005-00010078</t>
  </si>
  <si>
    <t>FA-B 0005-00010079</t>
  </si>
  <si>
    <t>FA-B 0005-00010080</t>
  </si>
  <si>
    <t>FA-B 0005-00010081</t>
  </si>
  <si>
    <t>FA-B 0005-00010082</t>
  </si>
  <si>
    <t>FA-B 0005-00010083</t>
  </si>
  <si>
    <t>FA-B 0007-00004984</t>
  </si>
  <si>
    <t>FA-B 0007-00004985</t>
  </si>
  <si>
    <t>FA-B 0007-00004986</t>
  </si>
  <si>
    <t>FA-B 0007-00004987</t>
  </si>
  <si>
    <t>FA-B 0007-00004988</t>
  </si>
  <si>
    <t>MALMSTEN, AROLDO</t>
  </si>
  <si>
    <t>26/02/2024</t>
  </si>
  <si>
    <t>FA-B 0005-00010084</t>
  </si>
  <si>
    <t>FA-B 0005-00010085</t>
  </si>
  <si>
    <t>FA-B 0005-00010086</t>
  </si>
  <si>
    <t>FA-B 0005-00010087</t>
  </si>
  <si>
    <t>FA-B 0005-00010088</t>
  </si>
  <si>
    <t>FA-B 0005-00010089</t>
  </si>
  <si>
    <t>FA-B 0005-00010090</t>
  </si>
  <si>
    <t>GALLARDO SALVADOR</t>
  </si>
  <si>
    <t>FA-B 0005-00010091</t>
  </si>
  <si>
    <t>FA-B 0005-00010092</t>
  </si>
  <si>
    <t>FA-A 0007-00001863</t>
  </si>
  <si>
    <t>FA-B 0007-00004989</t>
  </si>
  <si>
    <t>FA-B 0007-00004990</t>
  </si>
  <si>
    <t>MARIA ISABEL CALDERER</t>
  </si>
  <si>
    <t>FA-B 0007-00004991</t>
  </si>
  <si>
    <t>27/02/2024</t>
  </si>
  <si>
    <t>FA-A 0005-00000144</t>
  </si>
  <si>
    <t>Cabezas, Francisco Pablo</t>
  </si>
  <si>
    <t>FA-B 0005-00010093</t>
  </si>
  <si>
    <t>FA-B 0005-00010094</t>
  </si>
  <si>
    <t>FA-B 0005-00010095</t>
  </si>
  <si>
    <t>FA-B 0005-00010096</t>
  </si>
  <si>
    <t>FA-B 0005-00010097</t>
  </si>
  <si>
    <t>FA-B 0005-00010098</t>
  </si>
  <si>
    <t>FA-B 0005-00010099</t>
  </si>
  <si>
    <t>GALLARDO ALBA</t>
  </si>
  <si>
    <t>28/02/2024</t>
  </si>
  <si>
    <t>FA-B 0005-00010100</t>
  </si>
  <si>
    <t>FA-B 0005-00010101</t>
  </si>
  <si>
    <t>FA-B 0005-00010102</t>
  </si>
  <si>
    <t>FA-B 0005-00010103</t>
  </si>
  <si>
    <t>FA-B 0005-00010104</t>
  </si>
  <si>
    <t>FA-B 0005-00010105</t>
  </si>
  <si>
    <t>FA-B 0005-00010106</t>
  </si>
  <si>
    <t>FA-B 0005-00010107</t>
  </si>
  <si>
    <t>FA-B 0007-00004992</t>
  </si>
  <si>
    <t>FA-B 0007-00004993</t>
  </si>
  <si>
    <t>FA-B 0007-00004994</t>
  </si>
  <si>
    <t>FA-B 0007-00004995</t>
  </si>
  <si>
    <t>FA-B 0007-00004996</t>
  </si>
  <si>
    <t>29/02/2024</t>
  </si>
  <si>
    <t>FA-B 0005-00010108</t>
  </si>
  <si>
    <t>FA-B 0005-00010109</t>
  </si>
  <si>
    <t>FA-B 0005-00010110</t>
  </si>
  <si>
    <t>FA-B 0005-00010111</t>
  </si>
  <si>
    <t>FA-B 0005-00010112</t>
  </si>
  <si>
    <t>FA-B 0005-00010113</t>
  </si>
  <si>
    <t>FA-B 0005-00010114</t>
  </si>
  <si>
    <t>FA-B 0005-00010115</t>
  </si>
  <si>
    <t>FA-B 0005-00010116</t>
  </si>
  <si>
    <t>FA-B 0005-00010117</t>
  </si>
  <si>
    <t>FA-B 0005-00010118</t>
  </si>
  <si>
    <t>FA-B 0005-00010119</t>
  </si>
  <si>
    <t>FA-B 0007-00004997</t>
  </si>
  <si>
    <t>FA-B 0007-00004998</t>
  </si>
  <si>
    <t>CRISTIAN GOLDENHORN</t>
  </si>
  <si>
    <t>a</t>
  </si>
  <si>
    <t>b</t>
  </si>
  <si>
    <t>c</t>
  </si>
  <si>
    <t>d</t>
  </si>
  <si>
    <t>e</t>
  </si>
  <si>
    <t>VENTAS A</t>
  </si>
  <si>
    <t>NC-B 0005-00000129</t>
  </si>
  <si>
    <t>NC-B 0005-00000130</t>
  </si>
  <si>
    <t>NC-B 0005-00000131</t>
  </si>
  <si>
    <t>IVA</t>
  </si>
  <si>
    <t>Ventas Libro de IVA 01/03/2024 - 31/03/2024</t>
  </si>
  <si>
    <t>22/03/2024</t>
  </si>
  <si>
    <t>FA-A 0005-00000145</t>
  </si>
  <si>
    <t>Grupo Cvm S.R.L.</t>
  </si>
  <si>
    <t>26/03/2024</t>
  </si>
  <si>
    <t>FA-A 0005-00000146</t>
  </si>
  <si>
    <t>Indij, Alberto Teodoro</t>
  </si>
  <si>
    <t>27/03/2024</t>
  </si>
  <si>
    <t>FA-A 0005-00000147</t>
  </si>
  <si>
    <t>04/03/2024</t>
  </si>
  <si>
    <t>FA-A 0006-00000449</t>
  </si>
  <si>
    <t>FA-A 0006-00000450</t>
  </si>
  <si>
    <t>FA-A 0006-00000451</t>
  </si>
  <si>
    <t>FA-A 0006-00000452</t>
  </si>
  <si>
    <t>05/03/2024</t>
  </si>
  <si>
    <t>FA-A 0006-00000453</t>
  </si>
  <si>
    <t>06/03/2024</t>
  </si>
  <si>
    <t>FA-A 0006-00000454</t>
  </si>
  <si>
    <t>FA-A 0006-00000455</t>
  </si>
  <si>
    <t>FA-A 0006-00000456</t>
  </si>
  <si>
    <t>FA-A 0006-00000457</t>
  </si>
  <si>
    <t>08/03/2024</t>
  </si>
  <si>
    <t>FA-A 0006-00000458</t>
  </si>
  <si>
    <t>FA-A 0006-00000459</t>
  </si>
  <si>
    <t>15/03/2024</t>
  </si>
  <si>
    <t>FA-A 0006-00000460</t>
  </si>
  <si>
    <t>FA-A 0006-00000461</t>
  </si>
  <si>
    <t>FA-A 0006-00000462</t>
  </si>
  <si>
    <t>FA-A 0007-00001864</t>
  </si>
  <si>
    <t>FA-A 0007-00001865</t>
  </si>
  <si>
    <t>FA-A 0007-00001866</t>
  </si>
  <si>
    <t>FA-A 0007-00001867</t>
  </si>
  <si>
    <t>FA-A 0007-00001868</t>
  </si>
  <si>
    <t>13/03/2024</t>
  </si>
  <si>
    <t>FA-A 0007-00001869</t>
  </si>
  <si>
    <t>FA-A 0007-00001870</t>
  </si>
  <si>
    <t>FA-A 0007-00001871</t>
  </si>
  <si>
    <t>FA-A 0007-00001872</t>
  </si>
  <si>
    <t>FA-A 0007-00001873</t>
  </si>
  <si>
    <t>FA-A 0007-00001874</t>
  </si>
  <si>
    <t>FA-A 0007-00001875</t>
  </si>
  <si>
    <t>FA-A 0007-00001876</t>
  </si>
  <si>
    <t>FA-A 0007-00001877</t>
  </si>
  <si>
    <t>FA-A 0007-00001878</t>
  </si>
  <si>
    <t>FA-A 0007-00001879</t>
  </si>
  <si>
    <t>FA-A 0007-00001880</t>
  </si>
  <si>
    <t>18/03/2024</t>
  </si>
  <si>
    <t>FA-A 0007-00001881</t>
  </si>
  <si>
    <t>25/03/2024</t>
  </si>
  <si>
    <t>FA-A 0007-00001882</t>
  </si>
  <si>
    <t>FA-A 0007-00001883</t>
  </si>
  <si>
    <t>FA-A 0007-00001884</t>
  </si>
  <si>
    <t>FA-A 0007-00001885</t>
  </si>
  <si>
    <t>FA-A 0007-00001886</t>
  </si>
  <si>
    <t>FA-A 0007-00001887</t>
  </si>
  <si>
    <t>FA-A 0007-00001888</t>
  </si>
  <si>
    <t>FA-A 0007-00001889</t>
  </si>
  <si>
    <t>FA-A 0007-00001890</t>
  </si>
  <si>
    <t>FA-A 0007-00001891</t>
  </si>
  <si>
    <t>FA-A 0007-00001892</t>
  </si>
  <si>
    <t>FA-A 0007-00001893</t>
  </si>
  <si>
    <t>FA-A 0007-00001894</t>
  </si>
  <si>
    <t>FA-A 0007-00001895</t>
  </si>
  <si>
    <t>FA-A 0007-00001896</t>
  </si>
  <si>
    <t>NC-A 0006-00000055</t>
  </si>
  <si>
    <t>NC-A 0006-00000056</t>
  </si>
  <si>
    <t>NC-A 0006-00000057</t>
  </si>
  <si>
    <t>NC-A 0006-00000058</t>
  </si>
  <si>
    <t>NC-A 0006-00000059</t>
  </si>
  <si>
    <t>NC-A 0007-00000133</t>
  </si>
  <si>
    <t>01/03/2024</t>
  </si>
  <si>
    <t>FA-B 0005-00010120</t>
  </si>
  <si>
    <t>FA-B 0005-00010121</t>
  </si>
  <si>
    <t>FA-B 0005-00010122</t>
  </si>
  <si>
    <t>FA-B 0005-00010123</t>
  </si>
  <si>
    <t>FA-B 0005-00010124</t>
  </si>
  <si>
    <t>FA-B 0005-00010125</t>
  </si>
  <si>
    <t>FA-B 0005-00010126</t>
  </si>
  <si>
    <t>FA-B 0005-00010127</t>
  </si>
  <si>
    <t>FA-B 0005-00010128</t>
  </si>
  <si>
    <t>FA-B 0005-00010129</t>
  </si>
  <si>
    <t>FA-B 0005-00010130</t>
  </si>
  <si>
    <t>FA-B 0005-00010131</t>
  </si>
  <si>
    <t>FA-B 0005-00010132</t>
  </si>
  <si>
    <t>FA-B 0005-00010133</t>
  </si>
  <si>
    <t>ZARANDIETA ORNELLA</t>
  </si>
  <si>
    <t>FA-B 0005-00010134</t>
  </si>
  <si>
    <t>FA-B 0005-00010135</t>
  </si>
  <si>
    <t>FA-B 0005-00010136</t>
  </si>
  <si>
    <t>FA-B 0005-00010137</t>
  </si>
  <si>
    <t>FA-B 0005-00010138</t>
  </si>
  <si>
    <t>FA-B 0005-00010139</t>
  </si>
  <si>
    <t>FA-B 0005-00010140</t>
  </si>
  <si>
    <t>FA-B 0005-00010141</t>
  </si>
  <si>
    <t>FA-B 0005-00010142</t>
  </si>
  <si>
    <t>FA-B 0005-00010143</t>
  </si>
  <si>
    <t>FA-B 0005-00010144</t>
  </si>
  <si>
    <t>FA-B 0005-00010145</t>
  </si>
  <si>
    <t>MARILIN CRISTIAN ORTIZ</t>
  </si>
  <si>
    <t>FA-B 0005-00010146</t>
  </si>
  <si>
    <t>FA-B 0005-00010147</t>
  </si>
  <si>
    <t>FA-B 0005-00010148</t>
  </si>
  <si>
    <t>FA-B 0005-00010149</t>
  </si>
  <si>
    <t>LOIS PLACENCIA, YENIRETTE OBDULIA</t>
  </si>
  <si>
    <t>FA-B 0005-00010150</t>
  </si>
  <si>
    <t>FA-B 0005-00010151</t>
  </si>
  <si>
    <t>FA-B 0005-00010152</t>
  </si>
  <si>
    <t>FA-B 0005-00010153</t>
  </si>
  <si>
    <t>FA-B 0005-00010154</t>
  </si>
  <si>
    <t>FA-B 0005-00010155</t>
  </si>
  <si>
    <t>ABALO DANIEL LUIS</t>
  </si>
  <si>
    <t>FA-B 0005-00010156</t>
  </si>
  <si>
    <t>FA-B 0005-00010157</t>
  </si>
  <si>
    <t>FA-B 0005-00010158</t>
  </si>
  <si>
    <t>FA-B 0005-00010159</t>
  </si>
  <si>
    <t>FA-B 0005-00010160</t>
  </si>
  <si>
    <t>FA-B 0005-00010161</t>
  </si>
  <si>
    <t>07/03/2024</t>
  </si>
  <si>
    <t>FA-B 0005-00010162</t>
  </si>
  <si>
    <t>FA-B 0005-00010163</t>
  </si>
  <si>
    <t>FA-B 0005-00010164</t>
  </si>
  <si>
    <t>FA-B 0005-00010165</t>
  </si>
  <si>
    <t>FA-B 0005-00010166</t>
  </si>
  <si>
    <t>FA-B 0005-00010167</t>
  </si>
  <si>
    <t>FA-B 0005-00010168</t>
  </si>
  <si>
    <t>Asoc Mutualista De Empleados Del Banco De La Prov De Bs As</t>
  </si>
  <si>
    <t>FA-B 0005-00010169</t>
  </si>
  <si>
    <t>FA-B 0005-00010170</t>
  </si>
  <si>
    <t>FA-B 0005-00010171</t>
  </si>
  <si>
    <t>FA-B 0005-00010172</t>
  </si>
  <si>
    <t>FA-B 0005-00010173</t>
  </si>
  <si>
    <t>FA-B 0005-00010174</t>
  </si>
  <si>
    <t>FA-B 0005-00010175</t>
  </si>
  <si>
    <t>FA-B 0005-00010176</t>
  </si>
  <si>
    <t>FA-B 0005-00010177</t>
  </si>
  <si>
    <t>FA-B 0005-00010178</t>
  </si>
  <si>
    <t>FA-B 0005-00010179</t>
  </si>
  <si>
    <t>FA-B 0005-00010180</t>
  </si>
  <si>
    <t>FA-B 0005-00010181</t>
  </si>
  <si>
    <t>FA-B 0005-00010182</t>
  </si>
  <si>
    <t>11/03/2024</t>
  </si>
  <si>
    <t>FA-B 0005-00010183</t>
  </si>
  <si>
    <t>FA-B 0005-00010184</t>
  </si>
  <si>
    <t>FA-B 0005-00010185</t>
  </si>
  <si>
    <t>FA-B 0005-00010186</t>
  </si>
  <si>
    <t>FA-B 0005-00010187</t>
  </si>
  <si>
    <t>FA-B 0005-00010188</t>
  </si>
  <si>
    <t>FA-B 0005-00010189</t>
  </si>
  <si>
    <t>FA-B 0005-00010190</t>
  </si>
  <si>
    <t>FA-B 0005-00010191</t>
  </si>
  <si>
    <t>FA-B 0005-00010192</t>
  </si>
  <si>
    <t>FA-B 0005-00010193</t>
  </si>
  <si>
    <t>FA-B 0005-00010194</t>
  </si>
  <si>
    <t>FA-B 0005-00010195</t>
  </si>
  <si>
    <t>FA-B 0005-00010196</t>
  </si>
  <si>
    <t>ISAÍAS JOSÉ NICOLÁS BAZÁN HERRERA</t>
  </si>
  <si>
    <t>FA-B 0005-00010197</t>
  </si>
  <si>
    <t>FA-B 0005-00010198</t>
  </si>
  <si>
    <t>FA-B 0005-00010199</t>
  </si>
  <si>
    <t>FA-B 0005-00010200</t>
  </si>
  <si>
    <t>GARCIA, PATRICIA SUSANA</t>
  </si>
  <si>
    <t>FA-B 0005-00010201</t>
  </si>
  <si>
    <t>FA-B 0005-00010202</t>
  </si>
  <si>
    <t>FA-B 0005-00010203</t>
  </si>
  <si>
    <t>FA-B 0005-00010204</t>
  </si>
  <si>
    <t>FA-B 0005-00010205</t>
  </si>
  <si>
    <t>FA-B 0005-00010206</t>
  </si>
  <si>
    <t>FA-B 0005-00010207</t>
  </si>
  <si>
    <t>FA-B 0005-00010208</t>
  </si>
  <si>
    <t>FA-B 0005-00010209</t>
  </si>
  <si>
    <t>FA-B 0005-00010210</t>
  </si>
  <si>
    <t>19/03/2024</t>
  </si>
  <si>
    <t>FA-B 0005-00010211</t>
  </si>
  <si>
    <t>FA-B 0005-00010212</t>
  </si>
  <si>
    <t>FA-B 0005-00010213</t>
  </si>
  <si>
    <t>FA-B 0005-00010214</t>
  </si>
  <si>
    <t>FA-B 0005-00010215</t>
  </si>
  <si>
    <t>FA-B 0005-00010216</t>
  </si>
  <si>
    <t>20/03/2024</t>
  </si>
  <si>
    <t>FA-B 0005-00010217</t>
  </si>
  <si>
    <t>FA-B 0005-00010218</t>
  </si>
  <si>
    <t>FA-B 0005-00010219</t>
  </si>
  <si>
    <t>FA-B 0005-00010220</t>
  </si>
  <si>
    <t>21/03/2024</t>
  </si>
  <si>
    <t>FA-B 0005-00010221</t>
  </si>
  <si>
    <t>FA-B 0005-00010222</t>
  </si>
  <si>
    <t>FA-B 0005-00010223</t>
  </si>
  <si>
    <t>FA-B 0005-00010224</t>
  </si>
  <si>
    <t>FA-B 0005-00010225</t>
  </si>
  <si>
    <t>FA-B 0005-00010226</t>
  </si>
  <si>
    <t>FA-B 0005-00010227</t>
  </si>
  <si>
    <t>FA-B 0005-00010228</t>
  </si>
  <si>
    <t>FA-B 0005-00010229</t>
  </si>
  <si>
    <t>FA-B 0005-00010230</t>
  </si>
  <si>
    <t>FA-B 0005-00010231</t>
  </si>
  <si>
    <t>FA-B 0005-00010232</t>
  </si>
  <si>
    <t>FA-B 0005-00010233</t>
  </si>
  <si>
    <t>FA-B 0005-00010234</t>
  </si>
  <si>
    <t>FA-B 0005-00010235</t>
  </si>
  <si>
    <t>FA-B 0005-00010236</t>
  </si>
  <si>
    <t>FA-B 0005-00010237</t>
  </si>
  <si>
    <t>FA-B 0005-00010238</t>
  </si>
  <si>
    <t>FA-B 0005-00010239</t>
  </si>
  <si>
    <t>FA-B 0005-00010240</t>
  </si>
  <si>
    <t>FA-B 0005-00010241</t>
  </si>
  <si>
    <t>FA-B 0005-00010242</t>
  </si>
  <si>
    <t>FA-B 0005-00010243</t>
  </si>
  <si>
    <t>FA-B 0005-00010244</t>
  </si>
  <si>
    <t>FA-B 0005-00010245</t>
  </si>
  <si>
    <t>FA-B 0005-00010246</t>
  </si>
  <si>
    <t>FA-B 0005-00010247</t>
  </si>
  <si>
    <t>FA-B 0005-00010248</t>
  </si>
  <si>
    <t>FA-B 0005-00010249</t>
  </si>
  <si>
    <t>FA-B 0005-00010250</t>
  </si>
  <si>
    <t>FA-B 0005-00010251</t>
  </si>
  <si>
    <t>PADILLA SANTOS TEODORA</t>
  </si>
  <si>
    <t>FA-B 0005-00010252</t>
  </si>
  <si>
    <t>FA-B 0005-00010253</t>
  </si>
  <si>
    <t>FA-B 0005-00010254</t>
  </si>
  <si>
    <t>FA-B 0005-00010255</t>
  </si>
  <si>
    <t>FA-B 0005-00010256</t>
  </si>
  <si>
    <t>FA-B 0005-00010257</t>
  </si>
  <si>
    <t>FA-B 0005-00010258</t>
  </si>
  <si>
    <t>FA-B 0005-00010259</t>
  </si>
  <si>
    <t>FA-B 0005-00010260</t>
  </si>
  <si>
    <t>FA-B 0005-00010261</t>
  </si>
  <si>
    <t>FA-B 0005-00010262</t>
  </si>
  <si>
    <t>FA-B 0005-00010263</t>
  </si>
  <si>
    <t>FA-B 0005-00010264</t>
  </si>
  <si>
    <t>FA-B 0007-00004999</t>
  </si>
  <si>
    <t>FA-B 0007-00005000</t>
  </si>
  <si>
    <t>FA-B 0007-00005001</t>
  </si>
  <si>
    <t>CHAMOSA JOSE MARIA</t>
  </si>
  <si>
    <t>FA-B 0007-00005002</t>
  </si>
  <si>
    <t>PEREZ, NILDA HAYDEE</t>
  </si>
  <si>
    <t>FA-B 0007-00005003</t>
  </si>
  <si>
    <t>BRENNAN, MARIA IRENE</t>
  </si>
  <si>
    <t>FA-B 0007-00005004</t>
  </si>
  <si>
    <t>FA-B 0007-00005005</t>
  </si>
  <si>
    <t>FA-B 0007-00005006</t>
  </si>
  <si>
    <t>FA-B 0007-00005007</t>
  </si>
  <si>
    <t>FA-B 0007-00005008</t>
  </si>
  <si>
    <t>FA-B 0007-00005009</t>
  </si>
  <si>
    <t>FA-B 0007-00005010</t>
  </si>
  <si>
    <t>FA-B 0007-00005011</t>
  </si>
  <si>
    <t>FA-B 0007-00005012</t>
  </si>
  <si>
    <t>FA-B 0007-00005013</t>
  </si>
  <si>
    <t>FA-B 0007-00005014</t>
  </si>
  <si>
    <t>FA-B 0007-00005015</t>
  </si>
  <si>
    <t>FA-B 0007-00005016</t>
  </si>
  <si>
    <t>FA-B 0007-00005017</t>
  </si>
  <si>
    <t>FA-B 0007-00005018</t>
  </si>
  <si>
    <t>FA-B 0007-00005019</t>
  </si>
  <si>
    <t>FA-B 0007-00005020</t>
  </si>
  <si>
    <t>14/03/2024</t>
  </si>
  <si>
    <t>FA-B 0007-00005021</t>
  </si>
  <si>
    <t>FA-B 0007-00005022</t>
  </si>
  <si>
    <t>FA-B 0007-00005023</t>
  </si>
  <si>
    <t>FA-B 0007-00005024</t>
  </si>
  <si>
    <t>FA-B 0007-00005025</t>
  </si>
  <si>
    <t>FA-B 0007-00005026</t>
  </si>
  <si>
    <t>FA-B 0007-00005027</t>
  </si>
  <si>
    <t>ADRIANA SAN PEDRO</t>
  </si>
  <si>
    <t>FA-B 0007-00005028</t>
  </si>
  <si>
    <t>FA-B 0007-00005029</t>
  </si>
  <si>
    <t>FA-B 0007-00005030</t>
  </si>
  <si>
    <t>PEDRO SERGIO TORREGROSA</t>
  </si>
  <si>
    <t>FA-B 0007-00005031</t>
  </si>
  <si>
    <t>FA-B 0007-00005032</t>
  </si>
  <si>
    <t>FA-B 0007-00005033</t>
  </si>
  <si>
    <t>FA-B 0007-00005034</t>
  </si>
  <si>
    <t>FA-B 0007-00005035</t>
  </si>
  <si>
    <t>FA-B 0007-00005036</t>
  </si>
  <si>
    <t>VIEITES, BLANCA LEONOR</t>
  </si>
  <si>
    <t>FA-B 0007-00005037</t>
  </si>
  <si>
    <t>FA-B 0007-00005038</t>
  </si>
  <si>
    <t>FA-B 0007-00005039</t>
  </si>
  <si>
    <t>FA-B 0007-00005040</t>
  </si>
  <si>
    <t>FA-B 0007-00005041</t>
  </si>
  <si>
    <t>FA-B 0007-00005042</t>
  </si>
  <si>
    <t>FA-B 0007-00005043</t>
  </si>
  <si>
    <t>FA-B 0007-00005044</t>
  </si>
  <si>
    <t>FA-B 0007-00005045</t>
  </si>
  <si>
    <t>FA-B 0007-00005046</t>
  </si>
  <si>
    <t>FA-B 0007-00005047</t>
  </si>
  <si>
    <t>NC-B 0005-00000132</t>
  </si>
  <si>
    <t>NC-B 0005-00000133</t>
  </si>
  <si>
    <t>NC-B 0005-00000134</t>
  </si>
  <si>
    <t>NC-B 0007-00000147</t>
  </si>
  <si>
    <t>NC-B 0007-00000148</t>
  </si>
  <si>
    <t>TOTAL A+B</t>
  </si>
  <si>
    <t>Ventas Libro de IVA 01/04/2024 - 30/04/2024</t>
  </si>
  <si>
    <t>03/04/2024</t>
  </si>
  <si>
    <t>FA-B 0005-00010265</t>
  </si>
  <si>
    <t>FA-B 0005-00010266</t>
  </si>
  <si>
    <t>FA-B 0005-00010267</t>
  </si>
  <si>
    <t>FA-B 0005-00010268</t>
  </si>
  <si>
    <t>FA-B 0005-00010269</t>
  </si>
  <si>
    <t>FA-B 0005-00010270</t>
  </si>
  <si>
    <t>FA-A 0006-00000463</t>
  </si>
  <si>
    <t>FA-A 0006-00000464</t>
  </si>
  <si>
    <t>FA-A 0006-00000465</t>
  </si>
  <si>
    <t>FA-A 0006-00000466</t>
  </si>
  <si>
    <t>NC-A 0007-00000134</t>
  </si>
  <si>
    <t>FA-A 0007-00001897</t>
  </si>
  <si>
    <t>FA-A 0007-00001898</t>
  </si>
  <si>
    <t>FA-A 0007-00001899</t>
  </si>
  <si>
    <t>FA-A 0007-00001900</t>
  </si>
  <si>
    <t>FA-A 0007-00001901</t>
  </si>
  <si>
    <t>FA-A 0007-00001902</t>
  </si>
  <si>
    <t>FA-A 0007-00001903</t>
  </si>
  <si>
    <t>FA-A 0007-00001904</t>
  </si>
  <si>
    <t>FA-A 0007-00001905</t>
  </si>
  <si>
    <t>FA-A 0007-00001906</t>
  </si>
  <si>
    <t>FA-A 0007-00001907</t>
  </si>
  <si>
    <t>FA-A 0007-00001908</t>
  </si>
  <si>
    <t>FA-A 0007-00001909</t>
  </si>
  <si>
    <t>FA-B 0007-00005048</t>
  </si>
  <si>
    <t>FA-B 0007-00005049</t>
  </si>
  <si>
    <t>MODOLO, CRISTIAN ARIEL</t>
  </si>
  <si>
    <t>FA-B 0007-00005050</t>
  </si>
  <si>
    <t>FA-B 0007-00005051</t>
  </si>
  <si>
    <t>FA-B 0007-00005052</t>
  </si>
  <si>
    <t>04/04/2024</t>
  </si>
  <si>
    <t>NC-B 0005-00000135</t>
  </si>
  <si>
    <t>FA-B 0005-00010271</t>
  </si>
  <si>
    <t>FA-B 0005-00010272</t>
  </si>
  <si>
    <t>FA-B 0005-00010273</t>
  </si>
  <si>
    <t>FLORES MARTINA</t>
  </si>
  <si>
    <t>FA-B 0005-00010274</t>
  </si>
  <si>
    <t>FA-B 0005-00010275</t>
  </si>
  <si>
    <t>FA-B 0005-00010276</t>
  </si>
  <si>
    <t>FA-B 0005-00010277</t>
  </si>
  <si>
    <t>FA-B 0005-00010278</t>
  </si>
  <si>
    <t>FA-B 0005-00010279</t>
  </si>
  <si>
    <t>FA-B 0005-00010280</t>
  </si>
  <si>
    <t>FA-B 0005-00010281</t>
  </si>
  <si>
    <t>FA-B 0005-00010282</t>
  </si>
  <si>
    <t>FA-B 0005-00010283</t>
  </si>
  <si>
    <t>FA-B 0005-00010284</t>
  </si>
  <si>
    <t>FA-B 0005-00010285</t>
  </si>
  <si>
    <t>FA-A 0006-00000467</t>
  </si>
  <si>
    <t>FA-A 0006-00000468</t>
  </si>
  <si>
    <t>FA-A 0006-00000469</t>
  </si>
  <si>
    <t>FA-A 0006-00000470</t>
  </si>
  <si>
    <t>FA-A 0006-00000471</t>
  </si>
  <si>
    <t>FA-A 0007-00001910</t>
  </si>
  <si>
    <t>05/04/2024</t>
  </si>
  <si>
    <t>FA-B 0005-00010286</t>
  </si>
  <si>
    <t>FA-B 0005-00010287</t>
  </si>
  <si>
    <t>FA-B 0005-00010288</t>
  </si>
  <si>
    <t>FA-B 0005-00010289</t>
  </si>
  <si>
    <t>Federacion Argentina De Empleados De Comercio Y Servicios</t>
  </si>
  <si>
    <t>FA-B 0005-00010290</t>
  </si>
  <si>
    <t>FA-B 0005-00010291</t>
  </si>
  <si>
    <t>FA-B 0005-00010292</t>
  </si>
  <si>
    <t>FA-B 0005-00010293</t>
  </si>
  <si>
    <t>FA-B 0005-00010294</t>
  </si>
  <si>
    <t>FA-B 0005-00010295</t>
  </si>
  <si>
    <t>FA-A 0007-00001911</t>
  </si>
  <si>
    <t>FA-A 0007-00001912</t>
  </si>
  <si>
    <t>FA-A 0007-00001913</t>
  </si>
  <si>
    <t>FA-A 0007-00001914</t>
  </si>
  <si>
    <t>FA-B 0007-00005053</t>
  </si>
  <si>
    <t>FA-B 0007-00005054</t>
  </si>
  <si>
    <t>FA-B 0007-00005055</t>
  </si>
  <si>
    <t>FA-B 0007-00005056</t>
  </si>
  <si>
    <t>FA-B 0007-00005057</t>
  </si>
  <si>
    <t>FA-B 0007-00005058</t>
  </si>
  <si>
    <t>FA-B 0007-00005059</t>
  </si>
  <si>
    <t>FA-B 0007-00005060</t>
  </si>
  <si>
    <t>ROMEO, NELIDA ZULMA</t>
  </si>
  <si>
    <t>08/04/2024</t>
  </si>
  <si>
    <t>FA-B 0005-00010296</t>
  </si>
  <si>
    <t>FA-B 0005-00010297</t>
  </si>
  <si>
    <t>FA-B 0005-00010298</t>
  </si>
  <si>
    <t>FA-B 0005-00010299</t>
  </si>
  <si>
    <t>FA-B 0005-00010300</t>
  </si>
  <si>
    <t>FA-B 0007-00005061</t>
  </si>
  <si>
    <t>09/04/2024</t>
  </si>
  <si>
    <t>FA-B 0005-00010301</t>
  </si>
  <si>
    <t>FA-B 0005-00010302</t>
  </si>
  <si>
    <t>FA-B 0005-00010303</t>
  </si>
  <si>
    <t>FA-B 0005-00010304</t>
  </si>
  <si>
    <t>FA-B 0005-00010305</t>
  </si>
  <si>
    <t>FA-B 0005-00010306</t>
  </si>
  <si>
    <t>FA-B 0005-00010307</t>
  </si>
  <si>
    <t>FA-B 0005-00010308</t>
  </si>
  <si>
    <t>FA-B 0005-00010309</t>
  </si>
  <si>
    <t>FA-B 0005-00010310</t>
  </si>
  <si>
    <t>FA-B 0005-00010311</t>
  </si>
  <si>
    <t>FA-A 0006-00000472</t>
  </si>
  <si>
    <t>FA-A 0006-00000473</t>
  </si>
  <si>
    <t>FA-A 0007-00001915</t>
  </si>
  <si>
    <t>FA-B 0007-00005062</t>
  </si>
  <si>
    <t>10/04/2024</t>
  </si>
  <si>
    <t>FA-B 0005-00010312</t>
  </si>
  <si>
    <t>FA-B 0005-00010313</t>
  </si>
  <si>
    <t>FA-B 0005-00010314</t>
  </si>
  <si>
    <t>FA-B 0005-00010315</t>
  </si>
  <si>
    <t>FA-B 0005-00010316</t>
  </si>
  <si>
    <t>FA-B 0005-00010317</t>
  </si>
  <si>
    <t>FA-B 0005-00010318</t>
  </si>
  <si>
    <t>FA-B 0005-00010319</t>
  </si>
  <si>
    <t>FA-A 0006-00000474</t>
  </si>
  <si>
    <t>NC-A 0007-00000135</t>
  </si>
  <si>
    <t>NC-A 0007-00000136</t>
  </si>
  <si>
    <t>NC-A 0007-00000137</t>
  </si>
  <si>
    <t>NC-A 0007-00000138</t>
  </si>
  <si>
    <t>FA-A 0007-00001916</t>
  </si>
  <si>
    <t>FA-A 0007-00001917</t>
  </si>
  <si>
    <t>FA-A 0007-00001918</t>
  </si>
  <si>
    <t>FA-A 0007-00001919</t>
  </si>
  <si>
    <t>Medicina Prepaga Hominis S.A.</t>
  </si>
  <si>
    <t>FA-B 0007-00005063</t>
  </si>
  <si>
    <t>MALOMO, ENRIQUE DANIEL</t>
  </si>
  <si>
    <t>FA-B 0007-00005064</t>
  </si>
  <si>
    <t>11/04/2024</t>
  </si>
  <si>
    <t>FA-B 0005-00010320</t>
  </si>
  <si>
    <t>FA-B 0005-00010321</t>
  </si>
  <si>
    <t>FA-B 0005-00010322</t>
  </si>
  <si>
    <t>FA-B 0005-00010323</t>
  </si>
  <si>
    <t>FA-B 0005-00010324</t>
  </si>
  <si>
    <t>FA-B 0005-00010325</t>
  </si>
  <si>
    <t>FA-A 0006-00000475</t>
  </si>
  <si>
    <t>FA-A 0006-00000476</t>
  </si>
  <si>
    <t>FA-A 0007-00001920</t>
  </si>
  <si>
    <t>FA-A 0007-00001921</t>
  </si>
  <si>
    <t>Obra Social Del Sindicato De Mecanicos Y Afines Del Transporte Automotor</t>
  </si>
  <si>
    <t>12/04/2024</t>
  </si>
  <si>
    <t>FA-B 0005-00010326</t>
  </si>
  <si>
    <t>FA-B 0005-00010327</t>
  </si>
  <si>
    <t>FA-B 0005-00010328</t>
  </si>
  <si>
    <t>FA-B 0005-00010329</t>
  </si>
  <si>
    <t>FA-B 0005-00010330</t>
  </si>
  <si>
    <t>FA-B 0005-00010331</t>
  </si>
  <si>
    <t>FA-B 0005-00010332</t>
  </si>
  <si>
    <t>FA-B 0005-00010333</t>
  </si>
  <si>
    <t>FA-B 0005-00010334</t>
  </si>
  <si>
    <t>FA-B 0005-00010335</t>
  </si>
  <si>
    <t>FA-A 0007-00001922</t>
  </si>
  <si>
    <t>FA-A 0007-00001923</t>
  </si>
  <si>
    <t>FA-B 0007-00005065</t>
  </si>
  <si>
    <t>FA-B 0007-00005066</t>
  </si>
  <si>
    <t>FA-B 0007-00005067</t>
  </si>
  <si>
    <t>FA-B 0007-00005068</t>
  </si>
  <si>
    <t>FA-B 0007-00005069</t>
  </si>
  <si>
    <t>FA-B 0007-00005070</t>
  </si>
  <si>
    <t>FA-B 0007-00005071</t>
  </si>
  <si>
    <t>FA-B 0007-00005072</t>
  </si>
  <si>
    <t>FA-B 0007-00005073</t>
  </si>
  <si>
    <t>FA-B 0007-00005074</t>
  </si>
  <si>
    <t>FA-B 0007-00005075</t>
  </si>
  <si>
    <t>FA-B 0007-00005076</t>
  </si>
  <si>
    <t>FA-B 0007-00005077</t>
  </si>
  <si>
    <t>15/04/2024</t>
  </si>
  <si>
    <t>FA-B 0005-00010336</t>
  </si>
  <si>
    <t>FA-B 0005-00010337</t>
  </si>
  <si>
    <t>FA-B 0005-00010338</t>
  </si>
  <si>
    <t>FA-B 0005-00010339</t>
  </si>
  <si>
    <t>FA-B 0005-00010340</t>
  </si>
  <si>
    <t>FA-B 0005-00010341</t>
  </si>
  <si>
    <t>FA-A 0007-00001924</t>
  </si>
  <si>
    <t>FA-B 0007-00005078</t>
  </si>
  <si>
    <t>FA-B 0007-00005079</t>
  </si>
  <si>
    <t>FA-B 0007-00005080</t>
  </si>
  <si>
    <t>FA-B 0007-00005081</t>
  </si>
  <si>
    <t>FA-B 0007-00005082</t>
  </si>
  <si>
    <t>FA-B 0007-00005083</t>
  </si>
  <si>
    <t>FA-B 0007-00005084</t>
  </si>
  <si>
    <t>FA-B 0007-00005085</t>
  </si>
  <si>
    <t>16/04/2024</t>
  </si>
  <si>
    <t>FA-A 0005-00000148</t>
  </si>
  <si>
    <t>Puertolas, Maximiliano</t>
  </si>
  <si>
    <t>FA-A 0005-00000149</t>
  </si>
  <si>
    <t>CITRIA, HECTOR</t>
  </si>
  <si>
    <t>IVA Responsable no Inscripto</t>
  </si>
  <si>
    <t>FA-B 0005-00010342</t>
  </si>
  <si>
    <t>FA-B 0005-00010343</t>
  </si>
  <si>
    <t>FA-B 0005-00010344</t>
  </si>
  <si>
    <t>FA-B 0005-00010345</t>
  </si>
  <si>
    <t>FA-B 0005-00010346</t>
  </si>
  <si>
    <t>FA-B 0005-00010347</t>
  </si>
  <si>
    <t>FA-B 0005-00010348</t>
  </si>
  <si>
    <t>FA-B 0005-00010349</t>
  </si>
  <si>
    <t>FA-B 0005-00010350</t>
  </si>
  <si>
    <t>FA-B 0005-00010351</t>
  </si>
  <si>
    <t>FA-B 0005-00010352</t>
  </si>
  <si>
    <t>FA-B 0005-00010353</t>
  </si>
  <si>
    <t>FA-B 0005-00010354</t>
  </si>
  <si>
    <t>FA-B 0005-00010355</t>
  </si>
  <si>
    <t>FA-B 0005-00010356</t>
  </si>
  <si>
    <t>FA-B 0005-00010357</t>
  </si>
  <si>
    <t>NC-A 0007-00000139</t>
  </si>
  <si>
    <t>FA-A 0007-00001925</t>
  </si>
  <si>
    <t>FA-A 0007-00001926</t>
  </si>
  <si>
    <t>FA-A 0007-00001927</t>
  </si>
  <si>
    <t>FA-A 0007-00001928</t>
  </si>
  <si>
    <t>17/04/2024</t>
  </si>
  <si>
    <t>FA-B 0005-00010358</t>
  </si>
  <si>
    <t>FA-B 0005-00010359</t>
  </si>
  <si>
    <t>FA-B 0005-00010360</t>
  </si>
  <si>
    <t>FA-B 0005-00010361</t>
  </si>
  <si>
    <t>FA-B 0005-00010362</t>
  </si>
  <si>
    <t>FA-B 0005-00010363</t>
  </si>
  <si>
    <t>FA-B 0005-00010364</t>
  </si>
  <si>
    <t>FA-B 0005-00010365</t>
  </si>
  <si>
    <t>FA-B 0005-00010366</t>
  </si>
  <si>
    <t>FA-B 0005-00010367</t>
  </si>
  <si>
    <t>FA-B 0005-00010368</t>
  </si>
  <si>
    <t>FA-B 0005-00010369</t>
  </si>
  <si>
    <t>FA-A 0006-00000477</t>
  </si>
  <si>
    <t>FA-A 0007-00001929</t>
  </si>
  <si>
    <t>FA-B 0007-00005086</t>
  </si>
  <si>
    <t>18/04/2024</t>
  </si>
  <si>
    <t>FA-B 0005-00010370</t>
  </si>
  <si>
    <t>FA-B 0005-00010371</t>
  </si>
  <si>
    <t>FA-B 0005-00010372</t>
  </si>
  <si>
    <t>FA-B 0005-00010373</t>
  </si>
  <si>
    <t>FA-B 0005-00010374</t>
  </si>
  <si>
    <t>FA-B 0005-00010375</t>
  </si>
  <si>
    <t>FA-B 0005-00010376</t>
  </si>
  <si>
    <t>FA-B 0005-00010377</t>
  </si>
  <si>
    <t>FA-B 0005-00010378</t>
  </si>
  <si>
    <t>FA-B 0005-00010379</t>
  </si>
  <si>
    <t>FA-B 0005-00010380</t>
  </si>
  <si>
    <t>ALEA CARLOS ALBERTO</t>
  </si>
  <si>
    <t>NC-A 0006-00000060</t>
  </si>
  <si>
    <t>NC-A 0006-00000061</t>
  </si>
  <si>
    <t>NC-A 0006-00000062</t>
  </si>
  <si>
    <t>NC-A 0007-00000140</t>
  </si>
  <si>
    <t>FA-A 0007-00001930</t>
  </si>
  <si>
    <t>FA-A 0007-00001931</t>
  </si>
  <si>
    <t>19/04/2024</t>
  </si>
  <si>
    <t>FA-A 0005-00000150</t>
  </si>
  <si>
    <t>FA-B 0005-00010381</t>
  </si>
  <si>
    <t>FA-B 0005-00010382</t>
  </si>
  <si>
    <t>FA-B 0005-00010383</t>
  </si>
  <si>
    <t>FA-B 0005-00010384</t>
  </si>
  <si>
    <t>FA-B 0005-00010385</t>
  </si>
  <si>
    <t>FA-B 0005-00010386</t>
  </si>
  <si>
    <t>FA-B 0005-00010387</t>
  </si>
  <si>
    <t>FA-B 0005-00010388</t>
  </si>
  <si>
    <t>FA-A 0006-00000478</t>
  </si>
  <si>
    <t>FA-B 0007-00005087</t>
  </si>
  <si>
    <t>FA-B 0007-00005088</t>
  </si>
  <si>
    <t>FA-B 0007-00005089</t>
  </si>
  <si>
    <t>FA-B 0007-00005090</t>
  </si>
  <si>
    <t>FA-B 0007-00005091</t>
  </si>
  <si>
    <t>FA-B 0007-00005092</t>
  </si>
  <si>
    <t>FA-B 0007-00005093</t>
  </si>
  <si>
    <t>22/04/2024</t>
  </si>
  <si>
    <t>FA-B 0005-00010389</t>
  </si>
  <si>
    <t>FA-B 0005-00010390</t>
  </si>
  <si>
    <t>FA-B 0005-00010391</t>
  </si>
  <si>
    <t>FA-B 0005-00010392</t>
  </si>
  <si>
    <t>FA-B 0005-00010393</t>
  </si>
  <si>
    <t>FA-B 0005-00010394</t>
  </si>
  <si>
    <t>FA-B 0005-00010395</t>
  </si>
  <si>
    <t>FA-B 0005-00010396</t>
  </si>
  <si>
    <t>FA-B 0005-00010397</t>
  </si>
  <si>
    <t>FA-B 0005-00010398</t>
  </si>
  <si>
    <t>FA-A 0006-00000479</t>
  </si>
  <si>
    <t>FA-A 0006-00000480</t>
  </si>
  <si>
    <t>FA-A 0007-00001932</t>
  </si>
  <si>
    <t>FA-B 0007-00005094</t>
  </si>
  <si>
    <t>FA-B 0007-00005095</t>
  </si>
  <si>
    <t>FA-B 0007-00005096</t>
  </si>
  <si>
    <t>INGRID LILIAN MOSCATELLI</t>
  </si>
  <si>
    <t>FA-B 0007-00005097</t>
  </si>
  <si>
    <t>23/04/2024</t>
  </si>
  <si>
    <t>FA-B 0005-00010399</t>
  </si>
  <si>
    <t>FA-B 0005-00010400</t>
  </si>
  <si>
    <t>FA-B 0005-00010401</t>
  </si>
  <si>
    <t>FA-B 0005-00010402</t>
  </si>
  <si>
    <t>FA-B 0005-00010403</t>
  </si>
  <si>
    <t>URSULA KRZYZANOWSKI</t>
  </si>
  <si>
    <t>FA-B 0005-00010404</t>
  </si>
  <si>
    <t>FA-B 0005-00010405</t>
  </si>
  <si>
    <t>FA-B 0005-00010406</t>
  </si>
  <si>
    <t>FA-B 0005-00010407</t>
  </si>
  <si>
    <t>FA-B 0005-00010408</t>
  </si>
  <si>
    <t>DE SOUSA NICOLAS</t>
  </si>
  <si>
    <t>FA-B 0007-00005098</t>
  </si>
  <si>
    <t>FA-B 0007-00005099</t>
  </si>
  <si>
    <t>24/04/2024</t>
  </si>
  <si>
    <t>FA-B 0005-00010409</t>
  </si>
  <si>
    <t>FA-B 0005-00010410</t>
  </si>
  <si>
    <t>FA-B 0005-00010411</t>
  </si>
  <si>
    <t>FA-B 0005-00010412</t>
  </si>
  <si>
    <t>FA-B 0005-00010413</t>
  </si>
  <si>
    <t>FA-B 0005-00010414</t>
  </si>
  <si>
    <t>FA-B 0005-00010415</t>
  </si>
  <si>
    <t>FA-B 0005-00010416</t>
  </si>
  <si>
    <t>FA-B 0005-00010417</t>
  </si>
  <si>
    <t>FA-B 0005-00010418</t>
  </si>
  <si>
    <t>FA-A 0007-00001933</t>
  </si>
  <si>
    <t>FA-A 0007-00001934</t>
  </si>
  <si>
    <t>FA-A 0007-00001935</t>
  </si>
  <si>
    <t>FA-B 0007-00005100</t>
  </si>
  <si>
    <t>HAYDEE PIZZONI</t>
  </si>
  <si>
    <t>25/04/2024</t>
  </si>
  <si>
    <t>FA-B 0005-00010419</t>
  </si>
  <si>
    <t>FA-B 0005-00010420</t>
  </si>
  <si>
    <t>FA-B 0005-00010421</t>
  </si>
  <si>
    <t>FA-B 0005-00010422</t>
  </si>
  <si>
    <t>FA-B 0005-00010423</t>
  </si>
  <si>
    <t>FA-B 0005-00010424</t>
  </si>
  <si>
    <t>FA-B 0005-00010425</t>
  </si>
  <si>
    <t>NC-A 0006-00000063</t>
  </si>
  <si>
    <t>NC-A 0006-00000064</t>
  </si>
  <si>
    <t>FA-B 0007-00005101</t>
  </si>
  <si>
    <t>FEDERICO GERMAN GRELLE</t>
  </si>
  <si>
    <t>26/04/2024</t>
  </si>
  <si>
    <t>FA-B 0005-00010426</t>
  </si>
  <si>
    <t>FA-B 0005-00010427</t>
  </si>
  <si>
    <t>FA-B 0005-00010428</t>
  </si>
  <si>
    <t>FA-B 0005-00010429</t>
  </si>
  <si>
    <t>FA-B 0005-00010430</t>
  </si>
  <si>
    <t>FA-B 0005-00010431</t>
  </si>
  <si>
    <t>FA-B 0005-00010432</t>
  </si>
  <si>
    <t>FA-B 0005-00010433</t>
  </si>
  <si>
    <t>FA-A 0007-00001936</t>
  </si>
  <si>
    <t>Obra Social De La Actividad De Seguros, Reaseguros, Capitalizacion Y Ahorro Y Prestamo  Para La Vivienda</t>
  </si>
  <si>
    <t>FA-A 0007-00001937</t>
  </si>
  <si>
    <t>FA-B 0007-00005102</t>
  </si>
  <si>
    <t>FA-B 0007-00005103</t>
  </si>
  <si>
    <t>FA-B 0007-00005104</t>
  </si>
  <si>
    <t>FA-B 0007-00005105</t>
  </si>
  <si>
    <t>FA-B 0007-00005106</t>
  </si>
  <si>
    <t>29/04/2024</t>
  </si>
  <si>
    <t>FA-B 0005-00010434</t>
  </si>
  <si>
    <t>FA-B 0005-00010435</t>
  </si>
  <si>
    <t>FA-B 0005-00010436</t>
  </si>
  <si>
    <t>FA-B 0005-00010437</t>
  </si>
  <si>
    <t>FA-B 0005-00010438</t>
  </si>
  <si>
    <t>FA-B 0005-00010439</t>
  </si>
  <si>
    <t>FA-B 0005-00010440</t>
  </si>
  <si>
    <t>FA-B 0005-00010441</t>
  </si>
  <si>
    <t>FA-B 0005-00010442</t>
  </si>
  <si>
    <t>FA-B 0005-00010443</t>
  </si>
  <si>
    <t>FA-B 0007-00005107</t>
  </si>
  <si>
    <t>ARGENTINA EDITH ZARRILLO</t>
  </si>
  <si>
    <t>FA-B 0007-00005108</t>
  </si>
  <si>
    <t>FA-B 0007-00005109</t>
  </si>
  <si>
    <t>FA-B 0007-00005110</t>
  </si>
  <si>
    <t>MIZRAHI, DIEGO ALBERTO</t>
  </si>
  <si>
    <t>FA-B 0007-00005111</t>
  </si>
  <si>
    <t>30/04/2024</t>
  </si>
  <si>
    <t>FA-B 0005-00010444</t>
  </si>
  <si>
    <t>FA-B 0005-00010445</t>
  </si>
  <si>
    <t>FA-B 0005-00010446</t>
  </si>
  <si>
    <t>CORBALAN LUCIANA</t>
  </si>
  <si>
    <t>FA-B 0005-00010447</t>
  </si>
  <si>
    <t>FA-B 0005-00010448</t>
  </si>
  <si>
    <t>FA-B 0005-00010449</t>
  </si>
  <si>
    <t>Facturas A</t>
  </si>
  <si>
    <t>Facturas B</t>
  </si>
  <si>
    <t>NETO GRAVADO</t>
  </si>
  <si>
    <t>Ventas Libro de IVA 01/05/2024 - 31/05/2024</t>
  </si>
  <si>
    <t>02/05/2024</t>
  </si>
  <si>
    <t>FA-B 0005-00010450</t>
  </si>
  <si>
    <t>FA-B 0005-00010451</t>
  </si>
  <si>
    <t>FA-B 0005-00010452</t>
  </si>
  <si>
    <t>FA-B 0005-00010453</t>
  </si>
  <si>
    <t>FA-B 0005-00010454</t>
  </si>
  <si>
    <t>FA-B 0005-00010455</t>
  </si>
  <si>
    <t>FA-B 0005-00010456</t>
  </si>
  <si>
    <t>FA-B 0005-00010457</t>
  </si>
  <si>
    <t>FA-B 0005-00010458</t>
  </si>
  <si>
    <t>NC-A 0007-00000141</t>
  </si>
  <si>
    <t>FA-A 0007-00001938</t>
  </si>
  <si>
    <t>FA-A 0007-00001939</t>
  </si>
  <si>
    <t>FA-A 0007-00001940</t>
  </si>
  <si>
    <t>FA-A 0007-00001941</t>
  </si>
  <si>
    <t>FA-A 0007-00001942</t>
  </si>
  <si>
    <t>FA-A 0007-00001943</t>
  </si>
  <si>
    <t>FA-A 0007-00001944</t>
  </si>
  <si>
    <t>FA-A 0007-00001945</t>
  </si>
  <si>
    <t>FA-A 0007-00001946</t>
  </si>
  <si>
    <t>FA-A 0007-00001947</t>
  </si>
  <si>
    <t>FA-A 0007-00001948</t>
  </si>
  <si>
    <t>FA-A 0007-00001949</t>
  </si>
  <si>
    <t>FA-A 0007-00001950</t>
  </si>
  <si>
    <t>03/05/2024</t>
  </si>
  <si>
    <t>FA-B 0005-00010459</t>
  </si>
  <si>
    <t>FA-B 0005-00010460</t>
  </si>
  <si>
    <t>FA-B 0005-00010461</t>
  </si>
  <si>
    <t>FA-B 0005-00010462</t>
  </si>
  <si>
    <t>FA-B 0005-00010463</t>
  </si>
  <si>
    <t>FA-B 0005-00010464</t>
  </si>
  <si>
    <t>FA-B 0005-00010465</t>
  </si>
  <si>
    <t>FA-B 0005-00010466</t>
  </si>
  <si>
    <t>FA-B 0005-00010467</t>
  </si>
  <si>
    <t>FA-B 0005-00010468</t>
  </si>
  <si>
    <t>NC-A 0006-00000065</t>
  </si>
  <si>
    <t>FA-A 0006-00000481</t>
  </si>
  <si>
    <t>FA-A 0006-00000482</t>
  </si>
  <si>
    <t>FA-A 0006-00000483</t>
  </si>
  <si>
    <t>FA-A 0006-00000484</t>
  </si>
  <si>
    <t>FA-A 0006-00000485</t>
  </si>
  <si>
    <t>FA-A 0007-00001951</t>
  </si>
  <si>
    <t>FA-B 0007-00005112</t>
  </si>
  <si>
    <t>FA-B 0007-00005113</t>
  </si>
  <si>
    <t>FA-B 0007-00005114</t>
  </si>
  <si>
    <t>FA-B 0007-00005115</t>
  </si>
  <si>
    <t>FA-B 0007-00005116</t>
  </si>
  <si>
    <t>FA-B 0007-00005117</t>
  </si>
  <si>
    <t>FA-B 0007-00005118</t>
  </si>
  <si>
    <t>Corte Suprema De Justicia Obra Social Del Poder Judicial</t>
  </si>
  <si>
    <t>06/05/2024</t>
  </si>
  <si>
    <t>FA-B 0005-00010469</t>
  </si>
  <si>
    <t>FA-B 0005-00010470</t>
  </si>
  <si>
    <t>FA-B 0005-00010471</t>
  </si>
  <si>
    <t>FA-B 0005-00010472</t>
  </si>
  <si>
    <t>FA-B 0005-00010473</t>
  </si>
  <si>
    <t>FA-B 0005-00010474</t>
  </si>
  <si>
    <t>FA-B 0005-00010475</t>
  </si>
  <si>
    <t>NC-A 0006-00000066</t>
  </si>
  <si>
    <t>FA-B 0007-00005119</t>
  </si>
  <si>
    <t>FA-B 0007-00005120</t>
  </si>
  <si>
    <t>FA-B 0007-00005121</t>
  </si>
  <si>
    <t>07/05/2024</t>
  </si>
  <si>
    <t>FA-B 0005-00010476</t>
  </si>
  <si>
    <t>FA-B 0005-00010477</t>
  </si>
  <si>
    <t>FA-B 0005-00010478</t>
  </si>
  <si>
    <t>MORALES MIGUEL</t>
  </si>
  <si>
    <t>FA-B 0005-00010479</t>
  </si>
  <si>
    <t>LALANNE RAUL RAMON</t>
  </si>
  <si>
    <t>FA-B 0005-00010480</t>
  </si>
  <si>
    <t>FA-B 0005-00010481</t>
  </si>
  <si>
    <t>FA-B 0005-00010482</t>
  </si>
  <si>
    <t>FA-B 0005-00010483</t>
  </si>
  <si>
    <t>FA-B 0005-00010484</t>
  </si>
  <si>
    <t>FA-B 0005-00010485</t>
  </si>
  <si>
    <t>FA-A 0006-00000486</t>
  </si>
  <si>
    <t>FA-A 0006-00000487</t>
  </si>
  <si>
    <t>FA-A 0007-00001952</t>
  </si>
  <si>
    <t>FA-A 0007-00001953</t>
  </si>
  <si>
    <t>08/05/2024</t>
  </si>
  <si>
    <t>FA-B 0005-00010486</t>
  </si>
  <si>
    <t>FA-B 0005-00010487</t>
  </si>
  <si>
    <t>FA-B 0005-00010488</t>
  </si>
  <si>
    <t>FA-B 0005-00010489</t>
  </si>
  <si>
    <t>FA-B 0005-00010490</t>
  </si>
  <si>
    <t>FA-B 0005-00010491</t>
  </si>
  <si>
    <t>FA-B 0005-00010492</t>
  </si>
  <si>
    <t>HERRERA PORCEL MARÍA MERCEDES</t>
  </si>
  <si>
    <t>FA-B 0005-00010493</t>
  </si>
  <si>
    <t>NC-A 0006-00000067</t>
  </si>
  <si>
    <t>NC-A 0006-00000068</t>
  </si>
  <si>
    <t>FA-A 0006-00000488</t>
  </si>
  <si>
    <t>FA-A 0006-00000489</t>
  </si>
  <si>
    <t>FA-A 0007-00001954</t>
  </si>
  <si>
    <t>FA-A 0007-00001955</t>
  </si>
  <si>
    <t>FA-B 0007-00005122</t>
  </si>
  <si>
    <t>FA-B 0007-00005123</t>
  </si>
  <si>
    <t>Obra Social De Docentes Particulares</t>
  </si>
  <si>
    <t>09/05/2024</t>
  </si>
  <si>
    <t>FA-B 0005-00010494</t>
  </si>
  <si>
    <t>FA-B 0005-00010495</t>
  </si>
  <si>
    <t>FA-B 0005-00010496</t>
  </si>
  <si>
    <t>FA-A 0006-00000490</t>
  </si>
  <si>
    <t>FA-A 0007-00001956</t>
  </si>
  <si>
    <t>FA-B 0007-00005124</t>
  </si>
  <si>
    <t>FA-B 0007-00005125</t>
  </si>
  <si>
    <t>10/05/2024</t>
  </si>
  <si>
    <t>FA-A 0005-00000151</t>
  </si>
  <si>
    <t>GOOD SHOW SRL</t>
  </si>
  <si>
    <t>FA-B 0005-00010497</t>
  </si>
  <si>
    <t>FA-B 0005-00010498</t>
  </si>
  <si>
    <t>FA-B 0005-00010499</t>
  </si>
  <si>
    <t>SILVA ROSA ESTELA</t>
  </si>
  <si>
    <t>FA-B 0005-00010500</t>
  </si>
  <si>
    <t>FA-B 0005-00010501</t>
  </si>
  <si>
    <t>FA-B 0005-00010502</t>
  </si>
  <si>
    <t>FA-B 0005-00010503</t>
  </si>
  <si>
    <t>FA-B 0005-00010504</t>
  </si>
  <si>
    <t>FA-B 0005-00010505</t>
  </si>
  <si>
    <t>FA-B 0005-00010506</t>
  </si>
  <si>
    <t>FA-B 0005-00010507</t>
  </si>
  <si>
    <t>FA-B 0005-00010508</t>
  </si>
  <si>
    <t>FA-B 0005-00010509</t>
  </si>
  <si>
    <t>FA-B 0007-00005126</t>
  </si>
  <si>
    <t>FA-B 0007-00005127</t>
  </si>
  <si>
    <t>13/05/2024</t>
  </si>
  <si>
    <t>FA-B 0005-00010510</t>
  </si>
  <si>
    <t>FA-B 0005-00010511</t>
  </si>
  <si>
    <t>FA-B 0005-00010512</t>
  </si>
  <si>
    <t>FA-B 0005-00010513</t>
  </si>
  <si>
    <t>FA-B 0005-00010514</t>
  </si>
  <si>
    <t>FA-B 0005-00010515</t>
  </si>
  <si>
    <t>FA-B 0005-00010516</t>
  </si>
  <si>
    <t>FA-B 0005-00010517</t>
  </si>
  <si>
    <t>FA-B 0005-00010518</t>
  </si>
  <si>
    <t>FA-B 0005-00010519</t>
  </si>
  <si>
    <t>FA-B 0005-00010520</t>
  </si>
  <si>
    <t>NC-B 0007-00000149</t>
  </si>
  <si>
    <t>SERRANO, CARLOS ARMANDO</t>
  </si>
  <si>
    <t>FA-B 0007-00005128</t>
  </si>
  <si>
    <t>FA-B 0007-00005129</t>
  </si>
  <si>
    <t>14/05/2024</t>
  </si>
  <si>
    <t>FA-B 0005-00010521</t>
  </si>
  <si>
    <t>PINOS RAMÓN MARCELINO</t>
  </si>
  <si>
    <t>FA-B 0005-00010522</t>
  </si>
  <si>
    <t>FA-B 0005-00010523</t>
  </si>
  <si>
    <t>FA-B 0005-00010524</t>
  </si>
  <si>
    <t>FA-B 0005-00010525</t>
  </si>
  <si>
    <t>FA-B 0005-00010526</t>
  </si>
  <si>
    <t>FA-B 0005-00010527</t>
  </si>
  <si>
    <t>FA-B 0005-00010528</t>
  </si>
  <si>
    <t>FA-B 0005-00010529</t>
  </si>
  <si>
    <t>FA-B 0005-00010530</t>
  </si>
  <si>
    <t>FA-B 0005-00010531</t>
  </si>
  <si>
    <t>FA-B 0005-00010532</t>
  </si>
  <si>
    <t>FA-B 0007-00005130</t>
  </si>
  <si>
    <t>15/05/2024</t>
  </si>
  <si>
    <t>FA-B 0005-00010533</t>
  </si>
  <si>
    <t>FA-B 0005-00010534</t>
  </si>
  <si>
    <t>FA-B 0005-00010535</t>
  </si>
  <si>
    <t>FA-B 0005-00010536</t>
  </si>
  <si>
    <t>FA-B 0005-00010537</t>
  </si>
  <si>
    <t>FA-B 0005-00010538</t>
  </si>
  <si>
    <t>FA-B 0005-00010539</t>
  </si>
  <si>
    <t>FA-B 0005-00010540</t>
  </si>
  <si>
    <t>FA-B 0005-00010541</t>
  </si>
  <si>
    <t>FA-B 0005-00010542</t>
  </si>
  <si>
    <t>PAILHE JUAN</t>
  </si>
  <si>
    <t>FA-B 0005-00010543</t>
  </si>
  <si>
    <t>FA-B 0005-00010544</t>
  </si>
  <si>
    <t>NC-A 0007-00000142</t>
  </si>
  <si>
    <t>FA-A 0007-00001957</t>
  </si>
  <si>
    <t>FA-A 0007-00001958</t>
  </si>
  <si>
    <t>FA-A 0007-00001959</t>
  </si>
  <si>
    <t>FA-A 0007-00001960</t>
  </si>
  <si>
    <t>FA-A 0007-00001961</t>
  </si>
  <si>
    <t>FA-A 0007-00001962</t>
  </si>
  <si>
    <t>FA-A 0007-00001963</t>
  </si>
  <si>
    <t>FA-A 0007-00001964</t>
  </si>
  <si>
    <t>FA-A 0007-00001965</t>
  </si>
  <si>
    <t>16/05/2024</t>
  </si>
  <si>
    <t>NC-B 0005-00000136</t>
  </si>
  <si>
    <t>FA-B 0005-00010545</t>
  </si>
  <si>
    <t>FA-B 0005-00010546</t>
  </si>
  <si>
    <t>FA-B 0005-00010547</t>
  </si>
  <si>
    <t>FA-B 0005-00010548</t>
  </si>
  <si>
    <t>FA-B 0005-00010549</t>
  </si>
  <si>
    <t>FA-B 0005-00010550</t>
  </si>
  <si>
    <t>FA-B 0005-00010551</t>
  </si>
  <si>
    <t>FA-B 0005-00010552</t>
  </si>
  <si>
    <t>FA-B 0005-00010553</t>
  </si>
  <si>
    <t>FA-B 0005-00010554</t>
  </si>
  <si>
    <t>FA-B 0005-00010555</t>
  </si>
  <si>
    <t>FA-B 0005-00010556</t>
  </si>
  <si>
    <t>FA-B 0005-00010557</t>
  </si>
  <si>
    <t>FA-B 0005-00010558</t>
  </si>
  <si>
    <t>FA-B 0005-00010559</t>
  </si>
  <si>
    <t>FA-B 0005-00010560</t>
  </si>
  <si>
    <t>FA-A 0006-00000491</t>
  </si>
  <si>
    <t>FA-A 0006-00000492</t>
  </si>
  <si>
    <t>FA-A 0007-00001966</t>
  </si>
  <si>
    <t>FA-A 0007-00001967</t>
  </si>
  <si>
    <t>FA-B 0007-00005131</t>
  </si>
  <si>
    <t>17/05/2024</t>
  </si>
  <si>
    <t>FA-B 0005-00010561</t>
  </si>
  <si>
    <t>FA-B 0005-00010562</t>
  </si>
  <si>
    <t>FA-B 0005-00010563</t>
  </si>
  <si>
    <t>FA-B 0005-00010564</t>
  </si>
  <si>
    <t>FA-B 0005-00010565</t>
  </si>
  <si>
    <t>FA-B 0005-00010566</t>
  </si>
  <si>
    <t>FA-A 0006-00000493</t>
  </si>
  <si>
    <t>FA-A 0007-00001968</t>
  </si>
  <si>
    <t>FA-B 0007-00005132</t>
  </si>
  <si>
    <t>FA-B 0007-00005133</t>
  </si>
  <si>
    <t>FA-B 0007-00005134</t>
  </si>
  <si>
    <t>FA-B 0007-00005135</t>
  </si>
  <si>
    <t>FA-B 0007-00005136</t>
  </si>
  <si>
    <t>FA-B 0007-00005137</t>
  </si>
  <si>
    <t>FA-B 0007-00005138</t>
  </si>
  <si>
    <t>FA-B 0007-00005139</t>
  </si>
  <si>
    <t>ANTIVERO, LUISA</t>
  </si>
  <si>
    <t>FA-B 0007-00005140</t>
  </si>
  <si>
    <t>FA-B 0007-00005141</t>
  </si>
  <si>
    <t>FA-B 0007-00005142</t>
  </si>
  <si>
    <t>FA-B 0007-00005143</t>
  </si>
  <si>
    <t>20/05/2024</t>
  </si>
  <si>
    <t>FA-B 0005-00010567</t>
  </si>
  <si>
    <t>FA-B 0005-00010568</t>
  </si>
  <si>
    <t>FA-B 0005-00010569</t>
  </si>
  <si>
    <t>FA-B 0005-00010570</t>
  </si>
  <si>
    <t>FA-B 0005-00010571</t>
  </si>
  <si>
    <t>FA-B 0005-00010572</t>
  </si>
  <si>
    <t>REY MARIA DEL CARMEN</t>
  </si>
  <si>
    <t>FA-B 0005-00010573</t>
  </si>
  <si>
    <t>FA-B 0005-00010574</t>
  </si>
  <si>
    <t>FA-B 0005-00010575</t>
  </si>
  <si>
    <t>FA-B 0005-00010576</t>
  </si>
  <si>
    <t>FA-B 0005-00010577</t>
  </si>
  <si>
    <t>FA-B 0005-00010578</t>
  </si>
  <si>
    <t>BARBAN MONICA</t>
  </si>
  <si>
    <t>FA-B 0005-00010579</t>
  </si>
  <si>
    <t>FA-B 0005-00010580</t>
  </si>
  <si>
    <t>FA-B 0005-00010581</t>
  </si>
  <si>
    <t>FA-A 0007-00001969</t>
  </si>
  <si>
    <t>FA-A 0007-00001970</t>
  </si>
  <si>
    <t>FA-A 0007-00001971</t>
  </si>
  <si>
    <t>Aca Salud Cooperativa De Prestacion De Servicios Medico Asistenciales Limitada</t>
  </si>
  <si>
    <t>FA-B 0007-00005144</t>
  </si>
  <si>
    <t>FA-B 0007-00005145</t>
  </si>
  <si>
    <t>FA-B 0007-00005146</t>
  </si>
  <si>
    <t>FA-B 0007-00005147</t>
  </si>
  <si>
    <t>FA-B 0007-00005148</t>
  </si>
  <si>
    <t>21/05/2024</t>
  </si>
  <si>
    <t>FA-B 0005-00010582</t>
  </si>
  <si>
    <t>PONCE NORMA BEATRIZ</t>
  </si>
  <si>
    <t>FA-B 0005-00010583</t>
  </si>
  <si>
    <t>FA-B 0005-00010584</t>
  </si>
  <si>
    <t>FA-B 0005-00010585</t>
  </si>
  <si>
    <t>FA-B 0005-00010586</t>
  </si>
  <si>
    <t>FA-B 0005-00010587</t>
  </si>
  <si>
    <t>FA-B 0005-00010588</t>
  </si>
  <si>
    <t>DEVIA NIRA NESTORA</t>
  </si>
  <si>
    <t>FA-B 0005-00010589</t>
  </si>
  <si>
    <t>GONZALEZ VANESA BEATRIZ</t>
  </si>
  <si>
    <t>FA-B 0005-00010590</t>
  </si>
  <si>
    <t>FA-B 0005-00010591</t>
  </si>
  <si>
    <t>FA-B 0005-00010592</t>
  </si>
  <si>
    <t>FA-A 0006-00000494</t>
  </si>
  <si>
    <t>FA-A 0007-00001972</t>
  </si>
  <si>
    <t>FA-A 0007-00001973</t>
  </si>
  <si>
    <t>FA-A 0007-00001974</t>
  </si>
  <si>
    <t>FA-B 0007-00005149</t>
  </si>
  <si>
    <t>22/05/2024</t>
  </si>
  <si>
    <t>FA-B 0005-00010593</t>
  </si>
  <si>
    <t>FA-B 0005-00010594</t>
  </si>
  <si>
    <t>FA-B 0005-00010595</t>
  </si>
  <si>
    <t>FA-B 0005-00010596</t>
  </si>
  <si>
    <t>FA-B 0005-00010597</t>
  </si>
  <si>
    <t>FA-B 0005-00010598</t>
  </si>
  <si>
    <t>FA-B 0005-00010599</t>
  </si>
  <si>
    <t>FA-B 0005-00010600</t>
  </si>
  <si>
    <t>NC-A 0006-00000069</t>
  </si>
  <si>
    <t>23/05/2024</t>
  </si>
  <si>
    <t>FA-B 0005-00010601</t>
  </si>
  <si>
    <t>FA-B 0005-00010602</t>
  </si>
  <si>
    <t>FA-B 0005-00010603</t>
  </si>
  <si>
    <t>FA-B 0005-00010604</t>
  </si>
  <si>
    <t>FA-B 0005-00010605</t>
  </si>
  <si>
    <t>FA-B 0005-00010606</t>
  </si>
  <si>
    <t>FA-B 0005-00010607</t>
  </si>
  <si>
    <t>FA-B 0005-00010608</t>
  </si>
  <si>
    <t>FA-B 0005-00010609</t>
  </si>
  <si>
    <t>FA-B 0005-00010610</t>
  </si>
  <si>
    <t>FA-B 0005-00010611</t>
  </si>
  <si>
    <t>FA-B 0005-00010612</t>
  </si>
  <si>
    <t>FA-B 0005-00010613</t>
  </si>
  <si>
    <t>FA-B 0005-00010614</t>
  </si>
  <si>
    <t>FA-B 0005-00010615</t>
  </si>
  <si>
    <t>FA-A 0006-00000495</t>
  </si>
  <si>
    <t>FA-A 0007-00001975</t>
  </si>
  <si>
    <t>FA-A 0007-00001976</t>
  </si>
  <si>
    <t>FA-A 0007-00001977</t>
  </si>
  <si>
    <t>FA-B 0007-00005150</t>
  </si>
  <si>
    <t xml:space="preserve">GARCIA FERNANDEZ, ARIEL </t>
  </si>
  <si>
    <t>FA-B 0007-00005151</t>
  </si>
  <si>
    <t>FA-B 0007-00005152</t>
  </si>
  <si>
    <t>FA-B 0007-00005153</t>
  </si>
  <si>
    <t>24/05/2024</t>
  </si>
  <si>
    <t>FA-B 0005-00010616</t>
  </si>
  <si>
    <t>FA-B 0005-00010617</t>
  </si>
  <si>
    <t>FA-B 0005-00010618</t>
  </si>
  <si>
    <t>FA-B 0005-00010619</t>
  </si>
  <si>
    <t>FA-B 0005-00010620</t>
  </si>
  <si>
    <t>FA-B 0005-00010621</t>
  </si>
  <si>
    <t>FA-B 0005-00010622</t>
  </si>
  <si>
    <t>FA-B 0005-00010623</t>
  </si>
  <si>
    <t>FA-B 0005-00010624</t>
  </si>
  <si>
    <t>FA-B 0005-00010625</t>
  </si>
  <si>
    <t>FA-B 0005-00010626</t>
  </si>
  <si>
    <t>FA-B 0005-00010627</t>
  </si>
  <si>
    <t>FA-A 0007-00001978</t>
  </si>
  <si>
    <t>FA-B 0007-00005154</t>
  </si>
  <si>
    <t>FA-B 0007-00005155</t>
  </si>
  <si>
    <t>FA-B 0007-00005156</t>
  </si>
  <si>
    <t>FA-B 0007-00005157</t>
  </si>
  <si>
    <t>FA-B 0007-00005158</t>
  </si>
  <si>
    <t>FA-B 0007-00005159</t>
  </si>
  <si>
    <t>FA-B 0007-00005160</t>
  </si>
  <si>
    <t>FA-B 0007-00005161</t>
  </si>
  <si>
    <t>27/05/2024</t>
  </si>
  <si>
    <t>FA-B 0005-00010628</t>
  </si>
  <si>
    <t>FA-B 0005-00010629</t>
  </si>
  <si>
    <t>FA-B 0005-00010630</t>
  </si>
  <si>
    <t>FA-B 0005-00010631</t>
  </si>
  <si>
    <t>FA-B 0005-00010632</t>
  </si>
  <si>
    <t>BRUNO HECTOR ERNESTO</t>
  </si>
  <si>
    <t>FA-B 0005-00010633</t>
  </si>
  <si>
    <t>FA-B 0005-00010634</t>
  </si>
  <si>
    <t>FA-B 0005-00010635</t>
  </si>
  <si>
    <t>FA-B 0005-00010636</t>
  </si>
  <si>
    <t>FA-B 0005-00010637</t>
  </si>
  <si>
    <t>FA-B 0005-00010638</t>
  </si>
  <si>
    <t>FA-B 0005-00010639</t>
  </si>
  <si>
    <t>FA-A 0007-00001979</t>
  </si>
  <si>
    <t>28/05/2024</t>
  </si>
  <si>
    <t>FA-A 0005-00000152</t>
  </si>
  <si>
    <t>Bullrich, Jorge Antonio</t>
  </si>
  <si>
    <t>FA-B 0005-00010640</t>
  </si>
  <si>
    <t>FA-B 0005-00010641</t>
  </si>
  <si>
    <t>FA-B 0005-00010642</t>
  </si>
  <si>
    <t xml:space="preserve">DIAZ, HECTOR </t>
  </si>
  <si>
    <t>FA-B 0005-00010643</t>
  </si>
  <si>
    <t>FA-B 0005-00010644</t>
  </si>
  <si>
    <t>FA-B 0005-00010645</t>
  </si>
  <si>
    <t>FA-B 0005-00010646</t>
  </si>
  <si>
    <t>FA-B 0005-00010647</t>
  </si>
  <si>
    <t>FA-A 0006-00000496</t>
  </si>
  <si>
    <t>FA-A 0006-00000497</t>
  </si>
  <si>
    <t>FA-A 0007-00001980</t>
  </si>
  <si>
    <t>29/05/2024</t>
  </si>
  <si>
    <t>FA-B 0005-00010648</t>
  </si>
  <si>
    <t>FA-B 0005-00010649</t>
  </si>
  <si>
    <t>FA-B 0005-00010650</t>
  </si>
  <si>
    <t>FA-B 0005-00010651</t>
  </si>
  <si>
    <t>FA-B 0005-00010652</t>
  </si>
  <si>
    <t>FA-B 0005-00010653</t>
  </si>
  <si>
    <t>FA-B 0005-00010654</t>
  </si>
  <si>
    <t>FA-B 0005-00010655</t>
  </si>
  <si>
    <t>FA-B 0005-00010656</t>
  </si>
  <si>
    <t>FA-B 0005-00010657</t>
  </si>
  <si>
    <t>FA-B 0005-00010658</t>
  </si>
  <si>
    <t>FA-B 0005-00010659</t>
  </si>
  <si>
    <t>FA-A 0006-00000498</t>
  </si>
  <si>
    <t>NC-B 0007-00000150</t>
  </si>
  <si>
    <t>NC-B 0007-00000151</t>
  </si>
  <si>
    <t>FA-A 0007-00001981</t>
  </si>
  <si>
    <t>FA-B 0007-00005162</t>
  </si>
  <si>
    <t>FA-B 0007-00005163</t>
  </si>
  <si>
    <t>30/05/2024</t>
  </si>
  <si>
    <t>FA-B 0005-00010660</t>
  </si>
  <si>
    <t>FA-B 0005-00010661</t>
  </si>
  <si>
    <t>Silvia Claudia Geijo</t>
  </si>
  <si>
    <t>FA-B 0005-00010662</t>
  </si>
  <si>
    <t>Echaide Jose Carlos</t>
  </si>
  <si>
    <t>FA-B 0005-00010663</t>
  </si>
  <si>
    <t>FA-B 0005-00010664</t>
  </si>
  <si>
    <t>FA-B 0005-00010665</t>
  </si>
  <si>
    <t>FA-B 0005-00010666</t>
  </si>
  <si>
    <t>FA-B 0005-00010667</t>
  </si>
  <si>
    <t>FA-B 0005-00010668</t>
  </si>
  <si>
    <t>FA-B 0005-00010669</t>
  </si>
  <si>
    <t>FA-A 0007-00001982</t>
  </si>
  <si>
    <t>FA-A 0007-00001983</t>
  </si>
  <si>
    <t>FA-A 0007-00001984</t>
  </si>
  <si>
    <t>FA-A 0007-00001985</t>
  </si>
  <si>
    <t>FA-A 0007-00001986</t>
  </si>
  <si>
    <t>31/05/2024</t>
  </si>
  <si>
    <t>FA-B 0005-00010670</t>
  </si>
  <si>
    <t>FA-B 0005-00010671</t>
  </si>
  <si>
    <t>FA-B 0005-00010672</t>
  </si>
  <si>
    <t>MARTINEZ CESAR</t>
  </si>
  <si>
    <t>FA-B 0005-00010673</t>
  </si>
  <si>
    <t>FA-B 0005-00010674</t>
  </si>
  <si>
    <t>FA-B 0005-00010675</t>
  </si>
  <si>
    <t>FA-B 0005-00010676</t>
  </si>
  <si>
    <t>FA-B 0005-00010677</t>
  </si>
  <si>
    <t>FA-B 0005-00010678</t>
  </si>
  <si>
    <t>FA-B 0005-00010679</t>
  </si>
  <si>
    <t>FA-B 0005-00010680</t>
  </si>
  <si>
    <t>FA-B 0005-00010681</t>
  </si>
  <si>
    <t>FA-B 0005-00010682</t>
  </si>
  <si>
    <t>FA-B 0005-00010683</t>
  </si>
  <si>
    <t>FA-B 0005-00010684</t>
  </si>
  <si>
    <t>FA-A 0007-00001987</t>
  </si>
  <si>
    <t>FA-A 0007-00001988</t>
  </si>
  <si>
    <t>FA-A 0007-00001989</t>
  </si>
  <si>
    <t>RESUMEN</t>
  </si>
  <si>
    <t>Ventas Libro de IVA 01/06/2024 - 30/06/2024</t>
  </si>
  <si>
    <t>03/06/2024</t>
  </si>
  <si>
    <t>FA-B 0005-00010685</t>
  </si>
  <si>
    <t>FA-B 0005-00010686</t>
  </si>
  <si>
    <t>FA-B 0005-00010687</t>
  </si>
  <si>
    <t>FA-B 0005-00010688</t>
  </si>
  <si>
    <t>FA-B 0005-00010689</t>
  </si>
  <si>
    <t>FA-B 0005-00010690</t>
  </si>
  <si>
    <t>FA-B 0005-00010691</t>
  </si>
  <si>
    <t>FA-B 0005-00010692</t>
  </si>
  <si>
    <t>FA-B 0005-00010693</t>
  </si>
  <si>
    <t>FA-B 0005-00010694</t>
  </si>
  <si>
    <t>FA-B 0005-00010695</t>
  </si>
  <si>
    <t>FA-B 0007-00005164</t>
  </si>
  <si>
    <t>04/06/2024</t>
  </si>
  <si>
    <t>NC-B 0005-00000137</t>
  </si>
  <si>
    <t>GONZALEZ MARTÍN RUTH</t>
  </si>
  <si>
    <t>FA-B 0005-00010696</t>
  </si>
  <si>
    <t>SANCHEZ ANA MARÍA</t>
  </si>
  <si>
    <t>FA-B 0005-00010697</t>
  </si>
  <si>
    <t>FA-B 0005-00010698</t>
  </si>
  <si>
    <t>FA-B 0005-00010699</t>
  </si>
  <si>
    <t>FA-B 0005-00010700</t>
  </si>
  <si>
    <t>FA-B 0005-00010701</t>
  </si>
  <si>
    <t>FA-B 0005-00010702</t>
  </si>
  <si>
    <t>FA-B 0005-00010703</t>
  </si>
  <si>
    <t>FA-B 0005-00010704</t>
  </si>
  <si>
    <t>FA-B 0005-00010705</t>
  </si>
  <si>
    <t>FA-B 0005-00010706</t>
  </si>
  <si>
    <t>FA-B 0005-00010707</t>
  </si>
  <si>
    <t>FA-B 0005-00010708</t>
  </si>
  <si>
    <t>GARRIDO PUICON, EDSON JOSE</t>
  </si>
  <si>
    <t>FA-B 0005-00010709</t>
  </si>
  <si>
    <t>FA-B 0005-00010710</t>
  </si>
  <si>
    <t>FA-B 0005-00010711</t>
  </si>
  <si>
    <t>FA-B 0005-00010712</t>
  </si>
  <si>
    <t>FA-B 0005-00010713</t>
  </si>
  <si>
    <t>FA-A 0007-00001990</t>
  </si>
  <si>
    <t>FA-B 0007-00005165</t>
  </si>
  <si>
    <t>FA-B 0007-00005166</t>
  </si>
  <si>
    <t>FA-B 0007-00005167</t>
  </si>
  <si>
    <t>FA-B 0007-00005168</t>
  </si>
  <si>
    <t>FA-B 0007-00005169</t>
  </si>
  <si>
    <t>FA-B 0007-00005170</t>
  </si>
  <si>
    <t xml:space="preserve">BECERRA SANCHEZ  LISYENERY BEATRIZ </t>
  </si>
  <si>
    <t>FA-B 0007-00005171</t>
  </si>
  <si>
    <t>FA-B 0007-00005172</t>
  </si>
  <si>
    <t>05/06/2024</t>
  </si>
  <si>
    <t>FA-B 0005-00010714</t>
  </si>
  <si>
    <t>FA-B 0005-00010715</t>
  </si>
  <si>
    <t>FA-B 0005-00010716</t>
  </si>
  <si>
    <t>FA-B 0005-00010717</t>
  </si>
  <si>
    <t>FA-B 0005-00010718</t>
  </si>
  <si>
    <t>FA-B 0005-00010719</t>
  </si>
  <si>
    <t>FA-B 0005-00010720</t>
  </si>
  <si>
    <t>FA-B 0005-00010721</t>
  </si>
  <si>
    <t>FA-B 0005-00010722</t>
  </si>
  <si>
    <t>FA-B 0005-00010723</t>
  </si>
  <si>
    <t>FA-B 0005-00010724</t>
  </si>
  <si>
    <t>FA-B 0005-00010725</t>
  </si>
  <si>
    <t>FA-B 0005-00010726</t>
  </si>
  <si>
    <t>FA-B 0005-00010727</t>
  </si>
  <si>
    <t>FA-B 0005-00010728</t>
  </si>
  <si>
    <t>FA-B 0005-00010729</t>
  </si>
  <si>
    <t>FA-B 0005-00010730</t>
  </si>
  <si>
    <t>FA-B 0005-00010731</t>
  </si>
  <si>
    <t>FA-A 0006-00000499</t>
  </si>
  <si>
    <t xml:space="preserve">GALENO ARGENTINA SA  </t>
  </si>
  <si>
    <t>FA-A 0006-00000500</t>
  </si>
  <si>
    <t>FA-A 0006-00000501</t>
  </si>
  <si>
    <t>FA-A 0007-00001991</t>
  </si>
  <si>
    <t>06/06/2024</t>
  </si>
  <si>
    <t>FA-B 0005-00010732</t>
  </si>
  <si>
    <t>FA-B 0005-00010733</t>
  </si>
  <si>
    <t>FA-B 0005-00010734</t>
  </si>
  <si>
    <t>FA-B 0005-00010735</t>
  </si>
  <si>
    <t>FA-B 0005-00010736</t>
  </si>
  <si>
    <t>FA-B 0005-00010737</t>
  </si>
  <si>
    <t>FA-B 0005-00010738</t>
  </si>
  <si>
    <t>FA-B 0005-00010739</t>
  </si>
  <si>
    <t>FA-B 0005-00010740</t>
  </si>
  <si>
    <t>FA-B 0005-00010741</t>
  </si>
  <si>
    <t>FA-B 0005-00010742</t>
  </si>
  <si>
    <t>FA-B 0005-00010743</t>
  </si>
  <si>
    <t>FA-B 0005-00010744</t>
  </si>
  <si>
    <t>FA-B 0005-00010745</t>
  </si>
  <si>
    <t>FA-B 0005-00010746</t>
  </si>
  <si>
    <t>FA-B 0005-00010747</t>
  </si>
  <si>
    <t>FA-B 0005-00010748</t>
  </si>
  <si>
    <t>FA-B 0005-00010749</t>
  </si>
  <si>
    <t>FA-B 0007-00005173</t>
  </si>
  <si>
    <t>FA-B 0007-00005174</t>
  </si>
  <si>
    <t>FA-B 0007-00005175</t>
  </si>
  <si>
    <t>FA-B 0007-00005176</t>
  </si>
  <si>
    <t>07/06/2024</t>
  </si>
  <si>
    <t>FA-B 0005-00010750</t>
  </si>
  <si>
    <t>FA-B 0005-00010751</t>
  </si>
  <si>
    <t>FA-B 0005-00010752</t>
  </si>
  <si>
    <t>FA-B 0005-00010753</t>
  </si>
  <si>
    <t>FA-B 0005-00010754</t>
  </si>
  <si>
    <t>FA-B 0005-00010755</t>
  </si>
  <si>
    <t>FA-B 0005-00010756</t>
  </si>
  <si>
    <t>FA-B 0005-00010757</t>
  </si>
  <si>
    <t>FA-B 0005-00010758</t>
  </si>
  <si>
    <t>FA-B 0005-00010759</t>
  </si>
  <si>
    <t>FA-B 0005-00010760</t>
  </si>
  <si>
    <t>FA-B 0005-00010761</t>
  </si>
  <si>
    <t>FA-B 0005-00010762</t>
  </si>
  <si>
    <t>FA-B 0005-00010763</t>
  </si>
  <si>
    <t>FA-B 0005-00010764</t>
  </si>
  <si>
    <t>FA-A 0006-00000502</t>
  </si>
  <si>
    <t>FA-A 0007-00001992</t>
  </si>
  <si>
    <t>FA-A 0007-00001993</t>
  </si>
  <si>
    <t>FA-A 0007-00001994</t>
  </si>
  <si>
    <t>FA-A 0007-00001995</t>
  </si>
  <si>
    <t>FA-A 0007-00001996</t>
  </si>
  <si>
    <t>RSC S.A.</t>
  </si>
  <si>
    <t>FA-B 0007-00005177</t>
  </si>
  <si>
    <t>FA-B 0007-00005178</t>
  </si>
  <si>
    <t>FA-B 0007-00005179</t>
  </si>
  <si>
    <t>FA-B 0007-00005180</t>
  </si>
  <si>
    <t>FA-B 0007-00005181</t>
  </si>
  <si>
    <t>10/06/2024</t>
  </si>
  <si>
    <t>FA-B 0005-00010765</t>
  </si>
  <si>
    <t>FA-B 0005-00010766</t>
  </si>
  <si>
    <t>FA-B 0005-00010767</t>
  </si>
  <si>
    <t>FA-B 0005-00010768</t>
  </si>
  <si>
    <t>FA-B 0005-00010769</t>
  </si>
  <si>
    <t>FA-B 0005-00010770</t>
  </si>
  <si>
    <t>WILLBER PIMENTEL DUARTE</t>
  </si>
  <si>
    <t>FA-B 0005-00010771</t>
  </si>
  <si>
    <t>FA-B 0005-00010772</t>
  </si>
  <si>
    <t>FA-B 0005-00010773</t>
  </si>
  <si>
    <t>FA-B 0005-00010774</t>
  </si>
  <si>
    <t>FA-B 0005-00010775</t>
  </si>
  <si>
    <t>FA-B 0005-00010776</t>
  </si>
  <si>
    <t>FA-B 0005-00010777</t>
  </si>
  <si>
    <t>PREZZAVENTO DANIEL HORACIO</t>
  </si>
  <si>
    <t>FA-B 0005-00010778</t>
  </si>
  <si>
    <t>FA-B 0005-00010779</t>
  </si>
  <si>
    <t>FA-B 0005-00010780</t>
  </si>
  <si>
    <t>FA-B 0005-00010781</t>
  </si>
  <si>
    <t>FA-B 0005-00010782</t>
  </si>
  <si>
    <t>FA-B 0005-00010783</t>
  </si>
  <si>
    <t>FA-B 0005-00010784</t>
  </si>
  <si>
    <t>FA-B 0007-00005182</t>
  </si>
  <si>
    <t>11/06/2024</t>
  </si>
  <si>
    <t>FA-B 0005-00010785</t>
  </si>
  <si>
    <t>FA-B 0005-00010786</t>
  </si>
  <si>
    <t>FA-B 0005-00010787</t>
  </si>
  <si>
    <t>FA-B 0005-00010788</t>
  </si>
  <si>
    <t>FA-B 0005-00010789</t>
  </si>
  <si>
    <t>FA-B 0005-00010790</t>
  </si>
  <si>
    <t>FA-B 0005-00010791</t>
  </si>
  <si>
    <t>FA-B 0005-00010792</t>
  </si>
  <si>
    <t>FA-B 0005-00010793</t>
  </si>
  <si>
    <t>FA-B 0005-00010794</t>
  </si>
  <si>
    <t>FA-B 0005-00010795</t>
  </si>
  <si>
    <t>FA-B 0005-00010796</t>
  </si>
  <si>
    <t>FA-B 0005-00010797</t>
  </si>
  <si>
    <t>FA-B 0005-00010798</t>
  </si>
  <si>
    <t>FA-A 0006-00000503</t>
  </si>
  <si>
    <t>FA-A 0006-00000504</t>
  </si>
  <si>
    <t>FA-A 0006-00000505</t>
  </si>
  <si>
    <t>FA-A 0006-00000506</t>
  </si>
  <si>
    <t>FA-A 0006-00000507</t>
  </si>
  <si>
    <t>FA-A 0007-00001997</t>
  </si>
  <si>
    <t>FA-A 0007-00001998</t>
  </si>
  <si>
    <t>FA-A 0007-00001999</t>
  </si>
  <si>
    <t>FA-A 0007-00002000</t>
  </si>
  <si>
    <t>FA-B 0007-00005183</t>
  </si>
  <si>
    <t>12/06/2024</t>
  </si>
  <si>
    <t>FA-B 0005-00010799</t>
  </si>
  <si>
    <t>FA-B 0005-00010800</t>
  </si>
  <si>
    <t>FA-B 0005-00010801</t>
  </si>
  <si>
    <t>FA-B 0005-00010802</t>
  </si>
  <si>
    <t>FA-B 0005-00010803</t>
  </si>
  <si>
    <t>FA-B 0005-00010804</t>
  </si>
  <si>
    <t>FA-B 0005-00010805</t>
  </si>
  <si>
    <t>FA-B 0005-00010806</t>
  </si>
  <si>
    <t>FA-B 0005-00010807</t>
  </si>
  <si>
    <t>FA-B 0005-00010808</t>
  </si>
  <si>
    <t>13/06/2024</t>
  </si>
  <si>
    <t>FA-B 0005-00010809</t>
  </si>
  <si>
    <t>FA-B 0005-00010810</t>
  </si>
  <si>
    <t>FA-B 0005-00010811</t>
  </si>
  <si>
    <t>FA-B 0005-00010812</t>
  </si>
  <si>
    <t>FA-B 0005-00010813</t>
  </si>
  <si>
    <t>FA-B 0005-00010814</t>
  </si>
  <si>
    <t>FA-B 0005-00010815</t>
  </si>
  <si>
    <t>FA-B 0005-00010816</t>
  </si>
  <si>
    <t>FA-B 0005-00010817</t>
  </si>
  <si>
    <t>FA-B 0005-00010818</t>
  </si>
  <si>
    <t>FA-B 0005-00010819</t>
  </si>
  <si>
    <t>FA-B 0005-00010820</t>
  </si>
  <si>
    <t>FA-B 0005-00010821</t>
  </si>
  <si>
    <t>FA-B 0005-00010822</t>
  </si>
  <si>
    <t>FA-B 0005-00010823</t>
  </si>
  <si>
    <t>FA-B 0005-00010824</t>
  </si>
  <si>
    <t>FA-B 0005-00010825</t>
  </si>
  <si>
    <t>FA-A 0006-00000508</t>
  </si>
  <si>
    <t>FA-A 0006-00000509</t>
  </si>
  <si>
    <t>FA-B 0007-00005184</t>
  </si>
  <si>
    <t>FA-B 0007-00005185</t>
  </si>
  <si>
    <t>FA-B 0007-00005186</t>
  </si>
  <si>
    <t>FA-B 0007-00005187</t>
  </si>
  <si>
    <t>FA-B 0007-00005188</t>
  </si>
  <si>
    <t>FA-B 0007-00005189</t>
  </si>
  <si>
    <t>FA-B 0007-00005190</t>
  </si>
  <si>
    <t>14/06/2024</t>
  </si>
  <si>
    <t>FA-A 0005-00000153</t>
  </si>
  <si>
    <t>FA-B 0005-00010826</t>
  </si>
  <si>
    <t>FA-B 0005-00010827</t>
  </si>
  <si>
    <t>FA-B 0005-00010828</t>
  </si>
  <si>
    <t>FA-B 0005-00010829</t>
  </si>
  <si>
    <t>FA-B 0005-00010830</t>
  </si>
  <si>
    <t>FA-B 0005-00010831</t>
  </si>
  <si>
    <t>FA-B 0005-00010832</t>
  </si>
  <si>
    <t>LAPPONI, ORQUIDEA MARIA JUANA</t>
  </si>
  <si>
    <t>FA-B 0005-00010833</t>
  </si>
  <si>
    <t>OJEDA ANDREA</t>
  </si>
  <si>
    <t>FA-B 0005-00010834</t>
  </si>
  <si>
    <t>FA-B 0005-00010835</t>
  </si>
  <si>
    <t>FA-B 0005-00010836</t>
  </si>
  <si>
    <t>FA-B 0005-00010837</t>
  </si>
  <si>
    <t>FA-B 0005-00010838</t>
  </si>
  <si>
    <t>FA-B 0005-00010839</t>
  </si>
  <si>
    <t>FA-B 0005-00010840</t>
  </si>
  <si>
    <t>FA-B 0005-00010841</t>
  </si>
  <si>
    <t>FA-B 0005-00010842</t>
  </si>
  <si>
    <t>NC-A 0006-00000070</t>
  </si>
  <si>
    <t>NC-A 0006-00000071</t>
  </si>
  <si>
    <t>FA-A 0006-00000510</t>
  </si>
  <si>
    <t>FA-A 0007-00002001</t>
  </si>
  <si>
    <t>FA-A 0007-00002002</t>
  </si>
  <si>
    <t>FA-A 0007-00002003</t>
  </si>
  <si>
    <t>FA-A 0007-00002004</t>
  </si>
  <si>
    <t>FA-A 0007-00002005</t>
  </si>
  <si>
    <t>FA-A 0007-00002006</t>
  </si>
  <si>
    <t>FA-B 0007-00005191</t>
  </si>
  <si>
    <t>FA-B 0007-00005192</t>
  </si>
  <si>
    <t>FA-B 0007-00005193</t>
  </si>
  <si>
    <t>FA-B 0007-00005194</t>
  </si>
  <si>
    <t>FA-B 0007-00005195</t>
  </si>
  <si>
    <t>FA-B 0007-00005196</t>
  </si>
  <si>
    <t>18/06/2024</t>
  </si>
  <si>
    <t>FA-B 0005-00010843</t>
  </si>
  <si>
    <t>FA-B 0005-00010844</t>
  </si>
  <si>
    <t>FA-B 0005-00010845</t>
  </si>
  <si>
    <t>FA-B 0005-00010846</t>
  </si>
  <si>
    <t>FA-B 0005-00010847</t>
  </si>
  <si>
    <t>FA-B 0007-00005197</t>
  </si>
  <si>
    <t>IRIARTE MARIANO</t>
  </si>
  <si>
    <t>19/06/2024</t>
  </si>
  <si>
    <t>FA-B 0005-00010848</t>
  </si>
  <si>
    <t>FA-B 0005-00010849</t>
  </si>
  <si>
    <t>FA-B 0005-00010850</t>
  </si>
  <si>
    <t>FA-B 0005-00010851</t>
  </si>
  <si>
    <t>FA-B 0005-00010852</t>
  </si>
  <si>
    <t>FA-B 0005-00010853</t>
  </si>
  <si>
    <t>FA-B 0005-00010854</t>
  </si>
  <si>
    <t>FA-B 0005-00010855</t>
  </si>
  <si>
    <t>FA-B 0005-00010856</t>
  </si>
  <si>
    <t>FA-B 0005-00010857</t>
  </si>
  <si>
    <t>FA-B 0005-00010858</t>
  </si>
  <si>
    <t>FA-B 0005-00010859</t>
  </si>
  <si>
    <t>FA-B 0005-00010860</t>
  </si>
  <si>
    <t>FA-B 0005-00010861</t>
  </si>
  <si>
    <t>FA-B 0005-00010862</t>
  </si>
  <si>
    <t>FA-B 0005-00010863</t>
  </si>
  <si>
    <t>FA-B 0005-00010864</t>
  </si>
  <si>
    <t>FA-B 0005-00010865</t>
  </si>
  <si>
    <t>FA-B 0005-00010866</t>
  </si>
  <si>
    <t>FA-B 0005-00010867</t>
  </si>
  <si>
    <t>FA-B 0005-00010868</t>
  </si>
  <si>
    <t>24/06/2024</t>
  </si>
  <si>
    <t>FA-B 0005-00010869</t>
  </si>
  <si>
    <t>FA-B 0005-00010870</t>
  </si>
  <si>
    <t>FA-B 0005-00010871</t>
  </si>
  <si>
    <t>FA-B 0005-00010872</t>
  </si>
  <si>
    <t>FA-B 0005-00010873</t>
  </si>
  <si>
    <t>FA-B 0005-00010874</t>
  </si>
  <si>
    <t>FA-B 0005-00010875</t>
  </si>
  <si>
    <t>FA-B 0005-00010876</t>
  </si>
  <si>
    <t>FA-B 0005-00010877</t>
  </si>
  <si>
    <t>FA-B 0005-00010878</t>
  </si>
  <si>
    <t>FA-B 0005-00010879</t>
  </si>
  <si>
    <t>FA-B 0005-00010880</t>
  </si>
  <si>
    <t>FA-A 0007-00002007</t>
  </si>
  <si>
    <t>FA-A 0007-00002008</t>
  </si>
  <si>
    <t>FA-B 0007-00005198</t>
  </si>
  <si>
    <t>FA-B 0007-00005199</t>
  </si>
  <si>
    <t>PARK KEUN WON</t>
  </si>
  <si>
    <t>FA-B 0007-00005200</t>
  </si>
  <si>
    <t>RODRIGUEZ GONZALO</t>
  </si>
  <si>
    <t>25/06/2024</t>
  </si>
  <si>
    <t>FA-B 0005-00010881</t>
  </si>
  <si>
    <t>FA-B 0005-00010882</t>
  </si>
  <si>
    <t>FA-B 0005-00010883</t>
  </si>
  <si>
    <t>FA-B 0005-00010884</t>
  </si>
  <si>
    <t>FA-B 0005-00010885</t>
  </si>
  <si>
    <t>FA-B 0005-00010886</t>
  </si>
  <si>
    <t>FA-B 0005-00010887</t>
  </si>
  <si>
    <t>BOGLIOLO MARÍA CRISTINA</t>
  </si>
  <si>
    <t>FA-B 0005-00010888</t>
  </si>
  <si>
    <t>FA-B 0005-00010889</t>
  </si>
  <si>
    <t>FA-B 0005-00010890</t>
  </si>
  <si>
    <t>FA-B 0005-00010891</t>
  </si>
  <si>
    <t>FA-B 0005-00010892</t>
  </si>
  <si>
    <t>FA-A 0007-00002009</t>
  </si>
  <si>
    <t>FA-A 0007-00002010</t>
  </si>
  <si>
    <t>FA-A 0007-00002011</t>
  </si>
  <si>
    <t>FA-A 0007-00002012</t>
  </si>
  <si>
    <t>FA-A 0007-00002013</t>
  </si>
  <si>
    <t>FA-A 0007-00002014</t>
  </si>
  <si>
    <t>FA-A 0007-00002015</t>
  </si>
  <si>
    <t>FA-A 0007-00002016</t>
  </si>
  <si>
    <t>FA-A 0007-00002017</t>
  </si>
  <si>
    <t>FA-A 0007-00002018</t>
  </si>
  <si>
    <t>FA-A 0007-00002019</t>
  </si>
  <si>
    <t>FA-A 0007-00002020</t>
  </si>
  <si>
    <t>FA-A 0007-00002021</t>
  </si>
  <si>
    <t>FA-B 0007-00005201</t>
  </si>
  <si>
    <t>26/06/2024</t>
  </si>
  <si>
    <t>FA-B 0005-00010893</t>
  </si>
  <si>
    <t>FA-B 0005-00010894</t>
  </si>
  <si>
    <t>FA-B 0005-00010895</t>
  </si>
  <si>
    <t>FA-B 0005-00010896</t>
  </si>
  <si>
    <t>FA-B 0005-00010897</t>
  </si>
  <si>
    <t>FA-B 0005-00010898</t>
  </si>
  <si>
    <t>FA-B 0005-00010899</t>
  </si>
  <si>
    <t>FA-B 0005-00010900</t>
  </si>
  <si>
    <t>FA-B 0005-00010901</t>
  </si>
  <si>
    <t>FA-B 0005-00010902</t>
  </si>
  <si>
    <t>FA-B 0005-00010903</t>
  </si>
  <si>
    <t>FA-B 0005-00010904</t>
  </si>
  <si>
    <t>FA-B 0005-00010905</t>
  </si>
  <si>
    <t>FA-B 0005-00010906</t>
  </si>
  <si>
    <t>FA-B 0005-00010907</t>
  </si>
  <si>
    <t>FA-B 0005-00010908</t>
  </si>
  <si>
    <t>FA-B 0005-00010909</t>
  </si>
  <si>
    <t>FA-A 0007-00002022</t>
  </si>
  <si>
    <t>FA-B 0007-00005202</t>
  </si>
  <si>
    <t>FA-B 0007-00005203</t>
  </si>
  <si>
    <t>27/06/2024</t>
  </si>
  <si>
    <t>FA-B 0005-00010910</t>
  </si>
  <si>
    <t>FA-B 0005-00010911</t>
  </si>
  <si>
    <t>FA-B 0005-00010912</t>
  </si>
  <si>
    <t>FA-B 0005-00010913</t>
  </si>
  <si>
    <t>FA-B 0005-00010914</t>
  </si>
  <si>
    <t>FA-B 0005-00010915</t>
  </si>
  <si>
    <t>FA-B 0005-00010916</t>
  </si>
  <si>
    <t>FA-B 0005-00010917</t>
  </si>
  <si>
    <t>FA-B 0005-00010918</t>
  </si>
  <si>
    <t>FA-B 0005-00010919</t>
  </si>
  <si>
    <t>FA-B 0005-00010920</t>
  </si>
  <si>
    <t>FA-B 0005-00010921</t>
  </si>
  <si>
    <t>FA-A 0006-00000511</t>
  </si>
  <si>
    <t>FA-A 0007-00002023</t>
  </si>
  <si>
    <t>Felix Torres, Esmeralda</t>
  </si>
  <si>
    <t>28/06/2024</t>
  </si>
  <si>
    <t>FA-B 0005-00010922</t>
  </si>
  <si>
    <t>FA-B 0005-00010923</t>
  </si>
  <si>
    <t>FA-B 0005-00010924</t>
  </si>
  <si>
    <t>FA-B 0005-00010925</t>
  </si>
  <si>
    <t>FA-B 0005-00010926</t>
  </si>
  <si>
    <t>FA-B 0005-00010927</t>
  </si>
  <si>
    <t>FA-B 0005-00010928</t>
  </si>
  <si>
    <t>FA-B 0005-00010929</t>
  </si>
  <si>
    <t>FA-B 0005-00010930</t>
  </si>
  <si>
    <t>FA-B 0005-00010931</t>
  </si>
  <si>
    <t>FA-B 0005-00010932</t>
  </si>
  <si>
    <t>FA-B 0005-00010933</t>
  </si>
  <si>
    <t>GRACIELA ESTER SEBE</t>
  </si>
  <si>
    <t>FA-B 0005-00010934</t>
  </si>
  <si>
    <t>FA-B 0005-00010935</t>
  </si>
  <si>
    <t>FA-B 0005-00010936</t>
  </si>
  <si>
    <t>FA-B 0005-00010937</t>
  </si>
  <si>
    <t>FA-B 0005-00010938</t>
  </si>
  <si>
    <t>FA-B 0005-00010939</t>
  </si>
  <si>
    <t>FA-B 0005-00010940</t>
  </si>
  <si>
    <t>FA-B 0005-00010941</t>
  </si>
  <si>
    <t>FA-B 0005-00010942</t>
  </si>
  <si>
    <t>NC-B 0007-00000152</t>
  </si>
  <si>
    <t>FA-B 0007-00005204</t>
  </si>
  <si>
    <t>FA-B 0007-00005205</t>
  </si>
  <si>
    <t>FA-B 0007-00005206</t>
  </si>
  <si>
    <t>FA-B 0007-00005207</t>
  </si>
  <si>
    <t>FA-B 0007-00005208</t>
  </si>
  <si>
    <t>FA-B 0007-00005209</t>
  </si>
  <si>
    <t>FA-B 0007-00005210</t>
  </si>
  <si>
    <t>FA-B 0007-00005211</t>
  </si>
  <si>
    <t>FA-B 0007-00005212</t>
  </si>
  <si>
    <t>FACTURA B</t>
  </si>
  <si>
    <t>FACTURA A</t>
  </si>
  <si>
    <t>NC-B 0007-00000153</t>
  </si>
  <si>
    <t>29/07/2024</t>
  </si>
  <si>
    <t>FA-B 0007-00005267</t>
  </si>
  <si>
    <t>31/07/2024</t>
  </si>
  <si>
    <t>FA-B 0007-00005266</t>
  </si>
  <si>
    <t>FA-B 0007-00005265</t>
  </si>
  <si>
    <t>30/07/2024</t>
  </si>
  <si>
    <t>FA-B 0007-00005264</t>
  </si>
  <si>
    <t>FA-B 0007-00005263</t>
  </si>
  <si>
    <t>24/07/2024</t>
  </si>
  <si>
    <t>FA-B 0007-00005262</t>
  </si>
  <si>
    <t>23/07/2024</t>
  </si>
  <si>
    <t>FA-B 0007-00005261</t>
  </si>
  <si>
    <t>FA-B 0007-00005260</t>
  </si>
  <si>
    <t>FA-B 0007-00005259</t>
  </si>
  <si>
    <t>22/07/2024</t>
  </si>
  <si>
    <t>FA-B 0007-00005258</t>
  </si>
  <si>
    <t>FA-B 0007-00005257</t>
  </si>
  <si>
    <t>FA-B 0007-00005256</t>
  </si>
  <si>
    <t>19/07/2024</t>
  </si>
  <si>
    <t>FA-B 0007-00005255</t>
  </si>
  <si>
    <t>FA-B 0007-00005254</t>
  </si>
  <si>
    <t>FA-B 0007-00005253</t>
  </si>
  <si>
    <t>FA-B 0007-00005252</t>
  </si>
  <si>
    <t>FA-B 0007-00005251</t>
  </si>
  <si>
    <t>18/07/2024</t>
  </si>
  <si>
    <t>FA-B 0007-00005250</t>
  </si>
  <si>
    <t>16/07/2024</t>
  </si>
  <si>
    <t>FA-B 0007-00005249</t>
  </si>
  <si>
    <t>FA-B 0007-00005248</t>
  </si>
  <si>
    <t>15/07/2024</t>
  </si>
  <si>
    <t>FA-B 0007-00005247</t>
  </si>
  <si>
    <t>12/07/2024</t>
  </si>
  <si>
    <t>VILLARROEL VELAZQUEZ, GRACIELIS DEL VALLE</t>
  </si>
  <si>
    <t>FA-B 0007-00005246</t>
  </si>
  <si>
    <t>FA-B 0007-00005245</t>
  </si>
  <si>
    <t>FA-B 0007-00005244</t>
  </si>
  <si>
    <t>FA-B 0007-00005243</t>
  </si>
  <si>
    <t>FA-B 0007-00005242</t>
  </si>
  <si>
    <t>FA-B 0007-00005241</t>
  </si>
  <si>
    <t>FA-B 0007-00005240</t>
  </si>
  <si>
    <t>11/07/2024</t>
  </si>
  <si>
    <t>FA-B 0007-00005239</t>
  </si>
  <si>
    <t>FA-B 0007-00005238</t>
  </si>
  <si>
    <t>05/07/2024</t>
  </si>
  <si>
    <t>FA-B 0007-00005237</t>
  </si>
  <si>
    <t>FA-B 0007-00005236</t>
  </si>
  <si>
    <t>FA-B 0007-00005235</t>
  </si>
  <si>
    <t>FA-B 0007-00005234</t>
  </si>
  <si>
    <t>FA-B 0007-00005233</t>
  </si>
  <si>
    <t>FA-B 0007-00005232</t>
  </si>
  <si>
    <t>FA-B 0007-00005231</t>
  </si>
  <si>
    <t>FA-B 0007-00005230</t>
  </si>
  <si>
    <t>FA-B 0007-00005229</t>
  </si>
  <si>
    <t>04/07/2024</t>
  </si>
  <si>
    <t>FA-B 0007-00005228</t>
  </si>
  <si>
    <t>LEAL LUIS</t>
  </si>
  <si>
    <t>FA-B 0007-00005227</t>
  </si>
  <si>
    <t>FA-B 0007-00005226</t>
  </si>
  <si>
    <t>03/07/2024</t>
  </si>
  <si>
    <t>FA-B 0007-00005225</t>
  </si>
  <si>
    <t>FA-B 0007-00005224</t>
  </si>
  <si>
    <t>FA-B 0007-00005223</t>
  </si>
  <si>
    <t>FA-B 0007-00005222</t>
  </si>
  <si>
    <t>FA-B 0007-00005221</t>
  </si>
  <si>
    <t>FA-B 0007-00005220</t>
  </si>
  <si>
    <t>FA-B 0007-00005219</t>
  </si>
  <si>
    <t>FA-B 0007-00005218</t>
  </si>
  <si>
    <t>FA-B 0007-00005217</t>
  </si>
  <si>
    <t>02/07/2024</t>
  </si>
  <si>
    <t>FA-B 0007-00005216</t>
  </si>
  <si>
    <t>FA-B 0007-00005215</t>
  </si>
  <si>
    <t>FA-B 0007-00005214</t>
  </si>
  <si>
    <t>FA-B 0007-00005213</t>
  </si>
  <si>
    <t>01/07/2024</t>
  </si>
  <si>
    <t>NC-B 0005-00000139</t>
  </si>
  <si>
    <t>NC-B 0005-00000138</t>
  </si>
  <si>
    <t>FA-B 0005-00011226</t>
  </si>
  <si>
    <t>FA-B 0005-00011225</t>
  </si>
  <si>
    <t>FA-B 0005-00011224</t>
  </si>
  <si>
    <t>FA-B 0005-00011223</t>
  </si>
  <si>
    <t>FA-B 0005-00011222</t>
  </si>
  <si>
    <t>FA-B 0005-00011221</t>
  </si>
  <si>
    <t>FA-B 0005-00011220</t>
  </si>
  <si>
    <t>LORENA MORAN</t>
  </si>
  <si>
    <t>FA-B 0005-00011219</t>
  </si>
  <si>
    <t>FA-B 0005-00011218</t>
  </si>
  <si>
    <t>FA-B 0005-00011217</t>
  </si>
  <si>
    <t>FA-B 0005-00011216</t>
  </si>
  <si>
    <t>FA-B 0005-00011215</t>
  </si>
  <si>
    <t>FA-B 0005-00011214</t>
  </si>
  <si>
    <t>FA-B 0005-00011213</t>
  </si>
  <si>
    <t>FA-B 0005-00011212</t>
  </si>
  <si>
    <t>FA-B 0005-00011211</t>
  </si>
  <si>
    <t>FA-B 0005-00011210</t>
  </si>
  <si>
    <t>FA-B 0005-00011209</t>
  </si>
  <si>
    <t>FA-B 0005-00011208</t>
  </si>
  <si>
    <t>FA-B 0005-00011207</t>
  </si>
  <si>
    <t>FA-B 0005-00011206</t>
  </si>
  <si>
    <t>FA-B 0005-00011205</t>
  </si>
  <si>
    <t>FA-B 0005-00011204</t>
  </si>
  <si>
    <t>FA-B 0005-00011203</t>
  </si>
  <si>
    <t>FA-B 0005-00011202</t>
  </si>
  <si>
    <t>FA-B 0005-00011201</t>
  </si>
  <si>
    <t>FA-B 0005-00011200</t>
  </si>
  <si>
    <t>FA-B 0005-00011199</t>
  </si>
  <si>
    <t>FA-B 0005-00011198</t>
  </si>
  <si>
    <t>FA-B 0005-00011197</t>
  </si>
  <si>
    <t>FA-B 0005-00011196</t>
  </si>
  <si>
    <t>FA-B 0005-00011195</t>
  </si>
  <si>
    <t>FA-B 0005-00011194</t>
  </si>
  <si>
    <t>FA-B 0005-00011193</t>
  </si>
  <si>
    <t>FA-B 0005-00011192</t>
  </si>
  <si>
    <t>FA-B 0005-00011191</t>
  </si>
  <si>
    <t>FA-B 0005-00011190</t>
  </si>
  <si>
    <t>FA-B 0005-00011189</t>
  </si>
  <si>
    <t>FA-B 0005-00011188</t>
  </si>
  <si>
    <t>FA-B 0005-00011187</t>
  </si>
  <si>
    <t>FA-B 0005-00011186</t>
  </si>
  <si>
    <t>26/07/2024</t>
  </si>
  <si>
    <t>FA-B 0005-00011185</t>
  </si>
  <si>
    <t>FA-B 0005-00011184</t>
  </si>
  <si>
    <t>FA-B 0005-00011183</t>
  </si>
  <si>
    <t>FA-B 0005-00011182</t>
  </si>
  <si>
    <t>FA-B 0005-00011181</t>
  </si>
  <si>
    <t>FA-B 0005-00011180</t>
  </si>
  <si>
    <t>FA-B 0005-00011179</t>
  </si>
  <si>
    <t>FA-B 0005-00011178</t>
  </si>
  <si>
    <t>FA-B 0005-00011177</t>
  </si>
  <si>
    <t>FA-B 0005-00011176</t>
  </si>
  <si>
    <t>FA-B 0005-00011175</t>
  </si>
  <si>
    <t>FA-B 0005-00011174</t>
  </si>
  <si>
    <t>FA-B 0005-00011173</t>
  </si>
  <si>
    <t>FA-B 0005-00011172</t>
  </si>
  <si>
    <t>FA-B 0005-00011171</t>
  </si>
  <si>
    <t>FA-B 0005-00011170</t>
  </si>
  <si>
    <t>FA-B 0005-00011169</t>
  </si>
  <si>
    <t>FA-B 0005-00011168</t>
  </si>
  <si>
    <t>FA-B 0005-00011167</t>
  </si>
  <si>
    <t>FA-B 0005-00011166</t>
  </si>
  <si>
    <t>FA-B 0005-00011165</t>
  </si>
  <si>
    <t>FA-B 0005-00011164</t>
  </si>
  <si>
    <t>FA-B 0005-00011163</t>
  </si>
  <si>
    <t>25/07/2024</t>
  </si>
  <si>
    <t>FA-B 0005-00011162</t>
  </si>
  <si>
    <t>FA-B 0005-00011161</t>
  </si>
  <si>
    <t>LESCANO CLARA</t>
  </si>
  <si>
    <t>FA-B 0005-00011160</t>
  </si>
  <si>
    <t>FA-B 0005-00011159</t>
  </si>
  <si>
    <t>FA-B 0005-00011158</t>
  </si>
  <si>
    <t>FA-B 0005-00011157</t>
  </si>
  <si>
    <t>FA-B 0005-00011156</t>
  </si>
  <si>
    <t>FA-B 0005-00011155</t>
  </si>
  <si>
    <t>FA-B 0005-00011154</t>
  </si>
  <si>
    <t>FA-B 0005-00011153</t>
  </si>
  <si>
    <t>FA-B 0005-00011152</t>
  </si>
  <si>
    <t>FA-B 0005-00011151</t>
  </si>
  <si>
    <t>FA-B 0005-00011150</t>
  </si>
  <si>
    <t>FA-B 0005-00011149</t>
  </si>
  <si>
    <t>FA-B 0005-00011148</t>
  </si>
  <si>
    <t>FA-B 0005-00011147</t>
  </si>
  <si>
    <t>GONZALEZ HUGO CESAR</t>
  </si>
  <si>
    <t>FA-B 0005-00011146</t>
  </si>
  <si>
    <t>FA-B 0005-00011145</t>
  </si>
  <si>
    <t>GOMEZ JUAN PEDRO</t>
  </si>
  <si>
    <t>FA-B 0005-00011144</t>
  </si>
  <si>
    <t>FA-B 0005-00011143</t>
  </si>
  <si>
    <t>FA-B 0005-00011142</t>
  </si>
  <si>
    <t>FA-B 0005-00011141</t>
  </si>
  <si>
    <t>FA-B 0005-00011140</t>
  </si>
  <si>
    <t>FA-B 0005-00011139</t>
  </si>
  <si>
    <t>FA-B 0005-00011138</t>
  </si>
  <si>
    <t>FA-B 0005-00011137</t>
  </si>
  <si>
    <t>FA-B 0005-00011136</t>
  </si>
  <si>
    <t>FA-B 0005-00011135</t>
  </si>
  <si>
    <t>FA-B 0005-00011134</t>
  </si>
  <si>
    <t>FA-B 0005-00011133</t>
  </si>
  <si>
    <t>FA-B 0005-00011132</t>
  </si>
  <si>
    <t>FA-B 0005-00011131</t>
  </si>
  <si>
    <t>FA-B 0005-00011130</t>
  </si>
  <si>
    <t>FA-B 0005-00011129</t>
  </si>
  <si>
    <t>FA-B 0005-00011128</t>
  </si>
  <si>
    <t>FA-B 0005-00011127</t>
  </si>
  <si>
    <t>FA-B 0005-00011126</t>
  </si>
  <si>
    <t>FA-B 0005-00011125</t>
  </si>
  <si>
    <t>FA-B 0005-00011124</t>
  </si>
  <si>
    <t>FA-B 0005-00011123</t>
  </si>
  <si>
    <t>FA-B 0005-00011122</t>
  </si>
  <si>
    <t>FA-B 0005-00011121</t>
  </si>
  <si>
    <t>FA-B 0005-00011120</t>
  </si>
  <si>
    <t>FA-B 0005-00011119</t>
  </si>
  <si>
    <t>FA-B 0005-00011118</t>
  </si>
  <si>
    <t>FA-B 0005-00011117</t>
  </si>
  <si>
    <t>FA-B 0005-00011116</t>
  </si>
  <si>
    <t>AROMATARE HERNÁN</t>
  </si>
  <si>
    <t>FA-B 0005-00011115</t>
  </si>
  <si>
    <t>FA-B 0005-00011114</t>
  </si>
  <si>
    <t>FA-B 0005-00011113</t>
  </si>
  <si>
    <t>FA-B 0005-00011112</t>
  </si>
  <si>
    <t>FA-B 0005-00011111</t>
  </si>
  <si>
    <t>FA-B 0005-00011110</t>
  </si>
  <si>
    <t>FA-B 0005-00011109</t>
  </si>
  <si>
    <t>FA-B 0005-00011108</t>
  </si>
  <si>
    <t>FA-B 0005-00011107</t>
  </si>
  <si>
    <t>FA-B 0005-00011106</t>
  </si>
  <si>
    <t>FA-B 0005-00011105</t>
  </si>
  <si>
    <t>FA-B 0005-00011104</t>
  </si>
  <si>
    <t>FA-B 0005-00011103</t>
  </si>
  <si>
    <t>FA-B 0005-00011102</t>
  </si>
  <si>
    <t>FA-B 0005-00011101</t>
  </si>
  <si>
    <t>FA-B 0005-00011100</t>
  </si>
  <si>
    <t>FA-B 0005-00011099</t>
  </si>
  <si>
    <t>FA-B 0005-00011098</t>
  </si>
  <si>
    <t>FA-B 0005-00011097</t>
  </si>
  <si>
    <t>FA-B 0005-00011096</t>
  </si>
  <si>
    <t>FA-B 0005-00011095</t>
  </si>
  <si>
    <t>FA-B 0005-00011094</t>
  </si>
  <si>
    <t>FA-B 0005-00011093</t>
  </si>
  <si>
    <t>FA-B 0005-00011092</t>
  </si>
  <si>
    <t>FA-B 0005-00011091</t>
  </si>
  <si>
    <t>FA-B 0005-00011090</t>
  </si>
  <si>
    <t>FA-B 0005-00011089</t>
  </si>
  <si>
    <t>FA-B 0005-00011088</t>
  </si>
  <si>
    <t>FA-B 0005-00011087</t>
  </si>
  <si>
    <t>FA-B 0005-00011086</t>
  </si>
  <si>
    <t>FA-B 0005-00011085</t>
  </si>
  <si>
    <t>FA-B 0005-00011084</t>
  </si>
  <si>
    <t>FA-B 0005-00011083</t>
  </si>
  <si>
    <t>FA-B 0005-00011082</t>
  </si>
  <si>
    <t>FA-B 0005-00011081</t>
  </si>
  <si>
    <t>FA-B 0005-00011080</t>
  </si>
  <si>
    <t>FA-B 0005-00011079</t>
  </si>
  <si>
    <t>FA-B 0005-00011078</t>
  </si>
  <si>
    <t>FA-B 0005-00011077</t>
  </si>
  <si>
    <t>FA-B 0005-00011076</t>
  </si>
  <si>
    <t>FA-B 0005-00011075</t>
  </si>
  <si>
    <t>17/07/2024</t>
  </si>
  <si>
    <t>FA-B 0005-00011074</t>
  </si>
  <si>
    <t>FA-B 0005-00011073</t>
  </si>
  <si>
    <t>FA-B 0005-00011072</t>
  </si>
  <si>
    <t>FA-B 0005-00011071</t>
  </si>
  <si>
    <t>FA-B 0005-00011070</t>
  </si>
  <si>
    <t>FA-B 0005-00011069</t>
  </si>
  <si>
    <t>FA-B 0005-00011068</t>
  </si>
  <si>
    <t>FA-B 0005-00011067</t>
  </si>
  <si>
    <t>FA-B 0005-00011066</t>
  </si>
  <si>
    <t>FA-B 0005-00011065</t>
  </si>
  <si>
    <t>FA-B 0005-00011064</t>
  </si>
  <si>
    <t>FA-B 0005-00011063</t>
  </si>
  <si>
    <t>FA-B 0005-00011062</t>
  </si>
  <si>
    <t>FA-B 0005-00011061</t>
  </si>
  <si>
    <t>FA-B 0005-00011060</t>
  </si>
  <si>
    <t>FA-B 0005-00011059</t>
  </si>
  <si>
    <t>FA-B 0005-00011058</t>
  </si>
  <si>
    <t>FA-B 0005-00011057</t>
  </si>
  <si>
    <t>FA-B 0005-00011056</t>
  </si>
  <si>
    <t>FA-B 0005-00011055</t>
  </si>
  <si>
    <t>FA-B 0005-00011054</t>
  </si>
  <si>
    <t>FA-B 0005-00011053</t>
  </si>
  <si>
    <t>FA-B 0005-00011052</t>
  </si>
  <si>
    <t>FA-B 0005-00011051</t>
  </si>
  <si>
    <t>FA-B 0005-00011050</t>
  </si>
  <si>
    <t>FA-B 0005-00011049</t>
  </si>
  <si>
    <t>FA-B 0005-00011048</t>
  </si>
  <si>
    <t>FA-B 0005-00011047</t>
  </si>
  <si>
    <t>FA-B 0005-00011046</t>
  </si>
  <si>
    <t>MATA EVYS DEL VALLE</t>
  </si>
  <si>
    <t>FA-B 0005-00011045</t>
  </si>
  <si>
    <t>FA-B 0005-00011044</t>
  </si>
  <si>
    <t>FA-B 0005-00011043</t>
  </si>
  <si>
    <t>FA-B 0005-00011042</t>
  </si>
  <si>
    <t>FA-B 0005-00011041</t>
  </si>
  <si>
    <t>FA-B 0005-00011040</t>
  </si>
  <si>
    <t>FA-B 0005-00011039</t>
  </si>
  <si>
    <t>FA-B 0005-00011038</t>
  </si>
  <si>
    <t>FA-B 0005-00011037</t>
  </si>
  <si>
    <t>FA-B 0005-00011036</t>
  </si>
  <si>
    <t>FA-B 0005-00011035</t>
  </si>
  <si>
    <t>FA-B 0005-00011034</t>
  </si>
  <si>
    <t>FA-B 0005-00011033</t>
  </si>
  <si>
    <t>FA-B 0005-00011032</t>
  </si>
  <si>
    <t>FA-B 0005-00011031</t>
  </si>
  <si>
    <t>FA-B 0005-00011030</t>
  </si>
  <si>
    <t>FA-B 0005-00011029</t>
  </si>
  <si>
    <t>FA-B 0005-00011028</t>
  </si>
  <si>
    <t>FA-B 0005-00011027</t>
  </si>
  <si>
    <t>FA-B 0005-00011026</t>
  </si>
  <si>
    <t>FA-B 0005-00011025</t>
  </si>
  <si>
    <t>FA-B 0005-00011024</t>
  </si>
  <si>
    <t>FA-B 0005-00011023</t>
  </si>
  <si>
    <t>FA-B 0005-00011022</t>
  </si>
  <si>
    <t>FA-B 0005-00011021</t>
  </si>
  <si>
    <t>FA-B 0005-00011020</t>
  </si>
  <si>
    <t>FA-B 0005-00011019</t>
  </si>
  <si>
    <t>FA-B 0005-00011018</t>
  </si>
  <si>
    <t>FA-B 0005-00011017</t>
  </si>
  <si>
    <t>FA-B 0005-00011016</t>
  </si>
  <si>
    <t>10/07/2024</t>
  </si>
  <si>
    <t>FA-B 0005-00011015</t>
  </si>
  <si>
    <t>FA-B 0005-00011014</t>
  </si>
  <si>
    <t>FA-B 0005-00011013</t>
  </si>
  <si>
    <t>FA-B 0005-00011012</t>
  </si>
  <si>
    <t>FA-B 0005-00011011</t>
  </si>
  <si>
    <t>FA-B 0005-00011010</t>
  </si>
  <si>
    <t>FA-B 0005-00011009</t>
  </si>
  <si>
    <t>08/07/2024</t>
  </si>
  <si>
    <t>FA-B 0005-00011008</t>
  </si>
  <si>
    <t>FA-B 0005-00011007</t>
  </si>
  <si>
    <t>FA-B 0005-00011006</t>
  </si>
  <si>
    <t>PRESAS MARIA EUGENIA</t>
  </si>
  <si>
    <t>FA-B 0005-00011005</t>
  </si>
  <si>
    <t>FA-B 0005-00011004</t>
  </si>
  <si>
    <t>FA-B 0005-00011003</t>
  </si>
  <si>
    <t>FA-B 0005-00011002</t>
  </si>
  <si>
    <t>FA-B 0005-00011001</t>
  </si>
  <si>
    <t>FA-B 0005-00011000</t>
  </si>
  <si>
    <t>FA-B 0005-00010999</t>
  </si>
  <si>
    <t>FA-B 0005-00010998</t>
  </si>
  <si>
    <t>FA-B 0005-00010997</t>
  </si>
  <si>
    <t>FA-B 0005-00010996</t>
  </si>
  <si>
    <t>FA-B 0005-00010995</t>
  </si>
  <si>
    <t>FA-B 0005-00010994</t>
  </si>
  <si>
    <t>FA-B 0005-00010993</t>
  </si>
  <si>
    <t>FA-B 0005-00010992</t>
  </si>
  <si>
    <t>FA-B 0005-00010991</t>
  </si>
  <si>
    <t>FA-B 0005-00010990</t>
  </si>
  <si>
    <t>FA-B 0005-00010989</t>
  </si>
  <si>
    <t>FA-B 0005-00010988</t>
  </si>
  <si>
    <t>FA-B 0005-00010987</t>
  </si>
  <si>
    <t>FA-B 0005-00010986</t>
  </si>
  <si>
    <t>FA-B 0005-00010985</t>
  </si>
  <si>
    <t>FA-B 0005-00010984</t>
  </si>
  <si>
    <t>FA-B 0005-00010983</t>
  </si>
  <si>
    <t>FA-B 0005-00010982</t>
  </si>
  <si>
    <t>FA-B 0005-00010981</t>
  </si>
  <si>
    <t>FA-B 0005-00010980</t>
  </si>
  <si>
    <t>FA-B 0005-00010979</t>
  </si>
  <si>
    <t>FA-B 0005-00010978</t>
  </si>
  <si>
    <t>FA-B 0005-00010977</t>
  </si>
  <si>
    <t>FA-B 0005-00010976</t>
  </si>
  <si>
    <t>FA-B 0005-00010975</t>
  </si>
  <si>
    <t>FA-B 0005-00010974</t>
  </si>
  <si>
    <t>FA-B 0005-00010973</t>
  </si>
  <si>
    <t>FA-B 0005-00010972</t>
  </si>
  <si>
    <t>FA-B 0005-00010971</t>
  </si>
  <si>
    <t>FA-B 0005-00010970</t>
  </si>
  <si>
    <t>FA-B 0005-00010969</t>
  </si>
  <si>
    <t>FA-B 0005-00010968</t>
  </si>
  <si>
    <t>FA-B 0005-00010967</t>
  </si>
  <si>
    <t>FA-B 0005-00010966</t>
  </si>
  <si>
    <t>FA-B 0005-00010965</t>
  </si>
  <si>
    <t>FA-B 0005-00010964</t>
  </si>
  <si>
    <t>FA-B 0005-00010963</t>
  </si>
  <si>
    <t>FA-B 0005-00010962</t>
  </si>
  <si>
    <t>FA-B 0005-00010961</t>
  </si>
  <si>
    <t>FA-B 0005-00010960</t>
  </si>
  <si>
    <t>FA-B 0005-00010959</t>
  </si>
  <si>
    <t>FA-B 0005-00010958</t>
  </si>
  <si>
    <t>FA-B 0005-00010957</t>
  </si>
  <si>
    <t>FA-B 0005-00010956</t>
  </si>
  <si>
    <t>FA-B 0005-00010955</t>
  </si>
  <si>
    <t>FA-B 0005-00010954</t>
  </si>
  <si>
    <t>FA-B 0005-00010953</t>
  </si>
  <si>
    <t>FA-B 0005-00010952</t>
  </si>
  <si>
    <t>LOUGE BARBARA</t>
  </si>
  <si>
    <t>FA-B 0005-00010951</t>
  </si>
  <si>
    <t>FA-B 0005-00010950</t>
  </si>
  <si>
    <t>FA-B 0005-00010949</t>
  </si>
  <si>
    <t>FA-B 0005-00010948</t>
  </si>
  <si>
    <t>FA-B 0005-00010947</t>
  </si>
  <si>
    <t>FA-B 0005-00010946</t>
  </si>
  <si>
    <t>FA-B 0005-00010945</t>
  </si>
  <si>
    <t>FA-B 0005-00010944</t>
  </si>
  <si>
    <t>FA-B 0005-00010943</t>
  </si>
  <si>
    <t>Galeno Argentina SA</t>
  </si>
  <si>
    <t>NC-A 0007-00000153</t>
  </si>
  <si>
    <t>NC-A 0007-00000152</t>
  </si>
  <si>
    <t>NC-A 0007-00000151</t>
  </si>
  <si>
    <t>NC-A 0007-00000150</t>
  </si>
  <si>
    <t>NC-A 0007-00000149</t>
  </si>
  <si>
    <t>NC-A 0007-00000148</t>
  </si>
  <si>
    <t>NC-A 0007-00000147</t>
  </si>
  <si>
    <t>NC-A 0007-00000146</t>
  </si>
  <si>
    <t>NC-A 0007-00000145</t>
  </si>
  <si>
    <t>NC-A 0007-00000144</t>
  </si>
  <si>
    <t>NC-A 0007-00000143</t>
  </si>
  <si>
    <t>FA-A 0007-00002078</t>
  </si>
  <si>
    <t>FA-A 0007-00002077</t>
  </si>
  <si>
    <t>FA-A 0007-00002076</t>
  </si>
  <si>
    <t>FA-A 0007-00002075</t>
  </si>
  <si>
    <t>FA-A 0007-00002074</t>
  </si>
  <si>
    <t>FA-A 0007-00002073</t>
  </si>
  <si>
    <t>FA-A 0007-00002072</t>
  </si>
  <si>
    <t>FA-A 0007-00002071</t>
  </si>
  <si>
    <t>FA-A 0007-00002070</t>
  </si>
  <si>
    <t>FA-A 0007-00002069</t>
  </si>
  <si>
    <t>FA-A 0007-00002068</t>
  </si>
  <si>
    <t>FA-A 0007-00002067</t>
  </si>
  <si>
    <t>FA-A 0007-00002066</t>
  </si>
  <si>
    <t>FA-A 0007-00002065</t>
  </si>
  <si>
    <t>FA-A 0007-00002064</t>
  </si>
  <si>
    <t>FA-A 0007-00002063</t>
  </si>
  <si>
    <t>FA-A 0007-00002062</t>
  </si>
  <si>
    <t>FA-A 0007-00002061</t>
  </si>
  <si>
    <t>FA-A 0007-00002060</t>
  </si>
  <si>
    <t>FA-A 0007-00002059</t>
  </si>
  <si>
    <t>FA-A 0007-00002058</t>
  </si>
  <si>
    <t>FA-A 0007-00002057</t>
  </si>
  <si>
    <t>FA-A 0007-00002056</t>
  </si>
  <si>
    <t>FA-A 0007-00002055</t>
  </si>
  <si>
    <t>FA-A 0007-00002054</t>
  </si>
  <si>
    <t>FA-A 0007-00002053</t>
  </si>
  <si>
    <t>FA-A 0007-00002052</t>
  </si>
  <si>
    <t>FA-A 0007-00002051</t>
  </si>
  <si>
    <t>FA-A 0007-00002050</t>
  </si>
  <si>
    <t>FA-A 0007-00002049</t>
  </si>
  <si>
    <t>FA-A 0007-00002048</t>
  </si>
  <si>
    <t>FA-A 0007-00002047</t>
  </si>
  <si>
    <t>FA-A 0007-00002046</t>
  </si>
  <si>
    <t>FA-A 0007-00002045</t>
  </si>
  <si>
    <t>FA-A 0007-00002044</t>
  </si>
  <si>
    <t>FA-A 0007-00002043</t>
  </si>
  <si>
    <t>FA-A 0007-00002042</t>
  </si>
  <si>
    <t>FA-A 0007-00002041</t>
  </si>
  <si>
    <t>FA-A 0007-00002040</t>
  </si>
  <si>
    <t>FA-A 0007-00002039</t>
  </si>
  <si>
    <t>FA-A 0007-00002038</t>
  </si>
  <si>
    <t>FA-A 0007-00002037</t>
  </si>
  <si>
    <t>FA-A 0007-00002036</t>
  </si>
  <si>
    <t>FA-A 0007-00002035</t>
  </si>
  <si>
    <t>FA-A 0007-00002034</t>
  </si>
  <si>
    <t>FA-A 0007-00002033</t>
  </si>
  <si>
    <t>FA-A 0007-00002032</t>
  </si>
  <si>
    <t>FA-A 0007-00002031</t>
  </si>
  <si>
    <t>FA-A 0007-00002030</t>
  </si>
  <si>
    <t>FA-A 0007-00002029</t>
  </si>
  <si>
    <t>FA-A 0007-00002028</t>
  </si>
  <si>
    <t>FA-A 0007-00002027</t>
  </si>
  <si>
    <t>FA-A 0007-00002026</t>
  </si>
  <si>
    <t>FA-A 0007-00002025</t>
  </si>
  <si>
    <t>FA-A 0007-00002024</t>
  </si>
  <si>
    <t>NC-A 0006-00000076</t>
  </si>
  <si>
    <t>NC-A 0006-00000075</t>
  </si>
  <si>
    <t>NC-A 0006-00000074</t>
  </si>
  <si>
    <t>NC-A 0006-00000073</t>
  </si>
  <si>
    <t>NC-A 0006-00000072</t>
  </si>
  <si>
    <t>FA-A 0006-00000516</t>
  </si>
  <si>
    <t>FA-A 0006-00000515</t>
  </si>
  <si>
    <t>FA-A 0006-00000514</t>
  </si>
  <si>
    <t>FA-A 0006-00000513</t>
  </si>
  <si>
    <t>FA-A 0006-00000512</t>
  </si>
  <si>
    <t>FA-A 0005-00000155</t>
  </si>
  <si>
    <t>GALENO ARGENTINA SOCIEDAD ANONIMA</t>
  </si>
  <si>
    <t>NA-A 00003-00000021</t>
  </si>
  <si>
    <t>FA-A 00003-00000015</t>
  </si>
  <si>
    <t>OBRA SOCIAL UNION PERSONAL DE LA UNION  DEL PERSONAL CIVIL DE LA NACION</t>
  </si>
  <si>
    <t>FA-A 00003-00000014</t>
  </si>
  <si>
    <t>FA-A 00003-00000013</t>
  </si>
  <si>
    <t>FA-A 00003-00000012</t>
  </si>
  <si>
    <t>FA-A 00003-00000011</t>
  </si>
  <si>
    <t>FA-A 00003-00000010</t>
  </si>
  <si>
    <t>FA-A 00003-00000009</t>
  </si>
  <si>
    <t>FA-A 00003-00000008</t>
  </si>
  <si>
    <t>Ventas Libro de IVA 01/07/2024 - 31/07/2024</t>
  </si>
  <si>
    <t>FA-A 0005-00000154</t>
  </si>
  <si>
    <t>MUÑOZ MARCELO SEBASTIAN</t>
  </si>
  <si>
    <t>Ventas Libro de IVA 01/08/2024 - 31/08/2024</t>
  </si>
  <si>
    <t>01/08/2024</t>
  </si>
  <si>
    <t>FA-B 0005-00011227</t>
  </si>
  <si>
    <t>FA-B 0005-00011228</t>
  </si>
  <si>
    <t>FA-B 0005-00011229</t>
  </si>
  <si>
    <t>FA-B 0005-00011230</t>
  </si>
  <si>
    <t>FA-B 0005-00011231</t>
  </si>
  <si>
    <t>FA-B 0005-00011232</t>
  </si>
  <si>
    <t>VARELA ANDREA CECILIA</t>
  </si>
  <si>
    <t>FA-B 0005-00011233</t>
  </si>
  <si>
    <t>PALMIERI SANTIAGO TOMÁS</t>
  </si>
  <si>
    <t>FA-B 0005-00011234</t>
  </si>
  <si>
    <t>FA-B 0005-00011235</t>
  </si>
  <si>
    <t>FA-B 0005-00011236</t>
  </si>
  <si>
    <t>FA-B 0005-00011237</t>
  </si>
  <si>
    <t>FA-B 0005-00011238</t>
  </si>
  <si>
    <t>FA-B 0005-00011239</t>
  </si>
  <si>
    <t>FA-B 0005-00011240</t>
  </si>
  <si>
    <t>FA-A 0006-00000517</t>
  </si>
  <si>
    <t>FA-A 0006-00000518</t>
  </si>
  <si>
    <t>FA-A 0006-00000519</t>
  </si>
  <si>
    <t>FA-A 0006-00000520</t>
  </si>
  <si>
    <t>FA-A 0007-00002079</t>
  </si>
  <si>
    <t>FA-A 0007-00002080</t>
  </si>
  <si>
    <t>02/08/2024</t>
  </si>
  <si>
    <t>FA-B 0005-00011241</t>
  </si>
  <si>
    <t>FA-B 0005-00011242</t>
  </si>
  <si>
    <t>FA-B 0005-00011243</t>
  </si>
  <si>
    <t>FA-B 0005-00011244</t>
  </si>
  <si>
    <t>FA-B 0005-00011245</t>
  </si>
  <si>
    <t>FA-B 0005-00011246</t>
  </si>
  <si>
    <t>FA-B 0005-00011247</t>
  </si>
  <si>
    <t>FA-B 0005-00011248</t>
  </si>
  <si>
    <t>FA-B 0005-00011249</t>
  </si>
  <si>
    <t>FA-B 0005-00011250</t>
  </si>
  <si>
    <t>FA-B 0005-00011251</t>
  </si>
  <si>
    <t>FA-B 0005-00011252</t>
  </si>
  <si>
    <t>FA-B 0005-00011253</t>
  </si>
  <si>
    <t>FA-B 0005-00011254</t>
  </si>
  <si>
    <t>FA-B 0005-00011255</t>
  </si>
  <si>
    <t>FA-B 0005-00011256</t>
  </si>
  <si>
    <t>FA-A 0007-00002081</t>
  </si>
  <si>
    <t>FA-A 0007-00002082</t>
  </si>
  <si>
    <t>FA-A 0007-00002083</t>
  </si>
  <si>
    <t>FA-A 0007-00002084</t>
  </si>
  <si>
    <t>FA-A 0007-00002085</t>
  </si>
  <si>
    <t>FA-A 0007-00002086</t>
  </si>
  <si>
    <t>FA-A 0007-00002087</t>
  </si>
  <si>
    <t>FA-A 0007-00002088</t>
  </si>
  <si>
    <t>FA-B 0007-00005268</t>
  </si>
  <si>
    <t>FA-B 0007-00005269</t>
  </si>
  <si>
    <t>FA-B 0007-00005270</t>
  </si>
  <si>
    <t>FA-B 0007-00005271</t>
  </si>
  <si>
    <t>FA-B 0007-00005272</t>
  </si>
  <si>
    <t>FA-B 0007-00005273</t>
  </si>
  <si>
    <t>05/08/2024</t>
  </si>
  <si>
    <t>FA-B 0005-00011257</t>
  </si>
  <si>
    <t>FA-B 0005-00011258</t>
  </si>
  <si>
    <t>FA-B 0005-00011259</t>
  </si>
  <si>
    <t>FA-B 0005-00011260</t>
  </si>
  <si>
    <t>FA-B 0005-00011261</t>
  </si>
  <si>
    <t>FA-B 0005-00011262</t>
  </si>
  <si>
    <t>FA-B 0005-00011263</t>
  </si>
  <si>
    <t>FA-B 0005-00011264</t>
  </si>
  <si>
    <t>FA-B 0005-00011265</t>
  </si>
  <si>
    <t>FA-B 0005-00011266</t>
  </si>
  <si>
    <t>RAFAEL LA ROJA</t>
  </si>
  <si>
    <t>FA-B 0005-00011267</t>
  </si>
  <si>
    <t>FA-B 0005-00011268</t>
  </si>
  <si>
    <t>RUIZ LEONARDA</t>
  </si>
  <si>
    <t>FA-B 0005-00011269</t>
  </si>
  <si>
    <t>FA-B 0005-00011270</t>
  </si>
  <si>
    <t>FA-B 0005-00011271</t>
  </si>
  <si>
    <t>FA-B 0005-00011272</t>
  </si>
  <si>
    <t>FA-B 0005-00011273</t>
  </si>
  <si>
    <t>FA-B 0005-00011274</t>
  </si>
  <si>
    <t>FA-B 0005-00011275</t>
  </si>
  <si>
    <t>FA-A 0007-00002089</t>
  </si>
  <si>
    <t>FA-A 0007-00002090</t>
  </si>
  <si>
    <t>FA-A 0007-00002091</t>
  </si>
  <si>
    <t>FA-A 0007-00002092</t>
  </si>
  <si>
    <t>FA-A 0007-00002093</t>
  </si>
  <si>
    <t>FA-A 0007-00002094</t>
  </si>
  <si>
    <t>FA-A 0007-00002095</t>
  </si>
  <si>
    <t>FA-A 0007-00002096</t>
  </si>
  <si>
    <t>FA-A 0007-00002097</t>
  </si>
  <si>
    <t>FA-A 0007-00002098</t>
  </si>
  <si>
    <t>FA-A 0007-00002099</t>
  </si>
  <si>
    <t>FA-A 0007-00002100</t>
  </si>
  <si>
    <t>FA-B 0007-00005274</t>
  </si>
  <si>
    <t>FA-B 0007-00005275</t>
  </si>
  <si>
    <t>FA-B 0007-00005276</t>
  </si>
  <si>
    <t>FA-B 0007-00005277</t>
  </si>
  <si>
    <t>06/08/2024</t>
  </si>
  <si>
    <t>FA-B 0005-00011276</t>
  </si>
  <si>
    <t>FA-B 0005-00011277</t>
  </si>
  <si>
    <t>FA-B 0005-00011278</t>
  </si>
  <si>
    <t>FA-B 0005-00011279</t>
  </si>
  <si>
    <t>FA-B 0005-00011280</t>
  </si>
  <si>
    <t>FA-B 0005-00011281</t>
  </si>
  <si>
    <t>FA-B 0005-00011282</t>
  </si>
  <si>
    <t>FA-B 0005-00011283</t>
  </si>
  <si>
    <t>FA-B 0005-00011284</t>
  </si>
  <si>
    <t>FA-B 0005-00011285</t>
  </si>
  <si>
    <t>FA-B 0005-00011286</t>
  </si>
  <si>
    <t>FA-B 0005-00011287</t>
  </si>
  <si>
    <t>FA-B 0005-00011288</t>
  </si>
  <si>
    <t>FA-B 0005-00011289</t>
  </si>
  <si>
    <t>FA-A 0006-00000521</t>
  </si>
  <si>
    <t>FA-A 0006-00000522</t>
  </si>
  <si>
    <t>NC-B 0007-00000154</t>
  </si>
  <si>
    <t>FA-A 0007-00002101</t>
  </si>
  <si>
    <t>FA-A 0007-00002102</t>
  </si>
  <si>
    <t>FA-B 0007-00005278</t>
  </si>
  <si>
    <t>FA-B 0007-00005279</t>
  </si>
  <si>
    <t>FA-B 0007-00005280</t>
  </si>
  <si>
    <t xml:space="preserve">NORMA MABEL EVERSTZ </t>
  </si>
  <si>
    <t>07/08/2024</t>
  </si>
  <si>
    <t>FA-B 0005-00011290</t>
  </si>
  <si>
    <t>FA-B 0005-00011291</t>
  </si>
  <si>
    <t>FA-B 0005-00011292</t>
  </si>
  <si>
    <t>FA-B 0005-00011293</t>
  </si>
  <si>
    <t>FA-B 0005-00011294</t>
  </si>
  <si>
    <t>FA-B 0005-00011295</t>
  </si>
  <si>
    <t>FA-B 0005-00011296</t>
  </si>
  <si>
    <t>FA-B 0005-00011297</t>
  </si>
  <si>
    <t>FA-B 0005-00011298</t>
  </si>
  <si>
    <t>FA-B 0005-00011299</t>
  </si>
  <si>
    <t>FA-B 0005-00011300</t>
  </si>
  <si>
    <t>FA-B 0005-00011301</t>
  </si>
  <si>
    <t>FA-B 0005-00011302</t>
  </si>
  <si>
    <t>FA-B 0005-00011303</t>
  </si>
  <si>
    <t>FA-B 0005-00011304</t>
  </si>
  <si>
    <t>FA-B 0005-00011305</t>
  </si>
  <si>
    <t>FA-B 0005-00011306</t>
  </si>
  <si>
    <t>FA-B 0007-00005281</t>
  </si>
  <si>
    <t>ROBERTO, FIDALGO</t>
  </si>
  <si>
    <t>08/08/2024</t>
  </si>
  <si>
    <t>FA-B 0005-00011307</t>
  </si>
  <si>
    <t>FA-B 0005-00011308</t>
  </si>
  <si>
    <t>FA-B 0005-00011309</t>
  </si>
  <si>
    <t>FA-B 0005-00011310</t>
  </si>
  <si>
    <t>FA-B 0005-00011311</t>
  </si>
  <si>
    <t>FA-B 0005-00011312</t>
  </si>
  <si>
    <t>MAZZOTTI, SANTINO LUCAS</t>
  </si>
  <si>
    <t>FA-B 0005-00011313</t>
  </si>
  <si>
    <t>FA-B 0005-00011314</t>
  </si>
  <si>
    <t>FA-B 0005-00011315</t>
  </si>
  <si>
    <t>FA-B 0005-00011316</t>
  </si>
  <si>
    <t>FA-B 0005-00011317</t>
  </si>
  <si>
    <t>FA-B 0005-00011318</t>
  </si>
  <si>
    <t>FA-B 0005-00011319</t>
  </si>
  <si>
    <t>FA-B 0005-00011320</t>
  </si>
  <si>
    <t>FA-B 0005-00011321</t>
  </si>
  <si>
    <t>FA-B 0005-00011322</t>
  </si>
  <si>
    <t>NC-B 0007-00000155</t>
  </si>
  <si>
    <t>FA-B 0007-00005282</t>
  </si>
  <si>
    <t>FA-B 0007-00005283</t>
  </si>
  <si>
    <t>FA-B 0007-00005284</t>
  </si>
  <si>
    <t>09/08/2024</t>
  </si>
  <si>
    <t>FA-B 0005-00011323</t>
  </si>
  <si>
    <t>FA-B 0005-00011324</t>
  </si>
  <si>
    <t>FA-B 0005-00011325</t>
  </si>
  <si>
    <t>FA-B 0005-00011326</t>
  </si>
  <si>
    <t>FA-B 0005-00011327</t>
  </si>
  <si>
    <t>FA-B 0005-00011328</t>
  </si>
  <si>
    <t>FA-B 0005-00011329</t>
  </si>
  <si>
    <t>FA-B 0005-00011330</t>
  </si>
  <si>
    <t>FA-B 0005-00011331</t>
  </si>
  <si>
    <t>FA-B 0005-00011332</t>
  </si>
  <si>
    <t>FA-B 0005-00011333</t>
  </si>
  <si>
    <t>FA-B 0005-00011334</t>
  </si>
  <si>
    <t>FA-A 0006-00000523</t>
  </si>
  <si>
    <t>FA-A 0007-00002103</t>
  </si>
  <si>
    <t>FA-A 0007-00002104</t>
  </si>
  <si>
    <t>FA-A 0007-00002105</t>
  </si>
  <si>
    <t>FA-A 0007-00002106</t>
  </si>
  <si>
    <t>FA-A 0007-00002107</t>
  </si>
  <si>
    <t>FA-A 0007-00002108</t>
  </si>
  <si>
    <t>FA-B 0007-00005285</t>
  </si>
  <si>
    <t>FA-B 0007-00005286</t>
  </si>
  <si>
    <t>FA-B 0007-00005287</t>
  </si>
  <si>
    <t>FA-B 0007-00005288</t>
  </si>
  <si>
    <t>FA-B 0007-00005289</t>
  </si>
  <si>
    <t>12/08/2024</t>
  </si>
  <si>
    <t>FA-B 0005-00011335</t>
  </si>
  <si>
    <t>FA-B 0005-00011336</t>
  </si>
  <si>
    <t>FA-B 0005-00011337</t>
  </si>
  <si>
    <t>FA-B 0005-00011338</t>
  </si>
  <si>
    <t>FA-B 0005-00011339</t>
  </si>
  <si>
    <t>JUSTO PALACIOS</t>
  </si>
  <si>
    <t>FA-B 0005-00011340</t>
  </si>
  <si>
    <t>FA-B 0005-00011341</t>
  </si>
  <si>
    <t>FA-B 0005-00011342</t>
  </si>
  <si>
    <t>FA-B 0005-00011343</t>
  </si>
  <si>
    <t>FA-B 0005-00011344</t>
  </si>
  <si>
    <t>FA-B 0005-00011345</t>
  </si>
  <si>
    <t>FA-B 0005-00011346</t>
  </si>
  <si>
    <t>FA-B 0005-00011347</t>
  </si>
  <si>
    <t>FA-B 0005-00011348</t>
  </si>
  <si>
    <t>FA-B 0005-00011349</t>
  </si>
  <si>
    <t>FA-B 0005-00011350</t>
  </si>
  <si>
    <t>FA-A 0007-00002109</t>
  </si>
  <si>
    <t>FA-A 0007-00002110</t>
  </si>
  <si>
    <t>FA-A 0007-00002111</t>
  </si>
  <si>
    <t>Fundacion Fundacion Arte Ba</t>
  </si>
  <si>
    <t>FA-B 0007-00005290</t>
  </si>
  <si>
    <t>FA-B 0007-00005291</t>
  </si>
  <si>
    <t>FA-B 0007-00005292</t>
  </si>
  <si>
    <t>FA-B 0007-00005293</t>
  </si>
  <si>
    <t>FA-B 0007-00005294</t>
  </si>
  <si>
    <t>FA-B 0007-00005295</t>
  </si>
  <si>
    <t>FA-B 0007-00005296</t>
  </si>
  <si>
    <t>13/08/2024</t>
  </si>
  <si>
    <t>FA-B 0005-00011351</t>
  </si>
  <si>
    <t>FA-B 0005-00011352</t>
  </si>
  <si>
    <t>FA-B 0005-00011353</t>
  </si>
  <si>
    <t>FA-B 0005-00011354</t>
  </si>
  <si>
    <t>FA-B 0005-00011355</t>
  </si>
  <si>
    <t>FA-B 0005-00011356</t>
  </si>
  <si>
    <t>FA-B 0005-00011357</t>
  </si>
  <si>
    <t>FA-B 0005-00011358</t>
  </si>
  <si>
    <t>FA-B 0005-00011359</t>
  </si>
  <si>
    <t>FA-B 0005-00011360</t>
  </si>
  <si>
    <t>FA-B 0005-00011361</t>
  </si>
  <si>
    <t>FA-B 0005-00011362</t>
  </si>
  <si>
    <t>FA-B 0005-00011363</t>
  </si>
  <si>
    <t>FA-B 0005-00011364</t>
  </si>
  <si>
    <t>FA-B 0005-00011365</t>
  </si>
  <si>
    <t>FA-B 0005-00011366</t>
  </si>
  <si>
    <t>FA-B 0005-00011367</t>
  </si>
  <si>
    <t>FA-B 0005-00011368</t>
  </si>
  <si>
    <t>FA-B 0005-00011369</t>
  </si>
  <si>
    <t>FA-B 0005-00011370</t>
  </si>
  <si>
    <t>FA-B 0005-00011371</t>
  </si>
  <si>
    <t>FA-B 0005-00011372</t>
  </si>
  <si>
    <t>FA-B 0005-00011373</t>
  </si>
  <si>
    <t>FA-B 0005-00011374</t>
  </si>
  <si>
    <t>FA-A 0007-00002112</t>
  </si>
  <si>
    <t>FA-A 0007-00002113</t>
  </si>
  <si>
    <t>FA-A 0007-00002114</t>
  </si>
  <si>
    <t>FA-A 0007-00002115</t>
  </si>
  <si>
    <t>14/08/2024</t>
  </si>
  <si>
    <t>FA-B 0005-00011375</t>
  </si>
  <si>
    <t>FA-B 0005-00011376</t>
  </si>
  <si>
    <t>FA-B 0005-00011377</t>
  </si>
  <si>
    <t>FA-B 0005-00011378</t>
  </si>
  <si>
    <t>FA-B 0005-00011379</t>
  </si>
  <si>
    <t>ESCALANTE ELSA LORENA</t>
  </si>
  <si>
    <t>FA-B 0005-00011380</t>
  </si>
  <si>
    <t>FA-B 0005-00011381</t>
  </si>
  <si>
    <t>FA-B 0005-00011382</t>
  </si>
  <si>
    <t>FA-B 0005-00011383</t>
  </si>
  <si>
    <t>FA-B 0005-00011384</t>
  </si>
  <si>
    <t>FA-B 0005-00011385</t>
  </si>
  <si>
    <t>FA-B 0005-00011386</t>
  </si>
  <si>
    <t>FA-B 0005-00011387</t>
  </si>
  <si>
    <t>SURIAN ESTELA</t>
  </si>
  <si>
    <t>FA-B 0005-00011388</t>
  </si>
  <si>
    <t>FA-B 0005-00011389</t>
  </si>
  <si>
    <t>FA-B 0005-00011390</t>
  </si>
  <si>
    <t>FA-B 0005-00011391</t>
  </si>
  <si>
    <t>FA-A 0006-00000524</t>
  </si>
  <si>
    <t>FA-B 0007-00005297</t>
  </si>
  <si>
    <t>15/08/2024</t>
  </si>
  <si>
    <t>FA-B 0005-00011392</t>
  </si>
  <si>
    <t>FA-B 0005-00011393</t>
  </si>
  <si>
    <t>FA-B 0005-00011394</t>
  </si>
  <si>
    <t>FA-B 0005-00011395</t>
  </si>
  <si>
    <t>FA-B 0005-00011396</t>
  </si>
  <si>
    <t>FA-B 0005-00011397</t>
  </si>
  <si>
    <t>FA-B 0005-00011398</t>
  </si>
  <si>
    <t>FA-B 0005-00011399</t>
  </si>
  <si>
    <t>FA-B 0005-00011400</t>
  </si>
  <si>
    <t>FA-B 0005-00011401</t>
  </si>
  <si>
    <t>FA-B 0005-00011402</t>
  </si>
  <si>
    <t>FA-B 0005-00011403</t>
  </si>
  <si>
    <t>FA-B 0005-00011404</t>
  </si>
  <si>
    <t>FA-B 0005-00011405</t>
  </si>
  <si>
    <t>FA-B 0005-00011406</t>
  </si>
  <si>
    <t>FA-B 0005-00011407</t>
  </si>
  <si>
    <t>FA-B 0005-00011408</t>
  </si>
  <si>
    <t>FA-B 0005-00011409</t>
  </si>
  <si>
    <t>VILLALÓN VICTOR DAVID</t>
  </si>
  <si>
    <t>FA-B 0005-00011410</t>
  </si>
  <si>
    <t>FA-B 0005-00011411</t>
  </si>
  <si>
    <t>FA-B 0005-00011412</t>
  </si>
  <si>
    <t>FA-B 0005-00011413</t>
  </si>
  <si>
    <t>FA-B 0005-00011414</t>
  </si>
  <si>
    <t>FA-B 0005-00011415</t>
  </si>
  <si>
    <t>FA-A 0006-00000525</t>
  </si>
  <si>
    <t>FA-A 0006-00000526</t>
  </si>
  <si>
    <t>NC-B 0007-00000156</t>
  </si>
  <si>
    <t>FA-A 0007-00002116</t>
  </si>
  <si>
    <t>FA-B 0007-00005298</t>
  </si>
  <si>
    <t>FA-B 0007-00005299</t>
  </si>
  <si>
    <t>FA-B 0007-00005300</t>
  </si>
  <si>
    <t>FA-B 0007-00005301</t>
  </si>
  <si>
    <t>FA-B 0007-00005302</t>
  </si>
  <si>
    <t>16/08/2024</t>
  </si>
  <si>
    <t>FA-B 0005-00011416</t>
  </si>
  <si>
    <t>FA-B 0005-00011417</t>
  </si>
  <si>
    <t>FA-B 0005-00011418</t>
  </si>
  <si>
    <t>FA-B 0005-00011419</t>
  </si>
  <si>
    <t>FA-B 0005-00011420</t>
  </si>
  <si>
    <t>FA-B 0005-00011421</t>
  </si>
  <si>
    <t>CALOMITI VIOLETA ADRIANA</t>
  </si>
  <si>
    <t>FA-B 0005-00011422</t>
  </si>
  <si>
    <t>FA-B 0005-00011423</t>
  </si>
  <si>
    <t>FA-B 0005-00011424</t>
  </si>
  <si>
    <t>FA-B 0005-00011425</t>
  </si>
  <si>
    <t>FA-B 0005-00011426</t>
  </si>
  <si>
    <t>FA-B 0005-00011427</t>
  </si>
  <si>
    <t>FA-B 0005-00011428</t>
  </si>
  <si>
    <t>FA-B 0005-00011429</t>
  </si>
  <si>
    <t>FA-B 0005-00011430</t>
  </si>
  <si>
    <t>FA-B 0005-00011431</t>
  </si>
  <si>
    <t>FA-B 0005-00011432</t>
  </si>
  <si>
    <t>FA-B 0005-00011433</t>
  </si>
  <si>
    <t>FA-B 0005-00011434</t>
  </si>
  <si>
    <t>NC-A 0006-00000077</t>
  </si>
  <si>
    <t>FA-A 0007-00002117</t>
  </si>
  <si>
    <t>FA-B 0007-00005303</t>
  </si>
  <si>
    <t>FA-B 0007-00005304</t>
  </si>
  <si>
    <t>19/08/2024</t>
  </si>
  <si>
    <t>FA-B 0005-00011435</t>
  </si>
  <si>
    <t>FA-B 0005-00011436</t>
  </si>
  <si>
    <t>FA-B 0005-00011437</t>
  </si>
  <si>
    <t>CORDOBA CLAUDIA</t>
  </si>
  <si>
    <t>FA-B 0005-00011438</t>
  </si>
  <si>
    <t>FA-B 0005-00011439</t>
  </si>
  <si>
    <t>FA-B 0005-00011440</t>
  </si>
  <si>
    <t>FA-B 0005-00011441</t>
  </si>
  <si>
    <t>FA-B 0005-00011442</t>
  </si>
  <si>
    <t>FA-B 0005-00011443</t>
  </si>
  <si>
    <t>FA-B 0005-00011444</t>
  </si>
  <si>
    <t>FA-B 0005-00011445</t>
  </si>
  <si>
    <t>FA-B 0005-00011446</t>
  </si>
  <si>
    <t>FA-B 0005-00011447</t>
  </si>
  <si>
    <t>FA-B 0005-00011448</t>
  </si>
  <si>
    <t>FA-B 0005-00011449</t>
  </si>
  <si>
    <t>FA-B 0005-00011450</t>
  </si>
  <si>
    <t>FA-B 0005-00011451</t>
  </si>
  <si>
    <t>FA-B 0005-00011452</t>
  </si>
  <si>
    <t>FA-B 0007-00005305</t>
  </si>
  <si>
    <t>20/08/2024</t>
  </si>
  <si>
    <t>FA-B 0005-00011453</t>
  </si>
  <si>
    <t>FA-B 0005-00011454</t>
  </si>
  <si>
    <t>FA-B 0005-00011455</t>
  </si>
  <si>
    <t>FA-B 0005-00011456</t>
  </si>
  <si>
    <t>FA-B 0005-00011457</t>
  </si>
  <si>
    <t>FA-B 0005-00011458</t>
  </si>
  <si>
    <t>FA-B 0005-00011459</t>
  </si>
  <si>
    <t>FA-B 0005-00011460</t>
  </si>
  <si>
    <t>FA-B 0005-00011461</t>
  </si>
  <si>
    <t>FA-B 0005-00011462</t>
  </si>
  <si>
    <t>FA-B 0005-00011463</t>
  </si>
  <si>
    <t>FA-B 0005-00011464</t>
  </si>
  <si>
    <t>FA-B 0005-00011465</t>
  </si>
  <si>
    <t>FA-B 0005-00011466</t>
  </si>
  <si>
    <t>FA-B 0005-00011467</t>
  </si>
  <si>
    <t>NC-A 0006-00000078</t>
  </si>
  <si>
    <t>NC-A 0006-00000079</t>
  </si>
  <si>
    <t>21/08/2024</t>
  </si>
  <si>
    <t>FA-B 0005-00011468</t>
  </si>
  <si>
    <t>FA-B 0005-00011469</t>
  </si>
  <si>
    <t>FA-B 0005-00011470</t>
  </si>
  <si>
    <t>FA-B 0005-00011471</t>
  </si>
  <si>
    <t>FA-B 0005-00011472</t>
  </si>
  <si>
    <t>FA-B 0005-00011473</t>
  </si>
  <si>
    <t>FA-B 0005-00011474</t>
  </si>
  <si>
    <t>FA-B 0005-00011475</t>
  </si>
  <si>
    <t>FA-B 0005-00011476</t>
  </si>
  <si>
    <t>FA-B 0005-00011477</t>
  </si>
  <si>
    <t>NC-A 0007-00000154</t>
  </si>
  <si>
    <t>FA-A 0007-00002118</t>
  </si>
  <si>
    <t>FA-B 0007-00005306</t>
  </si>
  <si>
    <t>22/08/2024</t>
  </si>
  <si>
    <t>FA-B 0005-00011478</t>
  </si>
  <si>
    <t>FA-B 0005-00011479</t>
  </si>
  <si>
    <t>FA-B 0005-00011480</t>
  </si>
  <si>
    <t>FA-B 0005-00011481</t>
  </si>
  <si>
    <t>FA-B 0005-00011482</t>
  </si>
  <si>
    <t>FA-B 0005-00011483</t>
  </si>
  <si>
    <t>FA-B 0005-00011484</t>
  </si>
  <si>
    <t>FA-B 0005-00011485</t>
  </si>
  <si>
    <t>FA-B 0005-00011486</t>
  </si>
  <si>
    <t>FA-B 0005-00011487</t>
  </si>
  <si>
    <t>FA-B 0007-00005307</t>
  </si>
  <si>
    <t>FA-B 0007-00005308</t>
  </si>
  <si>
    <t>Asociacion Civil Museo Historico Enrique Udaondo De Lujan</t>
  </si>
  <si>
    <t>23/08/2024</t>
  </si>
  <si>
    <t>FA-B 0005-00011488</t>
  </si>
  <si>
    <t>FA-B 0005-00011489</t>
  </si>
  <si>
    <t>FA-B 0005-00011490</t>
  </si>
  <si>
    <t>FA-B 0005-00011491</t>
  </si>
  <si>
    <t>FA-B 0005-00011492</t>
  </si>
  <si>
    <t>FA-B 0005-00011493</t>
  </si>
  <si>
    <t>FA-B 0005-00011494</t>
  </si>
  <si>
    <t>FA-B 0005-00011495</t>
  </si>
  <si>
    <t>FA-B 0005-00011496</t>
  </si>
  <si>
    <t>FA-B 0005-00011497</t>
  </si>
  <si>
    <t>FA-B 0005-00011498</t>
  </si>
  <si>
    <t>FA-B 0005-00011499</t>
  </si>
  <si>
    <t>NC-B 0007-00000157</t>
  </si>
  <si>
    <t>FA-A 0007-00002119</t>
  </si>
  <si>
    <t>FA-A 0007-00002120</t>
  </si>
  <si>
    <t>FA-A 0007-00002121</t>
  </si>
  <si>
    <t>FA-A 0007-00002122</t>
  </si>
  <si>
    <t>FA-A 0007-00002123</t>
  </si>
  <si>
    <t>FA-A 0007-00002124</t>
  </si>
  <si>
    <t>FA-A 0007-00002125</t>
  </si>
  <si>
    <t>FA-A 0007-00002126</t>
  </si>
  <si>
    <t>FA-B 0007-00005309</t>
  </si>
  <si>
    <t>26/08/2024</t>
  </si>
  <si>
    <t>FA-B 0005-00011500</t>
  </si>
  <si>
    <t>FA-B 0005-00011501</t>
  </si>
  <si>
    <t>FA-B 0005-00011502</t>
  </si>
  <si>
    <t>FA-B 0005-00011503</t>
  </si>
  <si>
    <t>FA-B 0005-00011504</t>
  </si>
  <si>
    <t>FA-B 0005-00011505</t>
  </si>
  <si>
    <t>FA-B 0005-00011506</t>
  </si>
  <si>
    <t>FA-B 0005-00011507</t>
  </si>
  <si>
    <t>FA-B 0005-00011508</t>
  </si>
  <si>
    <t>FA-B 0005-00011509</t>
  </si>
  <si>
    <t>FA-B 0005-00011510</t>
  </si>
  <si>
    <t>FA-B 0005-00011511</t>
  </si>
  <si>
    <t>FA-B 0005-00011512</t>
  </si>
  <si>
    <t>FA-B 0005-00011513</t>
  </si>
  <si>
    <t>NC-A 0006-00000080</t>
  </si>
  <si>
    <t>FA-B 0007-00005310</t>
  </si>
  <si>
    <t>GOMEZ MARIANO</t>
  </si>
  <si>
    <t>27/08/2024</t>
  </si>
  <si>
    <t>FA-B 0005-00011514</t>
  </si>
  <si>
    <t>FA-B 0005-00011515</t>
  </si>
  <si>
    <t>FA-B 0005-00011516</t>
  </si>
  <si>
    <t>FA-B 0005-00011517</t>
  </si>
  <si>
    <t>FA-B 0005-00011518</t>
  </si>
  <si>
    <t>FA-B 0005-00011519</t>
  </si>
  <si>
    <t>FA-B 0005-00011520</t>
  </si>
  <si>
    <t>FA-B 0005-00011521</t>
  </si>
  <si>
    <t>PALACIO ARTURO MARIO</t>
  </si>
  <si>
    <t>FA-B 0005-00011522</t>
  </si>
  <si>
    <t>FA-B 0005-00011523</t>
  </si>
  <si>
    <t>FA-B 0005-00011524</t>
  </si>
  <si>
    <t>FA-B 0005-00011525</t>
  </si>
  <si>
    <t>FA-B 0005-00011526</t>
  </si>
  <si>
    <t>FA-B 0005-00011527</t>
  </si>
  <si>
    <t>FA-B 0005-00011528</t>
  </si>
  <si>
    <t>FA-B 0005-00011529</t>
  </si>
  <si>
    <t>FA-A 0007-00002127</t>
  </si>
  <si>
    <t>FA-B 0007-00005311</t>
  </si>
  <si>
    <t>FA-B 0007-00005312</t>
  </si>
  <si>
    <t>FA-B 0007-00005313</t>
  </si>
  <si>
    <t>FA-B 0007-00005314</t>
  </si>
  <si>
    <t>FA-B 0007-00005315</t>
  </si>
  <si>
    <t>28/08/2024</t>
  </si>
  <si>
    <t>FA-B 0005-00011530</t>
  </si>
  <si>
    <t>FA-B 0005-00011531</t>
  </si>
  <si>
    <t>FA-B 0005-00011532</t>
  </si>
  <si>
    <t>FA-B 0005-00011533</t>
  </si>
  <si>
    <t>FA-B 0005-00011534</t>
  </si>
  <si>
    <t>FA-B 0005-00011535</t>
  </si>
  <si>
    <t>FA-B 0005-00011536</t>
  </si>
  <si>
    <t>NC-B 0007-00000158</t>
  </si>
  <si>
    <t>FA-B 0007-00005316</t>
  </si>
  <si>
    <t>FA-B 0007-00005317</t>
  </si>
  <si>
    <t>FA-B 0007-00005318</t>
  </si>
  <si>
    <t>FA-B 0007-00005319</t>
  </si>
  <si>
    <t>FERNANDEZ, FACUNDO SANTIAGO</t>
  </si>
  <si>
    <t>FA-B 0007-00005320</t>
  </si>
  <si>
    <t>SALVATIERRA, LUCIANA</t>
  </si>
  <si>
    <t>FA-B 0007-00005321</t>
  </si>
  <si>
    <t>FA-B 0007-00005322</t>
  </si>
  <si>
    <t>FA-B 0007-00005323</t>
  </si>
  <si>
    <t>GIGAGLIA, MARIA LUCILA</t>
  </si>
  <si>
    <t>29/08/2024</t>
  </si>
  <si>
    <t>FA-B 0005-00011537</t>
  </si>
  <si>
    <t>FA-B 0005-00011538</t>
  </si>
  <si>
    <t>FA-B 0005-00011539</t>
  </si>
  <si>
    <t>FA-B 0005-00011540</t>
  </si>
  <si>
    <t>FA-B 0005-00011541</t>
  </si>
  <si>
    <t>FA-B 0005-00011542</t>
  </si>
  <si>
    <t>FA-B 0005-00011543</t>
  </si>
  <si>
    <t>FA-B 0005-00011544</t>
  </si>
  <si>
    <t>FA-B 0005-00011545</t>
  </si>
  <si>
    <t>FA-B 0005-00011546</t>
  </si>
  <si>
    <t>FA-B 0005-00011547</t>
  </si>
  <si>
    <t>FA-B 0005-00011548</t>
  </si>
  <si>
    <t>FA-B 0005-00011549</t>
  </si>
  <si>
    <t>FA-B 0005-00011550</t>
  </si>
  <si>
    <t>FA-B 0005-00011551</t>
  </si>
  <si>
    <t>FA-B 0005-00011552</t>
  </si>
  <si>
    <t>FA-B 0005-00011553</t>
  </si>
  <si>
    <t>FA-B 0005-00011554</t>
  </si>
  <si>
    <t>FA-B 0005-00011555</t>
  </si>
  <si>
    <t>FA-B 0005-00011556</t>
  </si>
  <si>
    <t>FA-A 0007-00002128</t>
  </si>
  <si>
    <t>FA-B 0007-00005324</t>
  </si>
  <si>
    <t>FA-B 0007-00005325</t>
  </si>
  <si>
    <t>FA-B 0007-00005326</t>
  </si>
  <si>
    <t xml:space="preserve">KURTZ, ANA MARIA     </t>
  </si>
  <si>
    <t>FA-B 0007-00005327</t>
  </si>
  <si>
    <t>30/08/2024</t>
  </si>
  <si>
    <t>FA-A 0005-00000156</t>
  </si>
  <si>
    <t>FA-B 0005-00011557</t>
  </si>
  <si>
    <t>FA-B 0005-00011558</t>
  </si>
  <si>
    <t>FA-B 0005-00011559</t>
  </si>
  <si>
    <t>FA-B 0005-00011560</t>
  </si>
  <si>
    <t>FA-B 0005-00011561</t>
  </si>
  <si>
    <t>FA-B 0005-00011562</t>
  </si>
  <si>
    <t>FA-A 0006-00000527</t>
  </si>
  <si>
    <t>FA-A 0007-00002129</t>
  </si>
  <si>
    <t>FA-B 0007-00005328</t>
  </si>
  <si>
    <t>FA-B 0007-00005329</t>
  </si>
  <si>
    <t xml:space="preserve">NO GRAVADO </t>
  </si>
  <si>
    <t>VENTAS A: PUNTO DE VENTA 7</t>
  </si>
  <si>
    <t>VENTAS A: PUNTO DE VENTA 5</t>
  </si>
  <si>
    <t>VENTAS A: PUNTO DE VENTA 6</t>
  </si>
  <si>
    <t>VENTAS B: PUNTO DE VENTA 5</t>
  </si>
  <si>
    <t>VENTAS B: PUNTO DE VENTA 7</t>
  </si>
  <si>
    <t>Ventas Libro de IVA 01/09/2024 - 30/09/2024</t>
  </si>
  <si>
    <t>02/09/2024</t>
  </si>
  <si>
    <t>FA-B 0005-00011563</t>
  </si>
  <si>
    <t>FA-B 0005-00011564</t>
  </si>
  <si>
    <t>FA-B 0005-00011565</t>
  </si>
  <si>
    <t>GARIBALDI MARIO</t>
  </si>
  <si>
    <t>FA-B 0005-00011566</t>
  </si>
  <si>
    <t>FA-B 0005-00011567</t>
  </si>
  <si>
    <t>FA-B 0005-00011568</t>
  </si>
  <si>
    <t>FA-B 0005-00011569</t>
  </si>
  <si>
    <t>ARAOZ MARÍA ANGÉLICA</t>
  </si>
  <si>
    <t>FA-B 0005-00011570</t>
  </si>
  <si>
    <t>FA-B 0005-00011571</t>
  </si>
  <si>
    <t>FA-B 0005-00011572</t>
  </si>
  <si>
    <t>FA-B 0005-00011573</t>
  </si>
  <si>
    <t>FA-B 0005-00011574</t>
  </si>
  <si>
    <t>FA-B 0005-00011575</t>
  </si>
  <si>
    <t>FA-B 0005-00011576</t>
  </si>
  <si>
    <t>FA-B 0005-00011577</t>
  </si>
  <si>
    <t>FA-B 0005-00011578</t>
  </si>
  <si>
    <t>FA-B 0005-00011579</t>
  </si>
  <si>
    <t>FA-B 0005-00011580</t>
  </si>
  <si>
    <t>FA-B 0005-00011581</t>
  </si>
  <si>
    <t>FA-B 0005-00011582</t>
  </si>
  <si>
    <t>FA-B 0005-00011583</t>
  </si>
  <si>
    <t>FA-B 0005-00011584</t>
  </si>
  <si>
    <t>FA-A 0006-00000528</t>
  </si>
  <si>
    <t>FA-A 0006-00000529</t>
  </si>
  <si>
    <t>FA-A 0007-00002130</t>
  </si>
  <si>
    <t>FA-A 0007-00002131</t>
  </si>
  <si>
    <t>FA-A 0007-00002132</t>
  </si>
  <si>
    <t>FA-B 0007-00005330</t>
  </si>
  <si>
    <t>FA-B 0007-00005331</t>
  </si>
  <si>
    <t>03/09/2024</t>
  </si>
  <si>
    <t>FA-B 0005-00011585</t>
  </si>
  <si>
    <t>FA-B 0005-00011586</t>
  </si>
  <si>
    <t>FA-B 0005-00011587</t>
  </si>
  <si>
    <t>FA-B 0005-00011588</t>
  </si>
  <si>
    <t>FA-B 0005-00011589</t>
  </si>
  <si>
    <t>FA-B 0005-00011590</t>
  </si>
  <si>
    <t>FA-B 0005-00011591</t>
  </si>
  <si>
    <t>FA-B 0005-00011592</t>
  </si>
  <si>
    <t>FA-B 0005-00011593</t>
  </si>
  <si>
    <t>FA-B 0005-00011594</t>
  </si>
  <si>
    <t>FA-B 0005-00011595</t>
  </si>
  <si>
    <t>FA-B 0005-00011596</t>
  </si>
  <si>
    <t>FA-B 0005-00011597</t>
  </si>
  <si>
    <t>FA-B 0005-00011598</t>
  </si>
  <si>
    <t>FA-B 0005-00011599</t>
  </si>
  <si>
    <t>FA-B 0005-00011600</t>
  </si>
  <si>
    <t>FA-B 0005-00011601</t>
  </si>
  <si>
    <t>FA-B 0005-00011602</t>
  </si>
  <si>
    <t>FA-B 0005-00011603</t>
  </si>
  <si>
    <t>FA-B 0005-00011604</t>
  </si>
  <si>
    <t>FA-B 0005-00011605</t>
  </si>
  <si>
    <t>FA-B 0005-00011606</t>
  </si>
  <si>
    <t>FA-B 0005-00011607</t>
  </si>
  <si>
    <t>FA-A 0006-00000530</t>
  </si>
  <si>
    <t>FA-A 0007-00002133</t>
  </si>
  <si>
    <t>FA-B 0007-00005332</t>
  </si>
  <si>
    <t>FA-B 0007-00005333</t>
  </si>
  <si>
    <t>04/09/2024</t>
  </si>
  <si>
    <t>FA-B 0005-00011608</t>
  </si>
  <si>
    <t>FA-B 0005-00011609</t>
  </si>
  <si>
    <t>FA-B 0005-00011610</t>
  </si>
  <si>
    <t>FA-B 0005-00011611</t>
  </si>
  <si>
    <t>FA-B 0005-00011612</t>
  </si>
  <si>
    <t>FA-B 0005-00011613</t>
  </si>
  <si>
    <t>FA-B 0005-00011614</t>
  </si>
  <si>
    <t>FA-B 0005-00011615</t>
  </si>
  <si>
    <t>FA-B 0005-00011616</t>
  </si>
  <si>
    <t>FA-B 0005-00011617</t>
  </si>
  <si>
    <t>FA-B 0005-00011618</t>
  </si>
  <si>
    <t>FA-B 0005-00011619</t>
  </si>
  <si>
    <t>FA-B 0005-00011620</t>
  </si>
  <si>
    <t>FA-B 0005-00011621</t>
  </si>
  <si>
    <t>FA-B 0005-00011622</t>
  </si>
  <si>
    <t>FA-B 0005-00011623</t>
  </si>
  <si>
    <t>FA-B 0005-00011624</t>
  </si>
  <si>
    <t>FA-B 0005-00011625</t>
  </si>
  <si>
    <t>FA-B 0005-00011626</t>
  </si>
  <si>
    <t>FA-B 0005-00011627</t>
  </si>
  <si>
    <t>CUMAN MARIA LUISA</t>
  </si>
  <si>
    <t>FA-B 0005-00011628</t>
  </si>
  <si>
    <t>FA-B 0005-00011629</t>
  </si>
  <si>
    <t>FA-B 0005-00011630</t>
  </si>
  <si>
    <t>FA-A 0006-00000531</t>
  </si>
  <si>
    <t>FA-A 0006-00000532</t>
  </si>
  <si>
    <t>FA-B 0007-00005334</t>
  </si>
  <si>
    <t>FA-B 0007-00005335</t>
  </si>
  <si>
    <t>FA-B 0007-00005336</t>
  </si>
  <si>
    <t>FA-B 0007-00005337</t>
  </si>
  <si>
    <t>FA-B 0007-00005338</t>
  </si>
  <si>
    <t>05/09/2024</t>
  </si>
  <si>
    <t>NC-B 0005-00000140</t>
  </si>
  <si>
    <t>FA-B 0005-00011631</t>
  </si>
  <si>
    <t>FA-B 0005-00011632</t>
  </si>
  <si>
    <t>FA-B 0005-00011633</t>
  </si>
  <si>
    <t>FA-B 0005-00011634</t>
  </si>
  <si>
    <t>CANCHI HECTOR HUGO</t>
  </si>
  <si>
    <t>FA-B 0005-00011635</t>
  </si>
  <si>
    <t>FA-B 0005-00011636</t>
  </si>
  <si>
    <t>FA-B 0005-00011637</t>
  </si>
  <si>
    <t>GOMEZ VENTURA ESTEBAN</t>
  </si>
  <si>
    <t>FA-B 0005-00011638</t>
  </si>
  <si>
    <t>FA-B 0005-00011639</t>
  </si>
  <si>
    <t>FA-B 0005-00011640</t>
  </si>
  <si>
    <t>FA-B 0005-00011641</t>
  </si>
  <si>
    <t>FREDES RAUL</t>
  </si>
  <si>
    <t>FA-B 0005-00011642</t>
  </si>
  <si>
    <t>FA-B 0005-00011643</t>
  </si>
  <si>
    <t>FA-B 0005-00011644</t>
  </si>
  <si>
    <t>FA-B 0005-00011645</t>
  </si>
  <si>
    <t>FA-B 0005-00011646</t>
  </si>
  <si>
    <t>FA-B 0005-00011647</t>
  </si>
  <si>
    <t>FA-B 0005-00011648</t>
  </si>
  <si>
    <t>FA-B 0005-00011649</t>
  </si>
  <si>
    <t>FA-B 0005-00011650</t>
  </si>
  <si>
    <t>FA-B 0005-00011651</t>
  </si>
  <si>
    <t>FA-B 0005-00011652</t>
  </si>
  <si>
    <t>FA-B 0005-00011653</t>
  </si>
  <si>
    <t>FA-B 0005-00011654</t>
  </si>
  <si>
    <t>FA-B 0005-00011655</t>
  </si>
  <si>
    <t>FA-A 0007-00002134</t>
  </si>
  <si>
    <t>Casa De Musicos S.A.S.</t>
  </si>
  <si>
    <t>FA-A 0007-00002135</t>
  </si>
  <si>
    <t>FA-A 0007-00002136</t>
  </si>
  <si>
    <t>Alexander Fleming S. A.</t>
  </si>
  <si>
    <t>FA-B 0007-00005339</t>
  </si>
  <si>
    <t>06/09/2024</t>
  </si>
  <si>
    <t>FA-B 0005-00011656</t>
  </si>
  <si>
    <t>FA-B 0005-00011657</t>
  </si>
  <si>
    <t>FA-B 0005-00011658</t>
  </si>
  <si>
    <t>FA-B 0005-00011659</t>
  </si>
  <si>
    <t>FA-B 0005-00011660</t>
  </si>
  <si>
    <t>FA-B 0005-00011661</t>
  </si>
  <si>
    <t>FA-B 0005-00011662</t>
  </si>
  <si>
    <t>FA-B 0005-00011663</t>
  </si>
  <si>
    <t>FA-B 0005-00011664</t>
  </si>
  <si>
    <t>FA-B 0005-00011665</t>
  </si>
  <si>
    <t>FA-B 0005-00011666</t>
  </si>
  <si>
    <t>FA-B 0005-00011667</t>
  </si>
  <si>
    <t>FA-B 0005-00011668</t>
  </si>
  <si>
    <t>CASTRO ROSA ANGELA MARIA</t>
  </si>
  <si>
    <t>FA-B 0005-00011669</t>
  </si>
  <si>
    <t>FA-B 0005-00011670</t>
  </si>
  <si>
    <t>FA-B 0005-00011671</t>
  </si>
  <si>
    <t>FA-B 0005-00011672</t>
  </si>
  <si>
    <t>FA-B 0005-00011673</t>
  </si>
  <si>
    <t>FA-B 0005-00011674</t>
  </si>
  <si>
    <t>FA-B 0005-00011675</t>
  </si>
  <si>
    <t>NC-A 0007-00000155</t>
  </si>
  <si>
    <t>FA-A 0007-00002137</t>
  </si>
  <si>
    <t>FA-A 0007-00002138</t>
  </si>
  <si>
    <t>FA-A 0007-00002139</t>
  </si>
  <si>
    <t>FA-A 0007-00002140</t>
  </si>
  <si>
    <t>FA-A 0007-00002141</t>
  </si>
  <si>
    <t>FA-A 0007-00002142</t>
  </si>
  <si>
    <t>FA-B 0007-00005340</t>
  </si>
  <si>
    <t>09/09/2024</t>
  </si>
  <si>
    <t>NC-B 0005-00000141</t>
  </si>
  <si>
    <t>FA-A 0005-00000157</t>
  </si>
  <si>
    <t>Picolemar Sa</t>
  </si>
  <si>
    <t>FA-B 0005-00011676</t>
  </si>
  <si>
    <t>FA-B 0005-00011677</t>
  </si>
  <si>
    <t>FA-B 0005-00011678</t>
  </si>
  <si>
    <t>fraser roberto fernando</t>
  </si>
  <si>
    <t>FA-B 0005-00011679</t>
  </si>
  <si>
    <t>FA-B 0005-00011680</t>
  </si>
  <si>
    <t>FA-B 0005-00011681</t>
  </si>
  <si>
    <t>FA-B 0005-00011682</t>
  </si>
  <si>
    <t>FA-B 0005-00011683</t>
  </si>
  <si>
    <t>FA-B 0005-00011684</t>
  </si>
  <si>
    <t>FA-B 0005-00011685</t>
  </si>
  <si>
    <t>FA-B 0005-00011686</t>
  </si>
  <si>
    <t>FA-B 0005-00011687</t>
  </si>
  <si>
    <t>FA-B 0005-00011688</t>
  </si>
  <si>
    <t>FA-B 0005-00011689</t>
  </si>
  <si>
    <t>FA-B 0005-00011690</t>
  </si>
  <si>
    <t>FA-B 0005-00011691</t>
  </si>
  <si>
    <t>FA-B 0005-00011692</t>
  </si>
  <si>
    <t>NC-A 0007-00000156</t>
  </si>
  <si>
    <t>FA-A 0007-00002143</t>
  </si>
  <si>
    <t>FA-A 0007-00002144</t>
  </si>
  <si>
    <t>FA-A 0007-00002145</t>
  </si>
  <si>
    <t>FA-A 0007-00002146</t>
  </si>
  <si>
    <t>FA-A 0007-00002147</t>
  </si>
  <si>
    <t>FA-A 0007-00002148</t>
  </si>
  <si>
    <t>10/09/2024</t>
  </si>
  <si>
    <t>FA-B 0005-00011693</t>
  </si>
  <si>
    <t>FA-B 0005-00011694</t>
  </si>
  <si>
    <t>FA-B 0005-00011695</t>
  </si>
  <si>
    <t>FA-B 0005-00011696</t>
  </si>
  <si>
    <t>FA-B 0005-00011697</t>
  </si>
  <si>
    <t>FA-B 0005-00011698</t>
  </si>
  <si>
    <t>FA-B 0005-00011699</t>
  </si>
  <si>
    <t>FA-B 0005-00011700</t>
  </si>
  <si>
    <t>FA-B 0005-00011701</t>
  </si>
  <si>
    <t>FA-B 0005-00011702</t>
  </si>
  <si>
    <t>FA-B 0005-00011703</t>
  </si>
  <si>
    <t>FA-B 0005-00011704</t>
  </si>
  <si>
    <t>FA-B 0005-00011705</t>
  </si>
  <si>
    <t>FA-B 0005-00011706</t>
  </si>
  <si>
    <t>FA-B 0005-00011707</t>
  </si>
  <si>
    <t>FA-B 0005-00011708</t>
  </si>
  <si>
    <t>FA-B 0005-00011709</t>
  </si>
  <si>
    <t>LAVASELLI LETICIA MARIA</t>
  </si>
  <si>
    <t>FA-A 0006-00000533</t>
  </si>
  <si>
    <t>FA-A 0006-00000534</t>
  </si>
  <si>
    <t>FA-A 0007-00002149</t>
  </si>
  <si>
    <t>FA-A 0007-00002150</t>
  </si>
  <si>
    <t>FA-A 0007-00002151</t>
  </si>
  <si>
    <t>FA-A 0007-00002152</t>
  </si>
  <si>
    <t>FA-A 0007-00002153</t>
  </si>
  <si>
    <t>FA-A 0007-00002154</t>
  </si>
  <si>
    <t>FA-A 0007-00002155</t>
  </si>
  <si>
    <t>FA-A 0007-00002156</t>
  </si>
  <si>
    <t>FA-A 0007-00002157</t>
  </si>
  <si>
    <t>FA-B 0007-00005341</t>
  </si>
  <si>
    <t>FA-B 0007-00005342</t>
  </si>
  <si>
    <t>FA-B 0007-00005343</t>
  </si>
  <si>
    <t>FA-B 0007-00005344</t>
  </si>
  <si>
    <t>FA-B 0007-00005345</t>
  </si>
  <si>
    <t>11/09/2024</t>
  </si>
  <si>
    <t>FA-B 0005-00011710</t>
  </si>
  <si>
    <t>FA-B 0005-00011711</t>
  </si>
  <si>
    <t>FA-B 0005-00011712</t>
  </si>
  <si>
    <t>FA-B 0005-00011713</t>
  </si>
  <si>
    <t>FA-B 0005-00011714</t>
  </si>
  <si>
    <t>FA-B 0005-00011715</t>
  </si>
  <si>
    <t>VALIENTE AGUSTINA MARIBEL</t>
  </si>
  <si>
    <t>FA-B 0005-00011716</t>
  </si>
  <si>
    <t>FA-B 0005-00011717</t>
  </si>
  <si>
    <t>FA-B 0005-00011718</t>
  </si>
  <si>
    <t>FA-B 0005-00011719</t>
  </si>
  <si>
    <t>FA-B 0005-00011720</t>
  </si>
  <si>
    <t>FA-B 0005-00011721</t>
  </si>
  <si>
    <t>FA-B 0005-00011722</t>
  </si>
  <si>
    <t>FA-B 0005-00011723</t>
  </si>
  <si>
    <t>FA-A 0006-00000535</t>
  </si>
  <si>
    <t>FA-A 0007-00002158</t>
  </si>
  <si>
    <t>FA-A 0007-00002159</t>
  </si>
  <si>
    <t>FA-A 0007-00002160</t>
  </si>
  <si>
    <t>FA-B 0007-00005346</t>
  </si>
  <si>
    <t>FA-B 0007-00005347</t>
  </si>
  <si>
    <t>FA-B 0007-00005348</t>
  </si>
  <si>
    <t>12/09/2024</t>
  </si>
  <si>
    <t>FA-B 0005-00011724</t>
  </si>
  <si>
    <t>FA-B 0005-00011725</t>
  </si>
  <si>
    <t>LAZARO CYNTHIA</t>
  </si>
  <si>
    <t>FA-B 0005-00011726</t>
  </si>
  <si>
    <t>FA-B 0005-00011727</t>
  </si>
  <si>
    <t>FA-B 0005-00011728</t>
  </si>
  <si>
    <t>FA-B 0005-00011729</t>
  </si>
  <si>
    <t>FA-B 0005-00011730</t>
  </si>
  <si>
    <t>FA-B 0005-00011731</t>
  </si>
  <si>
    <t>FA-B 0005-00011732</t>
  </si>
  <si>
    <t>FA-A 0006-00000536</t>
  </si>
  <si>
    <t>FA-A 0007-00002161</t>
  </si>
  <si>
    <t>FA-A 0007-00002162</t>
  </si>
  <si>
    <t>FA-B 0007-00005349</t>
  </si>
  <si>
    <t>FA-B 0007-00005350</t>
  </si>
  <si>
    <t>FA-B 0007-00005351</t>
  </si>
  <si>
    <t>FA-B 0007-00005352</t>
  </si>
  <si>
    <t>FA-B 0007-00005353</t>
  </si>
  <si>
    <t>FA-B 0007-00005354</t>
  </si>
  <si>
    <t>FA-B 0007-00005355</t>
  </si>
  <si>
    <t>YANNADUONI, GRACIELA LIDIA</t>
  </si>
  <si>
    <t>13/09/2024</t>
  </si>
  <si>
    <t>FA-B 0005-00011733</t>
  </si>
  <si>
    <t>FA-B 0005-00011734</t>
  </si>
  <si>
    <t>FA-B 0005-00011735</t>
  </si>
  <si>
    <t>FA-B 0005-00011736</t>
  </si>
  <si>
    <t>FA-B 0005-00011737</t>
  </si>
  <si>
    <t>FA-B 0005-00011738</t>
  </si>
  <si>
    <t>FA-B 0005-00011739</t>
  </si>
  <si>
    <t>FA-B 0005-00011740</t>
  </si>
  <si>
    <t>FA-B 0005-00011741</t>
  </si>
  <si>
    <t>FA-B 0007-00005356</t>
  </si>
  <si>
    <t>FA-B 0007-00005357</t>
  </si>
  <si>
    <t>FA-B 0007-00005358</t>
  </si>
  <si>
    <t>FA-B 0007-00005359</t>
  </si>
  <si>
    <t>FA-B 0007-00005360</t>
  </si>
  <si>
    <t>16/09/2024</t>
  </si>
  <si>
    <t>FA-B 0005-00011742</t>
  </si>
  <si>
    <t>FA-B 0005-00011743</t>
  </si>
  <si>
    <t>FA-B 0005-00011744</t>
  </si>
  <si>
    <t>FA-B 0005-00011745</t>
  </si>
  <si>
    <t>FA-B 0005-00011746</t>
  </si>
  <si>
    <t>FA-B 0005-00011747</t>
  </si>
  <si>
    <t>FA-B 0005-00011748</t>
  </si>
  <si>
    <t>FA-B 0005-00011749</t>
  </si>
  <si>
    <t>FA-B 0005-00011750</t>
  </si>
  <si>
    <t>FA-B 0005-00011751</t>
  </si>
  <si>
    <t>FA-B 0005-00011752</t>
  </si>
  <si>
    <t>FA-B 0005-00011753</t>
  </si>
  <si>
    <t>FA-B 0005-00011754</t>
  </si>
  <si>
    <t>FA-B 0005-00011755</t>
  </si>
  <si>
    <t>FA-B 0005-00011756</t>
  </si>
  <si>
    <t>FA-B 0005-00011757</t>
  </si>
  <si>
    <t>17/09/2024</t>
  </si>
  <si>
    <t>FA-B 0005-00011758</t>
  </si>
  <si>
    <t>FA-B 0005-00011759</t>
  </si>
  <si>
    <t>FA-B 0005-00011760</t>
  </si>
  <si>
    <t>FA-B 0005-00011761</t>
  </si>
  <si>
    <t>FA-B 0005-00011762</t>
  </si>
  <si>
    <t>FA-B 0005-00011763</t>
  </si>
  <si>
    <t>FA-B 0005-00011764</t>
  </si>
  <si>
    <t>FA-B 0005-00011765</t>
  </si>
  <si>
    <t>FA-B 0005-00011766</t>
  </si>
  <si>
    <t>FA-B 0005-00011767</t>
  </si>
  <si>
    <t>FA-B 0005-00011768</t>
  </si>
  <si>
    <t>FA-B 0005-00011769</t>
  </si>
  <si>
    <t>FA-B 0005-00011770</t>
  </si>
  <si>
    <t>FA-B 0005-00011771</t>
  </si>
  <si>
    <t>FA-B 0005-00011772</t>
  </si>
  <si>
    <t>FA-B 0005-00011773</t>
  </si>
  <si>
    <t>MARGARITA FERRO</t>
  </si>
  <si>
    <t>FA-B 0005-00011774</t>
  </si>
  <si>
    <t>FA-B 0005-00011775</t>
  </si>
  <si>
    <t>FA-B 0005-00011776</t>
  </si>
  <si>
    <t>FA-B 0005-00011777</t>
  </si>
  <si>
    <t>GIMENEZ RAUL ALFREDO</t>
  </si>
  <si>
    <t>FA-B 0005-00011778</t>
  </si>
  <si>
    <t>FA-B 0005-00011779</t>
  </si>
  <si>
    <t>FA-B 0005-00011780</t>
  </si>
  <si>
    <t>FA-B 0005-00011781</t>
  </si>
  <si>
    <t>DANIEL VACA</t>
  </si>
  <si>
    <t>false</t>
  </si>
  <si>
    <t>FA-B 0005-00011782</t>
  </si>
  <si>
    <t>FA-A 0007-00002163</t>
  </si>
  <si>
    <t>FA-A 0007-00002164</t>
  </si>
  <si>
    <t>FA-B 0007-00005361</t>
  </si>
  <si>
    <t>FA-B 0007-00005362</t>
  </si>
  <si>
    <t>FA-B 0007-00005363</t>
  </si>
  <si>
    <t>BRANDONI LUDMILA</t>
  </si>
  <si>
    <t>18/09/2024</t>
  </si>
  <si>
    <t>NC-B 0005-00000142</t>
  </si>
  <si>
    <t>FA-B 0005-00011783</t>
  </si>
  <si>
    <t>FA-B 0005-00011784</t>
  </si>
  <si>
    <t>FA-B 0005-00011785</t>
  </si>
  <si>
    <t>FA-B 0005-00011786</t>
  </si>
  <si>
    <t>FA-B 0005-00011787</t>
  </si>
  <si>
    <t>FA-B 0005-00011788</t>
  </si>
  <si>
    <t>FA-B 0005-00011789</t>
  </si>
  <si>
    <t>FA-B 0005-00011790</t>
  </si>
  <si>
    <t>FA-B 0005-00011791</t>
  </si>
  <si>
    <t>FA-B 0005-00011792</t>
  </si>
  <si>
    <t>FA-B 0005-00011793</t>
  </si>
  <si>
    <t>FA-B 0005-00011794</t>
  </si>
  <si>
    <t>FA-B 0005-00011795</t>
  </si>
  <si>
    <t>FA-B 0005-00011796</t>
  </si>
  <si>
    <t>FA-B 0005-00011797</t>
  </si>
  <si>
    <t>FA-B 0005-00011798</t>
  </si>
  <si>
    <t>FA-A 0007-00002165</t>
  </si>
  <si>
    <t>FA-A 0007-00002166</t>
  </si>
  <si>
    <t>FA-B 0007-00005364</t>
  </si>
  <si>
    <t>FA-B 0007-00005365</t>
  </si>
  <si>
    <t>MARTIN, RODOLFO ALBERTO</t>
  </si>
  <si>
    <t>19/09/2024</t>
  </si>
  <si>
    <t>FA-B 0005-00011799</t>
  </si>
  <si>
    <t>FA-B 0005-00011800</t>
  </si>
  <si>
    <t>NUÑEZ LETICIA</t>
  </si>
  <si>
    <t>FA-B 0005-00011801</t>
  </si>
  <si>
    <t>FA-B 0005-00011802</t>
  </si>
  <si>
    <t>FA-B 0005-00011803</t>
  </si>
  <si>
    <t>FA-B 0005-00011804</t>
  </si>
  <si>
    <t>FA-B 0005-00011805</t>
  </si>
  <si>
    <t>CRUZ CLAUDIA</t>
  </si>
  <si>
    <t>FA-B 0005-00011806</t>
  </si>
  <si>
    <t>FA-B 0005-00011807</t>
  </si>
  <si>
    <t>FA-B 0005-00011808</t>
  </si>
  <si>
    <t>FA-B 0005-00011809</t>
  </si>
  <si>
    <t>FA-B 0005-00011810</t>
  </si>
  <si>
    <t>FA-B 0007-00005366</t>
  </si>
  <si>
    <t>20/09/2024</t>
  </si>
  <si>
    <t>FA-B 0005-00011811</t>
  </si>
  <si>
    <t>FA-B 0005-00011812</t>
  </si>
  <si>
    <t>FA-B 0005-00011813</t>
  </si>
  <si>
    <t>FA-B 0005-00011814</t>
  </si>
  <si>
    <t>FA-B 0005-00011815</t>
  </si>
  <si>
    <t>FA-B 0005-00011816</t>
  </si>
  <si>
    <t>FA-B 0005-00011817</t>
  </si>
  <si>
    <t>FA-B 0005-00011818</t>
  </si>
  <si>
    <t>FA-B 0005-00011819</t>
  </si>
  <si>
    <t>FA-B 0005-00011820</t>
  </si>
  <si>
    <t>FA-B 0005-00011821</t>
  </si>
  <si>
    <t>FA-B 0005-00011822</t>
  </si>
  <si>
    <t>FA-B 0005-00011823</t>
  </si>
  <si>
    <t>FA-B 0005-00011824</t>
  </si>
  <si>
    <t>FA-B 0005-00011825</t>
  </si>
  <si>
    <t>FA-B 0005-00011826</t>
  </si>
  <si>
    <t>FA-B 0007-00005367</t>
  </si>
  <si>
    <t>FA-B 0007-00005368</t>
  </si>
  <si>
    <t>FA-B 0007-00005369</t>
  </si>
  <si>
    <t>23/09/2024</t>
  </si>
  <si>
    <t>FA-B 0005-00011827</t>
  </si>
  <si>
    <t>FA-B 0005-00011828</t>
  </si>
  <si>
    <t>FA-B 0005-00011829</t>
  </si>
  <si>
    <t>FA-B 0005-00011830</t>
  </si>
  <si>
    <t>FA-B 0005-00011831</t>
  </si>
  <si>
    <t>FA-B 0005-00011832</t>
  </si>
  <si>
    <t>FA-B 0005-00011833</t>
  </si>
  <si>
    <t>FA-B 0005-00011834</t>
  </si>
  <si>
    <t>FA-B 0005-00011835</t>
  </si>
  <si>
    <t>FA-B 0005-00011836</t>
  </si>
  <si>
    <t>FA-B 0005-00011837</t>
  </si>
  <si>
    <t>FA-B 0007-00005370</t>
  </si>
  <si>
    <t>FA-B 0007-00005371</t>
  </si>
  <si>
    <t>FA-B 0007-00005372</t>
  </si>
  <si>
    <t>24/09/2024</t>
  </si>
  <si>
    <t>FA-B 0005-00011838</t>
  </si>
  <si>
    <t>FA-B 0005-00011839</t>
  </si>
  <si>
    <t>FA-B 0005-00011840</t>
  </si>
  <si>
    <t>FA-B 0005-00011841</t>
  </si>
  <si>
    <t>FA-B 0005-00011842</t>
  </si>
  <si>
    <t>FA-B 0005-00011843</t>
  </si>
  <si>
    <t>FA-B 0005-00011844</t>
  </si>
  <si>
    <t xml:space="preserve">LAYA, ROSA M. TINCOPA DE </t>
  </si>
  <si>
    <t>FA-B 0005-00011845</t>
  </si>
  <si>
    <t>FA-B 0005-00011846</t>
  </si>
  <si>
    <t>FA-B 0005-00011847</t>
  </si>
  <si>
    <t>NC-B 0007-00000159</t>
  </si>
  <si>
    <t>FA-B 0007-00005373</t>
  </si>
  <si>
    <t>25/09/2024</t>
  </si>
  <si>
    <t>FA-B 0005-00011848</t>
  </si>
  <si>
    <t>Méndez María Agustina</t>
  </si>
  <si>
    <t>FA-B 0005-00011849</t>
  </si>
  <si>
    <t>FA-B 0005-00011850</t>
  </si>
  <si>
    <t>VERON JESUS</t>
  </si>
  <si>
    <t>FA-B 0005-00011851</t>
  </si>
  <si>
    <t>FA-B 0005-00011852</t>
  </si>
  <si>
    <t>FA-B 0005-00011853</t>
  </si>
  <si>
    <t>FA-B 0005-00011854</t>
  </si>
  <si>
    <t>FA-B 0005-00011855</t>
  </si>
  <si>
    <t>FA-B 0005-00011856</t>
  </si>
  <si>
    <t>FA-B 0005-00011857</t>
  </si>
  <si>
    <t>FA-B 0005-00011858</t>
  </si>
  <si>
    <t>FA-B 0005-00011859</t>
  </si>
  <si>
    <t>FA-B 0005-00011860</t>
  </si>
  <si>
    <t>FA-B 0005-00011861</t>
  </si>
  <si>
    <t>FA-B 0005-00011862</t>
  </si>
  <si>
    <t>FA-B 0005-00011863</t>
  </si>
  <si>
    <t>VETERE RICARDO</t>
  </si>
  <si>
    <t>FA-B 0007-00005374</t>
  </si>
  <si>
    <t>FA-B 0007-00005375</t>
  </si>
  <si>
    <t>FA-B 0007-00005376</t>
  </si>
  <si>
    <t>FA-B 0007-00005377</t>
  </si>
  <si>
    <t>FA-B 0007-00005378</t>
  </si>
  <si>
    <t>FA-B 0007-00005379</t>
  </si>
  <si>
    <t>FA-B 0007-00005380</t>
  </si>
  <si>
    <t>FA-B 0007-00005381</t>
  </si>
  <si>
    <t>CARINGI, ROSA MARIA</t>
  </si>
  <si>
    <t>26/09/2024</t>
  </si>
  <si>
    <t>FA-B 0005-00011864</t>
  </si>
  <si>
    <t>FA-B 0005-00011865</t>
  </si>
  <si>
    <t>FA-B 0005-00011866</t>
  </si>
  <si>
    <t>FA-B 0005-00011867</t>
  </si>
  <si>
    <t>FA-B 0005-00011868</t>
  </si>
  <si>
    <t>FA-B 0005-00011869</t>
  </si>
  <si>
    <t>FA-B 0005-00011870</t>
  </si>
  <si>
    <t>FA-B 0005-00011871</t>
  </si>
  <si>
    <t>FA-B 0005-00011872</t>
  </si>
  <si>
    <t>FA-B 0005-00011873</t>
  </si>
  <si>
    <t>FA-B 0005-00011874</t>
  </si>
  <si>
    <t>FA-B 0005-00011875</t>
  </si>
  <si>
    <t>FA-B 0005-00011876</t>
  </si>
  <si>
    <t>FA-B 0005-00011877</t>
  </si>
  <si>
    <t>SILVANA ARAYA</t>
  </si>
  <si>
    <t>NC-A 0006-00000081</t>
  </si>
  <si>
    <t>NC-A 0006-00000082</t>
  </si>
  <si>
    <t>NC-A 0006-00000083</t>
  </si>
  <si>
    <t>NC-A 0006-00000084</t>
  </si>
  <si>
    <t>NC-A 0006-00000085</t>
  </si>
  <si>
    <t>NC-A 0007-00000157</t>
  </si>
  <si>
    <t>FA-B 0007-00005382</t>
  </si>
  <si>
    <t xml:space="preserve"> </t>
  </si>
  <si>
    <t>Tipo</t>
  </si>
  <si>
    <t>Punto de Venta</t>
  </si>
  <si>
    <t>Número Desde</t>
  </si>
  <si>
    <t>Número Hasta</t>
  </si>
  <si>
    <t>Cód. Autorización</t>
  </si>
  <si>
    <t>Tipo Doc. Receptor</t>
  </si>
  <si>
    <t>Nro. Doc. Receptor</t>
  </si>
  <si>
    <t>Denominación Receptor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</si>
  <si>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</si>
  <si>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</si>
  <si>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</si>
  <si>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</si>
  <si>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</si>
  <si>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</si>
  <si>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</si>
  <si>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01/10/2024</t>
  </si>
  <si>
    <t>1 - Factura A</t>
  </si>
  <si>
    <t>CUIT</t>
  </si>
  <si>
    <t>$</t>
  </si>
  <si>
    <t>201 - Factura de Crédito electrónica MiPyMEs (FCE) A</t>
  </si>
  <si>
    <t>6 - Factura B</t>
  </si>
  <si>
    <t>03/10/2024</t>
  </si>
  <si>
    <t>02/10/2024</t>
  </si>
  <si>
    <t>07/10/2024</t>
  </si>
  <si>
    <t>24/10/2024</t>
  </si>
  <si>
    <t>8 - Nota de Crédito B</t>
  </si>
  <si>
    <t>08/10/2024</t>
  </si>
  <si>
    <t>09/10/2024</t>
  </si>
  <si>
    <t>10/10/2024</t>
  </si>
  <si>
    <t>04/10/2024</t>
  </si>
  <si>
    <t>AMPARO SALUD S.R.L.</t>
  </si>
  <si>
    <t>OBRA SOCIAL DEL SINDICATO DE MECANICOS Y AFINES DEL TRANSPORTE AUTOMOTOR</t>
  </si>
  <si>
    <t>OBRA SOCIAL DE LA ACTIVIDAD DE SEGUROS, REASEGUROS, CAPITALIZACION Y AHORRO Y PRESTAMO  PARA LA VIVI</t>
  </si>
  <si>
    <t>HC HOMECARE INTERNACION DOMICILIARIA S.A.</t>
  </si>
  <si>
    <t>PANUNTO ELIDA YAMILA</t>
  </si>
  <si>
    <t>OBRA SOCIAL UNION PERSONAL DE LA UNION DEL PERSONAL CIVIL DE LA NACION</t>
  </si>
  <si>
    <t>14/10/2024</t>
  </si>
  <si>
    <t>OBRA SOCIAL DEL PERSONAL DE LAS TELECOMUNICACIONES DE LA REPUBLICA ARGENTINA</t>
  </si>
  <si>
    <t>MEDICUS SOCIEDAD ANONIMA DE ASISTENCIA MEDICA Y CIENTIFICA</t>
  </si>
  <si>
    <t>3 - Nota de Crédito A</t>
  </si>
  <si>
    <t>15/10/2024</t>
  </si>
  <si>
    <t>MGR IMPLANTES S.A.</t>
  </si>
  <si>
    <t>16/10/2024</t>
  </si>
  <si>
    <t>ALIANZE INTERNACION DOMICILIARIA S.R.L.</t>
  </si>
  <si>
    <t>17/10/2024</t>
  </si>
  <si>
    <t>18/10/2024</t>
  </si>
  <si>
    <t>21/10/2024</t>
  </si>
  <si>
    <t>CENTRO MEDICO AMENABAR SRL</t>
  </si>
  <si>
    <t>22/10/2024</t>
  </si>
  <si>
    <t>23/10/2024</t>
  </si>
  <si>
    <t>25/10/2024</t>
  </si>
  <si>
    <t>LOGIN DOOR S.A</t>
  </si>
  <si>
    <t>MED CLIN S.R.L.</t>
  </si>
  <si>
    <t>28/10/2024</t>
  </si>
  <si>
    <t>AVALIAN SALUD Y BIENESTAR COOPERATIVA LIMITADA</t>
  </si>
  <si>
    <t>29/10/2024</t>
  </si>
  <si>
    <t>ITALIA FILOMENA SRL</t>
  </si>
  <si>
    <t>30/10/2024</t>
  </si>
  <si>
    <t>31/10/2024</t>
  </si>
  <si>
    <t>ASOCIACION MUTUAL SANCOR SALUD</t>
  </si>
  <si>
    <t>TRUCCO NELLY TERESA DNI 0.901.666</t>
  </si>
  <si>
    <t>DNI</t>
  </si>
  <si>
    <t>MONTI DARIO GERMAN</t>
  </si>
  <si>
    <t>MEJAIL MARIA CRISTINA</t>
  </si>
  <si>
    <t>FUSETTI MARIA TERESA</t>
  </si>
  <si>
    <t>PEROTTI MARIA AGUSTINA</t>
  </si>
  <si>
    <t>GONZALEZ DUARTE AURORA</t>
  </si>
  <si>
    <t>VILLALBA ROLANDO ANTONIO</t>
  </si>
  <si>
    <t>BENEIT MORA YAZMIN</t>
  </si>
  <si>
    <t>RODRIGUEZ LAGARES MARIA SUSANA</t>
  </si>
  <si>
    <t>LUNA PATRICIA CLAUDIA ELIZABETH</t>
  </si>
  <si>
    <t>CUTILLO CINTIA YAMILA</t>
  </si>
  <si>
    <t>ZUMBO MARIA LAURA</t>
  </si>
  <si>
    <t>SEVARES BRIAN EZEQUIEL</t>
  </si>
  <si>
    <t>CERQUETTI CLAUDIA JULIA</t>
  </si>
  <si>
    <t>BAUSO ALEJANDRO ADRIAN</t>
  </si>
  <si>
    <t>AGUERO EVANGELISTA DEL VALLE</t>
  </si>
  <si>
    <t>UTRERA ADRIAN ALBERTO</t>
  </si>
  <si>
    <t>LUQUE RAMIRO TOMAS</t>
  </si>
  <si>
    <t>VETERE RICARDO GABRIEL</t>
  </si>
  <si>
    <t>CANALS LENA</t>
  </si>
  <si>
    <t>MARQUEZ ARAUJO BRAYAM EDUARDO</t>
  </si>
  <si>
    <t>MESSER ROSA CLAUDIA</t>
  </si>
  <si>
    <t>CUIL</t>
  </si>
  <si>
    <t>CANEPA JUAN CARLOS</t>
  </si>
  <si>
    <t>POSE SEBASTIAN LEONARDO</t>
  </si>
  <si>
    <t>ABOUD PABLO DANIEL</t>
  </si>
  <si>
    <t>MPM GROUP S.A.</t>
  </si>
  <si>
    <t>CERVIÑO NORBERTO</t>
  </si>
  <si>
    <t>ZANCARINI LUIS JAVIER BERNARDO</t>
  </si>
  <si>
    <t>JORVATT ROBERT SOFIA</t>
  </si>
  <si>
    <t>CHAMORRO RUBEN DARIO</t>
  </si>
  <si>
    <t>MANTILLA SULLON MANUEL JESUS</t>
  </si>
  <si>
    <t>SILVA BLANCA EDITH</t>
  </si>
  <si>
    <t>HERMAN PATRICIA ESTELA</t>
  </si>
  <si>
    <t>VAJDA RAQUEL ESTER</t>
  </si>
  <si>
    <t>COSTARELLI JUAN MANUEL</t>
  </si>
  <si>
    <t>MAYOTTI EZEQUIEL AGUSTIN</t>
  </si>
  <si>
    <t>DAGNINO VIVIANA BEATRIZ</t>
  </si>
  <si>
    <t>GUANTAY MARLENE CARLA</t>
  </si>
  <si>
    <t>STENDLER SUSANA</t>
  </si>
  <si>
    <t>MILLAN LUCAS LEONEL</t>
  </si>
  <si>
    <t>GUZMAN ANA MARIA</t>
  </si>
  <si>
    <t>CHIRINO MARIA ANTONIA</t>
  </si>
  <si>
    <t>ALEGRIA MARIA TERESA</t>
  </si>
  <si>
    <t>GOWLAND MAXIMO EDUARDO</t>
  </si>
  <si>
    <t>FEHR THIESSEN JUAN</t>
  </si>
  <si>
    <t>FRAGATI SALVADOR PABLO</t>
  </si>
  <si>
    <t>MAIDA SILVINA ANALIA</t>
  </si>
  <si>
    <t>VERGARA RICARDO NICANOR</t>
  </si>
  <si>
    <t>MOSTO TERESITA BEATRIZ</t>
  </si>
  <si>
    <t>CALDERER MARIA ISABEL</t>
  </si>
  <si>
    <t>TILLERIA AGUILAR MARIANA ELISA</t>
  </si>
  <si>
    <t>PICOLEMAR SA</t>
  </si>
  <si>
    <t>FEDERACION ARGENTINA DE EMPLEADOS DE COMERCIO Y SERVICIOS</t>
  </si>
  <si>
    <t>CALDERER SILVIA NOEMI</t>
  </si>
  <si>
    <t>MEDIAVILLA GLADYS RAFAELA</t>
  </si>
  <si>
    <t>QUIROZ NESTOR EZEQUIEL</t>
  </si>
  <si>
    <t>BEZI VICTORIA</t>
  </si>
  <si>
    <t>FERNANDEZ BEATRIZ SUSANA</t>
  </si>
  <si>
    <t>QUINTANA JOSE MARIA FACUNDO</t>
  </si>
  <si>
    <t>GOMEZ MANUEL EMILIANO</t>
  </si>
  <si>
    <t>BENNARDIS ENRIQUE JESUS</t>
  </si>
  <si>
    <t>TATULLI MARIA ISABEL</t>
  </si>
  <si>
    <t>CLIMENT BORZANI ANA GABRIELA</t>
  </si>
  <si>
    <t>CRUDELE ROBERTO</t>
  </si>
  <si>
    <t>OBRA SOCIAL DE LOS TRABAJADORES DE LA INDUSTRIA DEL GAS</t>
  </si>
  <si>
    <t>LOCOCO CARMEN CLAUDIA</t>
  </si>
  <si>
    <t>GALENO ASEGURADORA DE RIESGOS DEL TRABAJO SOCIEDAD ANONIMA</t>
  </si>
  <si>
    <t>OBRA SOCIAL DEL PERSONAL DE LA INDUSTRIA DEL PLASTICO</t>
  </si>
  <si>
    <t>Ventas Libro de IVA 01/10/2024 - 30/10/2024</t>
  </si>
  <si>
    <t>TOTAL VENTAS B</t>
  </si>
  <si>
    <t xml:space="preserve">TOTAL VENTAS </t>
  </si>
  <si>
    <t>Mis Comprobantes Emitidos - CUIT 30710473168</t>
  </si>
  <si>
    <t>07/11/2024</t>
  </si>
  <si>
    <t>19/11/2024</t>
  </si>
  <si>
    <t>BARUTTA JORGE SEBASTIAN</t>
  </si>
  <si>
    <t>25/11/2024</t>
  </si>
  <si>
    <t>ESTABLECIMIENTO METALURGICO G C D S R L</t>
  </si>
  <si>
    <t>22/11/2024</t>
  </si>
  <si>
    <t>203 - Nota de Crédito electrónica MiPyMEs (FCE) A</t>
  </si>
  <si>
    <t>12/11/2024</t>
  </si>
  <si>
    <t>13/11/2024</t>
  </si>
  <si>
    <t>20/11/2024</t>
  </si>
  <si>
    <t>01/11/2024</t>
  </si>
  <si>
    <t>SCHERNETZKI ANSELMO</t>
  </si>
  <si>
    <t>ROMERO LEONARDO ARIEL</t>
  </si>
  <si>
    <t>RAIDEN RICARDO</t>
  </si>
  <si>
    <t>04/11/2024</t>
  </si>
  <si>
    <t>CARABALLO LUIS FERNANDO</t>
  </si>
  <si>
    <t>BELLIA MARIANA CRISTINA</t>
  </si>
  <si>
    <t>MORGAN SANTIAGO</t>
  </si>
  <si>
    <t>ROMERO JUAN CARLOS</t>
  </si>
  <si>
    <t>06/11/2024</t>
  </si>
  <si>
    <t>GASCO LEMOS ERIKA VANESA</t>
  </si>
  <si>
    <t>11/11/2024</t>
  </si>
  <si>
    <t>FERNANDEZ DELFINA</t>
  </si>
  <si>
    <t>14/11/2024</t>
  </si>
  <si>
    <t>MINNICELLI GERMAN MARIO</t>
  </si>
  <si>
    <t>TORRES KARINA ISABEL</t>
  </si>
  <si>
    <t>15/11/2024</t>
  </si>
  <si>
    <t>GODOY ALEJANDRA VALERIA</t>
  </si>
  <si>
    <t>XU LEI</t>
  </si>
  <si>
    <t>RAMOS MATIAS EZEQUIEL</t>
  </si>
  <si>
    <t>21/11/2024</t>
  </si>
  <si>
    <t>FERNANDEZ MUÑOZ SHEILA ELIZABETH</t>
  </si>
  <si>
    <t>JIMENEZ SUAREZ ANA CECILIA</t>
  </si>
  <si>
    <t>CANOBBIO AIDA LEONOR</t>
  </si>
  <si>
    <t>OJEDA JORGE ANTONIO</t>
  </si>
  <si>
    <t>SANCHEZ ALEJANDRA MARIA DEL CARMEN</t>
  </si>
  <si>
    <t>BENAVENTE VILLEGAS MARIA ANGELICA</t>
  </si>
  <si>
    <t>27/11/2024</t>
  </si>
  <si>
    <t>GUTIERREZ CUADROS ROSANA</t>
  </si>
  <si>
    <t>05/11/2024</t>
  </si>
  <si>
    <t>08/11/2024</t>
  </si>
  <si>
    <t>26/11/2024</t>
  </si>
  <si>
    <t>OVIEDO ZAYAS MAURO MARTIN</t>
  </si>
  <si>
    <t>28/11/2024</t>
  </si>
  <si>
    <t>29/11/2024</t>
  </si>
  <si>
    <t>EGESAC SOCIEDAD ANONIM</t>
  </si>
  <si>
    <t>CLINICA BASILEA SA</t>
  </si>
  <si>
    <t>PIAGGIO PAULA ANDREA</t>
  </si>
  <si>
    <t>SC PILAR S.A.</t>
  </si>
  <si>
    <t>GALLO GABRIELA VANINA</t>
  </si>
  <si>
    <t>MATSUO MARGARITA NOEMI</t>
  </si>
  <si>
    <t>PEDROZO PAULA GABRIELA</t>
  </si>
  <si>
    <t>SALLES ANA MARIA</t>
  </si>
  <si>
    <t>FERRAZIN CAROLINA ELEONORA INES</t>
  </si>
  <si>
    <t>GIGAGLIA MARIA LUCILA</t>
  </si>
  <si>
    <t>IZZO ADRIANA</t>
  </si>
  <si>
    <t>MONTI MARIA PAULA</t>
  </si>
  <si>
    <t>PINO ANA PAULA</t>
  </si>
  <si>
    <t>CORTE SUPREMA DE JUSTICIA OBRA SOCIAL DEL PODER JUDICIAL</t>
  </si>
  <si>
    <t>FIDALGO ROBERTO</t>
  </si>
  <si>
    <t>LOPEZ GLADYS AZUCENA</t>
  </si>
  <si>
    <t>SALVATIERRA LUCIANA</t>
  </si>
  <si>
    <t>AGOSTINO MIRIAM GLADYS</t>
  </si>
  <si>
    <t>OLAVARRIA HERMINIA</t>
  </si>
  <si>
    <t>ARANA MARCELA OFELIA</t>
  </si>
  <si>
    <t>RICARDO BRAMBILLA VALENTINO BENJAMIN</t>
  </si>
  <si>
    <t>24/11/2024</t>
  </si>
  <si>
    <t>CASTIGLIA SEBASTIAN NICOLAS</t>
  </si>
  <si>
    <t>SUCESION DE MARINI EDUARDO ROSA</t>
  </si>
  <si>
    <t>CORIGLIANO LORENA ELISA</t>
  </si>
  <si>
    <t>MARINELLI NELLY ESTHER</t>
  </si>
  <si>
    <t>DESALVO MIGUEL ANGEL</t>
  </si>
  <si>
    <t>SANCHEZ ANGEL FEDERICO</t>
  </si>
  <si>
    <t>LIM YONG KYU</t>
  </si>
  <si>
    <t>Ventas Libro de IVA 01/11/2024 - 30/11/2024</t>
  </si>
  <si>
    <t xml:space="preserve">VENTAS B </t>
  </si>
  <si>
    <t>VENTAS 7</t>
  </si>
  <si>
    <t>Razon Social</t>
  </si>
  <si>
    <t>Cuit</t>
  </si>
  <si>
    <t>Tipo de Comprobante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</si>
  <si>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</si>
  <si>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</si>
  <si>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</si>
  <si>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</si>
  <si>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</si>
  <si>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</si>
  <si>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</si>
  <si>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</si>
  <si>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</si>
  <si>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Total IVA</t>
  </si>
  <si>
    <t>Total Facturado</t>
  </si>
  <si>
    <t>02/12/2024</t>
  </si>
  <si>
    <t xml:space="preserve">. CONSUMIDOR FINAL ANÓNIMO </t>
  </si>
  <si>
    <t>111</t>
  </si>
  <si>
    <t>FCB</t>
  </si>
  <si>
    <t>SIN IDENTIFICAR</t>
  </si>
  <si>
    <t>CF</t>
  </si>
  <si>
    <t>FCB 0005-00011923</t>
  </si>
  <si>
    <t>FCB 0005-00011924</t>
  </si>
  <si>
    <t>FCB 0005-00011925</t>
  </si>
  <si>
    <t>FCB 0005-00011926</t>
  </si>
  <si>
    <t>NDB</t>
  </si>
  <si>
    <t>NDB 0005-00000001</t>
  </si>
  <si>
    <t>SERRANO CARLOS ARMANDO</t>
  </si>
  <si>
    <t>17399042</t>
  </si>
  <si>
    <t>FCB 0007-00005544</t>
  </si>
  <si>
    <t>FCB 0005-00011927</t>
  </si>
  <si>
    <t>FCB 0005-00011928</t>
  </si>
  <si>
    <t>FCB 0005-00011929</t>
  </si>
  <si>
    <t>30683032227</t>
  </si>
  <si>
    <t>FCE- A</t>
  </si>
  <si>
    <t>RI</t>
  </si>
  <si>
    <t>FCA 0006-00000552</t>
  </si>
  <si>
    <t>FCA 0006-00000553</t>
  </si>
  <si>
    <t>FCB 0005-00011930</t>
  </si>
  <si>
    <t>FCB 0005-00011931</t>
  </si>
  <si>
    <t>ANTONELLA BONANNO ACOSTA</t>
  </si>
  <si>
    <t>27403676115</t>
  </si>
  <si>
    <t>SAN JUAN</t>
  </si>
  <si>
    <t>MO</t>
  </si>
  <si>
    <t>FCB 0005-00011932</t>
  </si>
  <si>
    <t>FCB 0005-00011933</t>
  </si>
  <si>
    <t>FCB 0005-00011934</t>
  </si>
  <si>
    <t>03/12/2024</t>
  </si>
  <si>
    <t>FCB 0005-00011935</t>
  </si>
  <si>
    <t>FCB 0005-00011936</t>
  </si>
  <si>
    <t>FCB 0005-00011937</t>
  </si>
  <si>
    <t>FCB 0005-00011938</t>
  </si>
  <si>
    <t>FCB 0005-00011939</t>
  </si>
  <si>
    <t>FCA</t>
  </si>
  <si>
    <t>FCA 0007-00002282</t>
  </si>
  <si>
    <t>FCB 0005-00011940</t>
  </si>
  <si>
    <t>FCB 0005-00011941</t>
  </si>
  <si>
    <t>FCB 0005-00011942</t>
  </si>
  <si>
    <t>04/12/2024</t>
  </si>
  <si>
    <t>FCB 0007-00005545</t>
  </si>
  <si>
    <t>30546771314</t>
  </si>
  <si>
    <t>FCA 0006-00000554</t>
  </si>
  <si>
    <t>GIMENEZ VICTOR FRANCISCO</t>
  </si>
  <si>
    <t>4287484</t>
  </si>
  <si>
    <t>FCB 0007-00005546</t>
  </si>
  <si>
    <t>GALENO ARGENTINA SA</t>
  </si>
  <si>
    <t>30522428163</t>
  </si>
  <si>
    <t>FCA 0007-00002283</t>
  </si>
  <si>
    <t>JUAN MANUEL ROMERO</t>
  </si>
  <si>
    <t>20392079875</t>
  </si>
  <si>
    <t>FCB 0007-00005547</t>
  </si>
  <si>
    <t>FCA 0006-00000555</t>
  </si>
  <si>
    <t>FCA 0006-00000556</t>
  </si>
  <si>
    <t>FCA 0006-00000557</t>
  </si>
  <si>
    <t>FCA 0007-00000004</t>
  </si>
  <si>
    <t>FCA 0007-00002284</t>
  </si>
  <si>
    <t>FCA 0006-00000558</t>
  </si>
  <si>
    <t>MARIA INES PEREZ CALVO</t>
  </si>
  <si>
    <t>27177656505</t>
  </si>
  <si>
    <t>FCB 0007-00005548</t>
  </si>
  <si>
    <t>30709016012</t>
  </si>
  <si>
    <t>FCA 0007-00002285</t>
  </si>
  <si>
    <t>ADELA LILIANA QUINTEROS</t>
  </si>
  <si>
    <t>23202891314</t>
  </si>
  <si>
    <t>FCB 0007-00005549</t>
  </si>
  <si>
    <t>FCA 0007-00002286</t>
  </si>
  <si>
    <t>05/12/2024</t>
  </si>
  <si>
    <t>30590354798</t>
  </si>
  <si>
    <t>SUNCHALES</t>
  </si>
  <si>
    <t>EX</t>
  </si>
  <si>
    <t>FCB 0007-00005550</t>
  </si>
  <si>
    <t>SILVIA MONICA ROJAS</t>
  </si>
  <si>
    <t>27141958807</t>
  </si>
  <si>
    <t>Balvanera</t>
  </si>
  <si>
    <t>FCB 0007-00005551</t>
  </si>
  <si>
    <t>CLAUDIA MARINA ROLDAN</t>
  </si>
  <si>
    <t>23220243664</t>
  </si>
  <si>
    <t>FCB 0005-00011943</t>
  </si>
  <si>
    <t>25315045</t>
  </si>
  <si>
    <t>BECCAR</t>
  </si>
  <si>
    <t>FCB 0007-00005552</t>
  </si>
  <si>
    <t>ITALO SERGIO GONZALEZ</t>
  </si>
  <si>
    <t>20124959994</t>
  </si>
  <si>
    <t>FCB 0007-00005553</t>
  </si>
  <si>
    <t>30608716390</t>
  </si>
  <si>
    <t>FCA 0007-00002287</t>
  </si>
  <si>
    <t>FCA 0007-00002288</t>
  </si>
  <si>
    <t>NCA</t>
  </si>
  <si>
    <t>NCA 0007-00000172</t>
  </si>
  <si>
    <t>30710538014</t>
  </si>
  <si>
    <t>VILLA MARTELLI</t>
  </si>
  <si>
    <t>FCA 0007-00002289</t>
  </si>
  <si>
    <t xml:space="preserve"> GARCIA THIAGO LIGHUEL</t>
  </si>
  <si>
    <t>20461174265</t>
  </si>
  <si>
    <t>FCB 0007-00005554</t>
  </si>
  <si>
    <t>06/12/2024</t>
  </si>
  <si>
    <t xml:space="preserve"> MOLLICA ROCIO MICAELA</t>
  </si>
  <si>
    <t>27468745165</t>
  </si>
  <si>
    <t>FCB 0005-00011944</t>
  </si>
  <si>
    <t>FCB 0005-00011945</t>
  </si>
  <si>
    <t>BRYANNA LORENA ALDANA MARQUEZ</t>
  </si>
  <si>
    <t>27959686942</t>
  </si>
  <si>
    <t>FCB 0007-00005555</t>
  </si>
  <si>
    <t>FCA 0007-00002290</t>
  </si>
  <si>
    <t xml:space="preserve"> PRADA VELAZCO ALIX CRISTHALL</t>
  </si>
  <si>
    <t>27961673505</t>
  </si>
  <si>
    <t>FCB 0007-00005556</t>
  </si>
  <si>
    <t>FCB 0005-00011946</t>
  </si>
  <si>
    <t>FCB 0005-00011947</t>
  </si>
  <si>
    <t>FCB 0005-00011948</t>
  </si>
  <si>
    <t>FCB 0005-00011949</t>
  </si>
  <si>
    <t>FCB 0005-00011950</t>
  </si>
  <si>
    <t>FCB 0005-00011951</t>
  </si>
  <si>
    <t>FCB 0005-00011952</t>
  </si>
  <si>
    <t>FCB 0005-00011953</t>
  </si>
  <si>
    <t>FCB 0005-00011954</t>
  </si>
  <si>
    <t>FCB 0005-00011955</t>
  </si>
  <si>
    <t>FCB 0005-00011956</t>
  </si>
  <si>
    <t>FCB 0005-00011957</t>
  </si>
  <si>
    <t>FCB 0005-00011958</t>
  </si>
  <si>
    <t>FCB 0005-00011959</t>
  </si>
  <si>
    <t>FCB 0005-00011960</t>
  </si>
  <si>
    <t>FCB 0005-00011961</t>
  </si>
  <si>
    <t>FCB 0005-00011962</t>
  </si>
  <si>
    <t>FCB 0005-00011963</t>
  </si>
  <si>
    <t>FCB 0005-00011964</t>
  </si>
  <si>
    <t>FCB 0005-00011965</t>
  </si>
  <si>
    <t>FCB 0005-00011966</t>
  </si>
  <si>
    <t>FCB 0005-00011967</t>
  </si>
  <si>
    <t>FCB 0005-00011968</t>
  </si>
  <si>
    <t>FCB 0005-00011969</t>
  </si>
  <si>
    <t>FCB 0005-00011970</t>
  </si>
  <si>
    <t>FCB 0005-00011971</t>
  </si>
  <si>
    <t>FCB 0005-00011972</t>
  </si>
  <si>
    <t>FCB 0005-00011973</t>
  </si>
  <si>
    <t>SOL ISABEL FERNANDEZ QUIROGA</t>
  </si>
  <si>
    <t>23415863314</t>
  </si>
  <si>
    <t>FCB 0005-00011974</t>
  </si>
  <si>
    <t>FCB 0005-00011975</t>
  </si>
  <si>
    <t>FCB 0007-00005557</t>
  </si>
  <si>
    <t>FCB 0005-00011976</t>
  </si>
  <si>
    <t>09/12/2024</t>
  </si>
  <si>
    <t>FCB 0005-00011977</t>
  </si>
  <si>
    <t>FCB 0005-00011978</t>
  </si>
  <si>
    <t>FCB 0005-00011979</t>
  </si>
  <si>
    <t>FCB 0005-00011980</t>
  </si>
  <si>
    <t>FCB 0005-00011981</t>
  </si>
  <si>
    <t>FCB 0005-00011982</t>
  </si>
  <si>
    <t>FCB 0005-00011983</t>
  </si>
  <si>
    <t>FCA 0007-00002291</t>
  </si>
  <si>
    <t>FCB 0005-00011984</t>
  </si>
  <si>
    <t>RAUL ALBERTO RATTI</t>
  </si>
  <si>
    <t>20117998534</t>
  </si>
  <si>
    <t>FCB 0005-00011985</t>
  </si>
  <si>
    <t>FCB 0005-00011986</t>
  </si>
  <si>
    <t>FCA 0007-00002292</t>
  </si>
  <si>
    <t>NCA 0007-00000173</t>
  </si>
  <si>
    <t>FCA 0007-00002293</t>
  </si>
  <si>
    <t>FCA 0007-00002294</t>
  </si>
  <si>
    <t>FCA 0007-00002295</t>
  </si>
  <si>
    <t>10/12/2024</t>
  </si>
  <si>
    <t>FCA 0007-00002296</t>
  </si>
  <si>
    <t>FCA 0007-00002297</t>
  </si>
  <si>
    <t>FCA 0007-00002298</t>
  </si>
  <si>
    <t>FCA 0007-00002299</t>
  </si>
  <si>
    <t>FCA 0007-00002300</t>
  </si>
  <si>
    <t>FCA 0007-00002301</t>
  </si>
  <si>
    <t>FCA 0007-00002302</t>
  </si>
  <si>
    <t>FCA 0007-00002303</t>
  </si>
  <si>
    <t>SEBASTIAN LEONARDO POSE</t>
  </si>
  <si>
    <t>20298916429</t>
  </si>
  <si>
    <t>FCB 0005-00011987</t>
  </si>
  <si>
    <t>FCA 0007-00002304</t>
  </si>
  <si>
    <t>FCB 0005-00011988</t>
  </si>
  <si>
    <t>FCA 0007-00002305</t>
  </si>
  <si>
    <t>FCA 0007-00002306</t>
  </si>
  <si>
    <t>FCA 0007-00002307</t>
  </si>
  <si>
    <t>FCA 0007-00002308</t>
  </si>
  <si>
    <t>FCB 0005-00011989</t>
  </si>
  <si>
    <t>FCA 0007-00002309</t>
  </si>
  <si>
    <t>FCA 0007-00002310</t>
  </si>
  <si>
    <t>FCA 0007-00002311</t>
  </si>
  <si>
    <t>FCB 0005-00011990</t>
  </si>
  <si>
    <t>FCA 0007-00002312</t>
  </si>
  <si>
    <t>30712136754</t>
  </si>
  <si>
    <t>FCA 0007-00002313</t>
  </si>
  <si>
    <t>FCB 0005-00011991</t>
  </si>
  <si>
    <t>FCB 0005-00011992</t>
  </si>
  <si>
    <t>30712529721</t>
  </si>
  <si>
    <t>PILAR</t>
  </si>
  <si>
    <t>FCA 0007-00002314</t>
  </si>
  <si>
    <t>FCB 0005-00011993</t>
  </si>
  <si>
    <t>FCB 0005-00011994</t>
  </si>
  <si>
    <t>FCB 0005-00011995</t>
  </si>
  <si>
    <t>FCB 0005-00011996</t>
  </si>
  <si>
    <t>FCB 0005-00011997</t>
  </si>
  <si>
    <t>30711244383</t>
  </si>
  <si>
    <t>FCA 0007-00002315</t>
  </si>
  <si>
    <t xml:space="preserve"> PONCE GONZALO MARTIN</t>
  </si>
  <si>
    <t>20460260397</t>
  </si>
  <si>
    <t>FCB 0005-00011998</t>
  </si>
  <si>
    <t>OBRA SOCIAL DE LA ACTIVIDAD DE SEGUROS, REASEGUROS, CAPITALIZACION Y AHORRO Y PRESTAMO  PARA LA VIVIENDA</t>
  </si>
  <si>
    <t>30500053522</t>
  </si>
  <si>
    <t>FCA 0007-00002316</t>
  </si>
  <si>
    <t>FCB 0005-00011999</t>
  </si>
  <si>
    <t>FCA 0007-00002317</t>
  </si>
  <si>
    <t>FCA 0007-00002318</t>
  </si>
  <si>
    <t>FCB 0005-00012000</t>
  </si>
  <si>
    <t>FCB 0005-00012001</t>
  </si>
  <si>
    <t>30658137642</t>
  </si>
  <si>
    <t>FCB 0007-00005558</t>
  </si>
  <si>
    <t>30571766287</t>
  </si>
  <si>
    <t>FCB 0007-00005559</t>
  </si>
  <si>
    <t>FCB 0005-00012002</t>
  </si>
  <si>
    <t>30715186655</t>
  </si>
  <si>
    <t>FCA 0007-00002319</t>
  </si>
  <si>
    <t>FCB 0005-00012003</t>
  </si>
  <si>
    <t>FCA 0007-00002320</t>
  </si>
  <si>
    <t>11/12/2024</t>
  </si>
  <si>
    <t>FCB 0005-00012004</t>
  </si>
  <si>
    <t>FCB 0005-00012005</t>
  </si>
  <si>
    <t>FCB 0005-00012006</t>
  </si>
  <si>
    <t>FCB 0005-00012007</t>
  </si>
  <si>
    <t>FCB 0005-00012008</t>
  </si>
  <si>
    <t>FCB 0005-00012009</t>
  </si>
  <si>
    <t>FCB 0005-00012010</t>
  </si>
  <si>
    <t>FCB 0005-00012011</t>
  </si>
  <si>
    <t>FCB 0005-00012012</t>
  </si>
  <si>
    <t>FCB 0005-00012013</t>
  </si>
  <si>
    <t>FCB 0005-00012014</t>
  </si>
  <si>
    <t>FCB 0005-00012015</t>
  </si>
  <si>
    <t>FCB 0005-00012016</t>
  </si>
  <si>
    <t>FCB 0005-00012017</t>
  </si>
  <si>
    <t>30636196858</t>
  </si>
  <si>
    <t>FCB 0007-00005560</t>
  </si>
  <si>
    <t>MATHEO IGNACIO BRITOS</t>
  </si>
  <si>
    <t>20546296939</t>
  </si>
  <si>
    <t>FCB 0005-00012018</t>
  </si>
  <si>
    <t>BLANCA TERESA INSFRAN</t>
  </si>
  <si>
    <t>27310295251</t>
  </si>
  <si>
    <t>FCB 0005-00012019</t>
  </si>
  <si>
    <t>FCB 0005-00012020</t>
  </si>
  <si>
    <t>OBRA SOCIAL DEL PERSONAL DEL ORGANISMO DE CONTROL EXTERNO</t>
  </si>
  <si>
    <t>30657314974</t>
  </si>
  <si>
    <t>FCB 0007-00005561</t>
  </si>
  <si>
    <t>FCB 0007-00005562</t>
  </si>
  <si>
    <t>FCA 0006-00000559</t>
  </si>
  <si>
    <t>FCA 0006-00000560</t>
  </si>
  <si>
    <t>FCA 0007-00002321</t>
  </si>
  <si>
    <t>FCA 0007-00002322</t>
  </si>
  <si>
    <t>12/12/2024</t>
  </si>
  <si>
    <t>FCB 0005-00012021</t>
  </si>
  <si>
    <t>ROI S A</t>
  </si>
  <si>
    <t>30661931066</t>
  </si>
  <si>
    <t>FCB 0007-00005563</t>
  </si>
  <si>
    <t>FCA 0006-00000561</t>
  </si>
  <si>
    <t>ROXANA CECILIA SERICCHIO</t>
  </si>
  <si>
    <t>27135663277</t>
  </si>
  <si>
    <t>FCB 0005-00012022</t>
  </si>
  <si>
    <t>FCB 0005-00012023</t>
  </si>
  <si>
    <t>FCB 0005-00012024</t>
  </si>
  <si>
    <t>RAFAEL ORLANDO PAZ</t>
  </si>
  <si>
    <t>20123442084</t>
  </si>
  <si>
    <t>MERLO</t>
  </si>
  <si>
    <t>FCB 0005-00012025</t>
  </si>
  <si>
    <t>FCB 0005-00012026</t>
  </si>
  <si>
    <t>VICTORIA LATTARO</t>
  </si>
  <si>
    <t>27283825790</t>
  </si>
  <si>
    <t>FCB 0005-00012027</t>
  </si>
  <si>
    <t>FCB 0005-00012028</t>
  </si>
  <si>
    <t>FCB 0007-00005564</t>
  </si>
  <si>
    <t>FCB 0005-00012029</t>
  </si>
  <si>
    <t>FCB 0005-00012030</t>
  </si>
  <si>
    <t>FCB 0005-00012031</t>
  </si>
  <si>
    <t>FCB 0005-00012032</t>
  </si>
  <si>
    <t>VILLANO, PEDRO AMERICO</t>
  </si>
  <si>
    <t>FCB 0007-00005565</t>
  </si>
  <si>
    <t>FCB 0007-00005566</t>
  </si>
  <si>
    <t>FCB 0007-00005567</t>
  </si>
  <si>
    <t>17275405</t>
  </si>
  <si>
    <t>FCB 0007-00005568</t>
  </si>
  <si>
    <t>13/12/2024</t>
  </si>
  <si>
    <t>26542077</t>
  </si>
  <si>
    <t>FCB 0007-00005569</t>
  </si>
  <si>
    <t>ESPAÑA GONZALO JAVIER</t>
  </si>
  <si>
    <t>31896011</t>
  </si>
  <si>
    <t>FCB 0007-00005570</t>
  </si>
  <si>
    <t>24448662</t>
  </si>
  <si>
    <t>RAMOS MEJIA</t>
  </si>
  <si>
    <t>FCB 0007-00005571</t>
  </si>
  <si>
    <t>24699538</t>
  </si>
  <si>
    <t>MAR DEL PLATA</t>
  </si>
  <si>
    <t>FCB 0007-00005572</t>
  </si>
  <si>
    <t>ESPINOSA NORA OFELIA</t>
  </si>
  <si>
    <t>FCB 0007-00005573</t>
  </si>
  <si>
    <t>NCB</t>
  </si>
  <si>
    <t>NCB 0007-00000175</t>
  </si>
  <si>
    <t>FCA 0007-00002323</t>
  </si>
  <si>
    <t>FCB 0005-00012033</t>
  </si>
  <si>
    <t>FCB 0005-00012034</t>
  </si>
  <si>
    <t>FCB 0005-00012035</t>
  </si>
  <si>
    <t>FCB 0005-00012036</t>
  </si>
  <si>
    <t>FCB 0005-00012037</t>
  </si>
  <si>
    <t>FCB 0005-00012038</t>
  </si>
  <si>
    <t>ARANA, MARCELLA OFELIA</t>
  </si>
  <si>
    <t>10138957</t>
  </si>
  <si>
    <t>FCB 0007-00005574</t>
  </si>
  <si>
    <t>FCB 0005-00012039</t>
  </si>
  <si>
    <t>FCB 0005-00012040</t>
  </si>
  <si>
    <t>FCB 0005-00012041</t>
  </si>
  <si>
    <t>FCB 0005-00012042</t>
  </si>
  <si>
    <t>FCB 0005-00012043</t>
  </si>
  <si>
    <t>30604958640</t>
  </si>
  <si>
    <t>FCA 0007-00002324</t>
  </si>
  <si>
    <t>16/12/2024</t>
  </si>
  <si>
    <t>FCB 0005-00012044</t>
  </si>
  <si>
    <t>4648296</t>
  </si>
  <si>
    <t>FCB 0007-00005575</t>
  </si>
  <si>
    <t>FCB 0005-00012045</t>
  </si>
  <si>
    <t>29654556</t>
  </si>
  <si>
    <t>FCB 0007-00005576</t>
  </si>
  <si>
    <t>IZZO, ADRIANA</t>
  </si>
  <si>
    <t>14547747</t>
  </si>
  <si>
    <t>FCB 0007-00005577</t>
  </si>
  <si>
    <t>FCB 0005-00012046</t>
  </si>
  <si>
    <t>FCB 0005-00012047</t>
  </si>
  <si>
    <t>FABIANA PAOLA GERLING</t>
  </si>
  <si>
    <t>27240542221</t>
  </si>
  <si>
    <t>CONCORDIA</t>
  </si>
  <si>
    <t>FCB 0005-00012048</t>
  </si>
  <si>
    <t>FCB 0005-00012049</t>
  </si>
  <si>
    <t>5804480</t>
  </si>
  <si>
    <t>FCB 0007-00005578</t>
  </si>
  <si>
    <t>FCB 0005-00012050</t>
  </si>
  <si>
    <t>FCB 0005-00012051</t>
  </si>
  <si>
    <t>FCB 0005-00012052</t>
  </si>
  <si>
    <t>BAUAB, CAROLINA</t>
  </si>
  <si>
    <t>FCB 0007-00005579</t>
  </si>
  <si>
    <t>MARIA LAURA ZUMBO</t>
  </si>
  <si>
    <t>23177950424</t>
  </si>
  <si>
    <t>FCB 0005-00012053</t>
  </si>
  <si>
    <t>FCB 0007-00005580</t>
  </si>
  <si>
    <t>MARCELLI DE SACRISTAN ELBA JOSEFINA</t>
  </si>
  <si>
    <t>0533257</t>
  </si>
  <si>
    <t>Floresta</t>
  </si>
  <si>
    <t>FCB 0007-00005581</t>
  </si>
  <si>
    <t>FCB 0007-00005582</t>
  </si>
  <si>
    <t>FCB 0005-00012054</t>
  </si>
  <si>
    <t>MAIZTEGUI ANDRÉS</t>
  </si>
  <si>
    <t>20002428</t>
  </si>
  <si>
    <t>Recoleta</t>
  </si>
  <si>
    <t>FCB 0007-00005583</t>
  </si>
  <si>
    <t>MARIA DEL PILAR CASTILLO</t>
  </si>
  <si>
    <t>27925612648</t>
  </si>
  <si>
    <t>FCB 0005-00012055</t>
  </si>
  <si>
    <t xml:space="preserve"> MEDINA MAIA</t>
  </si>
  <si>
    <t>18837521</t>
  </si>
  <si>
    <t>FCB 0007-00005584</t>
  </si>
  <si>
    <t>FCB 0005-00012056</t>
  </si>
  <si>
    <t>MAIDA SILVINA</t>
  </si>
  <si>
    <t>FCB 0007-00005585</t>
  </si>
  <si>
    <t>FCB 0005-00012057</t>
  </si>
  <si>
    <t>FCB 0007-00005586</t>
  </si>
  <si>
    <t>FCB 0005-00012058</t>
  </si>
  <si>
    <t>FCB 0005-00012059</t>
  </si>
  <si>
    <t>FCB 0005-00012060</t>
  </si>
  <si>
    <t>NCB 0007-00000176</t>
  </si>
  <si>
    <t>FCB 0007-00005587</t>
  </si>
  <si>
    <t>FCB 0005-00012061</t>
  </si>
  <si>
    <t>FCB 0005-00012062</t>
  </si>
  <si>
    <t>FCB 0007-00005588</t>
  </si>
  <si>
    <t>30685228501</t>
  </si>
  <si>
    <t>FCB 0007-00005589</t>
  </si>
  <si>
    <t>FCB 0005-00012063</t>
  </si>
  <si>
    <t>21645724</t>
  </si>
  <si>
    <t>FCB 0007-00005590</t>
  </si>
  <si>
    <t>CUNO BLANCA AURORA</t>
  </si>
  <si>
    <t>24348902</t>
  </si>
  <si>
    <t>FCB 0007-00005591</t>
  </si>
  <si>
    <t>17/12/2024</t>
  </si>
  <si>
    <t>FCB 0005-00012064</t>
  </si>
  <si>
    <t>705467</t>
  </si>
  <si>
    <t>FCB 0007-00005592</t>
  </si>
  <si>
    <t>17814995</t>
  </si>
  <si>
    <t>NCB 0007-00000177</t>
  </si>
  <si>
    <t>FCB 0007-00005593</t>
  </si>
  <si>
    <t>FCB 0005-00012079</t>
  </si>
  <si>
    <t>FCB 0005-00012065</t>
  </si>
  <si>
    <t>FCB 0005-00012066</t>
  </si>
  <si>
    <t>FCB 0005-00012067</t>
  </si>
  <si>
    <t>FCB 0005-00012068</t>
  </si>
  <si>
    <t>FCB 0005-00012069</t>
  </si>
  <si>
    <t>FCB 0005-00012070</t>
  </si>
  <si>
    <t>NORMA ALEJANDRA RODRIGUEZ</t>
  </si>
  <si>
    <t>23170100034</t>
  </si>
  <si>
    <t>FCB 0005-00012071</t>
  </si>
  <si>
    <t>FCA 0007-00002325</t>
  </si>
  <si>
    <t>NCA 0007-00000174</t>
  </si>
  <si>
    <t>FCA 0007-00002326</t>
  </si>
  <si>
    <t xml:space="preserve"> SAN PEDRO ADRIANA BEATRIZ</t>
  </si>
  <si>
    <t>27220011009</t>
  </si>
  <si>
    <t>FCB 0005-00012072</t>
  </si>
  <si>
    <t>(FNF) PROCKER Marta</t>
  </si>
  <si>
    <t>FCB 0005-00012073</t>
  </si>
  <si>
    <t>FCA 0007-00002327</t>
  </si>
  <si>
    <t>FCB 0005-00012074</t>
  </si>
  <si>
    <t>FCB 0005-00012075</t>
  </si>
  <si>
    <t>FCB 0005-00012076</t>
  </si>
  <si>
    <t>FCA 0006-00000562</t>
  </si>
  <si>
    <t>HECTOR DARIO GONZALEZ</t>
  </si>
  <si>
    <t>20206027275</t>
  </si>
  <si>
    <t>FCB 0005-00012077</t>
  </si>
  <si>
    <t>FCB 0005-00012078</t>
  </si>
  <si>
    <t>FCA 0007-00002328</t>
  </si>
  <si>
    <t>18/12/2024</t>
  </si>
  <si>
    <t>FCB 0005-00012080</t>
  </si>
  <si>
    <t>FCB 0005-00012081</t>
  </si>
  <si>
    <t>FCB 0005-00012082</t>
  </si>
  <si>
    <t>FCB 0005-00012083</t>
  </si>
  <si>
    <t>FCB 0005-00012084</t>
  </si>
  <si>
    <t>FCB 0005-00012085</t>
  </si>
  <si>
    <t>FCA 0007-00002329</t>
  </si>
  <si>
    <t>FCB 0005-00012086</t>
  </si>
  <si>
    <t>FCB 0005-00012087</t>
  </si>
  <si>
    <t>FCA 0007-00002330</t>
  </si>
  <si>
    <t>FCB 0005-00012088</t>
  </si>
  <si>
    <t>30590412631</t>
  </si>
  <si>
    <t>FCA 0007-00002331</t>
  </si>
  <si>
    <t>NCA 0007-00000175</t>
  </si>
  <si>
    <t>FCA 0007-00002332</t>
  </si>
  <si>
    <t>FCA 0007-00002333</t>
  </si>
  <si>
    <t>19/12/2024</t>
  </si>
  <si>
    <t>FCB 0005-00012089</t>
  </si>
  <si>
    <t>FCB 0005-00012090</t>
  </si>
  <si>
    <t>SILVIA CRISTINA DIAZ</t>
  </si>
  <si>
    <t>27276988315</t>
  </si>
  <si>
    <t>SIERRA GRANDE</t>
  </si>
  <si>
    <t>FCB 0005-00012091</t>
  </si>
  <si>
    <t>FCB 0005-00012092</t>
  </si>
  <si>
    <t>FCB 0005-00012093</t>
  </si>
  <si>
    <t>FCB 0005-00012094</t>
  </si>
  <si>
    <t>FCB 0005-00012095</t>
  </si>
  <si>
    <t>FCB 0005-00012096</t>
  </si>
  <si>
    <t>FCB 0005-00012097</t>
  </si>
  <si>
    <t>FCB 0005-00012098</t>
  </si>
  <si>
    <t>FCB 0007-00005594</t>
  </si>
  <si>
    <t>FCB 0007-00005595</t>
  </si>
  <si>
    <t>FCB 0005-00012099</t>
  </si>
  <si>
    <t>20/12/2024</t>
  </si>
  <si>
    <t>FCB 0005-00012100</t>
  </si>
  <si>
    <t>FCB 0005-00012101</t>
  </si>
  <si>
    <t>FCB 0005-00012102</t>
  </si>
  <si>
    <t>FCB 0005-00012103</t>
  </si>
  <si>
    <t>FCB 0005-00012104</t>
  </si>
  <si>
    <t>FCA 0007-00002334</t>
  </si>
  <si>
    <t>30707612971</t>
  </si>
  <si>
    <t>FCA 0007-00002335</t>
  </si>
  <si>
    <t>FCB 0005-00012105</t>
  </si>
  <si>
    <t>FCB 0005-00012106</t>
  </si>
  <si>
    <t>NCA 0007-00000176</t>
  </si>
  <si>
    <t>FCA 0007-00002336</t>
  </si>
  <si>
    <t>30587842358</t>
  </si>
  <si>
    <t>FCA 0007-00002337</t>
  </si>
  <si>
    <t>FCA 0007-00002338</t>
  </si>
  <si>
    <t>FCA 0007-00002339</t>
  </si>
  <si>
    <t>FCA 0007-00002340</t>
  </si>
  <si>
    <t>FCB 0005-00012107</t>
  </si>
  <si>
    <t>FCB 0005-00012108</t>
  </si>
  <si>
    <t>FCA 0006-00000563</t>
  </si>
  <si>
    <t>FCA 0006-00000564</t>
  </si>
  <si>
    <t>ISABEL ESTRUCH</t>
  </si>
  <si>
    <t>23260104284</t>
  </si>
  <si>
    <t>FCB 0005-00012109</t>
  </si>
  <si>
    <t>30606274161</t>
  </si>
  <si>
    <t>FCA 0007-00002341</t>
  </si>
  <si>
    <t>FCB 0005-00012110</t>
  </si>
  <si>
    <t>17855620</t>
  </si>
  <si>
    <t>FCB 0007-00005596</t>
  </si>
  <si>
    <t>FCB 0005-00012111</t>
  </si>
  <si>
    <t>FCB 0005-00012112</t>
  </si>
  <si>
    <t>FCB 0007-00005597</t>
  </si>
  <si>
    <t>FCB 0005-00012113</t>
  </si>
  <si>
    <t>FCB 0005-00012114</t>
  </si>
  <si>
    <t>23/12/2024</t>
  </si>
  <si>
    <t>FCB 0005-00012115</t>
  </si>
  <si>
    <t>BESEDNJAK MARIA MERCEDES</t>
  </si>
  <si>
    <t>20996086</t>
  </si>
  <si>
    <t>FCB 0007-00005598</t>
  </si>
  <si>
    <t>HERRERA MARIELA</t>
  </si>
  <si>
    <t>FCB 0007-00005599</t>
  </si>
  <si>
    <t>MILLAN LUCAS</t>
  </si>
  <si>
    <t>FCB 0007-00005600</t>
  </si>
  <si>
    <t>VEGA JULIçN TAIEL</t>
  </si>
  <si>
    <t>FCB 0007-00005601</t>
  </si>
  <si>
    <t>CRISTIAN ARIEL MODOLO</t>
  </si>
  <si>
    <t>20220406653</t>
  </si>
  <si>
    <t>FCB 0005-00012116</t>
  </si>
  <si>
    <t>FCB 0007-00005602</t>
  </si>
  <si>
    <t>VAJDA RAQUEL</t>
  </si>
  <si>
    <t>FCB 0007-00005603</t>
  </si>
  <si>
    <t>JORVATT SOFêA</t>
  </si>
  <si>
    <t>CASTELAR</t>
  </si>
  <si>
    <t>FCB 0007-00005604</t>
  </si>
  <si>
    <t>FCB 0007-00005605</t>
  </si>
  <si>
    <t>FCB 0007-00005606</t>
  </si>
  <si>
    <t>SANTOS RODRIGUES LEONARDO</t>
  </si>
  <si>
    <t>FCB 0007-00005607</t>
  </si>
  <si>
    <t>NCB 0007-00000178</t>
  </si>
  <si>
    <t>NCB 0007-00000179</t>
  </si>
  <si>
    <t>NCB 0007-00000180</t>
  </si>
  <si>
    <t>NCB 0007-00000181</t>
  </si>
  <si>
    <t>NCB 0007-00000182</t>
  </si>
  <si>
    <t>THOMAS RICARDO</t>
  </si>
  <si>
    <t>FCB 0007-00005608</t>
  </si>
  <si>
    <t>OCHOA HECTOR RICARDO</t>
  </si>
  <si>
    <t>FCB 0007-00005609</t>
  </si>
  <si>
    <t>FCB 0005-00012117</t>
  </si>
  <si>
    <t>FCB 0005-00012118</t>
  </si>
  <si>
    <t>WANG, ANA SOFIA</t>
  </si>
  <si>
    <t>FCB 0007-00005610</t>
  </si>
  <si>
    <t>PEREIRA LAURA ROXANA</t>
  </si>
  <si>
    <t>FCB 0007-00005611</t>
  </si>
  <si>
    <t>TORANZO ADRIANA</t>
  </si>
  <si>
    <t>18411455</t>
  </si>
  <si>
    <t>FCB 0007-00005612</t>
  </si>
  <si>
    <t>FCB 0005-00012119</t>
  </si>
  <si>
    <t>KURTZ, ANA MARIA</t>
  </si>
  <si>
    <t>FCB 0007-00005613</t>
  </si>
  <si>
    <t>FCB 0005-00012120</t>
  </si>
  <si>
    <t>MORENO ELVA</t>
  </si>
  <si>
    <t>4220179</t>
  </si>
  <si>
    <t>FCB 0005-00012121</t>
  </si>
  <si>
    <t>FCB 0005-00012122</t>
  </si>
  <si>
    <t>FCB 0005-00012123</t>
  </si>
  <si>
    <t>FCB 0005-00012124</t>
  </si>
  <si>
    <t>FCB 0005-00012125</t>
  </si>
  <si>
    <t>26/12/2024</t>
  </si>
  <si>
    <t>DAIANA SOLANGE LEGUIZAMON</t>
  </si>
  <si>
    <t>27380718400</t>
  </si>
  <si>
    <t>FCB 0005-00012126</t>
  </si>
  <si>
    <t>FCB 0005-00012127</t>
  </si>
  <si>
    <t>FCB 0005-00012128</t>
  </si>
  <si>
    <t>FCB 0005-00012129</t>
  </si>
  <si>
    <t>FCB 0005-00012130</t>
  </si>
  <si>
    <t>MAURO ANDRES PAREDES</t>
  </si>
  <si>
    <t>20391850659</t>
  </si>
  <si>
    <t>FCB 0005-00012131</t>
  </si>
  <si>
    <t>FCB 0005-00012132</t>
  </si>
  <si>
    <t>FCB 0005-00012133</t>
  </si>
  <si>
    <t>FCB 0005-00012134</t>
  </si>
  <si>
    <t>FCB 0005-00012135</t>
  </si>
  <si>
    <t>FCB 0005-00012136</t>
  </si>
  <si>
    <t>MARTIN RICARDO DI GIORNO</t>
  </si>
  <si>
    <t>20204714402</t>
  </si>
  <si>
    <t>FCB 0005-00012137</t>
  </si>
  <si>
    <t>FCB 0005-00012138</t>
  </si>
  <si>
    <t>FCB 0005-00012139</t>
  </si>
  <si>
    <t>FCB 0007-00005614</t>
  </si>
  <si>
    <t>FCA 0006-00000565</t>
  </si>
  <si>
    <t>27/12/2024</t>
  </si>
  <si>
    <t>FCB 0005-00012140</t>
  </si>
  <si>
    <t>FCB 0005-00012141</t>
  </si>
  <si>
    <t>FCB 0005-00012142</t>
  </si>
  <si>
    <t>FCB 0005-00012143</t>
  </si>
  <si>
    <t>FCB 0005-00012144</t>
  </si>
  <si>
    <t>FCB 0005-00012145</t>
  </si>
  <si>
    <t>BENITEZ NORMA DE JESUS</t>
  </si>
  <si>
    <t>96112634</t>
  </si>
  <si>
    <t>FCB 0005-00012146</t>
  </si>
  <si>
    <t>FCB 0005-00012147</t>
  </si>
  <si>
    <t>FCB 0005-00012148</t>
  </si>
  <si>
    <t>FCB 0005-00012149</t>
  </si>
  <si>
    <t>FCB 0005-00012150</t>
  </si>
  <si>
    <t>MARIA SOL HERRERA CORTESE</t>
  </si>
  <si>
    <t>27512188937</t>
  </si>
  <si>
    <t>FCB 0005-00012151</t>
  </si>
  <si>
    <t>MARIA PAZ HERRERA CORTESE</t>
  </si>
  <si>
    <t>27512188929</t>
  </si>
  <si>
    <t>FCB 0005-00012152</t>
  </si>
  <si>
    <t>FCB 0005-00012153</t>
  </si>
  <si>
    <t>FCB 0005-00012154</t>
  </si>
  <si>
    <t>FCA 0007-00002342</t>
  </si>
  <si>
    <t>FCB 0005-00012155</t>
  </si>
  <si>
    <t>FCA 0007-00002343</t>
  </si>
  <si>
    <t>FCA 0007-00002344</t>
  </si>
  <si>
    <t>FCA 0007-00002345</t>
  </si>
  <si>
    <t>FCB 0005-00012156</t>
  </si>
  <si>
    <t>FCA 0006-00000566</t>
  </si>
  <si>
    <t>FCB 0005-00012157</t>
  </si>
  <si>
    <t>FCB 0005-00012158</t>
  </si>
  <si>
    <t>30/12/2024</t>
  </si>
  <si>
    <t>FCB 0005-00012159</t>
  </si>
  <si>
    <t>FCB 0005-00012160</t>
  </si>
  <si>
    <t>FCB 0005-00012161</t>
  </si>
  <si>
    <t>FCB 0005-00012162</t>
  </si>
  <si>
    <t>FCB 0005-00012163</t>
  </si>
  <si>
    <t>FCB 0005-00012164</t>
  </si>
  <si>
    <t>BENIGNO ROBERTO RUIZ</t>
  </si>
  <si>
    <t>20130021817</t>
  </si>
  <si>
    <t>FCB 0005-00012165</t>
  </si>
  <si>
    <t>FCB 0005-00012166</t>
  </si>
  <si>
    <t>SANCHEZ ALEJANDRA</t>
  </si>
  <si>
    <t>16582171</t>
  </si>
  <si>
    <t>FCB 0007-00005615</t>
  </si>
  <si>
    <t>FCB 0005-00012167</t>
  </si>
  <si>
    <t>FCB 0007-00005616</t>
  </si>
  <si>
    <t>35940091</t>
  </si>
  <si>
    <t>EZEIZA</t>
  </si>
  <si>
    <t>FCB 0007-00005617</t>
  </si>
  <si>
    <t xml:space="preserve"> VINCHI SANTINO DANIEL</t>
  </si>
  <si>
    <t>20526468199</t>
  </si>
  <si>
    <t>FCB 0005-00012168</t>
  </si>
  <si>
    <t>FCB 0005-00012169</t>
  </si>
  <si>
    <t>NCB 0007-00000183</t>
  </si>
  <si>
    <t>FCB 0005-00012170</t>
  </si>
  <si>
    <t>FCB 0005-00012171</t>
  </si>
  <si>
    <t>FCB 0005-00012172</t>
  </si>
  <si>
    <t>FCB 0005-00012173</t>
  </si>
  <si>
    <t>FCA 0007-00002346</t>
  </si>
  <si>
    <t>FCB 0005-00012174</t>
  </si>
  <si>
    <t>FCA 0007-00002347</t>
  </si>
  <si>
    <t>FCA 0006-00000567</t>
  </si>
  <si>
    <t>MARIA ANGELINA FERNANDEZ</t>
  </si>
  <si>
    <t>27932667059</t>
  </si>
  <si>
    <t>FCB 0005-00012175</t>
  </si>
  <si>
    <t>FCB 0005-00012176</t>
  </si>
  <si>
    <t>FCB 0005-00012177</t>
  </si>
  <si>
    <t>FCA 0007-00002348</t>
  </si>
  <si>
    <t>DE LA TORRE FABIÁN</t>
  </si>
  <si>
    <t>12821983</t>
  </si>
  <si>
    <t>FCB 0007-00005618</t>
  </si>
  <si>
    <t>SANCHEZ ROMERO CARLOS JULIAN</t>
  </si>
  <si>
    <t>NCA 0003-00000026</t>
  </si>
  <si>
    <t>NCA 0003-00000027</t>
  </si>
  <si>
    <t>NCA 0003-00000028</t>
  </si>
  <si>
    <t>NCA 0003-00000029</t>
  </si>
  <si>
    <t>NCA 0003-00000030</t>
  </si>
  <si>
    <t>NCA 0003-00000025</t>
  </si>
  <si>
    <t>NCA 0003-00000024</t>
  </si>
  <si>
    <t>NCA 0003-00000186</t>
  </si>
  <si>
    <t>FCB 0003-00002888</t>
  </si>
  <si>
    <t>NCB 0003-00000321</t>
  </si>
  <si>
    <t>PROVINCIA</t>
  </si>
  <si>
    <t>CABA</t>
  </si>
  <si>
    <t>BSAS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</si>
</sst>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9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Arial"/>
      <family val="2"/>
    </font>
    <font>
      <sz val="8"/>
      <name val="FreeSans"/>
      <family val="2"/>
    </font>
    <font>
      <b/>
      <sz val="12"/>
      <color theme="0"/>
      <name val="Calibri"/>
      <family val="2"/>
      <scheme val="minor"/>
    </font>
    <font>
      <b/>
      <sz val="9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FF"/>
      <name val="Calibri"/>
      <family val="2"/>
    </font>
    <font>
      <u val="singleAccounting"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theme="0" tint="-0.14999847407452621"/>
      </patternFill>
    </fill>
    <fill>
      <patternFill patternType="solid">
        <fgColor theme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4F81BD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164" fontId="11" fillId="0" borderId="0" applyFont="0" applyFill="0" applyBorder="0" applyAlignment="0" applyProtection="0"/>
    <xf numFmtId="0" fontId="13" fillId="13" borderId="0" applyNumberFormat="0" applyBorder="0" applyAlignment="0" applyProtection="0"/>
    <xf numFmtId="0" fontId="16" fillId="14" borderId="0" applyNumberFormat="0" applyBorder="0" applyAlignment="0" applyProtection="0"/>
    <xf numFmtId="0" fontId="12" fillId="0" borderId="0"/>
    <xf numFmtId="0" fontId="12" fillId="0" borderId="0"/>
  </cellStyleXfs>
  <cellXfs count="232">
    <xf numFmtId="0" fontId="0" fillId="0" borderId="0" xfId="0"/>
    <xf numFmtId="0" fontId="3" fillId="2" borderId="0" xfId="2" applyFont="1"/>
    <xf numFmtId="0" fontId="3" fillId="2" borderId="0" xfId="2" applyFont="1" applyAlignment="1">
      <alignment horizontal="left"/>
    </xf>
    <xf numFmtId="0" fontId="4" fillId="2" borderId="1" xfId="2" applyFont="1" applyBorder="1"/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5" fillId="0" borderId="1" xfId="0" applyFont="1" applyBorder="1"/>
    <xf numFmtId="43" fontId="5" fillId="0" borderId="1" xfId="1" applyFont="1" applyBorder="1" applyAlignment="1">
      <alignment horizontal="right" vertical="center"/>
    </xf>
    <xf numFmtId="43" fontId="5" fillId="0" borderId="1" xfId="1" applyFont="1" applyBorder="1"/>
    <xf numFmtId="43" fontId="0" fillId="0" borderId="0" xfId="0" applyNumberFormat="1"/>
    <xf numFmtId="0" fontId="0" fillId="3" borderId="3" xfId="0" applyFill="1" applyBorder="1"/>
    <xf numFmtId="0" fontId="0" fillId="3" borderId="1" xfId="0" applyFill="1" applyBorder="1"/>
    <xf numFmtId="0" fontId="0" fillId="3" borderId="5" xfId="0" applyFill="1" applyBorder="1"/>
    <xf numFmtId="43" fontId="0" fillId="4" borderId="2" xfId="0" applyNumberFormat="1" applyFill="1" applyBorder="1"/>
    <xf numFmtId="0" fontId="0" fillId="4" borderId="1" xfId="0" applyFill="1" applyBorder="1"/>
    <xf numFmtId="43" fontId="0" fillId="3" borderId="2" xfId="0" applyNumberFormat="1" applyFill="1" applyBorder="1"/>
    <xf numFmtId="43" fontId="0" fillId="3" borderId="4" xfId="0" applyNumberFormat="1" applyFill="1" applyBorder="1"/>
    <xf numFmtId="49" fontId="6" fillId="0" borderId="0" xfId="0" applyNumberFormat="1" applyFont="1" applyAlignment="1">
      <alignment horizontal="right"/>
    </xf>
    <xf numFmtId="2" fontId="5" fillId="0" borderId="1" xfId="0" applyNumberFormat="1" applyFont="1" applyBorder="1" applyAlignment="1">
      <alignment horizontal="right" vertical="center"/>
    </xf>
    <xf numFmtId="0" fontId="7" fillId="0" borderId="0" xfId="0" applyFont="1"/>
    <xf numFmtId="4" fontId="4" fillId="2" borderId="1" xfId="2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/>
    </xf>
    <xf numFmtId="2" fontId="5" fillId="0" borderId="6" xfId="0" applyNumberFormat="1" applyFont="1" applyBorder="1" applyAlignment="1">
      <alignment horizontal="right" vertical="center"/>
    </xf>
    <xf numFmtId="0" fontId="4" fillId="2" borderId="4" xfId="2" applyFont="1" applyBorder="1"/>
    <xf numFmtId="0" fontId="4" fillId="2" borderId="5" xfId="2" applyFont="1" applyBorder="1"/>
    <xf numFmtId="0" fontId="4" fillId="2" borderId="7" xfId="2" applyFont="1" applyBorder="1"/>
    <xf numFmtId="0" fontId="5" fillId="0" borderId="3" xfId="0" applyFont="1" applyBorder="1" applyAlignment="1">
      <alignment horizontal="left"/>
    </xf>
    <xf numFmtId="49" fontId="5" fillId="0" borderId="8" xfId="0" applyNumberFormat="1" applyFont="1" applyBorder="1" applyAlignment="1">
      <alignment horizontal="left"/>
    </xf>
    <xf numFmtId="0" fontId="5" fillId="0" borderId="8" xfId="0" applyFont="1" applyBorder="1"/>
    <xf numFmtId="2" fontId="5" fillId="0" borderId="8" xfId="0" applyNumberFormat="1" applyFont="1" applyBorder="1" applyAlignment="1">
      <alignment horizontal="right" vertical="center"/>
    </xf>
    <xf numFmtId="2" fontId="5" fillId="0" borderId="9" xfId="0" applyNumberFormat="1" applyFont="1" applyBorder="1" applyAlignment="1">
      <alignment horizontal="right" vertical="center"/>
    </xf>
    <xf numFmtId="0" fontId="3" fillId="5" borderId="0" xfId="2" applyFont="1" applyFill="1" applyAlignment="1">
      <alignment horizontal="left"/>
    </xf>
    <xf numFmtId="0" fontId="3" fillId="5" borderId="0" xfId="2" applyFont="1" applyFill="1"/>
    <xf numFmtId="0" fontId="0" fillId="5" borderId="0" xfId="0" applyFill="1"/>
    <xf numFmtId="49" fontId="6" fillId="5" borderId="0" xfId="0" applyNumberFormat="1" applyFont="1" applyFill="1" applyAlignment="1">
      <alignment horizontal="right"/>
    </xf>
    <xf numFmtId="0" fontId="0" fillId="4" borderId="0" xfId="0" applyFill="1"/>
    <xf numFmtId="4" fontId="0" fillId="0" borderId="0" xfId="0" applyNumberFormat="1"/>
    <xf numFmtId="43" fontId="5" fillId="0" borderId="8" xfId="1" applyFont="1" applyBorder="1"/>
    <xf numFmtId="43" fontId="4" fillId="2" borderId="1" xfId="1" applyFont="1" applyFill="1" applyBorder="1" applyAlignment="1">
      <alignment horizontal="right" vertical="center"/>
    </xf>
    <xf numFmtId="0" fontId="8" fillId="0" borderId="2" xfId="0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/>
    <xf numFmtId="2" fontId="8" fillId="0" borderId="1" xfId="0" applyNumberFormat="1" applyFont="1" applyBorder="1" applyAlignment="1">
      <alignment horizontal="right" vertical="center"/>
    </xf>
    <xf numFmtId="43" fontId="8" fillId="0" borderId="1" xfId="1" applyFont="1" applyBorder="1"/>
    <xf numFmtId="2" fontId="8" fillId="0" borderId="6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left"/>
    </xf>
    <xf numFmtId="49" fontId="8" fillId="0" borderId="8" xfId="0" applyNumberFormat="1" applyFont="1" applyBorder="1" applyAlignment="1">
      <alignment horizontal="left"/>
    </xf>
    <xf numFmtId="0" fontId="8" fillId="0" borderId="8" xfId="0" applyFont="1" applyBorder="1"/>
    <xf numFmtId="2" fontId="8" fillId="0" borderId="8" xfId="0" applyNumberFormat="1" applyFont="1" applyBorder="1" applyAlignment="1">
      <alignment horizontal="right" vertical="center"/>
    </xf>
    <xf numFmtId="43" fontId="8" fillId="0" borderId="8" xfId="1" applyFont="1" applyBorder="1"/>
    <xf numFmtId="2" fontId="8" fillId="0" borderId="9" xfId="0" applyNumberFormat="1" applyFont="1" applyBorder="1" applyAlignment="1">
      <alignment horizontal="right" vertical="center"/>
    </xf>
    <xf numFmtId="0" fontId="0" fillId="7" borderId="1" xfId="0" applyFill="1" applyBorder="1"/>
    <xf numFmtId="4" fontId="0" fillId="3" borderId="1" xfId="0" applyNumberFormat="1" applyFill="1" applyBorder="1"/>
    <xf numFmtId="4" fontId="0" fillId="6" borderId="1" xfId="0" applyNumberFormat="1" applyFill="1" applyBorder="1"/>
    <xf numFmtId="0" fontId="0" fillId="6" borderId="1" xfId="0" applyFill="1" applyBorder="1"/>
    <xf numFmtId="49" fontId="5" fillId="8" borderId="1" xfId="0" applyNumberFormat="1" applyFont="1" applyFill="1" applyBorder="1" applyAlignment="1">
      <alignment horizontal="left"/>
    </xf>
    <xf numFmtId="0" fontId="5" fillId="8" borderId="1" xfId="0" applyFont="1" applyFill="1" applyBorder="1"/>
    <xf numFmtId="2" fontId="5" fillId="8" borderId="1" xfId="0" applyNumberFormat="1" applyFon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left"/>
    </xf>
    <xf numFmtId="2" fontId="5" fillId="8" borderId="6" xfId="0" applyNumberFormat="1" applyFont="1" applyFill="1" applyBorder="1" applyAlignment="1">
      <alignment horizontal="right" vertical="center"/>
    </xf>
    <xf numFmtId="0" fontId="5" fillId="8" borderId="3" xfId="0" applyFont="1" applyFill="1" applyBorder="1" applyAlignment="1">
      <alignment horizontal="left"/>
    </xf>
    <xf numFmtId="49" fontId="5" fillId="8" borderId="8" xfId="0" applyNumberFormat="1" applyFont="1" applyFill="1" applyBorder="1" applyAlignment="1">
      <alignment horizontal="left"/>
    </xf>
    <xf numFmtId="0" fontId="5" fillId="8" borderId="8" xfId="0" applyFont="1" applyFill="1" applyBorder="1"/>
    <xf numFmtId="2" fontId="5" fillId="8" borderId="8" xfId="0" applyNumberFormat="1" applyFont="1" applyFill="1" applyBorder="1" applyAlignment="1">
      <alignment horizontal="right" vertical="center"/>
    </xf>
    <xf numFmtId="2" fontId="5" fillId="8" borderId="9" xfId="0" applyNumberFormat="1" applyFont="1" applyFill="1" applyBorder="1" applyAlignment="1">
      <alignment horizontal="right" vertical="center"/>
    </xf>
    <xf numFmtId="2" fontId="5" fillId="9" borderId="8" xfId="0" applyNumberFormat="1" applyFont="1" applyFill="1" applyBorder="1" applyAlignment="1">
      <alignment horizontal="right" vertical="center"/>
    </xf>
    <xf numFmtId="0" fontId="5" fillId="9" borderId="8" xfId="0" applyFont="1" applyFill="1" applyBorder="1"/>
    <xf numFmtId="2" fontId="5" fillId="9" borderId="9" xfId="0" applyNumberFormat="1" applyFont="1" applyFill="1" applyBorder="1" applyAlignment="1">
      <alignment horizontal="right" vertical="center"/>
    </xf>
    <xf numFmtId="2" fontId="0" fillId="3" borderId="1" xfId="0" applyNumberFormat="1" applyFill="1" applyBorder="1"/>
    <xf numFmtId="0" fontId="0" fillId="10" borderId="1" xfId="0" applyFill="1" applyBorder="1"/>
    <xf numFmtId="4" fontId="0" fillId="10" borderId="1" xfId="0" applyNumberFormat="1" applyFill="1" applyBorder="1"/>
    <xf numFmtId="0" fontId="10" fillId="0" borderId="0" xfId="0" applyFont="1"/>
    <xf numFmtId="0" fontId="6" fillId="0" borderId="0" xfId="0" applyFont="1" applyAlignment="1">
      <alignment horizontal="left"/>
    </xf>
    <xf numFmtId="0" fontId="2" fillId="2" borderId="10" xfId="2" applyBorder="1"/>
    <xf numFmtId="0" fontId="5" fillId="0" borderId="11" xfId="0" applyFont="1" applyBorder="1" applyAlignment="1">
      <alignment horizontal="left"/>
    </xf>
    <xf numFmtId="49" fontId="5" fillId="0" borderId="11" xfId="0" applyNumberFormat="1" applyFont="1" applyBorder="1" applyAlignment="1">
      <alignment horizontal="left"/>
    </xf>
    <xf numFmtId="0" fontId="5" fillId="0" borderId="11" xfId="0" applyFont="1" applyBorder="1"/>
    <xf numFmtId="4" fontId="0" fillId="0" borderId="0" xfId="1" applyNumberFormat="1" applyFont="1"/>
    <xf numFmtId="4" fontId="6" fillId="0" borderId="0" xfId="1" applyNumberFormat="1" applyFont="1" applyAlignment="1">
      <alignment horizontal="right"/>
    </xf>
    <xf numFmtId="4" fontId="2" fillId="2" borderId="10" xfId="1" applyNumberFormat="1" applyFont="1" applyFill="1" applyBorder="1"/>
    <xf numFmtId="4" fontId="5" fillId="0" borderId="11" xfId="1" applyNumberFormat="1" applyFont="1" applyBorder="1" applyAlignment="1">
      <alignment horizontal="right" vertical="center"/>
    </xf>
    <xf numFmtId="4" fontId="5" fillId="0" borderId="11" xfId="1" applyNumberFormat="1" applyFont="1" applyBorder="1"/>
    <xf numFmtId="0" fontId="5" fillId="3" borderId="11" xfId="0" applyFont="1" applyFill="1" applyBorder="1" applyAlignment="1">
      <alignment horizontal="left"/>
    </xf>
    <xf numFmtId="49" fontId="5" fillId="3" borderId="11" xfId="0" applyNumberFormat="1" applyFont="1" applyFill="1" applyBorder="1" applyAlignment="1">
      <alignment horizontal="left"/>
    </xf>
    <xf numFmtId="0" fontId="5" fillId="3" borderId="11" xfId="0" applyFont="1" applyFill="1" applyBorder="1"/>
    <xf numFmtId="4" fontId="5" fillId="3" borderId="11" xfId="0" applyNumberFormat="1" applyFont="1" applyFill="1" applyBorder="1"/>
    <xf numFmtId="4" fontId="5" fillId="3" borderId="11" xfId="0" applyNumberFormat="1" applyFont="1" applyFill="1" applyBorder="1" applyAlignment="1">
      <alignment horizontal="right" vertical="center"/>
    </xf>
    <xf numFmtId="4" fontId="9" fillId="3" borderId="1" xfId="1" applyNumberFormat="1" applyFont="1" applyFill="1" applyBorder="1"/>
    <xf numFmtId="4" fontId="9" fillId="0" borderId="1" xfId="1" applyNumberFormat="1" applyFont="1" applyBorder="1"/>
    <xf numFmtId="4" fontId="9" fillId="3" borderId="1" xfId="1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left"/>
    </xf>
    <xf numFmtId="0" fontId="18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43" fontId="17" fillId="6" borderId="1" xfId="1" applyFont="1" applyFill="1" applyBorder="1" applyAlignment="1">
      <alignment horizontal="right" vertical="center"/>
    </xf>
    <xf numFmtId="43" fontId="0" fillId="0" borderId="0" xfId="1" applyFont="1"/>
    <xf numFmtId="43" fontId="6" fillId="0" borderId="0" xfId="1" applyFont="1" applyAlignment="1">
      <alignment horizontal="right"/>
    </xf>
    <xf numFmtId="43" fontId="2" fillId="2" borderId="10" xfId="1" applyFont="1" applyFill="1" applyBorder="1"/>
    <xf numFmtId="43" fontId="9" fillId="0" borderId="1" xfId="1" applyFont="1" applyBorder="1"/>
    <xf numFmtId="43" fontId="9" fillId="3" borderId="1" xfId="1" applyFont="1" applyFill="1" applyBorder="1"/>
    <xf numFmtId="43" fontId="9" fillId="3" borderId="1" xfId="1" applyFont="1" applyFill="1" applyBorder="1" applyAlignment="1">
      <alignment horizontal="center"/>
    </xf>
    <xf numFmtId="0" fontId="0" fillId="0" borderId="0" xfId="1" applyNumberFormat="1" applyFont="1"/>
    <xf numFmtId="0" fontId="2" fillId="2" borderId="10" xfId="1" applyNumberFormat="1" applyFont="1" applyFill="1" applyBorder="1"/>
    <xf numFmtId="0" fontId="5" fillId="0" borderId="1" xfId="1" applyNumberFormat="1" applyFont="1" applyBorder="1"/>
    <xf numFmtId="0" fontId="5" fillId="0" borderId="0" xfId="1" applyNumberFormat="1" applyFont="1" applyBorder="1"/>
    <xf numFmtId="0" fontId="7" fillId="0" borderId="0" xfId="1" applyNumberFormat="1" applyFont="1" applyBorder="1"/>
    <xf numFmtId="43" fontId="5" fillId="0" borderId="6" xfId="1" applyFont="1" applyBorder="1" applyAlignment="1">
      <alignment horizontal="right" vertical="center"/>
    </xf>
    <xf numFmtId="0" fontId="2" fillId="2" borderId="4" xfId="2" applyBorder="1"/>
    <xf numFmtId="0" fontId="2" fillId="2" borderId="5" xfId="2" applyBorder="1"/>
    <xf numFmtId="0" fontId="2" fillId="2" borderId="5" xfId="1" applyNumberFormat="1" applyFont="1" applyFill="1" applyBorder="1"/>
    <xf numFmtId="43" fontId="2" fillId="2" borderId="5" xfId="1" applyFont="1" applyFill="1" applyBorder="1"/>
    <xf numFmtId="43" fontId="2" fillId="2" borderId="7" xfId="1" applyFont="1" applyFill="1" applyBorder="1"/>
    <xf numFmtId="0" fontId="5" fillId="0" borderId="8" xfId="1" applyNumberFormat="1" applyFont="1" applyBorder="1"/>
    <xf numFmtId="43" fontId="5" fillId="0" borderId="8" xfId="1" applyFont="1" applyBorder="1" applyAlignment="1">
      <alignment horizontal="right" vertical="center"/>
    </xf>
    <xf numFmtId="43" fontId="5" fillId="0" borderId="9" xfId="1" applyFont="1" applyBorder="1" applyAlignment="1">
      <alignment horizontal="right" vertical="center"/>
    </xf>
    <xf numFmtId="43" fontId="19" fillId="15" borderId="1" xfId="1" applyFont="1" applyFill="1" applyBorder="1"/>
    <xf numFmtId="0" fontId="2" fillId="2" borderId="1" xfId="2" applyBorder="1"/>
    <xf numFmtId="43" fontId="2" fillId="2" borderId="1" xfId="1" applyFont="1" applyFill="1" applyBorder="1" applyAlignment="1">
      <alignment horizontal="right" vertical="center"/>
    </xf>
    <xf numFmtId="164" fontId="0" fillId="0" borderId="12" xfId="5" applyFont="1" applyBorder="1"/>
    <xf numFmtId="164" fontId="0" fillId="0" borderId="13" xfId="5" applyFont="1" applyBorder="1"/>
    <xf numFmtId="0" fontId="0" fillId="0" borderId="14" xfId="0" applyBorder="1"/>
    <xf numFmtId="164" fontId="0" fillId="0" borderId="15" xfId="5" applyFont="1" applyBorder="1"/>
    <xf numFmtId="164" fontId="0" fillId="0" borderId="16" xfId="5" applyFont="1" applyBorder="1"/>
    <xf numFmtId="164" fontId="0" fillId="0" borderId="17" xfId="5" applyFont="1" applyBorder="1"/>
    <xf numFmtId="0" fontId="0" fillId="0" borderId="18" xfId="0" applyBorder="1"/>
    <xf numFmtId="164" fontId="0" fillId="0" borderId="19" xfId="5" applyFont="1" applyBorder="1"/>
    <xf numFmtId="43" fontId="0" fillId="0" borderId="20" xfId="0" applyNumberFormat="1" applyBorder="1"/>
    <xf numFmtId="0" fontId="0" fillId="0" borderId="21" xfId="0" applyBorder="1"/>
    <xf numFmtId="0" fontId="0" fillId="0" borderId="12" xfId="0" applyBorder="1"/>
    <xf numFmtId="0" fontId="0" fillId="0" borderId="22" xfId="0" applyBorder="1"/>
    <xf numFmtId="0" fontId="0" fillId="0" borderId="23" xfId="0" applyBorder="1"/>
    <xf numFmtId="4" fontId="2" fillId="2" borderId="1" xfId="2" applyNumberFormat="1" applyBorder="1" applyAlignment="1">
      <alignment horizontal="right" vertical="center"/>
    </xf>
    <xf numFmtId="2" fontId="9" fillId="0" borderId="0" xfId="0" applyNumberFormat="1" applyFont="1"/>
    <xf numFmtId="164" fontId="9" fillId="0" borderId="0" xfId="5" applyFont="1"/>
    <xf numFmtId="0" fontId="9" fillId="0" borderId="0" xfId="0" applyFont="1"/>
    <xf numFmtId="2" fontId="20" fillId="0" borderId="1" xfId="0" applyNumberFormat="1" applyFont="1" applyBorder="1" applyAlignment="1">
      <alignment horizontal="right" vertical="center"/>
    </xf>
    <xf numFmtId="0" fontId="20" fillId="0" borderId="1" xfId="0" applyFont="1" applyBorder="1"/>
    <xf numFmtId="49" fontId="20" fillId="0" borderId="1" xfId="0" applyNumberFormat="1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2" fontId="5" fillId="0" borderId="1" xfId="0" applyNumberFormat="1" applyFont="1" applyBorder="1"/>
    <xf numFmtId="14" fontId="5" fillId="0" borderId="1" xfId="0" applyNumberFormat="1" applyFont="1" applyBorder="1" applyAlignment="1">
      <alignment horizontal="left"/>
    </xf>
    <xf numFmtId="43" fontId="22" fillId="0" borderId="1" xfId="1" applyFont="1" applyBorder="1"/>
    <xf numFmtId="43" fontId="22" fillId="0" borderId="1" xfId="1" applyFont="1" applyBorder="1" applyAlignment="1">
      <alignment horizontal="right" vertical="center"/>
    </xf>
    <xf numFmtId="0" fontId="0" fillId="0" borderId="30" xfId="0" applyBorder="1"/>
    <xf numFmtId="0" fontId="0" fillId="0" borderId="24" xfId="0" applyBorder="1"/>
    <xf numFmtId="0" fontId="0" fillId="0" borderId="8" xfId="0" applyBorder="1"/>
    <xf numFmtId="0" fontId="0" fillId="0" borderId="14" xfId="0" applyBorder="1" applyAlignment="1">
      <alignment horizontal="center"/>
    </xf>
    <xf numFmtId="43" fontId="0" fillId="0" borderId="29" xfId="0" applyNumberFormat="1" applyBorder="1"/>
    <xf numFmtId="43" fontId="0" fillId="0" borderId="25" xfId="0" applyNumberFormat="1" applyBorder="1"/>
    <xf numFmtId="43" fontId="0" fillId="0" borderId="30" xfId="0" applyNumberFormat="1" applyBorder="1"/>
    <xf numFmtId="43" fontId="0" fillId="0" borderId="27" xfId="0" applyNumberFormat="1" applyBorder="1"/>
    <xf numFmtId="43" fontId="0" fillId="0" borderId="32" xfId="0" applyNumberFormat="1" applyBorder="1"/>
    <xf numFmtId="43" fontId="0" fillId="0" borderId="35" xfId="0" applyNumberFormat="1" applyBorder="1"/>
    <xf numFmtId="43" fontId="0" fillId="0" borderId="23" xfId="0" applyNumberFormat="1" applyBorder="1"/>
    <xf numFmtId="43" fontId="0" fillId="0" borderId="22" xfId="0" applyNumberFormat="1" applyBorder="1"/>
    <xf numFmtId="43" fontId="0" fillId="0" borderId="33" xfId="0" applyNumberFormat="1" applyBorder="1"/>
    <xf numFmtId="43" fontId="0" fillId="0" borderId="36" xfId="0" applyNumberFormat="1" applyBorder="1"/>
    <xf numFmtId="0" fontId="9" fillId="6" borderId="26" xfId="0" applyFont="1" applyFill="1" applyBorder="1" applyAlignment="1">
      <alignment horizontal="center"/>
    </xf>
    <xf numFmtId="0" fontId="9" fillId="6" borderId="34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9" fillId="6" borderId="14" xfId="0" applyFont="1" applyFill="1" applyBorder="1" applyAlignment="1">
      <alignment horizontal="center"/>
    </xf>
    <xf numFmtId="0" fontId="5" fillId="0" borderId="2" xfId="0" applyFont="1" applyBorder="1"/>
    <xf numFmtId="0" fontId="5" fillId="0" borderId="8" xfId="0" applyFont="1" applyBorder="1" applyAlignment="1">
      <alignment horizontal="left"/>
    </xf>
    <xf numFmtId="0" fontId="2" fillId="0" borderId="1" xfId="2" applyFill="1" applyBorder="1"/>
    <xf numFmtId="0" fontId="20" fillId="16" borderId="36" xfId="0" applyFont="1" applyFill="1" applyBorder="1" applyAlignment="1">
      <alignment horizontal="left"/>
    </xf>
    <xf numFmtId="49" fontId="20" fillId="16" borderId="33" xfId="0" applyNumberFormat="1" applyFont="1" applyFill="1" applyBorder="1" applyAlignment="1">
      <alignment horizontal="left"/>
    </xf>
    <xf numFmtId="0" fontId="23" fillId="0" borderId="0" xfId="0" applyFont="1"/>
    <xf numFmtId="2" fontId="5" fillId="0" borderId="11" xfId="0" applyNumberFormat="1" applyFont="1" applyBorder="1" applyAlignment="1">
      <alignment horizontal="right" vertical="center"/>
    </xf>
    <xf numFmtId="0" fontId="7" fillId="0" borderId="11" xfId="0" applyFont="1" applyBorder="1"/>
    <xf numFmtId="2" fontId="22" fillId="0" borderId="11" xfId="0" applyNumberFormat="1" applyFont="1" applyBorder="1" applyAlignment="1">
      <alignment horizontal="right" vertical="center"/>
    </xf>
    <xf numFmtId="2" fontId="20" fillId="0" borderId="11" xfId="0" applyNumberFormat="1" applyFont="1" applyBorder="1" applyAlignment="1">
      <alignment horizontal="right" vertical="center"/>
    </xf>
    <xf numFmtId="0" fontId="20" fillId="0" borderId="11" xfId="0" applyFont="1" applyBorder="1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0" fontId="24" fillId="0" borderId="1" xfId="0" applyFont="1" applyBorder="1"/>
    <xf numFmtId="0" fontId="0" fillId="17" borderId="1" xfId="0" applyFill="1" applyBorder="1"/>
    <xf numFmtId="1" fontId="0" fillId="17" borderId="1" xfId="0" applyNumberFormat="1" applyFill="1" applyBorder="1"/>
    <xf numFmtId="2" fontId="0" fillId="17" borderId="1" xfId="0" applyNumberFormat="1" applyFill="1" applyBorder="1"/>
    <xf numFmtId="0" fontId="0" fillId="0" borderId="6" xfId="0" applyBorder="1"/>
    <xf numFmtId="1" fontId="0" fillId="0" borderId="8" xfId="0" applyNumberFormat="1" applyBorder="1"/>
    <xf numFmtId="2" fontId="0" fillId="17" borderId="8" xfId="0" applyNumberFormat="1" applyFill="1" applyBorder="1"/>
    <xf numFmtId="1" fontId="0" fillId="17" borderId="8" xfId="0" applyNumberFormat="1" applyFill="1" applyBorder="1"/>
    <xf numFmtId="1" fontId="0" fillId="0" borderId="5" xfId="0" applyNumberFormat="1" applyBorder="1"/>
    <xf numFmtId="0" fontId="0" fillId="0" borderId="5" xfId="0" applyBorder="1"/>
    <xf numFmtId="2" fontId="0" fillId="17" borderId="5" xfId="0" applyNumberFormat="1" applyFill="1" applyBorder="1"/>
    <xf numFmtId="1" fontId="0" fillId="17" borderId="5" xfId="0" applyNumberFormat="1" applyFill="1" applyBorder="1"/>
    <xf numFmtId="43" fontId="9" fillId="6" borderId="36" xfId="1" applyFont="1" applyFill="1" applyBorder="1"/>
    <xf numFmtId="43" fontId="9" fillId="6" borderId="28" xfId="1" applyFont="1" applyFill="1" applyBorder="1"/>
    <xf numFmtId="43" fontId="9" fillId="6" borderId="33" xfId="1" applyFont="1" applyFill="1" applyBorder="1"/>
    <xf numFmtId="0" fontId="24" fillId="0" borderId="0" xfId="0" applyFont="1"/>
    <xf numFmtId="2" fontId="9" fillId="6" borderId="36" xfId="0" applyNumberFormat="1" applyFont="1" applyFill="1" applyBorder="1"/>
    <xf numFmtId="2" fontId="9" fillId="6" borderId="28" xfId="0" applyNumberFormat="1" applyFont="1" applyFill="1" applyBorder="1"/>
    <xf numFmtId="2" fontId="9" fillId="6" borderId="33" xfId="0" applyNumberFormat="1" applyFont="1" applyFill="1" applyBorder="1"/>
    <xf numFmtId="2" fontId="0" fillId="17" borderId="37" xfId="0" applyNumberFormat="1" applyFill="1" applyBorder="1"/>
    <xf numFmtId="1" fontId="0" fillId="0" borderId="37" xfId="0" applyNumberFormat="1" applyBorder="1"/>
    <xf numFmtId="1" fontId="0" fillId="17" borderId="37" xfId="0" applyNumberFormat="1" applyFill="1" applyBorder="1"/>
    <xf numFmtId="4" fontId="9" fillId="6" borderId="13" xfId="0" applyNumberFormat="1" applyFont="1" applyFill="1" applyBorder="1"/>
    <xf numFmtId="0" fontId="0" fillId="6" borderId="28" xfId="0" applyFill="1" applyBorder="1"/>
    <xf numFmtId="4" fontId="9" fillId="6" borderId="28" xfId="0" applyNumberFormat="1" applyFont="1" applyFill="1" applyBorder="1"/>
    <xf numFmtId="4" fontId="9" fillId="6" borderId="33" xfId="0" applyNumberFormat="1" applyFont="1" applyFill="1" applyBorder="1"/>
    <xf numFmtId="2" fontId="0" fillId="0" borderId="1" xfId="0" applyNumberFormat="1" applyBorder="1"/>
    <xf numFmtId="4" fontId="4" fillId="2" borderId="14" xfId="2" applyNumberFormat="1" applyFont="1" applyBorder="1"/>
    <xf numFmtId="0" fontId="0" fillId="18" borderId="1" xfId="0" applyFill="1" applyBorder="1"/>
    <xf numFmtId="1" fontId="0" fillId="18" borderId="1" xfId="0" applyNumberFormat="1" applyFill="1" applyBorder="1"/>
    <xf numFmtId="2" fontId="0" fillId="0" borderId="0" xfId="0" applyNumberFormat="1"/>
    <xf numFmtId="0" fontId="9" fillId="19" borderId="14" xfId="0" applyFont="1" applyFill="1" applyBorder="1" applyAlignment="1">
      <alignment horizontal="center"/>
    </xf>
    <xf numFmtId="43" fontId="9" fillId="19" borderId="23" xfId="0" applyNumberFormat="1" applyFont="1" applyFill="1" applyBorder="1"/>
    <xf numFmtId="43" fontId="9" fillId="19" borderId="36" xfId="0" applyNumberFormat="1" applyFont="1" applyFill="1" applyBorder="1"/>
    <xf numFmtId="43" fontId="9" fillId="19" borderId="22" xfId="0" applyNumberFormat="1" applyFont="1" applyFill="1" applyBorder="1"/>
    <xf numFmtId="43" fontId="9" fillId="19" borderId="33" xfId="0" applyNumberFormat="1" applyFont="1" applyFill="1" applyBorder="1"/>
    <xf numFmtId="0" fontId="9" fillId="3" borderId="14" xfId="0" applyFont="1" applyFill="1" applyBorder="1" applyAlignment="1">
      <alignment horizontal="center"/>
    </xf>
    <xf numFmtId="0" fontId="9" fillId="3" borderId="26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25" fillId="20" borderId="1" xfId="0" applyFont="1" applyFill="1" applyBorder="1"/>
    <xf numFmtId="0" fontId="0" fillId="0" borderId="38" xfId="0" applyBorder="1"/>
    <xf numFmtId="0" fontId="0" fillId="0" borderId="39" xfId="0" applyBorder="1"/>
    <xf numFmtId="43" fontId="0" fillId="0" borderId="23" xfId="1" applyFont="1" applyBorder="1"/>
    <xf numFmtId="43" fontId="0" fillId="0" borderId="22" xfId="1" applyFont="1" applyBorder="1"/>
    <xf numFmtId="43" fontId="0" fillId="0" borderId="12" xfId="1" applyFont="1" applyBorder="1"/>
    <xf numFmtId="43" fontId="26" fillId="0" borderId="22" xfId="1" applyFont="1" applyBorder="1"/>
    <xf numFmtId="0" fontId="4" fillId="2" borderId="37" xfId="2" applyFont="1" applyBorder="1"/>
    <xf numFmtId="1" fontId="9" fillId="6" borderId="23" xfId="0" applyNumberFormat="1" applyFont="1" applyFill="1" applyBorder="1" applyAlignment="1">
      <alignment horizontal="center"/>
    </xf>
    <xf numFmtId="1" fontId="9" fillId="6" borderId="22" xfId="0" applyNumberFormat="1" applyFont="1" applyFill="1" applyBorder="1" applyAlignment="1">
      <alignment horizontal="center"/>
    </xf>
    <xf numFmtId="1" fontId="9" fillId="6" borderId="12" xfId="0" applyNumberFormat="1" applyFont="1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0">
    <cellStyle name="Bueno" xfId="2" builtinId="26"/>
    <cellStyle name="Error" xfId="3" xr:uid="{00000000-0005-0000-0000-000001000000}"/>
    <cellStyle name="Error 2" xfId="4" xr:uid="{00000000-0005-0000-0000-000002000000}"/>
    <cellStyle name="Millares" xfId="1" builtinId="3"/>
    <cellStyle name="Millares 2" xfId="5" xr:uid="{00000000-0005-0000-0000-000004000000}"/>
    <cellStyle name="No completar" xfId="6" xr:uid="{00000000-0005-0000-0000-000005000000}"/>
    <cellStyle name="No completar 2" xfId="7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</cellStyles>
  <dxfs count="1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hair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hair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hair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hair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hair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hair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hair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hair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hair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 style="hair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 style="hair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 style="hair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solid">
          <fgColor indexed="64"/>
          <bgColor theme="9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9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border outline="0">
        <bottom style="hair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numFmt numFmtId="4" formatCode="#,##0.00"/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theme="0" tint="-0.14999847407452621"/>
          <bgColor theme="9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theme="0" tint="-0.14999847407452621"/>
          <bgColor theme="9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theme="0" tint="-0.14999847407452621"/>
          <bgColor theme="9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theme="0" tint="-0.14999847407452621"/>
          <bgColor theme="9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N224" totalsRowShown="0" headerRowDxfId="138" dataDxfId="136" headerRowBorderDxfId="137" tableBorderDxfId="135" totalsRowBorderDxfId="134">
  <autoFilter ref="A6:N224" xr:uid="{00000000-0009-0000-0100-000001000000}">
    <filterColumn colId="2">
      <filters>
        <filter val="ACOSTA JULIETA"/>
        <filter val="AGOSTINO MIRIAM"/>
        <filter val="ALANIS, IRENE LUISA"/>
        <filter val="ALEJANDRA SIFFREDI TORRES SANMARCO"/>
        <filter val="Asociacion Mutual Sancor Salud"/>
        <filter val="BIANCHI TERESA GERMANA"/>
        <filter val="BUNCHICOFF, MARIA"/>
        <filter val="CARUSO LUCIA"/>
        <filter val="CORIGLIANO, LORENA ELISA"/>
        <filter val="CRISTIAN GOLDENHORN"/>
        <filter val="CUDERO, SILVINA"/>
        <filter val="Desalvo Miguel Angel"/>
        <filter val="ENRIQUETA MARIA DEL SOCORRO MAJO"/>
        <filter val="FERRAZIN, CAROLINA ELEONORA INES"/>
        <filter val="FIORI FRAVOLINI, HELENA"/>
        <filter val="GABRIELA VANINA GALLO"/>
        <filter val="GALLARDO ALBA"/>
        <filter val="GALLARDO SALVADOR"/>
        <filter val="GONZALEZ, LAURA BEATRIZ"/>
        <filter val="Herman Patricia"/>
        <filter val="ILIARTE DANIEL"/>
        <filter val="JUAN PABLO MINVIELLE"/>
        <filter val="KARIVALI DESPINA"/>
        <filter val="LOCOCO, CARMEN"/>
        <filter val="MALMSTEN, AROLDO"/>
        <filter val="MARIA ELENA RODRIGUEZ"/>
        <filter val="MARIA ISABEL CALDERER"/>
        <filter val="MATSUO, MARGARITA NOEMI"/>
        <filter val="MINERVINI, MARIA DEL CARMEN LILIANA"/>
        <filter val="MONTI, MARIA PAULA"/>
        <filter val="NÚÑEZ DÍAZ, MICAELA VICTORIA"/>
        <filter val="Obra Social De Los Trabajadores De La Industria Del Gas"/>
        <filter val="Obra Social Del Personal De La Industria Del Plastico"/>
        <filter val="PEDROZO, PAULA GABRIELA"/>
        <filter val="RAQUEL DURAÑONA"/>
        <filter val="REPETTO LYNCH, BENJAMIN MARIA"/>
        <filter val="SAENZ, MAGDALENA."/>
        <filter val="SALLES, ANA MARIA"/>
        <filter val="SANABRIA ANTONELLA"/>
        <filter val="SANTORO MARIA"/>
        <filter val="SANZIO, INMACULADA CONCEPCION"/>
        <filter val="SARA STRASBERG"/>
        <filter val="SCHELGEL, LUIS ALBERTO"/>
        <filter val="SILVIA ROLDAN"/>
        <filter val="Suburu Monica"/>
        <filter val="TISSONE, JOSE ERNESTO"/>
        <filter val="TRISTAN SARA ADELA"/>
        <filter val="USAL, DIEGO ARIEL"/>
        <filter val="VOLPI, ALBERTO JAVIER"/>
        <filter val="ZANOTTI, ANA LAURA"/>
      </filters>
    </filterColumn>
  </autoFilter>
  <sortState xmlns:xlrd2="http://schemas.microsoft.com/office/spreadsheetml/2017/richdata2" ref="A7:N221">
    <sortCondition ref="B7:B221"/>
  </sortState>
  <tableColumns count="14">
    <tableColumn id="1" xr3:uid="{00000000-0010-0000-0000-000001000000}" name="Fecha" dataDxfId="133"/>
    <tableColumn id="2" xr3:uid="{00000000-0010-0000-0000-000002000000}" name="Comprobante" dataDxfId="132"/>
    <tableColumn id="3" xr3:uid="{00000000-0010-0000-0000-000003000000}" name="Nombre" dataDxfId="131"/>
    <tableColumn id="4" xr3:uid="{00000000-0010-0000-0000-000004000000}" name="Cond. IVA" dataDxfId="130"/>
    <tableColumn id="5" xr3:uid="{00000000-0010-0000-0000-000005000000}" name="CUIT o Doc." dataDxfId="129"/>
    <tableColumn id="6" xr3:uid="{00000000-0010-0000-0000-000006000000}" name="Gravado" dataDxfId="128"/>
    <tableColumn id="7" xr3:uid="{00000000-0010-0000-0000-000007000000}" name="No Gravado" dataDxfId="127"/>
    <tableColumn id="8" xr3:uid="{00000000-0010-0000-0000-000008000000}" name="IVA 2,5%" dataDxfId="126"/>
    <tableColumn id="9" xr3:uid="{00000000-0010-0000-0000-000009000000}" name="IVA 5%" dataDxfId="125"/>
    <tableColumn id="10" xr3:uid="{00000000-0010-0000-0000-00000A000000}" name="IVA 10.5%" dataDxfId="124"/>
    <tableColumn id="11" xr3:uid="{00000000-0010-0000-0000-00000B000000}" name="IVA 21%" dataDxfId="123"/>
    <tableColumn id="12" xr3:uid="{00000000-0010-0000-0000-00000C000000}" name="IVA 27%" dataDxfId="122"/>
    <tableColumn id="13" xr3:uid="{00000000-0010-0000-0000-00000D000000}" name="Otros Imp" dataDxfId="121"/>
    <tableColumn id="14" xr3:uid="{00000000-0010-0000-0000-00000E000000}" name="Total Compr." dataDxfId="1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228:N292" totalsRowShown="0" headerRowDxfId="119" dataDxfId="117" headerRowBorderDxfId="118">
  <autoFilter ref="A228:N292" xr:uid="{00000000-0009-0000-0100-000002000000}"/>
  <tableColumns count="14">
    <tableColumn id="1" xr3:uid="{00000000-0010-0000-0100-000001000000}" name="Fecha" dataDxfId="116"/>
    <tableColumn id="2" xr3:uid="{00000000-0010-0000-0100-000002000000}" name="Comprobante" dataDxfId="115"/>
    <tableColumn id="3" xr3:uid="{00000000-0010-0000-0100-000003000000}" name="Nombre" dataDxfId="114"/>
    <tableColumn id="4" xr3:uid="{00000000-0010-0000-0100-000004000000}" name="Cond. IVA" dataDxfId="113"/>
    <tableColumn id="5" xr3:uid="{00000000-0010-0000-0100-000005000000}" name="CUIT o Doc." dataDxfId="112"/>
    <tableColumn id="6" xr3:uid="{00000000-0010-0000-0100-000006000000}" name="Gravado" dataDxfId="111"/>
    <tableColumn id="7" xr3:uid="{00000000-0010-0000-0100-000007000000}" name="No Gravado" dataDxfId="110"/>
    <tableColumn id="8" xr3:uid="{00000000-0010-0000-0100-000008000000}" name="IVA 2,5%" dataDxfId="109"/>
    <tableColumn id="9" xr3:uid="{00000000-0010-0000-0100-000009000000}" name="IVA 5%" dataDxfId="108"/>
    <tableColumn id="10" xr3:uid="{00000000-0010-0000-0100-00000A000000}" name="IVA 10.5%" dataDxfId="107"/>
    <tableColumn id="11" xr3:uid="{00000000-0010-0000-0100-00000B000000}" name="IVA 21%" dataDxfId="106"/>
    <tableColumn id="12" xr3:uid="{00000000-0010-0000-0100-00000C000000}" name="IVA 27%" dataDxfId="105"/>
    <tableColumn id="13" xr3:uid="{00000000-0010-0000-0100-00000D000000}" name="Otros Imp" dataDxfId="104"/>
    <tableColumn id="14" xr3:uid="{00000000-0010-0000-0100-00000E000000}" name="Total Compr." dataDxfId="10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A5:N61" totalsRowShown="0" headerRowDxfId="102" dataDxfId="100" headerRowBorderDxfId="101" tableBorderDxfId="99" totalsRowBorderDxfId="98">
  <autoFilter ref="A5:N61" xr:uid="{00000000-0009-0000-0100-000003000000}"/>
  <tableColumns count="14">
    <tableColumn id="1" xr3:uid="{00000000-0010-0000-0200-000001000000}" name="Fecha" dataDxfId="97"/>
    <tableColumn id="2" xr3:uid="{00000000-0010-0000-0200-000002000000}" name="Comprobante" dataDxfId="96"/>
    <tableColumn id="3" xr3:uid="{00000000-0010-0000-0200-000003000000}" name="Nombre" dataDxfId="95"/>
    <tableColumn id="4" xr3:uid="{00000000-0010-0000-0200-000004000000}" name="Cond. IVA" dataDxfId="94"/>
    <tableColumn id="5" xr3:uid="{00000000-0010-0000-0200-000005000000}" name="CUIT o Doc." dataDxfId="93"/>
    <tableColumn id="6" xr3:uid="{00000000-0010-0000-0200-000006000000}" name="Gravado" dataDxfId="92"/>
    <tableColumn id="7" xr3:uid="{00000000-0010-0000-0200-000007000000}" name="No Gravado" dataDxfId="91"/>
    <tableColumn id="8" xr3:uid="{00000000-0010-0000-0200-000008000000}" name="IVA 2,5%" dataDxfId="90"/>
    <tableColumn id="9" xr3:uid="{00000000-0010-0000-0200-000009000000}" name="IVA 5%" dataDxfId="89"/>
    <tableColumn id="10" xr3:uid="{00000000-0010-0000-0200-00000A000000}" name="IVA 10.5%" dataDxfId="88"/>
    <tableColumn id="11" xr3:uid="{00000000-0010-0000-0200-00000B000000}" name="IVA 21%" dataDxfId="87"/>
    <tableColumn id="12" xr3:uid="{00000000-0010-0000-0200-00000C000000}" name="IVA 27%" dataDxfId="86"/>
    <tableColumn id="13" xr3:uid="{00000000-0010-0000-0200-00000D000000}" name="Otros Imp" dataDxfId="85"/>
    <tableColumn id="14" xr3:uid="{00000000-0010-0000-0200-00000E000000}" name="Total Compr." dataDxfId="84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A65:N265" totalsRowCount="1" headerRowDxfId="83" dataDxfId="81" headerRowBorderDxfId="82" tableBorderDxfId="80" totalsRowBorderDxfId="79">
  <autoFilter ref="A65:N264" xr:uid="{00000000-0009-0000-0100-000004000000}">
    <filterColumn colId="2">
      <filters>
        <filter val="ABALO DANIEL LUIS"/>
        <filter val="ADRIANA SAN PEDRO"/>
        <filter val="AGOSTINO MIRIAM"/>
        <filter val="ALEJANDRA SIFFREDI TORRES SANMARCO"/>
        <filter val="ARANA, MARCELLA OFELIA"/>
        <filter val="Asoc Mutualista De Empleados Del Banco De La Prov De Bs As"/>
        <filter val="Asociacion Mutual Sancor Salud"/>
        <filter val="BIANCHI TERESA GERMANA"/>
        <filter val="BRENNAN, MARIA IRENE"/>
        <filter val="BUNCHICOFF, MARIA"/>
        <filter val="CAMPOBASSO, MARIANA LAURA"/>
        <filter val="CARUSO LUCIA"/>
        <filter val="CHAMOSA JOSE MARIA"/>
        <filter val="CORIGLIANO, LORENA ELISA"/>
        <filter val="ENRIQUETA MARIA DEL SOCORRO MAJO"/>
        <filter val="FERRAZIN, CAROLINA ELEONORA INES"/>
        <filter val="FIORI FRAVOLINI, HELENA"/>
        <filter val="Galeno A.R.T. S.A."/>
        <filter val="GARCIA, PATRICIA SUSANA"/>
        <filter val="Herman Patricia"/>
        <filter val="ISAÍAS JOSÉ NICOLÁS BAZÁN HERRERA"/>
        <filter val="IZZO, ADRIANA"/>
        <filter val="JUAN PABLO MINVIELLE"/>
        <filter val="KARIVALI DESPINA"/>
        <filter val="LOCOCO, CARMEN"/>
        <filter val="LOIS PLACENCIA, YENIRETTE OBDULIA"/>
        <filter val="MARILIN CRISTIAN ORTIZ"/>
        <filter val="MATSUO, MARGARITA NOEMI"/>
        <filter val="MIGUEL, EDUARDO ADRIAN"/>
        <filter val="MINERVINI, MARIA DEL CARMEN LILIANA"/>
        <filter val="MONTI, MARIA PAULA"/>
        <filter val="NÚÑEZ DÍAZ, MICAELA VICTORIA"/>
        <filter val="Obra Social De Los Trabajadores De La Industria Del Gas"/>
        <filter val="Obra Social Del Personal De La Industria Del Plastico"/>
        <filter val="PADILLA SANTOS TEODORA"/>
        <filter val="PEDRO SERGIO TORREGROSA"/>
        <filter val="PEDROZO, PAULA GABRIELA"/>
        <filter val="PEREZ, NILDA HAYDEE"/>
        <filter val="PINO, ANA PAULA"/>
        <filter val="RAQUEL DURAÑONA"/>
        <filter val="REPETTO LYNCH, BENJAMIN MARIA"/>
        <filter val="SAENZ, MAGDALENA."/>
        <filter val="SAGGESE, ENRIQUE LUIS"/>
        <filter val="SALLES, ANA MARIA"/>
        <filter val="SANZIO, INMACULADA CONCEPCION"/>
        <filter val="SCHELGEL, LUIS ALBERTO"/>
        <filter val="TRISTAN SARA ADELA"/>
        <filter val="VIEITES, BLANCA LEONOR"/>
        <filter val="VOLPI, ALBERTO JAVIER"/>
        <filter val="ZANOTTI, ANA LAURA"/>
        <filter val="ZARANDIETA ORNELLA"/>
      </filters>
    </filterColumn>
  </autoFilter>
  <tableColumns count="14">
    <tableColumn id="1" xr3:uid="{00000000-0010-0000-0300-000001000000}" name="Fecha" dataDxfId="78" totalsRowDxfId="77"/>
    <tableColumn id="2" xr3:uid="{00000000-0010-0000-0300-000002000000}" name="Comprobante" dataDxfId="76" totalsRowDxfId="75"/>
    <tableColumn id="3" xr3:uid="{00000000-0010-0000-0300-000003000000}" name="Nombre" dataDxfId="74" totalsRowDxfId="73"/>
    <tableColumn id="4" xr3:uid="{00000000-0010-0000-0300-000004000000}" name="Cond. IVA" dataDxfId="72" totalsRowDxfId="71"/>
    <tableColumn id="5" xr3:uid="{00000000-0010-0000-0300-000005000000}" name="CUIT o Doc." dataDxfId="70" totalsRowDxfId="69"/>
    <tableColumn id="6" xr3:uid="{00000000-0010-0000-0300-000006000000}" name="Gravado" totalsRowFunction="sum" dataDxfId="68" totalsRowDxfId="67"/>
    <tableColumn id="7" xr3:uid="{00000000-0010-0000-0300-000007000000}" name="No Gravado" dataDxfId="66" totalsRowDxfId="65"/>
    <tableColumn id="8" xr3:uid="{00000000-0010-0000-0300-000008000000}" name="IVA 2,5%" dataDxfId="64" totalsRowDxfId="63"/>
    <tableColumn id="9" xr3:uid="{00000000-0010-0000-0300-000009000000}" name="IVA 5%" dataDxfId="62" totalsRowDxfId="61"/>
    <tableColumn id="10" xr3:uid="{00000000-0010-0000-0300-00000A000000}" name="IVA 10.5%" dataDxfId="60" totalsRowDxfId="59"/>
    <tableColumn id="11" xr3:uid="{00000000-0010-0000-0300-00000B000000}" name="IVA 21%" totalsRowFunction="sum" dataDxfId="58" totalsRowDxfId="57"/>
    <tableColumn id="12" xr3:uid="{00000000-0010-0000-0300-00000C000000}" name="IVA 27%" dataDxfId="56" totalsRowDxfId="55"/>
    <tableColumn id="13" xr3:uid="{00000000-0010-0000-0300-00000D000000}" name="Otros Imp" dataDxfId="54" totalsRowDxfId="53"/>
    <tableColumn id="14" xr3:uid="{00000000-0010-0000-0300-00000E000000}" name="Total Compr." totalsRowFunction="sum" dataDxfId="52" totalsRowDxfId="51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A4:N329" totalsRowCount="1" headerRowDxfId="50" dataDxfId="48" totalsRowDxfId="47" headerRowBorderDxfId="49">
  <autoFilter ref="A4:N328" xr:uid="{00000000-0009-0000-0100-000005000000}">
    <filterColumn colId="2">
      <filters>
        <filter val="AGOSTINO MIRIAM"/>
        <filter val="ALEA CARLOS ALBERTO"/>
        <filter val="ALEJANDRA SIFFREDI TORRES SANMARCO"/>
        <filter val="Alexander Fleming S A"/>
        <filter val="Amparo Salud S.R.L."/>
        <filter val="ARANA, MARCELLA OFELIA"/>
        <filter val="ARGENTINA EDITH ZARRILLO"/>
        <filter val="Asociacion Mutual Sancor Salud"/>
        <filter val="BIANCHI TERESA GERMANA"/>
        <filter val="BRENNAN, MARIA IRENE"/>
        <filter val="BUNCHICOFF, MARIA"/>
        <filter val="CAMPOBASSO, MARIANA LAURA"/>
        <filter val="CARUSO LUCIA"/>
        <filter val="Centro Medico Amenabar Srl"/>
        <filter val="CITRIA, HECTOR"/>
        <filter val="CORBALAN LUCIANA"/>
        <filter val="CORIGLIANO, LORENA ELISA"/>
        <filter val="CRISTIAN GOLDENHORN"/>
        <filter val="CUDERO, SILVINA"/>
        <filter val="DE SOUSA NICOLAS"/>
        <filter val="Desalvo Miguel Angel"/>
        <filter val="EGESAC S.A."/>
        <filter val="ENRIQUETA MARIA DEL SOCORRO MAJO"/>
        <filter val="Federacion Argentina De Empleados De Comercio Y Servicios"/>
        <filter val="FEDERICO GERMAN GRELLE"/>
        <filter val="FIORI FRAVOLINI, HELENA"/>
        <filter val="FLORES MARTINA"/>
        <filter val="Fundacion Empresaria Maderera"/>
        <filter val="GABRIELA VANINA GALLO"/>
        <filter val="Galeno A.R.T. S.A."/>
        <filter val="Galeno Argentina Sociedad Anonima"/>
        <filter val="GONZALEZ, LAURA BEATRIZ"/>
        <filter val="HAYDEE PIZZONI"/>
        <filter val="Hc Homecare Internacion Domiciliaria S.A."/>
        <filter val="Herman Patricia"/>
        <filter val="INGRID LILIAN MOSCATELLI"/>
        <filter val="IZZO, ADRIANA"/>
        <filter val="KARIVALI DESPINA"/>
        <filter val="LOCOCO, CARMEN"/>
        <filter val="Login Door S.A"/>
        <filter val="MALOMO, ENRIQUE DANIEL"/>
        <filter val="MARIA ISABEL CALDERER"/>
        <filter val="MATSUO, MARGARITA NOEMI"/>
        <filter val="Medicina Prepaga Hominis S.A."/>
        <filter val="Medicus Sociedad Anonima De Asistencia Medica Y Cientifica"/>
        <filter val="Medincare Argentina S.A."/>
        <filter val="MGR IMPLANTES SA"/>
        <filter val="MINERVINI, MARIA DEL CARMEN LILIANA"/>
        <filter val="MIZRAHI, DIEGO ALBERTO"/>
        <filter val="MODOLO, CRISTIAN ARIEL"/>
        <filter val="MONTI, MARIA PAULA"/>
        <filter val="Najus Anibal Ruben"/>
        <filter val="NOBILI, MATIAS"/>
        <filter val="Obra Social De La Actividad De Seguros, Reaseguros, Capitalizacion Y Ahorro Y Prestamo  Para La Vivienda"/>
        <filter val="Obra Social De Los Trabajadores De La Industria Del Gas"/>
        <filter val="Obra Social Del Personal De La Industria Del Plastico"/>
        <filter val="Obra Social Del Personal De Las Telecomunicaciones De La Republica Argentina"/>
        <filter val="Obra Social Del Sindicato De Mecanicos Y Afines Del Transporte Automotor"/>
        <filter val="Obra Social Union Personal De La Union  Del Personal Civil De La Nacion"/>
        <filter val="PEDROZO, PAULA GABRIELA"/>
        <filter val="Piaggio, Paula Andrea"/>
        <filter val="PINO, ANA PAULA"/>
        <filter val="Puertolas, Maximiliano"/>
        <filter val="RAQUEL DURAÑONA"/>
        <filter val="REPETTO LYNCH, BENJAMIN MARIA"/>
        <filter val="ROMEO, NELIDA ZULMA"/>
        <filter val="Romero Leonardo Gabriel"/>
        <filter val="SAENZ, MAGDALENA."/>
        <filter val="SALLES, ANA MARIA"/>
        <filter val="SANZIO, INMACULADA CONCEPCION"/>
        <filter val="Sc Pilar S.A."/>
        <filter val="SCHELGEL, LUIS ALBERTO"/>
        <filter val="SORIANO, EDGARDO TOMAS"/>
        <filter val="TISSONE, JOSE ERNESTO"/>
        <filter val="TRISTAN SARA ADELA"/>
        <filter val="URSULA KRZYZANOWSKI"/>
        <filter val="USAL, DIEGO ARIEL"/>
        <filter val="VOLPI, ALBERTO JAVIER"/>
        <filter val="ZANOTTI, ANA LAURA"/>
        <filter val="Zc Diabetes Srl"/>
      </filters>
    </filterColumn>
  </autoFilter>
  <tableColumns count="14">
    <tableColumn id="1" xr3:uid="{00000000-0010-0000-0400-000001000000}" name="Fecha" dataDxfId="46" totalsRowDxfId="45"/>
    <tableColumn id="2" xr3:uid="{00000000-0010-0000-0400-000002000000}" name="Comprobante" dataDxfId="44" totalsRowDxfId="43"/>
    <tableColumn id="3" xr3:uid="{00000000-0010-0000-0400-000003000000}" name="Nombre" dataDxfId="42" totalsRowDxfId="41"/>
    <tableColumn id="4" xr3:uid="{00000000-0010-0000-0400-000004000000}" name="Cond. IVA" dataDxfId="40" totalsRowDxfId="39"/>
    <tableColumn id="5" xr3:uid="{00000000-0010-0000-0400-000005000000}" name="CUIT o Doc." dataDxfId="38" totalsRowDxfId="37"/>
    <tableColumn id="6" xr3:uid="{00000000-0010-0000-0400-000006000000}" name="Gravado" totalsRowFunction="sum" dataDxfId="36" totalsRowDxfId="35"/>
    <tableColumn id="7" xr3:uid="{00000000-0010-0000-0400-000007000000}" name="No Gravado" totalsRowFunction="sum" dataDxfId="34" totalsRowDxfId="33"/>
    <tableColumn id="8" xr3:uid="{00000000-0010-0000-0400-000008000000}" name="IVA 2,5%" totalsRowFunction="sum" dataDxfId="32" totalsRowDxfId="31"/>
    <tableColumn id="9" xr3:uid="{00000000-0010-0000-0400-000009000000}" name="IVA 5%" totalsRowFunction="sum" dataDxfId="30" totalsRowDxfId="29"/>
    <tableColumn id="10" xr3:uid="{00000000-0010-0000-0400-00000A000000}" name="IVA 10.5%" totalsRowFunction="sum" dataDxfId="28" totalsRowDxfId="27"/>
    <tableColumn id="11" xr3:uid="{00000000-0010-0000-0400-00000B000000}" name="IVA 21%" totalsRowFunction="sum" dataDxfId="26" totalsRowDxfId="25"/>
    <tableColumn id="12" xr3:uid="{00000000-0010-0000-0400-00000C000000}" name="IVA 27%" totalsRowFunction="sum" dataDxfId="24" totalsRowDxfId="23"/>
    <tableColumn id="13" xr3:uid="{00000000-0010-0000-0400-00000D000000}" name="Otros Imp" totalsRowFunction="sum" dataDxfId="22" totalsRowDxfId="21"/>
    <tableColumn id="14" xr3:uid="{00000000-0010-0000-0400-00000E000000}" name="Total Compr." totalsRowFunction="sum" dataDxfId="20" totalsRowDxfId="19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A5:N375" totalsRowShown="0" headerRowDxfId="18" dataDxfId="16" headerRowBorderDxfId="17" tableBorderDxfId="15" totalsRowBorderDxfId="14">
  <autoFilter ref="A5:N375" xr:uid="{00000000-0009-0000-0100-000006000000}">
    <filterColumn colId="2">
      <filters>
        <filter val="Aca Salud Cooperativa De Prestacion De Servicios Medico Asistenciales Limitada"/>
        <filter val="AGOSTINO MIRIAM"/>
        <filter val="Alexander Fleming S A"/>
        <filter val="Amparo Salud S.R.L."/>
        <filter val="ANTIVERO, LUISA"/>
        <filter val="ARANA, MARCELLA OFELIA"/>
        <filter val="Asociacion Mutual Sancor Salud"/>
        <filter val="BARBAN MONICA"/>
        <filter val="BIANCHI TERESA GERMANA"/>
        <filter val="BRUNO HECTOR ERNESTO"/>
        <filter val="Bullrich, Jorge Antonio"/>
        <filter val="BUNCHICOFF, MARIA"/>
        <filter val="CARUSO LUCIA"/>
        <filter val="Centro Medico Amenabar Srl"/>
        <filter val="CORIGLIANO, LORENA ELISA"/>
        <filter val="Corte Suprema De Justicia Obra Social Del Poder Judicial"/>
        <filter val="CUDERO, SILVINA"/>
        <filter val="DEVIA NIRA NESTORA"/>
        <filter val="DIAZ, HECTOR"/>
        <filter val="Echaide Jose Carlos"/>
        <filter val="EGESAC S.A."/>
        <filter val="FERRAZIN, CAROLINA ELEONORA INES"/>
        <filter val="FIORI FRAVOLINI, HELENA"/>
        <filter val="GABRIELA VANINA GALLO"/>
        <filter val="Galeno A.R.T. S.A."/>
        <filter val="Galeno Argentina Sociedad Anonima"/>
        <filter val="GARCIA FERNANDEZ, ARIEL"/>
        <filter val="GONZALEZ VANESA BEATRIZ"/>
        <filter val="GOOD SHOW SRL"/>
        <filter val="Hc Homecare Internacion Domiciliaria S.A."/>
        <filter val="HERRERA PORCEL MARÍA MERCEDES"/>
        <filter val="JUAN PABLO MINVIELLE"/>
        <filter val="KARIVALI DESPINA"/>
        <filter val="LALANNE RAUL RAMON"/>
        <filter val="LOCOCO, CARMEN"/>
        <filter val="Login Door S.A"/>
        <filter val="MALOMO, ENRIQUE DANIEL"/>
        <filter val="MARTINEZ CESAR"/>
        <filter val="MATSUO, MARGARITA NOEMI"/>
        <filter val="Medicus Sociedad Anonima De Asistencia Medica Y Cientifica"/>
        <filter val="Medincare Argentina S.A."/>
        <filter val="MGR IMPLANTES SA"/>
        <filter val="MIGUEL, EDUARDO ADRIAN"/>
        <filter val="MINERVINI, MARIA DEL CARMEN LILIANA"/>
        <filter val="MIZRAHI, DIEGO ALBERTO"/>
        <filter val="MONTI, MARIA PAULA"/>
        <filter val="MORALES MIGUEL"/>
        <filter val="NOBILI, MATIAS"/>
        <filter val="Obra Social De Docentes Particulares"/>
        <filter val="Obra Social De Los Trabajadores De La Industria Del Gas"/>
        <filter val="Obra Social Del Personal De La Industria Del Plastico"/>
        <filter val="Obra Social Del Personal De Las Telecomunicaciones De La Republica Argentina"/>
        <filter val="Obra Social Del Sindicato De Mecanicos Y Afines Del Transporte Automotor"/>
        <filter val="Obra Social Union Personal De La Union  Del Personal Civil De La Nacion"/>
        <filter val="PAILHE JUAN"/>
        <filter val="PEDROZO, PAULA GABRIELA"/>
        <filter val="Piaggio, Paula Andrea"/>
        <filter val="PINO, ANA PAULA"/>
        <filter val="PINOS RAMÓN MARCELINO"/>
        <filter val="PONCE NORMA BEATRIZ"/>
        <filter val="RAQUEL DURAÑONA"/>
        <filter val="REPETTO LYNCH, BENJAMIN MARIA"/>
        <filter val="REY MARIA DEL CARMEN"/>
        <filter val="SAENZ, MAGDALENA."/>
        <filter val="SALLES, ANA MARIA"/>
        <filter val="SANZIO, INMACULADA CONCEPCION"/>
        <filter val="SARA STRASBERG"/>
        <filter val="Sc Pilar S.A."/>
        <filter val="SCHELGEL, LUIS ALBERTO"/>
        <filter val="SERRANO, CARLOS ARMANDO"/>
        <filter val="SILVA ROSA ESTELA"/>
        <filter val="Silvia Claudia Geijo"/>
        <filter val="SORIANO, EDGARDO TOMAS"/>
        <filter val="TISSONE, JOSE ERNESTO"/>
        <filter val="TRISTAN SARA ADELA"/>
        <filter val="VOLPI, ALBERTO JAVIER"/>
        <filter val="ZANOTTI, ANA LAURA"/>
        <filter val="Zc Diabetes Srl"/>
      </filters>
    </filterColumn>
  </autoFilter>
  <tableColumns count="14">
    <tableColumn id="1" xr3:uid="{00000000-0010-0000-0500-000001000000}" name="Fecha" dataDxfId="13"/>
    <tableColumn id="2" xr3:uid="{00000000-0010-0000-0500-000002000000}" name="Comprobante" dataDxfId="12"/>
    <tableColumn id="3" xr3:uid="{00000000-0010-0000-0500-000003000000}" name="Nombre" dataDxfId="11"/>
    <tableColumn id="4" xr3:uid="{00000000-0010-0000-0500-000004000000}" name="Cond. IVA" dataDxfId="10"/>
    <tableColumn id="5" xr3:uid="{00000000-0010-0000-0500-000005000000}" name="CUIT o Doc." dataDxfId="9"/>
    <tableColumn id="6" xr3:uid="{00000000-0010-0000-0500-000006000000}" name="Gravado" dataDxfId="8"/>
    <tableColumn id="7" xr3:uid="{00000000-0010-0000-0500-000007000000}" name="No Gravado" dataDxfId="7"/>
    <tableColumn id="8" xr3:uid="{00000000-0010-0000-0500-000008000000}" name="IVA 2,5%" dataDxfId="6"/>
    <tableColumn id="9" xr3:uid="{00000000-0010-0000-0500-000009000000}" name="IVA 5%" dataDxfId="5"/>
    <tableColumn id="10" xr3:uid="{00000000-0010-0000-0500-00000A000000}" name="IVA 10.5%" dataDxfId="4"/>
    <tableColumn id="11" xr3:uid="{00000000-0010-0000-0500-00000B000000}" name="IVA 21%" dataDxfId="3"/>
    <tableColumn id="12" xr3:uid="{00000000-0010-0000-0500-00000C000000}" name="IVA 27%" dataDxfId="2"/>
    <tableColumn id="13" xr3:uid="{00000000-0010-0000-0500-00000D000000}" name="Otros Imp" dataDxfId="1"/>
    <tableColumn id="14" xr3:uid="{00000000-0010-0000-0500-00000E000000}" name="Total Compr.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O343"/>
  <sheetViews>
    <sheetView topLeftCell="G1" workbookViewId="0">
      <selection activeCell="A109" sqref="A109:F336"/>
    </sheetView>
  </sheetViews>
  <sheetFormatPr baseColWidth="10" defaultColWidth="11.5703125" defaultRowHeight="15"/>
  <cols>
    <col min="2" max="2" width="20.7109375" customWidth="1"/>
    <col min="3" max="3" width="29.7109375" customWidth="1"/>
    <col min="4" max="4" width="15.42578125" customWidth="1"/>
    <col min="5" max="5" width="15.85546875" customWidth="1"/>
    <col min="6" max="6" width="15.140625" bestFit="1" customWidth="1"/>
    <col min="7" max="7" width="10" customWidth="1"/>
    <col min="8" max="8" width="15.42578125" customWidth="1"/>
    <col min="9" max="9" width="16.28515625" customWidth="1"/>
    <col min="10" max="10" width="16.5703125" customWidth="1"/>
    <col min="11" max="11" width="14.7109375" customWidth="1"/>
    <col min="12" max="12" width="8" customWidth="1"/>
    <col min="13" max="13" width="7.7109375" customWidth="1"/>
    <col min="14" max="14" width="15.140625" bestFit="1" customWidth="1"/>
  </cols>
  <sheetData>
    <row r="2" spans="1:15" ht="18.75">
      <c r="A2" s="1" t="s">
        <v>0</v>
      </c>
      <c r="B2" s="1"/>
      <c r="C2" s="1"/>
      <c r="D2" s="1"/>
    </row>
    <row r="3" spans="1:15" ht="18.75">
      <c r="A3" s="2" t="s">
        <v>1</v>
      </c>
      <c r="B3" s="1"/>
      <c r="C3" s="1"/>
      <c r="D3" s="1"/>
    </row>
    <row r="5" spans="1:1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224" t="s">
        <v>4596</v>
      </c>
    </row>
    <row r="6" spans="1:15">
      <c r="A6" s="4" t="s">
        <v>16</v>
      </c>
      <c r="B6" s="5" t="s">
        <v>17</v>
      </c>
      <c r="C6" s="6" t="s">
        <v>18</v>
      </c>
      <c r="D6" s="6" t="s">
        <v>19</v>
      </c>
      <c r="E6" s="6">
        <v>30715058843</v>
      </c>
      <c r="F6" s="7">
        <v>16942.150000000001</v>
      </c>
      <c r="G6" s="7">
        <v>0</v>
      </c>
      <c r="H6" s="8">
        <v>0</v>
      </c>
      <c r="I6" s="8">
        <v>0</v>
      </c>
      <c r="J6" s="8">
        <v>0</v>
      </c>
      <c r="K6" s="8">
        <v>3557.85</v>
      </c>
      <c r="L6" s="8">
        <v>0</v>
      </c>
      <c r="M6" s="7">
        <v>0</v>
      </c>
      <c r="N6" s="7">
        <v>20500</v>
      </c>
      <c r="O6" t="s">
        <v>4597</v>
      </c>
    </row>
    <row r="7" spans="1:15">
      <c r="A7" s="4" t="s">
        <v>20</v>
      </c>
      <c r="B7" s="5" t="s">
        <v>21</v>
      </c>
      <c r="C7" s="6" t="s">
        <v>22</v>
      </c>
      <c r="D7" s="6" t="s">
        <v>19</v>
      </c>
      <c r="E7" s="6">
        <v>30683627751</v>
      </c>
      <c r="F7" s="7">
        <v>4876.03</v>
      </c>
      <c r="G7" s="7">
        <v>0</v>
      </c>
      <c r="H7" s="8">
        <v>0</v>
      </c>
      <c r="I7" s="8">
        <v>0</v>
      </c>
      <c r="J7" s="8">
        <v>0</v>
      </c>
      <c r="K7" s="8">
        <v>1023.97</v>
      </c>
      <c r="L7" s="8">
        <v>0</v>
      </c>
      <c r="M7" s="7">
        <v>0</v>
      </c>
      <c r="N7" s="7">
        <v>5900</v>
      </c>
      <c r="O7" t="s">
        <v>4598</v>
      </c>
    </row>
    <row r="8" spans="1:15">
      <c r="A8" s="4" t="s">
        <v>23</v>
      </c>
      <c r="B8" s="5" t="s">
        <v>24</v>
      </c>
      <c r="C8" s="6" t="s">
        <v>25</v>
      </c>
      <c r="D8" s="6" t="s">
        <v>19</v>
      </c>
      <c r="E8" s="6">
        <v>30522428163</v>
      </c>
      <c r="F8" s="7">
        <v>41891652.910000004</v>
      </c>
      <c r="G8" s="7">
        <v>0</v>
      </c>
      <c r="H8" s="8">
        <v>0</v>
      </c>
      <c r="I8" s="8">
        <v>0</v>
      </c>
      <c r="J8" s="8">
        <v>0</v>
      </c>
      <c r="K8" s="8">
        <v>8797247.0999999996</v>
      </c>
      <c r="L8" s="8">
        <v>0</v>
      </c>
      <c r="M8" s="7">
        <v>0</v>
      </c>
      <c r="N8" s="7">
        <v>50688900.009999998</v>
      </c>
      <c r="O8" t="s">
        <v>4597</v>
      </c>
    </row>
    <row r="9" spans="1:15">
      <c r="A9" s="4" t="s">
        <v>26</v>
      </c>
      <c r="B9" s="5" t="s">
        <v>27</v>
      </c>
      <c r="C9" s="6" t="s">
        <v>25</v>
      </c>
      <c r="D9" s="6" t="s">
        <v>19</v>
      </c>
      <c r="E9" s="6">
        <v>30522428163</v>
      </c>
      <c r="F9" s="7">
        <v>562796.85</v>
      </c>
      <c r="G9" s="7">
        <v>0</v>
      </c>
      <c r="H9" s="8">
        <v>0</v>
      </c>
      <c r="I9" s="8">
        <v>0</v>
      </c>
      <c r="J9" s="8">
        <v>0</v>
      </c>
      <c r="K9" s="8">
        <v>118187.34</v>
      </c>
      <c r="L9" s="8">
        <v>0</v>
      </c>
      <c r="M9" s="7">
        <v>0</v>
      </c>
      <c r="N9" s="7">
        <v>680984.19</v>
      </c>
      <c r="O9" t="s">
        <v>4597</v>
      </c>
    </row>
    <row r="10" spans="1:15">
      <c r="A10" s="4" t="s">
        <v>26</v>
      </c>
      <c r="B10" s="5" t="s">
        <v>28</v>
      </c>
      <c r="C10" s="6" t="s">
        <v>25</v>
      </c>
      <c r="D10" s="6" t="s">
        <v>19</v>
      </c>
      <c r="E10" s="6">
        <v>30522428163</v>
      </c>
      <c r="F10" s="7">
        <v>558621.77</v>
      </c>
      <c r="G10" s="7">
        <v>0</v>
      </c>
      <c r="H10" s="8">
        <v>0</v>
      </c>
      <c r="I10" s="8">
        <v>0</v>
      </c>
      <c r="J10" s="8">
        <v>0</v>
      </c>
      <c r="K10" s="8">
        <v>117310.57</v>
      </c>
      <c r="L10" s="8">
        <v>0</v>
      </c>
      <c r="M10" s="7">
        <v>0</v>
      </c>
      <c r="N10" s="7">
        <v>675932.34</v>
      </c>
      <c r="O10" t="s">
        <v>4597</v>
      </c>
    </row>
    <row r="11" spans="1:15">
      <c r="A11" s="4" t="s">
        <v>29</v>
      </c>
      <c r="B11" s="5" t="s">
        <v>30</v>
      </c>
      <c r="C11" s="6" t="s">
        <v>25</v>
      </c>
      <c r="D11" s="6" t="s">
        <v>19</v>
      </c>
      <c r="E11" s="6">
        <v>30522428163</v>
      </c>
      <c r="F11" s="7">
        <v>3964207.67</v>
      </c>
      <c r="G11" s="7">
        <v>0</v>
      </c>
      <c r="H11" s="8">
        <v>0</v>
      </c>
      <c r="I11" s="8">
        <v>0</v>
      </c>
      <c r="J11" s="8">
        <v>0</v>
      </c>
      <c r="K11" s="8">
        <v>832483.61</v>
      </c>
      <c r="L11" s="8">
        <v>0</v>
      </c>
      <c r="M11" s="7">
        <v>0</v>
      </c>
      <c r="N11" s="7">
        <v>4796691.28</v>
      </c>
      <c r="O11" t="s">
        <v>4597</v>
      </c>
    </row>
    <row r="12" spans="1:15">
      <c r="A12" s="4" t="s">
        <v>31</v>
      </c>
      <c r="B12" s="5" t="s">
        <v>32</v>
      </c>
      <c r="C12" s="6" t="s">
        <v>25</v>
      </c>
      <c r="D12" s="6" t="s">
        <v>19</v>
      </c>
      <c r="E12" s="6">
        <v>30522428163</v>
      </c>
      <c r="F12" s="7">
        <v>6050000</v>
      </c>
      <c r="G12" s="7">
        <v>0</v>
      </c>
      <c r="H12" s="8">
        <v>0</v>
      </c>
      <c r="I12" s="8">
        <v>0</v>
      </c>
      <c r="J12" s="8">
        <v>0</v>
      </c>
      <c r="K12" s="8">
        <v>1270500</v>
      </c>
      <c r="L12" s="8">
        <v>0</v>
      </c>
      <c r="M12" s="7">
        <v>0</v>
      </c>
      <c r="N12" s="7">
        <v>7320500</v>
      </c>
      <c r="O12" t="s">
        <v>4597</v>
      </c>
    </row>
    <row r="13" spans="1:15">
      <c r="A13" s="4" t="s">
        <v>31</v>
      </c>
      <c r="B13" s="5" t="s">
        <v>33</v>
      </c>
      <c r="C13" s="6" t="s">
        <v>25</v>
      </c>
      <c r="D13" s="6" t="s">
        <v>19</v>
      </c>
      <c r="E13" s="6">
        <v>30522428163</v>
      </c>
      <c r="F13" s="7">
        <v>14223140.5</v>
      </c>
      <c r="G13" s="7">
        <v>0</v>
      </c>
      <c r="H13" s="8">
        <v>0</v>
      </c>
      <c r="I13" s="8">
        <v>0</v>
      </c>
      <c r="J13" s="8">
        <v>0</v>
      </c>
      <c r="K13" s="8">
        <v>2986859.5</v>
      </c>
      <c r="L13" s="8">
        <v>0</v>
      </c>
      <c r="M13" s="7">
        <v>0</v>
      </c>
      <c r="N13" s="7">
        <v>17210000</v>
      </c>
      <c r="O13" t="s">
        <v>4597</v>
      </c>
    </row>
    <row r="14" spans="1:15">
      <c r="A14" s="4" t="s">
        <v>34</v>
      </c>
      <c r="B14" s="5" t="s">
        <v>35</v>
      </c>
      <c r="C14" s="6" t="s">
        <v>36</v>
      </c>
      <c r="D14" s="6" t="s">
        <v>19</v>
      </c>
      <c r="E14" s="6">
        <v>30683032227</v>
      </c>
      <c r="F14" s="7">
        <v>769481</v>
      </c>
      <c r="G14" s="7">
        <v>0</v>
      </c>
      <c r="H14" s="8">
        <v>0</v>
      </c>
      <c r="I14" s="8">
        <v>0</v>
      </c>
      <c r="J14" s="8">
        <v>0</v>
      </c>
      <c r="K14" s="8">
        <v>161591.01</v>
      </c>
      <c r="L14" s="8">
        <v>0</v>
      </c>
      <c r="M14" s="7">
        <v>0</v>
      </c>
      <c r="N14" s="7">
        <v>931072.01</v>
      </c>
    </row>
    <row r="15" spans="1:15">
      <c r="A15" s="4" t="s">
        <v>34</v>
      </c>
      <c r="B15" s="5" t="s">
        <v>37</v>
      </c>
      <c r="C15" s="6" t="s">
        <v>36</v>
      </c>
      <c r="D15" s="6" t="s">
        <v>19</v>
      </c>
      <c r="E15" s="6">
        <v>30683032227</v>
      </c>
      <c r="F15" s="7">
        <v>478165.29</v>
      </c>
      <c r="G15" s="7">
        <v>0</v>
      </c>
      <c r="H15" s="8">
        <v>0</v>
      </c>
      <c r="I15" s="8">
        <v>0</v>
      </c>
      <c r="J15" s="8">
        <v>0</v>
      </c>
      <c r="K15" s="8">
        <v>100414.71</v>
      </c>
      <c r="L15" s="8">
        <v>0</v>
      </c>
      <c r="M15" s="7">
        <v>0</v>
      </c>
      <c r="N15" s="7">
        <v>578580</v>
      </c>
    </row>
    <row r="16" spans="1:15">
      <c r="A16" s="4" t="s">
        <v>38</v>
      </c>
      <c r="B16" s="5" t="s">
        <v>39</v>
      </c>
      <c r="C16" s="6" t="s">
        <v>25</v>
      </c>
      <c r="D16" s="6" t="s">
        <v>19</v>
      </c>
      <c r="E16" s="6">
        <v>30522428163</v>
      </c>
      <c r="F16" s="7">
        <v>12297024.800000001</v>
      </c>
      <c r="G16" s="7">
        <v>0</v>
      </c>
      <c r="H16" s="8">
        <v>0</v>
      </c>
      <c r="I16" s="8">
        <v>0</v>
      </c>
      <c r="J16" s="8">
        <v>0</v>
      </c>
      <c r="K16" s="8">
        <v>2582375.19</v>
      </c>
      <c r="L16" s="8">
        <v>0</v>
      </c>
      <c r="M16" s="7">
        <v>0</v>
      </c>
      <c r="N16" s="7">
        <v>14879399.99</v>
      </c>
      <c r="O16" t="s">
        <v>4597</v>
      </c>
    </row>
    <row r="17" spans="1:15">
      <c r="A17" s="4" t="s">
        <v>40</v>
      </c>
      <c r="B17" s="5" t="s">
        <v>41</v>
      </c>
      <c r="C17" s="6" t="s">
        <v>25</v>
      </c>
      <c r="D17" s="6" t="s">
        <v>19</v>
      </c>
      <c r="E17" s="6">
        <v>30522428163</v>
      </c>
      <c r="F17" s="7">
        <v>45454545.450000003</v>
      </c>
      <c r="G17" s="7">
        <v>0</v>
      </c>
      <c r="H17" s="8">
        <v>0</v>
      </c>
      <c r="I17" s="8">
        <v>0</v>
      </c>
      <c r="J17" s="8">
        <v>0</v>
      </c>
      <c r="K17" s="8">
        <v>9545454.540000001</v>
      </c>
      <c r="L17" s="8">
        <v>0</v>
      </c>
      <c r="M17" s="7">
        <v>0</v>
      </c>
      <c r="N17" s="7">
        <v>54999999.990000002</v>
      </c>
      <c r="O17" t="s">
        <v>4597</v>
      </c>
    </row>
    <row r="18" spans="1:15">
      <c r="A18" s="4" t="s">
        <v>42</v>
      </c>
      <c r="B18" s="5" t="s">
        <v>43</v>
      </c>
      <c r="C18" s="6" t="s">
        <v>25</v>
      </c>
      <c r="D18" s="6" t="s">
        <v>19</v>
      </c>
      <c r="E18" s="6">
        <v>30522428163</v>
      </c>
      <c r="F18" s="7">
        <v>695867.76</v>
      </c>
      <c r="G18" s="7">
        <v>0</v>
      </c>
      <c r="H18" s="8">
        <v>0</v>
      </c>
      <c r="I18" s="8">
        <v>0</v>
      </c>
      <c r="J18" s="8">
        <v>0</v>
      </c>
      <c r="K18" s="8">
        <v>146132.22</v>
      </c>
      <c r="L18" s="8">
        <v>0</v>
      </c>
      <c r="M18" s="7">
        <v>0</v>
      </c>
      <c r="N18" s="7">
        <v>841999.98</v>
      </c>
      <c r="O18" t="s">
        <v>4597</v>
      </c>
    </row>
    <row r="19" spans="1:15">
      <c r="A19" s="4" t="s">
        <v>23</v>
      </c>
      <c r="B19" s="5" t="s">
        <v>44</v>
      </c>
      <c r="C19" s="6" t="s">
        <v>45</v>
      </c>
      <c r="D19" s="6" t="s">
        <v>19</v>
      </c>
      <c r="E19" s="6">
        <v>30608716390</v>
      </c>
      <c r="F19" s="7">
        <v>4771.9000000000005</v>
      </c>
      <c r="G19" s="7">
        <v>0</v>
      </c>
      <c r="H19" s="8">
        <v>0</v>
      </c>
      <c r="I19" s="8">
        <v>0</v>
      </c>
      <c r="J19" s="8">
        <v>0</v>
      </c>
      <c r="K19" s="8">
        <v>1002.1</v>
      </c>
      <c r="L19" s="8">
        <v>0</v>
      </c>
      <c r="M19" s="7">
        <v>0</v>
      </c>
      <c r="N19" s="7">
        <v>5774</v>
      </c>
    </row>
    <row r="20" spans="1:15">
      <c r="A20" s="4" t="s">
        <v>23</v>
      </c>
      <c r="B20" s="5" t="s">
        <v>46</v>
      </c>
      <c r="C20" s="6" t="s">
        <v>45</v>
      </c>
      <c r="D20" s="6" t="s">
        <v>19</v>
      </c>
      <c r="E20" s="6">
        <v>30608716390</v>
      </c>
      <c r="F20" s="7">
        <v>4462.8100000000004</v>
      </c>
      <c r="G20" s="7">
        <v>0</v>
      </c>
      <c r="H20" s="8">
        <v>0</v>
      </c>
      <c r="I20" s="8">
        <v>0</v>
      </c>
      <c r="J20" s="8">
        <v>0</v>
      </c>
      <c r="K20" s="8">
        <v>937.19</v>
      </c>
      <c r="L20" s="8">
        <v>0</v>
      </c>
      <c r="M20" s="7">
        <v>0</v>
      </c>
      <c r="N20" s="7">
        <v>5400</v>
      </c>
    </row>
    <row r="21" spans="1:15">
      <c r="A21" s="4" t="s">
        <v>23</v>
      </c>
      <c r="B21" s="5" t="s">
        <v>47</v>
      </c>
      <c r="C21" s="6" t="s">
        <v>45</v>
      </c>
      <c r="D21" s="6" t="s">
        <v>19</v>
      </c>
      <c r="E21" s="6">
        <v>30608716390</v>
      </c>
      <c r="F21" s="7">
        <v>4471.8500000000004</v>
      </c>
      <c r="G21" s="7">
        <v>0</v>
      </c>
      <c r="H21" s="8">
        <v>0</v>
      </c>
      <c r="I21" s="8">
        <v>0</v>
      </c>
      <c r="J21" s="8">
        <v>0</v>
      </c>
      <c r="K21" s="8">
        <v>939.09</v>
      </c>
      <c r="L21" s="8">
        <v>0</v>
      </c>
      <c r="M21" s="7">
        <v>0</v>
      </c>
      <c r="N21" s="7">
        <v>5410.94</v>
      </c>
    </row>
    <row r="22" spans="1:15">
      <c r="A22" s="4" t="s">
        <v>23</v>
      </c>
      <c r="B22" s="5" t="s">
        <v>48</v>
      </c>
      <c r="C22" s="6" t="s">
        <v>45</v>
      </c>
      <c r="D22" s="6" t="s">
        <v>19</v>
      </c>
      <c r="E22" s="6">
        <v>30608716390</v>
      </c>
      <c r="F22" s="7">
        <v>5015.4000000000005</v>
      </c>
      <c r="G22" s="7">
        <v>0</v>
      </c>
      <c r="H22" s="8">
        <v>0</v>
      </c>
      <c r="I22" s="8">
        <v>0</v>
      </c>
      <c r="J22" s="8">
        <v>0</v>
      </c>
      <c r="K22" s="8">
        <v>1053.23</v>
      </c>
      <c r="L22" s="8">
        <v>0</v>
      </c>
      <c r="M22" s="7">
        <v>0</v>
      </c>
      <c r="N22" s="7">
        <v>6068.63</v>
      </c>
    </row>
    <row r="23" spans="1:15">
      <c r="A23" s="4" t="s">
        <v>23</v>
      </c>
      <c r="B23" s="5" t="s">
        <v>49</v>
      </c>
      <c r="C23" s="6" t="s">
        <v>45</v>
      </c>
      <c r="D23" s="6" t="s">
        <v>19</v>
      </c>
      <c r="E23" s="6">
        <v>30608716390</v>
      </c>
      <c r="F23" s="7">
        <v>10909.09</v>
      </c>
      <c r="G23" s="7">
        <v>0</v>
      </c>
      <c r="H23" s="8">
        <v>0</v>
      </c>
      <c r="I23" s="8">
        <v>0</v>
      </c>
      <c r="J23" s="8">
        <v>0</v>
      </c>
      <c r="K23" s="8">
        <v>2290.91</v>
      </c>
      <c r="L23" s="8">
        <v>0</v>
      </c>
      <c r="M23" s="7">
        <v>0</v>
      </c>
      <c r="N23" s="7">
        <v>13200</v>
      </c>
    </row>
    <row r="24" spans="1:15">
      <c r="A24" s="4" t="s">
        <v>23</v>
      </c>
      <c r="B24" s="5" t="s">
        <v>50</v>
      </c>
      <c r="C24" s="6" t="s">
        <v>45</v>
      </c>
      <c r="D24" s="6" t="s">
        <v>19</v>
      </c>
      <c r="E24" s="6">
        <v>30608716390</v>
      </c>
      <c r="F24" s="7">
        <v>5801.65</v>
      </c>
      <c r="G24" s="7">
        <v>0</v>
      </c>
      <c r="H24" s="8">
        <v>0</v>
      </c>
      <c r="I24" s="8">
        <v>0</v>
      </c>
      <c r="J24" s="8">
        <v>0</v>
      </c>
      <c r="K24" s="8">
        <v>1218.3500000000001</v>
      </c>
      <c r="L24" s="8">
        <v>0</v>
      </c>
      <c r="M24" s="7">
        <v>0</v>
      </c>
      <c r="N24" s="7">
        <v>7020</v>
      </c>
    </row>
    <row r="25" spans="1:15">
      <c r="A25" s="4" t="s">
        <v>26</v>
      </c>
      <c r="B25" s="5" t="s">
        <v>51</v>
      </c>
      <c r="C25" s="6" t="s">
        <v>45</v>
      </c>
      <c r="D25" s="6" t="s">
        <v>19</v>
      </c>
      <c r="E25" s="6">
        <v>30608716390</v>
      </c>
      <c r="F25" s="7">
        <v>6446.28</v>
      </c>
      <c r="G25" s="7">
        <v>0</v>
      </c>
      <c r="H25" s="8">
        <v>0</v>
      </c>
      <c r="I25" s="8">
        <v>0</v>
      </c>
      <c r="J25" s="8">
        <v>0</v>
      </c>
      <c r="K25" s="8">
        <v>1353.72</v>
      </c>
      <c r="L25" s="8">
        <v>0</v>
      </c>
      <c r="M25" s="7">
        <v>0</v>
      </c>
      <c r="N25" s="7">
        <v>7800</v>
      </c>
    </row>
    <row r="26" spans="1:15">
      <c r="A26" s="4" t="s">
        <v>26</v>
      </c>
      <c r="B26" s="5" t="s">
        <v>52</v>
      </c>
      <c r="C26" s="6" t="s">
        <v>45</v>
      </c>
      <c r="D26" s="6" t="s">
        <v>19</v>
      </c>
      <c r="E26" s="6">
        <v>30608716390</v>
      </c>
      <c r="F26" s="7">
        <v>14958.68</v>
      </c>
      <c r="G26" s="7">
        <v>0</v>
      </c>
      <c r="H26" s="8">
        <v>0</v>
      </c>
      <c r="I26" s="8">
        <v>0</v>
      </c>
      <c r="J26" s="8">
        <v>0</v>
      </c>
      <c r="K26" s="8">
        <v>3141.32</v>
      </c>
      <c r="L26" s="8">
        <v>0</v>
      </c>
      <c r="M26" s="7">
        <v>0</v>
      </c>
      <c r="N26" s="7">
        <v>18100</v>
      </c>
    </row>
    <row r="27" spans="1:15">
      <c r="A27" s="4" t="s">
        <v>26</v>
      </c>
      <c r="B27" s="5" t="s">
        <v>53</v>
      </c>
      <c r="C27" s="6" t="s">
        <v>45</v>
      </c>
      <c r="D27" s="6" t="s">
        <v>19</v>
      </c>
      <c r="E27" s="6">
        <v>30608716390</v>
      </c>
      <c r="F27" s="7">
        <v>5801.65</v>
      </c>
      <c r="G27" s="7">
        <v>0</v>
      </c>
      <c r="H27" s="8">
        <v>0</v>
      </c>
      <c r="I27" s="8">
        <v>0</v>
      </c>
      <c r="J27" s="8">
        <v>0</v>
      </c>
      <c r="K27" s="8">
        <v>1218.3500000000001</v>
      </c>
      <c r="L27" s="8">
        <v>0</v>
      </c>
      <c r="M27" s="7">
        <v>0</v>
      </c>
      <c r="N27" s="7">
        <v>7020</v>
      </c>
    </row>
    <row r="28" spans="1:15">
      <c r="A28" s="4" t="s">
        <v>26</v>
      </c>
      <c r="B28" s="5" t="s">
        <v>54</v>
      </c>
      <c r="C28" s="6" t="s">
        <v>45</v>
      </c>
      <c r="D28" s="6" t="s">
        <v>19</v>
      </c>
      <c r="E28" s="6">
        <v>30608716390</v>
      </c>
      <c r="F28" s="7">
        <v>4512.4000000000005</v>
      </c>
      <c r="G28" s="7">
        <v>0</v>
      </c>
      <c r="H28" s="8">
        <v>0</v>
      </c>
      <c r="I28" s="8">
        <v>0</v>
      </c>
      <c r="J28" s="8">
        <v>0</v>
      </c>
      <c r="K28" s="8">
        <v>947.6</v>
      </c>
      <c r="L28" s="8">
        <v>0</v>
      </c>
      <c r="M28" s="7">
        <v>0</v>
      </c>
      <c r="N28" s="7">
        <v>5460</v>
      </c>
    </row>
    <row r="29" spans="1:15">
      <c r="A29" s="4" t="s">
        <v>26</v>
      </c>
      <c r="B29" s="5" t="s">
        <v>55</v>
      </c>
      <c r="C29" s="6" t="s">
        <v>45</v>
      </c>
      <c r="D29" s="6" t="s">
        <v>19</v>
      </c>
      <c r="E29" s="6">
        <v>30608716390</v>
      </c>
      <c r="F29" s="7">
        <v>2460.33</v>
      </c>
      <c r="G29" s="7">
        <v>0</v>
      </c>
      <c r="H29" s="8">
        <v>0</v>
      </c>
      <c r="I29" s="8">
        <v>0</v>
      </c>
      <c r="J29" s="8">
        <v>0</v>
      </c>
      <c r="K29" s="8">
        <v>516.66999999999996</v>
      </c>
      <c r="L29" s="8">
        <v>0</v>
      </c>
      <c r="M29" s="7">
        <v>0</v>
      </c>
      <c r="N29" s="7">
        <v>2977</v>
      </c>
    </row>
    <row r="30" spans="1:15">
      <c r="A30" s="4" t="s">
        <v>26</v>
      </c>
      <c r="B30" s="5" t="s">
        <v>56</v>
      </c>
      <c r="C30" s="6" t="s">
        <v>45</v>
      </c>
      <c r="D30" s="6" t="s">
        <v>19</v>
      </c>
      <c r="E30" s="6">
        <v>30608716390</v>
      </c>
      <c r="F30" s="7">
        <v>4132.24</v>
      </c>
      <c r="G30" s="7">
        <v>0</v>
      </c>
      <c r="H30" s="8">
        <v>0</v>
      </c>
      <c r="I30" s="8">
        <v>0</v>
      </c>
      <c r="J30" s="8">
        <v>0</v>
      </c>
      <c r="K30" s="8">
        <v>867.77</v>
      </c>
      <c r="L30" s="8">
        <v>0</v>
      </c>
      <c r="M30" s="7">
        <v>0</v>
      </c>
      <c r="N30" s="7">
        <v>5000.01</v>
      </c>
    </row>
    <row r="31" spans="1:15">
      <c r="A31" s="4" t="s">
        <v>26</v>
      </c>
      <c r="B31" s="5" t="s">
        <v>57</v>
      </c>
      <c r="C31" s="6" t="s">
        <v>45</v>
      </c>
      <c r="D31" s="6" t="s">
        <v>19</v>
      </c>
      <c r="E31" s="6">
        <v>30608716390</v>
      </c>
      <c r="F31" s="7">
        <v>4578.51</v>
      </c>
      <c r="G31" s="7">
        <v>0</v>
      </c>
      <c r="H31" s="8">
        <v>0</v>
      </c>
      <c r="I31" s="8">
        <v>0</v>
      </c>
      <c r="J31" s="8">
        <v>0</v>
      </c>
      <c r="K31" s="8">
        <v>961.49</v>
      </c>
      <c r="L31" s="8">
        <v>0</v>
      </c>
      <c r="M31" s="7">
        <v>0</v>
      </c>
      <c r="N31" s="7">
        <v>5540</v>
      </c>
    </row>
    <row r="32" spans="1:15">
      <c r="A32" s="4" t="s">
        <v>26</v>
      </c>
      <c r="B32" s="5" t="s">
        <v>58</v>
      </c>
      <c r="C32" s="6" t="s">
        <v>45</v>
      </c>
      <c r="D32" s="6" t="s">
        <v>19</v>
      </c>
      <c r="E32" s="6">
        <v>30608716390</v>
      </c>
      <c r="F32" s="7">
        <v>1710.75</v>
      </c>
      <c r="G32" s="7">
        <v>0</v>
      </c>
      <c r="H32" s="8">
        <v>0</v>
      </c>
      <c r="I32" s="8">
        <v>0</v>
      </c>
      <c r="J32" s="8">
        <v>0</v>
      </c>
      <c r="K32" s="8">
        <v>359.26</v>
      </c>
      <c r="L32" s="8">
        <v>0</v>
      </c>
      <c r="M32" s="7">
        <v>0</v>
      </c>
      <c r="N32" s="7">
        <v>2070.0100000000002</v>
      </c>
    </row>
    <row r="33" spans="1:15">
      <c r="A33" s="4" t="s">
        <v>26</v>
      </c>
      <c r="B33" s="5" t="s">
        <v>59</v>
      </c>
      <c r="C33" s="6" t="s">
        <v>45</v>
      </c>
      <c r="D33" s="6" t="s">
        <v>19</v>
      </c>
      <c r="E33" s="6">
        <v>30608716390</v>
      </c>
      <c r="F33" s="7">
        <v>2148.7600000000002</v>
      </c>
      <c r="G33" s="7">
        <v>0</v>
      </c>
      <c r="H33" s="8">
        <v>0</v>
      </c>
      <c r="I33" s="8">
        <v>0</v>
      </c>
      <c r="J33" s="8">
        <v>0</v>
      </c>
      <c r="K33" s="8">
        <v>451.24</v>
      </c>
      <c r="L33" s="8">
        <v>0</v>
      </c>
      <c r="M33" s="7">
        <v>0</v>
      </c>
      <c r="N33" s="7">
        <v>2600</v>
      </c>
    </row>
    <row r="34" spans="1:15">
      <c r="A34" s="4" t="s">
        <v>26</v>
      </c>
      <c r="B34" s="5" t="s">
        <v>60</v>
      </c>
      <c r="C34" s="6" t="s">
        <v>45</v>
      </c>
      <c r="D34" s="6" t="s">
        <v>19</v>
      </c>
      <c r="E34" s="6">
        <v>30608716390</v>
      </c>
      <c r="F34" s="7">
        <v>1338.85</v>
      </c>
      <c r="G34" s="7">
        <v>0</v>
      </c>
      <c r="H34" s="8">
        <v>0</v>
      </c>
      <c r="I34" s="8">
        <v>0</v>
      </c>
      <c r="J34" s="8">
        <v>0</v>
      </c>
      <c r="K34" s="8">
        <v>281.16000000000003</v>
      </c>
      <c r="L34" s="8">
        <v>0</v>
      </c>
      <c r="M34" s="7">
        <v>0</v>
      </c>
      <c r="N34" s="7">
        <v>1620.01</v>
      </c>
    </row>
    <row r="35" spans="1:15">
      <c r="A35" s="4" t="s">
        <v>26</v>
      </c>
      <c r="B35" s="5" t="s">
        <v>61</v>
      </c>
      <c r="C35" s="6" t="s">
        <v>45</v>
      </c>
      <c r="D35" s="6" t="s">
        <v>19</v>
      </c>
      <c r="E35" s="6">
        <v>30608716390</v>
      </c>
      <c r="F35" s="7">
        <v>1636.37</v>
      </c>
      <c r="G35" s="7">
        <v>0</v>
      </c>
      <c r="H35" s="8">
        <v>0</v>
      </c>
      <c r="I35" s="8">
        <v>0</v>
      </c>
      <c r="J35" s="8">
        <v>0</v>
      </c>
      <c r="K35" s="8">
        <v>343.64</v>
      </c>
      <c r="L35" s="8">
        <v>0</v>
      </c>
      <c r="M35" s="7">
        <v>0</v>
      </c>
      <c r="N35" s="7">
        <v>1980.01</v>
      </c>
    </row>
    <row r="36" spans="1:15">
      <c r="A36" s="4" t="s">
        <v>26</v>
      </c>
      <c r="B36" s="5" t="s">
        <v>62</v>
      </c>
      <c r="C36" s="6" t="s">
        <v>25</v>
      </c>
      <c r="D36" s="6" t="s">
        <v>19</v>
      </c>
      <c r="E36" s="6">
        <v>30522428163</v>
      </c>
      <c r="F36" s="7">
        <v>119504.13</v>
      </c>
      <c r="G36" s="7">
        <v>0</v>
      </c>
      <c r="H36" s="8">
        <v>0</v>
      </c>
      <c r="I36" s="8">
        <v>0</v>
      </c>
      <c r="J36" s="8">
        <v>0</v>
      </c>
      <c r="K36" s="8">
        <v>25095.87</v>
      </c>
      <c r="L36" s="8">
        <v>0</v>
      </c>
      <c r="M36" s="7">
        <v>0</v>
      </c>
      <c r="N36" s="7">
        <v>144600</v>
      </c>
      <c r="O36" t="s">
        <v>4597</v>
      </c>
    </row>
    <row r="37" spans="1:15">
      <c r="A37" s="4" t="s">
        <v>26</v>
      </c>
      <c r="B37" s="5" t="s">
        <v>63</v>
      </c>
      <c r="C37" s="6" t="s">
        <v>25</v>
      </c>
      <c r="D37" s="6" t="s">
        <v>19</v>
      </c>
      <c r="E37" s="6">
        <v>30522428163</v>
      </c>
      <c r="F37" s="7">
        <v>23644.41</v>
      </c>
      <c r="G37" s="7">
        <v>0</v>
      </c>
      <c r="H37" s="8">
        <v>0</v>
      </c>
      <c r="I37" s="8">
        <v>0</v>
      </c>
      <c r="J37" s="8">
        <v>0</v>
      </c>
      <c r="K37" s="8">
        <v>4965.33</v>
      </c>
      <c r="L37" s="8">
        <v>0</v>
      </c>
      <c r="M37" s="7">
        <v>0</v>
      </c>
      <c r="N37" s="7">
        <v>28609.74</v>
      </c>
      <c r="O37" t="s">
        <v>4597</v>
      </c>
    </row>
    <row r="38" spans="1:15">
      <c r="A38" s="4" t="s">
        <v>29</v>
      </c>
      <c r="B38" s="5" t="s">
        <v>64</v>
      </c>
      <c r="C38" s="6" t="s">
        <v>25</v>
      </c>
      <c r="D38" s="6" t="s">
        <v>19</v>
      </c>
      <c r="E38" s="6">
        <v>30522428163</v>
      </c>
      <c r="F38" s="7">
        <v>358057.31</v>
      </c>
      <c r="G38" s="7">
        <v>0</v>
      </c>
      <c r="H38" s="8">
        <v>0</v>
      </c>
      <c r="I38" s="8">
        <v>0</v>
      </c>
      <c r="J38" s="8">
        <v>0</v>
      </c>
      <c r="K38" s="8">
        <v>75192.040000000008</v>
      </c>
      <c r="L38" s="8">
        <v>0</v>
      </c>
      <c r="M38" s="7">
        <v>0</v>
      </c>
      <c r="N38" s="7">
        <v>433249.35</v>
      </c>
      <c r="O38" t="s">
        <v>4597</v>
      </c>
    </row>
    <row r="39" spans="1:15">
      <c r="A39" s="4" t="s">
        <v>65</v>
      </c>
      <c r="B39" s="5" t="s">
        <v>66</v>
      </c>
      <c r="C39" s="6" t="s">
        <v>67</v>
      </c>
      <c r="D39" s="6" t="s">
        <v>19</v>
      </c>
      <c r="E39" s="6">
        <v>30710538014</v>
      </c>
      <c r="F39" s="7">
        <v>104407.71</v>
      </c>
      <c r="G39" s="7">
        <v>0</v>
      </c>
      <c r="H39" s="8">
        <v>0</v>
      </c>
      <c r="I39" s="8">
        <v>0</v>
      </c>
      <c r="J39" s="8">
        <v>0</v>
      </c>
      <c r="K39" s="8">
        <v>21925.62</v>
      </c>
      <c r="L39" s="8">
        <v>0</v>
      </c>
      <c r="M39" s="7">
        <v>0</v>
      </c>
      <c r="N39" s="7">
        <v>126333.33</v>
      </c>
      <c r="O39" t="s">
        <v>4598</v>
      </c>
    </row>
    <row r="40" spans="1:15">
      <c r="A40" s="4" t="s">
        <v>65</v>
      </c>
      <c r="B40" s="5" t="s">
        <v>68</v>
      </c>
      <c r="C40" s="6" t="s">
        <v>67</v>
      </c>
      <c r="D40" s="6" t="s">
        <v>19</v>
      </c>
      <c r="E40" s="6">
        <v>30710538014</v>
      </c>
      <c r="F40" s="7">
        <v>23966.94</v>
      </c>
      <c r="G40" s="7">
        <v>0</v>
      </c>
      <c r="H40" s="8">
        <v>0</v>
      </c>
      <c r="I40" s="8">
        <v>0</v>
      </c>
      <c r="J40" s="8">
        <v>0</v>
      </c>
      <c r="K40" s="8">
        <v>5033.0600000000004</v>
      </c>
      <c r="L40" s="8">
        <v>0</v>
      </c>
      <c r="M40" s="7">
        <v>0</v>
      </c>
      <c r="N40" s="7">
        <v>29000</v>
      </c>
      <c r="O40" t="s">
        <v>4598</v>
      </c>
    </row>
    <row r="41" spans="1:15">
      <c r="A41" s="4" t="s">
        <v>65</v>
      </c>
      <c r="B41" s="5" t="s">
        <v>69</v>
      </c>
      <c r="C41" s="6" t="s">
        <v>70</v>
      </c>
      <c r="D41" s="6" t="s">
        <v>19</v>
      </c>
      <c r="E41" s="6">
        <v>30710961790</v>
      </c>
      <c r="F41" s="7">
        <v>67396.69</v>
      </c>
      <c r="G41" s="7">
        <v>0</v>
      </c>
      <c r="H41" s="8">
        <v>0</v>
      </c>
      <c r="I41" s="8">
        <v>0</v>
      </c>
      <c r="J41" s="8">
        <v>0</v>
      </c>
      <c r="K41" s="8">
        <v>14153.3</v>
      </c>
      <c r="L41" s="8">
        <v>0</v>
      </c>
      <c r="M41" s="7">
        <v>0</v>
      </c>
      <c r="N41" s="7">
        <v>81549.990000000005</v>
      </c>
    </row>
    <row r="42" spans="1:15">
      <c r="A42" s="4" t="s">
        <v>71</v>
      </c>
      <c r="B42" s="5" t="s">
        <v>72</v>
      </c>
      <c r="C42" s="6" t="s">
        <v>73</v>
      </c>
      <c r="D42" s="6" t="s">
        <v>19</v>
      </c>
      <c r="E42" s="6">
        <v>30715186655</v>
      </c>
      <c r="F42" s="7">
        <v>156584.01999999999</v>
      </c>
      <c r="G42" s="7">
        <v>0</v>
      </c>
      <c r="H42" s="8">
        <v>0</v>
      </c>
      <c r="I42" s="8">
        <v>0</v>
      </c>
      <c r="J42" s="8">
        <v>0</v>
      </c>
      <c r="K42" s="8">
        <v>32882.639999999999</v>
      </c>
      <c r="L42" s="8">
        <v>0</v>
      </c>
      <c r="M42" s="7">
        <v>0</v>
      </c>
      <c r="N42" s="7">
        <v>189466.66</v>
      </c>
      <c r="O42" t="s">
        <v>4597</v>
      </c>
    </row>
    <row r="43" spans="1:15">
      <c r="A43" s="4" t="s">
        <v>71</v>
      </c>
      <c r="B43" s="5" t="s">
        <v>74</v>
      </c>
      <c r="C43" s="6" t="s">
        <v>73</v>
      </c>
      <c r="D43" s="6" t="s">
        <v>19</v>
      </c>
      <c r="E43" s="6">
        <v>30715186655</v>
      </c>
      <c r="F43" s="7">
        <v>6439.67</v>
      </c>
      <c r="G43" s="7">
        <v>0</v>
      </c>
      <c r="H43" s="8">
        <v>0</v>
      </c>
      <c r="I43" s="8">
        <v>0</v>
      </c>
      <c r="J43" s="8">
        <v>0</v>
      </c>
      <c r="K43" s="8">
        <v>1352.33</v>
      </c>
      <c r="L43" s="8">
        <v>0</v>
      </c>
      <c r="M43" s="7">
        <v>0</v>
      </c>
      <c r="N43" s="7">
        <v>7792</v>
      </c>
      <c r="O43" t="s">
        <v>4597</v>
      </c>
    </row>
    <row r="44" spans="1:15">
      <c r="A44" s="4" t="s">
        <v>71</v>
      </c>
      <c r="B44" s="5" t="s">
        <v>75</v>
      </c>
      <c r="C44" s="6" t="s">
        <v>76</v>
      </c>
      <c r="D44" s="6" t="s">
        <v>19</v>
      </c>
      <c r="E44" s="6">
        <v>30606274161</v>
      </c>
      <c r="F44" s="7">
        <v>100661.16</v>
      </c>
      <c r="G44" s="7">
        <v>0</v>
      </c>
      <c r="H44" s="8">
        <v>0</v>
      </c>
      <c r="I44" s="8">
        <v>0</v>
      </c>
      <c r="J44" s="8">
        <v>0</v>
      </c>
      <c r="K44" s="8">
        <v>21138.84</v>
      </c>
      <c r="L44" s="8">
        <v>0</v>
      </c>
      <c r="M44" s="7">
        <v>0</v>
      </c>
      <c r="N44" s="7">
        <v>121800</v>
      </c>
      <c r="O44" t="s">
        <v>4597</v>
      </c>
    </row>
    <row r="45" spans="1:15">
      <c r="A45" s="4" t="s">
        <v>71</v>
      </c>
      <c r="B45" s="5" t="s">
        <v>77</v>
      </c>
      <c r="C45" s="6" t="s">
        <v>78</v>
      </c>
      <c r="D45" s="6" t="s">
        <v>19</v>
      </c>
      <c r="E45" s="6">
        <v>30712529721</v>
      </c>
      <c r="F45" s="7">
        <v>20016.53</v>
      </c>
      <c r="G45" s="7">
        <v>0</v>
      </c>
      <c r="H45" s="8">
        <v>0</v>
      </c>
      <c r="I45" s="8">
        <v>0</v>
      </c>
      <c r="J45" s="8">
        <v>0</v>
      </c>
      <c r="K45" s="8">
        <v>4203.47</v>
      </c>
      <c r="L45" s="8">
        <v>0</v>
      </c>
      <c r="M45" s="7">
        <v>0</v>
      </c>
      <c r="N45" s="7">
        <v>24220</v>
      </c>
    </row>
    <row r="46" spans="1:15">
      <c r="A46" s="4" t="s">
        <v>71</v>
      </c>
      <c r="B46" s="5" t="s">
        <v>79</v>
      </c>
      <c r="C46" s="6" t="s">
        <v>80</v>
      </c>
      <c r="D46" s="6" t="s">
        <v>19</v>
      </c>
      <c r="E46" s="6">
        <v>30707612971</v>
      </c>
      <c r="F46" s="7">
        <v>31900.83</v>
      </c>
      <c r="G46" s="7">
        <v>0</v>
      </c>
      <c r="H46" s="8">
        <v>0</v>
      </c>
      <c r="I46" s="8">
        <v>0</v>
      </c>
      <c r="J46" s="8">
        <v>0</v>
      </c>
      <c r="K46" s="8">
        <v>6699.17</v>
      </c>
      <c r="L46" s="8">
        <v>0</v>
      </c>
      <c r="M46" s="7">
        <v>0</v>
      </c>
      <c r="N46" s="7">
        <v>38600</v>
      </c>
      <c r="O46" t="s">
        <v>4597</v>
      </c>
    </row>
    <row r="47" spans="1:15">
      <c r="A47" s="4" t="s">
        <v>71</v>
      </c>
      <c r="B47" s="5" t="s">
        <v>81</v>
      </c>
      <c r="C47" s="6" t="s">
        <v>82</v>
      </c>
      <c r="D47" s="6" t="s">
        <v>19</v>
      </c>
      <c r="E47" s="6">
        <v>30657418877</v>
      </c>
      <c r="F47" s="7">
        <v>8917.36</v>
      </c>
      <c r="G47" s="7">
        <v>0</v>
      </c>
      <c r="H47" s="8">
        <v>0</v>
      </c>
      <c r="I47" s="8">
        <v>0</v>
      </c>
      <c r="J47" s="8">
        <v>0</v>
      </c>
      <c r="K47" s="8">
        <v>1872.65</v>
      </c>
      <c r="L47" s="8">
        <v>0</v>
      </c>
      <c r="M47" s="7">
        <v>0</v>
      </c>
      <c r="N47" s="7">
        <v>10790.01</v>
      </c>
      <c r="O47" t="s">
        <v>4597</v>
      </c>
    </row>
    <row r="48" spans="1:15">
      <c r="A48" s="4" t="s">
        <v>71</v>
      </c>
      <c r="B48" s="5" t="s">
        <v>83</v>
      </c>
      <c r="C48" s="6" t="s">
        <v>84</v>
      </c>
      <c r="D48" s="6" t="s">
        <v>19</v>
      </c>
      <c r="E48" s="6">
        <v>30546771314</v>
      </c>
      <c r="F48" s="7">
        <v>5454.55</v>
      </c>
      <c r="G48" s="7">
        <v>0</v>
      </c>
      <c r="H48" s="8">
        <v>0</v>
      </c>
      <c r="I48" s="8">
        <v>0</v>
      </c>
      <c r="J48" s="8">
        <v>0</v>
      </c>
      <c r="K48" s="8">
        <v>1145.46</v>
      </c>
      <c r="L48" s="8">
        <v>0</v>
      </c>
      <c r="M48" s="7">
        <v>0</v>
      </c>
      <c r="N48" s="7">
        <v>6600.01</v>
      </c>
      <c r="O48" t="s">
        <v>4597</v>
      </c>
    </row>
    <row r="49" spans="1:15">
      <c r="A49" s="4" t="s">
        <v>71</v>
      </c>
      <c r="B49" s="5" t="s">
        <v>85</v>
      </c>
      <c r="C49" s="6" t="s">
        <v>86</v>
      </c>
      <c r="D49" s="6" t="s">
        <v>19</v>
      </c>
      <c r="E49" s="6">
        <v>30713669004</v>
      </c>
      <c r="F49" s="7">
        <v>22727.27</v>
      </c>
      <c r="G49" s="7">
        <v>0</v>
      </c>
      <c r="H49" s="8">
        <v>0</v>
      </c>
      <c r="I49" s="8">
        <v>0</v>
      </c>
      <c r="J49" s="8">
        <v>0</v>
      </c>
      <c r="K49" s="8">
        <v>4772.7300000000005</v>
      </c>
      <c r="L49" s="8">
        <v>0</v>
      </c>
      <c r="M49" s="7">
        <v>0</v>
      </c>
      <c r="N49" s="7">
        <v>27500</v>
      </c>
      <c r="O49" t="s">
        <v>4597</v>
      </c>
    </row>
    <row r="50" spans="1:15">
      <c r="A50" s="4" t="s">
        <v>71</v>
      </c>
      <c r="B50" s="5" t="s">
        <v>87</v>
      </c>
      <c r="C50" s="6" t="s">
        <v>88</v>
      </c>
      <c r="D50" s="6" t="s">
        <v>19</v>
      </c>
      <c r="E50" s="6">
        <v>30711244383</v>
      </c>
      <c r="F50" s="7">
        <v>13107.44</v>
      </c>
      <c r="G50" s="7">
        <v>0</v>
      </c>
      <c r="H50" s="8">
        <v>0</v>
      </c>
      <c r="I50" s="8">
        <v>0</v>
      </c>
      <c r="J50" s="8">
        <v>0</v>
      </c>
      <c r="K50" s="8">
        <v>2752.56</v>
      </c>
      <c r="L50" s="8">
        <v>0</v>
      </c>
      <c r="M50" s="7">
        <v>0</v>
      </c>
      <c r="N50" s="7">
        <v>15860</v>
      </c>
      <c r="O50" t="s">
        <v>4597</v>
      </c>
    </row>
    <row r="51" spans="1:15">
      <c r="A51" s="4" t="s">
        <v>71</v>
      </c>
      <c r="B51" s="5" t="s">
        <v>89</v>
      </c>
      <c r="C51" s="6" t="s">
        <v>90</v>
      </c>
      <c r="D51" s="6" t="s">
        <v>19</v>
      </c>
      <c r="E51" s="6">
        <v>30645337979</v>
      </c>
      <c r="F51" s="7">
        <v>29090.91</v>
      </c>
      <c r="G51" s="7">
        <v>0</v>
      </c>
      <c r="H51" s="8">
        <v>0</v>
      </c>
      <c r="I51" s="8">
        <v>0</v>
      </c>
      <c r="J51" s="8">
        <v>0</v>
      </c>
      <c r="K51" s="8">
        <v>6109.09</v>
      </c>
      <c r="L51" s="8">
        <v>0</v>
      </c>
      <c r="M51" s="7">
        <v>0</v>
      </c>
      <c r="N51" s="7">
        <v>35200</v>
      </c>
      <c r="O51" t="s">
        <v>4597</v>
      </c>
    </row>
    <row r="52" spans="1:15">
      <c r="A52" s="4" t="s">
        <v>71</v>
      </c>
      <c r="B52" s="5" t="s">
        <v>91</v>
      </c>
      <c r="C52" s="6" t="s">
        <v>92</v>
      </c>
      <c r="D52" s="6" t="s">
        <v>19</v>
      </c>
      <c r="E52" s="6">
        <v>30709016012</v>
      </c>
      <c r="F52" s="7">
        <v>38024.68</v>
      </c>
      <c r="G52" s="7">
        <v>0</v>
      </c>
      <c r="H52" s="8">
        <v>0</v>
      </c>
      <c r="I52" s="8">
        <v>0</v>
      </c>
      <c r="J52" s="8">
        <v>0</v>
      </c>
      <c r="K52" s="8">
        <v>7985.18</v>
      </c>
      <c r="L52" s="8">
        <v>0</v>
      </c>
      <c r="M52" s="7">
        <v>0</v>
      </c>
      <c r="N52" s="7">
        <v>46009.86</v>
      </c>
      <c r="O52" t="s">
        <v>4597</v>
      </c>
    </row>
    <row r="53" spans="1:15">
      <c r="A53" s="4" t="s">
        <v>38</v>
      </c>
      <c r="B53" s="5" t="s">
        <v>93</v>
      </c>
      <c r="C53" s="6" t="s">
        <v>45</v>
      </c>
      <c r="D53" s="6" t="s">
        <v>19</v>
      </c>
      <c r="E53" s="6">
        <v>30608716390</v>
      </c>
      <c r="F53" s="7">
        <v>54657.05</v>
      </c>
      <c r="G53" s="7">
        <v>0</v>
      </c>
      <c r="H53" s="8">
        <v>0</v>
      </c>
      <c r="I53" s="8">
        <v>0</v>
      </c>
      <c r="J53" s="8">
        <v>0</v>
      </c>
      <c r="K53" s="8">
        <v>11477.99</v>
      </c>
      <c r="L53" s="8">
        <v>0</v>
      </c>
      <c r="M53" s="7">
        <v>0</v>
      </c>
      <c r="N53" s="7">
        <v>66135.040000000008</v>
      </c>
    </row>
    <row r="54" spans="1:15">
      <c r="A54" s="4" t="s">
        <v>38</v>
      </c>
      <c r="B54" s="5" t="s">
        <v>94</v>
      </c>
      <c r="C54" s="6" t="s">
        <v>45</v>
      </c>
      <c r="D54" s="6" t="s">
        <v>19</v>
      </c>
      <c r="E54" s="6">
        <v>30608716390</v>
      </c>
      <c r="F54" s="7">
        <v>25642.15</v>
      </c>
      <c r="G54" s="7">
        <v>0</v>
      </c>
      <c r="H54" s="8">
        <v>0</v>
      </c>
      <c r="I54" s="8">
        <v>0</v>
      </c>
      <c r="J54" s="8">
        <v>0</v>
      </c>
      <c r="K54" s="8">
        <v>5384.85</v>
      </c>
      <c r="L54" s="8">
        <v>0</v>
      </c>
      <c r="M54" s="7">
        <v>0</v>
      </c>
      <c r="N54" s="7">
        <v>31027</v>
      </c>
    </row>
    <row r="55" spans="1:15">
      <c r="A55" s="4" t="s">
        <v>38</v>
      </c>
      <c r="B55" s="5" t="s">
        <v>95</v>
      </c>
      <c r="C55" s="6" t="s">
        <v>45</v>
      </c>
      <c r="D55" s="6" t="s">
        <v>19</v>
      </c>
      <c r="E55" s="6">
        <v>30608716390</v>
      </c>
      <c r="F55" s="7">
        <v>20942.150000000001</v>
      </c>
      <c r="G55" s="7">
        <v>0</v>
      </c>
      <c r="H55" s="8">
        <v>0</v>
      </c>
      <c r="I55" s="8">
        <v>0</v>
      </c>
      <c r="J55" s="8">
        <v>0</v>
      </c>
      <c r="K55" s="8">
        <v>4397.8500000000004</v>
      </c>
      <c r="L55" s="8">
        <v>0</v>
      </c>
      <c r="M55" s="7">
        <v>0</v>
      </c>
      <c r="N55" s="7">
        <v>25340</v>
      </c>
    </row>
    <row r="56" spans="1:15">
      <c r="A56" s="4" t="s">
        <v>40</v>
      </c>
      <c r="B56" s="5" t="s">
        <v>96</v>
      </c>
      <c r="C56" s="6" t="s">
        <v>45</v>
      </c>
      <c r="D56" s="6" t="s">
        <v>19</v>
      </c>
      <c r="E56" s="6">
        <v>30608716390</v>
      </c>
      <c r="F56" s="7">
        <v>6247.93</v>
      </c>
      <c r="G56" s="7">
        <v>0</v>
      </c>
      <c r="H56" s="8">
        <v>0</v>
      </c>
      <c r="I56" s="8">
        <v>0</v>
      </c>
      <c r="J56" s="8">
        <v>0</v>
      </c>
      <c r="K56" s="8">
        <v>1312.07</v>
      </c>
      <c r="L56" s="8">
        <v>0</v>
      </c>
      <c r="M56" s="7">
        <v>0</v>
      </c>
      <c r="N56" s="7">
        <v>7560</v>
      </c>
    </row>
    <row r="57" spans="1:15">
      <c r="A57" s="4" t="s">
        <v>40</v>
      </c>
      <c r="B57" s="5" t="s">
        <v>97</v>
      </c>
      <c r="C57" s="6" t="s">
        <v>45</v>
      </c>
      <c r="D57" s="6" t="s">
        <v>19</v>
      </c>
      <c r="E57" s="6">
        <v>30608716390</v>
      </c>
      <c r="F57" s="7">
        <v>6247.93</v>
      </c>
      <c r="G57" s="7">
        <v>0</v>
      </c>
      <c r="H57" s="8">
        <v>0</v>
      </c>
      <c r="I57" s="8">
        <v>0</v>
      </c>
      <c r="J57" s="8">
        <v>0</v>
      </c>
      <c r="K57" s="8">
        <v>1312.07</v>
      </c>
      <c r="L57" s="8">
        <v>0</v>
      </c>
      <c r="M57" s="7">
        <v>0</v>
      </c>
      <c r="N57" s="7">
        <v>7560</v>
      </c>
    </row>
    <row r="58" spans="1:15">
      <c r="A58" s="4" t="s">
        <v>40</v>
      </c>
      <c r="B58" s="5" t="s">
        <v>98</v>
      </c>
      <c r="C58" s="6" t="s">
        <v>45</v>
      </c>
      <c r="D58" s="6" t="s">
        <v>19</v>
      </c>
      <c r="E58" s="6">
        <v>30608716390</v>
      </c>
      <c r="F58" s="7">
        <v>15272.72</v>
      </c>
      <c r="G58" s="7">
        <v>0</v>
      </c>
      <c r="H58" s="8">
        <v>0</v>
      </c>
      <c r="I58" s="8">
        <v>0</v>
      </c>
      <c r="J58" s="8">
        <v>0</v>
      </c>
      <c r="K58" s="8">
        <v>3207.28</v>
      </c>
      <c r="L58" s="8">
        <v>0</v>
      </c>
      <c r="M58" s="7">
        <v>0</v>
      </c>
      <c r="N58" s="7">
        <v>18480</v>
      </c>
    </row>
    <row r="59" spans="1:15">
      <c r="A59" s="4" t="s">
        <v>40</v>
      </c>
      <c r="B59" s="5" t="s">
        <v>99</v>
      </c>
      <c r="C59" s="6" t="s">
        <v>45</v>
      </c>
      <c r="D59" s="6" t="s">
        <v>19</v>
      </c>
      <c r="E59" s="6">
        <v>30608716390</v>
      </c>
      <c r="F59" s="7">
        <v>9024.7900000000009</v>
      </c>
      <c r="G59" s="7">
        <v>0</v>
      </c>
      <c r="H59" s="8">
        <v>0</v>
      </c>
      <c r="I59" s="8">
        <v>0</v>
      </c>
      <c r="J59" s="8">
        <v>0</v>
      </c>
      <c r="K59" s="8">
        <v>1895.21</v>
      </c>
      <c r="L59" s="8">
        <v>0</v>
      </c>
      <c r="M59" s="7">
        <v>0</v>
      </c>
      <c r="N59" s="7">
        <v>10920</v>
      </c>
    </row>
    <row r="60" spans="1:15">
      <c r="A60" s="4" t="s">
        <v>40</v>
      </c>
      <c r="B60" s="5" t="s">
        <v>100</v>
      </c>
      <c r="C60" s="6" t="s">
        <v>45</v>
      </c>
      <c r="D60" s="6" t="s">
        <v>19</v>
      </c>
      <c r="E60" s="6">
        <v>30608716390</v>
      </c>
      <c r="F60" s="7">
        <v>9483.89</v>
      </c>
      <c r="G60" s="7">
        <v>0</v>
      </c>
      <c r="H60" s="8">
        <v>0</v>
      </c>
      <c r="I60" s="8">
        <v>0</v>
      </c>
      <c r="J60" s="8">
        <v>0</v>
      </c>
      <c r="K60" s="8">
        <v>1991.62</v>
      </c>
      <c r="L60" s="8">
        <v>0</v>
      </c>
      <c r="M60" s="7">
        <v>0</v>
      </c>
      <c r="N60" s="7">
        <v>11475.51</v>
      </c>
    </row>
    <row r="61" spans="1:15">
      <c r="A61" s="4" t="s">
        <v>40</v>
      </c>
      <c r="B61" s="5" t="s">
        <v>101</v>
      </c>
      <c r="C61" s="6" t="s">
        <v>45</v>
      </c>
      <c r="D61" s="6" t="s">
        <v>19</v>
      </c>
      <c r="E61" s="6">
        <v>30608716390</v>
      </c>
      <c r="F61" s="7">
        <v>4512.4000000000005</v>
      </c>
      <c r="G61" s="7">
        <v>0</v>
      </c>
      <c r="H61" s="8">
        <v>0</v>
      </c>
      <c r="I61" s="8">
        <v>0</v>
      </c>
      <c r="J61" s="8">
        <v>0</v>
      </c>
      <c r="K61" s="8">
        <v>947.6</v>
      </c>
      <c r="L61" s="8">
        <v>0</v>
      </c>
      <c r="M61" s="7">
        <v>0</v>
      </c>
      <c r="N61" s="7">
        <v>5460</v>
      </c>
    </row>
    <row r="62" spans="1:15">
      <c r="A62" s="4" t="s">
        <v>40</v>
      </c>
      <c r="B62" s="5" t="s">
        <v>102</v>
      </c>
      <c r="C62" s="6" t="s">
        <v>45</v>
      </c>
      <c r="D62" s="6" t="s">
        <v>19</v>
      </c>
      <c r="E62" s="6">
        <v>30608716390</v>
      </c>
      <c r="F62" s="7">
        <v>2661.16</v>
      </c>
      <c r="G62" s="7">
        <v>0</v>
      </c>
      <c r="H62" s="8">
        <v>0</v>
      </c>
      <c r="I62" s="8">
        <v>0</v>
      </c>
      <c r="J62" s="8">
        <v>0</v>
      </c>
      <c r="K62" s="8">
        <v>558.84</v>
      </c>
      <c r="L62" s="8">
        <v>0</v>
      </c>
      <c r="M62" s="7">
        <v>0</v>
      </c>
      <c r="N62" s="7">
        <v>3220</v>
      </c>
    </row>
    <row r="63" spans="1:15">
      <c r="A63" s="4" t="s">
        <v>40</v>
      </c>
      <c r="B63" s="5" t="s">
        <v>103</v>
      </c>
      <c r="C63" s="6" t="s">
        <v>45</v>
      </c>
      <c r="D63" s="6" t="s">
        <v>19</v>
      </c>
      <c r="E63" s="6">
        <v>30608716390</v>
      </c>
      <c r="F63" s="7">
        <v>3123.97</v>
      </c>
      <c r="G63" s="7">
        <v>0</v>
      </c>
      <c r="H63" s="8">
        <v>0</v>
      </c>
      <c r="I63" s="8">
        <v>0</v>
      </c>
      <c r="J63" s="8">
        <v>0</v>
      </c>
      <c r="K63" s="8">
        <v>656.03</v>
      </c>
      <c r="L63" s="8">
        <v>0</v>
      </c>
      <c r="M63" s="7">
        <v>0</v>
      </c>
      <c r="N63" s="7">
        <v>3780</v>
      </c>
    </row>
    <row r="64" spans="1:15">
      <c r="A64" s="4" t="s">
        <v>104</v>
      </c>
      <c r="B64" s="5" t="s">
        <v>105</v>
      </c>
      <c r="C64" s="6" t="s">
        <v>45</v>
      </c>
      <c r="D64" s="6" t="s">
        <v>19</v>
      </c>
      <c r="E64" s="6">
        <v>30608716390</v>
      </c>
      <c r="F64" s="7">
        <v>3123.97</v>
      </c>
      <c r="G64" s="7">
        <v>0</v>
      </c>
      <c r="H64" s="8">
        <v>0</v>
      </c>
      <c r="I64" s="8">
        <v>0</v>
      </c>
      <c r="J64" s="8">
        <v>0</v>
      </c>
      <c r="K64" s="8">
        <v>656.03</v>
      </c>
      <c r="L64" s="8">
        <v>0</v>
      </c>
      <c r="M64" s="7">
        <v>0</v>
      </c>
      <c r="N64" s="7">
        <v>3780</v>
      </c>
    </row>
    <row r="65" spans="1:15">
      <c r="A65" s="4" t="s">
        <v>104</v>
      </c>
      <c r="B65" s="5" t="s">
        <v>106</v>
      </c>
      <c r="C65" s="6" t="s">
        <v>92</v>
      </c>
      <c r="D65" s="6" t="s">
        <v>19</v>
      </c>
      <c r="E65" s="6">
        <v>30709016012</v>
      </c>
      <c r="F65" s="7">
        <v>139851.26</v>
      </c>
      <c r="G65" s="7">
        <v>0</v>
      </c>
      <c r="H65" s="8">
        <v>0</v>
      </c>
      <c r="I65" s="8">
        <v>0</v>
      </c>
      <c r="J65" s="8">
        <v>0</v>
      </c>
      <c r="K65" s="8">
        <v>29368.76</v>
      </c>
      <c r="L65" s="8">
        <v>0</v>
      </c>
      <c r="M65" s="7">
        <v>0</v>
      </c>
      <c r="N65" s="7">
        <v>169220.02</v>
      </c>
      <c r="O65" t="s">
        <v>4597</v>
      </c>
    </row>
    <row r="66" spans="1:15">
      <c r="A66" s="4" t="s">
        <v>16</v>
      </c>
      <c r="B66" s="5" t="s">
        <v>107</v>
      </c>
      <c r="C66" s="6" t="s">
        <v>108</v>
      </c>
      <c r="D66" s="6" t="s">
        <v>19</v>
      </c>
      <c r="E66" s="6">
        <v>20223256393</v>
      </c>
      <c r="F66" s="7">
        <v>11818.18</v>
      </c>
      <c r="G66" s="7">
        <v>0</v>
      </c>
      <c r="H66" s="8">
        <v>0</v>
      </c>
      <c r="I66" s="8">
        <v>0</v>
      </c>
      <c r="J66" s="8">
        <v>0</v>
      </c>
      <c r="K66" s="8">
        <v>2481.8200000000002</v>
      </c>
      <c r="L66" s="8">
        <v>0</v>
      </c>
      <c r="M66" s="7">
        <v>0</v>
      </c>
      <c r="N66" s="7">
        <v>14300</v>
      </c>
    </row>
    <row r="67" spans="1:15">
      <c r="A67" s="4" t="s">
        <v>109</v>
      </c>
      <c r="B67" s="5" t="s">
        <v>110</v>
      </c>
      <c r="C67" s="6" t="s">
        <v>84</v>
      </c>
      <c r="D67" s="6" t="s">
        <v>19</v>
      </c>
      <c r="E67" s="6">
        <v>30546771314</v>
      </c>
      <c r="F67" s="7">
        <v>12396.7</v>
      </c>
      <c r="G67" s="7">
        <v>0</v>
      </c>
      <c r="H67" s="8">
        <v>0</v>
      </c>
      <c r="I67" s="8">
        <v>0</v>
      </c>
      <c r="J67" s="8">
        <v>0</v>
      </c>
      <c r="K67" s="8">
        <v>2603.31</v>
      </c>
      <c r="L67" s="8">
        <v>0</v>
      </c>
      <c r="M67" s="7">
        <v>0</v>
      </c>
      <c r="N67" s="7">
        <v>15000.01</v>
      </c>
      <c r="O67" t="s">
        <v>4597</v>
      </c>
    </row>
    <row r="68" spans="1:15">
      <c r="A68" s="4" t="s">
        <v>42</v>
      </c>
      <c r="B68" s="5" t="s">
        <v>111</v>
      </c>
      <c r="C68" s="6" t="s">
        <v>45</v>
      </c>
      <c r="D68" s="6" t="s">
        <v>19</v>
      </c>
      <c r="E68" s="6">
        <v>30608716390</v>
      </c>
      <c r="F68" s="7">
        <v>8533.34</v>
      </c>
      <c r="G68" s="7">
        <v>0</v>
      </c>
      <c r="H68" s="8">
        <v>0</v>
      </c>
      <c r="I68" s="8">
        <v>0</v>
      </c>
      <c r="J68" s="8">
        <v>0</v>
      </c>
      <c r="K68" s="8">
        <v>1792</v>
      </c>
      <c r="L68" s="8">
        <v>0</v>
      </c>
      <c r="M68" s="7">
        <v>0</v>
      </c>
      <c r="N68" s="7">
        <v>10325.34</v>
      </c>
    </row>
    <row r="69" spans="1:15">
      <c r="A69" s="4" t="s">
        <v>112</v>
      </c>
      <c r="B69" s="5" t="s">
        <v>113</v>
      </c>
      <c r="C69" s="6" t="s">
        <v>45</v>
      </c>
      <c r="D69" s="6" t="s">
        <v>19</v>
      </c>
      <c r="E69" s="6">
        <v>30608716390</v>
      </c>
      <c r="F69" s="7">
        <v>3057.85</v>
      </c>
      <c r="G69" s="7">
        <v>0</v>
      </c>
      <c r="H69" s="8">
        <v>0</v>
      </c>
      <c r="I69" s="8">
        <v>0</v>
      </c>
      <c r="J69" s="8">
        <v>0</v>
      </c>
      <c r="K69" s="8">
        <v>642.15</v>
      </c>
      <c r="L69" s="8">
        <v>0</v>
      </c>
      <c r="M69" s="7">
        <v>0</v>
      </c>
      <c r="N69" s="7">
        <v>3700</v>
      </c>
    </row>
    <row r="70" spans="1:15">
      <c r="A70" s="4" t="s">
        <v>112</v>
      </c>
      <c r="B70" s="5" t="s">
        <v>114</v>
      </c>
      <c r="C70" s="6" t="s">
        <v>115</v>
      </c>
      <c r="D70" s="6" t="s">
        <v>19</v>
      </c>
      <c r="E70" s="6">
        <v>30690973517</v>
      </c>
      <c r="F70" s="7">
        <v>204958.68</v>
      </c>
      <c r="G70" s="7">
        <v>0</v>
      </c>
      <c r="H70" s="8">
        <v>0</v>
      </c>
      <c r="I70" s="8">
        <v>0</v>
      </c>
      <c r="J70" s="8">
        <v>0</v>
      </c>
      <c r="K70" s="8">
        <v>43041.32</v>
      </c>
      <c r="L70" s="8">
        <v>0</v>
      </c>
      <c r="M70" s="7">
        <v>0</v>
      </c>
      <c r="N70" s="7">
        <v>248000</v>
      </c>
      <c r="O70" t="s">
        <v>4597</v>
      </c>
    </row>
    <row r="71" spans="1:15">
      <c r="A71" s="4" t="s">
        <v>112</v>
      </c>
      <c r="B71" s="5" t="s">
        <v>116</v>
      </c>
      <c r="C71" s="6" t="s">
        <v>45</v>
      </c>
      <c r="D71" s="6" t="s">
        <v>19</v>
      </c>
      <c r="E71" s="6">
        <v>30608716390</v>
      </c>
      <c r="F71" s="7">
        <v>59834.720000000001</v>
      </c>
      <c r="G71" s="7">
        <v>0</v>
      </c>
      <c r="H71" s="8">
        <v>0</v>
      </c>
      <c r="I71" s="8">
        <v>0</v>
      </c>
      <c r="J71" s="8">
        <v>0</v>
      </c>
      <c r="K71" s="8">
        <v>12565.29</v>
      </c>
      <c r="L71" s="8">
        <v>0</v>
      </c>
      <c r="M71" s="7">
        <v>0</v>
      </c>
      <c r="N71" s="7">
        <v>72400.009999999995</v>
      </c>
    </row>
    <row r="72" spans="1:15">
      <c r="A72" s="4" t="s">
        <v>112</v>
      </c>
      <c r="B72" s="5" t="s">
        <v>117</v>
      </c>
      <c r="C72" s="6" t="s">
        <v>25</v>
      </c>
      <c r="D72" s="6" t="s">
        <v>19</v>
      </c>
      <c r="E72" s="6">
        <v>30522428163</v>
      </c>
      <c r="F72" s="7">
        <v>100263.43</v>
      </c>
      <c r="G72" s="7">
        <v>0</v>
      </c>
      <c r="H72" s="8">
        <v>0</v>
      </c>
      <c r="I72" s="8">
        <v>0</v>
      </c>
      <c r="J72" s="8">
        <v>0</v>
      </c>
      <c r="K72" s="8">
        <v>21055.32</v>
      </c>
      <c r="L72" s="8">
        <v>0</v>
      </c>
      <c r="M72" s="7">
        <v>0</v>
      </c>
      <c r="N72" s="7">
        <v>121318.75</v>
      </c>
      <c r="O72" t="s">
        <v>4597</v>
      </c>
    </row>
    <row r="73" spans="1:15">
      <c r="A73" s="4" t="s">
        <v>118</v>
      </c>
      <c r="B73" s="5" t="s">
        <v>119</v>
      </c>
      <c r="C73" s="6" t="s">
        <v>120</v>
      </c>
      <c r="D73" s="6" t="s">
        <v>19</v>
      </c>
      <c r="E73" s="6">
        <v>27182477368</v>
      </c>
      <c r="F73" s="7">
        <v>12809.99</v>
      </c>
      <c r="G73" s="7">
        <v>0</v>
      </c>
      <c r="H73" s="8">
        <v>0</v>
      </c>
      <c r="I73" s="8">
        <v>0</v>
      </c>
      <c r="J73" s="8">
        <v>0</v>
      </c>
      <c r="K73" s="8">
        <v>2690.1</v>
      </c>
      <c r="L73" s="8">
        <v>0</v>
      </c>
      <c r="M73" s="7">
        <v>0</v>
      </c>
      <c r="N73" s="7">
        <v>15500.09</v>
      </c>
    </row>
    <row r="74" spans="1:15">
      <c r="A74" s="4" t="s">
        <v>121</v>
      </c>
      <c r="B74" s="5" t="s">
        <v>122</v>
      </c>
      <c r="C74" s="6" t="s">
        <v>22</v>
      </c>
      <c r="D74" s="6" t="s">
        <v>19</v>
      </c>
      <c r="E74" s="6">
        <v>30683627751</v>
      </c>
      <c r="F74" s="7">
        <v>76033.06</v>
      </c>
      <c r="G74" s="7">
        <v>0</v>
      </c>
      <c r="H74" s="8">
        <v>0</v>
      </c>
      <c r="I74" s="8">
        <v>0</v>
      </c>
      <c r="J74" s="8">
        <v>0</v>
      </c>
      <c r="K74" s="8">
        <v>15966.94</v>
      </c>
      <c r="L74" s="8">
        <v>0</v>
      </c>
      <c r="M74" s="7">
        <v>0</v>
      </c>
      <c r="N74" s="7">
        <v>92000</v>
      </c>
      <c r="O74" t="s">
        <v>4598</v>
      </c>
    </row>
    <row r="75" spans="1:15">
      <c r="A75" s="4" t="s">
        <v>123</v>
      </c>
      <c r="B75" s="5" t="s">
        <v>124</v>
      </c>
      <c r="C75" s="6" t="s">
        <v>25</v>
      </c>
      <c r="D75" s="6" t="s">
        <v>19</v>
      </c>
      <c r="E75" s="6">
        <v>30522428163</v>
      </c>
      <c r="F75" s="7">
        <v>26643.9</v>
      </c>
      <c r="G75" s="7">
        <v>0</v>
      </c>
      <c r="H75" s="8">
        <v>0</v>
      </c>
      <c r="I75" s="8">
        <v>0</v>
      </c>
      <c r="J75" s="8">
        <v>0</v>
      </c>
      <c r="K75" s="8">
        <v>5595.22</v>
      </c>
      <c r="L75" s="8">
        <v>0</v>
      </c>
      <c r="M75" s="7">
        <v>0</v>
      </c>
      <c r="N75" s="7">
        <v>32239.119999999999</v>
      </c>
      <c r="O75" t="s">
        <v>4597</v>
      </c>
    </row>
    <row r="76" spans="1:15">
      <c r="A76" s="4" t="s">
        <v>125</v>
      </c>
      <c r="B76" s="5" t="s">
        <v>126</v>
      </c>
      <c r="C76" s="6" t="s">
        <v>25</v>
      </c>
      <c r="D76" s="6" t="s">
        <v>19</v>
      </c>
      <c r="E76" s="6">
        <v>30522428163</v>
      </c>
      <c r="F76" s="7">
        <v>-6163.2</v>
      </c>
      <c r="G76" s="7">
        <v>0</v>
      </c>
      <c r="H76" s="8">
        <v>0</v>
      </c>
      <c r="I76" s="8">
        <v>0</v>
      </c>
      <c r="J76" s="8">
        <v>0</v>
      </c>
      <c r="K76" s="8">
        <v>-1294.27</v>
      </c>
      <c r="L76" s="8">
        <v>0</v>
      </c>
      <c r="M76" s="7">
        <v>0</v>
      </c>
      <c r="N76" s="7">
        <v>-7457.47</v>
      </c>
      <c r="O76" t="s">
        <v>4597</v>
      </c>
    </row>
    <row r="77" spans="1:15">
      <c r="A77" s="4" t="s">
        <v>125</v>
      </c>
      <c r="B77" s="5" t="s">
        <v>127</v>
      </c>
      <c r="C77" s="6" t="s">
        <v>25</v>
      </c>
      <c r="D77" s="6" t="s">
        <v>19</v>
      </c>
      <c r="E77" s="6">
        <v>30522428163</v>
      </c>
      <c r="F77" s="7">
        <v>-57854.36</v>
      </c>
      <c r="G77" s="7">
        <v>0</v>
      </c>
      <c r="H77" s="8">
        <v>0</v>
      </c>
      <c r="I77" s="8">
        <v>0</v>
      </c>
      <c r="J77" s="8">
        <v>0</v>
      </c>
      <c r="K77" s="8">
        <v>-12149.42</v>
      </c>
      <c r="L77" s="8">
        <v>0</v>
      </c>
      <c r="M77" s="7">
        <v>0</v>
      </c>
      <c r="N77" s="7">
        <v>-70003.78</v>
      </c>
      <c r="O77" t="s">
        <v>4597</v>
      </c>
    </row>
    <row r="78" spans="1:15">
      <c r="A78" s="4" t="s">
        <v>123</v>
      </c>
      <c r="B78" s="5" t="s">
        <v>128</v>
      </c>
      <c r="C78" s="6" t="s">
        <v>25</v>
      </c>
      <c r="D78" s="6" t="s">
        <v>19</v>
      </c>
      <c r="E78" s="6">
        <v>30522428163</v>
      </c>
      <c r="F78" s="7">
        <v>-26369.4</v>
      </c>
      <c r="G78" s="7">
        <v>0</v>
      </c>
      <c r="H78" s="8">
        <v>0</v>
      </c>
      <c r="I78" s="8">
        <v>0</v>
      </c>
      <c r="J78" s="8">
        <v>0</v>
      </c>
      <c r="K78" s="8">
        <v>-5537.57</v>
      </c>
      <c r="L78" s="8">
        <v>0</v>
      </c>
      <c r="M78" s="7">
        <v>0</v>
      </c>
      <c r="N78" s="7">
        <v>-31906.97</v>
      </c>
      <c r="O78" t="s">
        <v>4597</v>
      </c>
    </row>
    <row r="79" spans="1:15">
      <c r="A79" s="4" t="s">
        <v>26</v>
      </c>
      <c r="B79" s="5" t="s">
        <v>129</v>
      </c>
      <c r="C79" s="6" t="s">
        <v>45</v>
      </c>
      <c r="D79" s="6" t="s">
        <v>19</v>
      </c>
      <c r="E79" s="6">
        <v>30608716390</v>
      </c>
      <c r="F79" s="7">
        <v>-5801.65</v>
      </c>
      <c r="G79" s="7">
        <v>0</v>
      </c>
      <c r="H79" s="8">
        <v>0</v>
      </c>
      <c r="I79" s="8">
        <v>0</v>
      </c>
      <c r="J79" s="8">
        <v>0</v>
      </c>
      <c r="K79" s="8">
        <v>-1218.3500000000001</v>
      </c>
      <c r="L79" s="8">
        <v>0</v>
      </c>
      <c r="M79" s="7">
        <v>0</v>
      </c>
      <c r="N79" s="7">
        <v>-7020</v>
      </c>
    </row>
    <row r="80" spans="1:15">
      <c r="A80" s="4" t="s">
        <v>123</v>
      </c>
      <c r="B80" s="5" t="s">
        <v>130</v>
      </c>
      <c r="C80" s="6" t="s">
        <v>25</v>
      </c>
      <c r="D80" s="6" t="s">
        <v>19</v>
      </c>
      <c r="E80" s="6">
        <v>30522428163</v>
      </c>
      <c r="F80" s="7">
        <v>-21678.55</v>
      </c>
      <c r="G80" s="7">
        <v>0</v>
      </c>
      <c r="H80" s="8">
        <v>0</v>
      </c>
      <c r="I80" s="8">
        <v>0</v>
      </c>
      <c r="J80" s="8">
        <v>0</v>
      </c>
      <c r="K80" s="8">
        <v>-4552.5</v>
      </c>
      <c r="L80" s="8">
        <v>0</v>
      </c>
      <c r="M80" s="7">
        <v>0</v>
      </c>
      <c r="N80" s="7">
        <v>-26231.05</v>
      </c>
      <c r="O80" t="s">
        <v>4597</v>
      </c>
    </row>
    <row r="81" spans="1:15">
      <c r="A81" s="4" t="s">
        <v>123</v>
      </c>
      <c r="B81" s="5" t="s">
        <v>131</v>
      </c>
      <c r="C81" s="6" t="s">
        <v>25</v>
      </c>
      <c r="D81" s="6" t="s">
        <v>19</v>
      </c>
      <c r="E81" s="6">
        <v>30522428163</v>
      </c>
      <c r="F81" s="7">
        <v>-16157.1</v>
      </c>
      <c r="G81" s="7">
        <v>0</v>
      </c>
      <c r="H81" s="8">
        <v>0</v>
      </c>
      <c r="I81" s="8">
        <v>0</v>
      </c>
      <c r="J81" s="8">
        <v>0</v>
      </c>
      <c r="K81" s="8">
        <v>-3392.99</v>
      </c>
      <c r="L81" s="8">
        <v>0</v>
      </c>
      <c r="M81" s="7">
        <v>0</v>
      </c>
      <c r="N81" s="7">
        <v>-19550.09</v>
      </c>
      <c r="O81" t="s">
        <v>4597</v>
      </c>
    </row>
    <row r="82" spans="1:15">
      <c r="A82" s="4" t="s">
        <v>123</v>
      </c>
      <c r="B82" s="5" t="s">
        <v>132</v>
      </c>
      <c r="C82" s="6" t="s">
        <v>25</v>
      </c>
      <c r="D82" s="6" t="s">
        <v>19</v>
      </c>
      <c r="E82" s="6">
        <v>30522428163</v>
      </c>
      <c r="F82" s="7">
        <v>-10556.7</v>
      </c>
      <c r="G82" s="7">
        <v>0</v>
      </c>
      <c r="H82" s="8">
        <v>0</v>
      </c>
      <c r="I82" s="8">
        <v>0</v>
      </c>
      <c r="J82" s="8">
        <v>0</v>
      </c>
      <c r="K82" s="8">
        <v>-2216.91</v>
      </c>
      <c r="L82" s="8">
        <v>0</v>
      </c>
      <c r="M82" s="7">
        <v>0</v>
      </c>
      <c r="N82" s="7">
        <v>-12773.61</v>
      </c>
      <c r="O82" t="s">
        <v>4597</v>
      </c>
    </row>
    <row r="83" spans="1:15">
      <c r="E83" t="s">
        <v>459</v>
      </c>
      <c r="F83" s="9">
        <f>SUM(F6:F82)</f>
        <v>128854941.57000008</v>
      </c>
      <c r="K83" s="9">
        <f>SUM(K6:K82)</f>
        <v>27059537.70000001</v>
      </c>
      <c r="N83" s="9">
        <f>SUM(N6:N82)</f>
        <v>155914479.26999992</v>
      </c>
    </row>
    <row r="85" spans="1:15">
      <c r="A85" s="3" t="s">
        <v>2</v>
      </c>
      <c r="B85" s="3" t="s">
        <v>3</v>
      </c>
      <c r="C85" s="3" t="s">
        <v>4</v>
      </c>
      <c r="D85" s="3" t="s">
        <v>5</v>
      </c>
      <c r="E85" s="3" t="s">
        <v>6</v>
      </c>
      <c r="F85" s="3" t="s">
        <v>7</v>
      </c>
      <c r="G85" s="3" t="s">
        <v>8</v>
      </c>
      <c r="H85" s="3" t="s">
        <v>9</v>
      </c>
      <c r="I85" s="3" t="s">
        <v>10</v>
      </c>
      <c r="J85" s="3" t="s">
        <v>11</v>
      </c>
      <c r="K85" s="3" t="s">
        <v>12</v>
      </c>
      <c r="L85" s="3" t="s">
        <v>13</v>
      </c>
      <c r="M85" s="3" t="s">
        <v>14</v>
      </c>
      <c r="N85" s="3" t="s">
        <v>15</v>
      </c>
    </row>
    <row r="86" spans="1:15" hidden="1">
      <c r="A86" s="4" t="s">
        <v>23</v>
      </c>
      <c r="B86" s="5" t="s">
        <v>133</v>
      </c>
      <c r="C86" s="6" t="s">
        <v>134</v>
      </c>
      <c r="D86" s="6" t="s">
        <v>135</v>
      </c>
      <c r="E86" s="6" t="s">
        <v>136</v>
      </c>
      <c r="F86" s="7">
        <v>9256.2000000000007</v>
      </c>
      <c r="G86" s="7">
        <v>0</v>
      </c>
      <c r="H86" s="8">
        <v>0</v>
      </c>
      <c r="I86" s="8">
        <v>0</v>
      </c>
      <c r="J86" s="8">
        <v>0</v>
      </c>
      <c r="K86" s="8">
        <v>1943.8</v>
      </c>
      <c r="L86" s="8">
        <v>0</v>
      </c>
      <c r="M86" s="7">
        <v>0</v>
      </c>
      <c r="N86" s="7">
        <v>11200</v>
      </c>
    </row>
    <row r="87" spans="1:15" hidden="1">
      <c r="A87" s="4" t="s">
        <v>23</v>
      </c>
      <c r="B87" s="5" t="s">
        <v>137</v>
      </c>
      <c r="C87" s="6" t="s">
        <v>134</v>
      </c>
      <c r="D87" s="6" t="s">
        <v>135</v>
      </c>
      <c r="E87" s="6" t="s">
        <v>136</v>
      </c>
      <c r="F87" s="7">
        <v>16942.150000000001</v>
      </c>
      <c r="G87" s="7">
        <v>0</v>
      </c>
      <c r="H87" s="8">
        <v>0</v>
      </c>
      <c r="I87" s="8">
        <v>0</v>
      </c>
      <c r="J87" s="8">
        <v>0</v>
      </c>
      <c r="K87" s="8">
        <v>3557.85</v>
      </c>
      <c r="L87" s="8">
        <v>0</v>
      </c>
      <c r="M87" s="7">
        <v>0</v>
      </c>
      <c r="N87" s="7">
        <v>20500</v>
      </c>
    </row>
    <row r="88" spans="1:15" hidden="1">
      <c r="A88" s="4" t="s">
        <v>23</v>
      </c>
      <c r="B88" s="5" t="s">
        <v>138</v>
      </c>
      <c r="C88" s="6" t="s">
        <v>134</v>
      </c>
      <c r="D88" s="6" t="s">
        <v>135</v>
      </c>
      <c r="E88" s="6" t="s">
        <v>136</v>
      </c>
      <c r="F88" s="7">
        <v>12148.76</v>
      </c>
      <c r="G88" s="7">
        <v>0</v>
      </c>
      <c r="H88" s="8">
        <v>0</v>
      </c>
      <c r="I88" s="8">
        <v>0</v>
      </c>
      <c r="J88" s="8">
        <v>0</v>
      </c>
      <c r="K88" s="8">
        <v>2551.2400000000002</v>
      </c>
      <c r="L88" s="8">
        <v>0</v>
      </c>
      <c r="M88" s="7">
        <v>0</v>
      </c>
      <c r="N88" s="7">
        <v>14700</v>
      </c>
    </row>
    <row r="89" spans="1:15" hidden="1">
      <c r="A89" s="4" t="s">
        <v>23</v>
      </c>
      <c r="B89" s="5" t="s">
        <v>139</v>
      </c>
      <c r="C89" s="6" t="s">
        <v>134</v>
      </c>
      <c r="D89" s="6" t="s">
        <v>135</v>
      </c>
      <c r="E89" s="6" t="s">
        <v>136</v>
      </c>
      <c r="F89" s="7">
        <v>10330.58</v>
      </c>
      <c r="G89" s="7">
        <v>0</v>
      </c>
      <c r="H89" s="8">
        <v>0</v>
      </c>
      <c r="I89" s="8">
        <v>0</v>
      </c>
      <c r="J89" s="8">
        <v>0</v>
      </c>
      <c r="K89" s="8">
        <v>2169.42</v>
      </c>
      <c r="L89" s="8">
        <v>0</v>
      </c>
      <c r="M89" s="7">
        <v>0</v>
      </c>
      <c r="N89" s="7">
        <v>12500</v>
      </c>
    </row>
    <row r="90" spans="1:15" hidden="1">
      <c r="A90" s="4" t="s">
        <v>23</v>
      </c>
      <c r="B90" s="5" t="s">
        <v>140</v>
      </c>
      <c r="C90" s="6" t="s">
        <v>134</v>
      </c>
      <c r="D90" s="6" t="s">
        <v>135</v>
      </c>
      <c r="E90" s="6" t="s">
        <v>136</v>
      </c>
      <c r="F90" s="7">
        <v>9917.36</v>
      </c>
      <c r="G90" s="7">
        <v>0</v>
      </c>
      <c r="H90" s="8">
        <v>0</v>
      </c>
      <c r="I90" s="8">
        <v>0</v>
      </c>
      <c r="J90" s="8">
        <v>0</v>
      </c>
      <c r="K90" s="8">
        <v>2082.64</v>
      </c>
      <c r="L90" s="8">
        <v>0</v>
      </c>
      <c r="M90" s="7">
        <v>0</v>
      </c>
      <c r="N90" s="7">
        <v>12000</v>
      </c>
    </row>
    <row r="91" spans="1:15" hidden="1">
      <c r="A91" s="4" t="s">
        <v>23</v>
      </c>
      <c r="B91" s="5" t="s">
        <v>141</v>
      </c>
      <c r="C91" s="6" t="s">
        <v>134</v>
      </c>
      <c r="D91" s="6" t="s">
        <v>135</v>
      </c>
      <c r="E91" s="6" t="s">
        <v>136</v>
      </c>
      <c r="F91" s="7">
        <v>8471.07</v>
      </c>
      <c r="G91" s="7">
        <v>0</v>
      </c>
      <c r="H91" s="8">
        <v>0</v>
      </c>
      <c r="I91" s="8">
        <v>0</v>
      </c>
      <c r="J91" s="8">
        <v>0</v>
      </c>
      <c r="K91" s="8">
        <v>1778.93</v>
      </c>
      <c r="L91" s="8">
        <v>0</v>
      </c>
      <c r="M91" s="7">
        <v>0</v>
      </c>
      <c r="N91" s="7">
        <v>10250</v>
      </c>
    </row>
    <row r="92" spans="1:15" hidden="1">
      <c r="A92" s="4" t="s">
        <v>23</v>
      </c>
      <c r="B92" s="5" t="s">
        <v>142</v>
      </c>
      <c r="C92" s="6" t="s">
        <v>134</v>
      </c>
      <c r="D92" s="6" t="s">
        <v>135</v>
      </c>
      <c r="E92" s="6" t="s">
        <v>136</v>
      </c>
      <c r="F92" s="7">
        <v>22107.439999999999</v>
      </c>
      <c r="G92" s="7">
        <v>0</v>
      </c>
      <c r="H92" s="8">
        <v>0</v>
      </c>
      <c r="I92" s="8">
        <v>0</v>
      </c>
      <c r="J92" s="8">
        <v>0</v>
      </c>
      <c r="K92" s="8">
        <v>4642.5600000000004</v>
      </c>
      <c r="L92" s="8">
        <v>0</v>
      </c>
      <c r="M92" s="7">
        <v>0</v>
      </c>
      <c r="N92" s="7">
        <v>26750</v>
      </c>
    </row>
    <row r="93" spans="1:15" hidden="1">
      <c r="A93" s="4" t="s">
        <v>23</v>
      </c>
      <c r="B93" s="5" t="s">
        <v>143</v>
      </c>
      <c r="C93" s="6" t="s">
        <v>134</v>
      </c>
      <c r="D93" s="6" t="s">
        <v>135</v>
      </c>
      <c r="E93" s="6" t="s">
        <v>136</v>
      </c>
      <c r="F93" s="7">
        <v>7231.4</v>
      </c>
      <c r="G93" s="7">
        <v>0</v>
      </c>
      <c r="H93" s="8">
        <v>0</v>
      </c>
      <c r="I93" s="8">
        <v>0</v>
      </c>
      <c r="J93" s="8">
        <v>0</v>
      </c>
      <c r="K93" s="8">
        <v>1518.6</v>
      </c>
      <c r="L93" s="8">
        <v>0</v>
      </c>
      <c r="M93" s="7">
        <v>0</v>
      </c>
      <c r="N93" s="7">
        <v>8750</v>
      </c>
    </row>
    <row r="94" spans="1:15" hidden="1">
      <c r="A94" s="4" t="s">
        <v>23</v>
      </c>
      <c r="B94" s="5" t="s">
        <v>144</v>
      </c>
      <c r="C94" s="6" t="s">
        <v>134</v>
      </c>
      <c r="D94" s="6" t="s">
        <v>135</v>
      </c>
      <c r="E94" s="6" t="s">
        <v>136</v>
      </c>
      <c r="F94" s="7">
        <v>6487.6</v>
      </c>
      <c r="G94" s="7">
        <v>0</v>
      </c>
      <c r="H94" s="8">
        <v>0</v>
      </c>
      <c r="I94" s="8">
        <v>0</v>
      </c>
      <c r="J94" s="8">
        <v>0</v>
      </c>
      <c r="K94" s="8">
        <v>1362.4</v>
      </c>
      <c r="L94" s="8">
        <v>0</v>
      </c>
      <c r="M94" s="7">
        <v>0</v>
      </c>
      <c r="N94" s="7">
        <v>7850</v>
      </c>
    </row>
    <row r="95" spans="1:15" hidden="1">
      <c r="A95" s="4" t="s">
        <v>26</v>
      </c>
      <c r="B95" s="5" t="s">
        <v>145</v>
      </c>
      <c r="C95" s="6" t="s">
        <v>134</v>
      </c>
      <c r="D95" s="6" t="s">
        <v>135</v>
      </c>
      <c r="E95" s="6" t="s">
        <v>136</v>
      </c>
      <c r="F95" s="7">
        <v>10330.58</v>
      </c>
      <c r="G95" s="7">
        <v>0</v>
      </c>
      <c r="H95" s="8">
        <v>0</v>
      </c>
      <c r="I95" s="8">
        <v>0</v>
      </c>
      <c r="J95" s="8">
        <v>0</v>
      </c>
      <c r="K95" s="8">
        <v>2169.42</v>
      </c>
      <c r="L95" s="8">
        <v>0</v>
      </c>
      <c r="M95" s="7">
        <v>0</v>
      </c>
      <c r="N95" s="7">
        <v>12500</v>
      </c>
    </row>
    <row r="96" spans="1:15" hidden="1">
      <c r="A96" s="4" t="s">
        <v>26</v>
      </c>
      <c r="B96" s="5" t="s">
        <v>146</v>
      </c>
      <c r="C96" s="6" t="s">
        <v>134</v>
      </c>
      <c r="D96" s="6" t="s">
        <v>135</v>
      </c>
      <c r="E96" s="6" t="s">
        <v>136</v>
      </c>
      <c r="F96" s="7">
        <v>70413.22</v>
      </c>
      <c r="G96" s="7">
        <v>0</v>
      </c>
      <c r="H96" s="8">
        <v>0</v>
      </c>
      <c r="I96" s="8">
        <v>0</v>
      </c>
      <c r="J96" s="8">
        <v>0</v>
      </c>
      <c r="K96" s="8">
        <v>14786.78</v>
      </c>
      <c r="L96" s="8">
        <v>0</v>
      </c>
      <c r="M96" s="7">
        <v>0</v>
      </c>
      <c r="N96" s="7">
        <v>85200</v>
      </c>
    </row>
    <row r="97" spans="1:14" hidden="1">
      <c r="A97" s="4" t="s">
        <v>26</v>
      </c>
      <c r="B97" s="5" t="s">
        <v>147</v>
      </c>
      <c r="C97" s="6" t="s">
        <v>134</v>
      </c>
      <c r="D97" s="6" t="s">
        <v>135</v>
      </c>
      <c r="E97" s="6" t="s">
        <v>136</v>
      </c>
      <c r="F97" s="7">
        <v>35206.61</v>
      </c>
      <c r="G97" s="7">
        <v>0</v>
      </c>
      <c r="H97" s="8">
        <v>0</v>
      </c>
      <c r="I97" s="8">
        <v>0</v>
      </c>
      <c r="J97" s="8">
        <v>0</v>
      </c>
      <c r="K97" s="8">
        <v>7393.39</v>
      </c>
      <c r="L97" s="8">
        <v>0</v>
      </c>
      <c r="M97" s="7">
        <v>0</v>
      </c>
      <c r="N97" s="7">
        <v>42600</v>
      </c>
    </row>
    <row r="98" spans="1:14" hidden="1">
      <c r="A98" s="4" t="s">
        <v>26</v>
      </c>
      <c r="B98" s="5" t="s">
        <v>148</v>
      </c>
      <c r="C98" s="6" t="s">
        <v>134</v>
      </c>
      <c r="D98" s="6" t="s">
        <v>135</v>
      </c>
      <c r="E98" s="6" t="s">
        <v>136</v>
      </c>
      <c r="F98" s="7">
        <v>8264.4600000000009</v>
      </c>
      <c r="G98" s="7">
        <v>0</v>
      </c>
      <c r="H98" s="8">
        <v>0</v>
      </c>
      <c r="I98" s="8">
        <v>0</v>
      </c>
      <c r="J98" s="8">
        <v>0</v>
      </c>
      <c r="K98" s="8">
        <v>1735.54</v>
      </c>
      <c r="L98" s="8">
        <v>0</v>
      </c>
      <c r="M98" s="7">
        <v>0</v>
      </c>
      <c r="N98" s="7">
        <v>10000</v>
      </c>
    </row>
    <row r="99" spans="1:14" hidden="1">
      <c r="A99" s="4" t="s">
        <v>26</v>
      </c>
      <c r="B99" s="5" t="s">
        <v>149</v>
      </c>
      <c r="C99" s="6" t="s">
        <v>134</v>
      </c>
      <c r="D99" s="6" t="s">
        <v>135</v>
      </c>
      <c r="E99" s="6" t="s">
        <v>136</v>
      </c>
      <c r="F99" s="7">
        <v>11818.18</v>
      </c>
      <c r="G99" s="7">
        <v>0</v>
      </c>
      <c r="H99" s="8">
        <v>0</v>
      </c>
      <c r="I99" s="8">
        <v>0</v>
      </c>
      <c r="J99" s="8">
        <v>0</v>
      </c>
      <c r="K99" s="8">
        <v>2481.8200000000002</v>
      </c>
      <c r="L99" s="8">
        <v>0</v>
      </c>
      <c r="M99" s="7">
        <v>0</v>
      </c>
      <c r="N99" s="7">
        <v>14300</v>
      </c>
    </row>
    <row r="100" spans="1:14" hidden="1">
      <c r="A100" s="4" t="s">
        <v>26</v>
      </c>
      <c r="B100" s="5" t="s">
        <v>150</v>
      </c>
      <c r="C100" s="6" t="s">
        <v>134</v>
      </c>
      <c r="D100" s="6" t="s">
        <v>135</v>
      </c>
      <c r="E100" s="6" t="s">
        <v>136</v>
      </c>
      <c r="F100" s="7">
        <v>11239.67</v>
      </c>
      <c r="G100" s="7">
        <v>0</v>
      </c>
      <c r="H100" s="8">
        <v>0</v>
      </c>
      <c r="I100" s="8">
        <v>0</v>
      </c>
      <c r="J100" s="8">
        <v>0</v>
      </c>
      <c r="K100" s="8">
        <v>2360.33</v>
      </c>
      <c r="L100" s="8">
        <v>0</v>
      </c>
      <c r="M100" s="7">
        <v>0</v>
      </c>
      <c r="N100" s="7">
        <v>13600</v>
      </c>
    </row>
    <row r="101" spans="1:14" hidden="1">
      <c r="A101" s="4" t="s">
        <v>26</v>
      </c>
      <c r="B101" s="5" t="s">
        <v>151</v>
      </c>
      <c r="C101" s="6" t="s">
        <v>134</v>
      </c>
      <c r="D101" s="6" t="s">
        <v>135</v>
      </c>
      <c r="E101" s="6" t="s">
        <v>136</v>
      </c>
      <c r="F101" s="7">
        <v>9917.36</v>
      </c>
      <c r="G101" s="7">
        <v>0</v>
      </c>
      <c r="H101" s="8">
        <v>0</v>
      </c>
      <c r="I101" s="8">
        <v>0</v>
      </c>
      <c r="J101" s="8">
        <v>0</v>
      </c>
      <c r="K101" s="8">
        <v>2082.64</v>
      </c>
      <c r="L101" s="8">
        <v>0</v>
      </c>
      <c r="M101" s="7">
        <v>0</v>
      </c>
      <c r="N101" s="7">
        <v>12000</v>
      </c>
    </row>
    <row r="102" spans="1:14" hidden="1">
      <c r="A102" s="4" t="s">
        <v>26</v>
      </c>
      <c r="B102" s="5" t="s">
        <v>152</v>
      </c>
      <c r="C102" s="6" t="s">
        <v>134</v>
      </c>
      <c r="D102" s="6" t="s">
        <v>135</v>
      </c>
      <c r="E102" s="6" t="s">
        <v>136</v>
      </c>
      <c r="F102" s="7">
        <v>18677.689999999999</v>
      </c>
      <c r="G102" s="7">
        <v>0</v>
      </c>
      <c r="H102" s="8">
        <v>0</v>
      </c>
      <c r="I102" s="8">
        <v>0</v>
      </c>
      <c r="J102" s="8">
        <v>0</v>
      </c>
      <c r="K102" s="8">
        <v>3922.31</v>
      </c>
      <c r="L102" s="8">
        <v>0</v>
      </c>
      <c r="M102" s="7">
        <v>0</v>
      </c>
      <c r="N102" s="7">
        <v>22600</v>
      </c>
    </row>
    <row r="103" spans="1:14" hidden="1">
      <c r="A103" s="4" t="s">
        <v>26</v>
      </c>
      <c r="B103" s="5" t="s">
        <v>153</v>
      </c>
      <c r="C103" s="6" t="s">
        <v>134</v>
      </c>
      <c r="D103" s="6" t="s">
        <v>135</v>
      </c>
      <c r="E103" s="6" t="s">
        <v>136</v>
      </c>
      <c r="F103" s="7">
        <v>66446.28</v>
      </c>
      <c r="G103" s="7">
        <v>0</v>
      </c>
      <c r="H103" s="8">
        <v>0</v>
      </c>
      <c r="I103" s="8">
        <v>0</v>
      </c>
      <c r="J103" s="8">
        <v>0</v>
      </c>
      <c r="K103" s="8">
        <v>13953.72</v>
      </c>
      <c r="L103" s="8">
        <v>0</v>
      </c>
      <c r="M103" s="7">
        <v>0</v>
      </c>
      <c r="N103" s="7">
        <v>80400</v>
      </c>
    </row>
    <row r="104" spans="1:14" hidden="1">
      <c r="A104" s="4" t="s">
        <v>26</v>
      </c>
      <c r="B104" s="5" t="s">
        <v>154</v>
      </c>
      <c r="C104" s="6" t="s">
        <v>134</v>
      </c>
      <c r="D104" s="6" t="s">
        <v>135</v>
      </c>
      <c r="E104" s="6" t="s">
        <v>136</v>
      </c>
      <c r="F104" s="7">
        <v>11735.54</v>
      </c>
      <c r="G104" s="7">
        <v>0</v>
      </c>
      <c r="H104" s="8">
        <v>0</v>
      </c>
      <c r="I104" s="8">
        <v>0</v>
      </c>
      <c r="J104" s="8">
        <v>0</v>
      </c>
      <c r="K104" s="8">
        <v>2464.46</v>
      </c>
      <c r="L104" s="8">
        <v>0</v>
      </c>
      <c r="M104" s="7">
        <v>0</v>
      </c>
      <c r="N104" s="7">
        <v>14200</v>
      </c>
    </row>
    <row r="105" spans="1:14" hidden="1">
      <c r="A105" s="4" t="s">
        <v>26</v>
      </c>
      <c r="B105" s="5" t="s">
        <v>155</v>
      </c>
      <c r="C105" s="6" t="s">
        <v>134</v>
      </c>
      <c r="D105" s="6" t="s">
        <v>135</v>
      </c>
      <c r="E105" s="6" t="s">
        <v>136</v>
      </c>
      <c r="F105" s="7">
        <v>18512.400000000001</v>
      </c>
      <c r="G105" s="7">
        <v>0</v>
      </c>
      <c r="H105" s="8">
        <v>0</v>
      </c>
      <c r="I105" s="8">
        <v>0</v>
      </c>
      <c r="J105" s="8">
        <v>0</v>
      </c>
      <c r="K105" s="8">
        <v>3887.6</v>
      </c>
      <c r="L105" s="8">
        <v>0</v>
      </c>
      <c r="M105" s="7">
        <v>0</v>
      </c>
      <c r="N105" s="7">
        <v>22400</v>
      </c>
    </row>
    <row r="106" spans="1:14" hidden="1">
      <c r="A106" s="4" t="s">
        <v>26</v>
      </c>
      <c r="B106" s="5" t="s">
        <v>156</v>
      </c>
      <c r="C106" s="6" t="s">
        <v>134</v>
      </c>
      <c r="D106" s="6" t="s">
        <v>135</v>
      </c>
      <c r="E106" s="6" t="s">
        <v>136</v>
      </c>
      <c r="F106" s="7">
        <v>9917.36</v>
      </c>
      <c r="G106" s="7">
        <v>0</v>
      </c>
      <c r="H106" s="8">
        <v>0</v>
      </c>
      <c r="I106" s="8">
        <v>0</v>
      </c>
      <c r="J106" s="8">
        <v>0</v>
      </c>
      <c r="K106" s="8">
        <v>2082.64</v>
      </c>
      <c r="L106" s="8">
        <v>0</v>
      </c>
      <c r="M106" s="7">
        <v>0</v>
      </c>
      <c r="N106" s="7">
        <v>12000</v>
      </c>
    </row>
    <row r="107" spans="1:14" hidden="1">
      <c r="A107" s="4" t="s">
        <v>26</v>
      </c>
      <c r="B107" s="5" t="s">
        <v>157</v>
      </c>
      <c r="C107" s="6" t="s">
        <v>134</v>
      </c>
      <c r="D107" s="6" t="s">
        <v>135</v>
      </c>
      <c r="E107" s="6" t="s">
        <v>136</v>
      </c>
      <c r="F107" s="7">
        <v>23471.07</v>
      </c>
      <c r="G107" s="7">
        <v>0</v>
      </c>
      <c r="H107" s="8">
        <v>0</v>
      </c>
      <c r="I107" s="8">
        <v>0</v>
      </c>
      <c r="J107" s="8">
        <v>0</v>
      </c>
      <c r="K107" s="8">
        <v>4928.93</v>
      </c>
      <c r="L107" s="8">
        <v>0</v>
      </c>
      <c r="M107" s="7">
        <v>0</v>
      </c>
      <c r="N107" s="7">
        <v>28400</v>
      </c>
    </row>
    <row r="108" spans="1:14" hidden="1">
      <c r="A108" s="4" t="s">
        <v>29</v>
      </c>
      <c r="B108" s="5" t="s">
        <v>158</v>
      </c>
      <c r="C108" s="6" t="s">
        <v>134</v>
      </c>
      <c r="D108" s="6" t="s">
        <v>135</v>
      </c>
      <c r="E108" s="6" t="s">
        <v>136</v>
      </c>
      <c r="F108" s="7">
        <v>9917.36</v>
      </c>
      <c r="G108" s="7">
        <v>0</v>
      </c>
      <c r="H108" s="8">
        <v>0</v>
      </c>
      <c r="I108" s="8">
        <v>0</v>
      </c>
      <c r="J108" s="8">
        <v>0</v>
      </c>
      <c r="K108" s="8">
        <v>2082.64</v>
      </c>
      <c r="L108" s="8">
        <v>0</v>
      </c>
      <c r="M108" s="7">
        <v>0</v>
      </c>
      <c r="N108" s="7">
        <v>12000</v>
      </c>
    </row>
    <row r="109" spans="1:14">
      <c r="A109" s="4" t="s">
        <v>29</v>
      </c>
      <c r="B109" s="5" t="s">
        <v>159</v>
      </c>
      <c r="C109" s="6" t="s">
        <v>160</v>
      </c>
      <c r="D109" s="6" t="s">
        <v>135</v>
      </c>
      <c r="E109" s="6">
        <v>50439177</v>
      </c>
      <c r="F109" s="7">
        <v>22892.560000000001</v>
      </c>
      <c r="G109" s="7">
        <v>0</v>
      </c>
      <c r="H109" s="8">
        <v>0</v>
      </c>
      <c r="I109" s="8">
        <v>0</v>
      </c>
      <c r="J109" s="8">
        <v>0</v>
      </c>
      <c r="K109" s="8">
        <v>4807.4400000000005</v>
      </c>
      <c r="L109" s="8">
        <v>0</v>
      </c>
      <c r="M109" s="7">
        <v>0</v>
      </c>
      <c r="N109" s="7">
        <v>27700</v>
      </c>
    </row>
    <row r="110" spans="1:14" hidden="1">
      <c r="A110" s="4" t="s">
        <v>29</v>
      </c>
      <c r="B110" s="5" t="s">
        <v>161</v>
      </c>
      <c r="C110" s="6" t="s">
        <v>134</v>
      </c>
      <c r="D110" s="6" t="s">
        <v>135</v>
      </c>
      <c r="E110" s="6" t="s">
        <v>136</v>
      </c>
      <c r="F110" s="7">
        <v>21983.47</v>
      </c>
      <c r="G110" s="7">
        <v>0</v>
      </c>
      <c r="H110" s="8">
        <v>0</v>
      </c>
      <c r="I110" s="8">
        <v>0</v>
      </c>
      <c r="J110" s="8">
        <v>0</v>
      </c>
      <c r="K110" s="8">
        <v>4616.53</v>
      </c>
      <c r="L110" s="8">
        <v>0</v>
      </c>
      <c r="M110" s="7">
        <v>0</v>
      </c>
      <c r="N110" s="7">
        <v>26600</v>
      </c>
    </row>
    <row r="111" spans="1:14" hidden="1">
      <c r="A111" s="4" t="s">
        <v>29</v>
      </c>
      <c r="B111" s="5" t="s">
        <v>162</v>
      </c>
      <c r="C111" s="6" t="s">
        <v>134</v>
      </c>
      <c r="D111" s="6" t="s">
        <v>135</v>
      </c>
      <c r="E111" s="6" t="s">
        <v>136</v>
      </c>
      <c r="F111" s="7">
        <v>16322.31</v>
      </c>
      <c r="G111" s="7">
        <v>0</v>
      </c>
      <c r="H111" s="8">
        <v>0</v>
      </c>
      <c r="I111" s="8">
        <v>0</v>
      </c>
      <c r="J111" s="8">
        <v>0</v>
      </c>
      <c r="K111" s="8">
        <v>3427.69</v>
      </c>
      <c r="L111" s="8">
        <v>0</v>
      </c>
      <c r="M111" s="7">
        <v>0</v>
      </c>
      <c r="N111" s="7">
        <v>19750</v>
      </c>
    </row>
    <row r="112" spans="1:14" hidden="1">
      <c r="A112" s="4" t="s">
        <v>29</v>
      </c>
      <c r="B112" s="5" t="s">
        <v>163</v>
      </c>
      <c r="C112" s="6" t="s">
        <v>134</v>
      </c>
      <c r="D112" s="6" t="s">
        <v>135</v>
      </c>
      <c r="E112" s="6" t="s">
        <v>136</v>
      </c>
      <c r="F112" s="7">
        <v>24793.39</v>
      </c>
      <c r="G112" s="7">
        <v>0</v>
      </c>
      <c r="H112" s="8">
        <v>0</v>
      </c>
      <c r="I112" s="8">
        <v>0</v>
      </c>
      <c r="J112" s="8">
        <v>0</v>
      </c>
      <c r="K112" s="8">
        <v>5206.6099999999997</v>
      </c>
      <c r="L112" s="8">
        <v>0</v>
      </c>
      <c r="M112" s="7">
        <v>0</v>
      </c>
      <c r="N112" s="7">
        <v>30000</v>
      </c>
    </row>
    <row r="113" spans="1:14" hidden="1">
      <c r="A113" s="4" t="s">
        <v>29</v>
      </c>
      <c r="B113" s="5" t="s">
        <v>164</v>
      </c>
      <c r="C113" s="6" t="s">
        <v>134</v>
      </c>
      <c r="D113" s="6" t="s">
        <v>135</v>
      </c>
      <c r="E113" s="6" t="s">
        <v>136</v>
      </c>
      <c r="F113" s="7">
        <v>16528.93</v>
      </c>
      <c r="G113" s="7">
        <v>0</v>
      </c>
      <c r="H113" s="8">
        <v>0</v>
      </c>
      <c r="I113" s="8">
        <v>0</v>
      </c>
      <c r="J113" s="8">
        <v>0</v>
      </c>
      <c r="K113" s="8">
        <v>3471.07</v>
      </c>
      <c r="L113" s="8">
        <v>0</v>
      </c>
      <c r="M113" s="7">
        <v>0</v>
      </c>
      <c r="N113" s="7">
        <v>20000</v>
      </c>
    </row>
    <row r="114" spans="1:14" hidden="1">
      <c r="A114" s="4" t="s">
        <v>29</v>
      </c>
      <c r="B114" s="5" t="s">
        <v>165</v>
      </c>
      <c r="C114" s="6" t="s">
        <v>134</v>
      </c>
      <c r="D114" s="6" t="s">
        <v>135</v>
      </c>
      <c r="E114" s="6" t="s">
        <v>136</v>
      </c>
      <c r="F114" s="7">
        <v>8677.69</v>
      </c>
      <c r="G114" s="7">
        <v>0</v>
      </c>
      <c r="H114" s="8">
        <v>0</v>
      </c>
      <c r="I114" s="8">
        <v>0</v>
      </c>
      <c r="J114" s="8">
        <v>0</v>
      </c>
      <c r="K114" s="8">
        <v>1822.31</v>
      </c>
      <c r="L114" s="8">
        <v>0</v>
      </c>
      <c r="M114" s="7">
        <v>0</v>
      </c>
      <c r="N114" s="7">
        <v>10500</v>
      </c>
    </row>
    <row r="115" spans="1:14" hidden="1">
      <c r="A115" s="4" t="s">
        <v>29</v>
      </c>
      <c r="B115" s="5" t="s">
        <v>166</v>
      </c>
      <c r="C115" s="6" t="s">
        <v>134</v>
      </c>
      <c r="D115" s="6" t="s">
        <v>135</v>
      </c>
      <c r="E115" s="6" t="s">
        <v>136</v>
      </c>
      <c r="F115" s="7">
        <v>15082.64</v>
      </c>
      <c r="G115" s="7">
        <v>0</v>
      </c>
      <c r="H115" s="8">
        <v>0</v>
      </c>
      <c r="I115" s="8">
        <v>0</v>
      </c>
      <c r="J115" s="8">
        <v>0</v>
      </c>
      <c r="K115" s="8">
        <v>3167.36</v>
      </c>
      <c r="L115" s="8">
        <v>0</v>
      </c>
      <c r="M115" s="7">
        <v>0</v>
      </c>
      <c r="N115" s="7">
        <v>18250</v>
      </c>
    </row>
    <row r="116" spans="1:14" hidden="1">
      <c r="A116" s="4" t="s">
        <v>29</v>
      </c>
      <c r="B116" s="5" t="s">
        <v>167</v>
      </c>
      <c r="C116" s="6" t="s">
        <v>134</v>
      </c>
      <c r="D116" s="6" t="s">
        <v>135</v>
      </c>
      <c r="E116" s="6" t="s">
        <v>136</v>
      </c>
      <c r="F116" s="7">
        <v>6487.6</v>
      </c>
      <c r="G116" s="7">
        <v>0</v>
      </c>
      <c r="H116" s="8">
        <v>0</v>
      </c>
      <c r="I116" s="8">
        <v>0</v>
      </c>
      <c r="J116" s="8">
        <v>0</v>
      </c>
      <c r="K116" s="8">
        <v>1362.4</v>
      </c>
      <c r="L116" s="8">
        <v>0</v>
      </c>
      <c r="M116" s="7">
        <v>0</v>
      </c>
      <c r="N116" s="7">
        <v>7850</v>
      </c>
    </row>
    <row r="117" spans="1:14" hidden="1">
      <c r="A117" s="4" t="s">
        <v>29</v>
      </c>
      <c r="B117" s="5" t="s">
        <v>168</v>
      </c>
      <c r="C117" s="6" t="s">
        <v>134</v>
      </c>
      <c r="D117" s="6" t="s">
        <v>135</v>
      </c>
      <c r="E117" s="6" t="s">
        <v>136</v>
      </c>
      <c r="F117" s="7">
        <v>11322.31</v>
      </c>
      <c r="G117" s="7">
        <v>0</v>
      </c>
      <c r="H117" s="8">
        <v>0</v>
      </c>
      <c r="I117" s="8">
        <v>0</v>
      </c>
      <c r="J117" s="8">
        <v>0</v>
      </c>
      <c r="K117" s="8">
        <v>2377.69</v>
      </c>
      <c r="L117" s="8">
        <v>0</v>
      </c>
      <c r="M117" s="7">
        <v>0</v>
      </c>
      <c r="N117" s="7">
        <v>13700</v>
      </c>
    </row>
    <row r="118" spans="1:14" hidden="1">
      <c r="A118" s="4" t="s">
        <v>65</v>
      </c>
      <c r="B118" s="5" t="s">
        <v>169</v>
      </c>
      <c r="C118" s="6" t="s">
        <v>134</v>
      </c>
      <c r="D118" s="6" t="s">
        <v>135</v>
      </c>
      <c r="E118" s="6" t="s">
        <v>136</v>
      </c>
      <c r="F118" s="7">
        <v>8471.07</v>
      </c>
      <c r="G118" s="7">
        <v>0</v>
      </c>
      <c r="H118" s="8">
        <v>0</v>
      </c>
      <c r="I118" s="8">
        <v>0</v>
      </c>
      <c r="J118" s="8">
        <v>0</v>
      </c>
      <c r="K118" s="8">
        <v>1778.93</v>
      </c>
      <c r="L118" s="8">
        <v>0</v>
      </c>
      <c r="M118" s="7">
        <v>0</v>
      </c>
      <c r="N118" s="7">
        <v>10250</v>
      </c>
    </row>
    <row r="119" spans="1:14" hidden="1">
      <c r="A119" s="4" t="s">
        <v>65</v>
      </c>
      <c r="B119" s="5" t="s">
        <v>170</v>
      </c>
      <c r="C119" s="6" t="s">
        <v>134</v>
      </c>
      <c r="D119" s="6" t="s">
        <v>135</v>
      </c>
      <c r="E119" s="6" t="s">
        <v>136</v>
      </c>
      <c r="F119" s="7">
        <v>2561.98</v>
      </c>
      <c r="G119" s="7">
        <v>0</v>
      </c>
      <c r="H119" s="8">
        <v>0</v>
      </c>
      <c r="I119" s="8">
        <v>0</v>
      </c>
      <c r="J119" s="8">
        <v>0</v>
      </c>
      <c r="K119" s="8">
        <v>538.02</v>
      </c>
      <c r="L119" s="8">
        <v>0</v>
      </c>
      <c r="M119" s="7">
        <v>0</v>
      </c>
      <c r="N119" s="7">
        <v>3100</v>
      </c>
    </row>
    <row r="120" spans="1:14" hidden="1">
      <c r="A120" s="4" t="s">
        <v>65</v>
      </c>
      <c r="B120" s="5" t="s">
        <v>171</v>
      </c>
      <c r="C120" s="6" t="s">
        <v>134</v>
      </c>
      <c r="D120" s="6" t="s">
        <v>135</v>
      </c>
      <c r="E120" s="6" t="s">
        <v>136</v>
      </c>
      <c r="F120" s="7">
        <v>23553.72</v>
      </c>
      <c r="G120" s="7">
        <v>0</v>
      </c>
      <c r="H120" s="8">
        <v>0</v>
      </c>
      <c r="I120" s="8">
        <v>0</v>
      </c>
      <c r="J120" s="8">
        <v>0</v>
      </c>
      <c r="K120" s="8">
        <v>4946.28</v>
      </c>
      <c r="L120" s="8">
        <v>0</v>
      </c>
      <c r="M120" s="7">
        <v>0</v>
      </c>
      <c r="N120" s="7">
        <v>28500</v>
      </c>
    </row>
    <row r="121" spans="1:14" hidden="1">
      <c r="A121" s="4" t="s">
        <v>65</v>
      </c>
      <c r="B121" s="5" t="s">
        <v>172</v>
      </c>
      <c r="C121" s="6" t="s">
        <v>134</v>
      </c>
      <c r="D121" s="6" t="s">
        <v>135</v>
      </c>
      <c r="E121" s="6" t="s">
        <v>136</v>
      </c>
      <c r="F121" s="7">
        <v>16942.150000000001</v>
      </c>
      <c r="G121" s="7">
        <v>0</v>
      </c>
      <c r="H121" s="8">
        <v>0</v>
      </c>
      <c r="I121" s="8">
        <v>0</v>
      </c>
      <c r="J121" s="8">
        <v>0</v>
      </c>
      <c r="K121" s="8">
        <v>3557.85</v>
      </c>
      <c r="L121" s="8">
        <v>0</v>
      </c>
      <c r="M121" s="7">
        <v>0</v>
      </c>
      <c r="N121" s="7">
        <v>20500</v>
      </c>
    </row>
    <row r="122" spans="1:14" hidden="1">
      <c r="A122" s="4" t="s">
        <v>65</v>
      </c>
      <c r="B122" s="5" t="s">
        <v>173</v>
      </c>
      <c r="C122" s="6" t="s">
        <v>134</v>
      </c>
      <c r="D122" s="6" t="s">
        <v>135</v>
      </c>
      <c r="E122" s="6" t="s">
        <v>136</v>
      </c>
      <c r="F122" s="7">
        <v>11404.96</v>
      </c>
      <c r="G122" s="7">
        <v>0</v>
      </c>
      <c r="H122" s="8">
        <v>0</v>
      </c>
      <c r="I122" s="8">
        <v>0</v>
      </c>
      <c r="J122" s="8">
        <v>0</v>
      </c>
      <c r="K122" s="8">
        <v>2395.04</v>
      </c>
      <c r="L122" s="8">
        <v>0</v>
      </c>
      <c r="M122" s="7">
        <v>0</v>
      </c>
      <c r="N122" s="7">
        <v>13800</v>
      </c>
    </row>
    <row r="123" spans="1:14" hidden="1">
      <c r="A123" s="4" t="s">
        <v>65</v>
      </c>
      <c r="B123" s="5" t="s">
        <v>174</v>
      </c>
      <c r="C123" s="6" t="s">
        <v>134</v>
      </c>
      <c r="D123" s="6" t="s">
        <v>135</v>
      </c>
      <c r="E123" s="6" t="s">
        <v>136</v>
      </c>
      <c r="F123" s="7">
        <v>20661.16</v>
      </c>
      <c r="G123" s="7">
        <v>0</v>
      </c>
      <c r="H123" s="8">
        <v>0</v>
      </c>
      <c r="I123" s="8">
        <v>0</v>
      </c>
      <c r="J123" s="8">
        <v>0</v>
      </c>
      <c r="K123" s="8">
        <v>4338.84</v>
      </c>
      <c r="L123" s="8">
        <v>0</v>
      </c>
      <c r="M123" s="7">
        <v>0</v>
      </c>
      <c r="N123" s="7">
        <v>25000</v>
      </c>
    </row>
    <row r="124" spans="1:14">
      <c r="A124" s="4" t="s">
        <v>65</v>
      </c>
      <c r="B124" s="5" t="s">
        <v>175</v>
      </c>
      <c r="C124" s="6" t="s">
        <v>176</v>
      </c>
      <c r="D124" s="6" t="s">
        <v>135</v>
      </c>
      <c r="E124" s="6">
        <v>4514459</v>
      </c>
      <c r="F124" s="7">
        <v>157024.79</v>
      </c>
      <c r="G124" s="7">
        <v>0</v>
      </c>
      <c r="H124" s="8">
        <v>0</v>
      </c>
      <c r="I124" s="8">
        <v>0</v>
      </c>
      <c r="J124" s="8">
        <v>0</v>
      </c>
      <c r="K124" s="8">
        <v>32975.21</v>
      </c>
      <c r="L124" s="8">
        <v>0</v>
      </c>
      <c r="M124" s="7">
        <v>0</v>
      </c>
      <c r="N124" s="7">
        <v>190000</v>
      </c>
    </row>
    <row r="125" spans="1:14" hidden="1">
      <c r="A125" s="4" t="s">
        <v>65</v>
      </c>
      <c r="B125" s="5" t="s">
        <v>177</v>
      </c>
      <c r="C125" s="6" t="s">
        <v>134</v>
      </c>
      <c r="D125" s="6" t="s">
        <v>135</v>
      </c>
      <c r="E125" s="6" t="s">
        <v>136</v>
      </c>
      <c r="F125" s="7">
        <v>11239.67</v>
      </c>
      <c r="G125" s="7">
        <v>0</v>
      </c>
      <c r="H125" s="8">
        <v>0</v>
      </c>
      <c r="I125" s="8">
        <v>0</v>
      </c>
      <c r="J125" s="8">
        <v>0</v>
      </c>
      <c r="K125" s="8">
        <v>2360.33</v>
      </c>
      <c r="L125" s="8">
        <v>0</v>
      </c>
      <c r="M125" s="7">
        <v>0</v>
      </c>
      <c r="N125" s="7">
        <v>13600</v>
      </c>
    </row>
    <row r="126" spans="1:14" hidden="1">
      <c r="A126" s="4" t="s">
        <v>65</v>
      </c>
      <c r="B126" s="5" t="s">
        <v>178</v>
      </c>
      <c r="C126" s="6" t="s">
        <v>134</v>
      </c>
      <c r="D126" s="6" t="s">
        <v>135</v>
      </c>
      <c r="E126" s="6" t="s">
        <v>136</v>
      </c>
      <c r="F126" s="7">
        <v>11570.25</v>
      </c>
      <c r="G126" s="7">
        <v>0</v>
      </c>
      <c r="H126" s="8">
        <v>0</v>
      </c>
      <c r="I126" s="8">
        <v>0</v>
      </c>
      <c r="J126" s="8">
        <v>0</v>
      </c>
      <c r="K126" s="8">
        <v>2429.75</v>
      </c>
      <c r="L126" s="8">
        <v>0</v>
      </c>
      <c r="M126" s="7">
        <v>0</v>
      </c>
      <c r="N126" s="7">
        <v>14000</v>
      </c>
    </row>
    <row r="127" spans="1:14" hidden="1">
      <c r="A127" s="4" t="s">
        <v>65</v>
      </c>
      <c r="B127" s="5" t="s">
        <v>179</v>
      </c>
      <c r="C127" s="6" t="s">
        <v>134</v>
      </c>
      <c r="D127" s="6" t="s">
        <v>135</v>
      </c>
      <c r="E127" s="6" t="s">
        <v>136</v>
      </c>
      <c r="F127" s="7">
        <v>11735.54</v>
      </c>
      <c r="G127" s="7">
        <v>0</v>
      </c>
      <c r="H127" s="8">
        <v>0</v>
      </c>
      <c r="I127" s="8">
        <v>0</v>
      </c>
      <c r="J127" s="8">
        <v>0</v>
      </c>
      <c r="K127" s="8">
        <v>2464.46</v>
      </c>
      <c r="L127" s="8">
        <v>0</v>
      </c>
      <c r="M127" s="7">
        <v>0</v>
      </c>
      <c r="N127" s="7">
        <v>14200</v>
      </c>
    </row>
    <row r="128" spans="1:14" hidden="1">
      <c r="A128" s="4" t="s">
        <v>65</v>
      </c>
      <c r="B128" s="5" t="s">
        <v>180</v>
      </c>
      <c r="C128" s="6" t="s">
        <v>134</v>
      </c>
      <c r="D128" s="6" t="s">
        <v>135</v>
      </c>
      <c r="E128" s="6" t="s">
        <v>136</v>
      </c>
      <c r="F128" s="7">
        <v>35206.61</v>
      </c>
      <c r="G128" s="7">
        <v>0</v>
      </c>
      <c r="H128" s="8">
        <v>0</v>
      </c>
      <c r="I128" s="8">
        <v>0</v>
      </c>
      <c r="J128" s="8">
        <v>0</v>
      </c>
      <c r="K128" s="8">
        <v>7393.39</v>
      </c>
      <c r="L128" s="8">
        <v>0</v>
      </c>
      <c r="M128" s="7">
        <v>0</v>
      </c>
      <c r="N128" s="7">
        <v>42600</v>
      </c>
    </row>
    <row r="129" spans="1:14" hidden="1">
      <c r="A129" s="4" t="s">
        <v>71</v>
      </c>
      <c r="B129" s="5" t="s">
        <v>181</v>
      </c>
      <c r="C129" s="6" t="s">
        <v>134</v>
      </c>
      <c r="D129" s="6" t="s">
        <v>135</v>
      </c>
      <c r="E129" s="6" t="s">
        <v>136</v>
      </c>
      <c r="F129" s="7">
        <v>8471.07</v>
      </c>
      <c r="G129" s="7">
        <v>0</v>
      </c>
      <c r="H129" s="8">
        <v>0</v>
      </c>
      <c r="I129" s="8">
        <v>0</v>
      </c>
      <c r="J129" s="8">
        <v>0</v>
      </c>
      <c r="K129" s="8">
        <v>1778.93</v>
      </c>
      <c r="L129" s="8">
        <v>0</v>
      </c>
      <c r="M129" s="7">
        <v>0</v>
      </c>
      <c r="N129" s="7">
        <v>10250</v>
      </c>
    </row>
    <row r="130" spans="1:14" hidden="1">
      <c r="A130" s="4" t="s">
        <v>71</v>
      </c>
      <c r="B130" s="5" t="s">
        <v>182</v>
      </c>
      <c r="C130" s="6" t="s">
        <v>134</v>
      </c>
      <c r="D130" s="6" t="s">
        <v>135</v>
      </c>
      <c r="E130" s="6" t="s">
        <v>136</v>
      </c>
      <c r="F130" s="7">
        <v>18801.650000000001</v>
      </c>
      <c r="G130" s="7">
        <v>0</v>
      </c>
      <c r="H130" s="8">
        <v>0</v>
      </c>
      <c r="I130" s="8">
        <v>0</v>
      </c>
      <c r="J130" s="8">
        <v>0</v>
      </c>
      <c r="K130" s="8">
        <v>3948.35</v>
      </c>
      <c r="L130" s="8">
        <v>0</v>
      </c>
      <c r="M130" s="7">
        <v>0</v>
      </c>
      <c r="N130" s="7">
        <v>22750</v>
      </c>
    </row>
    <row r="131" spans="1:14" hidden="1">
      <c r="A131" s="4" t="s">
        <v>71</v>
      </c>
      <c r="B131" s="5" t="s">
        <v>183</v>
      </c>
      <c r="C131" s="6" t="s">
        <v>134</v>
      </c>
      <c r="D131" s="6" t="s">
        <v>135</v>
      </c>
      <c r="E131" s="6" t="s">
        <v>136</v>
      </c>
      <c r="F131" s="7">
        <v>16942.150000000001</v>
      </c>
      <c r="G131" s="7">
        <v>0</v>
      </c>
      <c r="H131" s="8">
        <v>0</v>
      </c>
      <c r="I131" s="8">
        <v>0</v>
      </c>
      <c r="J131" s="8">
        <v>0</v>
      </c>
      <c r="K131" s="8">
        <v>3557.85</v>
      </c>
      <c r="L131" s="8">
        <v>0</v>
      </c>
      <c r="M131" s="7">
        <v>0</v>
      </c>
      <c r="N131" s="7">
        <v>20500</v>
      </c>
    </row>
    <row r="132" spans="1:14" hidden="1">
      <c r="A132" s="4" t="s">
        <v>71</v>
      </c>
      <c r="B132" s="5" t="s">
        <v>184</v>
      </c>
      <c r="C132" s="6" t="s">
        <v>134</v>
      </c>
      <c r="D132" s="6" t="s">
        <v>135</v>
      </c>
      <c r="E132" s="6" t="s">
        <v>136</v>
      </c>
      <c r="F132" s="7">
        <v>9917.36</v>
      </c>
      <c r="G132" s="7">
        <v>0</v>
      </c>
      <c r="H132" s="8">
        <v>0</v>
      </c>
      <c r="I132" s="8">
        <v>0</v>
      </c>
      <c r="J132" s="8">
        <v>0</v>
      </c>
      <c r="K132" s="8">
        <v>2082.64</v>
      </c>
      <c r="L132" s="8">
        <v>0</v>
      </c>
      <c r="M132" s="7">
        <v>0</v>
      </c>
      <c r="N132" s="7">
        <v>12000</v>
      </c>
    </row>
    <row r="133" spans="1:14" hidden="1">
      <c r="A133" s="4" t="s">
        <v>71</v>
      </c>
      <c r="B133" s="5" t="s">
        <v>185</v>
      </c>
      <c r="C133" s="6" t="s">
        <v>134</v>
      </c>
      <c r="D133" s="6" t="s">
        <v>135</v>
      </c>
      <c r="E133" s="6" t="s">
        <v>136</v>
      </c>
      <c r="F133" s="7">
        <v>8471.07</v>
      </c>
      <c r="G133" s="7">
        <v>0</v>
      </c>
      <c r="H133" s="8">
        <v>0</v>
      </c>
      <c r="I133" s="8">
        <v>0</v>
      </c>
      <c r="J133" s="8">
        <v>0</v>
      </c>
      <c r="K133" s="8">
        <v>1778.93</v>
      </c>
      <c r="L133" s="8">
        <v>0</v>
      </c>
      <c r="M133" s="7">
        <v>0</v>
      </c>
      <c r="N133" s="7">
        <v>10250</v>
      </c>
    </row>
    <row r="134" spans="1:14" hidden="1">
      <c r="A134" s="4" t="s">
        <v>71</v>
      </c>
      <c r="B134" s="5" t="s">
        <v>186</v>
      </c>
      <c r="C134" s="6" t="s">
        <v>134</v>
      </c>
      <c r="D134" s="6" t="s">
        <v>135</v>
      </c>
      <c r="E134" s="6" t="s">
        <v>136</v>
      </c>
      <c r="F134" s="7">
        <v>16942.150000000001</v>
      </c>
      <c r="G134" s="7">
        <v>0</v>
      </c>
      <c r="H134" s="8">
        <v>0</v>
      </c>
      <c r="I134" s="8">
        <v>0</v>
      </c>
      <c r="J134" s="8">
        <v>0</v>
      </c>
      <c r="K134" s="8">
        <v>3557.85</v>
      </c>
      <c r="L134" s="8">
        <v>0</v>
      </c>
      <c r="M134" s="7">
        <v>0</v>
      </c>
      <c r="N134" s="7">
        <v>20500</v>
      </c>
    </row>
    <row r="135" spans="1:14" hidden="1">
      <c r="A135" s="4" t="s">
        <v>71</v>
      </c>
      <c r="B135" s="5" t="s">
        <v>187</v>
      </c>
      <c r="C135" s="6" t="s">
        <v>134</v>
      </c>
      <c r="D135" s="6" t="s">
        <v>135</v>
      </c>
      <c r="E135" s="6" t="s">
        <v>136</v>
      </c>
      <c r="F135" s="7">
        <v>11735.54</v>
      </c>
      <c r="G135" s="7">
        <v>0</v>
      </c>
      <c r="H135" s="8">
        <v>0</v>
      </c>
      <c r="I135" s="8">
        <v>0</v>
      </c>
      <c r="J135" s="8">
        <v>0</v>
      </c>
      <c r="K135" s="8">
        <v>2464.46</v>
      </c>
      <c r="L135" s="8">
        <v>0</v>
      </c>
      <c r="M135" s="7">
        <v>0</v>
      </c>
      <c r="N135" s="7">
        <v>14200</v>
      </c>
    </row>
    <row r="136" spans="1:14" hidden="1">
      <c r="A136" s="4" t="s">
        <v>71</v>
      </c>
      <c r="B136" s="5" t="s">
        <v>188</v>
      </c>
      <c r="C136" s="6" t="s">
        <v>134</v>
      </c>
      <c r="D136" s="6" t="s">
        <v>135</v>
      </c>
      <c r="E136" s="6" t="s">
        <v>136</v>
      </c>
      <c r="F136" s="7">
        <v>12579.34</v>
      </c>
      <c r="G136" s="7">
        <v>0</v>
      </c>
      <c r="H136" s="8">
        <v>0</v>
      </c>
      <c r="I136" s="8">
        <v>0</v>
      </c>
      <c r="J136" s="8">
        <v>0</v>
      </c>
      <c r="K136" s="8">
        <v>2641.66</v>
      </c>
      <c r="L136" s="8">
        <v>0</v>
      </c>
      <c r="M136" s="7">
        <v>0</v>
      </c>
      <c r="N136" s="7">
        <v>15221</v>
      </c>
    </row>
    <row r="137" spans="1:14" hidden="1">
      <c r="A137" s="4" t="s">
        <v>71</v>
      </c>
      <c r="B137" s="5" t="s">
        <v>189</v>
      </c>
      <c r="C137" s="6" t="s">
        <v>134</v>
      </c>
      <c r="D137" s="6" t="s">
        <v>135</v>
      </c>
      <c r="E137" s="6" t="s">
        <v>136</v>
      </c>
      <c r="F137" s="7">
        <v>15082.64</v>
      </c>
      <c r="G137" s="7">
        <v>0</v>
      </c>
      <c r="H137" s="8">
        <v>0</v>
      </c>
      <c r="I137" s="8">
        <v>0</v>
      </c>
      <c r="J137" s="8">
        <v>0</v>
      </c>
      <c r="K137" s="8">
        <v>3167.36</v>
      </c>
      <c r="L137" s="8">
        <v>0</v>
      </c>
      <c r="M137" s="7">
        <v>0</v>
      </c>
      <c r="N137" s="7">
        <v>18250</v>
      </c>
    </row>
    <row r="138" spans="1:14" hidden="1">
      <c r="A138" s="4" t="s">
        <v>71</v>
      </c>
      <c r="B138" s="5" t="s">
        <v>190</v>
      </c>
      <c r="C138" s="6" t="s">
        <v>134</v>
      </c>
      <c r="D138" s="6" t="s">
        <v>135</v>
      </c>
      <c r="E138" s="6" t="s">
        <v>136</v>
      </c>
      <c r="F138" s="7">
        <v>15206.61</v>
      </c>
      <c r="G138" s="7">
        <v>0</v>
      </c>
      <c r="H138" s="8">
        <v>0</v>
      </c>
      <c r="I138" s="8">
        <v>0</v>
      </c>
      <c r="J138" s="8">
        <v>0</v>
      </c>
      <c r="K138" s="8">
        <v>3193.39</v>
      </c>
      <c r="L138" s="8">
        <v>0</v>
      </c>
      <c r="M138" s="7">
        <v>0</v>
      </c>
      <c r="N138" s="7">
        <v>18400</v>
      </c>
    </row>
    <row r="139" spans="1:14" hidden="1">
      <c r="A139" s="4" t="s">
        <v>71</v>
      </c>
      <c r="B139" s="5" t="s">
        <v>191</v>
      </c>
      <c r="C139" s="6" t="s">
        <v>134</v>
      </c>
      <c r="D139" s="6" t="s">
        <v>135</v>
      </c>
      <c r="E139" s="6" t="s">
        <v>136</v>
      </c>
      <c r="F139" s="7">
        <v>30165.29</v>
      </c>
      <c r="G139" s="7">
        <v>0</v>
      </c>
      <c r="H139" s="8">
        <v>0</v>
      </c>
      <c r="I139" s="8">
        <v>0</v>
      </c>
      <c r="J139" s="8">
        <v>0</v>
      </c>
      <c r="K139" s="8">
        <v>6334.71</v>
      </c>
      <c r="L139" s="8">
        <v>0</v>
      </c>
      <c r="M139" s="7">
        <v>0</v>
      </c>
      <c r="N139" s="7">
        <v>36500</v>
      </c>
    </row>
    <row r="140" spans="1:14" hidden="1">
      <c r="A140" s="4" t="s">
        <v>71</v>
      </c>
      <c r="B140" s="5" t="s">
        <v>192</v>
      </c>
      <c r="C140" s="6" t="s">
        <v>134</v>
      </c>
      <c r="D140" s="6" t="s">
        <v>135</v>
      </c>
      <c r="E140" s="6" t="s">
        <v>136</v>
      </c>
      <c r="F140" s="7">
        <v>8140.5</v>
      </c>
      <c r="G140" s="7">
        <v>0</v>
      </c>
      <c r="H140" s="8">
        <v>0</v>
      </c>
      <c r="I140" s="8">
        <v>0</v>
      </c>
      <c r="J140" s="8">
        <v>0</v>
      </c>
      <c r="K140" s="8">
        <v>1709.5</v>
      </c>
      <c r="L140" s="8">
        <v>0</v>
      </c>
      <c r="M140" s="7">
        <v>0</v>
      </c>
      <c r="N140" s="7">
        <v>9850</v>
      </c>
    </row>
    <row r="141" spans="1:14" hidden="1">
      <c r="A141" s="4" t="s">
        <v>71</v>
      </c>
      <c r="B141" s="5" t="s">
        <v>193</v>
      </c>
      <c r="C141" s="6" t="s">
        <v>134</v>
      </c>
      <c r="D141" s="6" t="s">
        <v>135</v>
      </c>
      <c r="E141" s="6" t="s">
        <v>136</v>
      </c>
      <c r="F141" s="7">
        <v>6487.6</v>
      </c>
      <c r="G141" s="7">
        <v>0</v>
      </c>
      <c r="H141" s="8">
        <v>0</v>
      </c>
      <c r="I141" s="8">
        <v>0</v>
      </c>
      <c r="J141" s="8">
        <v>0</v>
      </c>
      <c r="K141" s="8">
        <v>1362.4</v>
      </c>
      <c r="L141" s="8">
        <v>0</v>
      </c>
      <c r="M141" s="7">
        <v>0</v>
      </c>
      <c r="N141" s="7">
        <v>7850</v>
      </c>
    </row>
    <row r="142" spans="1:14" hidden="1">
      <c r="A142" s="4" t="s">
        <v>31</v>
      </c>
      <c r="B142" s="5" t="s">
        <v>194</v>
      </c>
      <c r="C142" s="6" t="s">
        <v>134</v>
      </c>
      <c r="D142" s="6" t="s">
        <v>135</v>
      </c>
      <c r="E142" s="6" t="s">
        <v>136</v>
      </c>
      <c r="F142" s="7">
        <v>8471.07</v>
      </c>
      <c r="G142" s="7">
        <v>0</v>
      </c>
      <c r="H142" s="8">
        <v>0</v>
      </c>
      <c r="I142" s="8">
        <v>0</v>
      </c>
      <c r="J142" s="8">
        <v>0</v>
      </c>
      <c r="K142" s="8">
        <v>1778.93</v>
      </c>
      <c r="L142" s="8">
        <v>0</v>
      </c>
      <c r="M142" s="7">
        <v>0</v>
      </c>
      <c r="N142" s="7">
        <v>10250</v>
      </c>
    </row>
    <row r="143" spans="1:14" hidden="1">
      <c r="A143" s="4" t="s">
        <v>31</v>
      </c>
      <c r="B143" s="5" t="s">
        <v>195</v>
      </c>
      <c r="C143" s="6" t="s">
        <v>134</v>
      </c>
      <c r="D143" s="6" t="s">
        <v>135</v>
      </c>
      <c r="E143" s="6" t="s">
        <v>136</v>
      </c>
      <c r="F143" s="7">
        <v>30165.29</v>
      </c>
      <c r="G143" s="7">
        <v>0</v>
      </c>
      <c r="H143" s="8">
        <v>0</v>
      </c>
      <c r="I143" s="8">
        <v>0</v>
      </c>
      <c r="J143" s="8">
        <v>0</v>
      </c>
      <c r="K143" s="8">
        <v>6334.71</v>
      </c>
      <c r="L143" s="8">
        <v>0</v>
      </c>
      <c r="M143" s="7">
        <v>0</v>
      </c>
      <c r="N143" s="7">
        <v>36500</v>
      </c>
    </row>
    <row r="144" spans="1:14" hidden="1">
      <c r="A144" s="4" t="s">
        <v>31</v>
      </c>
      <c r="B144" s="5" t="s">
        <v>196</v>
      </c>
      <c r="C144" s="6" t="s">
        <v>134</v>
      </c>
      <c r="D144" s="6" t="s">
        <v>135</v>
      </c>
      <c r="E144" s="6" t="s">
        <v>136</v>
      </c>
      <c r="F144" s="7">
        <v>30165.29</v>
      </c>
      <c r="G144" s="7">
        <v>0</v>
      </c>
      <c r="H144" s="8">
        <v>0</v>
      </c>
      <c r="I144" s="8">
        <v>0</v>
      </c>
      <c r="J144" s="8">
        <v>0</v>
      </c>
      <c r="K144" s="8">
        <v>6334.71</v>
      </c>
      <c r="L144" s="8">
        <v>0</v>
      </c>
      <c r="M144" s="7">
        <v>0</v>
      </c>
      <c r="N144" s="7">
        <v>36500</v>
      </c>
    </row>
    <row r="145" spans="1:14" hidden="1">
      <c r="A145" s="4" t="s">
        <v>31</v>
      </c>
      <c r="B145" s="5" t="s">
        <v>197</v>
      </c>
      <c r="C145" s="6" t="s">
        <v>134</v>
      </c>
      <c r="D145" s="6" t="s">
        <v>135</v>
      </c>
      <c r="E145" s="6" t="s">
        <v>136</v>
      </c>
      <c r="F145" s="7">
        <v>16942.150000000001</v>
      </c>
      <c r="G145" s="7">
        <v>0</v>
      </c>
      <c r="H145" s="8">
        <v>0</v>
      </c>
      <c r="I145" s="8">
        <v>0</v>
      </c>
      <c r="J145" s="8">
        <v>0</v>
      </c>
      <c r="K145" s="8">
        <v>3557.85</v>
      </c>
      <c r="L145" s="8">
        <v>0</v>
      </c>
      <c r="M145" s="7">
        <v>0</v>
      </c>
      <c r="N145" s="7">
        <v>20500</v>
      </c>
    </row>
    <row r="146" spans="1:14" hidden="1">
      <c r="A146" s="4" t="s">
        <v>31</v>
      </c>
      <c r="B146" s="5" t="s">
        <v>198</v>
      </c>
      <c r="C146" s="6" t="s">
        <v>134</v>
      </c>
      <c r="D146" s="6" t="s">
        <v>135</v>
      </c>
      <c r="E146" s="6" t="s">
        <v>136</v>
      </c>
      <c r="F146" s="7">
        <v>42975.21</v>
      </c>
      <c r="G146" s="7">
        <v>0</v>
      </c>
      <c r="H146" s="8">
        <v>0</v>
      </c>
      <c r="I146" s="8">
        <v>0</v>
      </c>
      <c r="J146" s="8">
        <v>0</v>
      </c>
      <c r="K146" s="8">
        <v>9024.7900000000009</v>
      </c>
      <c r="L146" s="8">
        <v>0</v>
      </c>
      <c r="M146" s="7">
        <v>0</v>
      </c>
      <c r="N146" s="7">
        <v>52000</v>
      </c>
    </row>
    <row r="147" spans="1:14" hidden="1">
      <c r="A147" s="4" t="s">
        <v>31</v>
      </c>
      <c r="B147" s="5" t="s">
        <v>199</v>
      </c>
      <c r="C147" s="6" t="s">
        <v>134</v>
      </c>
      <c r="D147" s="6" t="s">
        <v>135</v>
      </c>
      <c r="E147" s="6" t="s">
        <v>136</v>
      </c>
      <c r="F147" s="7">
        <v>16942.150000000001</v>
      </c>
      <c r="G147" s="7">
        <v>0</v>
      </c>
      <c r="H147" s="8">
        <v>0</v>
      </c>
      <c r="I147" s="8">
        <v>0</v>
      </c>
      <c r="J147" s="8">
        <v>0</v>
      </c>
      <c r="K147" s="8">
        <v>3557.85</v>
      </c>
      <c r="L147" s="8">
        <v>0</v>
      </c>
      <c r="M147" s="7">
        <v>0</v>
      </c>
      <c r="N147" s="7">
        <v>20500</v>
      </c>
    </row>
    <row r="148" spans="1:14">
      <c r="A148" s="4" t="s">
        <v>31</v>
      </c>
      <c r="B148" s="5" t="s">
        <v>200</v>
      </c>
      <c r="C148" s="6" t="s">
        <v>201</v>
      </c>
      <c r="D148" s="6" t="s">
        <v>135</v>
      </c>
      <c r="E148" s="6">
        <v>93116246</v>
      </c>
      <c r="F148" s="7">
        <v>163636.36000000002</v>
      </c>
      <c r="G148" s="7">
        <v>0</v>
      </c>
      <c r="H148" s="8">
        <v>0</v>
      </c>
      <c r="I148" s="8">
        <v>0</v>
      </c>
      <c r="J148" s="8">
        <v>0</v>
      </c>
      <c r="K148" s="8">
        <v>34363.64</v>
      </c>
      <c r="L148" s="8">
        <v>0</v>
      </c>
      <c r="M148" s="7">
        <v>0</v>
      </c>
      <c r="N148" s="7">
        <v>198000</v>
      </c>
    </row>
    <row r="149" spans="1:14" hidden="1">
      <c r="A149" s="4" t="s">
        <v>31</v>
      </c>
      <c r="B149" s="5" t="s">
        <v>202</v>
      </c>
      <c r="C149" s="6" t="s">
        <v>134</v>
      </c>
      <c r="D149" s="6" t="s">
        <v>135</v>
      </c>
      <c r="E149" s="6" t="s">
        <v>136</v>
      </c>
      <c r="F149" s="7">
        <v>12975.21</v>
      </c>
      <c r="G149" s="7">
        <v>0</v>
      </c>
      <c r="H149" s="8">
        <v>0</v>
      </c>
      <c r="I149" s="8">
        <v>0</v>
      </c>
      <c r="J149" s="8">
        <v>0</v>
      </c>
      <c r="K149" s="8">
        <v>2724.79</v>
      </c>
      <c r="L149" s="8">
        <v>0</v>
      </c>
      <c r="M149" s="7">
        <v>0</v>
      </c>
      <c r="N149" s="7">
        <v>15700</v>
      </c>
    </row>
    <row r="150" spans="1:14" hidden="1">
      <c r="A150" s="4" t="s">
        <v>31</v>
      </c>
      <c r="B150" s="5" t="s">
        <v>203</v>
      </c>
      <c r="C150" s="6" t="s">
        <v>134</v>
      </c>
      <c r="D150" s="6" t="s">
        <v>135</v>
      </c>
      <c r="E150" s="6" t="s">
        <v>136</v>
      </c>
      <c r="F150" s="7">
        <v>42644.63</v>
      </c>
      <c r="G150" s="7">
        <v>0</v>
      </c>
      <c r="H150" s="8">
        <v>0</v>
      </c>
      <c r="I150" s="8">
        <v>0</v>
      </c>
      <c r="J150" s="8">
        <v>0</v>
      </c>
      <c r="K150" s="8">
        <v>8955.3700000000008</v>
      </c>
      <c r="L150" s="8">
        <v>0</v>
      </c>
      <c r="M150" s="7">
        <v>0</v>
      </c>
      <c r="N150" s="7">
        <v>51600</v>
      </c>
    </row>
    <row r="151" spans="1:14" hidden="1">
      <c r="A151" s="4" t="s">
        <v>34</v>
      </c>
      <c r="B151" s="5" t="s">
        <v>204</v>
      </c>
      <c r="C151" s="6" t="s">
        <v>134</v>
      </c>
      <c r="D151" s="6" t="s">
        <v>135</v>
      </c>
      <c r="E151" s="6" t="s">
        <v>136</v>
      </c>
      <c r="F151" s="7">
        <v>7438.02</v>
      </c>
      <c r="G151" s="7">
        <v>0</v>
      </c>
      <c r="H151" s="8">
        <v>0</v>
      </c>
      <c r="I151" s="8">
        <v>0</v>
      </c>
      <c r="J151" s="8">
        <v>0</v>
      </c>
      <c r="K151" s="8">
        <v>1561.98</v>
      </c>
      <c r="L151" s="8">
        <v>0</v>
      </c>
      <c r="M151" s="7">
        <v>0</v>
      </c>
      <c r="N151" s="7">
        <v>9000</v>
      </c>
    </row>
    <row r="152" spans="1:14">
      <c r="A152" s="4" t="s">
        <v>34</v>
      </c>
      <c r="B152" s="5" t="s">
        <v>205</v>
      </c>
      <c r="C152" s="6" t="s">
        <v>206</v>
      </c>
      <c r="D152" s="6" t="s">
        <v>135</v>
      </c>
      <c r="E152" s="6">
        <v>27340545</v>
      </c>
      <c r="F152" s="7">
        <v>7438.02</v>
      </c>
      <c r="G152" s="7">
        <v>0</v>
      </c>
      <c r="H152" s="8">
        <v>0</v>
      </c>
      <c r="I152" s="8">
        <v>0</v>
      </c>
      <c r="J152" s="8">
        <v>0</v>
      </c>
      <c r="K152" s="8">
        <v>1561.98</v>
      </c>
      <c r="L152" s="8">
        <v>0</v>
      </c>
      <c r="M152" s="7">
        <v>0</v>
      </c>
      <c r="N152" s="7">
        <v>9000</v>
      </c>
    </row>
    <row r="153" spans="1:14" hidden="1">
      <c r="A153" s="4" t="s">
        <v>34</v>
      </c>
      <c r="B153" s="5" t="s">
        <v>207</v>
      </c>
      <c r="C153" s="6" t="s">
        <v>134</v>
      </c>
      <c r="D153" s="6" t="s">
        <v>135</v>
      </c>
      <c r="E153" s="6" t="s">
        <v>136</v>
      </c>
      <c r="F153" s="7">
        <v>11322.31</v>
      </c>
      <c r="G153" s="7">
        <v>0</v>
      </c>
      <c r="H153" s="8">
        <v>0</v>
      </c>
      <c r="I153" s="8">
        <v>0</v>
      </c>
      <c r="J153" s="8">
        <v>0</v>
      </c>
      <c r="K153" s="8">
        <v>2377.69</v>
      </c>
      <c r="L153" s="8">
        <v>0</v>
      </c>
      <c r="M153" s="7">
        <v>0</v>
      </c>
      <c r="N153" s="7">
        <v>13700</v>
      </c>
    </row>
    <row r="154" spans="1:14">
      <c r="A154" s="4" t="s">
        <v>34</v>
      </c>
      <c r="B154" s="5" t="s">
        <v>208</v>
      </c>
      <c r="C154" s="6" t="s">
        <v>209</v>
      </c>
      <c r="D154" s="6" t="s">
        <v>135</v>
      </c>
      <c r="E154" s="6">
        <v>92519411</v>
      </c>
      <c r="F154" s="7">
        <v>30165.29</v>
      </c>
      <c r="G154" s="7">
        <v>0</v>
      </c>
      <c r="H154" s="8">
        <v>0</v>
      </c>
      <c r="I154" s="8">
        <v>0</v>
      </c>
      <c r="J154" s="8">
        <v>0</v>
      </c>
      <c r="K154" s="8">
        <v>6334.71</v>
      </c>
      <c r="L154" s="8">
        <v>0</v>
      </c>
      <c r="M154" s="7">
        <v>0</v>
      </c>
      <c r="N154" s="7">
        <v>36500</v>
      </c>
    </row>
    <row r="155" spans="1:14">
      <c r="A155" s="4" t="s">
        <v>34</v>
      </c>
      <c r="B155" s="5" t="s">
        <v>210</v>
      </c>
      <c r="C155" s="6" t="s">
        <v>209</v>
      </c>
      <c r="D155" s="6" t="s">
        <v>135</v>
      </c>
      <c r="E155" s="6">
        <v>92519411</v>
      </c>
      <c r="F155" s="7">
        <v>11239.67</v>
      </c>
      <c r="G155" s="7">
        <v>0</v>
      </c>
      <c r="H155" s="8">
        <v>0</v>
      </c>
      <c r="I155" s="8">
        <v>0</v>
      </c>
      <c r="J155" s="8">
        <v>0</v>
      </c>
      <c r="K155" s="8">
        <v>2360.33</v>
      </c>
      <c r="L155" s="8">
        <v>0</v>
      </c>
      <c r="M155" s="7">
        <v>0</v>
      </c>
      <c r="N155" s="7">
        <v>13600</v>
      </c>
    </row>
    <row r="156" spans="1:14" hidden="1">
      <c r="A156" s="4" t="s">
        <v>38</v>
      </c>
      <c r="B156" s="5" t="s">
        <v>211</v>
      </c>
      <c r="C156" s="6" t="s">
        <v>134</v>
      </c>
      <c r="D156" s="6" t="s">
        <v>135</v>
      </c>
      <c r="E156" s="6" t="s">
        <v>136</v>
      </c>
      <c r="F156" s="7">
        <v>12396.69</v>
      </c>
      <c r="G156" s="7">
        <v>0</v>
      </c>
      <c r="H156" s="8">
        <v>0</v>
      </c>
      <c r="I156" s="8">
        <v>0</v>
      </c>
      <c r="J156" s="8">
        <v>0</v>
      </c>
      <c r="K156" s="8">
        <v>2603.31</v>
      </c>
      <c r="L156" s="8">
        <v>0</v>
      </c>
      <c r="M156" s="7">
        <v>0</v>
      </c>
      <c r="N156" s="7">
        <v>15000</v>
      </c>
    </row>
    <row r="157" spans="1:14" hidden="1">
      <c r="A157" s="4" t="s">
        <v>38</v>
      </c>
      <c r="B157" s="5" t="s">
        <v>212</v>
      </c>
      <c r="C157" s="6" t="s">
        <v>134</v>
      </c>
      <c r="D157" s="6" t="s">
        <v>135</v>
      </c>
      <c r="E157" s="6" t="s">
        <v>136</v>
      </c>
      <c r="F157" s="7">
        <v>11570.25</v>
      </c>
      <c r="G157" s="7">
        <v>0</v>
      </c>
      <c r="H157" s="8">
        <v>0</v>
      </c>
      <c r="I157" s="8">
        <v>0</v>
      </c>
      <c r="J157" s="8">
        <v>0</v>
      </c>
      <c r="K157" s="8">
        <v>2429.75</v>
      </c>
      <c r="L157" s="8">
        <v>0</v>
      </c>
      <c r="M157" s="7">
        <v>0</v>
      </c>
      <c r="N157" s="7">
        <v>14000</v>
      </c>
    </row>
    <row r="158" spans="1:14" hidden="1">
      <c r="A158" s="4" t="s">
        <v>38</v>
      </c>
      <c r="B158" s="5" t="s">
        <v>213</v>
      </c>
      <c r="C158" s="6" t="s">
        <v>134</v>
      </c>
      <c r="D158" s="6" t="s">
        <v>135</v>
      </c>
      <c r="E158" s="6" t="s">
        <v>136</v>
      </c>
      <c r="F158" s="7">
        <v>18801.650000000001</v>
      </c>
      <c r="G158" s="7">
        <v>0</v>
      </c>
      <c r="H158" s="8">
        <v>0</v>
      </c>
      <c r="I158" s="8">
        <v>0</v>
      </c>
      <c r="J158" s="8">
        <v>0</v>
      </c>
      <c r="K158" s="8">
        <v>3948.35</v>
      </c>
      <c r="L158" s="8">
        <v>0</v>
      </c>
      <c r="M158" s="7">
        <v>0</v>
      </c>
      <c r="N158" s="7">
        <v>22750</v>
      </c>
    </row>
    <row r="159" spans="1:14" hidden="1">
      <c r="A159" s="4" t="s">
        <v>38</v>
      </c>
      <c r="B159" s="5" t="s">
        <v>214</v>
      </c>
      <c r="C159" s="6" t="s">
        <v>134</v>
      </c>
      <c r="D159" s="6" t="s">
        <v>135</v>
      </c>
      <c r="E159" s="6" t="s">
        <v>136</v>
      </c>
      <c r="F159" s="7">
        <v>10330.58</v>
      </c>
      <c r="G159" s="7">
        <v>0</v>
      </c>
      <c r="H159" s="8">
        <v>0</v>
      </c>
      <c r="I159" s="8">
        <v>0</v>
      </c>
      <c r="J159" s="8">
        <v>0</v>
      </c>
      <c r="K159" s="8">
        <v>2169.42</v>
      </c>
      <c r="L159" s="8">
        <v>0</v>
      </c>
      <c r="M159" s="7">
        <v>0</v>
      </c>
      <c r="N159" s="7">
        <v>12500</v>
      </c>
    </row>
    <row r="160" spans="1:14" hidden="1">
      <c r="A160" s="4" t="s">
        <v>38</v>
      </c>
      <c r="B160" s="5" t="s">
        <v>215</v>
      </c>
      <c r="C160" s="6" t="s">
        <v>134</v>
      </c>
      <c r="D160" s="6" t="s">
        <v>135</v>
      </c>
      <c r="E160" s="6" t="s">
        <v>136</v>
      </c>
      <c r="F160" s="7">
        <v>8471.07</v>
      </c>
      <c r="G160" s="7">
        <v>0</v>
      </c>
      <c r="H160" s="8">
        <v>0</v>
      </c>
      <c r="I160" s="8">
        <v>0</v>
      </c>
      <c r="J160" s="8">
        <v>0</v>
      </c>
      <c r="K160" s="8">
        <v>1778.93</v>
      </c>
      <c r="L160" s="8">
        <v>0</v>
      </c>
      <c r="M160" s="7">
        <v>0</v>
      </c>
      <c r="N160" s="7">
        <v>10250</v>
      </c>
    </row>
    <row r="161" spans="1:14" hidden="1">
      <c r="A161" s="4" t="s">
        <v>38</v>
      </c>
      <c r="B161" s="5" t="s">
        <v>216</v>
      </c>
      <c r="C161" s="6" t="s">
        <v>134</v>
      </c>
      <c r="D161" s="6" t="s">
        <v>135</v>
      </c>
      <c r="E161" s="6" t="s">
        <v>136</v>
      </c>
      <c r="F161" s="7">
        <v>4958.68</v>
      </c>
      <c r="G161" s="7">
        <v>0</v>
      </c>
      <c r="H161" s="8">
        <v>0</v>
      </c>
      <c r="I161" s="8">
        <v>0</v>
      </c>
      <c r="J161" s="8">
        <v>0</v>
      </c>
      <c r="K161" s="8">
        <v>1041.32</v>
      </c>
      <c r="L161" s="8">
        <v>0</v>
      </c>
      <c r="M161" s="7">
        <v>0</v>
      </c>
      <c r="N161" s="7">
        <v>6000</v>
      </c>
    </row>
    <row r="162" spans="1:14" hidden="1">
      <c r="A162" s="4" t="s">
        <v>38</v>
      </c>
      <c r="B162" s="5" t="s">
        <v>217</v>
      </c>
      <c r="C162" s="6" t="s">
        <v>134</v>
      </c>
      <c r="D162" s="6" t="s">
        <v>135</v>
      </c>
      <c r="E162" s="6" t="s">
        <v>136</v>
      </c>
      <c r="F162" s="7">
        <v>15082.64</v>
      </c>
      <c r="G162" s="7">
        <v>0</v>
      </c>
      <c r="H162" s="8">
        <v>0</v>
      </c>
      <c r="I162" s="8">
        <v>0</v>
      </c>
      <c r="J162" s="8">
        <v>0</v>
      </c>
      <c r="K162" s="8">
        <v>3167.36</v>
      </c>
      <c r="L162" s="8">
        <v>0</v>
      </c>
      <c r="M162" s="7">
        <v>0</v>
      </c>
      <c r="N162" s="7">
        <v>18250</v>
      </c>
    </row>
    <row r="163" spans="1:14" hidden="1">
      <c r="A163" s="4" t="s">
        <v>38</v>
      </c>
      <c r="B163" s="5" t="s">
        <v>218</v>
      </c>
      <c r="C163" s="6" t="s">
        <v>134</v>
      </c>
      <c r="D163" s="6" t="s">
        <v>135</v>
      </c>
      <c r="E163" s="6" t="s">
        <v>136</v>
      </c>
      <c r="F163" s="7">
        <v>8471.07</v>
      </c>
      <c r="G163" s="7">
        <v>0</v>
      </c>
      <c r="H163" s="8">
        <v>0</v>
      </c>
      <c r="I163" s="8">
        <v>0</v>
      </c>
      <c r="J163" s="8">
        <v>0</v>
      </c>
      <c r="K163" s="8">
        <v>1778.93</v>
      </c>
      <c r="L163" s="8">
        <v>0</v>
      </c>
      <c r="M163" s="7">
        <v>0</v>
      </c>
      <c r="N163" s="7">
        <v>10250</v>
      </c>
    </row>
    <row r="164" spans="1:14" hidden="1">
      <c r="A164" s="4" t="s">
        <v>38</v>
      </c>
      <c r="B164" s="5" t="s">
        <v>219</v>
      </c>
      <c r="C164" s="6" t="s">
        <v>134</v>
      </c>
      <c r="D164" s="6" t="s">
        <v>135</v>
      </c>
      <c r="E164" s="6" t="s">
        <v>136</v>
      </c>
      <c r="F164" s="7">
        <v>3305.79</v>
      </c>
      <c r="G164" s="7">
        <v>0</v>
      </c>
      <c r="H164" s="8">
        <v>0</v>
      </c>
      <c r="I164" s="8">
        <v>0</v>
      </c>
      <c r="J164" s="8">
        <v>0</v>
      </c>
      <c r="K164" s="8">
        <v>694.21</v>
      </c>
      <c r="L164" s="8">
        <v>0</v>
      </c>
      <c r="M164" s="7">
        <v>0</v>
      </c>
      <c r="N164" s="7">
        <v>4000</v>
      </c>
    </row>
    <row r="165" spans="1:14" hidden="1">
      <c r="A165" s="4" t="s">
        <v>38</v>
      </c>
      <c r="B165" s="5" t="s">
        <v>220</v>
      </c>
      <c r="C165" s="6" t="s">
        <v>134</v>
      </c>
      <c r="D165" s="6" t="s">
        <v>135</v>
      </c>
      <c r="E165" s="6" t="s">
        <v>136</v>
      </c>
      <c r="F165" s="7">
        <v>7438.02</v>
      </c>
      <c r="G165" s="7">
        <v>0</v>
      </c>
      <c r="H165" s="8">
        <v>0</v>
      </c>
      <c r="I165" s="8">
        <v>0</v>
      </c>
      <c r="J165" s="8">
        <v>0</v>
      </c>
      <c r="K165" s="8">
        <v>1561.98</v>
      </c>
      <c r="L165" s="8">
        <v>0</v>
      </c>
      <c r="M165" s="7">
        <v>0</v>
      </c>
      <c r="N165" s="7">
        <v>9000</v>
      </c>
    </row>
    <row r="166" spans="1:14" hidden="1">
      <c r="A166" s="4" t="s">
        <v>38</v>
      </c>
      <c r="B166" s="5" t="s">
        <v>221</v>
      </c>
      <c r="C166" s="6" t="s">
        <v>134</v>
      </c>
      <c r="D166" s="6" t="s">
        <v>135</v>
      </c>
      <c r="E166" s="6" t="s">
        <v>136</v>
      </c>
      <c r="F166" s="7">
        <v>15289.26</v>
      </c>
      <c r="G166" s="7">
        <v>0</v>
      </c>
      <c r="H166" s="8">
        <v>0</v>
      </c>
      <c r="I166" s="8">
        <v>0</v>
      </c>
      <c r="J166" s="8">
        <v>0</v>
      </c>
      <c r="K166" s="8">
        <v>3210.74</v>
      </c>
      <c r="L166" s="8">
        <v>0</v>
      </c>
      <c r="M166" s="7">
        <v>0</v>
      </c>
      <c r="N166" s="7">
        <v>18500</v>
      </c>
    </row>
    <row r="167" spans="1:14" hidden="1">
      <c r="A167" s="4" t="s">
        <v>222</v>
      </c>
      <c r="B167" s="5" t="s">
        <v>223</v>
      </c>
      <c r="C167" s="6" t="s">
        <v>134</v>
      </c>
      <c r="D167" s="6" t="s">
        <v>135</v>
      </c>
      <c r="E167" s="6" t="s">
        <v>136</v>
      </c>
      <c r="F167" s="7">
        <v>20661.16</v>
      </c>
      <c r="G167" s="7">
        <v>0</v>
      </c>
      <c r="H167" s="8">
        <v>0</v>
      </c>
      <c r="I167" s="8">
        <v>0</v>
      </c>
      <c r="J167" s="8">
        <v>0</v>
      </c>
      <c r="K167" s="8">
        <v>4338.84</v>
      </c>
      <c r="L167" s="8">
        <v>0</v>
      </c>
      <c r="M167" s="7">
        <v>0</v>
      </c>
      <c r="N167" s="7">
        <v>25000</v>
      </c>
    </row>
    <row r="168" spans="1:14" hidden="1">
      <c r="A168" s="4" t="s">
        <v>222</v>
      </c>
      <c r="B168" s="5" t="s">
        <v>224</v>
      </c>
      <c r="C168" s="6" t="s">
        <v>134</v>
      </c>
      <c r="D168" s="6" t="s">
        <v>135</v>
      </c>
      <c r="E168" s="6" t="s">
        <v>136</v>
      </c>
      <c r="F168" s="7">
        <v>15082.64</v>
      </c>
      <c r="G168" s="7">
        <v>0</v>
      </c>
      <c r="H168" s="8">
        <v>0</v>
      </c>
      <c r="I168" s="8">
        <v>0</v>
      </c>
      <c r="J168" s="8">
        <v>0</v>
      </c>
      <c r="K168" s="8">
        <v>3167.36</v>
      </c>
      <c r="L168" s="8">
        <v>0</v>
      </c>
      <c r="M168" s="7">
        <v>0</v>
      </c>
      <c r="N168" s="7">
        <v>18250</v>
      </c>
    </row>
    <row r="169" spans="1:14" hidden="1">
      <c r="A169" s="4" t="s">
        <v>222</v>
      </c>
      <c r="B169" s="5" t="s">
        <v>225</v>
      </c>
      <c r="C169" s="6" t="s">
        <v>134</v>
      </c>
      <c r="D169" s="6" t="s">
        <v>135</v>
      </c>
      <c r="E169" s="6" t="s">
        <v>136</v>
      </c>
      <c r="F169" s="7">
        <v>4380.17</v>
      </c>
      <c r="G169" s="7">
        <v>0</v>
      </c>
      <c r="H169" s="8">
        <v>0</v>
      </c>
      <c r="I169" s="8">
        <v>0</v>
      </c>
      <c r="J169" s="8">
        <v>0</v>
      </c>
      <c r="K169" s="8">
        <v>919.83</v>
      </c>
      <c r="L169" s="8">
        <v>0</v>
      </c>
      <c r="M169" s="7">
        <v>0</v>
      </c>
      <c r="N169" s="7">
        <v>5300</v>
      </c>
    </row>
    <row r="170" spans="1:14" hidden="1">
      <c r="A170" s="4" t="s">
        <v>222</v>
      </c>
      <c r="B170" s="5" t="s">
        <v>226</v>
      </c>
      <c r="C170" s="6" t="s">
        <v>134</v>
      </c>
      <c r="D170" s="6" t="s">
        <v>135</v>
      </c>
      <c r="E170" s="6" t="s">
        <v>136</v>
      </c>
      <c r="F170" s="7">
        <v>42975.21</v>
      </c>
      <c r="G170" s="7">
        <v>0</v>
      </c>
      <c r="H170" s="8">
        <v>0</v>
      </c>
      <c r="I170" s="8">
        <v>0</v>
      </c>
      <c r="J170" s="8">
        <v>0</v>
      </c>
      <c r="K170" s="8">
        <v>9024.7900000000009</v>
      </c>
      <c r="L170" s="8">
        <v>0</v>
      </c>
      <c r="M170" s="7">
        <v>0</v>
      </c>
      <c r="N170" s="7">
        <v>52000</v>
      </c>
    </row>
    <row r="171" spans="1:14" hidden="1">
      <c r="A171" s="4" t="s">
        <v>222</v>
      </c>
      <c r="B171" s="5" t="s">
        <v>227</v>
      </c>
      <c r="C171" s="6" t="s">
        <v>134</v>
      </c>
      <c r="D171" s="6" t="s">
        <v>135</v>
      </c>
      <c r="E171" s="6" t="s">
        <v>136</v>
      </c>
      <c r="F171" s="7">
        <v>112396.69</v>
      </c>
      <c r="G171" s="7">
        <v>0</v>
      </c>
      <c r="H171" s="8">
        <v>0</v>
      </c>
      <c r="I171" s="8">
        <v>0</v>
      </c>
      <c r="J171" s="8">
        <v>0</v>
      </c>
      <c r="K171" s="8">
        <v>23603.31</v>
      </c>
      <c r="L171" s="8">
        <v>0</v>
      </c>
      <c r="M171" s="7">
        <v>0</v>
      </c>
      <c r="N171" s="7">
        <v>136000</v>
      </c>
    </row>
    <row r="172" spans="1:14" hidden="1">
      <c r="A172" s="4" t="s">
        <v>40</v>
      </c>
      <c r="B172" s="5" t="s">
        <v>228</v>
      </c>
      <c r="C172" s="6" t="s">
        <v>134</v>
      </c>
      <c r="D172" s="6" t="s">
        <v>135</v>
      </c>
      <c r="E172" s="6" t="s">
        <v>136</v>
      </c>
      <c r="F172" s="7">
        <v>25413.22</v>
      </c>
      <c r="G172" s="7">
        <v>0</v>
      </c>
      <c r="H172" s="8">
        <v>0</v>
      </c>
      <c r="I172" s="8">
        <v>0</v>
      </c>
      <c r="J172" s="8">
        <v>0</v>
      </c>
      <c r="K172" s="8">
        <v>5336.78</v>
      </c>
      <c r="L172" s="8">
        <v>0</v>
      </c>
      <c r="M172" s="7">
        <v>0</v>
      </c>
      <c r="N172" s="7">
        <v>30750</v>
      </c>
    </row>
    <row r="173" spans="1:14" hidden="1">
      <c r="A173" s="4" t="s">
        <v>40</v>
      </c>
      <c r="B173" s="5" t="s">
        <v>229</v>
      </c>
      <c r="C173" s="6" t="s">
        <v>134</v>
      </c>
      <c r="D173" s="6" t="s">
        <v>135</v>
      </c>
      <c r="E173" s="6" t="s">
        <v>136</v>
      </c>
      <c r="F173" s="7">
        <v>14049.59</v>
      </c>
      <c r="G173" s="7">
        <v>0</v>
      </c>
      <c r="H173" s="8">
        <v>0</v>
      </c>
      <c r="I173" s="8">
        <v>0</v>
      </c>
      <c r="J173" s="8">
        <v>0</v>
      </c>
      <c r="K173" s="8">
        <v>2950.41</v>
      </c>
      <c r="L173" s="8">
        <v>0</v>
      </c>
      <c r="M173" s="7">
        <v>0</v>
      </c>
      <c r="N173" s="7">
        <v>17000</v>
      </c>
    </row>
    <row r="174" spans="1:14" hidden="1">
      <c r="A174" s="4" t="s">
        <v>40</v>
      </c>
      <c r="B174" s="5" t="s">
        <v>230</v>
      </c>
      <c r="C174" s="6" t="s">
        <v>134</v>
      </c>
      <c r="D174" s="6" t="s">
        <v>135</v>
      </c>
      <c r="E174" s="6" t="s">
        <v>136</v>
      </c>
      <c r="F174" s="7">
        <v>22479.34</v>
      </c>
      <c r="G174" s="7">
        <v>0</v>
      </c>
      <c r="H174" s="8">
        <v>0</v>
      </c>
      <c r="I174" s="8">
        <v>0</v>
      </c>
      <c r="J174" s="8">
        <v>0</v>
      </c>
      <c r="K174" s="8">
        <v>4720.66</v>
      </c>
      <c r="L174" s="8">
        <v>0</v>
      </c>
      <c r="M174" s="7">
        <v>0</v>
      </c>
      <c r="N174" s="7">
        <v>27200</v>
      </c>
    </row>
    <row r="175" spans="1:14">
      <c r="A175" s="4" t="s">
        <v>104</v>
      </c>
      <c r="B175" s="5" t="s">
        <v>231</v>
      </c>
      <c r="C175" s="6" t="s">
        <v>232</v>
      </c>
      <c r="D175" s="6" t="s">
        <v>135</v>
      </c>
      <c r="E175" s="6">
        <v>16336400</v>
      </c>
      <c r="F175" s="7">
        <v>16942.150000000001</v>
      </c>
      <c r="G175" s="7">
        <v>0</v>
      </c>
      <c r="H175" s="8">
        <v>0</v>
      </c>
      <c r="I175" s="8">
        <v>0</v>
      </c>
      <c r="J175" s="8">
        <v>0</v>
      </c>
      <c r="K175" s="8">
        <v>3557.85</v>
      </c>
      <c r="L175" s="8">
        <v>0</v>
      </c>
      <c r="M175" s="7">
        <v>0</v>
      </c>
      <c r="N175" s="7">
        <v>20500</v>
      </c>
    </row>
    <row r="176" spans="1:14" hidden="1">
      <c r="A176" s="4" t="s">
        <v>104</v>
      </c>
      <c r="B176" s="5" t="s">
        <v>233</v>
      </c>
      <c r="C176" s="6" t="s">
        <v>134</v>
      </c>
      <c r="D176" s="6" t="s">
        <v>135</v>
      </c>
      <c r="E176" s="6" t="s">
        <v>136</v>
      </c>
      <c r="F176" s="7">
        <v>9917.36</v>
      </c>
      <c r="G176" s="7">
        <v>0</v>
      </c>
      <c r="H176" s="8">
        <v>0</v>
      </c>
      <c r="I176" s="8">
        <v>0</v>
      </c>
      <c r="J176" s="8">
        <v>0</v>
      </c>
      <c r="K176" s="8">
        <v>2082.64</v>
      </c>
      <c r="L176" s="8">
        <v>0</v>
      </c>
      <c r="M176" s="7">
        <v>0</v>
      </c>
      <c r="N176" s="7">
        <v>12000</v>
      </c>
    </row>
    <row r="177" spans="1:14" hidden="1">
      <c r="A177" s="4" t="s">
        <v>104</v>
      </c>
      <c r="B177" s="5" t="s">
        <v>234</v>
      </c>
      <c r="C177" s="6" t="s">
        <v>134</v>
      </c>
      <c r="D177" s="6" t="s">
        <v>135</v>
      </c>
      <c r="E177" s="6" t="s">
        <v>136</v>
      </c>
      <c r="F177" s="7">
        <v>21322.31</v>
      </c>
      <c r="G177" s="7">
        <v>0</v>
      </c>
      <c r="H177" s="8">
        <v>0</v>
      </c>
      <c r="I177" s="8">
        <v>0</v>
      </c>
      <c r="J177" s="8">
        <v>0</v>
      </c>
      <c r="K177" s="8">
        <v>4477.6900000000005</v>
      </c>
      <c r="L177" s="8">
        <v>0</v>
      </c>
      <c r="M177" s="7">
        <v>0</v>
      </c>
      <c r="N177" s="7">
        <v>25800</v>
      </c>
    </row>
    <row r="178" spans="1:14" hidden="1">
      <c r="A178" s="4" t="s">
        <v>104</v>
      </c>
      <c r="B178" s="5" t="s">
        <v>235</v>
      </c>
      <c r="C178" s="6" t="s">
        <v>134</v>
      </c>
      <c r="D178" s="6" t="s">
        <v>135</v>
      </c>
      <c r="E178" s="6" t="s">
        <v>136</v>
      </c>
      <c r="F178" s="7">
        <v>8677.69</v>
      </c>
      <c r="G178" s="7">
        <v>0</v>
      </c>
      <c r="H178" s="8">
        <v>0</v>
      </c>
      <c r="I178" s="8">
        <v>0</v>
      </c>
      <c r="J178" s="8">
        <v>0</v>
      </c>
      <c r="K178" s="8">
        <v>1822.31</v>
      </c>
      <c r="L178" s="8">
        <v>0</v>
      </c>
      <c r="M178" s="7">
        <v>0</v>
      </c>
      <c r="N178" s="7">
        <v>10500</v>
      </c>
    </row>
    <row r="179" spans="1:14" hidden="1">
      <c r="A179" s="4" t="s">
        <v>104</v>
      </c>
      <c r="B179" s="5" t="s">
        <v>236</v>
      </c>
      <c r="C179" s="6" t="s">
        <v>134</v>
      </c>
      <c r="D179" s="6" t="s">
        <v>135</v>
      </c>
      <c r="E179" s="6" t="s">
        <v>136</v>
      </c>
      <c r="F179" s="7">
        <v>9917.36</v>
      </c>
      <c r="G179" s="7">
        <v>0</v>
      </c>
      <c r="H179" s="8">
        <v>0</v>
      </c>
      <c r="I179" s="8">
        <v>0</v>
      </c>
      <c r="J179" s="8">
        <v>0</v>
      </c>
      <c r="K179" s="8">
        <v>2082.64</v>
      </c>
      <c r="L179" s="8">
        <v>0</v>
      </c>
      <c r="M179" s="7">
        <v>0</v>
      </c>
      <c r="N179" s="7">
        <v>12000</v>
      </c>
    </row>
    <row r="180" spans="1:14" hidden="1">
      <c r="A180" s="4" t="s">
        <v>104</v>
      </c>
      <c r="B180" s="5" t="s">
        <v>237</v>
      </c>
      <c r="C180" s="6" t="s">
        <v>134</v>
      </c>
      <c r="D180" s="6" t="s">
        <v>135</v>
      </c>
      <c r="E180" s="6" t="s">
        <v>136</v>
      </c>
      <c r="F180" s="7">
        <v>8677.69</v>
      </c>
      <c r="G180" s="7">
        <v>0</v>
      </c>
      <c r="H180" s="8">
        <v>0</v>
      </c>
      <c r="I180" s="8">
        <v>0</v>
      </c>
      <c r="J180" s="8">
        <v>0</v>
      </c>
      <c r="K180" s="8">
        <v>1822.31</v>
      </c>
      <c r="L180" s="8">
        <v>0</v>
      </c>
      <c r="M180" s="7">
        <v>0</v>
      </c>
      <c r="N180" s="7">
        <v>10500</v>
      </c>
    </row>
    <row r="181" spans="1:14" hidden="1">
      <c r="A181" s="4" t="s">
        <v>104</v>
      </c>
      <c r="B181" s="5" t="s">
        <v>238</v>
      </c>
      <c r="C181" s="6" t="s">
        <v>134</v>
      </c>
      <c r="D181" s="6" t="s">
        <v>135</v>
      </c>
      <c r="E181" s="6" t="s">
        <v>136</v>
      </c>
      <c r="F181" s="7">
        <v>6487.6</v>
      </c>
      <c r="G181" s="7">
        <v>0</v>
      </c>
      <c r="H181" s="8">
        <v>0</v>
      </c>
      <c r="I181" s="8">
        <v>0</v>
      </c>
      <c r="J181" s="8">
        <v>0</v>
      </c>
      <c r="K181" s="8">
        <v>1362.4</v>
      </c>
      <c r="L181" s="8">
        <v>0</v>
      </c>
      <c r="M181" s="7">
        <v>0</v>
      </c>
      <c r="N181" s="7">
        <v>7850</v>
      </c>
    </row>
    <row r="182" spans="1:14" hidden="1">
      <c r="A182" s="4" t="s">
        <v>104</v>
      </c>
      <c r="B182" s="5" t="s">
        <v>239</v>
      </c>
      <c r="C182" s="6" t="s">
        <v>134</v>
      </c>
      <c r="D182" s="6" t="s">
        <v>135</v>
      </c>
      <c r="E182" s="6" t="s">
        <v>136</v>
      </c>
      <c r="F182" s="7">
        <v>8471.07</v>
      </c>
      <c r="G182" s="7">
        <v>0</v>
      </c>
      <c r="H182" s="8">
        <v>0</v>
      </c>
      <c r="I182" s="8">
        <v>0</v>
      </c>
      <c r="J182" s="8">
        <v>0</v>
      </c>
      <c r="K182" s="8">
        <v>1778.93</v>
      </c>
      <c r="L182" s="8">
        <v>0</v>
      </c>
      <c r="M182" s="7">
        <v>0</v>
      </c>
      <c r="N182" s="7">
        <v>10250</v>
      </c>
    </row>
    <row r="183" spans="1:14" hidden="1">
      <c r="A183" s="4" t="s">
        <v>125</v>
      </c>
      <c r="B183" s="5" t="s">
        <v>240</v>
      </c>
      <c r="C183" s="6" t="s">
        <v>134</v>
      </c>
      <c r="D183" s="6" t="s">
        <v>135</v>
      </c>
      <c r="E183" s="6" t="s">
        <v>136</v>
      </c>
      <c r="F183" s="7">
        <v>8471.07</v>
      </c>
      <c r="G183" s="7">
        <v>0</v>
      </c>
      <c r="H183" s="8">
        <v>0</v>
      </c>
      <c r="I183" s="8">
        <v>0</v>
      </c>
      <c r="J183" s="8">
        <v>0</v>
      </c>
      <c r="K183" s="8">
        <v>1778.93</v>
      </c>
      <c r="L183" s="8">
        <v>0</v>
      </c>
      <c r="M183" s="7">
        <v>0</v>
      </c>
      <c r="N183" s="7">
        <v>10250</v>
      </c>
    </row>
    <row r="184" spans="1:14" hidden="1">
      <c r="A184" s="4" t="s">
        <v>125</v>
      </c>
      <c r="B184" s="5" t="s">
        <v>241</v>
      </c>
      <c r="C184" s="6" t="s">
        <v>134</v>
      </c>
      <c r="D184" s="6" t="s">
        <v>135</v>
      </c>
      <c r="E184" s="6" t="s">
        <v>136</v>
      </c>
      <c r="F184" s="7">
        <v>18801.650000000001</v>
      </c>
      <c r="G184" s="7">
        <v>0</v>
      </c>
      <c r="H184" s="8">
        <v>0</v>
      </c>
      <c r="I184" s="8">
        <v>0</v>
      </c>
      <c r="J184" s="8">
        <v>0</v>
      </c>
      <c r="K184" s="8">
        <v>3948.35</v>
      </c>
      <c r="L184" s="8">
        <v>0</v>
      </c>
      <c r="M184" s="7">
        <v>0</v>
      </c>
      <c r="N184" s="7">
        <v>22750</v>
      </c>
    </row>
    <row r="185" spans="1:14" hidden="1">
      <c r="A185" s="4" t="s">
        <v>125</v>
      </c>
      <c r="B185" s="5" t="s">
        <v>242</v>
      </c>
      <c r="C185" s="6" t="s">
        <v>134</v>
      </c>
      <c r="D185" s="6" t="s">
        <v>135</v>
      </c>
      <c r="E185" s="6" t="s">
        <v>136</v>
      </c>
      <c r="F185" s="7">
        <v>8471.07</v>
      </c>
      <c r="G185" s="7">
        <v>0</v>
      </c>
      <c r="H185" s="8">
        <v>0</v>
      </c>
      <c r="I185" s="8">
        <v>0</v>
      </c>
      <c r="J185" s="8">
        <v>0</v>
      </c>
      <c r="K185" s="8">
        <v>1778.93</v>
      </c>
      <c r="L185" s="8">
        <v>0</v>
      </c>
      <c r="M185" s="7">
        <v>0</v>
      </c>
      <c r="N185" s="7">
        <v>10250</v>
      </c>
    </row>
    <row r="186" spans="1:14" hidden="1">
      <c r="A186" s="4" t="s">
        <v>125</v>
      </c>
      <c r="B186" s="5" t="s">
        <v>243</v>
      </c>
      <c r="C186" s="6" t="s">
        <v>134</v>
      </c>
      <c r="D186" s="6" t="s">
        <v>135</v>
      </c>
      <c r="E186" s="6" t="s">
        <v>136</v>
      </c>
      <c r="F186" s="7">
        <v>19173.55</v>
      </c>
      <c r="G186" s="7">
        <v>0</v>
      </c>
      <c r="H186" s="8">
        <v>0</v>
      </c>
      <c r="I186" s="8">
        <v>0</v>
      </c>
      <c r="J186" s="8">
        <v>0</v>
      </c>
      <c r="K186" s="8">
        <v>4026.45</v>
      </c>
      <c r="L186" s="8">
        <v>0</v>
      </c>
      <c r="M186" s="7">
        <v>0</v>
      </c>
      <c r="N186" s="7">
        <v>23200</v>
      </c>
    </row>
    <row r="187" spans="1:14" hidden="1">
      <c r="A187" s="4" t="s">
        <v>125</v>
      </c>
      <c r="B187" s="5" t="s">
        <v>244</v>
      </c>
      <c r="C187" s="6" t="s">
        <v>134</v>
      </c>
      <c r="D187" s="6" t="s">
        <v>135</v>
      </c>
      <c r="E187" s="6" t="s">
        <v>136</v>
      </c>
      <c r="F187" s="7">
        <v>16942.150000000001</v>
      </c>
      <c r="G187" s="7">
        <v>0</v>
      </c>
      <c r="H187" s="8">
        <v>0</v>
      </c>
      <c r="I187" s="8">
        <v>0</v>
      </c>
      <c r="J187" s="8">
        <v>0</v>
      </c>
      <c r="K187" s="8">
        <v>3557.85</v>
      </c>
      <c r="L187" s="8">
        <v>0</v>
      </c>
      <c r="M187" s="7">
        <v>0</v>
      </c>
      <c r="N187" s="7">
        <v>20500</v>
      </c>
    </row>
    <row r="188" spans="1:14" hidden="1">
      <c r="A188" s="4" t="s">
        <v>125</v>
      </c>
      <c r="B188" s="5" t="s">
        <v>245</v>
      </c>
      <c r="C188" s="6" t="s">
        <v>134</v>
      </c>
      <c r="D188" s="6" t="s">
        <v>135</v>
      </c>
      <c r="E188" s="6" t="s">
        <v>136</v>
      </c>
      <c r="F188" s="7">
        <v>8471.07</v>
      </c>
      <c r="G188" s="7">
        <v>0</v>
      </c>
      <c r="H188" s="8">
        <v>0</v>
      </c>
      <c r="I188" s="8">
        <v>0</v>
      </c>
      <c r="J188" s="8">
        <v>0</v>
      </c>
      <c r="K188" s="8">
        <v>1778.93</v>
      </c>
      <c r="L188" s="8">
        <v>0</v>
      </c>
      <c r="M188" s="7">
        <v>0</v>
      </c>
      <c r="N188" s="7">
        <v>10250</v>
      </c>
    </row>
    <row r="189" spans="1:14" hidden="1">
      <c r="A189" s="4" t="s">
        <v>125</v>
      </c>
      <c r="B189" s="5" t="s">
        <v>246</v>
      </c>
      <c r="C189" s="6" t="s">
        <v>134</v>
      </c>
      <c r="D189" s="6" t="s">
        <v>135</v>
      </c>
      <c r="E189" s="6" t="s">
        <v>136</v>
      </c>
      <c r="F189" s="7">
        <v>8471.07</v>
      </c>
      <c r="G189" s="7">
        <v>0</v>
      </c>
      <c r="H189" s="8">
        <v>0</v>
      </c>
      <c r="I189" s="8">
        <v>0</v>
      </c>
      <c r="J189" s="8">
        <v>0</v>
      </c>
      <c r="K189" s="8">
        <v>1778.93</v>
      </c>
      <c r="L189" s="8">
        <v>0</v>
      </c>
      <c r="M189" s="7">
        <v>0</v>
      </c>
      <c r="N189" s="7">
        <v>10250</v>
      </c>
    </row>
    <row r="190" spans="1:14" hidden="1">
      <c r="A190" s="4" t="s">
        <v>125</v>
      </c>
      <c r="B190" s="5" t="s">
        <v>247</v>
      </c>
      <c r="C190" s="6" t="s">
        <v>134</v>
      </c>
      <c r="D190" s="6" t="s">
        <v>135</v>
      </c>
      <c r="E190" s="6" t="s">
        <v>136</v>
      </c>
      <c r="F190" s="7">
        <v>15082.64</v>
      </c>
      <c r="G190" s="7">
        <v>0</v>
      </c>
      <c r="H190" s="8">
        <v>0</v>
      </c>
      <c r="I190" s="8">
        <v>0</v>
      </c>
      <c r="J190" s="8">
        <v>0</v>
      </c>
      <c r="K190" s="8">
        <v>3167.36</v>
      </c>
      <c r="L190" s="8">
        <v>0</v>
      </c>
      <c r="M190" s="7">
        <v>0</v>
      </c>
      <c r="N190" s="7">
        <v>18250</v>
      </c>
    </row>
    <row r="191" spans="1:14" hidden="1">
      <c r="A191" s="4" t="s">
        <v>125</v>
      </c>
      <c r="B191" s="5" t="s">
        <v>248</v>
      </c>
      <c r="C191" s="6" t="s">
        <v>134</v>
      </c>
      <c r="D191" s="6" t="s">
        <v>135</v>
      </c>
      <c r="E191" s="6" t="s">
        <v>136</v>
      </c>
      <c r="F191" s="7">
        <v>33884.300000000003</v>
      </c>
      <c r="G191" s="7">
        <v>0</v>
      </c>
      <c r="H191" s="8">
        <v>0</v>
      </c>
      <c r="I191" s="8">
        <v>0</v>
      </c>
      <c r="J191" s="8">
        <v>0</v>
      </c>
      <c r="K191" s="8">
        <v>7115.7</v>
      </c>
      <c r="L191" s="8">
        <v>0</v>
      </c>
      <c r="M191" s="7">
        <v>0</v>
      </c>
      <c r="N191" s="7">
        <v>41000</v>
      </c>
    </row>
    <row r="192" spans="1:14" hidden="1">
      <c r="A192" s="4" t="s">
        <v>125</v>
      </c>
      <c r="B192" s="5" t="s">
        <v>249</v>
      </c>
      <c r="C192" s="6" t="s">
        <v>134</v>
      </c>
      <c r="D192" s="6" t="s">
        <v>135</v>
      </c>
      <c r="E192" s="6" t="s">
        <v>136</v>
      </c>
      <c r="F192" s="7">
        <v>8471.07</v>
      </c>
      <c r="G192" s="7">
        <v>0</v>
      </c>
      <c r="H192" s="8">
        <v>0</v>
      </c>
      <c r="I192" s="8">
        <v>0</v>
      </c>
      <c r="J192" s="8">
        <v>0</v>
      </c>
      <c r="K192" s="8">
        <v>1778.93</v>
      </c>
      <c r="L192" s="8">
        <v>0</v>
      </c>
      <c r="M192" s="7">
        <v>0</v>
      </c>
      <c r="N192" s="7">
        <v>10250</v>
      </c>
    </row>
    <row r="193" spans="1:14" hidden="1">
      <c r="A193" s="4" t="s">
        <v>125</v>
      </c>
      <c r="B193" s="5" t="s">
        <v>250</v>
      </c>
      <c r="C193" s="6" t="s">
        <v>134</v>
      </c>
      <c r="D193" s="6" t="s">
        <v>135</v>
      </c>
      <c r="E193" s="6" t="s">
        <v>136</v>
      </c>
      <c r="F193" s="7">
        <v>29752.07</v>
      </c>
      <c r="G193" s="7">
        <v>0</v>
      </c>
      <c r="H193" s="8">
        <v>0</v>
      </c>
      <c r="I193" s="8">
        <v>0</v>
      </c>
      <c r="J193" s="8">
        <v>0</v>
      </c>
      <c r="K193" s="8">
        <v>6247.93</v>
      </c>
      <c r="L193" s="8">
        <v>0</v>
      </c>
      <c r="M193" s="7">
        <v>0</v>
      </c>
      <c r="N193" s="7">
        <v>36000</v>
      </c>
    </row>
    <row r="194" spans="1:14" hidden="1">
      <c r="A194" s="4" t="s">
        <v>16</v>
      </c>
      <c r="B194" s="5" t="s">
        <v>251</v>
      </c>
      <c r="C194" s="6" t="s">
        <v>134</v>
      </c>
      <c r="D194" s="6" t="s">
        <v>135</v>
      </c>
      <c r="E194" s="6" t="s">
        <v>136</v>
      </c>
      <c r="F194" s="7">
        <v>3305.79</v>
      </c>
      <c r="G194" s="7">
        <v>0</v>
      </c>
      <c r="H194" s="8">
        <v>0</v>
      </c>
      <c r="I194" s="8">
        <v>0</v>
      </c>
      <c r="J194" s="8">
        <v>0</v>
      </c>
      <c r="K194" s="8">
        <v>694.21</v>
      </c>
      <c r="L194" s="8">
        <v>0</v>
      </c>
      <c r="M194" s="7">
        <v>0</v>
      </c>
      <c r="N194" s="7">
        <v>4000</v>
      </c>
    </row>
    <row r="195" spans="1:14" hidden="1">
      <c r="A195" s="4" t="s">
        <v>16</v>
      </c>
      <c r="B195" s="5" t="s">
        <v>252</v>
      </c>
      <c r="C195" s="6" t="s">
        <v>134</v>
      </c>
      <c r="D195" s="6" t="s">
        <v>135</v>
      </c>
      <c r="E195" s="6" t="s">
        <v>136</v>
      </c>
      <c r="F195" s="7">
        <v>2148.7600000000002</v>
      </c>
      <c r="G195" s="7">
        <v>0</v>
      </c>
      <c r="H195" s="8">
        <v>0</v>
      </c>
      <c r="I195" s="8">
        <v>0</v>
      </c>
      <c r="J195" s="8">
        <v>0</v>
      </c>
      <c r="K195" s="8">
        <v>451.24</v>
      </c>
      <c r="L195" s="8">
        <v>0</v>
      </c>
      <c r="M195" s="7">
        <v>0</v>
      </c>
      <c r="N195" s="7">
        <v>2600</v>
      </c>
    </row>
    <row r="196" spans="1:14">
      <c r="A196" s="4" t="s">
        <v>16</v>
      </c>
      <c r="B196" s="5" t="s">
        <v>253</v>
      </c>
      <c r="C196" s="6" t="s">
        <v>254</v>
      </c>
      <c r="D196" s="6" t="s">
        <v>135</v>
      </c>
      <c r="E196" s="6">
        <v>4578245</v>
      </c>
      <c r="F196" s="7">
        <v>23966.94</v>
      </c>
      <c r="G196" s="7">
        <v>0</v>
      </c>
      <c r="H196" s="8">
        <v>0</v>
      </c>
      <c r="I196" s="8">
        <v>0</v>
      </c>
      <c r="J196" s="8">
        <v>0</v>
      </c>
      <c r="K196" s="8">
        <v>5033.0600000000004</v>
      </c>
      <c r="L196" s="8">
        <v>0</v>
      </c>
      <c r="M196" s="7">
        <v>0</v>
      </c>
      <c r="N196" s="7">
        <v>29000</v>
      </c>
    </row>
    <row r="197" spans="1:14" hidden="1">
      <c r="A197" s="4" t="s">
        <v>16</v>
      </c>
      <c r="B197" s="5" t="s">
        <v>255</v>
      </c>
      <c r="C197" s="6" t="s">
        <v>134</v>
      </c>
      <c r="D197" s="6" t="s">
        <v>135</v>
      </c>
      <c r="E197" s="6" t="s">
        <v>136</v>
      </c>
      <c r="F197" s="7">
        <v>16942.150000000001</v>
      </c>
      <c r="G197" s="7">
        <v>0</v>
      </c>
      <c r="H197" s="8">
        <v>0</v>
      </c>
      <c r="I197" s="8">
        <v>0</v>
      </c>
      <c r="J197" s="8">
        <v>0</v>
      </c>
      <c r="K197" s="8">
        <v>3557.85</v>
      </c>
      <c r="L197" s="8">
        <v>0</v>
      </c>
      <c r="M197" s="7">
        <v>0</v>
      </c>
      <c r="N197" s="7">
        <v>20500</v>
      </c>
    </row>
    <row r="198" spans="1:14" hidden="1">
      <c r="A198" s="4" t="s">
        <v>16</v>
      </c>
      <c r="B198" s="5" t="s">
        <v>256</v>
      </c>
      <c r="C198" s="6" t="s">
        <v>134</v>
      </c>
      <c r="D198" s="6" t="s">
        <v>135</v>
      </c>
      <c r="E198" s="6" t="s">
        <v>136</v>
      </c>
      <c r="F198" s="7">
        <v>15950.41</v>
      </c>
      <c r="G198" s="7">
        <v>0</v>
      </c>
      <c r="H198" s="8">
        <v>0</v>
      </c>
      <c r="I198" s="8">
        <v>0</v>
      </c>
      <c r="J198" s="8">
        <v>0</v>
      </c>
      <c r="K198" s="8">
        <v>3349.59</v>
      </c>
      <c r="L198" s="8">
        <v>0</v>
      </c>
      <c r="M198" s="7">
        <v>0</v>
      </c>
      <c r="N198" s="7">
        <v>19300</v>
      </c>
    </row>
    <row r="199" spans="1:14" hidden="1">
      <c r="A199" s="4" t="s">
        <v>16</v>
      </c>
      <c r="B199" s="5" t="s">
        <v>257</v>
      </c>
      <c r="C199" s="6" t="s">
        <v>134</v>
      </c>
      <c r="D199" s="6" t="s">
        <v>135</v>
      </c>
      <c r="E199" s="6" t="s">
        <v>136</v>
      </c>
      <c r="F199" s="7">
        <v>6363.64</v>
      </c>
      <c r="G199" s="7">
        <v>0</v>
      </c>
      <c r="H199" s="8">
        <v>0</v>
      </c>
      <c r="I199" s="8">
        <v>0</v>
      </c>
      <c r="J199" s="8">
        <v>0</v>
      </c>
      <c r="K199" s="8">
        <v>1336.36</v>
      </c>
      <c r="L199" s="8">
        <v>0</v>
      </c>
      <c r="M199" s="7">
        <v>0</v>
      </c>
      <c r="N199" s="7">
        <v>7700</v>
      </c>
    </row>
    <row r="200" spans="1:14" hidden="1">
      <c r="A200" s="4" t="s">
        <v>16</v>
      </c>
      <c r="B200" s="5" t="s">
        <v>258</v>
      </c>
      <c r="C200" s="6" t="s">
        <v>134</v>
      </c>
      <c r="D200" s="6" t="s">
        <v>135</v>
      </c>
      <c r="E200" s="6" t="s">
        <v>136</v>
      </c>
      <c r="F200" s="7">
        <v>3305.79</v>
      </c>
      <c r="G200" s="7">
        <v>0</v>
      </c>
      <c r="H200" s="8">
        <v>0</v>
      </c>
      <c r="I200" s="8">
        <v>0</v>
      </c>
      <c r="J200" s="8">
        <v>0</v>
      </c>
      <c r="K200" s="8">
        <v>694.21</v>
      </c>
      <c r="L200" s="8">
        <v>0</v>
      </c>
      <c r="M200" s="7">
        <v>0</v>
      </c>
      <c r="N200" s="7">
        <v>4000</v>
      </c>
    </row>
    <row r="201" spans="1:14">
      <c r="A201" s="4" t="s">
        <v>16</v>
      </c>
      <c r="B201" s="5" t="s">
        <v>259</v>
      </c>
      <c r="C201" s="6" t="s">
        <v>260</v>
      </c>
      <c r="D201" s="6" t="s">
        <v>135</v>
      </c>
      <c r="E201" s="6">
        <v>27627568</v>
      </c>
      <c r="F201" s="7">
        <v>10330.58</v>
      </c>
      <c r="G201" s="7">
        <v>0</v>
      </c>
      <c r="H201" s="8">
        <v>0</v>
      </c>
      <c r="I201" s="8">
        <v>0</v>
      </c>
      <c r="J201" s="8">
        <v>0</v>
      </c>
      <c r="K201" s="8">
        <v>2169.42</v>
      </c>
      <c r="L201" s="8">
        <v>0</v>
      </c>
      <c r="M201" s="7">
        <v>0</v>
      </c>
      <c r="N201" s="7">
        <v>12500</v>
      </c>
    </row>
    <row r="202" spans="1:14" hidden="1">
      <c r="A202" s="4" t="s">
        <v>109</v>
      </c>
      <c r="B202" s="5" t="s">
        <v>261</v>
      </c>
      <c r="C202" s="6" t="s">
        <v>134</v>
      </c>
      <c r="D202" s="6" t="s">
        <v>135</v>
      </c>
      <c r="E202" s="6" t="s">
        <v>136</v>
      </c>
      <c r="F202" s="7">
        <v>8471.07</v>
      </c>
      <c r="G202" s="7">
        <v>0</v>
      </c>
      <c r="H202" s="8">
        <v>0</v>
      </c>
      <c r="I202" s="8">
        <v>0</v>
      </c>
      <c r="J202" s="8">
        <v>0</v>
      </c>
      <c r="K202" s="8">
        <v>1778.93</v>
      </c>
      <c r="L202" s="8">
        <v>0</v>
      </c>
      <c r="M202" s="7">
        <v>0</v>
      </c>
      <c r="N202" s="7">
        <v>10250</v>
      </c>
    </row>
    <row r="203" spans="1:14" hidden="1">
      <c r="A203" s="4" t="s">
        <v>109</v>
      </c>
      <c r="B203" s="5" t="s">
        <v>262</v>
      </c>
      <c r="C203" s="6" t="s">
        <v>134</v>
      </c>
      <c r="D203" s="6" t="s">
        <v>135</v>
      </c>
      <c r="E203" s="6" t="s">
        <v>136</v>
      </c>
      <c r="F203" s="7">
        <v>16942.150000000001</v>
      </c>
      <c r="G203" s="7">
        <v>0</v>
      </c>
      <c r="H203" s="8">
        <v>0</v>
      </c>
      <c r="I203" s="8">
        <v>0</v>
      </c>
      <c r="J203" s="8">
        <v>0</v>
      </c>
      <c r="K203" s="8">
        <v>3557.85</v>
      </c>
      <c r="L203" s="8">
        <v>0</v>
      </c>
      <c r="M203" s="7">
        <v>0</v>
      </c>
      <c r="N203" s="7">
        <v>20500</v>
      </c>
    </row>
    <row r="204" spans="1:14" hidden="1">
      <c r="A204" s="4" t="s">
        <v>109</v>
      </c>
      <c r="B204" s="5" t="s">
        <v>263</v>
      </c>
      <c r="C204" s="6" t="s">
        <v>134</v>
      </c>
      <c r="D204" s="6" t="s">
        <v>135</v>
      </c>
      <c r="E204" s="6" t="s">
        <v>136</v>
      </c>
      <c r="F204" s="7">
        <v>2231.4</v>
      </c>
      <c r="G204" s="7">
        <v>0</v>
      </c>
      <c r="H204" s="8">
        <v>0</v>
      </c>
      <c r="I204" s="8">
        <v>0</v>
      </c>
      <c r="J204" s="8">
        <v>0</v>
      </c>
      <c r="K204" s="8">
        <v>468.6</v>
      </c>
      <c r="L204" s="8">
        <v>0</v>
      </c>
      <c r="M204" s="7">
        <v>0</v>
      </c>
      <c r="N204" s="7">
        <v>2700</v>
      </c>
    </row>
    <row r="205" spans="1:14" hidden="1">
      <c r="A205" s="4" t="s">
        <v>109</v>
      </c>
      <c r="B205" s="5" t="s">
        <v>264</v>
      </c>
      <c r="C205" s="6" t="s">
        <v>134</v>
      </c>
      <c r="D205" s="6" t="s">
        <v>135</v>
      </c>
      <c r="E205" s="6" t="s">
        <v>136</v>
      </c>
      <c r="F205" s="7">
        <v>8264.4600000000009</v>
      </c>
      <c r="G205" s="7">
        <v>0</v>
      </c>
      <c r="H205" s="8">
        <v>0</v>
      </c>
      <c r="I205" s="8">
        <v>0</v>
      </c>
      <c r="J205" s="8">
        <v>0</v>
      </c>
      <c r="K205" s="8">
        <v>1735.54</v>
      </c>
      <c r="L205" s="8">
        <v>0</v>
      </c>
      <c r="M205" s="7">
        <v>0</v>
      </c>
      <c r="N205" s="7">
        <v>10000</v>
      </c>
    </row>
    <row r="206" spans="1:14" hidden="1">
      <c r="A206" s="4" t="s">
        <v>109</v>
      </c>
      <c r="B206" s="5" t="s">
        <v>265</v>
      </c>
      <c r="C206" s="6" t="s">
        <v>134</v>
      </c>
      <c r="D206" s="6" t="s">
        <v>135</v>
      </c>
      <c r="E206" s="6" t="s">
        <v>136</v>
      </c>
      <c r="F206" s="7">
        <v>8471.07</v>
      </c>
      <c r="G206" s="7">
        <v>0</v>
      </c>
      <c r="H206" s="8">
        <v>0</v>
      </c>
      <c r="I206" s="8">
        <v>0</v>
      </c>
      <c r="J206" s="8">
        <v>0</v>
      </c>
      <c r="K206" s="8">
        <v>1778.93</v>
      </c>
      <c r="L206" s="8">
        <v>0</v>
      </c>
      <c r="M206" s="7">
        <v>0</v>
      </c>
      <c r="N206" s="7">
        <v>10250</v>
      </c>
    </row>
    <row r="207" spans="1:14" hidden="1">
      <c r="A207" s="4" t="s">
        <v>109</v>
      </c>
      <c r="B207" s="5" t="s">
        <v>266</v>
      </c>
      <c r="C207" s="6" t="s">
        <v>134</v>
      </c>
      <c r="D207" s="6" t="s">
        <v>135</v>
      </c>
      <c r="E207" s="6" t="s">
        <v>136</v>
      </c>
      <c r="F207" s="7">
        <v>30165.29</v>
      </c>
      <c r="G207" s="7">
        <v>0</v>
      </c>
      <c r="H207" s="8">
        <v>0</v>
      </c>
      <c r="I207" s="8">
        <v>0</v>
      </c>
      <c r="J207" s="8">
        <v>0</v>
      </c>
      <c r="K207" s="8">
        <v>6334.71</v>
      </c>
      <c r="L207" s="8">
        <v>0</v>
      </c>
      <c r="M207" s="7">
        <v>0</v>
      </c>
      <c r="N207" s="7">
        <v>36500</v>
      </c>
    </row>
    <row r="208" spans="1:14" hidden="1">
      <c r="A208" s="4" t="s">
        <v>109</v>
      </c>
      <c r="B208" s="5" t="s">
        <v>267</v>
      </c>
      <c r="C208" s="6" t="s">
        <v>134</v>
      </c>
      <c r="D208" s="6" t="s">
        <v>135</v>
      </c>
      <c r="E208" s="6" t="s">
        <v>136</v>
      </c>
      <c r="F208" s="7">
        <v>21983.47</v>
      </c>
      <c r="G208" s="7">
        <v>0</v>
      </c>
      <c r="H208" s="8">
        <v>0</v>
      </c>
      <c r="I208" s="8">
        <v>0</v>
      </c>
      <c r="J208" s="8">
        <v>0</v>
      </c>
      <c r="K208" s="8">
        <v>4616.53</v>
      </c>
      <c r="L208" s="8">
        <v>0</v>
      </c>
      <c r="M208" s="7">
        <v>0</v>
      </c>
      <c r="N208" s="7">
        <v>26600</v>
      </c>
    </row>
    <row r="209" spans="1:14" hidden="1">
      <c r="A209" s="4" t="s">
        <v>109</v>
      </c>
      <c r="B209" s="5" t="s">
        <v>268</v>
      </c>
      <c r="C209" s="6" t="s">
        <v>134</v>
      </c>
      <c r="D209" s="6" t="s">
        <v>135</v>
      </c>
      <c r="E209" s="6" t="s">
        <v>136</v>
      </c>
      <c r="F209" s="7">
        <v>16942.150000000001</v>
      </c>
      <c r="G209" s="7">
        <v>0</v>
      </c>
      <c r="H209" s="8">
        <v>0</v>
      </c>
      <c r="I209" s="8">
        <v>0</v>
      </c>
      <c r="J209" s="8">
        <v>0</v>
      </c>
      <c r="K209" s="8">
        <v>3557.85</v>
      </c>
      <c r="L209" s="8">
        <v>0</v>
      </c>
      <c r="M209" s="7">
        <v>0</v>
      </c>
      <c r="N209" s="7">
        <v>20500</v>
      </c>
    </row>
    <row r="210" spans="1:14" hidden="1">
      <c r="A210" s="4" t="s">
        <v>109</v>
      </c>
      <c r="B210" s="5" t="s">
        <v>269</v>
      </c>
      <c r="C210" s="6" t="s">
        <v>134</v>
      </c>
      <c r="D210" s="6" t="s">
        <v>135</v>
      </c>
      <c r="E210" s="6" t="s">
        <v>136</v>
      </c>
      <c r="F210" s="7">
        <v>20661.16</v>
      </c>
      <c r="G210" s="7">
        <v>0</v>
      </c>
      <c r="H210" s="8">
        <v>0</v>
      </c>
      <c r="I210" s="8">
        <v>0</v>
      </c>
      <c r="J210" s="8">
        <v>0</v>
      </c>
      <c r="K210" s="8">
        <v>4338.84</v>
      </c>
      <c r="L210" s="8">
        <v>0</v>
      </c>
      <c r="M210" s="7">
        <v>0</v>
      </c>
      <c r="N210" s="7">
        <v>25000</v>
      </c>
    </row>
    <row r="211" spans="1:14" hidden="1">
      <c r="A211" s="4" t="s">
        <v>109</v>
      </c>
      <c r="B211" s="5" t="s">
        <v>270</v>
      </c>
      <c r="C211" s="6" t="s">
        <v>134</v>
      </c>
      <c r="D211" s="6" t="s">
        <v>135</v>
      </c>
      <c r="E211" s="6" t="s">
        <v>136</v>
      </c>
      <c r="F211" s="7">
        <v>11446.28</v>
      </c>
      <c r="G211" s="7">
        <v>0</v>
      </c>
      <c r="H211" s="8">
        <v>0</v>
      </c>
      <c r="I211" s="8">
        <v>0</v>
      </c>
      <c r="J211" s="8">
        <v>0</v>
      </c>
      <c r="K211" s="8">
        <v>2403.7200000000003</v>
      </c>
      <c r="L211" s="8">
        <v>0</v>
      </c>
      <c r="M211" s="7">
        <v>0</v>
      </c>
      <c r="N211" s="7">
        <v>13850</v>
      </c>
    </row>
    <row r="212" spans="1:14" hidden="1">
      <c r="A212" s="4" t="s">
        <v>109</v>
      </c>
      <c r="B212" s="5" t="s">
        <v>271</v>
      </c>
      <c r="C212" s="6" t="s">
        <v>134</v>
      </c>
      <c r="D212" s="6" t="s">
        <v>135</v>
      </c>
      <c r="E212" s="6" t="s">
        <v>136</v>
      </c>
      <c r="F212" s="7">
        <v>4958.68</v>
      </c>
      <c r="G212" s="7">
        <v>0</v>
      </c>
      <c r="H212" s="8">
        <v>0</v>
      </c>
      <c r="I212" s="8">
        <v>0</v>
      </c>
      <c r="J212" s="8">
        <v>0</v>
      </c>
      <c r="K212" s="8">
        <v>1041.32</v>
      </c>
      <c r="L212" s="8">
        <v>0</v>
      </c>
      <c r="M212" s="7">
        <v>0</v>
      </c>
      <c r="N212" s="7">
        <v>6000</v>
      </c>
    </row>
    <row r="213" spans="1:14" hidden="1">
      <c r="A213" s="4" t="s">
        <v>42</v>
      </c>
      <c r="B213" s="5" t="s">
        <v>272</v>
      </c>
      <c r="C213" s="6" t="s">
        <v>134</v>
      </c>
      <c r="D213" s="6" t="s">
        <v>135</v>
      </c>
      <c r="E213" s="6" t="s">
        <v>136</v>
      </c>
      <c r="F213" s="7">
        <v>4132.2300000000005</v>
      </c>
      <c r="G213" s="7">
        <v>0</v>
      </c>
      <c r="H213" s="8">
        <v>0</v>
      </c>
      <c r="I213" s="8">
        <v>0</v>
      </c>
      <c r="J213" s="8">
        <v>0</v>
      </c>
      <c r="K213" s="8">
        <v>867.77</v>
      </c>
      <c r="L213" s="8">
        <v>0</v>
      </c>
      <c r="M213" s="7">
        <v>0</v>
      </c>
      <c r="N213" s="7">
        <v>5000</v>
      </c>
    </row>
    <row r="214" spans="1:14" hidden="1">
      <c r="A214" s="4" t="s">
        <v>42</v>
      </c>
      <c r="B214" s="5" t="s">
        <v>273</v>
      </c>
      <c r="C214" s="6" t="s">
        <v>134</v>
      </c>
      <c r="D214" s="6" t="s">
        <v>135</v>
      </c>
      <c r="E214" s="6" t="s">
        <v>136</v>
      </c>
      <c r="F214" s="7">
        <v>8264.4600000000009</v>
      </c>
      <c r="G214" s="7">
        <v>0</v>
      </c>
      <c r="H214" s="8">
        <v>0</v>
      </c>
      <c r="I214" s="8">
        <v>0</v>
      </c>
      <c r="J214" s="8">
        <v>0</v>
      </c>
      <c r="K214" s="8">
        <v>1735.54</v>
      </c>
      <c r="L214" s="8">
        <v>0</v>
      </c>
      <c r="M214" s="7">
        <v>0</v>
      </c>
      <c r="N214" s="7">
        <v>10000</v>
      </c>
    </row>
    <row r="215" spans="1:14" hidden="1">
      <c r="A215" s="4" t="s">
        <v>42</v>
      </c>
      <c r="B215" s="5" t="s">
        <v>274</v>
      </c>
      <c r="C215" s="6" t="s">
        <v>134</v>
      </c>
      <c r="D215" s="6" t="s">
        <v>135</v>
      </c>
      <c r="E215" s="6" t="s">
        <v>136</v>
      </c>
      <c r="F215" s="7">
        <v>11735.54</v>
      </c>
      <c r="G215" s="7">
        <v>0</v>
      </c>
      <c r="H215" s="8">
        <v>0</v>
      </c>
      <c r="I215" s="8">
        <v>0</v>
      </c>
      <c r="J215" s="8">
        <v>0</v>
      </c>
      <c r="K215" s="8">
        <v>2464.46</v>
      </c>
      <c r="L215" s="8">
        <v>0</v>
      </c>
      <c r="M215" s="7">
        <v>0</v>
      </c>
      <c r="N215" s="7">
        <v>14200</v>
      </c>
    </row>
    <row r="216" spans="1:14" hidden="1">
      <c r="A216" s="4" t="s">
        <v>42</v>
      </c>
      <c r="B216" s="5" t="s">
        <v>275</v>
      </c>
      <c r="C216" s="6" t="s">
        <v>134</v>
      </c>
      <c r="D216" s="6" t="s">
        <v>135</v>
      </c>
      <c r="E216" s="6" t="s">
        <v>136</v>
      </c>
      <c r="F216" s="7">
        <v>25619.83</v>
      </c>
      <c r="G216" s="7">
        <v>0</v>
      </c>
      <c r="H216" s="8">
        <v>0</v>
      </c>
      <c r="I216" s="8">
        <v>0</v>
      </c>
      <c r="J216" s="8">
        <v>0</v>
      </c>
      <c r="K216" s="8">
        <v>5380.17</v>
      </c>
      <c r="L216" s="8">
        <v>0</v>
      </c>
      <c r="M216" s="7">
        <v>0</v>
      </c>
      <c r="N216" s="7">
        <v>31000</v>
      </c>
    </row>
    <row r="217" spans="1:14" hidden="1">
      <c r="A217" s="4" t="s">
        <v>42</v>
      </c>
      <c r="B217" s="5" t="s">
        <v>276</v>
      </c>
      <c r="C217" s="6" t="s">
        <v>134</v>
      </c>
      <c r="D217" s="6" t="s">
        <v>135</v>
      </c>
      <c r="E217" s="6" t="s">
        <v>136</v>
      </c>
      <c r="F217" s="7">
        <v>11239.67</v>
      </c>
      <c r="G217" s="7">
        <v>0</v>
      </c>
      <c r="H217" s="8">
        <v>0</v>
      </c>
      <c r="I217" s="8">
        <v>0</v>
      </c>
      <c r="J217" s="8">
        <v>0</v>
      </c>
      <c r="K217" s="8">
        <v>2360.33</v>
      </c>
      <c r="L217" s="8">
        <v>0</v>
      </c>
      <c r="M217" s="7">
        <v>0</v>
      </c>
      <c r="N217" s="7">
        <v>13600</v>
      </c>
    </row>
    <row r="218" spans="1:14" hidden="1">
      <c r="A218" s="4" t="s">
        <v>42</v>
      </c>
      <c r="B218" s="5" t="s">
        <v>277</v>
      </c>
      <c r="C218" s="6" t="s">
        <v>134</v>
      </c>
      <c r="D218" s="6" t="s">
        <v>135</v>
      </c>
      <c r="E218" s="6" t="s">
        <v>136</v>
      </c>
      <c r="F218" s="7">
        <v>16942.150000000001</v>
      </c>
      <c r="G218" s="7">
        <v>0</v>
      </c>
      <c r="H218" s="8">
        <v>0</v>
      </c>
      <c r="I218" s="8">
        <v>0</v>
      </c>
      <c r="J218" s="8">
        <v>0</v>
      </c>
      <c r="K218" s="8">
        <v>3557.85</v>
      </c>
      <c r="L218" s="8">
        <v>0</v>
      </c>
      <c r="M218" s="7">
        <v>0</v>
      </c>
      <c r="N218" s="7">
        <v>20500</v>
      </c>
    </row>
    <row r="219" spans="1:14" hidden="1">
      <c r="A219" s="4" t="s">
        <v>42</v>
      </c>
      <c r="B219" s="5" t="s">
        <v>278</v>
      </c>
      <c r="C219" s="6" t="s">
        <v>134</v>
      </c>
      <c r="D219" s="6" t="s">
        <v>135</v>
      </c>
      <c r="E219" s="6" t="s">
        <v>136</v>
      </c>
      <c r="F219" s="7">
        <v>11239.67</v>
      </c>
      <c r="G219" s="7">
        <v>0</v>
      </c>
      <c r="H219" s="8">
        <v>0</v>
      </c>
      <c r="I219" s="8">
        <v>0</v>
      </c>
      <c r="J219" s="8">
        <v>0</v>
      </c>
      <c r="K219" s="8">
        <v>2360.33</v>
      </c>
      <c r="L219" s="8">
        <v>0</v>
      </c>
      <c r="M219" s="7">
        <v>0</v>
      </c>
      <c r="N219" s="7">
        <v>13600</v>
      </c>
    </row>
    <row r="220" spans="1:14" hidden="1">
      <c r="A220" s="4" t="s">
        <v>42</v>
      </c>
      <c r="B220" s="5" t="s">
        <v>279</v>
      </c>
      <c r="C220" s="6" t="s">
        <v>134</v>
      </c>
      <c r="D220" s="6" t="s">
        <v>135</v>
      </c>
      <c r="E220" s="6" t="s">
        <v>136</v>
      </c>
      <c r="F220" s="7">
        <v>13305.79</v>
      </c>
      <c r="G220" s="7">
        <v>0</v>
      </c>
      <c r="H220" s="8">
        <v>0</v>
      </c>
      <c r="I220" s="8">
        <v>0</v>
      </c>
      <c r="J220" s="8">
        <v>0</v>
      </c>
      <c r="K220" s="8">
        <v>2794.21</v>
      </c>
      <c r="L220" s="8">
        <v>0</v>
      </c>
      <c r="M220" s="7">
        <v>0</v>
      </c>
      <c r="N220" s="7">
        <v>16100</v>
      </c>
    </row>
    <row r="221" spans="1:14" hidden="1">
      <c r="A221" s="4" t="s">
        <v>42</v>
      </c>
      <c r="B221" s="5" t="s">
        <v>280</v>
      </c>
      <c r="C221" s="6" t="s">
        <v>134</v>
      </c>
      <c r="D221" s="6" t="s">
        <v>135</v>
      </c>
      <c r="E221" s="6" t="s">
        <v>136</v>
      </c>
      <c r="F221" s="7">
        <v>15082.64</v>
      </c>
      <c r="G221" s="7">
        <v>0</v>
      </c>
      <c r="H221" s="8">
        <v>0</v>
      </c>
      <c r="I221" s="8">
        <v>0</v>
      </c>
      <c r="J221" s="8">
        <v>0</v>
      </c>
      <c r="K221" s="8">
        <v>3167.36</v>
      </c>
      <c r="L221" s="8">
        <v>0</v>
      </c>
      <c r="M221" s="7">
        <v>0</v>
      </c>
      <c r="N221" s="7">
        <v>18250</v>
      </c>
    </row>
    <row r="222" spans="1:14" hidden="1">
      <c r="A222" s="4" t="s">
        <v>42</v>
      </c>
      <c r="B222" s="5" t="s">
        <v>281</v>
      </c>
      <c r="C222" s="6" t="s">
        <v>134</v>
      </c>
      <c r="D222" s="6" t="s">
        <v>135</v>
      </c>
      <c r="E222" s="6" t="s">
        <v>136</v>
      </c>
      <c r="F222" s="7">
        <v>8471.07</v>
      </c>
      <c r="G222" s="7">
        <v>0</v>
      </c>
      <c r="H222" s="8">
        <v>0</v>
      </c>
      <c r="I222" s="8">
        <v>0</v>
      </c>
      <c r="J222" s="8">
        <v>0</v>
      </c>
      <c r="K222" s="8">
        <v>1778.93</v>
      </c>
      <c r="L222" s="8">
        <v>0</v>
      </c>
      <c r="M222" s="7">
        <v>0</v>
      </c>
      <c r="N222" s="7">
        <v>10250</v>
      </c>
    </row>
    <row r="223" spans="1:14" hidden="1">
      <c r="A223" s="4" t="s">
        <v>42</v>
      </c>
      <c r="B223" s="5" t="s">
        <v>282</v>
      </c>
      <c r="C223" s="6" t="s">
        <v>134</v>
      </c>
      <c r="D223" s="6" t="s">
        <v>135</v>
      </c>
      <c r="E223" s="6" t="s">
        <v>136</v>
      </c>
      <c r="F223" s="7">
        <v>18429.75</v>
      </c>
      <c r="G223" s="7">
        <v>0</v>
      </c>
      <c r="H223" s="8">
        <v>0</v>
      </c>
      <c r="I223" s="8">
        <v>0</v>
      </c>
      <c r="J223" s="8">
        <v>0</v>
      </c>
      <c r="K223" s="8">
        <v>3870.25</v>
      </c>
      <c r="L223" s="8">
        <v>0</v>
      </c>
      <c r="M223" s="7">
        <v>0</v>
      </c>
      <c r="N223" s="7">
        <v>22300</v>
      </c>
    </row>
    <row r="224" spans="1:14">
      <c r="A224" s="4" t="s">
        <v>112</v>
      </c>
      <c r="B224" s="5" t="s">
        <v>283</v>
      </c>
      <c r="C224" s="6" t="s">
        <v>284</v>
      </c>
      <c r="D224" s="6" t="s">
        <v>135</v>
      </c>
      <c r="E224" s="6">
        <v>4139291</v>
      </c>
      <c r="F224" s="7">
        <v>10330.58</v>
      </c>
      <c r="G224" s="7">
        <v>0</v>
      </c>
      <c r="H224" s="8">
        <v>0</v>
      </c>
      <c r="I224" s="8">
        <v>0</v>
      </c>
      <c r="J224" s="8">
        <v>0</v>
      </c>
      <c r="K224" s="8">
        <v>2169.42</v>
      </c>
      <c r="L224" s="8">
        <v>0</v>
      </c>
      <c r="M224" s="7">
        <v>0</v>
      </c>
      <c r="N224" s="7">
        <v>12500</v>
      </c>
    </row>
    <row r="225" spans="1:14" hidden="1">
      <c r="A225" s="4" t="s">
        <v>112</v>
      </c>
      <c r="B225" s="5" t="s">
        <v>285</v>
      </c>
      <c r="C225" s="6" t="s">
        <v>134</v>
      </c>
      <c r="D225" s="6" t="s">
        <v>135</v>
      </c>
      <c r="E225" s="6" t="s">
        <v>136</v>
      </c>
      <c r="F225" s="7">
        <v>11735.54</v>
      </c>
      <c r="G225" s="7">
        <v>0</v>
      </c>
      <c r="H225" s="8">
        <v>0</v>
      </c>
      <c r="I225" s="8">
        <v>0</v>
      </c>
      <c r="J225" s="8">
        <v>0</v>
      </c>
      <c r="K225" s="8">
        <v>2464.46</v>
      </c>
      <c r="L225" s="8">
        <v>0</v>
      </c>
      <c r="M225" s="7">
        <v>0</v>
      </c>
      <c r="N225" s="7">
        <v>14200</v>
      </c>
    </row>
    <row r="226" spans="1:14" hidden="1">
      <c r="A226" s="4" t="s">
        <v>112</v>
      </c>
      <c r="B226" s="5" t="s">
        <v>286</v>
      </c>
      <c r="C226" s="6" t="s">
        <v>134</v>
      </c>
      <c r="D226" s="6" t="s">
        <v>135</v>
      </c>
      <c r="E226" s="6" t="s">
        <v>136</v>
      </c>
      <c r="F226" s="7">
        <v>53636.36</v>
      </c>
      <c r="G226" s="7">
        <v>0</v>
      </c>
      <c r="H226" s="8">
        <v>0</v>
      </c>
      <c r="I226" s="8">
        <v>0</v>
      </c>
      <c r="J226" s="8">
        <v>0</v>
      </c>
      <c r="K226" s="8">
        <v>11263.64</v>
      </c>
      <c r="L226" s="8">
        <v>0</v>
      </c>
      <c r="M226" s="7">
        <v>0</v>
      </c>
      <c r="N226" s="7">
        <v>64900</v>
      </c>
    </row>
    <row r="227" spans="1:14" hidden="1">
      <c r="A227" s="4" t="s">
        <v>112</v>
      </c>
      <c r="B227" s="5" t="s">
        <v>287</v>
      </c>
      <c r="C227" s="6" t="s">
        <v>134</v>
      </c>
      <c r="D227" s="6" t="s">
        <v>135</v>
      </c>
      <c r="E227" s="6" t="s">
        <v>136</v>
      </c>
      <c r="F227" s="7">
        <v>23140.5</v>
      </c>
      <c r="G227" s="7">
        <v>0</v>
      </c>
      <c r="H227" s="8">
        <v>0</v>
      </c>
      <c r="I227" s="8">
        <v>0</v>
      </c>
      <c r="J227" s="8">
        <v>0</v>
      </c>
      <c r="K227" s="8">
        <v>4859.5</v>
      </c>
      <c r="L227" s="8">
        <v>0</v>
      </c>
      <c r="M227" s="7">
        <v>0</v>
      </c>
      <c r="N227" s="7">
        <v>28000</v>
      </c>
    </row>
    <row r="228" spans="1:14" hidden="1">
      <c r="A228" s="4" t="s">
        <v>112</v>
      </c>
      <c r="B228" s="5" t="s">
        <v>288</v>
      </c>
      <c r="C228" s="6" t="s">
        <v>134</v>
      </c>
      <c r="D228" s="6" t="s">
        <v>135</v>
      </c>
      <c r="E228" s="6" t="s">
        <v>136</v>
      </c>
      <c r="F228" s="7">
        <v>26859.5</v>
      </c>
      <c r="G228" s="7">
        <v>0</v>
      </c>
      <c r="H228" s="8">
        <v>0</v>
      </c>
      <c r="I228" s="8">
        <v>0</v>
      </c>
      <c r="J228" s="8">
        <v>0</v>
      </c>
      <c r="K228" s="8">
        <v>5640.5</v>
      </c>
      <c r="L228" s="8">
        <v>0</v>
      </c>
      <c r="M228" s="7">
        <v>0</v>
      </c>
      <c r="N228" s="7">
        <v>32500</v>
      </c>
    </row>
    <row r="229" spans="1:14" hidden="1">
      <c r="A229" s="4" t="s">
        <v>112</v>
      </c>
      <c r="B229" s="5" t="s">
        <v>289</v>
      </c>
      <c r="C229" s="6" t="s">
        <v>134</v>
      </c>
      <c r="D229" s="6" t="s">
        <v>135</v>
      </c>
      <c r="E229" s="6" t="s">
        <v>136</v>
      </c>
      <c r="F229" s="7">
        <v>14380.17</v>
      </c>
      <c r="G229" s="7">
        <v>0</v>
      </c>
      <c r="H229" s="8">
        <v>0</v>
      </c>
      <c r="I229" s="8">
        <v>0</v>
      </c>
      <c r="J229" s="8">
        <v>0</v>
      </c>
      <c r="K229" s="8">
        <v>3019.83</v>
      </c>
      <c r="L229" s="8">
        <v>0</v>
      </c>
      <c r="M229" s="7">
        <v>0</v>
      </c>
      <c r="N229" s="7">
        <v>17400</v>
      </c>
    </row>
    <row r="230" spans="1:14" hidden="1">
      <c r="A230" s="4" t="s">
        <v>121</v>
      </c>
      <c r="B230" s="5" t="s">
        <v>290</v>
      </c>
      <c r="C230" s="6" t="s">
        <v>134</v>
      </c>
      <c r="D230" s="6" t="s">
        <v>135</v>
      </c>
      <c r="E230" s="6" t="s">
        <v>136</v>
      </c>
      <c r="F230" s="7">
        <v>21487.599999999999</v>
      </c>
      <c r="G230" s="7">
        <v>0</v>
      </c>
      <c r="H230" s="8">
        <v>0</v>
      </c>
      <c r="I230" s="8">
        <v>0</v>
      </c>
      <c r="J230" s="8">
        <v>0</v>
      </c>
      <c r="K230" s="8">
        <v>4512.4000000000005</v>
      </c>
      <c r="L230" s="8">
        <v>0</v>
      </c>
      <c r="M230" s="7">
        <v>0</v>
      </c>
      <c r="N230" s="7">
        <v>26000</v>
      </c>
    </row>
    <row r="231" spans="1:14" hidden="1">
      <c r="A231" s="4" t="s">
        <v>121</v>
      </c>
      <c r="B231" s="5" t="s">
        <v>291</v>
      </c>
      <c r="C231" s="6" t="s">
        <v>134</v>
      </c>
      <c r="D231" s="6" t="s">
        <v>135</v>
      </c>
      <c r="E231" s="6" t="s">
        <v>136</v>
      </c>
      <c r="F231" s="7">
        <v>8471.07</v>
      </c>
      <c r="G231" s="7">
        <v>0</v>
      </c>
      <c r="H231" s="8">
        <v>0</v>
      </c>
      <c r="I231" s="8">
        <v>0</v>
      </c>
      <c r="J231" s="8">
        <v>0</v>
      </c>
      <c r="K231" s="8">
        <v>1778.93</v>
      </c>
      <c r="L231" s="8">
        <v>0</v>
      </c>
      <c r="M231" s="7">
        <v>0</v>
      </c>
      <c r="N231" s="7">
        <v>10250</v>
      </c>
    </row>
    <row r="232" spans="1:14" hidden="1">
      <c r="A232" s="4" t="s">
        <v>121</v>
      </c>
      <c r="B232" s="5" t="s">
        <v>292</v>
      </c>
      <c r="C232" s="6" t="s">
        <v>134</v>
      </c>
      <c r="D232" s="6" t="s">
        <v>135</v>
      </c>
      <c r="E232" s="6" t="s">
        <v>136</v>
      </c>
      <c r="F232" s="7">
        <v>23471.07</v>
      </c>
      <c r="G232" s="7">
        <v>0</v>
      </c>
      <c r="H232" s="8">
        <v>0</v>
      </c>
      <c r="I232" s="8">
        <v>0</v>
      </c>
      <c r="J232" s="8">
        <v>0</v>
      </c>
      <c r="K232" s="8">
        <v>4928.93</v>
      </c>
      <c r="L232" s="8">
        <v>0</v>
      </c>
      <c r="M232" s="7">
        <v>0</v>
      </c>
      <c r="N232" s="7">
        <v>28400</v>
      </c>
    </row>
    <row r="233" spans="1:14" hidden="1">
      <c r="A233" s="4" t="s">
        <v>121</v>
      </c>
      <c r="B233" s="5" t="s">
        <v>293</v>
      </c>
      <c r="C233" s="6" t="s">
        <v>134</v>
      </c>
      <c r="D233" s="6" t="s">
        <v>135</v>
      </c>
      <c r="E233" s="6" t="s">
        <v>136</v>
      </c>
      <c r="F233" s="7">
        <v>18181.82</v>
      </c>
      <c r="G233" s="7">
        <v>0</v>
      </c>
      <c r="H233" s="8">
        <v>0</v>
      </c>
      <c r="I233" s="8">
        <v>0</v>
      </c>
      <c r="J233" s="8">
        <v>0</v>
      </c>
      <c r="K233" s="8">
        <v>3818.18</v>
      </c>
      <c r="L233" s="8">
        <v>0</v>
      </c>
      <c r="M233" s="7">
        <v>0</v>
      </c>
      <c r="N233" s="7">
        <v>22000</v>
      </c>
    </row>
    <row r="234" spans="1:14" hidden="1">
      <c r="A234" s="4" t="s">
        <v>121</v>
      </c>
      <c r="B234" s="5" t="s">
        <v>294</v>
      </c>
      <c r="C234" s="6" t="s">
        <v>134</v>
      </c>
      <c r="D234" s="6" t="s">
        <v>135</v>
      </c>
      <c r="E234" s="6" t="s">
        <v>136</v>
      </c>
      <c r="F234" s="7">
        <v>16942.150000000001</v>
      </c>
      <c r="G234" s="7">
        <v>0</v>
      </c>
      <c r="H234" s="8">
        <v>0</v>
      </c>
      <c r="I234" s="8">
        <v>0</v>
      </c>
      <c r="J234" s="8">
        <v>0</v>
      </c>
      <c r="K234" s="8">
        <v>3557.85</v>
      </c>
      <c r="L234" s="8">
        <v>0</v>
      </c>
      <c r="M234" s="7">
        <v>0</v>
      </c>
      <c r="N234" s="7">
        <v>20500</v>
      </c>
    </row>
    <row r="235" spans="1:14" hidden="1">
      <c r="A235" s="4" t="s">
        <v>20</v>
      </c>
      <c r="B235" s="5" t="s">
        <v>295</v>
      </c>
      <c r="C235" s="6" t="s">
        <v>134</v>
      </c>
      <c r="D235" s="6" t="s">
        <v>135</v>
      </c>
      <c r="E235" s="6" t="s">
        <v>136</v>
      </c>
      <c r="F235" s="7">
        <v>12892.56</v>
      </c>
      <c r="G235" s="7">
        <v>0</v>
      </c>
      <c r="H235" s="8">
        <v>0</v>
      </c>
      <c r="I235" s="8">
        <v>0</v>
      </c>
      <c r="J235" s="8">
        <v>0</v>
      </c>
      <c r="K235" s="8">
        <v>2707.44</v>
      </c>
      <c r="L235" s="8">
        <v>0</v>
      </c>
      <c r="M235" s="7">
        <v>0</v>
      </c>
      <c r="N235" s="7">
        <v>15600</v>
      </c>
    </row>
    <row r="236" spans="1:14" hidden="1">
      <c r="A236" s="4" t="s">
        <v>20</v>
      </c>
      <c r="B236" s="5" t="s">
        <v>296</v>
      </c>
      <c r="C236" s="6" t="s">
        <v>134</v>
      </c>
      <c r="D236" s="6" t="s">
        <v>135</v>
      </c>
      <c r="E236" s="6" t="s">
        <v>136</v>
      </c>
      <c r="F236" s="7">
        <v>8471.07</v>
      </c>
      <c r="G236" s="7">
        <v>0</v>
      </c>
      <c r="H236" s="8">
        <v>0</v>
      </c>
      <c r="I236" s="8">
        <v>0</v>
      </c>
      <c r="J236" s="8">
        <v>0</v>
      </c>
      <c r="K236" s="8">
        <v>1778.93</v>
      </c>
      <c r="L236" s="8">
        <v>0</v>
      </c>
      <c r="M236" s="7">
        <v>0</v>
      </c>
      <c r="N236" s="7">
        <v>10250</v>
      </c>
    </row>
    <row r="237" spans="1:14" hidden="1">
      <c r="A237" s="4" t="s">
        <v>20</v>
      </c>
      <c r="B237" s="5" t="s">
        <v>297</v>
      </c>
      <c r="C237" s="6" t="s">
        <v>134</v>
      </c>
      <c r="D237" s="6" t="s">
        <v>135</v>
      </c>
      <c r="E237" s="6" t="s">
        <v>136</v>
      </c>
      <c r="F237" s="7">
        <v>23471.07</v>
      </c>
      <c r="G237" s="7">
        <v>0</v>
      </c>
      <c r="H237" s="8">
        <v>0</v>
      </c>
      <c r="I237" s="8">
        <v>0</v>
      </c>
      <c r="J237" s="8">
        <v>0</v>
      </c>
      <c r="K237" s="8">
        <v>4928.93</v>
      </c>
      <c r="L237" s="8">
        <v>0</v>
      </c>
      <c r="M237" s="7">
        <v>0</v>
      </c>
      <c r="N237" s="7">
        <v>28400</v>
      </c>
    </row>
    <row r="238" spans="1:14" hidden="1">
      <c r="A238" s="4" t="s">
        <v>20</v>
      </c>
      <c r="B238" s="5" t="s">
        <v>298</v>
      </c>
      <c r="C238" s="6" t="s">
        <v>134</v>
      </c>
      <c r="D238" s="6" t="s">
        <v>135</v>
      </c>
      <c r="E238" s="6" t="s">
        <v>136</v>
      </c>
      <c r="F238" s="7">
        <v>25413.22</v>
      </c>
      <c r="G238" s="7">
        <v>0</v>
      </c>
      <c r="H238" s="8">
        <v>0</v>
      </c>
      <c r="I238" s="8">
        <v>0</v>
      </c>
      <c r="J238" s="8">
        <v>0</v>
      </c>
      <c r="K238" s="8">
        <v>5336.78</v>
      </c>
      <c r="L238" s="8">
        <v>0</v>
      </c>
      <c r="M238" s="7">
        <v>0</v>
      </c>
      <c r="N238" s="7">
        <v>30750</v>
      </c>
    </row>
    <row r="239" spans="1:14" hidden="1">
      <c r="A239" s="4" t="s">
        <v>20</v>
      </c>
      <c r="B239" s="5" t="s">
        <v>299</v>
      </c>
      <c r="C239" s="6" t="s">
        <v>134</v>
      </c>
      <c r="D239" s="6" t="s">
        <v>135</v>
      </c>
      <c r="E239" s="6" t="s">
        <v>136</v>
      </c>
      <c r="F239" s="7">
        <v>30165.29</v>
      </c>
      <c r="G239" s="7">
        <v>0</v>
      </c>
      <c r="H239" s="8">
        <v>0</v>
      </c>
      <c r="I239" s="8">
        <v>0</v>
      </c>
      <c r="J239" s="8">
        <v>0</v>
      </c>
      <c r="K239" s="8">
        <v>6334.71</v>
      </c>
      <c r="L239" s="8">
        <v>0</v>
      </c>
      <c r="M239" s="7">
        <v>0</v>
      </c>
      <c r="N239" s="7">
        <v>36500</v>
      </c>
    </row>
    <row r="240" spans="1:14" hidden="1">
      <c r="A240" s="4" t="s">
        <v>20</v>
      </c>
      <c r="B240" s="5" t="s">
        <v>300</v>
      </c>
      <c r="C240" s="6" t="s">
        <v>134</v>
      </c>
      <c r="D240" s="6" t="s">
        <v>135</v>
      </c>
      <c r="E240" s="6" t="s">
        <v>136</v>
      </c>
      <c r="F240" s="7">
        <v>1239.67</v>
      </c>
      <c r="G240" s="7">
        <v>0</v>
      </c>
      <c r="H240" s="8">
        <v>0</v>
      </c>
      <c r="I240" s="8">
        <v>0</v>
      </c>
      <c r="J240" s="8">
        <v>0</v>
      </c>
      <c r="K240" s="8">
        <v>260.33</v>
      </c>
      <c r="L240" s="8">
        <v>0</v>
      </c>
      <c r="M240" s="7">
        <v>0</v>
      </c>
      <c r="N240" s="7">
        <v>1500</v>
      </c>
    </row>
    <row r="241" spans="1:14" hidden="1">
      <c r="A241" s="4" t="s">
        <v>20</v>
      </c>
      <c r="B241" s="5" t="s">
        <v>301</v>
      </c>
      <c r="C241" s="6" t="s">
        <v>134</v>
      </c>
      <c r="D241" s="6" t="s">
        <v>135</v>
      </c>
      <c r="E241" s="6" t="s">
        <v>136</v>
      </c>
      <c r="F241" s="7">
        <v>28925.62</v>
      </c>
      <c r="G241" s="7">
        <v>0</v>
      </c>
      <c r="H241" s="8">
        <v>0</v>
      </c>
      <c r="I241" s="8">
        <v>0</v>
      </c>
      <c r="J241" s="8">
        <v>0</v>
      </c>
      <c r="K241" s="8">
        <v>6074.38</v>
      </c>
      <c r="L241" s="8">
        <v>0</v>
      </c>
      <c r="M241" s="7">
        <v>0</v>
      </c>
      <c r="N241" s="7">
        <v>35000</v>
      </c>
    </row>
    <row r="242" spans="1:14" hidden="1">
      <c r="A242" s="4" t="s">
        <v>20</v>
      </c>
      <c r="B242" s="5" t="s">
        <v>302</v>
      </c>
      <c r="C242" s="6" t="s">
        <v>134</v>
      </c>
      <c r="D242" s="6" t="s">
        <v>135</v>
      </c>
      <c r="E242" s="6" t="s">
        <v>136</v>
      </c>
      <c r="F242" s="7">
        <v>8471.07</v>
      </c>
      <c r="G242" s="7">
        <v>0</v>
      </c>
      <c r="H242" s="8">
        <v>0</v>
      </c>
      <c r="I242" s="8">
        <v>0</v>
      </c>
      <c r="J242" s="8">
        <v>0</v>
      </c>
      <c r="K242" s="8">
        <v>1778.93</v>
      </c>
      <c r="L242" s="8">
        <v>0</v>
      </c>
      <c r="M242" s="7">
        <v>0</v>
      </c>
      <c r="N242" s="7">
        <v>10250</v>
      </c>
    </row>
    <row r="243" spans="1:14" hidden="1">
      <c r="A243" s="4" t="s">
        <v>20</v>
      </c>
      <c r="B243" s="5" t="s">
        <v>303</v>
      </c>
      <c r="C243" s="6" t="s">
        <v>134</v>
      </c>
      <c r="D243" s="6" t="s">
        <v>135</v>
      </c>
      <c r="E243" s="6" t="s">
        <v>136</v>
      </c>
      <c r="F243" s="7">
        <v>4958.68</v>
      </c>
      <c r="G243" s="7">
        <v>0</v>
      </c>
      <c r="H243" s="8">
        <v>0</v>
      </c>
      <c r="I243" s="8">
        <v>0</v>
      </c>
      <c r="J243" s="8">
        <v>0</v>
      </c>
      <c r="K243" s="8">
        <v>1041.32</v>
      </c>
      <c r="L243" s="8">
        <v>0</v>
      </c>
      <c r="M243" s="7">
        <v>0</v>
      </c>
      <c r="N243" s="7">
        <v>6000</v>
      </c>
    </row>
    <row r="244" spans="1:14" hidden="1">
      <c r="A244" s="4" t="s">
        <v>20</v>
      </c>
      <c r="B244" s="5" t="s">
        <v>304</v>
      </c>
      <c r="C244" s="6" t="s">
        <v>134</v>
      </c>
      <c r="D244" s="6" t="s">
        <v>135</v>
      </c>
      <c r="E244" s="6" t="s">
        <v>136</v>
      </c>
      <c r="F244" s="7">
        <v>16528.93</v>
      </c>
      <c r="G244" s="7">
        <v>0</v>
      </c>
      <c r="H244" s="8">
        <v>0</v>
      </c>
      <c r="I244" s="8">
        <v>0</v>
      </c>
      <c r="J244" s="8">
        <v>0</v>
      </c>
      <c r="K244" s="8">
        <v>3471.07</v>
      </c>
      <c r="L244" s="8">
        <v>0</v>
      </c>
      <c r="M244" s="7">
        <v>0</v>
      </c>
      <c r="N244" s="7">
        <v>20000</v>
      </c>
    </row>
    <row r="245" spans="1:14" hidden="1">
      <c r="A245" s="4" t="s">
        <v>305</v>
      </c>
      <c r="B245" s="5" t="s">
        <v>306</v>
      </c>
      <c r="C245" s="6" t="s">
        <v>134</v>
      </c>
      <c r="D245" s="6" t="s">
        <v>135</v>
      </c>
      <c r="E245" s="6" t="s">
        <v>136</v>
      </c>
      <c r="F245" s="7">
        <v>8471.07</v>
      </c>
      <c r="G245" s="7">
        <v>0</v>
      </c>
      <c r="H245" s="8">
        <v>0</v>
      </c>
      <c r="I245" s="8">
        <v>0</v>
      </c>
      <c r="J245" s="8">
        <v>0</v>
      </c>
      <c r="K245" s="8">
        <v>1778.93</v>
      </c>
      <c r="L245" s="8">
        <v>0</v>
      </c>
      <c r="M245" s="7">
        <v>0</v>
      </c>
      <c r="N245" s="7">
        <v>10250</v>
      </c>
    </row>
    <row r="246" spans="1:14" hidden="1">
      <c r="A246" s="4" t="s">
        <v>305</v>
      </c>
      <c r="B246" s="5" t="s">
        <v>307</v>
      </c>
      <c r="C246" s="6" t="s">
        <v>134</v>
      </c>
      <c r="D246" s="6" t="s">
        <v>135</v>
      </c>
      <c r="E246" s="6" t="s">
        <v>136</v>
      </c>
      <c r="F246" s="7">
        <v>15289.26</v>
      </c>
      <c r="G246" s="7">
        <v>0</v>
      </c>
      <c r="H246" s="8">
        <v>0</v>
      </c>
      <c r="I246" s="8">
        <v>0</v>
      </c>
      <c r="J246" s="8">
        <v>0</v>
      </c>
      <c r="K246" s="8">
        <v>3210.74</v>
      </c>
      <c r="L246" s="8">
        <v>0</v>
      </c>
      <c r="M246" s="7">
        <v>0</v>
      </c>
      <c r="N246" s="7">
        <v>18500</v>
      </c>
    </row>
    <row r="247" spans="1:14" hidden="1">
      <c r="A247" s="4" t="s">
        <v>305</v>
      </c>
      <c r="B247" s="5" t="s">
        <v>308</v>
      </c>
      <c r="C247" s="6" t="s">
        <v>134</v>
      </c>
      <c r="D247" s="6" t="s">
        <v>135</v>
      </c>
      <c r="E247" s="6" t="s">
        <v>136</v>
      </c>
      <c r="F247" s="7">
        <v>8471.07</v>
      </c>
      <c r="G247" s="7">
        <v>0</v>
      </c>
      <c r="H247" s="8">
        <v>0</v>
      </c>
      <c r="I247" s="8">
        <v>0</v>
      </c>
      <c r="J247" s="8">
        <v>0</v>
      </c>
      <c r="K247" s="8">
        <v>1778.93</v>
      </c>
      <c r="L247" s="8">
        <v>0</v>
      </c>
      <c r="M247" s="7">
        <v>0</v>
      </c>
      <c r="N247" s="7">
        <v>10250</v>
      </c>
    </row>
    <row r="248" spans="1:14" hidden="1">
      <c r="A248" s="4" t="s">
        <v>305</v>
      </c>
      <c r="B248" s="5" t="s">
        <v>309</v>
      </c>
      <c r="C248" s="6" t="s">
        <v>134</v>
      </c>
      <c r="D248" s="6" t="s">
        <v>135</v>
      </c>
      <c r="E248" s="6" t="s">
        <v>136</v>
      </c>
      <c r="F248" s="7">
        <v>8471.07</v>
      </c>
      <c r="G248" s="7">
        <v>0</v>
      </c>
      <c r="H248" s="8">
        <v>0</v>
      </c>
      <c r="I248" s="8">
        <v>0</v>
      </c>
      <c r="J248" s="8">
        <v>0</v>
      </c>
      <c r="K248" s="8">
        <v>1778.93</v>
      </c>
      <c r="L248" s="8">
        <v>0</v>
      </c>
      <c r="M248" s="7">
        <v>0</v>
      </c>
      <c r="N248" s="7">
        <v>10250</v>
      </c>
    </row>
    <row r="249" spans="1:14" hidden="1">
      <c r="A249" s="4" t="s">
        <v>305</v>
      </c>
      <c r="B249" s="5" t="s">
        <v>310</v>
      </c>
      <c r="C249" s="6" t="s">
        <v>134</v>
      </c>
      <c r="D249" s="6" t="s">
        <v>135</v>
      </c>
      <c r="E249" s="6" t="s">
        <v>136</v>
      </c>
      <c r="F249" s="7">
        <v>16528.93</v>
      </c>
      <c r="G249" s="7">
        <v>0</v>
      </c>
      <c r="H249" s="8">
        <v>0</v>
      </c>
      <c r="I249" s="8">
        <v>0</v>
      </c>
      <c r="J249" s="8">
        <v>0</v>
      </c>
      <c r="K249" s="8">
        <v>3471.07</v>
      </c>
      <c r="L249" s="8">
        <v>0</v>
      </c>
      <c r="M249" s="7">
        <v>0</v>
      </c>
      <c r="N249" s="7">
        <v>20000</v>
      </c>
    </row>
    <row r="250" spans="1:14" hidden="1">
      <c r="A250" s="4" t="s">
        <v>305</v>
      </c>
      <c r="B250" s="5" t="s">
        <v>311</v>
      </c>
      <c r="C250" s="6" t="s">
        <v>134</v>
      </c>
      <c r="D250" s="6" t="s">
        <v>135</v>
      </c>
      <c r="E250" s="6" t="s">
        <v>136</v>
      </c>
      <c r="F250" s="7">
        <v>36198.35</v>
      </c>
      <c r="G250" s="7">
        <v>0</v>
      </c>
      <c r="H250" s="8">
        <v>0</v>
      </c>
      <c r="I250" s="8">
        <v>0</v>
      </c>
      <c r="J250" s="8">
        <v>0</v>
      </c>
      <c r="K250" s="8">
        <v>7601.65</v>
      </c>
      <c r="L250" s="8">
        <v>0</v>
      </c>
      <c r="M250" s="7">
        <v>0</v>
      </c>
      <c r="N250" s="7">
        <v>43800</v>
      </c>
    </row>
    <row r="251" spans="1:14" hidden="1">
      <c r="A251" s="4" t="s">
        <v>305</v>
      </c>
      <c r="B251" s="5" t="s">
        <v>312</v>
      </c>
      <c r="C251" s="6" t="s">
        <v>134</v>
      </c>
      <c r="D251" s="6" t="s">
        <v>135</v>
      </c>
      <c r="E251" s="6" t="s">
        <v>136</v>
      </c>
      <c r="F251" s="7">
        <v>16942.150000000001</v>
      </c>
      <c r="G251" s="7">
        <v>0</v>
      </c>
      <c r="H251" s="8">
        <v>0</v>
      </c>
      <c r="I251" s="8">
        <v>0</v>
      </c>
      <c r="J251" s="8">
        <v>0</v>
      </c>
      <c r="K251" s="8">
        <v>3557.85</v>
      </c>
      <c r="L251" s="8">
        <v>0</v>
      </c>
      <c r="M251" s="7">
        <v>0</v>
      </c>
      <c r="N251" s="7">
        <v>20500</v>
      </c>
    </row>
    <row r="252" spans="1:14" hidden="1">
      <c r="A252" s="4" t="s">
        <v>305</v>
      </c>
      <c r="B252" s="5" t="s">
        <v>313</v>
      </c>
      <c r="C252" s="6" t="s">
        <v>134</v>
      </c>
      <c r="D252" s="6" t="s">
        <v>135</v>
      </c>
      <c r="E252" s="6" t="s">
        <v>136</v>
      </c>
      <c r="F252" s="7">
        <v>15082.64</v>
      </c>
      <c r="G252" s="7">
        <v>0</v>
      </c>
      <c r="H252" s="8">
        <v>0</v>
      </c>
      <c r="I252" s="8">
        <v>0</v>
      </c>
      <c r="J252" s="8">
        <v>0</v>
      </c>
      <c r="K252" s="8">
        <v>3167.36</v>
      </c>
      <c r="L252" s="8">
        <v>0</v>
      </c>
      <c r="M252" s="7">
        <v>0</v>
      </c>
      <c r="N252" s="7">
        <v>18250</v>
      </c>
    </row>
    <row r="253" spans="1:14" hidden="1">
      <c r="A253" s="4" t="s">
        <v>305</v>
      </c>
      <c r="B253" s="5" t="s">
        <v>314</v>
      </c>
      <c r="C253" s="6" t="s">
        <v>134</v>
      </c>
      <c r="D253" s="6" t="s">
        <v>135</v>
      </c>
      <c r="E253" s="6" t="s">
        <v>136</v>
      </c>
      <c r="F253" s="7">
        <v>4876.03</v>
      </c>
      <c r="G253" s="7">
        <v>0</v>
      </c>
      <c r="H253" s="8">
        <v>0</v>
      </c>
      <c r="I253" s="8">
        <v>0</v>
      </c>
      <c r="J253" s="8">
        <v>0</v>
      </c>
      <c r="K253" s="8">
        <v>1023.97</v>
      </c>
      <c r="L253" s="8">
        <v>0</v>
      </c>
      <c r="M253" s="7">
        <v>0</v>
      </c>
      <c r="N253" s="7">
        <v>5900</v>
      </c>
    </row>
    <row r="254" spans="1:14" hidden="1">
      <c r="A254" s="4" t="s">
        <v>305</v>
      </c>
      <c r="B254" s="5" t="s">
        <v>315</v>
      </c>
      <c r="C254" s="6" t="s">
        <v>134</v>
      </c>
      <c r="D254" s="6" t="s">
        <v>135</v>
      </c>
      <c r="E254" s="6" t="s">
        <v>136</v>
      </c>
      <c r="F254" s="7">
        <v>27272.73</v>
      </c>
      <c r="G254" s="7">
        <v>0</v>
      </c>
      <c r="H254" s="8">
        <v>0</v>
      </c>
      <c r="I254" s="8">
        <v>0</v>
      </c>
      <c r="J254" s="8">
        <v>0</v>
      </c>
      <c r="K254" s="8">
        <v>5727.27</v>
      </c>
      <c r="L254" s="8">
        <v>0</v>
      </c>
      <c r="M254" s="7">
        <v>0</v>
      </c>
      <c r="N254" s="7">
        <v>33000</v>
      </c>
    </row>
    <row r="255" spans="1:14" hidden="1">
      <c r="A255" s="4" t="s">
        <v>305</v>
      </c>
      <c r="B255" s="5" t="s">
        <v>316</v>
      </c>
      <c r="C255" s="6" t="s">
        <v>134</v>
      </c>
      <c r="D255" s="6" t="s">
        <v>135</v>
      </c>
      <c r="E255" s="6" t="s">
        <v>136</v>
      </c>
      <c r="F255" s="7">
        <v>9090.91</v>
      </c>
      <c r="G255" s="7">
        <v>0</v>
      </c>
      <c r="H255" s="8">
        <v>0</v>
      </c>
      <c r="I255" s="8">
        <v>0</v>
      </c>
      <c r="J255" s="8">
        <v>0</v>
      </c>
      <c r="K255" s="8">
        <v>1909.09</v>
      </c>
      <c r="L255" s="8">
        <v>0</v>
      </c>
      <c r="M255" s="7">
        <v>0</v>
      </c>
      <c r="N255" s="7">
        <v>11000</v>
      </c>
    </row>
    <row r="256" spans="1:14" hidden="1">
      <c r="A256" s="4" t="s">
        <v>305</v>
      </c>
      <c r="B256" s="5" t="s">
        <v>317</v>
      </c>
      <c r="C256" s="6" t="s">
        <v>134</v>
      </c>
      <c r="D256" s="6" t="s">
        <v>135</v>
      </c>
      <c r="E256" s="6" t="s">
        <v>136</v>
      </c>
      <c r="F256" s="7">
        <v>32231.4</v>
      </c>
      <c r="G256" s="7">
        <v>0</v>
      </c>
      <c r="H256" s="8">
        <v>0</v>
      </c>
      <c r="I256" s="8">
        <v>0</v>
      </c>
      <c r="J256" s="8">
        <v>0</v>
      </c>
      <c r="K256" s="8">
        <v>6768.6</v>
      </c>
      <c r="L256" s="8">
        <v>0</v>
      </c>
      <c r="M256" s="7">
        <v>0</v>
      </c>
      <c r="N256" s="7">
        <v>39000</v>
      </c>
    </row>
    <row r="257" spans="1:14" hidden="1">
      <c r="A257" s="4" t="s">
        <v>318</v>
      </c>
      <c r="B257" s="5" t="s">
        <v>319</v>
      </c>
      <c r="C257" s="6" t="s">
        <v>134</v>
      </c>
      <c r="D257" s="6" t="s">
        <v>135</v>
      </c>
      <c r="E257" s="6" t="s">
        <v>136</v>
      </c>
      <c r="F257" s="7">
        <v>8471.07</v>
      </c>
      <c r="G257" s="7">
        <v>0</v>
      </c>
      <c r="H257" s="8">
        <v>0</v>
      </c>
      <c r="I257" s="8">
        <v>0</v>
      </c>
      <c r="J257" s="8">
        <v>0</v>
      </c>
      <c r="K257" s="8">
        <v>1778.93</v>
      </c>
      <c r="L257" s="8">
        <v>0</v>
      </c>
      <c r="M257" s="7">
        <v>0</v>
      </c>
      <c r="N257" s="7">
        <v>10250</v>
      </c>
    </row>
    <row r="258" spans="1:14" hidden="1">
      <c r="A258" s="4" t="s">
        <v>318</v>
      </c>
      <c r="B258" s="5" t="s">
        <v>320</v>
      </c>
      <c r="C258" s="6" t="s">
        <v>134</v>
      </c>
      <c r="D258" s="6" t="s">
        <v>135</v>
      </c>
      <c r="E258" s="6" t="s">
        <v>136</v>
      </c>
      <c r="F258" s="7">
        <v>8471.07</v>
      </c>
      <c r="G258" s="7">
        <v>0</v>
      </c>
      <c r="H258" s="8">
        <v>0</v>
      </c>
      <c r="I258" s="8">
        <v>0</v>
      </c>
      <c r="J258" s="8">
        <v>0</v>
      </c>
      <c r="K258" s="8">
        <v>1778.93</v>
      </c>
      <c r="L258" s="8">
        <v>0</v>
      </c>
      <c r="M258" s="7">
        <v>0</v>
      </c>
      <c r="N258" s="7">
        <v>10250</v>
      </c>
    </row>
    <row r="259" spans="1:14" hidden="1">
      <c r="A259" s="4" t="s">
        <v>318</v>
      </c>
      <c r="B259" s="5" t="s">
        <v>321</v>
      </c>
      <c r="C259" s="6" t="s">
        <v>134</v>
      </c>
      <c r="D259" s="6" t="s">
        <v>135</v>
      </c>
      <c r="E259" s="6" t="s">
        <v>136</v>
      </c>
      <c r="F259" s="7">
        <v>27272.73</v>
      </c>
      <c r="G259" s="7">
        <v>0</v>
      </c>
      <c r="H259" s="8">
        <v>0</v>
      </c>
      <c r="I259" s="8">
        <v>0</v>
      </c>
      <c r="J259" s="8">
        <v>0</v>
      </c>
      <c r="K259" s="8">
        <v>5727.27</v>
      </c>
      <c r="L259" s="8">
        <v>0</v>
      </c>
      <c r="M259" s="7">
        <v>0</v>
      </c>
      <c r="N259" s="7">
        <v>33000</v>
      </c>
    </row>
    <row r="260" spans="1:14" hidden="1">
      <c r="A260" s="4" t="s">
        <v>318</v>
      </c>
      <c r="B260" s="5" t="s">
        <v>322</v>
      </c>
      <c r="C260" s="6" t="s">
        <v>134</v>
      </c>
      <c r="D260" s="6" t="s">
        <v>135</v>
      </c>
      <c r="E260" s="6" t="s">
        <v>136</v>
      </c>
      <c r="F260" s="7">
        <v>1239.67</v>
      </c>
      <c r="G260" s="7">
        <v>0</v>
      </c>
      <c r="H260" s="8">
        <v>0</v>
      </c>
      <c r="I260" s="8">
        <v>0</v>
      </c>
      <c r="J260" s="8">
        <v>0</v>
      </c>
      <c r="K260" s="8">
        <v>260.33</v>
      </c>
      <c r="L260" s="8">
        <v>0</v>
      </c>
      <c r="M260" s="7">
        <v>0</v>
      </c>
      <c r="N260" s="7">
        <v>1500</v>
      </c>
    </row>
    <row r="261" spans="1:14" hidden="1">
      <c r="A261" s="4" t="s">
        <v>318</v>
      </c>
      <c r="B261" s="5" t="s">
        <v>323</v>
      </c>
      <c r="C261" s="6" t="s">
        <v>134</v>
      </c>
      <c r="D261" s="6" t="s">
        <v>135</v>
      </c>
      <c r="E261" s="6" t="s">
        <v>136</v>
      </c>
      <c r="F261" s="7">
        <v>8471.07</v>
      </c>
      <c r="G261" s="7">
        <v>0</v>
      </c>
      <c r="H261" s="8">
        <v>0</v>
      </c>
      <c r="I261" s="8">
        <v>0</v>
      </c>
      <c r="J261" s="8">
        <v>0</v>
      </c>
      <c r="K261" s="8">
        <v>1778.93</v>
      </c>
      <c r="L261" s="8">
        <v>0</v>
      </c>
      <c r="M261" s="7">
        <v>0</v>
      </c>
      <c r="N261" s="7">
        <v>10250</v>
      </c>
    </row>
    <row r="262" spans="1:14" hidden="1">
      <c r="A262" s="4" t="s">
        <v>318</v>
      </c>
      <c r="B262" s="5" t="s">
        <v>324</v>
      </c>
      <c r="C262" s="6" t="s">
        <v>134</v>
      </c>
      <c r="D262" s="6" t="s">
        <v>135</v>
      </c>
      <c r="E262" s="6" t="s">
        <v>136</v>
      </c>
      <c r="F262" s="7">
        <v>16942.150000000001</v>
      </c>
      <c r="G262" s="7">
        <v>0</v>
      </c>
      <c r="H262" s="8">
        <v>0</v>
      </c>
      <c r="I262" s="8">
        <v>0</v>
      </c>
      <c r="J262" s="8">
        <v>0</v>
      </c>
      <c r="K262" s="8">
        <v>3557.85</v>
      </c>
      <c r="L262" s="8">
        <v>0</v>
      </c>
      <c r="M262" s="7">
        <v>0</v>
      </c>
      <c r="N262" s="7">
        <v>20500</v>
      </c>
    </row>
    <row r="263" spans="1:14">
      <c r="A263" s="4" t="s">
        <v>123</v>
      </c>
      <c r="B263" s="5" t="s">
        <v>325</v>
      </c>
      <c r="C263" s="6" t="s">
        <v>326</v>
      </c>
      <c r="D263" s="6" t="s">
        <v>135</v>
      </c>
      <c r="E263" s="6">
        <v>4534829</v>
      </c>
      <c r="F263" s="7">
        <v>119504.13</v>
      </c>
      <c r="G263" s="7">
        <v>0</v>
      </c>
      <c r="H263" s="8">
        <v>0</v>
      </c>
      <c r="I263" s="8">
        <v>0</v>
      </c>
      <c r="J263" s="8">
        <v>0</v>
      </c>
      <c r="K263" s="8">
        <v>25095.87</v>
      </c>
      <c r="L263" s="8">
        <v>0</v>
      </c>
      <c r="M263" s="7">
        <v>0</v>
      </c>
      <c r="N263" s="7">
        <v>144600</v>
      </c>
    </row>
    <row r="264" spans="1:14">
      <c r="A264" s="4" t="s">
        <v>123</v>
      </c>
      <c r="B264" s="5" t="s">
        <v>327</v>
      </c>
      <c r="C264" s="6" t="s">
        <v>328</v>
      </c>
      <c r="D264" s="6" t="s">
        <v>135</v>
      </c>
      <c r="E264" s="6">
        <v>28976071</v>
      </c>
      <c r="F264" s="7">
        <v>87272.73</v>
      </c>
      <c r="G264" s="7">
        <v>0</v>
      </c>
      <c r="H264" s="8">
        <v>0</v>
      </c>
      <c r="I264" s="8">
        <v>0</v>
      </c>
      <c r="J264" s="8">
        <v>0</v>
      </c>
      <c r="K264" s="8">
        <v>18327.27</v>
      </c>
      <c r="L264" s="8">
        <v>0</v>
      </c>
      <c r="M264" s="7">
        <v>0</v>
      </c>
      <c r="N264" s="7">
        <v>105600</v>
      </c>
    </row>
    <row r="265" spans="1:14">
      <c r="A265" s="4" t="s">
        <v>123</v>
      </c>
      <c r="B265" s="5" t="s">
        <v>329</v>
      </c>
      <c r="C265" s="6" t="s">
        <v>330</v>
      </c>
      <c r="D265" s="6" t="s">
        <v>135</v>
      </c>
      <c r="E265" s="6">
        <v>56437417</v>
      </c>
      <c r="F265" s="7">
        <v>30165.29</v>
      </c>
      <c r="G265" s="7">
        <v>0</v>
      </c>
      <c r="H265" s="8">
        <v>0</v>
      </c>
      <c r="I265" s="8">
        <v>0</v>
      </c>
      <c r="J265" s="8">
        <v>0</v>
      </c>
      <c r="K265" s="8">
        <v>6334.71</v>
      </c>
      <c r="L265" s="8">
        <v>0</v>
      </c>
      <c r="M265" s="7">
        <v>0</v>
      </c>
      <c r="N265" s="7">
        <v>36500</v>
      </c>
    </row>
    <row r="266" spans="1:14" hidden="1">
      <c r="A266" s="4" t="s">
        <v>123</v>
      </c>
      <c r="B266" s="5" t="s">
        <v>331</v>
      </c>
      <c r="C266" s="6" t="s">
        <v>134</v>
      </c>
      <c r="D266" s="6" t="s">
        <v>135</v>
      </c>
      <c r="E266" s="6" t="s">
        <v>136</v>
      </c>
      <c r="F266" s="7">
        <v>32438.02</v>
      </c>
      <c r="G266" s="7">
        <v>0</v>
      </c>
      <c r="H266" s="8">
        <v>0</v>
      </c>
      <c r="I266" s="8">
        <v>0</v>
      </c>
      <c r="J266" s="8">
        <v>0</v>
      </c>
      <c r="K266" s="8">
        <v>6811.98</v>
      </c>
      <c r="L266" s="8">
        <v>0</v>
      </c>
      <c r="M266" s="7">
        <v>0</v>
      </c>
      <c r="N266" s="7">
        <v>39250</v>
      </c>
    </row>
    <row r="267" spans="1:14" hidden="1">
      <c r="A267" s="4" t="s">
        <v>123</v>
      </c>
      <c r="B267" s="5" t="s">
        <v>332</v>
      </c>
      <c r="C267" s="6" t="s">
        <v>134</v>
      </c>
      <c r="D267" s="6" t="s">
        <v>135</v>
      </c>
      <c r="E267" s="6" t="s">
        <v>136</v>
      </c>
      <c r="F267" s="7">
        <v>18471.07</v>
      </c>
      <c r="G267" s="7">
        <v>0</v>
      </c>
      <c r="H267" s="8">
        <v>0</v>
      </c>
      <c r="I267" s="8">
        <v>0</v>
      </c>
      <c r="J267" s="8">
        <v>0</v>
      </c>
      <c r="K267" s="8">
        <v>3878.93</v>
      </c>
      <c r="L267" s="8">
        <v>0</v>
      </c>
      <c r="M267" s="7">
        <v>0</v>
      </c>
      <c r="N267" s="7">
        <v>22350</v>
      </c>
    </row>
    <row r="268" spans="1:14" hidden="1">
      <c r="A268" s="4" t="s">
        <v>123</v>
      </c>
      <c r="B268" s="5" t="s">
        <v>333</v>
      </c>
      <c r="C268" s="6" t="s">
        <v>134</v>
      </c>
      <c r="D268" s="6" t="s">
        <v>135</v>
      </c>
      <c r="E268" s="6" t="s">
        <v>136</v>
      </c>
      <c r="F268" s="7">
        <v>8471.07</v>
      </c>
      <c r="G268" s="7">
        <v>0</v>
      </c>
      <c r="H268" s="8">
        <v>0</v>
      </c>
      <c r="I268" s="8">
        <v>0</v>
      </c>
      <c r="J268" s="8">
        <v>0</v>
      </c>
      <c r="K268" s="8">
        <v>1778.93</v>
      </c>
      <c r="L268" s="8">
        <v>0</v>
      </c>
      <c r="M268" s="7">
        <v>0</v>
      </c>
      <c r="N268" s="7">
        <v>10250</v>
      </c>
    </row>
    <row r="269" spans="1:14" hidden="1">
      <c r="A269" s="4" t="s">
        <v>123</v>
      </c>
      <c r="B269" s="5" t="s">
        <v>334</v>
      </c>
      <c r="C269" s="6" t="s">
        <v>134</v>
      </c>
      <c r="D269" s="6" t="s">
        <v>135</v>
      </c>
      <c r="E269" s="6" t="s">
        <v>136</v>
      </c>
      <c r="F269" s="7">
        <v>8471.07</v>
      </c>
      <c r="G269" s="7">
        <v>0</v>
      </c>
      <c r="H269" s="8">
        <v>0</v>
      </c>
      <c r="I269" s="8">
        <v>0</v>
      </c>
      <c r="J269" s="8">
        <v>0</v>
      </c>
      <c r="K269" s="8">
        <v>1778.93</v>
      </c>
      <c r="L269" s="8">
        <v>0</v>
      </c>
      <c r="M269" s="7">
        <v>0</v>
      </c>
      <c r="N269" s="7">
        <v>10250</v>
      </c>
    </row>
    <row r="270" spans="1:14" hidden="1">
      <c r="A270" s="4" t="s">
        <v>123</v>
      </c>
      <c r="B270" s="5" t="s">
        <v>335</v>
      </c>
      <c r="C270" s="6" t="s">
        <v>134</v>
      </c>
      <c r="D270" s="6" t="s">
        <v>135</v>
      </c>
      <c r="E270" s="6" t="s">
        <v>136</v>
      </c>
      <c r="F270" s="7">
        <v>19008.260000000002</v>
      </c>
      <c r="G270" s="7">
        <v>0</v>
      </c>
      <c r="H270" s="8">
        <v>0</v>
      </c>
      <c r="I270" s="8">
        <v>0</v>
      </c>
      <c r="J270" s="8">
        <v>0</v>
      </c>
      <c r="K270" s="8">
        <v>3991.74</v>
      </c>
      <c r="L270" s="8">
        <v>0</v>
      </c>
      <c r="M270" s="7">
        <v>0</v>
      </c>
      <c r="N270" s="7">
        <v>23000</v>
      </c>
    </row>
    <row r="271" spans="1:14" hidden="1">
      <c r="A271" s="4" t="s">
        <v>123</v>
      </c>
      <c r="B271" s="5" t="s">
        <v>336</v>
      </c>
      <c r="C271" s="6" t="s">
        <v>134</v>
      </c>
      <c r="D271" s="6" t="s">
        <v>135</v>
      </c>
      <c r="E271" s="6" t="s">
        <v>136</v>
      </c>
      <c r="F271" s="7">
        <v>11735.54</v>
      </c>
      <c r="G271" s="7">
        <v>0</v>
      </c>
      <c r="H271" s="8">
        <v>0</v>
      </c>
      <c r="I271" s="8">
        <v>0</v>
      </c>
      <c r="J271" s="8">
        <v>0</v>
      </c>
      <c r="K271" s="8">
        <v>2464.46</v>
      </c>
      <c r="L271" s="8">
        <v>0</v>
      </c>
      <c r="M271" s="7">
        <v>0</v>
      </c>
      <c r="N271" s="7">
        <v>14200</v>
      </c>
    </row>
    <row r="272" spans="1:14" hidden="1">
      <c r="A272" s="4" t="s">
        <v>123</v>
      </c>
      <c r="B272" s="5" t="s">
        <v>337</v>
      </c>
      <c r="C272" s="6" t="s">
        <v>134</v>
      </c>
      <c r="D272" s="6" t="s">
        <v>135</v>
      </c>
      <c r="E272" s="6" t="s">
        <v>136</v>
      </c>
      <c r="F272" s="7">
        <v>21900.83</v>
      </c>
      <c r="G272" s="7">
        <v>0</v>
      </c>
      <c r="H272" s="8">
        <v>0</v>
      </c>
      <c r="I272" s="8">
        <v>0</v>
      </c>
      <c r="J272" s="8">
        <v>0</v>
      </c>
      <c r="K272" s="8">
        <v>4599.17</v>
      </c>
      <c r="L272" s="8">
        <v>0</v>
      </c>
      <c r="M272" s="7">
        <v>0</v>
      </c>
      <c r="N272" s="7">
        <v>26500</v>
      </c>
    </row>
    <row r="273" spans="1:14" hidden="1">
      <c r="A273" s="4" t="s">
        <v>123</v>
      </c>
      <c r="B273" s="5" t="s">
        <v>338</v>
      </c>
      <c r="C273" s="6" t="s">
        <v>134</v>
      </c>
      <c r="D273" s="6" t="s">
        <v>135</v>
      </c>
      <c r="E273" s="6" t="s">
        <v>136</v>
      </c>
      <c r="F273" s="7">
        <v>11900.83</v>
      </c>
      <c r="G273" s="7">
        <v>0</v>
      </c>
      <c r="H273" s="8">
        <v>0</v>
      </c>
      <c r="I273" s="8">
        <v>0</v>
      </c>
      <c r="J273" s="8">
        <v>0</v>
      </c>
      <c r="K273" s="8">
        <v>2499.17</v>
      </c>
      <c r="L273" s="8">
        <v>0</v>
      </c>
      <c r="M273" s="7">
        <v>0</v>
      </c>
      <c r="N273" s="7">
        <v>14400</v>
      </c>
    </row>
    <row r="274" spans="1:14">
      <c r="A274" s="4" t="s">
        <v>29</v>
      </c>
      <c r="B274" s="5" t="s">
        <v>339</v>
      </c>
      <c r="C274" s="6" t="s">
        <v>340</v>
      </c>
      <c r="D274" s="6" t="s">
        <v>135</v>
      </c>
      <c r="E274" s="6">
        <v>58440417</v>
      </c>
      <c r="F274" s="7">
        <v>305785.12</v>
      </c>
      <c r="G274" s="7">
        <v>0</v>
      </c>
      <c r="H274" s="8">
        <v>0</v>
      </c>
      <c r="I274" s="8">
        <v>0</v>
      </c>
      <c r="J274" s="8">
        <v>0</v>
      </c>
      <c r="K274" s="8">
        <v>64214.879999999997</v>
      </c>
      <c r="L274" s="8">
        <v>0</v>
      </c>
      <c r="M274" s="7">
        <v>0</v>
      </c>
      <c r="N274" s="7">
        <v>370000</v>
      </c>
    </row>
    <row r="275" spans="1:14">
      <c r="A275" s="4" t="s">
        <v>71</v>
      </c>
      <c r="B275" s="5" t="s">
        <v>341</v>
      </c>
      <c r="C275" s="6" t="s">
        <v>342</v>
      </c>
      <c r="D275" s="6" t="s">
        <v>343</v>
      </c>
      <c r="E275" s="6">
        <v>30590354798</v>
      </c>
      <c r="F275" s="7">
        <v>578324.03</v>
      </c>
      <c r="G275" s="7">
        <v>0</v>
      </c>
      <c r="H275" s="8">
        <v>0</v>
      </c>
      <c r="I275" s="8">
        <v>0</v>
      </c>
      <c r="J275" s="8">
        <v>0</v>
      </c>
      <c r="K275" s="8">
        <v>121448.05</v>
      </c>
      <c r="L275" s="8">
        <v>0</v>
      </c>
      <c r="M275" s="7">
        <v>0</v>
      </c>
      <c r="N275" s="7">
        <v>699772.08</v>
      </c>
    </row>
    <row r="276" spans="1:14">
      <c r="A276" s="4" t="s">
        <v>71</v>
      </c>
      <c r="B276" s="5" t="s">
        <v>344</v>
      </c>
      <c r="C276" s="6" t="s">
        <v>345</v>
      </c>
      <c r="D276" s="6" t="s">
        <v>343</v>
      </c>
      <c r="E276" s="6">
        <v>30658137642</v>
      </c>
      <c r="F276" s="7">
        <v>130000</v>
      </c>
      <c r="G276" s="7">
        <v>0</v>
      </c>
      <c r="H276" s="8">
        <v>0</v>
      </c>
      <c r="I276" s="8">
        <v>0</v>
      </c>
      <c r="J276" s="8">
        <v>0</v>
      </c>
      <c r="K276" s="8">
        <v>27300</v>
      </c>
      <c r="L276" s="8">
        <v>0</v>
      </c>
      <c r="M276" s="7">
        <v>0</v>
      </c>
      <c r="N276" s="7">
        <v>157300</v>
      </c>
    </row>
    <row r="277" spans="1:14">
      <c r="A277" s="4" t="s">
        <v>71</v>
      </c>
      <c r="B277" s="5" t="s">
        <v>346</v>
      </c>
      <c r="C277" s="6" t="s">
        <v>347</v>
      </c>
      <c r="D277" s="6" t="s">
        <v>343</v>
      </c>
      <c r="E277" s="6">
        <v>30571766287</v>
      </c>
      <c r="F277" s="7">
        <v>71652.89</v>
      </c>
      <c r="G277" s="7">
        <v>0</v>
      </c>
      <c r="H277" s="8">
        <v>0</v>
      </c>
      <c r="I277" s="8">
        <v>0</v>
      </c>
      <c r="J277" s="8">
        <v>0</v>
      </c>
      <c r="K277" s="8">
        <v>15047.11</v>
      </c>
      <c r="L277" s="8">
        <v>0</v>
      </c>
      <c r="M277" s="7">
        <v>0</v>
      </c>
      <c r="N277" s="7">
        <v>86700</v>
      </c>
    </row>
    <row r="278" spans="1:14">
      <c r="A278" s="4" t="s">
        <v>71</v>
      </c>
      <c r="B278" s="5" t="s">
        <v>348</v>
      </c>
      <c r="C278" s="6" t="s">
        <v>347</v>
      </c>
      <c r="D278" s="6" t="s">
        <v>343</v>
      </c>
      <c r="E278" s="6">
        <v>30571766287</v>
      </c>
      <c r="F278" s="7">
        <v>63272.73</v>
      </c>
      <c r="G278" s="7">
        <v>0</v>
      </c>
      <c r="H278" s="8">
        <v>0</v>
      </c>
      <c r="I278" s="8">
        <v>0</v>
      </c>
      <c r="J278" s="8">
        <v>0</v>
      </c>
      <c r="K278" s="8">
        <v>13287.27</v>
      </c>
      <c r="L278" s="8">
        <v>0</v>
      </c>
      <c r="M278" s="7">
        <v>0</v>
      </c>
      <c r="N278" s="7">
        <v>76560</v>
      </c>
    </row>
    <row r="279" spans="1:14">
      <c r="A279" s="4" t="s">
        <v>34</v>
      </c>
      <c r="B279" s="5" t="s">
        <v>349</v>
      </c>
      <c r="C279" s="6" t="s">
        <v>350</v>
      </c>
      <c r="D279" s="6" t="s">
        <v>135</v>
      </c>
      <c r="E279" s="6">
        <v>3192296</v>
      </c>
      <c r="F279" s="7">
        <v>5950.41</v>
      </c>
      <c r="G279" s="7">
        <v>0</v>
      </c>
      <c r="H279" s="8">
        <v>0</v>
      </c>
      <c r="I279" s="8">
        <v>0</v>
      </c>
      <c r="J279" s="8">
        <v>0</v>
      </c>
      <c r="K279" s="8">
        <v>1249.5899999999999</v>
      </c>
      <c r="L279" s="8">
        <v>0</v>
      </c>
      <c r="M279" s="7">
        <v>0</v>
      </c>
      <c r="N279" s="7">
        <v>7200</v>
      </c>
    </row>
    <row r="280" spans="1:14">
      <c r="A280" s="4" t="s">
        <v>34</v>
      </c>
      <c r="B280" s="5" t="s">
        <v>351</v>
      </c>
      <c r="C280" s="6" t="s">
        <v>352</v>
      </c>
      <c r="D280" s="6" t="s">
        <v>135</v>
      </c>
      <c r="E280" s="6">
        <v>13211322</v>
      </c>
      <c r="F280" s="7">
        <v>5206.6099999999997</v>
      </c>
      <c r="G280" s="7">
        <v>0</v>
      </c>
      <c r="H280" s="8">
        <v>0</v>
      </c>
      <c r="I280" s="8">
        <v>0</v>
      </c>
      <c r="J280" s="8">
        <v>0</v>
      </c>
      <c r="K280" s="8">
        <v>1093.3900000000001</v>
      </c>
      <c r="L280" s="8">
        <v>0</v>
      </c>
      <c r="M280" s="7">
        <v>0</v>
      </c>
      <c r="N280" s="7">
        <v>6300</v>
      </c>
    </row>
    <row r="281" spans="1:14">
      <c r="A281" s="4" t="s">
        <v>34</v>
      </c>
      <c r="B281" s="5" t="s">
        <v>353</v>
      </c>
      <c r="C281" s="6" t="s">
        <v>354</v>
      </c>
      <c r="D281" s="6" t="s">
        <v>135</v>
      </c>
      <c r="E281" s="6">
        <v>4648296</v>
      </c>
      <c r="F281" s="7">
        <v>8677.68</v>
      </c>
      <c r="G281" s="7">
        <v>0</v>
      </c>
      <c r="H281" s="8">
        <v>0</v>
      </c>
      <c r="I281" s="8">
        <v>0</v>
      </c>
      <c r="J281" s="8">
        <v>0</v>
      </c>
      <c r="K281" s="8">
        <v>1822.32</v>
      </c>
      <c r="L281" s="8">
        <v>0</v>
      </c>
      <c r="M281" s="7">
        <v>0</v>
      </c>
      <c r="N281" s="7">
        <v>10500</v>
      </c>
    </row>
    <row r="282" spans="1:14">
      <c r="A282" s="4" t="s">
        <v>34</v>
      </c>
      <c r="B282" s="5" t="s">
        <v>355</v>
      </c>
      <c r="C282" s="6" t="s">
        <v>356</v>
      </c>
      <c r="D282" s="6" t="s">
        <v>135</v>
      </c>
      <c r="E282" s="6">
        <v>21645724</v>
      </c>
      <c r="F282" s="7">
        <v>12396.69</v>
      </c>
      <c r="G282" s="7">
        <v>0</v>
      </c>
      <c r="H282" s="8">
        <v>0</v>
      </c>
      <c r="I282" s="8">
        <v>0</v>
      </c>
      <c r="J282" s="8">
        <v>0</v>
      </c>
      <c r="K282" s="8">
        <v>2603.31</v>
      </c>
      <c r="L282" s="8">
        <v>0</v>
      </c>
      <c r="M282" s="7">
        <v>0</v>
      </c>
      <c r="N282" s="7">
        <v>15000</v>
      </c>
    </row>
    <row r="283" spans="1:14">
      <c r="A283" s="4" t="s">
        <v>34</v>
      </c>
      <c r="B283" s="5" t="s">
        <v>357</v>
      </c>
      <c r="C283" s="6" t="s">
        <v>358</v>
      </c>
      <c r="D283" s="6" t="s">
        <v>135</v>
      </c>
      <c r="E283" s="6">
        <v>382591</v>
      </c>
      <c r="F283" s="7">
        <v>7685.95</v>
      </c>
      <c r="G283" s="7">
        <v>0</v>
      </c>
      <c r="H283" s="8">
        <v>0</v>
      </c>
      <c r="I283" s="8">
        <v>0</v>
      </c>
      <c r="J283" s="8">
        <v>0</v>
      </c>
      <c r="K283" s="8">
        <v>1614.05</v>
      </c>
      <c r="L283" s="8">
        <v>0</v>
      </c>
      <c r="M283" s="7">
        <v>0</v>
      </c>
      <c r="N283" s="7">
        <v>9300</v>
      </c>
    </row>
    <row r="284" spans="1:14">
      <c r="A284" s="4" t="s">
        <v>34</v>
      </c>
      <c r="B284" s="5" t="s">
        <v>359</v>
      </c>
      <c r="C284" s="6" t="s">
        <v>360</v>
      </c>
      <c r="D284" s="6" t="s">
        <v>135</v>
      </c>
      <c r="E284" s="6">
        <v>4186965</v>
      </c>
      <c r="F284" s="7">
        <v>27272.73</v>
      </c>
      <c r="G284" s="7">
        <v>0</v>
      </c>
      <c r="H284" s="8">
        <v>0</v>
      </c>
      <c r="I284" s="8">
        <v>0</v>
      </c>
      <c r="J284" s="8">
        <v>0</v>
      </c>
      <c r="K284" s="8">
        <v>5727.27</v>
      </c>
      <c r="L284" s="8">
        <v>0</v>
      </c>
      <c r="M284" s="7">
        <v>0</v>
      </c>
      <c r="N284" s="7">
        <v>33000</v>
      </c>
    </row>
    <row r="285" spans="1:14">
      <c r="A285" s="4" t="s">
        <v>34</v>
      </c>
      <c r="B285" s="5" t="s">
        <v>361</v>
      </c>
      <c r="C285" s="6" t="s">
        <v>362</v>
      </c>
      <c r="D285" s="6" t="s">
        <v>135</v>
      </c>
      <c r="E285" s="6">
        <v>21363216</v>
      </c>
      <c r="F285" s="7">
        <v>8264.4699999999993</v>
      </c>
      <c r="G285" s="7">
        <v>0</v>
      </c>
      <c r="H285" s="8">
        <v>0</v>
      </c>
      <c r="I285" s="8">
        <v>0</v>
      </c>
      <c r="J285" s="8">
        <v>0</v>
      </c>
      <c r="K285" s="8">
        <v>1735.53</v>
      </c>
      <c r="L285" s="8">
        <v>0</v>
      </c>
      <c r="M285" s="7">
        <v>0</v>
      </c>
      <c r="N285" s="7">
        <v>10000</v>
      </c>
    </row>
    <row r="286" spans="1:14">
      <c r="A286" s="4" t="s">
        <v>40</v>
      </c>
      <c r="B286" s="5" t="s">
        <v>363</v>
      </c>
      <c r="C286" s="6" t="s">
        <v>342</v>
      </c>
      <c r="D286" s="6" t="s">
        <v>343</v>
      </c>
      <c r="E286" s="6">
        <v>30590354798</v>
      </c>
      <c r="F286" s="7">
        <v>566942.15</v>
      </c>
      <c r="G286" s="7">
        <v>0</v>
      </c>
      <c r="H286" s="8">
        <v>0</v>
      </c>
      <c r="I286" s="8">
        <v>0</v>
      </c>
      <c r="J286" s="8">
        <v>0</v>
      </c>
      <c r="K286" s="8">
        <v>119057.85</v>
      </c>
      <c r="L286" s="8">
        <v>0</v>
      </c>
      <c r="M286" s="7">
        <v>0</v>
      </c>
      <c r="N286" s="7">
        <v>686000</v>
      </c>
    </row>
    <row r="287" spans="1:14">
      <c r="A287" s="4" t="s">
        <v>125</v>
      </c>
      <c r="B287" s="5" t="s">
        <v>364</v>
      </c>
      <c r="C287" s="6" t="s">
        <v>365</v>
      </c>
      <c r="D287" s="6" t="s">
        <v>135</v>
      </c>
      <c r="E287" s="6">
        <v>14547747</v>
      </c>
      <c r="F287" s="7">
        <v>9917.36</v>
      </c>
      <c r="G287" s="7">
        <v>0</v>
      </c>
      <c r="H287" s="8">
        <v>0</v>
      </c>
      <c r="I287" s="8">
        <v>0</v>
      </c>
      <c r="J287" s="8">
        <v>0</v>
      </c>
      <c r="K287" s="8">
        <v>2082.64</v>
      </c>
      <c r="L287" s="8">
        <v>0</v>
      </c>
      <c r="M287" s="7">
        <v>0</v>
      </c>
      <c r="N287" s="7">
        <v>12000</v>
      </c>
    </row>
    <row r="288" spans="1:14">
      <c r="A288" s="4" t="s">
        <v>125</v>
      </c>
      <c r="B288" s="5" t="s">
        <v>366</v>
      </c>
      <c r="C288" s="6" t="s">
        <v>367</v>
      </c>
      <c r="D288" s="6" t="s">
        <v>135</v>
      </c>
      <c r="E288" s="6">
        <v>93354584</v>
      </c>
      <c r="F288" s="7">
        <v>8264.4699999999993</v>
      </c>
      <c r="G288" s="7">
        <v>0</v>
      </c>
      <c r="H288" s="8">
        <v>0</v>
      </c>
      <c r="I288" s="8">
        <v>0</v>
      </c>
      <c r="J288" s="8">
        <v>0</v>
      </c>
      <c r="K288" s="8">
        <v>1735.53</v>
      </c>
      <c r="L288" s="8">
        <v>0</v>
      </c>
      <c r="M288" s="7">
        <v>0</v>
      </c>
      <c r="N288" s="7">
        <v>10000</v>
      </c>
    </row>
    <row r="289" spans="1:14">
      <c r="A289" s="4" t="s">
        <v>125</v>
      </c>
      <c r="B289" s="5" t="s">
        <v>368</v>
      </c>
      <c r="C289" s="6" t="s">
        <v>369</v>
      </c>
      <c r="D289" s="6" t="s">
        <v>135</v>
      </c>
      <c r="E289" s="6">
        <v>56980</v>
      </c>
      <c r="F289" s="7">
        <v>5785.12</v>
      </c>
      <c r="G289" s="7">
        <v>0</v>
      </c>
      <c r="H289" s="8">
        <v>0</v>
      </c>
      <c r="I289" s="8">
        <v>0</v>
      </c>
      <c r="J289" s="8">
        <v>0</v>
      </c>
      <c r="K289" s="8">
        <v>1214.8800000000001</v>
      </c>
      <c r="L289" s="8">
        <v>0</v>
      </c>
      <c r="M289" s="7">
        <v>0</v>
      </c>
      <c r="N289" s="7">
        <v>7000</v>
      </c>
    </row>
    <row r="290" spans="1:14">
      <c r="A290" s="4" t="s">
        <v>125</v>
      </c>
      <c r="B290" s="5" t="s">
        <v>370</v>
      </c>
      <c r="C290" s="6" t="s">
        <v>371</v>
      </c>
      <c r="D290" s="6" t="s">
        <v>135</v>
      </c>
      <c r="E290" s="6">
        <v>705467</v>
      </c>
      <c r="F290" s="7">
        <v>7024.79</v>
      </c>
      <c r="G290" s="7">
        <v>0</v>
      </c>
      <c r="H290" s="8">
        <v>0</v>
      </c>
      <c r="I290" s="8">
        <v>0</v>
      </c>
      <c r="J290" s="8">
        <v>0</v>
      </c>
      <c r="K290" s="8">
        <v>1475.21</v>
      </c>
      <c r="L290" s="8">
        <v>0</v>
      </c>
      <c r="M290" s="7">
        <v>0</v>
      </c>
      <c r="N290" s="7">
        <v>8500</v>
      </c>
    </row>
    <row r="291" spans="1:14">
      <c r="A291" s="4" t="s">
        <v>125</v>
      </c>
      <c r="B291" s="5" t="s">
        <v>372</v>
      </c>
      <c r="C291" s="6" t="s">
        <v>373</v>
      </c>
      <c r="D291" s="6" t="s">
        <v>343</v>
      </c>
      <c r="E291" s="6">
        <v>30707513094</v>
      </c>
      <c r="F291" s="7">
        <v>329338.85000000003</v>
      </c>
      <c r="G291" s="7">
        <v>0</v>
      </c>
      <c r="H291" s="8">
        <v>0</v>
      </c>
      <c r="I291" s="8">
        <v>0</v>
      </c>
      <c r="J291" s="8">
        <v>0</v>
      </c>
      <c r="K291" s="8">
        <v>69161.149999999994</v>
      </c>
      <c r="L291" s="8">
        <v>0</v>
      </c>
      <c r="M291" s="7">
        <v>0</v>
      </c>
      <c r="N291" s="7">
        <v>398500</v>
      </c>
    </row>
    <row r="292" spans="1:14">
      <c r="A292" s="4" t="s">
        <v>125</v>
      </c>
      <c r="B292" s="5" t="s">
        <v>374</v>
      </c>
      <c r="C292" s="6" t="s">
        <v>375</v>
      </c>
      <c r="D292" s="6" t="s">
        <v>135</v>
      </c>
      <c r="E292" s="6">
        <v>36622635</v>
      </c>
      <c r="F292" s="7">
        <v>20247.939999999999</v>
      </c>
      <c r="G292" s="7">
        <v>0</v>
      </c>
      <c r="H292" s="8">
        <v>0</v>
      </c>
      <c r="I292" s="8">
        <v>0</v>
      </c>
      <c r="J292" s="8">
        <v>0</v>
      </c>
      <c r="K292" s="8">
        <v>4252.0600000000004</v>
      </c>
      <c r="L292" s="8">
        <v>0</v>
      </c>
      <c r="M292" s="7">
        <v>0</v>
      </c>
      <c r="N292" s="7">
        <v>24500</v>
      </c>
    </row>
    <row r="293" spans="1:14">
      <c r="A293" s="4" t="s">
        <v>125</v>
      </c>
      <c r="B293" s="5" t="s">
        <v>376</v>
      </c>
      <c r="C293" s="6" t="s">
        <v>377</v>
      </c>
      <c r="D293" s="6" t="s">
        <v>135</v>
      </c>
      <c r="E293" s="6">
        <v>10138957</v>
      </c>
      <c r="F293" s="7">
        <v>7024.79</v>
      </c>
      <c r="G293" s="7">
        <v>0</v>
      </c>
      <c r="H293" s="8">
        <v>0</v>
      </c>
      <c r="I293" s="8">
        <v>0</v>
      </c>
      <c r="J293" s="8">
        <v>0</v>
      </c>
      <c r="K293" s="8">
        <v>1475.21</v>
      </c>
      <c r="L293" s="8">
        <v>0</v>
      </c>
      <c r="M293" s="7">
        <v>0</v>
      </c>
      <c r="N293" s="7">
        <v>8500</v>
      </c>
    </row>
    <row r="294" spans="1:14">
      <c r="A294" s="4" t="s">
        <v>125</v>
      </c>
      <c r="B294" s="5" t="s">
        <v>378</v>
      </c>
      <c r="C294" s="6" t="s">
        <v>379</v>
      </c>
      <c r="D294" s="6" t="s">
        <v>135</v>
      </c>
      <c r="E294" s="6">
        <v>20404430</v>
      </c>
      <c r="F294" s="7">
        <v>9917.36</v>
      </c>
      <c r="G294" s="7">
        <v>0</v>
      </c>
      <c r="H294" s="8">
        <v>0</v>
      </c>
      <c r="I294" s="8">
        <v>0</v>
      </c>
      <c r="J294" s="8">
        <v>0</v>
      </c>
      <c r="K294" s="8">
        <v>2082.64</v>
      </c>
      <c r="L294" s="8">
        <v>0</v>
      </c>
      <c r="M294" s="7">
        <v>0</v>
      </c>
      <c r="N294" s="7">
        <v>12000</v>
      </c>
    </row>
    <row r="295" spans="1:14">
      <c r="A295" s="4" t="s">
        <v>125</v>
      </c>
      <c r="B295" s="5" t="s">
        <v>380</v>
      </c>
      <c r="C295" s="6" t="s">
        <v>381</v>
      </c>
      <c r="D295" s="6" t="s">
        <v>135</v>
      </c>
      <c r="E295" s="6">
        <v>12791306</v>
      </c>
      <c r="F295" s="7">
        <v>11570.24</v>
      </c>
      <c r="G295" s="7">
        <v>0</v>
      </c>
      <c r="H295" s="8">
        <v>0</v>
      </c>
      <c r="I295" s="8">
        <v>0</v>
      </c>
      <c r="J295" s="8">
        <v>0</v>
      </c>
      <c r="K295" s="8">
        <v>2429.7600000000002</v>
      </c>
      <c r="L295" s="8">
        <v>0</v>
      </c>
      <c r="M295" s="7">
        <v>0</v>
      </c>
      <c r="N295" s="7">
        <v>14000</v>
      </c>
    </row>
    <row r="296" spans="1:14">
      <c r="A296" s="4" t="s">
        <v>125</v>
      </c>
      <c r="B296" s="5" t="s">
        <v>382</v>
      </c>
      <c r="C296" s="6" t="s">
        <v>358</v>
      </c>
      <c r="D296" s="6" t="s">
        <v>135</v>
      </c>
      <c r="E296" s="6">
        <v>382591</v>
      </c>
      <c r="F296" s="7">
        <v>7272.72</v>
      </c>
      <c r="G296" s="7">
        <v>0</v>
      </c>
      <c r="H296" s="8">
        <v>0</v>
      </c>
      <c r="I296" s="8">
        <v>0</v>
      </c>
      <c r="J296" s="8">
        <v>0</v>
      </c>
      <c r="K296" s="8">
        <v>1527.28</v>
      </c>
      <c r="L296" s="8">
        <v>0</v>
      </c>
      <c r="M296" s="7">
        <v>0</v>
      </c>
      <c r="N296" s="7">
        <v>8800</v>
      </c>
    </row>
    <row r="297" spans="1:14">
      <c r="A297" s="4" t="s">
        <v>125</v>
      </c>
      <c r="B297" s="5" t="s">
        <v>383</v>
      </c>
      <c r="C297" s="6" t="s">
        <v>384</v>
      </c>
      <c r="D297" s="6" t="s">
        <v>135</v>
      </c>
      <c r="E297" s="6">
        <v>8557300</v>
      </c>
      <c r="F297" s="7">
        <v>13223.14</v>
      </c>
      <c r="G297" s="7">
        <v>0</v>
      </c>
      <c r="H297" s="8">
        <v>0</v>
      </c>
      <c r="I297" s="8">
        <v>0</v>
      </c>
      <c r="J297" s="8">
        <v>0</v>
      </c>
      <c r="K297" s="8">
        <v>2776.86</v>
      </c>
      <c r="L297" s="8">
        <v>0</v>
      </c>
      <c r="M297" s="7">
        <v>0</v>
      </c>
      <c r="N297" s="7">
        <v>16000</v>
      </c>
    </row>
    <row r="298" spans="1:14">
      <c r="A298" s="4" t="s">
        <v>125</v>
      </c>
      <c r="B298" s="5" t="s">
        <v>385</v>
      </c>
      <c r="C298" s="6" t="s">
        <v>386</v>
      </c>
      <c r="D298" s="6" t="s">
        <v>343</v>
      </c>
      <c r="E298" s="6">
        <v>30685228501</v>
      </c>
      <c r="F298" s="7">
        <v>44628.1</v>
      </c>
      <c r="G298" s="7">
        <v>0</v>
      </c>
      <c r="H298" s="8">
        <v>0</v>
      </c>
      <c r="I298" s="8">
        <v>0</v>
      </c>
      <c r="J298" s="8">
        <v>0</v>
      </c>
      <c r="K298" s="8">
        <v>9371.9</v>
      </c>
      <c r="L298" s="8">
        <v>0</v>
      </c>
      <c r="M298" s="7">
        <v>0</v>
      </c>
      <c r="N298" s="7">
        <v>54000</v>
      </c>
    </row>
    <row r="299" spans="1:14">
      <c r="A299" s="4" t="s">
        <v>16</v>
      </c>
      <c r="B299" s="5" t="s">
        <v>387</v>
      </c>
      <c r="C299" s="6" t="s">
        <v>388</v>
      </c>
      <c r="D299" s="6" t="s">
        <v>135</v>
      </c>
      <c r="E299" s="6">
        <v>14123802</v>
      </c>
      <c r="F299" s="7">
        <v>19834.71</v>
      </c>
      <c r="G299" s="7">
        <v>0</v>
      </c>
      <c r="H299" s="8">
        <v>0</v>
      </c>
      <c r="I299" s="8">
        <v>0</v>
      </c>
      <c r="J299" s="8">
        <v>0</v>
      </c>
      <c r="K299" s="8">
        <v>4165.29</v>
      </c>
      <c r="L299" s="8">
        <v>0</v>
      </c>
      <c r="M299" s="7">
        <v>0</v>
      </c>
      <c r="N299" s="7">
        <v>24000</v>
      </c>
    </row>
    <row r="300" spans="1:14">
      <c r="A300" s="4" t="s">
        <v>16</v>
      </c>
      <c r="B300" s="5" t="s">
        <v>389</v>
      </c>
      <c r="C300" s="6" t="s">
        <v>390</v>
      </c>
      <c r="D300" s="6" t="s">
        <v>135</v>
      </c>
      <c r="E300" s="6">
        <v>29654556</v>
      </c>
      <c r="F300" s="7">
        <v>12809.92</v>
      </c>
      <c r="G300" s="7">
        <v>0</v>
      </c>
      <c r="H300" s="8">
        <v>0</v>
      </c>
      <c r="I300" s="8">
        <v>0</v>
      </c>
      <c r="J300" s="8">
        <v>0</v>
      </c>
      <c r="K300" s="8">
        <v>2690.08</v>
      </c>
      <c r="L300" s="8">
        <v>0</v>
      </c>
      <c r="M300" s="7">
        <v>0</v>
      </c>
      <c r="N300" s="7">
        <v>15500</v>
      </c>
    </row>
    <row r="301" spans="1:14">
      <c r="A301" s="4" t="s">
        <v>16</v>
      </c>
      <c r="B301" s="5" t="s">
        <v>391</v>
      </c>
      <c r="C301" s="6" t="s">
        <v>392</v>
      </c>
      <c r="D301" s="6" t="s">
        <v>135</v>
      </c>
      <c r="E301" s="6">
        <v>28692323</v>
      </c>
      <c r="F301" s="7">
        <v>21074.39</v>
      </c>
      <c r="G301" s="7">
        <v>0</v>
      </c>
      <c r="H301" s="8">
        <v>0</v>
      </c>
      <c r="I301" s="8">
        <v>0</v>
      </c>
      <c r="J301" s="8">
        <v>0</v>
      </c>
      <c r="K301" s="8">
        <v>4425.6099999999997</v>
      </c>
      <c r="L301" s="8">
        <v>0</v>
      </c>
      <c r="M301" s="7">
        <v>0</v>
      </c>
      <c r="N301" s="7">
        <v>25500</v>
      </c>
    </row>
    <row r="302" spans="1:14">
      <c r="A302" s="4" t="s">
        <v>16</v>
      </c>
      <c r="B302" s="5" t="s">
        <v>393</v>
      </c>
      <c r="C302" s="6" t="s">
        <v>394</v>
      </c>
      <c r="D302" s="6" t="s">
        <v>135</v>
      </c>
      <c r="E302" s="6">
        <v>37904748</v>
      </c>
      <c r="F302" s="7">
        <v>12809.92</v>
      </c>
      <c r="G302" s="7">
        <v>0</v>
      </c>
      <c r="H302" s="8">
        <v>0</v>
      </c>
      <c r="I302" s="8">
        <v>0</v>
      </c>
      <c r="J302" s="8">
        <v>0</v>
      </c>
      <c r="K302" s="8">
        <v>2690.08</v>
      </c>
      <c r="L302" s="8">
        <v>0</v>
      </c>
      <c r="M302" s="7">
        <v>0</v>
      </c>
      <c r="N302" s="7">
        <v>15500</v>
      </c>
    </row>
    <row r="303" spans="1:14">
      <c r="A303" s="4" t="s">
        <v>16</v>
      </c>
      <c r="B303" s="5" t="s">
        <v>395</v>
      </c>
      <c r="C303" s="6" t="s">
        <v>396</v>
      </c>
      <c r="D303" s="6" t="s">
        <v>135</v>
      </c>
      <c r="E303" s="6">
        <v>17275405</v>
      </c>
      <c r="F303" s="7">
        <v>18181.810000000001</v>
      </c>
      <c r="G303" s="7">
        <v>0</v>
      </c>
      <c r="H303" s="8">
        <v>0</v>
      </c>
      <c r="I303" s="8">
        <v>0</v>
      </c>
      <c r="J303" s="8">
        <v>0</v>
      </c>
      <c r="K303" s="8">
        <v>3818.19</v>
      </c>
      <c r="L303" s="8">
        <v>0</v>
      </c>
      <c r="M303" s="7">
        <v>0</v>
      </c>
      <c r="N303" s="7">
        <v>22000</v>
      </c>
    </row>
    <row r="304" spans="1:14">
      <c r="A304" s="4" t="s">
        <v>109</v>
      </c>
      <c r="B304" s="5" t="s">
        <v>397</v>
      </c>
      <c r="C304" s="6" t="s">
        <v>398</v>
      </c>
      <c r="D304" s="6" t="s">
        <v>135</v>
      </c>
      <c r="E304" s="6">
        <v>12453213</v>
      </c>
      <c r="F304" s="7">
        <v>12809.92</v>
      </c>
      <c r="G304" s="7">
        <v>0</v>
      </c>
      <c r="H304" s="8">
        <v>0</v>
      </c>
      <c r="I304" s="8">
        <v>0</v>
      </c>
      <c r="J304" s="8">
        <v>0</v>
      </c>
      <c r="K304" s="8">
        <v>2690.08</v>
      </c>
      <c r="L304" s="8">
        <v>0</v>
      </c>
      <c r="M304" s="7">
        <v>0</v>
      </c>
      <c r="N304" s="7">
        <v>15500</v>
      </c>
    </row>
    <row r="305" spans="1:14">
      <c r="A305" s="4" t="s">
        <v>109</v>
      </c>
      <c r="B305" s="5" t="s">
        <v>399</v>
      </c>
      <c r="C305" s="6" t="s">
        <v>400</v>
      </c>
      <c r="D305" s="6" t="s">
        <v>135</v>
      </c>
      <c r="E305" s="6">
        <v>643000</v>
      </c>
      <c r="F305" s="7">
        <v>1528.92</v>
      </c>
      <c r="G305" s="7">
        <v>0</v>
      </c>
      <c r="H305" s="8">
        <v>0</v>
      </c>
      <c r="I305" s="8">
        <v>0</v>
      </c>
      <c r="J305" s="8">
        <v>0</v>
      </c>
      <c r="K305" s="8">
        <v>321.08</v>
      </c>
      <c r="L305" s="8">
        <v>0</v>
      </c>
      <c r="M305" s="7">
        <v>0</v>
      </c>
      <c r="N305" s="7">
        <v>1850</v>
      </c>
    </row>
    <row r="306" spans="1:14">
      <c r="A306" s="4" t="s">
        <v>109</v>
      </c>
      <c r="B306" s="5" t="s">
        <v>401</v>
      </c>
      <c r="C306" s="6" t="s">
        <v>402</v>
      </c>
      <c r="D306" s="6" t="s">
        <v>135</v>
      </c>
      <c r="E306" s="6" t="s">
        <v>136</v>
      </c>
      <c r="F306" s="7">
        <v>16528.920000000002</v>
      </c>
      <c r="G306" s="7">
        <v>0</v>
      </c>
      <c r="H306" s="8">
        <v>0</v>
      </c>
      <c r="I306" s="8">
        <v>0</v>
      </c>
      <c r="J306" s="8">
        <v>0</v>
      </c>
      <c r="K306" s="8">
        <v>3471.08</v>
      </c>
      <c r="L306" s="8">
        <v>0</v>
      </c>
      <c r="M306" s="7">
        <v>0</v>
      </c>
      <c r="N306" s="7">
        <v>20000</v>
      </c>
    </row>
    <row r="307" spans="1:14">
      <c r="A307" s="4" t="s">
        <v>42</v>
      </c>
      <c r="B307" s="5" t="s">
        <v>403</v>
      </c>
      <c r="C307" s="6" t="s">
        <v>404</v>
      </c>
      <c r="D307" s="6" t="s">
        <v>135</v>
      </c>
      <c r="E307" s="6">
        <v>10373067</v>
      </c>
      <c r="F307" s="7">
        <v>27272.73</v>
      </c>
      <c r="G307" s="7">
        <v>0</v>
      </c>
      <c r="H307" s="8">
        <v>0</v>
      </c>
      <c r="I307" s="8">
        <v>0</v>
      </c>
      <c r="J307" s="8">
        <v>0</v>
      </c>
      <c r="K307" s="8">
        <v>5727.27</v>
      </c>
      <c r="L307" s="8">
        <v>0</v>
      </c>
      <c r="M307" s="7">
        <v>0</v>
      </c>
      <c r="N307" s="7">
        <v>33000</v>
      </c>
    </row>
    <row r="308" spans="1:14">
      <c r="A308" s="4" t="s">
        <v>42</v>
      </c>
      <c r="B308" s="5" t="s">
        <v>405</v>
      </c>
      <c r="C308" s="6" t="s">
        <v>406</v>
      </c>
      <c r="D308" s="6" t="s">
        <v>135</v>
      </c>
      <c r="E308" s="6">
        <v>27807195</v>
      </c>
      <c r="F308" s="7">
        <v>13223.15</v>
      </c>
      <c r="G308" s="7">
        <v>0</v>
      </c>
      <c r="H308" s="8">
        <v>0</v>
      </c>
      <c r="I308" s="8">
        <v>0</v>
      </c>
      <c r="J308" s="8">
        <v>0</v>
      </c>
      <c r="K308" s="8">
        <v>2776.85</v>
      </c>
      <c r="L308" s="8">
        <v>0</v>
      </c>
      <c r="M308" s="7">
        <v>0</v>
      </c>
      <c r="N308" s="7">
        <v>16000</v>
      </c>
    </row>
    <row r="309" spans="1:14">
      <c r="A309" s="4" t="s">
        <v>42</v>
      </c>
      <c r="B309" s="5" t="s">
        <v>407</v>
      </c>
      <c r="C309" s="6" t="s">
        <v>408</v>
      </c>
      <c r="D309" s="6" t="s">
        <v>135</v>
      </c>
      <c r="E309" s="6">
        <v>2719694</v>
      </c>
      <c r="F309" s="7">
        <v>2231.41</v>
      </c>
      <c r="G309" s="7">
        <v>0</v>
      </c>
      <c r="H309" s="8">
        <v>0</v>
      </c>
      <c r="I309" s="8">
        <v>0</v>
      </c>
      <c r="J309" s="8">
        <v>0</v>
      </c>
      <c r="K309" s="8">
        <v>468.59</v>
      </c>
      <c r="L309" s="8">
        <v>0</v>
      </c>
      <c r="M309" s="7">
        <v>0</v>
      </c>
      <c r="N309" s="7">
        <v>2700</v>
      </c>
    </row>
    <row r="310" spans="1:14">
      <c r="A310" s="4" t="s">
        <v>42</v>
      </c>
      <c r="B310" s="5" t="s">
        <v>409</v>
      </c>
      <c r="C310" s="6" t="s">
        <v>345</v>
      </c>
      <c r="D310" s="6" t="s">
        <v>343</v>
      </c>
      <c r="E310" s="6">
        <v>30658137642</v>
      </c>
      <c r="F310" s="7">
        <v>122314.05</v>
      </c>
      <c r="G310" s="7">
        <v>0</v>
      </c>
      <c r="H310" s="8">
        <v>0</v>
      </c>
      <c r="I310" s="8">
        <v>0</v>
      </c>
      <c r="J310" s="8">
        <v>0</v>
      </c>
      <c r="K310" s="8">
        <v>25685.95</v>
      </c>
      <c r="L310" s="8">
        <v>0</v>
      </c>
      <c r="M310" s="7">
        <v>0</v>
      </c>
      <c r="N310" s="7">
        <v>148000</v>
      </c>
    </row>
    <row r="311" spans="1:14">
      <c r="A311" s="4" t="s">
        <v>42</v>
      </c>
      <c r="B311" s="5" t="s">
        <v>410</v>
      </c>
      <c r="C311" s="6" t="s">
        <v>411</v>
      </c>
      <c r="D311" s="6" t="s">
        <v>135</v>
      </c>
      <c r="E311" s="6">
        <v>3213857</v>
      </c>
      <c r="F311" s="7">
        <v>5123.96</v>
      </c>
      <c r="G311" s="7">
        <v>0</v>
      </c>
      <c r="H311" s="8">
        <v>0</v>
      </c>
      <c r="I311" s="8">
        <v>0</v>
      </c>
      <c r="J311" s="8">
        <v>0</v>
      </c>
      <c r="K311" s="8">
        <v>1076.04</v>
      </c>
      <c r="L311" s="8">
        <v>0</v>
      </c>
      <c r="M311" s="7">
        <v>0</v>
      </c>
      <c r="N311" s="7">
        <v>6200</v>
      </c>
    </row>
    <row r="312" spans="1:14">
      <c r="A312" s="4" t="s">
        <v>42</v>
      </c>
      <c r="B312" s="5" t="s">
        <v>412</v>
      </c>
      <c r="C312" s="6" t="s">
        <v>413</v>
      </c>
      <c r="D312" s="6" t="s">
        <v>135</v>
      </c>
      <c r="E312" s="6">
        <v>11172213</v>
      </c>
      <c r="F312" s="7">
        <v>12809.92</v>
      </c>
      <c r="G312" s="7">
        <v>0</v>
      </c>
      <c r="H312" s="8">
        <v>0</v>
      </c>
      <c r="I312" s="8">
        <v>0</v>
      </c>
      <c r="J312" s="8">
        <v>0</v>
      </c>
      <c r="K312" s="8">
        <v>2690.08</v>
      </c>
      <c r="L312" s="8">
        <v>0</v>
      </c>
      <c r="M312" s="7">
        <v>0</v>
      </c>
      <c r="N312" s="7">
        <v>15500</v>
      </c>
    </row>
    <row r="313" spans="1:14">
      <c r="A313" s="4" t="s">
        <v>42</v>
      </c>
      <c r="B313" s="5" t="s">
        <v>414</v>
      </c>
      <c r="C313" s="6" t="s">
        <v>415</v>
      </c>
      <c r="D313" s="6" t="s">
        <v>135</v>
      </c>
      <c r="E313" s="6">
        <v>3292785</v>
      </c>
      <c r="F313" s="7">
        <v>1900.83</v>
      </c>
      <c r="G313" s="7">
        <v>0</v>
      </c>
      <c r="H313" s="8">
        <v>0</v>
      </c>
      <c r="I313" s="8">
        <v>0</v>
      </c>
      <c r="J313" s="8">
        <v>0</v>
      </c>
      <c r="K313" s="8">
        <v>399.17</v>
      </c>
      <c r="L313" s="8">
        <v>0</v>
      </c>
      <c r="M313" s="7">
        <v>0</v>
      </c>
      <c r="N313" s="7">
        <v>2300</v>
      </c>
    </row>
    <row r="314" spans="1:14">
      <c r="A314" s="4" t="s">
        <v>42</v>
      </c>
      <c r="B314" s="5" t="s">
        <v>416</v>
      </c>
      <c r="C314" s="6" t="s">
        <v>417</v>
      </c>
      <c r="D314" s="6" t="s">
        <v>135</v>
      </c>
      <c r="E314" s="6">
        <v>20008996</v>
      </c>
      <c r="F314" s="7">
        <v>13223.15</v>
      </c>
      <c r="G314" s="7">
        <v>0</v>
      </c>
      <c r="H314" s="8">
        <v>0</v>
      </c>
      <c r="I314" s="8">
        <v>0</v>
      </c>
      <c r="J314" s="8">
        <v>0</v>
      </c>
      <c r="K314" s="8">
        <v>2776.85</v>
      </c>
      <c r="L314" s="8">
        <v>0</v>
      </c>
      <c r="M314" s="7">
        <v>0</v>
      </c>
      <c r="N314" s="7">
        <v>16000</v>
      </c>
    </row>
    <row r="315" spans="1:14">
      <c r="A315" s="4" t="s">
        <v>42</v>
      </c>
      <c r="B315" s="5" t="s">
        <v>418</v>
      </c>
      <c r="C315" s="6" t="s">
        <v>419</v>
      </c>
      <c r="D315" s="6" t="s">
        <v>135</v>
      </c>
      <c r="E315" s="6">
        <v>3087423</v>
      </c>
      <c r="F315" s="7">
        <v>2231.41</v>
      </c>
      <c r="G315" s="7">
        <v>0</v>
      </c>
      <c r="H315" s="8">
        <v>0</v>
      </c>
      <c r="I315" s="8">
        <v>0</v>
      </c>
      <c r="J315" s="8">
        <v>0</v>
      </c>
      <c r="K315" s="8">
        <v>468.59</v>
      </c>
      <c r="L315" s="8">
        <v>0</v>
      </c>
      <c r="M315" s="7">
        <v>0</v>
      </c>
      <c r="N315" s="7">
        <v>2700</v>
      </c>
    </row>
    <row r="316" spans="1:14">
      <c r="A316" s="4" t="s">
        <v>42</v>
      </c>
      <c r="B316" s="5" t="s">
        <v>420</v>
      </c>
      <c r="C316" s="6" t="s">
        <v>421</v>
      </c>
      <c r="D316" s="6" t="s">
        <v>135</v>
      </c>
      <c r="E316" s="6">
        <v>17968654</v>
      </c>
      <c r="F316" s="7">
        <v>9917.36</v>
      </c>
      <c r="G316" s="7">
        <v>0</v>
      </c>
      <c r="H316" s="8">
        <v>0</v>
      </c>
      <c r="I316" s="8">
        <v>0</v>
      </c>
      <c r="J316" s="8">
        <v>0</v>
      </c>
      <c r="K316" s="8">
        <v>2082.64</v>
      </c>
      <c r="L316" s="8">
        <v>0</v>
      </c>
      <c r="M316" s="7">
        <v>0</v>
      </c>
      <c r="N316" s="7">
        <v>12000</v>
      </c>
    </row>
    <row r="317" spans="1:14">
      <c r="A317" s="4" t="s">
        <v>42</v>
      </c>
      <c r="B317" s="5" t="s">
        <v>422</v>
      </c>
      <c r="C317" s="6" t="s">
        <v>421</v>
      </c>
      <c r="D317" s="6" t="s">
        <v>135</v>
      </c>
      <c r="E317" s="6">
        <v>17968654</v>
      </c>
      <c r="F317" s="7">
        <v>49586.77</v>
      </c>
      <c r="G317" s="7">
        <v>0</v>
      </c>
      <c r="H317" s="8">
        <v>0</v>
      </c>
      <c r="I317" s="8">
        <v>0</v>
      </c>
      <c r="J317" s="8">
        <v>0</v>
      </c>
      <c r="K317" s="8">
        <v>10413.23</v>
      </c>
      <c r="L317" s="8">
        <v>0</v>
      </c>
      <c r="M317" s="7">
        <v>0</v>
      </c>
      <c r="N317" s="7">
        <v>60000</v>
      </c>
    </row>
    <row r="318" spans="1:14">
      <c r="A318" s="4" t="s">
        <v>118</v>
      </c>
      <c r="B318" s="5" t="s">
        <v>423</v>
      </c>
      <c r="C318" s="6" t="s">
        <v>424</v>
      </c>
      <c r="D318" s="6" t="s">
        <v>135</v>
      </c>
      <c r="E318" s="6">
        <v>12394145</v>
      </c>
      <c r="F318" s="7">
        <v>27272.73</v>
      </c>
      <c r="G318" s="7">
        <v>0</v>
      </c>
      <c r="H318" s="8">
        <v>0</v>
      </c>
      <c r="I318" s="8">
        <v>0</v>
      </c>
      <c r="J318" s="8">
        <v>0</v>
      </c>
      <c r="K318" s="8">
        <v>5727.27</v>
      </c>
      <c r="L318" s="8">
        <v>0</v>
      </c>
      <c r="M318" s="7">
        <v>0</v>
      </c>
      <c r="N318" s="7">
        <v>33000</v>
      </c>
    </row>
    <row r="319" spans="1:14">
      <c r="A319" s="4" t="s">
        <v>118</v>
      </c>
      <c r="B319" s="5" t="s">
        <v>425</v>
      </c>
      <c r="C319" s="6" t="s">
        <v>426</v>
      </c>
      <c r="D319" s="6" t="s">
        <v>135</v>
      </c>
      <c r="E319" s="6">
        <v>24699538</v>
      </c>
      <c r="F319" s="7">
        <v>9504.130000000001</v>
      </c>
      <c r="G319" s="7">
        <v>0</v>
      </c>
      <c r="H319" s="8">
        <v>0</v>
      </c>
      <c r="I319" s="8">
        <v>0</v>
      </c>
      <c r="J319" s="8">
        <v>0</v>
      </c>
      <c r="K319" s="8">
        <v>1995.87</v>
      </c>
      <c r="L319" s="8">
        <v>0</v>
      </c>
      <c r="M319" s="7">
        <v>0</v>
      </c>
      <c r="N319" s="7">
        <v>11500</v>
      </c>
    </row>
    <row r="320" spans="1:14">
      <c r="A320" s="4" t="s">
        <v>118</v>
      </c>
      <c r="B320" s="5" t="s">
        <v>427</v>
      </c>
      <c r="C320" s="6" t="s">
        <v>428</v>
      </c>
      <c r="D320" s="6" t="s">
        <v>135</v>
      </c>
      <c r="E320" s="6">
        <v>93332052</v>
      </c>
      <c r="F320" s="7">
        <v>3123.96</v>
      </c>
      <c r="G320" s="7">
        <v>0</v>
      </c>
      <c r="H320" s="8">
        <v>0</v>
      </c>
      <c r="I320" s="8">
        <v>0</v>
      </c>
      <c r="J320" s="8">
        <v>0</v>
      </c>
      <c r="K320" s="8">
        <v>656.04</v>
      </c>
      <c r="L320" s="8">
        <v>0</v>
      </c>
      <c r="M320" s="7">
        <v>0</v>
      </c>
      <c r="N320" s="7">
        <v>3780</v>
      </c>
    </row>
    <row r="321" spans="1:14">
      <c r="A321" s="4" t="s">
        <v>118</v>
      </c>
      <c r="B321" s="5" t="s">
        <v>429</v>
      </c>
      <c r="C321" s="6" t="s">
        <v>430</v>
      </c>
      <c r="D321" s="6" t="s">
        <v>135</v>
      </c>
      <c r="E321" s="6">
        <v>22608522</v>
      </c>
      <c r="F321" s="7">
        <v>8264.4699999999993</v>
      </c>
      <c r="G321" s="7">
        <v>0</v>
      </c>
      <c r="H321" s="8">
        <v>0</v>
      </c>
      <c r="I321" s="8">
        <v>0</v>
      </c>
      <c r="J321" s="8">
        <v>0</v>
      </c>
      <c r="K321" s="8">
        <v>1735.53</v>
      </c>
      <c r="L321" s="8">
        <v>0</v>
      </c>
      <c r="M321" s="7">
        <v>0</v>
      </c>
      <c r="N321" s="7">
        <v>10000</v>
      </c>
    </row>
    <row r="322" spans="1:14">
      <c r="A322" s="4" t="s">
        <v>118</v>
      </c>
      <c r="B322" s="5" t="s">
        <v>431</v>
      </c>
      <c r="C322" s="6" t="s">
        <v>432</v>
      </c>
      <c r="D322" s="6" t="s">
        <v>135</v>
      </c>
      <c r="E322" s="6">
        <v>17855620</v>
      </c>
      <c r="F322" s="7">
        <v>7851.24</v>
      </c>
      <c r="G322" s="7">
        <v>0</v>
      </c>
      <c r="H322" s="8">
        <v>0</v>
      </c>
      <c r="I322" s="8">
        <v>0</v>
      </c>
      <c r="J322" s="8">
        <v>0</v>
      </c>
      <c r="K322" s="8">
        <v>1648.76</v>
      </c>
      <c r="L322" s="8">
        <v>0</v>
      </c>
      <c r="M322" s="7">
        <v>0</v>
      </c>
      <c r="N322" s="7">
        <v>9500</v>
      </c>
    </row>
    <row r="323" spans="1:14">
      <c r="A323" s="4" t="s">
        <v>121</v>
      </c>
      <c r="B323" s="5" t="s">
        <v>433</v>
      </c>
      <c r="C323" s="6" t="s">
        <v>434</v>
      </c>
      <c r="D323" s="6" t="s">
        <v>135</v>
      </c>
      <c r="E323" s="6">
        <v>902191</v>
      </c>
      <c r="F323" s="7">
        <v>6198.34</v>
      </c>
      <c r="G323" s="7">
        <v>0</v>
      </c>
      <c r="H323" s="8">
        <v>0</v>
      </c>
      <c r="I323" s="8">
        <v>0</v>
      </c>
      <c r="J323" s="8">
        <v>0</v>
      </c>
      <c r="K323" s="8">
        <v>1301.6600000000001</v>
      </c>
      <c r="L323" s="8">
        <v>0</v>
      </c>
      <c r="M323" s="7">
        <v>0</v>
      </c>
      <c r="N323" s="7">
        <v>7500</v>
      </c>
    </row>
    <row r="324" spans="1:14">
      <c r="A324" s="4" t="s">
        <v>121</v>
      </c>
      <c r="B324" s="5" t="s">
        <v>435</v>
      </c>
      <c r="C324" s="6" t="s">
        <v>436</v>
      </c>
      <c r="D324" s="6" t="s">
        <v>135</v>
      </c>
      <c r="E324" s="6">
        <v>22990821</v>
      </c>
      <c r="F324" s="7">
        <v>9917.36</v>
      </c>
      <c r="G324" s="7">
        <v>0</v>
      </c>
      <c r="H324" s="8">
        <v>0</v>
      </c>
      <c r="I324" s="8">
        <v>0</v>
      </c>
      <c r="J324" s="8">
        <v>0</v>
      </c>
      <c r="K324" s="8">
        <v>2082.64</v>
      </c>
      <c r="L324" s="8">
        <v>0</v>
      </c>
      <c r="M324" s="7">
        <v>0</v>
      </c>
      <c r="N324" s="7">
        <v>12000</v>
      </c>
    </row>
    <row r="325" spans="1:14">
      <c r="A325" s="4" t="s">
        <v>121</v>
      </c>
      <c r="B325" s="5" t="s">
        <v>437</v>
      </c>
      <c r="C325" s="6" t="s">
        <v>438</v>
      </c>
      <c r="D325" s="6" t="s">
        <v>135</v>
      </c>
      <c r="E325" s="6">
        <v>93195134</v>
      </c>
      <c r="F325" s="7">
        <v>10471.07</v>
      </c>
      <c r="G325" s="7">
        <v>0</v>
      </c>
      <c r="H325" s="8">
        <v>0</v>
      </c>
      <c r="I325" s="8">
        <v>0</v>
      </c>
      <c r="J325" s="8">
        <v>0</v>
      </c>
      <c r="K325" s="8">
        <v>2198.9299999999998</v>
      </c>
      <c r="L325" s="8">
        <v>0</v>
      </c>
      <c r="M325" s="7">
        <v>0</v>
      </c>
      <c r="N325" s="7">
        <v>12670</v>
      </c>
    </row>
    <row r="326" spans="1:14">
      <c r="A326" s="4" t="s">
        <v>121</v>
      </c>
      <c r="B326" s="5" t="s">
        <v>439</v>
      </c>
      <c r="C326" s="6" t="s">
        <v>440</v>
      </c>
      <c r="D326" s="6" t="s">
        <v>135</v>
      </c>
      <c r="E326" s="6">
        <v>24448662</v>
      </c>
      <c r="F326" s="7">
        <v>8842.9699999999993</v>
      </c>
      <c r="G326" s="7">
        <v>0</v>
      </c>
      <c r="H326" s="8">
        <v>0</v>
      </c>
      <c r="I326" s="8">
        <v>0</v>
      </c>
      <c r="J326" s="8">
        <v>0</v>
      </c>
      <c r="K326" s="8">
        <v>1857.03</v>
      </c>
      <c r="L326" s="8">
        <v>0</v>
      </c>
      <c r="M326" s="7">
        <v>0</v>
      </c>
      <c r="N326" s="7">
        <v>10700</v>
      </c>
    </row>
    <row r="327" spans="1:14">
      <c r="A327" s="4" t="s">
        <v>121</v>
      </c>
      <c r="B327" s="5" t="s">
        <v>441</v>
      </c>
      <c r="C327" s="6" t="s">
        <v>388</v>
      </c>
      <c r="D327" s="6" t="s">
        <v>135</v>
      </c>
      <c r="E327" s="6">
        <v>14123802</v>
      </c>
      <c r="F327" s="7">
        <v>7851.24</v>
      </c>
      <c r="G327" s="7">
        <v>0</v>
      </c>
      <c r="H327" s="8">
        <v>0</v>
      </c>
      <c r="I327" s="8">
        <v>0</v>
      </c>
      <c r="J327" s="8">
        <v>0</v>
      </c>
      <c r="K327" s="8">
        <v>1648.76</v>
      </c>
      <c r="L327" s="8">
        <v>0</v>
      </c>
      <c r="M327" s="7">
        <v>0</v>
      </c>
      <c r="N327" s="7">
        <v>9500</v>
      </c>
    </row>
    <row r="328" spans="1:14">
      <c r="A328" s="4" t="s">
        <v>121</v>
      </c>
      <c r="B328" s="5" t="s">
        <v>442</v>
      </c>
      <c r="C328" s="6" t="s">
        <v>443</v>
      </c>
      <c r="D328" s="6" t="s">
        <v>135</v>
      </c>
      <c r="E328" s="6">
        <v>17976550</v>
      </c>
      <c r="F328" s="7">
        <v>17355.37</v>
      </c>
      <c r="G328" s="7">
        <v>0</v>
      </c>
      <c r="H328" s="8">
        <v>0</v>
      </c>
      <c r="I328" s="8">
        <v>0</v>
      </c>
      <c r="J328" s="8">
        <v>0</v>
      </c>
      <c r="K328" s="8">
        <v>3644.63</v>
      </c>
      <c r="L328" s="8">
        <v>0</v>
      </c>
      <c r="M328" s="7">
        <v>0</v>
      </c>
      <c r="N328" s="7">
        <v>21000</v>
      </c>
    </row>
    <row r="329" spans="1:14">
      <c r="A329" s="4" t="s">
        <v>121</v>
      </c>
      <c r="B329" s="5" t="s">
        <v>444</v>
      </c>
      <c r="C329" s="6" t="s">
        <v>445</v>
      </c>
      <c r="D329" s="6" t="s">
        <v>135</v>
      </c>
      <c r="E329" s="6">
        <v>25864351</v>
      </c>
      <c r="F329" s="7">
        <v>12809.92</v>
      </c>
      <c r="G329" s="7">
        <v>0</v>
      </c>
      <c r="H329" s="8">
        <v>0</v>
      </c>
      <c r="I329" s="8">
        <v>0</v>
      </c>
      <c r="J329" s="8">
        <v>0</v>
      </c>
      <c r="K329" s="8">
        <v>2690.08</v>
      </c>
      <c r="L329" s="8">
        <v>0</v>
      </c>
      <c r="M329" s="7">
        <v>0</v>
      </c>
      <c r="N329" s="7">
        <v>15500</v>
      </c>
    </row>
    <row r="330" spans="1:14">
      <c r="A330" s="4" t="s">
        <v>121</v>
      </c>
      <c r="B330" s="5" t="s">
        <v>446</v>
      </c>
      <c r="C330" s="6" t="s">
        <v>447</v>
      </c>
      <c r="D330" s="6" t="s">
        <v>135</v>
      </c>
      <c r="E330" s="6">
        <v>5607654</v>
      </c>
      <c r="F330" s="7">
        <v>13223.15</v>
      </c>
      <c r="G330" s="7">
        <v>0</v>
      </c>
      <c r="H330" s="8">
        <v>0</v>
      </c>
      <c r="I330" s="8">
        <v>0</v>
      </c>
      <c r="J330" s="8">
        <v>0</v>
      </c>
      <c r="K330" s="8">
        <v>2776.85</v>
      </c>
      <c r="L330" s="8">
        <v>0</v>
      </c>
      <c r="M330" s="7">
        <v>0</v>
      </c>
      <c r="N330" s="7">
        <v>16000</v>
      </c>
    </row>
    <row r="331" spans="1:14">
      <c r="A331" s="4" t="s">
        <v>121</v>
      </c>
      <c r="B331" s="5" t="s">
        <v>448</v>
      </c>
      <c r="C331" s="6" t="s">
        <v>449</v>
      </c>
      <c r="D331" s="6" t="s">
        <v>135</v>
      </c>
      <c r="E331" s="6">
        <v>4838627</v>
      </c>
      <c r="F331" s="7">
        <v>8016.53</v>
      </c>
      <c r="G331" s="7">
        <v>0</v>
      </c>
      <c r="H331" s="8">
        <v>0</v>
      </c>
      <c r="I331" s="8">
        <v>0</v>
      </c>
      <c r="J331" s="8">
        <v>0</v>
      </c>
      <c r="K331" s="8">
        <v>1683.47</v>
      </c>
      <c r="L331" s="8">
        <v>0</v>
      </c>
      <c r="M331" s="7">
        <v>0</v>
      </c>
      <c r="N331" s="7">
        <v>9700</v>
      </c>
    </row>
    <row r="332" spans="1:14">
      <c r="A332" s="4" t="s">
        <v>123</v>
      </c>
      <c r="B332" s="5" t="s">
        <v>450</v>
      </c>
      <c r="C332" s="6" t="s">
        <v>451</v>
      </c>
      <c r="D332" s="6" t="s">
        <v>135</v>
      </c>
      <c r="E332" s="6">
        <v>26542077</v>
      </c>
      <c r="F332" s="7">
        <v>25206.61</v>
      </c>
      <c r="G332" s="7">
        <v>0</v>
      </c>
      <c r="H332" s="8">
        <v>0</v>
      </c>
      <c r="I332" s="8">
        <v>0</v>
      </c>
      <c r="J332" s="8">
        <v>0</v>
      </c>
      <c r="K332" s="8">
        <v>5293.39</v>
      </c>
      <c r="L332" s="8">
        <v>0</v>
      </c>
      <c r="M332" s="7">
        <v>0</v>
      </c>
      <c r="N332" s="7">
        <v>30500</v>
      </c>
    </row>
    <row r="333" spans="1:14">
      <c r="A333" s="4" t="s">
        <v>123</v>
      </c>
      <c r="B333" s="5" t="s">
        <v>452</v>
      </c>
      <c r="C333" s="6" t="s">
        <v>453</v>
      </c>
      <c r="D333" s="6" t="s">
        <v>135</v>
      </c>
      <c r="E333" s="6">
        <v>5804480</v>
      </c>
      <c r="F333" s="7">
        <v>9917.36</v>
      </c>
      <c r="G333" s="7">
        <v>0</v>
      </c>
      <c r="H333" s="8">
        <v>0</v>
      </c>
      <c r="I333" s="8">
        <v>0</v>
      </c>
      <c r="J333" s="8">
        <v>0</v>
      </c>
      <c r="K333" s="8">
        <v>2082.64</v>
      </c>
      <c r="L333" s="8">
        <v>0</v>
      </c>
      <c r="M333" s="7">
        <v>0</v>
      </c>
      <c r="N333" s="7">
        <v>12000</v>
      </c>
    </row>
    <row r="334" spans="1:14">
      <c r="A334" s="4" t="s">
        <v>123</v>
      </c>
      <c r="B334" s="5" t="s">
        <v>454</v>
      </c>
      <c r="C334" s="6" t="s">
        <v>455</v>
      </c>
      <c r="D334" s="6" t="s">
        <v>135</v>
      </c>
      <c r="E334" s="6">
        <v>17814995</v>
      </c>
      <c r="F334" s="7">
        <v>10495.86</v>
      </c>
      <c r="G334" s="7">
        <v>0</v>
      </c>
      <c r="H334" s="8">
        <v>0</v>
      </c>
      <c r="I334" s="8">
        <v>0</v>
      </c>
      <c r="J334" s="8">
        <v>0</v>
      </c>
      <c r="K334" s="8">
        <v>2204.14</v>
      </c>
      <c r="L334" s="8">
        <v>0</v>
      </c>
      <c r="M334" s="7">
        <v>0</v>
      </c>
      <c r="N334" s="7">
        <v>12700</v>
      </c>
    </row>
    <row r="335" spans="1:14">
      <c r="A335" s="4" t="s">
        <v>123</v>
      </c>
      <c r="B335" s="5" t="s">
        <v>456</v>
      </c>
      <c r="C335" s="6" t="s">
        <v>457</v>
      </c>
      <c r="D335" s="6" t="s">
        <v>135</v>
      </c>
      <c r="E335" s="6">
        <v>20435515</v>
      </c>
      <c r="F335" s="7">
        <v>45454.54</v>
      </c>
      <c r="G335" s="7">
        <v>0</v>
      </c>
      <c r="H335" s="8">
        <v>0</v>
      </c>
      <c r="I335" s="8">
        <v>0</v>
      </c>
      <c r="J335" s="8">
        <v>0</v>
      </c>
      <c r="K335" s="8">
        <v>9545.4600000000009</v>
      </c>
      <c r="L335" s="8">
        <v>0</v>
      </c>
      <c r="M335" s="7">
        <v>0</v>
      </c>
      <c r="N335" s="7">
        <v>55000</v>
      </c>
    </row>
    <row r="336" spans="1:14">
      <c r="A336" s="4" t="s">
        <v>71</v>
      </c>
      <c r="B336" s="5" t="s">
        <v>458</v>
      </c>
      <c r="C336" s="6" t="s">
        <v>347</v>
      </c>
      <c r="D336" s="6" t="s">
        <v>343</v>
      </c>
      <c r="E336" s="6">
        <v>30571766287</v>
      </c>
      <c r="F336" s="7">
        <v>-71652.89</v>
      </c>
      <c r="G336" s="7">
        <v>0</v>
      </c>
      <c r="H336" s="8">
        <v>0</v>
      </c>
      <c r="I336" s="8">
        <v>0</v>
      </c>
      <c r="J336" s="8">
        <v>0</v>
      </c>
      <c r="K336" s="8">
        <v>-15047.11</v>
      </c>
      <c r="L336" s="8">
        <v>0</v>
      </c>
      <c r="M336" s="7">
        <v>0</v>
      </c>
      <c r="N336" s="7">
        <v>-86700</v>
      </c>
    </row>
    <row r="337" spans="5:14">
      <c r="E337" t="s">
        <v>459</v>
      </c>
      <c r="F337" s="9">
        <f>SUM(F86:F336)</f>
        <v>6341448.7800000012</v>
      </c>
      <c r="K337" s="9">
        <f>SUM(K86:K336)</f>
        <v>1331704.3000000003</v>
      </c>
      <c r="N337" s="9">
        <f>SUM(N86:N336)</f>
        <v>7673153.0800000001</v>
      </c>
    </row>
    <row r="340" spans="5:14">
      <c r="H340" s="11" t="s">
        <v>460</v>
      </c>
      <c r="I340" s="11" t="s">
        <v>463</v>
      </c>
      <c r="J340" s="10" t="s">
        <v>459</v>
      </c>
    </row>
    <row r="341" spans="5:14">
      <c r="G341" s="11" t="s">
        <v>461</v>
      </c>
      <c r="H341" s="15">
        <f>F83</f>
        <v>128854941.57000008</v>
      </c>
      <c r="I341" s="15">
        <f>K83</f>
        <v>27059537.70000001</v>
      </c>
      <c r="J341" s="15">
        <f>H341+I341</f>
        <v>155914479.2700001</v>
      </c>
    </row>
    <row r="342" spans="5:14">
      <c r="G342" s="12" t="s">
        <v>462</v>
      </c>
      <c r="H342" s="16">
        <f>F337</f>
        <v>6341448.7800000012</v>
      </c>
      <c r="I342" s="16">
        <f>K337</f>
        <v>1331704.3000000003</v>
      </c>
      <c r="J342" s="16">
        <f>I342+H342</f>
        <v>7673153.0800000019</v>
      </c>
    </row>
    <row r="343" spans="5:14">
      <c r="G343" s="14" t="s">
        <v>459</v>
      </c>
      <c r="H343" s="13">
        <f>H342+H341</f>
        <v>135196390.35000008</v>
      </c>
      <c r="I343" s="13">
        <f>I342+I341</f>
        <v>28391242.000000011</v>
      </c>
      <c r="J343" s="13">
        <f>J342+J341</f>
        <v>163587632.35000011</v>
      </c>
    </row>
  </sheetData>
  <autoFilter ref="A85:N337" xr:uid="{00000000-0001-0000-0000-000000000000}">
    <filterColumn colId="2">
      <filters blank="1">
        <filter val="ACUÑA MARISOL"/>
        <filter val="AGOSTINO MIRIAM"/>
        <filter val="ALEJANDRA SIFFREDI TORRES SANMARCO"/>
        <filter val="ANDREOTTI, CECILIA BEATRIZ"/>
        <filter val="ARANA, MARCELLA OFELIA"/>
        <filter val="Asociacion Mutual Sancor Salud"/>
        <filter val="BANAUDI MARÍA EMILIA"/>
        <filter val="BARRERA THIAGO"/>
        <filter val="BIANCHI TERESA GERMANA"/>
        <filter val="BUNCHICOFF, MARIA"/>
        <filter val="CAMPOBASSO, MARIANA LAURA"/>
        <filter val="CAMPOS, SUSANA ESTER"/>
        <filter val="CARUSO LUCIA"/>
        <filter val="CASTRO MATÍAS URIEL"/>
        <filter val="Chiari Maria Enriqueta del Socorro"/>
        <filter val="CORIGLIANO, LORENA ELISA"/>
        <filter val="CUDERO, SILVINA"/>
        <filter val="DASSIEU MARÍA ESTHER"/>
        <filter val="Desalvo Miguel Angel"/>
        <filter val="DIAZ MARTINA"/>
        <filter val="DURAND DE CEBALLOS ROSA N"/>
        <filter val="ENRIQUETA MARIA DEL SOCORRO MAJO"/>
        <filter val="ESCOT, ALICIA INES"/>
        <filter val="FERRAZIN, CAROLINA ELEONORA INES"/>
        <filter val="FIORI FRAVOLINI, HELENA"/>
        <filter val="GABRIELA VANINA GALLO"/>
        <filter val="Galeno A.R.T. S.A."/>
        <filter val="GODOY ROCÍO"/>
        <filter val="GUANZIROLI MERCEDES"/>
        <filter val="Herman Patricia"/>
        <filter val="HIDALGO OSCAR ATILIO"/>
        <filter val="HIGA MARCELA SANDRA"/>
        <filter val="Instituto Provincial De Salud De Salta  (Ips)"/>
        <filter val="IZZO, ADRIANA"/>
        <filter val="JUAN PABLO MINVIELLE"/>
        <filter val="KARIVALI DESPINA"/>
        <filter val="LOMBARDO DE GATTO, ISABEL ROSA"/>
        <filter val="LÓPEZ ISADORA"/>
        <filter val="MAJIC LAURA"/>
        <filter val="MARIA ELENA RODRIGUEZ"/>
        <filter val="MATSUO, MARGARITA NOEMI"/>
        <filter val="MAZÁS, NORBERTO EDUARDO"/>
        <filter val="MEZZINA LUCÍA"/>
        <filter val="MIGUEL, EDUARDO ADRIAN"/>
        <filter val="MINERVINI, MARIA DEL CARMEN LILIANA"/>
        <filter val="MONTI, MARIA PAULA"/>
        <filter val="Najus Anibal Ruben"/>
        <filter val="NÚÑEZ DÍAZ, MICAELA VICTORIA"/>
        <filter val="Obra Social De Los Trabajadores De La Industria Del Gas"/>
        <filter val="Obra Social Del Personal De La Industria Del Plastico"/>
        <filter val="PEDROZO, PAULA GABRIELA"/>
        <filter val="PINO, ANA PAULA"/>
        <filter val="RAQUEL DURAÑONA"/>
        <filter val="RECOUSO, ROBERTO"/>
        <filter val="REPETTO LYNCH, BENJAMIN MARIA"/>
        <filter val="Romero Leonardo Gabriel"/>
        <filter val="SAENZ, MAGDALENA."/>
        <filter val="SAGGESE, ENRIQUE LUIS"/>
        <filter val="SALLES, ANA MARIA"/>
        <filter val="SANZIO, INMACULADA CONCEPCION"/>
        <filter val="SARA STRASBERG"/>
        <filter val="SCHELGEL, LUIS ALBERTO"/>
        <filter val="SORIANO, EDGARDO TOMAS"/>
        <filter val="Suburu Monica"/>
        <filter val="TARANTO FACUNDO GABRIEL"/>
        <filter val="TRISTAN SARA ADELA"/>
        <filter val="VOLPI, ALBERTO JAVIER"/>
        <filter val="ZANOTTI, ANA LAUR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298"/>
  <sheetViews>
    <sheetView topLeftCell="A273" workbookViewId="0">
      <selection activeCell="A229" sqref="A229:F291"/>
    </sheetView>
  </sheetViews>
  <sheetFormatPr baseColWidth="10" defaultColWidth="11.5703125" defaultRowHeight="15"/>
  <cols>
    <col min="2" max="2" width="25" customWidth="1"/>
    <col min="4" max="4" width="16.7109375" customWidth="1"/>
    <col min="5" max="5" width="13.140625" customWidth="1"/>
    <col min="6" max="6" width="15.140625" customWidth="1"/>
    <col min="7" max="7" width="13.5703125" customWidth="1"/>
    <col min="10" max="10" width="13.7109375" customWidth="1"/>
    <col min="11" max="11" width="13" customWidth="1"/>
    <col min="12" max="12" width="13.7109375" bestFit="1" customWidth="1"/>
    <col min="13" max="13" width="11.85546875" customWidth="1"/>
    <col min="14" max="14" width="14.42578125" customWidth="1"/>
  </cols>
  <sheetData>
    <row r="2" spans="1:14" ht="18.75">
      <c r="A2" s="1" t="s">
        <v>464</v>
      </c>
      <c r="B2" s="1"/>
      <c r="C2" s="1"/>
      <c r="D2" s="1"/>
    </row>
    <row r="3" spans="1:14" ht="18.75">
      <c r="A3" s="2" t="s">
        <v>1</v>
      </c>
      <c r="B3" s="1"/>
      <c r="C3" s="1"/>
      <c r="D3" s="1"/>
      <c r="L3" s="17"/>
    </row>
    <row r="4" spans="1:14" s="33" customFormat="1" ht="18.75">
      <c r="A4" s="31"/>
      <c r="B4" s="32"/>
      <c r="C4" s="32"/>
      <c r="D4" s="32"/>
      <c r="L4" s="34"/>
    </row>
    <row r="5" spans="1:14">
      <c r="A5" s="35" t="s">
        <v>462</v>
      </c>
    </row>
    <row r="6" spans="1:14">
      <c r="A6" s="23" t="s">
        <v>2</v>
      </c>
      <c r="B6" s="24" t="s">
        <v>3</v>
      </c>
      <c r="C6" s="24" t="s">
        <v>4</v>
      </c>
      <c r="D6" s="24" t="s">
        <v>5</v>
      </c>
      <c r="E6" s="24" t="s">
        <v>6</v>
      </c>
      <c r="F6" s="24" t="s">
        <v>7</v>
      </c>
      <c r="G6" s="24" t="s">
        <v>8</v>
      </c>
      <c r="H6" s="24" t="s">
        <v>9</v>
      </c>
      <c r="I6" s="24" t="s">
        <v>10</v>
      </c>
      <c r="J6" s="24" t="s">
        <v>11</v>
      </c>
      <c r="K6" s="24" t="s">
        <v>12</v>
      </c>
      <c r="L6" s="24" t="s">
        <v>13</v>
      </c>
      <c r="M6" s="24" t="s">
        <v>14</v>
      </c>
      <c r="N6" s="25" t="s">
        <v>15</v>
      </c>
    </row>
    <row r="7" spans="1:14" hidden="1">
      <c r="A7" s="21" t="s">
        <v>465</v>
      </c>
      <c r="B7" s="5" t="s">
        <v>466</v>
      </c>
      <c r="C7" s="6" t="s">
        <v>134</v>
      </c>
      <c r="D7" s="6" t="s">
        <v>135</v>
      </c>
      <c r="E7" s="6" t="s">
        <v>136</v>
      </c>
      <c r="F7" s="18">
        <v>16942.150000000001</v>
      </c>
      <c r="G7" s="18">
        <v>0</v>
      </c>
      <c r="H7" s="6">
        <v>0</v>
      </c>
      <c r="I7" s="6">
        <v>0</v>
      </c>
      <c r="J7" s="6">
        <v>0</v>
      </c>
      <c r="K7" s="8">
        <v>3557.85</v>
      </c>
      <c r="L7" s="6">
        <v>0</v>
      </c>
      <c r="M7" s="18">
        <v>0</v>
      </c>
      <c r="N7" s="22">
        <v>20500</v>
      </c>
    </row>
    <row r="8" spans="1:14" hidden="1">
      <c r="A8" s="21" t="s">
        <v>465</v>
      </c>
      <c r="B8" s="5" t="s">
        <v>467</v>
      </c>
      <c r="C8" s="6" t="s">
        <v>134</v>
      </c>
      <c r="D8" s="6" t="s">
        <v>135</v>
      </c>
      <c r="E8" s="6" t="s">
        <v>136</v>
      </c>
      <c r="F8" s="18">
        <v>1239.67</v>
      </c>
      <c r="G8" s="18">
        <v>0</v>
      </c>
      <c r="H8" s="6">
        <v>0</v>
      </c>
      <c r="I8" s="6">
        <v>0</v>
      </c>
      <c r="J8" s="6">
        <v>0</v>
      </c>
      <c r="K8" s="8">
        <v>260.33</v>
      </c>
      <c r="L8" s="6">
        <v>0</v>
      </c>
      <c r="M8" s="18">
        <v>0</v>
      </c>
      <c r="N8" s="22">
        <v>1500</v>
      </c>
    </row>
    <row r="9" spans="1:14" hidden="1">
      <c r="A9" s="21" t="s">
        <v>465</v>
      </c>
      <c r="B9" s="5" t="s">
        <v>468</v>
      </c>
      <c r="C9" s="6" t="s">
        <v>134</v>
      </c>
      <c r="D9" s="6" t="s">
        <v>135</v>
      </c>
      <c r="E9" s="6" t="s">
        <v>136</v>
      </c>
      <c r="F9" s="18">
        <v>30165.29</v>
      </c>
      <c r="G9" s="18">
        <v>0</v>
      </c>
      <c r="H9" s="6">
        <v>0</v>
      </c>
      <c r="I9" s="6">
        <v>0</v>
      </c>
      <c r="J9" s="6">
        <v>0</v>
      </c>
      <c r="K9" s="8">
        <v>6334.71</v>
      </c>
      <c r="L9" s="6">
        <v>0</v>
      </c>
      <c r="M9" s="18">
        <v>0</v>
      </c>
      <c r="N9" s="22">
        <v>36500</v>
      </c>
    </row>
    <row r="10" spans="1:14" hidden="1">
      <c r="A10" s="21" t="s">
        <v>465</v>
      </c>
      <c r="B10" s="5" t="s">
        <v>469</v>
      </c>
      <c r="C10" s="6" t="s">
        <v>134</v>
      </c>
      <c r="D10" s="6" t="s">
        <v>135</v>
      </c>
      <c r="E10" s="6" t="s">
        <v>136</v>
      </c>
      <c r="F10" s="18">
        <v>29752.07</v>
      </c>
      <c r="G10" s="18">
        <v>0</v>
      </c>
      <c r="H10" s="6">
        <v>0</v>
      </c>
      <c r="I10" s="6">
        <v>0</v>
      </c>
      <c r="J10" s="6">
        <v>0</v>
      </c>
      <c r="K10" s="8">
        <v>6247.93</v>
      </c>
      <c r="L10" s="6">
        <v>0</v>
      </c>
      <c r="M10" s="18">
        <v>0</v>
      </c>
      <c r="N10" s="22">
        <v>36000</v>
      </c>
    </row>
    <row r="11" spans="1:14" hidden="1">
      <c r="A11" s="21" t="s">
        <v>465</v>
      </c>
      <c r="B11" s="5" t="s">
        <v>470</v>
      </c>
      <c r="C11" s="6" t="s">
        <v>134</v>
      </c>
      <c r="D11" s="6" t="s">
        <v>135</v>
      </c>
      <c r="E11" s="6" t="s">
        <v>136</v>
      </c>
      <c r="F11" s="18">
        <v>8471.07</v>
      </c>
      <c r="G11" s="18">
        <v>0</v>
      </c>
      <c r="H11" s="6">
        <v>0</v>
      </c>
      <c r="I11" s="6">
        <v>0</v>
      </c>
      <c r="J11" s="6">
        <v>0</v>
      </c>
      <c r="K11" s="8">
        <v>1778.93</v>
      </c>
      <c r="L11" s="6">
        <v>0</v>
      </c>
      <c r="M11" s="18">
        <v>0</v>
      </c>
      <c r="N11" s="22">
        <v>10250</v>
      </c>
    </row>
    <row r="12" spans="1:14">
      <c r="A12" s="21" t="s">
        <v>465</v>
      </c>
      <c r="B12" s="5" t="s">
        <v>471</v>
      </c>
      <c r="C12" s="6" t="s">
        <v>472</v>
      </c>
      <c r="D12" s="6" t="s">
        <v>135</v>
      </c>
      <c r="E12" s="6">
        <v>93415844</v>
      </c>
      <c r="F12" s="18">
        <v>29752.07</v>
      </c>
      <c r="G12" s="18">
        <v>0</v>
      </c>
      <c r="H12" s="6">
        <v>0</v>
      </c>
      <c r="I12" s="6">
        <v>0</v>
      </c>
      <c r="J12" s="6">
        <v>0</v>
      </c>
      <c r="K12" s="8">
        <v>6247.93</v>
      </c>
      <c r="L12" s="6">
        <v>0</v>
      </c>
      <c r="M12" s="18">
        <v>0</v>
      </c>
      <c r="N12" s="22">
        <v>36000</v>
      </c>
    </row>
    <row r="13" spans="1:14" hidden="1">
      <c r="A13" s="21" t="s">
        <v>465</v>
      </c>
      <c r="B13" s="5" t="s">
        <v>473</v>
      </c>
      <c r="C13" s="6" t="s">
        <v>134</v>
      </c>
      <c r="D13" s="6" t="s">
        <v>135</v>
      </c>
      <c r="E13" s="6" t="s">
        <v>136</v>
      </c>
      <c r="F13" s="18">
        <v>8471.07</v>
      </c>
      <c r="G13" s="18">
        <v>0</v>
      </c>
      <c r="H13" s="6">
        <v>0</v>
      </c>
      <c r="I13" s="6">
        <v>0</v>
      </c>
      <c r="J13" s="6">
        <v>0</v>
      </c>
      <c r="K13" s="8">
        <v>1778.93</v>
      </c>
      <c r="L13" s="6">
        <v>0</v>
      </c>
      <c r="M13" s="18">
        <v>0</v>
      </c>
      <c r="N13" s="22">
        <v>10250</v>
      </c>
    </row>
    <row r="14" spans="1:14" hidden="1">
      <c r="A14" s="21" t="s">
        <v>465</v>
      </c>
      <c r="B14" s="5" t="s">
        <v>474</v>
      </c>
      <c r="C14" s="6" t="s">
        <v>134</v>
      </c>
      <c r="D14" s="6" t="s">
        <v>135</v>
      </c>
      <c r="E14" s="6" t="s">
        <v>136</v>
      </c>
      <c r="F14" s="18">
        <v>16942.150000000001</v>
      </c>
      <c r="G14" s="18">
        <v>0</v>
      </c>
      <c r="H14" s="6">
        <v>0</v>
      </c>
      <c r="I14" s="6">
        <v>0</v>
      </c>
      <c r="J14" s="6">
        <v>0</v>
      </c>
      <c r="K14" s="8">
        <v>3557.85</v>
      </c>
      <c r="L14" s="6">
        <v>0</v>
      </c>
      <c r="M14" s="18">
        <v>0</v>
      </c>
      <c r="N14" s="22">
        <v>20500</v>
      </c>
    </row>
    <row r="15" spans="1:14" hidden="1">
      <c r="A15" s="21" t="s">
        <v>483</v>
      </c>
      <c r="B15" s="5" t="s">
        <v>484</v>
      </c>
      <c r="C15" s="6" t="s">
        <v>134</v>
      </c>
      <c r="D15" s="6" t="s">
        <v>135</v>
      </c>
      <c r="E15" s="6" t="s">
        <v>136</v>
      </c>
      <c r="F15" s="18">
        <v>16942.150000000001</v>
      </c>
      <c r="G15" s="18">
        <v>0</v>
      </c>
      <c r="H15" s="6">
        <v>0</v>
      </c>
      <c r="I15" s="6">
        <v>0</v>
      </c>
      <c r="J15" s="6">
        <v>0</v>
      </c>
      <c r="K15" s="8">
        <v>3557.85</v>
      </c>
      <c r="L15" s="6">
        <v>0</v>
      </c>
      <c r="M15" s="18">
        <v>0</v>
      </c>
      <c r="N15" s="22">
        <v>20500</v>
      </c>
    </row>
    <row r="16" spans="1:14" hidden="1">
      <c r="A16" s="21" t="s">
        <v>483</v>
      </c>
      <c r="B16" s="5" t="s">
        <v>485</v>
      </c>
      <c r="C16" s="6" t="s">
        <v>134</v>
      </c>
      <c r="D16" s="6" t="s">
        <v>135</v>
      </c>
      <c r="E16" s="6" t="s">
        <v>136</v>
      </c>
      <c r="F16" s="18">
        <v>16528.93</v>
      </c>
      <c r="G16" s="18">
        <v>0</v>
      </c>
      <c r="H16" s="6">
        <v>0</v>
      </c>
      <c r="I16" s="6">
        <v>0</v>
      </c>
      <c r="J16" s="6">
        <v>0</v>
      </c>
      <c r="K16" s="8">
        <v>3471.07</v>
      </c>
      <c r="L16" s="6">
        <v>0</v>
      </c>
      <c r="M16" s="18">
        <v>0</v>
      </c>
      <c r="N16" s="22">
        <v>20000</v>
      </c>
    </row>
    <row r="17" spans="1:14" hidden="1">
      <c r="A17" s="21" t="s">
        <v>483</v>
      </c>
      <c r="B17" s="5" t="s">
        <v>486</v>
      </c>
      <c r="C17" s="6" t="s">
        <v>134</v>
      </c>
      <c r="D17" s="6" t="s">
        <v>135</v>
      </c>
      <c r="E17" s="6" t="s">
        <v>136</v>
      </c>
      <c r="F17" s="18">
        <v>49586.78</v>
      </c>
      <c r="G17" s="18">
        <v>0</v>
      </c>
      <c r="H17" s="6">
        <v>0</v>
      </c>
      <c r="I17" s="6">
        <v>0</v>
      </c>
      <c r="J17" s="6">
        <v>0</v>
      </c>
      <c r="K17" s="8">
        <v>10413.219999999999</v>
      </c>
      <c r="L17" s="6">
        <v>0</v>
      </c>
      <c r="M17" s="18">
        <v>0</v>
      </c>
      <c r="N17" s="22">
        <v>60000</v>
      </c>
    </row>
    <row r="18" spans="1:14" hidden="1">
      <c r="A18" s="21" t="s">
        <v>483</v>
      </c>
      <c r="B18" s="5" t="s">
        <v>487</v>
      </c>
      <c r="C18" s="6" t="s">
        <v>134</v>
      </c>
      <c r="D18" s="6" t="s">
        <v>135</v>
      </c>
      <c r="E18" s="6" t="s">
        <v>136</v>
      </c>
      <c r="F18" s="18">
        <v>8471.07</v>
      </c>
      <c r="G18" s="18">
        <v>0</v>
      </c>
      <c r="H18" s="6">
        <v>0</v>
      </c>
      <c r="I18" s="6">
        <v>0</v>
      </c>
      <c r="J18" s="6">
        <v>0</v>
      </c>
      <c r="K18" s="8">
        <v>1778.93</v>
      </c>
      <c r="L18" s="6">
        <v>0</v>
      </c>
      <c r="M18" s="18">
        <v>0</v>
      </c>
      <c r="N18" s="22">
        <v>10250</v>
      </c>
    </row>
    <row r="19" spans="1:14" hidden="1">
      <c r="A19" s="21" t="s">
        <v>483</v>
      </c>
      <c r="B19" s="5" t="s">
        <v>488</v>
      </c>
      <c r="C19" s="6" t="s">
        <v>134</v>
      </c>
      <c r="D19" s="6" t="s">
        <v>135</v>
      </c>
      <c r="E19" s="6" t="s">
        <v>136</v>
      </c>
      <c r="F19" s="18">
        <v>33884.300000000003</v>
      </c>
      <c r="G19" s="18">
        <v>0</v>
      </c>
      <c r="H19" s="6">
        <v>0</v>
      </c>
      <c r="I19" s="6">
        <v>0</v>
      </c>
      <c r="J19" s="6">
        <v>0</v>
      </c>
      <c r="K19" s="8">
        <v>7115.7</v>
      </c>
      <c r="L19" s="6">
        <v>0</v>
      </c>
      <c r="M19" s="18">
        <v>0</v>
      </c>
      <c r="N19" s="22">
        <v>41000</v>
      </c>
    </row>
    <row r="20" spans="1:14" hidden="1">
      <c r="A20" s="21" t="s">
        <v>483</v>
      </c>
      <c r="B20" s="5" t="s">
        <v>489</v>
      </c>
      <c r="C20" s="6" t="s">
        <v>134</v>
      </c>
      <c r="D20" s="6" t="s">
        <v>135</v>
      </c>
      <c r="E20" s="6" t="s">
        <v>136</v>
      </c>
      <c r="F20" s="18">
        <v>43801.65</v>
      </c>
      <c r="G20" s="18">
        <v>0</v>
      </c>
      <c r="H20" s="6">
        <v>0</v>
      </c>
      <c r="I20" s="6">
        <v>0</v>
      </c>
      <c r="J20" s="6">
        <v>0</v>
      </c>
      <c r="K20" s="8">
        <v>9198.35</v>
      </c>
      <c r="L20" s="6">
        <v>0</v>
      </c>
      <c r="M20" s="18">
        <v>0</v>
      </c>
      <c r="N20" s="22">
        <v>53000</v>
      </c>
    </row>
    <row r="21" spans="1:14" hidden="1">
      <c r="A21" s="21" t="s">
        <v>483</v>
      </c>
      <c r="B21" s="5" t="s">
        <v>490</v>
      </c>
      <c r="C21" s="6" t="s">
        <v>134</v>
      </c>
      <c r="D21" s="6" t="s">
        <v>135</v>
      </c>
      <c r="E21" s="6" t="s">
        <v>136</v>
      </c>
      <c r="F21" s="18">
        <v>12975.21</v>
      </c>
      <c r="G21" s="18">
        <v>0</v>
      </c>
      <c r="H21" s="6">
        <v>0</v>
      </c>
      <c r="I21" s="6">
        <v>0</v>
      </c>
      <c r="J21" s="6">
        <v>0</v>
      </c>
      <c r="K21" s="8">
        <v>2724.79</v>
      </c>
      <c r="L21" s="6">
        <v>0</v>
      </c>
      <c r="M21" s="18">
        <v>0</v>
      </c>
      <c r="N21" s="22">
        <v>15700</v>
      </c>
    </row>
    <row r="22" spans="1:14" hidden="1">
      <c r="A22" s="21" t="s">
        <v>483</v>
      </c>
      <c r="B22" s="5" t="s">
        <v>491</v>
      </c>
      <c r="C22" s="6" t="s">
        <v>134</v>
      </c>
      <c r="D22" s="6" t="s">
        <v>135</v>
      </c>
      <c r="E22" s="6" t="s">
        <v>136</v>
      </c>
      <c r="F22" s="18">
        <v>12975.21</v>
      </c>
      <c r="G22" s="18">
        <v>0</v>
      </c>
      <c r="H22" s="6">
        <v>0</v>
      </c>
      <c r="I22" s="6">
        <v>0</v>
      </c>
      <c r="J22" s="6">
        <v>0</v>
      </c>
      <c r="K22" s="8">
        <v>2724.79</v>
      </c>
      <c r="L22" s="6">
        <v>0</v>
      </c>
      <c r="M22" s="18">
        <v>0</v>
      </c>
      <c r="N22" s="22">
        <v>15700</v>
      </c>
    </row>
    <row r="23" spans="1:14" hidden="1">
      <c r="A23" s="21" t="s">
        <v>483</v>
      </c>
      <c r="B23" s="5" t="s">
        <v>492</v>
      </c>
      <c r="C23" s="6" t="s">
        <v>134</v>
      </c>
      <c r="D23" s="6" t="s">
        <v>135</v>
      </c>
      <c r="E23" s="6" t="s">
        <v>136</v>
      </c>
      <c r="F23" s="18">
        <v>8471.07</v>
      </c>
      <c r="G23" s="18">
        <v>0</v>
      </c>
      <c r="H23" s="6">
        <v>0</v>
      </c>
      <c r="I23" s="6">
        <v>0</v>
      </c>
      <c r="J23" s="6">
        <v>0</v>
      </c>
      <c r="K23" s="8">
        <v>1778.93</v>
      </c>
      <c r="L23" s="6">
        <v>0</v>
      </c>
      <c r="M23" s="18">
        <v>0</v>
      </c>
      <c r="N23" s="22">
        <v>10250</v>
      </c>
    </row>
    <row r="24" spans="1:14" hidden="1">
      <c r="A24" s="21" t="s">
        <v>483</v>
      </c>
      <c r="B24" s="5" t="s">
        <v>493</v>
      </c>
      <c r="C24" s="6" t="s">
        <v>134</v>
      </c>
      <c r="D24" s="6" t="s">
        <v>135</v>
      </c>
      <c r="E24" s="6" t="s">
        <v>136</v>
      </c>
      <c r="F24" s="18">
        <v>16942.150000000001</v>
      </c>
      <c r="G24" s="18">
        <v>0</v>
      </c>
      <c r="H24" s="6">
        <v>0</v>
      </c>
      <c r="I24" s="6">
        <v>0</v>
      </c>
      <c r="J24" s="6">
        <v>0</v>
      </c>
      <c r="K24" s="8">
        <v>3557.85</v>
      </c>
      <c r="L24" s="6">
        <v>0</v>
      </c>
      <c r="M24" s="18">
        <v>0</v>
      </c>
      <c r="N24" s="22">
        <v>20500</v>
      </c>
    </row>
    <row r="25" spans="1:14" hidden="1">
      <c r="A25" s="21" t="s">
        <v>499</v>
      </c>
      <c r="B25" s="5" t="s">
        <v>500</v>
      </c>
      <c r="C25" s="6" t="s">
        <v>134</v>
      </c>
      <c r="D25" s="6" t="s">
        <v>135</v>
      </c>
      <c r="E25" s="6" t="s">
        <v>136</v>
      </c>
      <c r="F25" s="18">
        <v>18471.07</v>
      </c>
      <c r="G25" s="18">
        <v>0</v>
      </c>
      <c r="H25" s="6">
        <v>0</v>
      </c>
      <c r="I25" s="6">
        <v>0</v>
      </c>
      <c r="J25" s="6">
        <v>0</v>
      </c>
      <c r="K25" s="8">
        <v>3878.93</v>
      </c>
      <c r="L25" s="6">
        <v>0</v>
      </c>
      <c r="M25" s="18">
        <v>0</v>
      </c>
      <c r="N25" s="22">
        <v>22350</v>
      </c>
    </row>
    <row r="26" spans="1:14" hidden="1">
      <c r="A26" s="21" t="s">
        <v>499</v>
      </c>
      <c r="B26" s="5" t="s">
        <v>501</v>
      </c>
      <c r="C26" s="6" t="s">
        <v>134</v>
      </c>
      <c r="D26" s="6" t="s">
        <v>135</v>
      </c>
      <c r="E26" s="6" t="s">
        <v>136</v>
      </c>
      <c r="F26" s="18">
        <v>15289.26</v>
      </c>
      <c r="G26" s="18">
        <v>0</v>
      </c>
      <c r="H26" s="6">
        <v>0</v>
      </c>
      <c r="I26" s="6">
        <v>0</v>
      </c>
      <c r="J26" s="6">
        <v>0</v>
      </c>
      <c r="K26" s="8">
        <v>3210.74</v>
      </c>
      <c r="L26" s="6">
        <v>0</v>
      </c>
      <c r="M26" s="18">
        <v>0</v>
      </c>
      <c r="N26" s="22">
        <v>18500</v>
      </c>
    </row>
    <row r="27" spans="1:14" hidden="1">
      <c r="A27" s="21" t="s">
        <v>499</v>
      </c>
      <c r="B27" s="5" t="s">
        <v>502</v>
      </c>
      <c r="C27" s="6" t="s">
        <v>134</v>
      </c>
      <c r="D27" s="6" t="s">
        <v>135</v>
      </c>
      <c r="E27" s="6" t="s">
        <v>136</v>
      </c>
      <c r="F27" s="18">
        <v>9090.91</v>
      </c>
      <c r="G27" s="18">
        <v>0</v>
      </c>
      <c r="H27" s="6">
        <v>0</v>
      </c>
      <c r="I27" s="6">
        <v>0</v>
      </c>
      <c r="J27" s="6">
        <v>0</v>
      </c>
      <c r="K27" s="8">
        <v>1909.09</v>
      </c>
      <c r="L27" s="6">
        <v>0</v>
      </c>
      <c r="M27" s="18">
        <v>0</v>
      </c>
      <c r="N27" s="22">
        <v>11000</v>
      </c>
    </row>
    <row r="28" spans="1:14" hidden="1">
      <c r="A28" s="21" t="s">
        <v>499</v>
      </c>
      <c r="B28" s="5" t="s">
        <v>503</v>
      </c>
      <c r="C28" s="6" t="s">
        <v>134</v>
      </c>
      <c r="D28" s="6" t="s">
        <v>135</v>
      </c>
      <c r="E28" s="6" t="s">
        <v>136</v>
      </c>
      <c r="F28" s="18">
        <v>8471.07</v>
      </c>
      <c r="G28" s="18">
        <v>0</v>
      </c>
      <c r="H28" s="6">
        <v>0</v>
      </c>
      <c r="I28" s="6">
        <v>0</v>
      </c>
      <c r="J28" s="6">
        <v>0</v>
      </c>
      <c r="K28" s="8">
        <v>1778.93</v>
      </c>
      <c r="L28" s="6">
        <v>0</v>
      </c>
      <c r="M28" s="18">
        <v>0</v>
      </c>
      <c r="N28" s="22">
        <v>10250</v>
      </c>
    </row>
    <row r="29" spans="1:14" hidden="1">
      <c r="A29" s="21" t="s">
        <v>499</v>
      </c>
      <c r="B29" s="5" t="s">
        <v>504</v>
      </c>
      <c r="C29" s="6" t="s">
        <v>134</v>
      </c>
      <c r="D29" s="6" t="s">
        <v>135</v>
      </c>
      <c r="E29" s="6" t="s">
        <v>136</v>
      </c>
      <c r="F29" s="18">
        <v>20661.16</v>
      </c>
      <c r="G29" s="18">
        <v>0</v>
      </c>
      <c r="H29" s="6">
        <v>0</v>
      </c>
      <c r="I29" s="6">
        <v>0</v>
      </c>
      <c r="J29" s="6">
        <v>0</v>
      </c>
      <c r="K29" s="8">
        <v>4338.84</v>
      </c>
      <c r="L29" s="6">
        <v>0</v>
      </c>
      <c r="M29" s="18">
        <v>0</v>
      </c>
      <c r="N29" s="22">
        <v>25000</v>
      </c>
    </row>
    <row r="30" spans="1:14" hidden="1">
      <c r="A30" s="21" t="s">
        <v>499</v>
      </c>
      <c r="B30" s="5" t="s">
        <v>505</v>
      </c>
      <c r="C30" s="6" t="s">
        <v>134</v>
      </c>
      <c r="D30" s="6" t="s">
        <v>135</v>
      </c>
      <c r="E30" s="6" t="s">
        <v>136</v>
      </c>
      <c r="F30" s="18">
        <v>8471.07</v>
      </c>
      <c r="G30" s="18">
        <v>0</v>
      </c>
      <c r="H30" s="6">
        <v>0</v>
      </c>
      <c r="I30" s="6">
        <v>0</v>
      </c>
      <c r="J30" s="6">
        <v>0</v>
      </c>
      <c r="K30" s="8">
        <v>1778.93</v>
      </c>
      <c r="L30" s="6">
        <v>0</v>
      </c>
      <c r="M30" s="18">
        <v>0</v>
      </c>
      <c r="N30" s="22">
        <v>10250</v>
      </c>
    </row>
    <row r="31" spans="1:14" hidden="1">
      <c r="A31" s="21" t="s">
        <v>499</v>
      </c>
      <c r="B31" s="5" t="s">
        <v>506</v>
      </c>
      <c r="C31" s="6" t="s">
        <v>134</v>
      </c>
      <c r="D31" s="6" t="s">
        <v>135</v>
      </c>
      <c r="E31" s="6" t="s">
        <v>136</v>
      </c>
      <c r="F31" s="18">
        <v>30165.29</v>
      </c>
      <c r="G31" s="18">
        <v>0</v>
      </c>
      <c r="H31" s="6">
        <v>0</v>
      </c>
      <c r="I31" s="6">
        <v>0</v>
      </c>
      <c r="J31" s="6">
        <v>0</v>
      </c>
      <c r="K31" s="8">
        <v>6334.71</v>
      </c>
      <c r="L31" s="6">
        <v>0</v>
      </c>
      <c r="M31" s="18">
        <v>0</v>
      </c>
      <c r="N31" s="22">
        <v>36500</v>
      </c>
    </row>
    <row r="32" spans="1:14" hidden="1">
      <c r="A32" s="21" t="s">
        <v>510</v>
      </c>
      <c r="B32" s="5" t="s">
        <v>511</v>
      </c>
      <c r="C32" s="6" t="s">
        <v>134</v>
      </c>
      <c r="D32" s="6" t="s">
        <v>135</v>
      </c>
      <c r="E32" s="6" t="s">
        <v>136</v>
      </c>
      <c r="F32" s="18">
        <v>8471.07</v>
      </c>
      <c r="G32" s="18">
        <v>0</v>
      </c>
      <c r="H32" s="6">
        <v>0</v>
      </c>
      <c r="I32" s="6">
        <v>0</v>
      </c>
      <c r="J32" s="6">
        <v>0</v>
      </c>
      <c r="K32" s="8">
        <v>1778.93</v>
      </c>
      <c r="L32" s="6">
        <v>0</v>
      </c>
      <c r="M32" s="18">
        <v>0</v>
      </c>
      <c r="N32" s="22">
        <v>10250</v>
      </c>
    </row>
    <row r="33" spans="1:14" hidden="1">
      <c r="A33" s="21" t="s">
        <v>510</v>
      </c>
      <c r="B33" s="5" t="s">
        <v>512</v>
      </c>
      <c r="C33" s="6" t="s">
        <v>134</v>
      </c>
      <c r="D33" s="6" t="s">
        <v>135</v>
      </c>
      <c r="E33" s="6" t="s">
        <v>136</v>
      </c>
      <c r="F33" s="18">
        <v>11404.96</v>
      </c>
      <c r="G33" s="18">
        <v>0</v>
      </c>
      <c r="H33" s="6">
        <v>0</v>
      </c>
      <c r="I33" s="6">
        <v>0</v>
      </c>
      <c r="J33" s="6">
        <v>0</v>
      </c>
      <c r="K33" s="8">
        <v>2395.04</v>
      </c>
      <c r="L33" s="6">
        <v>0</v>
      </c>
      <c r="M33" s="18">
        <v>0</v>
      </c>
      <c r="N33" s="22">
        <v>13800</v>
      </c>
    </row>
    <row r="34" spans="1:14">
      <c r="A34" s="21" t="s">
        <v>510</v>
      </c>
      <c r="B34" s="5" t="s">
        <v>513</v>
      </c>
      <c r="C34" s="6" t="s">
        <v>514</v>
      </c>
      <c r="D34" s="6" t="s">
        <v>135</v>
      </c>
      <c r="E34" s="6">
        <v>50232173</v>
      </c>
      <c r="F34" s="18">
        <v>30165.29</v>
      </c>
      <c r="G34" s="18">
        <v>0</v>
      </c>
      <c r="H34" s="6">
        <v>0</v>
      </c>
      <c r="I34" s="6">
        <v>0</v>
      </c>
      <c r="J34" s="6">
        <v>0</v>
      </c>
      <c r="K34" s="8">
        <v>6334.71</v>
      </c>
      <c r="L34" s="6">
        <v>0</v>
      </c>
      <c r="M34" s="18">
        <v>0</v>
      </c>
      <c r="N34" s="22">
        <v>36500</v>
      </c>
    </row>
    <row r="35" spans="1:14" hidden="1">
      <c r="A35" s="21" t="s">
        <v>510</v>
      </c>
      <c r="B35" s="5" t="s">
        <v>515</v>
      </c>
      <c r="C35" s="6" t="s">
        <v>134</v>
      </c>
      <c r="D35" s="6" t="s">
        <v>135</v>
      </c>
      <c r="E35" s="6" t="s">
        <v>136</v>
      </c>
      <c r="F35" s="18">
        <v>23553.72</v>
      </c>
      <c r="G35" s="18">
        <v>0</v>
      </c>
      <c r="H35" s="6">
        <v>0</v>
      </c>
      <c r="I35" s="6">
        <v>0</v>
      </c>
      <c r="J35" s="6">
        <v>0</v>
      </c>
      <c r="K35" s="8">
        <v>4946.28</v>
      </c>
      <c r="L35" s="6">
        <v>0</v>
      </c>
      <c r="M35" s="18">
        <v>0</v>
      </c>
      <c r="N35" s="22">
        <v>28500</v>
      </c>
    </row>
    <row r="36" spans="1:14" hidden="1">
      <c r="A36" s="21" t="s">
        <v>532</v>
      </c>
      <c r="B36" s="5" t="s">
        <v>533</v>
      </c>
      <c r="C36" s="6" t="s">
        <v>134</v>
      </c>
      <c r="D36" s="6" t="s">
        <v>135</v>
      </c>
      <c r="E36" s="6" t="s">
        <v>136</v>
      </c>
      <c r="F36" s="18">
        <v>16942.150000000001</v>
      </c>
      <c r="G36" s="18">
        <v>0</v>
      </c>
      <c r="H36" s="6">
        <v>0</v>
      </c>
      <c r="I36" s="6">
        <v>0</v>
      </c>
      <c r="J36" s="6">
        <v>0</v>
      </c>
      <c r="K36" s="8">
        <v>3557.85</v>
      </c>
      <c r="L36" s="6">
        <v>0</v>
      </c>
      <c r="M36" s="18">
        <v>0</v>
      </c>
      <c r="N36" s="22">
        <v>20500</v>
      </c>
    </row>
    <row r="37" spans="1:14" hidden="1">
      <c r="A37" s="21" t="s">
        <v>532</v>
      </c>
      <c r="B37" s="5" t="s">
        <v>534</v>
      </c>
      <c r="C37" s="6" t="s">
        <v>134</v>
      </c>
      <c r="D37" s="6" t="s">
        <v>135</v>
      </c>
      <c r="E37" s="6" t="s">
        <v>136</v>
      </c>
      <c r="F37" s="18">
        <v>23966.94</v>
      </c>
      <c r="G37" s="18">
        <v>0</v>
      </c>
      <c r="H37" s="6">
        <v>0</v>
      </c>
      <c r="I37" s="6">
        <v>0</v>
      </c>
      <c r="J37" s="6">
        <v>0</v>
      </c>
      <c r="K37" s="8">
        <v>5033.0600000000004</v>
      </c>
      <c r="L37" s="6">
        <v>0</v>
      </c>
      <c r="M37" s="18">
        <v>0</v>
      </c>
      <c r="N37" s="22">
        <v>29000</v>
      </c>
    </row>
    <row r="38" spans="1:14" hidden="1">
      <c r="A38" s="21" t="s">
        <v>532</v>
      </c>
      <c r="B38" s="5" t="s">
        <v>535</v>
      </c>
      <c r="C38" s="6" t="s">
        <v>134</v>
      </c>
      <c r="D38" s="6" t="s">
        <v>135</v>
      </c>
      <c r="E38" s="6" t="s">
        <v>136</v>
      </c>
      <c r="F38" s="18">
        <v>16942.150000000001</v>
      </c>
      <c r="G38" s="18">
        <v>0</v>
      </c>
      <c r="H38" s="6">
        <v>0</v>
      </c>
      <c r="I38" s="6">
        <v>0</v>
      </c>
      <c r="J38" s="6">
        <v>0</v>
      </c>
      <c r="K38" s="8">
        <v>3557.85</v>
      </c>
      <c r="L38" s="6">
        <v>0</v>
      </c>
      <c r="M38" s="18">
        <v>0</v>
      </c>
      <c r="N38" s="22">
        <v>20500</v>
      </c>
    </row>
    <row r="39" spans="1:14" hidden="1">
      <c r="A39" s="21" t="s">
        <v>532</v>
      </c>
      <c r="B39" s="5" t="s">
        <v>536</v>
      </c>
      <c r="C39" s="6" t="s">
        <v>134</v>
      </c>
      <c r="D39" s="6" t="s">
        <v>135</v>
      </c>
      <c r="E39" s="6" t="s">
        <v>136</v>
      </c>
      <c r="F39" s="18">
        <v>11735.54</v>
      </c>
      <c r="G39" s="18">
        <v>0</v>
      </c>
      <c r="H39" s="6">
        <v>0</v>
      </c>
      <c r="I39" s="6">
        <v>0</v>
      </c>
      <c r="J39" s="6">
        <v>0</v>
      </c>
      <c r="K39" s="8">
        <v>2464.46</v>
      </c>
      <c r="L39" s="6">
        <v>0</v>
      </c>
      <c r="M39" s="18">
        <v>0</v>
      </c>
      <c r="N39" s="22">
        <v>14200</v>
      </c>
    </row>
    <row r="40" spans="1:14" hidden="1">
      <c r="A40" s="21" t="s">
        <v>532</v>
      </c>
      <c r="B40" s="5" t="s">
        <v>537</v>
      </c>
      <c r="C40" s="6" t="s">
        <v>134</v>
      </c>
      <c r="D40" s="6" t="s">
        <v>135</v>
      </c>
      <c r="E40" s="6" t="s">
        <v>136</v>
      </c>
      <c r="F40" s="18">
        <v>7438.02</v>
      </c>
      <c r="G40" s="18">
        <v>0</v>
      </c>
      <c r="H40" s="6">
        <v>0</v>
      </c>
      <c r="I40" s="6">
        <v>0</v>
      </c>
      <c r="J40" s="6">
        <v>0</v>
      </c>
      <c r="K40" s="8">
        <v>1561.98</v>
      </c>
      <c r="L40" s="6">
        <v>0</v>
      </c>
      <c r="M40" s="18">
        <v>0</v>
      </c>
      <c r="N40" s="22">
        <v>9000</v>
      </c>
    </row>
    <row r="41" spans="1:14" hidden="1">
      <c r="A41" s="21" t="s">
        <v>532</v>
      </c>
      <c r="B41" s="5" t="s">
        <v>538</v>
      </c>
      <c r="C41" s="6" t="s">
        <v>134</v>
      </c>
      <c r="D41" s="6" t="s">
        <v>135</v>
      </c>
      <c r="E41" s="6" t="s">
        <v>136</v>
      </c>
      <c r="F41" s="18">
        <v>4876.03</v>
      </c>
      <c r="G41" s="18">
        <v>0</v>
      </c>
      <c r="H41" s="6">
        <v>0</v>
      </c>
      <c r="I41" s="6">
        <v>0</v>
      </c>
      <c r="J41" s="6">
        <v>0</v>
      </c>
      <c r="K41" s="8">
        <v>1023.97</v>
      </c>
      <c r="L41" s="6">
        <v>0</v>
      </c>
      <c r="M41" s="18">
        <v>0</v>
      </c>
      <c r="N41" s="22">
        <v>5900</v>
      </c>
    </row>
    <row r="42" spans="1:14" hidden="1">
      <c r="A42" s="21" t="s">
        <v>548</v>
      </c>
      <c r="B42" s="5" t="s">
        <v>549</v>
      </c>
      <c r="C42" s="6" t="s">
        <v>134</v>
      </c>
      <c r="D42" s="6" t="s">
        <v>135</v>
      </c>
      <c r="E42" s="6" t="s">
        <v>136</v>
      </c>
      <c r="F42" s="18">
        <v>25702.48</v>
      </c>
      <c r="G42" s="18">
        <v>0</v>
      </c>
      <c r="H42" s="6">
        <v>0</v>
      </c>
      <c r="I42" s="6">
        <v>0</v>
      </c>
      <c r="J42" s="6">
        <v>0</v>
      </c>
      <c r="K42" s="8">
        <v>5397.52</v>
      </c>
      <c r="L42" s="6">
        <v>0</v>
      </c>
      <c r="M42" s="18">
        <v>0</v>
      </c>
      <c r="N42" s="22">
        <v>31100</v>
      </c>
    </row>
    <row r="43" spans="1:14" hidden="1">
      <c r="A43" s="21" t="s">
        <v>548</v>
      </c>
      <c r="B43" s="5" t="s">
        <v>550</v>
      </c>
      <c r="C43" s="6" t="s">
        <v>134</v>
      </c>
      <c r="D43" s="6" t="s">
        <v>135</v>
      </c>
      <c r="E43" s="6" t="s">
        <v>136</v>
      </c>
      <c r="F43" s="18">
        <v>16942.150000000001</v>
      </c>
      <c r="G43" s="18">
        <v>0</v>
      </c>
      <c r="H43" s="6">
        <v>0</v>
      </c>
      <c r="I43" s="6">
        <v>0</v>
      </c>
      <c r="J43" s="6">
        <v>0</v>
      </c>
      <c r="K43" s="8">
        <v>3557.85</v>
      </c>
      <c r="L43" s="6">
        <v>0</v>
      </c>
      <c r="M43" s="18">
        <v>0</v>
      </c>
      <c r="N43" s="22">
        <v>20500</v>
      </c>
    </row>
    <row r="44" spans="1:14" hidden="1">
      <c r="A44" s="21" t="s">
        <v>548</v>
      </c>
      <c r="B44" s="5" t="s">
        <v>551</v>
      </c>
      <c r="C44" s="6" t="s">
        <v>134</v>
      </c>
      <c r="D44" s="6" t="s">
        <v>135</v>
      </c>
      <c r="E44" s="6" t="s">
        <v>136</v>
      </c>
      <c r="F44" s="18">
        <v>15082.64</v>
      </c>
      <c r="G44" s="18">
        <v>0</v>
      </c>
      <c r="H44" s="6">
        <v>0</v>
      </c>
      <c r="I44" s="6">
        <v>0</v>
      </c>
      <c r="J44" s="6">
        <v>0</v>
      </c>
      <c r="K44" s="8">
        <v>3167.36</v>
      </c>
      <c r="L44" s="6">
        <v>0</v>
      </c>
      <c r="M44" s="18">
        <v>0</v>
      </c>
      <c r="N44" s="22">
        <v>18250</v>
      </c>
    </row>
    <row r="45" spans="1:14" hidden="1">
      <c r="A45" s="21" t="s">
        <v>548</v>
      </c>
      <c r="B45" s="5" t="s">
        <v>552</v>
      </c>
      <c r="C45" s="6" t="s">
        <v>134</v>
      </c>
      <c r="D45" s="6" t="s">
        <v>135</v>
      </c>
      <c r="E45" s="6" t="s">
        <v>136</v>
      </c>
      <c r="F45" s="18">
        <v>1818.18</v>
      </c>
      <c r="G45" s="18">
        <v>0</v>
      </c>
      <c r="H45" s="6">
        <v>0</v>
      </c>
      <c r="I45" s="6">
        <v>0</v>
      </c>
      <c r="J45" s="6">
        <v>0</v>
      </c>
      <c r="K45" s="8">
        <v>381.82</v>
      </c>
      <c r="L45" s="6">
        <v>0</v>
      </c>
      <c r="M45" s="18">
        <v>0</v>
      </c>
      <c r="N45" s="22">
        <v>2200</v>
      </c>
    </row>
    <row r="46" spans="1:14" hidden="1">
      <c r="A46" s="21" t="s">
        <v>548</v>
      </c>
      <c r="B46" s="5" t="s">
        <v>553</v>
      </c>
      <c r="C46" s="6" t="s">
        <v>134</v>
      </c>
      <c r="D46" s="6" t="s">
        <v>135</v>
      </c>
      <c r="E46" s="6" t="s">
        <v>136</v>
      </c>
      <c r="F46" s="18">
        <v>15702.48</v>
      </c>
      <c r="G46" s="18">
        <v>0</v>
      </c>
      <c r="H46" s="6">
        <v>0</v>
      </c>
      <c r="I46" s="6">
        <v>0</v>
      </c>
      <c r="J46" s="6">
        <v>0</v>
      </c>
      <c r="K46" s="8">
        <v>3297.52</v>
      </c>
      <c r="L46" s="6">
        <v>0</v>
      </c>
      <c r="M46" s="18">
        <v>0</v>
      </c>
      <c r="N46" s="22">
        <v>19000</v>
      </c>
    </row>
    <row r="47" spans="1:14" hidden="1">
      <c r="A47" s="21" t="s">
        <v>548</v>
      </c>
      <c r="B47" s="5" t="s">
        <v>554</v>
      </c>
      <c r="C47" s="6" t="s">
        <v>134</v>
      </c>
      <c r="D47" s="6" t="s">
        <v>135</v>
      </c>
      <c r="E47" s="6" t="s">
        <v>136</v>
      </c>
      <c r="F47" s="18">
        <v>16942.150000000001</v>
      </c>
      <c r="G47" s="18">
        <v>0</v>
      </c>
      <c r="H47" s="6">
        <v>0</v>
      </c>
      <c r="I47" s="6">
        <v>0</v>
      </c>
      <c r="J47" s="6">
        <v>0</v>
      </c>
      <c r="K47" s="8">
        <v>3557.85</v>
      </c>
      <c r="L47" s="6">
        <v>0</v>
      </c>
      <c r="M47" s="18">
        <v>0</v>
      </c>
      <c r="N47" s="22">
        <v>20500</v>
      </c>
    </row>
    <row r="48" spans="1:14" hidden="1">
      <c r="A48" s="21" t="s">
        <v>548</v>
      </c>
      <c r="B48" s="5" t="s">
        <v>555</v>
      </c>
      <c r="C48" s="6" t="s">
        <v>134</v>
      </c>
      <c r="D48" s="6" t="s">
        <v>135</v>
      </c>
      <c r="E48" s="6" t="s">
        <v>136</v>
      </c>
      <c r="F48" s="18">
        <v>53388.43</v>
      </c>
      <c r="G48" s="18">
        <v>0</v>
      </c>
      <c r="H48" s="6">
        <v>0</v>
      </c>
      <c r="I48" s="6">
        <v>0</v>
      </c>
      <c r="J48" s="6">
        <v>0</v>
      </c>
      <c r="K48" s="8">
        <v>11211.57</v>
      </c>
      <c r="L48" s="6">
        <v>0</v>
      </c>
      <c r="M48" s="18">
        <v>0</v>
      </c>
      <c r="N48" s="22">
        <v>64600</v>
      </c>
    </row>
    <row r="49" spans="1:14" hidden="1">
      <c r="A49" s="21" t="s">
        <v>548</v>
      </c>
      <c r="B49" s="5" t="s">
        <v>556</v>
      </c>
      <c r="C49" s="6" t="s">
        <v>134</v>
      </c>
      <c r="D49" s="6" t="s">
        <v>135</v>
      </c>
      <c r="E49" s="6" t="s">
        <v>136</v>
      </c>
      <c r="F49" s="18">
        <v>33057.85</v>
      </c>
      <c r="G49" s="18">
        <v>0</v>
      </c>
      <c r="H49" s="6">
        <v>0</v>
      </c>
      <c r="I49" s="6">
        <v>0</v>
      </c>
      <c r="J49" s="6">
        <v>0</v>
      </c>
      <c r="K49" s="8">
        <v>6942.15</v>
      </c>
      <c r="L49" s="6">
        <v>0</v>
      </c>
      <c r="M49" s="18">
        <v>0</v>
      </c>
      <c r="N49" s="22">
        <v>40000</v>
      </c>
    </row>
    <row r="50" spans="1:14">
      <c r="A50" s="21" t="s">
        <v>563</v>
      </c>
      <c r="B50" s="5" t="s">
        <v>564</v>
      </c>
      <c r="C50" s="6" t="s">
        <v>565</v>
      </c>
      <c r="D50" s="6" t="s">
        <v>135</v>
      </c>
      <c r="E50" s="6">
        <v>8459088</v>
      </c>
      <c r="F50" s="18">
        <v>45454.55</v>
      </c>
      <c r="G50" s="18">
        <v>0</v>
      </c>
      <c r="H50" s="6">
        <v>0</v>
      </c>
      <c r="I50" s="6">
        <v>0</v>
      </c>
      <c r="J50" s="6">
        <v>0</v>
      </c>
      <c r="K50" s="8">
        <v>9545.4500000000007</v>
      </c>
      <c r="L50" s="6">
        <v>0</v>
      </c>
      <c r="M50" s="18">
        <v>0</v>
      </c>
      <c r="N50" s="22">
        <v>55000</v>
      </c>
    </row>
    <row r="51" spans="1:14" hidden="1">
      <c r="A51" s="21" t="s">
        <v>563</v>
      </c>
      <c r="B51" s="5" t="s">
        <v>566</v>
      </c>
      <c r="C51" s="6" t="s">
        <v>134</v>
      </c>
      <c r="D51" s="6" t="s">
        <v>135</v>
      </c>
      <c r="E51" s="6" t="s">
        <v>136</v>
      </c>
      <c r="F51" s="18">
        <v>8471.07</v>
      </c>
      <c r="G51" s="18">
        <v>0</v>
      </c>
      <c r="H51" s="6">
        <v>0</v>
      </c>
      <c r="I51" s="6">
        <v>0</v>
      </c>
      <c r="J51" s="6">
        <v>0</v>
      </c>
      <c r="K51" s="8">
        <v>1778.93</v>
      </c>
      <c r="L51" s="6">
        <v>0</v>
      </c>
      <c r="M51" s="18">
        <v>0</v>
      </c>
      <c r="N51" s="22">
        <v>10250</v>
      </c>
    </row>
    <row r="52" spans="1:14" hidden="1">
      <c r="A52" s="21" t="s">
        <v>563</v>
      </c>
      <c r="B52" s="5" t="s">
        <v>567</v>
      </c>
      <c r="C52" s="6" t="s">
        <v>134</v>
      </c>
      <c r="D52" s="6" t="s">
        <v>135</v>
      </c>
      <c r="E52" s="6" t="s">
        <v>136</v>
      </c>
      <c r="F52" s="18">
        <v>8471.07</v>
      </c>
      <c r="G52" s="18">
        <v>0</v>
      </c>
      <c r="H52" s="6">
        <v>0</v>
      </c>
      <c r="I52" s="6">
        <v>0</v>
      </c>
      <c r="J52" s="6">
        <v>0</v>
      </c>
      <c r="K52" s="8">
        <v>1778.93</v>
      </c>
      <c r="L52" s="6">
        <v>0</v>
      </c>
      <c r="M52" s="18">
        <v>0</v>
      </c>
      <c r="N52" s="22">
        <v>10250</v>
      </c>
    </row>
    <row r="53" spans="1:14" hidden="1">
      <c r="A53" s="21" t="s">
        <v>563</v>
      </c>
      <c r="B53" s="5" t="s">
        <v>568</v>
      </c>
      <c r="C53" s="6" t="s">
        <v>134</v>
      </c>
      <c r="D53" s="6" t="s">
        <v>135</v>
      </c>
      <c r="E53" s="6" t="s">
        <v>136</v>
      </c>
      <c r="F53" s="18">
        <v>8471.07</v>
      </c>
      <c r="G53" s="18">
        <v>0</v>
      </c>
      <c r="H53" s="6">
        <v>0</v>
      </c>
      <c r="I53" s="6">
        <v>0</v>
      </c>
      <c r="J53" s="6">
        <v>0</v>
      </c>
      <c r="K53" s="8">
        <v>1778.93</v>
      </c>
      <c r="L53" s="6">
        <v>0</v>
      </c>
      <c r="M53" s="18">
        <v>0</v>
      </c>
      <c r="N53" s="22">
        <v>10250</v>
      </c>
    </row>
    <row r="54" spans="1:14" hidden="1">
      <c r="A54" s="21" t="s">
        <v>563</v>
      </c>
      <c r="B54" s="5" t="s">
        <v>569</v>
      </c>
      <c r="C54" s="6" t="s">
        <v>134</v>
      </c>
      <c r="D54" s="6" t="s">
        <v>135</v>
      </c>
      <c r="E54" s="6" t="s">
        <v>136</v>
      </c>
      <c r="F54" s="18">
        <v>16942.150000000001</v>
      </c>
      <c r="G54" s="18">
        <v>0</v>
      </c>
      <c r="H54" s="6">
        <v>0</v>
      </c>
      <c r="I54" s="6">
        <v>0</v>
      </c>
      <c r="J54" s="6">
        <v>0</v>
      </c>
      <c r="K54" s="8">
        <v>3557.85</v>
      </c>
      <c r="L54" s="6">
        <v>0</v>
      </c>
      <c r="M54" s="18">
        <v>0</v>
      </c>
      <c r="N54" s="22">
        <v>20500</v>
      </c>
    </row>
    <row r="55" spans="1:14" hidden="1">
      <c r="A55" s="21" t="s">
        <v>563</v>
      </c>
      <c r="B55" s="5" t="s">
        <v>570</v>
      </c>
      <c r="C55" s="6" t="s">
        <v>134</v>
      </c>
      <c r="D55" s="6" t="s">
        <v>135</v>
      </c>
      <c r="E55" s="6" t="s">
        <v>136</v>
      </c>
      <c r="F55" s="18">
        <v>16528.93</v>
      </c>
      <c r="G55" s="18">
        <v>0</v>
      </c>
      <c r="H55" s="6">
        <v>0</v>
      </c>
      <c r="I55" s="6">
        <v>0</v>
      </c>
      <c r="J55" s="6">
        <v>0</v>
      </c>
      <c r="K55" s="8">
        <v>3471.07</v>
      </c>
      <c r="L55" s="6">
        <v>0</v>
      </c>
      <c r="M55" s="18">
        <v>0</v>
      </c>
      <c r="N55" s="22">
        <v>20000</v>
      </c>
    </row>
    <row r="56" spans="1:14" hidden="1">
      <c r="A56" s="21" t="s">
        <v>563</v>
      </c>
      <c r="B56" s="5" t="s">
        <v>571</v>
      </c>
      <c r="C56" s="6" t="s">
        <v>134</v>
      </c>
      <c r="D56" s="6" t="s">
        <v>135</v>
      </c>
      <c r="E56" s="6" t="s">
        <v>136</v>
      </c>
      <c r="F56" s="18">
        <v>24504.13</v>
      </c>
      <c r="G56" s="18">
        <v>0</v>
      </c>
      <c r="H56" s="6">
        <v>0</v>
      </c>
      <c r="I56" s="6">
        <v>0</v>
      </c>
      <c r="J56" s="6">
        <v>0</v>
      </c>
      <c r="K56" s="8">
        <v>5145.87</v>
      </c>
      <c r="L56" s="6">
        <v>0</v>
      </c>
      <c r="M56" s="18">
        <v>0</v>
      </c>
      <c r="N56" s="22">
        <v>29650</v>
      </c>
    </row>
    <row r="57" spans="1:14" hidden="1">
      <c r="A57" s="21" t="s">
        <v>563</v>
      </c>
      <c r="B57" s="5" t="s">
        <v>572</v>
      </c>
      <c r="C57" s="6" t="s">
        <v>134</v>
      </c>
      <c r="D57" s="6" t="s">
        <v>135</v>
      </c>
      <c r="E57" s="6" t="s">
        <v>136</v>
      </c>
      <c r="F57" s="18">
        <v>11735.54</v>
      </c>
      <c r="G57" s="18">
        <v>0</v>
      </c>
      <c r="H57" s="6">
        <v>0</v>
      </c>
      <c r="I57" s="6">
        <v>0</v>
      </c>
      <c r="J57" s="6">
        <v>0</v>
      </c>
      <c r="K57" s="8">
        <v>2464.46</v>
      </c>
      <c r="L57" s="6">
        <v>0</v>
      </c>
      <c r="M57" s="18">
        <v>0</v>
      </c>
      <c r="N57" s="22">
        <v>14200</v>
      </c>
    </row>
    <row r="58" spans="1:14" hidden="1">
      <c r="A58" s="21" t="s">
        <v>605</v>
      </c>
      <c r="B58" s="5" t="s">
        <v>606</v>
      </c>
      <c r="C58" s="6" t="s">
        <v>134</v>
      </c>
      <c r="D58" s="6" t="s">
        <v>135</v>
      </c>
      <c r="E58" s="6" t="s">
        <v>136</v>
      </c>
      <c r="F58" s="18">
        <v>8471.07</v>
      </c>
      <c r="G58" s="18">
        <v>0</v>
      </c>
      <c r="H58" s="6">
        <v>0</v>
      </c>
      <c r="I58" s="6">
        <v>0</v>
      </c>
      <c r="J58" s="6">
        <v>0</v>
      </c>
      <c r="K58" s="8">
        <v>1778.93</v>
      </c>
      <c r="L58" s="6">
        <v>0</v>
      </c>
      <c r="M58" s="18">
        <v>0</v>
      </c>
      <c r="N58" s="22">
        <v>10250</v>
      </c>
    </row>
    <row r="59" spans="1:14" hidden="1">
      <c r="A59" s="21" t="s">
        <v>605</v>
      </c>
      <c r="B59" s="5" t="s">
        <v>607</v>
      </c>
      <c r="C59" s="6" t="s">
        <v>134</v>
      </c>
      <c r="D59" s="6" t="s">
        <v>135</v>
      </c>
      <c r="E59" s="6" t="s">
        <v>136</v>
      </c>
      <c r="F59" s="18">
        <v>8264.4600000000009</v>
      </c>
      <c r="G59" s="18">
        <v>0</v>
      </c>
      <c r="H59" s="6">
        <v>0</v>
      </c>
      <c r="I59" s="6">
        <v>0</v>
      </c>
      <c r="J59" s="6">
        <v>0</v>
      </c>
      <c r="K59" s="8">
        <v>1735.54</v>
      </c>
      <c r="L59" s="6">
        <v>0</v>
      </c>
      <c r="M59" s="18">
        <v>0</v>
      </c>
      <c r="N59" s="22">
        <v>10000</v>
      </c>
    </row>
    <row r="60" spans="1:14" hidden="1">
      <c r="A60" s="21" t="s">
        <v>605</v>
      </c>
      <c r="B60" s="5" t="s">
        <v>608</v>
      </c>
      <c r="C60" s="6" t="s">
        <v>134</v>
      </c>
      <c r="D60" s="6" t="s">
        <v>135</v>
      </c>
      <c r="E60" s="6" t="s">
        <v>136</v>
      </c>
      <c r="F60" s="18">
        <v>15082.64</v>
      </c>
      <c r="G60" s="18">
        <v>0</v>
      </c>
      <c r="H60" s="6">
        <v>0</v>
      </c>
      <c r="I60" s="6">
        <v>0</v>
      </c>
      <c r="J60" s="6">
        <v>0</v>
      </c>
      <c r="K60" s="8">
        <v>3167.36</v>
      </c>
      <c r="L60" s="6">
        <v>0</v>
      </c>
      <c r="M60" s="18">
        <v>0</v>
      </c>
      <c r="N60" s="22">
        <v>18250</v>
      </c>
    </row>
    <row r="61" spans="1:14" hidden="1">
      <c r="A61" s="21" t="s">
        <v>605</v>
      </c>
      <c r="B61" s="5" t="s">
        <v>609</v>
      </c>
      <c r="C61" s="6" t="s">
        <v>134</v>
      </c>
      <c r="D61" s="6" t="s">
        <v>135</v>
      </c>
      <c r="E61" s="6" t="s">
        <v>136</v>
      </c>
      <c r="F61" s="18">
        <v>20206.61</v>
      </c>
      <c r="G61" s="18">
        <v>0</v>
      </c>
      <c r="H61" s="6">
        <v>0</v>
      </c>
      <c r="I61" s="6">
        <v>0</v>
      </c>
      <c r="J61" s="6">
        <v>0</v>
      </c>
      <c r="K61" s="8">
        <v>4243.3900000000003</v>
      </c>
      <c r="L61" s="6">
        <v>0</v>
      </c>
      <c r="M61" s="18">
        <v>0</v>
      </c>
      <c r="N61" s="22">
        <v>24450</v>
      </c>
    </row>
    <row r="62" spans="1:14" hidden="1">
      <c r="A62" s="21" t="s">
        <v>605</v>
      </c>
      <c r="B62" s="5" t="s">
        <v>610</v>
      </c>
      <c r="C62" s="6" t="s">
        <v>134</v>
      </c>
      <c r="D62" s="6" t="s">
        <v>135</v>
      </c>
      <c r="E62" s="6" t="s">
        <v>136</v>
      </c>
      <c r="F62" s="18">
        <v>16942.150000000001</v>
      </c>
      <c r="G62" s="18">
        <v>0</v>
      </c>
      <c r="H62" s="6">
        <v>0</v>
      </c>
      <c r="I62" s="6">
        <v>0</v>
      </c>
      <c r="J62" s="6">
        <v>0</v>
      </c>
      <c r="K62" s="8">
        <v>3557.85</v>
      </c>
      <c r="L62" s="6">
        <v>0</v>
      </c>
      <c r="M62" s="18">
        <v>0</v>
      </c>
      <c r="N62" s="22">
        <v>20500</v>
      </c>
    </row>
    <row r="63" spans="1:14" hidden="1">
      <c r="A63" s="21" t="s">
        <v>605</v>
      </c>
      <c r="B63" s="5" t="s">
        <v>611</v>
      </c>
      <c r="C63" s="6" t="s">
        <v>134</v>
      </c>
      <c r="D63" s="6" t="s">
        <v>135</v>
      </c>
      <c r="E63" s="6" t="s">
        <v>136</v>
      </c>
      <c r="F63" s="18">
        <v>20661.16</v>
      </c>
      <c r="G63" s="18">
        <v>0</v>
      </c>
      <c r="H63" s="6">
        <v>0</v>
      </c>
      <c r="I63" s="6">
        <v>0</v>
      </c>
      <c r="J63" s="6">
        <v>0</v>
      </c>
      <c r="K63" s="8">
        <v>4338.84</v>
      </c>
      <c r="L63" s="6">
        <v>0</v>
      </c>
      <c r="M63" s="18">
        <v>0</v>
      </c>
      <c r="N63" s="22">
        <v>25000</v>
      </c>
    </row>
    <row r="64" spans="1:14" hidden="1">
      <c r="A64" s="21" t="s">
        <v>605</v>
      </c>
      <c r="B64" s="5" t="s">
        <v>612</v>
      </c>
      <c r="C64" s="6" t="s">
        <v>134</v>
      </c>
      <c r="D64" s="6" t="s">
        <v>135</v>
      </c>
      <c r="E64" s="6" t="s">
        <v>136</v>
      </c>
      <c r="F64" s="18">
        <v>4462.8100000000004</v>
      </c>
      <c r="G64" s="18">
        <v>0</v>
      </c>
      <c r="H64" s="6">
        <v>0</v>
      </c>
      <c r="I64" s="6">
        <v>0</v>
      </c>
      <c r="J64" s="6">
        <v>0</v>
      </c>
      <c r="K64" s="8">
        <v>937.19</v>
      </c>
      <c r="L64" s="6">
        <v>0</v>
      </c>
      <c r="M64" s="18">
        <v>0</v>
      </c>
      <c r="N64" s="22">
        <v>5400</v>
      </c>
    </row>
    <row r="65" spans="1:14" hidden="1">
      <c r="A65" s="21" t="s">
        <v>616</v>
      </c>
      <c r="B65" s="5" t="s">
        <v>617</v>
      </c>
      <c r="C65" s="6" t="s">
        <v>134</v>
      </c>
      <c r="D65" s="6" t="s">
        <v>135</v>
      </c>
      <c r="E65" s="6" t="s">
        <v>136</v>
      </c>
      <c r="F65" s="18">
        <v>24793.39</v>
      </c>
      <c r="G65" s="18">
        <v>0</v>
      </c>
      <c r="H65" s="6">
        <v>0</v>
      </c>
      <c r="I65" s="6">
        <v>0</v>
      </c>
      <c r="J65" s="6">
        <v>0</v>
      </c>
      <c r="K65" s="8">
        <v>5206.6099999999997</v>
      </c>
      <c r="L65" s="6">
        <v>0</v>
      </c>
      <c r="M65" s="18">
        <v>0</v>
      </c>
      <c r="N65" s="22">
        <v>30000</v>
      </c>
    </row>
    <row r="66" spans="1:14" hidden="1">
      <c r="A66" s="21" t="s">
        <v>616</v>
      </c>
      <c r="B66" s="5" t="s">
        <v>618</v>
      </c>
      <c r="C66" s="6" t="s">
        <v>134</v>
      </c>
      <c r="D66" s="6" t="s">
        <v>135</v>
      </c>
      <c r="E66" s="6" t="s">
        <v>136</v>
      </c>
      <c r="F66" s="18">
        <v>8264.4600000000009</v>
      </c>
      <c r="G66" s="18">
        <v>0</v>
      </c>
      <c r="H66" s="6">
        <v>0</v>
      </c>
      <c r="I66" s="6">
        <v>0</v>
      </c>
      <c r="J66" s="6">
        <v>0</v>
      </c>
      <c r="K66" s="8">
        <v>1735.54</v>
      </c>
      <c r="L66" s="6">
        <v>0</v>
      </c>
      <c r="M66" s="18">
        <v>0</v>
      </c>
      <c r="N66" s="22">
        <v>10000</v>
      </c>
    </row>
    <row r="67" spans="1:14" hidden="1">
      <c r="A67" s="21" t="s">
        <v>616</v>
      </c>
      <c r="B67" s="5" t="s">
        <v>619</v>
      </c>
      <c r="C67" s="6" t="s">
        <v>134</v>
      </c>
      <c r="D67" s="6" t="s">
        <v>135</v>
      </c>
      <c r="E67" s="6" t="s">
        <v>136</v>
      </c>
      <c r="F67" s="18">
        <v>23553.71</v>
      </c>
      <c r="G67" s="18">
        <v>0</v>
      </c>
      <c r="H67" s="6">
        <v>0</v>
      </c>
      <c r="I67" s="6">
        <v>0</v>
      </c>
      <c r="J67" s="6">
        <v>0</v>
      </c>
      <c r="K67" s="8">
        <v>4946.29</v>
      </c>
      <c r="L67" s="6">
        <v>0</v>
      </c>
      <c r="M67" s="18">
        <v>0</v>
      </c>
      <c r="N67" s="22">
        <v>28500</v>
      </c>
    </row>
    <row r="68" spans="1:14" hidden="1">
      <c r="A68" s="21" t="s">
        <v>616</v>
      </c>
      <c r="B68" s="5" t="s">
        <v>620</v>
      </c>
      <c r="C68" s="6" t="s">
        <v>134</v>
      </c>
      <c r="D68" s="6" t="s">
        <v>135</v>
      </c>
      <c r="E68" s="6" t="s">
        <v>136</v>
      </c>
      <c r="F68" s="18">
        <v>8471.07</v>
      </c>
      <c r="G68" s="18">
        <v>0</v>
      </c>
      <c r="H68" s="6">
        <v>0</v>
      </c>
      <c r="I68" s="6">
        <v>0</v>
      </c>
      <c r="J68" s="6">
        <v>0</v>
      </c>
      <c r="K68" s="8">
        <v>1778.93</v>
      </c>
      <c r="L68" s="6">
        <v>0</v>
      </c>
      <c r="M68" s="18">
        <v>0</v>
      </c>
      <c r="N68" s="22">
        <v>10250</v>
      </c>
    </row>
    <row r="69" spans="1:14" hidden="1">
      <c r="A69" s="21" t="s">
        <v>616</v>
      </c>
      <c r="B69" s="5" t="s">
        <v>621</v>
      </c>
      <c r="C69" s="6" t="s">
        <v>134</v>
      </c>
      <c r="D69" s="6" t="s">
        <v>135</v>
      </c>
      <c r="E69" s="6" t="s">
        <v>136</v>
      </c>
      <c r="F69" s="18">
        <v>16942.150000000001</v>
      </c>
      <c r="G69" s="18">
        <v>0</v>
      </c>
      <c r="H69" s="6">
        <v>0</v>
      </c>
      <c r="I69" s="6">
        <v>0</v>
      </c>
      <c r="J69" s="6">
        <v>0</v>
      </c>
      <c r="K69" s="8">
        <v>3557.85</v>
      </c>
      <c r="L69" s="6">
        <v>0</v>
      </c>
      <c r="M69" s="18">
        <v>0</v>
      </c>
      <c r="N69" s="22">
        <v>20500</v>
      </c>
    </row>
    <row r="70" spans="1:14" hidden="1">
      <c r="A70" s="21" t="s">
        <v>616</v>
      </c>
      <c r="B70" s="5" t="s">
        <v>622</v>
      </c>
      <c r="C70" s="6" t="s">
        <v>134</v>
      </c>
      <c r="D70" s="6" t="s">
        <v>135</v>
      </c>
      <c r="E70" s="6" t="s">
        <v>136</v>
      </c>
      <c r="F70" s="18">
        <v>8471.07</v>
      </c>
      <c r="G70" s="18">
        <v>0</v>
      </c>
      <c r="H70" s="6">
        <v>0</v>
      </c>
      <c r="I70" s="6">
        <v>0</v>
      </c>
      <c r="J70" s="6">
        <v>0</v>
      </c>
      <c r="K70" s="8">
        <v>1778.93</v>
      </c>
      <c r="L70" s="6">
        <v>0</v>
      </c>
      <c r="M70" s="18">
        <v>0</v>
      </c>
      <c r="N70" s="22">
        <v>10250</v>
      </c>
    </row>
    <row r="71" spans="1:14" hidden="1">
      <c r="A71" s="21" t="s">
        <v>616</v>
      </c>
      <c r="B71" s="5" t="s">
        <v>623</v>
      </c>
      <c r="C71" s="6" t="s">
        <v>134</v>
      </c>
      <c r="D71" s="6" t="s">
        <v>135</v>
      </c>
      <c r="E71" s="6" t="s">
        <v>136</v>
      </c>
      <c r="F71" s="18">
        <v>11157.02</v>
      </c>
      <c r="G71" s="18">
        <v>0</v>
      </c>
      <c r="H71" s="6">
        <v>0</v>
      </c>
      <c r="I71" s="6">
        <v>0</v>
      </c>
      <c r="J71" s="6">
        <v>0</v>
      </c>
      <c r="K71" s="8">
        <v>2342.98</v>
      </c>
      <c r="L71" s="6">
        <v>0</v>
      </c>
      <c r="M71" s="18">
        <v>0</v>
      </c>
      <c r="N71" s="22">
        <v>13500</v>
      </c>
    </row>
    <row r="72" spans="1:14" hidden="1">
      <c r="A72" s="21" t="s">
        <v>616</v>
      </c>
      <c r="B72" s="5" t="s">
        <v>624</v>
      </c>
      <c r="C72" s="6" t="s">
        <v>134</v>
      </c>
      <c r="D72" s="6" t="s">
        <v>135</v>
      </c>
      <c r="E72" s="6" t="s">
        <v>136</v>
      </c>
      <c r="F72" s="18">
        <v>8471.07</v>
      </c>
      <c r="G72" s="18">
        <v>0</v>
      </c>
      <c r="H72" s="6">
        <v>0</v>
      </c>
      <c r="I72" s="6">
        <v>0</v>
      </c>
      <c r="J72" s="6">
        <v>0</v>
      </c>
      <c r="K72" s="8">
        <v>1778.93</v>
      </c>
      <c r="L72" s="6">
        <v>0</v>
      </c>
      <c r="M72" s="18">
        <v>0</v>
      </c>
      <c r="N72" s="22">
        <v>10250</v>
      </c>
    </row>
    <row r="73" spans="1:14" hidden="1">
      <c r="A73" s="21" t="s">
        <v>616</v>
      </c>
      <c r="B73" s="5" t="s">
        <v>625</v>
      </c>
      <c r="C73" s="6" t="s">
        <v>134</v>
      </c>
      <c r="D73" s="6" t="s">
        <v>135</v>
      </c>
      <c r="E73" s="6" t="s">
        <v>136</v>
      </c>
      <c r="F73" s="18">
        <v>28925.62</v>
      </c>
      <c r="G73" s="18">
        <v>0</v>
      </c>
      <c r="H73" s="6">
        <v>0</v>
      </c>
      <c r="I73" s="6">
        <v>0</v>
      </c>
      <c r="J73" s="6">
        <v>0</v>
      </c>
      <c r="K73" s="8">
        <v>6074.38</v>
      </c>
      <c r="L73" s="6">
        <v>0</v>
      </c>
      <c r="M73" s="18">
        <v>0</v>
      </c>
      <c r="N73" s="22">
        <v>35000</v>
      </c>
    </row>
    <row r="74" spans="1:14" hidden="1">
      <c r="A74" s="21" t="s">
        <v>616</v>
      </c>
      <c r="B74" s="5" t="s">
        <v>626</v>
      </c>
      <c r="C74" s="6" t="s">
        <v>134</v>
      </c>
      <c r="D74" s="6" t="s">
        <v>135</v>
      </c>
      <c r="E74" s="6" t="s">
        <v>136</v>
      </c>
      <c r="F74" s="18">
        <v>8471.07</v>
      </c>
      <c r="G74" s="18">
        <v>0</v>
      </c>
      <c r="H74" s="6">
        <v>0</v>
      </c>
      <c r="I74" s="6">
        <v>0</v>
      </c>
      <c r="J74" s="6">
        <v>0</v>
      </c>
      <c r="K74" s="8">
        <v>1778.93</v>
      </c>
      <c r="L74" s="6">
        <v>0</v>
      </c>
      <c r="M74" s="18">
        <v>0</v>
      </c>
      <c r="N74" s="22">
        <v>10250</v>
      </c>
    </row>
    <row r="75" spans="1:14" hidden="1">
      <c r="A75" s="21" t="s">
        <v>634</v>
      </c>
      <c r="B75" s="5" t="s">
        <v>635</v>
      </c>
      <c r="C75" s="6" t="s">
        <v>134</v>
      </c>
      <c r="D75" s="6" t="s">
        <v>135</v>
      </c>
      <c r="E75" s="6" t="s">
        <v>136</v>
      </c>
      <c r="F75" s="18">
        <v>8264.4600000000009</v>
      </c>
      <c r="G75" s="18">
        <v>0</v>
      </c>
      <c r="H75" s="6">
        <v>0</v>
      </c>
      <c r="I75" s="6">
        <v>0</v>
      </c>
      <c r="J75" s="6">
        <v>0</v>
      </c>
      <c r="K75" s="8">
        <v>1735.54</v>
      </c>
      <c r="L75" s="6">
        <v>0</v>
      </c>
      <c r="M75" s="18">
        <v>0</v>
      </c>
      <c r="N75" s="22">
        <v>10000</v>
      </c>
    </row>
    <row r="76" spans="1:14" hidden="1">
      <c r="A76" s="21" t="s">
        <v>634</v>
      </c>
      <c r="B76" s="5" t="s">
        <v>636</v>
      </c>
      <c r="C76" s="6" t="s">
        <v>134</v>
      </c>
      <c r="D76" s="6" t="s">
        <v>135</v>
      </c>
      <c r="E76" s="6" t="s">
        <v>136</v>
      </c>
      <c r="F76" s="18">
        <v>15082.64</v>
      </c>
      <c r="G76" s="18">
        <v>0</v>
      </c>
      <c r="H76" s="6">
        <v>0</v>
      </c>
      <c r="I76" s="6">
        <v>0</v>
      </c>
      <c r="J76" s="6">
        <v>0</v>
      </c>
      <c r="K76" s="8">
        <v>3167.36</v>
      </c>
      <c r="L76" s="6">
        <v>0</v>
      </c>
      <c r="M76" s="18">
        <v>0</v>
      </c>
      <c r="N76" s="22">
        <v>18250</v>
      </c>
    </row>
    <row r="77" spans="1:14" hidden="1">
      <c r="A77" s="21" t="s">
        <v>634</v>
      </c>
      <c r="B77" s="5" t="s">
        <v>637</v>
      </c>
      <c r="C77" s="6" t="s">
        <v>134</v>
      </c>
      <c r="D77" s="6" t="s">
        <v>135</v>
      </c>
      <c r="E77" s="6" t="s">
        <v>136</v>
      </c>
      <c r="F77" s="18">
        <v>28925.62</v>
      </c>
      <c r="G77" s="18">
        <v>0</v>
      </c>
      <c r="H77" s="6">
        <v>0</v>
      </c>
      <c r="I77" s="6">
        <v>0</v>
      </c>
      <c r="J77" s="6">
        <v>0</v>
      </c>
      <c r="K77" s="8">
        <v>6074.38</v>
      </c>
      <c r="L77" s="6">
        <v>0</v>
      </c>
      <c r="M77" s="18">
        <v>0</v>
      </c>
      <c r="N77" s="22">
        <v>35000</v>
      </c>
    </row>
    <row r="78" spans="1:14" hidden="1">
      <c r="A78" s="21" t="s">
        <v>634</v>
      </c>
      <c r="B78" s="5" t="s">
        <v>638</v>
      </c>
      <c r="C78" s="6" t="s">
        <v>134</v>
      </c>
      <c r="D78" s="6" t="s">
        <v>135</v>
      </c>
      <c r="E78" s="6" t="s">
        <v>136</v>
      </c>
      <c r="F78" s="18">
        <v>8471.07</v>
      </c>
      <c r="G78" s="18">
        <v>0</v>
      </c>
      <c r="H78" s="6">
        <v>0</v>
      </c>
      <c r="I78" s="6">
        <v>0</v>
      </c>
      <c r="J78" s="6">
        <v>0</v>
      </c>
      <c r="K78" s="8">
        <v>1778.93</v>
      </c>
      <c r="L78" s="6">
        <v>0</v>
      </c>
      <c r="M78" s="18">
        <v>0</v>
      </c>
      <c r="N78" s="22">
        <v>10250</v>
      </c>
    </row>
    <row r="79" spans="1:14" hidden="1">
      <c r="A79" s="21" t="s">
        <v>634</v>
      </c>
      <c r="B79" s="5" t="s">
        <v>639</v>
      </c>
      <c r="C79" s="6" t="s">
        <v>134</v>
      </c>
      <c r="D79" s="6" t="s">
        <v>135</v>
      </c>
      <c r="E79" s="6" t="s">
        <v>136</v>
      </c>
      <c r="F79" s="18">
        <v>8471.07</v>
      </c>
      <c r="G79" s="18">
        <v>0</v>
      </c>
      <c r="H79" s="6">
        <v>0</v>
      </c>
      <c r="I79" s="6">
        <v>0</v>
      </c>
      <c r="J79" s="6">
        <v>0</v>
      </c>
      <c r="K79" s="8">
        <v>1778.93</v>
      </c>
      <c r="L79" s="6">
        <v>0</v>
      </c>
      <c r="M79" s="18">
        <v>0</v>
      </c>
      <c r="N79" s="22">
        <v>10250</v>
      </c>
    </row>
    <row r="80" spans="1:14" hidden="1">
      <c r="A80" s="21" t="s">
        <v>634</v>
      </c>
      <c r="B80" s="5" t="s">
        <v>640</v>
      </c>
      <c r="C80" s="6" t="s">
        <v>134</v>
      </c>
      <c r="D80" s="6" t="s">
        <v>135</v>
      </c>
      <c r="E80" s="6" t="s">
        <v>136</v>
      </c>
      <c r="F80" s="18">
        <v>8471.07</v>
      </c>
      <c r="G80" s="18">
        <v>0</v>
      </c>
      <c r="H80" s="6">
        <v>0</v>
      </c>
      <c r="I80" s="6">
        <v>0</v>
      </c>
      <c r="J80" s="6">
        <v>0</v>
      </c>
      <c r="K80" s="8">
        <v>1778.93</v>
      </c>
      <c r="L80" s="6">
        <v>0</v>
      </c>
      <c r="M80" s="18">
        <v>0</v>
      </c>
      <c r="N80" s="22">
        <v>10250</v>
      </c>
    </row>
    <row r="81" spans="1:14" hidden="1">
      <c r="A81" s="21" t="s">
        <v>634</v>
      </c>
      <c r="B81" s="5" t="s">
        <v>641</v>
      </c>
      <c r="C81" s="6" t="s">
        <v>134</v>
      </c>
      <c r="D81" s="6" t="s">
        <v>135</v>
      </c>
      <c r="E81" s="6" t="s">
        <v>136</v>
      </c>
      <c r="F81" s="18">
        <v>16942.150000000001</v>
      </c>
      <c r="G81" s="18">
        <v>0</v>
      </c>
      <c r="H81" s="6">
        <v>0</v>
      </c>
      <c r="I81" s="6">
        <v>0</v>
      </c>
      <c r="J81" s="6">
        <v>0</v>
      </c>
      <c r="K81" s="8">
        <v>3557.85</v>
      </c>
      <c r="L81" s="6">
        <v>0</v>
      </c>
      <c r="M81" s="18">
        <v>0</v>
      </c>
      <c r="N81" s="22">
        <v>20500</v>
      </c>
    </row>
    <row r="82" spans="1:14" hidden="1">
      <c r="A82" s="21" t="s">
        <v>634</v>
      </c>
      <c r="B82" s="5" t="s">
        <v>642</v>
      </c>
      <c r="C82" s="6" t="s">
        <v>134</v>
      </c>
      <c r="D82" s="6" t="s">
        <v>135</v>
      </c>
      <c r="E82" s="6" t="s">
        <v>136</v>
      </c>
      <c r="F82" s="18">
        <v>23471.07</v>
      </c>
      <c r="G82" s="18">
        <v>0</v>
      </c>
      <c r="H82" s="6">
        <v>0</v>
      </c>
      <c r="I82" s="6">
        <v>0</v>
      </c>
      <c r="J82" s="6">
        <v>0</v>
      </c>
      <c r="K82" s="8">
        <v>4928.93</v>
      </c>
      <c r="L82" s="6">
        <v>0</v>
      </c>
      <c r="M82" s="18">
        <v>0</v>
      </c>
      <c r="N82" s="22">
        <v>28400</v>
      </c>
    </row>
    <row r="83" spans="1:14" hidden="1">
      <c r="A83" s="21" t="s">
        <v>634</v>
      </c>
      <c r="B83" s="5" t="s">
        <v>643</v>
      </c>
      <c r="C83" s="6" t="s">
        <v>134</v>
      </c>
      <c r="D83" s="6" t="s">
        <v>135</v>
      </c>
      <c r="E83" s="6" t="s">
        <v>136</v>
      </c>
      <c r="F83" s="18">
        <v>9090.91</v>
      </c>
      <c r="G83" s="18">
        <v>0</v>
      </c>
      <c r="H83" s="6">
        <v>0</v>
      </c>
      <c r="I83" s="6">
        <v>0</v>
      </c>
      <c r="J83" s="6">
        <v>0</v>
      </c>
      <c r="K83" s="8">
        <v>1909.09</v>
      </c>
      <c r="L83" s="6">
        <v>0</v>
      </c>
      <c r="M83" s="18">
        <v>0</v>
      </c>
      <c r="N83" s="22">
        <v>11000</v>
      </c>
    </row>
    <row r="84" spans="1:14" hidden="1">
      <c r="A84" s="21" t="s">
        <v>634</v>
      </c>
      <c r="B84" s="5" t="s">
        <v>644</v>
      </c>
      <c r="C84" s="6" t="s">
        <v>134</v>
      </c>
      <c r="D84" s="6" t="s">
        <v>135</v>
      </c>
      <c r="E84" s="6" t="s">
        <v>136</v>
      </c>
      <c r="F84" s="18">
        <v>12933.88</v>
      </c>
      <c r="G84" s="18">
        <v>0</v>
      </c>
      <c r="H84" s="6">
        <v>0</v>
      </c>
      <c r="I84" s="6">
        <v>0</v>
      </c>
      <c r="J84" s="6">
        <v>0</v>
      </c>
      <c r="K84" s="8">
        <v>2716.12</v>
      </c>
      <c r="L84" s="6">
        <v>0</v>
      </c>
      <c r="M84" s="18">
        <v>0</v>
      </c>
      <c r="N84" s="22">
        <v>15650</v>
      </c>
    </row>
    <row r="85" spans="1:14" hidden="1">
      <c r="A85" s="21" t="s">
        <v>634</v>
      </c>
      <c r="B85" s="5" t="s">
        <v>645</v>
      </c>
      <c r="C85" s="6" t="s">
        <v>134</v>
      </c>
      <c r="D85" s="6" t="s">
        <v>135</v>
      </c>
      <c r="E85" s="6" t="s">
        <v>136</v>
      </c>
      <c r="F85" s="18">
        <v>8471.07</v>
      </c>
      <c r="G85" s="18">
        <v>0</v>
      </c>
      <c r="H85" s="6">
        <v>0</v>
      </c>
      <c r="I85" s="6">
        <v>0</v>
      </c>
      <c r="J85" s="6">
        <v>0</v>
      </c>
      <c r="K85" s="8">
        <v>1778.93</v>
      </c>
      <c r="L85" s="6">
        <v>0</v>
      </c>
      <c r="M85" s="18">
        <v>0</v>
      </c>
      <c r="N85" s="22">
        <v>10250</v>
      </c>
    </row>
    <row r="86" spans="1:14" hidden="1">
      <c r="A86" s="21" t="s">
        <v>646</v>
      </c>
      <c r="B86" s="5" t="s">
        <v>647</v>
      </c>
      <c r="C86" s="6" t="s">
        <v>134</v>
      </c>
      <c r="D86" s="6" t="s">
        <v>135</v>
      </c>
      <c r="E86" s="6" t="s">
        <v>136</v>
      </c>
      <c r="F86" s="18">
        <v>14049.59</v>
      </c>
      <c r="G86" s="18">
        <v>0</v>
      </c>
      <c r="H86" s="6">
        <v>0</v>
      </c>
      <c r="I86" s="6">
        <v>0</v>
      </c>
      <c r="J86" s="6">
        <v>0</v>
      </c>
      <c r="K86" s="8">
        <v>2950.41</v>
      </c>
      <c r="L86" s="6">
        <v>0</v>
      </c>
      <c r="M86" s="18">
        <v>0</v>
      </c>
      <c r="N86" s="22">
        <v>17000</v>
      </c>
    </row>
    <row r="87" spans="1:14" hidden="1">
      <c r="A87" s="21" t="s">
        <v>646</v>
      </c>
      <c r="B87" s="5" t="s">
        <v>648</v>
      </c>
      <c r="C87" s="6" t="s">
        <v>134</v>
      </c>
      <c r="D87" s="6" t="s">
        <v>135</v>
      </c>
      <c r="E87" s="6" t="s">
        <v>136</v>
      </c>
      <c r="F87" s="18">
        <v>12396.69</v>
      </c>
      <c r="G87" s="18">
        <v>0</v>
      </c>
      <c r="H87" s="6">
        <v>0</v>
      </c>
      <c r="I87" s="6">
        <v>0</v>
      </c>
      <c r="J87" s="6">
        <v>0</v>
      </c>
      <c r="K87" s="8">
        <v>2603.31</v>
      </c>
      <c r="L87" s="6">
        <v>0</v>
      </c>
      <c r="M87" s="18">
        <v>0</v>
      </c>
      <c r="N87" s="22">
        <v>15000</v>
      </c>
    </row>
    <row r="88" spans="1:14" hidden="1">
      <c r="A88" s="21" t="s">
        <v>646</v>
      </c>
      <c r="B88" s="5" t="s">
        <v>649</v>
      </c>
      <c r="C88" s="6" t="s">
        <v>134</v>
      </c>
      <c r="D88" s="6" t="s">
        <v>135</v>
      </c>
      <c r="E88" s="6" t="s">
        <v>136</v>
      </c>
      <c r="F88" s="18">
        <v>40000</v>
      </c>
      <c r="G88" s="18">
        <v>0</v>
      </c>
      <c r="H88" s="6">
        <v>0</v>
      </c>
      <c r="I88" s="6">
        <v>0</v>
      </c>
      <c r="J88" s="6">
        <v>0</v>
      </c>
      <c r="K88" s="8">
        <v>8400</v>
      </c>
      <c r="L88" s="6">
        <v>0</v>
      </c>
      <c r="M88" s="18">
        <v>0</v>
      </c>
      <c r="N88" s="22">
        <v>48400</v>
      </c>
    </row>
    <row r="89" spans="1:14" hidden="1">
      <c r="A89" s="21" t="s">
        <v>646</v>
      </c>
      <c r="B89" s="5" t="s">
        <v>650</v>
      </c>
      <c r="C89" s="6" t="s">
        <v>134</v>
      </c>
      <c r="D89" s="6" t="s">
        <v>135</v>
      </c>
      <c r="E89" s="6" t="s">
        <v>136</v>
      </c>
      <c r="F89" s="18">
        <v>15082.64</v>
      </c>
      <c r="G89" s="18">
        <v>0</v>
      </c>
      <c r="H89" s="6">
        <v>0</v>
      </c>
      <c r="I89" s="6">
        <v>0</v>
      </c>
      <c r="J89" s="6">
        <v>0</v>
      </c>
      <c r="K89" s="8">
        <v>3167.36</v>
      </c>
      <c r="L89" s="6">
        <v>0</v>
      </c>
      <c r="M89" s="18">
        <v>0</v>
      </c>
      <c r="N89" s="22">
        <v>18250</v>
      </c>
    </row>
    <row r="90" spans="1:14" hidden="1">
      <c r="A90" s="21" t="s">
        <v>646</v>
      </c>
      <c r="B90" s="5" t="s">
        <v>651</v>
      </c>
      <c r="C90" s="6" t="s">
        <v>134</v>
      </c>
      <c r="D90" s="6" t="s">
        <v>135</v>
      </c>
      <c r="E90" s="6" t="s">
        <v>136</v>
      </c>
      <c r="F90" s="18">
        <v>10330.58</v>
      </c>
      <c r="G90" s="18">
        <v>0</v>
      </c>
      <c r="H90" s="6">
        <v>0</v>
      </c>
      <c r="I90" s="6">
        <v>0</v>
      </c>
      <c r="J90" s="6">
        <v>0</v>
      </c>
      <c r="K90" s="8">
        <v>2169.42</v>
      </c>
      <c r="L90" s="6">
        <v>0</v>
      </c>
      <c r="M90" s="18">
        <v>0</v>
      </c>
      <c r="N90" s="22">
        <v>12500</v>
      </c>
    </row>
    <row r="91" spans="1:14" hidden="1">
      <c r="A91" s="21" t="s">
        <v>646</v>
      </c>
      <c r="B91" s="5" t="s">
        <v>652</v>
      </c>
      <c r="C91" s="6" t="s">
        <v>134</v>
      </c>
      <c r="D91" s="6" t="s">
        <v>135</v>
      </c>
      <c r="E91" s="6" t="s">
        <v>136</v>
      </c>
      <c r="F91" s="18">
        <v>8471.07</v>
      </c>
      <c r="G91" s="18">
        <v>0</v>
      </c>
      <c r="H91" s="6">
        <v>0</v>
      </c>
      <c r="I91" s="6">
        <v>0</v>
      </c>
      <c r="J91" s="6">
        <v>0</v>
      </c>
      <c r="K91" s="8">
        <v>1778.93</v>
      </c>
      <c r="L91" s="6">
        <v>0</v>
      </c>
      <c r="M91" s="18">
        <v>0</v>
      </c>
      <c r="N91" s="22">
        <v>10250</v>
      </c>
    </row>
    <row r="92" spans="1:14" hidden="1">
      <c r="A92" s="21" t="s">
        <v>646</v>
      </c>
      <c r="B92" s="5" t="s">
        <v>653</v>
      </c>
      <c r="C92" s="6" t="s">
        <v>134</v>
      </c>
      <c r="D92" s="6" t="s">
        <v>135</v>
      </c>
      <c r="E92" s="6" t="s">
        <v>136</v>
      </c>
      <c r="F92" s="18">
        <v>10578.51</v>
      </c>
      <c r="G92" s="18">
        <v>0</v>
      </c>
      <c r="H92" s="6">
        <v>0</v>
      </c>
      <c r="I92" s="6">
        <v>0</v>
      </c>
      <c r="J92" s="6">
        <v>0</v>
      </c>
      <c r="K92" s="8">
        <v>2221.4900000000002</v>
      </c>
      <c r="L92" s="6">
        <v>0</v>
      </c>
      <c r="M92" s="18">
        <v>0</v>
      </c>
      <c r="N92" s="22">
        <v>12800</v>
      </c>
    </row>
    <row r="93" spans="1:14" hidden="1">
      <c r="A93" s="21" t="s">
        <v>659</v>
      </c>
      <c r="B93" s="5" t="s">
        <v>661</v>
      </c>
      <c r="C93" s="6" t="s">
        <v>134</v>
      </c>
      <c r="D93" s="6" t="s">
        <v>135</v>
      </c>
      <c r="E93" s="6" t="s">
        <v>136</v>
      </c>
      <c r="F93" s="18">
        <v>8471.07</v>
      </c>
      <c r="G93" s="18">
        <v>0</v>
      </c>
      <c r="H93" s="6">
        <v>0</v>
      </c>
      <c r="I93" s="6">
        <v>0</v>
      </c>
      <c r="J93" s="6">
        <v>0</v>
      </c>
      <c r="K93" s="8">
        <v>1778.93</v>
      </c>
      <c r="L93" s="6">
        <v>0</v>
      </c>
      <c r="M93" s="18">
        <v>0</v>
      </c>
      <c r="N93" s="22">
        <v>10250</v>
      </c>
    </row>
    <row r="94" spans="1:14" hidden="1">
      <c r="A94" s="21" t="s">
        <v>659</v>
      </c>
      <c r="B94" s="5" t="s">
        <v>662</v>
      </c>
      <c r="C94" s="6" t="s">
        <v>134</v>
      </c>
      <c r="D94" s="6" t="s">
        <v>135</v>
      </c>
      <c r="E94" s="6" t="s">
        <v>136</v>
      </c>
      <c r="F94" s="18">
        <v>10578.51</v>
      </c>
      <c r="G94" s="18">
        <v>0</v>
      </c>
      <c r="H94" s="6">
        <v>0</v>
      </c>
      <c r="I94" s="6">
        <v>0</v>
      </c>
      <c r="J94" s="6">
        <v>0</v>
      </c>
      <c r="K94" s="8">
        <v>2221.4900000000002</v>
      </c>
      <c r="L94" s="6">
        <v>0</v>
      </c>
      <c r="M94" s="18">
        <v>0</v>
      </c>
      <c r="N94" s="22">
        <v>12800</v>
      </c>
    </row>
    <row r="95" spans="1:14" hidden="1">
      <c r="A95" s="21" t="s">
        <v>659</v>
      </c>
      <c r="B95" s="5" t="s">
        <v>663</v>
      </c>
      <c r="C95" s="6" t="s">
        <v>134</v>
      </c>
      <c r="D95" s="6" t="s">
        <v>135</v>
      </c>
      <c r="E95" s="6" t="s">
        <v>136</v>
      </c>
      <c r="F95" s="18">
        <v>8264.4600000000009</v>
      </c>
      <c r="G95" s="18">
        <v>0</v>
      </c>
      <c r="H95" s="6">
        <v>0</v>
      </c>
      <c r="I95" s="6">
        <v>0</v>
      </c>
      <c r="J95" s="6">
        <v>0</v>
      </c>
      <c r="K95" s="8">
        <v>1735.54</v>
      </c>
      <c r="L95" s="6">
        <v>0</v>
      </c>
      <c r="M95" s="18">
        <v>0</v>
      </c>
      <c r="N95" s="22">
        <v>10000</v>
      </c>
    </row>
    <row r="96" spans="1:14" hidden="1">
      <c r="A96" s="21" t="s">
        <v>659</v>
      </c>
      <c r="B96" s="5" t="s">
        <v>664</v>
      </c>
      <c r="C96" s="6" t="s">
        <v>134</v>
      </c>
      <c r="D96" s="6" t="s">
        <v>135</v>
      </c>
      <c r="E96" s="6" t="s">
        <v>136</v>
      </c>
      <c r="F96" s="18">
        <v>7438.02</v>
      </c>
      <c r="G96" s="18">
        <v>0</v>
      </c>
      <c r="H96" s="6">
        <v>0</v>
      </c>
      <c r="I96" s="6">
        <v>0</v>
      </c>
      <c r="J96" s="6">
        <v>0</v>
      </c>
      <c r="K96" s="8">
        <v>1561.98</v>
      </c>
      <c r="L96" s="6">
        <v>0</v>
      </c>
      <c r="M96" s="18">
        <v>0</v>
      </c>
      <c r="N96" s="22">
        <v>9000</v>
      </c>
    </row>
    <row r="97" spans="1:14" hidden="1">
      <c r="A97" s="21" t="s">
        <v>659</v>
      </c>
      <c r="B97" s="5" t="s">
        <v>665</v>
      </c>
      <c r="C97" s="6" t="s">
        <v>134</v>
      </c>
      <c r="D97" s="6" t="s">
        <v>135</v>
      </c>
      <c r="E97" s="6" t="s">
        <v>136</v>
      </c>
      <c r="F97" s="18">
        <v>8471.07</v>
      </c>
      <c r="G97" s="18">
        <v>0</v>
      </c>
      <c r="H97" s="6">
        <v>0</v>
      </c>
      <c r="I97" s="6">
        <v>0</v>
      </c>
      <c r="J97" s="6">
        <v>0</v>
      </c>
      <c r="K97" s="8">
        <v>1778.93</v>
      </c>
      <c r="L97" s="6">
        <v>0</v>
      </c>
      <c r="M97" s="18">
        <v>0</v>
      </c>
      <c r="N97" s="22">
        <v>10250</v>
      </c>
    </row>
    <row r="98" spans="1:14" hidden="1">
      <c r="A98" s="21" t="s">
        <v>659</v>
      </c>
      <c r="B98" s="5" t="s">
        <v>666</v>
      </c>
      <c r="C98" s="6" t="s">
        <v>134</v>
      </c>
      <c r="D98" s="6" t="s">
        <v>135</v>
      </c>
      <c r="E98" s="6" t="s">
        <v>136</v>
      </c>
      <c r="F98" s="18">
        <v>33884.300000000003</v>
      </c>
      <c r="G98" s="18">
        <v>0</v>
      </c>
      <c r="H98" s="6">
        <v>0</v>
      </c>
      <c r="I98" s="6">
        <v>0</v>
      </c>
      <c r="J98" s="6">
        <v>0</v>
      </c>
      <c r="K98" s="8">
        <v>7115.7</v>
      </c>
      <c r="L98" s="6">
        <v>0</v>
      </c>
      <c r="M98" s="18">
        <v>0</v>
      </c>
      <c r="N98" s="22">
        <v>41000</v>
      </c>
    </row>
    <row r="99" spans="1:14" hidden="1">
      <c r="A99" s="21" t="s">
        <v>659</v>
      </c>
      <c r="B99" s="5" t="s">
        <v>667</v>
      </c>
      <c r="C99" s="6" t="s">
        <v>134</v>
      </c>
      <c r="D99" s="6" t="s">
        <v>135</v>
      </c>
      <c r="E99" s="6" t="s">
        <v>136</v>
      </c>
      <c r="F99" s="18">
        <v>27272.73</v>
      </c>
      <c r="G99" s="18">
        <v>0</v>
      </c>
      <c r="H99" s="6">
        <v>0</v>
      </c>
      <c r="I99" s="6">
        <v>0</v>
      </c>
      <c r="J99" s="6">
        <v>0</v>
      </c>
      <c r="K99" s="8">
        <v>5727.27</v>
      </c>
      <c r="L99" s="6">
        <v>0</v>
      </c>
      <c r="M99" s="18">
        <v>0</v>
      </c>
      <c r="N99" s="22">
        <v>33000</v>
      </c>
    </row>
    <row r="100" spans="1:14" hidden="1">
      <c r="A100" s="21" t="s">
        <v>659</v>
      </c>
      <c r="B100" s="5" t="s">
        <v>668</v>
      </c>
      <c r="C100" s="6" t="s">
        <v>134</v>
      </c>
      <c r="D100" s="6" t="s">
        <v>135</v>
      </c>
      <c r="E100" s="6" t="s">
        <v>136</v>
      </c>
      <c r="F100" s="18">
        <v>10330.58</v>
      </c>
      <c r="G100" s="18">
        <v>0</v>
      </c>
      <c r="H100" s="6">
        <v>0</v>
      </c>
      <c r="I100" s="6">
        <v>0</v>
      </c>
      <c r="J100" s="6">
        <v>0</v>
      </c>
      <c r="K100" s="8">
        <v>2169.42</v>
      </c>
      <c r="L100" s="6">
        <v>0</v>
      </c>
      <c r="M100" s="18">
        <v>0</v>
      </c>
      <c r="N100" s="22">
        <v>12500</v>
      </c>
    </row>
    <row r="101" spans="1:14" hidden="1">
      <c r="A101" s="21" t="s">
        <v>659</v>
      </c>
      <c r="B101" s="5" t="s">
        <v>669</v>
      </c>
      <c r="C101" s="6" t="s">
        <v>134</v>
      </c>
      <c r="D101" s="6" t="s">
        <v>135</v>
      </c>
      <c r="E101" s="6" t="s">
        <v>136</v>
      </c>
      <c r="F101" s="18">
        <v>8677.69</v>
      </c>
      <c r="G101" s="18">
        <v>0</v>
      </c>
      <c r="H101" s="6">
        <v>0</v>
      </c>
      <c r="I101" s="6">
        <v>0</v>
      </c>
      <c r="J101" s="6">
        <v>0</v>
      </c>
      <c r="K101" s="8">
        <v>1822.31</v>
      </c>
      <c r="L101" s="6">
        <v>0</v>
      </c>
      <c r="M101" s="18">
        <v>0</v>
      </c>
      <c r="N101" s="22">
        <v>10500</v>
      </c>
    </row>
    <row r="102" spans="1:14" hidden="1">
      <c r="A102" s="21" t="s">
        <v>659</v>
      </c>
      <c r="B102" s="5" t="s">
        <v>670</v>
      </c>
      <c r="C102" s="6" t="s">
        <v>134</v>
      </c>
      <c r="D102" s="6" t="s">
        <v>135</v>
      </c>
      <c r="E102" s="6" t="s">
        <v>136</v>
      </c>
      <c r="F102" s="18">
        <v>14876.03</v>
      </c>
      <c r="G102" s="18">
        <v>0</v>
      </c>
      <c r="H102" s="6">
        <v>0</v>
      </c>
      <c r="I102" s="6">
        <v>0</v>
      </c>
      <c r="J102" s="6">
        <v>0</v>
      </c>
      <c r="K102" s="8">
        <v>3123.97</v>
      </c>
      <c r="L102" s="6">
        <v>0</v>
      </c>
      <c r="M102" s="18">
        <v>0</v>
      </c>
      <c r="N102" s="22">
        <v>18000</v>
      </c>
    </row>
    <row r="103" spans="1:14" hidden="1">
      <c r="A103" s="21" t="s">
        <v>659</v>
      </c>
      <c r="B103" s="5" t="s">
        <v>671</v>
      </c>
      <c r="C103" s="6" t="s">
        <v>134</v>
      </c>
      <c r="D103" s="6" t="s">
        <v>135</v>
      </c>
      <c r="E103" s="6" t="s">
        <v>136</v>
      </c>
      <c r="F103" s="18">
        <v>11157.02</v>
      </c>
      <c r="G103" s="18">
        <v>0</v>
      </c>
      <c r="H103" s="6">
        <v>0</v>
      </c>
      <c r="I103" s="6">
        <v>0</v>
      </c>
      <c r="J103" s="6">
        <v>0</v>
      </c>
      <c r="K103" s="8">
        <v>2342.98</v>
      </c>
      <c r="L103" s="6">
        <v>0</v>
      </c>
      <c r="M103" s="18">
        <v>0</v>
      </c>
      <c r="N103" s="22">
        <v>13500</v>
      </c>
    </row>
    <row r="104" spans="1:14" hidden="1">
      <c r="A104" s="21" t="s">
        <v>674</v>
      </c>
      <c r="B104" s="5" t="s">
        <v>675</v>
      </c>
      <c r="C104" s="6" t="s">
        <v>134</v>
      </c>
      <c r="D104" s="6" t="s">
        <v>135</v>
      </c>
      <c r="E104" s="6" t="s">
        <v>136</v>
      </c>
      <c r="F104" s="18">
        <v>10330.58</v>
      </c>
      <c r="G104" s="18">
        <v>0</v>
      </c>
      <c r="H104" s="6">
        <v>0</v>
      </c>
      <c r="I104" s="6">
        <v>0</v>
      </c>
      <c r="J104" s="6">
        <v>0</v>
      </c>
      <c r="K104" s="8">
        <v>2169.42</v>
      </c>
      <c r="L104" s="6">
        <v>0</v>
      </c>
      <c r="M104" s="18">
        <v>0</v>
      </c>
      <c r="N104" s="22">
        <v>12500</v>
      </c>
    </row>
    <row r="105" spans="1:14">
      <c r="A105" s="21" t="s">
        <v>674</v>
      </c>
      <c r="B105" s="5" t="s">
        <v>676</v>
      </c>
      <c r="C105" s="6" t="s">
        <v>677</v>
      </c>
      <c r="D105" s="6" t="s">
        <v>135</v>
      </c>
      <c r="E105" s="6">
        <v>43184022</v>
      </c>
      <c r="F105" s="18">
        <v>10330.58</v>
      </c>
      <c r="G105" s="18">
        <v>0</v>
      </c>
      <c r="H105" s="6">
        <v>0</v>
      </c>
      <c r="I105" s="6">
        <v>0</v>
      </c>
      <c r="J105" s="6">
        <v>0</v>
      </c>
      <c r="K105" s="8">
        <v>2169.42</v>
      </c>
      <c r="L105" s="6">
        <v>0</v>
      </c>
      <c r="M105" s="18">
        <v>0</v>
      </c>
      <c r="N105" s="22">
        <v>12500</v>
      </c>
    </row>
    <row r="106" spans="1:14" hidden="1">
      <c r="A106" s="21" t="s">
        <v>674</v>
      </c>
      <c r="B106" s="5" t="s">
        <v>678</v>
      </c>
      <c r="C106" s="6" t="s">
        <v>134</v>
      </c>
      <c r="D106" s="6" t="s">
        <v>135</v>
      </c>
      <c r="E106" s="6" t="s">
        <v>136</v>
      </c>
      <c r="F106" s="18">
        <v>11404.96</v>
      </c>
      <c r="G106" s="18">
        <v>0</v>
      </c>
      <c r="H106" s="6">
        <v>0</v>
      </c>
      <c r="I106" s="6">
        <v>0</v>
      </c>
      <c r="J106" s="6">
        <v>0</v>
      </c>
      <c r="K106" s="8">
        <v>2395.04</v>
      </c>
      <c r="L106" s="6">
        <v>0</v>
      </c>
      <c r="M106" s="18">
        <v>0</v>
      </c>
      <c r="N106" s="22">
        <v>13800</v>
      </c>
    </row>
    <row r="107" spans="1:14" hidden="1">
      <c r="A107" s="21" t="s">
        <v>674</v>
      </c>
      <c r="B107" s="5" t="s">
        <v>679</v>
      </c>
      <c r="C107" s="6" t="s">
        <v>134</v>
      </c>
      <c r="D107" s="6" t="s">
        <v>135</v>
      </c>
      <c r="E107" s="6" t="s">
        <v>136</v>
      </c>
      <c r="F107" s="18">
        <v>8264.4600000000009</v>
      </c>
      <c r="G107" s="18">
        <v>0</v>
      </c>
      <c r="H107" s="6">
        <v>0</v>
      </c>
      <c r="I107" s="6">
        <v>0</v>
      </c>
      <c r="J107" s="6">
        <v>0</v>
      </c>
      <c r="K107" s="8">
        <v>1735.54</v>
      </c>
      <c r="L107" s="6">
        <v>0</v>
      </c>
      <c r="M107" s="18">
        <v>0</v>
      </c>
      <c r="N107" s="22">
        <v>10000</v>
      </c>
    </row>
    <row r="108" spans="1:14" hidden="1">
      <c r="A108" s="21" t="s">
        <v>674</v>
      </c>
      <c r="B108" s="5" t="s">
        <v>680</v>
      </c>
      <c r="C108" s="6" t="s">
        <v>134</v>
      </c>
      <c r="D108" s="6" t="s">
        <v>135</v>
      </c>
      <c r="E108" s="6" t="s">
        <v>136</v>
      </c>
      <c r="F108" s="18">
        <v>40495.870000000003</v>
      </c>
      <c r="G108" s="18">
        <v>0</v>
      </c>
      <c r="H108" s="6">
        <v>0</v>
      </c>
      <c r="I108" s="6">
        <v>0</v>
      </c>
      <c r="J108" s="6">
        <v>0</v>
      </c>
      <c r="K108" s="8">
        <v>8504.130000000001</v>
      </c>
      <c r="L108" s="6">
        <v>0</v>
      </c>
      <c r="M108" s="18">
        <v>0</v>
      </c>
      <c r="N108" s="22">
        <v>49000</v>
      </c>
    </row>
    <row r="109" spans="1:14" hidden="1">
      <c r="A109" s="21" t="s">
        <v>674</v>
      </c>
      <c r="B109" s="5" t="s">
        <v>681</v>
      </c>
      <c r="C109" s="6" t="s">
        <v>134</v>
      </c>
      <c r="D109" s="6" t="s">
        <v>135</v>
      </c>
      <c r="E109" s="6" t="s">
        <v>136</v>
      </c>
      <c r="F109" s="18">
        <v>22107.439999999999</v>
      </c>
      <c r="G109" s="18">
        <v>0</v>
      </c>
      <c r="H109" s="6">
        <v>0</v>
      </c>
      <c r="I109" s="6">
        <v>0</v>
      </c>
      <c r="J109" s="6">
        <v>0</v>
      </c>
      <c r="K109" s="8">
        <v>4642.5600000000004</v>
      </c>
      <c r="L109" s="6">
        <v>0</v>
      </c>
      <c r="M109" s="18">
        <v>0</v>
      </c>
      <c r="N109" s="22">
        <v>26750</v>
      </c>
    </row>
    <row r="110" spans="1:14" hidden="1">
      <c r="A110" s="21" t="s">
        <v>674</v>
      </c>
      <c r="B110" s="5" t="s">
        <v>682</v>
      </c>
      <c r="C110" s="6" t="s">
        <v>134</v>
      </c>
      <c r="D110" s="6" t="s">
        <v>135</v>
      </c>
      <c r="E110" s="6" t="s">
        <v>136</v>
      </c>
      <c r="F110" s="18">
        <v>4545.45</v>
      </c>
      <c r="G110" s="18">
        <v>0</v>
      </c>
      <c r="H110" s="6">
        <v>0</v>
      </c>
      <c r="I110" s="6">
        <v>0</v>
      </c>
      <c r="J110" s="6">
        <v>0</v>
      </c>
      <c r="K110" s="8">
        <v>954.55</v>
      </c>
      <c r="L110" s="6">
        <v>0</v>
      </c>
      <c r="M110" s="18">
        <v>0</v>
      </c>
      <c r="N110" s="22">
        <v>5500</v>
      </c>
    </row>
    <row r="111" spans="1:14" hidden="1">
      <c r="A111" s="21" t="s">
        <v>674</v>
      </c>
      <c r="B111" s="5" t="s">
        <v>683</v>
      </c>
      <c r="C111" s="6" t="s">
        <v>134</v>
      </c>
      <c r="D111" s="6" t="s">
        <v>135</v>
      </c>
      <c r="E111" s="6" t="s">
        <v>136</v>
      </c>
      <c r="F111" s="18">
        <v>8471.07</v>
      </c>
      <c r="G111" s="18">
        <v>0</v>
      </c>
      <c r="H111" s="6">
        <v>0</v>
      </c>
      <c r="I111" s="6">
        <v>0</v>
      </c>
      <c r="J111" s="6">
        <v>0</v>
      </c>
      <c r="K111" s="8">
        <v>1778.93</v>
      </c>
      <c r="L111" s="6">
        <v>0</v>
      </c>
      <c r="M111" s="18">
        <v>0</v>
      </c>
      <c r="N111" s="22">
        <v>10250</v>
      </c>
    </row>
    <row r="112" spans="1:14" hidden="1">
      <c r="A112" s="21" t="s">
        <v>689</v>
      </c>
      <c r="B112" s="5" t="s">
        <v>690</v>
      </c>
      <c r="C112" s="6" t="s">
        <v>134</v>
      </c>
      <c r="D112" s="6" t="s">
        <v>135</v>
      </c>
      <c r="E112" s="6" t="s">
        <v>136</v>
      </c>
      <c r="F112" s="18">
        <v>11157.02</v>
      </c>
      <c r="G112" s="18">
        <v>0</v>
      </c>
      <c r="H112" s="6">
        <v>0</v>
      </c>
      <c r="I112" s="6">
        <v>0</v>
      </c>
      <c r="J112" s="6">
        <v>0</v>
      </c>
      <c r="K112" s="8">
        <v>2342.98</v>
      </c>
      <c r="L112" s="6">
        <v>0</v>
      </c>
      <c r="M112" s="18">
        <v>0</v>
      </c>
      <c r="N112" s="22">
        <v>13500</v>
      </c>
    </row>
    <row r="113" spans="1:14" hidden="1">
      <c r="A113" s="21" t="s">
        <v>689</v>
      </c>
      <c r="B113" s="5" t="s">
        <v>691</v>
      </c>
      <c r="C113" s="6" t="s">
        <v>134</v>
      </c>
      <c r="D113" s="6" t="s">
        <v>135</v>
      </c>
      <c r="E113" s="6" t="s">
        <v>136</v>
      </c>
      <c r="F113" s="18">
        <v>16942.150000000001</v>
      </c>
      <c r="G113" s="18">
        <v>0</v>
      </c>
      <c r="H113" s="6">
        <v>0</v>
      </c>
      <c r="I113" s="6">
        <v>0</v>
      </c>
      <c r="J113" s="6">
        <v>0</v>
      </c>
      <c r="K113" s="8">
        <v>3557.85</v>
      </c>
      <c r="L113" s="6">
        <v>0</v>
      </c>
      <c r="M113" s="18">
        <v>0</v>
      </c>
      <c r="N113" s="22">
        <v>20500</v>
      </c>
    </row>
    <row r="114" spans="1:14" hidden="1">
      <c r="A114" s="21" t="s">
        <v>689</v>
      </c>
      <c r="B114" s="5" t="s">
        <v>692</v>
      </c>
      <c r="C114" s="6" t="s">
        <v>134</v>
      </c>
      <c r="D114" s="6" t="s">
        <v>135</v>
      </c>
      <c r="E114" s="6" t="s">
        <v>136</v>
      </c>
      <c r="F114" s="18">
        <v>3057.85</v>
      </c>
      <c r="G114" s="18">
        <v>0</v>
      </c>
      <c r="H114" s="6">
        <v>0</v>
      </c>
      <c r="I114" s="6">
        <v>0</v>
      </c>
      <c r="J114" s="6">
        <v>0</v>
      </c>
      <c r="K114" s="8">
        <v>642.15</v>
      </c>
      <c r="L114" s="6">
        <v>0</v>
      </c>
      <c r="M114" s="18">
        <v>0</v>
      </c>
      <c r="N114" s="22">
        <v>3700</v>
      </c>
    </row>
    <row r="115" spans="1:14" hidden="1">
      <c r="A115" s="21" t="s">
        <v>689</v>
      </c>
      <c r="B115" s="5" t="s">
        <v>693</v>
      </c>
      <c r="C115" s="6" t="s">
        <v>134</v>
      </c>
      <c r="D115" s="6" t="s">
        <v>135</v>
      </c>
      <c r="E115" s="6" t="s">
        <v>136</v>
      </c>
      <c r="F115" s="18">
        <v>8471.07</v>
      </c>
      <c r="G115" s="18">
        <v>0</v>
      </c>
      <c r="H115" s="6">
        <v>0</v>
      </c>
      <c r="I115" s="6">
        <v>0</v>
      </c>
      <c r="J115" s="6">
        <v>0</v>
      </c>
      <c r="K115" s="8">
        <v>1778.93</v>
      </c>
      <c r="L115" s="6">
        <v>0</v>
      </c>
      <c r="M115" s="18">
        <v>0</v>
      </c>
      <c r="N115" s="22">
        <v>10250</v>
      </c>
    </row>
    <row r="116" spans="1:14" hidden="1">
      <c r="A116" s="21" t="s">
        <v>689</v>
      </c>
      <c r="B116" s="5" t="s">
        <v>694</v>
      </c>
      <c r="C116" s="6" t="s">
        <v>134</v>
      </c>
      <c r="D116" s="6" t="s">
        <v>135</v>
      </c>
      <c r="E116" s="6" t="s">
        <v>136</v>
      </c>
      <c r="F116" s="18">
        <v>8677.69</v>
      </c>
      <c r="G116" s="18">
        <v>0</v>
      </c>
      <c r="H116" s="6">
        <v>0</v>
      </c>
      <c r="I116" s="6">
        <v>0</v>
      </c>
      <c r="J116" s="6">
        <v>0</v>
      </c>
      <c r="K116" s="8">
        <v>1822.31</v>
      </c>
      <c r="L116" s="6">
        <v>0</v>
      </c>
      <c r="M116" s="18">
        <v>0</v>
      </c>
      <c r="N116" s="22">
        <v>10500</v>
      </c>
    </row>
    <row r="117" spans="1:14" hidden="1">
      <c r="A117" s="21" t="s">
        <v>689</v>
      </c>
      <c r="B117" s="5" t="s">
        <v>695</v>
      </c>
      <c r="C117" s="6" t="s">
        <v>134</v>
      </c>
      <c r="D117" s="6" t="s">
        <v>135</v>
      </c>
      <c r="E117" s="6" t="s">
        <v>136</v>
      </c>
      <c r="F117" s="18">
        <v>33057.85</v>
      </c>
      <c r="G117" s="18">
        <v>0</v>
      </c>
      <c r="H117" s="6">
        <v>0</v>
      </c>
      <c r="I117" s="6">
        <v>0</v>
      </c>
      <c r="J117" s="6">
        <v>0</v>
      </c>
      <c r="K117" s="8">
        <v>6942.15</v>
      </c>
      <c r="L117" s="6">
        <v>0</v>
      </c>
      <c r="M117" s="18">
        <v>0</v>
      </c>
      <c r="N117" s="22">
        <v>40000</v>
      </c>
    </row>
    <row r="118" spans="1:14" hidden="1">
      <c r="A118" s="21" t="s">
        <v>701</v>
      </c>
      <c r="B118" s="5" t="s">
        <v>702</v>
      </c>
      <c r="C118" s="6" t="s">
        <v>134</v>
      </c>
      <c r="D118" s="6" t="s">
        <v>135</v>
      </c>
      <c r="E118" s="6" t="s">
        <v>136</v>
      </c>
      <c r="F118" s="18">
        <v>8471.07</v>
      </c>
      <c r="G118" s="18">
        <v>0</v>
      </c>
      <c r="H118" s="6">
        <v>0</v>
      </c>
      <c r="I118" s="6">
        <v>0</v>
      </c>
      <c r="J118" s="6">
        <v>0</v>
      </c>
      <c r="K118" s="8">
        <v>1778.93</v>
      </c>
      <c r="L118" s="6">
        <v>0</v>
      </c>
      <c r="M118" s="18">
        <v>0</v>
      </c>
      <c r="N118" s="22">
        <v>10250</v>
      </c>
    </row>
    <row r="119" spans="1:14" hidden="1">
      <c r="A119" s="21" t="s">
        <v>701</v>
      </c>
      <c r="B119" s="5" t="s">
        <v>703</v>
      </c>
      <c r="C119" s="6" t="s">
        <v>134</v>
      </c>
      <c r="D119" s="6" t="s">
        <v>135</v>
      </c>
      <c r="E119" s="6" t="s">
        <v>136</v>
      </c>
      <c r="F119" s="18">
        <v>30165.29</v>
      </c>
      <c r="G119" s="18">
        <v>0</v>
      </c>
      <c r="H119" s="6">
        <v>0</v>
      </c>
      <c r="I119" s="6">
        <v>0</v>
      </c>
      <c r="J119" s="6">
        <v>0</v>
      </c>
      <c r="K119" s="8">
        <v>6334.71</v>
      </c>
      <c r="L119" s="6">
        <v>0</v>
      </c>
      <c r="M119" s="18">
        <v>0</v>
      </c>
      <c r="N119" s="22">
        <v>36500</v>
      </c>
    </row>
    <row r="120" spans="1:14" hidden="1">
      <c r="A120" s="21" t="s">
        <v>701</v>
      </c>
      <c r="B120" s="5" t="s">
        <v>704</v>
      </c>
      <c r="C120" s="6" t="s">
        <v>134</v>
      </c>
      <c r="D120" s="6" t="s">
        <v>135</v>
      </c>
      <c r="E120" s="6" t="s">
        <v>136</v>
      </c>
      <c r="F120" s="18">
        <v>10330.58</v>
      </c>
      <c r="G120" s="18">
        <v>0</v>
      </c>
      <c r="H120" s="6">
        <v>0</v>
      </c>
      <c r="I120" s="6">
        <v>0</v>
      </c>
      <c r="J120" s="6">
        <v>0</v>
      </c>
      <c r="K120" s="8">
        <v>2169.42</v>
      </c>
      <c r="L120" s="6">
        <v>0</v>
      </c>
      <c r="M120" s="18">
        <v>0</v>
      </c>
      <c r="N120" s="22">
        <v>12500</v>
      </c>
    </row>
    <row r="121" spans="1:14" hidden="1">
      <c r="A121" s="21" t="s">
        <v>701</v>
      </c>
      <c r="B121" s="5" t="s">
        <v>705</v>
      </c>
      <c r="C121" s="6" t="s">
        <v>134</v>
      </c>
      <c r="D121" s="6" t="s">
        <v>135</v>
      </c>
      <c r="E121" s="6" t="s">
        <v>136</v>
      </c>
      <c r="F121" s="18">
        <v>8264.4600000000009</v>
      </c>
      <c r="G121" s="18">
        <v>0</v>
      </c>
      <c r="H121" s="6">
        <v>0</v>
      </c>
      <c r="I121" s="6">
        <v>0</v>
      </c>
      <c r="J121" s="6">
        <v>0</v>
      </c>
      <c r="K121" s="8">
        <v>1735.54</v>
      </c>
      <c r="L121" s="6">
        <v>0</v>
      </c>
      <c r="M121" s="18">
        <v>0</v>
      </c>
      <c r="N121" s="22">
        <v>10000</v>
      </c>
    </row>
    <row r="122" spans="1:14" hidden="1">
      <c r="A122" s="21" t="s">
        <v>701</v>
      </c>
      <c r="B122" s="5" t="s">
        <v>706</v>
      </c>
      <c r="C122" s="6" t="s">
        <v>134</v>
      </c>
      <c r="D122" s="6" t="s">
        <v>135</v>
      </c>
      <c r="E122" s="6" t="s">
        <v>136</v>
      </c>
      <c r="F122" s="18">
        <v>1983.47</v>
      </c>
      <c r="G122" s="18">
        <v>0</v>
      </c>
      <c r="H122" s="6">
        <v>0</v>
      </c>
      <c r="I122" s="6">
        <v>0</v>
      </c>
      <c r="J122" s="6">
        <v>0</v>
      </c>
      <c r="K122" s="8">
        <v>416.53</v>
      </c>
      <c r="L122" s="6">
        <v>0</v>
      </c>
      <c r="M122" s="18">
        <v>0</v>
      </c>
      <c r="N122" s="22">
        <v>2400</v>
      </c>
    </row>
    <row r="123" spans="1:14" hidden="1">
      <c r="A123" s="21" t="s">
        <v>701</v>
      </c>
      <c r="B123" s="5" t="s">
        <v>707</v>
      </c>
      <c r="C123" s="6" t="s">
        <v>134</v>
      </c>
      <c r="D123" s="6" t="s">
        <v>135</v>
      </c>
      <c r="E123" s="6" t="s">
        <v>136</v>
      </c>
      <c r="F123" s="18">
        <v>8471.07</v>
      </c>
      <c r="G123" s="18">
        <v>0</v>
      </c>
      <c r="H123" s="6">
        <v>0</v>
      </c>
      <c r="I123" s="6">
        <v>0</v>
      </c>
      <c r="J123" s="6">
        <v>0</v>
      </c>
      <c r="K123" s="8">
        <v>1778.93</v>
      </c>
      <c r="L123" s="6">
        <v>0</v>
      </c>
      <c r="M123" s="18">
        <v>0</v>
      </c>
      <c r="N123" s="22">
        <v>10250</v>
      </c>
    </row>
    <row r="124" spans="1:14" hidden="1">
      <c r="A124" s="21" t="s">
        <v>701</v>
      </c>
      <c r="B124" s="5" t="s">
        <v>708</v>
      </c>
      <c r="C124" s="6" t="s">
        <v>134</v>
      </c>
      <c r="D124" s="6" t="s">
        <v>135</v>
      </c>
      <c r="E124" s="6" t="s">
        <v>136</v>
      </c>
      <c r="F124" s="18">
        <v>21322.31</v>
      </c>
      <c r="G124" s="18">
        <v>0</v>
      </c>
      <c r="H124" s="6">
        <v>0</v>
      </c>
      <c r="I124" s="6">
        <v>0</v>
      </c>
      <c r="J124" s="6">
        <v>0</v>
      </c>
      <c r="K124" s="8">
        <v>4477.6900000000005</v>
      </c>
      <c r="L124" s="6">
        <v>0</v>
      </c>
      <c r="M124" s="18">
        <v>0</v>
      </c>
      <c r="N124" s="22">
        <v>25800</v>
      </c>
    </row>
    <row r="125" spans="1:14" hidden="1">
      <c r="A125" s="21" t="s">
        <v>701</v>
      </c>
      <c r="B125" s="5" t="s">
        <v>709</v>
      </c>
      <c r="C125" s="6" t="s">
        <v>134</v>
      </c>
      <c r="D125" s="6" t="s">
        <v>135</v>
      </c>
      <c r="E125" s="6" t="s">
        <v>136</v>
      </c>
      <c r="F125" s="18">
        <v>22107.439999999999</v>
      </c>
      <c r="G125" s="18">
        <v>0</v>
      </c>
      <c r="H125" s="6">
        <v>0</v>
      </c>
      <c r="I125" s="6">
        <v>0</v>
      </c>
      <c r="J125" s="6">
        <v>0</v>
      </c>
      <c r="K125" s="8">
        <v>4642.5600000000004</v>
      </c>
      <c r="L125" s="6">
        <v>0</v>
      </c>
      <c r="M125" s="18">
        <v>0</v>
      </c>
      <c r="N125" s="22">
        <v>26750</v>
      </c>
    </row>
    <row r="126" spans="1:14" hidden="1">
      <c r="A126" s="21" t="s">
        <v>701</v>
      </c>
      <c r="B126" s="5" t="s">
        <v>710</v>
      </c>
      <c r="C126" s="6" t="s">
        <v>134</v>
      </c>
      <c r="D126" s="6" t="s">
        <v>135</v>
      </c>
      <c r="E126" s="6" t="s">
        <v>136</v>
      </c>
      <c r="F126" s="18">
        <v>22809.919999999998</v>
      </c>
      <c r="G126" s="18">
        <v>0</v>
      </c>
      <c r="H126" s="6">
        <v>0</v>
      </c>
      <c r="I126" s="6">
        <v>0</v>
      </c>
      <c r="J126" s="6">
        <v>0</v>
      </c>
      <c r="K126" s="8">
        <v>4790.08</v>
      </c>
      <c r="L126" s="6">
        <v>0</v>
      </c>
      <c r="M126" s="18">
        <v>0</v>
      </c>
      <c r="N126" s="22">
        <v>27600</v>
      </c>
    </row>
    <row r="127" spans="1:14" hidden="1">
      <c r="A127" s="21" t="s">
        <v>701</v>
      </c>
      <c r="B127" s="5" t="s">
        <v>711</v>
      </c>
      <c r="C127" s="6" t="s">
        <v>134</v>
      </c>
      <c r="D127" s="6" t="s">
        <v>135</v>
      </c>
      <c r="E127" s="6" t="s">
        <v>136</v>
      </c>
      <c r="F127" s="18">
        <v>21487.599999999999</v>
      </c>
      <c r="G127" s="18">
        <v>0</v>
      </c>
      <c r="H127" s="6">
        <v>0</v>
      </c>
      <c r="I127" s="6">
        <v>0</v>
      </c>
      <c r="J127" s="6">
        <v>0</v>
      </c>
      <c r="K127" s="8">
        <v>4512.4000000000005</v>
      </c>
      <c r="L127" s="6">
        <v>0</v>
      </c>
      <c r="M127" s="18">
        <v>0</v>
      </c>
      <c r="N127" s="22">
        <v>26000</v>
      </c>
    </row>
    <row r="128" spans="1:14" hidden="1">
      <c r="A128" s="21" t="s">
        <v>701</v>
      </c>
      <c r="B128" s="5" t="s">
        <v>712</v>
      </c>
      <c r="C128" s="6" t="s">
        <v>134</v>
      </c>
      <c r="D128" s="6" t="s">
        <v>135</v>
      </c>
      <c r="E128" s="6" t="s">
        <v>136</v>
      </c>
      <c r="F128" s="18">
        <v>18595.04</v>
      </c>
      <c r="G128" s="18">
        <v>0</v>
      </c>
      <c r="H128" s="6">
        <v>0</v>
      </c>
      <c r="I128" s="6">
        <v>0</v>
      </c>
      <c r="J128" s="6">
        <v>0</v>
      </c>
      <c r="K128" s="8">
        <v>3904.96</v>
      </c>
      <c r="L128" s="6">
        <v>0</v>
      </c>
      <c r="M128" s="18">
        <v>0</v>
      </c>
      <c r="N128" s="22">
        <v>22500</v>
      </c>
    </row>
    <row r="129" spans="1:14" hidden="1">
      <c r="A129" s="21" t="s">
        <v>701</v>
      </c>
      <c r="B129" s="5" t="s">
        <v>713</v>
      </c>
      <c r="C129" s="6" t="s">
        <v>134</v>
      </c>
      <c r="D129" s="6" t="s">
        <v>135</v>
      </c>
      <c r="E129" s="6" t="s">
        <v>136</v>
      </c>
      <c r="F129" s="18">
        <v>10743.8</v>
      </c>
      <c r="G129" s="18">
        <v>0</v>
      </c>
      <c r="H129" s="6">
        <v>0</v>
      </c>
      <c r="I129" s="6">
        <v>0</v>
      </c>
      <c r="J129" s="6">
        <v>0</v>
      </c>
      <c r="K129" s="8">
        <v>2256.2000000000003</v>
      </c>
      <c r="L129" s="6">
        <v>0</v>
      </c>
      <c r="M129" s="18">
        <v>0</v>
      </c>
      <c r="N129" s="22">
        <v>13000</v>
      </c>
    </row>
    <row r="130" spans="1:14" hidden="1">
      <c r="A130" s="21" t="s">
        <v>701</v>
      </c>
      <c r="B130" s="5" t="s">
        <v>714</v>
      </c>
      <c r="C130" s="6" t="s">
        <v>134</v>
      </c>
      <c r="D130" s="6" t="s">
        <v>135</v>
      </c>
      <c r="E130" s="6" t="s">
        <v>136</v>
      </c>
      <c r="F130" s="18">
        <v>13636.36</v>
      </c>
      <c r="G130" s="18">
        <v>0</v>
      </c>
      <c r="H130" s="6">
        <v>0</v>
      </c>
      <c r="I130" s="6">
        <v>0</v>
      </c>
      <c r="J130" s="6">
        <v>0</v>
      </c>
      <c r="K130" s="8">
        <v>2863.64</v>
      </c>
      <c r="L130" s="6">
        <v>0</v>
      </c>
      <c r="M130" s="18">
        <v>0</v>
      </c>
      <c r="N130" s="22">
        <v>16500</v>
      </c>
    </row>
    <row r="131" spans="1:14" hidden="1">
      <c r="A131" s="21" t="s">
        <v>721</v>
      </c>
      <c r="B131" s="5" t="s">
        <v>722</v>
      </c>
      <c r="C131" s="6" t="s">
        <v>134</v>
      </c>
      <c r="D131" s="6" t="s">
        <v>135</v>
      </c>
      <c r="E131" s="6" t="s">
        <v>136</v>
      </c>
      <c r="F131" s="18">
        <v>28925.62</v>
      </c>
      <c r="G131" s="18">
        <v>0</v>
      </c>
      <c r="H131" s="6">
        <v>0</v>
      </c>
      <c r="I131" s="6">
        <v>0</v>
      </c>
      <c r="J131" s="6">
        <v>0</v>
      </c>
      <c r="K131" s="8">
        <v>6074.38</v>
      </c>
      <c r="L131" s="6">
        <v>0</v>
      </c>
      <c r="M131" s="18">
        <v>0</v>
      </c>
      <c r="N131" s="22">
        <v>35000</v>
      </c>
    </row>
    <row r="132" spans="1:14" hidden="1">
      <c r="A132" s="21" t="s">
        <v>721</v>
      </c>
      <c r="B132" s="5" t="s">
        <v>723</v>
      </c>
      <c r="C132" s="6" t="s">
        <v>134</v>
      </c>
      <c r="D132" s="6" t="s">
        <v>135</v>
      </c>
      <c r="E132" s="6" t="s">
        <v>136</v>
      </c>
      <c r="F132" s="18">
        <v>21487.599999999999</v>
      </c>
      <c r="G132" s="18">
        <v>0</v>
      </c>
      <c r="H132" s="6">
        <v>0</v>
      </c>
      <c r="I132" s="6">
        <v>0</v>
      </c>
      <c r="J132" s="6">
        <v>0</v>
      </c>
      <c r="K132" s="8">
        <v>4512.4000000000005</v>
      </c>
      <c r="L132" s="6">
        <v>0</v>
      </c>
      <c r="M132" s="18">
        <v>0</v>
      </c>
      <c r="N132" s="22">
        <v>26000</v>
      </c>
    </row>
    <row r="133" spans="1:14" hidden="1">
      <c r="A133" s="21" t="s">
        <v>721</v>
      </c>
      <c r="B133" s="5" t="s">
        <v>724</v>
      </c>
      <c r="C133" s="6" t="s">
        <v>134</v>
      </c>
      <c r="D133" s="6" t="s">
        <v>135</v>
      </c>
      <c r="E133" s="6" t="s">
        <v>136</v>
      </c>
      <c r="F133" s="18">
        <v>9917.36</v>
      </c>
      <c r="G133" s="18">
        <v>0</v>
      </c>
      <c r="H133" s="6">
        <v>0</v>
      </c>
      <c r="I133" s="6">
        <v>0</v>
      </c>
      <c r="J133" s="6">
        <v>0</v>
      </c>
      <c r="K133" s="8">
        <v>2082.64</v>
      </c>
      <c r="L133" s="6">
        <v>0</v>
      </c>
      <c r="M133" s="18">
        <v>0</v>
      </c>
      <c r="N133" s="22">
        <v>12000</v>
      </c>
    </row>
    <row r="134" spans="1:14" hidden="1">
      <c r="A134" s="21" t="s">
        <v>721</v>
      </c>
      <c r="B134" s="5" t="s">
        <v>725</v>
      </c>
      <c r="C134" s="6" t="s">
        <v>134</v>
      </c>
      <c r="D134" s="6" t="s">
        <v>135</v>
      </c>
      <c r="E134" s="6" t="s">
        <v>136</v>
      </c>
      <c r="F134" s="18">
        <v>8471.07</v>
      </c>
      <c r="G134" s="18">
        <v>0</v>
      </c>
      <c r="H134" s="6">
        <v>0</v>
      </c>
      <c r="I134" s="6">
        <v>0</v>
      </c>
      <c r="J134" s="6">
        <v>0</v>
      </c>
      <c r="K134" s="8">
        <v>1778.93</v>
      </c>
      <c r="L134" s="6">
        <v>0</v>
      </c>
      <c r="M134" s="18">
        <v>0</v>
      </c>
      <c r="N134" s="22">
        <v>10250</v>
      </c>
    </row>
    <row r="135" spans="1:14" hidden="1">
      <c r="A135" s="21" t="s">
        <v>721</v>
      </c>
      <c r="B135" s="5" t="s">
        <v>726</v>
      </c>
      <c r="C135" s="6" t="s">
        <v>134</v>
      </c>
      <c r="D135" s="6" t="s">
        <v>135</v>
      </c>
      <c r="E135" s="6" t="s">
        <v>136</v>
      </c>
      <c r="F135" s="18">
        <v>23801.65</v>
      </c>
      <c r="G135" s="18">
        <v>0</v>
      </c>
      <c r="H135" s="6">
        <v>0</v>
      </c>
      <c r="I135" s="6">
        <v>0</v>
      </c>
      <c r="J135" s="6">
        <v>0</v>
      </c>
      <c r="K135" s="8">
        <v>4998.3500000000004</v>
      </c>
      <c r="L135" s="6">
        <v>0</v>
      </c>
      <c r="M135" s="18">
        <v>0</v>
      </c>
      <c r="N135" s="22">
        <v>28800</v>
      </c>
    </row>
    <row r="136" spans="1:14" hidden="1">
      <c r="A136" s="21" t="s">
        <v>721</v>
      </c>
      <c r="B136" s="5" t="s">
        <v>727</v>
      </c>
      <c r="C136" s="6" t="s">
        <v>134</v>
      </c>
      <c r="D136" s="6" t="s">
        <v>135</v>
      </c>
      <c r="E136" s="6" t="s">
        <v>136</v>
      </c>
      <c r="F136" s="18">
        <v>25619.83</v>
      </c>
      <c r="G136" s="18">
        <v>0</v>
      </c>
      <c r="H136" s="6">
        <v>0</v>
      </c>
      <c r="I136" s="6">
        <v>0</v>
      </c>
      <c r="J136" s="6">
        <v>0</v>
      </c>
      <c r="K136" s="8">
        <v>5380.17</v>
      </c>
      <c r="L136" s="6">
        <v>0</v>
      </c>
      <c r="M136" s="18">
        <v>0</v>
      </c>
      <c r="N136" s="22">
        <v>31000</v>
      </c>
    </row>
    <row r="137" spans="1:14">
      <c r="A137" s="21" t="s">
        <v>721</v>
      </c>
      <c r="B137" s="5" t="s">
        <v>728</v>
      </c>
      <c r="C137" s="6" t="s">
        <v>729</v>
      </c>
      <c r="D137" s="6" t="s">
        <v>135</v>
      </c>
      <c r="E137" s="6">
        <v>45750236</v>
      </c>
      <c r="F137" s="18">
        <v>30165.29</v>
      </c>
      <c r="G137" s="18">
        <v>0</v>
      </c>
      <c r="H137" s="6">
        <v>0</v>
      </c>
      <c r="I137" s="6">
        <v>0</v>
      </c>
      <c r="J137" s="6">
        <v>0</v>
      </c>
      <c r="K137" s="8">
        <v>6334.71</v>
      </c>
      <c r="L137" s="6">
        <v>0</v>
      </c>
      <c r="M137" s="18">
        <v>0</v>
      </c>
      <c r="N137" s="22">
        <v>36500</v>
      </c>
    </row>
    <row r="138" spans="1:14" hidden="1">
      <c r="A138" s="21" t="s">
        <v>721</v>
      </c>
      <c r="B138" s="5" t="s">
        <v>730</v>
      </c>
      <c r="C138" s="6" t="s">
        <v>134</v>
      </c>
      <c r="D138" s="6" t="s">
        <v>135</v>
      </c>
      <c r="E138" s="6" t="s">
        <v>136</v>
      </c>
      <c r="F138" s="18">
        <v>8677.69</v>
      </c>
      <c r="G138" s="18">
        <v>0</v>
      </c>
      <c r="H138" s="6">
        <v>0</v>
      </c>
      <c r="I138" s="6">
        <v>0</v>
      </c>
      <c r="J138" s="6">
        <v>0</v>
      </c>
      <c r="K138" s="8">
        <v>1822.31</v>
      </c>
      <c r="L138" s="6">
        <v>0</v>
      </c>
      <c r="M138" s="18">
        <v>0</v>
      </c>
      <c r="N138" s="22">
        <v>10500</v>
      </c>
    </row>
    <row r="139" spans="1:14" hidden="1">
      <c r="A139" s="21" t="s">
        <v>721</v>
      </c>
      <c r="B139" s="5" t="s">
        <v>731</v>
      </c>
      <c r="C139" s="6" t="s">
        <v>134</v>
      </c>
      <c r="D139" s="6" t="s">
        <v>135</v>
      </c>
      <c r="E139" s="6" t="s">
        <v>136</v>
      </c>
      <c r="F139" s="18">
        <v>16942.150000000001</v>
      </c>
      <c r="G139" s="18">
        <v>0</v>
      </c>
      <c r="H139" s="6">
        <v>0</v>
      </c>
      <c r="I139" s="6">
        <v>0</v>
      </c>
      <c r="J139" s="6">
        <v>0</v>
      </c>
      <c r="K139" s="8">
        <v>3557.85</v>
      </c>
      <c r="L139" s="6">
        <v>0</v>
      </c>
      <c r="M139" s="18">
        <v>0</v>
      </c>
      <c r="N139" s="22">
        <v>20500</v>
      </c>
    </row>
    <row r="140" spans="1:14" hidden="1">
      <c r="A140" s="21" t="s">
        <v>737</v>
      </c>
      <c r="B140" s="5" t="s">
        <v>740</v>
      </c>
      <c r="C140" s="6" t="s">
        <v>134</v>
      </c>
      <c r="D140" s="6" t="s">
        <v>135</v>
      </c>
      <c r="E140" s="6" t="s">
        <v>136</v>
      </c>
      <c r="F140" s="18">
        <v>8677.69</v>
      </c>
      <c r="G140" s="18">
        <v>0</v>
      </c>
      <c r="H140" s="6">
        <v>0</v>
      </c>
      <c r="I140" s="6">
        <v>0</v>
      </c>
      <c r="J140" s="6">
        <v>0</v>
      </c>
      <c r="K140" s="8">
        <v>1822.31</v>
      </c>
      <c r="L140" s="6">
        <v>0</v>
      </c>
      <c r="M140" s="18">
        <v>0</v>
      </c>
      <c r="N140" s="22">
        <v>10500</v>
      </c>
    </row>
    <row r="141" spans="1:14" hidden="1">
      <c r="A141" s="21" t="s">
        <v>737</v>
      </c>
      <c r="B141" s="5" t="s">
        <v>741</v>
      </c>
      <c r="C141" s="6" t="s">
        <v>134</v>
      </c>
      <c r="D141" s="6" t="s">
        <v>135</v>
      </c>
      <c r="E141" s="6" t="s">
        <v>136</v>
      </c>
      <c r="F141" s="18">
        <v>16528.93</v>
      </c>
      <c r="G141" s="18">
        <v>0</v>
      </c>
      <c r="H141" s="6">
        <v>0</v>
      </c>
      <c r="I141" s="6">
        <v>0</v>
      </c>
      <c r="J141" s="6">
        <v>0</v>
      </c>
      <c r="K141" s="8">
        <v>3471.07</v>
      </c>
      <c r="L141" s="6">
        <v>0</v>
      </c>
      <c r="M141" s="18">
        <v>0</v>
      </c>
      <c r="N141" s="22">
        <v>20000</v>
      </c>
    </row>
    <row r="142" spans="1:14" hidden="1">
      <c r="A142" s="21" t="s">
        <v>737</v>
      </c>
      <c r="B142" s="5" t="s">
        <v>742</v>
      </c>
      <c r="C142" s="6" t="s">
        <v>134</v>
      </c>
      <c r="D142" s="6" t="s">
        <v>135</v>
      </c>
      <c r="E142" s="6" t="s">
        <v>136</v>
      </c>
      <c r="F142" s="18">
        <v>33388.43</v>
      </c>
      <c r="G142" s="18">
        <v>0</v>
      </c>
      <c r="H142" s="6">
        <v>0</v>
      </c>
      <c r="I142" s="6">
        <v>0</v>
      </c>
      <c r="J142" s="6">
        <v>0</v>
      </c>
      <c r="K142" s="8">
        <v>7011.57</v>
      </c>
      <c r="L142" s="6">
        <v>0</v>
      </c>
      <c r="M142" s="18">
        <v>0</v>
      </c>
      <c r="N142" s="22">
        <v>40400</v>
      </c>
    </row>
    <row r="143" spans="1:14" hidden="1">
      <c r="A143" s="21" t="s">
        <v>737</v>
      </c>
      <c r="B143" s="5" t="s">
        <v>743</v>
      </c>
      <c r="C143" s="6" t="s">
        <v>134</v>
      </c>
      <c r="D143" s="6" t="s">
        <v>135</v>
      </c>
      <c r="E143" s="6" t="s">
        <v>136</v>
      </c>
      <c r="F143" s="18">
        <v>28925.62</v>
      </c>
      <c r="G143" s="18">
        <v>0</v>
      </c>
      <c r="H143" s="6">
        <v>0</v>
      </c>
      <c r="I143" s="6">
        <v>0</v>
      </c>
      <c r="J143" s="6">
        <v>0</v>
      </c>
      <c r="K143" s="8">
        <v>6074.38</v>
      </c>
      <c r="L143" s="6">
        <v>0</v>
      </c>
      <c r="M143" s="18">
        <v>0</v>
      </c>
      <c r="N143" s="22">
        <v>35000</v>
      </c>
    </row>
    <row r="144" spans="1:14" hidden="1">
      <c r="A144" s="21" t="s">
        <v>737</v>
      </c>
      <c r="B144" s="5" t="s">
        <v>744</v>
      </c>
      <c r="C144" s="6" t="s">
        <v>134</v>
      </c>
      <c r="D144" s="6" t="s">
        <v>135</v>
      </c>
      <c r="E144" s="6" t="s">
        <v>136</v>
      </c>
      <c r="F144" s="18">
        <v>29752.07</v>
      </c>
      <c r="G144" s="18">
        <v>0</v>
      </c>
      <c r="H144" s="6">
        <v>0</v>
      </c>
      <c r="I144" s="6">
        <v>0</v>
      </c>
      <c r="J144" s="6">
        <v>0</v>
      </c>
      <c r="K144" s="8">
        <v>6247.93</v>
      </c>
      <c r="L144" s="6">
        <v>0</v>
      </c>
      <c r="M144" s="18">
        <v>0</v>
      </c>
      <c r="N144" s="22">
        <v>36000</v>
      </c>
    </row>
    <row r="145" spans="1:14" hidden="1">
      <c r="A145" s="21" t="s">
        <v>737</v>
      </c>
      <c r="B145" s="5" t="s">
        <v>745</v>
      </c>
      <c r="C145" s="6" t="s">
        <v>134</v>
      </c>
      <c r="D145" s="6" t="s">
        <v>135</v>
      </c>
      <c r="E145" s="6" t="s">
        <v>136</v>
      </c>
      <c r="F145" s="18">
        <v>4958.68</v>
      </c>
      <c r="G145" s="18">
        <v>0</v>
      </c>
      <c r="H145" s="6">
        <v>0</v>
      </c>
      <c r="I145" s="6">
        <v>0</v>
      </c>
      <c r="J145" s="6">
        <v>0</v>
      </c>
      <c r="K145" s="8">
        <v>1041.32</v>
      </c>
      <c r="L145" s="6">
        <v>0</v>
      </c>
      <c r="M145" s="18">
        <v>0</v>
      </c>
      <c r="N145" s="22">
        <v>6000</v>
      </c>
    </row>
    <row r="146" spans="1:14">
      <c r="A146" s="21" t="s">
        <v>737</v>
      </c>
      <c r="B146" s="5" t="s">
        <v>746</v>
      </c>
      <c r="C146" s="6" t="s">
        <v>747</v>
      </c>
      <c r="D146" s="6" t="s">
        <v>135</v>
      </c>
      <c r="E146" s="6">
        <v>44483439</v>
      </c>
      <c r="F146" s="18">
        <v>46694.22</v>
      </c>
      <c r="G146" s="18">
        <v>0</v>
      </c>
      <c r="H146" s="6">
        <v>0</v>
      </c>
      <c r="I146" s="6">
        <v>0</v>
      </c>
      <c r="J146" s="6">
        <v>0</v>
      </c>
      <c r="K146" s="8">
        <v>9805.7800000000007</v>
      </c>
      <c r="L146" s="6">
        <v>0</v>
      </c>
      <c r="M146" s="18">
        <v>0</v>
      </c>
      <c r="N146" s="22">
        <v>56500</v>
      </c>
    </row>
    <row r="147" spans="1:14" hidden="1">
      <c r="A147" s="21" t="s">
        <v>748</v>
      </c>
      <c r="B147" s="5" t="s">
        <v>749</v>
      </c>
      <c r="C147" s="6" t="s">
        <v>134</v>
      </c>
      <c r="D147" s="6" t="s">
        <v>135</v>
      </c>
      <c r="E147" s="6" t="s">
        <v>136</v>
      </c>
      <c r="F147" s="18">
        <v>10743.8</v>
      </c>
      <c r="G147" s="18">
        <v>0</v>
      </c>
      <c r="H147" s="6">
        <v>0</v>
      </c>
      <c r="I147" s="6">
        <v>0</v>
      </c>
      <c r="J147" s="6">
        <v>0</v>
      </c>
      <c r="K147" s="8">
        <v>2256.2000000000003</v>
      </c>
      <c r="L147" s="6">
        <v>0</v>
      </c>
      <c r="M147" s="18">
        <v>0</v>
      </c>
      <c r="N147" s="22">
        <v>13000</v>
      </c>
    </row>
    <row r="148" spans="1:14" hidden="1">
      <c r="A148" s="21" t="s">
        <v>748</v>
      </c>
      <c r="B148" s="5" t="s">
        <v>750</v>
      </c>
      <c r="C148" s="6" t="s">
        <v>134</v>
      </c>
      <c r="D148" s="6" t="s">
        <v>135</v>
      </c>
      <c r="E148" s="6" t="s">
        <v>136</v>
      </c>
      <c r="F148" s="18">
        <v>8471.07</v>
      </c>
      <c r="G148" s="18">
        <v>0</v>
      </c>
      <c r="H148" s="6">
        <v>0</v>
      </c>
      <c r="I148" s="6">
        <v>0</v>
      </c>
      <c r="J148" s="6">
        <v>0</v>
      </c>
      <c r="K148" s="8">
        <v>1778.93</v>
      </c>
      <c r="L148" s="6">
        <v>0</v>
      </c>
      <c r="M148" s="18">
        <v>0</v>
      </c>
      <c r="N148" s="22">
        <v>10250</v>
      </c>
    </row>
    <row r="149" spans="1:14" hidden="1">
      <c r="A149" s="21" t="s">
        <v>748</v>
      </c>
      <c r="B149" s="5" t="s">
        <v>751</v>
      </c>
      <c r="C149" s="6" t="s">
        <v>134</v>
      </c>
      <c r="D149" s="6" t="s">
        <v>135</v>
      </c>
      <c r="E149" s="6" t="s">
        <v>136</v>
      </c>
      <c r="F149" s="18">
        <v>3925.62</v>
      </c>
      <c r="G149" s="18">
        <v>0</v>
      </c>
      <c r="H149" s="6">
        <v>0</v>
      </c>
      <c r="I149" s="6">
        <v>0</v>
      </c>
      <c r="J149" s="6">
        <v>0</v>
      </c>
      <c r="K149" s="8">
        <v>824.38</v>
      </c>
      <c r="L149" s="6">
        <v>0</v>
      </c>
      <c r="M149" s="18">
        <v>0</v>
      </c>
      <c r="N149" s="22">
        <v>4750</v>
      </c>
    </row>
    <row r="150" spans="1:14" hidden="1">
      <c r="A150" s="21" t="s">
        <v>748</v>
      </c>
      <c r="B150" s="5" t="s">
        <v>752</v>
      </c>
      <c r="C150" s="6" t="s">
        <v>134</v>
      </c>
      <c r="D150" s="6" t="s">
        <v>135</v>
      </c>
      <c r="E150" s="6" t="s">
        <v>136</v>
      </c>
      <c r="F150" s="18">
        <v>23471.07</v>
      </c>
      <c r="G150" s="18">
        <v>0</v>
      </c>
      <c r="H150" s="6">
        <v>0</v>
      </c>
      <c r="I150" s="6">
        <v>0</v>
      </c>
      <c r="J150" s="6">
        <v>0</v>
      </c>
      <c r="K150" s="8">
        <v>4928.93</v>
      </c>
      <c r="L150" s="6">
        <v>0</v>
      </c>
      <c r="M150" s="18">
        <v>0</v>
      </c>
      <c r="N150" s="22">
        <v>28400</v>
      </c>
    </row>
    <row r="151" spans="1:14" hidden="1">
      <c r="A151" s="21" t="s">
        <v>748</v>
      </c>
      <c r="B151" s="5" t="s">
        <v>753</v>
      </c>
      <c r="C151" s="6" t="s">
        <v>134</v>
      </c>
      <c r="D151" s="6" t="s">
        <v>135</v>
      </c>
      <c r="E151" s="6" t="s">
        <v>136</v>
      </c>
      <c r="F151" s="18">
        <v>33884.300000000003</v>
      </c>
      <c r="G151" s="18">
        <v>0</v>
      </c>
      <c r="H151" s="6">
        <v>0</v>
      </c>
      <c r="I151" s="6">
        <v>0</v>
      </c>
      <c r="J151" s="6">
        <v>0</v>
      </c>
      <c r="K151" s="8">
        <v>7115.7</v>
      </c>
      <c r="L151" s="6">
        <v>0</v>
      </c>
      <c r="M151" s="18">
        <v>0</v>
      </c>
      <c r="N151" s="22">
        <v>41000</v>
      </c>
    </row>
    <row r="152" spans="1:14" hidden="1">
      <c r="A152" s="21" t="s">
        <v>748</v>
      </c>
      <c r="B152" s="5" t="s">
        <v>754</v>
      </c>
      <c r="C152" s="6" t="s">
        <v>134</v>
      </c>
      <c r="D152" s="6" t="s">
        <v>135</v>
      </c>
      <c r="E152" s="6" t="s">
        <v>136</v>
      </c>
      <c r="F152" s="18">
        <v>7851.24</v>
      </c>
      <c r="G152" s="18">
        <v>0</v>
      </c>
      <c r="H152" s="6">
        <v>0</v>
      </c>
      <c r="I152" s="6">
        <v>0</v>
      </c>
      <c r="J152" s="6">
        <v>0</v>
      </c>
      <c r="K152" s="8">
        <v>1648.76</v>
      </c>
      <c r="L152" s="6">
        <v>0</v>
      </c>
      <c r="M152" s="18">
        <v>0</v>
      </c>
      <c r="N152" s="22">
        <v>9500</v>
      </c>
    </row>
    <row r="153" spans="1:14" hidden="1">
      <c r="A153" s="21" t="s">
        <v>748</v>
      </c>
      <c r="B153" s="5" t="s">
        <v>755</v>
      </c>
      <c r="C153" s="6" t="s">
        <v>134</v>
      </c>
      <c r="D153" s="6" t="s">
        <v>135</v>
      </c>
      <c r="E153" s="6" t="s">
        <v>136</v>
      </c>
      <c r="F153" s="18">
        <v>8471.07</v>
      </c>
      <c r="G153" s="18">
        <v>0</v>
      </c>
      <c r="H153" s="6">
        <v>0</v>
      </c>
      <c r="I153" s="6">
        <v>0</v>
      </c>
      <c r="J153" s="6">
        <v>0</v>
      </c>
      <c r="K153" s="8">
        <v>1778.93</v>
      </c>
      <c r="L153" s="6">
        <v>0</v>
      </c>
      <c r="M153" s="18">
        <v>0</v>
      </c>
      <c r="N153" s="22">
        <v>10250</v>
      </c>
    </row>
    <row r="154" spans="1:14" hidden="1">
      <c r="A154" s="21" t="s">
        <v>748</v>
      </c>
      <c r="B154" s="5" t="s">
        <v>756</v>
      </c>
      <c r="C154" s="6" t="s">
        <v>134</v>
      </c>
      <c r="D154" s="6" t="s">
        <v>135</v>
      </c>
      <c r="E154" s="6" t="s">
        <v>136</v>
      </c>
      <c r="F154" s="18">
        <v>8471.07</v>
      </c>
      <c r="G154" s="18">
        <v>0</v>
      </c>
      <c r="H154" s="6">
        <v>0</v>
      </c>
      <c r="I154" s="6">
        <v>0</v>
      </c>
      <c r="J154" s="6">
        <v>0</v>
      </c>
      <c r="K154" s="8">
        <v>1778.93</v>
      </c>
      <c r="L154" s="6">
        <v>0</v>
      </c>
      <c r="M154" s="18">
        <v>0</v>
      </c>
      <c r="N154" s="22">
        <v>10250</v>
      </c>
    </row>
    <row r="155" spans="1:14" hidden="1">
      <c r="A155" s="21" t="s">
        <v>762</v>
      </c>
      <c r="B155" s="5" t="s">
        <v>763</v>
      </c>
      <c r="C155" s="6" t="s">
        <v>134</v>
      </c>
      <c r="D155" s="6" t="s">
        <v>135</v>
      </c>
      <c r="E155" s="6" t="s">
        <v>136</v>
      </c>
      <c r="F155" s="18">
        <v>10743.8</v>
      </c>
      <c r="G155" s="18">
        <v>0</v>
      </c>
      <c r="H155" s="6">
        <v>0</v>
      </c>
      <c r="I155" s="6">
        <v>0</v>
      </c>
      <c r="J155" s="6">
        <v>0</v>
      </c>
      <c r="K155" s="8">
        <v>2256.2000000000003</v>
      </c>
      <c r="L155" s="6">
        <v>0</v>
      </c>
      <c r="M155" s="18">
        <v>0</v>
      </c>
      <c r="N155" s="22">
        <v>13000</v>
      </c>
    </row>
    <row r="156" spans="1:14" hidden="1">
      <c r="A156" s="21" t="s">
        <v>762</v>
      </c>
      <c r="B156" s="5" t="s">
        <v>764</v>
      </c>
      <c r="C156" s="6" t="s">
        <v>134</v>
      </c>
      <c r="D156" s="6" t="s">
        <v>135</v>
      </c>
      <c r="E156" s="6" t="s">
        <v>136</v>
      </c>
      <c r="F156" s="18">
        <v>10743.8</v>
      </c>
      <c r="G156" s="18">
        <v>0</v>
      </c>
      <c r="H156" s="6">
        <v>0</v>
      </c>
      <c r="I156" s="6">
        <v>0</v>
      </c>
      <c r="J156" s="6">
        <v>0</v>
      </c>
      <c r="K156" s="8">
        <v>2256.2000000000003</v>
      </c>
      <c r="L156" s="6">
        <v>0</v>
      </c>
      <c r="M156" s="18">
        <v>0</v>
      </c>
      <c r="N156" s="22">
        <v>13000</v>
      </c>
    </row>
    <row r="157" spans="1:14" hidden="1">
      <c r="A157" s="21" t="s">
        <v>762</v>
      </c>
      <c r="B157" s="5" t="s">
        <v>765</v>
      </c>
      <c r="C157" s="6" t="s">
        <v>134</v>
      </c>
      <c r="D157" s="6" t="s">
        <v>135</v>
      </c>
      <c r="E157" s="6" t="s">
        <v>136</v>
      </c>
      <c r="F157" s="18">
        <v>10743.8</v>
      </c>
      <c r="G157" s="18">
        <v>0</v>
      </c>
      <c r="H157" s="6">
        <v>0</v>
      </c>
      <c r="I157" s="6">
        <v>0</v>
      </c>
      <c r="J157" s="6">
        <v>0</v>
      </c>
      <c r="K157" s="8">
        <v>2256.2000000000003</v>
      </c>
      <c r="L157" s="6">
        <v>0</v>
      </c>
      <c r="M157" s="18">
        <v>0</v>
      </c>
      <c r="N157" s="22">
        <v>13000</v>
      </c>
    </row>
    <row r="158" spans="1:14" hidden="1">
      <c r="A158" s="21" t="s">
        <v>762</v>
      </c>
      <c r="B158" s="5" t="s">
        <v>766</v>
      </c>
      <c r="C158" s="6" t="s">
        <v>134</v>
      </c>
      <c r="D158" s="6" t="s">
        <v>135</v>
      </c>
      <c r="E158" s="6" t="s">
        <v>136</v>
      </c>
      <c r="F158" s="18">
        <v>10743.8</v>
      </c>
      <c r="G158" s="18">
        <v>0</v>
      </c>
      <c r="H158" s="6">
        <v>0</v>
      </c>
      <c r="I158" s="6">
        <v>0</v>
      </c>
      <c r="J158" s="6">
        <v>0</v>
      </c>
      <c r="K158" s="8">
        <v>2256.2000000000003</v>
      </c>
      <c r="L158" s="6">
        <v>0</v>
      </c>
      <c r="M158" s="18">
        <v>0</v>
      </c>
      <c r="N158" s="22">
        <v>13000</v>
      </c>
    </row>
    <row r="159" spans="1:14" hidden="1">
      <c r="A159" s="21" t="s">
        <v>762</v>
      </c>
      <c r="B159" s="5" t="s">
        <v>767</v>
      </c>
      <c r="C159" s="6" t="s">
        <v>134</v>
      </c>
      <c r="D159" s="6" t="s">
        <v>135</v>
      </c>
      <c r="E159" s="6" t="s">
        <v>136</v>
      </c>
      <c r="F159" s="18">
        <v>21487.599999999999</v>
      </c>
      <c r="G159" s="18">
        <v>0</v>
      </c>
      <c r="H159" s="6">
        <v>0</v>
      </c>
      <c r="I159" s="6">
        <v>0</v>
      </c>
      <c r="J159" s="6">
        <v>0</v>
      </c>
      <c r="K159" s="8">
        <v>4512.4000000000005</v>
      </c>
      <c r="L159" s="6">
        <v>0</v>
      </c>
      <c r="M159" s="18">
        <v>0</v>
      </c>
      <c r="N159" s="22">
        <v>26000</v>
      </c>
    </row>
    <row r="160" spans="1:14" hidden="1">
      <c r="A160" s="21" t="s">
        <v>762</v>
      </c>
      <c r="B160" s="5" t="s">
        <v>768</v>
      </c>
      <c r="C160" s="6" t="s">
        <v>134</v>
      </c>
      <c r="D160" s="6" t="s">
        <v>135</v>
      </c>
      <c r="E160" s="6" t="s">
        <v>136</v>
      </c>
      <c r="F160" s="18">
        <v>10247.93</v>
      </c>
      <c r="G160" s="18">
        <v>0</v>
      </c>
      <c r="H160" s="6">
        <v>0</v>
      </c>
      <c r="I160" s="6">
        <v>0</v>
      </c>
      <c r="J160" s="6">
        <v>0</v>
      </c>
      <c r="K160" s="8">
        <v>2152.0700000000002</v>
      </c>
      <c r="L160" s="6">
        <v>0</v>
      </c>
      <c r="M160" s="18">
        <v>0</v>
      </c>
      <c r="N160" s="22">
        <v>12400</v>
      </c>
    </row>
    <row r="161" spans="1:14" hidden="1">
      <c r="A161" s="21" t="s">
        <v>762</v>
      </c>
      <c r="B161" s="5" t="s">
        <v>769</v>
      </c>
      <c r="C161" s="6" t="s">
        <v>134</v>
      </c>
      <c r="D161" s="6" t="s">
        <v>135</v>
      </c>
      <c r="E161" s="6" t="s">
        <v>136</v>
      </c>
      <c r="F161" s="18">
        <v>21487.599999999999</v>
      </c>
      <c r="G161" s="18">
        <v>0</v>
      </c>
      <c r="H161" s="6">
        <v>0</v>
      </c>
      <c r="I161" s="6">
        <v>0</v>
      </c>
      <c r="J161" s="6">
        <v>0</v>
      </c>
      <c r="K161" s="8">
        <v>4512.4000000000005</v>
      </c>
      <c r="L161" s="6">
        <v>0</v>
      </c>
      <c r="M161" s="18">
        <v>0</v>
      </c>
      <c r="N161" s="22">
        <v>26000</v>
      </c>
    </row>
    <row r="162" spans="1:14" hidden="1">
      <c r="A162" s="21" t="s">
        <v>762</v>
      </c>
      <c r="B162" s="5" t="s">
        <v>770</v>
      </c>
      <c r="C162" s="6" t="s">
        <v>134</v>
      </c>
      <c r="D162" s="6" t="s">
        <v>135</v>
      </c>
      <c r="E162" s="6" t="s">
        <v>136</v>
      </c>
      <c r="F162" s="18">
        <v>8471.07</v>
      </c>
      <c r="G162" s="18">
        <v>0</v>
      </c>
      <c r="H162" s="6">
        <v>0</v>
      </c>
      <c r="I162" s="6">
        <v>0</v>
      </c>
      <c r="J162" s="6">
        <v>0</v>
      </c>
      <c r="K162" s="8">
        <v>1778.93</v>
      </c>
      <c r="L162" s="6">
        <v>0</v>
      </c>
      <c r="M162" s="18">
        <v>0</v>
      </c>
      <c r="N162" s="22">
        <v>10250</v>
      </c>
    </row>
    <row r="163" spans="1:14" hidden="1">
      <c r="A163" s="21" t="s">
        <v>762</v>
      </c>
      <c r="B163" s="5" t="s">
        <v>771</v>
      </c>
      <c r="C163" s="6" t="s">
        <v>134</v>
      </c>
      <c r="D163" s="6" t="s">
        <v>135</v>
      </c>
      <c r="E163" s="6" t="s">
        <v>136</v>
      </c>
      <c r="F163" s="18">
        <v>18181.82</v>
      </c>
      <c r="G163" s="18">
        <v>0</v>
      </c>
      <c r="H163" s="6">
        <v>0</v>
      </c>
      <c r="I163" s="6">
        <v>0</v>
      </c>
      <c r="J163" s="6">
        <v>0</v>
      </c>
      <c r="K163" s="8">
        <v>3818.18</v>
      </c>
      <c r="L163" s="6">
        <v>0</v>
      </c>
      <c r="M163" s="18">
        <v>0</v>
      </c>
      <c r="N163" s="22">
        <v>22000</v>
      </c>
    </row>
    <row r="164" spans="1:14" hidden="1">
      <c r="A164" s="21" t="s">
        <v>762</v>
      </c>
      <c r="B164" s="5" t="s">
        <v>772</v>
      </c>
      <c r="C164" s="6" t="s">
        <v>134</v>
      </c>
      <c r="D164" s="6" t="s">
        <v>135</v>
      </c>
      <c r="E164" s="6" t="s">
        <v>136</v>
      </c>
      <c r="F164" s="18">
        <v>10743.8</v>
      </c>
      <c r="G164" s="18">
        <v>0</v>
      </c>
      <c r="H164" s="6">
        <v>0</v>
      </c>
      <c r="I164" s="6">
        <v>0</v>
      </c>
      <c r="J164" s="6">
        <v>0</v>
      </c>
      <c r="K164" s="8">
        <v>2256.2000000000003</v>
      </c>
      <c r="L164" s="6">
        <v>0</v>
      </c>
      <c r="M164" s="18">
        <v>0</v>
      </c>
      <c r="N164" s="22">
        <v>13000</v>
      </c>
    </row>
    <row r="165" spans="1:14" hidden="1">
      <c r="A165" s="21" t="s">
        <v>762</v>
      </c>
      <c r="B165" s="5" t="s">
        <v>773</v>
      </c>
      <c r="C165" s="6" t="s">
        <v>134</v>
      </c>
      <c r="D165" s="6" t="s">
        <v>135</v>
      </c>
      <c r="E165" s="6" t="s">
        <v>136</v>
      </c>
      <c r="F165" s="18">
        <v>8471.07</v>
      </c>
      <c r="G165" s="18">
        <v>0</v>
      </c>
      <c r="H165" s="6">
        <v>0</v>
      </c>
      <c r="I165" s="6">
        <v>0</v>
      </c>
      <c r="J165" s="6">
        <v>0</v>
      </c>
      <c r="K165" s="8">
        <v>1778.93</v>
      </c>
      <c r="L165" s="6">
        <v>0</v>
      </c>
      <c r="M165" s="18">
        <v>0</v>
      </c>
      <c r="N165" s="22">
        <v>10250</v>
      </c>
    </row>
    <row r="166" spans="1:14" hidden="1">
      <c r="A166" s="21" t="s">
        <v>762</v>
      </c>
      <c r="B166" s="5" t="s">
        <v>774</v>
      </c>
      <c r="C166" s="6" t="s">
        <v>134</v>
      </c>
      <c r="D166" s="6" t="s">
        <v>135</v>
      </c>
      <c r="E166" s="6" t="s">
        <v>136</v>
      </c>
      <c r="F166" s="18">
        <v>18595.04</v>
      </c>
      <c r="G166" s="18">
        <v>0</v>
      </c>
      <c r="H166" s="6">
        <v>0</v>
      </c>
      <c r="I166" s="6">
        <v>0</v>
      </c>
      <c r="J166" s="6">
        <v>0</v>
      </c>
      <c r="K166" s="8">
        <v>3904.96</v>
      </c>
      <c r="L166" s="6">
        <v>0</v>
      </c>
      <c r="M166" s="18">
        <v>0</v>
      </c>
      <c r="N166" s="22">
        <v>22500</v>
      </c>
    </row>
    <row r="167" spans="1:14">
      <c r="A167" s="21" t="s">
        <v>465</v>
      </c>
      <c r="B167" s="5" t="s">
        <v>476</v>
      </c>
      <c r="C167" s="6" t="s">
        <v>350</v>
      </c>
      <c r="D167" s="6" t="s">
        <v>135</v>
      </c>
      <c r="E167" s="6">
        <v>3192296</v>
      </c>
      <c r="F167" s="18">
        <v>9917.35</v>
      </c>
      <c r="G167" s="18">
        <v>0</v>
      </c>
      <c r="H167" s="6">
        <v>0</v>
      </c>
      <c r="I167" s="6">
        <v>0</v>
      </c>
      <c r="J167" s="6">
        <v>0</v>
      </c>
      <c r="K167" s="8">
        <v>2082.65</v>
      </c>
      <c r="L167" s="6">
        <v>0</v>
      </c>
      <c r="M167" s="18">
        <v>0</v>
      </c>
      <c r="N167" s="22">
        <v>12000</v>
      </c>
    </row>
    <row r="168" spans="1:14">
      <c r="A168" s="21" t="s">
        <v>465</v>
      </c>
      <c r="B168" s="5" t="s">
        <v>477</v>
      </c>
      <c r="C168" s="6" t="s">
        <v>402</v>
      </c>
      <c r="D168" s="6" t="s">
        <v>135</v>
      </c>
      <c r="E168" s="6" t="s">
        <v>136</v>
      </c>
      <c r="F168" s="18">
        <v>17768.600000000002</v>
      </c>
      <c r="G168" s="18">
        <v>0</v>
      </c>
      <c r="H168" s="6">
        <v>0</v>
      </c>
      <c r="I168" s="6">
        <v>0</v>
      </c>
      <c r="J168" s="6">
        <v>0</v>
      </c>
      <c r="K168" s="8">
        <v>3731.4</v>
      </c>
      <c r="L168" s="6">
        <v>0</v>
      </c>
      <c r="M168" s="18">
        <v>0</v>
      </c>
      <c r="N168" s="22">
        <v>21500</v>
      </c>
    </row>
    <row r="169" spans="1:14">
      <c r="A169" s="21" t="s">
        <v>465</v>
      </c>
      <c r="B169" s="5" t="s">
        <v>478</v>
      </c>
      <c r="C169" s="6" t="s">
        <v>479</v>
      </c>
      <c r="D169" s="6" t="s">
        <v>135</v>
      </c>
      <c r="E169" s="6">
        <v>18375246</v>
      </c>
      <c r="F169" s="18">
        <v>27272.73</v>
      </c>
      <c r="G169" s="18">
        <v>0</v>
      </c>
      <c r="H169" s="6">
        <v>0</v>
      </c>
      <c r="I169" s="6">
        <v>0</v>
      </c>
      <c r="J169" s="6">
        <v>0</v>
      </c>
      <c r="K169" s="8">
        <v>5727.27</v>
      </c>
      <c r="L169" s="6">
        <v>0</v>
      </c>
      <c r="M169" s="18">
        <v>0</v>
      </c>
      <c r="N169" s="22">
        <v>33000</v>
      </c>
    </row>
    <row r="170" spans="1:14">
      <c r="A170" s="21" t="s">
        <v>465</v>
      </c>
      <c r="B170" s="5" t="s">
        <v>480</v>
      </c>
      <c r="C170" s="6" t="s">
        <v>481</v>
      </c>
      <c r="D170" s="6" t="s">
        <v>135</v>
      </c>
      <c r="E170" s="6">
        <v>8607637</v>
      </c>
      <c r="F170" s="18">
        <v>26033.05</v>
      </c>
      <c r="G170" s="18">
        <v>0</v>
      </c>
      <c r="H170" s="6">
        <v>0</v>
      </c>
      <c r="I170" s="6">
        <v>0</v>
      </c>
      <c r="J170" s="6">
        <v>0</v>
      </c>
      <c r="K170" s="8">
        <v>5466.95</v>
      </c>
      <c r="L170" s="6">
        <v>0</v>
      </c>
      <c r="M170" s="18">
        <v>0</v>
      </c>
      <c r="N170" s="22">
        <v>31500</v>
      </c>
    </row>
    <row r="171" spans="1:14" hidden="1">
      <c r="A171" s="21" t="s">
        <v>465</v>
      </c>
      <c r="B171" s="5" t="s">
        <v>482</v>
      </c>
      <c r="C171" s="6" t="s">
        <v>134</v>
      </c>
      <c r="D171" s="6" t="s">
        <v>135</v>
      </c>
      <c r="E171" s="6" t="s">
        <v>136</v>
      </c>
      <c r="F171" s="18">
        <v>16528.93</v>
      </c>
      <c r="G171" s="18">
        <v>0</v>
      </c>
      <c r="H171" s="6">
        <v>0</v>
      </c>
      <c r="I171" s="6">
        <v>0</v>
      </c>
      <c r="J171" s="6">
        <v>0</v>
      </c>
      <c r="K171" s="8">
        <v>3471.07</v>
      </c>
      <c r="L171" s="6">
        <v>0</v>
      </c>
      <c r="M171" s="18">
        <v>0</v>
      </c>
      <c r="N171" s="22">
        <v>20000</v>
      </c>
    </row>
    <row r="172" spans="1:14">
      <c r="A172" s="21" t="s">
        <v>483</v>
      </c>
      <c r="B172" s="5" t="s">
        <v>496</v>
      </c>
      <c r="C172" s="6" t="s">
        <v>358</v>
      </c>
      <c r="D172" s="6" t="s">
        <v>135</v>
      </c>
      <c r="E172" s="6">
        <v>382591</v>
      </c>
      <c r="F172" s="18">
        <v>12396.69</v>
      </c>
      <c r="G172" s="18">
        <v>0</v>
      </c>
      <c r="H172" s="6">
        <v>0</v>
      </c>
      <c r="I172" s="6">
        <v>0</v>
      </c>
      <c r="J172" s="6">
        <v>0</v>
      </c>
      <c r="K172" s="8">
        <v>2603.31</v>
      </c>
      <c r="L172" s="6">
        <v>0</v>
      </c>
      <c r="M172" s="18">
        <v>0</v>
      </c>
      <c r="N172" s="22">
        <v>15000</v>
      </c>
    </row>
    <row r="173" spans="1:14">
      <c r="A173" s="21" t="s">
        <v>483</v>
      </c>
      <c r="B173" s="5" t="s">
        <v>497</v>
      </c>
      <c r="C173" s="6" t="s">
        <v>498</v>
      </c>
      <c r="D173" s="6" t="s">
        <v>135</v>
      </c>
      <c r="E173" s="6">
        <v>17198648</v>
      </c>
      <c r="F173" s="18">
        <v>8677.69</v>
      </c>
      <c r="G173" s="18">
        <v>0</v>
      </c>
      <c r="H173" s="6">
        <v>0</v>
      </c>
      <c r="I173" s="6">
        <v>0</v>
      </c>
      <c r="J173" s="6">
        <v>0</v>
      </c>
      <c r="K173" s="8">
        <v>1822.31</v>
      </c>
      <c r="L173" s="6">
        <v>0</v>
      </c>
      <c r="M173" s="18">
        <v>0</v>
      </c>
      <c r="N173" s="22">
        <v>10500</v>
      </c>
    </row>
    <row r="174" spans="1:14">
      <c r="A174" s="21" t="s">
        <v>499</v>
      </c>
      <c r="B174" s="5" t="s">
        <v>508</v>
      </c>
      <c r="C174" s="6" t="s">
        <v>342</v>
      </c>
      <c r="D174" s="6" t="s">
        <v>343</v>
      </c>
      <c r="E174" s="6">
        <v>30590354798</v>
      </c>
      <c r="F174" s="18">
        <v>616446.28</v>
      </c>
      <c r="G174" s="18">
        <v>0</v>
      </c>
      <c r="H174" s="6">
        <v>0</v>
      </c>
      <c r="I174" s="6">
        <v>0</v>
      </c>
      <c r="J174" s="6">
        <v>0</v>
      </c>
      <c r="K174" s="8">
        <v>129453.72</v>
      </c>
      <c r="L174" s="6">
        <v>0</v>
      </c>
      <c r="M174" s="18">
        <v>0</v>
      </c>
      <c r="N174" s="22">
        <v>745900</v>
      </c>
    </row>
    <row r="175" spans="1:14">
      <c r="A175" s="21" t="s">
        <v>499</v>
      </c>
      <c r="B175" s="5" t="s">
        <v>509</v>
      </c>
      <c r="C175" s="6" t="s">
        <v>342</v>
      </c>
      <c r="D175" s="6" t="s">
        <v>343</v>
      </c>
      <c r="E175" s="6">
        <v>30590354798</v>
      </c>
      <c r="F175" s="18">
        <v>477685.95</v>
      </c>
      <c r="G175" s="18">
        <v>0</v>
      </c>
      <c r="H175" s="6">
        <v>0</v>
      </c>
      <c r="I175" s="6">
        <v>0</v>
      </c>
      <c r="J175" s="6">
        <v>0</v>
      </c>
      <c r="K175" s="8">
        <v>100314.05</v>
      </c>
      <c r="L175" s="6">
        <v>0</v>
      </c>
      <c r="M175" s="18">
        <v>0</v>
      </c>
      <c r="N175" s="22">
        <v>578000</v>
      </c>
    </row>
    <row r="176" spans="1:14">
      <c r="A176" s="21" t="s">
        <v>510</v>
      </c>
      <c r="B176" s="5" t="s">
        <v>529</v>
      </c>
      <c r="C176" s="6" t="s">
        <v>342</v>
      </c>
      <c r="D176" s="6" t="s">
        <v>343</v>
      </c>
      <c r="E176" s="6">
        <v>30590354798</v>
      </c>
      <c r="F176" s="18">
        <v>122314.05</v>
      </c>
      <c r="G176" s="18">
        <v>0</v>
      </c>
      <c r="H176" s="6">
        <v>0</v>
      </c>
      <c r="I176" s="6">
        <v>0</v>
      </c>
      <c r="J176" s="6">
        <v>0</v>
      </c>
      <c r="K176" s="8">
        <v>25685.95</v>
      </c>
      <c r="L176" s="6">
        <v>0</v>
      </c>
      <c r="M176" s="18">
        <v>0</v>
      </c>
      <c r="N176" s="22">
        <v>148000</v>
      </c>
    </row>
    <row r="177" spans="1:14">
      <c r="A177" s="21" t="s">
        <v>510</v>
      </c>
      <c r="B177" s="5" t="s">
        <v>530</v>
      </c>
      <c r="C177" s="6" t="s">
        <v>347</v>
      </c>
      <c r="D177" s="6" t="s">
        <v>343</v>
      </c>
      <c r="E177" s="6">
        <v>30571766287</v>
      </c>
      <c r="F177" s="18">
        <v>108876.03</v>
      </c>
      <c r="G177" s="18">
        <v>0</v>
      </c>
      <c r="H177" s="6">
        <v>0</v>
      </c>
      <c r="I177" s="6">
        <v>0</v>
      </c>
      <c r="J177" s="6">
        <v>0</v>
      </c>
      <c r="K177" s="8">
        <v>22863.97</v>
      </c>
      <c r="L177" s="6">
        <v>0</v>
      </c>
      <c r="M177" s="18">
        <v>0</v>
      </c>
      <c r="N177" s="22">
        <v>131740</v>
      </c>
    </row>
    <row r="178" spans="1:14">
      <c r="A178" s="21" t="s">
        <v>510</v>
      </c>
      <c r="B178" s="5" t="s">
        <v>531</v>
      </c>
      <c r="C178" s="6" t="s">
        <v>345</v>
      </c>
      <c r="D178" s="6" t="s">
        <v>343</v>
      </c>
      <c r="E178" s="6">
        <v>30658137642</v>
      </c>
      <c r="F178" s="18">
        <v>221709.09</v>
      </c>
      <c r="G178" s="18">
        <v>0</v>
      </c>
      <c r="H178" s="6">
        <v>0</v>
      </c>
      <c r="I178" s="6">
        <v>0</v>
      </c>
      <c r="J178" s="6">
        <v>0</v>
      </c>
      <c r="K178" s="8">
        <v>46558.91</v>
      </c>
      <c r="L178" s="6">
        <v>0</v>
      </c>
      <c r="M178" s="18">
        <v>0</v>
      </c>
      <c r="N178" s="22">
        <v>268268</v>
      </c>
    </row>
    <row r="179" spans="1:14">
      <c r="A179" s="21" t="s">
        <v>532</v>
      </c>
      <c r="B179" s="5" t="s">
        <v>543</v>
      </c>
      <c r="C179" s="6" t="s">
        <v>369</v>
      </c>
      <c r="D179" s="6" t="s">
        <v>135</v>
      </c>
      <c r="E179" s="6">
        <v>56980</v>
      </c>
      <c r="F179" s="18">
        <v>5785.12</v>
      </c>
      <c r="G179" s="18">
        <v>0</v>
      </c>
      <c r="H179" s="6">
        <v>0</v>
      </c>
      <c r="I179" s="6">
        <v>0</v>
      </c>
      <c r="J179" s="6">
        <v>0</v>
      </c>
      <c r="K179" s="8">
        <v>1214.8800000000001</v>
      </c>
      <c r="L179" s="6">
        <v>0</v>
      </c>
      <c r="M179" s="18">
        <v>0</v>
      </c>
      <c r="N179" s="22">
        <v>7000</v>
      </c>
    </row>
    <row r="180" spans="1:14">
      <c r="A180" s="21" t="s">
        <v>532</v>
      </c>
      <c r="B180" s="5" t="s">
        <v>544</v>
      </c>
      <c r="C180" s="6" t="s">
        <v>354</v>
      </c>
      <c r="D180" s="6" t="s">
        <v>135</v>
      </c>
      <c r="E180" s="6">
        <v>4648296</v>
      </c>
      <c r="F180" s="18">
        <v>12396.69</v>
      </c>
      <c r="G180" s="18">
        <v>0</v>
      </c>
      <c r="H180" s="6">
        <v>0</v>
      </c>
      <c r="I180" s="6">
        <v>0</v>
      </c>
      <c r="J180" s="6">
        <v>0</v>
      </c>
      <c r="K180" s="8">
        <v>2603.31</v>
      </c>
      <c r="L180" s="6">
        <v>0</v>
      </c>
      <c r="M180" s="18">
        <v>0</v>
      </c>
      <c r="N180" s="22">
        <v>15000</v>
      </c>
    </row>
    <row r="181" spans="1:14">
      <c r="A181" s="21" t="s">
        <v>532</v>
      </c>
      <c r="B181" s="5" t="s">
        <v>545</v>
      </c>
      <c r="C181" s="6" t="s">
        <v>356</v>
      </c>
      <c r="D181" s="6" t="s">
        <v>135</v>
      </c>
      <c r="E181" s="6">
        <v>21645724</v>
      </c>
      <c r="F181" s="18">
        <v>16528.920000000002</v>
      </c>
      <c r="G181" s="18">
        <v>0</v>
      </c>
      <c r="H181" s="6">
        <v>0</v>
      </c>
      <c r="I181" s="6">
        <v>0</v>
      </c>
      <c r="J181" s="6">
        <v>0</v>
      </c>
      <c r="K181" s="8">
        <v>3471.08</v>
      </c>
      <c r="L181" s="6">
        <v>0</v>
      </c>
      <c r="M181" s="18">
        <v>0</v>
      </c>
      <c r="N181" s="22">
        <v>20000</v>
      </c>
    </row>
    <row r="182" spans="1:14">
      <c r="A182" s="21" t="s">
        <v>532</v>
      </c>
      <c r="B182" s="5" t="s">
        <v>546</v>
      </c>
      <c r="C182" s="6" t="s">
        <v>362</v>
      </c>
      <c r="D182" s="6" t="s">
        <v>135</v>
      </c>
      <c r="E182" s="6">
        <v>21363216</v>
      </c>
      <c r="F182" s="18">
        <v>12396.69</v>
      </c>
      <c r="G182" s="18">
        <v>0</v>
      </c>
      <c r="H182" s="6">
        <v>0</v>
      </c>
      <c r="I182" s="6">
        <v>0</v>
      </c>
      <c r="J182" s="6">
        <v>0</v>
      </c>
      <c r="K182" s="8">
        <v>2603.31</v>
      </c>
      <c r="L182" s="6">
        <v>0</v>
      </c>
      <c r="M182" s="18">
        <v>0</v>
      </c>
      <c r="N182" s="22">
        <v>15000</v>
      </c>
    </row>
    <row r="183" spans="1:14">
      <c r="A183" s="21" t="s">
        <v>532</v>
      </c>
      <c r="B183" s="5" t="s">
        <v>547</v>
      </c>
      <c r="C183" s="6" t="s">
        <v>367</v>
      </c>
      <c r="D183" s="6" t="s">
        <v>135</v>
      </c>
      <c r="E183" s="6">
        <v>93354584</v>
      </c>
      <c r="F183" s="18">
        <v>8264.4600000000009</v>
      </c>
      <c r="G183" s="18">
        <v>0</v>
      </c>
      <c r="H183" s="6">
        <v>0</v>
      </c>
      <c r="I183" s="6">
        <v>0</v>
      </c>
      <c r="J183" s="6">
        <v>0</v>
      </c>
      <c r="K183" s="8">
        <v>1735.54</v>
      </c>
      <c r="L183" s="6">
        <v>0</v>
      </c>
      <c r="M183" s="18">
        <v>0</v>
      </c>
      <c r="N183" s="22">
        <v>10000</v>
      </c>
    </row>
    <row r="184" spans="1:14">
      <c r="A184" s="21" t="s">
        <v>548</v>
      </c>
      <c r="B184" s="5" t="s">
        <v>562</v>
      </c>
      <c r="C184" s="6" t="s">
        <v>342</v>
      </c>
      <c r="D184" s="6" t="s">
        <v>343</v>
      </c>
      <c r="E184" s="6">
        <v>30590354798</v>
      </c>
      <c r="F184" s="18">
        <v>685247.93</v>
      </c>
      <c r="G184" s="18">
        <v>0</v>
      </c>
      <c r="H184" s="6">
        <v>0</v>
      </c>
      <c r="I184" s="6">
        <v>0</v>
      </c>
      <c r="J184" s="6">
        <v>0</v>
      </c>
      <c r="K184" s="8">
        <v>143902.07</v>
      </c>
      <c r="L184" s="6">
        <v>0</v>
      </c>
      <c r="M184" s="18">
        <v>0</v>
      </c>
      <c r="N184" s="22">
        <v>829150</v>
      </c>
    </row>
    <row r="185" spans="1:14">
      <c r="A185" s="21" t="s">
        <v>563</v>
      </c>
      <c r="B185" s="5" t="s">
        <v>597</v>
      </c>
      <c r="C185" s="6" t="s">
        <v>371</v>
      </c>
      <c r="D185" s="6" t="s">
        <v>135</v>
      </c>
      <c r="E185" s="6">
        <v>705467</v>
      </c>
      <c r="F185" s="18">
        <v>9090.91</v>
      </c>
      <c r="G185" s="18">
        <v>0</v>
      </c>
      <c r="H185" s="6">
        <v>0</v>
      </c>
      <c r="I185" s="6">
        <v>0</v>
      </c>
      <c r="J185" s="6">
        <v>0</v>
      </c>
      <c r="K185" s="8">
        <v>1909.09</v>
      </c>
      <c r="L185" s="6">
        <v>0</v>
      </c>
      <c r="M185" s="18">
        <v>0</v>
      </c>
      <c r="N185" s="22">
        <v>11000</v>
      </c>
    </row>
    <row r="186" spans="1:14">
      <c r="A186" s="21" t="s">
        <v>563</v>
      </c>
      <c r="B186" s="5" t="s">
        <v>598</v>
      </c>
      <c r="C186" s="6" t="s">
        <v>342</v>
      </c>
      <c r="D186" s="6" t="s">
        <v>343</v>
      </c>
      <c r="E186" s="6">
        <v>30590354798</v>
      </c>
      <c r="F186" s="18">
        <v>780350.07</v>
      </c>
      <c r="G186" s="18">
        <v>0</v>
      </c>
      <c r="H186" s="6">
        <v>0</v>
      </c>
      <c r="I186" s="6">
        <v>0</v>
      </c>
      <c r="J186" s="6">
        <v>0</v>
      </c>
      <c r="K186" s="8">
        <v>163873.51</v>
      </c>
      <c r="L186" s="6">
        <v>0</v>
      </c>
      <c r="M186" s="18">
        <v>0</v>
      </c>
      <c r="N186" s="22">
        <v>944223.58</v>
      </c>
    </row>
    <row r="187" spans="1:14">
      <c r="A187" s="21" t="s">
        <v>563</v>
      </c>
      <c r="B187" s="5" t="s">
        <v>599</v>
      </c>
      <c r="C187" s="6" t="s">
        <v>379</v>
      </c>
      <c r="D187" s="6" t="s">
        <v>135</v>
      </c>
      <c r="E187" s="6">
        <v>20404430</v>
      </c>
      <c r="F187" s="18">
        <v>9917.35</v>
      </c>
      <c r="G187" s="18">
        <v>0</v>
      </c>
      <c r="H187" s="6">
        <v>0</v>
      </c>
      <c r="I187" s="6">
        <v>0</v>
      </c>
      <c r="J187" s="6">
        <v>0</v>
      </c>
      <c r="K187" s="8">
        <v>2082.65</v>
      </c>
      <c r="L187" s="6">
        <v>0</v>
      </c>
      <c r="M187" s="18">
        <v>0</v>
      </c>
      <c r="N187" s="22">
        <v>12000</v>
      </c>
    </row>
    <row r="188" spans="1:14">
      <c r="A188" s="21" t="s">
        <v>563</v>
      </c>
      <c r="B188" s="5" t="s">
        <v>600</v>
      </c>
      <c r="C188" s="6" t="s">
        <v>419</v>
      </c>
      <c r="D188" s="6" t="s">
        <v>135</v>
      </c>
      <c r="E188" s="6">
        <v>3087423</v>
      </c>
      <c r="F188" s="18">
        <v>4016.53</v>
      </c>
      <c r="G188" s="18">
        <v>0</v>
      </c>
      <c r="H188" s="6">
        <v>0</v>
      </c>
      <c r="I188" s="6">
        <v>0</v>
      </c>
      <c r="J188" s="6">
        <v>0</v>
      </c>
      <c r="K188" s="8">
        <v>843.47</v>
      </c>
      <c r="L188" s="6">
        <v>0</v>
      </c>
      <c r="M188" s="18">
        <v>0</v>
      </c>
      <c r="N188" s="22">
        <v>4860</v>
      </c>
    </row>
    <row r="189" spans="1:14">
      <c r="A189" s="21" t="s">
        <v>563</v>
      </c>
      <c r="B189" s="5" t="s">
        <v>601</v>
      </c>
      <c r="C189" s="6" t="s">
        <v>415</v>
      </c>
      <c r="D189" s="6" t="s">
        <v>135</v>
      </c>
      <c r="E189" s="6">
        <v>3292785</v>
      </c>
      <c r="F189" s="18">
        <v>3421.49</v>
      </c>
      <c r="G189" s="18">
        <v>0</v>
      </c>
      <c r="H189" s="6">
        <v>0</v>
      </c>
      <c r="I189" s="6">
        <v>0</v>
      </c>
      <c r="J189" s="6">
        <v>0</v>
      </c>
      <c r="K189" s="8">
        <v>718.51</v>
      </c>
      <c r="L189" s="6">
        <v>0</v>
      </c>
      <c r="M189" s="18">
        <v>0</v>
      </c>
      <c r="N189" s="22">
        <v>4140</v>
      </c>
    </row>
    <row r="190" spans="1:14">
      <c r="A190" s="21" t="s">
        <v>563</v>
      </c>
      <c r="B190" s="5" t="s">
        <v>602</v>
      </c>
      <c r="C190" s="6" t="s">
        <v>406</v>
      </c>
      <c r="D190" s="6" t="s">
        <v>135</v>
      </c>
      <c r="E190" s="6">
        <v>27807195</v>
      </c>
      <c r="F190" s="18">
        <v>12809.92</v>
      </c>
      <c r="G190" s="18">
        <v>0</v>
      </c>
      <c r="H190" s="6">
        <v>0</v>
      </c>
      <c r="I190" s="6">
        <v>0</v>
      </c>
      <c r="J190" s="6">
        <v>0</v>
      </c>
      <c r="K190" s="8">
        <v>2690.08</v>
      </c>
      <c r="L190" s="6">
        <v>0</v>
      </c>
      <c r="M190" s="18">
        <v>0</v>
      </c>
      <c r="N190" s="22">
        <v>15500</v>
      </c>
    </row>
    <row r="191" spans="1:14">
      <c r="A191" s="21" t="s">
        <v>563</v>
      </c>
      <c r="B191" s="5" t="s">
        <v>603</v>
      </c>
      <c r="C191" s="6" t="s">
        <v>342</v>
      </c>
      <c r="D191" s="6" t="s">
        <v>343</v>
      </c>
      <c r="E191" s="6">
        <v>30590354798</v>
      </c>
      <c r="F191" s="18">
        <v>728925.62</v>
      </c>
      <c r="G191" s="18">
        <v>0</v>
      </c>
      <c r="H191" s="6">
        <v>0</v>
      </c>
      <c r="I191" s="6">
        <v>0</v>
      </c>
      <c r="J191" s="6">
        <v>0</v>
      </c>
      <c r="K191" s="8">
        <v>153074.38</v>
      </c>
      <c r="L191" s="6">
        <v>0</v>
      </c>
      <c r="M191" s="18">
        <v>0</v>
      </c>
      <c r="N191" s="22">
        <v>882000</v>
      </c>
    </row>
    <row r="192" spans="1:14">
      <c r="A192" s="21" t="s">
        <v>563</v>
      </c>
      <c r="B192" s="5" t="s">
        <v>604</v>
      </c>
      <c r="C192" s="6" t="s">
        <v>342</v>
      </c>
      <c r="D192" s="6" t="s">
        <v>343</v>
      </c>
      <c r="E192" s="6">
        <v>30590354798</v>
      </c>
      <c r="F192" s="18">
        <v>685909.09</v>
      </c>
      <c r="G192" s="18">
        <v>0</v>
      </c>
      <c r="H192" s="6">
        <v>0</v>
      </c>
      <c r="I192" s="6">
        <v>0</v>
      </c>
      <c r="J192" s="6">
        <v>0</v>
      </c>
      <c r="K192" s="8">
        <v>144040.91</v>
      </c>
      <c r="L192" s="6">
        <v>0</v>
      </c>
      <c r="M192" s="18">
        <v>0</v>
      </c>
      <c r="N192" s="22">
        <v>829950</v>
      </c>
    </row>
    <row r="193" spans="1:14">
      <c r="A193" s="21" t="s">
        <v>605</v>
      </c>
      <c r="B193" s="5" t="s">
        <v>615</v>
      </c>
      <c r="C193" s="6" t="s">
        <v>381</v>
      </c>
      <c r="D193" s="6" t="s">
        <v>135</v>
      </c>
      <c r="E193" s="6">
        <v>12791306</v>
      </c>
      <c r="F193" s="18">
        <v>11570.25</v>
      </c>
      <c r="G193" s="18">
        <v>0</v>
      </c>
      <c r="H193" s="6">
        <v>0</v>
      </c>
      <c r="I193" s="6">
        <v>0</v>
      </c>
      <c r="J193" s="6">
        <v>0</v>
      </c>
      <c r="K193" s="8">
        <v>2429.75</v>
      </c>
      <c r="L193" s="6">
        <v>0</v>
      </c>
      <c r="M193" s="18">
        <v>0</v>
      </c>
      <c r="N193" s="22">
        <v>14000</v>
      </c>
    </row>
    <row r="194" spans="1:14">
      <c r="A194" s="21" t="s">
        <v>616</v>
      </c>
      <c r="B194" s="5" t="s">
        <v>632</v>
      </c>
      <c r="C194" s="6" t="s">
        <v>633</v>
      </c>
      <c r="D194" s="6" t="s">
        <v>135</v>
      </c>
      <c r="E194" s="6">
        <v>27930928</v>
      </c>
      <c r="F194" s="18">
        <v>9917.35</v>
      </c>
      <c r="G194" s="18">
        <v>0</v>
      </c>
      <c r="H194" s="6">
        <v>0</v>
      </c>
      <c r="I194" s="6">
        <v>0</v>
      </c>
      <c r="J194" s="6">
        <v>0</v>
      </c>
      <c r="K194" s="8">
        <v>2082.65</v>
      </c>
      <c r="L194" s="6">
        <v>0</v>
      </c>
      <c r="M194" s="18">
        <v>0</v>
      </c>
      <c r="N194" s="22">
        <v>12000</v>
      </c>
    </row>
    <row r="195" spans="1:14">
      <c r="A195" s="21" t="s">
        <v>646</v>
      </c>
      <c r="B195" s="5" t="s">
        <v>657</v>
      </c>
      <c r="C195" s="6" t="s">
        <v>658</v>
      </c>
      <c r="D195" s="6" t="s">
        <v>135</v>
      </c>
      <c r="E195" s="6">
        <v>4703289</v>
      </c>
      <c r="F195" s="18">
        <v>22190.080000000002</v>
      </c>
      <c r="G195" s="18">
        <v>0</v>
      </c>
      <c r="H195" s="6">
        <v>0</v>
      </c>
      <c r="I195" s="6">
        <v>0</v>
      </c>
      <c r="J195" s="6">
        <v>0</v>
      </c>
      <c r="K195" s="8">
        <v>4659.92</v>
      </c>
      <c r="L195" s="6">
        <v>0</v>
      </c>
      <c r="M195" s="18">
        <v>0</v>
      </c>
      <c r="N195" s="22">
        <v>26850</v>
      </c>
    </row>
    <row r="196" spans="1:14">
      <c r="A196" s="21" t="s">
        <v>659</v>
      </c>
      <c r="B196" s="5" t="s">
        <v>672</v>
      </c>
      <c r="C196" s="6" t="s">
        <v>673</v>
      </c>
      <c r="D196" s="6" t="s">
        <v>135</v>
      </c>
      <c r="E196" s="6" t="s">
        <v>136</v>
      </c>
      <c r="F196" s="18">
        <v>12396.69</v>
      </c>
      <c r="G196" s="18">
        <v>0</v>
      </c>
      <c r="H196" s="6">
        <v>0</v>
      </c>
      <c r="I196" s="6">
        <v>0</v>
      </c>
      <c r="J196" s="6">
        <v>0</v>
      </c>
      <c r="K196" s="8">
        <v>2603.31</v>
      </c>
      <c r="L196" s="6">
        <v>0</v>
      </c>
      <c r="M196" s="18">
        <v>0</v>
      </c>
      <c r="N196" s="22">
        <v>15000</v>
      </c>
    </row>
    <row r="197" spans="1:14">
      <c r="A197" s="21" t="s">
        <v>674</v>
      </c>
      <c r="B197" s="5" t="s">
        <v>684</v>
      </c>
      <c r="C197" s="6" t="s">
        <v>375</v>
      </c>
      <c r="D197" s="6" t="s">
        <v>135</v>
      </c>
      <c r="E197" s="6">
        <v>36622635</v>
      </c>
      <c r="F197" s="18">
        <v>14049.59</v>
      </c>
      <c r="G197" s="18">
        <v>0</v>
      </c>
      <c r="H197" s="6">
        <v>0</v>
      </c>
      <c r="I197" s="6">
        <v>0</v>
      </c>
      <c r="J197" s="6">
        <v>0</v>
      </c>
      <c r="K197" s="8">
        <v>2950.41</v>
      </c>
      <c r="L197" s="6">
        <v>0</v>
      </c>
      <c r="M197" s="18">
        <v>0</v>
      </c>
      <c r="N197" s="22">
        <v>17000</v>
      </c>
    </row>
    <row r="198" spans="1:14">
      <c r="A198" s="21" t="s">
        <v>674</v>
      </c>
      <c r="B198" s="5" t="s">
        <v>685</v>
      </c>
      <c r="C198" s="6" t="s">
        <v>438</v>
      </c>
      <c r="D198" s="6" t="s">
        <v>135</v>
      </c>
      <c r="E198" s="6">
        <v>93195134</v>
      </c>
      <c r="F198" s="18">
        <v>13458.68</v>
      </c>
      <c r="G198" s="18">
        <v>0</v>
      </c>
      <c r="H198" s="6">
        <v>0</v>
      </c>
      <c r="I198" s="6">
        <v>0</v>
      </c>
      <c r="J198" s="6">
        <v>0</v>
      </c>
      <c r="K198" s="8">
        <v>2826.32</v>
      </c>
      <c r="L198" s="6">
        <v>0</v>
      </c>
      <c r="M198" s="18">
        <v>0</v>
      </c>
      <c r="N198" s="22">
        <v>16285</v>
      </c>
    </row>
    <row r="199" spans="1:14">
      <c r="A199" s="21" t="s">
        <v>674</v>
      </c>
      <c r="B199" s="5" t="s">
        <v>686</v>
      </c>
      <c r="C199" s="6" t="s">
        <v>426</v>
      </c>
      <c r="D199" s="6" t="s">
        <v>135</v>
      </c>
      <c r="E199" s="6">
        <v>24699538</v>
      </c>
      <c r="F199" s="18">
        <v>11570.25</v>
      </c>
      <c r="G199" s="18">
        <v>0</v>
      </c>
      <c r="H199" s="6">
        <v>0</v>
      </c>
      <c r="I199" s="6">
        <v>0</v>
      </c>
      <c r="J199" s="6">
        <v>0</v>
      </c>
      <c r="K199" s="8">
        <v>2429.75</v>
      </c>
      <c r="L199" s="6">
        <v>0</v>
      </c>
      <c r="M199" s="18">
        <v>0</v>
      </c>
      <c r="N199" s="22">
        <v>14000</v>
      </c>
    </row>
    <row r="200" spans="1:14">
      <c r="A200" s="21" t="s">
        <v>674</v>
      </c>
      <c r="B200" s="5" t="s">
        <v>687</v>
      </c>
      <c r="C200" s="6" t="s">
        <v>432</v>
      </c>
      <c r="D200" s="6" t="s">
        <v>135</v>
      </c>
      <c r="E200" s="6">
        <v>17855620</v>
      </c>
      <c r="F200" s="18">
        <v>10743.8</v>
      </c>
      <c r="G200" s="18">
        <v>0</v>
      </c>
      <c r="H200" s="6">
        <v>0</v>
      </c>
      <c r="I200" s="6">
        <v>0</v>
      </c>
      <c r="J200" s="6">
        <v>0</v>
      </c>
      <c r="K200" s="8">
        <v>2256.2000000000003</v>
      </c>
      <c r="L200" s="6">
        <v>0</v>
      </c>
      <c r="M200" s="18">
        <v>0</v>
      </c>
      <c r="N200" s="22">
        <v>13000</v>
      </c>
    </row>
    <row r="201" spans="1:14">
      <c r="A201" s="21" t="s">
        <v>674</v>
      </c>
      <c r="B201" s="5" t="s">
        <v>688</v>
      </c>
      <c r="C201" s="6" t="s">
        <v>434</v>
      </c>
      <c r="D201" s="6" t="s">
        <v>135</v>
      </c>
      <c r="E201" s="6">
        <v>902191</v>
      </c>
      <c r="F201" s="18">
        <v>33057.85</v>
      </c>
      <c r="G201" s="18">
        <v>0</v>
      </c>
      <c r="H201" s="6">
        <v>0</v>
      </c>
      <c r="I201" s="6">
        <v>0</v>
      </c>
      <c r="J201" s="6">
        <v>0</v>
      </c>
      <c r="K201" s="8">
        <v>6942.15</v>
      </c>
      <c r="L201" s="6">
        <v>0</v>
      </c>
      <c r="M201" s="18">
        <v>0</v>
      </c>
      <c r="N201" s="22">
        <v>40000</v>
      </c>
    </row>
    <row r="202" spans="1:14">
      <c r="A202" s="21" t="s">
        <v>689</v>
      </c>
      <c r="B202" s="5" t="s">
        <v>696</v>
      </c>
      <c r="C202" s="6" t="s">
        <v>451</v>
      </c>
      <c r="D202" s="6" t="s">
        <v>135</v>
      </c>
      <c r="E202" s="6">
        <v>26542077</v>
      </c>
      <c r="F202" s="18">
        <v>24793.39</v>
      </c>
      <c r="G202" s="18">
        <v>0</v>
      </c>
      <c r="H202" s="6">
        <v>0</v>
      </c>
      <c r="I202" s="6">
        <v>0</v>
      </c>
      <c r="J202" s="6">
        <v>0</v>
      </c>
      <c r="K202" s="8">
        <v>5206.6099999999997</v>
      </c>
      <c r="L202" s="6">
        <v>0</v>
      </c>
      <c r="M202" s="18">
        <v>0</v>
      </c>
      <c r="N202" s="22">
        <v>30000</v>
      </c>
    </row>
    <row r="203" spans="1:14">
      <c r="A203" s="21" t="s">
        <v>689</v>
      </c>
      <c r="B203" s="5" t="s">
        <v>697</v>
      </c>
      <c r="C203" s="6" t="s">
        <v>455</v>
      </c>
      <c r="D203" s="6" t="s">
        <v>135</v>
      </c>
      <c r="E203" s="6">
        <v>17814995</v>
      </c>
      <c r="F203" s="18">
        <v>10495.86</v>
      </c>
      <c r="G203" s="18">
        <v>0</v>
      </c>
      <c r="H203" s="6">
        <v>0</v>
      </c>
      <c r="I203" s="6">
        <v>0</v>
      </c>
      <c r="J203" s="6">
        <v>0</v>
      </c>
      <c r="K203" s="8">
        <v>2204.14</v>
      </c>
      <c r="L203" s="6">
        <v>0</v>
      </c>
      <c r="M203" s="18">
        <v>0</v>
      </c>
      <c r="N203" s="22">
        <v>12700</v>
      </c>
    </row>
    <row r="204" spans="1:14">
      <c r="A204" s="21" t="s">
        <v>689</v>
      </c>
      <c r="B204" s="5" t="s">
        <v>698</v>
      </c>
      <c r="C204" s="6" t="s">
        <v>481</v>
      </c>
      <c r="D204" s="6" t="s">
        <v>135</v>
      </c>
      <c r="E204" s="6">
        <v>8607637</v>
      </c>
      <c r="F204" s="18">
        <v>26033.07</v>
      </c>
      <c r="G204" s="18">
        <v>0</v>
      </c>
      <c r="H204" s="6">
        <v>0</v>
      </c>
      <c r="I204" s="6">
        <v>0</v>
      </c>
      <c r="J204" s="6">
        <v>0</v>
      </c>
      <c r="K204" s="8">
        <v>5466.93</v>
      </c>
      <c r="L204" s="6">
        <v>0</v>
      </c>
      <c r="M204" s="18">
        <v>0</v>
      </c>
      <c r="N204" s="22">
        <v>31500</v>
      </c>
    </row>
    <row r="205" spans="1:14">
      <c r="A205" s="21" t="s">
        <v>689</v>
      </c>
      <c r="B205" s="5" t="s">
        <v>699</v>
      </c>
      <c r="C205" s="6" t="s">
        <v>408</v>
      </c>
      <c r="D205" s="6" t="s">
        <v>135</v>
      </c>
      <c r="E205" s="6">
        <v>2719694</v>
      </c>
      <c r="F205" s="18">
        <v>4016.53</v>
      </c>
      <c r="G205" s="18">
        <v>0</v>
      </c>
      <c r="H205" s="6">
        <v>0</v>
      </c>
      <c r="I205" s="6">
        <v>0</v>
      </c>
      <c r="J205" s="6">
        <v>0</v>
      </c>
      <c r="K205" s="8">
        <v>843.47</v>
      </c>
      <c r="L205" s="6">
        <v>0</v>
      </c>
      <c r="M205" s="18">
        <v>0</v>
      </c>
      <c r="N205" s="22">
        <v>4860</v>
      </c>
    </row>
    <row r="206" spans="1:14">
      <c r="A206" s="21" t="s">
        <v>689</v>
      </c>
      <c r="B206" s="5" t="s">
        <v>700</v>
      </c>
      <c r="C206" s="6" t="s">
        <v>447</v>
      </c>
      <c r="D206" s="6" t="s">
        <v>135</v>
      </c>
      <c r="E206" s="6">
        <v>5607654</v>
      </c>
      <c r="F206" s="18">
        <v>13223.14</v>
      </c>
      <c r="G206" s="18">
        <v>0</v>
      </c>
      <c r="H206" s="6">
        <v>0</v>
      </c>
      <c r="I206" s="6">
        <v>0</v>
      </c>
      <c r="J206" s="6">
        <v>0</v>
      </c>
      <c r="K206" s="8">
        <v>2776.86</v>
      </c>
      <c r="L206" s="6">
        <v>0</v>
      </c>
      <c r="M206" s="18">
        <v>0</v>
      </c>
      <c r="N206" s="22">
        <v>16000</v>
      </c>
    </row>
    <row r="207" spans="1:14">
      <c r="A207" s="21" t="s">
        <v>701</v>
      </c>
      <c r="B207" s="5" t="s">
        <v>715</v>
      </c>
      <c r="C207" s="6" t="s">
        <v>479</v>
      </c>
      <c r="D207" s="6" t="s">
        <v>135</v>
      </c>
      <c r="E207" s="6">
        <v>18375246</v>
      </c>
      <c r="F207" s="18">
        <v>9917.35</v>
      </c>
      <c r="G207" s="18">
        <v>0</v>
      </c>
      <c r="H207" s="6">
        <v>0</v>
      </c>
      <c r="I207" s="6">
        <v>0</v>
      </c>
      <c r="J207" s="6">
        <v>0</v>
      </c>
      <c r="K207" s="8">
        <v>2082.65</v>
      </c>
      <c r="L207" s="6">
        <v>0</v>
      </c>
      <c r="M207" s="18">
        <v>0</v>
      </c>
      <c r="N207" s="22">
        <v>12000</v>
      </c>
    </row>
    <row r="208" spans="1:14">
      <c r="A208" s="21" t="s">
        <v>701</v>
      </c>
      <c r="B208" s="5" t="s">
        <v>716</v>
      </c>
      <c r="C208" s="6" t="s">
        <v>436</v>
      </c>
      <c r="D208" s="6" t="s">
        <v>135</v>
      </c>
      <c r="E208" s="6">
        <v>22990821</v>
      </c>
      <c r="F208" s="18">
        <v>12809.92</v>
      </c>
      <c r="G208" s="18">
        <v>0</v>
      </c>
      <c r="H208" s="6">
        <v>0</v>
      </c>
      <c r="I208" s="6">
        <v>0</v>
      </c>
      <c r="J208" s="6">
        <v>0</v>
      </c>
      <c r="K208" s="8">
        <v>2690.08</v>
      </c>
      <c r="L208" s="6">
        <v>0</v>
      </c>
      <c r="M208" s="18">
        <v>0</v>
      </c>
      <c r="N208" s="22">
        <v>15500</v>
      </c>
    </row>
    <row r="209" spans="1:14">
      <c r="A209" s="21" t="s">
        <v>701</v>
      </c>
      <c r="B209" s="5" t="s">
        <v>717</v>
      </c>
      <c r="C209" s="6" t="s">
        <v>453</v>
      </c>
      <c r="D209" s="6" t="s">
        <v>135</v>
      </c>
      <c r="E209" s="6">
        <v>5804480</v>
      </c>
      <c r="F209" s="18">
        <v>9917.35</v>
      </c>
      <c r="G209" s="18">
        <v>0</v>
      </c>
      <c r="H209" s="6">
        <v>0</v>
      </c>
      <c r="I209" s="6">
        <v>0</v>
      </c>
      <c r="J209" s="6">
        <v>0</v>
      </c>
      <c r="K209" s="8">
        <v>2082.65</v>
      </c>
      <c r="L209" s="6">
        <v>0</v>
      </c>
      <c r="M209" s="18">
        <v>0</v>
      </c>
      <c r="N209" s="22">
        <v>12000</v>
      </c>
    </row>
    <row r="210" spans="1:14">
      <c r="A210" s="21" t="s">
        <v>701</v>
      </c>
      <c r="B210" s="5" t="s">
        <v>718</v>
      </c>
      <c r="C210" s="6" t="s">
        <v>445</v>
      </c>
      <c r="D210" s="6" t="s">
        <v>135</v>
      </c>
      <c r="E210" s="6">
        <v>25864351</v>
      </c>
      <c r="F210" s="18">
        <v>12809.92</v>
      </c>
      <c r="G210" s="18">
        <v>0</v>
      </c>
      <c r="H210" s="6">
        <v>0</v>
      </c>
      <c r="I210" s="6">
        <v>0</v>
      </c>
      <c r="J210" s="6">
        <v>0</v>
      </c>
      <c r="K210" s="8">
        <v>2690.08</v>
      </c>
      <c r="L210" s="6">
        <v>0</v>
      </c>
      <c r="M210" s="18">
        <v>0</v>
      </c>
      <c r="N210" s="22">
        <v>15500</v>
      </c>
    </row>
    <row r="211" spans="1:14">
      <c r="A211" s="21" t="s">
        <v>701</v>
      </c>
      <c r="B211" s="5" t="s">
        <v>719</v>
      </c>
      <c r="C211" s="6" t="s">
        <v>720</v>
      </c>
      <c r="D211" s="6" t="s">
        <v>135</v>
      </c>
      <c r="E211" s="6">
        <v>12349047</v>
      </c>
      <c r="F211" s="18">
        <v>14876.03</v>
      </c>
      <c r="G211" s="18">
        <v>0</v>
      </c>
      <c r="H211" s="6">
        <v>0</v>
      </c>
      <c r="I211" s="6">
        <v>0</v>
      </c>
      <c r="J211" s="6">
        <v>0</v>
      </c>
      <c r="K211" s="8">
        <v>3123.97</v>
      </c>
      <c r="L211" s="6">
        <v>0</v>
      </c>
      <c r="M211" s="18">
        <v>0</v>
      </c>
      <c r="N211" s="22">
        <v>18000</v>
      </c>
    </row>
    <row r="212" spans="1:14">
      <c r="A212" s="21" t="s">
        <v>721</v>
      </c>
      <c r="B212" s="5" t="s">
        <v>733</v>
      </c>
      <c r="C212" s="6" t="s">
        <v>440</v>
      </c>
      <c r="D212" s="6" t="s">
        <v>135</v>
      </c>
      <c r="E212" s="6">
        <v>24448662</v>
      </c>
      <c r="F212" s="18">
        <v>10743.8</v>
      </c>
      <c r="G212" s="18">
        <v>0</v>
      </c>
      <c r="H212" s="6">
        <v>0</v>
      </c>
      <c r="I212" s="6">
        <v>0</v>
      </c>
      <c r="J212" s="6">
        <v>0</v>
      </c>
      <c r="K212" s="8">
        <v>2256.2000000000003</v>
      </c>
      <c r="L212" s="6">
        <v>0</v>
      </c>
      <c r="M212" s="18">
        <v>0</v>
      </c>
      <c r="N212" s="22">
        <v>13000</v>
      </c>
    </row>
    <row r="213" spans="1:14">
      <c r="A213" s="21" t="s">
        <v>721</v>
      </c>
      <c r="B213" s="5" t="s">
        <v>734</v>
      </c>
      <c r="C213" s="6" t="s">
        <v>735</v>
      </c>
      <c r="D213" s="6" t="s">
        <v>135</v>
      </c>
      <c r="E213" s="6" t="s">
        <v>136</v>
      </c>
      <c r="F213" s="18">
        <v>8677.68</v>
      </c>
      <c r="G213" s="18">
        <v>0</v>
      </c>
      <c r="H213" s="6">
        <v>0</v>
      </c>
      <c r="I213" s="6">
        <v>0</v>
      </c>
      <c r="J213" s="6">
        <v>0</v>
      </c>
      <c r="K213" s="8">
        <v>1822.32</v>
      </c>
      <c r="L213" s="6">
        <v>0</v>
      </c>
      <c r="M213" s="18">
        <v>0</v>
      </c>
      <c r="N213" s="22">
        <v>10500</v>
      </c>
    </row>
    <row r="214" spans="1:14">
      <c r="A214" s="21" t="s">
        <v>721</v>
      </c>
      <c r="B214" s="5" t="s">
        <v>736</v>
      </c>
      <c r="C214" s="6" t="s">
        <v>735</v>
      </c>
      <c r="D214" s="6" t="s">
        <v>135</v>
      </c>
      <c r="E214" s="6" t="s">
        <v>136</v>
      </c>
      <c r="F214" s="18">
        <v>12396.69</v>
      </c>
      <c r="G214" s="18">
        <v>0</v>
      </c>
      <c r="H214" s="6">
        <v>0</v>
      </c>
      <c r="I214" s="6">
        <v>0</v>
      </c>
      <c r="J214" s="6">
        <v>0</v>
      </c>
      <c r="K214" s="8">
        <v>2603.31</v>
      </c>
      <c r="L214" s="6">
        <v>0</v>
      </c>
      <c r="M214" s="18">
        <v>0</v>
      </c>
      <c r="N214" s="22">
        <v>15000</v>
      </c>
    </row>
    <row r="215" spans="1:14">
      <c r="A215" s="21" t="s">
        <v>748</v>
      </c>
      <c r="B215" s="5" t="s">
        <v>757</v>
      </c>
      <c r="C215" s="6" t="s">
        <v>428</v>
      </c>
      <c r="D215" s="6" t="s">
        <v>135</v>
      </c>
      <c r="E215" s="6">
        <v>93332052</v>
      </c>
      <c r="F215" s="18">
        <v>4016.53</v>
      </c>
      <c r="G215" s="18">
        <v>0</v>
      </c>
      <c r="H215" s="6">
        <v>0</v>
      </c>
      <c r="I215" s="6">
        <v>0</v>
      </c>
      <c r="J215" s="6">
        <v>0</v>
      </c>
      <c r="K215" s="8">
        <v>843.47</v>
      </c>
      <c r="L215" s="6">
        <v>0</v>
      </c>
      <c r="M215" s="18">
        <v>0</v>
      </c>
      <c r="N215" s="22">
        <v>4860</v>
      </c>
    </row>
    <row r="216" spans="1:14">
      <c r="A216" s="21" t="s">
        <v>748</v>
      </c>
      <c r="B216" s="5" t="s">
        <v>758</v>
      </c>
      <c r="C216" s="6" t="s">
        <v>390</v>
      </c>
      <c r="D216" s="6" t="s">
        <v>135</v>
      </c>
      <c r="E216" s="6">
        <v>29654556</v>
      </c>
      <c r="F216" s="18">
        <v>12809.92</v>
      </c>
      <c r="G216" s="18">
        <v>0</v>
      </c>
      <c r="H216" s="6">
        <v>0</v>
      </c>
      <c r="I216" s="6">
        <v>0</v>
      </c>
      <c r="J216" s="6">
        <v>0</v>
      </c>
      <c r="K216" s="8">
        <v>2690.08</v>
      </c>
      <c r="L216" s="6">
        <v>0</v>
      </c>
      <c r="M216" s="18">
        <v>0</v>
      </c>
      <c r="N216" s="22">
        <v>15500</v>
      </c>
    </row>
    <row r="217" spans="1:14">
      <c r="A217" s="21" t="s">
        <v>748</v>
      </c>
      <c r="B217" s="5" t="s">
        <v>759</v>
      </c>
      <c r="C217" s="6" t="s">
        <v>388</v>
      </c>
      <c r="D217" s="6" t="s">
        <v>135</v>
      </c>
      <c r="E217" s="6">
        <v>14123802</v>
      </c>
      <c r="F217" s="18">
        <v>10743.8</v>
      </c>
      <c r="G217" s="18">
        <v>0</v>
      </c>
      <c r="H217" s="6">
        <v>0</v>
      </c>
      <c r="I217" s="6">
        <v>0</v>
      </c>
      <c r="J217" s="6">
        <v>0</v>
      </c>
      <c r="K217" s="8">
        <v>2256.2000000000003</v>
      </c>
      <c r="L217" s="6">
        <v>0</v>
      </c>
      <c r="M217" s="18">
        <v>0</v>
      </c>
      <c r="N217" s="22">
        <v>13000</v>
      </c>
    </row>
    <row r="218" spans="1:14">
      <c r="A218" s="21" t="s">
        <v>748</v>
      </c>
      <c r="B218" s="5" t="s">
        <v>760</v>
      </c>
      <c r="C218" s="6" t="s">
        <v>388</v>
      </c>
      <c r="D218" s="6" t="s">
        <v>135</v>
      </c>
      <c r="E218" s="6">
        <v>14123802</v>
      </c>
      <c r="F218" s="18">
        <v>19834.71</v>
      </c>
      <c r="G218" s="18">
        <v>0</v>
      </c>
      <c r="H218" s="6">
        <v>0</v>
      </c>
      <c r="I218" s="6">
        <v>0</v>
      </c>
      <c r="J218" s="6">
        <v>0</v>
      </c>
      <c r="K218" s="8">
        <v>4165.29</v>
      </c>
      <c r="L218" s="6">
        <v>0</v>
      </c>
      <c r="M218" s="18">
        <v>0</v>
      </c>
      <c r="N218" s="22">
        <v>24000</v>
      </c>
    </row>
    <row r="219" spans="1:14">
      <c r="A219" s="21" t="s">
        <v>748</v>
      </c>
      <c r="B219" s="5" t="s">
        <v>761</v>
      </c>
      <c r="C219" s="6" t="s">
        <v>394</v>
      </c>
      <c r="D219" s="6" t="s">
        <v>135</v>
      </c>
      <c r="E219" s="6">
        <v>37904748</v>
      </c>
      <c r="F219" s="18">
        <v>12809.92</v>
      </c>
      <c r="G219" s="18">
        <v>0</v>
      </c>
      <c r="H219" s="6">
        <v>0</v>
      </c>
      <c r="I219" s="6">
        <v>0</v>
      </c>
      <c r="J219" s="6">
        <v>0</v>
      </c>
      <c r="K219" s="8">
        <v>2690.08</v>
      </c>
      <c r="L219" s="6">
        <v>0</v>
      </c>
      <c r="M219" s="18">
        <v>0</v>
      </c>
      <c r="N219" s="22">
        <v>15500</v>
      </c>
    </row>
    <row r="220" spans="1:14">
      <c r="A220" s="21" t="s">
        <v>762</v>
      </c>
      <c r="B220" s="5" t="s">
        <v>775</v>
      </c>
      <c r="C220" s="6" t="s">
        <v>396</v>
      </c>
      <c r="D220" s="6" t="s">
        <v>135</v>
      </c>
      <c r="E220" s="6">
        <v>17275405</v>
      </c>
      <c r="F220" s="18">
        <v>19834.71</v>
      </c>
      <c r="G220" s="18">
        <v>0</v>
      </c>
      <c r="H220" s="6">
        <v>0</v>
      </c>
      <c r="I220" s="6">
        <v>0</v>
      </c>
      <c r="J220" s="6">
        <v>0</v>
      </c>
      <c r="K220" s="8">
        <v>4165.29</v>
      </c>
      <c r="L220" s="6">
        <v>0</v>
      </c>
      <c r="M220" s="18">
        <v>0</v>
      </c>
      <c r="N220" s="22">
        <v>24000</v>
      </c>
    </row>
    <row r="221" spans="1:14">
      <c r="A221" s="26" t="s">
        <v>762</v>
      </c>
      <c r="B221" s="27" t="s">
        <v>776</v>
      </c>
      <c r="C221" s="28" t="s">
        <v>777</v>
      </c>
      <c r="D221" s="28" t="s">
        <v>135</v>
      </c>
      <c r="E221" s="28">
        <v>16994318</v>
      </c>
      <c r="F221" s="29">
        <v>29752.07</v>
      </c>
      <c r="G221" s="29">
        <v>0</v>
      </c>
      <c r="H221" s="28">
        <v>0</v>
      </c>
      <c r="I221" s="28">
        <v>0</v>
      </c>
      <c r="J221" s="28">
        <v>0</v>
      </c>
      <c r="K221" s="37">
        <v>6247.93</v>
      </c>
      <c r="L221" s="28">
        <v>0</v>
      </c>
      <c r="M221" s="29">
        <v>0</v>
      </c>
      <c r="N221" s="30">
        <v>36000</v>
      </c>
    </row>
    <row r="222" spans="1:14" hidden="1">
      <c r="A222" s="45" t="s">
        <v>634</v>
      </c>
      <c r="B222" s="46" t="s">
        <v>784</v>
      </c>
      <c r="C222" s="47" t="s">
        <v>134</v>
      </c>
      <c r="D222" s="47" t="s">
        <v>135</v>
      </c>
      <c r="E222" s="47" t="s">
        <v>136</v>
      </c>
      <c r="F222" s="48">
        <v>-28925.62</v>
      </c>
      <c r="G222" s="48">
        <v>0</v>
      </c>
      <c r="H222" s="47">
        <v>0</v>
      </c>
      <c r="I222" s="47">
        <v>0</v>
      </c>
      <c r="J222" s="47">
        <v>0</v>
      </c>
      <c r="K222" s="49">
        <v>-6074.38</v>
      </c>
      <c r="L222" s="47">
        <v>0</v>
      </c>
      <c r="M222" s="48">
        <v>0</v>
      </c>
      <c r="N222" s="50">
        <v>-35000</v>
      </c>
    </row>
    <row r="223" spans="1:14" hidden="1">
      <c r="A223" s="39" t="s">
        <v>674</v>
      </c>
      <c r="B223" s="40" t="s">
        <v>785</v>
      </c>
      <c r="C223" s="41" t="s">
        <v>134</v>
      </c>
      <c r="D223" s="41" t="s">
        <v>135</v>
      </c>
      <c r="E223" s="41" t="s">
        <v>136</v>
      </c>
      <c r="F223" s="42">
        <v>-10330.58</v>
      </c>
      <c r="G223" s="42">
        <v>0</v>
      </c>
      <c r="H223" s="41">
        <v>0</v>
      </c>
      <c r="I223" s="41">
        <v>0</v>
      </c>
      <c r="J223" s="41">
        <v>0</v>
      </c>
      <c r="K223" s="43">
        <v>-2169.42</v>
      </c>
      <c r="L223" s="41">
        <v>0</v>
      </c>
      <c r="M223" s="42">
        <v>0</v>
      </c>
      <c r="N223" s="44">
        <v>-12500</v>
      </c>
    </row>
    <row r="224" spans="1:14" hidden="1">
      <c r="A224" s="39" t="s">
        <v>737</v>
      </c>
      <c r="B224" s="40" t="s">
        <v>786</v>
      </c>
      <c r="C224" s="41" t="s">
        <v>134</v>
      </c>
      <c r="D224" s="41" t="s">
        <v>135</v>
      </c>
      <c r="E224" s="41" t="s">
        <v>136</v>
      </c>
      <c r="F224" s="42">
        <v>-33388.43</v>
      </c>
      <c r="G224" s="42">
        <v>0</v>
      </c>
      <c r="H224" s="41">
        <v>0</v>
      </c>
      <c r="I224" s="41">
        <v>0</v>
      </c>
      <c r="J224" s="41">
        <v>0</v>
      </c>
      <c r="K224" s="43">
        <v>-7011.57</v>
      </c>
      <c r="L224" s="41">
        <v>0</v>
      </c>
      <c r="M224" s="42">
        <v>0</v>
      </c>
      <c r="N224" s="44">
        <v>-40400</v>
      </c>
    </row>
    <row r="225" spans="1:14">
      <c r="A225" s="19" t="s">
        <v>778</v>
      </c>
      <c r="B225" s="19" t="s">
        <v>779</v>
      </c>
      <c r="C225" s="19" t="s">
        <v>780</v>
      </c>
      <c r="D225" s="19" t="s">
        <v>781</v>
      </c>
      <c r="E225" s="19" t="s">
        <v>782</v>
      </c>
      <c r="F225" s="20">
        <f>SUBTOTAL(109,Tabla1[Gravado])</f>
        <v>5236187.2299999995</v>
      </c>
      <c r="G225" s="20">
        <f ca="1">SUM(OFFSET($A$1,5,COLUMN()-1):OFFSET($A$1,ROW()-2,COLUMN()-1))</f>
        <v>0</v>
      </c>
      <c r="H225" s="20">
        <f ca="1">SUM(OFFSET($A$1,5,COLUMN()-1):OFFSET($A$1,ROW()-2,COLUMN()-1))</f>
        <v>0</v>
      </c>
      <c r="I225" s="20">
        <f ca="1">SUM(OFFSET($A$1,5,COLUMN()-1):OFFSET($A$1,ROW()-2,COLUMN()-1))</f>
        <v>0</v>
      </c>
      <c r="J225" s="20">
        <f ca="1">SUM(OFFSET($A$1,5,COLUMN()-1):OFFSET($A$1,ROW()-2,COLUMN()-1))</f>
        <v>0</v>
      </c>
      <c r="K225" s="38">
        <f>SUBTOTAL(109,Tabla1[IVA 21%])</f>
        <v>1099599.3500000001</v>
      </c>
      <c r="L225" s="20">
        <f ca="1">SUM(OFFSET($A$1,5,COLUMN()-1):OFFSET($A$1,ROW()-2,COLUMN()-1))</f>
        <v>0</v>
      </c>
      <c r="M225" s="20">
        <f ca="1">SUM(OFFSET($A$1,5,COLUMN()-1):OFFSET($A$1,ROW()-2,COLUMN()-1))</f>
        <v>0</v>
      </c>
      <c r="N225" s="20">
        <f>SUBTOTAL(109,Tabla1[Total Compr.])</f>
        <v>6335786.5800000001</v>
      </c>
    </row>
    <row r="227" spans="1:14">
      <c r="A227" s="35" t="s">
        <v>783</v>
      </c>
    </row>
    <row r="228" spans="1:14">
      <c r="A228" s="23" t="s">
        <v>2</v>
      </c>
      <c r="B228" s="24" t="s">
        <v>3</v>
      </c>
      <c r="C228" s="24" t="s">
        <v>4</v>
      </c>
      <c r="D228" s="24" t="s">
        <v>5</v>
      </c>
      <c r="E228" s="24" t="s">
        <v>6</v>
      </c>
      <c r="F228" s="24" t="s">
        <v>7</v>
      </c>
      <c r="G228" s="24" t="s">
        <v>8</v>
      </c>
      <c r="H228" s="24" t="s">
        <v>9</v>
      </c>
      <c r="I228" s="24" t="s">
        <v>10</v>
      </c>
      <c r="J228" s="24" t="s">
        <v>11</v>
      </c>
      <c r="K228" s="24" t="s">
        <v>12</v>
      </c>
      <c r="L228" s="24" t="s">
        <v>13</v>
      </c>
      <c r="M228" s="24" t="s">
        <v>14</v>
      </c>
      <c r="N228" s="25" t="s">
        <v>15</v>
      </c>
    </row>
    <row r="229" spans="1:14">
      <c r="A229" s="21" t="s">
        <v>465</v>
      </c>
      <c r="B229" s="5" t="s">
        <v>475</v>
      </c>
      <c r="C229" s="6" t="s">
        <v>25</v>
      </c>
      <c r="D229" s="6" t="s">
        <v>19</v>
      </c>
      <c r="E229" s="6">
        <v>30522428163</v>
      </c>
      <c r="F229" s="18">
        <v>-111783.55</v>
      </c>
      <c r="G229" s="18">
        <v>0</v>
      </c>
      <c r="H229" s="6">
        <v>0</v>
      </c>
      <c r="I229" s="6">
        <v>0</v>
      </c>
      <c r="J229" s="6">
        <v>0</v>
      </c>
      <c r="K229" s="6">
        <v>-23474.55</v>
      </c>
      <c r="L229" s="6">
        <v>0</v>
      </c>
      <c r="M229" s="18">
        <v>0</v>
      </c>
      <c r="N229" s="22">
        <v>-135258.1</v>
      </c>
    </row>
    <row r="230" spans="1:14">
      <c r="A230" s="21" t="s">
        <v>483</v>
      </c>
      <c r="B230" s="5" t="s">
        <v>494</v>
      </c>
      <c r="C230" s="6" t="s">
        <v>25</v>
      </c>
      <c r="D230" s="6" t="s">
        <v>19</v>
      </c>
      <c r="E230" s="6">
        <v>30522428163</v>
      </c>
      <c r="F230" s="18">
        <v>23636363.640000001</v>
      </c>
      <c r="G230" s="18">
        <v>0</v>
      </c>
      <c r="H230" s="6">
        <v>0</v>
      </c>
      <c r="I230" s="6">
        <v>0</v>
      </c>
      <c r="J230" s="6">
        <v>0</v>
      </c>
      <c r="K230" s="6">
        <v>4963636.3600000003</v>
      </c>
      <c r="L230" s="6">
        <v>0</v>
      </c>
      <c r="M230" s="18">
        <v>0</v>
      </c>
      <c r="N230" s="22">
        <v>28600000</v>
      </c>
    </row>
    <row r="231" spans="1:14">
      <c r="A231" s="21" t="s">
        <v>483</v>
      </c>
      <c r="B231" s="5" t="s">
        <v>495</v>
      </c>
      <c r="C231" s="6" t="s">
        <v>25</v>
      </c>
      <c r="D231" s="6" t="s">
        <v>19</v>
      </c>
      <c r="E231" s="6">
        <v>30522428163</v>
      </c>
      <c r="F231" s="18">
        <v>8553719.0099999998</v>
      </c>
      <c r="G231" s="18">
        <v>0</v>
      </c>
      <c r="H231" s="6">
        <v>0</v>
      </c>
      <c r="I231" s="6">
        <v>0</v>
      </c>
      <c r="J231" s="6">
        <v>0</v>
      </c>
      <c r="K231" s="6">
        <v>1796280.99</v>
      </c>
      <c r="L231" s="6">
        <v>0</v>
      </c>
      <c r="M231" s="18">
        <v>0</v>
      </c>
      <c r="N231" s="22">
        <v>10350000</v>
      </c>
    </row>
    <row r="232" spans="1:14">
      <c r="A232" s="21" t="s">
        <v>499</v>
      </c>
      <c r="B232" s="5" t="s">
        <v>507</v>
      </c>
      <c r="C232" s="6" t="s">
        <v>25</v>
      </c>
      <c r="D232" s="6" t="s">
        <v>19</v>
      </c>
      <c r="E232" s="6">
        <v>30522428163</v>
      </c>
      <c r="F232" s="18">
        <v>7053471.0800000001</v>
      </c>
      <c r="G232" s="18">
        <v>0</v>
      </c>
      <c r="H232" s="6">
        <v>0</v>
      </c>
      <c r="I232" s="6">
        <v>0</v>
      </c>
      <c r="J232" s="6">
        <v>0</v>
      </c>
      <c r="K232" s="6">
        <v>1481228.92</v>
      </c>
      <c r="L232" s="6">
        <v>0</v>
      </c>
      <c r="M232" s="18">
        <v>0</v>
      </c>
      <c r="N232" s="22">
        <v>8534700</v>
      </c>
    </row>
    <row r="233" spans="1:14">
      <c r="A233" s="21" t="s">
        <v>510</v>
      </c>
      <c r="B233" s="5" t="s">
        <v>516</v>
      </c>
      <c r="C233" s="6" t="s">
        <v>25</v>
      </c>
      <c r="D233" s="6" t="s">
        <v>19</v>
      </c>
      <c r="E233" s="6">
        <v>30522428163</v>
      </c>
      <c r="F233" s="18">
        <v>17725619.84</v>
      </c>
      <c r="G233" s="18">
        <v>0</v>
      </c>
      <c r="H233" s="6">
        <v>0</v>
      </c>
      <c r="I233" s="6">
        <v>0</v>
      </c>
      <c r="J233" s="6">
        <v>0</v>
      </c>
      <c r="K233" s="6">
        <v>3722380.15</v>
      </c>
      <c r="L233" s="6">
        <v>0</v>
      </c>
      <c r="M233" s="18">
        <v>0</v>
      </c>
      <c r="N233" s="22">
        <v>21447999.990000002</v>
      </c>
    </row>
    <row r="234" spans="1:14">
      <c r="A234" s="21" t="s">
        <v>510</v>
      </c>
      <c r="B234" s="5" t="s">
        <v>517</v>
      </c>
      <c r="C234" s="6" t="s">
        <v>25</v>
      </c>
      <c r="D234" s="6" t="s">
        <v>19</v>
      </c>
      <c r="E234" s="6">
        <v>30522428163</v>
      </c>
      <c r="F234" s="18">
        <v>15578512.4</v>
      </c>
      <c r="G234" s="18">
        <v>0</v>
      </c>
      <c r="H234" s="6">
        <v>0</v>
      </c>
      <c r="I234" s="6">
        <v>0</v>
      </c>
      <c r="J234" s="6">
        <v>0</v>
      </c>
      <c r="K234" s="6">
        <v>3271487.61</v>
      </c>
      <c r="L234" s="6">
        <v>0</v>
      </c>
      <c r="M234" s="18">
        <v>0</v>
      </c>
      <c r="N234" s="22">
        <v>18850000.010000002</v>
      </c>
    </row>
    <row r="235" spans="1:14">
      <c r="A235" s="21" t="s">
        <v>510</v>
      </c>
      <c r="B235" s="5" t="s">
        <v>518</v>
      </c>
      <c r="C235" s="6" t="s">
        <v>76</v>
      </c>
      <c r="D235" s="6" t="s">
        <v>19</v>
      </c>
      <c r="E235" s="6">
        <v>30606274161</v>
      </c>
      <c r="F235" s="18">
        <v>-129421.49</v>
      </c>
      <c r="G235" s="18">
        <v>0</v>
      </c>
      <c r="H235" s="6">
        <v>0</v>
      </c>
      <c r="I235" s="6">
        <v>0</v>
      </c>
      <c r="J235" s="6">
        <v>0</v>
      </c>
      <c r="K235" s="6">
        <v>-27178.51</v>
      </c>
      <c r="L235" s="6">
        <v>0</v>
      </c>
      <c r="M235" s="18">
        <v>0</v>
      </c>
      <c r="N235" s="22">
        <v>-156600</v>
      </c>
    </row>
    <row r="236" spans="1:14">
      <c r="A236" s="21" t="s">
        <v>510</v>
      </c>
      <c r="B236" s="5" t="s">
        <v>519</v>
      </c>
      <c r="C236" s="6" t="s">
        <v>67</v>
      </c>
      <c r="D236" s="6" t="s">
        <v>19</v>
      </c>
      <c r="E236" s="6">
        <v>30710538014</v>
      </c>
      <c r="F236" s="18">
        <v>182069.42</v>
      </c>
      <c r="G236" s="18">
        <v>0</v>
      </c>
      <c r="H236" s="6">
        <v>0</v>
      </c>
      <c r="I236" s="6">
        <v>0</v>
      </c>
      <c r="J236" s="6">
        <v>0</v>
      </c>
      <c r="K236" s="6">
        <v>38234.58</v>
      </c>
      <c r="L236" s="6">
        <v>0</v>
      </c>
      <c r="M236" s="18">
        <v>0</v>
      </c>
      <c r="N236" s="22">
        <v>220304</v>
      </c>
    </row>
    <row r="237" spans="1:14">
      <c r="A237" s="21" t="s">
        <v>510</v>
      </c>
      <c r="B237" s="5" t="s">
        <v>520</v>
      </c>
      <c r="C237" s="6" t="s">
        <v>67</v>
      </c>
      <c r="D237" s="6" t="s">
        <v>19</v>
      </c>
      <c r="E237" s="6">
        <v>30710538014</v>
      </c>
      <c r="F237" s="18">
        <v>27371.9</v>
      </c>
      <c r="G237" s="18">
        <v>0</v>
      </c>
      <c r="H237" s="6">
        <v>0</v>
      </c>
      <c r="I237" s="6">
        <v>0</v>
      </c>
      <c r="J237" s="6">
        <v>0</v>
      </c>
      <c r="K237" s="6">
        <v>5748.1</v>
      </c>
      <c r="L237" s="6">
        <v>0</v>
      </c>
      <c r="M237" s="18">
        <v>0</v>
      </c>
      <c r="N237" s="22">
        <v>33120</v>
      </c>
    </row>
    <row r="238" spans="1:14">
      <c r="A238" s="21" t="s">
        <v>510</v>
      </c>
      <c r="B238" s="5" t="s">
        <v>521</v>
      </c>
      <c r="C238" s="6" t="s">
        <v>73</v>
      </c>
      <c r="D238" s="6" t="s">
        <v>19</v>
      </c>
      <c r="E238" s="6">
        <v>30715186655</v>
      </c>
      <c r="F238" s="18">
        <v>249894.21</v>
      </c>
      <c r="G238" s="18">
        <v>0</v>
      </c>
      <c r="H238" s="6">
        <v>0</v>
      </c>
      <c r="I238" s="6">
        <v>0</v>
      </c>
      <c r="J238" s="6">
        <v>0</v>
      </c>
      <c r="K238" s="6">
        <v>52477.78</v>
      </c>
      <c r="L238" s="6">
        <v>0</v>
      </c>
      <c r="M238" s="18">
        <v>0</v>
      </c>
      <c r="N238" s="22">
        <v>302371.99</v>
      </c>
    </row>
    <row r="239" spans="1:14">
      <c r="A239" s="21" t="s">
        <v>510</v>
      </c>
      <c r="B239" s="5" t="s">
        <v>522</v>
      </c>
      <c r="C239" s="6" t="s">
        <v>73</v>
      </c>
      <c r="D239" s="6" t="s">
        <v>19</v>
      </c>
      <c r="E239" s="6">
        <v>30715186655</v>
      </c>
      <c r="F239" s="18">
        <v>14869.42</v>
      </c>
      <c r="G239" s="18">
        <v>0</v>
      </c>
      <c r="H239" s="6">
        <v>0</v>
      </c>
      <c r="I239" s="6">
        <v>0</v>
      </c>
      <c r="J239" s="6">
        <v>0</v>
      </c>
      <c r="K239" s="6">
        <v>3122.58</v>
      </c>
      <c r="L239" s="6">
        <v>0</v>
      </c>
      <c r="M239" s="18">
        <v>0</v>
      </c>
      <c r="N239" s="22">
        <v>17992</v>
      </c>
    </row>
    <row r="240" spans="1:14">
      <c r="A240" s="21" t="s">
        <v>510</v>
      </c>
      <c r="B240" s="5" t="s">
        <v>523</v>
      </c>
      <c r="C240" s="6" t="s">
        <v>80</v>
      </c>
      <c r="D240" s="6" t="s">
        <v>19</v>
      </c>
      <c r="E240" s="6">
        <v>30707612971</v>
      </c>
      <c r="F240" s="18">
        <v>44661.16</v>
      </c>
      <c r="G240" s="18">
        <v>0</v>
      </c>
      <c r="H240" s="6">
        <v>0</v>
      </c>
      <c r="I240" s="6">
        <v>0</v>
      </c>
      <c r="J240" s="6">
        <v>0</v>
      </c>
      <c r="K240" s="6">
        <v>9378.84</v>
      </c>
      <c r="L240" s="6">
        <v>0</v>
      </c>
      <c r="M240" s="18">
        <v>0</v>
      </c>
      <c r="N240" s="22">
        <v>54040</v>
      </c>
    </row>
    <row r="241" spans="1:14">
      <c r="A241" s="21" t="s">
        <v>510</v>
      </c>
      <c r="B241" s="5" t="s">
        <v>524</v>
      </c>
      <c r="C241" s="6" t="s">
        <v>76</v>
      </c>
      <c r="D241" s="6" t="s">
        <v>19</v>
      </c>
      <c r="E241" s="6">
        <v>30606274161</v>
      </c>
      <c r="F241" s="18">
        <v>129421.49</v>
      </c>
      <c r="G241" s="18">
        <v>0</v>
      </c>
      <c r="H241" s="6">
        <v>0</v>
      </c>
      <c r="I241" s="6">
        <v>0</v>
      </c>
      <c r="J241" s="6">
        <v>0</v>
      </c>
      <c r="K241" s="6">
        <v>27178.51</v>
      </c>
      <c r="L241" s="6">
        <v>0</v>
      </c>
      <c r="M241" s="18">
        <v>0</v>
      </c>
      <c r="N241" s="22">
        <v>156600</v>
      </c>
    </row>
    <row r="242" spans="1:14">
      <c r="A242" s="21" t="s">
        <v>510</v>
      </c>
      <c r="B242" s="5" t="s">
        <v>525</v>
      </c>
      <c r="C242" s="6" t="s">
        <v>76</v>
      </c>
      <c r="D242" s="6" t="s">
        <v>19</v>
      </c>
      <c r="E242" s="6">
        <v>30606274161</v>
      </c>
      <c r="F242" s="18">
        <v>129421.49</v>
      </c>
      <c r="G242" s="18">
        <v>0</v>
      </c>
      <c r="H242" s="6">
        <v>0</v>
      </c>
      <c r="I242" s="6">
        <v>0</v>
      </c>
      <c r="J242" s="6">
        <v>0</v>
      </c>
      <c r="K242" s="6">
        <v>27178.51</v>
      </c>
      <c r="L242" s="6">
        <v>0</v>
      </c>
      <c r="M242" s="18">
        <v>0</v>
      </c>
      <c r="N242" s="22">
        <v>156600</v>
      </c>
    </row>
    <row r="243" spans="1:14">
      <c r="A243" s="21" t="s">
        <v>510</v>
      </c>
      <c r="B243" s="5" t="s">
        <v>526</v>
      </c>
      <c r="C243" s="6" t="s">
        <v>78</v>
      </c>
      <c r="D243" s="6" t="s">
        <v>19</v>
      </c>
      <c r="E243" s="6">
        <v>30712529721</v>
      </c>
      <c r="F243" s="18">
        <v>25735.54</v>
      </c>
      <c r="G243" s="18">
        <v>0</v>
      </c>
      <c r="H243" s="6">
        <v>0</v>
      </c>
      <c r="I243" s="6">
        <v>0</v>
      </c>
      <c r="J243" s="6">
        <v>0</v>
      </c>
      <c r="K243" s="6">
        <v>5404.46</v>
      </c>
      <c r="L243" s="6">
        <v>0</v>
      </c>
      <c r="M243" s="18">
        <v>0</v>
      </c>
      <c r="N243" s="22">
        <v>31140</v>
      </c>
    </row>
    <row r="244" spans="1:14">
      <c r="A244" s="21" t="s">
        <v>510</v>
      </c>
      <c r="B244" s="5" t="s">
        <v>527</v>
      </c>
      <c r="C244" s="6" t="s">
        <v>82</v>
      </c>
      <c r="D244" s="6" t="s">
        <v>19</v>
      </c>
      <c r="E244" s="6">
        <v>30657418877</v>
      </c>
      <c r="F244" s="18">
        <v>11818.18</v>
      </c>
      <c r="G244" s="18">
        <v>0</v>
      </c>
      <c r="H244" s="6">
        <v>0</v>
      </c>
      <c r="I244" s="6">
        <v>0</v>
      </c>
      <c r="J244" s="6">
        <v>0</v>
      </c>
      <c r="K244" s="6">
        <v>2481.8200000000002</v>
      </c>
      <c r="L244" s="6">
        <v>0</v>
      </c>
      <c r="M244" s="18">
        <v>0</v>
      </c>
      <c r="N244" s="22">
        <v>14300</v>
      </c>
    </row>
    <row r="245" spans="1:14">
      <c r="A245" s="21" t="s">
        <v>510</v>
      </c>
      <c r="B245" s="5" t="s">
        <v>528</v>
      </c>
      <c r="C245" s="6" t="s">
        <v>70</v>
      </c>
      <c r="D245" s="6" t="s">
        <v>19</v>
      </c>
      <c r="E245" s="6">
        <v>30710961790</v>
      </c>
      <c r="F245" s="18">
        <v>76826.45</v>
      </c>
      <c r="G245" s="18">
        <v>0</v>
      </c>
      <c r="H245" s="6">
        <v>0</v>
      </c>
      <c r="I245" s="6">
        <v>0</v>
      </c>
      <c r="J245" s="6">
        <v>0</v>
      </c>
      <c r="K245" s="6">
        <v>16133.55</v>
      </c>
      <c r="L245" s="6">
        <v>0</v>
      </c>
      <c r="M245" s="18">
        <v>0</v>
      </c>
      <c r="N245" s="22">
        <v>92960</v>
      </c>
    </row>
    <row r="246" spans="1:14">
      <c r="A246" s="21" t="s">
        <v>532</v>
      </c>
      <c r="B246" s="5" t="s">
        <v>539</v>
      </c>
      <c r="C246" s="6" t="s">
        <v>25</v>
      </c>
      <c r="D246" s="6" t="s">
        <v>19</v>
      </c>
      <c r="E246" s="6">
        <v>30522428163</v>
      </c>
      <c r="F246" s="18">
        <v>952780.24</v>
      </c>
      <c r="G246" s="18">
        <v>0</v>
      </c>
      <c r="H246" s="6">
        <v>0</v>
      </c>
      <c r="I246" s="6">
        <v>0</v>
      </c>
      <c r="J246" s="6">
        <v>0</v>
      </c>
      <c r="K246" s="6">
        <v>200083.85</v>
      </c>
      <c r="L246" s="6">
        <v>0</v>
      </c>
      <c r="M246" s="18">
        <v>0</v>
      </c>
      <c r="N246" s="22">
        <v>1152864.0900000001</v>
      </c>
    </row>
    <row r="247" spans="1:14">
      <c r="A247" s="21" t="s">
        <v>532</v>
      </c>
      <c r="B247" s="5" t="s">
        <v>540</v>
      </c>
      <c r="C247" s="6" t="s">
        <v>36</v>
      </c>
      <c r="D247" s="6" t="s">
        <v>19</v>
      </c>
      <c r="E247" s="6">
        <v>30683032227</v>
      </c>
      <c r="F247" s="18">
        <v>1141550.19</v>
      </c>
      <c r="G247" s="18">
        <v>0</v>
      </c>
      <c r="H247" s="6">
        <v>0</v>
      </c>
      <c r="I247" s="6">
        <v>0</v>
      </c>
      <c r="J247" s="6">
        <v>0</v>
      </c>
      <c r="K247" s="6">
        <v>239725.54</v>
      </c>
      <c r="L247" s="6">
        <v>0</v>
      </c>
      <c r="M247" s="18">
        <v>0</v>
      </c>
      <c r="N247" s="22">
        <v>1381275.73</v>
      </c>
    </row>
    <row r="248" spans="1:14">
      <c r="A248" s="21" t="s">
        <v>532</v>
      </c>
      <c r="B248" s="5" t="s">
        <v>541</v>
      </c>
      <c r="C248" s="6" t="s">
        <v>36</v>
      </c>
      <c r="D248" s="6" t="s">
        <v>19</v>
      </c>
      <c r="E248" s="6">
        <v>30683032227</v>
      </c>
      <c r="F248" s="18">
        <v>523186.78</v>
      </c>
      <c r="G248" s="18">
        <v>0</v>
      </c>
      <c r="H248" s="6">
        <v>0</v>
      </c>
      <c r="I248" s="6">
        <v>0</v>
      </c>
      <c r="J248" s="6">
        <v>0</v>
      </c>
      <c r="K248" s="6">
        <v>109869.22</v>
      </c>
      <c r="L248" s="6">
        <v>0</v>
      </c>
      <c r="M248" s="18">
        <v>0</v>
      </c>
      <c r="N248" s="22">
        <v>633056</v>
      </c>
    </row>
    <row r="249" spans="1:14">
      <c r="A249" s="21" t="s">
        <v>532</v>
      </c>
      <c r="B249" s="5" t="s">
        <v>542</v>
      </c>
      <c r="C249" s="6" t="s">
        <v>25</v>
      </c>
      <c r="D249" s="6" t="s">
        <v>19</v>
      </c>
      <c r="E249" s="6">
        <v>30522428163</v>
      </c>
      <c r="F249" s="18">
        <v>71074.38</v>
      </c>
      <c r="G249" s="18">
        <v>0</v>
      </c>
      <c r="H249" s="6">
        <v>0</v>
      </c>
      <c r="I249" s="6">
        <v>0</v>
      </c>
      <c r="J249" s="6">
        <v>0</v>
      </c>
      <c r="K249" s="6">
        <v>14925.62</v>
      </c>
      <c r="L249" s="6">
        <v>0</v>
      </c>
      <c r="M249" s="18">
        <v>0</v>
      </c>
      <c r="N249" s="22">
        <v>86000</v>
      </c>
    </row>
    <row r="250" spans="1:14">
      <c r="A250" s="21" t="s">
        <v>548</v>
      </c>
      <c r="B250" s="5" t="s">
        <v>557</v>
      </c>
      <c r="C250" s="6" t="s">
        <v>25</v>
      </c>
      <c r="D250" s="6" t="s">
        <v>19</v>
      </c>
      <c r="E250" s="6">
        <v>30522428163</v>
      </c>
      <c r="F250" s="18">
        <v>5002300.07</v>
      </c>
      <c r="G250" s="18">
        <v>0</v>
      </c>
      <c r="H250" s="6">
        <v>0</v>
      </c>
      <c r="I250" s="6">
        <v>0</v>
      </c>
      <c r="J250" s="6">
        <v>0</v>
      </c>
      <c r="K250" s="6">
        <v>1050483.01</v>
      </c>
      <c r="L250" s="6">
        <v>0</v>
      </c>
      <c r="M250" s="18">
        <v>0</v>
      </c>
      <c r="N250" s="22">
        <v>6052783.0800000001</v>
      </c>
    </row>
    <row r="251" spans="1:14">
      <c r="A251" s="21" t="s">
        <v>548</v>
      </c>
      <c r="B251" s="5" t="s">
        <v>558</v>
      </c>
      <c r="C251" s="6" t="s">
        <v>25</v>
      </c>
      <c r="D251" s="6" t="s">
        <v>19</v>
      </c>
      <c r="E251" s="6">
        <v>30522428163</v>
      </c>
      <c r="F251" s="18">
        <v>453634.26</v>
      </c>
      <c r="G251" s="18">
        <v>0</v>
      </c>
      <c r="H251" s="6">
        <v>0</v>
      </c>
      <c r="I251" s="6">
        <v>0</v>
      </c>
      <c r="J251" s="6">
        <v>0</v>
      </c>
      <c r="K251" s="6">
        <v>95263.19</v>
      </c>
      <c r="L251" s="6">
        <v>0</v>
      </c>
      <c r="M251" s="18">
        <v>0</v>
      </c>
      <c r="N251" s="22">
        <v>548897.44999999995</v>
      </c>
    </row>
    <row r="252" spans="1:14">
      <c r="A252" s="21" t="s">
        <v>548</v>
      </c>
      <c r="B252" s="5" t="s">
        <v>559</v>
      </c>
      <c r="C252" s="6" t="s">
        <v>25</v>
      </c>
      <c r="D252" s="6" t="s">
        <v>19</v>
      </c>
      <c r="E252" s="6">
        <v>30522428163</v>
      </c>
      <c r="F252" s="18">
        <v>762692.54</v>
      </c>
      <c r="G252" s="18">
        <v>0</v>
      </c>
      <c r="H252" s="6">
        <v>0</v>
      </c>
      <c r="I252" s="6">
        <v>0</v>
      </c>
      <c r="J252" s="6">
        <v>0</v>
      </c>
      <c r="K252" s="6">
        <v>160165.43</v>
      </c>
      <c r="L252" s="6">
        <v>0</v>
      </c>
      <c r="M252" s="18">
        <v>0</v>
      </c>
      <c r="N252" s="22">
        <v>922857.97</v>
      </c>
    </row>
    <row r="253" spans="1:14">
      <c r="A253" s="21" t="s">
        <v>548</v>
      </c>
      <c r="B253" s="5" t="s">
        <v>560</v>
      </c>
      <c r="C253" s="6" t="s">
        <v>25</v>
      </c>
      <c r="D253" s="6" t="s">
        <v>19</v>
      </c>
      <c r="E253" s="6">
        <v>30522428163</v>
      </c>
      <c r="F253" s="18">
        <v>25139504.140000001</v>
      </c>
      <c r="G253" s="18">
        <v>0</v>
      </c>
      <c r="H253" s="6">
        <v>0</v>
      </c>
      <c r="I253" s="6">
        <v>0</v>
      </c>
      <c r="J253" s="6">
        <v>0</v>
      </c>
      <c r="K253" s="6">
        <v>5279295.8600000003</v>
      </c>
      <c r="L253" s="6">
        <v>0</v>
      </c>
      <c r="M253" s="18">
        <v>0</v>
      </c>
      <c r="N253" s="22">
        <v>30418800</v>
      </c>
    </row>
    <row r="254" spans="1:14">
      <c r="A254" s="21" t="s">
        <v>548</v>
      </c>
      <c r="B254" s="5" t="s">
        <v>561</v>
      </c>
      <c r="C254" s="6" t="s">
        <v>25</v>
      </c>
      <c r="D254" s="6" t="s">
        <v>19</v>
      </c>
      <c r="E254" s="6">
        <v>30522428163</v>
      </c>
      <c r="F254" s="18">
        <v>45608.23</v>
      </c>
      <c r="G254" s="18">
        <v>0</v>
      </c>
      <c r="H254" s="6">
        <v>0</v>
      </c>
      <c r="I254" s="6">
        <v>0</v>
      </c>
      <c r="J254" s="6">
        <v>0</v>
      </c>
      <c r="K254" s="6">
        <v>9577.73</v>
      </c>
      <c r="L254" s="6">
        <v>0</v>
      </c>
      <c r="M254" s="18">
        <v>0</v>
      </c>
      <c r="N254" s="22">
        <v>55185.96</v>
      </c>
    </row>
    <row r="255" spans="1:14">
      <c r="A255" s="21" t="s">
        <v>563</v>
      </c>
      <c r="B255" s="5" t="s">
        <v>573</v>
      </c>
      <c r="C255" s="6" t="s">
        <v>25</v>
      </c>
      <c r="D255" s="6" t="s">
        <v>19</v>
      </c>
      <c r="E255" s="6">
        <v>30522428163</v>
      </c>
      <c r="F255" s="18">
        <v>13623884.300000001</v>
      </c>
      <c r="G255" s="18">
        <v>0</v>
      </c>
      <c r="H255" s="6">
        <v>0</v>
      </c>
      <c r="I255" s="6">
        <v>0</v>
      </c>
      <c r="J255" s="6">
        <v>0</v>
      </c>
      <c r="K255" s="6">
        <v>2861015.71</v>
      </c>
      <c r="L255" s="6">
        <v>0</v>
      </c>
      <c r="M255" s="18">
        <v>0</v>
      </c>
      <c r="N255" s="22">
        <v>16484900.01</v>
      </c>
    </row>
    <row r="256" spans="1:14">
      <c r="A256" s="21" t="s">
        <v>563</v>
      </c>
      <c r="B256" s="5" t="s">
        <v>574</v>
      </c>
      <c r="C256" s="6" t="s">
        <v>90</v>
      </c>
      <c r="D256" s="6" t="s">
        <v>19</v>
      </c>
      <c r="E256" s="6">
        <v>30645337979</v>
      </c>
      <c r="F256" s="18">
        <v>-39464.730000000003</v>
      </c>
      <c r="G256" s="18">
        <v>0</v>
      </c>
      <c r="H256" s="6">
        <v>0</v>
      </c>
      <c r="I256" s="6">
        <v>0</v>
      </c>
      <c r="J256" s="6">
        <v>0</v>
      </c>
      <c r="K256" s="6">
        <v>-8287.59</v>
      </c>
      <c r="L256" s="6">
        <v>0</v>
      </c>
      <c r="M256" s="18">
        <v>0</v>
      </c>
      <c r="N256" s="22">
        <v>-47752.32</v>
      </c>
    </row>
    <row r="257" spans="1:14">
      <c r="A257" s="21" t="s">
        <v>563</v>
      </c>
      <c r="B257" s="5" t="s">
        <v>575</v>
      </c>
      <c r="C257" s="6" t="s">
        <v>45</v>
      </c>
      <c r="D257" s="6" t="s">
        <v>19</v>
      </c>
      <c r="E257" s="6">
        <v>30608716390</v>
      </c>
      <c r="F257" s="18">
        <v>-12165.29</v>
      </c>
      <c r="G257" s="18">
        <v>0</v>
      </c>
      <c r="H257" s="6">
        <v>0</v>
      </c>
      <c r="I257" s="6">
        <v>0</v>
      </c>
      <c r="J257" s="6">
        <v>0</v>
      </c>
      <c r="K257" s="6">
        <v>-2554.7200000000003</v>
      </c>
      <c r="L257" s="6">
        <v>0</v>
      </c>
      <c r="M257" s="18">
        <v>0</v>
      </c>
      <c r="N257" s="22">
        <v>-14720.01</v>
      </c>
    </row>
    <row r="258" spans="1:14">
      <c r="A258" s="21" t="s">
        <v>563</v>
      </c>
      <c r="B258" s="5" t="s">
        <v>576</v>
      </c>
      <c r="C258" s="6" t="s">
        <v>84</v>
      </c>
      <c r="D258" s="6" t="s">
        <v>19</v>
      </c>
      <c r="E258" s="6">
        <v>30546771314</v>
      </c>
      <c r="F258" s="18">
        <v>10690.91</v>
      </c>
      <c r="G258" s="18">
        <v>0</v>
      </c>
      <c r="H258" s="6">
        <v>0</v>
      </c>
      <c r="I258" s="6">
        <v>0</v>
      </c>
      <c r="J258" s="6">
        <v>0</v>
      </c>
      <c r="K258" s="6">
        <v>2245.09</v>
      </c>
      <c r="L258" s="6">
        <v>0</v>
      </c>
      <c r="M258" s="18">
        <v>0</v>
      </c>
      <c r="N258" s="22">
        <v>12936</v>
      </c>
    </row>
    <row r="259" spans="1:14">
      <c r="A259" s="21" t="s">
        <v>563</v>
      </c>
      <c r="B259" s="5" t="s">
        <v>577</v>
      </c>
      <c r="C259" s="6" t="s">
        <v>86</v>
      </c>
      <c r="D259" s="6" t="s">
        <v>19</v>
      </c>
      <c r="E259" s="6">
        <v>30713669004</v>
      </c>
      <c r="F259" s="18">
        <v>46327.27</v>
      </c>
      <c r="G259" s="18">
        <v>0</v>
      </c>
      <c r="H259" s="6">
        <v>0</v>
      </c>
      <c r="I259" s="6">
        <v>0</v>
      </c>
      <c r="J259" s="6">
        <v>0</v>
      </c>
      <c r="K259" s="6">
        <v>9728.73</v>
      </c>
      <c r="L259" s="6">
        <v>0</v>
      </c>
      <c r="M259" s="18">
        <v>0</v>
      </c>
      <c r="N259" s="22">
        <v>56056</v>
      </c>
    </row>
    <row r="260" spans="1:14">
      <c r="A260" s="21" t="s">
        <v>563</v>
      </c>
      <c r="B260" s="5" t="s">
        <v>578</v>
      </c>
      <c r="C260" s="6" t="s">
        <v>92</v>
      </c>
      <c r="D260" s="6" t="s">
        <v>19</v>
      </c>
      <c r="E260" s="6">
        <v>30709016012</v>
      </c>
      <c r="F260" s="18">
        <v>50628.1</v>
      </c>
      <c r="G260" s="18">
        <v>0</v>
      </c>
      <c r="H260" s="6">
        <v>0</v>
      </c>
      <c r="I260" s="6">
        <v>0</v>
      </c>
      <c r="J260" s="6">
        <v>0</v>
      </c>
      <c r="K260" s="6">
        <v>10631.9</v>
      </c>
      <c r="L260" s="6">
        <v>0</v>
      </c>
      <c r="M260" s="18">
        <v>0</v>
      </c>
      <c r="N260" s="22">
        <v>61260</v>
      </c>
    </row>
    <row r="261" spans="1:14">
      <c r="A261" s="21" t="s">
        <v>563</v>
      </c>
      <c r="B261" s="5" t="s">
        <v>579</v>
      </c>
      <c r="C261" s="6" t="s">
        <v>92</v>
      </c>
      <c r="D261" s="6" t="s">
        <v>19</v>
      </c>
      <c r="E261" s="6">
        <v>30709016012</v>
      </c>
      <c r="F261" s="18">
        <v>108991.75</v>
      </c>
      <c r="G261" s="18">
        <v>0</v>
      </c>
      <c r="H261" s="6">
        <v>0</v>
      </c>
      <c r="I261" s="6">
        <v>0</v>
      </c>
      <c r="J261" s="6">
        <v>0</v>
      </c>
      <c r="K261" s="6">
        <v>22888.27</v>
      </c>
      <c r="L261" s="6">
        <v>0</v>
      </c>
      <c r="M261" s="18">
        <v>0</v>
      </c>
      <c r="N261" s="22">
        <v>131880.01999999999</v>
      </c>
    </row>
    <row r="262" spans="1:14">
      <c r="A262" s="21" t="s">
        <v>563</v>
      </c>
      <c r="B262" s="5" t="s">
        <v>580</v>
      </c>
      <c r="C262" s="6" t="s">
        <v>90</v>
      </c>
      <c r="D262" s="6" t="s">
        <v>19</v>
      </c>
      <c r="E262" s="6">
        <v>30645337979</v>
      </c>
      <c r="F262" s="18">
        <v>39464.730000000003</v>
      </c>
      <c r="G262" s="18">
        <v>0</v>
      </c>
      <c r="H262" s="6">
        <v>0</v>
      </c>
      <c r="I262" s="6">
        <v>0</v>
      </c>
      <c r="J262" s="6">
        <v>0</v>
      </c>
      <c r="K262" s="6">
        <v>8287.59</v>
      </c>
      <c r="L262" s="6">
        <v>0</v>
      </c>
      <c r="M262" s="18">
        <v>0</v>
      </c>
      <c r="N262" s="22">
        <v>47752.32</v>
      </c>
    </row>
    <row r="263" spans="1:14">
      <c r="A263" s="21" t="s">
        <v>563</v>
      </c>
      <c r="B263" s="5" t="s">
        <v>581</v>
      </c>
      <c r="C263" s="6" t="s">
        <v>90</v>
      </c>
      <c r="D263" s="6" t="s">
        <v>19</v>
      </c>
      <c r="E263" s="6">
        <v>30645337979</v>
      </c>
      <c r="F263" s="18">
        <v>37381.82</v>
      </c>
      <c r="G263" s="18">
        <v>0</v>
      </c>
      <c r="H263" s="6">
        <v>0</v>
      </c>
      <c r="I263" s="6">
        <v>0</v>
      </c>
      <c r="J263" s="6">
        <v>0</v>
      </c>
      <c r="K263" s="6">
        <v>7850.18</v>
      </c>
      <c r="L263" s="6">
        <v>0</v>
      </c>
      <c r="M263" s="18">
        <v>0</v>
      </c>
      <c r="N263" s="22">
        <v>45232</v>
      </c>
    </row>
    <row r="264" spans="1:14">
      <c r="A264" s="21" t="s">
        <v>563</v>
      </c>
      <c r="B264" s="5" t="s">
        <v>582</v>
      </c>
      <c r="C264" s="6" t="s">
        <v>88</v>
      </c>
      <c r="D264" s="6" t="s">
        <v>19</v>
      </c>
      <c r="E264" s="6">
        <v>30711244383</v>
      </c>
      <c r="F264" s="18">
        <v>16842.98</v>
      </c>
      <c r="G264" s="18">
        <v>0</v>
      </c>
      <c r="H264" s="6">
        <v>0</v>
      </c>
      <c r="I264" s="6">
        <v>0</v>
      </c>
      <c r="J264" s="6">
        <v>0</v>
      </c>
      <c r="K264" s="6">
        <v>3537.03</v>
      </c>
      <c r="L264" s="6">
        <v>0</v>
      </c>
      <c r="M264" s="18">
        <v>0</v>
      </c>
      <c r="N264" s="22">
        <v>20380.010000000002</v>
      </c>
    </row>
    <row r="265" spans="1:14">
      <c r="A265" s="21" t="s">
        <v>563</v>
      </c>
      <c r="B265" s="5" t="s">
        <v>583</v>
      </c>
      <c r="C265" s="6" t="s">
        <v>45</v>
      </c>
      <c r="D265" s="6" t="s">
        <v>19</v>
      </c>
      <c r="E265" s="6">
        <v>30608716390</v>
      </c>
      <c r="F265" s="18">
        <v>12165.29</v>
      </c>
      <c r="G265" s="18">
        <v>0</v>
      </c>
      <c r="H265" s="6">
        <v>0</v>
      </c>
      <c r="I265" s="6">
        <v>0</v>
      </c>
      <c r="J265" s="6">
        <v>0</v>
      </c>
      <c r="K265" s="6">
        <v>2554.7200000000003</v>
      </c>
      <c r="L265" s="6">
        <v>0</v>
      </c>
      <c r="M265" s="18">
        <v>0</v>
      </c>
      <c r="N265" s="22">
        <v>14720.01</v>
      </c>
    </row>
    <row r="266" spans="1:14">
      <c r="A266" s="21" t="s">
        <v>563</v>
      </c>
      <c r="B266" s="5" t="s">
        <v>584</v>
      </c>
      <c r="C266" s="6" t="s">
        <v>45</v>
      </c>
      <c r="D266" s="6" t="s">
        <v>19</v>
      </c>
      <c r="E266" s="6">
        <v>30608716390</v>
      </c>
      <c r="F266" s="18">
        <v>20595.03</v>
      </c>
      <c r="G266" s="18">
        <v>0</v>
      </c>
      <c r="H266" s="6">
        <v>0</v>
      </c>
      <c r="I266" s="6">
        <v>0</v>
      </c>
      <c r="J266" s="6">
        <v>0</v>
      </c>
      <c r="K266" s="6">
        <v>4324.97</v>
      </c>
      <c r="L266" s="6">
        <v>0</v>
      </c>
      <c r="M266" s="18">
        <v>0</v>
      </c>
      <c r="N266" s="22">
        <v>24920</v>
      </c>
    </row>
    <row r="267" spans="1:14">
      <c r="A267" s="21" t="s">
        <v>563</v>
      </c>
      <c r="B267" s="5" t="s">
        <v>585</v>
      </c>
      <c r="C267" s="6" t="s">
        <v>45</v>
      </c>
      <c r="D267" s="6" t="s">
        <v>19</v>
      </c>
      <c r="E267" s="6">
        <v>30608716390</v>
      </c>
      <c r="F267" s="18">
        <v>8033.06</v>
      </c>
      <c r="G267" s="18">
        <v>0</v>
      </c>
      <c r="H267" s="6">
        <v>0</v>
      </c>
      <c r="I267" s="6">
        <v>0</v>
      </c>
      <c r="J267" s="6">
        <v>0</v>
      </c>
      <c r="K267" s="6">
        <v>1686.94</v>
      </c>
      <c r="L267" s="6">
        <v>0</v>
      </c>
      <c r="M267" s="18">
        <v>0</v>
      </c>
      <c r="N267" s="22">
        <v>9720</v>
      </c>
    </row>
    <row r="268" spans="1:14">
      <c r="A268" s="21" t="s">
        <v>563</v>
      </c>
      <c r="B268" s="5" t="s">
        <v>586</v>
      </c>
      <c r="C268" s="6" t="s">
        <v>45</v>
      </c>
      <c r="D268" s="6" t="s">
        <v>19</v>
      </c>
      <c r="E268" s="6">
        <v>30608716390</v>
      </c>
      <c r="F268" s="18">
        <v>8033.06</v>
      </c>
      <c r="G268" s="18">
        <v>0</v>
      </c>
      <c r="H268" s="6">
        <v>0</v>
      </c>
      <c r="I268" s="6">
        <v>0</v>
      </c>
      <c r="J268" s="6">
        <v>0</v>
      </c>
      <c r="K268" s="6">
        <v>1686.94</v>
      </c>
      <c r="L268" s="6">
        <v>0</v>
      </c>
      <c r="M268" s="18">
        <v>0</v>
      </c>
      <c r="N268" s="22">
        <v>9720</v>
      </c>
    </row>
    <row r="269" spans="1:14">
      <c r="A269" s="21" t="s">
        <v>563</v>
      </c>
      <c r="B269" s="5" t="s">
        <v>587</v>
      </c>
      <c r="C269" s="6" t="s">
        <v>45</v>
      </c>
      <c r="D269" s="6" t="s">
        <v>19</v>
      </c>
      <c r="E269" s="6">
        <v>30608716390</v>
      </c>
      <c r="F269" s="18">
        <v>19636.37</v>
      </c>
      <c r="G269" s="18">
        <v>0</v>
      </c>
      <c r="H269" s="6">
        <v>0</v>
      </c>
      <c r="I269" s="6">
        <v>0</v>
      </c>
      <c r="J269" s="6">
        <v>0</v>
      </c>
      <c r="K269" s="6">
        <v>4123.6400000000003</v>
      </c>
      <c r="L269" s="6">
        <v>0</v>
      </c>
      <c r="M269" s="18">
        <v>0</v>
      </c>
      <c r="N269" s="22">
        <v>23760.01</v>
      </c>
    </row>
    <row r="270" spans="1:14">
      <c r="A270" s="21" t="s">
        <v>563</v>
      </c>
      <c r="B270" s="5" t="s">
        <v>588</v>
      </c>
      <c r="C270" s="6" t="s">
        <v>45</v>
      </c>
      <c r="D270" s="6" t="s">
        <v>19</v>
      </c>
      <c r="E270" s="6">
        <v>30608716390</v>
      </c>
      <c r="F270" s="18">
        <v>11603.31</v>
      </c>
      <c r="G270" s="18">
        <v>0</v>
      </c>
      <c r="H270" s="6">
        <v>0</v>
      </c>
      <c r="I270" s="6">
        <v>0</v>
      </c>
      <c r="J270" s="6">
        <v>0</v>
      </c>
      <c r="K270" s="6">
        <v>2436.7000000000003</v>
      </c>
      <c r="L270" s="6">
        <v>0</v>
      </c>
      <c r="M270" s="18">
        <v>0</v>
      </c>
      <c r="N270" s="22">
        <v>14040.01</v>
      </c>
    </row>
    <row r="271" spans="1:14">
      <c r="A271" s="21" t="s">
        <v>563</v>
      </c>
      <c r="B271" s="5" t="s">
        <v>589</v>
      </c>
      <c r="C271" s="6" t="s">
        <v>45</v>
      </c>
      <c r="D271" s="6" t="s">
        <v>19</v>
      </c>
      <c r="E271" s="6">
        <v>30608716390</v>
      </c>
      <c r="F271" s="18">
        <v>26917.360000000001</v>
      </c>
      <c r="G271" s="18">
        <v>0</v>
      </c>
      <c r="H271" s="6">
        <v>0</v>
      </c>
      <c r="I271" s="6">
        <v>0</v>
      </c>
      <c r="J271" s="6">
        <v>0</v>
      </c>
      <c r="K271" s="6">
        <v>5652.65</v>
      </c>
      <c r="L271" s="6">
        <v>0</v>
      </c>
      <c r="M271" s="18">
        <v>0</v>
      </c>
      <c r="N271" s="22">
        <v>32570.01</v>
      </c>
    </row>
    <row r="272" spans="1:14">
      <c r="A272" s="21" t="s">
        <v>563</v>
      </c>
      <c r="B272" s="5" t="s">
        <v>590</v>
      </c>
      <c r="C272" s="6" t="s">
        <v>45</v>
      </c>
      <c r="D272" s="6" t="s">
        <v>19</v>
      </c>
      <c r="E272" s="6">
        <v>30608716390</v>
      </c>
      <c r="F272" s="18">
        <v>12165.29</v>
      </c>
      <c r="G272" s="18">
        <v>0</v>
      </c>
      <c r="H272" s="6">
        <v>0</v>
      </c>
      <c r="I272" s="6">
        <v>0</v>
      </c>
      <c r="J272" s="6">
        <v>0</v>
      </c>
      <c r="K272" s="6">
        <v>2554.7200000000003</v>
      </c>
      <c r="L272" s="6">
        <v>0</v>
      </c>
      <c r="M272" s="18">
        <v>0</v>
      </c>
      <c r="N272" s="22">
        <v>14720.01</v>
      </c>
    </row>
    <row r="273" spans="1:14">
      <c r="A273" s="21" t="s">
        <v>563</v>
      </c>
      <c r="B273" s="5" t="s">
        <v>591</v>
      </c>
      <c r="C273" s="6" t="s">
        <v>45</v>
      </c>
      <c r="D273" s="6" t="s">
        <v>19</v>
      </c>
      <c r="E273" s="6">
        <v>30608716390</v>
      </c>
      <c r="F273" s="18">
        <v>16396.7</v>
      </c>
      <c r="G273" s="18">
        <v>0</v>
      </c>
      <c r="H273" s="6">
        <v>0</v>
      </c>
      <c r="I273" s="6">
        <v>0</v>
      </c>
      <c r="J273" s="6">
        <v>0</v>
      </c>
      <c r="K273" s="6">
        <v>3443.3</v>
      </c>
      <c r="L273" s="6">
        <v>0</v>
      </c>
      <c r="M273" s="18">
        <v>0</v>
      </c>
      <c r="N273" s="22">
        <v>19840</v>
      </c>
    </row>
    <row r="274" spans="1:14">
      <c r="A274" s="21" t="s">
        <v>563</v>
      </c>
      <c r="B274" s="5" t="s">
        <v>592</v>
      </c>
      <c r="C274" s="6" t="s">
        <v>45</v>
      </c>
      <c r="D274" s="6" t="s">
        <v>19</v>
      </c>
      <c r="E274" s="6">
        <v>30608716390</v>
      </c>
      <c r="F274" s="18">
        <v>5801.66</v>
      </c>
      <c r="G274" s="18">
        <v>0</v>
      </c>
      <c r="H274" s="6">
        <v>0</v>
      </c>
      <c r="I274" s="6">
        <v>0</v>
      </c>
      <c r="J274" s="6">
        <v>0</v>
      </c>
      <c r="K274" s="6">
        <v>1218.3500000000001</v>
      </c>
      <c r="L274" s="6">
        <v>0</v>
      </c>
      <c r="M274" s="18">
        <v>0</v>
      </c>
      <c r="N274" s="22">
        <v>7020.01</v>
      </c>
    </row>
    <row r="275" spans="1:14">
      <c r="A275" s="21" t="s">
        <v>563</v>
      </c>
      <c r="B275" s="5" t="s">
        <v>593</v>
      </c>
      <c r="C275" s="6" t="s">
        <v>45</v>
      </c>
      <c r="D275" s="6" t="s">
        <v>19</v>
      </c>
      <c r="E275" s="6">
        <v>30608716390</v>
      </c>
      <c r="F275" s="18">
        <v>3421.49</v>
      </c>
      <c r="G275" s="18">
        <v>0</v>
      </c>
      <c r="H275" s="6">
        <v>0</v>
      </c>
      <c r="I275" s="6">
        <v>0</v>
      </c>
      <c r="J275" s="6">
        <v>0</v>
      </c>
      <c r="K275" s="6">
        <v>718.51</v>
      </c>
      <c r="L275" s="6">
        <v>0</v>
      </c>
      <c r="M275" s="18">
        <v>0</v>
      </c>
      <c r="N275" s="22">
        <v>4140</v>
      </c>
    </row>
    <row r="276" spans="1:14">
      <c r="A276" s="21" t="s">
        <v>563</v>
      </c>
      <c r="B276" s="5" t="s">
        <v>594</v>
      </c>
      <c r="C276" s="6" t="s">
        <v>45</v>
      </c>
      <c r="D276" s="6" t="s">
        <v>19</v>
      </c>
      <c r="E276" s="6">
        <v>30608716390</v>
      </c>
      <c r="F276" s="18">
        <v>4016.53</v>
      </c>
      <c r="G276" s="18">
        <v>0</v>
      </c>
      <c r="H276" s="6">
        <v>0</v>
      </c>
      <c r="I276" s="6">
        <v>0</v>
      </c>
      <c r="J276" s="6">
        <v>0</v>
      </c>
      <c r="K276" s="6">
        <v>843.47</v>
      </c>
      <c r="L276" s="6">
        <v>0</v>
      </c>
      <c r="M276" s="18">
        <v>0</v>
      </c>
      <c r="N276" s="22">
        <v>4860</v>
      </c>
    </row>
    <row r="277" spans="1:14">
      <c r="A277" s="21" t="s">
        <v>563</v>
      </c>
      <c r="B277" s="5" t="s">
        <v>595</v>
      </c>
      <c r="C277" s="6" t="s">
        <v>45</v>
      </c>
      <c r="D277" s="6" t="s">
        <v>19</v>
      </c>
      <c r="E277" s="6">
        <v>30608716390</v>
      </c>
      <c r="F277" s="18">
        <v>4016.53</v>
      </c>
      <c r="G277" s="18">
        <v>0</v>
      </c>
      <c r="H277" s="6">
        <v>0</v>
      </c>
      <c r="I277" s="6">
        <v>0</v>
      </c>
      <c r="J277" s="6">
        <v>0</v>
      </c>
      <c r="K277" s="6">
        <v>843.47</v>
      </c>
      <c r="L277" s="6">
        <v>0</v>
      </c>
      <c r="M277" s="18">
        <v>0</v>
      </c>
      <c r="N277" s="22">
        <v>4860</v>
      </c>
    </row>
    <row r="278" spans="1:14">
      <c r="A278" s="21" t="s">
        <v>563</v>
      </c>
      <c r="B278" s="5" t="s">
        <v>596</v>
      </c>
      <c r="C278" s="6" t="s">
        <v>84</v>
      </c>
      <c r="D278" s="6" t="s">
        <v>19</v>
      </c>
      <c r="E278" s="6">
        <v>30546771314</v>
      </c>
      <c r="F278" s="18">
        <v>69834.710000000006</v>
      </c>
      <c r="G278" s="18">
        <v>0</v>
      </c>
      <c r="H278" s="6">
        <v>0</v>
      </c>
      <c r="I278" s="6">
        <v>0</v>
      </c>
      <c r="J278" s="6">
        <v>0</v>
      </c>
      <c r="K278" s="6">
        <v>14665.29</v>
      </c>
      <c r="L278" s="6">
        <v>0</v>
      </c>
      <c r="M278" s="18">
        <v>0</v>
      </c>
      <c r="N278" s="22">
        <v>84500</v>
      </c>
    </row>
    <row r="279" spans="1:14">
      <c r="A279" s="21" t="s">
        <v>605</v>
      </c>
      <c r="B279" s="5" t="s">
        <v>613</v>
      </c>
      <c r="C279" s="6" t="s">
        <v>25</v>
      </c>
      <c r="D279" s="6" t="s">
        <v>19</v>
      </c>
      <c r="E279" s="6">
        <v>30522428163</v>
      </c>
      <c r="F279" s="18">
        <v>30198347.109999999</v>
      </c>
      <c r="G279" s="18">
        <v>0</v>
      </c>
      <c r="H279" s="6">
        <v>0</v>
      </c>
      <c r="I279" s="6">
        <v>0</v>
      </c>
      <c r="J279" s="6">
        <v>0</v>
      </c>
      <c r="K279" s="6">
        <v>6341652.8900000006</v>
      </c>
      <c r="L279" s="6">
        <v>0</v>
      </c>
      <c r="M279" s="18">
        <v>0</v>
      </c>
      <c r="N279" s="22">
        <v>36540000</v>
      </c>
    </row>
    <row r="280" spans="1:14">
      <c r="A280" s="21" t="s">
        <v>605</v>
      </c>
      <c r="B280" s="5" t="s">
        <v>614</v>
      </c>
      <c r="C280" s="6" t="s">
        <v>25</v>
      </c>
      <c r="D280" s="6" t="s">
        <v>19</v>
      </c>
      <c r="E280" s="6">
        <v>30522428163</v>
      </c>
      <c r="F280" s="18">
        <v>16169834.710000001</v>
      </c>
      <c r="G280" s="18">
        <v>0</v>
      </c>
      <c r="H280" s="6">
        <v>0</v>
      </c>
      <c r="I280" s="6">
        <v>0</v>
      </c>
      <c r="J280" s="6">
        <v>0</v>
      </c>
      <c r="K280" s="6">
        <v>3395665.29</v>
      </c>
      <c r="L280" s="6">
        <v>0</v>
      </c>
      <c r="M280" s="18">
        <v>0</v>
      </c>
      <c r="N280" s="22">
        <v>19565500</v>
      </c>
    </row>
    <row r="281" spans="1:14">
      <c r="A281" s="21" t="s">
        <v>616</v>
      </c>
      <c r="B281" s="5" t="s">
        <v>627</v>
      </c>
      <c r="C281" s="6" t="s">
        <v>25</v>
      </c>
      <c r="D281" s="6" t="s">
        <v>19</v>
      </c>
      <c r="E281" s="6">
        <v>30522428163</v>
      </c>
      <c r="F281" s="18">
        <v>1206611.57</v>
      </c>
      <c r="G281" s="18">
        <v>0</v>
      </c>
      <c r="H281" s="6">
        <v>0</v>
      </c>
      <c r="I281" s="6">
        <v>0</v>
      </c>
      <c r="J281" s="6">
        <v>0</v>
      </c>
      <c r="K281" s="6">
        <v>253388.43</v>
      </c>
      <c r="L281" s="6">
        <v>0</v>
      </c>
      <c r="M281" s="18">
        <v>0</v>
      </c>
      <c r="N281" s="22">
        <v>1460000</v>
      </c>
    </row>
    <row r="282" spans="1:14">
      <c r="A282" s="21" t="s">
        <v>616</v>
      </c>
      <c r="B282" s="5" t="s">
        <v>628</v>
      </c>
      <c r="C282" s="6" t="s">
        <v>45</v>
      </c>
      <c r="D282" s="6" t="s">
        <v>19</v>
      </c>
      <c r="E282" s="6">
        <v>30608716390</v>
      </c>
      <c r="F282" s="18">
        <v>-14826.44</v>
      </c>
      <c r="G282" s="18">
        <v>0</v>
      </c>
      <c r="H282" s="6">
        <v>0</v>
      </c>
      <c r="I282" s="6">
        <v>0</v>
      </c>
      <c r="J282" s="6">
        <v>0</v>
      </c>
      <c r="K282" s="6">
        <v>-3113.56</v>
      </c>
      <c r="L282" s="6">
        <v>0</v>
      </c>
      <c r="M282" s="18">
        <v>0</v>
      </c>
      <c r="N282" s="22">
        <v>-17940</v>
      </c>
    </row>
    <row r="283" spans="1:14">
      <c r="A283" s="21" t="s">
        <v>616</v>
      </c>
      <c r="B283" s="5" t="s">
        <v>629</v>
      </c>
      <c r="C283" s="6" t="s">
        <v>115</v>
      </c>
      <c r="D283" s="6" t="s">
        <v>19</v>
      </c>
      <c r="E283" s="6">
        <v>30690973517</v>
      </c>
      <c r="F283" s="18">
        <v>-204958.68</v>
      </c>
      <c r="G283" s="18">
        <v>0</v>
      </c>
      <c r="H283" s="6">
        <v>0</v>
      </c>
      <c r="I283" s="6">
        <v>0</v>
      </c>
      <c r="J283" s="6">
        <v>0</v>
      </c>
      <c r="K283" s="6">
        <v>-43041.32</v>
      </c>
      <c r="L283" s="6">
        <v>0</v>
      </c>
      <c r="M283" s="18">
        <v>0</v>
      </c>
      <c r="N283" s="22">
        <v>-248000</v>
      </c>
    </row>
    <row r="284" spans="1:14">
      <c r="A284" s="21" t="s">
        <v>616</v>
      </c>
      <c r="B284" s="5" t="s">
        <v>630</v>
      </c>
      <c r="C284" s="6" t="s">
        <v>45</v>
      </c>
      <c r="D284" s="6" t="s">
        <v>19</v>
      </c>
      <c r="E284" s="6">
        <v>30608716390</v>
      </c>
      <c r="F284" s="18">
        <v>14826.44</v>
      </c>
      <c r="G284" s="18">
        <v>0</v>
      </c>
      <c r="H284" s="6">
        <v>0</v>
      </c>
      <c r="I284" s="6">
        <v>0</v>
      </c>
      <c r="J284" s="6">
        <v>0</v>
      </c>
      <c r="K284" s="6">
        <v>3113.56</v>
      </c>
      <c r="L284" s="6">
        <v>0</v>
      </c>
      <c r="M284" s="18">
        <v>0</v>
      </c>
      <c r="N284" s="22">
        <v>17940</v>
      </c>
    </row>
    <row r="285" spans="1:14">
      <c r="A285" s="21" t="s">
        <v>616</v>
      </c>
      <c r="B285" s="5" t="s">
        <v>631</v>
      </c>
      <c r="C285" s="6" t="s">
        <v>45</v>
      </c>
      <c r="D285" s="6" t="s">
        <v>19</v>
      </c>
      <c r="E285" s="6">
        <v>30608716390</v>
      </c>
      <c r="F285" s="18">
        <v>17404.96</v>
      </c>
      <c r="G285" s="18">
        <v>0</v>
      </c>
      <c r="H285" s="6">
        <v>0</v>
      </c>
      <c r="I285" s="6">
        <v>0</v>
      </c>
      <c r="J285" s="6">
        <v>0</v>
      </c>
      <c r="K285" s="6">
        <v>3655.04</v>
      </c>
      <c r="L285" s="6">
        <v>0</v>
      </c>
      <c r="M285" s="18">
        <v>0</v>
      </c>
      <c r="N285" s="22">
        <v>21060</v>
      </c>
    </row>
    <row r="286" spans="1:14">
      <c r="A286" s="21" t="s">
        <v>646</v>
      </c>
      <c r="B286" s="5" t="s">
        <v>654</v>
      </c>
      <c r="C286" s="6" t="s">
        <v>84</v>
      </c>
      <c r="D286" s="6" t="s">
        <v>19</v>
      </c>
      <c r="E286" s="6">
        <v>30546771314</v>
      </c>
      <c r="F286" s="18">
        <v>-100826.44</v>
      </c>
      <c r="G286" s="18">
        <v>0</v>
      </c>
      <c r="H286" s="6">
        <v>0</v>
      </c>
      <c r="I286" s="6">
        <v>0</v>
      </c>
      <c r="J286" s="6">
        <v>0</v>
      </c>
      <c r="K286" s="6">
        <v>-21173.55</v>
      </c>
      <c r="L286" s="6">
        <v>0</v>
      </c>
      <c r="M286" s="18">
        <v>0</v>
      </c>
      <c r="N286" s="22">
        <v>-121999.99</v>
      </c>
    </row>
    <row r="287" spans="1:14">
      <c r="A287" s="21" t="s">
        <v>646</v>
      </c>
      <c r="B287" s="5" t="s">
        <v>655</v>
      </c>
      <c r="C287" s="6" t="s">
        <v>84</v>
      </c>
      <c r="D287" s="6" t="s">
        <v>19</v>
      </c>
      <c r="E287" s="6">
        <v>30546771314</v>
      </c>
      <c r="F287" s="18">
        <v>100826.44</v>
      </c>
      <c r="G287" s="18">
        <v>0</v>
      </c>
      <c r="H287" s="6">
        <v>0</v>
      </c>
      <c r="I287" s="6">
        <v>0</v>
      </c>
      <c r="J287" s="6">
        <v>0</v>
      </c>
      <c r="K287" s="6">
        <v>21173.55</v>
      </c>
      <c r="L287" s="6">
        <v>0</v>
      </c>
      <c r="M287" s="18">
        <v>0</v>
      </c>
      <c r="N287" s="22">
        <v>121999.99</v>
      </c>
    </row>
    <row r="288" spans="1:14">
      <c r="A288" s="21" t="s">
        <v>646</v>
      </c>
      <c r="B288" s="5" t="s">
        <v>656</v>
      </c>
      <c r="C288" s="6" t="s">
        <v>84</v>
      </c>
      <c r="D288" s="6" t="s">
        <v>19</v>
      </c>
      <c r="E288" s="6">
        <v>30546771314</v>
      </c>
      <c r="F288" s="18">
        <v>84022</v>
      </c>
      <c r="G288" s="18">
        <v>0</v>
      </c>
      <c r="H288" s="6">
        <v>0</v>
      </c>
      <c r="I288" s="6">
        <v>0</v>
      </c>
      <c r="J288" s="6">
        <v>0</v>
      </c>
      <c r="K288" s="6">
        <v>17644.62</v>
      </c>
      <c r="L288" s="6">
        <v>0</v>
      </c>
      <c r="M288" s="18">
        <v>0</v>
      </c>
      <c r="N288" s="22">
        <v>101666.62</v>
      </c>
    </row>
    <row r="289" spans="1:14">
      <c r="A289" s="21" t="s">
        <v>659</v>
      </c>
      <c r="B289" s="5" t="s">
        <v>660</v>
      </c>
      <c r="C289" s="6" t="s">
        <v>18</v>
      </c>
      <c r="D289" s="6" t="s">
        <v>19</v>
      </c>
      <c r="E289" s="6">
        <v>30715058843</v>
      </c>
      <c r="F289" s="18">
        <v>16942.150000000001</v>
      </c>
      <c r="G289" s="18">
        <v>0</v>
      </c>
      <c r="H289" s="6">
        <v>0</v>
      </c>
      <c r="I289" s="6">
        <v>0</v>
      </c>
      <c r="J289" s="6">
        <v>0</v>
      </c>
      <c r="K289" s="6">
        <v>3557.85</v>
      </c>
      <c r="L289" s="6">
        <v>0</v>
      </c>
      <c r="M289" s="18">
        <v>0</v>
      </c>
      <c r="N289" s="22">
        <v>20500</v>
      </c>
    </row>
    <row r="290" spans="1:14">
      <c r="A290" s="21" t="s">
        <v>721</v>
      </c>
      <c r="B290" s="5" t="s">
        <v>732</v>
      </c>
      <c r="C290" s="6" t="s">
        <v>120</v>
      </c>
      <c r="D290" s="6" t="s">
        <v>19</v>
      </c>
      <c r="E290" s="6">
        <v>27182477368</v>
      </c>
      <c r="F290" s="18">
        <v>16528.939999999999</v>
      </c>
      <c r="G290" s="18">
        <v>0</v>
      </c>
      <c r="H290" s="6">
        <v>0</v>
      </c>
      <c r="I290" s="6">
        <v>0</v>
      </c>
      <c r="J290" s="6">
        <v>0</v>
      </c>
      <c r="K290" s="6">
        <v>3471.07</v>
      </c>
      <c r="L290" s="6">
        <v>0</v>
      </c>
      <c r="M290" s="18">
        <v>0</v>
      </c>
      <c r="N290" s="22">
        <v>20000.010000000002</v>
      </c>
    </row>
    <row r="291" spans="1:14">
      <c r="A291" s="21" t="s">
        <v>737</v>
      </c>
      <c r="B291" s="5" t="s">
        <v>738</v>
      </c>
      <c r="C291" s="6" t="s">
        <v>739</v>
      </c>
      <c r="D291" s="6" t="s">
        <v>19</v>
      </c>
      <c r="E291" s="6">
        <v>20137994217</v>
      </c>
      <c r="F291" s="18">
        <v>33388.43</v>
      </c>
      <c r="G291" s="18">
        <v>0</v>
      </c>
      <c r="H291" s="6">
        <v>0</v>
      </c>
      <c r="I291" s="6">
        <v>0</v>
      </c>
      <c r="J291" s="6">
        <v>0</v>
      </c>
      <c r="K291" s="6">
        <v>7011.57</v>
      </c>
      <c r="L291" s="6">
        <v>0</v>
      </c>
      <c r="M291" s="18">
        <v>0</v>
      </c>
      <c r="N291" s="22">
        <v>40400</v>
      </c>
    </row>
    <row r="292" spans="1:14">
      <c r="A292" s="19" t="s">
        <v>778</v>
      </c>
      <c r="B292" s="19" t="s">
        <v>779</v>
      </c>
      <c r="C292" s="19" t="s">
        <v>780</v>
      </c>
      <c r="D292" s="19" t="s">
        <v>781</v>
      </c>
      <c r="E292" s="19" t="s">
        <v>782</v>
      </c>
      <c r="F292" s="20">
        <f>SUBTOTAL(109,F229:F291)</f>
        <v>168934240.44000003</v>
      </c>
      <c r="G292" s="20">
        <v>0</v>
      </c>
      <c r="H292" s="20">
        <v>0</v>
      </c>
      <c r="I292" s="20">
        <v>0</v>
      </c>
      <c r="J292" s="20">
        <v>0</v>
      </c>
      <c r="K292" s="20">
        <f>SUBTOTAL(109,K229:K291)</f>
        <v>35476190.450000003</v>
      </c>
      <c r="L292" s="20">
        <v>0</v>
      </c>
      <c r="M292" s="20">
        <v>0</v>
      </c>
      <c r="N292" s="20">
        <f>SUBTOTAL(109,N229:N291)</f>
        <v>204410430.88999996</v>
      </c>
    </row>
    <row r="295" spans="1:14">
      <c r="I295" s="33"/>
      <c r="J295" s="53" t="s">
        <v>460</v>
      </c>
      <c r="K295" s="54" t="s">
        <v>787</v>
      </c>
      <c r="L295" s="54" t="s">
        <v>459</v>
      </c>
    </row>
    <row r="296" spans="1:14">
      <c r="I296" s="51" t="s">
        <v>461</v>
      </c>
      <c r="J296" s="52">
        <f>F292</f>
        <v>168934240.44000003</v>
      </c>
      <c r="K296" s="52">
        <f>K292</f>
        <v>35476190.450000003</v>
      </c>
      <c r="L296" s="52">
        <f>N292</f>
        <v>204410430.88999996</v>
      </c>
    </row>
    <row r="297" spans="1:14">
      <c r="I297" s="51" t="s">
        <v>462</v>
      </c>
      <c r="J297" s="52">
        <f>F225</f>
        <v>5236187.2299999995</v>
      </c>
      <c r="K297" s="52">
        <f>K225</f>
        <v>1099599.3500000001</v>
      </c>
      <c r="L297" s="52">
        <f>N225</f>
        <v>6335786.5800000001</v>
      </c>
    </row>
    <row r="298" spans="1:14">
      <c r="J298" s="36">
        <f>SUM(J296:J297)</f>
        <v>174170427.67000002</v>
      </c>
      <c r="K298" s="36">
        <f>SUM(K296:K297)</f>
        <v>36575789.800000004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2"/>
  <sheetViews>
    <sheetView topLeftCell="A244" workbookViewId="0">
      <selection activeCell="A79" sqref="A79:F264"/>
    </sheetView>
  </sheetViews>
  <sheetFormatPr baseColWidth="10" defaultColWidth="11.5703125" defaultRowHeight="15"/>
  <cols>
    <col min="2" max="2" width="20" customWidth="1"/>
    <col min="4" max="4" width="16.28515625" customWidth="1"/>
    <col min="5" max="5" width="11.7109375" customWidth="1"/>
    <col min="6" max="6" width="12.5703125" bestFit="1" customWidth="1"/>
    <col min="7" max="7" width="13.5703125" customWidth="1"/>
    <col min="10" max="10" width="14" customWidth="1"/>
    <col min="11" max="11" width="12.7109375" bestFit="1" customWidth="1"/>
    <col min="12" max="12" width="13.7109375" bestFit="1" customWidth="1"/>
    <col min="13" max="13" width="11.85546875" customWidth="1"/>
    <col min="14" max="14" width="14.42578125" customWidth="1"/>
  </cols>
  <sheetData>
    <row r="1" spans="1:14" ht="18.75">
      <c r="A1" s="1" t="s">
        <v>788</v>
      </c>
      <c r="B1" s="1"/>
      <c r="C1" s="1"/>
      <c r="D1" s="1"/>
      <c r="E1" s="1"/>
    </row>
    <row r="2" spans="1:14" ht="18.75">
      <c r="A2" s="2" t="s">
        <v>1</v>
      </c>
      <c r="B2" s="1"/>
      <c r="C2" s="1"/>
      <c r="D2" s="1"/>
      <c r="E2" s="1"/>
    </row>
    <row r="5" spans="1:14">
      <c r="A5" s="23" t="s">
        <v>2</v>
      </c>
      <c r="B5" s="24" t="s">
        <v>3</v>
      </c>
      <c r="C5" s="24" t="s">
        <v>4</v>
      </c>
      <c r="D5" s="24" t="s">
        <v>5</v>
      </c>
      <c r="E5" s="24" t="s">
        <v>6</v>
      </c>
      <c r="F5" s="24" t="s">
        <v>7</v>
      </c>
      <c r="G5" s="24" t="s">
        <v>8</v>
      </c>
      <c r="H5" s="24" t="s">
        <v>9</v>
      </c>
      <c r="I5" s="24" t="s">
        <v>10</v>
      </c>
      <c r="J5" s="24" t="s">
        <v>11</v>
      </c>
      <c r="K5" s="24" t="s">
        <v>12</v>
      </c>
      <c r="L5" s="24" t="s">
        <v>13</v>
      </c>
      <c r="M5" s="24" t="s">
        <v>14</v>
      </c>
      <c r="N5" s="25" t="s">
        <v>15</v>
      </c>
    </row>
    <row r="6" spans="1:14">
      <c r="A6" s="58" t="s">
        <v>789</v>
      </c>
      <c r="B6" s="55" t="s">
        <v>790</v>
      </c>
      <c r="C6" s="56" t="s">
        <v>791</v>
      </c>
      <c r="D6" s="56" t="s">
        <v>19</v>
      </c>
      <c r="E6" s="56">
        <v>30714793272</v>
      </c>
      <c r="F6" s="57">
        <v>20661.16</v>
      </c>
      <c r="G6" s="57">
        <v>0</v>
      </c>
      <c r="H6" s="56">
        <v>0</v>
      </c>
      <c r="I6" s="56">
        <v>0</v>
      </c>
      <c r="J6" s="56">
        <v>0</v>
      </c>
      <c r="K6" s="56">
        <v>4338.84</v>
      </c>
      <c r="L6" s="56">
        <v>0</v>
      </c>
      <c r="M6" s="57">
        <v>0</v>
      </c>
      <c r="N6" s="59">
        <v>25000</v>
      </c>
    </row>
    <row r="7" spans="1:14">
      <c r="A7" s="21" t="s">
        <v>792</v>
      </c>
      <c r="B7" s="5" t="s">
        <v>793</v>
      </c>
      <c r="C7" s="6" t="s">
        <v>794</v>
      </c>
      <c r="D7" s="6" t="s">
        <v>19</v>
      </c>
      <c r="E7" s="6">
        <v>20060823805</v>
      </c>
      <c r="F7" s="18">
        <v>206611.57</v>
      </c>
      <c r="G7" s="18">
        <v>0</v>
      </c>
      <c r="H7" s="6">
        <v>0</v>
      </c>
      <c r="I7" s="6">
        <v>0</v>
      </c>
      <c r="J7" s="6">
        <v>0</v>
      </c>
      <c r="K7" s="6">
        <v>43388.43</v>
      </c>
      <c r="L7" s="6">
        <v>0</v>
      </c>
      <c r="M7" s="18">
        <v>0</v>
      </c>
      <c r="N7" s="22">
        <v>250000</v>
      </c>
    </row>
    <row r="8" spans="1:14">
      <c r="A8" s="58" t="s">
        <v>795</v>
      </c>
      <c r="B8" s="55" t="s">
        <v>796</v>
      </c>
      <c r="C8" s="56" t="s">
        <v>791</v>
      </c>
      <c r="D8" s="56" t="s">
        <v>19</v>
      </c>
      <c r="E8" s="56">
        <v>30714793272</v>
      </c>
      <c r="F8" s="57">
        <v>20661.16</v>
      </c>
      <c r="G8" s="57">
        <v>0</v>
      </c>
      <c r="H8" s="56">
        <v>0</v>
      </c>
      <c r="I8" s="56">
        <v>0</v>
      </c>
      <c r="J8" s="56">
        <v>0</v>
      </c>
      <c r="K8" s="56">
        <v>4338.84</v>
      </c>
      <c r="L8" s="56">
        <v>0</v>
      </c>
      <c r="M8" s="57">
        <v>0</v>
      </c>
      <c r="N8" s="59">
        <v>25000</v>
      </c>
    </row>
    <row r="9" spans="1:14">
      <c r="A9" s="21" t="s">
        <v>797</v>
      </c>
      <c r="B9" s="5" t="s">
        <v>798</v>
      </c>
      <c r="C9" s="6" t="s">
        <v>25</v>
      </c>
      <c r="D9" s="6" t="s">
        <v>19</v>
      </c>
      <c r="E9" s="6">
        <v>30522428163</v>
      </c>
      <c r="F9" s="18">
        <v>15226446.280000001</v>
      </c>
      <c r="G9" s="18">
        <v>0</v>
      </c>
      <c r="H9" s="6">
        <v>0</v>
      </c>
      <c r="I9" s="6">
        <v>0</v>
      </c>
      <c r="J9" s="6">
        <v>0</v>
      </c>
      <c r="K9" s="6">
        <v>3197553.72</v>
      </c>
      <c r="L9" s="6">
        <v>0</v>
      </c>
      <c r="M9" s="18">
        <v>0</v>
      </c>
      <c r="N9" s="22">
        <v>18424000</v>
      </c>
    </row>
    <row r="10" spans="1:14">
      <c r="A10" s="58" t="s">
        <v>797</v>
      </c>
      <c r="B10" s="55" t="s">
        <v>799</v>
      </c>
      <c r="C10" s="56" t="s">
        <v>25</v>
      </c>
      <c r="D10" s="56" t="s">
        <v>19</v>
      </c>
      <c r="E10" s="56">
        <v>30522428163</v>
      </c>
      <c r="F10" s="57">
        <v>15512396.689999999</v>
      </c>
      <c r="G10" s="57">
        <v>0</v>
      </c>
      <c r="H10" s="56">
        <v>0</v>
      </c>
      <c r="I10" s="56">
        <v>0</v>
      </c>
      <c r="J10" s="56">
        <v>0</v>
      </c>
      <c r="K10" s="56">
        <v>3257603.3</v>
      </c>
      <c r="L10" s="56">
        <v>0</v>
      </c>
      <c r="M10" s="57">
        <v>0</v>
      </c>
      <c r="N10" s="59">
        <v>18769999.990000002</v>
      </c>
    </row>
    <row r="11" spans="1:14">
      <c r="A11" s="21" t="s">
        <v>797</v>
      </c>
      <c r="B11" s="5" t="s">
        <v>800</v>
      </c>
      <c r="C11" s="6" t="s">
        <v>25</v>
      </c>
      <c r="D11" s="6" t="s">
        <v>19</v>
      </c>
      <c r="E11" s="6">
        <v>30522428163</v>
      </c>
      <c r="F11" s="18">
        <v>16363636.360000001</v>
      </c>
      <c r="G11" s="18">
        <v>0</v>
      </c>
      <c r="H11" s="6">
        <v>0</v>
      </c>
      <c r="I11" s="6">
        <v>0</v>
      </c>
      <c r="J11" s="6">
        <v>0</v>
      </c>
      <c r="K11" s="6">
        <v>3436363.64</v>
      </c>
      <c r="L11" s="6">
        <v>0</v>
      </c>
      <c r="M11" s="18">
        <v>0</v>
      </c>
      <c r="N11" s="22">
        <v>19800000</v>
      </c>
    </row>
    <row r="12" spans="1:14">
      <c r="A12" s="58" t="s">
        <v>797</v>
      </c>
      <c r="B12" s="55" t="s">
        <v>801</v>
      </c>
      <c r="C12" s="56" t="s">
        <v>25</v>
      </c>
      <c r="D12" s="56" t="s">
        <v>19</v>
      </c>
      <c r="E12" s="56">
        <v>30522428163</v>
      </c>
      <c r="F12" s="57">
        <v>15371900.83</v>
      </c>
      <c r="G12" s="57">
        <v>0</v>
      </c>
      <c r="H12" s="56">
        <v>0</v>
      </c>
      <c r="I12" s="56">
        <v>0</v>
      </c>
      <c r="J12" s="56">
        <v>0</v>
      </c>
      <c r="K12" s="56">
        <v>3228099.17</v>
      </c>
      <c r="L12" s="56">
        <v>0</v>
      </c>
      <c r="M12" s="57">
        <v>0</v>
      </c>
      <c r="N12" s="59">
        <v>18600000</v>
      </c>
    </row>
    <row r="13" spans="1:14">
      <c r="A13" s="21" t="s">
        <v>802</v>
      </c>
      <c r="B13" s="5" t="s">
        <v>803</v>
      </c>
      <c r="C13" s="6" t="s">
        <v>25</v>
      </c>
      <c r="D13" s="6" t="s">
        <v>19</v>
      </c>
      <c r="E13" s="6">
        <v>30522428163</v>
      </c>
      <c r="F13" s="18">
        <v>71326033.079999998</v>
      </c>
      <c r="G13" s="18">
        <v>0</v>
      </c>
      <c r="H13" s="6">
        <v>0</v>
      </c>
      <c r="I13" s="6">
        <v>0</v>
      </c>
      <c r="J13" s="6">
        <v>0</v>
      </c>
      <c r="K13" s="6">
        <v>14978466.939999999</v>
      </c>
      <c r="L13" s="6">
        <v>0</v>
      </c>
      <c r="M13" s="18">
        <v>0</v>
      </c>
      <c r="N13" s="22">
        <v>86304500.019999996</v>
      </c>
    </row>
    <row r="14" spans="1:14">
      <c r="A14" s="58" t="s">
        <v>804</v>
      </c>
      <c r="B14" s="55" t="s">
        <v>805</v>
      </c>
      <c r="C14" s="56" t="s">
        <v>25</v>
      </c>
      <c r="D14" s="56" t="s">
        <v>19</v>
      </c>
      <c r="E14" s="56">
        <v>30522428163</v>
      </c>
      <c r="F14" s="57">
        <v>956530.74</v>
      </c>
      <c r="G14" s="57">
        <v>0</v>
      </c>
      <c r="H14" s="56">
        <v>0</v>
      </c>
      <c r="I14" s="56">
        <v>0</v>
      </c>
      <c r="J14" s="56">
        <v>0</v>
      </c>
      <c r="K14" s="56">
        <v>200871.46</v>
      </c>
      <c r="L14" s="56">
        <v>0</v>
      </c>
      <c r="M14" s="57">
        <v>0</v>
      </c>
      <c r="N14" s="59">
        <v>1157402.2</v>
      </c>
    </row>
    <row r="15" spans="1:14">
      <c r="A15" s="21" t="s">
        <v>804</v>
      </c>
      <c r="B15" s="5" t="s">
        <v>806</v>
      </c>
      <c r="C15" s="6" t="s">
        <v>25</v>
      </c>
      <c r="D15" s="6" t="s">
        <v>19</v>
      </c>
      <c r="E15" s="6">
        <v>30522428163</v>
      </c>
      <c r="F15" s="18">
        <v>940502.1</v>
      </c>
      <c r="G15" s="18">
        <v>0</v>
      </c>
      <c r="H15" s="6">
        <v>0</v>
      </c>
      <c r="I15" s="6">
        <v>0</v>
      </c>
      <c r="J15" s="6">
        <v>0</v>
      </c>
      <c r="K15" s="6">
        <v>197505.44</v>
      </c>
      <c r="L15" s="6">
        <v>0</v>
      </c>
      <c r="M15" s="18">
        <v>0</v>
      </c>
      <c r="N15" s="22">
        <v>1138007.54</v>
      </c>
    </row>
    <row r="16" spans="1:14">
      <c r="A16" s="58" t="s">
        <v>804</v>
      </c>
      <c r="B16" s="55" t="s">
        <v>807</v>
      </c>
      <c r="C16" s="56" t="s">
        <v>25</v>
      </c>
      <c r="D16" s="56" t="s">
        <v>19</v>
      </c>
      <c r="E16" s="56">
        <v>30522428163</v>
      </c>
      <c r="F16" s="57">
        <v>6327841.2800000003</v>
      </c>
      <c r="G16" s="57">
        <v>0</v>
      </c>
      <c r="H16" s="56">
        <v>0</v>
      </c>
      <c r="I16" s="56">
        <v>0</v>
      </c>
      <c r="J16" s="56">
        <v>0</v>
      </c>
      <c r="K16" s="56">
        <v>1328846.67</v>
      </c>
      <c r="L16" s="56">
        <v>0</v>
      </c>
      <c r="M16" s="57">
        <v>0</v>
      </c>
      <c r="N16" s="59">
        <v>7656687.9500000002</v>
      </c>
    </row>
    <row r="17" spans="1:14">
      <c r="A17" s="21" t="s">
        <v>804</v>
      </c>
      <c r="B17" s="5" t="s">
        <v>808</v>
      </c>
      <c r="C17" s="6" t="s">
        <v>25</v>
      </c>
      <c r="D17" s="6" t="s">
        <v>19</v>
      </c>
      <c r="E17" s="6">
        <v>30522428163</v>
      </c>
      <c r="F17" s="18">
        <v>906338.68</v>
      </c>
      <c r="G17" s="18">
        <v>0</v>
      </c>
      <c r="H17" s="6">
        <v>0</v>
      </c>
      <c r="I17" s="6">
        <v>0</v>
      </c>
      <c r="J17" s="6">
        <v>0</v>
      </c>
      <c r="K17" s="6">
        <v>190331.12</v>
      </c>
      <c r="L17" s="6">
        <v>0</v>
      </c>
      <c r="M17" s="18">
        <v>0</v>
      </c>
      <c r="N17" s="22">
        <v>1096669.8</v>
      </c>
    </row>
    <row r="18" spans="1:14">
      <c r="A18" s="58" t="s">
        <v>809</v>
      </c>
      <c r="B18" s="55" t="s">
        <v>810</v>
      </c>
      <c r="C18" s="56" t="s">
        <v>25</v>
      </c>
      <c r="D18" s="56" t="s">
        <v>19</v>
      </c>
      <c r="E18" s="56">
        <v>30522428163</v>
      </c>
      <c r="F18" s="57">
        <v>22997520.670000002</v>
      </c>
      <c r="G18" s="57">
        <v>0</v>
      </c>
      <c r="H18" s="56">
        <v>0</v>
      </c>
      <c r="I18" s="56">
        <v>0</v>
      </c>
      <c r="J18" s="56">
        <v>0</v>
      </c>
      <c r="K18" s="56">
        <v>4829479.33</v>
      </c>
      <c r="L18" s="56">
        <v>0</v>
      </c>
      <c r="M18" s="57">
        <v>0</v>
      </c>
      <c r="N18" s="59">
        <v>27827000</v>
      </c>
    </row>
    <row r="19" spans="1:14">
      <c r="A19" s="21" t="s">
        <v>809</v>
      </c>
      <c r="B19" s="5" t="s">
        <v>811</v>
      </c>
      <c r="C19" s="6" t="s">
        <v>25</v>
      </c>
      <c r="D19" s="6" t="s">
        <v>19</v>
      </c>
      <c r="E19" s="6">
        <v>30522428163</v>
      </c>
      <c r="F19" s="18">
        <v>1999669.42</v>
      </c>
      <c r="G19" s="18">
        <v>0</v>
      </c>
      <c r="H19" s="6">
        <v>0</v>
      </c>
      <c r="I19" s="6">
        <v>0</v>
      </c>
      <c r="J19" s="6">
        <v>0</v>
      </c>
      <c r="K19" s="6">
        <v>419930.58</v>
      </c>
      <c r="L19" s="6">
        <v>0</v>
      </c>
      <c r="M19" s="18">
        <v>0</v>
      </c>
      <c r="N19" s="22">
        <v>2419600</v>
      </c>
    </row>
    <row r="20" spans="1:14">
      <c r="A20" s="58" t="s">
        <v>812</v>
      </c>
      <c r="B20" s="55" t="s">
        <v>813</v>
      </c>
      <c r="C20" s="56" t="s">
        <v>36</v>
      </c>
      <c r="D20" s="56" t="s">
        <v>19</v>
      </c>
      <c r="E20" s="56">
        <v>30683032227</v>
      </c>
      <c r="F20" s="57">
        <v>1591597.33</v>
      </c>
      <c r="G20" s="57">
        <v>0</v>
      </c>
      <c r="H20" s="56">
        <v>0</v>
      </c>
      <c r="I20" s="56">
        <v>0</v>
      </c>
      <c r="J20" s="56">
        <v>0</v>
      </c>
      <c r="K20" s="56">
        <v>334235.44</v>
      </c>
      <c r="L20" s="56">
        <v>0</v>
      </c>
      <c r="M20" s="57">
        <v>0</v>
      </c>
      <c r="N20" s="59">
        <v>1925832.77</v>
      </c>
    </row>
    <row r="21" spans="1:14">
      <c r="A21" s="21" t="s">
        <v>812</v>
      </c>
      <c r="B21" s="5" t="s">
        <v>814</v>
      </c>
      <c r="C21" s="6" t="s">
        <v>36</v>
      </c>
      <c r="D21" s="6" t="s">
        <v>19</v>
      </c>
      <c r="E21" s="6">
        <v>30683032227</v>
      </c>
      <c r="F21" s="18">
        <v>810681.24</v>
      </c>
      <c r="G21" s="18">
        <v>0</v>
      </c>
      <c r="H21" s="6">
        <v>0</v>
      </c>
      <c r="I21" s="6">
        <v>0</v>
      </c>
      <c r="J21" s="6">
        <v>0</v>
      </c>
      <c r="K21" s="6">
        <v>170243.06</v>
      </c>
      <c r="L21" s="6">
        <v>0</v>
      </c>
      <c r="M21" s="18">
        <v>0</v>
      </c>
      <c r="N21" s="22">
        <v>980924.3</v>
      </c>
    </row>
    <row r="22" spans="1:14">
      <c r="A22" s="58" t="s">
        <v>812</v>
      </c>
      <c r="B22" s="55" t="s">
        <v>815</v>
      </c>
      <c r="C22" s="56" t="s">
        <v>25</v>
      </c>
      <c r="D22" s="56" t="s">
        <v>19</v>
      </c>
      <c r="E22" s="56">
        <v>30522428163</v>
      </c>
      <c r="F22" s="57">
        <v>40555619.840000004</v>
      </c>
      <c r="G22" s="57">
        <v>0</v>
      </c>
      <c r="H22" s="56">
        <v>0</v>
      </c>
      <c r="I22" s="56">
        <v>0</v>
      </c>
      <c r="J22" s="56">
        <v>0</v>
      </c>
      <c r="K22" s="56">
        <v>8516680.1699999999</v>
      </c>
      <c r="L22" s="56">
        <v>0</v>
      </c>
      <c r="M22" s="57">
        <v>0</v>
      </c>
      <c r="N22" s="59">
        <v>49072300.009999998</v>
      </c>
    </row>
    <row r="23" spans="1:14">
      <c r="A23" s="21" t="s">
        <v>802</v>
      </c>
      <c r="B23" s="5" t="s">
        <v>816</v>
      </c>
      <c r="C23" s="6" t="s">
        <v>67</v>
      </c>
      <c r="D23" s="6" t="s">
        <v>19</v>
      </c>
      <c r="E23" s="6">
        <v>30710538014</v>
      </c>
      <c r="F23" s="18">
        <v>233957.85</v>
      </c>
      <c r="G23" s="18">
        <v>0</v>
      </c>
      <c r="H23" s="6">
        <v>0</v>
      </c>
      <c r="I23" s="6">
        <v>0</v>
      </c>
      <c r="J23" s="6">
        <v>0</v>
      </c>
      <c r="K23" s="6">
        <v>49131.15</v>
      </c>
      <c r="L23" s="6">
        <v>0</v>
      </c>
      <c r="M23" s="18">
        <v>0</v>
      </c>
      <c r="N23" s="22">
        <v>283089</v>
      </c>
    </row>
    <row r="24" spans="1:14">
      <c r="A24" s="58" t="s">
        <v>804</v>
      </c>
      <c r="B24" s="55" t="s">
        <v>817</v>
      </c>
      <c r="C24" s="56" t="s">
        <v>25</v>
      </c>
      <c r="D24" s="56" t="s">
        <v>19</v>
      </c>
      <c r="E24" s="56">
        <v>30522428163</v>
      </c>
      <c r="F24" s="57">
        <v>79008.259999999995</v>
      </c>
      <c r="G24" s="57">
        <v>0</v>
      </c>
      <c r="H24" s="56">
        <v>0</v>
      </c>
      <c r="I24" s="56">
        <v>0</v>
      </c>
      <c r="J24" s="56">
        <v>0</v>
      </c>
      <c r="K24" s="56">
        <v>16591.73</v>
      </c>
      <c r="L24" s="56">
        <v>0</v>
      </c>
      <c r="M24" s="57">
        <v>0</v>
      </c>
      <c r="N24" s="59">
        <v>95599.99</v>
      </c>
    </row>
    <row r="25" spans="1:14">
      <c r="A25" s="21" t="s">
        <v>804</v>
      </c>
      <c r="B25" s="5" t="s">
        <v>818</v>
      </c>
      <c r="C25" s="6" t="s">
        <v>25</v>
      </c>
      <c r="D25" s="6" t="s">
        <v>19</v>
      </c>
      <c r="E25" s="6">
        <v>30522428163</v>
      </c>
      <c r="F25" s="18">
        <v>32358.22</v>
      </c>
      <c r="G25" s="18">
        <v>0</v>
      </c>
      <c r="H25" s="6">
        <v>0</v>
      </c>
      <c r="I25" s="6">
        <v>0</v>
      </c>
      <c r="J25" s="6">
        <v>0</v>
      </c>
      <c r="K25" s="6">
        <v>6795.23</v>
      </c>
      <c r="L25" s="6">
        <v>0</v>
      </c>
      <c r="M25" s="18">
        <v>0</v>
      </c>
      <c r="N25" s="22">
        <v>39153.450000000004</v>
      </c>
    </row>
    <row r="26" spans="1:14">
      <c r="A26" s="58" t="s">
        <v>809</v>
      </c>
      <c r="B26" s="55" t="s">
        <v>819</v>
      </c>
      <c r="C26" s="56" t="s">
        <v>36</v>
      </c>
      <c r="D26" s="56" t="s">
        <v>19</v>
      </c>
      <c r="E26" s="56">
        <v>30683032227</v>
      </c>
      <c r="F26" s="57">
        <v>343305.79</v>
      </c>
      <c r="G26" s="57">
        <v>0</v>
      </c>
      <c r="H26" s="56">
        <v>0</v>
      </c>
      <c r="I26" s="56">
        <v>0</v>
      </c>
      <c r="J26" s="56">
        <v>0</v>
      </c>
      <c r="K26" s="56">
        <v>72094.210000000006</v>
      </c>
      <c r="L26" s="56">
        <v>0</v>
      </c>
      <c r="M26" s="57">
        <v>0</v>
      </c>
      <c r="N26" s="59">
        <v>415400</v>
      </c>
    </row>
    <row r="27" spans="1:14">
      <c r="A27" s="21" t="s">
        <v>809</v>
      </c>
      <c r="B27" s="5" t="s">
        <v>820</v>
      </c>
      <c r="C27" s="6" t="s">
        <v>92</v>
      </c>
      <c r="D27" s="6" t="s">
        <v>19</v>
      </c>
      <c r="E27" s="6">
        <v>30709016012</v>
      </c>
      <c r="F27" s="18">
        <v>359834.66</v>
      </c>
      <c r="G27" s="18">
        <v>0</v>
      </c>
      <c r="H27" s="6">
        <v>0</v>
      </c>
      <c r="I27" s="6">
        <v>0</v>
      </c>
      <c r="J27" s="6">
        <v>0</v>
      </c>
      <c r="K27" s="6">
        <v>75565.279999999999</v>
      </c>
      <c r="L27" s="6">
        <v>0</v>
      </c>
      <c r="M27" s="18">
        <v>0</v>
      </c>
      <c r="N27" s="22">
        <v>435399.94</v>
      </c>
    </row>
    <row r="28" spans="1:14">
      <c r="A28" s="58" t="s">
        <v>821</v>
      </c>
      <c r="B28" s="55" t="s">
        <v>822</v>
      </c>
      <c r="C28" s="56" t="s">
        <v>73</v>
      </c>
      <c r="D28" s="56" t="s">
        <v>19</v>
      </c>
      <c r="E28" s="56">
        <v>30715186655</v>
      </c>
      <c r="F28" s="57">
        <v>321151.24</v>
      </c>
      <c r="G28" s="57">
        <v>0</v>
      </c>
      <c r="H28" s="56">
        <v>0</v>
      </c>
      <c r="I28" s="56">
        <v>0</v>
      </c>
      <c r="J28" s="56">
        <v>0</v>
      </c>
      <c r="K28" s="56">
        <v>67441.759999999995</v>
      </c>
      <c r="L28" s="56">
        <v>0</v>
      </c>
      <c r="M28" s="57">
        <v>0</v>
      </c>
      <c r="N28" s="59">
        <v>388593</v>
      </c>
    </row>
    <row r="29" spans="1:14">
      <c r="A29" s="21" t="s">
        <v>821</v>
      </c>
      <c r="B29" s="5" t="s">
        <v>823</v>
      </c>
      <c r="C29" s="6" t="s">
        <v>70</v>
      </c>
      <c r="D29" s="6" t="s">
        <v>19</v>
      </c>
      <c r="E29" s="6">
        <v>30710961790</v>
      </c>
      <c r="F29" s="18">
        <v>149892.56</v>
      </c>
      <c r="G29" s="18">
        <v>0</v>
      </c>
      <c r="H29" s="6">
        <v>0</v>
      </c>
      <c r="I29" s="6">
        <v>0</v>
      </c>
      <c r="J29" s="6">
        <v>0</v>
      </c>
      <c r="K29" s="6">
        <v>31477.439999999999</v>
      </c>
      <c r="L29" s="6">
        <v>0</v>
      </c>
      <c r="M29" s="18">
        <v>0</v>
      </c>
      <c r="N29" s="22">
        <v>181370</v>
      </c>
    </row>
    <row r="30" spans="1:14">
      <c r="A30" s="58" t="s">
        <v>821</v>
      </c>
      <c r="B30" s="55" t="s">
        <v>824</v>
      </c>
      <c r="C30" s="56" t="s">
        <v>86</v>
      </c>
      <c r="D30" s="56" t="s">
        <v>19</v>
      </c>
      <c r="E30" s="56">
        <v>30713669004</v>
      </c>
      <c r="F30" s="57">
        <v>57240.5</v>
      </c>
      <c r="G30" s="57">
        <v>0</v>
      </c>
      <c r="H30" s="56">
        <v>0</v>
      </c>
      <c r="I30" s="56">
        <v>0</v>
      </c>
      <c r="J30" s="56">
        <v>0</v>
      </c>
      <c r="K30" s="56">
        <v>12020.51</v>
      </c>
      <c r="L30" s="56">
        <v>0</v>
      </c>
      <c r="M30" s="57">
        <v>0</v>
      </c>
      <c r="N30" s="59">
        <v>69261.009999999995</v>
      </c>
    </row>
    <row r="31" spans="1:14">
      <c r="A31" s="21" t="s">
        <v>821</v>
      </c>
      <c r="B31" s="5" t="s">
        <v>825</v>
      </c>
      <c r="C31" s="6" t="s">
        <v>90</v>
      </c>
      <c r="D31" s="6" t="s">
        <v>19</v>
      </c>
      <c r="E31" s="6">
        <v>30645337979</v>
      </c>
      <c r="F31" s="18">
        <v>52333.88</v>
      </c>
      <c r="G31" s="18">
        <v>0</v>
      </c>
      <c r="H31" s="6">
        <v>0</v>
      </c>
      <c r="I31" s="6">
        <v>0</v>
      </c>
      <c r="J31" s="6">
        <v>0</v>
      </c>
      <c r="K31" s="6">
        <v>10990.11</v>
      </c>
      <c r="L31" s="6">
        <v>0</v>
      </c>
      <c r="M31" s="18">
        <v>0</v>
      </c>
      <c r="N31" s="22">
        <v>63323.99</v>
      </c>
    </row>
    <row r="32" spans="1:14">
      <c r="A32" s="58" t="s">
        <v>821</v>
      </c>
      <c r="B32" s="55" t="s">
        <v>826</v>
      </c>
      <c r="C32" s="56" t="s">
        <v>88</v>
      </c>
      <c r="D32" s="56" t="s">
        <v>19</v>
      </c>
      <c r="E32" s="56">
        <v>30711244383</v>
      </c>
      <c r="F32" s="57">
        <v>23580.17</v>
      </c>
      <c r="G32" s="57">
        <v>0</v>
      </c>
      <c r="H32" s="56">
        <v>0</v>
      </c>
      <c r="I32" s="56">
        <v>0</v>
      </c>
      <c r="J32" s="56">
        <v>0</v>
      </c>
      <c r="K32" s="56">
        <v>4951.84</v>
      </c>
      <c r="L32" s="56">
        <v>0</v>
      </c>
      <c r="M32" s="57">
        <v>0</v>
      </c>
      <c r="N32" s="59">
        <v>28532.01</v>
      </c>
    </row>
    <row r="33" spans="1:14">
      <c r="A33" s="21" t="s">
        <v>821</v>
      </c>
      <c r="B33" s="5" t="s">
        <v>827</v>
      </c>
      <c r="C33" s="6" t="s">
        <v>82</v>
      </c>
      <c r="D33" s="6" t="s">
        <v>19</v>
      </c>
      <c r="E33" s="6">
        <v>30657418877</v>
      </c>
      <c r="F33" s="18">
        <v>17231.41</v>
      </c>
      <c r="G33" s="18">
        <v>0</v>
      </c>
      <c r="H33" s="6">
        <v>0</v>
      </c>
      <c r="I33" s="6">
        <v>0</v>
      </c>
      <c r="J33" s="6">
        <v>0</v>
      </c>
      <c r="K33" s="6">
        <v>3618.6</v>
      </c>
      <c r="L33" s="6">
        <v>0</v>
      </c>
      <c r="M33" s="18">
        <v>0</v>
      </c>
      <c r="N33" s="22">
        <v>20850.010000000002</v>
      </c>
    </row>
    <row r="34" spans="1:14">
      <c r="A34" s="58" t="s">
        <v>821</v>
      </c>
      <c r="B34" s="55" t="s">
        <v>828</v>
      </c>
      <c r="C34" s="56" t="s">
        <v>76</v>
      </c>
      <c r="D34" s="56" t="s">
        <v>19</v>
      </c>
      <c r="E34" s="56">
        <v>30606274161</v>
      </c>
      <c r="F34" s="57">
        <v>159173.55000000002</v>
      </c>
      <c r="G34" s="57">
        <v>0</v>
      </c>
      <c r="H34" s="56">
        <v>0</v>
      </c>
      <c r="I34" s="56">
        <v>0</v>
      </c>
      <c r="J34" s="56">
        <v>0</v>
      </c>
      <c r="K34" s="56">
        <v>33426.449999999997</v>
      </c>
      <c r="L34" s="56">
        <v>0</v>
      </c>
      <c r="M34" s="57">
        <v>0</v>
      </c>
      <c r="N34" s="59">
        <v>192600</v>
      </c>
    </row>
    <row r="35" spans="1:14">
      <c r="A35" s="21" t="s">
        <v>821</v>
      </c>
      <c r="B35" s="5" t="s">
        <v>829</v>
      </c>
      <c r="C35" s="6" t="s">
        <v>78</v>
      </c>
      <c r="D35" s="6" t="s">
        <v>19</v>
      </c>
      <c r="E35" s="6">
        <v>30712529721</v>
      </c>
      <c r="F35" s="18">
        <v>31652.89</v>
      </c>
      <c r="G35" s="18">
        <v>0</v>
      </c>
      <c r="H35" s="6">
        <v>0</v>
      </c>
      <c r="I35" s="6">
        <v>0</v>
      </c>
      <c r="J35" s="6">
        <v>0</v>
      </c>
      <c r="K35" s="6">
        <v>6647.11</v>
      </c>
      <c r="L35" s="6">
        <v>0</v>
      </c>
      <c r="M35" s="18">
        <v>0</v>
      </c>
      <c r="N35" s="22">
        <v>38300</v>
      </c>
    </row>
    <row r="36" spans="1:14">
      <c r="A36" s="58" t="s">
        <v>821</v>
      </c>
      <c r="B36" s="55" t="s">
        <v>830</v>
      </c>
      <c r="C36" s="56" t="s">
        <v>80</v>
      </c>
      <c r="D36" s="56" t="s">
        <v>19</v>
      </c>
      <c r="E36" s="56">
        <v>30707612971</v>
      </c>
      <c r="F36" s="57">
        <v>57404.959999999999</v>
      </c>
      <c r="G36" s="57">
        <v>0</v>
      </c>
      <c r="H36" s="56">
        <v>0</v>
      </c>
      <c r="I36" s="56">
        <v>0</v>
      </c>
      <c r="J36" s="56">
        <v>0</v>
      </c>
      <c r="K36" s="56">
        <v>12055.04</v>
      </c>
      <c r="L36" s="56">
        <v>0</v>
      </c>
      <c r="M36" s="57">
        <v>0</v>
      </c>
      <c r="N36" s="59">
        <v>69460</v>
      </c>
    </row>
    <row r="37" spans="1:14">
      <c r="A37" s="21" t="s">
        <v>821</v>
      </c>
      <c r="B37" s="5" t="s">
        <v>831</v>
      </c>
      <c r="C37" s="6" t="s">
        <v>84</v>
      </c>
      <c r="D37" s="6" t="s">
        <v>19</v>
      </c>
      <c r="E37" s="6">
        <v>30546771314</v>
      </c>
      <c r="F37" s="18">
        <v>13738.02</v>
      </c>
      <c r="G37" s="18">
        <v>0</v>
      </c>
      <c r="H37" s="6">
        <v>0</v>
      </c>
      <c r="I37" s="6">
        <v>0</v>
      </c>
      <c r="J37" s="6">
        <v>0</v>
      </c>
      <c r="K37" s="6">
        <v>2884.98</v>
      </c>
      <c r="L37" s="6">
        <v>0</v>
      </c>
      <c r="M37" s="18">
        <v>0</v>
      </c>
      <c r="N37" s="22">
        <v>16623</v>
      </c>
    </row>
    <row r="38" spans="1:14">
      <c r="A38" s="58" t="s">
        <v>821</v>
      </c>
      <c r="B38" s="55" t="s">
        <v>832</v>
      </c>
      <c r="C38" s="56" t="s">
        <v>92</v>
      </c>
      <c r="D38" s="56" t="s">
        <v>19</v>
      </c>
      <c r="E38" s="56">
        <v>30709016012</v>
      </c>
      <c r="F38" s="57">
        <v>65038.02</v>
      </c>
      <c r="G38" s="57">
        <v>0</v>
      </c>
      <c r="H38" s="56">
        <v>0</v>
      </c>
      <c r="I38" s="56">
        <v>0</v>
      </c>
      <c r="J38" s="56">
        <v>0</v>
      </c>
      <c r="K38" s="56">
        <v>13657.98</v>
      </c>
      <c r="L38" s="56">
        <v>0</v>
      </c>
      <c r="M38" s="57">
        <v>0</v>
      </c>
      <c r="N38" s="59">
        <v>78696</v>
      </c>
    </row>
    <row r="39" spans="1:14">
      <c r="A39" s="21" t="s">
        <v>821</v>
      </c>
      <c r="B39" s="5" t="s">
        <v>833</v>
      </c>
      <c r="C39" s="6" t="s">
        <v>108</v>
      </c>
      <c r="D39" s="6" t="s">
        <v>19</v>
      </c>
      <c r="E39" s="6">
        <v>20223256393</v>
      </c>
      <c r="F39" s="18">
        <v>12809.92</v>
      </c>
      <c r="G39" s="18">
        <v>0</v>
      </c>
      <c r="H39" s="6">
        <v>0</v>
      </c>
      <c r="I39" s="6">
        <v>0</v>
      </c>
      <c r="J39" s="6">
        <v>0</v>
      </c>
      <c r="K39" s="6">
        <v>2690.08</v>
      </c>
      <c r="L39" s="6">
        <v>0</v>
      </c>
      <c r="M39" s="18">
        <v>0</v>
      </c>
      <c r="N39" s="22">
        <v>15500</v>
      </c>
    </row>
    <row r="40" spans="1:14">
      <c r="A40" s="58" t="s">
        <v>834</v>
      </c>
      <c r="B40" s="55" t="s">
        <v>835</v>
      </c>
      <c r="C40" s="56" t="s">
        <v>76</v>
      </c>
      <c r="D40" s="56" t="s">
        <v>19</v>
      </c>
      <c r="E40" s="56">
        <v>30606274161</v>
      </c>
      <c r="F40" s="57">
        <v>15586.78</v>
      </c>
      <c r="G40" s="57">
        <v>0</v>
      </c>
      <c r="H40" s="56">
        <v>0</v>
      </c>
      <c r="I40" s="56">
        <v>0</v>
      </c>
      <c r="J40" s="56">
        <v>0</v>
      </c>
      <c r="K40" s="56">
        <v>3273.22</v>
      </c>
      <c r="L40" s="56">
        <v>0</v>
      </c>
      <c r="M40" s="57">
        <v>0</v>
      </c>
      <c r="N40" s="59">
        <v>18860</v>
      </c>
    </row>
    <row r="41" spans="1:14">
      <c r="A41" s="21" t="s">
        <v>836</v>
      </c>
      <c r="B41" s="5" t="s">
        <v>837</v>
      </c>
      <c r="C41" s="6" t="s">
        <v>45</v>
      </c>
      <c r="D41" s="6" t="s">
        <v>19</v>
      </c>
      <c r="E41" s="6">
        <v>30608716390</v>
      </c>
      <c r="F41" s="18">
        <v>29628.09</v>
      </c>
      <c r="G41" s="18">
        <v>0</v>
      </c>
      <c r="H41" s="6">
        <v>0</v>
      </c>
      <c r="I41" s="6">
        <v>0</v>
      </c>
      <c r="J41" s="6">
        <v>0</v>
      </c>
      <c r="K41" s="6">
        <v>6221.9</v>
      </c>
      <c r="L41" s="6">
        <v>0</v>
      </c>
      <c r="M41" s="18">
        <v>0</v>
      </c>
      <c r="N41" s="22">
        <v>35849.99</v>
      </c>
    </row>
    <row r="42" spans="1:14">
      <c r="A42" s="58" t="s">
        <v>836</v>
      </c>
      <c r="B42" s="55" t="s">
        <v>838</v>
      </c>
      <c r="C42" s="56" t="s">
        <v>45</v>
      </c>
      <c r="D42" s="56" t="s">
        <v>19</v>
      </c>
      <c r="E42" s="56">
        <v>30608716390</v>
      </c>
      <c r="F42" s="57">
        <v>4206.6099999999997</v>
      </c>
      <c r="G42" s="57">
        <v>0</v>
      </c>
      <c r="H42" s="56">
        <v>0</v>
      </c>
      <c r="I42" s="56">
        <v>0</v>
      </c>
      <c r="J42" s="56">
        <v>0</v>
      </c>
      <c r="K42" s="56">
        <v>883.39</v>
      </c>
      <c r="L42" s="56">
        <v>0</v>
      </c>
      <c r="M42" s="57">
        <v>0</v>
      </c>
      <c r="N42" s="59">
        <v>5090</v>
      </c>
    </row>
    <row r="43" spans="1:14">
      <c r="A43" s="21" t="s">
        <v>836</v>
      </c>
      <c r="B43" s="5" t="s">
        <v>839</v>
      </c>
      <c r="C43" s="6" t="s">
        <v>45</v>
      </c>
      <c r="D43" s="6" t="s">
        <v>19</v>
      </c>
      <c r="E43" s="6">
        <v>30608716390</v>
      </c>
      <c r="F43" s="18">
        <v>21396.69</v>
      </c>
      <c r="G43" s="18">
        <v>0</v>
      </c>
      <c r="H43" s="6">
        <v>0</v>
      </c>
      <c r="I43" s="6">
        <v>0</v>
      </c>
      <c r="J43" s="6">
        <v>0</v>
      </c>
      <c r="K43" s="6">
        <v>4493.3</v>
      </c>
      <c r="L43" s="6">
        <v>0</v>
      </c>
      <c r="M43" s="18">
        <v>0</v>
      </c>
      <c r="N43" s="22">
        <v>25889.99</v>
      </c>
    </row>
    <row r="44" spans="1:14">
      <c r="A44" s="58" t="s">
        <v>836</v>
      </c>
      <c r="B44" s="55" t="s">
        <v>840</v>
      </c>
      <c r="C44" s="56" t="s">
        <v>45</v>
      </c>
      <c r="D44" s="56" t="s">
        <v>19</v>
      </c>
      <c r="E44" s="56">
        <v>30608716390</v>
      </c>
      <c r="F44" s="57">
        <v>7132.23</v>
      </c>
      <c r="G44" s="57">
        <v>0</v>
      </c>
      <c r="H44" s="56">
        <v>0</v>
      </c>
      <c r="I44" s="56">
        <v>0</v>
      </c>
      <c r="J44" s="56">
        <v>0</v>
      </c>
      <c r="K44" s="56">
        <v>1497.77</v>
      </c>
      <c r="L44" s="56">
        <v>0</v>
      </c>
      <c r="M44" s="57">
        <v>0</v>
      </c>
      <c r="N44" s="59">
        <v>8630</v>
      </c>
    </row>
    <row r="45" spans="1:14">
      <c r="A45" s="21" t="s">
        <v>836</v>
      </c>
      <c r="B45" s="5" t="s">
        <v>841</v>
      </c>
      <c r="C45" s="6" t="s">
        <v>45</v>
      </c>
      <c r="D45" s="6" t="s">
        <v>19</v>
      </c>
      <c r="E45" s="6">
        <v>30608716390</v>
      </c>
      <c r="F45" s="18">
        <v>4938.0200000000004</v>
      </c>
      <c r="G45" s="18">
        <v>0</v>
      </c>
      <c r="H45" s="6">
        <v>0</v>
      </c>
      <c r="I45" s="6">
        <v>0</v>
      </c>
      <c r="J45" s="6">
        <v>0</v>
      </c>
      <c r="K45" s="6">
        <v>1036.98</v>
      </c>
      <c r="L45" s="6">
        <v>0</v>
      </c>
      <c r="M45" s="18">
        <v>0</v>
      </c>
      <c r="N45" s="22">
        <v>5975</v>
      </c>
    </row>
    <row r="46" spans="1:14">
      <c r="A46" s="58" t="s">
        <v>836</v>
      </c>
      <c r="B46" s="55" t="s">
        <v>842</v>
      </c>
      <c r="C46" s="56" t="s">
        <v>45</v>
      </c>
      <c r="D46" s="56" t="s">
        <v>19</v>
      </c>
      <c r="E46" s="56">
        <v>30608716390</v>
      </c>
      <c r="F46" s="57">
        <v>4938.0200000000004</v>
      </c>
      <c r="G46" s="57">
        <v>0</v>
      </c>
      <c r="H46" s="56">
        <v>0</v>
      </c>
      <c r="I46" s="56">
        <v>0</v>
      </c>
      <c r="J46" s="56">
        <v>0</v>
      </c>
      <c r="K46" s="56">
        <v>1036.98</v>
      </c>
      <c r="L46" s="56">
        <v>0</v>
      </c>
      <c r="M46" s="57">
        <v>0</v>
      </c>
      <c r="N46" s="59">
        <v>5975</v>
      </c>
    </row>
    <row r="47" spans="1:14">
      <c r="A47" s="21" t="s">
        <v>836</v>
      </c>
      <c r="B47" s="5" t="s">
        <v>843</v>
      </c>
      <c r="C47" s="6" t="s">
        <v>45</v>
      </c>
      <c r="D47" s="6" t="s">
        <v>19</v>
      </c>
      <c r="E47" s="6">
        <v>30608716390</v>
      </c>
      <c r="F47" s="18">
        <v>8413.2199999999993</v>
      </c>
      <c r="G47" s="18">
        <v>0</v>
      </c>
      <c r="H47" s="6">
        <v>0</v>
      </c>
      <c r="I47" s="6">
        <v>0</v>
      </c>
      <c r="J47" s="6">
        <v>0</v>
      </c>
      <c r="K47" s="6">
        <v>1766.78</v>
      </c>
      <c r="L47" s="6">
        <v>0</v>
      </c>
      <c r="M47" s="18">
        <v>0</v>
      </c>
      <c r="N47" s="22">
        <v>10180</v>
      </c>
    </row>
    <row r="48" spans="1:14">
      <c r="A48" s="58" t="s">
        <v>836</v>
      </c>
      <c r="B48" s="55" t="s">
        <v>844</v>
      </c>
      <c r="C48" s="56" t="s">
        <v>45</v>
      </c>
      <c r="D48" s="56" t="s">
        <v>19</v>
      </c>
      <c r="E48" s="56">
        <v>30608716390</v>
      </c>
      <c r="F48" s="57">
        <v>32553.71</v>
      </c>
      <c r="G48" s="57">
        <v>0</v>
      </c>
      <c r="H48" s="56">
        <v>0</v>
      </c>
      <c r="I48" s="56">
        <v>0</v>
      </c>
      <c r="J48" s="56">
        <v>0</v>
      </c>
      <c r="K48" s="56">
        <v>6836.29</v>
      </c>
      <c r="L48" s="56">
        <v>0</v>
      </c>
      <c r="M48" s="57">
        <v>0</v>
      </c>
      <c r="N48" s="59">
        <v>39390</v>
      </c>
    </row>
    <row r="49" spans="1:14">
      <c r="A49" s="21" t="s">
        <v>836</v>
      </c>
      <c r="B49" s="5" t="s">
        <v>845</v>
      </c>
      <c r="C49" s="6" t="s">
        <v>45</v>
      </c>
      <c r="D49" s="6" t="s">
        <v>19</v>
      </c>
      <c r="E49" s="6">
        <v>30608716390</v>
      </c>
      <c r="F49" s="18">
        <v>9876.0300000000007</v>
      </c>
      <c r="G49" s="18">
        <v>0</v>
      </c>
      <c r="H49" s="6">
        <v>0</v>
      </c>
      <c r="I49" s="6">
        <v>0</v>
      </c>
      <c r="J49" s="6">
        <v>0</v>
      </c>
      <c r="K49" s="6">
        <v>2073.9700000000003</v>
      </c>
      <c r="L49" s="6">
        <v>0</v>
      </c>
      <c r="M49" s="18">
        <v>0</v>
      </c>
      <c r="N49" s="22">
        <v>11950</v>
      </c>
    </row>
    <row r="50" spans="1:14">
      <c r="A50" s="58" t="s">
        <v>836</v>
      </c>
      <c r="B50" s="55" t="s">
        <v>846</v>
      </c>
      <c r="C50" s="56" t="s">
        <v>45</v>
      </c>
      <c r="D50" s="56" t="s">
        <v>19</v>
      </c>
      <c r="E50" s="56">
        <v>30608716390</v>
      </c>
      <c r="F50" s="57">
        <v>9876.0300000000007</v>
      </c>
      <c r="G50" s="57">
        <v>0</v>
      </c>
      <c r="H50" s="56">
        <v>0</v>
      </c>
      <c r="I50" s="56">
        <v>0</v>
      </c>
      <c r="J50" s="56">
        <v>0</v>
      </c>
      <c r="K50" s="56">
        <v>2073.9700000000003</v>
      </c>
      <c r="L50" s="56">
        <v>0</v>
      </c>
      <c r="M50" s="57">
        <v>0</v>
      </c>
      <c r="N50" s="59">
        <v>11950</v>
      </c>
    </row>
    <row r="51" spans="1:14">
      <c r="A51" s="21" t="s">
        <v>836</v>
      </c>
      <c r="B51" s="5" t="s">
        <v>847</v>
      </c>
      <c r="C51" s="6" t="s">
        <v>45</v>
      </c>
      <c r="D51" s="6" t="s">
        <v>19</v>
      </c>
      <c r="E51" s="6">
        <v>30608716390</v>
      </c>
      <c r="F51" s="18">
        <v>24140.49</v>
      </c>
      <c r="G51" s="18">
        <v>0</v>
      </c>
      <c r="H51" s="6">
        <v>0</v>
      </c>
      <c r="I51" s="6">
        <v>0</v>
      </c>
      <c r="J51" s="6">
        <v>0</v>
      </c>
      <c r="K51" s="6">
        <v>5069.51</v>
      </c>
      <c r="L51" s="6">
        <v>0</v>
      </c>
      <c r="M51" s="18">
        <v>0</v>
      </c>
      <c r="N51" s="22">
        <v>29210</v>
      </c>
    </row>
    <row r="52" spans="1:14">
      <c r="A52" s="58" t="s">
        <v>836</v>
      </c>
      <c r="B52" s="55" t="s">
        <v>848</v>
      </c>
      <c r="C52" s="56" t="s">
        <v>45</v>
      </c>
      <c r="D52" s="56" t="s">
        <v>19</v>
      </c>
      <c r="E52" s="56">
        <v>30608716390</v>
      </c>
      <c r="F52" s="57">
        <v>14264.46</v>
      </c>
      <c r="G52" s="57">
        <v>0</v>
      </c>
      <c r="H52" s="56">
        <v>0</v>
      </c>
      <c r="I52" s="56">
        <v>0</v>
      </c>
      <c r="J52" s="56">
        <v>0</v>
      </c>
      <c r="K52" s="56">
        <v>2995.54</v>
      </c>
      <c r="L52" s="56">
        <v>0</v>
      </c>
      <c r="M52" s="57">
        <v>0</v>
      </c>
      <c r="N52" s="59">
        <v>17260</v>
      </c>
    </row>
    <row r="53" spans="1:14">
      <c r="A53" s="21" t="s">
        <v>836</v>
      </c>
      <c r="B53" s="5" t="s">
        <v>849</v>
      </c>
      <c r="C53" s="6" t="s">
        <v>45</v>
      </c>
      <c r="D53" s="6" t="s">
        <v>19</v>
      </c>
      <c r="E53" s="6">
        <v>30608716390</v>
      </c>
      <c r="F53" s="18">
        <v>29774.38</v>
      </c>
      <c r="G53" s="18">
        <v>0</v>
      </c>
      <c r="H53" s="6">
        <v>0</v>
      </c>
      <c r="I53" s="6">
        <v>0</v>
      </c>
      <c r="J53" s="6">
        <v>0</v>
      </c>
      <c r="K53" s="6">
        <v>6252.62</v>
      </c>
      <c r="L53" s="6">
        <v>0</v>
      </c>
      <c r="M53" s="18">
        <v>0</v>
      </c>
      <c r="N53" s="22">
        <v>36027</v>
      </c>
    </row>
    <row r="54" spans="1:14">
      <c r="A54" s="58" t="s">
        <v>792</v>
      </c>
      <c r="B54" s="55" t="s">
        <v>850</v>
      </c>
      <c r="C54" s="56" t="s">
        <v>45</v>
      </c>
      <c r="D54" s="56" t="s">
        <v>19</v>
      </c>
      <c r="E54" s="56">
        <v>30608716390</v>
      </c>
      <c r="F54" s="57">
        <v>72195.87</v>
      </c>
      <c r="G54" s="57">
        <v>0</v>
      </c>
      <c r="H54" s="56">
        <v>0</v>
      </c>
      <c r="I54" s="56">
        <v>0</v>
      </c>
      <c r="J54" s="56">
        <v>0</v>
      </c>
      <c r="K54" s="56">
        <v>15161.13</v>
      </c>
      <c r="L54" s="56">
        <v>0</v>
      </c>
      <c r="M54" s="57">
        <v>0</v>
      </c>
      <c r="N54" s="59">
        <v>87357</v>
      </c>
    </row>
    <row r="55" spans="1:14">
      <c r="A55" s="21" t="s">
        <v>792</v>
      </c>
      <c r="B55" s="5" t="s">
        <v>851</v>
      </c>
      <c r="C55" s="6" t="s">
        <v>45</v>
      </c>
      <c r="D55" s="6" t="s">
        <v>19</v>
      </c>
      <c r="E55" s="6">
        <v>30608716390</v>
      </c>
      <c r="F55" s="18">
        <v>12572.45</v>
      </c>
      <c r="G55" s="18">
        <v>0</v>
      </c>
      <c r="H55" s="6">
        <v>0</v>
      </c>
      <c r="I55" s="6">
        <v>0</v>
      </c>
      <c r="J55" s="6">
        <v>0</v>
      </c>
      <c r="K55" s="6">
        <v>2640.21</v>
      </c>
      <c r="L55" s="6">
        <v>0</v>
      </c>
      <c r="M55" s="18">
        <v>0</v>
      </c>
      <c r="N55" s="22">
        <v>15212.66</v>
      </c>
    </row>
    <row r="56" spans="1:14">
      <c r="A56" s="58" t="s">
        <v>812</v>
      </c>
      <c r="B56" s="55" t="s">
        <v>852</v>
      </c>
      <c r="C56" s="56" t="s">
        <v>25</v>
      </c>
      <c r="D56" s="56" t="s">
        <v>19</v>
      </c>
      <c r="E56" s="56">
        <v>30522428163</v>
      </c>
      <c r="F56" s="57">
        <v>-225814.2</v>
      </c>
      <c r="G56" s="57">
        <v>0</v>
      </c>
      <c r="H56" s="56">
        <v>0</v>
      </c>
      <c r="I56" s="56">
        <v>0</v>
      </c>
      <c r="J56" s="56">
        <v>0</v>
      </c>
      <c r="K56" s="56">
        <v>-47420.98</v>
      </c>
      <c r="L56" s="56">
        <v>0</v>
      </c>
      <c r="M56" s="57">
        <v>0</v>
      </c>
      <c r="N56" s="59">
        <v>-273235.18</v>
      </c>
    </row>
    <row r="57" spans="1:14">
      <c r="A57" s="21" t="s">
        <v>812</v>
      </c>
      <c r="B57" s="5" t="s">
        <v>853</v>
      </c>
      <c r="C57" s="6" t="s">
        <v>25</v>
      </c>
      <c r="D57" s="6" t="s">
        <v>19</v>
      </c>
      <c r="E57" s="6">
        <v>30522428163</v>
      </c>
      <c r="F57" s="18">
        <v>-19592.400000000001</v>
      </c>
      <c r="G57" s="18">
        <v>0</v>
      </c>
      <c r="H57" s="6">
        <v>0</v>
      </c>
      <c r="I57" s="6">
        <v>0</v>
      </c>
      <c r="J57" s="6">
        <v>0</v>
      </c>
      <c r="K57" s="6">
        <v>-4114.3999999999996</v>
      </c>
      <c r="L57" s="6">
        <v>0</v>
      </c>
      <c r="M57" s="18">
        <v>0</v>
      </c>
      <c r="N57" s="22">
        <v>-23706.799999999999</v>
      </c>
    </row>
    <row r="58" spans="1:14">
      <c r="A58" s="58" t="s">
        <v>812</v>
      </c>
      <c r="B58" s="55" t="s">
        <v>854</v>
      </c>
      <c r="C58" s="56" t="s">
        <v>25</v>
      </c>
      <c r="D58" s="56" t="s">
        <v>19</v>
      </c>
      <c r="E58" s="56">
        <v>30522428163</v>
      </c>
      <c r="F58" s="57">
        <v>-28009.64</v>
      </c>
      <c r="G58" s="57">
        <v>0</v>
      </c>
      <c r="H58" s="56">
        <v>0</v>
      </c>
      <c r="I58" s="56">
        <v>0</v>
      </c>
      <c r="J58" s="56">
        <v>0</v>
      </c>
      <c r="K58" s="56">
        <v>-5882.02</v>
      </c>
      <c r="L58" s="56">
        <v>0</v>
      </c>
      <c r="M58" s="57">
        <v>0</v>
      </c>
      <c r="N58" s="59">
        <v>-33891.660000000003</v>
      </c>
    </row>
    <row r="59" spans="1:14">
      <c r="A59" s="21" t="s">
        <v>812</v>
      </c>
      <c r="B59" s="5" t="s">
        <v>855</v>
      </c>
      <c r="C59" s="6" t="s">
        <v>25</v>
      </c>
      <c r="D59" s="6" t="s">
        <v>19</v>
      </c>
      <c r="E59" s="6">
        <v>30522428163</v>
      </c>
      <c r="F59" s="18">
        <v>-223237.07</v>
      </c>
      <c r="G59" s="18">
        <v>0</v>
      </c>
      <c r="H59" s="6">
        <v>0</v>
      </c>
      <c r="I59" s="6">
        <v>0</v>
      </c>
      <c r="J59" s="6">
        <v>0</v>
      </c>
      <c r="K59" s="6">
        <v>-46879.78</v>
      </c>
      <c r="L59" s="6">
        <v>0</v>
      </c>
      <c r="M59" s="18">
        <v>0</v>
      </c>
      <c r="N59" s="22">
        <v>-270116.84999999998</v>
      </c>
    </row>
    <row r="60" spans="1:14">
      <c r="A60" s="58" t="s">
        <v>812</v>
      </c>
      <c r="B60" s="55" t="s">
        <v>856</v>
      </c>
      <c r="C60" s="56" t="s">
        <v>25</v>
      </c>
      <c r="D60" s="56" t="s">
        <v>19</v>
      </c>
      <c r="E60" s="56">
        <v>30522428163</v>
      </c>
      <c r="F60" s="57">
        <v>-743801.64</v>
      </c>
      <c r="G60" s="57">
        <v>0</v>
      </c>
      <c r="H60" s="56">
        <v>0</v>
      </c>
      <c r="I60" s="56">
        <v>0</v>
      </c>
      <c r="J60" s="56">
        <v>0</v>
      </c>
      <c r="K60" s="56">
        <v>-156198.34</v>
      </c>
      <c r="L60" s="56">
        <v>0</v>
      </c>
      <c r="M60" s="57">
        <v>0</v>
      </c>
      <c r="N60" s="59">
        <v>-899999.98</v>
      </c>
    </row>
    <row r="61" spans="1:14">
      <c r="A61" s="26" t="s">
        <v>802</v>
      </c>
      <c r="B61" s="27" t="s">
        <v>857</v>
      </c>
      <c r="C61" s="28" t="s">
        <v>67</v>
      </c>
      <c r="D61" s="28" t="s">
        <v>19</v>
      </c>
      <c r="E61" s="28">
        <v>30710538014</v>
      </c>
      <c r="F61" s="29">
        <v>-10710.74</v>
      </c>
      <c r="G61" s="29">
        <v>0</v>
      </c>
      <c r="H61" s="28">
        <v>0</v>
      </c>
      <c r="I61" s="28">
        <v>0</v>
      </c>
      <c r="J61" s="28">
        <v>0</v>
      </c>
      <c r="K61" s="28">
        <v>-2249.2600000000002</v>
      </c>
      <c r="L61" s="28">
        <v>0</v>
      </c>
      <c r="M61" s="29">
        <v>0</v>
      </c>
      <c r="N61" s="30">
        <v>-12960</v>
      </c>
    </row>
    <row r="62" spans="1:14">
      <c r="F62" s="68">
        <f>SUM(F6:F61)</f>
        <v>212194687.72000009</v>
      </c>
      <c r="G62" s="11"/>
      <c r="H62" s="11"/>
      <c r="I62" s="11"/>
      <c r="J62" s="11"/>
      <c r="K62" s="11">
        <f>SUM(K6:K61)</f>
        <v>44560884.429999977</v>
      </c>
      <c r="L62" s="11"/>
      <c r="M62" s="11"/>
      <c r="N62" s="68">
        <f>SUM(N6:N61)</f>
        <v>256755572.14999998</v>
      </c>
    </row>
    <row r="65" spans="1:14">
      <c r="A65" s="23" t="s">
        <v>2</v>
      </c>
      <c r="B65" s="24" t="s">
        <v>3</v>
      </c>
      <c r="C65" s="24" t="s">
        <v>4</v>
      </c>
      <c r="D65" s="24" t="s">
        <v>5</v>
      </c>
      <c r="E65" s="24" t="s">
        <v>6</v>
      </c>
      <c r="F65" s="24" t="s">
        <v>7</v>
      </c>
      <c r="G65" s="24" t="s">
        <v>8</v>
      </c>
      <c r="H65" s="24" t="s">
        <v>9</v>
      </c>
      <c r="I65" s="24" t="s">
        <v>10</v>
      </c>
      <c r="J65" s="24" t="s">
        <v>11</v>
      </c>
      <c r="K65" s="24" t="s">
        <v>12</v>
      </c>
      <c r="L65" s="24" t="s">
        <v>13</v>
      </c>
      <c r="M65" s="24" t="s">
        <v>14</v>
      </c>
      <c r="N65" s="25" t="s">
        <v>15</v>
      </c>
    </row>
    <row r="66" spans="1:14" hidden="1">
      <c r="A66" s="58" t="s">
        <v>858</v>
      </c>
      <c r="B66" s="55" t="s">
        <v>859</v>
      </c>
      <c r="C66" s="56" t="s">
        <v>134</v>
      </c>
      <c r="D66" s="56" t="s">
        <v>135</v>
      </c>
      <c r="E66" s="56" t="s">
        <v>136</v>
      </c>
      <c r="F66" s="57">
        <v>33388.43</v>
      </c>
      <c r="G66" s="57">
        <v>0</v>
      </c>
      <c r="H66" s="56">
        <v>0</v>
      </c>
      <c r="I66" s="56">
        <v>0</v>
      </c>
      <c r="J66" s="56">
        <v>0</v>
      </c>
      <c r="K66" s="56">
        <v>7011.57</v>
      </c>
      <c r="L66" s="56">
        <v>0</v>
      </c>
      <c r="M66" s="57">
        <v>0</v>
      </c>
      <c r="N66" s="59">
        <v>40400</v>
      </c>
    </row>
    <row r="67" spans="1:14" hidden="1">
      <c r="A67" s="21" t="s">
        <v>858</v>
      </c>
      <c r="B67" s="5" t="s">
        <v>860</v>
      </c>
      <c r="C67" s="6" t="s">
        <v>134</v>
      </c>
      <c r="D67" s="6" t="s">
        <v>135</v>
      </c>
      <c r="E67" s="6" t="s">
        <v>136</v>
      </c>
      <c r="F67" s="18">
        <v>8471.07</v>
      </c>
      <c r="G67" s="18">
        <v>0</v>
      </c>
      <c r="H67" s="6">
        <v>0</v>
      </c>
      <c r="I67" s="6">
        <v>0</v>
      </c>
      <c r="J67" s="6">
        <v>0</v>
      </c>
      <c r="K67" s="6">
        <v>1778.93</v>
      </c>
      <c r="L67" s="6">
        <v>0</v>
      </c>
      <c r="M67" s="18">
        <v>0</v>
      </c>
      <c r="N67" s="22">
        <v>10250</v>
      </c>
    </row>
    <row r="68" spans="1:14" hidden="1">
      <c r="A68" s="58" t="s">
        <v>858</v>
      </c>
      <c r="B68" s="55" t="s">
        <v>861</v>
      </c>
      <c r="C68" s="56" t="s">
        <v>134</v>
      </c>
      <c r="D68" s="56" t="s">
        <v>135</v>
      </c>
      <c r="E68" s="56" t="s">
        <v>136</v>
      </c>
      <c r="F68" s="57">
        <v>6487.6</v>
      </c>
      <c r="G68" s="57">
        <v>0</v>
      </c>
      <c r="H68" s="56">
        <v>0</v>
      </c>
      <c r="I68" s="56">
        <v>0</v>
      </c>
      <c r="J68" s="56">
        <v>0</v>
      </c>
      <c r="K68" s="56">
        <v>1362.4</v>
      </c>
      <c r="L68" s="56">
        <v>0</v>
      </c>
      <c r="M68" s="57">
        <v>0</v>
      </c>
      <c r="N68" s="59">
        <v>7850</v>
      </c>
    </row>
    <row r="69" spans="1:14" hidden="1">
      <c r="A69" s="21" t="s">
        <v>858</v>
      </c>
      <c r="B69" s="5" t="s">
        <v>862</v>
      </c>
      <c r="C69" s="6" t="s">
        <v>134</v>
      </c>
      <c r="D69" s="6" t="s">
        <v>135</v>
      </c>
      <c r="E69" s="6" t="s">
        <v>136</v>
      </c>
      <c r="F69" s="18">
        <v>15041.32</v>
      </c>
      <c r="G69" s="18">
        <v>0</v>
      </c>
      <c r="H69" s="6">
        <v>0</v>
      </c>
      <c r="I69" s="6">
        <v>0</v>
      </c>
      <c r="J69" s="6">
        <v>0</v>
      </c>
      <c r="K69" s="6">
        <v>3158.68</v>
      </c>
      <c r="L69" s="6">
        <v>0</v>
      </c>
      <c r="M69" s="18">
        <v>0</v>
      </c>
      <c r="N69" s="22">
        <v>18200</v>
      </c>
    </row>
    <row r="70" spans="1:14" hidden="1">
      <c r="A70" s="58" t="s">
        <v>858</v>
      </c>
      <c r="B70" s="55" t="s">
        <v>863</v>
      </c>
      <c r="C70" s="56" t="s">
        <v>134</v>
      </c>
      <c r="D70" s="56" t="s">
        <v>135</v>
      </c>
      <c r="E70" s="56" t="s">
        <v>136</v>
      </c>
      <c r="F70" s="57">
        <v>10743.8</v>
      </c>
      <c r="G70" s="57">
        <v>0</v>
      </c>
      <c r="H70" s="56">
        <v>0</v>
      </c>
      <c r="I70" s="56">
        <v>0</v>
      </c>
      <c r="J70" s="56">
        <v>0</v>
      </c>
      <c r="K70" s="56">
        <v>2256.2000000000003</v>
      </c>
      <c r="L70" s="56">
        <v>0</v>
      </c>
      <c r="M70" s="57">
        <v>0</v>
      </c>
      <c r="N70" s="59">
        <v>13000</v>
      </c>
    </row>
    <row r="71" spans="1:14" hidden="1">
      <c r="A71" s="21" t="s">
        <v>858</v>
      </c>
      <c r="B71" s="5" t="s">
        <v>864</v>
      </c>
      <c r="C71" s="6" t="s">
        <v>134</v>
      </c>
      <c r="D71" s="6" t="s">
        <v>135</v>
      </c>
      <c r="E71" s="6" t="s">
        <v>136</v>
      </c>
      <c r="F71" s="18">
        <v>15082.64</v>
      </c>
      <c r="G71" s="18">
        <v>0</v>
      </c>
      <c r="H71" s="6">
        <v>0</v>
      </c>
      <c r="I71" s="6">
        <v>0</v>
      </c>
      <c r="J71" s="6">
        <v>0</v>
      </c>
      <c r="K71" s="6">
        <v>3167.36</v>
      </c>
      <c r="L71" s="6">
        <v>0</v>
      </c>
      <c r="M71" s="18">
        <v>0</v>
      </c>
      <c r="N71" s="22">
        <v>18250</v>
      </c>
    </row>
    <row r="72" spans="1:14" hidden="1">
      <c r="A72" s="58" t="s">
        <v>858</v>
      </c>
      <c r="B72" s="55" t="s">
        <v>865</v>
      </c>
      <c r="C72" s="56" t="s">
        <v>134</v>
      </c>
      <c r="D72" s="56" t="s">
        <v>135</v>
      </c>
      <c r="E72" s="56" t="s">
        <v>136</v>
      </c>
      <c r="F72" s="57">
        <v>64710.74</v>
      </c>
      <c r="G72" s="57">
        <v>0</v>
      </c>
      <c r="H72" s="56">
        <v>0</v>
      </c>
      <c r="I72" s="56">
        <v>0</v>
      </c>
      <c r="J72" s="56">
        <v>0</v>
      </c>
      <c r="K72" s="56">
        <v>13589.26</v>
      </c>
      <c r="L72" s="56">
        <v>0</v>
      </c>
      <c r="M72" s="57">
        <v>0</v>
      </c>
      <c r="N72" s="59">
        <v>78300</v>
      </c>
    </row>
    <row r="73" spans="1:14" hidden="1">
      <c r="A73" s="21" t="s">
        <v>797</v>
      </c>
      <c r="B73" s="5" t="s">
        <v>866</v>
      </c>
      <c r="C73" s="6" t="s">
        <v>134</v>
      </c>
      <c r="D73" s="6" t="s">
        <v>135</v>
      </c>
      <c r="E73" s="6" t="s">
        <v>136</v>
      </c>
      <c r="F73" s="18">
        <v>45454.55</v>
      </c>
      <c r="G73" s="18">
        <v>0</v>
      </c>
      <c r="H73" s="6">
        <v>0</v>
      </c>
      <c r="I73" s="6">
        <v>0</v>
      </c>
      <c r="J73" s="6">
        <v>0</v>
      </c>
      <c r="K73" s="6">
        <v>9545.4500000000007</v>
      </c>
      <c r="L73" s="6">
        <v>0</v>
      </c>
      <c r="M73" s="18">
        <v>0</v>
      </c>
      <c r="N73" s="22">
        <v>55000</v>
      </c>
    </row>
    <row r="74" spans="1:14" hidden="1">
      <c r="A74" s="58" t="s">
        <v>797</v>
      </c>
      <c r="B74" s="55" t="s">
        <v>867</v>
      </c>
      <c r="C74" s="56" t="s">
        <v>134</v>
      </c>
      <c r="D74" s="56" t="s">
        <v>135</v>
      </c>
      <c r="E74" s="56" t="s">
        <v>136</v>
      </c>
      <c r="F74" s="57">
        <v>18925.62</v>
      </c>
      <c r="G74" s="57">
        <v>0</v>
      </c>
      <c r="H74" s="56">
        <v>0</v>
      </c>
      <c r="I74" s="56">
        <v>0</v>
      </c>
      <c r="J74" s="56">
        <v>0</v>
      </c>
      <c r="K74" s="56">
        <v>3974.38</v>
      </c>
      <c r="L74" s="56">
        <v>0</v>
      </c>
      <c r="M74" s="57">
        <v>0</v>
      </c>
      <c r="N74" s="59">
        <v>22900</v>
      </c>
    </row>
    <row r="75" spans="1:14" hidden="1">
      <c r="A75" s="21" t="s">
        <v>797</v>
      </c>
      <c r="B75" s="5" t="s">
        <v>868</v>
      </c>
      <c r="C75" s="6" t="s">
        <v>134</v>
      </c>
      <c r="D75" s="6" t="s">
        <v>135</v>
      </c>
      <c r="E75" s="6" t="s">
        <v>136</v>
      </c>
      <c r="F75" s="18">
        <v>11735.54</v>
      </c>
      <c r="G75" s="18">
        <v>0</v>
      </c>
      <c r="H75" s="6">
        <v>0</v>
      </c>
      <c r="I75" s="6">
        <v>0</v>
      </c>
      <c r="J75" s="6">
        <v>0</v>
      </c>
      <c r="K75" s="6">
        <v>2464.46</v>
      </c>
      <c r="L75" s="6">
        <v>0</v>
      </c>
      <c r="M75" s="18">
        <v>0</v>
      </c>
      <c r="N75" s="22">
        <v>14200</v>
      </c>
    </row>
    <row r="76" spans="1:14" hidden="1">
      <c r="A76" s="58" t="s">
        <v>797</v>
      </c>
      <c r="B76" s="55" t="s">
        <v>869</v>
      </c>
      <c r="C76" s="56" t="s">
        <v>134</v>
      </c>
      <c r="D76" s="56" t="s">
        <v>135</v>
      </c>
      <c r="E76" s="56" t="s">
        <v>136</v>
      </c>
      <c r="F76" s="57">
        <v>15082.64</v>
      </c>
      <c r="G76" s="57">
        <v>0</v>
      </c>
      <c r="H76" s="56">
        <v>0</v>
      </c>
      <c r="I76" s="56">
        <v>0</v>
      </c>
      <c r="J76" s="56">
        <v>0</v>
      </c>
      <c r="K76" s="56">
        <v>3167.36</v>
      </c>
      <c r="L76" s="56">
        <v>0</v>
      </c>
      <c r="M76" s="57">
        <v>0</v>
      </c>
      <c r="N76" s="59">
        <v>18250</v>
      </c>
    </row>
    <row r="77" spans="1:14" hidden="1">
      <c r="A77" s="21" t="s">
        <v>797</v>
      </c>
      <c r="B77" s="5" t="s">
        <v>870</v>
      </c>
      <c r="C77" s="6" t="s">
        <v>134</v>
      </c>
      <c r="D77" s="6" t="s">
        <v>135</v>
      </c>
      <c r="E77" s="6" t="s">
        <v>136</v>
      </c>
      <c r="F77" s="18">
        <v>7438.02</v>
      </c>
      <c r="G77" s="18">
        <v>0</v>
      </c>
      <c r="H77" s="6">
        <v>0</v>
      </c>
      <c r="I77" s="6">
        <v>0</v>
      </c>
      <c r="J77" s="6">
        <v>0</v>
      </c>
      <c r="K77" s="6">
        <v>1561.98</v>
      </c>
      <c r="L77" s="6">
        <v>0</v>
      </c>
      <c r="M77" s="18">
        <v>0</v>
      </c>
      <c r="N77" s="22">
        <v>9000</v>
      </c>
    </row>
    <row r="78" spans="1:14" hidden="1">
      <c r="A78" s="58" t="s">
        <v>797</v>
      </c>
      <c r="B78" s="55" t="s">
        <v>871</v>
      </c>
      <c r="C78" s="56" t="s">
        <v>134</v>
      </c>
      <c r="D78" s="56" t="s">
        <v>135</v>
      </c>
      <c r="E78" s="56" t="s">
        <v>136</v>
      </c>
      <c r="F78" s="57">
        <v>11570.25</v>
      </c>
      <c r="G78" s="57">
        <v>0</v>
      </c>
      <c r="H78" s="56">
        <v>0</v>
      </c>
      <c r="I78" s="56">
        <v>0</v>
      </c>
      <c r="J78" s="56">
        <v>0</v>
      </c>
      <c r="K78" s="56">
        <v>2429.75</v>
      </c>
      <c r="L78" s="56">
        <v>0</v>
      </c>
      <c r="M78" s="57">
        <v>0</v>
      </c>
      <c r="N78" s="59">
        <v>14000</v>
      </c>
    </row>
    <row r="79" spans="1:14">
      <c r="A79" s="21" t="s">
        <v>797</v>
      </c>
      <c r="B79" s="5" t="s">
        <v>872</v>
      </c>
      <c r="C79" s="6" t="s">
        <v>873</v>
      </c>
      <c r="D79" s="6" t="s">
        <v>135</v>
      </c>
      <c r="E79" s="6">
        <v>53237160</v>
      </c>
      <c r="F79" s="18">
        <v>15041.32</v>
      </c>
      <c r="G79" s="18">
        <v>0</v>
      </c>
      <c r="H79" s="6">
        <v>0</v>
      </c>
      <c r="I79" s="6">
        <v>0</v>
      </c>
      <c r="J79" s="6">
        <v>0</v>
      </c>
      <c r="K79" s="6">
        <v>3158.68</v>
      </c>
      <c r="L79" s="6">
        <v>0</v>
      </c>
      <c r="M79" s="18">
        <v>0</v>
      </c>
      <c r="N79" s="22">
        <v>18200</v>
      </c>
    </row>
    <row r="80" spans="1:14" hidden="1">
      <c r="A80" s="58" t="s">
        <v>797</v>
      </c>
      <c r="B80" s="55" t="s">
        <v>874</v>
      </c>
      <c r="C80" s="56" t="s">
        <v>134</v>
      </c>
      <c r="D80" s="56" t="s">
        <v>135</v>
      </c>
      <c r="E80" s="56" t="s">
        <v>136</v>
      </c>
      <c r="F80" s="57">
        <v>14462.81</v>
      </c>
      <c r="G80" s="57">
        <v>0</v>
      </c>
      <c r="H80" s="56">
        <v>0</v>
      </c>
      <c r="I80" s="56">
        <v>0</v>
      </c>
      <c r="J80" s="56">
        <v>0</v>
      </c>
      <c r="K80" s="56">
        <v>3037.19</v>
      </c>
      <c r="L80" s="56">
        <v>0</v>
      </c>
      <c r="M80" s="57">
        <v>0</v>
      </c>
      <c r="N80" s="59">
        <v>17500</v>
      </c>
    </row>
    <row r="81" spans="1:14" hidden="1">
      <c r="A81" s="21" t="s">
        <v>797</v>
      </c>
      <c r="B81" s="5" t="s">
        <v>875</v>
      </c>
      <c r="C81" s="6" t="s">
        <v>134</v>
      </c>
      <c r="D81" s="6" t="s">
        <v>135</v>
      </c>
      <c r="E81" s="6" t="s">
        <v>136</v>
      </c>
      <c r="F81" s="18">
        <v>10743.8</v>
      </c>
      <c r="G81" s="18">
        <v>0</v>
      </c>
      <c r="H81" s="6">
        <v>0</v>
      </c>
      <c r="I81" s="6">
        <v>0</v>
      </c>
      <c r="J81" s="6">
        <v>0</v>
      </c>
      <c r="K81" s="6">
        <v>2256.2000000000003</v>
      </c>
      <c r="L81" s="6">
        <v>0</v>
      </c>
      <c r="M81" s="18">
        <v>0</v>
      </c>
      <c r="N81" s="22">
        <v>13000</v>
      </c>
    </row>
    <row r="82" spans="1:14" hidden="1">
      <c r="A82" s="58" t="s">
        <v>797</v>
      </c>
      <c r="B82" s="55" t="s">
        <v>876</v>
      </c>
      <c r="C82" s="56" t="s">
        <v>134</v>
      </c>
      <c r="D82" s="56" t="s">
        <v>135</v>
      </c>
      <c r="E82" s="56" t="s">
        <v>136</v>
      </c>
      <c r="F82" s="57">
        <v>14876.03</v>
      </c>
      <c r="G82" s="57">
        <v>0</v>
      </c>
      <c r="H82" s="56">
        <v>0</v>
      </c>
      <c r="I82" s="56">
        <v>0</v>
      </c>
      <c r="J82" s="56">
        <v>0</v>
      </c>
      <c r="K82" s="56">
        <v>3123.97</v>
      </c>
      <c r="L82" s="56">
        <v>0</v>
      </c>
      <c r="M82" s="57">
        <v>0</v>
      </c>
      <c r="N82" s="59">
        <v>18000</v>
      </c>
    </row>
    <row r="83" spans="1:14" hidden="1">
      <c r="A83" s="21" t="s">
        <v>797</v>
      </c>
      <c r="B83" s="5" t="s">
        <v>877</v>
      </c>
      <c r="C83" s="6" t="s">
        <v>134</v>
      </c>
      <c r="D83" s="6" t="s">
        <v>135</v>
      </c>
      <c r="E83" s="6" t="s">
        <v>136</v>
      </c>
      <c r="F83" s="18">
        <v>15454.55</v>
      </c>
      <c r="G83" s="18">
        <v>0</v>
      </c>
      <c r="H83" s="6">
        <v>0</v>
      </c>
      <c r="I83" s="6">
        <v>0</v>
      </c>
      <c r="J83" s="6">
        <v>0</v>
      </c>
      <c r="K83" s="6">
        <v>3245.45</v>
      </c>
      <c r="L83" s="6">
        <v>0</v>
      </c>
      <c r="M83" s="18">
        <v>0</v>
      </c>
      <c r="N83" s="22">
        <v>18700</v>
      </c>
    </row>
    <row r="84" spans="1:14" hidden="1">
      <c r="A84" s="58" t="s">
        <v>797</v>
      </c>
      <c r="B84" s="55" t="s">
        <v>878</v>
      </c>
      <c r="C84" s="56" t="s">
        <v>134</v>
      </c>
      <c r="D84" s="56" t="s">
        <v>135</v>
      </c>
      <c r="E84" s="56" t="s">
        <v>136</v>
      </c>
      <c r="F84" s="57">
        <v>11570.25</v>
      </c>
      <c r="G84" s="57">
        <v>0</v>
      </c>
      <c r="H84" s="56">
        <v>0</v>
      </c>
      <c r="I84" s="56">
        <v>0</v>
      </c>
      <c r="J84" s="56">
        <v>0</v>
      </c>
      <c r="K84" s="56">
        <v>2429.75</v>
      </c>
      <c r="L84" s="56">
        <v>0</v>
      </c>
      <c r="M84" s="57">
        <v>0</v>
      </c>
      <c r="N84" s="59">
        <v>14000</v>
      </c>
    </row>
    <row r="85" spans="1:14" hidden="1">
      <c r="A85" s="21" t="s">
        <v>797</v>
      </c>
      <c r="B85" s="5" t="s">
        <v>879</v>
      </c>
      <c r="C85" s="6" t="s">
        <v>134</v>
      </c>
      <c r="D85" s="6" t="s">
        <v>135</v>
      </c>
      <c r="E85" s="6" t="s">
        <v>136</v>
      </c>
      <c r="F85" s="18">
        <v>4958.68</v>
      </c>
      <c r="G85" s="18">
        <v>0</v>
      </c>
      <c r="H85" s="6">
        <v>0</v>
      </c>
      <c r="I85" s="6">
        <v>0</v>
      </c>
      <c r="J85" s="6">
        <v>0</v>
      </c>
      <c r="K85" s="6">
        <v>1041.32</v>
      </c>
      <c r="L85" s="6">
        <v>0</v>
      </c>
      <c r="M85" s="18">
        <v>0</v>
      </c>
      <c r="N85" s="22">
        <v>6000</v>
      </c>
    </row>
    <row r="86" spans="1:14" hidden="1">
      <c r="A86" s="58" t="s">
        <v>797</v>
      </c>
      <c r="B86" s="55" t="s">
        <v>880</v>
      </c>
      <c r="C86" s="56" t="s">
        <v>134</v>
      </c>
      <c r="D86" s="56" t="s">
        <v>135</v>
      </c>
      <c r="E86" s="56" t="s">
        <v>136</v>
      </c>
      <c r="F86" s="57">
        <v>21487.599999999999</v>
      </c>
      <c r="G86" s="57">
        <v>0</v>
      </c>
      <c r="H86" s="56">
        <v>0</v>
      </c>
      <c r="I86" s="56">
        <v>0</v>
      </c>
      <c r="J86" s="56">
        <v>0</v>
      </c>
      <c r="K86" s="56">
        <v>4512.4000000000005</v>
      </c>
      <c r="L86" s="56">
        <v>0</v>
      </c>
      <c r="M86" s="57">
        <v>0</v>
      </c>
      <c r="N86" s="59">
        <v>26000</v>
      </c>
    </row>
    <row r="87" spans="1:14" hidden="1">
      <c r="A87" s="21" t="s">
        <v>797</v>
      </c>
      <c r="B87" s="5" t="s">
        <v>881</v>
      </c>
      <c r="C87" s="6" t="s">
        <v>134</v>
      </c>
      <c r="D87" s="6" t="s">
        <v>135</v>
      </c>
      <c r="E87" s="6" t="s">
        <v>136</v>
      </c>
      <c r="F87" s="18">
        <v>8471.07</v>
      </c>
      <c r="G87" s="18">
        <v>0</v>
      </c>
      <c r="H87" s="6">
        <v>0</v>
      </c>
      <c r="I87" s="6">
        <v>0</v>
      </c>
      <c r="J87" s="6">
        <v>0</v>
      </c>
      <c r="K87" s="6">
        <v>1778.93</v>
      </c>
      <c r="L87" s="6">
        <v>0</v>
      </c>
      <c r="M87" s="18">
        <v>0</v>
      </c>
      <c r="N87" s="22">
        <v>10250</v>
      </c>
    </row>
    <row r="88" spans="1:14" hidden="1">
      <c r="A88" s="58" t="s">
        <v>797</v>
      </c>
      <c r="B88" s="55" t="s">
        <v>882</v>
      </c>
      <c r="C88" s="56" t="s">
        <v>134</v>
      </c>
      <c r="D88" s="56" t="s">
        <v>135</v>
      </c>
      <c r="E88" s="56" t="s">
        <v>136</v>
      </c>
      <c r="F88" s="57">
        <v>16694.21</v>
      </c>
      <c r="G88" s="57">
        <v>0</v>
      </c>
      <c r="H88" s="56">
        <v>0</v>
      </c>
      <c r="I88" s="56">
        <v>0</v>
      </c>
      <c r="J88" s="56">
        <v>0</v>
      </c>
      <c r="K88" s="56">
        <v>3505.79</v>
      </c>
      <c r="L88" s="56">
        <v>0</v>
      </c>
      <c r="M88" s="57">
        <v>0</v>
      </c>
      <c r="N88" s="59">
        <v>20200</v>
      </c>
    </row>
    <row r="89" spans="1:14" hidden="1">
      <c r="A89" s="21" t="s">
        <v>802</v>
      </c>
      <c r="B89" s="5" t="s">
        <v>883</v>
      </c>
      <c r="C89" s="6" t="s">
        <v>134</v>
      </c>
      <c r="D89" s="6" t="s">
        <v>135</v>
      </c>
      <c r="E89" s="6" t="s">
        <v>136</v>
      </c>
      <c r="F89" s="18">
        <v>18347.11</v>
      </c>
      <c r="G89" s="18">
        <v>0</v>
      </c>
      <c r="H89" s="6">
        <v>0</v>
      </c>
      <c r="I89" s="6">
        <v>0</v>
      </c>
      <c r="J89" s="6">
        <v>0</v>
      </c>
      <c r="K89" s="6">
        <v>3852.89</v>
      </c>
      <c r="L89" s="6">
        <v>0</v>
      </c>
      <c r="M89" s="18">
        <v>0</v>
      </c>
      <c r="N89" s="22">
        <v>22200</v>
      </c>
    </row>
    <row r="90" spans="1:14" hidden="1">
      <c r="A90" s="58" t="s">
        <v>802</v>
      </c>
      <c r="B90" s="55" t="s">
        <v>884</v>
      </c>
      <c r="C90" s="56" t="s">
        <v>134</v>
      </c>
      <c r="D90" s="56" t="s">
        <v>135</v>
      </c>
      <c r="E90" s="56" t="s">
        <v>136</v>
      </c>
      <c r="F90" s="57">
        <v>21487.599999999999</v>
      </c>
      <c r="G90" s="57">
        <v>0</v>
      </c>
      <c r="H90" s="56">
        <v>0</v>
      </c>
      <c r="I90" s="56">
        <v>0</v>
      </c>
      <c r="J90" s="56">
        <v>0</v>
      </c>
      <c r="K90" s="56">
        <v>4512.4000000000005</v>
      </c>
      <c r="L90" s="56">
        <v>0</v>
      </c>
      <c r="M90" s="57">
        <v>0</v>
      </c>
      <c r="N90" s="59">
        <v>26000</v>
      </c>
    </row>
    <row r="91" spans="1:14">
      <c r="A91" s="21" t="s">
        <v>802</v>
      </c>
      <c r="B91" s="5" t="s">
        <v>885</v>
      </c>
      <c r="C91" s="6" t="s">
        <v>886</v>
      </c>
      <c r="D91" s="6" t="s">
        <v>135</v>
      </c>
      <c r="E91" s="6">
        <v>16377339</v>
      </c>
      <c r="F91" s="18">
        <v>17355.37</v>
      </c>
      <c r="G91" s="18">
        <v>0</v>
      </c>
      <c r="H91" s="6">
        <v>0</v>
      </c>
      <c r="I91" s="6">
        <v>0</v>
      </c>
      <c r="J91" s="6">
        <v>0</v>
      </c>
      <c r="K91" s="6">
        <v>3644.63</v>
      </c>
      <c r="L91" s="6">
        <v>0</v>
      </c>
      <c r="M91" s="18">
        <v>0</v>
      </c>
      <c r="N91" s="22">
        <v>21000</v>
      </c>
    </row>
    <row r="92" spans="1:14" hidden="1">
      <c r="A92" s="58" t="s">
        <v>802</v>
      </c>
      <c r="B92" s="55" t="s">
        <v>887</v>
      </c>
      <c r="C92" s="56" t="s">
        <v>134</v>
      </c>
      <c r="D92" s="56" t="s">
        <v>135</v>
      </c>
      <c r="E92" s="56" t="s">
        <v>136</v>
      </c>
      <c r="F92" s="57">
        <v>21487.599999999999</v>
      </c>
      <c r="G92" s="57">
        <v>0</v>
      </c>
      <c r="H92" s="56">
        <v>0</v>
      </c>
      <c r="I92" s="56">
        <v>0</v>
      </c>
      <c r="J92" s="56">
        <v>0</v>
      </c>
      <c r="K92" s="56">
        <v>4512.4000000000005</v>
      </c>
      <c r="L92" s="56">
        <v>0</v>
      </c>
      <c r="M92" s="57">
        <v>0</v>
      </c>
      <c r="N92" s="59">
        <v>26000</v>
      </c>
    </row>
    <row r="93" spans="1:14" hidden="1">
      <c r="A93" s="21" t="s">
        <v>802</v>
      </c>
      <c r="B93" s="5" t="s">
        <v>888</v>
      </c>
      <c r="C93" s="6" t="s">
        <v>134</v>
      </c>
      <c r="D93" s="6" t="s">
        <v>135</v>
      </c>
      <c r="E93" s="6" t="s">
        <v>136</v>
      </c>
      <c r="F93" s="18">
        <v>10330.58</v>
      </c>
      <c r="G93" s="18">
        <v>0</v>
      </c>
      <c r="H93" s="6">
        <v>0</v>
      </c>
      <c r="I93" s="6">
        <v>0</v>
      </c>
      <c r="J93" s="6">
        <v>0</v>
      </c>
      <c r="K93" s="6">
        <v>2169.42</v>
      </c>
      <c r="L93" s="6">
        <v>0</v>
      </c>
      <c r="M93" s="18">
        <v>0</v>
      </c>
      <c r="N93" s="22">
        <v>12500</v>
      </c>
    </row>
    <row r="94" spans="1:14" hidden="1">
      <c r="A94" s="58" t="s">
        <v>802</v>
      </c>
      <c r="B94" s="55" t="s">
        <v>889</v>
      </c>
      <c r="C94" s="56" t="s">
        <v>134</v>
      </c>
      <c r="D94" s="56" t="s">
        <v>135</v>
      </c>
      <c r="E94" s="56" t="s">
        <v>136</v>
      </c>
      <c r="F94" s="57">
        <v>20661.16</v>
      </c>
      <c r="G94" s="57">
        <v>0</v>
      </c>
      <c r="H94" s="56">
        <v>0</v>
      </c>
      <c r="I94" s="56">
        <v>0</v>
      </c>
      <c r="J94" s="56">
        <v>0</v>
      </c>
      <c r="K94" s="56">
        <v>4338.84</v>
      </c>
      <c r="L94" s="56">
        <v>0</v>
      </c>
      <c r="M94" s="57">
        <v>0</v>
      </c>
      <c r="N94" s="59">
        <v>25000</v>
      </c>
    </row>
    <row r="95" spans="1:14">
      <c r="A95" s="21" t="s">
        <v>802</v>
      </c>
      <c r="B95" s="5" t="s">
        <v>890</v>
      </c>
      <c r="C95" s="6" t="s">
        <v>891</v>
      </c>
      <c r="D95" s="6" t="s">
        <v>135</v>
      </c>
      <c r="E95" s="6">
        <v>95966720</v>
      </c>
      <c r="F95" s="18">
        <v>20661.16</v>
      </c>
      <c r="G95" s="18">
        <v>0</v>
      </c>
      <c r="H95" s="6">
        <v>0</v>
      </c>
      <c r="I95" s="6">
        <v>0</v>
      </c>
      <c r="J95" s="6">
        <v>0</v>
      </c>
      <c r="K95" s="6">
        <v>4338.84</v>
      </c>
      <c r="L95" s="6">
        <v>0</v>
      </c>
      <c r="M95" s="18">
        <v>0</v>
      </c>
      <c r="N95" s="22">
        <v>25000</v>
      </c>
    </row>
    <row r="96" spans="1:14" hidden="1">
      <c r="A96" s="58" t="s">
        <v>802</v>
      </c>
      <c r="B96" s="55" t="s">
        <v>892</v>
      </c>
      <c r="C96" s="56" t="s">
        <v>134</v>
      </c>
      <c r="D96" s="56" t="s">
        <v>135</v>
      </c>
      <c r="E96" s="56" t="s">
        <v>136</v>
      </c>
      <c r="F96" s="57">
        <v>3057.85</v>
      </c>
      <c r="G96" s="57">
        <v>0</v>
      </c>
      <c r="H96" s="56">
        <v>0</v>
      </c>
      <c r="I96" s="56">
        <v>0</v>
      </c>
      <c r="J96" s="56">
        <v>0</v>
      </c>
      <c r="K96" s="56">
        <v>642.15</v>
      </c>
      <c r="L96" s="56">
        <v>0</v>
      </c>
      <c r="M96" s="57">
        <v>0</v>
      </c>
      <c r="N96" s="59">
        <v>3700</v>
      </c>
    </row>
    <row r="97" spans="1:14" hidden="1">
      <c r="A97" s="21" t="s">
        <v>802</v>
      </c>
      <c r="B97" s="5" t="s">
        <v>893</v>
      </c>
      <c r="C97" s="6" t="s">
        <v>134</v>
      </c>
      <c r="D97" s="6" t="s">
        <v>135</v>
      </c>
      <c r="E97" s="6" t="s">
        <v>136</v>
      </c>
      <c r="F97" s="18">
        <v>8264.4600000000009</v>
      </c>
      <c r="G97" s="18">
        <v>0</v>
      </c>
      <c r="H97" s="6">
        <v>0</v>
      </c>
      <c r="I97" s="6">
        <v>0</v>
      </c>
      <c r="J97" s="6">
        <v>0</v>
      </c>
      <c r="K97" s="6">
        <v>1735.54</v>
      </c>
      <c r="L97" s="6">
        <v>0</v>
      </c>
      <c r="M97" s="18">
        <v>0</v>
      </c>
      <c r="N97" s="22">
        <v>10000</v>
      </c>
    </row>
    <row r="98" spans="1:14" hidden="1">
      <c r="A98" s="58" t="s">
        <v>802</v>
      </c>
      <c r="B98" s="55" t="s">
        <v>894</v>
      </c>
      <c r="C98" s="56" t="s">
        <v>134</v>
      </c>
      <c r="D98" s="56" t="s">
        <v>135</v>
      </c>
      <c r="E98" s="56" t="s">
        <v>136</v>
      </c>
      <c r="F98" s="57">
        <v>11404.96</v>
      </c>
      <c r="G98" s="57">
        <v>0</v>
      </c>
      <c r="H98" s="56">
        <v>0</v>
      </c>
      <c r="I98" s="56">
        <v>0</v>
      </c>
      <c r="J98" s="56">
        <v>0</v>
      </c>
      <c r="K98" s="56">
        <v>2395.04</v>
      </c>
      <c r="L98" s="56">
        <v>0</v>
      </c>
      <c r="M98" s="57">
        <v>0</v>
      </c>
      <c r="N98" s="59">
        <v>13800</v>
      </c>
    </row>
    <row r="99" spans="1:14" hidden="1">
      <c r="A99" s="21" t="s">
        <v>802</v>
      </c>
      <c r="B99" s="5" t="s">
        <v>895</v>
      </c>
      <c r="C99" s="6" t="s">
        <v>134</v>
      </c>
      <c r="D99" s="6" t="s">
        <v>135</v>
      </c>
      <c r="E99" s="6" t="s">
        <v>136</v>
      </c>
      <c r="F99" s="18">
        <v>11404.96</v>
      </c>
      <c r="G99" s="18">
        <v>0</v>
      </c>
      <c r="H99" s="6">
        <v>0</v>
      </c>
      <c r="I99" s="6">
        <v>0</v>
      </c>
      <c r="J99" s="6">
        <v>0</v>
      </c>
      <c r="K99" s="6">
        <v>2395.04</v>
      </c>
      <c r="L99" s="6">
        <v>0</v>
      </c>
      <c r="M99" s="18">
        <v>0</v>
      </c>
      <c r="N99" s="22">
        <v>13800</v>
      </c>
    </row>
    <row r="100" spans="1:14" hidden="1">
      <c r="A100" s="58" t="s">
        <v>804</v>
      </c>
      <c r="B100" s="55" t="s">
        <v>896</v>
      </c>
      <c r="C100" s="56" t="s">
        <v>134</v>
      </c>
      <c r="D100" s="56" t="s">
        <v>135</v>
      </c>
      <c r="E100" s="56" t="s">
        <v>136</v>
      </c>
      <c r="F100" s="57">
        <v>10743.8</v>
      </c>
      <c r="G100" s="57">
        <v>0</v>
      </c>
      <c r="H100" s="56">
        <v>0</v>
      </c>
      <c r="I100" s="56">
        <v>0</v>
      </c>
      <c r="J100" s="56">
        <v>0</v>
      </c>
      <c r="K100" s="56">
        <v>2256.2000000000003</v>
      </c>
      <c r="L100" s="56">
        <v>0</v>
      </c>
      <c r="M100" s="57">
        <v>0</v>
      </c>
      <c r="N100" s="59">
        <v>13000</v>
      </c>
    </row>
    <row r="101" spans="1:14">
      <c r="A101" s="21" t="s">
        <v>804</v>
      </c>
      <c r="B101" s="5" t="s">
        <v>897</v>
      </c>
      <c r="C101" s="6" t="s">
        <v>898</v>
      </c>
      <c r="D101" s="6" t="s">
        <v>135</v>
      </c>
      <c r="E101" s="6">
        <v>4225510</v>
      </c>
      <c r="F101" s="18">
        <v>32644.63</v>
      </c>
      <c r="G101" s="18">
        <v>0</v>
      </c>
      <c r="H101" s="6">
        <v>0</v>
      </c>
      <c r="I101" s="6">
        <v>0</v>
      </c>
      <c r="J101" s="6">
        <v>0</v>
      </c>
      <c r="K101" s="6">
        <v>6855.37</v>
      </c>
      <c r="L101" s="6">
        <v>0</v>
      </c>
      <c r="M101" s="18">
        <v>0</v>
      </c>
      <c r="N101" s="22">
        <v>39500</v>
      </c>
    </row>
    <row r="102" spans="1:14" hidden="1">
      <c r="A102" s="58" t="s">
        <v>804</v>
      </c>
      <c r="B102" s="55" t="s">
        <v>899</v>
      </c>
      <c r="C102" s="56" t="s">
        <v>134</v>
      </c>
      <c r="D102" s="56" t="s">
        <v>135</v>
      </c>
      <c r="E102" s="56" t="s">
        <v>136</v>
      </c>
      <c r="F102" s="57">
        <v>41322.31</v>
      </c>
      <c r="G102" s="57">
        <v>0</v>
      </c>
      <c r="H102" s="56">
        <v>0</v>
      </c>
      <c r="I102" s="56">
        <v>0</v>
      </c>
      <c r="J102" s="56">
        <v>0</v>
      </c>
      <c r="K102" s="56">
        <v>8677.69</v>
      </c>
      <c r="L102" s="56">
        <v>0</v>
      </c>
      <c r="M102" s="57">
        <v>0</v>
      </c>
      <c r="N102" s="59">
        <v>50000</v>
      </c>
    </row>
    <row r="103" spans="1:14" hidden="1">
      <c r="A103" s="21" t="s">
        <v>804</v>
      </c>
      <c r="B103" s="5" t="s">
        <v>900</v>
      </c>
      <c r="C103" s="6" t="s">
        <v>134</v>
      </c>
      <c r="D103" s="6" t="s">
        <v>135</v>
      </c>
      <c r="E103" s="6" t="s">
        <v>136</v>
      </c>
      <c r="F103" s="18">
        <v>21487.599999999999</v>
      </c>
      <c r="G103" s="18">
        <v>0</v>
      </c>
      <c r="H103" s="6">
        <v>0</v>
      </c>
      <c r="I103" s="6">
        <v>0</v>
      </c>
      <c r="J103" s="6">
        <v>0</v>
      </c>
      <c r="K103" s="6">
        <v>4512.4000000000005</v>
      </c>
      <c r="L103" s="6">
        <v>0</v>
      </c>
      <c r="M103" s="18">
        <v>0</v>
      </c>
      <c r="N103" s="22">
        <v>26000</v>
      </c>
    </row>
    <row r="104" spans="1:14" hidden="1">
      <c r="A104" s="58" t="s">
        <v>804</v>
      </c>
      <c r="B104" s="55" t="s">
        <v>901</v>
      </c>
      <c r="C104" s="56" t="s">
        <v>134</v>
      </c>
      <c r="D104" s="56" t="s">
        <v>135</v>
      </c>
      <c r="E104" s="56" t="s">
        <v>136</v>
      </c>
      <c r="F104" s="57">
        <v>8471.07</v>
      </c>
      <c r="G104" s="57">
        <v>0</v>
      </c>
      <c r="H104" s="56">
        <v>0</v>
      </c>
      <c r="I104" s="56">
        <v>0</v>
      </c>
      <c r="J104" s="56">
        <v>0</v>
      </c>
      <c r="K104" s="56">
        <v>1778.93</v>
      </c>
      <c r="L104" s="56">
        <v>0</v>
      </c>
      <c r="M104" s="57">
        <v>0</v>
      </c>
      <c r="N104" s="59">
        <v>10250</v>
      </c>
    </row>
    <row r="105" spans="1:14" hidden="1">
      <c r="A105" s="21" t="s">
        <v>804</v>
      </c>
      <c r="B105" s="5" t="s">
        <v>902</v>
      </c>
      <c r="C105" s="6" t="s">
        <v>134</v>
      </c>
      <c r="D105" s="6" t="s">
        <v>135</v>
      </c>
      <c r="E105" s="6" t="s">
        <v>136</v>
      </c>
      <c r="F105" s="18">
        <v>10743.8</v>
      </c>
      <c r="G105" s="18">
        <v>0</v>
      </c>
      <c r="H105" s="6">
        <v>0</v>
      </c>
      <c r="I105" s="6">
        <v>0</v>
      </c>
      <c r="J105" s="6">
        <v>0</v>
      </c>
      <c r="K105" s="6">
        <v>2256.2000000000003</v>
      </c>
      <c r="L105" s="6">
        <v>0</v>
      </c>
      <c r="M105" s="18">
        <v>0</v>
      </c>
      <c r="N105" s="22">
        <v>13000</v>
      </c>
    </row>
    <row r="106" spans="1:14" hidden="1">
      <c r="A106" s="58" t="s">
        <v>804</v>
      </c>
      <c r="B106" s="55" t="s">
        <v>903</v>
      </c>
      <c r="C106" s="56" t="s">
        <v>134</v>
      </c>
      <c r="D106" s="56" t="s">
        <v>135</v>
      </c>
      <c r="E106" s="56" t="s">
        <v>136</v>
      </c>
      <c r="F106" s="57">
        <v>23553.72</v>
      </c>
      <c r="G106" s="57">
        <v>0</v>
      </c>
      <c r="H106" s="56">
        <v>0</v>
      </c>
      <c r="I106" s="56">
        <v>0</v>
      </c>
      <c r="J106" s="56">
        <v>0</v>
      </c>
      <c r="K106" s="56">
        <v>4946.28</v>
      </c>
      <c r="L106" s="56">
        <v>0</v>
      </c>
      <c r="M106" s="57">
        <v>0</v>
      </c>
      <c r="N106" s="59">
        <v>28500</v>
      </c>
    </row>
    <row r="107" spans="1:14" hidden="1">
      <c r="A107" s="21" t="s">
        <v>804</v>
      </c>
      <c r="B107" s="5" t="s">
        <v>904</v>
      </c>
      <c r="C107" s="6" t="s">
        <v>134</v>
      </c>
      <c r="D107" s="6" t="s">
        <v>135</v>
      </c>
      <c r="E107" s="6" t="s">
        <v>136</v>
      </c>
      <c r="F107" s="18">
        <v>8471.07</v>
      </c>
      <c r="G107" s="18">
        <v>0</v>
      </c>
      <c r="H107" s="6">
        <v>0</v>
      </c>
      <c r="I107" s="6">
        <v>0</v>
      </c>
      <c r="J107" s="6">
        <v>0</v>
      </c>
      <c r="K107" s="6">
        <v>1778.93</v>
      </c>
      <c r="L107" s="6">
        <v>0</v>
      </c>
      <c r="M107" s="18">
        <v>0</v>
      </c>
      <c r="N107" s="22">
        <v>10250</v>
      </c>
    </row>
    <row r="108" spans="1:14" hidden="1">
      <c r="A108" s="58" t="s">
        <v>905</v>
      </c>
      <c r="B108" s="55" t="s">
        <v>906</v>
      </c>
      <c r="C108" s="56" t="s">
        <v>134</v>
      </c>
      <c r="D108" s="56" t="s">
        <v>135</v>
      </c>
      <c r="E108" s="56" t="s">
        <v>136</v>
      </c>
      <c r="F108" s="57">
        <v>8264.4600000000009</v>
      </c>
      <c r="G108" s="57">
        <v>0</v>
      </c>
      <c r="H108" s="56">
        <v>0</v>
      </c>
      <c r="I108" s="56">
        <v>0</v>
      </c>
      <c r="J108" s="56">
        <v>0</v>
      </c>
      <c r="K108" s="56">
        <v>1735.54</v>
      </c>
      <c r="L108" s="56">
        <v>0</v>
      </c>
      <c r="M108" s="57">
        <v>0</v>
      </c>
      <c r="N108" s="59">
        <v>10000</v>
      </c>
    </row>
    <row r="109" spans="1:14" hidden="1">
      <c r="A109" s="21" t="s">
        <v>905</v>
      </c>
      <c r="B109" s="5" t="s">
        <v>907</v>
      </c>
      <c r="C109" s="6" t="s">
        <v>134</v>
      </c>
      <c r="D109" s="6" t="s">
        <v>135</v>
      </c>
      <c r="E109" s="6" t="s">
        <v>136</v>
      </c>
      <c r="F109" s="18">
        <v>4132.2300000000005</v>
      </c>
      <c r="G109" s="18">
        <v>0</v>
      </c>
      <c r="H109" s="6">
        <v>0</v>
      </c>
      <c r="I109" s="6">
        <v>0</v>
      </c>
      <c r="J109" s="6">
        <v>0</v>
      </c>
      <c r="K109" s="6">
        <v>867.77</v>
      </c>
      <c r="L109" s="6">
        <v>0</v>
      </c>
      <c r="M109" s="18">
        <v>0</v>
      </c>
      <c r="N109" s="22">
        <v>5000</v>
      </c>
    </row>
    <row r="110" spans="1:14" hidden="1">
      <c r="A110" s="58" t="s">
        <v>905</v>
      </c>
      <c r="B110" s="55" t="s">
        <v>908</v>
      </c>
      <c r="C110" s="56" t="s">
        <v>134</v>
      </c>
      <c r="D110" s="56" t="s">
        <v>135</v>
      </c>
      <c r="E110" s="56" t="s">
        <v>136</v>
      </c>
      <c r="F110" s="57">
        <v>10743.8</v>
      </c>
      <c r="G110" s="57">
        <v>0</v>
      </c>
      <c r="H110" s="56">
        <v>0</v>
      </c>
      <c r="I110" s="56">
        <v>0</v>
      </c>
      <c r="J110" s="56">
        <v>0</v>
      </c>
      <c r="K110" s="56">
        <v>2256.2000000000003</v>
      </c>
      <c r="L110" s="56">
        <v>0</v>
      </c>
      <c r="M110" s="57">
        <v>0</v>
      </c>
      <c r="N110" s="59">
        <v>13000</v>
      </c>
    </row>
    <row r="111" spans="1:14" hidden="1">
      <c r="A111" s="21" t="s">
        <v>905</v>
      </c>
      <c r="B111" s="5" t="s">
        <v>909</v>
      </c>
      <c r="C111" s="6" t="s">
        <v>134</v>
      </c>
      <c r="D111" s="6" t="s">
        <v>135</v>
      </c>
      <c r="E111" s="6" t="s">
        <v>136</v>
      </c>
      <c r="F111" s="18">
        <v>25413.22</v>
      </c>
      <c r="G111" s="18">
        <v>0</v>
      </c>
      <c r="H111" s="6">
        <v>0</v>
      </c>
      <c r="I111" s="6">
        <v>0</v>
      </c>
      <c r="J111" s="6">
        <v>0</v>
      </c>
      <c r="K111" s="6">
        <v>5336.78</v>
      </c>
      <c r="L111" s="6">
        <v>0</v>
      </c>
      <c r="M111" s="18">
        <v>0</v>
      </c>
      <c r="N111" s="22">
        <v>30750</v>
      </c>
    </row>
    <row r="112" spans="1:14" hidden="1">
      <c r="A112" s="58" t="s">
        <v>905</v>
      </c>
      <c r="B112" s="55" t="s">
        <v>910</v>
      </c>
      <c r="C112" s="56" t="s">
        <v>134</v>
      </c>
      <c r="D112" s="56" t="s">
        <v>135</v>
      </c>
      <c r="E112" s="56" t="s">
        <v>136</v>
      </c>
      <c r="F112" s="57">
        <v>10330.58</v>
      </c>
      <c r="G112" s="57">
        <v>0</v>
      </c>
      <c r="H112" s="56">
        <v>0</v>
      </c>
      <c r="I112" s="56">
        <v>0</v>
      </c>
      <c r="J112" s="56">
        <v>0</v>
      </c>
      <c r="K112" s="56">
        <v>2169.42</v>
      </c>
      <c r="L112" s="56">
        <v>0</v>
      </c>
      <c r="M112" s="57">
        <v>0</v>
      </c>
      <c r="N112" s="59">
        <v>12500</v>
      </c>
    </row>
    <row r="113" spans="1:14" hidden="1">
      <c r="A113" s="21" t="s">
        <v>905</v>
      </c>
      <c r="B113" s="5" t="s">
        <v>911</v>
      </c>
      <c r="C113" s="6" t="s">
        <v>134</v>
      </c>
      <c r="D113" s="6" t="s">
        <v>135</v>
      </c>
      <c r="E113" s="6" t="s">
        <v>136</v>
      </c>
      <c r="F113" s="18">
        <v>20661.16</v>
      </c>
      <c r="G113" s="18">
        <v>0</v>
      </c>
      <c r="H113" s="6">
        <v>0</v>
      </c>
      <c r="I113" s="6">
        <v>0</v>
      </c>
      <c r="J113" s="6">
        <v>0</v>
      </c>
      <c r="K113" s="6">
        <v>4338.84</v>
      </c>
      <c r="L113" s="6">
        <v>0</v>
      </c>
      <c r="M113" s="18">
        <v>0</v>
      </c>
      <c r="N113" s="22">
        <v>25000</v>
      </c>
    </row>
    <row r="114" spans="1:14">
      <c r="A114" s="58" t="s">
        <v>905</v>
      </c>
      <c r="B114" s="55" t="s">
        <v>912</v>
      </c>
      <c r="C114" s="56" t="s">
        <v>913</v>
      </c>
      <c r="D114" s="56" t="s">
        <v>343</v>
      </c>
      <c r="E114" s="56">
        <v>30545959948</v>
      </c>
      <c r="F114" s="57">
        <v>5785.12</v>
      </c>
      <c r="G114" s="57">
        <v>0</v>
      </c>
      <c r="H114" s="56">
        <v>0</v>
      </c>
      <c r="I114" s="56">
        <v>0</v>
      </c>
      <c r="J114" s="56">
        <v>0</v>
      </c>
      <c r="K114" s="56">
        <v>1214.8800000000001</v>
      </c>
      <c r="L114" s="56">
        <v>0</v>
      </c>
      <c r="M114" s="57">
        <v>0</v>
      </c>
      <c r="N114" s="59">
        <v>7000</v>
      </c>
    </row>
    <row r="115" spans="1:14" hidden="1">
      <c r="A115" s="21" t="s">
        <v>905</v>
      </c>
      <c r="B115" s="5" t="s">
        <v>914</v>
      </c>
      <c r="C115" s="6" t="s">
        <v>134</v>
      </c>
      <c r="D115" s="6" t="s">
        <v>135</v>
      </c>
      <c r="E115" s="6" t="s">
        <v>136</v>
      </c>
      <c r="F115" s="18">
        <v>8677.69</v>
      </c>
      <c r="G115" s="18">
        <v>0</v>
      </c>
      <c r="H115" s="6">
        <v>0</v>
      </c>
      <c r="I115" s="6">
        <v>0</v>
      </c>
      <c r="J115" s="6">
        <v>0</v>
      </c>
      <c r="K115" s="6">
        <v>1822.31</v>
      </c>
      <c r="L115" s="6">
        <v>0</v>
      </c>
      <c r="M115" s="18">
        <v>0</v>
      </c>
      <c r="N115" s="22">
        <v>10500</v>
      </c>
    </row>
    <row r="116" spans="1:14" hidden="1">
      <c r="A116" s="58" t="s">
        <v>905</v>
      </c>
      <c r="B116" s="55" t="s">
        <v>915</v>
      </c>
      <c r="C116" s="56" t="s">
        <v>134</v>
      </c>
      <c r="D116" s="56" t="s">
        <v>135</v>
      </c>
      <c r="E116" s="56" t="s">
        <v>136</v>
      </c>
      <c r="F116" s="57">
        <v>63636.36</v>
      </c>
      <c r="G116" s="57">
        <v>0</v>
      </c>
      <c r="H116" s="56">
        <v>0</v>
      </c>
      <c r="I116" s="56">
        <v>0</v>
      </c>
      <c r="J116" s="56">
        <v>0</v>
      </c>
      <c r="K116" s="56">
        <v>13363.64</v>
      </c>
      <c r="L116" s="56">
        <v>0</v>
      </c>
      <c r="M116" s="57">
        <v>0</v>
      </c>
      <c r="N116" s="59">
        <v>77000</v>
      </c>
    </row>
    <row r="117" spans="1:14" hidden="1">
      <c r="A117" s="21" t="s">
        <v>809</v>
      </c>
      <c r="B117" s="5" t="s">
        <v>916</v>
      </c>
      <c r="C117" s="6" t="s">
        <v>134</v>
      </c>
      <c r="D117" s="6" t="s">
        <v>135</v>
      </c>
      <c r="E117" s="6" t="s">
        <v>136</v>
      </c>
      <c r="F117" s="18">
        <v>5537.19</v>
      </c>
      <c r="G117" s="18">
        <v>0</v>
      </c>
      <c r="H117" s="6">
        <v>0</v>
      </c>
      <c r="I117" s="6">
        <v>0</v>
      </c>
      <c r="J117" s="6">
        <v>0</v>
      </c>
      <c r="K117" s="6">
        <v>1162.81</v>
      </c>
      <c r="L117" s="6">
        <v>0</v>
      </c>
      <c r="M117" s="18">
        <v>0</v>
      </c>
      <c r="N117" s="22">
        <v>6700</v>
      </c>
    </row>
    <row r="118" spans="1:14" hidden="1">
      <c r="A118" s="58" t="s">
        <v>809</v>
      </c>
      <c r="B118" s="55" t="s">
        <v>917</v>
      </c>
      <c r="C118" s="56" t="s">
        <v>134</v>
      </c>
      <c r="D118" s="56" t="s">
        <v>135</v>
      </c>
      <c r="E118" s="56" t="s">
        <v>136</v>
      </c>
      <c r="F118" s="57">
        <v>21074.38</v>
      </c>
      <c r="G118" s="57">
        <v>0</v>
      </c>
      <c r="H118" s="56">
        <v>0</v>
      </c>
      <c r="I118" s="56">
        <v>0</v>
      </c>
      <c r="J118" s="56">
        <v>0</v>
      </c>
      <c r="K118" s="56">
        <v>4425.62</v>
      </c>
      <c r="L118" s="56">
        <v>0</v>
      </c>
      <c r="M118" s="57">
        <v>0</v>
      </c>
      <c r="N118" s="59">
        <v>25500</v>
      </c>
    </row>
    <row r="119" spans="1:14" hidden="1">
      <c r="A119" s="21" t="s">
        <v>809</v>
      </c>
      <c r="B119" s="5" t="s">
        <v>918</v>
      </c>
      <c r="C119" s="6" t="s">
        <v>134</v>
      </c>
      <c r="D119" s="6" t="s">
        <v>135</v>
      </c>
      <c r="E119" s="6" t="s">
        <v>136</v>
      </c>
      <c r="F119" s="18">
        <v>10743.8</v>
      </c>
      <c r="G119" s="18">
        <v>0</v>
      </c>
      <c r="H119" s="6">
        <v>0</v>
      </c>
      <c r="I119" s="6">
        <v>0</v>
      </c>
      <c r="J119" s="6">
        <v>0</v>
      </c>
      <c r="K119" s="6">
        <v>2256.2000000000003</v>
      </c>
      <c r="L119" s="6">
        <v>0</v>
      </c>
      <c r="M119" s="18">
        <v>0</v>
      </c>
      <c r="N119" s="22">
        <v>13000</v>
      </c>
    </row>
    <row r="120" spans="1:14" hidden="1">
      <c r="A120" s="58" t="s">
        <v>809</v>
      </c>
      <c r="B120" s="55" t="s">
        <v>919</v>
      </c>
      <c r="C120" s="56" t="s">
        <v>134</v>
      </c>
      <c r="D120" s="56" t="s">
        <v>135</v>
      </c>
      <c r="E120" s="56" t="s">
        <v>136</v>
      </c>
      <c r="F120" s="57">
        <v>8677.69</v>
      </c>
      <c r="G120" s="57">
        <v>0</v>
      </c>
      <c r="H120" s="56">
        <v>0</v>
      </c>
      <c r="I120" s="56">
        <v>0</v>
      </c>
      <c r="J120" s="56">
        <v>0</v>
      </c>
      <c r="K120" s="56">
        <v>1822.31</v>
      </c>
      <c r="L120" s="56">
        <v>0</v>
      </c>
      <c r="M120" s="57">
        <v>0</v>
      </c>
      <c r="N120" s="59">
        <v>10500</v>
      </c>
    </row>
    <row r="121" spans="1:14" hidden="1">
      <c r="A121" s="21" t="s">
        <v>809</v>
      </c>
      <c r="B121" s="5" t="s">
        <v>920</v>
      </c>
      <c r="C121" s="6" t="s">
        <v>134</v>
      </c>
      <c r="D121" s="6" t="s">
        <v>135</v>
      </c>
      <c r="E121" s="6" t="s">
        <v>136</v>
      </c>
      <c r="F121" s="18">
        <v>10743.8</v>
      </c>
      <c r="G121" s="18">
        <v>0</v>
      </c>
      <c r="H121" s="6">
        <v>0</v>
      </c>
      <c r="I121" s="6">
        <v>0</v>
      </c>
      <c r="J121" s="6">
        <v>0</v>
      </c>
      <c r="K121" s="6">
        <v>2256.2000000000003</v>
      </c>
      <c r="L121" s="6">
        <v>0</v>
      </c>
      <c r="M121" s="18">
        <v>0</v>
      </c>
      <c r="N121" s="22">
        <v>13000</v>
      </c>
    </row>
    <row r="122" spans="1:14" hidden="1">
      <c r="A122" s="58" t="s">
        <v>809</v>
      </c>
      <c r="B122" s="55" t="s">
        <v>921</v>
      </c>
      <c r="C122" s="56" t="s">
        <v>134</v>
      </c>
      <c r="D122" s="56" t="s">
        <v>135</v>
      </c>
      <c r="E122" s="56" t="s">
        <v>136</v>
      </c>
      <c r="F122" s="57">
        <v>25619.83</v>
      </c>
      <c r="G122" s="57">
        <v>0</v>
      </c>
      <c r="H122" s="56">
        <v>0</v>
      </c>
      <c r="I122" s="56">
        <v>0</v>
      </c>
      <c r="J122" s="56">
        <v>0</v>
      </c>
      <c r="K122" s="56">
        <v>5380.17</v>
      </c>
      <c r="L122" s="56">
        <v>0</v>
      </c>
      <c r="M122" s="57">
        <v>0</v>
      </c>
      <c r="N122" s="59">
        <v>31000</v>
      </c>
    </row>
    <row r="123" spans="1:14" hidden="1">
      <c r="A123" s="21" t="s">
        <v>809</v>
      </c>
      <c r="B123" s="5" t="s">
        <v>922</v>
      </c>
      <c r="C123" s="6" t="s">
        <v>134</v>
      </c>
      <c r="D123" s="6" t="s">
        <v>135</v>
      </c>
      <c r="E123" s="6" t="s">
        <v>136</v>
      </c>
      <c r="F123" s="18">
        <v>10330.58</v>
      </c>
      <c r="G123" s="18">
        <v>0</v>
      </c>
      <c r="H123" s="6">
        <v>0</v>
      </c>
      <c r="I123" s="6">
        <v>0</v>
      </c>
      <c r="J123" s="6">
        <v>0</v>
      </c>
      <c r="K123" s="6">
        <v>2169.42</v>
      </c>
      <c r="L123" s="6">
        <v>0</v>
      </c>
      <c r="M123" s="18">
        <v>0</v>
      </c>
      <c r="N123" s="22">
        <v>12500</v>
      </c>
    </row>
    <row r="124" spans="1:14" hidden="1">
      <c r="A124" s="58" t="s">
        <v>809</v>
      </c>
      <c r="B124" s="55" t="s">
        <v>923</v>
      </c>
      <c r="C124" s="56" t="s">
        <v>134</v>
      </c>
      <c r="D124" s="56" t="s">
        <v>135</v>
      </c>
      <c r="E124" s="56" t="s">
        <v>136</v>
      </c>
      <c r="F124" s="57">
        <v>7851.24</v>
      </c>
      <c r="G124" s="57">
        <v>0</v>
      </c>
      <c r="H124" s="56">
        <v>0</v>
      </c>
      <c r="I124" s="56">
        <v>0</v>
      </c>
      <c r="J124" s="56">
        <v>0</v>
      </c>
      <c r="K124" s="56">
        <v>1648.76</v>
      </c>
      <c r="L124" s="56">
        <v>0</v>
      </c>
      <c r="M124" s="57">
        <v>0</v>
      </c>
      <c r="N124" s="59">
        <v>9500</v>
      </c>
    </row>
    <row r="125" spans="1:14" hidden="1">
      <c r="A125" s="21" t="s">
        <v>809</v>
      </c>
      <c r="B125" s="5" t="s">
        <v>924</v>
      </c>
      <c r="C125" s="6" t="s">
        <v>134</v>
      </c>
      <c r="D125" s="6" t="s">
        <v>135</v>
      </c>
      <c r="E125" s="6" t="s">
        <v>136</v>
      </c>
      <c r="F125" s="18">
        <v>8471.07</v>
      </c>
      <c r="G125" s="18">
        <v>0</v>
      </c>
      <c r="H125" s="6">
        <v>0</v>
      </c>
      <c r="I125" s="6">
        <v>0</v>
      </c>
      <c r="J125" s="6">
        <v>0</v>
      </c>
      <c r="K125" s="6">
        <v>1778.93</v>
      </c>
      <c r="L125" s="6">
        <v>0</v>
      </c>
      <c r="M125" s="18">
        <v>0</v>
      </c>
      <c r="N125" s="22">
        <v>10250</v>
      </c>
    </row>
    <row r="126" spans="1:14" hidden="1">
      <c r="A126" s="58" t="s">
        <v>809</v>
      </c>
      <c r="B126" s="55" t="s">
        <v>925</v>
      </c>
      <c r="C126" s="56" t="s">
        <v>134</v>
      </c>
      <c r="D126" s="56" t="s">
        <v>135</v>
      </c>
      <c r="E126" s="56" t="s">
        <v>136</v>
      </c>
      <c r="F126" s="57">
        <v>21487.599999999999</v>
      </c>
      <c r="G126" s="57">
        <v>0</v>
      </c>
      <c r="H126" s="56">
        <v>0</v>
      </c>
      <c r="I126" s="56">
        <v>0</v>
      </c>
      <c r="J126" s="56">
        <v>0</v>
      </c>
      <c r="K126" s="56">
        <v>4512.4000000000005</v>
      </c>
      <c r="L126" s="56">
        <v>0</v>
      </c>
      <c r="M126" s="57">
        <v>0</v>
      </c>
      <c r="N126" s="59">
        <v>26000</v>
      </c>
    </row>
    <row r="127" spans="1:14" hidden="1">
      <c r="A127" s="21" t="s">
        <v>809</v>
      </c>
      <c r="B127" s="5" t="s">
        <v>926</v>
      </c>
      <c r="C127" s="6" t="s">
        <v>134</v>
      </c>
      <c r="D127" s="6" t="s">
        <v>135</v>
      </c>
      <c r="E127" s="6" t="s">
        <v>136</v>
      </c>
      <c r="F127" s="18">
        <v>20661.16</v>
      </c>
      <c r="G127" s="18">
        <v>0</v>
      </c>
      <c r="H127" s="6">
        <v>0</v>
      </c>
      <c r="I127" s="6">
        <v>0</v>
      </c>
      <c r="J127" s="6">
        <v>0</v>
      </c>
      <c r="K127" s="6">
        <v>4338.84</v>
      </c>
      <c r="L127" s="6">
        <v>0</v>
      </c>
      <c r="M127" s="18">
        <v>0</v>
      </c>
      <c r="N127" s="22">
        <v>25000</v>
      </c>
    </row>
    <row r="128" spans="1:14" hidden="1">
      <c r="A128" s="58" t="s">
        <v>809</v>
      </c>
      <c r="B128" s="55" t="s">
        <v>927</v>
      </c>
      <c r="C128" s="56" t="s">
        <v>134</v>
      </c>
      <c r="D128" s="56" t="s">
        <v>135</v>
      </c>
      <c r="E128" s="56" t="s">
        <v>136</v>
      </c>
      <c r="F128" s="57">
        <v>14876.03</v>
      </c>
      <c r="G128" s="57">
        <v>0</v>
      </c>
      <c r="H128" s="56">
        <v>0</v>
      </c>
      <c r="I128" s="56">
        <v>0</v>
      </c>
      <c r="J128" s="56">
        <v>0</v>
      </c>
      <c r="K128" s="56">
        <v>3123.97</v>
      </c>
      <c r="L128" s="56">
        <v>0</v>
      </c>
      <c r="M128" s="57">
        <v>0</v>
      </c>
      <c r="N128" s="59">
        <v>18000</v>
      </c>
    </row>
    <row r="129" spans="1:14" hidden="1">
      <c r="A129" s="21" t="s">
        <v>928</v>
      </c>
      <c r="B129" s="5" t="s">
        <v>929</v>
      </c>
      <c r="C129" s="6" t="s">
        <v>134</v>
      </c>
      <c r="D129" s="6" t="s">
        <v>135</v>
      </c>
      <c r="E129" s="6" t="s">
        <v>136</v>
      </c>
      <c r="F129" s="18">
        <v>18181.82</v>
      </c>
      <c r="G129" s="18">
        <v>0</v>
      </c>
      <c r="H129" s="6">
        <v>0</v>
      </c>
      <c r="I129" s="6">
        <v>0</v>
      </c>
      <c r="J129" s="6">
        <v>0</v>
      </c>
      <c r="K129" s="6">
        <v>3818.18</v>
      </c>
      <c r="L129" s="6">
        <v>0</v>
      </c>
      <c r="M129" s="18">
        <v>0</v>
      </c>
      <c r="N129" s="22">
        <v>22000</v>
      </c>
    </row>
    <row r="130" spans="1:14" hidden="1">
      <c r="A130" s="58" t="s">
        <v>928</v>
      </c>
      <c r="B130" s="55" t="s">
        <v>930</v>
      </c>
      <c r="C130" s="56" t="s">
        <v>134</v>
      </c>
      <c r="D130" s="56" t="s">
        <v>135</v>
      </c>
      <c r="E130" s="56" t="s">
        <v>136</v>
      </c>
      <c r="F130" s="57">
        <v>30165.29</v>
      </c>
      <c r="G130" s="57">
        <v>0</v>
      </c>
      <c r="H130" s="56">
        <v>0</v>
      </c>
      <c r="I130" s="56">
        <v>0</v>
      </c>
      <c r="J130" s="56">
        <v>0</v>
      </c>
      <c r="K130" s="56">
        <v>6334.71</v>
      </c>
      <c r="L130" s="56">
        <v>0</v>
      </c>
      <c r="M130" s="57">
        <v>0</v>
      </c>
      <c r="N130" s="59">
        <v>36500</v>
      </c>
    </row>
    <row r="131" spans="1:14" hidden="1">
      <c r="A131" s="21" t="s">
        <v>928</v>
      </c>
      <c r="B131" s="5" t="s">
        <v>931</v>
      </c>
      <c r="C131" s="6" t="s">
        <v>134</v>
      </c>
      <c r="D131" s="6" t="s">
        <v>135</v>
      </c>
      <c r="E131" s="6" t="s">
        <v>136</v>
      </c>
      <c r="F131" s="18">
        <v>9090.91</v>
      </c>
      <c r="G131" s="18">
        <v>0</v>
      </c>
      <c r="H131" s="6">
        <v>0</v>
      </c>
      <c r="I131" s="6">
        <v>0</v>
      </c>
      <c r="J131" s="6">
        <v>0</v>
      </c>
      <c r="K131" s="6">
        <v>1909.09</v>
      </c>
      <c r="L131" s="6">
        <v>0</v>
      </c>
      <c r="M131" s="18">
        <v>0</v>
      </c>
      <c r="N131" s="22">
        <v>11000</v>
      </c>
    </row>
    <row r="132" spans="1:14" hidden="1">
      <c r="A132" s="58" t="s">
        <v>928</v>
      </c>
      <c r="B132" s="55" t="s">
        <v>932</v>
      </c>
      <c r="C132" s="56" t="s">
        <v>134</v>
      </c>
      <c r="D132" s="56" t="s">
        <v>135</v>
      </c>
      <c r="E132" s="56" t="s">
        <v>136</v>
      </c>
      <c r="F132" s="57">
        <v>26446.28</v>
      </c>
      <c r="G132" s="57">
        <v>0</v>
      </c>
      <c r="H132" s="56">
        <v>0</v>
      </c>
      <c r="I132" s="56">
        <v>0</v>
      </c>
      <c r="J132" s="56">
        <v>0</v>
      </c>
      <c r="K132" s="56">
        <v>5553.72</v>
      </c>
      <c r="L132" s="56">
        <v>0</v>
      </c>
      <c r="M132" s="57">
        <v>0</v>
      </c>
      <c r="N132" s="59">
        <v>32000</v>
      </c>
    </row>
    <row r="133" spans="1:14" hidden="1">
      <c r="A133" s="21" t="s">
        <v>812</v>
      </c>
      <c r="B133" s="5" t="s">
        <v>933</v>
      </c>
      <c r="C133" s="6" t="s">
        <v>134</v>
      </c>
      <c r="D133" s="6" t="s">
        <v>135</v>
      </c>
      <c r="E133" s="6" t="s">
        <v>136</v>
      </c>
      <c r="F133" s="18">
        <v>10330.58</v>
      </c>
      <c r="G133" s="18">
        <v>0</v>
      </c>
      <c r="H133" s="6">
        <v>0</v>
      </c>
      <c r="I133" s="6">
        <v>0</v>
      </c>
      <c r="J133" s="6">
        <v>0</v>
      </c>
      <c r="K133" s="6">
        <v>2169.42</v>
      </c>
      <c r="L133" s="6">
        <v>0</v>
      </c>
      <c r="M133" s="18">
        <v>0</v>
      </c>
      <c r="N133" s="22">
        <v>12500</v>
      </c>
    </row>
    <row r="134" spans="1:14" hidden="1">
      <c r="A134" s="58" t="s">
        <v>812</v>
      </c>
      <c r="B134" s="55" t="s">
        <v>934</v>
      </c>
      <c r="C134" s="56" t="s">
        <v>134</v>
      </c>
      <c r="D134" s="56" t="s">
        <v>135</v>
      </c>
      <c r="E134" s="56" t="s">
        <v>136</v>
      </c>
      <c r="F134" s="57">
        <v>8264.4600000000009</v>
      </c>
      <c r="G134" s="57">
        <v>0</v>
      </c>
      <c r="H134" s="56">
        <v>0</v>
      </c>
      <c r="I134" s="56">
        <v>0</v>
      </c>
      <c r="J134" s="56">
        <v>0</v>
      </c>
      <c r="K134" s="56">
        <v>1735.54</v>
      </c>
      <c r="L134" s="56">
        <v>0</v>
      </c>
      <c r="M134" s="57">
        <v>0</v>
      </c>
      <c r="N134" s="59">
        <v>10000</v>
      </c>
    </row>
    <row r="135" spans="1:14" hidden="1">
      <c r="A135" s="21" t="s">
        <v>812</v>
      </c>
      <c r="B135" s="5" t="s">
        <v>935</v>
      </c>
      <c r="C135" s="6" t="s">
        <v>134</v>
      </c>
      <c r="D135" s="6" t="s">
        <v>135</v>
      </c>
      <c r="E135" s="6" t="s">
        <v>136</v>
      </c>
      <c r="F135" s="18">
        <v>30578.51</v>
      </c>
      <c r="G135" s="18">
        <v>0</v>
      </c>
      <c r="H135" s="6">
        <v>0</v>
      </c>
      <c r="I135" s="6">
        <v>0</v>
      </c>
      <c r="J135" s="6">
        <v>0</v>
      </c>
      <c r="K135" s="6">
        <v>6421.49</v>
      </c>
      <c r="L135" s="6">
        <v>0</v>
      </c>
      <c r="M135" s="18">
        <v>0</v>
      </c>
      <c r="N135" s="22">
        <v>37000</v>
      </c>
    </row>
    <row r="136" spans="1:14" hidden="1">
      <c r="A136" s="58" t="s">
        <v>812</v>
      </c>
      <c r="B136" s="55" t="s">
        <v>936</v>
      </c>
      <c r="C136" s="56" t="s">
        <v>134</v>
      </c>
      <c r="D136" s="56" t="s">
        <v>135</v>
      </c>
      <c r="E136" s="56" t="s">
        <v>136</v>
      </c>
      <c r="F136" s="57">
        <v>13057.85</v>
      </c>
      <c r="G136" s="57">
        <v>0</v>
      </c>
      <c r="H136" s="56">
        <v>0</v>
      </c>
      <c r="I136" s="56">
        <v>0</v>
      </c>
      <c r="J136" s="56">
        <v>0</v>
      </c>
      <c r="K136" s="56">
        <v>2742.15</v>
      </c>
      <c r="L136" s="56">
        <v>0</v>
      </c>
      <c r="M136" s="57">
        <v>0</v>
      </c>
      <c r="N136" s="59">
        <v>15800</v>
      </c>
    </row>
    <row r="137" spans="1:14" hidden="1">
      <c r="A137" s="21" t="s">
        <v>812</v>
      </c>
      <c r="B137" s="5" t="s">
        <v>937</v>
      </c>
      <c r="C137" s="6" t="s">
        <v>134</v>
      </c>
      <c r="D137" s="6" t="s">
        <v>135</v>
      </c>
      <c r="E137" s="6" t="s">
        <v>136</v>
      </c>
      <c r="F137" s="18">
        <v>10743.8</v>
      </c>
      <c r="G137" s="18">
        <v>0</v>
      </c>
      <c r="H137" s="6">
        <v>0</v>
      </c>
      <c r="I137" s="6">
        <v>0</v>
      </c>
      <c r="J137" s="6">
        <v>0</v>
      </c>
      <c r="K137" s="6">
        <v>2256.2000000000003</v>
      </c>
      <c r="L137" s="6">
        <v>0</v>
      </c>
      <c r="M137" s="18">
        <v>0</v>
      </c>
      <c r="N137" s="22">
        <v>13000</v>
      </c>
    </row>
    <row r="138" spans="1:14" hidden="1">
      <c r="A138" s="58" t="s">
        <v>812</v>
      </c>
      <c r="B138" s="55" t="s">
        <v>938</v>
      </c>
      <c r="C138" s="56" t="s">
        <v>134</v>
      </c>
      <c r="D138" s="56" t="s">
        <v>135</v>
      </c>
      <c r="E138" s="56" t="s">
        <v>136</v>
      </c>
      <c r="F138" s="57">
        <v>10743.8</v>
      </c>
      <c r="G138" s="57">
        <v>0</v>
      </c>
      <c r="H138" s="56">
        <v>0</v>
      </c>
      <c r="I138" s="56">
        <v>0</v>
      </c>
      <c r="J138" s="56">
        <v>0</v>
      </c>
      <c r="K138" s="56">
        <v>2256.2000000000003</v>
      </c>
      <c r="L138" s="56">
        <v>0</v>
      </c>
      <c r="M138" s="57">
        <v>0</v>
      </c>
      <c r="N138" s="59">
        <v>13000</v>
      </c>
    </row>
    <row r="139" spans="1:14" hidden="1">
      <c r="A139" s="21" t="s">
        <v>812</v>
      </c>
      <c r="B139" s="5" t="s">
        <v>939</v>
      </c>
      <c r="C139" s="6" t="s">
        <v>134</v>
      </c>
      <c r="D139" s="6" t="s">
        <v>135</v>
      </c>
      <c r="E139" s="6" t="s">
        <v>136</v>
      </c>
      <c r="F139" s="18">
        <v>10743.8</v>
      </c>
      <c r="G139" s="18">
        <v>0</v>
      </c>
      <c r="H139" s="6">
        <v>0</v>
      </c>
      <c r="I139" s="6">
        <v>0</v>
      </c>
      <c r="J139" s="6">
        <v>0</v>
      </c>
      <c r="K139" s="6">
        <v>2256.2000000000003</v>
      </c>
      <c r="L139" s="6">
        <v>0</v>
      </c>
      <c r="M139" s="18">
        <v>0</v>
      </c>
      <c r="N139" s="22">
        <v>13000</v>
      </c>
    </row>
    <row r="140" spans="1:14" hidden="1">
      <c r="A140" s="58" t="s">
        <v>812</v>
      </c>
      <c r="B140" s="55" t="s">
        <v>940</v>
      </c>
      <c r="C140" s="56" t="s">
        <v>134</v>
      </c>
      <c r="D140" s="56" t="s">
        <v>135</v>
      </c>
      <c r="E140" s="56" t="s">
        <v>136</v>
      </c>
      <c r="F140" s="57">
        <v>20661.16</v>
      </c>
      <c r="G140" s="57">
        <v>0</v>
      </c>
      <c r="H140" s="56">
        <v>0</v>
      </c>
      <c r="I140" s="56">
        <v>0</v>
      </c>
      <c r="J140" s="56">
        <v>0</v>
      </c>
      <c r="K140" s="56">
        <v>4338.84</v>
      </c>
      <c r="L140" s="56">
        <v>0</v>
      </c>
      <c r="M140" s="57">
        <v>0</v>
      </c>
      <c r="N140" s="59">
        <v>25000</v>
      </c>
    </row>
    <row r="141" spans="1:14" hidden="1">
      <c r="A141" s="21" t="s">
        <v>812</v>
      </c>
      <c r="B141" s="5" t="s">
        <v>941</v>
      </c>
      <c r="C141" s="6" t="s">
        <v>134</v>
      </c>
      <c r="D141" s="6" t="s">
        <v>135</v>
      </c>
      <c r="E141" s="6" t="s">
        <v>136</v>
      </c>
      <c r="F141" s="18">
        <v>11157.02</v>
      </c>
      <c r="G141" s="18">
        <v>0</v>
      </c>
      <c r="H141" s="6">
        <v>0</v>
      </c>
      <c r="I141" s="6">
        <v>0</v>
      </c>
      <c r="J141" s="6">
        <v>0</v>
      </c>
      <c r="K141" s="6">
        <v>2342.98</v>
      </c>
      <c r="L141" s="6">
        <v>0</v>
      </c>
      <c r="M141" s="18">
        <v>0</v>
      </c>
      <c r="N141" s="22">
        <v>13500</v>
      </c>
    </row>
    <row r="142" spans="1:14">
      <c r="A142" s="58" t="s">
        <v>812</v>
      </c>
      <c r="B142" s="55" t="s">
        <v>942</v>
      </c>
      <c r="C142" s="56" t="s">
        <v>943</v>
      </c>
      <c r="D142" s="56" t="s">
        <v>135</v>
      </c>
      <c r="E142" s="56">
        <v>50855363</v>
      </c>
      <c r="F142" s="57">
        <v>47933.88</v>
      </c>
      <c r="G142" s="57">
        <v>0</v>
      </c>
      <c r="H142" s="56">
        <v>0</v>
      </c>
      <c r="I142" s="56">
        <v>0</v>
      </c>
      <c r="J142" s="56">
        <v>0</v>
      </c>
      <c r="K142" s="56">
        <v>10066.120000000001</v>
      </c>
      <c r="L142" s="56">
        <v>0</v>
      </c>
      <c r="M142" s="57">
        <v>0</v>
      </c>
      <c r="N142" s="59">
        <v>58000</v>
      </c>
    </row>
    <row r="143" spans="1:14" hidden="1">
      <c r="A143" s="21" t="s">
        <v>812</v>
      </c>
      <c r="B143" s="5" t="s">
        <v>944</v>
      </c>
      <c r="C143" s="6" t="s">
        <v>134</v>
      </c>
      <c r="D143" s="6" t="s">
        <v>135</v>
      </c>
      <c r="E143" s="6" t="s">
        <v>136</v>
      </c>
      <c r="F143" s="18">
        <v>18181.82</v>
      </c>
      <c r="G143" s="18">
        <v>0</v>
      </c>
      <c r="H143" s="6">
        <v>0</v>
      </c>
      <c r="I143" s="6">
        <v>0</v>
      </c>
      <c r="J143" s="6">
        <v>0</v>
      </c>
      <c r="K143" s="6">
        <v>3818.18</v>
      </c>
      <c r="L143" s="6">
        <v>0</v>
      </c>
      <c r="M143" s="18">
        <v>0</v>
      </c>
      <c r="N143" s="22">
        <v>22000</v>
      </c>
    </row>
    <row r="144" spans="1:14" hidden="1">
      <c r="A144" s="58" t="s">
        <v>812</v>
      </c>
      <c r="B144" s="55" t="s">
        <v>945</v>
      </c>
      <c r="C144" s="56" t="s">
        <v>134</v>
      </c>
      <c r="D144" s="56" t="s">
        <v>135</v>
      </c>
      <c r="E144" s="56" t="s">
        <v>136</v>
      </c>
      <c r="F144" s="57">
        <v>10330.58</v>
      </c>
      <c r="G144" s="57">
        <v>0</v>
      </c>
      <c r="H144" s="56">
        <v>0</v>
      </c>
      <c r="I144" s="56">
        <v>0</v>
      </c>
      <c r="J144" s="56">
        <v>0</v>
      </c>
      <c r="K144" s="56">
        <v>2169.42</v>
      </c>
      <c r="L144" s="56">
        <v>0</v>
      </c>
      <c r="M144" s="57">
        <v>0</v>
      </c>
      <c r="N144" s="59">
        <v>12500</v>
      </c>
    </row>
    <row r="145" spans="1:14" hidden="1">
      <c r="A145" s="21" t="s">
        <v>834</v>
      </c>
      <c r="B145" s="5" t="s">
        <v>946</v>
      </c>
      <c r="C145" s="6" t="s">
        <v>134</v>
      </c>
      <c r="D145" s="6" t="s">
        <v>135</v>
      </c>
      <c r="E145" s="6" t="s">
        <v>136</v>
      </c>
      <c r="F145" s="18">
        <v>30909.09</v>
      </c>
      <c r="G145" s="18">
        <v>0</v>
      </c>
      <c r="H145" s="6">
        <v>0</v>
      </c>
      <c r="I145" s="6">
        <v>0</v>
      </c>
      <c r="J145" s="6">
        <v>0</v>
      </c>
      <c r="K145" s="6">
        <v>6490.91</v>
      </c>
      <c r="L145" s="6">
        <v>0</v>
      </c>
      <c r="M145" s="18">
        <v>0</v>
      </c>
      <c r="N145" s="22">
        <v>37400</v>
      </c>
    </row>
    <row r="146" spans="1:14">
      <c r="A146" s="58" t="s">
        <v>834</v>
      </c>
      <c r="B146" s="55" t="s">
        <v>947</v>
      </c>
      <c r="C146" s="56" t="s">
        <v>948</v>
      </c>
      <c r="D146" s="56" t="s">
        <v>135</v>
      </c>
      <c r="E146" s="56">
        <v>13411116</v>
      </c>
      <c r="F146" s="57">
        <v>15041.32</v>
      </c>
      <c r="G146" s="57">
        <v>0</v>
      </c>
      <c r="H146" s="56">
        <v>0</v>
      </c>
      <c r="I146" s="56">
        <v>0</v>
      </c>
      <c r="J146" s="56">
        <v>0</v>
      </c>
      <c r="K146" s="56">
        <v>3158.68</v>
      </c>
      <c r="L146" s="56">
        <v>0</v>
      </c>
      <c r="M146" s="57">
        <v>0</v>
      </c>
      <c r="N146" s="59">
        <v>18200</v>
      </c>
    </row>
    <row r="147" spans="1:14">
      <c r="A147" s="21" t="s">
        <v>834</v>
      </c>
      <c r="B147" s="5" t="s">
        <v>949</v>
      </c>
      <c r="C147" s="6" t="s">
        <v>948</v>
      </c>
      <c r="D147" s="6" t="s">
        <v>135</v>
      </c>
      <c r="E147" s="6">
        <v>13411116</v>
      </c>
      <c r="F147" s="18">
        <v>22479.34</v>
      </c>
      <c r="G147" s="18">
        <v>0</v>
      </c>
      <c r="H147" s="6">
        <v>0</v>
      </c>
      <c r="I147" s="6">
        <v>0</v>
      </c>
      <c r="J147" s="6">
        <v>0</v>
      </c>
      <c r="K147" s="6">
        <v>4720.66</v>
      </c>
      <c r="L147" s="6">
        <v>0</v>
      </c>
      <c r="M147" s="18">
        <v>0</v>
      </c>
      <c r="N147" s="22">
        <v>27200</v>
      </c>
    </row>
    <row r="148" spans="1:14" hidden="1">
      <c r="A148" s="58" t="s">
        <v>834</v>
      </c>
      <c r="B148" s="55" t="s">
        <v>950</v>
      </c>
      <c r="C148" s="56" t="s">
        <v>134</v>
      </c>
      <c r="D148" s="56" t="s">
        <v>135</v>
      </c>
      <c r="E148" s="56" t="s">
        <v>136</v>
      </c>
      <c r="F148" s="57">
        <v>17355.37</v>
      </c>
      <c r="G148" s="57">
        <v>0</v>
      </c>
      <c r="H148" s="56">
        <v>0</v>
      </c>
      <c r="I148" s="56">
        <v>0</v>
      </c>
      <c r="J148" s="56">
        <v>0</v>
      </c>
      <c r="K148" s="56">
        <v>3644.63</v>
      </c>
      <c r="L148" s="56">
        <v>0</v>
      </c>
      <c r="M148" s="57">
        <v>0</v>
      </c>
      <c r="N148" s="59">
        <v>21000</v>
      </c>
    </row>
    <row r="149" spans="1:14" hidden="1">
      <c r="A149" s="21" t="s">
        <v>834</v>
      </c>
      <c r="B149" s="5" t="s">
        <v>951</v>
      </c>
      <c r="C149" s="6" t="s">
        <v>134</v>
      </c>
      <c r="D149" s="6" t="s">
        <v>135</v>
      </c>
      <c r="E149" s="6" t="s">
        <v>136</v>
      </c>
      <c r="F149" s="18">
        <v>15082.64</v>
      </c>
      <c r="G149" s="18">
        <v>0</v>
      </c>
      <c r="H149" s="6">
        <v>0</v>
      </c>
      <c r="I149" s="6">
        <v>0</v>
      </c>
      <c r="J149" s="6">
        <v>0</v>
      </c>
      <c r="K149" s="6">
        <v>3167.36</v>
      </c>
      <c r="L149" s="6">
        <v>0</v>
      </c>
      <c r="M149" s="18">
        <v>0</v>
      </c>
      <c r="N149" s="22">
        <v>18250</v>
      </c>
    </row>
    <row r="150" spans="1:14" hidden="1">
      <c r="A150" s="58" t="s">
        <v>834</v>
      </c>
      <c r="B150" s="55" t="s">
        <v>952</v>
      </c>
      <c r="C150" s="56" t="s">
        <v>134</v>
      </c>
      <c r="D150" s="56" t="s">
        <v>135</v>
      </c>
      <c r="E150" s="56" t="s">
        <v>136</v>
      </c>
      <c r="F150" s="57">
        <v>32334.71</v>
      </c>
      <c r="G150" s="57">
        <v>0</v>
      </c>
      <c r="H150" s="56">
        <v>0</v>
      </c>
      <c r="I150" s="56">
        <v>0</v>
      </c>
      <c r="J150" s="56">
        <v>0</v>
      </c>
      <c r="K150" s="56">
        <v>6790.29</v>
      </c>
      <c r="L150" s="56">
        <v>0</v>
      </c>
      <c r="M150" s="57">
        <v>0</v>
      </c>
      <c r="N150" s="59">
        <v>39125</v>
      </c>
    </row>
    <row r="151" spans="1:14" hidden="1">
      <c r="A151" s="21" t="s">
        <v>834</v>
      </c>
      <c r="B151" s="5" t="s">
        <v>953</v>
      </c>
      <c r="C151" s="6" t="s">
        <v>134</v>
      </c>
      <c r="D151" s="6" t="s">
        <v>135</v>
      </c>
      <c r="E151" s="6" t="s">
        <v>136</v>
      </c>
      <c r="F151" s="18">
        <v>14876.03</v>
      </c>
      <c r="G151" s="18">
        <v>0</v>
      </c>
      <c r="H151" s="6">
        <v>0</v>
      </c>
      <c r="I151" s="6">
        <v>0</v>
      </c>
      <c r="J151" s="6">
        <v>0</v>
      </c>
      <c r="K151" s="6">
        <v>3123.97</v>
      </c>
      <c r="L151" s="6">
        <v>0</v>
      </c>
      <c r="M151" s="18">
        <v>0</v>
      </c>
      <c r="N151" s="22">
        <v>18000</v>
      </c>
    </row>
    <row r="152" spans="1:14" hidden="1">
      <c r="A152" s="58" t="s">
        <v>834</v>
      </c>
      <c r="B152" s="55" t="s">
        <v>954</v>
      </c>
      <c r="C152" s="56" t="s">
        <v>134</v>
      </c>
      <c r="D152" s="56" t="s">
        <v>135</v>
      </c>
      <c r="E152" s="56" t="s">
        <v>136</v>
      </c>
      <c r="F152" s="57">
        <v>23966.94</v>
      </c>
      <c r="G152" s="57">
        <v>0</v>
      </c>
      <c r="H152" s="56">
        <v>0</v>
      </c>
      <c r="I152" s="56">
        <v>0</v>
      </c>
      <c r="J152" s="56">
        <v>0</v>
      </c>
      <c r="K152" s="56">
        <v>5033.0600000000004</v>
      </c>
      <c r="L152" s="56">
        <v>0</v>
      </c>
      <c r="M152" s="57">
        <v>0</v>
      </c>
      <c r="N152" s="59">
        <v>29000</v>
      </c>
    </row>
    <row r="153" spans="1:14" hidden="1">
      <c r="A153" s="21" t="s">
        <v>834</v>
      </c>
      <c r="B153" s="5" t="s">
        <v>955</v>
      </c>
      <c r="C153" s="6" t="s">
        <v>134</v>
      </c>
      <c r="D153" s="6" t="s">
        <v>135</v>
      </c>
      <c r="E153" s="6" t="s">
        <v>136</v>
      </c>
      <c r="F153" s="18">
        <v>6611.57</v>
      </c>
      <c r="G153" s="18">
        <v>0</v>
      </c>
      <c r="H153" s="6">
        <v>0</v>
      </c>
      <c r="I153" s="6">
        <v>0</v>
      </c>
      <c r="J153" s="6">
        <v>0</v>
      </c>
      <c r="K153" s="6">
        <v>1388.43</v>
      </c>
      <c r="L153" s="6">
        <v>0</v>
      </c>
      <c r="M153" s="18">
        <v>0</v>
      </c>
      <c r="N153" s="22">
        <v>8000</v>
      </c>
    </row>
    <row r="154" spans="1:14" hidden="1">
      <c r="A154" s="58" t="s">
        <v>834</v>
      </c>
      <c r="B154" s="55" t="s">
        <v>956</v>
      </c>
      <c r="C154" s="56" t="s">
        <v>134</v>
      </c>
      <c r="D154" s="56" t="s">
        <v>135</v>
      </c>
      <c r="E154" s="56" t="s">
        <v>136</v>
      </c>
      <c r="F154" s="57">
        <v>15082.64</v>
      </c>
      <c r="G154" s="57">
        <v>0</v>
      </c>
      <c r="H154" s="56">
        <v>0</v>
      </c>
      <c r="I154" s="56">
        <v>0</v>
      </c>
      <c r="J154" s="56">
        <v>0</v>
      </c>
      <c r="K154" s="56">
        <v>3167.36</v>
      </c>
      <c r="L154" s="56">
        <v>0</v>
      </c>
      <c r="M154" s="57">
        <v>0</v>
      </c>
      <c r="N154" s="59">
        <v>18250</v>
      </c>
    </row>
    <row r="155" spans="1:14" hidden="1">
      <c r="A155" s="21" t="s">
        <v>834</v>
      </c>
      <c r="B155" s="5" t="s">
        <v>957</v>
      </c>
      <c r="C155" s="6" t="s">
        <v>134</v>
      </c>
      <c r="D155" s="6" t="s">
        <v>135</v>
      </c>
      <c r="E155" s="6" t="s">
        <v>136</v>
      </c>
      <c r="F155" s="18">
        <v>26280.99</v>
      </c>
      <c r="G155" s="18">
        <v>0</v>
      </c>
      <c r="H155" s="6">
        <v>0</v>
      </c>
      <c r="I155" s="6">
        <v>0</v>
      </c>
      <c r="J155" s="6">
        <v>0</v>
      </c>
      <c r="K155" s="6">
        <v>5519.01</v>
      </c>
      <c r="L155" s="6">
        <v>0</v>
      </c>
      <c r="M155" s="18">
        <v>0</v>
      </c>
      <c r="N155" s="22">
        <v>31800</v>
      </c>
    </row>
    <row r="156" spans="1:14" hidden="1">
      <c r="A156" s="58" t="s">
        <v>834</v>
      </c>
      <c r="B156" s="55" t="s">
        <v>958</v>
      </c>
      <c r="C156" s="56" t="s">
        <v>134</v>
      </c>
      <c r="D156" s="56" t="s">
        <v>135</v>
      </c>
      <c r="E156" s="56" t="s">
        <v>136</v>
      </c>
      <c r="F156" s="57">
        <v>21487.599999999999</v>
      </c>
      <c r="G156" s="57">
        <v>0</v>
      </c>
      <c r="H156" s="56">
        <v>0</v>
      </c>
      <c r="I156" s="56">
        <v>0</v>
      </c>
      <c r="J156" s="56">
        <v>0</v>
      </c>
      <c r="K156" s="56">
        <v>4512.4000000000005</v>
      </c>
      <c r="L156" s="56">
        <v>0</v>
      </c>
      <c r="M156" s="57">
        <v>0</v>
      </c>
      <c r="N156" s="59">
        <v>26000</v>
      </c>
    </row>
    <row r="157" spans="1:14" hidden="1">
      <c r="A157" s="21" t="s">
        <v>959</v>
      </c>
      <c r="B157" s="5" t="s">
        <v>960</v>
      </c>
      <c r="C157" s="6" t="s">
        <v>134</v>
      </c>
      <c r="D157" s="6" t="s">
        <v>135</v>
      </c>
      <c r="E157" s="6" t="s">
        <v>136</v>
      </c>
      <c r="F157" s="18">
        <v>10743.8</v>
      </c>
      <c r="G157" s="18">
        <v>0</v>
      </c>
      <c r="H157" s="6">
        <v>0</v>
      </c>
      <c r="I157" s="6">
        <v>0</v>
      </c>
      <c r="J157" s="6">
        <v>0</v>
      </c>
      <c r="K157" s="6">
        <v>2256.2000000000003</v>
      </c>
      <c r="L157" s="6">
        <v>0</v>
      </c>
      <c r="M157" s="18">
        <v>0</v>
      </c>
      <c r="N157" s="22">
        <v>13000</v>
      </c>
    </row>
    <row r="158" spans="1:14" hidden="1">
      <c r="A158" s="58" t="s">
        <v>959</v>
      </c>
      <c r="B158" s="55" t="s">
        <v>961</v>
      </c>
      <c r="C158" s="56" t="s">
        <v>134</v>
      </c>
      <c r="D158" s="56" t="s">
        <v>135</v>
      </c>
      <c r="E158" s="56" t="s">
        <v>136</v>
      </c>
      <c r="F158" s="57">
        <v>3057.85</v>
      </c>
      <c r="G158" s="57">
        <v>0</v>
      </c>
      <c r="H158" s="56">
        <v>0</v>
      </c>
      <c r="I158" s="56">
        <v>0</v>
      </c>
      <c r="J158" s="56">
        <v>0</v>
      </c>
      <c r="K158" s="56">
        <v>642.15</v>
      </c>
      <c r="L158" s="56">
        <v>0</v>
      </c>
      <c r="M158" s="57">
        <v>0</v>
      </c>
      <c r="N158" s="59">
        <v>3700</v>
      </c>
    </row>
    <row r="159" spans="1:14" hidden="1">
      <c r="A159" s="21" t="s">
        <v>959</v>
      </c>
      <c r="B159" s="5" t="s">
        <v>962</v>
      </c>
      <c r="C159" s="6" t="s">
        <v>134</v>
      </c>
      <c r="D159" s="6" t="s">
        <v>135</v>
      </c>
      <c r="E159" s="6" t="s">
        <v>136</v>
      </c>
      <c r="F159" s="18">
        <v>4132.2300000000005</v>
      </c>
      <c r="G159" s="18">
        <v>0</v>
      </c>
      <c r="H159" s="6">
        <v>0</v>
      </c>
      <c r="I159" s="6">
        <v>0</v>
      </c>
      <c r="J159" s="6">
        <v>0</v>
      </c>
      <c r="K159" s="6">
        <v>867.77</v>
      </c>
      <c r="L159" s="6">
        <v>0</v>
      </c>
      <c r="M159" s="18">
        <v>0</v>
      </c>
      <c r="N159" s="22">
        <v>5000</v>
      </c>
    </row>
    <row r="160" spans="1:14" hidden="1">
      <c r="A160" s="58" t="s">
        <v>959</v>
      </c>
      <c r="B160" s="55" t="s">
        <v>963</v>
      </c>
      <c r="C160" s="56" t="s">
        <v>134</v>
      </c>
      <c r="D160" s="56" t="s">
        <v>135</v>
      </c>
      <c r="E160" s="56" t="s">
        <v>136</v>
      </c>
      <c r="F160" s="57">
        <v>21239.67</v>
      </c>
      <c r="G160" s="57">
        <v>0</v>
      </c>
      <c r="H160" s="56">
        <v>0</v>
      </c>
      <c r="I160" s="56">
        <v>0</v>
      </c>
      <c r="J160" s="56">
        <v>0</v>
      </c>
      <c r="K160" s="56">
        <v>4460.33</v>
      </c>
      <c r="L160" s="56">
        <v>0</v>
      </c>
      <c r="M160" s="57">
        <v>0</v>
      </c>
      <c r="N160" s="59">
        <v>25700</v>
      </c>
    </row>
    <row r="161" spans="1:14" hidden="1">
      <c r="A161" s="21" t="s">
        <v>959</v>
      </c>
      <c r="B161" s="5" t="s">
        <v>964</v>
      </c>
      <c r="C161" s="6" t="s">
        <v>134</v>
      </c>
      <c r="D161" s="6" t="s">
        <v>135</v>
      </c>
      <c r="E161" s="6" t="s">
        <v>136</v>
      </c>
      <c r="F161" s="18">
        <v>26446.28</v>
      </c>
      <c r="G161" s="18">
        <v>0</v>
      </c>
      <c r="H161" s="6">
        <v>0</v>
      </c>
      <c r="I161" s="6">
        <v>0</v>
      </c>
      <c r="J161" s="6">
        <v>0</v>
      </c>
      <c r="K161" s="6">
        <v>5553.72</v>
      </c>
      <c r="L161" s="6">
        <v>0</v>
      </c>
      <c r="M161" s="18">
        <v>0</v>
      </c>
      <c r="N161" s="22">
        <v>32000</v>
      </c>
    </row>
    <row r="162" spans="1:14" hidden="1">
      <c r="A162" s="58" t="s">
        <v>959</v>
      </c>
      <c r="B162" s="55" t="s">
        <v>965</v>
      </c>
      <c r="C162" s="56" t="s">
        <v>134</v>
      </c>
      <c r="D162" s="56" t="s">
        <v>135</v>
      </c>
      <c r="E162" s="56" t="s">
        <v>136</v>
      </c>
      <c r="F162" s="57">
        <v>15454.55</v>
      </c>
      <c r="G162" s="57">
        <v>0</v>
      </c>
      <c r="H162" s="56">
        <v>0</v>
      </c>
      <c r="I162" s="56">
        <v>0</v>
      </c>
      <c r="J162" s="56">
        <v>0</v>
      </c>
      <c r="K162" s="56">
        <v>3245.45</v>
      </c>
      <c r="L162" s="56">
        <v>0</v>
      </c>
      <c r="M162" s="57">
        <v>0</v>
      </c>
      <c r="N162" s="59">
        <v>18700</v>
      </c>
    </row>
    <row r="163" spans="1:14" hidden="1">
      <c r="A163" s="21" t="s">
        <v>966</v>
      </c>
      <c r="B163" s="5" t="s">
        <v>967</v>
      </c>
      <c r="C163" s="6" t="s">
        <v>134</v>
      </c>
      <c r="D163" s="6" t="s">
        <v>135</v>
      </c>
      <c r="E163" s="6" t="s">
        <v>136</v>
      </c>
      <c r="F163" s="18">
        <v>10330.58</v>
      </c>
      <c r="G163" s="18">
        <v>0</v>
      </c>
      <c r="H163" s="6">
        <v>0</v>
      </c>
      <c r="I163" s="6">
        <v>0</v>
      </c>
      <c r="J163" s="6">
        <v>0</v>
      </c>
      <c r="K163" s="6">
        <v>2169.42</v>
      </c>
      <c r="L163" s="6">
        <v>0</v>
      </c>
      <c r="M163" s="18">
        <v>0</v>
      </c>
      <c r="N163" s="22">
        <v>12500</v>
      </c>
    </row>
    <row r="164" spans="1:14" hidden="1">
      <c r="A164" s="58" t="s">
        <v>966</v>
      </c>
      <c r="B164" s="55" t="s">
        <v>968</v>
      </c>
      <c r="C164" s="56" t="s">
        <v>134</v>
      </c>
      <c r="D164" s="56" t="s">
        <v>135</v>
      </c>
      <c r="E164" s="56" t="s">
        <v>136</v>
      </c>
      <c r="F164" s="57">
        <v>21487.599999999999</v>
      </c>
      <c r="G164" s="57">
        <v>0</v>
      </c>
      <c r="H164" s="56">
        <v>0</v>
      </c>
      <c r="I164" s="56">
        <v>0</v>
      </c>
      <c r="J164" s="56">
        <v>0</v>
      </c>
      <c r="K164" s="56">
        <v>4512.4000000000005</v>
      </c>
      <c r="L164" s="56">
        <v>0</v>
      </c>
      <c r="M164" s="57">
        <v>0</v>
      </c>
      <c r="N164" s="59">
        <v>26000</v>
      </c>
    </row>
    <row r="165" spans="1:14" hidden="1">
      <c r="A165" s="21" t="s">
        <v>966</v>
      </c>
      <c r="B165" s="5" t="s">
        <v>969</v>
      </c>
      <c r="C165" s="6" t="s">
        <v>134</v>
      </c>
      <c r="D165" s="6" t="s">
        <v>135</v>
      </c>
      <c r="E165" s="6" t="s">
        <v>136</v>
      </c>
      <c r="F165" s="18">
        <v>15041.32</v>
      </c>
      <c r="G165" s="18">
        <v>0</v>
      </c>
      <c r="H165" s="6">
        <v>0</v>
      </c>
      <c r="I165" s="6">
        <v>0</v>
      </c>
      <c r="J165" s="6">
        <v>0</v>
      </c>
      <c r="K165" s="6">
        <v>3158.68</v>
      </c>
      <c r="L165" s="6">
        <v>0</v>
      </c>
      <c r="M165" s="18">
        <v>0</v>
      </c>
      <c r="N165" s="22">
        <v>18200</v>
      </c>
    </row>
    <row r="166" spans="1:14" hidden="1">
      <c r="A166" s="58" t="s">
        <v>966</v>
      </c>
      <c r="B166" s="55" t="s">
        <v>970</v>
      </c>
      <c r="C166" s="56" t="s">
        <v>134</v>
      </c>
      <c r="D166" s="56" t="s">
        <v>135</v>
      </c>
      <c r="E166" s="56" t="s">
        <v>136</v>
      </c>
      <c r="F166" s="57">
        <v>10743.8</v>
      </c>
      <c r="G166" s="57">
        <v>0</v>
      </c>
      <c r="H166" s="56">
        <v>0</v>
      </c>
      <c r="I166" s="56">
        <v>0</v>
      </c>
      <c r="J166" s="56">
        <v>0</v>
      </c>
      <c r="K166" s="56">
        <v>2256.2000000000003</v>
      </c>
      <c r="L166" s="56">
        <v>0</v>
      </c>
      <c r="M166" s="57">
        <v>0</v>
      </c>
      <c r="N166" s="59">
        <v>13000</v>
      </c>
    </row>
    <row r="167" spans="1:14" hidden="1">
      <c r="A167" s="21" t="s">
        <v>971</v>
      </c>
      <c r="B167" s="5" t="s">
        <v>972</v>
      </c>
      <c r="C167" s="6" t="s">
        <v>134</v>
      </c>
      <c r="D167" s="6" t="s">
        <v>135</v>
      </c>
      <c r="E167" s="6" t="s">
        <v>136</v>
      </c>
      <c r="F167" s="18">
        <v>36363.64</v>
      </c>
      <c r="G167" s="18">
        <v>0</v>
      </c>
      <c r="H167" s="6">
        <v>0</v>
      </c>
      <c r="I167" s="6">
        <v>0</v>
      </c>
      <c r="J167" s="6">
        <v>0</v>
      </c>
      <c r="K167" s="6">
        <v>7636.36</v>
      </c>
      <c r="L167" s="6">
        <v>0</v>
      </c>
      <c r="M167" s="18">
        <v>0</v>
      </c>
      <c r="N167" s="22">
        <v>44000</v>
      </c>
    </row>
    <row r="168" spans="1:14" hidden="1">
      <c r="A168" s="58" t="s">
        <v>971</v>
      </c>
      <c r="B168" s="55" t="s">
        <v>973</v>
      </c>
      <c r="C168" s="56" t="s">
        <v>134</v>
      </c>
      <c r="D168" s="56" t="s">
        <v>135</v>
      </c>
      <c r="E168" s="56" t="s">
        <v>136</v>
      </c>
      <c r="F168" s="57">
        <v>10330.58</v>
      </c>
      <c r="G168" s="57">
        <v>0</v>
      </c>
      <c r="H168" s="56">
        <v>0</v>
      </c>
      <c r="I168" s="56">
        <v>0</v>
      </c>
      <c r="J168" s="56">
        <v>0</v>
      </c>
      <c r="K168" s="56">
        <v>2169.42</v>
      </c>
      <c r="L168" s="56">
        <v>0</v>
      </c>
      <c r="M168" s="57">
        <v>0</v>
      </c>
      <c r="N168" s="59">
        <v>12500</v>
      </c>
    </row>
    <row r="169" spans="1:14" hidden="1">
      <c r="A169" s="21" t="s">
        <v>971</v>
      </c>
      <c r="B169" s="5" t="s">
        <v>974</v>
      </c>
      <c r="C169" s="6" t="s">
        <v>134</v>
      </c>
      <c r="D169" s="6" t="s">
        <v>135</v>
      </c>
      <c r="E169" s="6" t="s">
        <v>136</v>
      </c>
      <c r="F169" s="18">
        <v>4132.2300000000005</v>
      </c>
      <c r="G169" s="18">
        <v>0</v>
      </c>
      <c r="H169" s="6">
        <v>0</v>
      </c>
      <c r="I169" s="6">
        <v>0</v>
      </c>
      <c r="J169" s="6">
        <v>0</v>
      </c>
      <c r="K169" s="6">
        <v>867.77</v>
      </c>
      <c r="L169" s="6">
        <v>0</v>
      </c>
      <c r="M169" s="18">
        <v>0</v>
      </c>
      <c r="N169" s="22">
        <v>5000</v>
      </c>
    </row>
    <row r="170" spans="1:14" hidden="1">
      <c r="A170" s="58" t="s">
        <v>971</v>
      </c>
      <c r="B170" s="55" t="s">
        <v>975</v>
      </c>
      <c r="C170" s="56" t="s">
        <v>134</v>
      </c>
      <c r="D170" s="56" t="s">
        <v>135</v>
      </c>
      <c r="E170" s="56" t="s">
        <v>136</v>
      </c>
      <c r="F170" s="57">
        <v>18181.82</v>
      </c>
      <c r="G170" s="57">
        <v>0</v>
      </c>
      <c r="H170" s="56">
        <v>0</v>
      </c>
      <c r="I170" s="56">
        <v>0</v>
      </c>
      <c r="J170" s="56">
        <v>0</v>
      </c>
      <c r="K170" s="56">
        <v>3818.18</v>
      </c>
      <c r="L170" s="56">
        <v>0</v>
      </c>
      <c r="M170" s="57">
        <v>0</v>
      </c>
      <c r="N170" s="59">
        <v>22000</v>
      </c>
    </row>
    <row r="171" spans="1:14" hidden="1">
      <c r="A171" s="21" t="s">
        <v>971</v>
      </c>
      <c r="B171" s="5" t="s">
        <v>976</v>
      </c>
      <c r="C171" s="6" t="s">
        <v>134</v>
      </c>
      <c r="D171" s="6" t="s">
        <v>135</v>
      </c>
      <c r="E171" s="6" t="s">
        <v>136</v>
      </c>
      <c r="F171" s="18">
        <v>21487.599999999999</v>
      </c>
      <c r="G171" s="18">
        <v>0</v>
      </c>
      <c r="H171" s="6">
        <v>0</v>
      </c>
      <c r="I171" s="6">
        <v>0</v>
      </c>
      <c r="J171" s="6">
        <v>0</v>
      </c>
      <c r="K171" s="6">
        <v>4512.4000000000005</v>
      </c>
      <c r="L171" s="6">
        <v>0</v>
      </c>
      <c r="M171" s="18">
        <v>0</v>
      </c>
      <c r="N171" s="22">
        <v>26000</v>
      </c>
    </row>
    <row r="172" spans="1:14" hidden="1">
      <c r="A172" s="58" t="s">
        <v>971</v>
      </c>
      <c r="B172" s="55" t="s">
        <v>977</v>
      </c>
      <c r="C172" s="56" t="s">
        <v>134</v>
      </c>
      <c r="D172" s="56" t="s">
        <v>135</v>
      </c>
      <c r="E172" s="56" t="s">
        <v>136</v>
      </c>
      <c r="F172" s="57">
        <v>2479.34</v>
      </c>
      <c r="G172" s="57">
        <v>0</v>
      </c>
      <c r="H172" s="56">
        <v>0</v>
      </c>
      <c r="I172" s="56">
        <v>0</v>
      </c>
      <c r="J172" s="56">
        <v>0</v>
      </c>
      <c r="K172" s="56">
        <v>520.66</v>
      </c>
      <c r="L172" s="56">
        <v>0</v>
      </c>
      <c r="M172" s="57">
        <v>0</v>
      </c>
      <c r="N172" s="59">
        <v>3000</v>
      </c>
    </row>
    <row r="173" spans="1:14" hidden="1">
      <c r="A173" s="21" t="s">
        <v>971</v>
      </c>
      <c r="B173" s="5" t="s">
        <v>978</v>
      </c>
      <c r="C173" s="6" t="s">
        <v>134</v>
      </c>
      <c r="D173" s="6" t="s">
        <v>135</v>
      </c>
      <c r="E173" s="6" t="s">
        <v>136</v>
      </c>
      <c r="F173" s="18">
        <v>14380.17</v>
      </c>
      <c r="G173" s="18">
        <v>0</v>
      </c>
      <c r="H173" s="6">
        <v>0</v>
      </c>
      <c r="I173" s="6">
        <v>0</v>
      </c>
      <c r="J173" s="6">
        <v>0</v>
      </c>
      <c r="K173" s="6">
        <v>3019.83</v>
      </c>
      <c r="L173" s="6">
        <v>0</v>
      </c>
      <c r="M173" s="18">
        <v>0</v>
      </c>
      <c r="N173" s="22">
        <v>17400</v>
      </c>
    </row>
    <row r="174" spans="1:14" hidden="1">
      <c r="A174" s="58" t="s">
        <v>971</v>
      </c>
      <c r="B174" s="55" t="s">
        <v>979</v>
      </c>
      <c r="C174" s="56" t="s">
        <v>134</v>
      </c>
      <c r="D174" s="56" t="s">
        <v>135</v>
      </c>
      <c r="E174" s="56" t="s">
        <v>136</v>
      </c>
      <c r="F174" s="57">
        <v>10743.8</v>
      </c>
      <c r="G174" s="57">
        <v>0</v>
      </c>
      <c r="H174" s="56">
        <v>0</v>
      </c>
      <c r="I174" s="56">
        <v>0</v>
      </c>
      <c r="J174" s="56">
        <v>0</v>
      </c>
      <c r="K174" s="56">
        <v>2256.2000000000003</v>
      </c>
      <c r="L174" s="56">
        <v>0</v>
      </c>
      <c r="M174" s="57">
        <v>0</v>
      </c>
      <c r="N174" s="59">
        <v>13000</v>
      </c>
    </row>
    <row r="175" spans="1:14" hidden="1">
      <c r="A175" s="21" t="s">
        <v>971</v>
      </c>
      <c r="B175" s="5" t="s">
        <v>980</v>
      </c>
      <c r="C175" s="6" t="s">
        <v>134</v>
      </c>
      <c r="D175" s="6" t="s">
        <v>135</v>
      </c>
      <c r="E175" s="6" t="s">
        <v>136</v>
      </c>
      <c r="F175" s="18">
        <v>22851.24</v>
      </c>
      <c r="G175" s="18">
        <v>0</v>
      </c>
      <c r="H175" s="6">
        <v>0</v>
      </c>
      <c r="I175" s="6">
        <v>0</v>
      </c>
      <c r="J175" s="6">
        <v>0</v>
      </c>
      <c r="K175" s="6">
        <v>4798.76</v>
      </c>
      <c r="L175" s="6">
        <v>0</v>
      </c>
      <c r="M175" s="18">
        <v>0</v>
      </c>
      <c r="N175" s="22">
        <v>27650</v>
      </c>
    </row>
    <row r="176" spans="1:14" hidden="1">
      <c r="A176" s="58" t="s">
        <v>971</v>
      </c>
      <c r="B176" s="55" t="s">
        <v>981</v>
      </c>
      <c r="C176" s="56" t="s">
        <v>134</v>
      </c>
      <c r="D176" s="56" t="s">
        <v>135</v>
      </c>
      <c r="E176" s="56" t="s">
        <v>136</v>
      </c>
      <c r="F176" s="57">
        <v>10743.8</v>
      </c>
      <c r="G176" s="57">
        <v>0</v>
      </c>
      <c r="H176" s="56">
        <v>0</v>
      </c>
      <c r="I176" s="56">
        <v>0</v>
      </c>
      <c r="J176" s="56">
        <v>0</v>
      </c>
      <c r="K176" s="56">
        <v>2256.2000000000003</v>
      </c>
      <c r="L176" s="56">
        <v>0</v>
      </c>
      <c r="M176" s="57">
        <v>0</v>
      </c>
      <c r="N176" s="59">
        <v>13000</v>
      </c>
    </row>
    <row r="177" spans="1:14" hidden="1">
      <c r="A177" s="21" t="s">
        <v>971</v>
      </c>
      <c r="B177" s="5" t="s">
        <v>982</v>
      </c>
      <c r="C177" s="6" t="s">
        <v>134</v>
      </c>
      <c r="D177" s="6" t="s">
        <v>135</v>
      </c>
      <c r="E177" s="6" t="s">
        <v>136</v>
      </c>
      <c r="F177" s="18">
        <v>21487.599999999999</v>
      </c>
      <c r="G177" s="18">
        <v>0</v>
      </c>
      <c r="H177" s="6">
        <v>0</v>
      </c>
      <c r="I177" s="6">
        <v>0</v>
      </c>
      <c r="J177" s="6">
        <v>0</v>
      </c>
      <c r="K177" s="6">
        <v>4512.4000000000005</v>
      </c>
      <c r="L177" s="6">
        <v>0</v>
      </c>
      <c r="M177" s="18">
        <v>0</v>
      </c>
      <c r="N177" s="22">
        <v>26000</v>
      </c>
    </row>
    <row r="178" spans="1:14" hidden="1">
      <c r="A178" s="58" t="s">
        <v>971</v>
      </c>
      <c r="B178" s="55" t="s">
        <v>983</v>
      </c>
      <c r="C178" s="56" t="s">
        <v>134</v>
      </c>
      <c r="D178" s="56" t="s">
        <v>135</v>
      </c>
      <c r="E178" s="56" t="s">
        <v>136</v>
      </c>
      <c r="F178" s="57">
        <v>10330.58</v>
      </c>
      <c r="G178" s="57">
        <v>0</v>
      </c>
      <c r="H178" s="56">
        <v>0</v>
      </c>
      <c r="I178" s="56">
        <v>0</v>
      </c>
      <c r="J178" s="56">
        <v>0</v>
      </c>
      <c r="K178" s="56">
        <v>2169.42</v>
      </c>
      <c r="L178" s="56">
        <v>0</v>
      </c>
      <c r="M178" s="57">
        <v>0</v>
      </c>
      <c r="N178" s="59">
        <v>12500</v>
      </c>
    </row>
    <row r="179" spans="1:14" hidden="1">
      <c r="A179" s="21" t="s">
        <v>971</v>
      </c>
      <c r="B179" s="5" t="s">
        <v>984</v>
      </c>
      <c r="C179" s="6" t="s">
        <v>134</v>
      </c>
      <c r="D179" s="6" t="s">
        <v>135</v>
      </c>
      <c r="E179" s="6" t="s">
        <v>136</v>
      </c>
      <c r="F179" s="18">
        <v>21900.83</v>
      </c>
      <c r="G179" s="18">
        <v>0</v>
      </c>
      <c r="H179" s="6">
        <v>0</v>
      </c>
      <c r="I179" s="6">
        <v>0</v>
      </c>
      <c r="J179" s="6">
        <v>0</v>
      </c>
      <c r="K179" s="6">
        <v>4599.17</v>
      </c>
      <c r="L179" s="6">
        <v>0</v>
      </c>
      <c r="M179" s="18">
        <v>0</v>
      </c>
      <c r="N179" s="22">
        <v>26500</v>
      </c>
    </row>
    <row r="180" spans="1:14" hidden="1">
      <c r="A180" s="58" t="s">
        <v>789</v>
      </c>
      <c r="B180" s="55" t="s">
        <v>985</v>
      </c>
      <c r="C180" s="56" t="s">
        <v>134</v>
      </c>
      <c r="D180" s="56" t="s">
        <v>135</v>
      </c>
      <c r="E180" s="56" t="s">
        <v>136</v>
      </c>
      <c r="F180" s="57">
        <v>16942.150000000001</v>
      </c>
      <c r="G180" s="57">
        <v>0</v>
      </c>
      <c r="H180" s="56">
        <v>0</v>
      </c>
      <c r="I180" s="56">
        <v>0</v>
      </c>
      <c r="J180" s="56">
        <v>0</v>
      </c>
      <c r="K180" s="56">
        <v>3557.85</v>
      </c>
      <c r="L180" s="56">
        <v>0</v>
      </c>
      <c r="M180" s="57">
        <v>0</v>
      </c>
      <c r="N180" s="59">
        <v>20500</v>
      </c>
    </row>
    <row r="181" spans="1:14" hidden="1">
      <c r="A181" s="21" t="s">
        <v>789</v>
      </c>
      <c r="B181" s="5" t="s">
        <v>986</v>
      </c>
      <c r="C181" s="6" t="s">
        <v>134</v>
      </c>
      <c r="D181" s="6" t="s">
        <v>135</v>
      </c>
      <c r="E181" s="6" t="s">
        <v>136</v>
      </c>
      <c r="F181" s="18">
        <v>17768.600000000002</v>
      </c>
      <c r="G181" s="18">
        <v>0</v>
      </c>
      <c r="H181" s="6">
        <v>0</v>
      </c>
      <c r="I181" s="6">
        <v>0</v>
      </c>
      <c r="J181" s="6">
        <v>0</v>
      </c>
      <c r="K181" s="6">
        <v>3731.4</v>
      </c>
      <c r="L181" s="6">
        <v>0</v>
      </c>
      <c r="M181" s="18">
        <v>0</v>
      </c>
      <c r="N181" s="22">
        <v>21500</v>
      </c>
    </row>
    <row r="182" spans="1:14" hidden="1">
      <c r="A182" s="58" t="s">
        <v>789</v>
      </c>
      <c r="B182" s="55" t="s">
        <v>987</v>
      </c>
      <c r="C182" s="56" t="s">
        <v>134</v>
      </c>
      <c r="D182" s="56" t="s">
        <v>135</v>
      </c>
      <c r="E182" s="56" t="s">
        <v>136</v>
      </c>
      <c r="F182" s="57">
        <v>6611.57</v>
      </c>
      <c r="G182" s="57">
        <v>0</v>
      </c>
      <c r="H182" s="56">
        <v>0</v>
      </c>
      <c r="I182" s="56">
        <v>0</v>
      </c>
      <c r="J182" s="56">
        <v>0</v>
      </c>
      <c r="K182" s="56">
        <v>1388.43</v>
      </c>
      <c r="L182" s="56">
        <v>0</v>
      </c>
      <c r="M182" s="57">
        <v>0</v>
      </c>
      <c r="N182" s="59">
        <v>8000</v>
      </c>
    </row>
    <row r="183" spans="1:14" hidden="1">
      <c r="A183" s="21" t="s">
        <v>789</v>
      </c>
      <c r="B183" s="5" t="s">
        <v>988</v>
      </c>
      <c r="C183" s="6" t="s">
        <v>134</v>
      </c>
      <c r="D183" s="6" t="s">
        <v>135</v>
      </c>
      <c r="E183" s="6" t="s">
        <v>136</v>
      </c>
      <c r="F183" s="18">
        <v>6611.57</v>
      </c>
      <c r="G183" s="18">
        <v>0</v>
      </c>
      <c r="H183" s="6">
        <v>0</v>
      </c>
      <c r="I183" s="6">
        <v>0</v>
      </c>
      <c r="J183" s="6">
        <v>0</v>
      </c>
      <c r="K183" s="6">
        <v>1388.43</v>
      </c>
      <c r="L183" s="6">
        <v>0</v>
      </c>
      <c r="M183" s="18">
        <v>0</v>
      </c>
      <c r="N183" s="22">
        <v>8000</v>
      </c>
    </row>
    <row r="184" spans="1:14" hidden="1">
      <c r="A184" s="58" t="s">
        <v>789</v>
      </c>
      <c r="B184" s="55" t="s">
        <v>989</v>
      </c>
      <c r="C184" s="56" t="s">
        <v>134</v>
      </c>
      <c r="D184" s="56" t="s">
        <v>135</v>
      </c>
      <c r="E184" s="56" t="s">
        <v>136</v>
      </c>
      <c r="F184" s="57">
        <v>15082.64</v>
      </c>
      <c r="G184" s="57">
        <v>0</v>
      </c>
      <c r="H184" s="56">
        <v>0</v>
      </c>
      <c r="I184" s="56">
        <v>0</v>
      </c>
      <c r="J184" s="56">
        <v>0</v>
      </c>
      <c r="K184" s="56">
        <v>3167.36</v>
      </c>
      <c r="L184" s="56">
        <v>0</v>
      </c>
      <c r="M184" s="57">
        <v>0</v>
      </c>
      <c r="N184" s="59">
        <v>18250</v>
      </c>
    </row>
    <row r="185" spans="1:14" hidden="1">
      <c r="A185" s="21" t="s">
        <v>789</v>
      </c>
      <c r="B185" s="5" t="s">
        <v>990</v>
      </c>
      <c r="C185" s="6" t="s">
        <v>134</v>
      </c>
      <c r="D185" s="6" t="s">
        <v>135</v>
      </c>
      <c r="E185" s="6" t="s">
        <v>136</v>
      </c>
      <c r="F185" s="18">
        <v>28925.62</v>
      </c>
      <c r="G185" s="18">
        <v>0</v>
      </c>
      <c r="H185" s="6">
        <v>0</v>
      </c>
      <c r="I185" s="6">
        <v>0</v>
      </c>
      <c r="J185" s="6">
        <v>0</v>
      </c>
      <c r="K185" s="6">
        <v>6074.38</v>
      </c>
      <c r="L185" s="6">
        <v>0</v>
      </c>
      <c r="M185" s="18">
        <v>0</v>
      </c>
      <c r="N185" s="22">
        <v>35000</v>
      </c>
    </row>
    <row r="186" spans="1:14" hidden="1">
      <c r="A186" s="58" t="s">
        <v>789</v>
      </c>
      <c r="B186" s="55" t="s">
        <v>991</v>
      </c>
      <c r="C186" s="56" t="s">
        <v>134</v>
      </c>
      <c r="D186" s="56" t="s">
        <v>135</v>
      </c>
      <c r="E186" s="56" t="s">
        <v>136</v>
      </c>
      <c r="F186" s="57">
        <v>15082.64</v>
      </c>
      <c r="G186" s="57">
        <v>0</v>
      </c>
      <c r="H186" s="56">
        <v>0</v>
      </c>
      <c r="I186" s="56">
        <v>0</v>
      </c>
      <c r="J186" s="56">
        <v>0</v>
      </c>
      <c r="K186" s="56">
        <v>3167.36</v>
      </c>
      <c r="L186" s="56">
        <v>0</v>
      </c>
      <c r="M186" s="57">
        <v>0</v>
      </c>
      <c r="N186" s="59">
        <v>18250</v>
      </c>
    </row>
    <row r="187" spans="1:14" hidden="1">
      <c r="A187" s="21" t="s">
        <v>789</v>
      </c>
      <c r="B187" s="5" t="s">
        <v>992</v>
      </c>
      <c r="C187" s="6" t="s">
        <v>134</v>
      </c>
      <c r="D187" s="6" t="s">
        <v>135</v>
      </c>
      <c r="E187" s="6" t="s">
        <v>136</v>
      </c>
      <c r="F187" s="18">
        <v>10743.8</v>
      </c>
      <c r="G187" s="18">
        <v>0</v>
      </c>
      <c r="H187" s="6">
        <v>0</v>
      </c>
      <c r="I187" s="6">
        <v>0</v>
      </c>
      <c r="J187" s="6">
        <v>0</v>
      </c>
      <c r="K187" s="6">
        <v>2256.2000000000003</v>
      </c>
      <c r="L187" s="6">
        <v>0</v>
      </c>
      <c r="M187" s="18">
        <v>0</v>
      </c>
      <c r="N187" s="22">
        <v>13000</v>
      </c>
    </row>
    <row r="188" spans="1:14" hidden="1">
      <c r="A188" s="58" t="s">
        <v>789</v>
      </c>
      <c r="B188" s="55" t="s">
        <v>993</v>
      </c>
      <c r="C188" s="56" t="s">
        <v>134</v>
      </c>
      <c r="D188" s="56" t="s">
        <v>135</v>
      </c>
      <c r="E188" s="56" t="s">
        <v>136</v>
      </c>
      <c r="F188" s="57">
        <v>25619.83</v>
      </c>
      <c r="G188" s="57">
        <v>0</v>
      </c>
      <c r="H188" s="56">
        <v>0</v>
      </c>
      <c r="I188" s="56">
        <v>0</v>
      </c>
      <c r="J188" s="56">
        <v>0</v>
      </c>
      <c r="K188" s="56">
        <v>5380.17</v>
      </c>
      <c r="L188" s="56">
        <v>0</v>
      </c>
      <c r="M188" s="57">
        <v>0</v>
      </c>
      <c r="N188" s="59">
        <v>31000</v>
      </c>
    </row>
    <row r="189" spans="1:14" hidden="1">
      <c r="A189" s="21" t="s">
        <v>789</v>
      </c>
      <c r="B189" s="5" t="s">
        <v>994</v>
      </c>
      <c r="C189" s="6" t="s">
        <v>134</v>
      </c>
      <c r="D189" s="6" t="s">
        <v>135</v>
      </c>
      <c r="E189" s="6" t="s">
        <v>136</v>
      </c>
      <c r="F189" s="18">
        <v>9917.36</v>
      </c>
      <c r="G189" s="18">
        <v>0</v>
      </c>
      <c r="H189" s="6">
        <v>0</v>
      </c>
      <c r="I189" s="6">
        <v>0</v>
      </c>
      <c r="J189" s="6">
        <v>0</v>
      </c>
      <c r="K189" s="6">
        <v>2082.64</v>
      </c>
      <c r="L189" s="6">
        <v>0</v>
      </c>
      <c r="M189" s="18">
        <v>0</v>
      </c>
      <c r="N189" s="22">
        <v>12000</v>
      </c>
    </row>
    <row r="190" spans="1:14" hidden="1">
      <c r="A190" s="58" t="s">
        <v>836</v>
      </c>
      <c r="B190" s="55" t="s">
        <v>995</v>
      </c>
      <c r="C190" s="56" t="s">
        <v>134</v>
      </c>
      <c r="D190" s="56" t="s">
        <v>135</v>
      </c>
      <c r="E190" s="56" t="s">
        <v>136</v>
      </c>
      <c r="F190" s="57">
        <v>11404.96</v>
      </c>
      <c r="G190" s="57">
        <v>0</v>
      </c>
      <c r="H190" s="56">
        <v>0</v>
      </c>
      <c r="I190" s="56">
        <v>0</v>
      </c>
      <c r="J190" s="56">
        <v>0</v>
      </c>
      <c r="K190" s="56">
        <v>2395.04</v>
      </c>
      <c r="L190" s="56">
        <v>0</v>
      </c>
      <c r="M190" s="57">
        <v>0</v>
      </c>
      <c r="N190" s="59">
        <v>13800</v>
      </c>
    </row>
    <row r="191" spans="1:14" hidden="1">
      <c r="A191" s="21" t="s">
        <v>836</v>
      </c>
      <c r="B191" s="5" t="s">
        <v>996</v>
      </c>
      <c r="C191" s="6" t="s">
        <v>134</v>
      </c>
      <c r="D191" s="6" t="s">
        <v>135</v>
      </c>
      <c r="E191" s="6" t="s">
        <v>136</v>
      </c>
      <c r="F191" s="18">
        <v>11570.25</v>
      </c>
      <c r="G191" s="18">
        <v>0</v>
      </c>
      <c r="H191" s="6">
        <v>0</v>
      </c>
      <c r="I191" s="6">
        <v>0</v>
      </c>
      <c r="J191" s="6">
        <v>0</v>
      </c>
      <c r="K191" s="6">
        <v>2429.75</v>
      </c>
      <c r="L191" s="6">
        <v>0</v>
      </c>
      <c r="M191" s="18">
        <v>0</v>
      </c>
      <c r="N191" s="22">
        <v>14000</v>
      </c>
    </row>
    <row r="192" spans="1:14" hidden="1">
      <c r="A192" s="58" t="s">
        <v>836</v>
      </c>
      <c r="B192" s="55" t="s">
        <v>997</v>
      </c>
      <c r="C192" s="56" t="s">
        <v>134</v>
      </c>
      <c r="D192" s="56" t="s">
        <v>135</v>
      </c>
      <c r="E192" s="56" t="s">
        <v>136</v>
      </c>
      <c r="F192" s="57">
        <v>12396.69</v>
      </c>
      <c r="G192" s="57">
        <v>0</v>
      </c>
      <c r="H192" s="56">
        <v>0</v>
      </c>
      <c r="I192" s="56">
        <v>0</v>
      </c>
      <c r="J192" s="56">
        <v>0</v>
      </c>
      <c r="K192" s="56">
        <v>2603.31</v>
      </c>
      <c r="L192" s="56">
        <v>0</v>
      </c>
      <c r="M192" s="57">
        <v>0</v>
      </c>
      <c r="N192" s="59">
        <v>15000</v>
      </c>
    </row>
    <row r="193" spans="1:14" hidden="1">
      <c r="A193" s="21" t="s">
        <v>836</v>
      </c>
      <c r="B193" s="5" t="s">
        <v>998</v>
      </c>
      <c r="C193" s="6" t="s">
        <v>134</v>
      </c>
      <c r="D193" s="6" t="s">
        <v>135</v>
      </c>
      <c r="E193" s="6" t="s">
        <v>136</v>
      </c>
      <c r="F193" s="18">
        <v>10743.8</v>
      </c>
      <c r="G193" s="18">
        <v>0</v>
      </c>
      <c r="H193" s="6">
        <v>0</v>
      </c>
      <c r="I193" s="6">
        <v>0</v>
      </c>
      <c r="J193" s="6">
        <v>0</v>
      </c>
      <c r="K193" s="6">
        <v>2256.2000000000003</v>
      </c>
      <c r="L193" s="6">
        <v>0</v>
      </c>
      <c r="M193" s="18">
        <v>0</v>
      </c>
      <c r="N193" s="22">
        <v>13000</v>
      </c>
    </row>
    <row r="194" spans="1:14" hidden="1">
      <c r="A194" s="58" t="s">
        <v>836</v>
      </c>
      <c r="B194" s="55" t="s">
        <v>999</v>
      </c>
      <c r="C194" s="56" t="s">
        <v>134</v>
      </c>
      <c r="D194" s="56" t="s">
        <v>135</v>
      </c>
      <c r="E194" s="56" t="s">
        <v>136</v>
      </c>
      <c r="F194" s="57">
        <v>9917.36</v>
      </c>
      <c r="G194" s="57">
        <v>0</v>
      </c>
      <c r="H194" s="56">
        <v>0</v>
      </c>
      <c r="I194" s="56">
        <v>0</v>
      </c>
      <c r="J194" s="56">
        <v>0</v>
      </c>
      <c r="K194" s="56">
        <v>2082.64</v>
      </c>
      <c r="L194" s="56">
        <v>0</v>
      </c>
      <c r="M194" s="57">
        <v>0</v>
      </c>
      <c r="N194" s="59">
        <v>12000</v>
      </c>
    </row>
    <row r="195" spans="1:14" hidden="1">
      <c r="A195" s="21" t="s">
        <v>836</v>
      </c>
      <c r="B195" s="5" t="s">
        <v>1000</v>
      </c>
      <c r="C195" s="6" t="s">
        <v>134</v>
      </c>
      <c r="D195" s="6" t="s">
        <v>135</v>
      </c>
      <c r="E195" s="6" t="s">
        <v>136</v>
      </c>
      <c r="F195" s="18">
        <v>15454.55</v>
      </c>
      <c r="G195" s="18">
        <v>0</v>
      </c>
      <c r="H195" s="6">
        <v>0</v>
      </c>
      <c r="I195" s="6">
        <v>0</v>
      </c>
      <c r="J195" s="6">
        <v>0</v>
      </c>
      <c r="K195" s="6">
        <v>3245.45</v>
      </c>
      <c r="L195" s="6">
        <v>0</v>
      </c>
      <c r="M195" s="18">
        <v>0</v>
      </c>
      <c r="N195" s="22">
        <v>18700</v>
      </c>
    </row>
    <row r="196" spans="1:14" hidden="1">
      <c r="A196" s="58" t="s">
        <v>792</v>
      </c>
      <c r="B196" s="55" t="s">
        <v>1001</v>
      </c>
      <c r="C196" s="56" t="s">
        <v>134</v>
      </c>
      <c r="D196" s="56" t="s">
        <v>135</v>
      </c>
      <c r="E196" s="56" t="s">
        <v>136</v>
      </c>
      <c r="F196" s="57">
        <v>21487.599999999999</v>
      </c>
      <c r="G196" s="57">
        <v>0</v>
      </c>
      <c r="H196" s="56">
        <v>0</v>
      </c>
      <c r="I196" s="56">
        <v>0</v>
      </c>
      <c r="J196" s="56">
        <v>0</v>
      </c>
      <c r="K196" s="56">
        <v>4512.4000000000005</v>
      </c>
      <c r="L196" s="56">
        <v>0</v>
      </c>
      <c r="M196" s="57">
        <v>0</v>
      </c>
      <c r="N196" s="59">
        <v>26000</v>
      </c>
    </row>
    <row r="197" spans="1:14">
      <c r="A197" s="21" t="s">
        <v>792</v>
      </c>
      <c r="B197" s="5" t="s">
        <v>1002</v>
      </c>
      <c r="C197" s="6" t="s">
        <v>1003</v>
      </c>
      <c r="D197" s="6" t="s">
        <v>135</v>
      </c>
      <c r="E197" s="6">
        <v>20126833</v>
      </c>
      <c r="F197" s="18">
        <v>97355.37</v>
      </c>
      <c r="G197" s="18">
        <v>0</v>
      </c>
      <c r="H197" s="6">
        <v>0</v>
      </c>
      <c r="I197" s="6">
        <v>0</v>
      </c>
      <c r="J197" s="6">
        <v>0</v>
      </c>
      <c r="K197" s="6">
        <v>20444.63</v>
      </c>
      <c r="L197" s="6">
        <v>0</v>
      </c>
      <c r="M197" s="18">
        <v>0</v>
      </c>
      <c r="N197" s="22">
        <v>117800</v>
      </c>
    </row>
    <row r="198" spans="1:14" hidden="1">
      <c r="A198" s="58" t="s">
        <v>792</v>
      </c>
      <c r="B198" s="55" t="s">
        <v>1004</v>
      </c>
      <c r="C198" s="56" t="s">
        <v>134</v>
      </c>
      <c r="D198" s="56" t="s">
        <v>135</v>
      </c>
      <c r="E198" s="56" t="s">
        <v>136</v>
      </c>
      <c r="F198" s="57">
        <v>10743.8</v>
      </c>
      <c r="G198" s="57">
        <v>0</v>
      </c>
      <c r="H198" s="56">
        <v>0</v>
      </c>
      <c r="I198" s="56">
        <v>0</v>
      </c>
      <c r="J198" s="56">
        <v>0</v>
      </c>
      <c r="K198" s="56">
        <v>2256.2000000000003</v>
      </c>
      <c r="L198" s="56">
        <v>0</v>
      </c>
      <c r="M198" s="57">
        <v>0</v>
      </c>
      <c r="N198" s="59">
        <v>13000</v>
      </c>
    </row>
    <row r="199" spans="1:14" hidden="1">
      <c r="A199" s="21" t="s">
        <v>792</v>
      </c>
      <c r="B199" s="5" t="s">
        <v>1005</v>
      </c>
      <c r="C199" s="6" t="s">
        <v>134</v>
      </c>
      <c r="D199" s="6" t="s">
        <v>135</v>
      </c>
      <c r="E199" s="6" t="s">
        <v>136</v>
      </c>
      <c r="F199" s="18">
        <v>10495.87</v>
      </c>
      <c r="G199" s="18">
        <v>0</v>
      </c>
      <c r="H199" s="6">
        <v>0</v>
      </c>
      <c r="I199" s="6">
        <v>0</v>
      </c>
      <c r="J199" s="6">
        <v>0</v>
      </c>
      <c r="K199" s="6">
        <v>2204.13</v>
      </c>
      <c r="L199" s="6">
        <v>0</v>
      </c>
      <c r="M199" s="18">
        <v>0</v>
      </c>
      <c r="N199" s="22">
        <v>12700</v>
      </c>
    </row>
    <row r="200" spans="1:14" hidden="1">
      <c r="A200" s="58" t="s">
        <v>792</v>
      </c>
      <c r="B200" s="55" t="s">
        <v>1006</v>
      </c>
      <c r="C200" s="56" t="s">
        <v>134</v>
      </c>
      <c r="D200" s="56" t="s">
        <v>135</v>
      </c>
      <c r="E200" s="56" t="s">
        <v>136</v>
      </c>
      <c r="F200" s="57">
        <v>10743.8</v>
      </c>
      <c r="G200" s="57">
        <v>0</v>
      </c>
      <c r="H200" s="56">
        <v>0</v>
      </c>
      <c r="I200" s="56">
        <v>0</v>
      </c>
      <c r="J200" s="56">
        <v>0</v>
      </c>
      <c r="K200" s="56">
        <v>2256.2000000000003</v>
      </c>
      <c r="L200" s="56">
        <v>0</v>
      </c>
      <c r="M200" s="57">
        <v>0</v>
      </c>
      <c r="N200" s="59">
        <v>13000</v>
      </c>
    </row>
    <row r="201" spans="1:14" hidden="1">
      <c r="A201" s="21" t="s">
        <v>792</v>
      </c>
      <c r="B201" s="5" t="s">
        <v>1007</v>
      </c>
      <c r="C201" s="6" t="s">
        <v>134</v>
      </c>
      <c r="D201" s="6" t="s">
        <v>135</v>
      </c>
      <c r="E201" s="6" t="s">
        <v>136</v>
      </c>
      <c r="F201" s="18">
        <v>10743.8</v>
      </c>
      <c r="G201" s="18">
        <v>0</v>
      </c>
      <c r="H201" s="6">
        <v>0</v>
      </c>
      <c r="I201" s="6">
        <v>0</v>
      </c>
      <c r="J201" s="6">
        <v>0</v>
      </c>
      <c r="K201" s="6">
        <v>2256.2000000000003</v>
      </c>
      <c r="L201" s="6">
        <v>0</v>
      </c>
      <c r="M201" s="18">
        <v>0</v>
      </c>
      <c r="N201" s="22">
        <v>13000</v>
      </c>
    </row>
    <row r="202" spans="1:14" hidden="1">
      <c r="A202" s="58" t="s">
        <v>792</v>
      </c>
      <c r="B202" s="55" t="s">
        <v>1008</v>
      </c>
      <c r="C202" s="56" t="s">
        <v>134</v>
      </c>
      <c r="D202" s="56" t="s">
        <v>135</v>
      </c>
      <c r="E202" s="56" t="s">
        <v>136</v>
      </c>
      <c r="F202" s="57">
        <v>10743.8</v>
      </c>
      <c r="G202" s="57">
        <v>0</v>
      </c>
      <c r="H202" s="56">
        <v>0</v>
      </c>
      <c r="I202" s="56">
        <v>0</v>
      </c>
      <c r="J202" s="56">
        <v>0</v>
      </c>
      <c r="K202" s="56">
        <v>2256.2000000000003</v>
      </c>
      <c r="L202" s="56">
        <v>0</v>
      </c>
      <c r="M202" s="57">
        <v>0</v>
      </c>
      <c r="N202" s="59">
        <v>13000</v>
      </c>
    </row>
    <row r="203" spans="1:14" hidden="1">
      <c r="A203" s="21" t="s">
        <v>792</v>
      </c>
      <c r="B203" s="5" t="s">
        <v>1009</v>
      </c>
      <c r="C203" s="6" t="s">
        <v>134</v>
      </c>
      <c r="D203" s="6" t="s">
        <v>135</v>
      </c>
      <c r="E203" s="6" t="s">
        <v>136</v>
      </c>
      <c r="F203" s="18">
        <v>9917.36</v>
      </c>
      <c r="G203" s="18">
        <v>0</v>
      </c>
      <c r="H203" s="6">
        <v>0</v>
      </c>
      <c r="I203" s="6">
        <v>0</v>
      </c>
      <c r="J203" s="6">
        <v>0</v>
      </c>
      <c r="K203" s="6">
        <v>2082.64</v>
      </c>
      <c r="L203" s="6">
        <v>0</v>
      </c>
      <c r="M203" s="18">
        <v>0</v>
      </c>
      <c r="N203" s="22">
        <v>12000</v>
      </c>
    </row>
    <row r="204" spans="1:14" hidden="1">
      <c r="A204" s="58" t="s">
        <v>792</v>
      </c>
      <c r="B204" s="55" t="s">
        <v>1010</v>
      </c>
      <c r="C204" s="56" t="s">
        <v>134</v>
      </c>
      <c r="D204" s="56" t="s">
        <v>135</v>
      </c>
      <c r="E204" s="56" t="s">
        <v>136</v>
      </c>
      <c r="F204" s="57">
        <v>34545.449999999997</v>
      </c>
      <c r="G204" s="57">
        <v>0</v>
      </c>
      <c r="H204" s="56">
        <v>0</v>
      </c>
      <c r="I204" s="56">
        <v>0</v>
      </c>
      <c r="J204" s="56">
        <v>0</v>
      </c>
      <c r="K204" s="56">
        <v>7254.55</v>
      </c>
      <c r="L204" s="56">
        <v>0</v>
      </c>
      <c r="M204" s="57">
        <v>0</v>
      </c>
      <c r="N204" s="59">
        <v>41800</v>
      </c>
    </row>
    <row r="205" spans="1:14" hidden="1">
      <c r="A205" s="21" t="s">
        <v>795</v>
      </c>
      <c r="B205" s="5" t="s">
        <v>1011</v>
      </c>
      <c r="C205" s="6" t="s">
        <v>134</v>
      </c>
      <c r="D205" s="6" t="s">
        <v>135</v>
      </c>
      <c r="E205" s="6" t="s">
        <v>136</v>
      </c>
      <c r="F205" s="18">
        <v>23347.11</v>
      </c>
      <c r="G205" s="18">
        <v>0</v>
      </c>
      <c r="H205" s="6">
        <v>0</v>
      </c>
      <c r="I205" s="6">
        <v>0</v>
      </c>
      <c r="J205" s="6">
        <v>0</v>
      </c>
      <c r="K205" s="6">
        <v>4902.8900000000003</v>
      </c>
      <c r="L205" s="6">
        <v>0</v>
      </c>
      <c r="M205" s="18">
        <v>0</v>
      </c>
      <c r="N205" s="22">
        <v>28250</v>
      </c>
    </row>
    <row r="206" spans="1:14" hidden="1">
      <c r="A206" s="58" t="s">
        <v>795</v>
      </c>
      <c r="B206" s="55" t="s">
        <v>1012</v>
      </c>
      <c r="C206" s="56" t="s">
        <v>134</v>
      </c>
      <c r="D206" s="56" t="s">
        <v>135</v>
      </c>
      <c r="E206" s="56" t="s">
        <v>136</v>
      </c>
      <c r="F206" s="57">
        <v>10743.8</v>
      </c>
      <c r="G206" s="57">
        <v>0</v>
      </c>
      <c r="H206" s="56">
        <v>0</v>
      </c>
      <c r="I206" s="56">
        <v>0</v>
      </c>
      <c r="J206" s="56">
        <v>0</v>
      </c>
      <c r="K206" s="56">
        <v>2256.2000000000003</v>
      </c>
      <c r="L206" s="56">
        <v>0</v>
      </c>
      <c r="M206" s="57">
        <v>0</v>
      </c>
      <c r="N206" s="59">
        <v>13000</v>
      </c>
    </row>
    <row r="207" spans="1:14" hidden="1">
      <c r="A207" s="21" t="s">
        <v>795</v>
      </c>
      <c r="B207" s="5" t="s">
        <v>1013</v>
      </c>
      <c r="C207" s="6" t="s">
        <v>134</v>
      </c>
      <c r="D207" s="6" t="s">
        <v>135</v>
      </c>
      <c r="E207" s="6" t="s">
        <v>136</v>
      </c>
      <c r="F207" s="18">
        <v>34710.74</v>
      </c>
      <c r="G207" s="18">
        <v>0</v>
      </c>
      <c r="H207" s="6">
        <v>0</v>
      </c>
      <c r="I207" s="6">
        <v>0</v>
      </c>
      <c r="J207" s="6">
        <v>0</v>
      </c>
      <c r="K207" s="6">
        <v>7289.26</v>
      </c>
      <c r="L207" s="6">
        <v>0</v>
      </c>
      <c r="M207" s="18">
        <v>0</v>
      </c>
      <c r="N207" s="22">
        <v>42000</v>
      </c>
    </row>
    <row r="208" spans="1:14" hidden="1">
      <c r="A208" s="58" t="s">
        <v>795</v>
      </c>
      <c r="B208" s="55" t="s">
        <v>1014</v>
      </c>
      <c r="C208" s="56" t="s">
        <v>134</v>
      </c>
      <c r="D208" s="56" t="s">
        <v>135</v>
      </c>
      <c r="E208" s="56" t="s">
        <v>136</v>
      </c>
      <c r="F208" s="57">
        <v>10743.8</v>
      </c>
      <c r="G208" s="57">
        <v>0</v>
      </c>
      <c r="H208" s="56">
        <v>0</v>
      </c>
      <c r="I208" s="56">
        <v>0</v>
      </c>
      <c r="J208" s="56">
        <v>0</v>
      </c>
      <c r="K208" s="56">
        <v>2256.2000000000003</v>
      </c>
      <c r="L208" s="56">
        <v>0</v>
      </c>
      <c r="M208" s="57">
        <v>0</v>
      </c>
      <c r="N208" s="59">
        <v>13000</v>
      </c>
    </row>
    <row r="209" spans="1:14" hidden="1">
      <c r="A209" s="21" t="s">
        <v>795</v>
      </c>
      <c r="B209" s="5" t="s">
        <v>1015</v>
      </c>
      <c r="C209" s="6" t="s">
        <v>134</v>
      </c>
      <c r="D209" s="6" t="s">
        <v>135</v>
      </c>
      <c r="E209" s="6" t="s">
        <v>136</v>
      </c>
      <c r="F209" s="18">
        <v>10743.8</v>
      </c>
      <c r="G209" s="18">
        <v>0</v>
      </c>
      <c r="H209" s="6">
        <v>0</v>
      </c>
      <c r="I209" s="6">
        <v>0</v>
      </c>
      <c r="J209" s="6">
        <v>0</v>
      </c>
      <c r="K209" s="6">
        <v>2256.2000000000003</v>
      </c>
      <c r="L209" s="6">
        <v>0</v>
      </c>
      <c r="M209" s="18">
        <v>0</v>
      </c>
      <c r="N209" s="22">
        <v>13000</v>
      </c>
    </row>
    <row r="210" spans="1:14" hidden="1">
      <c r="A210" s="58" t="s">
        <v>795</v>
      </c>
      <c r="B210" s="55" t="s">
        <v>1016</v>
      </c>
      <c r="C210" s="56" t="s">
        <v>134</v>
      </c>
      <c r="D210" s="56" t="s">
        <v>135</v>
      </c>
      <c r="E210" s="56" t="s">
        <v>136</v>
      </c>
      <c r="F210" s="57">
        <v>30909.09</v>
      </c>
      <c r="G210" s="57">
        <v>0</v>
      </c>
      <c r="H210" s="56">
        <v>0</v>
      </c>
      <c r="I210" s="56">
        <v>0</v>
      </c>
      <c r="J210" s="56">
        <v>0</v>
      </c>
      <c r="K210" s="56">
        <v>6490.91</v>
      </c>
      <c r="L210" s="56">
        <v>0</v>
      </c>
      <c r="M210" s="57">
        <v>0</v>
      </c>
      <c r="N210" s="59">
        <v>37400</v>
      </c>
    </row>
    <row r="211" spans="1:14">
      <c r="A211" s="21" t="s">
        <v>858</v>
      </c>
      <c r="B211" s="5" t="s">
        <v>1017</v>
      </c>
      <c r="C211" s="6" t="s">
        <v>402</v>
      </c>
      <c r="D211" s="6" t="s">
        <v>135</v>
      </c>
      <c r="E211" s="6" t="s">
        <v>136</v>
      </c>
      <c r="F211" s="18">
        <v>22190.080000000002</v>
      </c>
      <c r="G211" s="18">
        <v>0</v>
      </c>
      <c r="H211" s="6">
        <v>0</v>
      </c>
      <c r="I211" s="6">
        <v>0</v>
      </c>
      <c r="J211" s="6">
        <v>0</v>
      </c>
      <c r="K211" s="6">
        <v>4659.92</v>
      </c>
      <c r="L211" s="6">
        <v>0</v>
      </c>
      <c r="M211" s="18">
        <v>0</v>
      </c>
      <c r="N211" s="22">
        <v>26850</v>
      </c>
    </row>
    <row r="212" spans="1:14">
      <c r="A212" s="58" t="s">
        <v>797</v>
      </c>
      <c r="B212" s="55" t="s">
        <v>1018</v>
      </c>
      <c r="C212" s="56" t="s">
        <v>386</v>
      </c>
      <c r="D212" s="56" t="s">
        <v>343</v>
      </c>
      <c r="E212" s="56">
        <v>30685228501</v>
      </c>
      <c r="F212" s="57">
        <v>932231.41</v>
      </c>
      <c r="G212" s="57">
        <v>0</v>
      </c>
      <c r="H212" s="56">
        <v>0</v>
      </c>
      <c r="I212" s="56">
        <v>0</v>
      </c>
      <c r="J212" s="56">
        <v>0</v>
      </c>
      <c r="K212" s="56">
        <v>195768.59</v>
      </c>
      <c r="L212" s="56">
        <v>0</v>
      </c>
      <c r="M212" s="57">
        <v>0</v>
      </c>
      <c r="N212" s="59">
        <v>1128000</v>
      </c>
    </row>
    <row r="213" spans="1:14">
      <c r="A213" s="21" t="s">
        <v>802</v>
      </c>
      <c r="B213" s="5" t="s">
        <v>1019</v>
      </c>
      <c r="C213" s="6" t="s">
        <v>1020</v>
      </c>
      <c r="D213" s="6" t="s">
        <v>135</v>
      </c>
      <c r="E213" s="6">
        <v>4164120</v>
      </c>
      <c r="F213" s="18">
        <v>23768.6</v>
      </c>
      <c r="G213" s="18">
        <v>0</v>
      </c>
      <c r="H213" s="6">
        <v>0</v>
      </c>
      <c r="I213" s="6">
        <v>0</v>
      </c>
      <c r="J213" s="6">
        <v>0</v>
      </c>
      <c r="K213" s="6">
        <v>4991.4000000000005</v>
      </c>
      <c r="L213" s="6">
        <v>0</v>
      </c>
      <c r="M213" s="18">
        <v>0</v>
      </c>
      <c r="N213" s="22">
        <v>28760</v>
      </c>
    </row>
    <row r="214" spans="1:14">
      <c r="A214" s="58" t="s">
        <v>804</v>
      </c>
      <c r="B214" s="55" t="s">
        <v>1021</v>
      </c>
      <c r="C214" s="56" t="s">
        <v>1022</v>
      </c>
      <c r="D214" s="56" t="s">
        <v>135</v>
      </c>
      <c r="E214" s="56">
        <v>3865973</v>
      </c>
      <c r="F214" s="57">
        <v>9024.7900000000009</v>
      </c>
      <c r="G214" s="57">
        <v>0</v>
      </c>
      <c r="H214" s="56">
        <v>0</v>
      </c>
      <c r="I214" s="56">
        <v>0</v>
      </c>
      <c r="J214" s="56">
        <v>0</v>
      </c>
      <c r="K214" s="56">
        <v>1895.21</v>
      </c>
      <c r="L214" s="56">
        <v>0</v>
      </c>
      <c r="M214" s="57">
        <v>0</v>
      </c>
      <c r="N214" s="59">
        <v>10920</v>
      </c>
    </row>
    <row r="215" spans="1:14">
      <c r="A215" s="21" t="s">
        <v>905</v>
      </c>
      <c r="B215" s="5" t="s">
        <v>1023</v>
      </c>
      <c r="C215" s="6" t="s">
        <v>1024</v>
      </c>
      <c r="D215" s="6" t="s">
        <v>135</v>
      </c>
      <c r="E215" s="6">
        <v>13699449</v>
      </c>
      <c r="F215" s="18">
        <v>23553.73</v>
      </c>
      <c r="G215" s="18">
        <v>0</v>
      </c>
      <c r="H215" s="6">
        <v>0</v>
      </c>
      <c r="I215" s="6">
        <v>0</v>
      </c>
      <c r="J215" s="6">
        <v>0</v>
      </c>
      <c r="K215" s="6">
        <v>4946.2700000000004</v>
      </c>
      <c r="L215" s="6">
        <v>0</v>
      </c>
      <c r="M215" s="18">
        <v>0</v>
      </c>
      <c r="N215" s="22">
        <v>28500</v>
      </c>
    </row>
    <row r="216" spans="1:14">
      <c r="A216" s="58" t="s">
        <v>809</v>
      </c>
      <c r="B216" s="55" t="s">
        <v>1025</v>
      </c>
      <c r="C216" s="56" t="s">
        <v>347</v>
      </c>
      <c r="D216" s="56" t="s">
        <v>343</v>
      </c>
      <c r="E216" s="56">
        <v>30571766287</v>
      </c>
      <c r="F216" s="57">
        <v>185867.77</v>
      </c>
      <c r="G216" s="57">
        <v>0</v>
      </c>
      <c r="H216" s="56">
        <v>0</v>
      </c>
      <c r="I216" s="56">
        <v>0</v>
      </c>
      <c r="J216" s="56">
        <v>0</v>
      </c>
      <c r="K216" s="56">
        <v>39032.230000000003</v>
      </c>
      <c r="L216" s="56">
        <v>0</v>
      </c>
      <c r="M216" s="57">
        <v>0</v>
      </c>
      <c r="N216" s="59">
        <v>224900</v>
      </c>
    </row>
    <row r="217" spans="1:14">
      <c r="A217" s="21" t="s">
        <v>809</v>
      </c>
      <c r="B217" s="5" t="s">
        <v>1026</v>
      </c>
      <c r="C217" s="6" t="s">
        <v>342</v>
      </c>
      <c r="D217" s="6" t="s">
        <v>343</v>
      </c>
      <c r="E217" s="6">
        <v>30590354798</v>
      </c>
      <c r="F217" s="18">
        <v>685247.93</v>
      </c>
      <c r="G217" s="18">
        <v>0</v>
      </c>
      <c r="H217" s="6">
        <v>0</v>
      </c>
      <c r="I217" s="6">
        <v>0</v>
      </c>
      <c r="J217" s="6">
        <v>0</v>
      </c>
      <c r="K217" s="6">
        <v>143902.07</v>
      </c>
      <c r="L217" s="6">
        <v>0</v>
      </c>
      <c r="M217" s="18">
        <v>0</v>
      </c>
      <c r="N217" s="22">
        <v>829150</v>
      </c>
    </row>
    <row r="218" spans="1:14">
      <c r="A218" s="58" t="s">
        <v>809</v>
      </c>
      <c r="B218" s="55" t="s">
        <v>1027</v>
      </c>
      <c r="C218" s="56" t="s">
        <v>390</v>
      </c>
      <c r="D218" s="56" t="s">
        <v>135</v>
      </c>
      <c r="E218" s="56">
        <v>29654556</v>
      </c>
      <c r="F218" s="57">
        <v>16528.93</v>
      </c>
      <c r="G218" s="57">
        <v>0</v>
      </c>
      <c r="H218" s="56">
        <v>0</v>
      </c>
      <c r="I218" s="56">
        <v>0</v>
      </c>
      <c r="J218" s="56">
        <v>0</v>
      </c>
      <c r="K218" s="56">
        <v>3471.07</v>
      </c>
      <c r="L218" s="56">
        <v>0</v>
      </c>
      <c r="M218" s="57">
        <v>0</v>
      </c>
      <c r="N218" s="59">
        <v>20000</v>
      </c>
    </row>
    <row r="219" spans="1:14">
      <c r="A219" s="21" t="s">
        <v>809</v>
      </c>
      <c r="B219" s="5" t="s">
        <v>1028</v>
      </c>
      <c r="C219" s="6" t="s">
        <v>356</v>
      </c>
      <c r="D219" s="6" t="s">
        <v>135</v>
      </c>
      <c r="E219" s="6">
        <v>21645724</v>
      </c>
      <c r="F219" s="18">
        <v>16528.920000000002</v>
      </c>
      <c r="G219" s="18">
        <v>0</v>
      </c>
      <c r="H219" s="6">
        <v>0</v>
      </c>
      <c r="I219" s="6">
        <v>0</v>
      </c>
      <c r="J219" s="6">
        <v>0</v>
      </c>
      <c r="K219" s="6">
        <v>3471.08</v>
      </c>
      <c r="L219" s="6">
        <v>0</v>
      </c>
      <c r="M219" s="18">
        <v>0</v>
      </c>
      <c r="N219" s="22">
        <v>20000</v>
      </c>
    </row>
    <row r="220" spans="1:14">
      <c r="A220" s="58" t="s">
        <v>809</v>
      </c>
      <c r="B220" s="55" t="s">
        <v>1029</v>
      </c>
      <c r="C220" s="56" t="s">
        <v>350</v>
      </c>
      <c r="D220" s="56" t="s">
        <v>135</v>
      </c>
      <c r="E220" s="56">
        <v>3192296</v>
      </c>
      <c r="F220" s="57">
        <v>9917.36</v>
      </c>
      <c r="G220" s="57">
        <v>0</v>
      </c>
      <c r="H220" s="56">
        <v>0</v>
      </c>
      <c r="I220" s="56">
        <v>0</v>
      </c>
      <c r="J220" s="56">
        <v>0</v>
      </c>
      <c r="K220" s="56">
        <v>2082.64</v>
      </c>
      <c r="L220" s="56">
        <v>0</v>
      </c>
      <c r="M220" s="57">
        <v>0</v>
      </c>
      <c r="N220" s="59">
        <v>12000</v>
      </c>
    </row>
    <row r="221" spans="1:14">
      <c r="A221" s="21" t="s">
        <v>809</v>
      </c>
      <c r="B221" s="5" t="s">
        <v>1030</v>
      </c>
      <c r="C221" s="6" t="s">
        <v>354</v>
      </c>
      <c r="D221" s="6" t="s">
        <v>135</v>
      </c>
      <c r="E221" s="6">
        <v>4648296</v>
      </c>
      <c r="F221" s="18">
        <v>12396.69</v>
      </c>
      <c r="G221" s="18">
        <v>0</v>
      </c>
      <c r="H221" s="6">
        <v>0</v>
      </c>
      <c r="I221" s="6">
        <v>0</v>
      </c>
      <c r="J221" s="6">
        <v>0</v>
      </c>
      <c r="K221" s="6">
        <v>2603.31</v>
      </c>
      <c r="L221" s="6">
        <v>0</v>
      </c>
      <c r="M221" s="18">
        <v>0</v>
      </c>
      <c r="N221" s="22">
        <v>15000</v>
      </c>
    </row>
    <row r="222" spans="1:14">
      <c r="A222" s="58" t="s">
        <v>928</v>
      </c>
      <c r="B222" s="55" t="s">
        <v>1031</v>
      </c>
      <c r="C222" s="56" t="s">
        <v>498</v>
      </c>
      <c r="D222" s="56" t="s">
        <v>135</v>
      </c>
      <c r="E222" s="56">
        <v>17198648</v>
      </c>
      <c r="F222" s="57">
        <v>12809.92</v>
      </c>
      <c r="G222" s="57">
        <v>0</v>
      </c>
      <c r="H222" s="56">
        <v>0</v>
      </c>
      <c r="I222" s="56">
        <v>0</v>
      </c>
      <c r="J222" s="56">
        <v>0</v>
      </c>
      <c r="K222" s="56">
        <v>2690.08</v>
      </c>
      <c r="L222" s="56">
        <v>0</v>
      </c>
      <c r="M222" s="57">
        <v>0</v>
      </c>
      <c r="N222" s="59">
        <v>15500</v>
      </c>
    </row>
    <row r="223" spans="1:14">
      <c r="A223" s="21" t="s">
        <v>928</v>
      </c>
      <c r="B223" s="5" t="s">
        <v>1032</v>
      </c>
      <c r="C223" s="6" t="s">
        <v>362</v>
      </c>
      <c r="D223" s="6" t="s">
        <v>135</v>
      </c>
      <c r="E223" s="6">
        <v>21363216</v>
      </c>
      <c r="F223" s="18">
        <v>12396.69</v>
      </c>
      <c r="G223" s="18">
        <v>0</v>
      </c>
      <c r="H223" s="6">
        <v>0</v>
      </c>
      <c r="I223" s="6">
        <v>0</v>
      </c>
      <c r="J223" s="6">
        <v>0</v>
      </c>
      <c r="K223" s="6">
        <v>2603.31</v>
      </c>
      <c r="L223" s="6">
        <v>0</v>
      </c>
      <c r="M223" s="18">
        <v>0</v>
      </c>
      <c r="N223" s="22">
        <v>15000</v>
      </c>
    </row>
    <row r="224" spans="1:14">
      <c r="A224" s="58" t="s">
        <v>928</v>
      </c>
      <c r="B224" s="55" t="s">
        <v>1033</v>
      </c>
      <c r="C224" s="56" t="s">
        <v>430</v>
      </c>
      <c r="D224" s="56" t="s">
        <v>135</v>
      </c>
      <c r="E224" s="56">
        <v>22608522</v>
      </c>
      <c r="F224" s="57">
        <v>10743.8</v>
      </c>
      <c r="G224" s="57">
        <v>0</v>
      </c>
      <c r="H224" s="56">
        <v>0</v>
      </c>
      <c r="I224" s="56">
        <v>0</v>
      </c>
      <c r="J224" s="56">
        <v>0</v>
      </c>
      <c r="K224" s="56">
        <v>2256.2000000000003</v>
      </c>
      <c r="L224" s="56">
        <v>0</v>
      </c>
      <c r="M224" s="57">
        <v>0</v>
      </c>
      <c r="N224" s="59">
        <v>13000</v>
      </c>
    </row>
    <row r="225" spans="1:14">
      <c r="A225" s="21" t="s">
        <v>928</v>
      </c>
      <c r="B225" s="5" t="s">
        <v>1034</v>
      </c>
      <c r="C225" s="6" t="s">
        <v>342</v>
      </c>
      <c r="D225" s="6" t="s">
        <v>343</v>
      </c>
      <c r="E225" s="6">
        <v>30590354798</v>
      </c>
      <c r="F225" s="18">
        <v>1240783.82</v>
      </c>
      <c r="G225" s="18">
        <v>0</v>
      </c>
      <c r="H225" s="6">
        <v>0</v>
      </c>
      <c r="I225" s="6">
        <v>0</v>
      </c>
      <c r="J225" s="6">
        <v>0</v>
      </c>
      <c r="K225" s="6">
        <v>260564.6</v>
      </c>
      <c r="L225" s="6">
        <v>0</v>
      </c>
      <c r="M225" s="18">
        <v>0</v>
      </c>
      <c r="N225" s="22">
        <v>1501348.42</v>
      </c>
    </row>
    <row r="226" spans="1:14">
      <c r="A226" s="58" t="s">
        <v>821</v>
      </c>
      <c r="B226" s="55" t="s">
        <v>1035</v>
      </c>
      <c r="C226" s="56" t="s">
        <v>365</v>
      </c>
      <c r="D226" s="56" t="s">
        <v>135</v>
      </c>
      <c r="E226" s="56">
        <v>14547747</v>
      </c>
      <c r="F226" s="57">
        <v>22314.05</v>
      </c>
      <c r="G226" s="57">
        <v>0</v>
      </c>
      <c r="H226" s="56">
        <v>0</v>
      </c>
      <c r="I226" s="56">
        <v>0</v>
      </c>
      <c r="J226" s="56">
        <v>0</v>
      </c>
      <c r="K226" s="56">
        <v>4685.95</v>
      </c>
      <c r="L226" s="56">
        <v>0</v>
      </c>
      <c r="M226" s="57">
        <v>0</v>
      </c>
      <c r="N226" s="59">
        <v>27000</v>
      </c>
    </row>
    <row r="227" spans="1:14">
      <c r="A227" s="21" t="s">
        <v>821</v>
      </c>
      <c r="B227" s="5" t="s">
        <v>1036</v>
      </c>
      <c r="C227" s="6" t="s">
        <v>424</v>
      </c>
      <c r="D227" s="6" t="s">
        <v>135</v>
      </c>
      <c r="E227" s="6">
        <v>12394145</v>
      </c>
      <c r="F227" s="18">
        <v>22314.05</v>
      </c>
      <c r="G227" s="18">
        <v>0</v>
      </c>
      <c r="H227" s="6">
        <v>0</v>
      </c>
      <c r="I227" s="6">
        <v>0</v>
      </c>
      <c r="J227" s="6">
        <v>0</v>
      </c>
      <c r="K227" s="6">
        <v>4685.95</v>
      </c>
      <c r="L227" s="6">
        <v>0</v>
      </c>
      <c r="M227" s="18">
        <v>0</v>
      </c>
      <c r="N227" s="22">
        <v>27000</v>
      </c>
    </row>
    <row r="228" spans="1:14">
      <c r="A228" s="58" t="s">
        <v>821</v>
      </c>
      <c r="B228" s="55" t="s">
        <v>1037</v>
      </c>
      <c r="C228" s="56" t="s">
        <v>377</v>
      </c>
      <c r="D228" s="56" t="s">
        <v>135</v>
      </c>
      <c r="E228" s="56">
        <v>10138957</v>
      </c>
      <c r="F228" s="57">
        <v>9090.91</v>
      </c>
      <c r="G228" s="57">
        <v>0</v>
      </c>
      <c r="H228" s="56">
        <v>0</v>
      </c>
      <c r="I228" s="56">
        <v>0</v>
      </c>
      <c r="J228" s="56">
        <v>0</v>
      </c>
      <c r="K228" s="56">
        <v>1909.09</v>
      </c>
      <c r="L228" s="56">
        <v>0</v>
      </c>
      <c r="M228" s="57">
        <v>0</v>
      </c>
      <c r="N228" s="59">
        <v>11000</v>
      </c>
    </row>
    <row r="229" spans="1:14">
      <c r="A229" s="21" t="s">
        <v>821</v>
      </c>
      <c r="B229" s="5" t="s">
        <v>1038</v>
      </c>
      <c r="C229" s="6" t="s">
        <v>381</v>
      </c>
      <c r="D229" s="6" t="s">
        <v>135</v>
      </c>
      <c r="E229" s="6">
        <v>12791306</v>
      </c>
      <c r="F229" s="18">
        <v>11570.24</v>
      </c>
      <c r="G229" s="18">
        <v>0</v>
      </c>
      <c r="H229" s="6">
        <v>0</v>
      </c>
      <c r="I229" s="6">
        <v>0</v>
      </c>
      <c r="J229" s="6">
        <v>0</v>
      </c>
      <c r="K229" s="6">
        <v>2429.7600000000002</v>
      </c>
      <c r="L229" s="6">
        <v>0</v>
      </c>
      <c r="M229" s="18">
        <v>0</v>
      </c>
      <c r="N229" s="22">
        <v>14000</v>
      </c>
    </row>
    <row r="230" spans="1:14">
      <c r="A230" s="58" t="s">
        <v>821</v>
      </c>
      <c r="B230" s="55" t="s">
        <v>1039</v>
      </c>
      <c r="C230" s="56" t="s">
        <v>345</v>
      </c>
      <c r="D230" s="56" t="s">
        <v>343</v>
      </c>
      <c r="E230" s="56">
        <v>30658137642</v>
      </c>
      <c r="F230" s="57">
        <v>284910.74</v>
      </c>
      <c r="G230" s="57">
        <v>0</v>
      </c>
      <c r="H230" s="56">
        <v>0</v>
      </c>
      <c r="I230" s="56">
        <v>0</v>
      </c>
      <c r="J230" s="56">
        <v>0</v>
      </c>
      <c r="K230" s="56">
        <v>59831.26</v>
      </c>
      <c r="L230" s="56">
        <v>0</v>
      </c>
      <c r="M230" s="57">
        <v>0</v>
      </c>
      <c r="N230" s="59">
        <v>344742</v>
      </c>
    </row>
    <row r="231" spans="1:14">
      <c r="A231" s="21" t="s">
        <v>821</v>
      </c>
      <c r="B231" s="5" t="s">
        <v>1040</v>
      </c>
      <c r="C231" s="6" t="s">
        <v>369</v>
      </c>
      <c r="D231" s="6" t="s">
        <v>135</v>
      </c>
      <c r="E231" s="6">
        <v>56980</v>
      </c>
      <c r="F231" s="18">
        <v>5785.12</v>
      </c>
      <c r="G231" s="18">
        <v>0</v>
      </c>
      <c r="H231" s="6">
        <v>0</v>
      </c>
      <c r="I231" s="6">
        <v>0</v>
      </c>
      <c r="J231" s="6">
        <v>0</v>
      </c>
      <c r="K231" s="6">
        <v>1214.8800000000001</v>
      </c>
      <c r="L231" s="6">
        <v>0</v>
      </c>
      <c r="M231" s="18">
        <v>0</v>
      </c>
      <c r="N231" s="22">
        <v>7000</v>
      </c>
    </row>
    <row r="232" spans="1:14">
      <c r="A232" s="58" t="s">
        <v>821</v>
      </c>
      <c r="B232" s="55" t="s">
        <v>1041</v>
      </c>
      <c r="C232" s="56" t="s">
        <v>367</v>
      </c>
      <c r="D232" s="56" t="s">
        <v>135</v>
      </c>
      <c r="E232" s="56">
        <v>93354584</v>
      </c>
      <c r="F232" s="57">
        <v>12396.69</v>
      </c>
      <c r="G232" s="57">
        <v>0</v>
      </c>
      <c r="H232" s="56">
        <v>0</v>
      </c>
      <c r="I232" s="56">
        <v>0</v>
      </c>
      <c r="J232" s="56">
        <v>0</v>
      </c>
      <c r="K232" s="56">
        <v>2603.31</v>
      </c>
      <c r="L232" s="56">
        <v>0</v>
      </c>
      <c r="M232" s="57">
        <v>0</v>
      </c>
      <c r="N232" s="59">
        <v>15000</v>
      </c>
    </row>
    <row r="233" spans="1:14">
      <c r="A233" s="21" t="s">
        <v>1042</v>
      </c>
      <c r="B233" s="5" t="s">
        <v>1043</v>
      </c>
      <c r="C233" s="6" t="s">
        <v>438</v>
      </c>
      <c r="D233" s="6" t="s">
        <v>135</v>
      </c>
      <c r="E233" s="6">
        <v>93195134</v>
      </c>
      <c r="F233" s="18">
        <v>13458.68</v>
      </c>
      <c r="G233" s="18">
        <v>0</v>
      </c>
      <c r="H233" s="6">
        <v>0</v>
      </c>
      <c r="I233" s="6">
        <v>0</v>
      </c>
      <c r="J233" s="6">
        <v>0</v>
      </c>
      <c r="K233" s="6">
        <v>2826.32</v>
      </c>
      <c r="L233" s="6">
        <v>0</v>
      </c>
      <c r="M233" s="18">
        <v>0</v>
      </c>
      <c r="N233" s="22">
        <v>16285</v>
      </c>
    </row>
    <row r="234" spans="1:14">
      <c r="A234" s="58" t="s">
        <v>1042</v>
      </c>
      <c r="B234" s="55" t="s">
        <v>1044</v>
      </c>
      <c r="C234" s="56" t="s">
        <v>388</v>
      </c>
      <c r="D234" s="56" t="s">
        <v>135</v>
      </c>
      <c r="E234" s="56">
        <v>14123802</v>
      </c>
      <c r="F234" s="57">
        <v>24380.16</v>
      </c>
      <c r="G234" s="57">
        <v>0</v>
      </c>
      <c r="H234" s="56">
        <v>0</v>
      </c>
      <c r="I234" s="56">
        <v>0</v>
      </c>
      <c r="J234" s="56">
        <v>0</v>
      </c>
      <c r="K234" s="56">
        <v>5119.84</v>
      </c>
      <c r="L234" s="56">
        <v>0</v>
      </c>
      <c r="M234" s="57">
        <v>0</v>
      </c>
      <c r="N234" s="59">
        <v>29500</v>
      </c>
    </row>
    <row r="235" spans="1:14">
      <c r="A235" s="21" t="s">
        <v>1042</v>
      </c>
      <c r="B235" s="5" t="s">
        <v>1045</v>
      </c>
      <c r="C235" s="6" t="s">
        <v>396</v>
      </c>
      <c r="D235" s="6" t="s">
        <v>135</v>
      </c>
      <c r="E235" s="6">
        <v>17275405</v>
      </c>
      <c r="F235" s="18">
        <v>19834.71</v>
      </c>
      <c r="G235" s="18">
        <v>0</v>
      </c>
      <c r="H235" s="6">
        <v>0</v>
      </c>
      <c r="I235" s="6">
        <v>0</v>
      </c>
      <c r="J235" s="6">
        <v>0</v>
      </c>
      <c r="K235" s="6">
        <v>4165.29</v>
      </c>
      <c r="L235" s="6">
        <v>0</v>
      </c>
      <c r="M235" s="18">
        <v>0</v>
      </c>
      <c r="N235" s="22">
        <v>24000</v>
      </c>
    </row>
    <row r="236" spans="1:14">
      <c r="A236" s="58" t="s">
        <v>1042</v>
      </c>
      <c r="B236" s="55" t="s">
        <v>1046</v>
      </c>
      <c r="C236" s="56" t="s">
        <v>415</v>
      </c>
      <c r="D236" s="56" t="s">
        <v>135</v>
      </c>
      <c r="E236" s="56">
        <v>3292785</v>
      </c>
      <c r="F236" s="57">
        <v>3421.49</v>
      </c>
      <c r="G236" s="57">
        <v>0</v>
      </c>
      <c r="H236" s="56">
        <v>0</v>
      </c>
      <c r="I236" s="56">
        <v>0</v>
      </c>
      <c r="J236" s="56">
        <v>0</v>
      </c>
      <c r="K236" s="56">
        <v>718.51</v>
      </c>
      <c r="L236" s="56">
        <v>0</v>
      </c>
      <c r="M236" s="57">
        <v>0</v>
      </c>
      <c r="N236" s="59">
        <v>4140</v>
      </c>
    </row>
    <row r="237" spans="1:14">
      <c r="A237" s="21" t="s">
        <v>1042</v>
      </c>
      <c r="B237" s="5" t="s">
        <v>1047</v>
      </c>
      <c r="C237" s="6" t="s">
        <v>417</v>
      </c>
      <c r="D237" s="6" t="s">
        <v>135</v>
      </c>
      <c r="E237" s="6">
        <v>20008996</v>
      </c>
      <c r="F237" s="18">
        <v>13223.14</v>
      </c>
      <c r="G237" s="18">
        <v>0</v>
      </c>
      <c r="H237" s="6">
        <v>0</v>
      </c>
      <c r="I237" s="6">
        <v>0</v>
      </c>
      <c r="J237" s="6">
        <v>0</v>
      </c>
      <c r="K237" s="6">
        <v>2776.86</v>
      </c>
      <c r="L237" s="6">
        <v>0</v>
      </c>
      <c r="M237" s="18">
        <v>0</v>
      </c>
      <c r="N237" s="22">
        <v>16000</v>
      </c>
    </row>
    <row r="238" spans="1:14">
      <c r="A238" s="58" t="s">
        <v>1042</v>
      </c>
      <c r="B238" s="55" t="s">
        <v>1048</v>
      </c>
      <c r="C238" s="56" t="s">
        <v>417</v>
      </c>
      <c r="D238" s="56" t="s">
        <v>135</v>
      </c>
      <c r="E238" s="56">
        <v>20008996</v>
      </c>
      <c r="F238" s="57">
        <v>16528.920000000002</v>
      </c>
      <c r="G238" s="57">
        <v>0</v>
      </c>
      <c r="H238" s="56">
        <v>0</v>
      </c>
      <c r="I238" s="56">
        <v>0</v>
      </c>
      <c r="J238" s="56">
        <v>0</v>
      </c>
      <c r="K238" s="56">
        <v>3471.08</v>
      </c>
      <c r="L238" s="56">
        <v>0</v>
      </c>
      <c r="M238" s="57">
        <v>0</v>
      </c>
      <c r="N238" s="59">
        <v>20000</v>
      </c>
    </row>
    <row r="239" spans="1:14">
      <c r="A239" s="21" t="s">
        <v>959</v>
      </c>
      <c r="B239" s="5" t="s">
        <v>1049</v>
      </c>
      <c r="C239" s="6" t="s">
        <v>1050</v>
      </c>
      <c r="D239" s="6" t="s">
        <v>135</v>
      </c>
      <c r="E239" s="6">
        <v>22001100</v>
      </c>
      <c r="F239" s="18">
        <v>29752.07</v>
      </c>
      <c r="G239" s="18">
        <v>0</v>
      </c>
      <c r="H239" s="6">
        <v>0</v>
      </c>
      <c r="I239" s="6">
        <v>0</v>
      </c>
      <c r="J239" s="6">
        <v>0</v>
      </c>
      <c r="K239" s="6">
        <v>6247.93</v>
      </c>
      <c r="L239" s="6">
        <v>0</v>
      </c>
      <c r="M239" s="18">
        <v>0</v>
      </c>
      <c r="N239" s="22">
        <v>36000</v>
      </c>
    </row>
    <row r="240" spans="1:14">
      <c r="A240" s="58" t="s">
        <v>959</v>
      </c>
      <c r="B240" s="55" t="s">
        <v>1051</v>
      </c>
      <c r="C240" s="56" t="s">
        <v>347</v>
      </c>
      <c r="D240" s="56" t="s">
        <v>343</v>
      </c>
      <c r="E240" s="56">
        <v>30571766287</v>
      </c>
      <c r="F240" s="57">
        <v>106266.12</v>
      </c>
      <c r="G240" s="57">
        <v>0</v>
      </c>
      <c r="H240" s="56">
        <v>0</v>
      </c>
      <c r="I240" s="56">
        <v>0</v>
      </c>
      <c r="J240" s="56">
        <v>0</v>
      </c>
      <c r="K240" s="56">
        <v>22315.88</v>
      </c>
      <c r="L240" s="56">
        <v>0</v>
      </c>
      <c r="M240" s="57">
        <v>0</v>
      </c>
      <c r="N240" s="59">
        <v>128582</v>
      </c>
    </row>
    <row r="241" spans="1:14">
      <c r="A241" s="21" t="s">
        <v>789</v>
      </c>
      <c r="B241" s="5" t="s">
        <v>1052</v>
      </c>
      <c r="C241" s="6" t="s">
        <v>428</v>
      </c>
      <c r="D241" s="6" t="s">
        <v>135</v>
      </c>
      <c r="E241" s="6">
        <v>93332052</v>
      </c>
      <c r="F241" s="18">
        <v>4545.45</v>
      </c>
      <c r="G241" s="18">
        <v>0</v>
      </c>
      <c r="H241" s="6">
        <v>0</v>
      </c>
      <c r="I241" s="6">
        <v>0</v>
      </c>
      <c r="J241" s="6">
        <v>0</v>
      </c>
      <c r="K241" s="6">
        <v>954.55</v>
      </c>
      <c r="L241" s="6">
        <v>0</v>
      </c>
      <c r="M241" s="18">
        <v>0</v>
      </c>
      <c r="N241" s="22">
        <v>5500</v>
      </c>
    </row>
    <row r="242" spans="1:14">
      <c r="A242" s="58" t="s">
        <v>789</v>
      </c>
      <c r="B242" s="55" t="s">
        <v>1053</v>
      </c>
      <c r="C242" s="56" t="s">
        <v>1054</v>
      </c>
      <c r="D242" s="56" t="s">
        <v>135</v>
      </c>
      <c r="E242" s="56" t="s">
        <v>136</v>
      </c>
      <c r="F242" s="57">
        <v>16528.93</v>
      </c>
      <c r="G242" s="57">
        <v>0</v>
      </c>
      <c r="H242" s="56">
        <v>0</v>
      </c>
      <c r="I242" s="56">
        <v>0</v>
      </c>
      <c r="J242" s="56">
        <v>0</v>
      </c>
      <c r="K242" s="56">
        <v>3471.07</v>
      </c>
      <c r="L242" s="56">
        <v>0</v>
      </c>
      <c r="M242" s="57">
        <v>0</v>
      </c>
      <c r="N242" s="59">
        <v>20000</v>
      </c>
    </row>
    <row r="243" spans="1:14">
      <c r="A243" s="21" t="s">
        <v>789</v>
      </c>
      <c r="B243" s="5" t="s">
        <v>1055</v>
      </c>
      <c r="C243" s="6" t="s">
        <v>426</v>
      </c>
      <c r="D243" s="6" t="s">
        <v>135</v>
      </c>
      <c r="E243" s="6">
        <v>24699538</v>
      </c>
      <c r="F243" s="18">
        <v>11570.24</v>
      </c>
      <c r="G243" s="18">
        <v>0</v>
      </c>
      <c r="H243" s="6">
        <v>0</v>
      </c>
      <c r="I243" s="6">
        <v>0</v>
      </c>
      <c r="J243" s="6">
        <v>0</v>
      </c>
      <c r="K243" s="6">
        <v>2429.7600000000002</v>
      </c>
      <c r="L243" s="6">
        <v>0</v>
      </c>
      <c r="M243" s="18">
        <v>0</v>
      </c>
      <c r="N243" s="22">
        <v>14000</v>
      </c>
    </row>
    <row r="244" spans="1:14">
      <c r="A244" s="58" t="s">
        <v>789</v>
      </c>
      <c r="B244" s="55" t="s">
        <v>1056</v>
      </c>
      <c r="C244" s="56" t="s">
        <v>432</v>
      </c>
      <c r="D244" s="56" t="s">
        <v>135</v>
      </c>
      <c r="E244" s="56">
        <v>17855620</v>
      </c>
      <c r="F244" s="57">
        <v>10743.8</v>
      </c>
      <c r="G244" s="57">
        <v>0</v>
      </c>
      <c r="H244" s="56">
        <v>0</v>
      </c>
      <c r="I244" s="56">
        <v>0</v>
      </c>
      <c r="J244" s="56">
        <v>0</v>
      </c>
      <c r="K244" s="56">
        <v>2256.2000000000003</v>
      </c>
      <c r="L244" s="56">
        <v>0</v>
      </c>
      <c r="M244" s="57">
        <v>0</v>
      </c>
      <c r="N244" s="59">
        <v>13000</v>
      </c>
    </row>
    <row r="245" spans="1:14">
      <c r="A245" s="21" t="s">
        <v>789</v>
      </c>
      <c r="B245" s="5" t="s">
        <v>1057</v>
      </c>
      <c r="C245" s="6" t="s">
        <v>375</v>
      </c>
      <c r="D245" s="6" t="s">
        <v>135</v>
      </c>
      <c r="E245" s="6">
        <v>36622635</v>
      </c>
      <c r="F245" s="18">
        <v>16528.920000000002</v>
      </c>
      <c r="G245" s="18">
        <v>0</v>
      </c>
      <c r="H245" s="6">
        <v>0</v>
      </c>
      <c r="I245" s="6">
        <v>0</v>
      </c>
      <c r="J245" s="6">
        <v>0</v>
      </c>
      <c r="K245" s="6">
        <v>3471.08</v>
      </c>
      <c r="L245" s="6">
        <v>0</v>
      </c>
      <c r="M245" s="18">
        <v>0</v>
      </c>
      <c r="N245" s="22">
        <v>20000</v>
      </c>
    </row>
    <row r="246" spans="1:14">
      <c r="A246" s="58" t="s">
        <v>789</v>
      </c>
      <c r="B246" s="55" t="s">
        <v>1058</v>
      </c>
      <c r="C246" s="56" t="s">
        <v>371</v>
      </c>
      <c r="D246" s="56" t="s">
        <v>135</v>
      </c>
      <c r="E246" s="56">
        <v>705467</v>
      </c>
      <c r="F246" s="57">
        <v>9090.91</v>
      </c>
      <c r="G246" s="57">
        <v>0</v>
      </c>
      <c r="H246" s="56">
        <v>0</v>
      </c>
      <c r="I246" s="56">
        <v>0</v>
      </c>
      <c r="J246" s="56">
        <v>0</v>
      </c>
      <c r="K246" s="56">
        <v>1909.09</v>
      </c>
      <c r="L246" s="56">
        <v>0</v>
      </c>
      <c r="M246" s="57">
        <v>0</v>
      </c>
      <c r="N246" s="59">
        <v>11000</v>
      </c>
    </row>
    <row r="247" spans="1:14">
      <c r="A247" s="21" t="s">
        <v>836</v>
      </c>
      <c r="B247" s="5" t="s">
        <v>1059</v>
      </c>
      <c r="C247" s="6" t="s">
        <v>377</v>
      </c>
      <c r="D247" s="6" t="s">
        <v>135</v>
      </c>
      <c r="E247" s="6">
        <v>10138957</v>
      </c>
      <c r="F247" s="18">
        <v>9090.91</v>
      </c>
      <c r="G247" s="18">
        <v>0</v>
      </c>
      <c r="H247" s="6">
        <v>0</v>
      </c>
      <c r="I247" s="6">
        <v>0</v>
      </c>
      <c r="J247" s="6">
        <v>0</v>
      </c>
      <c r="K247" s="6">
        <v>1909.09</v>
      </c>
      <c r="L247" s="6">
        <v>0</v>
      </c>
      <c r="M247" s="18">
        <v>0</v>
      </c>
      <c r="N247" s="22">
        <v>11000</v>
      </c>
    </row>
    <row r="248" spans="1:14">
      <c r="A248" s="58" t="s">
        <v>836</v>
      </c>
      <c r="B248" s="55" t="s">
        <v>1060</v>
      </c>
      <c r="C248" s="56" t="s">
        <v>1061</v>
      </c>
      <c r="D248" s="56" t="s">
        <v>135</v>
      </c>
      <c r="E248" s="56">
        <v>3955768</v>
      </c>
      <c r="F248" s="57">
        <v>16528.93</v>
      </c>
      <c r="G248" s="57">
        <v>0</v>
      </c>
      <c r="H248" s="56">
        <v>0</v>
      </c>
      <c r="I248" s="56">
        <v>0</v>
      </c>
      <c r="J248" s="56">
        <v>0</v>
      </c>
      <c r="K248" s="56">
        <v>3471.07</v>
      </c>
      <c r="L248" s="56">
        <v>0</v>
      </c>
      <c r="M248" s="57">
        <v>0</v>
      </c>
      <c r="N248" s="59">
        <v>20000</v>
      </c>
    </row>
    <row r="249" spans="1:14">
      <c r="A249" s="21" t="s">
        <v>836</v>
      </c>
      <c r="B249" s="5" t="s">
        <v>1062</v>
      </c>
      <c r="C249" s="6" t="s">
        <v>447</v>
      </c>
      <c r="D249" s="6" t="s">
        <v>135</v>
      </c>
      <c r="E249" s="6">
        <v>5607654</v>
      </c>
      <c r="F249" s="18">
        <v>13223.14</v>
      </c>
      <c r="G249" s="18">
        <v>0</v>
      </c>
      <c r="H249" s="6">
        <v>0</v>
      </c>
      <c r="I249" s="6">
        <v>0</v>
      </c>
      <c r="J249" s="6">
        <v>0</v>
      </c>
      <c r="K249" s="6">
        <v>2776.86</v>
      </c>
      <c r="L249" s="6">
        <v>0</v>
      </c>
      <c r="M249" s="18">
        <v>0</v>
      </c>
      <c r="N249" s="22">
        <v>16000</v>
      </c>
    </row>
    <row r="250" spans="1:14">
      <c r="A250" s="58" t="s">
        <v>836</v>
      </c>
      <c r="B250" s="55" t="s">
        <v>1063</v>
      </c>
      <c r="C250" s="56" t="s">
        <v>447</v>
      </c>
      <c r="D250" s="56" t="s">
        <v>135</v>
      </c>
      <c r="E250" s="56">
        <v>5607654</v>
      </c>
      <c r="F250" s="57">
        <v>16528.920000000002</v>
      </c>
      <c r="G250" s="57">
        <v>0</v>
      </c>
      <c r="H250" s="56">
        <v>0</v>
      </c>
      <c r="I250" s="56">
        <v>0</v>
      </c>
      <c r="J250" s="56">
        <v>0</v>
      </c>
      <c r="K250" s="56">
        <v>3471.08</v>
      </c>
      <c r="L250" s="56">
        <v>0</v>
      </c>
      <c r="M250" s="57">
        <v>0</v>
      </c>
      <c r="N250" s="59">
        <v>20000</v>
      </c>
    </row>
    <row r="251" spans="1:14">
      <c r="A251" s="21" t="s">
        <v>792</v>
      </c>
      <c r="B251" s="5" t="s">
        <v>1064</v>
      </c>
      <c r="C251" s="6" t="s">
        <v>453</v>
      </c>
      <c r="D251" s="6" t="s">
        <v>135</v>
      </c>
      <c r="E251" s="6">
        <v>5804480</v>
      </c>
      <c r="F251" s="18">
        <v>9917.36</v>
      </c>
      <c r="G251" s="18">
        <v>0</v>
      </c>
      <c r="H251" s="6">
        <v>0</v>
      </c>
      <c r="I251" s="6">
        <v>0</v>
      </c>
      <c r="J251" s="6">
        <v>0</v>
      </c>
      <c r="K251" s="6">
        <v>2082.64</v>
      </c>
      <c r="L251" s="6">
        <v>0</v>
      </c>
      <c r="M251" s="18">
        <v>0</v>
      </c>
      <c r="N251" s="22">
        <v>12000</v>
      </c>
    </row>
    <row r="252" spans="1:14">
      <c r="A252" s="58" t="s">
        <v>792</v>
      </c>
      <c r="B252" s="55" t="s">
        <v>1065</v>
      </c>
      <c r="C252" s="56" t="s">
        <v>419</v>
      </c>
      <c r="D252" s="56" t="s">
        <v>135</v>
      </c>
      <c r="E252" s="56">
        <v>3087423</v>
      </c>
      <c r="F252" s="57">
        <v>4016.53</v>
      </c>
      <c r="G252" s="57">
        <v>0</v>
      </c>
      <c r="H252" s="56">
        <v>0</v>
      </c>
      <c r="I252" s="56">
        <v>0</v>
      </c>
      <c r="J252" s="56">
        <v>0</v>
      </c>
      <c r="K252" s="56">
        <v>843.47</v>
      </c>
      <c r="L252" s="56">
        <v>0</v>
      </c>
      <c r="M252" s="57">
        <v>0</v>
      </c>
      <c r="N252" s="59">
        <v>4860</v>
      </c>
    </row>
    <row r="253" spans="1:14">
      <c r="A253" s="21" t="s">
        <v>792</v>
      </c>
      <c r="B253" s="5" t="s">
        <v>1066</v>
      </c>
      <c r="C253" s="6" t="s">
        <v>455</v>
      </c>
      <c r="D253" s="6" t="s">
        <v>135</v>
      </c>
      <c r="E253" s="6">
        <v>17814995</v>
      </c>
      <c r="F253" s="18">
        <v>13223.14</v>
      </c>
      <c r="G253" s="18">
        <v>0</v>
      </c>
      <c r="H253" s="6">
        <v>0</v>
      </c>
      <c r="I253" s="6">
        <v>0</v>
      </c>
      <c r="J253" s="6">
        <v>0</v>
      </c>
      <c r="K253" s="6">
        <v>2776.86</v>
      </c>
      <c r="L253" s="6">
        <v>0</v>
      </c>
      <c r="M253" s="18">
        <v>0</v>
      </c>
      <c r="N253" s="22">
        <v>16000</v>
      </c>
    </row>
    <row r="254" spans="1:14">
      <c r="A254" s="58" t="s">
        <v>792</v>
      </c>
      <c r="B254" s="55" t="s">
        <v>1067</v>
      </c>
      <c r="C254" s="56" t="s">
        <v>388</v>
      </c>
      <c r="D254" s="56" t="s">
        <v>135</v>
      </c>
      <c r="E254" s="56">
        <v>14123802</v>
      </c>
      <c r="F254" s="57">
        <v>13223.15</v>
      </c>
      <c r="G254" s="57">
        <v>0</v>
      </c>
      <c r="H254" s="56">
        <v>0</v>
      </c>
      <c r="I254" s="56">
        <v>0</v>
      </c>
      <c r="J254" s="56">
        <v>0</v>
      </c>
      <c r="K254" s="56">
        <v>2776.85</v>
      </c>
      <c r="L254" s="56">
        <v>0</v>
      </c>
      <c r="M254" s="57">
        <v>0</v>
      </c>
      <c r="N254" s="59">
        <v>16000</v>
      </c>
    </row>
    <row r="255" spans="1:14">
      <c r="A255" s="21" t="s">
        <v>792</v>
      </c>
      <c r="B255" s="5" t="s">
        <v>1068</v>
      </c>
      <c r="C255" s="6" t="s">
        <v>394</v>
      </c>
      <c r="D255" s="6" t="s">
        <v>135</v>
      </c>
      <c r="E255" s="6">
        <v>37904748</v>
      </c>
      <c r="F255" s="18">
        <v>16528.920000000002</v>
      </c>
      <c r="G255" s="18">
        <v>0</v>
      </c>
      <c r="H255" s="6">
        <v>0</v>
      </c>
      <c r="I255" s="6">
        <v>0</v>
      </c>
      <c r="J255" s="6">
        <v>0</v>
      </c>
      <c r="K255" s="6">
        <v>3471.08</v>
      </c>
      <c r="L255" s="6">
        <v>0</v>
      </c>
      <c r="M255" s="18">
        <v>0</v>
      </c>
      <c r="N255" s="22">
        <v>20000</v>
      </c>
    </row>
    <row r="256" spans="1:14">
      <c r="A256" s="58" t="s">
        <v>795</v>
      </c>
      <c r="B256" s="55" t="s">
        <v>1069</v>
      </c>
      <c r="C256" s="56" t="s">
        <v>445</v>
      </c>
      <c r="D256" s="56" t="s">
        <v>135</v>
      </c>
      <c r="E256" s="56">
        <v>25864351</v>
      </c>
      <c r="F256" s="57">
        <v>16528.920000000002</v>
      </c>
      <c r="G256" s="57">
        <v>0</v>
      </c>
      <c r="H256" s="56">
        <v>0</v>
      </c>
      <c r="I256" s="56">
        <v>0</v>
      </c>
      <c r="J256" s="56">
        <v>0</v>
      </c>
      <c r="K256" s="56">
        <v>3471.08</v>
      </c>
      <c r="L256" s="56">
        <v>0</v>
      </c>
      <c r="M256" s="57">
        <v>0</v>
      </c>
      <c r="N256" s="59">
        <v>20000</v>
      </c>
    </row>
    <row r="257" spans="1:14">
      <c r="A257" s="21" t="s">
        <v>795</v>
      </c>
      <c r="B257" s="5" t="s">
        <v>1070</v>
      </c>
      <c r="C257" s="6" t="s">
        <v>360</v>
      </c>
      <c r="D257" s="6" t="s">
        <v>135</v>
      </c>
      <c r="E257" s="6">
        <v>4186965</v>
      </c>
      <c r="F257" s="18">
        <v>38429.760000000002</v>
      </c>
      <c r="G257" s="18">
        <v>0</v>
      </c>
      <c r="H257" s="6">
        <v>0</v>
      </c>
      <c r="I257" s="6">
        <v>0</v>
      </c>
      <c r="J257" s="6">
        <v>0</v>
      </c>
      <c r="K257" s="6">
        <v>8070.24</v>
      </c>
      <c r="L257" s="6">
        <v>0</v>
      </c>
      <c r="M257" s="18">
        <v>0</v>
      </c>
      <c r="N257" s="22">
        <v>46500</v>
      </c>
    </row>
    <row r="258" spans="1:14">
      <c r="A258" s="58" t="s">
        <v>795</v>
      </c>
      <c r="B258" s="55" t="s">
        <v>1071</v>
      </c>
      <c r="C258" s="56" t="s">
        <v>406</v>
      </c>
      <c r="D258" s="56" t="s">
        <v>135</v>
      </c>
      <c r="E258" s="56">
        <v>27807195</v>
      </c>
      <c r="F258" s="57">
        <v>12809.92</v>
      </c>
      <c r="G258" s="57">
        <v>0</v>
      </c>
      <c r="H258" s="56">
        <v>0</v>
      </c>
      <c r="I258" s="56">
        <v>0</v>
      </c>
      <c r="J258" s="56">
        <v>0</v>
      </c>
      <c r="K258" s="56">
        <v>2690.08</v>
      </c>
      <c r="L258" s="56">
        <v>0</v>
      </c>
      <c r="M258" s="57">
        <v>0</v>
      </c>
      <c r="N258" s="59">
        <v>15500</v>
      </c>
    </row>
    <row r="259" spans="1:14">
      <c r="A259" s="21" t="s">
        <v>795</v>
      </c>
      <c r="B259" s="5" t="s">
        <v>1072</v>
      </c>
      <c r="C259" s="6" t="s">
        <v>408</v>
      </c>
      <c r="D259" s="6" t="s">
        <v>135</v>
      </c>
      <c r="E259" s="6">
        <v>2719694</v>
      </c>
      <c r="F259" s="18">
        <v>4016.53</v>
      </c>
      <c r="G259" s="18">
        <v>0</v>
      </c>
      <c r="H259" s="6">
        <v>0</v>
      </c>
      <c r="I259" s="6">
        <v>0</v>
      </c>
      <c r="J259" s="6">
        <v>0</v>
      </c>
      <c r="K259" s="6">
        <v>843.47</v>
      </c>
      <c r="L259" s="6">
        <v>0</v>
      </c>
      <c r="M259" s="18">
        <v>0</v>
      </c>
      <c r="N259" s="22">
        <v>4860</v>
      </c>
    </row>
    <row r="260" spans="1:14" hidden="1">
      <c r="A260" s="58" t="s">
        <v>802</v>
      </c>
      <c r="B260" s="55" t="s">
        <v>1073</v>
      </c>
      <c r="C260" s="56" t="s">
        <v>134</v>
      </c>
      <c r="D260" s="56" t="s">
        <v>135</v>
      </c>
      <c r="E260" s="56" t="s">
        <v>136</v>
      </c>
      <c r="F260" s="57">
        <v>-20661.16</v>
      </c>
      <c r="G260" s="57">
        <v>0</v>
      </c>
      <c r="H260" s="56">
        <v>0</v>
      </c>
      <c r="I260" s="56">
        <v>0</v>
      </c>
      <c r="J260" s="56">
        <v>0</v>
      </c>
      <c r="K260" s="56">
        <v>-4338.84</v>
      </c>
      <c r="L260" s="56">
        <v>0</v>
      </c>
      <c r="M260" s="57">
        <v>0</v>
      </c>
      <c r="N260" s="59">
        <v>-25000</v>
      </c>
    </row>
    <row r="261" spans="1:14">
      <c r="A261" s="21" t="s">
        <v>834</v>
      </c>
      <c r="B261" s="5" t="s">
        <v>1074</v>
      </c>
      <c r="C261" s="6" t="s">
        <v>948</v>
      </c>
      <c r="D261" s="6" t="s">
        <v>135</v>
      </c>
      <c r="E261" s="6">
        <v>13411116</v>
      </c>
      <c r="F261" s="18">
        <v>-15041.32</v>
      </c>
      <c r="G261" s="18">
        <v>0</v>
      </c>
      <c r="H261" s="6">
        <v>0</v>
      </c>
      <c r="I261" s="6">
        <v>0</v>
      </c>
      <c r="J261" s="6">
        <v>0</v>
      </c>
      <c r="K261" s="6">
        <v>-3158.68</v>
      </c>
      <c r="L261" s="6">
        <v>0</v>
      </c>
      <c r="M261" s="18">
        <v>0</v>
      </c>
      <c r="N261" s="22">
        <v>-18200</v>
      </c>
    </row>
    <row r="262" spans="1:14" hidden="1">
      <c r="A262" s="58" t="s">
        <v>795</v>
      </c>
      <c r="B262" s="55" t="s">
        <v>1075</v>
      </c>
      <c r="C262" s="56" t="s">
        <v>134</v>
      </c>
      <c r="D262" s="56" t="s">
        <v>135</v>
      </c>
      <c r="E262" s="56" t="s">
        <v>136</v>
      </c>
      <c r="F262" s="57">
        <v>-10743.8</v>
      </c>
      <c r="G262" s="57">
        <v>0</v>
      </c>
      <c r="H262" s="56">
        <v>0</v>
      </c>
      <c r="I262" s="56">
        <v>0</v>
      </c>
      <c r="J262" s="56">
        <v>0</v>
      </c>
      <c r="K262" s="56">
        <v>-2256.2000000000003</v>
      </c>
      <c r="L262" s="56">
        <v>0</v>
      </c>
      <c r="M262" s="57">
        <v>0</v>
      </c>
      <c r="N262" s="59">
        <v>-13000</v>
      </c>
    </row>
    <row r="263" spans="1:14">
      <c r="A263" s="21" t="s">
        <v>836</v>
      </c>
      <c r="B263" s="5" t="s">
        <v>1076</v>
      </c>
      <c r="C263" s="6" t="s">
        <v>447</v>
      </c>
      <c r="D263" s="6" t="s">
        <v>135</v>
      </c>
      <c r="E263" s="6">
        <v>5607654</v>
      </c>
      <c r="F263" s="18">
        <v>-13223.14</v>
      </c>
      <c r="G263" s="18">
        <v>0</v>
      </c>
      <c r="H263" s="6">
        <v>0</v>
      </c>
      <c r="I263" s="6">
        <v>0</v>
      </c>
      <c r="J263" s="6">
        <v>0</v>
      </c>
      <c r="K263" s="6">
        <v>-2776.86</v>
      </c>
      <c r="L263" s="6">
        <v>0</v>
      </c>
      <c r="M263" s="18">
        <v>0</v>
      </c>
      <c r="N263" s="22">
        <v>-16000</v>
      </c>
    </row>
    <row r="264" spans="1:14">
      <c r="A264" s="60" t="s">
        <v>836</v>
      </c>
      <c r="B264" s="61" t="s">
        <v>1077</v>
      </c>
      <c r="C264" s="62" t="s">
        <v>347</v>
      </c>
      <c r="D264" s="62" t="s">
        <v>343</v>
      </c>
      <c r="E264" s="62">
        <v>30571766287</v>
      </c>
      <c r="F264" s="63">
        <v>-26264.46</v>
      </c>
      <c r="G264" s="63">
        <v>0</v>
      </c>
      <c r="H264" s="62">
        <v>0</v>
      </c>
      <c r="I264" s="62">
        <v>0</v>
      </c>
      <c r="J264" s="62">
        <v>0</v>
      </c>
      <c r="K264" s="62">
        <v>-5515.54</v>
      </c>
      <c r="L264" s="62">
        <v>0</v>
      </c>
      <c r="M264" s="63">
        <v>0</v>
      </c>
      <c r="N264" s="64">
        <v>-31780</v>
      </c>
    </row>
    <row r="265" spans="1:14">
      <c r="A265" s="60"/>
      <c r="B265" s="61"/>
      <c r="C265" s="62"/>
      <c r="D265" s="62"/>
      <c r="E265" s="62"/>
      <c r="F265" s="65">
        <f>SUBTOTAL(109,Tabla4[Gravado])</f>
        <v>4282080.5000000028</v>
      </c>
      <c r="G265" s="65"/>
      <c r="H265" s="66"/>
      <c r="I265" s="66"/>
      <c r="J265" s="66"/>
      <c r="K265" s="66">
        <f>SUBTOTAL(109,Tabla4[IVA 21%])</f>
        <v>899236.91999999946</v>
      </c>
      <c r="L265" s="66"/>
      <c r="M265" s="65"/>
      <c r="N265" s="67">
        <f>SUBTOTAL(109,Tabla4[Total Compr.])</f>
        <v>5181317.42</v>
      </c>
    </row>
    <row r="269" spans="1:14">
      <c r="I269" s="33"/>
      <c r="J269" s="53" t="s">
        <v>460</v>
      </c>
      <c r="K269" s="54" t="s">
        <v>787</v>
      </c>
      <c r="L269" s="54" t="s">
        <v>459</v>
      </c>
    </row>
    <row r="270" spans="1:14">
      <c r="I270" s="51" t="s">
        <v>461</v>
      </c>
      <c r="J270" s="52">
        <f>F62</f>
        <v>212194687.72000009</v>
      </c>
      <c r="K270" s="52">
        <f>K62</f>
        <v>44560884.429999977</v>
      </c>
      <c r="L270" s="52">
        <f>N62</f>
        <v>256755572.14999998</v>
      </c>
    </row>
    <row r="271" spans="1:14">
      <c r="I271" s="51" t="s">
        <v>462</v>
      </c>
      <c r="J271" s="52">
        <f>Tabla4[[#Totals],[Gravado]]</f>
        <v>4282080.5000000028</v>
      </c>
      <c r="K271" s="52">
        <f>Tabla4[[#Totals],[IVA 21%]]</f>
        <v>899236.91999999946</v>
      </c>
      <c r="L271" s="52">
        <f>Tabla4[[#Totals],[Total Compr.]]</f>
        <v>5181317.42</v>
      </c>
    </row>
    <row r="272" spans="1:14">
      <c r="I272" s="69" t="s">
        <v>1078</v>
      </c>
      <c r="J272" s="70">
        <f>SUM(J270:J271)</f>
        <v>216476768.22000009</v>
      </c>
      <c r="K272" s="70">
        <f>SUM(K270:K271)</f>
        <v>45460121.349999979</v>
      </c>
      <c r="L272" s="70">
        <f>SUM(L270:L271)</f>
        <v>261936889.56999996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4"/>
  <sheetViews>
    <sheetView zoomScale="90" zoomScaleNormal="90" workbookViewId="0">
      <selection activeCell="A11" sqref="A11:F325"/>
    </sheetView>
  </sheetViews>
  <sheetFormatPr baseColWidth="10" defaultColWidth="11.5703125" defaultRowHeight="15"/>
  <cols>
    <col min="2" max="2" width="20" customWidth="1"/>
    <col min="4" max="4" width="16.28515625" customWidth="1"/>
    <col min="5" max="5" width="15.7109375" style="36" bestFit="1" customWidth="1"/>
    <col min="6" max="6" width="15.140625" style="77" bestFit="1" customWidth="1"/>
    <col min="7" max="7" width="14.7109375" style="77" bestFit="1" customWidth="1"/>
    <col min="8" max="8" width="13.7109375" style="77" bestFit="1" customWidth="1"/>
    <col min="9" max="9" width="14.7109375" style="77" bestFit="1" customWidth="1"/>
    <col min="10" max="10" width="13.85546875" style="77" bestFit="1" customWidth="1"/>
    <col min="11" max="11" width="14.140625" style="77" bestFit="1" customWidth="1"/>
    <col min="12" max="12" width="13.85546875" style="77" bestFit="1" customWidth="1"/>
    <col min="13" max="13" width="12.140625" style="77" bestFit="1" customWidth="1"/>
    <col min="14" max="14" width="15.140625" style="77" bestFit="1" customWidth="1"/>
  </cols>
  <sheetData>
    <row r="1" spans="1:14" ht="18">
      <c r="A1" s="71" t="s">
        <v>1079</v>
      </c>
      <c r="E1"/>
    </row>
    <row r="2" spans="1:14" ht="15.75">
      <c r="A2" s="72" t="s">
        <v>1</v>
      </c>
      <c r="E2"/>
      <c r="L2" s="78"/>
    </row>
    <row r="3" spans="1:14">
      <c r="E3"/>
    </row>
    <row r="4" spans="1:14">
      <c r="A4" s="73" t="s">
        <v>2</v>
      </c>
      <c r="B4" s="73" t="s">
        <v>3</v>
      </c>
      <c r="C4" s="73" t="s">
        <v>4</v>
      </c>
      <c r="D4" s="73" t="s">
        <v>5</v>
      </c>
      <c r="E4" s="73" t="s">
        <v>6</v>
      </c>
      <c r="F4" s="79" t="s">
        <v>7</v>
      </c>
      <c r="G4" s="79" t="s">
        <v>8</v>
      </c>
      <c r="H4" s="79" t="s">
        <v>9</v>
      </c>
      <c r="I4" s="79" t="s">
        <v>10</v>
      </c>
      <c r="J4" s="79" t="s">
        <v>11</v>
      </c>
      <c r="K4" s="79" t="s">
        <v>12</v>
      </c>
      <c r="L4" s="79" t="s">
        <v>13</v>
      </c>
      <c r="M4" s="79" t="s">
        <v>14</v>
      </c>
      <c r="N4" s="79" t="s">
        <v>15</v>
      </c>
    </row>
    <row r="5" spans="1:14" hidden="1">
      <c r="A5" s="74" t="s">
        <v>1080</v>
      </c>
      <c r="B5" s="75" t="s">
        <v>1081</v>
      </c>
      <c r="C5" s="76" t="s">
        <v>134</v>
      </c>
      <c r="D5" s="76" t="s">
        <v>135</v>
      </c>
      <c r="E5" s="76" t="s">
        <v>136</v>
      </c>
      <c r="F5" s="80">
        <v>41239.67</v>
      </c>
      <c r="G5" s="80">
        <v>0</v>
      </c>
      <c r="H5" s="81">
        <v>0</v>
      </c>
      <c r="I5" s="81">
        <v>0</v>
      </c>
      <c r="J5" s="81">
        <v>0</v>
      </c>
      <c r="K5" s="81">
        <v>8660.33</v>
      </c>
      <c r="L5" s="81">
        <v>0</v>
      </c>
      <c r="M5" s="80">
        <v>0</v>
      </c>
      <c r="N5" s="80">
        <v>49900</v>
      </c>
    </row>
    <row r="6" spans="1:14" hidden="1">
      <c r="A6" s="74" t="s">
        <v>1080</v>
      </c>
      <c r="B6" s="75" t="s">
        <v>1082</v>
      </c>
      <c r="C6" s="76" t="s">
        <v>134</v>
      </c>
      <c r="D6" s="76" t="s">
        <v>135</v>
      </c>
      <c r="E6" s="76" t="s">
        <v>136</v>
      </c>
      <c r="F6" s="80">
        <v>15082.64</v>
      </c>
      <c r="G6" s="80">
        <v>0</v>
      </c>
      <c r="H6" s="81">
        <v>0</v>
      </c>
      <c r="I6" s="81">
        <v>0</v>
      </c>
      <c r="J6" s="81">
        <v>0</v>
      </c>
      <c r="K6" s="81">
        <v>3167.36</v>
      </c>
      <c r="L6" s="81">
        <v>0</v>
      </c>
      <c r="M6" s="80">
        <v>0</v>
      </c>
      <c r="N6" s="80">
        <v>18250</v>
      </c>
    </row>
    <row r="7" spans="1:14" hidden="1">
      <c r="A7" s="74" t="s">
        <v>1080</v>
      </c>
      <c r="B7" s="75" t="s">
        <v>1083</v>
      </c>
      <c r="C7" s="76" t="s">
        <v>134</v>
      </c>
      <c r="D7" s="76" t="s">
        <v>135</v>
      </c>
      <c r="E7" s="76" t="s">
        <v>136</v>
      </c>
      <c r="F7" s="80">
        <v>10743.8</v>
      </c>
      <c r="G7" s="80">
        <v>0</v>
      </c>
      <c r="H7" s="81">
        <v>0</v>
      </c>
      <c r="I7" s="81">
        <v>0</v>
      </c>
      <c r="J7" s="81">
        <v>0</v>
      </c>
      <c r="K7" s="81">
        <v>2256.2000000000003</v>
      </c>
      <c r="L7" s="81">
        <v>0</v>
      </c>
      <c r="M7" s="80">
        <v>0</v>
      </c>
      <c r="N7" s="80">
        <v>13000</v>
      </c>
    </row>
    <row r="8" spans="1:14" hidden="1">
      <c r="A8" s="74" t="s">
        <v>1080</v>
      </c>
      <c r="B8" s="75" t="s">
        <v>1084</v>
      </c>
      <c r="C8" s="76" t="s">
        <v>134</v>
      </c>
      <c r="D8" s="76" t="s">
        <v>135</v>
      </c>
      <c r="E8" s="76" t="s">
        <v>136</v>
      </c>
      <c r="F8" s="80">
        <v>20661.16</v>
      </c>
      <c r="G8" s="80">
        <v>0</v>
      </c>
      <c r="H8" s="81">
        <v>0</v>
      </c>
      <c r="I8" s="81">
        <v>0</v>
      </c>
      <c r="J8" s="81">
        <v>0</v>
      </c>
      <c r="K8" s="81">
        <v>4338.84</v>
      </c>
      <c r="L8" s="81">
        <v>0</v>
      </c>
      <c r="M8" s="80">
        <v>0</v>
      </c>
      <c r="N8" s="80">
        <v>25000</v>
      </c>
    </row>
    <row r="9" spans="1:14" hidden="1">
      <c r="A9" s="74" t="s">
        <v>1080</v>
      </c>
      <c r="B9" s="75" t="s">
        <v>1085</v>
      </c>
      <c r="C9" s="76" t="s">
        <v>134</v>
      </c>
      <c r="D9" s="76" t="s">
        <v>135</v>
      </c>
      <c r="E9" s="76" t="s">
        <v>136</v>
      </c>
      <c r="F9" s="80">
        <v>26611.57</v>
      </c>
      <c r="G9" s="80">
        <v>0</v>
      </c>
      <c r="H9" s="81">
        <v>0</v>
      </c>
      <c r="I9" s="81">
        <v>0</v>
      </c>
      <c r="J9" s="81">
        <v>0</v>
      </c>
      <c r="K9" s="81">
        <v>5588.43</v>
      </c>
      <c r="L9" s="81">
        <v>0</v>
      </c>
      <c r="M9" s="80">
        <v>0</v>
      </c>
      <c r="N9" s="80">
        <v>32200</v>
      </c>
    </row>
    <row r="10" spans="1:14" hidden="1">
      <c r="A10" s="74" t="s">
        <v>1080</v>
      </c>
      <c r="B10" s="75" t="s">
        <v>1086</v>
      </c>
      <c r="C10" s="76" t="s">
        <v>134</v>
      </c>
      <c r="D10" s="76" t="s">
        <v>135</v>
      </c>
      <c r="E10" s="76" t="s">
        <v>136</v>
      </c>
      <c r="F10" s="80">
        <v>8677.69</v>
      </c>
      <c r="G10" s="80">
        <v>0</v>
      </c>
      <c r="H10" s="81">
        <v>0</v>
      </c>
      <c r="I10" s="81">
        <v>0</v>
      </c>
      <c r="J10" s="81">
        <v>0</v>
      </c>
      <c r="K10" s="81">
        <v>1822.31</v>
      </c>
      <c r="L10" s="81">
        <v>0</v>
      </c>
      <c r="M10" s="80">
        <v>0</v>
      </c>
      <c r="N10" s="80">
        <v>10500</v>
      </c>
    </row>
    <row r="11" spans="1:14">
      <c r="A11" s="74" t="s">
        <v>1080</v>
      </c>
      <c r="B11" s="75" t="s">
        <v>1087</v>
      </c>
      <c r="C11" s="76" t="s">
        <v>25</v>
      </c>
      <c r="D11" s="76" t="s">
        <v>19</v>
      </c>
      <c r="E11" s="76">
        <v>30522428163</v>
      </c>
      <c r="F11" s="80">
        <v>1398468.22</v>
      </c>
      <c r="G11" s="80">
        <v>0</v>
      </c>
      <c r="H11" s="81">
        <v>0</v>
      </c>
      <c r="I11" s="81">
        <v>0</v>
      </c>
      <c r="J11" s="81">
        <v>0</v>
      </c>
      <c r="K11" s="81">
        <v>293678.33</v>
      </c>
      <c r="L11" s="81">
        <v>0</v>
      </c>
      <c r="M11" s="80">
        <v>0</v>
      </c>
      <c r="N11" s="80">
        <v>1692146.55</v>
      </c>
    </row>
    <row r="12" spans="1:14">
      <c r="A12" s="74" t="s">
        <v>1080</v>
      </c>
      <c r="B12" s="75" t="s">
        <v>1088</v>
      </c>
      <c r="C12" s="76" t="s">
        <v>25</v>
      </c>
      <c r="D12" s="76" t="s">
        <v>19</v>
      </c>
      <c r="E12" s="76">
        <v>30522428163</v>
      </c>
      <c r="F12" s="80">
        <v>1094359.21</v>
      </c>
      <c r="G12" s="80">
        <v>0</v>
      </c>
      <c r="H12" s="81">
        <v>0</v>
      </c>
      <c r="I12" s="81">
        <v>0</v>
      </c>
      <c r="J12" s="81">
        <v>0</v>
      </c>
      <c r="K12" s="81">
        <v>229815.43</v>
      </c>
      <c r="L12" s="81">
        <v>0</v>
      </c>
      <c r="M12" s="80">
        <v>0</v>
      </c>
      <c r="N12" s="80">
        <v>1324174.6400000001</v>
      </c>
    </row>
    <row r="13" spans="1:14">
      <c r="A13" s="74" t="s">
        <v>1080</v>
      </c>
      <c r="B13" s="75" t="s">
        <v>1089</v>
      </c>
      <c r="C13" s="76" t="s">
        <v>25</v>
      </c>
      <c r="D13" s="76" t="s">
        <v>19</v>
      </c>
      <c r="E13" s="76">
        <v>30522428163</v>
      </c>
      <c r="F13" s="80">
        <v>7354067.5600000005</v>
      </c>
      <c r="G13" s="80">
        <v>0</v>
      </c>
      <c r="H13" s="81">
        <v>0</v>
      </c>
      <c r="I13" s="81">
        <v>0</v>
      </c>
      <c r="J13" s="81">
        <v>0</v>
      </c>
      <c r="K13" s="81">
        <v>1544354.19</v>
      </c>
      <c r="L13" s="81">
        <v>0</v>
      </c>
      <c r="M13" s="80">
        <v>0</v>
      </c>
      <c r="N13" s="80">
        <v>8898421.75</v>
      </c>
    </row>
    <row r="14" spans="1:14">
      <c r="A14" s="74" t="s">
        <v>1080</v>
      </c>
      <c r="B14" s="75" t="s">
        <v>1090</v>
      </c>
      <c r="C14" s="76" t="s">
        <v>25</v>
      </c>
      <c r="D14" s="76" t="s">
        <v>19</v>
      </c>
      <c r="E14" s="76">
        <v>30522428163</v>
      </c>
      <c r="F14" s="80">
        <v>702814.66</v>
      </c>
      <c r="G14" s="80">
        <v>0</v>
      </c>
      <c r="H14" s="81">
        <v>0</v>
      </c>
      <c r="I14" s="81">
        <v>0</v>
      </c>
      <c r="J14" s="81">
        <v>0</v>
      </c>
      <c r="K14" s="81">
        <v>147591.08000000002</v>
      </c>
      <c r="L14" s="81">
        <v>0</v>
      </c>
      <c r="M14" s="80">
        <v>0</v>
      </c>
      <c r="N14" s="80">
        <v>850405.74</v>
      </c>
    </row>
    <row r="15" spans="1:14">
      <c r="A15" s="74" t="s">
        <v>1080</v>
      </c>
      <c r="B15" s="75" t="s">
        <v>1091</v>
      </c>
      <c r="C15" s="76" t="s">
        <v>86</v>
      </c>
      <c r="D15" s="76" t="s">
        <v>19</v>
      </c>
      <c r="E15" s="76">
        <v>30713669004</v>
      </c>
      <c r="F15" s="80">
        <v>-16884.3</v>
      </c>
      <c r="G15" s="80">
        <v>0</v>
      </c>
      <c r="H15" s="81">
        <v>0</v>
      </c>
      <c r="I15" s="81">
        <v>0</v>
      </c>
      <c r="J15" s="81">
        <v>0</v>
      </c>
      <c r="K15" s="81">
        <v>-3545.7</v>
      </c>
      <c r="L15" s="81">
        <v>0</v>
      </c>
      <c r="M15" s="80">
        <v>0</v>
      </c>
      <c r="N15" s="80">
        <v>-20430</v>
      </c>
    </row>
    <row r="16" spans="1:14">
      <c r="A16" s="74" t="s">
        <v>1080</v>
      </c>
      <c r="B16" s="75" t="s">
        <v>1092</v>
      </c>
      <c r="C16" s="76" t="s">
        <v>67</v>
      </c>
      <c r="D16" s="76" t="s">
        <v>19</v>
      </c>
      <c r="E16" s="76">
        <v>30710538014</v>
      </c>
      <c r="F16" s="80">
        <v>287545.45</v>
      </c>
      <c r="G16" s="80">
        <v>0</v>
      </c>
      <c r="H16" s="81">
        <v>0</v>
      </c>
      <c r="I16" s="81">
        <v>0</v>
      </c>
      <c r="J16" s="81">
        <v>0</v>
      </c>
      <c r="K16" s="81">
        <v>60384.54</v>
      </c>
      <c r="L16" s="81">
        <v>0</v>
      </c>
      <c r="M16" s="80">
        <v>0</v>
      </c>
      <c r="N16" s="80">
        <v>347929.99</v>
      </c>
    </row>
    <row r="17" spans="1:14">
      <c r="A17" s="74" t="s">
        <v>1080</v>
      </c>
      <c r="B17" s="75" t="s">
        <v>1093</v>
      </c>
      <c r="C17" s="76" t="s">
        <v>73</v>
      </c>
      <c r="D17" s="76" t="s">
        <v>19</v>
      </c>
      <c r="E17" s="76">
        <v>30715186655</v>
      </c>
      <c r="F17" s="80">
        <v>372426.45</v>
      </c>
      <c r="G17" s="80">
        <v>0</v>
      </c>
      <c r="H17" s="81">
        <v>0</v>
      </c>
      <c r="I17" s="81">
        <v>0</v>
      </c>
      <c r="J17" s="81">
        <v>0</v>
      </c>
      <c r="K17" s="81">
        <v>78209.55</v>
      </c>
      <c r="L17" s="81">
        <v>0</v>
      </c>
      <c r="M17" s="80">
        <v>0</v>
      </c>
      <c r="N17" s="80">
        <v>450636</v>
      </c>
    </row>
    <row r="18" spans="1:14">
      <c r="A18" s="74" t="s">
        <v>1080</v>
      </c>
      <c r="B18" s="75" t="s">
        <v>1094</v>
      </c>
      <c r="C18" s="76" t="s">
        <v>86</v>
      </c>
      <c r="D18" s="76" t="s">
        <v>19</v>
      </c>
      <c r="E18" s="76">
        <v>30713669004</v>
      </c>
      <c r="F18" s="80">
        <v>70355.37</v>
      </c>
      <c r="G18" s="80">
        <v>0</v>
      </c>
      <c r="H18" s="81">
        <v>0</v>
      </c>
      <c r="I18" s="81">
        <v>0</v>
      </c>
      <c r="J18" s="81">
        <v>0</v>
      </c>
      <c r="K18" s="81">
        <v>14774.63</v>
      </c>
      <c r="L18" s="81">
        <v>0</v>
      </c>
      <c r="M18" s="80">
        <v>0</v>
      </c>
      <c r="N18" s="80">
        <v>85130</v>
      </c>
    </row>
    <row r="19" spans="1:14">
      <c r="A19" s="74" t="s">
        <v>1080</v>
      </c>
      <c r="B19" s="75" t="s">
        <v>1095</v>
      </c>
      <c r="C19" s="76" t="s">
        <v>70</v>
      </c>
      <c r="D19" s="76" t="s">
        <v>19</v>
      </c>
      <c r="E19" s="76">
        <v>30710961790</v>
      </c>
      <c r="F19" s="80">
        <v>184231.4</v>
      </c>
      <c r="G19" s="80">
        <v>0</v>
      </c>
      <c r="H19" s="81">
        <v>0</v>
      </c>
      <c r="I19" s="81">
        <v>0</v>
      </c>
      <c r="J19" s="81">
        <v>0</v>
      </c>
      <c r="K19" s="81">
        <v>38688.590000000004</v>
      </c>
      <c r="L19" s="81">
        <v>0</v>
      </c>
      <c r="M19" s="80">
        <v>0</v>
      </c>
      <c r="N19" s="80">
        <v>222919.99</v>
      </c>
    </row>
    <row r="20" spans="1:14">
      <c r="A20" s="74" t="s">
        <v>1080</v>
      </c>
      <c r="B20" s="75" t="s">
        <v>1096</v>
      </c>
      <c r="C20" s="76" t="s">
        <v>86</v>
      </c>
      <c r="D20" s="76" t="s">
        <v>19</v>
      </c>
      <c r="E20" s="76">
        <v>30713669004</v>
      </c>
      <c r="F20" s="80">
        <v>16884.3</v>
      </c>
      <c r="G20" s="80">
        <v>0</v>
      </c>
      <c r="H20" s="81">
        <v>0</v>
      </c>
      <c r="I20" s="81">
        <v>0</v>
      </c>
      <c r="J20" s="81">
        <v>0</v>
      </c>
      <c r="K20" s="81">
        <v>3545.7</v>
      </c>
      <c r="L20" s="81">
        <v>0</v>
      </c>
      <c r="M20" s="80">
        <v>0</v>
      </c>
      <c r="N20" s="80">
        <v>20430</v>
      </c>
    </row>
    <row r="21" spans="1:14">
      <c r="A21" s="74" t="s">
        <v>1080</v>
      </c>
      <c r="B21" s="75" t="s">
        <v>1097</v>
      </c>
      <c r="C21" s="76" t="s">
        <v>84</v>
      </c>
      <c r="D21" s="76" t="s">
        <v>19</v>
      </c>
      <c r="E21" s="76">
        <v>30546771314</v>
      </c>
      <c r="F21" s="80">
        <v>16884.3</v>
      </c>
      <c r="G21" s="80">
        <v>0</v>
      </c>
      <c r="H21" s="81">
        <v>0</v>
      </c>
      <c r="I21" s="81">
        <v>0</v>
      </c>
      <c r="J21" s="81">
        <v>0</v>
      </c>
      <c r="K21" s="81">
        <v>3545.7</v>
      </c>
      <c r="L21" s="81">
        <v>0</v>
      </c>
      <c r="M21" s="80">
        <v>0</v>
      </c>
      <c r="N21" s="80">
        <v>20430</v>
      </c>
    </row>
    <row r="22" spans="1:14">
      <c r="A22" s="74" t="s">
        <v>1080</v>
      </c>
      <c r="B22" s="75" t="s">
        <v>1098</v>
      </c>
      <c r="C22" s="76" t="s">
        <v>80</v>
      </c>
      <c r="D22" s="76" t="s">
        <v>19</v>
      </c>
      <c r="E22" s="76">
        <v>30707612971</v>
      </c>
      <c r="F22" s="80">
        <v>70561.98</v>
      </c>
      <c r="G22" s="80">
        <v>0</v>
      </c>
      <c r="H22" s="81">
        <v>0</v>
      </c>
      <c r="I22" s="81">
        <v>0</v>
      </c>
      <c r="J22" s="81">
        <v>0</v>
      </c>
      <c r="K22" s="81">
        <v>14818.02</v>
      </c>
      <c r="L22" s="81">
        <v>0</v>
      </c>
      <c r="M22" s="80">
        <v>0</v>
      </c>
      <c r="N22" s="80">
        <v>85380</v>
      </c>
    </row>
    <row r="23" spans="1:14">
      <c r="A23" s="74" t="s">
        <v>1080</v>
      </c>
      <c r="B23" s="75" t="s">
        <v>1099</v>
      </c>
      <c r="C23" s="76" t="s">
        <v>76</v>
      </c>
      <c r="D23" s="76" t="s">
        <v>19</v>
      </c>
      <c r="E23" s="76">
        <v>30606274161</v>
      </c>
      <c r="F23" s="80">
        <v>197909.09</v>
      </c>
      <c r="G23" s="80">
        <v>0</v>
      </c>
      <c r="H23" s="81">
        <v>0</v>
      </c>
      <c r="I23" s="81">
        <v>0</v>
      </c>
      <c r="J23" s="81">
        <v>0</v>
      </c>
      <c r="K23" s="81">
        <v>41560.910000000003</v>
      </c>
      <c r="L23" s="81">
        <v>0</v>
      </c>
      <c r="M23" s="80">
        <v>0</v>
      </c>
      <c r="N23" s="80">
        <v>239470</v>
      </c>
    </row>
    <row r="24" spans="1:14">
      <c r="A24" s="74" t="s">
        <v>1080</v>
      </c>
      <c r="B24" s="75" t="s">
        <v>1100</v>
      </c>
      <c r="C24" s="76" t="s">
        <v>78</v>
      </c>
      <c r="D24" s="76" t="s">
        <v>19</v>
      </c>
      <c r="E24" s="76">
        <v>30712529721</v>
      </c>
      <c r="F24" s="80">
        <v>37338.840000000004</v>
      </c>
      <c r="G24" s="80">
        <v>0</v>
      </c>
      <c r="H24" s="81">
        <v>0</v>
      </c>
      <c r="I24" s="81">
        <v>0</v>
      </c>
      <c r="J24" s="81">
        <v>0</v>
      </c>
      <c r="K24" s="81">
        <v>7841.16</v>
      </c>
      <c r="L24" s="81">
        <v>0</v>
      </c>
      <c r="M24" s="80">
        <v>0</v>
      </c>
      <c r="N24" s="80">
        <v>45180</v>
      </c>
    </row>
    <row r="25" spans="1:14">
      <c r="A25" s="74" t="s">
        <v>1080</v>
      </c>
      <c r="B25" s="75" t="s">
        <v>1101</v>
      </c>
      <c r="C25" s="76" t="s">
        <v>90</v>
      </c>
      <c r="D25" s="76" t="s">
        <v>19</v>
      </c>
      <c r="E25" s="76">
        <v>30645337979</v>
      </c>
      <c r="F25" s="80">
        <v>62800.66</v>
      </c>
      <c r="G25" s="80">
        <v>0</v>
      </c>
      <c r="H25" s="81">
        <v>0</v>
      </c>
      <c r="I25" s="81">
        <v>0</v>
      </c>
      <c r="J25" s="81">
        <v>0</v>
      </c>
      <c r="K25" s="81">
        <v>13188.14</v>
      </c>
      <c r="L25" s="81">
        <v>0</v>
      </c>
      <c r="M25" s="80">
        <v>0</v>
      </c>
      <c r="N25" s="80">
        <v>75988.800000000003</v>
      </c>
    </row>
    <row r="26" spans="1:14">
      <c r="A26" s="74" t="s">
        <v>1080</v>
      </c>
      <c r="B26" s="75" t="s">
        <v>1102</v>
      </c>
      <c r="C26" s="76" t="s">
        <v>88</v>
      </c>
      <c r="D26" s="76" t="s">
        <v>19</v>
      </c>
      <c r="E26" s="76">
        <v>30711244383</v>
      </c>
      <c r="F26" s="80">
        <v>28296.21</v>
      </c>
      <c r="G26" s="80">
        <v>0</v>
      </c>
      <c r="H26" s="81">
        <v>0</v>
      </c>
      <c r="I26" s="81">
        <v>0</v>
      </c>
      <c r="J26" s="81">
        <v>0</v>
      </c>
      <c r="K26" s="81">
        <v>5942.2</v>
      </c>
      <c r="L26" s="81">
        <v>0</v>
      </c>
      <c r="M26" s="80">
        <v>0</v>
      </c>
      <c r="N26" s="80">
        <v>34238.410000000003</v>
      </c>
    </row>
    <row r="27" spans="1:14">
      <c r="A27" s="74" t="s">
        <v>1080</v>
      </c>
      <c r="B27" s="75" t="s">
        <v>1103</v>
      </c>
      <c r="C27" s="76" t="s">
        <v>92</v>
      </c>
      <c r="D27" s="76" t="s">
        <v>19</v>
      </c>
      <c r="E27" s="76">
        <v>30709016012</v>
      </c>
      <c r="F27" s="80">
        <v>79931.73</v>
      </c>
      <c r="G27" s="80">
        <v>0</v>
      </c>
      <c r="H27" s="81">
        <v>0</v>
      </c>
      <c r="I27" s="81">
        <v>0</v>
      </c>
      <c r="J27" s="81">
        <v>0</v>
      </c>
      <c r="K27" s="81">
        <v>16785.66</v>
      </c>
      <c r="L27" s="81">
        <v>0</v>
      </c>
      <c r="M27" s="80">
        <v>0</v>
      </c>
      <c r="N27" s="80">
        <v>96717.39</v>
      </c>
    </row>
    <row r="28" spans="1:14">
      <c r="A28" s="74" t="s">
        <v>1080</v>
      </c>
      <c r="B28" s="75" t="s">
        <v>1104</v>
      </c>
      <c r="C28" s="76" t="s">
        <v>25</v>
      </c>
      <c r="D28" s="76" t="s">
        <v>19</v>
      </c>
      <c r="E28" s="76">
        <v>30522428163</v>
      </c>
      <c r="F28" s="80">
        <v>45216.44</v>
      </c>
      <c r="G28" s="80">
        <v>0</v>
      </c>
      <c r="H28" s="81">
        <v>0</v>
      </c>
      <c r="I28" s="81">
        <v>0</v>
      </c>
      <c r="J28" s="81">
        <v>0</v>
      </c>
      <c r="K28" s="81">
        <v>9495.4500000000007</v>
      </c>
      <c r="L28" s="81">
        <v>0</v>
      </c>
      <c r="M28" s="80">
        <v>0</v>
      </c>
      <c r="N28" s="80">
        <v>54711.89</v>
      </c>
    </row>
    <row r="29" spans="1:14">
      <c r="A29" s="74" t="s">
        <v>1080</v>
      </c>
      <c r="B29" s="75" t="s">
        <v>1105</v>
      </c>
      <c r="C29" s="76" t="s">
        <v>347</v>
      </c>
      <c r="D29" s="76" t="s">
        <v>343</v>
      </c>
      <c r="E29" s="76">
        <v>30571766287</v>
      </c>
      <c r="F29" s="80">
        <v>110413.22</v>
      </c>
      <c r="G29" s="80">
        <v>0</v>
      </c>
      <c r="H29" s="81">
        <v>0</v>
      </c>
      <c r="I29" s="81">
        <v>0</v>
      </c>
      <c r="J29" s="81">
        <v>0</v>
      </c>
      <c r="K29" s="81">
        <v>23186.78</v>
      </c>
      <c r="L29" s="81">
        <v>0</v>
      </c>
      <c r="M29" s="80">
        <v>0</v>
      </c>
      <c r="N29" s="80">
        <v>133600</v>
      </c>
    </row>
    <row r="30" spans="1:14">
      <c r="A30" s="74" t="s">
        <v>1080</v>
      </c>
      <c r="B30" s="75" t="s">
        <v>1106</v>
      </c>
      <c r="C30" s="76" t="s">
        <v>1107</v>
      </c>
      <c r="D30" s="76" t="s">
        <v>135</v>
      </c>
      <c r="E30" s="76">
        <v>22040665</v>
      </c>
      <c r="F30" s="80">
        <v>37190.080000000002</v>
      </c>
      <c r="G30" s="80">
        <v>0</v>
      </c>
      <c r="H30" s="81">
        <v>0</v>
      </c>
      <c r="I30" s="81">
        <v>0</v>
      </c>
      <c r="J30" s="81">
        <v>0</v>
      </c>
      <c r="K30" s="81">
        <v>7809.92</v>
      </c>
      <c r="L30" s="81">
        <v>0</v>
      </c>
      <c r="M30" s="80">
        <v>0</v>
      </c>
      <c r="N30" s="80">
        <v>45000</v>
      </c>
    </row>
    <row r="31" spans="1:14">
      <c r="A31" s="74" t="s">
        <v>1080</v>
      </c>
      <c r="B31" s="75" t="s">
        <v>1108</v>
      </c>
      <c r="C31" s="76" t="s">
        <v>345</v>
      </c>
      <c r="D31" s="76" t="s">
        <v>343</v>
      </c>
      <c r="E31" s="76">
        <v>30658137642</v>
      </c>
      <c r="F31" s="80">
        <v>350239.67</v>
      </c>
      <c r="G31" s="80">
        <v>0</v>
      </c>
      <c r="H31" s="81">
        <v>0</v>
      </c>
      <c r="I31" s="81">
        <v>0</v>
      </c>
      <c r="J31" s="81">
        <v>0</v>
      </c>
      <c r="K31" s="81">
        <v>73550.33</v>
      </c>
      <c r="L31" s="81">
        <v>0</v>
      </c>
      <c r="M31" s="80">
        <v>0</v>
      </c>
      <c r="N31" s="80">
        <v>423790</v>
      </c>
    </row>
    <row r="32" spans="1:14">
      <c r="A32" s="74" t="s">
        <v>1080</v>
      </c>
      <c r="B32" s="75" t="s">
        <v>1109</v>
      </c>
      <c r="C32" s="76" t="s">
        <v>386</v>
      </c>
      <c r="D32" s="76" t="s">
        <v>343</v>
      </c>
      <c r="E32" s="76">
        <v>30685228501</v>
      </c>
      <c r="F32" s="80">
        <v>236363.64</v>
      </c>
      <c r="G32" s="80">
        <v>0</v>
      </c>
      <c r="H32" s="81">
        <v>0</v>
      </c>
      <c r="I32" s="81">
        <v>0</v>
      </c>
      <c r="J32" s="81">
        <v>0</v>
      </c>
      <c r="K32" s="81">
        <v>49636.36</v>
      </c>
      <c r="L32" s="81">
        <v>0</v>
      </c>
      <c r="M32" s="80">
        <v>0</v>
      </c>
      <c r="N32" s="80">
        <v>286000</v>
      </c>
    </row>
    <row r="33" spans="1:14">
      <c r="A33" s="74" t="s">
        <v>1080</v>
      </c>
      <c r="B33" s="75" t="s">
        <v>1110</v>
      </c>
      <c r="C33" s="76" t="s">
        <v>342</v>
      </c>
      <c r="D33" s="76" t="s">
        <v>343</v>
      </c>
      <c r="E33" s="76">
        <v>30590354798</v>
      </c>
      <c r="F33" s="80">
        <v>1206074.3800000001</v>
      </c>
      <c r="G33" s="80">
        <v>0</v>
      </c>
      <c r="H33" s="81">
        <v>0</v>
      </c>
      <c r="I33" s="81">
        <v>0</v>
      </c>
      <c r="J33" s="81">
        <v>0</v>
      </c>
      <c r="K33" s="81">
        <v>253275.62</v>
      </c>
      <c r="L33" s="81">
        <v>0</v>
      </c>
      <c r="M33" s="80">
        <v>0</v>
      </c>
      <c r="N33" s="80">
        <v>1459350</v>
      </c>
    </row>
    <row r="34" spans="1:14" hidden="1">
      <c r="A34" s="74" t="s">
        <v>1111</v>
      </c>
      <c r="B34" s="75" t="s">
        <v>1112</v>
      </c>
      <c r="C34" s="76" t="s">
        <v>134</v>
      </c>
      <c r="D34" s="76" t="s">
        <v>135</v>
      </c>
      <c r="E34" s="76" t="s">
        <v>136</v>
      </c>
      <c r="F34" s="80">
        <v>-132231.4</v>
      </c>
      <c r="G34" s="80">
        <v>0</v>
      </c>
      <c r="H34" s="81">
        <v>0</v>
      </c>
      <c r="I34" s="81">
        <v>0</v>
      </c>
      <c r="J34" s="81">
        <v>0</v>
      </c>
      <c r="K34" s="81">
        <v>-27768.6</v>
      </c>
      <c r="L34" s="81">
        <v>0</v>
      </c>
      <c r="M34" s="80">
        <v>0</v>
      </c>
      <c r="N34" s="80">
        <v>-160000</v>
      </c>
    </row>
    <row r="35" spans="1:14" hidden="1">
      <c r="A35" s="74" t="s">
        <v>1111</v>
      </c>
      <c r="B35" s="75" t="s">
        <v>1113</v>
      </c>
      <c r="C35" s="76" t="s">
        <v>134</v>
      </c>
      <c r="D35" s="76" t="s">
        <v>135</v>
      </c>
      <c r="E35" s="76" t="s">
        <v>136</v>
      </c>
      <c r="F35" s="80">
        <v>9586.7800000000007</v>
      </c>
      <c r="G35" s="80">
        <v>0</v>
      </c>
      <c r="H35" s="81">
        <v>0</v>
      </c>
      <c r="I35" s="81">
        <v>0</v>
      </c>
      <c r="J35" s="81">
        <v>0</v>
      </c>
      <c r="K35" s="81">
        <v>2013.22</v>
      </c>
      <c r="L35" s="81">
        <v>0</v>
      </c>
      <c r="M35" s="80">
        <v>0</v>
      </c>
      <c r="N35" s="80">
        <v>11600</v>
      </c>
    </row>
    <row r="36" spans="1:14" hidden="1">
      <c r="A36" s="74" t="s">
        <v>1111</v>
      </c>
      <c r="B36" s="75" t="s">
        <v>1114</v>
      </c>
      <c r="C36" s="76" t="s">
        <v>134</v>
      </c>
      <c r="D36" s="76" t="s">
        <v>135</v>
      </c>
      <c r="E36" s="76" t="s">
        <v>136</v>
      </c>
      <c r="F36" s="80">
        <v>10743.8</v>
      </c>
      <c r="G36" s="80">
        <v>0</v>
      </c>
      <c r="H36" s="81">
        <v>0</v>
      </c>
      <c r="I36" s="81">
        <v>0</v>
      </c>
      <c r="J36" s="81">
        <v>0</v>
      </c>
      <c r="K36" s="81">
        <v>2256.2000000000003</v>
      </c>
      <c r="L36" s="81">
        <v>0</v>
      </c>
      <c r="M36" s="80">
        <v>0</v>
      </c>
      <c r="N36" s="80">
        <v>13000</v>
      </c>
    </row>
    <row r="37" spans="1:14">
      <c r="A37" s="74" t="s">
        <v>1111</v>
      </c>
      <c r="B37" s="75" t="s">
        <v>1115</v>
      </c>
      <c r="C37" s="76" t="s">
        <v>1116</v>
      </c>
      <c r="D37" s="76" t="s">
        <v>135</v>
      </c>
      <c r="E37" s="76">
        <v>757710204</v>
      </c>
      <c r="F37" s="80">
        <v>21487.599999999999</v>
      </c>
      <c r="G37" s="80">
        <v>0</v>
      </c>
      <c r="H37" s="81">
        <v>0</v>
      </c>
      <c r="I37" s="81">
        <v>0</v>
      </c>
      <c r="J37" s="81">
        <v>0</v>
      </c>
      <c r="K37" s="81">
        <v>4512.4000000000005</v>
      </c>
      <c r="L37" s="81">
        <v>0</v>
      </c>
      <c r="M37" s="80">
        <v>0</v>
      </c>
      <c r="N37" s="80">
        <v>26000</v>
      </c>
    </row>
    <row r="38" spans="1:14" hidden="1">
      <c r="A38" s="74" t="s">
        <v>1111</v>
      </c>
      <c r="B38" s="75" t="s">
        <v>1117</v>
      </c>
      <c r="C38" s="76" t="s">
        <v>134</v>
      </c>
      <c r="D38" s="76" t="s">
        <v>135</v>
      </c>
      <c r="E38" s="76" t="s">
        <v>136</v>
      </c>
      <c r="F38" s="80">
        <v>132231.4</v>
      </c>
      <c r="G38" s="80">
        <v>0</v>
      </c>
      <c r="H38" s="81">
        <v>0</v>
      </c>
      <c r="I38" s="81">
        <v>0</v>
      </c>
      <c r="J38" s="81">
        <v>0</v>
      </c>
      <c r="K38" s="81">
        <v>27768.6</v>
      </c>
      <c r="L38" s="81">
        <v>0</v>
      </c>
      <c r="M38" s="80">
        <v>0</v>
      </c>
      <c r="N38" s="80">
        <v>160000</v>
      </c>
    </row>
    <row r="39" spans="1:14" hidden="1">
      <c r="A39" s="74" t="s">
        <v>1111</v>
      </c>
      <c r="B39" s="75" t="s">
        <v>1118</v>
      </c>
      <c r="C39" s="76" t="s">
        <v>134</v>
      </c>
      <c r="D39" s="76" t="s">
        <v>135</v>
      </c>
      <c r="E39" s="76" t="s">
        <v>136</v>
      </c>
      <c r="F39" s="80">
        <v>66115.7</v>
      </c>
      <c r="G39" s="80">
        <v>0</v>
      </c>
      <c r="H39" s="81">
        <v>0</v>
      </c>
      <c r="I39" s="81">
        <v>0</v>
      </c>
      <c r="J39" s="81">
        <v>0</v>
      </c>
      <c r="K39" s="81">
        <v>13884.3</v>
      </c>
      <c r="L39" s="81">
        <v>0</v>
      </c>
      <c r="M39" s="80">
        <v>0</v>
      </c>
      <c r="N39" s="80">
        <v>80000</v>
      </c>
    </row>
    <row r="40" spans="1:14" hidden="1">
      <c r="A40" s="74" t="s">
        <v>1111</v>
      </c>
      <c r="B40" s="75" t="s">
        <v>1119</v>
      </c>
      <c r="C40" s="76" t="s">
        <v>134</v>
      </c>
      <c r="D40" s="76" t="s">
        <v>135</v>
      </c>
      <c r="E40" s="76" t="s">
        <v>136</v>
      </c>
      <c r="F40" s="80">
        <v>21487.599999999999</v>
      </c>
      <c r="G40" s="80">
        <v>0</v>
      </c>
      <c r="H40" s="81">
        <v>0</v>
      </c>
      <c r="I40" s="81">
        <v>0</v>
      </c>
      <c r="J40" s="81">
        <v>0</v>
      </c>
      <c r="K40" s="81">
        <v>4512.4000000000005</v>
      </c>
      <c r="L40" s="81">
        <v>0</v>
      </c>
      <c r="M40" s="80">
        <v>0</v>
      </c>
      <c r="N40" s="80">
        <v>26000</v>
      </c>
    </row>
    <row r="41" spans="1:14" hidden="1">
      <c r="A41" s="74" t="s">
        <v>1111</v>
      </c>
      <c r="B41" s="75" t="s">
        <v>1120</v>
      </c>
      <c r="C41" s="76" t="s">
        <v>134</v>
      </c>
      <c r="D41" s="76" t="s">
        <v>135</v>
      </c>
      <c r="E41" s="76" t="s">
        <v>136</v>
      </c>
      <c r="F41" s="80">
        <v>15702.48</v>
      </c>
      <c r="G41" s="80">
        <v>0</v>
      </c>
      <c r="H41" s="81">
        <v>0</v>
      </c>
      <c r="I41" s="81">
        <v>0</v>
      </c>
      <c r="J41" s="81">
        <v>0</v>
      </c>
      <c r="K41" s="81">
        <v>3297.52</v>
      </c>
      <c r="L41" s="81">
        <v>0</v>
      </c>
      <c r="M41" s="80">
        <v>0</v>
      </c>
      <c r="N41" s="80">
        <v>19000</v>
      </c>
    </row>
    <row r="42" spans="1:14" hidden="1">
      <c r="A42" s="74" t="s">
        <v>1111</v>
      </c>
      <c r="B42" s="75" t="s">
        <v>1121</v>
      </c>
      <c r="C42" s="76" t="s">
        <v>134</v>
      </c>
      <c r="D42" s="76" t="s">
        <v>135</v>
      </c>
      <c r="E42" s="76" t="s">
        <v>136</v>
      </c>
      <c r="F42" s="80">
        <v>21487.599999999999</v>
      </c>
      <c r="G42" s="80">
        <v>0</v>
      </c>
      <c r="H42" s="81">
        <v>0</v>
      </c>
      <c r="I42" s="81">
        <v>0</v>
      </c>
      <c r="J42" s="81">
        <v>0</v>
      </c>
      <c r="K42" s="81">
        <v>4512.4000000000005</v>
      </c>
      <c r="L42" s="81">
        <v>0</v>
      </c>
      <c r="M42" s="80">
        <v>0</v>
      </c>
      <c r="N42" s="80">
        <v>26000</v>
      </c>
    </row>
    <row r="43" spans="1:14" hidden="1">
      <c r="A43" s="74" t="s">
        <v>1111</v>
      </c>
      <c r="B43" s="75" t="s">
        <v>1122</v>
      </c>
      <c r="C43" s="76" t="s">
        <v>134</v>
      </c>
      <c r="D43" s="76" t="s">
        <v>135</v>
      </c>
      <c r="E43" s="76" t="s">
        <v>136</v>
      </c>
      <c r="F43" s="80">
        <v>14876.03</v>
      </c>
      <c r="G43" s="80">
        <v>0</v>
      </c>
      <c r="H43" s="81">
        <v>0</v>
      </c>
      <c r="I43" s="81">
        <v>0</v>
      </c>
      <c r="J43" s="81">
        <v>0</v>
      </c>
      <c r="K43" s="81">
        <v>3123.97</v>
      </c>
      <c r="L43" s="81">
        <v>0</v>
      </c>
      <c r="M43" s="80">
        <v>0</v>
      </c>
      <c r="N43" s="80">
        <v>18000</v>
      </c>
    </row>
    <row r="44" spans="1:14" hidden="1">
      <c r="A44" s="74" t="s">
        <v>1111</v>
      </c>
      <c r="B44" s="75" t="s">
        <v>1123</v>
      </c>
      <c r="C44" s="76" t="s">
        <v>134</v>
      </c>
      <c r="D44" s="76" t="s">
        <v>135</v>
      </c>
      <c r="E44" s="76" t="s">
        <v>136</v>
      </c>
      <c r="F44" s="80">
        <v>10743.8</v>
      </c>
      <c r="G44" s="80">
        <v>0</v>
      </c>
      <c r="H44" s="81">
        <v>0</v>
      </c>
      <c r="I44" s="81">
        <v>0</v>
      </c>
      <c r="J44" s="81">
        <v>0</v>
      </c>
      <c r="K44" s="81">
        <v>2256.2000000000003</v>
      </c>
      <c r="L44" s="81">
        <v>0</v>
      </c>
      <c r="M44" s="80">
        <v>0</v>
      </c>
      <c r="N44" s="80">
        <v>13000</v>
      </c>
    </row>
    <row r="45" spans="1:14" hidden="1">
      <c r="A45" s="74" t="s">
        <v>1111</v>
      </c>
      <c r="B45" s="75" t="s">
        <v>1124</v>
      </c>
      <c r="C45" s="76" t="s">
        <v>134</v>
      </c>
      <c r="D45" s="76" t="s">
        <v>135</v>
      </c>
      <c r="E45" s="76" t="s">
        <v>136</v>
      </c>
      <c r="F45" s="80">
        <v>10330.58</v>
      </c>
      <c r="G45" s="80">
        <v>0</v>
      </c>
      <c r="H45" s="81">
        <v>0</v>
      </c>
      <c r="I45" s="81">
        <v>0</v>
      </c>
      <c r="J45" s="81">
        <v>0</v>
      </c>
      <c r="K45" s="81">
        <v>2169.42</v>
      </c>
      <c r="L45" s="81">
        <v>0</v>
      </c>
      <c r="M45" s="80">
        <v>0</v>
      </c>
      <c r="N45" s="80">
        <v>12500</v>
      </c>
    </row>
    <row r="46" spans="1:14" hidden="1">
      <c r="A46" s="74" t="s">
        <v>1111</v>
      </c>
      <c r="B46" s="75" t="s">
        <v>1125</v>
      </c>
      <c r="C46" s="76" t="s">
        <v>134</v>
      </c>
      <c r="D46" s="76" t="s">
        <v>135</v>
      </c>
      <c r="E46" s="76" t="s">
        <v>136</v>
      </c>
      <c r="F46" s="80">
        <v>12231.4</v>
      </c>
      <c r="G46" s="80">
        <v>0</v>
      </c>
      <c r="H46" s="81">
        <v>0</v>
      </c>
      <c r="I46" s="81">
        <v>0</v>
      </c>
      <c r="J46" s="81">
        <v>0</v>
      </c>
      <c r="K46" s="81">
        <v>2568.6</v>
      </c>
      <c r="L46" s="81">
        <v>0</v>
      </c>
      <c r="M46" s="80">
        <v>0</v>
      </c>
      <c r="N46" s="80">
        <v>14800</v>
      </c>
    </row>
    <row r="47" spans="1:14" hidden="1">
      <c r="A47" s="74" t="s">
        <v>1111</v>
      </c>
      <c r="B47" s="75" t="s">
        <v>1126</v>
      </c>
      <c r="C47" s="76" t="s">
        <v>134</v>
      </c>
      <c r="D47" s="76" t="s">
        <v>135</v>
      </c>
      <c r="E47" s="76" t="s">
        <v>136</v>
      </c>
      <c r="F47" s="80">
        <v>10743.8</v>
      </c>
      <c r="G47" s="80">
        <v>0</v>
      </c>
      <c r="H47" s="81">
        <v>0</v>
      </c>
      <c r="I47" s="81">
        <v>0</v>
      </c>
      <c r="J47" s="81">
        <v>0</v>
      </c>
      <c r="K47" s="81">
        <v>2256.2000000000003</v>
      </c>
      <c r="L47" s="81">
        <v>0</v>
      </c>
      <c r="M47" s="80">
        <v>0</v>
      </c>
      <c r="N47" s="80">
        <v>13000</v>
      </c>
    </row>
    <row r="48" spans="1:14" hidden="1">
      <c r="A48" s="74" t="s">
        <v>1111</v>
      </c>
      <c r="B48" s="75" t="s">
        <v>1127</v>
      </c>
      <c r="C48" s="76" t="s">
        <v>134</v>
      </c>
      <c r="D48" s="76" t="s">
        <v>135</v>
      </c>
      <c r="E48" s="76" t="s">
        <v>136</v>
      </c>
      <c r="F48" s="80">
        <v>21487.599999999999</v>
      </c>
      <c r="G48" s="80">
        <v>0</v>
      </c>
      <c r="H48" s="81">
        <v>0</v>
      </c>
      <c r="I48" s="81">
        <v>0</v>
      </c>
      <c r="J48" s="81">
        <v>0</v>
      </c>
      <c r="K48" s="81">
        <v>4512.4000000000005</v>
      </c>
      <c r="L48" s="81">
        <v>0</v>
      </c>
      <c r="M48" s="80">
        <v>0</v>
      </c>
      <c r="N48" s="80">
        <v>26000</v>
      </c>
    </row>
    <row r="49" spans="1:14" hidden="1">
      <c r="A49" s="74" t="s">
        <v>1111</v>
      </c>
      <c r="B49" s="75" t="s">
        <v>1128</v>
      </c>
      <c r="C49" s="76" t="s">
        <v>134</v>
      </c>
      <c r="D49" s="76" t="s">
        <v>135</v>
      </c>
      <c r="E49" s="76" t="s">
        <v>136</v>
      </c>
      <c r="F49" s="80">
        <v>12231.4</v>
      </c>
      <c r="G49" s="80">
        <v>0</v>
      </c>
      <c r="H49" s="81">
        <v>0</v>
      </c>
      <c r="I49" s="81">
        <v>0</v>
      </c>
      <c r="J49" s="81">
        <v>0</v>
      </c>
      <c r="K49" s="81">
        <v>2568.6</v>
      </c>
      <c r="L49" s="81">
        <v>0</v>
      </c>
      <c r="M49" s="80">
        <v>0</v>
      </c>
      <c r="N49" s="80">
        <v>14800</v>
      </c>
    </row>
    <row r="50" spans="1:14">
      <c r="A50" s="74" t="s">
        <v>1111</v>
      </c>
      <c r="B50" s="75" t="s">
        <v>1129</v>
      </c>
      <c r="C50" s="76" t="s">
        <v>25</v>
      </c>
      <c r="D50" s="76" t="s">
        <v>19</v>
      </c>
      <c r="E50" s="76">
        <v>30522428163</v>
      </c>
      <c r="F50" s="80">
        <v>20000000</v>
      </c>
      <c r="G50" s="80">
        <v>0</v>
      </c>
      <c r="H50" s="81">
        <v>0</v>
      </c>
      <c r="I50" s="81">
        <v>0</v>
      </c>
      <c r="J50" s="81">
        <v>0</v>
      </c>
      <c r="K50" s="81">
        <v>4200000</v>
      </c>
      <c r="L50" s="81">
        <v>0</v>
      </c>
      <c r="M50" s="80">
        <v>0</v>
      </c>
      <c r="N50" s="80">
        <v>24200000</v>
      </c>
    </row>
    <row r="51" spans="1:14">
      <c r="A51" s="74" t="s">
        <v>1111</v>
      </c>
      <c r="B51" s="75" t="s">
        <v>1130</v>
      </c>
      <c r="C51" s="76" t="s">
        <v>25</v>
      </c>
      <c r="D51" s="76" t="s">
        <v>19</v>
      </c>
      <c r="E51" s="76">
        <v>30522428163</v>
      </c>
      <c r="F51" s="80">
        <v>10909090.91</v>
      </c>
      <c r="G51" s="80">
        <v>0</v>
      </c>
      <c r="H51" s="81">
        <v>0</v>
      </c>
      <c r="I51" s="81">
        <v>0</v>
      </c>
      <c r="J51" s="81">
        <v>0</v>
      </c>
      <c r="K51" s="81">
        <v>2290909.09</v>
      </c>
      <c r="L51" s="81">
        <v>0</v>
      </c>
      <c r="M51" s="80">
        <v>0</v>
      </c>
      <c r="N51" s="80">
        <v>13200000</v>
      </c>
    </row>
    <row r="52" spans="1:14">
      <c r="A52" s="74" t="s">
        <v>1111</v>
      </c>
      <c r="B52" s="75" t="s">
        <v>1131</v>
      </c>
      <c r="C52" s="76" t="s">
        <v>25</v>
      </c>
      <c r="D52" s="76" t="s">
        <v>19</v>
      </c>
      <c r="E52" s="76">
        <v>30522428163</v>
      </c>
      <c r="F52" s="80">
        <v>19669421.490000002</v>
      </c>
      <c r="G52" s="80">
        <v>0</v>
      </c>
      <c r="H52" s="81">
        <v>0</v>
      </c>
      <c r="I52" s="81">
        <v>0</v>
      </c>
      <c r="J52" s="81">
        <v>0</v>
      </c>
      <c r="K52" s="81">
        <v>4130578.51</v>
      </c>
      <c r="L52" s="81">
        <v>0</v>
      </c>
      <c r="M52" s="80">
        <v>0</v>
      </c>
      <c r="N52" s="80">
        <v>23800000</v>
      </c>
    </row>
    <row r="53" spans="1:14">
      <c r="A53" s="74" t="s">
        <v>1111</v>
      </c>
      <c r="B53" s="75" t="s">
        <v>1132</v>
      </c>
      <c r="C53" s="76" t="s">
        <v>25</v>
      </c>
      <c r="D53" s="76" t="s">
        <v>19</v>
      </c>
      <c r="E53" s="76">
        <v>30522428163</v>
      </c>
      <c r="F53" s="80">
        <v>8148760.3300000001</v>
      </c>
      <c r="G53" s="80">
        <v>0</v>
      </c>
      <c r="H53" s="81">
        <v>0</v>
      </c>
      <c r="I53" s="81">
        <v>0</v>
      </c>
      <c r="J53" s="81">
        <v>0</v>
      </c>
      <c r="K53" s="81">
        <v>1711239.67</v>
      </c>
      <c r="L53" s="81">
        <v>0</v>
      </c>
      <c r="M53" s="80">
        <v>0</v>
      </c>
      <c r="N53" s="80">
        <v>9860000</v>
      </c>
    </row>
    <row r="54" spans="1:14">
      <c r="A54" s="74" t="s">
        <v>1111</v>
      </c>
      <c r="B54" s="75" t="s">
        <v>1133</v>
      </c>
      <c r="C54" s="76" t="s">
        <v>25</v>
      </c>
      <c r="D54" s="76" t="s">
        <v>19</v>
      </c>
      <c r="E54" s="76">
        <v>30522428163</v>
      </c>
      <c r="F54" s="80">
        <v>10618181.82</v>
      </c>
      <c r="G54" s="80">
        <v>0</v>
      </c>
      <c r="H54" s="81">
        <v>0</v>
      </c>
      <c r="I54" s="81">
        <v>0</v>
      </c>
      <c r="J54" s="81">
        <v>0</v>
      </c>
      <c r="K54" s="81">
        <v>2229818.1800000002</v>
      </c>
      <c r="L54" s="81">
        <v>0</v>
      </c>
      <c r="M54" s="80">
        <v>0</v>
      </c>
      <c r="N54" s="80">
        <v>12848000</v>
      </c>
    </row>
    <row r="55" spans="1:14">
      <c r="A55" s="74" t="s">
        <v>1111</v>
      </c>
      <c r="B55" s="75" t="s">
        <v>1134</v>
      </c>
      <c r="C55" s="76" t="s">
        <v>84</v>
      </c>
      <c r="D55" s="76" t="s">
        <v>19</v>
      </c>
      <c r="E55" s="76">
        <v>30546771314</v>
      </c>
      <c r="F55" s="80">
        <v>57595.05</v>
      </c>
      <c r="G55" s="80">
        <v>0</v>
      </c>
      <c r="H55" s="81">
        <v>0</v>
      </c>
      <c r="I55" s="81">
        <v>0</v>
      </c>
      <c r="J55" s="81">
        <v>0</v>
      </c>
      <c r="K55" s="81">
        <v>12094.96</v>
      </c>
      <c r="L55" s="81">
        <v>0</v>
      </c>
      <c r="M55" s="80">
        <v>0</v>
      </c>
      <c r="N55" s="80">
        <v>69690.009999999995</v>
      </c>
    </row>
    <row r="56" spans="1:14" hidden="1">
      <c r="A56" s="74" t="s">
        <v>1135</v>
      </c>
      <c r="B56" s="75" t="s">
        <v>1136</v>
      </c>
      <c r="C56" s="76" t="s">
        <v>134</v>
      </c>
      <c r="D56" s="76" t="s">
        <v>135</v>
      </c>
      <c r="E56" s="76" t="s">
        <v>136</v>
      </c>
      <c r="F56" s="80">
        <v>10743.8</v>
      </c>
      <c r="G56" s="80">
        <v>0</v>
      </c>
      <c r="H56" s="81">
        <v>0</v>
      </c>
      <c r="I56" s="81">
        <v>0</v>
      </c>
      <c r="J56" s="81">
        <v>0</v>
      </c>
      <c r="K56" s="81">
        <v>2256.2000000000003</v>
      </c>
      <c r="L56" s="81">
        <v>0</v>
      </c>
      <c r="M56" s="80">
        <v>0</v>
      </c>
      <c r="N56" s="80">
        <v>13000</v>
      </c>
    </row>
    <row r="57" spans="1:14" hidden="1">
      <c r="A57" s="74" t="s">
        <v>1135</v>
      </c>
      <c r="B57" s="75" t="s">
        <v>1137</v>
      </c>
      <c r="C57" s="76" t="s">
        <v>134</v>
      </c>
      <c r="D57" s="76" t="s">
        <v>135</v>
      </c>
      <c r="E57" s="76" t="s">
        <v>136</v>
      </c>
      <c r="F57" s="80">
        <v>24793.39</v>
      </c>
      <c r="G57" s="80">
        <v>0</v>
      </c>
      <c r="H57" s="81">
        <v>0</v>
      </c>
      <c r="I57" s="81">
        <v>0</v>
      </c>
      <c r="J57" s="81">
        <v>0</v>
      </c>
      <c r="K57" s="81">
        <v>5206.6099999999997</v>
      </c>
      <c r="L57" s="81">
        <v>0</v>
      </c>
      <c r="M57" s="80">
        <v>0</v>
      </c>
      <c r="N57" s="80">
        <v>30000</v>
      </c>
    </row>
    <row r="58" spans="1:14" hidden="1">
      <c r="A58" s="74" t="s">
        <v>1135</v>
      </c>
      <c r="B58" s="75" t="s">
        <v>1138</v>
      </c>
      <c r="C58" s="76" t="s">
        <v>134</v>
      </c>
      <c r="D58" s="76" t="s">
        <v>135</v>
      </c>
      <c r="E58" s="76" t="s">
        <v>136</v>
      </c>
      <c r="F58" s="80">
        <v>10330.58</v>
      </c>
      <c r="G58" s="80">
        <v>0</v>
      </c>
      <c r="H58" s="81">
        <v>0</v>
      </c>
      <c r="I58" s="81">
        <v>0</v>
      </c>
      <c r="J58" s="81">
        <v>0</v>
      </c>
      <c r="K58" s="81">
        <v>2169.42</v>
      </c>
      <c r="L58" s="81">
        <v>0</v>
      </c>
      <c r="M58" s="80">
        <v>0</v>
      </c>
      <c r="N58" s="80">
        <v>12500</v>
      </c>
    </row>
    <row r="59" spans="1:14">
      <c r="A59" s="74" t="s">
        <v>1135</v>
      </c>
      <c r="B59" s="75" t="s">
        <v>1139</v>
      </c>
      <c r="C59" s="76" t="s">
        <v>1140</v>
      </c>
      <c r="D59" s="76" t="s">
        <v>343</v>
      </c>
      <c r="E59" s="76">
        <v>30525274450</v>
      </c>
      <c r="F59" s="80">
        <v>4132.2300000000005</v>
      </c>
      <c r="G59" s="80">
        <v>0</v>
      </c>
      <c r="H59" s="81">
        <v>0</v>
      </c>
      <c r="I59" s="81">
        <v>0</v>
      </c>
      <c r="J59" s="81">
        <v>0</v>
      </c>
      <c r="K59" s="81">
        <v>867.77</v>
      </c>
      <c r="L59" s="81">
        <v>0</v>
      </c>
      <c r="M59" s="80">
        <v>0</v>
      </c>
      <c r="N59" s="80">
        <v>5000</v>
      </c>
    </row>
    <row r="60" spans="1:14" hidden="1">
      <c r="A60" s="74" t="s">
        <v>1135</v>
      </c>
      <c r="B60" s="75" t="s">
        <v>1141</v>
      </c>
      <c r="C60" s="76" t="s">
        <v>134</v>
      </c>
      <c r="D60" s="76" t="s">
        <v>135</v>
      </c>
      <c r="E60" s="76" t="s">
        <v>136</v>
      </c>
      <c r="F60" s="80">
        <v>14876.03</v>
      </c>
      <c r="G60" s="80">
        <v>0</v>
      </c>
      <c r="H60" s="81">
        <v>0</v>
      </c>
      <c r="I60" s="81">
        <v>0</v>
      </c>
      <c r="J60" s="81">
        <v>0</v>
      </c>
      <c r="K60" s="81">
        <v>3123.97</v>
      </c>
      <c r="L60" s="81">
        <v>0</v>
      </c>
      <c r="M60" s="80">
        <v>0</v>
      </c>
      <c r="N60" s="80">
        <v>18000</v>
      </c>
    </row>
    <row r="61" spans="1:14" hidden="1">
      <c r="A61" s="74" t="s">
        <v>1135</v>
      </c>
      <c r="B61" s="75" t="s">
        <v>1142</v>
      </c>
      <c r="C61" s="76" t="s">
        <v>134</v>
      </c>
      <c r="D61" s="76" t="s">
        <v>135</v>
      </c>
      <c r="E61" s="76" t="s">
        <v>136</v>
      </c>
      <c r="F61" s="80">
        <v>30909.09</v>
      </c>
      <c r="G61" s="80">
        <v>0</v>
      </c>
      <c r="H61" s="81">
        <v>0</v>
      </c>
      <c r="I61" s="81">
        <v>0</v>
      </c>
      <c r="J61" s="81">
        <v>0</v>
      </c>
      <c r="K61" s="81">
        <v>6490.91</v>
      </c>
      <c r="L61" s="81">
        <v>0</v>
      </c>
      <c r="M61" s="80">
        <v>0</v>
      </c>
      <c r="N61" s="80">
        <v>37400</v>
      </c>
    </row>
    <row r="62" spans="1:14" hidden="1">
      <c r="A62" s="74" t="s">
        <v>1135</v>
      </c>
      <c r="B62" s="75" t="s">
        <v>1143</v>
      </c>
      <c r="C62" s="76" t="s">
        <v>134</v>
      </c>
      <c r="D62" s="76" t="s">
        <v>135</v>
      </c>
      <c r="E62" s="76" t="s">
        <v>136</v>
      </c>
      <c r="F62" s="80">
        <v>42247.93</v>
      </c>
      <c r="G62" s="80">
        <v>0</v>
      </c>
      <c r="H62" s="81">
        <v>0</v>
      </c>
      <c r="I62" s="81">
        <v>0</v>
      </c>
      <c r="J62" s="81">
        <v>0</v>
      </c>
      <c r="K62" s="81">
        <v>8872.07</v>
      </c>
      <c r="L62" s="81">
        <v>0</v>
      </c>
      <c r="M62" s="80">
        <v>0</v>
      </c>
      <c r="N62" s="80">
        <v>51120</v>
      </c>
    </row>
    <row r="63" spans="1:14" hidden="1">
      <c r="A63" s="74" t="s">
        <v>1135</v>
      </c>
      <c r="B63" s="75" t="s">
        <v>1144</v>
      </c>
      <c r="C63" s="76" t="s">
        <v>134</v>
      </c>
      <c r="D63" s="76" t="s">
        <v>135</v>
      </c>
      <c r="E63" s="76" t="s">
        <v>136</v>
      </c>
      <c r="F63" s="80">
        <v>28099.17</v>
      </c>
      <c r="G63" s="80">
        <v>0</v>
      </c>
      <c r="H63" s="81">
        <v>0</v>
      </c>
      <c r="I63" s="81">
        <v>0</v>
      </c>
      <c r="J63" s="81">
        <v>0</v>
      </c>
      <c r="K63" s="81">
        <v>5900.83</v>
      </c>
      <c r="L63" s="81">
        <v>0</v>
      </c>
      <c r="M63" s="80">
        <v>0</v>
      </c>
      <c r="N63" s="80">
        <v>34000</v>
      </c>
    </row>
    <row r="64" spans="1:14" hidden="1">
      <c r="A64" s="74" t="s">
        <v>1135</v>
      </c>
      <c r="B64" s="75" t="s">
        <v>1145</v>
      </c>
      <c r="C64" s="76" t="s">
        <v>134</v>
      </c>
      <c r="D64" s="76" t="s">
        <v>135</v>
      </c>
      <c r="E64" s="76" t="s">
        <v>136</v>
      </c>
      <c r="F64" s="80">
        <v>18181.82</v>
      </c>
      <c r="G64" s="80">
        <v>0</v>
      </c>
      <c r="H64" s="81">
        <v>0</v>
      </c>
      <c r="I64" s="81">
        <v>0</v>
      </c>
      <c r="J64" s="81">
        <v>0</v>
      </c>
      <c r="K64" s="81">
        <v>3818.18</v>
      </c>
      <c r="L64" s="81">
        <v>0</v>
      </c>
      <c r="M64" s="80">
        <v>0</v>
      </c>
      <c r="N64" s="80">
        <v>22000</v>
      </c>
    </row>
    <row r="65" spans="1:14" hidden="1">
      <c r="A65" s="74" t="s">
        <v>1135</v>
      </c>
      <c r="B65" s="75" t="s">
        <v>1146</v>
      </c>
      <c r="C65" s="76" t="s">
        <v>134</v>
      </c>
      <c r="D65" s="76" t="s">
        <v>135</v>
      </c>
      <c r="E65" s="76" t="s">
        <v>136</v>
      </c>
      <c r="F65" s="80">
        <v>21487.599999999999</v>
      </c>
      <c r="G65" s="80">
        <v>0</v>
      </c>
      <c r="H65" s="81">
        <v>0</v>
      </c>
      <c r="I65" s="81">
        <v>0</v>
      </c>
      <c r="J65" s="81">
        <v>0</v>
      </c>
      <c r="K65" s="81">
        <v>4512.4000000000005</v>
      </c>
      <c r="L65" s="81">
        <v>0</v>
      </c>
      <c r="M65" s="80">
        <v>0</v>
      </c>
      <c r="N65" s="80">
        <v>26000</v>
      </c>
    </row>
    <row r="66" spans="1:14">
      <c r="A66" s="74" t="s">
        <v>1135</v>
      </c>
      <c r="B66" s="75" t="s">
        <v>1147</v>
      </c>
      <c r="C66" s="76" t="s">
        <v>84</v>
      </c>
      <c r="D66" s="76" t="s">
        <v>19</v>
      </c>
      <c r="E66" s="76">
        <v>30546771314</v>
      </c>
      <c r="F66" s="80">
        <v>334685.95</v>
      </c>
      <c r="G66" s="80">
        <v>0</v>
      </c>
      <c r="H66" s="81">
        <v>0</v>
      </c>
      <c r="I66" s="81">
        <v>0</v>
      </c>
      <c r="J66" s="81">
        <v>0</v>
      </c>
      <c r="K66" s="81">
        <v>70284.05</v>
      </c>
      <c r="L66" s="81">
        <v>0</v>
      </c>
      <c r="M66" s="80">
        <v>0</v>
      </c>
      <c r="N66" s="80">
        <v>404970</v>
      </c>
    </row>
    <row r="67" spans="1:14">
      <c r="A67" s="74" t="s">
        <v>1135</v>
      </c>
      <c r="B67" s="75" t="s">
        <v>1148</v>
      </c>
      <c r="C67" s="76" t="s">
        <v>108</v>
      </c>
      <c r="D67" s="76" t="s">
        <v>19</v>
      </c>
      <c r="E67" s="76">
        <v>20223256393</v>
      </c>
      <c r="F67" s="80">
        <v>24628.09</v>
      </c>
      <c r="G67" s="80">
        <v>0</v>
      </c>
      <c r="H67" s="81">
        <v>0</v>
      </c>
      <c r="I67" s="81">
        <v>0</v>
      </c>
      <c r="J67" s="81">
        <v>0</v>
      </c>
      <c r="K67" s="81">
        <v>5171.91</v>
      </c>
      <c r="L67" s="81">
        <v>0</v>
      </c>
      <c r="M67" s="80">
        <v>0</v>
      </c>
      <c r="N67" s="80">
        <v>29800</v>
      </c>
    </row>
    <row r="68" spans="1:14">
      <c r="A68" s="74" t="s">
        <v>1135</v>
      </c>
      <c r="B68" s="75" t="s">
        <v>1149</v>
      </c>
      <c r="C68" s="76" t="s">
        <v>92</v>
      </c>
      <c r="D68" s="76" t="s">
        <v>19</v>
      </c>
      <c r="E68" s="76">
        <v>30709016012</v>
      </c>
      <c r="F68" s="80">
        <v>274645.92</v>
      </c>
      <c r="G68" s="80">
        <v>0</v>
      </c>
      <c r="H68" s="81">
        <v>0</v>
      </c>
      <c r="I68" s="81">
        <v>0</v>
      </c>
      <c r="J68" s="81">
        <v>0</v>
      </c>
      <c r="K68" s="81">
        <v>57675.64</v>
      </c>
      <c r="L68" s="81">
        <v>0</v>
      </c>
      <c r="M68" s="80">
        <v>0</v>
      </c>
      <c r="N68" s="80">
        <v>332321.56</v>
      </c>
    </row>
    <row r="69" spans="1:14">
      <c r="A69" s="74" t="s">
        <v>1135</v>
      </c>
      <c r="B69" s="75" t="s">
        <v>1150</v>
      </c>
      <c r="C69" s="76" t="s">
        <v>120</v>
      </c>
      <c r="D69" s="76" t="s">
        <v>19</v>
      </c>
      <c r="E69" s="76">
        <v>27182477368</v>
      </c>
      <c r="F69" s="80">
        <v>16528.97</v>
      </c>
      <c r="G69" s="80">
        <v>0</v>
      </c>
      <c r="H69" s="81">
        <v>0</v>
      </c>
      <c r="I69" s="81">
        <v>0</v>
      </c>
      <c r="J69" s="81">
        <v>0</v>
      </c>
      <c r="K69" s="81">
        <v>3471.09</v>
      </c>
      <c r="L69" s="81">
        <v>0</v>
      </c>
      <c r="M69" s="80">
        <v>0</v>
      </c>
      <c r="N69" s="80">
        <v>20000.060000000001</v>
      </c>
    </row>
    <row r="70" spans="1:14">
      <c r="A70" s="74" t="s">
        <v>1135</v>
      </c>
      <c r="B70" s="75" t="s">
        <v>1151</v>
      </c>
      <c r="C70" s="76" t="s">
        <v>479</v>
      </c>
      <c r="D70" s="76" t="s">
        <v>135</v>
      </c>
      <c r="E70" s="76">
        <v>18375246</v>
      </c>
      <c r="F70" s="80">
        <v>9917.36</v>
      </c>
      <c r="G70" s="80">
        <v>0</v>
      </c>
      <c r="H70" s="81">
        <v>0</v>
      </c>
      <c r="I70" s="81">
        <v>0</v>
      </c>
      <c r="J70" s="81">
        <v>0</v>
      </c>
      <c r="K70" s="81">
        <v>2082.64</v>
      </c>
      <c r="L70" s="81">
        <v>0</v>
      </c>
      <c r="M70" s="80">
        <v>0</v>
      </c>
      <c r="N70" s="80">
        <v>12000</v>
      </c>
    </row>
    <row r="71" spans="1:14">
      <c r="A71" s="74" t="s">
        <v>1135</v>
      </c>
      <c r="B71" s="75" t="s">
        <v>1152</v>
      </c>
      <c r="C71" s="76" t="s">
        <v>430</v>
      </c>
      <c r="D71" s="76" t="s">
        <v>135</v>
      </c>
      <c r="E71" s="76">
        <v>22608522</v>
      </c>
      <c r="F71" s="80">
        <v>10743.8</v>
      </c>
      <c r="G71" s="80">
        <v>0</v>
      </c>
      <c r="H71" s="81">
        <v>0</v>
      </c>
      <c r="I71" s="81">
        <v>0</v>
      </c>
      <c r="J71" s="81">
        <v>0</v>
      </c>
      <c r="K71" s="81">
        <v>2256.2000000000003</v>
      </c>
      <c r="L71" s="81">
        <v>0</v>
      </c>
      <c r="M71" s="80">
        <v>0</v>
      </c>
      <c r="N71" s="80">
        <v>13000</v>
      </c>
    </row>
    <row r="72" spans="1:14">
      <c r="A72" s="74" t="s">
        <v>1135</v>
      </c>
      <c r="B72" s="75" t="s">
        <v>1153</v>
      </c>
      <c r="C72" s="76" t="s">
        <v>440</v>
      </c>
      <c r="D72" s="76" t="s">
        <v>135</v>
      </c>
      <c r="E72" s="76">
        <v>24448662</v>
      </c>
      <c r="F72" s="80">
        <v>10743.8</v>
      </c>
      <c r="G72" s="80">
        <v>0</v>
      </c>
      <c r="H72" s="81">
        <v>0</v>
      </c>
      <c r="I72" s="81">
        <v>0</v>
      </c>
      <c r="J72" s="81">
        <v>0</v>
      </c>
      <c r="K72" s="81">
        <v>2256.2000000000003</v>
      </c>
      <c r="L72" s="81">
        <v>0</v>
      </c>
      <c r="M72" s="80">
        <v>0</v>
      </c>
      <c r="N72" s="80">
        <v>13000</v>
      </c>
    </row>
    <row r="73" spans="1:14">
      <c r="A73" s="74" t="s">
        <v>1135</v>
      </c>
      <c r="B73" s="75" t="s">
        <v>1154</v>
      </c>
      <c r="C73" s="76" t="s">
        <v>777</v>
      </c>
      <c r="D73" s="76" t="s">
        <v>135</v>
      </c>
      <c r="E73" s="76">
        <v>16994318</v>
      </c>
      <c r="F73" s="80">
        <v>12396.69</v>
      </c>
      <c r="G73" s="80">
        <v>0</v>
      </c>
      <c r="H73" s="81">
        <v>0</v>
      </c>
      <c r="I73" s="81">
        <v>0</v>
      </c>
      <c r="J73" s="81">
        <v>0</v>
      </c>
      <c r="K73" s="81">
        <v>2603.31</v>
      </c>
      <c r="L73" s="81">
        <v>0</v>
      </c>
      <c r="M73" s="80">
        <v>0</v>
      </c>
      <c r="N73" s="80">
        <v>15000</v>
      </c>
    </row>
    <row r="74" spans="1:14">
      <c r="A74" s="74" t="s">
        <v>1135</v>
      </c>
      <c r="B74" s="75" t="s">
        <v>1155</v>
      </c>
      <c r="C74" s="76" t="s">
        <v>379</v>
      </c>
      <c r="D74" s="76" t="s">
        <v>135</v>
      </c>
      <c r="E74" s="76">
        <v>20404430</v>
      </c>
      <c r="F74" s="80">
        <v>12809.92</v>
      </c>
      <c r="G74" s="80">
        <v>0</v>
      </c>
      <c r="H74" s="81">
        <v>0</v>
      </c>
      <c r="I74" s="81">
        <v>0</v>
      </c>
      <c r="J74" s="81">
        <v>0</v>
      </c>
      <c r="K74" s="81">
        <v>2690.08</v>
      </c>
      <c r="L74" s="81">
        <v>0</v>
      </c>
      <c r="M74" s="80">
        <v>0</v>
      </c>
      <c r="N74" s="80">
        <v>15500</v>
      </c>
    </row>
    <row r="75" spans="1:14">
      <c r="A75" s="74" t="s">
        <v>1135</v>
      </c>
      <c r="B75" s="75" t="s">
        <v>1156</v>
      </c>
      <c r="C75" s="76" t="s">
        <v>451</v>
      </c>
      <c r="D75" s="76" t="s">
        <v>135</v>
      </c>
      <c r="E75" s="76">
        <v>26542077</v>
      </c>
      <c r="F75" s="80">
        <v>24793.39</v>
      </c>
      <c r="G75" s="80">
        <v>0</v>
      </c>
      <c r="H75" s="81">
        <v>0</v>
      </c>
      <c r="I75" s="81">
        <v>0</v>
      </c>
      <c r="J75" s="81">
        <v>0</v>
      </c>
      <c r="K75" s="81">
        <v>5206.6099999999997</v>
      </c>
      <c r="L75" s="81">
        <v>0</v>
      </c>
      <c r="M75" s="80">
        <v>0</v>
      </c>
      <c r="N75" s="80">
        <v>30000</v>
      </c>
    </row>
    <row r="76" spans="1:14">
      <c r="A76" s="74" t="s">
        <v>1135</v>
      </c>
      <c r="B76" s="75" t="s">
        <v>1157</v>
      </c>
      <c r="C76" s="76" t="s">
        <v>455</v>
      </c>
      <c r="D76" s="76" t="s">
        <v>135</v>
      </c>
      <c r="E76" s="76">
        <v>17814995</v>
      </c>
      <c r="F76" s="80">
        <v>13223.15</v>
      </c>
      <c r="G76" s="80">
        <v>0</v>
      </c>
      <c r="H76" s="81">
        <v>0</v>
      </c>
      <c r="I76" s="81">
        <v>0</v>
      </c>
      <c r="J76" s="81">
        <v>0</v>
      </c>
      <c r="K76" s="81">
        <v>2776.85</v>
      </c>
      <c r="L76" s="81">
        <v>0</v>
      </c>
      <c r="M76" s="80">
        <v>0</v>
      </c>
      <c r="N76" s="80">
        <v>16000</v>
      </c>
    </row>
    <row r="77" spans="1:14">
      <c r="A77" s="74" t="s">
        <v>1135</v>
      </c>
      <c r="B77" s="75" t="s">
        <v>1158</v>
      </c>
      <c r="C77" s="76" t="s">
        <v>1159</v>
      </c>
      <c r="D77" s="76" t="s">
        <v>135</v>
      </c>
      <c r="E77" s="76">
        <v>2925288</v>
      </c>
      <c r="F77" s="80">
        <v>99173.55</v>
      </c>
      <c r="G77" s="80">
        <v>0</v>
      </c>
      <c r="H77" s="81">
        <v>0</v>
      </c>
      <c r="I77" s="81">
        <v>0</v>
      </c>
      <c r="J77" s="81">
        <v>0</v>
      </c>
      <c r="K77" s="81">
        <v>20826.45</v>
      </c>
      <c r="L77" s="81">
        <v>0</v>
      </c>
      <c r="M77" s="80">
        <v>0</v>
      </c>
      <c r="N77" s="80">
        <v>120000</v>
      </c>
    </row>
    <row r="78" spans="1:14" hidden="1">
      <c r="A78" s="74" t="s">
        <v>1160</v>
      </c>
      <c r="B78" s="75" t="s">
        <v>1161</v>
      </c>
      <c r="C78" s="76" t="s">
        <v>134</v>
      </c>
      <c r="D78" s="76" t="s">
        <v>135</v>
      </c>
      <c r="E78" s="76" t="s">
        <v>136</v>
      </c>
      <c r="F78" s="80">
        <v>30578.51</v>
      </c>
      <c r="G78" s="80">
        <v>0</v>
      </c>
      <c r="H78" s="81">
        <v>0</v>
      </c>
      <c r="I78" s="81">
        <v>0</v>
      </c>
      <c r="J78" s="81">
        <v>0</v>
      </c>
      <c r="K78" s="81">
        <v>6421.49</v>
      </c>
      <c r="L78" s="81">
        <v>0</v>
      </c>
      <c r="M78" s="80">
        <v>0</v>
      </c>
      <c r="N78" s="80">
        <v>37000</v>
      </c>
    </row>
    <row r="79" spans="1:14" hidden="1">
      <c r="A79" s="74" t="s">
        <v>1160</v>
      </c>
      <c r="B79" s="75" t="s">
        <v>1162</v>
      </c>
      <c r="C79" s="76" t="s">
        <v>134</v>
      </c>
      <c r="D79" s="76" t="s">
        <v>135</v>
      </c>
      <c r="E79" s="76" t="s">
        <v>136</v>
      </c>
      <c r="F79" s="80">
        <v>20661.16</v>
      </c>
      <c r="G79" s="80">
        <v>0</v>
      </c>
      <c r="H79" s="81">
        <v>0</v>
      </c>
      <c r="I79" s="81">
        <v>0</v>
      </c>
      <c r="J79" s="81">
        <v>0</v>
      </c>
      <c r="K79" s="81">
        <v>4338.84</v>
      </c>
      <c r="L79" s="81">
        <v>0</v>
      </c>
      <c r="M79" s="80">
        <v>0</v>
      </c>
      <c r="N79" s="80">
        <v>25000</v>
      </c>
    </row>
    <row r="80" spans="1:14" hidden="1">
      <c r="A80" s="74" t="s">
        <v>1160</v>
      </c>
      <c r="B80" s="75" t="s">
        <v>1163</v>
      </c>
      <c r="C80" s="76" t="s">
        <v>134</v>
      </c>
      <c r="D80" s="76" t="s">
        <v>135</v>
      </c>
      <c r="E80" s="76" t="s">
        <v>136</v>
      </c>
      <c r="F80" s="80">
        <v>4132.2300000000005</v>
      </c>
      <c r="G80" s="80">
        <v>0</v>
      </c>
      <c r="H80" s="81">
        <v>0</v>
      </c>
      <c r="I80" s="81">
        <v>0</v>
      </c>
      <c r="J80" s="81">
        <v>0</v>
      </c>
      <c r="K80" s="81">
        <v>867.77</v>
      </c>
      <c r="L80" s="81">
        <v>0</v>
      </c>
      <c r="M80" s="80">
        <v>0</v>
      </c>
      <c r="N80" s="80">
        <v>5000</v>
      </c>
    </row>
    <row r="81" spans="1:14" hidden="1">
      <c r="A81" s="74" t="s">
        <v>1160</v>
      </c>
      <c r="B81" s="75" t="s">
        <v>1164</v>
      </c>
      <c r="C81" s="76" t="s">
        <v>134</v>
      </c>
      <c r="D81" s="76" t="s">
        <v>135</v>
      </c>
      <c r="E81" s="76" t="s">
        <v>136</v>
      </c>
      <c r="F81" s="80">
        <v>9917.36</v>
      </c>
      <c r="G81" s="80">
        <v>0</v>
      </c>
      <c r="H81" s="81">
        <v>0</v>
      </c>
      <c r="I81" s="81">
        <v>0</v>
      </c>
      <c r="J81" s="81">
        <v>0</v>
      </c>
      <c r="K81" s="81">
        <v>2082.64</v>
      </c>
      <c r="L81" s="81">
        <v>0</v>
      </c>
      <c r="M81" s="80">
        <v>0</v>
      </c>
      <c r="N81" s="80">
        <v>12000</v>
      </c>
    </row>
    <row r="82" spans="1:14" hidden="1">
      <c r="A82" s="74" t="s">
        <v>1160</v>
      </c>
      <c r="B82" s="75" t="s">
        <v>1165</v>
      </c>
      <c r="C82" s="76" t="s">
        <v>134</v>
      </c>
      <c r="D82" s="76" t="s">
        <v>135</v>
      </c>
      <c r="E82" s="76" t="s">
        <v>136</v>
      </c>
      <c r="F82" s="80">
        <v>15082.64</v>
      </c>
      <c r="G82" s="80">
        <v>0</v>
      </c>
      <c r="H82" s="81">
        <v>0</v>
      </c>
      <c r="I82" s="81">
        <v>0</v>
      </c>
      <c r="J82" s="81">
        <v>0</v>
      </c>
      <c r="K82" s="81">
        <v>3167.36</v>
      </c>
      <c r="L82" s="81">
        <v>0</v>
      </c>
      <c r="M82" s="80">
        <v>0</v>
      </c>
      <c r="N82" s="80">
        <v>18250</v>
      </c>
    </row>
    <row r="83" spans="1:14">
      <c r="A83" s="74" t="s">
        <v>1160</v>
      </c>
      <c r="B83" s="75" t="s">
        <v>1166</v>
      </c>
      <c r="C83" s="76" t="s">
        <v>342</v>
      </c>
      <c r="D83" s="76" t="s">
        <v>343</v>
      </c>
      <c r="E83" s="76">
        <v>30590354798</v>
      </c>
      <c r="F83" s="80">
        <v>1102780.1200000001</v>
      </c>
      <c r="G83" s="80">
        <v>0</v>
      </c>
      <c r="H83" s="81">
        <v>0</v>
      </c>
      <c r="I83" s="81">
        <v>0</v>
      </c>
      <c r="J83" s="81">
        <v>0</v>
      </c>
      <c r="K83" s="81">
        <v>231583.82</v>
      </c>
      <c r="L83" s="81">
        <v>0</v>
      </c>
      <c r="M83" s="80">
        <v>0</v>
      </c>
      <c r="N83" s="80">
        <v>1334363.94</v>
      </c>
    </row>
    <row r="84" spans="1:14" hidden="1">
      <c r="A84" s="74" t="s">
        <v>1167</v>
      </c>
      <c r="B84" s="75" t="s">
        <v>1168</v>
      </c>
      <c r="C84" s="76" t="s">
        <v>134</v>
      </c>
      <c r="D84" s="76" t="s">
        <v>135</v>
      </c>
      <c r="E84" s="76" t="s">
        <v>136</v>
      </c>
      <c r="F84" s="80">
        <v>21487.599999999999</v>
      </c>
      <c r="G84" s="80">
        <v>0</v>
      </c>
      <c r="H84" s="81">
        <v>0</v>
      </c>
      <c r="I84" s="81">
        <v>0</v>
      </c>
      <c r="J84" s="81">
        <v>0</v>
      </c>
      <c r="K84" s="81">
        <v>4512.4000000000005</v>
      </c>
      <c r="L84" s="81">
        <v>0</v>
      </c>
      <c r="M84" s="80">
        <v>0</v>
      </c>
      <c r="N84" s="80">
        <v>26000</v>
      </c>
    </row>
    <row r="85" spans="1:14" hidden="1">
      <c r="A85" s="74" t="s">
        <v>1167</v>
      </c>
      <c r="B85" s="75" t="s">
        <v>1169</v>
      </c>
      <c r="C85" s="76" t="s">
        <v>134</v>
      </c>
      <c r="D85" s="76" t="s">
        <v>135</v>
      </c>
      <c r="E85" s="76" t="s">
        <v>136</v>
      </c>
      <c r="F85" s="80">
        <v>10330.58</v>
      </c>
      <c r="G85" s="80">
        <v>0</v>
      </c>
      <c r="H85" s="81">
        <v>0</v>
      </c>
      <c r="I85" s="81">
        <v>0</v>
      </c>
      <c r="J85" s="81">
        <v>0</v>
      </c>
      <c r="K85" s="81">
        <v>2169.42</v>
      </c>
      <c r="L85" s="81">
        <v>0</v>
      </c>
      <c r="M85" s="80">
        <v>0</v>
      </c>
      <c r="N85" s="80">
        <v>12500</v>
      </c>
    </row>
    <row r="86" spans="1:14" hidden="1">
      <c r="A86" s="74" t="s">
        <v>1167</v>
      </c>
      <c r="B86" s="75" t="s">
        <v>1170</v>
      </c>
      <c r="C86" s="76" t="s">
        <v>134</v>
      </c>
      <c r="D86" s="76" t="s">
        <v>135</v>
      </c>
      <c r="E86" s="76" t="s">
        <v>136</v>
      </c>
      <c r="F86" s="80">
        <v>10743.8</v>
      </c>
      <c r="G86" s="80">
        <v>0</v>
      </c>
      <c r="H86" s="81">
        <v>0</v>
      </c>
      <c r="I86" s="81">
        <v>0</v>
      </c>
      <c r="J86" s="81">
        <v>0</v>
      </c>
      <c r="K86" s="81">
        <v>2256.2000000000003</v>
      </c>
      <c r="L86" s="81">
        <v>0</v>
      </c>
      <c r="M86" s="80">
        <v>0</v>
      </c>
      <c r="N86" s="80">
        <v>13000</v>
      </c>
    </row>
    <row r="87" spans="1:14" hidden="1">
      <c r="A87" s="74" t="s">
        <v>1167</v>
      </c>
      <c r="B87" s="75" t="s">
        <v>1171</v>
      </c>
      <c r="C87" s="76" t="s">
        <v>134</v>
      </c>
      <c r="D87" s="76" t="s">
        <v>135</v>
      </c>
      <c r="E87" s="76" t="s">
        <v>136</v>
      </c>
      <c r="F87" s="80">
        <v>9917.36</v>
      </c>
      <c r="G87" s="80">
        <v>0</v>
      </c>
      <c r="H87" s="81">
        <v>0</v>
      </c>
      <c r="I87" s="81">
        <v>0</v>
      </c>
      <c r="J87" s="81">
        <v>0</v>
      </c>
      <c r="K87" s="81">
        <v>2082.64</v>
      </c>
      <c r="L87" s="81">
        <v>0</v>
      </c>
      <c r="M87" s="80">
        <v>0</v>
      </c>
      <c r="N87" s="80">
        <v>12000</v>
      </c>
    </row>
    <row r="88" spans="1:14" hidden="1">
      <c r="A88" s="74" t="s">
        <v>1167</v>
      </c>
      <c r="B88" s="75" t="s">
        <v>1172</v>
      </c>
      <c r="C88" s="76" t="s">
        <v>134</v>
      </c>
      <c r="D88" s="76" t="s">
        <v>135</v>
      </c>
      <c r="E88" s="76" t="s">
        <v>136</v>
      </c>
      <c r="F88" s="80">
        <v>24793.39</v>
      </c>
      <c r="G88" s="80">
        <v>0</v>
      </c>
      <c r="H88" s="81">
        <v>0</v>
      </c>
      <c r="I88" s="81">
        <v>0</v>
      </c>
      <c r="J88" s="81">
        <v>0</v>
      </c>
      <c r="K88" s="81">
        <v>5206.6099999999997</v>
      </c>
      <c r="L88" s="81">
        <v>0</v>
      </c>
      <c r="M88" s="80">
        <v>0</v>
      </c>
      <c r="N88" s="80">
        <v>30000</v>
      </c>
    </row>
    <row r="89" spans="1:14" hidden="1">
      <c r="A89" s="74" t="s">
        <v>1167</v>
      </c>
      <c r="B89" s="75" t="s">
        <v>1173</v>
      </c>
      <c r="C89" s="76" t="s">
        <v>134</v>
      </c>
      <c r="D89" s="76" t="s">
        <v>135</v>
      </c>
      <c r="E89" s="76" t="s">
        <v>136</v>
      </c>
      <c r="F89" s="80">
        <v>24793.39</v>
      </c>
      <c r="G89" s="80">
        <v>0</v>
      </c>
      <c r="H89" s="81">
        <v>0</v>
      </c>
      <c r="I89" s="81">
        <v>0</v>
      </c>
      <c r="J89" s="81">
        <v>0</v>
      </c>
      <c r="K89" s="81">
        <v>5206.6099999999997</v>
      </c>
      <c r="L89" s="81">
        <v>0</v>
      </c>
      <c r="M89" s="80">
        <v>0</v>
      </c>
      <c r="N89" s="80">
        <v>30000</v>
      </c>
    </row>
    <row r="90" spans="1:14" hidden="1">
      <c r="A90" s="74" t="s">
        <v>1167</v>
      </c>
      <c r="B90" s="75" t="s">
        <v>1174</v>
      </c>
      <c r="C90" s="76" t="s">
        <v>134</v>
      </c>
      <c r="D90" s="76" t="s">
        <v>135</v>
      </c>
      <c r="E90" s="76" t="s">
        <v>136</v>
      </c>
      <c r="F90" s="80">
        <v>10743.8</v>
      </c>
      <c r="G90" s="80">
        <v>0</v>
      </c>
      <c r="H90" s="81">
        <v>0</v>
      </c>
      <c r="I90" s="81">
        <v>0</v>
      </c>
      <c r="J90" s="81">
        <v>0</v>
      </c>
      <c r="K90" s="81">
        <v>2256.2000000000003</v>
      </c>
      <c r="L90" s="81">
        <v>0</v>
      </c>
      <c r="M90" s="80">
        <v>0</v>
      </c>
      <c r="N90" s="80">
        <v>13000</v>
      </c>
    </row>
    <row r="91" spans="1:14" hidden="1">
      <c r="A91" s="74" t="s">
        <v>1167</v>
      </c>
      <c r="B91" s="75" t="s">
        <v>1175</v>
      </c>
      <c r="C91" s="76" t="s">
        <v>134</v>
      </c>
      <c r="D91" s="76" t="s">
        <v>135</v>
      </c>
      <c r="E91" s="76" t="s">
        <v>136</v>
      </c>
      <c r="F91" s="80">
        <v>20661.16</v>
      </c>
      <c r="G91" s="80">
        <v>0</v>
      </c>
      <c r="H91" s="81">
        <v>0</v>
      </c>
      <c r="I91" s="81">
        <v>0</v>
      </c>
      <c r="J91" s="81">
        <v>0</v>
      </c>
      <c r="K91" s="81">
        <v>4338.84</v>
      </c>
      <c r="L91" s="81">
        <v>0</v>
      </c>
      <c r="M91" s="80">
        <v>0</v>
      </c>
      <c r="N91" s="80">
        <v>25000</v>
      </c>
    </row>
    <row r="92" spans="1:14" hidden="1">
      <c r="A92" s="74" t="s">
        <v>1167</v>
      </c>
      <c r="B92" s="75" t="s">
        <v>1176</v>
      </c>
      <c r="C92" s="76" t="s">
        <v>134</v>
      </c>
      <c r="D92" s="76" t="s">
        <v>135</v>
      </c>
      <c r="E92" s="76" t="s">
        <v>136</v>
      </c>
      <c r="F92" s="80">
        <v>34710.74</v>
      </c>
      <c r="G92" s="80">
        <v>0</v>
      </c>
      <c r="H92" s="81">
        <v>0</v>
      </c>
      <c r="I92" s="81">
        <v>0</v>
      </c>
      <c r="J92" s="81">
        <v>0</v>
      </c>
      <c r="K92" s="81">
        <v>7289.26</v>
      </c>
      <c r="L92" s="81">
        <v>0</v>
      </c>
      <c r="M92" s="80">
        <v>0</v>
      </c>
      <c r="N92" s="80">
        <v>42000</v>
      </c>
    </row>
    <row r="93" spans="1:14" hidden="1">
      <c r="A93" s="74" t="s">
        <v>1167</v>
      </c>
      <c r="B93" s="75" t="s">
        <v>1177</v>
      </c>
      <c r="C93" s="76" t="s">
        <v>134</v>
      </c>
      <c r="D93" s="76" t="s">
        <v>135</v>
      </c>
      <c r="E93" s="76" t="s">
        <v>136</v>
      </c>
      <c r="F93" s="80">
        <v>4958.68</v>
      </c>
      <c r="G93" s="80">
        <v>0</v>
      </c>
      <c r="H93" s="81">
        <v>0</v>
      </c>
      <c r="I93" s="81">
        <v>0</v>
      </c>
      <c r="J93" s="81">
        <v>0</v>
      </c>
      <c r="K93" s="81">
        <v>1041.32</v>
      </c>
      <c r="L93" s="81">
        <v>0</v>
      </c>
      <c r="M93" s="80">
        <v>0</v>
      </c>
      <c r="N93" s="80">
        <v>6000</v>
      </c>
    </row>
    <row r="94" spans="1:14" hidden="1">
      <c r="A94" s="74" t="s">
        <v>1167</v>
      </c>
      <c r="B94" s="75" t="s">
        <v>1178</v>
      </c>
      <c r="C94" s="76" t="s">
        <v>134</v>
      </c>
      <c r="D94" s="76" t="s">
        <v>135</v>
      </c>
      <c r="E94" s="76" t="s">
        <v>136</v>
      </c>
      <c r="F94" s="80">
        <v>7438.02</v>
      </c>
      <c r="G94" s="80">
        <v>0</v>
      </c>
      <c r="H94" s="81">
        <v>0</v>
      </c>
      <c r="I94" s="81">
        <v>0</v>
      </c>
      <c r="J94" s="81">
        <v>0</v>
      </c>
      <c r="K94" s="81">
        <v>1561.98</v>
      </c>
      <c r="L94" s="81">
        <v>0</v>
      </c>
      <c r="M94" s="80">
        <v>0</v>
      </c>
      <c r="N94" s="80">
        <v>9000</v>
      </c>
    </row>
    <row r="95" spans="1:14">
      <c r="A95" s="74" t="s">
        <v>1167</v>
      </c>
      <c r="B95" s="75" t="s">
        <v>1179</v>
      </c>
      <c r="C95" s="76" t="s">
        <v>36</v>
      </c>
      <c r="D95" s="76" t="s">
        <v>19</v>
      </c>
      <c r="E95" s="76">
        <v>30683032227</v>
      </c>
      <c r="F95" s="80">
        <v>2117827.31</v>
      </c>
      <c r="G95" s="80">
        <v>0</v>
      </c>
      <c r="H95" s="81">
        <v>0</v>
      </c>
      <c r="I95" s="81">
        <v>0</v>
      </c>
      <c r="J95" s="81">
        <v>0</v>
      </c>
      <c r="K95" s="81">
        <v>444743.74</v>
      </c>
      <c r="L95" s="81">
        <v>0</v>
      </c>
      <c r="M95" s="80">
        <v>0</v>
      </c>
      <c r="N95" s="80">
        <v>2562571.0500000003</v>
      </c>
    </row>
    <row r="96" spans="1:14">
      <c r="A96" s="74" t="s">
        <v>1167</v>
      </c>
      <c r="B96" s="75" t="s">
        <v>1180</v>
      </c>
      <c r="C96" s="76" t="s">
        <v>36</v>
      </c>
      <c r="D96" s="76" t="s">
        <v>19</v>
      </c>
      <c r="E96" s="76">
        <v>30683032227</v>
      </c>
      <c r="F96" s="80">
        <v>1162287.9099999999</v>
      </c>
      <c r="G96" s="80">
        <v>0</v>
      </c>
      <c r="H96" s="81">
        <v>0</v>
      </c>
      <c r="I96" s="81">
        <v>0</v>
      </c>
      <c r="J96" s="81">
        <v>0</v>
      </c>
      <c r="K96" s="81">
        <v>244080.46</v>
      </c>
      <c r="L96" s="81">
        <v>0</v>
      </c>
      <c r="M96" s="80">
        <v>0</v>
      </c>
      <c r="N96" s="80">
        <v>1406368.37</v>
      </c>
    </row>
    <row r="97" spans="1:14">
      <c r="A97" s="74" t="s">
        <v>1167</v>
      </c>
      <c r="B97" s="75" t="s">
        <v>1181</v>
      </c>
      <c r="C97" s="76" t="s">
        <v>45</v>
      </c>
      <c r="D97" s="76" t="s">
        <v>19</v>
      </c>
      <c r="E97" s="76">
        <v>30608716390</v>
      </c>
      <c r="F97" s="80">
        <v>1402.21</v>
      </c>
      <c r="G97" s="80">
        <v>0</v>
      </c>
      <c r="H97" s="81">
        <v>0</v>
      </c>
      <c r="I97" s="81">
        <v>0</v>
      </c>
      <c r="J97" s="81">
        <v>0</v>
      </c>
      <c r="K97" s="81">
        <v>294.45999999999998</v>
      </c>
      <c r="L97" s="81">
        <v>0</v>
      </c>
      <c r="M97" s="80">
        <v>0</v>
      </c>
      <c r="N97" s="80">
        <v>1696.67</v>
      </c>
    </row>
    <row r="98" spans="1:14">
      <c r="A98" s="74" t="s">
        <v>1167</v>
      </c>
      <c r="B98" s="75" t="s">
        <v>1182</v>
      </c>
      <c r="C98" s="76" t="s">
        <v>498</v>
      </c>
      <c r="D98" s="76" t="s">
        <v>135</v>
      </c>
      <c r="E98" s="76">
        <v>17198648</v>
      </c>
      <c r="F98" s="80">
        <v>12809.92</v>
      </c>
      <c r="G98" s="80">
        <v>0</v>
      </c>
      <c r="H98" s="81">
        <v>0</v>
      </c>
      <c r="I98" s="81">
        <v>0</v>
      </c>
      <c r="J98" s="81">
        <v>0</v>
      </c>
      <c r="K98" s="81">
        <v>2690.08</v>
      </c>
      <c r="L98" s="81">
        <v>0</v>
      </c>
      <c r="M98" s="80">
        <v>0</v>
      </c>
      <c r="N98" s="80">
        <v>15500</v>
      </c>
    </row>
    <row r="99" spans="1:14" hidden="1">
      <c r="A99" s="74" t="s">
        <v>1183</v>
      </c>
      <c r="B99" s="75" t="s">
        <v>1184</v>
      </c>
      <c r="C99" s="76" t="s">
        <v>134</v>
      </c>
      <c r="D99" s="76" t="s">
        <v>135</v>
      </c>
      <c r="E99" s="76" t="s">
        <v>136</v>
      </c>
      <c r="F99" s="80">
        <v>9917.36</v>
      </c>
      <c r="G99" s="80">
        <v>0</v>
      </c>
      <c r="H99" s="81">
        <v>0</v>
      </c>
      <c r="I99" s="81">
        <v>0</v>
      </c>
      <c r="J99" s="81">
        <v>0</v>
      </c>
      <c r="K99" s="81">
        <v>2082.64</v>
      </c>
      <c r="L99" s="81">
        <v>0</v>
      </c>
      <c r="M99" s="80">
        <v>0</v>
      </c>
      <c r="N99" s="80">
        <v>12000</v>
      </c>
    </row>
    <row r="100" spans="1:14" hidden="1">
      <c r="A100" s="74" t="s">
        <v>1183</v>
      </c>
      <c r="B100" s="75" t="s">
        <v>1185</v>
      </c>
      <c r="C100" s="76" t="s">
        <v>134</v>
      </c>
      <c r="D100" s="76" t="s">
        <v>135</v>
      </c>
      <c r="E100" s="76" t="s">
        <v>136</v>
      </c>
      <c r="F100" s="80">
        <v>14876.03</v>
      </c>
      <c r="G100" s="80">
        <v>0</v>
      </c>
      <c r="H100" s="81">
        <v>0</v>
      </c>
      <c r="I100" s="81">
        <v>0</v>
      </c>
      <c r="J100" s="81">
        <v>0</v>
      </c>
      <c r="K100" s="81">
        <v>3123.97</v>
      </c>
      <c r="L100" s="81">
        <v>0</v>
      </c>
      <c r="M100" s="80">
        <v>0</v>
      </c>
      <c r="N100" s="80">
        <v>18000</v>
      </c>
    </row>
    <row r="101" spans="1:14" hidden="1">
      <c r="A101" s="74" t="s">
        <v>1183</v>
      </c>
      <c r="B101" s="75" t="s">
        <v>1186</v>
      </c>
      <c r="C101" s="76" t="s">
        <v>134</v>
      </c>
      <c r="D101" s="76" t="s">
        <v>135</v>
      </c>
      <c r="E101" s="76" t="s">
        <v>136</v>
      </c>
      <c r="F101" s="80">
        <v>10950.41</v>
      </c>
      <c r="G101" s="80">
        <v>0</v>
      </c>
      <c r="H101" s="81">
        <v>0</v>
      </c>
      <c r="I101" s="81">
        <v>0</v>
      </c>
      <c r="J101" s="81">
        <v>0</v>
      </c>
      <c r="K101" s="81">
        <v>2299.59</v>
      </c>
      <c r="L101" s="81">
        <v>0</v>
      </c>
      <c r="M101" s="80">
        <v>0</v>
      </c>
      <c r="N101" s="80">
        <v>13250</v>
      </c>
    </row>
    <row r="102" spans="1:14" hidden="1">
      <c r="A102" s="74" t="s">
        <v>1183</v>
      </c>
      <c r="B102" s="75" t="s">
        <v>1187</v>
      </c>
      <c r="C102" s="76" t="s">
        <v>134</v>
      </c>
      <c r="D102" s="76" t="s">
        <v>135</v>
      </c>
      <c r="E102" s="76" t="s">
        <v>136</v>
      </c>
      <c r="F102" s="80">
        <v>10950.41</v>
      </c>
      <c r="G102" s="80">
        <v>0</v>
      </c>
      <c r="H102" s="81">
        <v>0</v>
      </c>
      <c r="I102" s="81">
        <v>0</v>
      </c>
      <c r="J102" s="81">
        <v>0</v>
      </c>
      <c r="K102" s="81">
        <v>2299.59</v>
      </c>
      <c r="L102" s="81">
        <v>0</v>
      </c>
      <c r="M102" s="80">
        <v>0</v>
      </c>
      <c r="N102" s="80">
        <v>13250</v>
      </c>
    </row>
    <row r="103" spans="1:14" hidden="1">
      <c r="A103" s="74" t="s">
        <v>1183</v>
      </c>
      <c r="B103" s="75" t="s">
        <v>1188</v>
      </c>
      <c r="C103" s="76" t="s">
        <v>134</v>
      </c>
      <c r="D103" s="76" t="s">
        <v>135</v>
      </c>
      <c r="E103" s="76" t="s">
        <v>136</v>
      </c>
      <c r="F103" s="80">
        <v>14876.03</v>
      </c>
      <c r="G103" s="80">
        <v>0</v>
      </c>
      <c r="H103" s="81">
        <v>0</v>
      </c>
      <c r="I103" s="81">
        <v>0</v>
      </c>
      <c r="J103" s="81">
        <v>0</v>
      </c>
      <c r="K103" s="81">
        <v>3123.97</v>
      </c>
      <c r="L103" s="81">
        <v>0</v>
      </c>
      <c r="M103" s="80">
        <v>0</v>
      </c>
      <c r="N103" s="80">
        <v>18000</v>
      </c>
    </row>
    <row r="104" spans="1:14" hidden="1">
      <c r="A104" s="74" t="s">
        <v>1183</v>
      </c>
      <c r="B104" s="75" t="s">
        <v>1189</v>
      </c>
      <c r="C104" s="76" t="s">
        <v>134</v>
      </c>
      <c r="D104" s="76" t="s">
        <v>135</v>
      </c>
      <c r="E104" s="76" t="s">
        <v>136</v>
      </c>
      <c r="F104" s="80">
        <v>24793.39</v>
      </c>
      <c r="G104" s="80">
        <v>0</v>
      </c>
      <c r="H104" s="81">
        <v>0</v>
      </c>
      <c r="I104" s="81">
        <v>0</v>
      </c>
      <c r="J104" s="81">
        <v>0</v>
      </c>
      <c r="K104" s="81">
        <v>5206.6099999999997</v>
      </c>
      <c r="L104" s="81">
        <v>0</v>
      </c>
      <c r="M104" s="80">
        <v>0</v>
      </c>
      <c r="N104" s="80">
        <v>30000</v>
      </c>
    </row>
    <row r="105" spans="1:14" hidden="1">
      <c r="A105" s="74" t="s">
        <v>1183</v>
      </c>
      <c r="B105" s="75" t="s">
        <v>1190</v>
      </c>
      <c r="C105" s="76" t="s">
        <v>134</v>
      </c>
      <c r="D105" s="76" t="s">
        <v>135</v>
      </c>
      <c r="E105" s="76" t="s">
        <v>136</v>
      </c>
      <c r="F105" s="80">
        <v>4958.68</v>
      </c>
      <c r="G105" s="80">
        <v>0</v>
      </c>
      <c r="H105" s="81">
        <v>0</v>
      </c>
      <c r="I105" s="81">
        <v>0</v>
      </c>
      <c r="J105" s="81">
        <v>0</v>
      </c>
      <c r="K105" s="81">
        <v>1041.32</v>
      </c>
      <c r="L105" s="81">
        <v>0</v>
      </c>
      <c r="M105" s="80">
        <v>0</v>
      </c>
      <c r="N105" s="80">
        <v>6000</v>
      </c>
    </row>
    <row r="106" spans="1:14" hidden="1">
      <c r="A106" s="74" t="s">
        <v>1183</v>
      </c>
      <c r="B106" s="75" t="s">
        <v>1191</v>
      </c>
      <c r="C106" s="76" t="s">
        <v>134</v>
      </c>
      <c r="D106" s="76" t="s">
        <v>135</v>
      </c>
      <c r="E106" s="76" t="s">
        <v>136</v>
      </c>
      <c r="F106" s="80">
        <v>15082.64</v>
      </c>
      <c r="G106" s="80">
        <v>0</v>
      </c>
      <c r="H106" s="81">
        <v>0</v>
      </c>
      <c r="I106" s="81">
        <v>0</v>
      </c>
      <c r="J106" s="81">
        <v>0</v>
      </c>
      <c r="K106" s="81">
        <v>3167.36</v>
      </c>
      <c r="L106" s="81">
        <v>0</v>
      </c>
      <c r="M106" s="80">
        <v>0</v>
      </c>
      <c r="N106" s="80">
        <v>18250</v>
      </c>
    </row>
    <row r="107" spans="1:14">
      <c r="A107" s="74" t="s">
        <v>1183</v>
      </c>
      <c r="B107" s="75" t="s">
        <v>1192</v>
      </c>
      <c r="C107" s="76" t="s">
        <v>25</v>
      </c>
      <c r="D107" s="76" t="s">
        <v>19</v>
      </c>
      <c r="E107" s="76">
        <v>30522428163</v>
      </c>
      <c r="F107" s="80">
        <v>2776942.15</v>
      </c>
      <c r="G107" s="80">
        <v>0</v>
      </c>
      <c r="H107" s="81">
        <v>0</v>
      </c>
      <c r="I107" s="81">
        <v>0</v>
      </c>
      <c r="J107" s="81">
        <v>0</v>
      </c>
      <c r="K107" s="81">
        <v>583157.85</v>
      </c>
      <c r="L107" s="81">
        <v>0</v>
      </c>
      <c r="M107" s="80">
        <v>0</v>
      </c>
      <c r="N107" s="80">
        <v>3360100</v>
      </c>
    </row>
    <row r="108" spans="1:14">
      <c r="A108" s="74" t="s">
        <v>1183</v>
      </c>
      <c r="B108" s="75" t="s">
        <v>1193</v>
      </c>
      <c r="C108" s="76" t="s">
        <v>25</v>
      </c>
      <c r="D108" s="76" t="s">
        <v>19</v>
      </c>
      <c r="E108" s="76">
        <v>30522428163</v>
      </c>
      <c r="F108" s="80">
        <v>-5696.69</v>
      </c>
      <c r="G108" s="80">
        <v>0</v>
      </c>
      <c r="H108" s="81">
        <v>0</v>
      </c>
      <c r="I108" s="81">
        <v>0</v>
      </c>
      <c r="J108" s="81">
        <v>0</v>
      </c>
      <c r="K108" s="81">
        <v>-1196.3</v>
      </c>
      <c r="L108" s="81">
        <v>0</v>
      </c>
      <c r="M108" s="80">
        <v>0</v>
      </c>
      <c r="N108" s="80">
        <v>-6892.99</v>
      </c>
    </row>
    <row r="109" spans="1:14">
      <c r="A109" s="74" t="s">
        <v>1183</v>
      </c>
      <c r="B109" s="75" t="s">
        <v>1194</v>
      </c>
      <c r="C109" s="76" t="s">
        <v>25</v>
      </c>
      <c r="D109" s="76" t="s">
        <v>19</v>
      </c>
      <c r="E109" s="76">
        <v>30522428163</v>
      </c>
      <c r="F109" s="80">
        <v>-30247.93</v>
      </c>
      <c r="G109" s="80">
        <v>0</v>
      </c>
      <c r="H109" s="81">
        <v>0</v>
      </c>
      <c r="I109" s="81">
        <v>0</v>
      </c>
      <c r="J109" s="81">
        <v>0</v>
      </c>
      <c r="K109" s="81">
        <v>-6352.07</v>
      </c>
      <c r="L109" s="81">
        <v>0</v>
      </c>
      <c r="M109" s="80">
        <v>0</v>
      </c>
      <c r="N109" s="80">
        <v>-36600</v>
      </c>
    </row>
    <row r="110" spans="1:14">
      <c r="A110" s="74" t="s">
        <v>1183</v>
      </c>
      <c r="B110" s="75" t="s">
        <v>1195</v>
      </c>
      <c r="C110" s="76" t="s">
        <v>25</v>
      </c>
      <c r="D110" s="76" t="s">
        <v>19</v>
      </c>
      <c r="E110" s="76">
        <v>30522428163</v>
      </c>
      <c r="F110" s="80">
        <v>-14613.43</v>
      </c>
      <c r="G110" s="80">
        <v>0</v>
      </c>
      <c r="H110" s="81">
        <v>0</v>
      </c>
      <c r="I110" s="81">
        <v>0</v>
      </c>
      <c r="J110" s="81">
        <v>0</v>
      </c>
      <c r="K110" s="81">
        <v>-3068.82</v>
      </c>
      <c r="L110" s="81">
        <v>0</v>
      </c>
      <c r="M110" s="80">
        <v>0</v>
      </c>
      <c r="N110" s="80">
        <v>-17682.25</v>
      </c>
    </row>
    <row r="111" spans="1:14">
      <c r="A111" s="74" t="s">
        <v>1183</v>
      </c>
      <c r="B111" s="75" t="s">
        <v>1196</v>
      </c>
      <c r="C111" s="76" t="s">
        <v>25</v>
      </c>
      <c r="D111" s="76" t="s">
        <v>19</v>
      </c>
      <c r="E111" s="76">
        <v>30522428163</v>
      </c>
      <c r="F111" s="80">
        <v>-14373.89</v>
      </c>
      <c r="G111" s="80">
        <v>0</v>
      </c>
      <c r="H111" s="81">
        <v>0</v>
      </c>
      <c r="I111" s="81">
        <v>0</v>
      </c>
      <c r="J111" s="81">
        <v>0</v>
      </c>
      <c r="K111" s="81">
        <v>-3018.52</v>
      </c>
      <c r="L111" s="81">
        <v>0</v>
      </c>
      <c r="M111" s="80">
        <v>0</v>
      </c>
      <c r="N111" s="80">
        <v>-17392.41</v>
      </c>
    </row>
    <row r="112" spans="1:14">
      <c r="A112" s="74" t="s">
        <v>1183</v>
      </c>
      <c r="B112" s="75" t="s">
        <v>1197</v>
      </c>
      <c r="C112" s="76" t="s">
        <v>45</v>
      </c>
      <c r="D112" s="76" t="s">
        <v>19</v>
      </c>
      <c r="E112" s="76">
        <v>30608716390</v>
      </c>
      <c r="F112" s="80">
        <v>11652.89</v>
      </c>
      <c r="G112" s="80">
        <v>0</v>
      </c>
      <c r="H112" s="81">
        <v>0</v>
      </c>
      <c r="I112" s="81">
        <v>0</v>
      </c>
      <c r="J112" s="81">
        <v>0</v>
      </c>
      <c r="K112" s="81">
        <v>2447.11</v>
      </c>
      <c r="L112" s="81">
        <v>0</v>
      </c>
      <c r="M112" s="80">
        <v>0</v>
      </c>
      <c r="N112" s="80">
        <v>14100</v>
      </c>
    </row>
    <row r="113" spans="1:14">
      <c r="A113" s="74" t="s">
        <v>1183</v>
      </c>
      <c r="B113" s="75" t="s">
        <v>1198</v>
      </c>
      <c r="C113" s="76" t="s">
        <v>45</v>
      </c>
      <c r="D113" s="76" t="s">
        <v>19</v>
      </c>
      <c r="E113" s="76">
        <v>30608716390</v>
      </c>
      <c r="F113" s="80">
        <v>4962.8100000000004</v>
      </c>
      <c r="G113" s="80">
        <v>0</v>
      </c>
      <c r="H113" s="81">
        <v>0</v>
      </c>
      <c r="I113" s="81">
        <v>0</v>
      </c>
      <c r="J113" s="81">
        <v>0</v>
      </c>
      <c r="K113" s="81">
        <v>1042.19</v>
      </c>
      <c r="L113" s="81">
        <v>0</v>
      </c>
      <c r="M113" s="80">
        <v>0</v>
      </c>
      <c r="N113" s="80">
        <v>6005</v>
      </c>
    </row>
    <row r="114" spans="1:14">
      <c r="A114" s="74" t="s">
        <v>1183</v>
      </c>
      <c r="B114" s="75" t="s">
        <v>1199</v>
      </c>
      <c r="C114" s="76" t="s">
        <v>82</v>
      </c>
      <c r="D114" s="76" t="s">
        <v>19</v>
      </c>
      <c r="E114" s="76">
        <v>30657418877</v>
      </c>
      <c r="F114" s="80">
        <v>20677.689999999999</v>
      </c>
      <c r="G114" s="80">
        <v>0</v>
      </c>
      <c r="H114" s="81">
        <v>0</v>
      </c>
      <c r="I114" s="81">
        <v>0</v>
      </c>
      <c r="J114" s="81">
        <v>0</v>
      </c>
      <c r="K114" s="81">
        <v>4342.3100000000004</v>
      </c>
      <c r="L114" s="81">
        <v>0</v>
      </c>
      <c r="M114" s="80">
        <v>0</v>
      </c>
      <c r="N114" s="80">
        <v>25020</v>
      </c>
    </row>
    <row r="115" spans="1:14">
      <c r="A115" s="74" t="s">
        <v>1183</v>
      </c>
      <c r="B115" s="75" t="s">
        <v>1200</v>
      </c>
      <c r="C115" s="76" t="s">
        <v>1201</v>
      </c>
      <c r="D115" s="76" t="s">
        <v>19</v>
      </c>
      <c r="E115" s="76">
        <v>30658035033</v>
      </c>
      <c r="F115" s="80">
        <v>370247.93</v>
      </c>
      <c r="G115" s="80">
        <v>0</v>
      </c>
      <c r="H115" s="81">
        <v>0</v>
      </c>
      <c r="I115" s="81">
        <v>0</v>
      </c>
      <c r="J115" s="81">
        <v>0</v>
      </c>
      <c r="K115" s="81">
        <v>77752.070000000007</v>
      </c>
      <c r="L115" s="81">
        <v>0</v>
      </c>
      <c r="M115" s="80">
        <v>0</v>
      </c>
      <c r="N115" s="80">
        <v>448000</v>
      </c>
    </row>
    <row r="116" spans="1:14">
      <c r="A116" s="74" t="s">
        <v>1183</v>
      </c>
      <c r="B116" s="75" t="s">
        <v>1202</v>
      </c>
      <c r="C116" s="76" t="s">
        <v>1203</v>
      </c>
      <c r="D116" s="76" t="s">
        <v>135</v>
      </c>
      <c r="E116" s="76">
        <v>14736066</v>
      </c>
      <c r="F116" s="80">
        <v>22314.05</v>
      </c>
      <c r="G116" s="80">
        <v>0</v>
      </c>
      <c r="H116" s="81">
        <v>0</v>
      </c>
      <c r="I116" s="81">
        <v>0</v>
      </c>
      <c r="J116" s="81">
        <v>0</v>
      </c>
      <c r="K116" s="81">
        <v>4685.95</v>
      </c>
      <c r="L116" s="81">
        <v>0</v>
      </c>
      <c r="M116" s="80">
        <v>0</v>
      </c>
      <c r="N116" s="80">
        <v>27000</v>
      </c>
    </row>
    <row r="117" spans="1:14">
      <c r="A117" s="74" t="s">
        <v>1183</v>
      </c>
      <c r="B117" s="75" t="s">
        <v>1204</v>
      </c>
      <c r="C117" s="76" t="s">
        <v>1203</v>
      </c>
      <c r="D117" s="76" t="s">
        <v>135</v>
      </c>
      <c r="E117" s="76">
        <v>14736066</v>
      </c>
      <c r="F117" s="80">
        <v>12396.69</v>
      </c>
      <c r="G117" s="80">
        <v>0</v>
      </c>
      <c r="H117" s="81">
        <v>0</v>
      </c>
      <c r="I117" s="81">
        <v>0</v>
      </c>
      <c r="J117" s="81">
        <v>0</v>
      </c>
      <c r="K117" s="81">
        <v>2603.31</v>
      </c>
      <c r="L117" s="81">
        <v>0</v>
      </c>
      <c r="M117" s="80">
        <v>0</v>
      </c>
      <c r="N117" s="80">
        <v>15000</v>
      </c>
    </row>
    <row r="118" spans="1:14" hidden="1">
      <c r="A118" s="74" t="s">
        <v>1205</v>
      </c>
      <c r="B118" s="75" t="s">
        <v>1206</v>
      </c>
      <c r="C118" s="76" t="s">
        <v>134</v>
      </c>
      <c r="D118" s="76" t="s">
        <v>135</v>
      </c>
      <c r="E118" s="76" t="s">
        <v>136</v>
      </c>
      <c r="F118" s="80">
        <v>23471.07</v>
      </c>
      <c r="G118" s="80">
        <v>0</v>
      </c>
      <c r="H118" s="81">
        <v>0</v>
      </c>
      <c r="I118" s="81">
        <v>0</v>
      </c>
      <c r="J118" s="81">
        <v>0</v>
      </c>
      <c r="K118" s="81">
        <v>4928.93</v>
      </c>
      <c r="L118" s="81">
        <v>0</v>
      </c>
      <c r="M118" s="80">
        <v>0</v>
      </c>
      <c r="N118" s="80">
        <v>28400</v>
      </c>
    </row>
    <row r="119" spans="1:14" hidden="1">
      <c r="A119" s="74" t="s">
        <v>1205</v>
      </c>
      <c r="B119" s="75" t="s">
        <v>1207</v>
      </c>
      <c r="C119" s="76" t="s">
        <v>134</v>
      </c>
      <c r="D119" s="76" t="s">
        <v>135</v>
      </c>
      <c r="E119" s="76" t="s">
        <v>136</v>
      </c>
      <c r="F119" s="80">
        <v>21900.83</v>
      </c>
      <c r="G119" s="80">
        <v>0</v>
      </c>
      <c r="H119" s="81">
        <v>0</v>
      </c>
      <c r="I119" s="81">
        <v>0</v>
      </c>
      <c r="J119" s="81">
        <v>0</v>
      </c>
      <c r="K119" s="81">
        <v>4599.17</v>
      </c>
      <c r="L119" s="81">
        <v>0</v>
      </c>
      <c r="M119" s="80">
        <v>0</v>
      </c>
      <c r="N119" s="80">
        <v>26500</v>
      </c>
    </row>
    <row r="120" spans="1:14" hidden="1">
      <c r="A120" s="74" t="s">
        <v>1205</v>
      </c>
      <c r="B120" s="75" t="s">
        <v>1208</v>
      </c>
      <c r="C120" s="76" t="s">
        <v>134</v>
      </c>
      <c r="D120" s="76" t="s">
        <v>135</v>
      </c>
      <c r="E120" s="76" t="s">
        <v>136</v>
      </c>
      <c r="F120" s="80">
        <v>8264.4600000000009</v>
      </c>
      <c r="G120" s="80">
        <v>0</v>
      </c>
      <c r="H120" s="81">
        <v>0</v>
      </c>
      <c r="I120" s="81">
        <v>0</v>
      </c>
      <c r="J120" s="81">
        <v>0</v>
      </c>
      <c r="K120" s="81">
        <v>1735.54</v>
      </c>
      <c r="L120" s="81">
        <v>0</v>
      </c>
      <c r="M120" s="80">
        <v>0</v>
      </c>
      <c r="N120" s="80">
        <v>10000</v>
      </c>
    </row>
    <row r="121" spans="1:14" hidden="1">
      <c r="A121" s="74" t="s">
        <v>1205</v>
      </c>
      <c r="B121" s="75" t="s">
        <v>1209</v>
      </c>
      <c r="C121" s="76" t="s">
        <v>134</v>
      </c>
      <c r="D121" s="76" t="s">
        <v>135</v>
      </c>
      <c r="E121" s="76" t="s">
        <v>136</v>
      </c>
      <c r="F121" s="80">
        <v>57851.24</v>
      </c>
      <c r="G121" s="80">
        <v>0</v>
      </c>
      <c r="H121" s="81">
        <v>0</v>
      </c>
      <c r="I121" s="81">
        <v>0</v>
      </c>
      <c r="J121" s="81">
        <v>0</v>
      </c>
      <c r="K121" s="81">
        <v>12148.76</v>
      </c>
      <c r="L121" s="81">
        <v>0</v>
      </c>
      <c r="M121" s="80">
        <v>0</v>
      </c>
      <c r="N121" s="80">
        <v>70000</v>
      </c>
    </row>
    <row r="122" spans="1:14" hidden="1">
      <c r="A122" s="74" t="s">
        <v>1205</v>
      </c>
      <c r="B122" s="75" t="s">
        <v>1210</v>
      </c>
      <c r="C122" s="76" t="s">
        <v>134</v>
      </c>
      <c r="D122" s="76" t="s">
        <v>135</v>
      </c>
      <c r="E122" s="76" t="s">
        <v>136</v>
      </c>
      <c r="F122" s="80">
        <v>20661.16</v>
      </c>
      <c r="G122" s="80">
        <v>0</v>
      </c>
      <c r="H122" s="81">
        <v>0</v>
      </c>
      <c r="I122" s="81">
        <v>0</v>
      </c>
      <c r="J122" s="81">
        <v>0</v>
      </c>
      <c r="K122" s="81">
        <v>4338.84</v>
      </c>
      <c r="L122" s="81">
        <v>0</v>
      </c>
      <c r="M122" s="80">
        <v>0</v>
      </c>
      <c r="N122" s="80">
        <v>25000</v>
      </c>
    </row>
    <row r="123" spans="1:14" hidden="1">
      <c r="A123" s="74" t="s">
        <v>1205</v>
      </c>
      <c r="B123" s="75" t="s">
        <v>1211</v>
      </c>
      <c r="C123" s="76" t="s">
        <v>134</v>
      </c>
      <c r="D123" s="76" t="s">
        <v>135</v>
      </c>
      <c r="E123" s="76" t="s">
        <v>136</v>
      </c>
      <c r="F123" s="80">
        <v>6611.57</v>
      </c>
      <c r="G123" s="80">
        <v>0</v>
      </c>
      <c r="H123" s="81">
        <v>0</v>
      </c>
      <c r="I123" s="81">
        <v>0</v>
      </c>
      <c r="J123" s="81">
        <v>0</v>
      </c>
      <c r="K123" s="81">
        <v>1388.43</v>
      </c>
      <c r="L123" s="81">
        <v>0</v>
      </c>
      <c r="M123" s="80">
        <v>0</v>
      </c>
      <c r="N123" s="80">
        <v>8000</v>
      </c>
    </row>
    <row r="124" spans="1:14">
      <c r="A124" s="74" t="s">
        <v>1205</v>
      </c>
      <c r="B124" s="75" t="s">
        <v>1212</v>
      </c>
      <c r="C124" s="76" t="s">
        <v>25</v>
      </c>
      <c r="D124" s="76" t="s">
        <v>19</v>
      </c>
      <c r="E124" s="76">
        <v>30522428163</v>
      </c>
      <c r="F124" s="80">
        <v>2169752.06</v>
      </c>
      <c r="G124" s="80">
        <v>0</v>
      </c>
      <c r="H124" s="81">
        <v>0</v>
      </c>
      <c r="I124" s="81">
        <v>0</v>
      </c>
      <c r="J124" s="81">
        <v>0</v>
      </c>
      <c r="K124" s="81">
        <v>455647.93</v>
      </c>
      <c r="L124" s="81">
        <v>0</v>
      </c>
      <c r="M124" s="80">
        <v>0</v>
      </c>
      <c r="N124" s="80">
        <v>2625399.9900000002</v>
      </c>
    </row>
    <row r="125" spans="1:14">
      <c r="A125" s="74" t="s">
        <v>1205</v>
      </c>
      <c r="B125" s="75" t="s">
        <v>1213</v>
      </c>
      <c r="C125" s="76" t="s">
        <v>25</v>
      </c>
      <c r="D125" s="76" t="s">
        <v>19</v>
      </c>
      <c r="E125" s="76">
        <v>30522428163</v>
      </c>
      <c r="F125" s="80">
        <v>2030082.63</v>
      </c>
      <c r="G125" s="80">
        <v>0</v>
      </c>
      <c r="H125" s="81">
        <v>0</v>
      </c>
      <c r="I125" s="81">
        <v>0</v>
      </c>
      <c r="J125" s="81">
        <v>0</v>
      </c>
      <c r="K125" s="81">
        <v>426317.35</v>
      </c>
      <c r="L125" s="81">
        <v>0</v>
      </c>
      <c r="M125" s="80">
        <v>0</v>
      </c>
      <c r="N125" s="80">
        <v>2456399.98</v>
      </c>
    </row>
    <row r="126" spans="1:14">
      <c r="A126" s="74" t="s">
        <v>1205</v>
      </c>
      <c r="B126" s="75" t="s">
        <v>1214</v>
      </c>
      <c r="C126" s="76" t="s">
        <v>45</v>
      </c>
      <c r="D126" s="76" t="s">
        <v>19</v>
      </c>
      <c r="E126" s="76">
        <v>30608716390</v>
      </c>
      <c r="F126" s="80">
        <v>38404.959999999999</v>
      </c>
      <c r="G126" s="80">
        <v>0</v>
      </c>
      <c r="H126" s="81">
        <v>0</v>
      </c>
      <c r="I126" s="81">
        <v>0</v>
      </c>
      <c r="J126" s="81">
        <v>0</v>
      </c>
      <c r="K126" s="81">
        <v>8065.04</v>
      </c>
      <c r="L126" s="81">
        <v>0</v>
      </c>
      <c r="M126" s="80">
        <v>0</v>
      </c>
      <c r="N126" s="80">
        <v>46470</v>
      </c>
    </row>
    <row r="127" spans="1:14">
      <c r="A127" s="74" t="s">
        <v>1205</v>
      </c>
      <c r="B127" s="75" t="s">
        <v>1215</v>
      </c>
      <c r="C127" s="76" t="s">
        <v>1216</v>
      </c>
      <c r="D127" s="76" t="s">
        <v>19</v>
      </c>
      <c r="E127" s="76">
        <v>30590412631</v>
      </c>
      <c r="F127" s="80">
        <v>47933.88</v>
      </c>
      <c r="G127" s="80">
        <v>0</v>
      </c>
      <c r="H127" s="81">
        <v>0</v>
      </c>
      <c r="I127" s="81">
        <v>0</v>
      </c>
      <c r="J127" s="81">
        <v>0</v>
      </c>
      <c r="K127" s="81">
        <v>10066.11</v>
      </c>
      <c r="L127" s="81">
        <v>0</v>
      </c>
      <c r="M127" s="80">
        <v>0</v>
      </c>
      <c r="N127" s="80">
        <v>57999.99</v>
      </c>
    </row>
    <row r="128" spans="1:14" hidden="1">
      <c r="A128" s="74" t="s">
        <v>1217</v>
      </c>
      <c r="B128" s="75" t="s">
        <v>1218</v>
      </c>
      <c r="C128" s="76" t="s">
        <v>134</v>
      </c>
      <c r="D128" s="76" t="s">
        <v>135</v>
      </c>
      <c r="E128" s="76" t="s">
        <v>136</v>
      </c>
      <c r="F128" s="80">
        <v>32231.41</v>
      </c>
      <c r="G128" s="80">
        <v>0</v>
      </c>
      <c r="H128" s="81">
        <v>0</v>
      </c>
      <c r="I128" s="81">
        <v>0</v>
      </c>
      <c r="J128" s="81">
        <v>0</v>
      </c>
      <c r="K128" s="81">
        <v>6768.59</v>
      </c>
      <c r="L128" s="81">
        <v>0</v>
      </c>
      <c r="M128" s="80">
        <v>0</v>
      </c>
      <c r="N128" s="80">
        <v>39000</v>
      </c>
    </row>
    <row r="129" spans="1:14" hidden="1">
      <c r="A129" s="74" t="s">
        <v>1217</v>
      </c>
      <c r="B129" s="75" t="s">
        <v>1219</v>
      </c>
      <c r="C129" s="76" t="s">
        <v>134</v>
      </c>
      <c r="D129" s="76" t="s">
        <v>135</v>
      </c>
      <c r="E129" s="76" t="s">
        <v>136</v>
      </c>
      <c r="F129" s="80">
        <v>13223.14</v>
      </c>
      <c r="G129" s="80">
        <v>0</v>
      </c>
      <c r="H129" s="81">
        <v>0</v>
      </c>
      <c r="I129" s="81">
        <v>0</v>
      </c>
      <c r="J129" s="81">
        <v>0</v>
      </c>
      <c r="K129" s="81">
        <v>2776.86</v>
      </c>
      <c r="L129" s="81">
        <v>0</v>
      </c>
      <c r="M129" s="80">
        <v>0</v>
      </c>
      <c r="N129" s="80">
        <v>16000</v>
      </c>
    </row>
    <row r="130" spans="1:14" hidden="1">
      <c r="A130" s="74" t="s">
        <v>1217</v>
      </c>
      <c r="B130" s="75" t="s">
        <v>1220</v>
      </c>
      <c r="C130" s="76" t="s">
        <v>134</v>
      </c>
      <c r="D130" s="76" t="s">
        <v>135</v>
      </c>
      <c r="E130" s="76" t="s">
        <v>136</v>
      </c>
      <c r="F130" s="80">
        <v>32231.41</v>
      </c>
      <c r="G130" s="80">
        <v>0</v>
      </c>
      <c r="H130" s="81">
        <v>0</v>
      </c>
      <c r="I130" s="81">
        <v>0</v>
      </c>
      <c r="J130" s="81">
        <v>0</v>
      </c>
      <c r="K130" s="81">
        <v>6768.59</v>
      </c>
      <c r="L130" s="81">
        <v>0</v>
      </c>
      <c r="M130" s="80">
        <v>0</v>
      </c>
      <c r="N130" s="80">
        <v>39000</v>
      </c>
    </row>
    <row r="131" spans="1:14" hidden="1">
      <c r="A131" s="74" t="s">
        <v>1217</v>
      </c>
      <c r="B131" s="75" t="s">
        <v>1221</v>
      </c>
      <c r="C131" s="76" t="s">
        <v>134</v>
      </c>
      <c r="D131" s="76" t="s">
        <v>135</v>
      </c>
      <c r="E131" s="76" t="s">
        <v>136</v>
      </c>
      <c r="F131" s="80">
        <v>21900.83</v>
      </c>
      <c r="G131" s="80">
        <v>0</v>
      </c>
      <c r="H131" s="81">
        <v>0</v>
      </c>
      <c r="I131" s="81">
        <v>0</v>
      </c>
      <c r="J131" s="81">
        <v>0</v>
      </c>
      <c r="K131" s="81">
        <v>4599.17</v>
      </c>
      <c r="L131" s="81">
        <v>0</v>
      </c>
      <c r="M131" s="80">
        <v>0</v>
      </c>
      <c r="N131" s="80">
        <v>26500</v>
      </c>
    </row>
    <row r="132" spans="1:14" hidden="1">
      <c r="A132" s="74" t="s">
        <v>1217</v>
      </c>
      <c r="B132" s="75" t="s">
        <v>1222</v>
      </c>
      <c r="C132" s="76" t="s">
        <v>134</v>
      </c>
      <c r="D132" s="76" t="s">
        <v>135</v>
      </c>
      <c r="E132" s="76" t="s">
        <v>136</v>
      </c>
      <c r="F132" s="80">
        <v>21900.83</v>
      </c>
      <c r="G132" s="80">
        <v>0</v>
      </c>
      <c r="H132" s="81">
        <v>0</v>
      </c>
      <c r="I132" s="81">
        <v>0</v>
      </c>
      <c r="J132" s="81">
        <v>0</v>
      </c>
      <c r="K132" s="81">
        <v>4599.17</v>
      </c>
      <c r="L132" s="81">
        <v>0</v>
      </c>
      <c r="M132" s="80">
        <v>0</v>
      </c>
      <c r="N132" s="80">
        <v>26500</v>
      </c>
    </row>
    <row r="133" spans="1:14" hidden="1">
      <c r="A133" s="74" t="s">
        <v>1217</v>
      </c>
      <c r="B133" s="75" t="s">
        <v>1223</v>
      </c>
      <c r="C133" s="76" t="s">
        <v>134</v>
      </c>
      <c r="D133" s="76" t="s">
        <v>135</v>
      </c>
      <c r="E133" s="76" t="s">
        <v>136</v>
      </c>
      <c r="F133" s="80">
        <v>28264.46</v>
      </c>
      <c r="G133" s="80">
        <v>0</v>
      </c>
      <c r="H133" s="81">
        <v>0</v>
      </c>
      <c r="I133" s="81">
        <v>0</v>
      </c>
      <c r="J133" s="81">
        <v>0</v>
      </c>
      <c r="K133" s="81">
        <v>5935.54</v>
      </c>
      <c r="L133" s="81">
        <v>0</v>
      </c>
      <c r="M133" s="80">
        <v>0</v>
      </c>
      <c r="N133" s="80">
        <v>34200</v>
      </c>
    </row>
    <row r="134" spans="1:14" hidden="1">
      <c r="A134" s="74" t="s">
        <v>1217</v>
      </c>
      <c r="B134" s="75" t="s">
        <v>1224</v>
      </c>
      <c r="C134" s="76" t="s">
        <v>134</v>
      </c>
      <c r="D134" s="76" t="s">
        <v>135</v>
      </c>
      <c r="E134" s="76" t="s">
        <v>136</v>
      </c>
      <c r="F134" s="80">
        <v>5785.12</v>
      </c>
      <c r="G134" s="80">
        <v>0</v>
      </c>
      <c r="H134" s="81">
        <v>0</v>
      </c>
      <c r="I134" s="81">
        <v>0</v>
      </c>
      <c r="J134" s="81">
        <v>0</v>
      </c>
      <c r="K134" s="81">
        <v>1214.8800000000001</v>
      </c>
      <c r="L134" s="81">
        <v>0</v>
      </c>
      <c r="M134" s="80">
        <v>0</v>
      </c>
      <c r="N134" s="80">
        <v>7000</v>
      </c>
    </row>
    <row r="135" spans="1:14" hidden="1">
      <c r="A135" s="74" t="s">
        <v>1217</v>
      </c>
      <c r="B135" s="75" t="s">
        <v>1225</v>
      </c>
      <c r="C135" s="76" t="s">
        <v>134</v>
      </c>
      <c r="D135" s="76" t="s">
        <v>135</v>
      </c>
      <c r="E135" s="76" t="s">
        <v>136</v>
      </c>
      <c r="F135" s="80">
        <v>21900.83</v>
      </c>
      <c r="G135" s="80">
        <v>0</v>
      </c>
      <c r="H135" s="81">
        <v>0</v>
      </c>
      <c r="I135" s="81">
        <v>0</v>
      </c>
      <c r="J135" s="81">
        <v>0</v>
      </c>
      <c r="K135" s="81">
        <v>4599.17</v>
      </c>
      <c r="L135" s="81">
        <v>0</v>
      </c>
      <c r="M135" s="80">
        <v>0</v>
      </c>
      <c r="N135" s="80">
        <v>26500</v>
      </c>
    </row>
    <row r="136" spans="1:14" hidden="1">
      <c r="A136" s="74" t="s">
        <v>1217</v>
      </c>
      <c r="B136" s="75" t="s">
        <v>1226</v>
      </c>
      <c r="C136" s="76" t="s">
        <v>134</v>
      </c>
      <c r="D136" s="76" t="s">
        <v>135</v>
      </c>
      <c r="E136" s="76" t="s">
        <v>136</v>
      </c>
      <c r="F136" s="80">
        <v>28925.62</v>
      </c>
      <c r="G136" s="80">
        <v>0</v>
      </c>
      <c r="H136" s="81">
        <v>0</v>
      </c>
      <c r="I136" s="81">
        <v>0</v>
      </c>
      <c r="J136" s="81">
        <v>0</v>
      </c>
      <c r="K136" s="81">
        <v>6074.38</v>
      </c>
      <c r="L136" s="81">
        <v>0</v>
      </c>
      <c r="M136" s="80">
        <v>0</v>
      </c>
      <c r="N136" s="80">
        <v>35000</v>
      </c>
    </row>
    <row r="137" spans="1:14" hidden="1">
      <c r="A137" s="74" t="s">
        <v>1217</v>
      </c>
      <c r="B137" s="75" t="s">
        <v>1227</v>
      </c>
      <c r="C137" s="76" t="s">
        <v>134</v>
      </c>
      <c r="D137" s="76" t="s">
        <v>135</v>
      </c>
      <c r="E137" s="76" t="s">
        <v>136</v>
      </c>
      <c r="F137" s="80">
        <v>18181.82</v>
      </c>
      <c r="G137" s="80">
        <v>0</v>
      </c>
      <c r="H137" s="81">
        <v>0</v>
      </c>
      <c r="I137" s="81">
        <v>0</v>
      </c>
      <c r="J137" s="81">
        <v>0</v>
      </c>
      <c r="K137" s="81">
        <v>3818.18</v>
      </c>
      <c r="L137" s="81">
        <v>0</v>
      </c>
      <c r="M137" s="80">
        <v>0</v>
      </c>
      <c r="N137" s="80">
        <v>22000</v>
      </c>
    </row>
    <row r="138" spans="1:14">
      <c r="A138" s="74" t="s">
        <v>1217</v>
      </c>
      <c r="B138" s="75" t="s">
        <v>1228</v>
      </c>
      <c r="C138" s="76" t="s">
        <v>120</v>
      </c>
      <c r="D138" s="76" t="s">
        <v>19</v>
      </c>
      <c r="E138" s="76">
        <v>27182477368</v>
      </c>
      <c r="F138" s="80">
        <v>16528.920000000002</v>
      </c>
      <c r="G138" s="80">
        <v>0</v>
      </c>
      <c r="H138" s="81">
        <v>0</v>
      </c>
      <c r="I138" s="81">
        <v>0</v>
      </c>
      <c r="J138" s="81">
        <v>0</v>
      </c>
      <c r="K138" s="81">
        <v>3471.08</v>
      </c>
      <c r="L138" s="81">
        <v>0</v>
      </c>
      <c r="M138" s="80">
        <v>0</v>
      </c>
      <c r="N138" s="80">
        <v>20000</v>
      </c>
    </row>
    <row r="139" spans="1:14">
      <c r="A139" s="74" t="s">
        <v>1217</v>
      </c>
      <c r="B139" s="75" t="s">
        <v>1229</v>
      </c>
      <c r="C139" s="76" t="s">
        <v>92</v>
      </c>
      <c r="D139" s="76" t="s">
        <v>19</v>
      </c>
      <c r="E139" s="76">
        <v>30709016012</v>
      </c>
      <c r="F139" s="80">
        <v>174071.08</v>
      </c>
      <c r="G139" s="80">
        <v>0</v>
      </c>
      <c r="H139" s="81">
        <v>0</v>
      </c>
      <c r="I139" s="81">
        <v>0</v>
      </c>
      <c r="J139" s="81">
        <v>0</v>
      </c>
      <c r="K139" s="81">
        <v>36554.92</v>
      </c>
      <c r="L139" s="81">
        <v>0</v>
      </c>
      <c r="M139" s="80">
        <v>0</v>
      </c>
      <c r="N139" s="80">
        <v>210626</v>
      </c>
    </row>
    <row r="140" spans="1:14">
      <c r="A140" s="74" t="s">
        <v>1217</v>
      </c>
      <c r="B140" s="75" t="s">
        <v>1230</v>
      </c>
      <c r="C140" s="76" t="s">
        <v>365</v>
      </c>
      <c r="D140" s="76" t="s">
        <v>135</v>
      </c>
      <c r="E140" s="76">
        <v>14547747</v>
      </c>
      <c r="F140" s="80">
        <v>22314.05</v>
      </c>
      <c r="G140" s="80">
        <v>0</v>
      </c>
      <c r="H140" s="81">
        <v>0</v>
      </c>
      <c r="I140" s="81">
        <v>0</v>
      </c>
      <c r="J140" s="81">
        <v>0</v>
      </c>
      <c r="K140" s="81">
        <v>4685.95</v>
      </c>
      <c r="L140" s="81">
        <v>0</v>
      </c>
      <c r="M140" s="80">
        <v>0</v>
      </c>
      <c r="N140" s="80">
        <v>27000</v>
      </c>
    </row>
    <row r="141" spans="1:14">
      <c r="A141" s="74" t="s">
        <v>1217</v>
      </c>
      <c r="B141" s="75" t="s">
        <v>1231</v>
      </c>
      <c r="C141" s="76" t="s">
        <v>354</v>
      </c>
      <c r="D141" s="76" t="s">
        <v>135</v>
      </c>
      <c r="E141" s="76">
        <v>4648296</v>
      </c>
      <c r="F141" s="80">
        <v>12396.69</v>
      </c>
      <c r="G141" s="80">
        <v>0</v>
      </c>
      <c r="H141" s="81">
        <v>0</v>
      </c>
      <c r="I141" s="81">
        <v>0</v>
      </c>
      <c r="J141" s="81">
        <v>0</v>
      </c>
      <c r="K141" s="81">
        <v>2603.31</v>
      </c>
      <c r="L141" s="81">
        <v>0</v>
      </c>
      <c r="M141" s="80">
        <v>0</v>
      </c>
      <c r="N141" s="80">
        <v>15000</v>
      </c>
    </row>
    <row r="142" spans="1:14">
      <c r="A142" s="74" t="s">
        <v>1217</v>
      </c>
      <c r="B142" s="75" t="s">
        <v>1232</v>
      </c>
      <c r="C142" s="76" t="s">
        <v>367</v>
      </c>
      <c r="D142" s="76" t="s">
        <v>135</v>
      </c>
      <c r="E142" s="76">
        <v>93354584</v>
      </c>
      <c r="F142" s="80">
        <v>12396.69</v>
      </c>
      <c r="G142" s="80">
        <v>0</v>
      </c>
      <c r="H142" s="81">
        <v>0</v>
      </c>
      <c r="I142" s="81">
        <v>0</v>
      </c>
      <c r="J142" s="81">
        <v>0</v>
      </c>
      <c r="K142" s="81">
        <v>2603.31</v>
      </c>
      <c r="L142" s="81">
        <v>0</v>
      </c>
      <c r="M142" s="80">
        <v>0</v>
      </c>
      <c r="N142" s="80">
        <v>15000</v>
      </c>
    </row>
    <row r="143" spans="1:14">
      <c r="A143" s="74" t="s">
        <v>1217</v>
      </c>
      <c r="B143" s="75" t="s">
        <v>1233</v>
      </c>
      <c r="C143" s="76" t="s">
        <v>350</v>
      </c>
      <c r="D143" s="76" t="s">
        <v>135</v>
      </c>
      <c r="E143" s="76">
        <v>3192296</v>
      </c>
      <c r="F143" s="80">
        <v>9917.36</v>
      </c>
      <c r="G143" s="80">
        <v>0</v>
      </c>
      <c r="H143" s="81">
        <v>0</v>
      </c>
      <c r="I143" s="81">
        <v>0</v>
      </c>
      <c r="J143" s="81">
        <v>0</v>
      </c>
      <c r="K143" s="81">
        <v>2082.64</v>
      </c>
      <c r="L143" s="81">
        <v>0</v>
      </c>
      <c r="M143" s="80">
        <v>0</v>
      </c>
      <c r="N143" s="80">
        <v>12000</v>
      </c>
    </row>
    <row r="144" spans="1:14">
      <c r="A144" s="74" t="s">
        <v>1217</v>
      </c>
      <c r="B144" s="75" t="s">
        <v>1234</v>
      </c>
      <c r="C144" s="76" t="s">
        <v>386</v>
      </c>
      <c r="D144" s="76" t="s">
        <v>343</v>
      </c>
      <c r="E144" s="76">
        <v>30685228501</v>
      </c>
      <c r="F144" s="80">
        <v>56198.35</v>
      </c>
      <c r="G144" s="80">
        <v>0</v>
      </c>
      <c r="H144" s="81">
        <v>0</v>
      </c>
      <c r="I144" s="81">
        <v>0</v>
      </c>
      <c r="J144" s="81">
        <v>0</v>
      </c>
      <c r="K144" s="81">
        <v>11801.65</v>
      </c>
      <c r="L144" s="81">
        <v>0</v>
      </c>
      <c r="M144" s="80">
        <v>0</v>
      </c>
      <c r="N144" s="80">
        <v>68000</v>
      </c>
    </row>
    <row r="145" spans="1:14">
      <c r="A145" s="74" t="s">
        <v>1217</v>
      </c>
      <c r="B145" s="75" t="s">
        <v>1235</v>
      </c>
      <c r="C145" s="76" t="s">
        <v>369</v>
      </c>
      <c r="D145" s="76" t="s">
        <v>135</v>
      </c>
      <c r="E145" s="76">
        <v>56980</v>
      </c>
      <c r="F145" s="80">
        <v>5785.12</v>
      </c>
      <c r="G145" s="80">
        <v>0</v>
      </c>
      <c r="H145" s="81">
        <v>0</v>
      </c>
      <c r="I145" s="81">
        <v>0</v>
      </c>
      <c r="J145" s="81">
        <v>0</v>
      </c>
      <c r="K145" s="81">
        <v>1214.8800000000001</v>
      </c>
      <c r="L145" s="81">
        <v>0</v>
      </c>
      <c r="M145" s="80">
        <v>0</v>
      </c>
      <c r="N145" s="80">
        <v>7000</v>
      </c>
    </row>
    <row r="146" spans="1:14">
      <c r="A146" s="74" t="s">
        <v>1217</v>
      </c>
      <c r="B146" s="75" t="s">
        <v>1236</v>
      </c>
      <c r="C146" s="76" t="s">
        <v>379</v>
      </c>
      <c r="D146" s="76" t="s">
        <v>135</v>
      </c>
      <c r="E146" s="76">
        <v>20404430</v>
      </c>
      <c r="F146" s="80">
        <v>12809.92</v>
      </c>
      <c r="G146" s="80">
        <v>0</v>
      </c>
      <c r="H146" s="81">
        <v>0</v>
      </c>
      <c r="I146" s="81">
        <v>0</v>
      </c>
      <c r="J146" s="81">
        <v>0</v>
      </c>
      <c r="K146" s="81">
        <v>2690.08</v>
      </c>
      <c r="L146" s="81">
        <v>0</v>
      </c>
      <c r="M146" s="80">
        <v>0</v>
      </c>
      <c r="N146" s="80">
        <v>15500</v>
      </c>
    </row>
    <row r="147" spans="1:14">
      <c r="A147" s="74" t="s">
        <v>1217</v>
      </c>
      <c r="B147" s="75" t="s">
        <v>1237</v>
      </c>
      <c r="C147" s="76" t="s">
        <v>356</v>
      </c>
      <c r="D147" s="76" t="s">
        <v>135</v>
      </c>
      <c r="E147" s="76">
        <v>21645724</v>
      </c>
      <c r="F147" s="80">
        <v>16528.93</v>
      </c>
      <c r="G147" s="80">
        <v>0</v>
      </c>
      <c r="H147" s="81">
        <v>0</v>
      </c>
      <c r="I147" s="81">
        <v>0</v>
      </c>
      <c r="J147" s="81">
        <v>0</v>
      </c>
      <c r="K147" s="81">
        <v>3471.07</v>
      </c>
      <c r="L147" s="81">
        <v>0</v>
      </c>
      <c r="M147" s="80">
        <v>0</v>
      </c>
      <c r="N147" s="80">
        <v>20000</v>
      </c>
    </row>
    <row r="148" spans="1:14">
      <c r="A148" s="74" t="s">
        <v>1217</v>
      </c>
      <c r="B148" s="75" t="s">
        <v>1238</v>
      </c>
      <c r="C148" s="76" t="s">
        <v>362</v>
      </c>
      <c r="D148" s="76" t="s">
        <v>135</v>
      </c>
      <c r="E148" s="76">
        <v>21363216</v>
      </c>
      <c r="F148" s="80">
        <v>12396.69</v>
      </c>
      <c r="G148" s="80">
        <v>0</v>
      </c>
      <c r="H148" s="81">
        <v>0</v>
      </c>
      <c r="I148" s="81">
        <v>0</v>
      </c>
      <c r="J148" s="81">
        <v>0</v>
      </c>
      <c r="K148" s="81">
        <v>2603.31</v>
      </c>
      <c r="L148" s="81">
        <v>0</v>
      </c>
      <c r="M148" s="80">
        <v>0</v>
      </c>
      <c r="N148" s="80">
        <v>15000</v>
      </c>
    </row>
    <row r="149" spans="1:14">
      <c r="A149" s="74" t="s">
        <v>1217</v>
      </c>
      <c r="B149" s="75" t="s">
        <v>1239</v>
      </c>
      <c r="C149" s="76" t="s">
        <v>384</v>
      </c>
      <c r="D149" s="76" t="s">
        <v>135</v>
      </c>
      <c r="E149" s="76">
        <v>8557300</v>
      </c>
      <c r="F149" s="80">
        <v>27272.73</v>
      </c>
      <c r="G149" s="80">
        <v>0</v>
      </c>
      <c r="H149" s="81">
        <v>0</v>
      </c>
      <c r="I149" s="81">
        <v>0</v>
      </c>
      <c r="J149" s="81">
        <v>0</v>
      </c>
      <c r="K149" s="81">
        <v>5727.27</v>
      </c>
      <c r="L149" s="81">
        <v>0</v>
      </c>
      <c r="M149" s="80">
        <v>0</v>
      </c>
      <c r="N149" s="80">
        <v>33000</v>
      </c>
    </row>
    <row r="150" spans="1:14">
      <c r="A150" s="74" t="s">
        <v>1217</v>
      </c>
      <c r="B150" s="75" t="s">
        <v>1240</v>
      </c>
      <c r="C150" s="76" t="s">
        <v>381</v>
      </c>
      <c r="D150" s="76" t="s">
        <v>135</v>
      </c>
      <c r="E150" s="76">
        <v>12791306</v>
      </c>
      <c r="F150" s="80">
        <v>11570.25</v>
      </c>
      <c r="G150" s="80">
        <v>0</v>
      </c>
      <c r="H150" s="81">
        <v>0</v>
      </c>
      <c r="I150" s="81">
        <v>0</v>
      </c>
      <c r="J150" s="81">
        <v>0</v>
      </c>
      <c r="K150" s="81">
        <v>2429.75</v>
      </c>
      <c r="L150" s="81">
        <v>0</v>
      </c>
      <c r="M150" s="80">
        <v>0</v>
      </c>
      <c r="N150" s="80">
        <v>14000</v>
      </c>
    </row>
    <row r="151" spans="1:14">
      <c r="A151" s="74" t="s">
        <v>1217</v>
      </c>
      <c r="B151" s="75" t="s">
        <v>1241</v>
      </c>
      <c r="C151" s="76" t="s">
        <v>371</v>
      </c>
      <c r="D151" s="76" t="s">
        <v>135</v>
      </c>
      <c r="E151" s="76">
        <v>705467</v>
      </c>
      <c r="F151" s="80">
        <v>9090.91</v>
      </c>
      <c r="G151" s="80">
        <v>0</v>
      </c>
      <c r="H151" s="81">
        <v>0</v>
      </c>
      <c r="I151" s="81">
        <v>0</v>
      </c>
      <c r="J151" s="81">
        <v>0</v>
      </c>
      <c r="K151" s="81">
        <v>1909.09</v>
      </c>
      <c r="L151" s="81">
        <v>0</v>
      </c>
      <c r="M151" s="80">
        <v>0</v>
      </c>
      <c r="N151" s="80">
        <v>11000</v>
      </c>
    </row>
    <row r="152" spans="1:14">
      <c r="A152" s="74" t="s">
        <v>1217</v>
      </c>
      <c r="B152" s="75" t="s">
        <v>1242</v>
      </c>
      <c r="C152" s="76" t="s">
        <v>377</v>
      </c>
      <c r="D152" s="76" t="s">
        <v>135</v>
      </c>
      <c r="E152" s="76">
        <v>10138957</v>
      </c>
      <c r="F152" s="80">
        <v>9090.91</v>
      </c>
      <c r="G152" s="80">
        <v>0</v>
      </c>
      <c r="H152" s="81">
        <v>0</v>
      </c>
      <c r="I152" s="81">
        <v>0</v>
      </c>
      <c r="J152" s="81">
        <v>0</v>
      </c>
      <c r="K152" s="81">
        <v>1909.09</v>
      </c>
      <c r="L152" s="81">
        <v>0</v>
      </c>
      <c r="M152" s="80">
        <v>0</v>
      </c>
      <c r="N152" s="80">
        <v>11000</v>
      </c>
    </row>
    <row r="153" spans="1:14" hidden="1">
      <c r="A153" s="74" t="s">
        <v>1243</v>
      </c>
      <c r="B153" s="75" t="s">
        <v>1244</v>
      </c>
      <c r="C153" s="76" t="s">
        <v>134</v>
      </c>
      <c r="D153" s="76" t="s">
        <v>135</v>
      </c>
      <c r="E153" s="76" t="s">
        <v>136</v>
      </c>
      <c r="F153" s="80">
        <v>34710.74</v>
      </c>
      <c r="G153" s="80">
        <v>0</v>
      </c>
      <c r="H153" s="81">
        <v>0</v>
      </c>
      <c r="I153" s="81">
        <v>0</v>
      </c>
      <c r="J153" s="81">
        <v>0</v>
      </c>
      <c r="K153" s="81">
        <v>7289.26</v>
      </c>
      <c r="L153" s="81">
        <v>0</v>
      </c>
      <c r="M153" s="80">
        <v>0</v>
      </c>
      <c r="N153" s="80">
        <v>42000</v>
      </c>
    </row>
    <row r="154" spans="1:14" hidden="1">
      <c r="A154" s="74" t="s">
        <v>1243</v>
      </c>
      <c r="B154" s="75" t="s">
        <v>1245</v>
      </c>
      <c r="C154" s="76" t="s">
        <v>134</v>
      </c>
      <c r="D154" s="76" t="s">
        <v>135</v>
      </c>
      <c r="E154" s="76" t="s">
        <v>136</v>
      </c>
      <c r="F154" s="80">
        <v>22479.34</v>
      </c>
      <c r="G154" s="80">
        <v>0</v>
      </c>
      <c r="H154" s="81">
        <v>0</v>
      </c>
      <c r="I154" s="81">
        <v>0</v>
      </c>
      <c r="J154" s="81">
        <v>0</v>
      </c>
      <c r="K154" s="81">
        <v>4720.66</v>
      </c>
      <c r="L154" s="81">
        <v>0</v>
      </c>
      <c r="M154" s="80">
        <v>0</v>
      </c>
      <c r="N154" s="80">
        <v>27200</v>
      </c>
    </row>
    <row r="155" spans="1:14" hidden="1">
      <c r="A155" s="74" t="s">
        <v>1243</v>
      </c>
      <c r="B155" s="75" t="s">
        <v>1246</v>
      </c>
      <c r="C155" s="76" t="s">
        <v>134</v>
      </c>
      <c r="D155" s="76" t="s">
        <v>135</v>
      </c>
      <c r="E155" s="76" t="s">
        <v>136</v>
      </c>
      <c r="F155" s="80">
        <v>17024.79</v>
      </c>
      <c r="G155" s="80">
        <v>0</v>
      </c>
      <c r="H155" s="81">
        <v>0</v>
      </c>
      <c r="I155" s="81">
        <v>0</v>
      </c>
      <c r="J155" s="81">
        <v>0</v>
      </c>
      <c r="K155" s="81">
        <v>3575.21</v>
      </c>
      <c r="L155" s="81">
        <v>0</v>
      </c>
      <c r="M155" s="80">
        <v>0</v>
      </c>
      <c r="N155" s="80">
        <v>20600</v>
      </c>
    </row>
    <row r="156" spans="1:14" hidden="1">
      <c r="A156" s="74" t="s">
        <v>1243</v>
      </c>
      <c r="B156" s="75" t="s">
        <v>1247</v>
      </c>
      <c r="C156" s="76" t="s">
        <v>134</v>
      </c>
      <c r="D156" s="76" t="s">
        <v>135</v>
      </c>
      <c r="E156" s="76" t="s">
        <v>136</v>
      </c>
      <c r="F156" s="80">
        <v>40991.74</v>
      </c>
      <c r="G156" s="80">
        <v>0</v>
      </c>
      <c r="H156" s="81">
        <v>0</v>
      </c>
      <c r="I156" s="81">
        <v>0</v>
      </c>
      <c r="J156" s="81">
        <v>0</v>
      </c>
      <c r="K156" s="81">
        <v>8608.26</v>
      </c>
      <c r="L156" s="81">
        <v>0</v>
      </c>
      <c r="M156" s="80">
        <v>0</v>
      </c>
      <c r="N156" s="80">
        <v>49600</v>
      </c>
    </row>
    <row r="157" spans="1:14" hidden="1">
      <c r="A157" s="74" t="s">
        <v>1243</v>
      </c>
      <c r="B157" s="75" t="s">
        <v>1248</v>
      </c>
      <c r="C157" s="76" t="s">
        <v>134</v>
      </c>
      <c r="D157" s="76" t="s">
        <v>135</v>
      </c>
      <c r="E157" s="76" t="s">
        <v>136</v>
      </c>
      <c r="F157" s="80">
        <v>21487.599999999999</v>
      </c>
      <c r="G157" s="80">
        <v>0</v>
      </c>
      <c r="H157" s="81">
        <v>0</v>
      </c>
      <c r="I157" s="81">
        <v>0</v>
      </c>
      <c r="J157" s="81">
        <v>0</v>
      </c>
      <c r="K157" s="81">
        <v>4512.4000000000005</v>
      </c>
      <c r="L157" s="81">
        <v>0</v>
      </c>
      <c r="M157" s="80">
        <v>0</v>
      </c>
      <c r="N157" s="80">
        <v>26000</v>
      </c>
    </row>
    <row r="158" spans="1:14" hidden="1">
      <c r="A158" s="74" t="s">
        <v>1243</v>
      </c>
      <c r="B158" s="75" t="s">
        <v>1249</v>
      </c>
      <c r="C158" s="76" t="s">
        <v>134</v>
      </c>
      <c r="D158" s="76" t="s">
        <v>135</v>
      </c>
      <c r="E158" s="76" t="s">
        <v>136</v>
      </c>
      <c r="F158" s="80">
        <v>10950.41</v>
      </c>
      <c r="G158" s="80">
        <v>0</v>
      </c>
      <c r="H158" s="81">
        <v>0</v>
      </c>
      <c r="I158" s="81">
        <v>0</v>
      </c>
      <c r="J158" s="81">
        <v>0</v>
      </c>
      <c r="K158" s="81">
        <v>2299.59</v>
      </c>
      <c r="L158" s="81">
        <v>0</v>
      </c>
      <c r="M158" s="80">
        <v>0</v>
      </c>
      <c r="N158" s="80">
        <v>13250</v>
      </c>
    </row>
    <row r="159" spans="1:14">
      <c r="A159" s="74" t="s">
        <v>1243</v>
      </c>
      <c r="B159" s="75" t="s">
        <v>1250</v>
      </c>
      <c r="C159" s="76" t="s">
        <v>108</v>
      </c>
      <c r="D159" s="76" t="s">
        <v>19</v>
      </c>
      <c r="E159" s="76">
        <v>20223256393</v>
      </c>
      <c r="F159" s="80">
        <v>12809.92</v>
      </c>
      <c r="G159" s="80">
        <v>0</v>
      </c>
      <c r="H159" s="81">
        <v>0</v>
      </c>
      <c r="I159" s="81">
        <v>0</v>
      </c>
      <c r="J159" s="81">
        <v>0</v>
      </c>
      <c r="K159" s="81">
        <v>2690.08</v>
      </c>
      <c r="L159" s="81">
        <v>0</v>
      </c>
      <c r="M159" s="80">
        <v>0</v>
      </c>
      <c r="N159" s="80">
        <v>15500</v>
      </c>
    </row>
    <row r="160" spans="1:14">
      <c r="A160" s="74" t="s">
        <v>1243</v>
      </c>
      <c r="B160" s="75" t="s">
        <v>1251</v>
      </c>
      <c r="C160" s="76" t="s">
        <v>388</v>
      </c>
      <c r="D160" s="76" t="s">
        <v>135</v>
      </c>
      <c r="E160" s="76">
        <v>14123802</v>
      </c>
      <c r="F160" s="80">
        <v>24380.17</v>
      </c>
      <c r="G160" s="80">
        <v>0</v>
      </c>
      <c r="H160" s="81">
        <v>0</v>
      </c>
      <c r="I160" s="81">
        <v>0</v>
      </c>
      <c r="J160" s="81">
        <v>0</v>
      </c>
      <c r="K160" s="81">
        <v>5119.83</v>
      </c>
      <c r="L160" s="81">
        <v>0</v>
      </c>
      <c r="M160" s="80">
        <v>0</v>
      </c>
      <c r="N160" s="80">
        <v>29500</v>
      </c>
    </row>
    <row r="161" spans="1:14">
      <c r="A161" s="74" t="s">
        <v>1243</v>
      </c>
      <c r="B161" s="75" t="s">
        <v>1252</v>
      </c>
      <c r="C161" s="76" t="s">
        <v>390</v>
      </c>
      <c r="D161" s="76" t="s">
        <v>135</v>
      </c>
      <c r="E161" s="76">
        <v>29654556</v>
      </c>
      <c r="F161" s="80">
        <v>16528.93</v>
      </c>
      <c r="G161" s="80">
        <v>0</v>
      </c>
      <c r="H161" s="81">
        <v>0</v>
      </c>
      <c r="I161" s="81">
        <v>0</v>
      </c>
      <c r="J161" s="81">
        <v>0</v>
      </c>
      <c r="K161" s="81">
        <v>3471.07</v>
      </c>
      <c r="L161" s="81">
        <v>0</v>
      </c>
      <c r="M161" s="80">
        <v>0</v>
      </c>
      <c r="N161" s="80">
        <v>20000</v>
      </c>
    </row>
    <row r="162" spans="1:14">
      <c r="A162" s="74" t="s">
        <v>1243</v>
      </c>
      <c r="B162" s="75" t="s">
        <v>1253</v>
      </c>
      <c r="C162" s="76" t="s">
        <v>481</v>
      </c>
      <c r="D162" s="76" t="s">
        <v>135</v>
      </c>
      <c r="E162" s="76">
        <v>8607637</v>
      </c>
      <c r="F162" s="80">
        <v>30165.279999999999</v>
      </c>
      <c r="G162" s="80">
        <v>0</v>
      </c>
      <c r="H162" s="81">
        <v>0</v>
      </c>
      <c r="I162" s="81">
        <v>0</v>
      </c>
      <c r="J162" s="81">
        <v>0</v>
      </c>
      <c r="K162" s="81">
        <v>6334.72</v>
      </c>
      <c r="L162" s="81">
        <v>0</v>
      </c>
      <c r="M162" s="80">
        <v>0</v>
      </c>
      <c r="N162" s="80">
        <v>36500</v>
      </c>
    </row>
    <row r="163" spans="1:14">
      <c r="A163" s="74" t="s">
        <v>1243</v>
      </c>
      <c r="B163" s="75" t="s">
        <v>1254</v>
      </c>
      <c r="C163" s="76" t="s">
        <v>396</v>
      </c>
      <c r="D163" s="76" t="s">
        <v>135</v>
      </c>
      <c r="E163" s="76">
        <v>17275405</v>
      </c>
      <c r="F163" s="80">
        <v>19834.71</v>
      </c>
      <c r="G163" s="80">
        <v>0</v>
      </c>
      <c r="H163" s="81">
        <v>0</v>
      </c>
      <c r="I163" s="81">
        <v>0</v>
      </c>
      <c r="J163" s="81">
        <v>0</v>
      </c>
      <c r="K163" s="81">
        <v>4165.29</v>
      </c>
      <c r="L163" s="81">
        <v>0</v>
      </c>
      <c r="M163" s="80">
        <v>0</v>
      </c>
      <c r="N163" s="80">
        <v>24000</v>
      </c>
    </row>
    <row r="164" spans="1:14">
      <c r="A164" s="74" t="s">
        <v>1243</v>
      </c>
      <c r="B164" s="75" t="s">
        <v>1255</v>
      </c>
      <c r="C164" s="76" t="s">
        <v>406</v>
      </c>
      <c r="D164" s="76" t="s">
        <v>135</v>
      </c>
      <c r="E164" s="76">
        <v>27807195</v>
      </c>
      <c r="F164" s="80">
        <v>16528.93</v>
      </c>
      <c r="G164" s="80">
        <v>0</v>
      </c>
      <c r="H164" s="81">
        <v>0</v>
      </c>
      <c r="I164" s="81">
        <v>0</v>
      </c>
      <c r="J164" s="81">
        <v>0</v>
      </c>
      <c r="K164" s="81">
        <v>3471.07</v>
      </c>
      <c r="L164" s="81">
        <v>0</v>
      </c>
      <c r="M164" s="80">
        <v>0</v>
      </c>
      <c r="N164" s="80">
        <v>20000</v>
      </c>
    </row>
    <row r="165" spans="1:14">
      <c r="A165" s="74" t="s">
        <v>1243</v>
      </c>
      <c r="B165" s="75" t="s">
        <v>1256</v>
      </c>
      <c r="C165" s="76" t="s">
        <v>1024</v>
      </c>
      <c r="D165" s="76" t="s">
        <v>135</v>
      </c>
      <c r="E165" s="76">
        <v>13699449</v>
      </c>
      <c r="F165" s="80">
        <v>50826.45</v>
      </c>
      <c r="G165" s="80">
        <v>0</v>
      </c>
      <c r="H165" s="81">
        <v>0</v>
      </c>
      <c r="I165" s="81">
        <v>0</v>
      </c>
      <c r="J165" s="81">
        <v>0</v>
      </c>
      <c r="K165" s="81">
        <v>10673.55</v>
      </c>
      <c r="L165" s="81">
        <v>0</v>
      </c>
      <c r="M165" s="80">
        <v>0</v>
      </c>
      <c r="N165" s="80">
        <v>61500</v>
      </c>
    </row>
    <row r="166" spans="1:14">
      <c r="A166" s="74" t="s">
        <v>1243</v>
      </c>
      <c r="B166" s="75" t="s">
        <v>1257</v>
      </c>
      <c r="C166" s="76" t="s">
        <v>415</v>
      </c>
      <c r="D166" s="76" t="s">
        <v>135</v>
      </c>
      <c r="E166" s="76">
        <v>3292785</v>
      </c>
      <c r="F166" s="80">
        <v>3421.49</v>
      </c>
      <c r="G166" s="80">
        <v>0</v>
      </c>
      <c r="H166" s="81">
        <v>0</v>
      </c>
      <c r="I166" s="81">
        <v>0</v>
      </c>
      <c r="J166" s="81">
        <v>0</v>
      </c>
      <c r="K166" s="81">
        <v>718.51</v>
      </c>
      <c r="L166" s="81">
        <v>0</v>
      </c>
      <c r="M166" s="80">
        <v>0</v>
      </c>
      <c r="N166" s="80">
        <v>4140</v>
      </c>
    </row>
    <row r="167" spans="1:14">
      <c r="A167" s="74" t="s">
        <v>1243</v>
      </c>
      <c r="B167" s="75" t="s">
        <v>1258</v>
      </c>
      <c r="C167" s="76" t="s">
        <v>419</v>
      </c>
      <c r="D167" s="76" t="s">
        <v>135</v>
      </c>
      <c r="E167" s="76">
        <v>3087423</v>
      </c>
      <c r="F167" s="80">
        <v>5826.45</v>
      </c>
      <c r="G167" s="80">
        <v>0</v>
      </c>
      <c r="H167" s="81">
        <v>0</v>
      </c>
      <c r="I167" s="81">
        <v>0</v>
      </c>
      <c r="J167" s="81">
        <v>0</v>
      </c>
      <c r="K167" s="81">
        <v>1223.55</v>
      </c>
      <c r="L167" s="81">
        <v>0</v>
      </c>
      <c r="M167" s="80">
        <v>0</v>
      </c>
      <c r="N167" s="80">
        <v>7050</v>
      </c>
    </row>
    <row r="168" spans="1:14">
      <c r="A168" s="74" t="s">
        <v>1259</v>
      </c>
      <c r="B168" s="75" t="s">
        <v>1260</v>
      </c>
      <c r="C168" s="76" t="s">
        <v>1261</v>
      </c>
      <c r="D168" s="76" t="s">
        <v>19</v>
      </c>
      <c r="E168" s="76">
        <v>20249404870</v>
      </c>
      <c r="F168" s="80">
        <v>8264.4600000000009</v>
      </c>
      <c r="G168" s="80">
        <v>0</v>
      </c>
      <c r="H168" s="81">
        <v>0</v>
      </c>
      <c r="I168" s="81">
        <v>0</v>
      </c>
      <c r="J168" s="81">
        <v>0</v>
      </c>
      <c r="K168" s="81">
        <v>1735.54</v>
      </c>
      <c r="L168" s="81">
        <v>0</v>
      </c>
      <c r="M168" s="80">
        <v>0</v>
      </c>
      <c r="N168" s="80">
        <v>10000</v>
      </c>
    </row>
    <row r="169" spans="1:14">
      <c r="A169" s="74" t="s">
        <v>1259</v>
      </c>
      <c r="B169" s="75" t="s">
        <v>1262</v>
      </c>
      <c r="C169" s="76" t="s">
        <v>1263</v>
      </c>
      <c r="D169" s="76" t="s">
        <v>1264</v>
      </c>
      <c r="E169" s="76">
        <v>20046231954</v>
      </c>
      <c r="F169" s="80">
        <v>8016.53</v>
      </c>
      <c r="G169" s="80">
        <v>0</v>
      </c>
      <c r="H169" s="81">
        <v>0</v>
      </c>
      <c r="I169" s="81">
        <v>0</v>
      </c>
      <c r="J169" s="81">
        <v>0</v>
      </c>
      <c r="K169" s="81">
        <v>1683.47</v>
      </c>
      <c r="L169" s="81">
        <v>0</v>
      </c>
      <c r="M169" s="80">
        <v>0</v>
      </c>
      <c r="N169" s="80">
        <v>9700</v>
      </c>
    </row>
    <row r="170" spans="1:14" hidden="1">
      <c r="A170" s="74" t="s">
        <v>1259</v>
      </c>
      <c r="B170" s="75" t="s">
        <v>1265</v>
      </c>
      <c r="C170" s="76" t="s">
        <v>134</v>
      </c>
      <c r="D170" s="76" t="s">
        <v>135</v>
      </c>
      <c r="E170" s="76" t="s">
        <v>136</v>
      </c>
      <c r="F170" s="80">
        <v>60330.58</v>
      </c>
      <c r="G170" s="80">
        <v>0</v>
      </c>
      <c r="H170" s="81">
        <v>0</v>
      </c>
      <c r="I170" s="81">
        <v>0</v>
      </c>
      <c r="J170" s="81">
        <v>0</v>
      </c>
      <c r="K170" s="81">
        <v>12669.42</v>
      </c>
      <c r="L170" s="81">
        <v>0</v>
      </c>
      <c r="M170" s="80">
        <v>0</v>
      </c>
      <c r="N170" s="80">
        <v>73000</v>
      </c>
    </row>
    <row r="171" spans="1:14" hidden="1">
      <c r="A171" s="74" t="s">
        <v>1259</v>
      </c>
      <c r="B171" s="75" t="s">
        <v>1266</v>
      </c>
      <c r="C171" s="76" t="s">
        <v>134</v>
      </c>
      <c r="D171" s="76" t="s">
        <v>135</v>
      </c>
      <c r="E171" s="76" t="s">
        <v>136</v>
      </c>
      <c r="F171" s="80">
        <v>25206.61</v>
      </c>
      <c r="G171" s="80">
        <v>0</v>
      </c>
      <c r="H171" s="81">
        <v>0</v>
      </c>
      <c r="I171" s="81">
        <v>0</v>
      </c>
      <c r="J171" s="81">
        <v>0</v>
      </c>
      <c r="K171" s="81">
        <v>5293.39</v>
      </c>
      <c r="L171" s="81">
        <v>0</v>
      </c>
      <c r="M171" s="80">
        <v>0</v>
      </c>
      <c r="N171" s="80">
        <v>30500</v>
      </c>
    </row>
    <row r="172" spans="1:14" hidden="1">
      <c r="A172" s="74" t="s">
        <v>1259</v>
      </c>
      <c r="B172" s="75" t="s">
        <v>1267</v>
      </c>
      <c r="C172" s="76" t="s">
        <v>134</v>
      </c>
      <c r="D172" s="76" t="s">
        <v>135</v>
      </c>
      <c r="E172" s="76" t="s">
        <v>136</v>
      </c>
      <c r="F172" s="80">
        <v>24793.39</v>
      </c>
      <c r="G172" s="80">
        <v>0</v>
      </c>
      <c r="H172" s="81">
        <v>0</v>
      </c>
      <c r="I172" s="81">
        <v>0</v>
      </c>
      <c r="J172" s="81">
        <v>0</v>
      </c>
      <c r="K172" s="81">
        <v>5206.6099999999997</v>
      </c>
      <c r="L172" s="81">
        <v>0</v>
      </c>
      <c r="M172" s="80">
        <v>0</v>
      </c>
      <c r="N172" s="80">
        <v>30000</v>
      </c>
    </row>
    <row r="173" spans="1:14" hidden="1">
      <c r="A173" s="74" t="s">
        <v>1259</v>
      </c>
      <c r="B173" s="75" t="s">
        <v>1268</v>
      </c>
      <c r="C173" s="76" t="s">
        <v>134</v>
      </c>
      <c r="D173" s="76" t="s">
        <v>135</v>
      </c>
      <c r="E173" s="76" t="s">
        <v>136</v>
      </c>
      <c r="F173" s="80">
        <v>20661.16</v>
      </c>
      <c r="G173" s="80">
        <v>0</v>
      </c>
      <c r="H173" s="81">
        <v>0</v>
      </c>
      <c r="I173" s="81">
        <v>0</v>
      </c>
      <c r="J173" s="81">
        <v>0</v>
      </c>
      <c r="K173" s="81">
        <v>4338.84</v>
      </c>
      <c r="L173" s="81">
        <v>0</v>
      </c>
      <c r="M173" s="80">
        <v>0</v>
      </c>
      <c r="N173" s="80">
        <v>25000</v>
      </c>
    </row>
    <row r="174" spans="1:14" hidden="1">
      <c r="A174" s="74" t="s">
        <v>1259</v>
      </c>
      <c r="B174" s="75" t="s">
        <v>1269</v>
      </c>
      <c r="C174" s="76" t="s">
        <v>134</v>
      </c>
      <c r="D174" s="76" t="s">
        <v>135</v>
      </c>
      <c r="E174" s="76" t="s">
        <v>136</v>
      </c>
      <c r="F174" s="80">
        <v>21487.61</v>
      </c>
      <c r="G174" s="80">
        <v>0</v>
      </c>
      <c r="H174" s="81">
        <v>0</v>
      </c>
      <c r="I174" s="81">
        <v>0</v>
      </c>
      <c r="J174" s="81">
        <v>0</v>
      </c>
      <c r="K174" s="81">
        <v>4512.3900000000003</v>
      </c>
      <c r="L174" s="81">
        <v>0</v>
      </c>
      <c r="M174" s="80">
        <v>0</v>
      </c>
      <c r="N174" s="80">
        <v>26000</v>
      </c>
    </row>
    <row r="175" spans="1:14" hidden="1">
      <c r="A175" s="74" t="s">
        <v>1259</v>
      </c>
      <c r="B175" s="75" t="s">
        <v>1270</v>
      </c>
      <c r="C175" s="76" t="s">
        <v>134</v>
      </c>
      <c r="D175" s="76" t="s">
        <v>135</v>
      </c>
      <c r="E175" s="76" t="s">
        <v>136</v>
      </c>
      <c r="F175" s="80">
        <v>10743.8</v>
      </c>
      <c r="G175" s="80">
        <v>0</v>
      </c>
      <c r="H175" s="81">
        <v>0</v>
      </c>
      <c r="I175" s="81">
        <v>0</v>
      </c>
      <c r="J175" s="81">
        <v>0</v>
      </c>
      <c r="K175" s="81">
        <v>2256.2000000000003</v>
      </c>
      <c r="L175" s="81">
        <v>0</v>
      </c>
      <c r="M175" s="80">
        <v>0</v>
      </c>
      <c r="N175" s="80">
        <v>13000</v>
      </c>
    </row>
    <row r="176" spans="1:14" hidden="1">
      <c r="A176" s="74" t="s">
        <v>1259</v>
      </c>
      <c r="B176" s="75" t="s">
        <v>1271</v>
      </c>
      <c r="C176" s="76" t="s">
        <v>134</v>
      </c>
      <c r="D176" s="76" t="s">
        <v>135</v>
      </c>
      <c r="E176" s="76" t="s">
        <v>136</v>
      </c>
      <c r="F176" s="80">
        <v>23347.11</v>
      </c>
      <c r="G176" s="80">
        <v>0</v>
      </c>
      <c r="H176" s="81">
        <v>0</v>
      </c>
      <c r="I176" s="81">
        <v>0</v>
      </c>
      <c r="J176" s="81">
        <v>0</v>
      </c>
      <c r="K176" s="81">
        <v>4902.8900000000003</v>
      </c>
      <c r="L176" s="81">
        <v>0</v>
      </c>
      <c r="M176" s="80">
        <v>0</v>
      </c>
      <c r="N176" s="80">
        <v>28250</v>
      </c>
    </row>
    <row r="177" spans="1:14" hidden="1">
      <c r="A177" s="74" t="s">
        <v>1259</v>
      </c>
      <c r="B177" s="75" t="s">
        <v>1272</v>
      </c>
      <c r="C177" s="76" t="s">
        <v>134</v>
      </c>
      <c r="D177" s="76" t="s">
        <v>135</v>
      </c>
      <c r="E177" s="76" t="s">
        <v>136</v>
      </c>
      <c r="F177" s="80">
        <v>34958.68</v>
      </c>
      <c r="G177" s="80">
        <v>0</v>
      </c>
      <c r="H177" s="81">
        <v>0</v>
      </c>
      <c r="I177" s="81">
        <v>0</v>
      </c>
      <c r="J177" s="81">
        <v>0</v>
      </c>
      <c r="K177" s="81">
        <v>7341.32</v>
      </c>
      <c r="L177" s="81">
        <v>0</v>
      </c>
      <c r="M177" s="80">
        <v>0</v>
      </c>
      <c r="N177" s="80">
        <v>42300</v>
      </c>
    </row>
    <row r="178" spans="1:14" hidden="1">
      <c r="A178" s="74" t="s">
        <v>1259</v>
      </c>
      <c r="B178" s="75" t="s">
        <v>1273</v>
      </c>
      <c r="C178" s="76" t="s">
        <v>134</v>
      </c>
      <c r="D178" s="76" t="s">
        <v>135</v>
      </c>
      <c r="E178" s="76" t="s">
        <v>136</v>
      </c>
      <c r="F178" s="80">
        <v>11446.28</v>
      </c>
      <c r="G178" s="80">
        <v>0</v>
      </c>
      <c r="H178" s="81">
        <v>0</v>
      </c>
      <c r="I178" s="81">
        <v>0</v>
      </c>
      <c r="J178" s="81">
        <v>0</v>
      </c>
      <c r="K178" s="81">
        <v>2403.7200000000003</v>
      </c>
      <c r="L178" s="81">
        <v>0</v>
      </c>
      <c r="M178" s="80">
        <v>0</v>
      </c>
      <c r="N178" s="80">
        <v>13850</v>
      </c>
    </row>
    <row r="179" spans="1:14" hidden="1">
      <c r="A179" s="74" t="s">
        <v>1259</v>
      </c>
      <c r="B179" s="75" t="s">
        <v>1274</v>
      </c>
      <c r="C179" s="76" t="s">
        <v>134</v>
      </c>
      <c r="D179" s="76" t="s">
        <v>135</v>
      </c>
      <c r="E179" s="76" t="s">
        <v>136</v>
      </c>
      <c r="F179" s="80">
        <v>13223.14</v>
      </c>
      <c r="G179" s="80">
        <v>0</v>
      </c>
      <c r="H179" s="81">
        <v>0</v>
      </c>
      <c r="I179" s="81">
        <v>0</v>
      </c>
      <c r="J179" s="81">
        <v>0</v>
      </c>
      <c r="K179" s="81">
        <v>2776.86</v>
      </c>
      <c r="L179" s="81">
        <v>0</v>
      </c>
      <c r="M179" s="80">
        <v>0</v>
      </c>
      <c r="N179" s="80">
        <v>16000</v>
      </c>
    </row>
    <row r="180" spans="1:14" hidden="1">
      <c r="A180" s="74" t="s">
        <v>1259</v>
      </c>
      <c r="B180" s="75" t="s">
        <v>1275</v>
      </c>
      <c r="C180" s="76" t="s">
        <v>134</v>
      </c>
      <c r="D180" s="76" t="s">
        <v>135</v>
      </c>
      <c r="E180" s="76" t="s">
        <v>136</v>
      </c>
      <c r="F180" s="80">
        <v>8264.4600000000009</v>
      </c>
      <c r="G180" s="80">
        <v>0</v>
      </c>
      <c r="H180" s="81">
        <v>0</v>
      </c>
      <c r="I180" s="81">
        <v>0</v>
      </c>
      <c r="J180" s="81">
        <v>0</v>
      </c>
      <c r="K180" s="81">
        <v>1735.54</v>
      </c>
      <c r="L180" s="81">
        <v>0</v>
      </c>
      <c r="M180" s="80">
        <v>0</v>
      </c>
      <c r="N180" s="80">
        <v>10000</v>
      </c>
    </row>
    <row r="181" spans="1:14" hidden="1">
      <c r="A181" s="74" t="s">
        <v>1259</v>
      </c>
      <c r="B181" s="75" t="s">
        <v>1276</v>
      </c>
      <c r="C181" s="76" t="s">
        <v>134</v>
      </c>
      <c r="D181" s="76" t="s">
        <v>135</v>
      </c>
      <c r="E181" s="76" t="s">
        <v>136</v>
      </c>
      <c r="F181" s="80">
        <v>21900.83</v>
      </c>
      <c r="G181" s="80">
        <v>0</v>
      </c>
      <c r="H181" s="81">
        <v>0</v>
      </c>
      <c r="I181" s="81">
        <v>0</v>
      </c>
      <c r="J181" s="81">
        <v>0</v>
      </c>
      <c r="K181" s="81">
        <v>4599.17</v>
      </c>
      <c r="L181" s="81">
        <v>0</v>
      </c>
      <c r="M181" s="80">
        <v>0</v>
      </c>
      <c r="N181" s="80">
        <v>26500</v>
      </c>
    </row>
    <row r="182" spans="1:14" hidden="1">
      <c r="A182" s="74" t="s">
        <v>1259</v>
      </c>
      <c r="B182" s="75" t="s">
        <v>1277</v>
      </c>
      <c r="C182" s="76" t="s">
        <v>134</v>
      </c>
      <c r="D182" s="76" t="s">
        <v>135</v>
      </c>
      <c r="E182" s="76" t="s">
        <v>136</v>
      </c>
      <c r="F182" s="80">
        <v>10743.8</v>
      </c>
      <c r="G182" s="80">
        <v>0</v>
      </c>
      <c r="H182" s="81">
        <v>0</v>
      </c>
      <c r="I182" s="81">
        <v>0</v>
      </c>
      <c r="J182" s="81">
        <v>0</v>
      </c>
      <c r="K182" s="81">
        <v>2256.2000000000003</v>
      </c>
      <c r="L182" s="81">
        <v>0</v>
      </c>
      <c r="M182" s="80">
        <v>0</v>
      </c>
      <c r="N182" s="80">
        <v>13000</v>
      </c>
    </row>
    <row r="183" spans="1:14" hidden="1">
      <c r="A183" s="74" t="s">
        <v>1259</v>
      </c>
      <c r="B183" s="75" t="s">
        <v>1278</v>
      </c>
      <c r="C183" s="76" t="s">
        <v>134</v>
      </c>
      <c r="D183" s="76" t="s">
        <v>135</v>
      </c>
      <c r="E183" s="76" t="s">
        <v>136</v>
      </c>
      <c r="F183" s="80">
        <v>14876.03</v>
      </c>
      <c r="G183" s="80">
        <v>0</v>
      </c>
      <c r="H183" s="81">
        <v>0</v>
      </c>
      <c r="I183" s="81">
        <v>0</v>
      </c>
      <c r="J183" s="81">
        <v>0</v>
      </c>
      <c r="K183" s="81">
        <v>3123.97</v>
      </c>
      <c r="L183" s="81">
        <v>0</v>
      </c>
      <c r="M183" s="80">
        <v>0</v>
      </c>
      <c r="N183" s="80">
        <v>18000</v>
      </c>
    </row>
    <row r="184" spans="1:14" hidden="1">
      <c r="A184" s="74" t="s">
        <v>1259</v>
      </c>
      <c r="B184" s="75" t="s">
        <v>1279</v>
      </c>
      <c r="C184" s="76" t="s">
        <v>134</v>
      </c>
      <c r="D184" s="76" t="s">
        <v>135</v>
      </c>
      <c r="E184" s="76" t="s">
        <v>136</v>
      </c>
      <c r="F184" s="80">
        <v>10743.8</v>
      </c>
      <c r="G184" s="80">
        <v>0</v>
      </c>
      <c r="H184" s="81">
        <v>0</v>
      </c>
      <c r="I184" s="81">
        <v>0</v>
      </c>
      <c r="J184" s="81">
        <v>0</v>
      </c>
      <c r="K184" s="81">
        <v>2256.2000000000003</v>
      </c>
      <c r="L184" s="81">
        <v>0</v>
      </c>
      <c r="M184" s="80">
        <v>0</v>
      </c>
      <c r="N184" s="80">
        <v>13000</v>
      </c>
    </row>
    <row r="185" spans="1:14" hidden="1">
      <c r="A185" s="74" t="s">
        <v>1259</v>
      </c>
      <c r="B185" s="75" t="s">
        <v>1280</v>
      </c>
      <c r="C185" s="76" t="s">
        <v>134</v>
      </c>
      <c r="D185" s="76" t="s">
        <v>135</v>
      </c>
      <c r="E185" s="76" t="s">
        <v>136</v>
      </c>
      <c r="F185" s="80">
        <v>11570.25</v>
      </c>
      <c r="G185" s="80">
        <v>0</v>
      </c>
      <c r="H185" s="81">
        <v>0</v>
      </c>
      <c r="I185" s="81">
        <v>0</v>
      </c>
      <c r="J185" s="81">
        <v>0</v>
      </c>
      <c r="K185" s="81">
        <v>2429.75</v>
      </c>
      <c r="L185" s="81">
        <v>0</v>
      </c>
      <c r="M185" s="80">
        <v>0</v>
      </c>
      <c r="N185" s="80">
        <v>14000</v>
      </c>
    </row>
    <row r="186" spans="1:14">
      <c r="A186" s="74" t="s">
        <v>1259</v>
      </c>
      <c r="B186" s="75" t="s">
        <v>1281</v>
      </c>
      <c r="C186" s="76" t="s">
        <v>70</v>
      </c>
      <c r="D186" s="76" t="s">
        <v>19</v>
      </c>
      <c r="E186" s="76">
        <v>30710961790</v>
      </c>
      <c r="F186" s="80">
        <v>-34338.840000000004</v>
      </c>
      <c r="G186" s="80">
        <v>0</v>
      </c>
      <c r="H186" s="81">
        <v>0</v>
      </c>
      <c r="I186" s="81">
        <v>0</v>
      </c>
      <c r="J186" s="81">
        <v>0</v>
      </c>
      <c r="K186" s="81">
        <v>-7211.16</v>
      </c>
      <c r="L186" s="81">
        <v>0</v>
      </c>
      <c r="M186" s="80">
        <v>0</v>
      </c>
      <c r="N186" s="80">
        <v>-41550</v>
      </c>
    </row>
    <row r="187" spans="1:14">
      <c r="A187" s="74" t="s">
        <v>1259</v>
      </c>
      <c r="B187" s="75" t="s">
        <v>1282</v>
      </c>
      <c r="C187" s="76" t="s">
        <v>45</v>
      </c>
      <c r="D187" s="76" t="s">
        <v>19</v>
      </c>
      <c r="E187" s="76">
        <v>30608716390</v>
      </c>
      <c r="F187" s="80">
        <v>46611.56</v>
      </c>
      <c r="G187" s="80">
        <v>0</v>
      </c>
      <c r="H187" s="81">
        <v>0</v>
      </c>
      <c r="I187" s="81">
        <v>0</v>
      </c>
      <c r="J187" s="81">
        <v>0</v>
      </c>
      <c r="K187" s="81">
        <v>9788.43</v>
      </c>
      <c r="L187" s="81">
        <v>0</v>
      </c>
      <c r="M187" s="80">
        <v>0</v>
      </c>
      <c r="N187" s="80">
        <v>56399.99</v>
      </c>
    </row>
    <row r="188" spans="1:14">
      <c r="A188" s="74" t="s">
        <v>1259</v>
      </c>
      <c r="B188" s="75" t="s">
        <v>1283</v>
      </c>
      <c r="C188" s="76" t="s">
        <v>45</v>
      </c>
      <c r="D188" s="76" t="s">
        <v>19</v>
      </c>
      <c r="E188" s="76">
        <v>30608716390</v>
      </c>
      <c r="F188" s="80">
        <v>9925.6200000000008</v>
      </c>
      <c r="G188" s="80">
        <v>0</v>
      </c>
      <c r="H188" s="81">
        <v>0</v>
      </c>
      <c r="I188" s="81">
        <v>0</v>
      </c>
      <c r="J188" s="81">
        <v>0</v>
      </c>
      <c r="K188" s="81">
        <v>2084.38</v>
      </c>
      <c r="L188" s="81">
        <v>0</v>
      </c>
      <c r="M188" s="80">
        <v>0</v>
      </c>
      <c r="N188" s="80">
        <v>12010</v>
      </c>
    </row>
    <row r="189" spans="1:14">
      <c r="A189" s="74" t="s">
        <v>1259</v>
      </c>
      <c r="B189" s="75" t="s">
        <v>1284</v>
      </c>
      <c r="C189" s="76" t="s">
        <v>45</v>
      </c>
      <c r="D189" s="76" t="s">
        <v>19</v>
      </c>
      <c r="E189" s="76">
        <v>30608716390</v>
      </c>
      <c r="F189" s="80">
        <v>19512.400000000001</v>
      </c>
      <c r="G189" s="80">
        <v>0</v>
      </c>
      <c r="H189" s="81">
        <v>0</v>
      </c>
      <c r="I189" s="81">
        <v>0</v>
      </c>
      <c r="J189" s="81">
        <v>0</v>
      </c>
      <c r="K189" s="81">
        <v>4097.6000000000004</v>
      </c>
      <c r="L189" s="81">
        <v>0</v>
      </c>
      <c r="M189" s="80">
        <v>0</v>
      </c>
      <c r="N189" s="80">
        <v>23610</v>
      </c>
    </row>
    <row r="190" spans="1:14">
      <c r="A190" s="74" t="s">
        <v>1259</v>
      </c>
      <c r="B190" s="75" t="s">
        <v>1285</v>
      </c>
      <c r="C190" s="76" t="s">
        <v>45</v>
      </c>
      <c r="D190" s="76" t="s">
        <v>19</v>
      </c>
      <c r="E190" s="76">
        <v>30608716390</v>
      </c>
      <c r="F190" s="80">
        <v>5826.45</v>
      </c>
      <c r="G190" s="80">
        <v>0</v>
      </c>
      <c r="H190" s="81">
        <v>0</v>
      </c>
      <c r="I190" s="81">
        <v>0</v>
      </c>
      <c r="J190" s="81">
        <v>0</v>
      </c>
      <c r="K190" s="81">
        <v>1223.55</v>
      </c>
      <c r="L190" s="81">
        <v>0</v>
      </c>
      <c r="M190" s="80">
        <v>0</v>
      </c>
      <c r="N190" s="80">
        <v>7050</v>
      </c>
    </row>
    <row r="191" spans="1:14" hidden="1">
      <c r="A191" s="74" t="s">
        <v>1286</v>
      </c>
      <c r="B191" s="75" t="s">
        <v>1287</v>
      </c>
      <c r="C191" s="76" t="s">
        <v>134</v>
      </c>
      <c r="D191" s="76" t="s">
        <v>135</v>
      </c>
      <c r="E191" s="76" t="s">
        <v>136</v>
      </c>
      <c r="F191" s="80">
        <v>10743.8</v>
      </c>
      <c r="G191" s="80">
        <v>0</v>
      </c>
      <c r="H191" s="81">
        <v>0</v>
      </c>
      <c r="I191" s="81">
        <v>0</v>
      </c>
      <c r="J191" s="81">
        <v>0</v>
      </c>
      <c r="K191" s="81">
        <v>2256.2000000000003</v>
      </c>
      <c r="L191" s="81">
        <v>0</v>
      </c>
      <c r="M191" s="80">
        <v>0</v>
      </c>
      <c r="N191" s="80">
        <v>13000</v>
      </c>
    </row>
    <row r="192" spans="1:14" hidden="1">
      <c r="A192" s="74" t="s">
        <v>1286</v>
      </c>
      <c r="B192" s="75" t="s">
        <v>1288</v>
      </c>
      <c r="C192" s="76" t="s">
        <v>134</v>
      </c>
      <c r="D192" s="76" t="s">
        <v>135</v>
      </c>
      <c r="E192" s="76" t="s">
        <v>136</v>
      </c>
      <c r="F192" s="80">
        <v>10743.8</v>
      </c>
      <c r="G192" s="80">
        <v>0</v>
      </c>
      <c r="H192" s="81">
        <v>0</v>
      </c>
      <c r="I192" s="81">
        <v>0</v>
      </c>
      <c r="J192" s="81">
        <v>0</v>
      </c>
      <c r="K192" s="81">
        <v>2256.2000000000003</v>
      </c>
      <c r="L192" s="81">
        <v>0</v>
      </c>
      <c r="M192" s="80">
        <v>0</v>
      </c>
      <c r="N192" s="80">
        <v>13000</v>
      </c>
    </row>
    <row r="193" spans="1:14" hidden="1">
      <c r="A193" s="74" t="s">
        <v>1286</v>
      </c>
      <c r="B193" s="75" t="s">
        <v>1289</v>
      </c>
      <c r="C193" s="76" t="s">
        <v>134</v>
      </c>
      <c r="D193" s="76" t="s">
        <v>135</v>
      </c>
      <c r="E193" s="76" t="s">
        <v>136</v>
      </c>
      <c r="F193" s="80">
        <v>8264.4600000000009</v>
      </c>
      <c r="G193" s="80">
        <v>0</v>
      </c>
      <c r="H193" s="81">
        <v>0</v>
      </c>
      <c r="I193" s="81">
        <v>0</v>
      </c>
      <c r="J193" s="81">
        <v>0</v>
      </c>
      <c r="K193" s="81">
        <v>1735.54</v>
      </c>
      <c r="L193" s="81">
        <v>0</v>
      </c>
      <c r="M193" s="80">
        <v>0</v>
      </c>
      <c r="N193" s="80">
        <v>10000</v>
      </c>
    </row>
    <row r="194" spans="1:14" hidden="1">
      <c r="A194" s="74" t="s">
        <v>1286</v>
      </c>
      <c r="B194" s="75" t="s">
        <v>1290</v>
      </c>
      <c r="C194" s="76" t="s">
        <v>134</v>
      </c>
      <c r="D194" s="76" t="s">
        <v>135</v>
      </c>
      <c r="E194" s="76" t="s">
        <v>136</v>
      </c>
      <c r="F194" s="80">
        <v>22314.05</v>
      </c>
      <c r="G194" s="80">
        <v>0</v>
      </c>
      <c r="H194" s="81">
        <v>0</v>
      </c>
      <c r="I194" s="81">
        <v>0</v>
      </c>
      <c r="J194" s="81">
        <v>0</v>
      </c>
      <c r="K194" s="81">
        <v>4685.95</v>
      </c>
      <c r="L194" s="81">
        <v>0</v>
      </c>
      <c r="M194" s="80">
        <v>0</v>
      </c>
      <c r="N194" s="80">
        <v>27000</v>
      </c>
    </row>
    <row r="195" spans="1:14" hidden="1">
      <c r="A195" s="74" t="s">
        <v>1286</v>
      </c>
      <c r="B195" s="75" t="s">
        <v>1291</v>
      </c>
      <c r="C195" s="76" t="s">
        <v>134</v>
      </c>
      <c r="D195" s="76" t="s">
        <v>135</v>
      </c>
      <c r="E195" s="76" t="s">
        <v>136</v>
      </c>
      <c r="F195" s="80">
        <v>20661.16</v>
      </c>
      <c r="G195" s="80">
        <v>0</v>
      </c>
      <c r="H195" s="81">
        <v>0</v>
      </c>
      <c r="I195" s="81">
        <v>0</v>
      </c>
      <c r="J195" s="81">
        <v>0</v>
      </c>
      <c r="K195" s="81">
        <v>4338.84</v>
      </c>
      <c r="L195" s="81">
        <v>0</v>
      </c>
      <c r="M195" s="80">
        <v>0</v>
      </c>
      <c r="N195" s="80">
        <v>25000</v>
      </c>
    </row>
    <row r="196" spans="1:14" hidden="1">
      <c r="A196" s="74" t="s">
        <v>1286</v>
      </c>
      <c r="B196" s="75" t="s">
        <v>1292</v>
      </c>
      <c r="C196" s="76" t="s">
        <v>134</v>
      </c>
      <c r="D196" s="76" t="s">
        <v>135</v>
      </c>
      <c r="E196" s="76" t="s">
        <v>136</v>
      </c>
      <c r="F196" s="80">
        <v>10743.8</v>
      </c>
      <c r="G196" s="80">
        <v>0</v>
      </c>
      <c r="H196" s="81">
        <v>0</v>
      </c>
      <c r="I196" s="81">
        <v>0</v>
      </c>
      <c r="J196" s="81">
        <v>0</v>
      </c>
      <c r="K196" s="81">
        <v>2256.2000000000003</v>
      </c>
      <c r="L196" s="81">
        <v>0</v>
      </c>
      <c r="M196" s="80">
        <v>0</v>
      </c>
      <c r="N196" s="80">
        <v>13000</v>
      </c>
    </row>
    <row r="197" spans="1:14" hidden="1">
      <c r="A197" s="74" t="s">
        <v>1286</v>
      </c>
      <c r="B197" s="75" t="s">
        <v>1293</v>
      </c>
      <c r="C197" s="76" t="s">
        <v>134</v>
      </c>
      <c r="D197" s="76" t="s">
        <v>135</v>
      </c>
      <c r="E197" s="76" t="s">
        <v>136</v>
      </c>
      <c r="F197" s="80">
        <v>15082.64</v>
      </c>
      <c r="G197" s="80">
        <v>0</v>
      </c>
      <c r="H197" s="81">
        <v>0</v>
      </c>
      <c r="I197" s="81">
        <v>0</v>
      </c>
      <c r="J197" s="81">
        <v>0</v>
      </c>
      <c r="K197" s="81">
        <v>3167.36</v>
      </c>
      <c r="L197" s="81">
        <v>0</v>
      </c>
      <c r="M197" s="80">
        <v>0</v>
      </c>
      <c r="N197" s="80">
        <v>18250</v>
      </c>
    </row>
    <row r="198" spans="1:14" hidden="1">
      <c r="A198" s="74" t="s">
        <v>1286</v>
      </c>
      <c r="B198" s="75" t="s">
        <v>1294</v>
      </c>
      <c r="C198" s="76" t="s">
        <v>134</v>
      </c>
      <c r="D198" s="76" t="s">
        <v>135</v>
      </c>
      <c r="E198" s="76" t="s">
        <v>136</v>
      </c>
      <c r="F198" s="80">
        <v>15082.64</v>
      </c>
      <c r="G198" s="80">
        <v>0</v>
      </c>
      <c r="H198" s="81">
        <v>0</v>
      </c>
      <c r="I198" s="81">
        <v>0</v>
      </c>
      <c r="J198" s="81">
        <v>0</v>
      </c>
      <c r="K198" s="81">
        <v>3167.36</v>
      </c>
      <c r="L198" s="81">
        <v>0</v>
      </c>
      <c r="M198" s="80">
        <v>0</v>
      </c>
      <c r="N198" s="80">
        <v>18250</v>
      </c>
    </row>
    <row r="199" spans="1:14" hidden="1">
      <c r="A199" s="74" t="s">
        <v>1286</v>
      </c>
      <c r="B199" s="75" t="s">
        <v>1295</v>
      </c>
      <c r="C199" s="76" t="s">
        <v>134</v>
      </c>
      <c r="D199" s="76" t="s">
        <v>135</v>
      </c>
      <c r="E199" s="76" t="s">
        <v>136</v>
      </c>
      <c r="F199" s="80">
        <v>29338.84</v>
      </c>
      <c r="G199" s="80">
        <v>0</v>
      </c>
      <c r="H199" s="81">
        <v>0</v>
      </c>
      <c r="I199" s="81">
        <v>0</v>
      </c>
      <c r="J199" s="81">
        <v>0</v>
      </c>
      <c r="K199" s="81">
        <v>6161.16</v>
      </c>
      <c r="L199" s="81">
        <v>0</v>
      </c>
      <c r="M199" s="80">
        <v>0</v>
      </c>
      <c r="N199" s="80">
        <v>35500</v>
      </c>
    </row>
    <row r="200" spans="1:14" hidden="1">
      <c r="A200" s="74" t="s">
        <v>1286</v>
      </c>
      <c r="B200" s="75" t="s">
        <v>1296</v>
      </c>
      <c r="C200" s="76" t="s">
        <v>134</v>
      </c>
      <c r="D200" s="76" t="s">
        <v>135</v>
      </c>
      <c r="E200" s="76" t="s">
        <v>136</v>
      </c>
      <c r="F200" s="80">
        <v>28925.62</v>
      </c>
      <c r="G200" s="80">
        <v>0</v>
      </c>
      <c r="H200" s="81">
        <v>0</v>
      </c>
      <c r="I200" s="81">
        <v>0</v>
      </c>
      <c r="J200" s="81">
        <v>0</v>
      </c>
      <c r="K200" s="81">
        <v>6074.38</v>
      </c>
      <c r="L200" s="81">
        <v>0</v>
      </c>
      <c r="M200" s="80">
        <v>0</v>
      </c>
      <c r="N200" s="80">
        <v>35000</v>
      </c>
    </row>
    <row r="201" spans="1:14" hidden="1">
      <c r="A201" s="74" t="s">
        <v>1286</v>
      </c>
      <c r="B201" s="75" t="s">
        <v>1297</v>
      </c>
      <c r="C201" s="76" t="s">
        <v>134</v>
      </c>
      <c r="D201" s="76" t="s">
        <v>135</v>
      </c>
      <c r="E201" s="76" t="s">
        <v>136</v>
      </c>
      <c r="F201" s="80">
        <v>25619.83</v>
      </c>
      <c r="G201" s="80">
        <v>0</v>
      </c>
      <c r="H201" s="81">
        <v>0</v>
      </c>
      <c r="I201" s="81">
        <v>0</v>
      </c>
      <c r="J201" s="81">
        <v>0</v>
      </c>
      <c r="K201" s="81">
        <v>5380.17</v>
      </c>
      <c r="L201" s="81">
        <v>0</v>
      </c>
      <c r="M201" s="80">
        <v>0</v>
      </c>
      <c r="N201" s="80">
        <v>31000</v>
      </c>
    </row>
    <row r="202" spans="1:14" hidden="1">
      <c r="A202" s="74" t="s">
        <v>1286</v>
      </c>
      <c r="B202" s="75" t="s">
        <v>1298</v>
      </c>
      <c r="C202" s="76" t="s">
        <v>134</v>
      </c>
      <c r="D202" s="76" t="s">
        <v>135</v>
      </c>
      <c r="E202" s="76" t="s">
        <v>136</v>
      </c>
      <c r="F202" s="80">
        <v>9917.36</v>
      </c>
      <c r="G202" s="80">
        <v>0</v>
      </c>
      <c r="H202" s="81">
        <v>0</v>
      </c>
      <c r="I202" s="81">
        <v>0</v>
      </c>
      <c r="J202" s="81">
        <v>0</v>
      </c>
      <c r="K202" s="81">
        <v>2082.64</v>
      </c>
      <c r="L202" s="81">
        <v>0</v>
      </c>
      <c r="M202" s="80">
        <v>0</v>
      </c>
      <c r="N202" s="80">
        <v>12000</v>
      </c>
    </row>
    <row r="203" spans="1:14">
      <c r="A203" s="74" t="s">
        <v>1286</v>
      </c>
      <c r="B203" s="75" t="s">
        <v>1299</v>
      </c>
      <c r="C203" s="76" t="s">
        <v>25</v>
      </c>
      <c r="D203" s="76" t="s">
        <v>19</v>
      </c>
      <c r="E203" s="76">
        <v>30522428163</v>
      </c>
      <c r="F203" s="80">
        <v>39219669.410000004</v>
      </c>
      <c r="G203" s="80">
        <v>0</v>
      </c>
      <c r="H203" s="81">
        <v>0</v>
      </c>
      <c r="I203" s="81">
        <v>0</v>
      </c>
      <c r="J203" s="81">
        <v>0</v>
      </c>
      <c r="K203" s="81">
        <v>8236130.5899999999</v>
      </c>
      <c r="L203" s="81">
        <v>0</v>
      </c>
      <c r="M203" s="80">
        <v>0</v>
      </c>
      <c r="N203" s="80">
        <v>47455800</v>
      </c>
    </row>
    <row r="204" spans="1:14">
      <c r="A204" s="74" t="s">
        <v>1286</v>
      </c>
      <c r="B204" s="75" t="s">
        <v>1300</v>
      </c>
      <c r="C204" s="76" t="s">
        <v>36</v>
      </c>
      <c r="D204" s="76" t="s">
        <v>19</v>
      </c>
      <c r="E204" s="76">
        <v>30683032227</v>
      </c>
      <c r="F204" s="80">
        <v>138842.98000000001</v>
      </c>
      <c r="G204" s="80">
        <v>0</v>
      </c>
      <c r="H204" s="81">
        <v>0</v>
      </c>
      <c r="I204" s="81">
        <v>0</v>
      </c>
      <c r="J204" s="81">
        <v>0</v>
      </c>
      <c r="K204" s="81">
        <v>29157.03</v>
      </c>
      <c r="L204" s="81">
        <v>0</v>
      </c>
      <c r="M204" s="80">
        <v>0</v>
      </c>
      <c r="N204" s="80">
        <v>168000.01</v>
      </c>
    </row>
    <row r="205" spans="1:14">
      <c r="A205" s="74" t="s">
        <v>1286</v>
      </c>
      <c r="B205" s="75" t="s">
        <v>1301</v>
      </c>
      <c r="C205" s="76" t="s">
        <v>633</v>
      </c>
      <c r="D205" s="76" t="s">
        <v>135</v>
      </c>
      <c r="E205" s="76">
        <v>27930928</v>
      </c>
      <c r="F205" s="80">
        <v>19834.71</v>
      </c>
      <c r="G205" s="80">
        <v>0</v>
      </c>
      <c r="H205" s="81">
        <v>0</v>
      </c>
      <c r="I205" s="81">
        <v>0</v>
      </c>
      <c r="J205" s="81">
        <v>0</v>
      </c>
      <c r="K205" s="81">
        <v>4165.29</v>
      </c>
      <c r="L205" s="81">
        <v>0</v>
      </c>
      <c r="M205" s="80">
        <v>0</v>
      </c>
      <c r="N205" s="80">
        <v>24000</v>
      </c>
    </row>
    <row r="206" spans="1:14" hidden="1">
      <c r="A206" s="74" t="s">
        <v>1302</v>
      </c>
      <c r="B206" s="75" t="s">
        <v>1303</v>
      </c>
      <c r="C206" s="76" t="s">
        <v>134</v>
      </c>
      <c r="D206" s="76" t="s">
        <v>135</v>
      </c>
      <c r="E206" s="76" t="s">
        <v>136</v>
      </c>
      <c r="F206" s="80">
        <v>10743.8</v>
      </c>
      <c r="G206" s="80">
        <v>0</v>
      </c>
      <c r="H206" s="81">
        <v>0</v>
      </c>
      <c r="I206" s="81">
        <v>0</v>
      </c>
      <c r="J206" s="81">
        <v>0</v>
      </c>
      <c r="K206" s="81">
        <v>2256.2000000000003</v>
      </c>
      <c r="L206" s="81">
        <v>0</v>
      </c>
      <c r="M206" s="80">
        <v>0</v>
      </c>
      <c r="N206" s="80">
        <v>13000</v>
      </c>
    </row>
    <row r="207" spans="1:14" hidden="1">
      <c r="A207" s="74" t="s">
        <v>1302</v>
      </c>
      <c r="B207" s="75" t="s">
        <v>1304</v>
      </c>
      <c r="C207" s="76" t="s">
        <v>134</v>
      </c>
      <c r="D207" s="76" t="s">
        <v>135</v>
      </c>
      <c r="E207" s="76" t="s">
        <v>136</v>
      </c>
      <c r="F207" s="80">
        <v>21487.599999999999</v>
      </c>
      <c r="G207" s="80">
        <v>0</v>
      </c>
      <c r="H207" s="81">
        <v>0</v>
      </c>
      <c r="I207" s="81">
        <v>0</v>
      </c>
      <c r="J207" s="81">
        <v>0</v>
      </c>
      <c r="K207" s="81">
        <v>4512.4000000000005</v>
      </c>
      <c r="L207" s="81">
        <v>0</v>
      </c>
      <c r="M207" s="80">
        <v>0</v>
      </c>
      <c r="N207" s="80">
        <v>26000</v>
      </c>
    </row>
    <row r="208" spans="1:14" hidden="1">
      <c r="A208" s="74" t="s">
        <v>1302</v>
      </c>
      <c r="B208" s="75" t="s">
        <v>1305</v>
      </c>
      <c r="C208" s="76" t="s">
        <v>134</v>
      </c>
      <c r="D208" s="76" t="s">
        <v>135</v>
      </c>
      <c r="E208" s="76" t="s">
        <v>136</v>
      </c>
      <c r="F208" s="80">
        <v>10743.8</v>
      </c>
      <c r="G208" s="80">
        <v>0</v>
      </c>
      <c r="H208" s="81">
        <v>0</v>
      </c>
      <c r="I208" s="81">
        <v>0</v>
      </c>
      <c r="J208" s="81">
        <v>0</v>
      </c>
      <c r="K208" s="81">
        <v>2256.2000000000003</v>
      </c>
      <c r="L208" s="81">
        <v>0</v>
      </c>
      <c r="M208" s="80">
        <v>0</v>
      </c>
      <c r="N208" s="80">
        <v>13000</v>
      </c>
    </row>
    <row r="209" spans="1:14" hidden="1">
      <c r="A209" s="74" t="s">
        <v>1302</v>
      </c>
      <c r="B209" s="75" t="s">
        <v>1306</v>
      </c>
      <c r="C209" s="76" t="s">
        <v>134</v>
      </c>
      <c r="D209" s="76" t="s">
        <v>135</v>
      </c>
      <c r="E209" s="76" t="s">
        <v>136</v>
      </c>
      <c r="F209" s="80">
        <v>4958.68</v>
      </c>
      <c r="G209" s="80">
        <v>0</v>
      </c>
      <c r="H209" s="81">
        <v>0</v>
      </c>
      <c r="I209" s="81">
        <v>0</v>
      </c>
      <c r="J209" s="81">
        <v>0</v>
      </c>
      <c r="K209" s="81">
        <v>1041.32</v>
      </c>
      <c r="L209" s="81">
        <v>0</v>
      </c>
      <c r="M209" s="80">
        <v>0</v>
      </c>
      <c r="N209" s="80">
        <v>6000</v>
      </c>
    </row>
    <row r="210" spans="1:14" hidden="1">
      <c r="A210" s="74" t="s">
        <v>1302</v>
      </c>
      <c r="B210" s="75" t="s">
        <v>1307</v>
      </c>
      <c r="C210" s="76" t="s">
        <v>134</v>
      </c>
      <c r="D210" s="76" t="s">
        <v>135</v>
      </c>
      <c r="E210" s="76" t="s">
        <v>136</v>
      </c>
      <c r="F210" s="80">
        <v>10743.8</v>
      </c>
      <c r="G210" s="80">
        <v>0</v>
      </c>
      <c r="H210" s="81">
        <v>0</v>
      </c>
      <c r="I210" s="81">
        <v>0</v>
      </c>
      <c r="J210" s="81">
        <v>0</v>
      </c>
      <c r="K210" s="81">
        <v>2256.2000000000003</v>
      </c>
      <c r="L210" s="81">
        <v>0</v>
      </c>
      <c r="M210" s="80">
        <v>0</v>
      </c>
      <c r="N210" s="80">
        <v>13000</v>
      </c>
    </row>
    <row r="211" spans="1:14" hidden="1">
      <c r="A211" s="74" t="s">
        <v>1302</v>
      </c>
      <c r="B211" s="75" t="s">
        <v>1308</v>
      </c>
      <c r="C211" s="76" t="s">
        <v>134</v>
      </c>
      <c r="D211" s="76" t="s">
        <v>135</v>
      </c>
      <c r="E211" s="76" t="s">
        <v>136</v>
      </c>
      <c r="F211" s="80">
        <v>10743.8</v>
      </c>
      <c r="G211" s="80">
        <v>0</v>
      </c>
      <c r="H211" s="81">
        <v>0</v>
      </c>
      <c r="I211" s="81">
        <v>0</v>
      </c>
      <c r="J211" s="81">
        <v>0</v>
      </c>
      <c r="K211" s="81">
        <v>2256.2000000000003</v>
      </c>
      <c r="L211" s="81">
        <v>0</v>
      </c>
      <c r="M211" s="80">
        <v>0</v>
      </c>
      <c r="N211" s="80">
        <v>13000</v>
      </c>
    </row>
    <row r="212" spans="1:14" hidden="1">
      <c r="A212" s="74" t="s">
        <v>1302</v>
      </c>
      <c r="B212" s="75" t="s">
        <v>1309</v>
      </c>
      <c r="C212" s="76" t="s">
        <v>134</v>
      </c>
      <c r="D212" s="76" t="s">
        <v>135</v>
      </c>
      <c r="E212" s="76" t="s">
        <v>136</v>
      </c>
      <c r="F212" s="80">
        <v>25619.83</v>
      </c>
      <c r="G212" s="80">
        <v>0</v>
      </c>
      <c r="H212" s="81">
        <v>0</v>
      </c>
      <c r="I212" s="81">
        <v>0</v>
      </c>
      <c r="J212" s="81">
        <v>0</v>
      </c>
      <c r="K212" s="81">
        <v>5380.17</v>
      </c>
      <c r="L212" s="81">
        <v>0</v>
      </c>
      <c r="M212" s="80">
        <v>0</v>
      </c>
      <c r="N212" s="80">
        <v>31000</v>
      </c>
    </row>
    <row r="213" spans="1:14" hidden="1">
      <c r="A213" s="74" t="s">
        <v>1302</v>
      </c>
      <c r="B213" s="75" t="s">
        <v>1310</v>
      </c>
      <c r="C213" s="76" t="s">
        <v>134</v>
      </c>
      <c r="D213" s="76" t="s">
        <v>135</v>
      </c>
      <c r="E213" s="76" t="s">
        <v>136</v>
      </c>
      <c r="F213" s="80">
        <v>15082.64</v>
      </c>
      <c r="G213" s="80">
        <v>0</v>
      </c>
      <c r="H213" s="81">
        <v>0</v>
      </c>
      <c r="I213" s="81">
        <v>0</v>
      </c>
      <c r="J213" s="81">
        <v>0</v>
      </c>
      <c r="K213" s="81">
        <v>3167.36</v>
      </c>
      <c r="L213" s="81">
        <v>0</v>
      </c>
      <c r="M213" s="80">
        <v>0</v>
      </c>
      <c r="N213" s="80">
        <v>18250</v>
      </c>
    </row>
    <row r="214" spans="1:14" hidden="1">
      <c r="A214" s="74" t="s">
        <v>1302</v>
      </c>
      <c r="B214" s="75" t="s">
        <v>1311</v>
      </c>
      <c r="C214" s="76" t="s">
        <v>134</v>
      </c>
      <c r="D214" s="76" t="s">
        <v>135</v>
      </c>
      <c r="E214" s="76" t="s">
        <v>136</v>
      </c>
      <c r="F214" s="80">
        <v>5371.9</v>
      </c>
      <c r="G214" s="80">
        <v>0</v>
      </c>
      <c r="H214" s="81">
        <v>0</v>
      </c>
      <c r="I214" s="81">
        <v>0</v>
      </c>
      <c r="J214" s="81">
        <v>0</v>
      </c>
      <c r="K214" s="81">
        <v>1128.1000000000001</v>
      </c>
      <c r="L214" s="81">
        <v>0</v>
      </c>
      <c r="M214" s="80">
        <v>0</v>
      </c>
      <c r="N214" s="80">
        <v>6500</v>
      </c>
    </row>
    <row r="215" spans="1:14" hidden="1">
      <c r="A215" s="74" t="s">
        <v>1302</v>
      </c>
      <c r="B215" s="75" t="s">
        <v>1312</v>
      </c>
      <c r="C215" s="76" t="s">
        <v>134</v>
      </c>
      <c r="D215" s="76" t="s">
        <v>135</v>
      </c>
      <c r="E215" s="76" t="s">
        <v>136</v>
      </c>
      <c r="F215" s="80">
        <v>22727.27</v>
      </c>
      <c r="G215" s="80">
        <v>0</v>
      </c>
      <c r="H215" s="81">
        <v>0</v>
      </c>
      <c r="I215" s="81">
        <v>0</v>
      </c>
      <c r="J215" s="81">
        <v>0</v>
      </c>
      <c r="K215" s="81">
        <v>4772.7300000000005</v>
      </c>
      <c r="L215" s="81">
        <v>0</v>
      </c>
      <c r="M215" s="80">
        <v>0</v>
      </c>
      <c r="N215" s="80">
        <v>27500</v>
      </c>
    </row>
    <row r="216" spans="1:14">
      <c r="A216" s="74" t="s">
        <v>1302</v>
      </c>
      <c r="B216" s="75" t="s">
        <v>1313</v>
      </c>
      <c r="C216" s="76" t="s">
        <v>1314</v>
      </c>
      <c r="D216" s="76" t="s">
        <v>135</v>
      </c>
      <c r="E216" s="76">
        <v>10924190</v>
      </c>
      <c r="F216" s="80">
        <v>42975.21</v>
      </c>
      <c r="G216" s="80">
        <v>0</v>
      </c>
      <c r="H216" s="81">
        <v>0</v>
      </c>
      <c r="I216" s="81">
        <v>0</v>
      </c>
      <c r="J216" s="81">
        <v>0</v>
      </c>
      <c r="K216" s="81">
        <v>9024.7900000000009</v>
      </c>
      <c r="L216" s="81">
        <v>0</v>
      </c>
      <c r="M216" s="80">
        <v>0</v>
      </c>
      <c r="N216" s="80">
        <v>52000</v>
      </c>
    </row>
    <row r="217" spans="1:14">
      <c r="A217" s="74" t="s">
        <v>1302</v>
      </c>
      <c r="B217" s="75" t="s">
        <v>1315</v>
      </c>
      <c r="C217" s="76" t="s">
        <v>25</v>
      </c>
      <c r="D217" s="76" t="s">
        <v>19</v>
      </c>
      <c r="E217" s="76">
        <v>30522428163</v>
      </c>
      <c r="F217" s="80">
        <v>-128482.34</v>
      </c>
      <c r="G217" s="80">
        <v>0</v>
      </c>
      <c r="H217" s="81">
        <v>0</v>
      </c>
      <c r="I217" s="81">
        <v>0</v>
      </c>
      <c r="J217" s="81">
        <v>0</v>
      </c>
      <c r="K217" s="81">
        <v>-26981.29</v>
      </c>
      <c r="L217" s="81">
        <v>0</v>
      </c>
      <c r="M217" s="80">
        <v>0</v>
      </c>
      <c r="N217" s="80">
        <v>-155463.63</v>
      </c>
    </row>
    <row r="218" spans="1:14">
      <c r="A218" s="74" t="s">
        <v>1302</v>
      </c>
      <c r="B218" s="75" t="s">
        <v>1316</v>
      </c>
      <c r="C218" s="76" t="s">
        <v>25</v>
      </c>
      <c r="D218" s="76" t="s">
        <v>19</v>
      </c>
      <c r="E218" s="76">
        <v>30522428163</v>
      </c>
      <c r="F218" s="80">
        <v>-59034.16</v>
      </c>
      <c r="G218" s="80">
        <v>0</v>
      </c>
      <c r="H218" s="81">
        <v>0</v>
      </c>
      <c r="I218" s="81">
        <v>0</v>
      </c>
      <c r="J218" s="81">
        <v>0</v>
      </c>
      <c r="K218" s="81">
        <v>-12397.17</v>
      </c>
      <c r="L218" s="81">
        <v>0</v>
      </c>
      <c r="M218" s="80">
        <v>0</v>
      </c>
      <c r="N218" s="80">
        <v>-71431.33</v>
      </c>
    </row>
    <row r="219" spans="1:14">
      <c r="A219" s="74" t="s">
        <v>1302</v>
      </c>
      <c r="B219" s="75" t="s">
        <v>1317</v>
      </c>
      <c r="C219" s="76" t="s">
        <v>25</v>
      </c>
      <c r="D219" s="76" t="s">
        <v>19</v>
      </c>
      <c r="E219" s="76">
        <v>30522428163</v>
      </c>
      <c r="F219" s="80">
        <v>-85818.75</v>
      </c>
      <c r="G219" s="80">
        <v>0</v>
      </c>
      <c r="H219" s="81">
        <v>0</v>
      </c>
      <c r="I219" s="81">
        <v>0</v>
      </c>
      <c r="J219" s="81">
        <v>0</v>
      </c>
      <c r="K219" s="81">
        <v>-18021.939999999999</v>
      </c>
      <c r="L219" s="81">
        <v>0</v>
      </c>
      <c r="M219" s="80">
        <v>0</v>
      </c>
      <c r="N219" s="80">
        <v>-103840.69</v>
      </c>
    </row>
    <row r="220" spans="1:14">
      <c r="A220" s="74" t="s">
        <v>1302</v>
      </c>
      <c r="B220" s="75" t="s">
        <v>1318</v>
      </c>
      <c r="C220" s="76" t="s">
        <v>25</v>
      </c>
      <c r="D220" s="76" t="s">
        <v>19</v>
      </c>
      <c r="E220" s="76">
        <v>30522428163</v>
      </c>
      <c r="F220" s="80">
        <v>-21194.37</v>
      </c>
      <c r="G220" s="80">
        <v>0</v>
      </c>
      <c r="H220" s="81">
        <v>0</v>
      </c>
      <c r="I220" s="81">
        <v>0</v>
      </c>
      <c r="J220" s="81">
        <v>0</v>
      </c>
      <c r="K220" s="81">
        <v>-4450.82</v>
      </c>
      <c r="L220" s="81">
        <v>0</v>
      </c>
      <c r="M220" s="80">
        <v>0</v>
      </c>
      <c r="N220" s="80">
        <v>-25645.19</v>
      </c>
    </row>
    <row r="221" spans="1:14">
      <c r="A221" s="74" t="s">
        <v>1302</v>
      </c>
      <c r="B221" s="75" t="s">
        <v>1319</v>
      </c>
      <c r="C221" s="76" t="s">
        <v>25</v>
      </c>
      <c r="D221" s="76" t="s">
        <v>19</v>
      </c>
      <c r="E221" s="76">
        <v>30522428163</v>
      </c>
      <c r="F221" s="80">
        <v>225814.2</v>
      </c>
      <c r="G221" s="80">
        <v>0</v>
      </c>
      <c r="H221" s="81">
        <v>0</v>
      </c>
      <c r="I221" s="81">
        <v>0</v>
      </c>
      <c r="J221" s="81">
        <v>0</v>
      </c>
      <c r="K221" s="81">
        <v>47420.98</v>
      </c>
      <c r="L221" s="81">
        <v>0</v>
      </c>
      <c r="M221" s="80">
        <v>0</v>
      </c>
      <c r="N221" s="80">
        <v>273235.18</v>
      </c>
    </row>
    <row r="222" spans="1:14">
      <c r="A222" s="74" t="s">
        <v>1302</v>
      </c>
      <c r="B222" s="75" t="s">
        <v>1320</v>
      </c>
      <c r="C222" s="76" t="s">
        <v>45</v>
      </c>
      <c r="D222" s="76" t="s">
        <v>19</v>
      </c>
      <c r="E222" s="76">
        <v>30608716390</v>
      </c>
      <c r="F222" s="80">
        <v>11652.89</v>
      </c>
      <c r="G222" s="80">
        <v>0</v>
      </c>
      <c r="H222" s="81">
        <v>0</v>
      </c>
      <c r="I222" s="81">
        <v>0</v>
      </c>
      <c r="J222" s="81">
        <v>0</v>
      </c>
      <c r="K222" s="81">
        <v>2447.11</v>
      </c>
      <c r="L222" s="81">
        <v>0</v>
      </c>
      <c r="M222" s="80">
        <v>0</v>
      </c>
      <c r="N222" s="80">
        <v>14100</v>
      </c>
    </row>
    <row r="223" spans="1:14">
      <c r="A223" s="74" t="s">
        <v>1321</v>
      </c>
      <c r="B223" s="75" t="s">
        <v>1322</v>
      </c>
      <c r="C223" s="76" t="s">
        <v>1261</v>
      </c>
      <c r="D223" s="76" t="s">
        <v>19</v>
      </c>
      <c r="E223" s="76">
        <v>20249404870</v>
      </c>
      <c r="F223" s="80">
        <v>8264.4600000000009</v>
      </c>
      <c r="G223" s="80">
        <v>0</v>
      </c>
      <c r="H223" s="81">
        <v>0</v>
      </c>
      <c r="I223" s="81">
        <v>0</v>
      </c>
      <c r="J223" s="81">
        <v>0</v>
      </c>
      <c r="K223" s="81">
        <v>1735.54</v>
      </c>
      <c r="L223" s="81">
        <v>0</v>
      </c>
      <c r="M223" s="80">
        <v>0</v>
      </c>
      <c r="N223" s="80">
        <v>10000</v>
      </c>
    </row>
    <row r="224" spans="1:14" hidden="1">
      <c r="A224" s="74" t="s">
        <v>1321</v>
      </c>
      <c r="B224" s="75" t="s">
        <v>1323</v>
      </c>
      <c r="C224" s="76" t="s">
        <v>134</v>
      </c>
      <c r="D224" s="76" t="s">
        <v>135</v>
      </c>
      <c r="E224" s="76" t="s">
        <v>136</v>
      </c>
      <c r="F224" s="80">
        <v>49586.78</v>
      </c>
      <c r="G224" s="80">
        <v>0</v>
      </c>
      <c r="H224" s="81">
        <v>0</v>
      </c>
      <c r="I224" s="81">
        <v>0</v>
      </c>
      <c r="J224" s="81">
        <v>0</v>
      </c>
      <c r="K224" s="81">
        <v>10413.219999999999</v>
      </c>
      <c r="L224" s="81">
        <v>0</v>
      </c>
      <c r="M224" s="80">
        <v>0</v>
      </c>
      <c r="N224" s="80">
        <v>60000</v>
      </c>
    </row>
    <row r="225" spans="1:14" hidden="1">
      <c r="A225" s="74" t="s">
        <v>1321</v>
      </c>
      <c r="B225" s="75" t="s">
        <v>1324</v>
      </c>
      <c r="C225" s="76" t="s">
        <v>134</v>
      </c>
      <c r="D225" s="76" t="s">
        <v>135</v>
      </c>
      <c r="E225" s="76" t="s">
        <v>136</v>
      </c>
      <c r="F225" s="80">
        <v>21487.599999999999</v>
      </c>
      <c r="G225" s="80">
        <v>0</v>
      </c>
      <c r="H225" s="81">
        <v>0</v>
      </c>
      <c r="I225" s="81">
        <v>0</v>
      </c>
      <c r="J225" s="81">
        <v>0</v>
      </c>
      <c r="K225" s="81">
        <v>4512.4000000000005</v>
      </c>
      <c r="L225" s="81">
        <v>0</v>
      </c>
      <c r="M225" s="80">
        <v>0</v>
      </c>
      <c r="N225" s="80">
        <v>26000</v>
      </c>
    </row>
    <row r="226" spans="1:14" hidden="1">
      <c r="A226" s="74" t="s">
        <v>1321</v>
      </c>
      <c r="B226" s="75" t="s">
        <v>1325</v>
      </c>
      <c r="C226" s="76" t="s">
        <v>134</v>
      </c>
      <c r="D226" s="76" t="s">
        <v>135</v>
      </c>
      <c r="E226" s="76" t="s">
        <v>136</v>
      </c>
      <c r="F226" s="80">
        <v>20661.16</v>
      </c>
      <c r="G226" s="80">
        <v>0</v>
      </c>
      <c r="H226" s="81">
        <v>0</v>
      </c>
      <c r="I226" s="81">
        <v>0</v>
      </c>
      <c r="J226" s="81">
        <v>0</v>
      </c>
      <c r="K226" s="81">
        <v>4338.84</v>
      </c>
      <c r="L226" s="81">
        <v>0</v>
      </c>
      <c r="M226" s="80">
        <v>0</v>
      </c>
      <c r="N226" s="80">
        <v>25000</v>
      </c>
    </row>
    <row r="227" spans="1:14" hidden="1">
      <c r="A227" s="74" t="s">
        <v>1321</v>
      </c>
      <c r="B227" s="75" t="s">
        <v>1326</v>
      </c>
      <c r="C227" s="76" t="s">
        <v>134</v>
      </c>
      <c r="D227" s="76" t="s">
        <v>135</v>
      </c>
      <c r="E227" s="76" t="s">
        <v>136</v>
      </c>
      <c r="F227" s="80">
        <v>10743.8</v>
      </c>
      <c r="G227" s="80">
        <v>0</v>
      </c>
      <c r="H227" s="81">
        <v>0</v>
      </c>
      <c r="I227" s="81">
        <v>0</v>
      </c>
      <c r="J227" s="81">
        <v>0</v>
      </c>
      <c r="K227" s="81">
        <v>2256.2000000000003</v>
      </c>
      <c r="L227" s="81">
        <v>0</v>
      </c>
      <c r="M227" s="80">
        <v>0</v>
      </c>
      <c r="N227" s="80">
        <v>13000</v>
      </c>
    </row>
    <row r="228" spans="1:14" hidden="1">
      <c r="A228" s="74" t="s">
        <v>1321</v>
      </c>
      <c r="B228" s="75" t="s">
        <v>1327</v>
      </c>
      <c r="C228" s="76" t="s">
        <v>134</v>
      </c>
      <c r="D228" s="76" t="s">
        <v>135</v>
      </c>
      <c r="E228" s="76" t="s">
        <v>136</v>
      </c>
      <c r="F228" s="80">
        <v>10495.87</v>
      </c>
      <c r="G228" s="80">
        <v>0</v>
      </c>
      <c r="H228" s="81">
        <v>0</v>
      </c>
      <c r="I228" s="81">
        <v>0</v>
      </c>
      <c r="J228" s="81">
        <v>0</v>
      </c>
      <c r="K228" s="81">
        <v>2204.13</v>
      </c>
      <c r="L228" s="81">
        <v>0</v>
      </c>
      <c r="M228" s="80">
        <v>0</v>
      </c>
      <c r="N228" s="80">
        <v>12700</v>
      </c>
    </row>
    <row r="229" spans="1:14" hidden="1">
      <c r="A229" s="74" t="s">
        <v>1321</v>
      </c>
      <c r="B229" s="75" t="s">
        <v>1328</v>
      </c>
      <c r="C229" s="76" t="s">
        <v>134</v>
      </c>
      <c r="D229" s="76" t="s">
        <v>135</v>
      </c>
      <c r="E229" s="76" t="s">
        <v>136</v>
      </c>
      <c r="F229" s="80">
        <v>35330.58</v>
      </c>
      <c r="G229" s="80">
        <v>0</v>
      </c>
      <c r="H229" s="81">
        <v>0</v>
      </c>
      <c r="I229" s="81">
        <v>0</v>
      </c>
      <c r="J229" s="81">
        <v>0</v>
      </c>
      <c r="K229" s="81">
        <v>7419.42</v>
      </c>
      <c r="L229" s="81">
        <v>0</v>
      </c>
      <c r="M229" s="80">
        <v>0</v>
      </c>
      <c r="N229" s="80">
        <v>42750</v>
      </c>
    </row>
    <row r="230" spans="1:14" hidden="1">
      <c r="A230" s="74" t="s">
        <v>1321</v>
      </c>
      <c r="B230" s="75" t="s">
        <v>1329</v>
      </c>
      <c r="C230" s="76" t="s">
        <v>134</v>
      </c>
      <c r="D230" s="76" t="s">
        <v>135</v>
      </c>
      <c r="E230" s="76" t="s">
        <v>136</v>
      </c>
      <c r="F230" s="80">
        <v>8057.85</v>
      </c>
      <c r="G230" s="80">
        <v>0</v>
      </c>
      <c r="H230" s="81">
        <v>0</v>
      </c>
      <c r="I230" s="81">
        <v>0</v>
      </c>
      <c r="J230" s="81">
        <v>0</v>
      </c>
      <c r="K230" s="81">
        <v>1692.15</v>
      </c>
      <c r="L230" s="81">
        <v>0</v>
      </c>
      <c r="M230" s="80">
        <v>0</v>
      </c>
      <c r="N230" s="80">
        <v>9750</v>
      </c>
    </row>
    <row r="231" spans="1:14" hidden="1">
      <c r="A231" s="74" t="s">
        <v>1321</v>
      </c>
      <c r="B231" s="75" t="s">
        <v>1330</v>
      </c>
      <c r="C231" s="76" t="s">
        <v>134</v>
      </c>
      <c r="D231" s="76" t="s">
        <v>135</v>
      </c>
      <c r="E231" s="76" t="s">
        <v>136</v>
      </c>
      <c r="F231" s="80">
        <v>9917.36</v>
      </c>
      <c r="G231" s="80">
        <v>0</v>
      </c>
      <c r="H231" s="81">
        <v>0</v>
      </c>
      <c r="I231" s="81">
        <v>0</v>
      </c>
      <c r="J231" s="81">
        <v>0</v>
      </c>
      <c r="K231" s="81">
        <v>2082.64</v>
      </c>
      <c r="L231" s="81">
        <v>0</v>
      </c>
      <c r="M231" s="80">
        <v>0</v>
      </c>
      <c r="N231" s="80">
        <v>12000</v>
      </c>
    </row>
    <row r="232" spans="1:14">
      <c r="A232" s="74" t="s">
        <v>1321</v>
      </c>
      <c r="B232" s="75" t="s">
        <v>1331</v>
      </c>
      <c r="C232" s="76" t="s">
        <v>25</v>
      </c>
      <c r="D232" s="76" t="s">
        <v>19</v>
      </c>
      <c r="E232" s="76">
        <v>30522428163</v>
      </c>
      <c r="F232" s="80">
        <v>26073057.84</v>
      </c>
      <c r="G232" s="80">
        <v>0</v>
      </c>
      <c r="H232" s="81">
        <v>0</v>
      </c>
      <c r="I232" s="81">
        <v>0</v>
      </c>
      <c r="J232" s="81">
        <v>0</v>
      </c>
      <c r="K232" s="81">
        <v>5475342.1299999999</v>
      </c>
      <c r="L232" s="81">
        <v>0</v>
      </c>
      <c r="M232" s="80">
        <v>0</v>
      </c>
      <c r="N232" s="80">
        <v>31548399.969999999</v>
      </c>
    </row>
    <row r="233" spans="1:14">
      <c r="A233" s="74" t="s">
        <v>1321</v>
      </c>
      <c r="B233" s="75" t="s">
        <v>1332</v>
      </c>
      <c r="C233" s="76" t="s">
        <v>438</v>
      </c>
      <c r="D233" s="76" t="s">
        <v>135</v>
      </c>
      <c r="E233" s="76">
        <v>93195134</v>
      </c>
      <c r="F233" s="80">
        <v>13458.68</v>
      </c>
      <c r="G233" s="80">
        <v>0</v>
      </c>
      <c r="H233" s="81">
        <v>0</v>
      </c>
      <c r="I233" s="81">
        <v>0</v>
      </c>
      <c r="J233" s="81">
        <v>0</v>
      </c>
      <c r="K233" s="81">
        <v>2826.32</v>
      </c>
      <c r="L233" s="81">
        <v>0</v>
      </c>
      <c r="M233" s="80">
        <v>0</v>
      </c>
      <c r="N233" s="80">
        <v>16285</v>
      </c>
    </row>
    <row r="234" spans="1:14">
      <c r="A234" s="74" t="s">
        <v>1321</v>
      </c>
      <c r="B234" s="75" t="s">
        <v>1333</v>
      </c>
      <c r="C234" s="76" t="s">
        <v>428</v>
      </c>
      <c r="D234" s="76" t="s">
        <v>135</v>
      </c>
      <c r="E234" s="76">
        <v>93332052</v>
      </c>
      <c r="F234" s="80">
        <v>5826.45</v>
      </c>
      <c r="G234" s="80">
        <v>0</v>
      </c>
      <c r="H234" s="81">
        <v>0</v>
      </c>
      <c r="I234" s="81">
        <v>0</v>
      </c>
      <c r="J234" s="81">
        <v>0</v>
      </c>
      <c r="K234" s="81">
        <v>1223.55</v>
      </c>
      <c r="L234" s="81">
        <v>0</v>
      </c>
      <c r="M234" s="80">
        <v>0</v>
      </c>
      <c r="N234" s="80">
        <v>7050</v>
      </c>
    </row>
    <row r="235" spans="1:14">
      <c r="A235" s="74" t="s">
        <v>1321</v>
      </c>
      <c r="B235" s="75" t="s">
        <v>1334</v>
      </c>
      <c r="C235" s="76" t="s">
        <v>426</v>
      </c>
      <c r="D235" s="76" t="s">
        <v>135</v>
      </c>
      <c r="E235" s="76">
        <v>24699538</v>
      </c>
      <c r="F235" s="80">
        <v>11570.25</v>
      </c>
      <c r="G235" s="80">
        <v>0</v>
      </c>
      <c r="H235" s="81">
        <v>0</v>
      </c>
      <c r="I235" s="81">
        <v>0</v>
      </c>
      <c r="J235" s="81">
        <v>0</v>
      </c>
      <c r="K235" s="81">
        <v>2429.75</v>
      </c>
      <c r="L235" s="81">
        <v>0</v>
      </c>
      <c r="M235" s="80">
        <v>0</v>
      </c>
      <c r="N235" s="80">
        <v>14000</v>
      </c>
    </row>
    <row r="236" spans="1:14">
      <c r="A236" s="74" t="s">
        <v>1321</v>
      </c>
      <c r="B236" s="75" t="s">
        <v>1335</v>
      </c>
      <c r="C236" s="76" t="s">
        <v>417</v>
      </c>
      <c r="D236" s="76" t="s">
        <v>135</v>
      </c>
      <c r="E236" s="76">
        <v>20008996</v>
      </c>
      <c r="F236" s="80">
        <v>16528.93</v>
      </c>
      <c r="G236" s="80">
        <v>0</v>
      </c>
      <c r="H236" s="81">
        <v>0</v>
      </c>
      <c r="I236" s="81">
        <v>0</v>
      </c>
      <c r="J236" s="81">
        <v>0</v>
      </c>
      <c r="K236" s="81">
        <v>3471.07</v>
      </c>
      <c r="L236" s="81">
        <v>0</v>
      </c>
      <c r="M236" s="80">
        <v>0</v>
      </c>
      <c r="N236" s="80">
        <v>20000</v>
      </c>
    </row>
    <row r="237" spans="1:14">
      <c r="A237" s="74" t="s">
        <v>1321</v>
      </c>
      <c r="B237" s="75" t="s">
        <v>1336</v>
      </c>
      <c r="C237" s="76" t="s">
        <v>388</v>
      </c>
      <c r="D237" s="76" t="s">
        <v>135</v>
      </c>
      <c r="E237" s="76">
        <v>14123802</v>
      </c>
      <c r="F237" s="80">
        <v>13223.14</v>
      </c>
      <c r="G237" s="80">
        <v>0</v>
      </c>
      <c r="H237" s="81">
        <v>0</v>
      </c>
      <c r="I237" s="81">
        <v>0</v>
      </c>
      <c r="J237" s="81">
        <v>0</v>
      </c>
      <c r="K237" s="81">
        <v>2776.86</v>
      </c>
      <c r="L237" s="81">
        <v>0</v>
      </c>
      <c r="M237" s="80">
        <v>0</v>
      </c>
      <c r="N237" s="80">
        <v>16000</v>
      </c>
    </row>
    <row r="238" spans="1:14">
      <c r="A238" s="74" t="s">
        <v>1321</v>
      </c>
      <c r="B238" s="75" t="s">
        <v>1337</v>
      </c>
      <c r="C238" s="76" t="s">
        <v>413</v>
      </c>
      <c r="D238" s="76" t="s">
        <v>135</v>
      </c>
      <c r="E238" s="76">
        <v>11172213</v>
      </c>
      <c r="F238" s="80">
        <v>28925.62</v>
      </c>
      <c r="G238" s="80">
        <v>0</v>
      </c>
      <c r="H238" s="81">
        <v>0</v>
      </c>
      <c r="I238" s="81">
        <v>0</v>
      </c>
      <c r="J238" s="81">
        <v>0</v>
      </c>
      <c r="K238" s="81">
        <v>6074.38</v>
      </c>
      <c r="L238" s="81">
        <v>0</v>
      </c>
      <c r="M238" s="80">
        <v>0</v>
      </c>
      <c r="N238" s="80">
        <v>35000</v>
      </c>
    </row>
    <row r="239" spans="1:14">
      <c r="A239" s="74" t="s">
        <v>1321</v>
      </c>
      <c r="B239" s="75" t="s">
        <v>1338</v>
      </c>
      <c r="C239" s="76" t="s">
        <v>457</v>
      </c>
      <c r="D239" s="76" t="s">
        <v>135</v>
      </c>
      <c r="E239" s="76">
        <v>20435515</v>
      </c>
      <c r="F239" s="80">
        <v>49586.78</v>
      </c>
      <c r="G239" s="80">
        <v>0</v>
      </c>
      <c r="H239" s="81">
        <v>0</v>
      </c>
      <c r="I239" s="81">
        <v>0</v>
      </c>
      <c r="J239" s="81">
        <v>0</v>
      </c>
      <c r="K239" s="81">
        <v>10413.219999999999</v>
      </c>
      <c r="L239" s="81">
        <v>0</v>
      </c>
      <c r="M239" s="80">
        <v>0</v>
      </c>
      <c r="N239" s="80">
        <v>60000</v>
      </c>
    </row>
    <row r="240" spans="1:14" hidden="1">
      <c r="A240" s="74" t="s">
        <v>1339</v>
      </c>
      <c r="B240" s="75" t="s">
        <v>1340</v>
      </c>
      <c r="C240" s="76" t="s">
        <v>134</v>
      </c>
      <c r="D240" s="76" t="s">
        <v>135</v>
      </c>
      <c r="E240" s="76" t="s">
        <v>136</v>
      </c>
      <c r="F240" s="80">
        <v>12561.98</v>
      </c>
      <c r="G240" s="80">
        <v>0</v>
      </c>
      <c r="H240" s="81">
        <v>0</v>
      </c>
      <c r="I240" s="81">
        <v>0</v>
      </c>
      <c r="J240" s="81">
        <v>0</v>
      </c>
      <c r="K240" s="81">
        <v>2638.02</v>
      </c>
      <c r="L240" s="81">
        <v>0</v>
      </c>
      <c r="M240" s="80">
        <v>0</v>
      </c>
      <c r="N240" s="80">
        <v>15200</v>
      </c>
    </row>
    <row r="241" spans="1:14" hidden="1">
      <c r="A241" s="74" t="s">
        <v>1339</v>
      </c>
      <c r="B241" s="75" t="s">
        <v>1341</v>
      </c>
      <c r="C241" s="76" t="s">
        <v>134</v>
      </c>
      <c r="D241" s="76" t="s">
        <v>135</v>
      </c>
      <c r="E241" s="76" t="s">
        <v>136</v>
      </c>
      <c r="F241" s="80">
        <v>21239.67</v>
      </c>
      <c r="G241" s="80">
        <v>0</v>
      </c>
      <c r="H241" s="81">
        <v>0</v>
      </c>
      <c r="I241" s="81">
        <v>0</v>
      </c>
      <c r="J241" s="81">
        <v>0</v>
      </c>
      <c r="K241" s="81">
        <v>4460.33</v>
      </c>
      <c r="L241" s="81">
        <v>0</v>
      </c>
      <c r="M241" s="80">
        <v>0</v>
      </c>
      <c r="N241" s="80">
        <v>25700</v>
      </c>
    </row>
    <row r="242" spans="1:14" hidden="1">
      <c r="A242" s="74" t="s">
        <v>1339</v>
      </c>
      <c r="B242" s="75" t="s">
        <v>1342</v>
      </c>
      <c r="C242" s="76" t="s">
        <v>134</v>
      </c>
      <c r="D242" s="76" t="s">
        <v>135</v>
      </c>
      <c r="E242" s="76" t="s">
        <v>136</v>
      </c>
      <c r="F242" s="80">
        <v>12975.21</v>
      </c>
      <c r="G242" s="80">
        <v>0</v>
      </c>
      <c r="H242" s="81">
        <v>0</v>
      </c>
      <c r="I242" s="81">
        <v>0</v>
      </c>
      <c r="J242" s="81">
        <v>0</v>
      </c>
      <c r="K242" s="81">
        <v>2724.79</v>
      </c>
      <c r="L242" s="81">
        <v>0</v>
      </c>
      <c r="M242" s="80">
        <v>0</v>
      </c>
      <c r="N242" s="80">
        <v>15700</v>
      </c>
    </row>
    <row r="243" spans="1:14" hidden="1">
      <c r="A243" s="74" t="s">
        <v>1339</v>
      </c>
      <c r="B243" s="75" t="s">
        <v>1343</v>
      </c>
      <c r="C243" s="76" t="s">
        <v>134</v>
      </c>
      <c r="D243" s="76" t="s">
        <v>135</v>
      </c>
      <c r="E243" s="76" t="s">
        <v>136</v>
      </c>
      <c r="F243" s="80">
        <v>29752.07</v>
      </c>
      <c r="G243" s="80">
        <v>0</v>
      </c>
      <c r="H243" s="81">
        <v>0</v>
      </c>
      <c r="I243" s="81">
        <v>0</v>
      </c>
      <c r="J243" s="81">
        <v>0</v>
      </c>
      <c r="K243" s="81">
        <v>6247.93</v>
      </c>
      <c r="L243" s="81">
        <v>0</v>
      </c>
      <c r="M243" s="80">
        <v>0</v>
      </c>
      <c r="N243" s="80">
        <v>36000</v>
      </c>
    </row>
    <row r="244" spans="1:14" hidden="1">
      <c r="A244" s="74" t="s">
        <v>1339</v>
      </c>
      <c r="B244" s="75" t="s">
        <v>1344</v>
      </c>
      <c r="C244" s="76" t="s">
        <v>134</v>
      </c>
      <c r="D244" s="76" t="s">
        <v>135</v>
      </c>
      <c r="E244" s="76" t="s">
        <v>136</v>
      </c>
      <c r="F244" s="80">
        <v>10743.8</v>
      </c>
      <c r="G244" s="80">
        <v>0</v>
      </c>
      <c r="H244" s="81">
        <v>0</v>
      </c>
      <c r="I244" s="81">
        <v>0</v>
      </c>
      <c r="J244" s="81">
        <v>0</v>
      </c>
      <c r="K244" s="81">
        <v>2256.2000000000003</v>
      </c>
      <c r="L244" s="81">
        <v>0</v>
      </c>
      <c r="M244" s="80">
        <v>0</v>
      </c>
      <c r="N244" s="80">
        <v>13000</v>
      </c>
    </row>
    <row r="245" spans="1:14" hidden="1">
      <c r="A245" s="74" t="s">
        <v>1339</v>
      </c>
      <c r="B245" s="75" t="s">
        <v>1345</v>
      </c>
      <c r="C245" s="76" t="s">
        <v>134</v>
      </c>
      <c r="D245" s="76" t="s">
        <v>135</v>
      </c>
      <c r="E245" s="76" t="s">
        <v>136</v>
      </c>
      <c r="F245" s="80">
        <v>10578.51</v>
      </c>
      <c r="G245" s="80">
        <v>0</v>
      </c>
      <c r="H245" s="81">
        <v>0</v>
      </c>
      <c r="I245" s="81">
        <v>0</v>
      </c>
      <c r="J245" s="81">
        <v>0</v>
      </c>
      <c r="K245" s="81">
        <v>2221.4900000000002</v>
      </c>
      <c r="L245" s="81">
        <v>0</v>
      </c>
      <c r="M245" s="80">
        <v>0</v>
      </c>
      <c r="N245" s="80">
        <v>12800</v>
      </c>
    </row>
    <row r="246" spans="1:14" hidden="1">
      <c r="A246" s="74" t="s">
        <v>1339</v>
      </c>
      <c r="B246" s="75" t="s">
        <v>1346</v>
      </c>
      <c r="C246" s="76" t="s">
        <v>134</v>
      </c>
      <c r="D246" s="76" t="s">
        <v>135</v>
      </c>
      <c r="E246" s="76" t="s">
        <v>136</v>
      </c>
      <c r="F246" s="80">
        <v>12231.4</v>
      </c>
      <c r="G246" s="80">
        <v>0</v>
      </c>
      <c r="H246" s="81">
        <v>0</v>
      </c>
      <c r="I246" s="81">
        <v>0</v>
      </c>
      <c r="J246" s="81">
        <v>0</v>
      </c>
      <c r="K246" s="81">
        <v>2568.6</v>
      </c>
      <c r="L246" s="81">
        <v>0</v>
      </c>
      <c r="M246" s="80">
        <v>0</v>
      </c>
      <c r="N246" s="80">
        <v>14800</v>
      </c>
    </row>
    <row r="247" spans="1:14" hidden="1">
      <c r="A247" s="74" t="s">
        <v>1339</v>
      </c>
      <c r="B247" s="75" t="s">
        <v>1347</v>
      </c>
      <c r="C247" s="76" t="s">
        <v>134</v>
      </c>
      <c r="D247" s="76" t="s">
        <v>135</v>
      </c>
      <c r="E247" s="76" t="s">
        <v>136</v>
      </c>
      <c r="F247" s="80">
        <v>10330.58</v>
      </c>
      <c r="G247" s="80">
        <v>0</v>
      </c>
      <c r="H247" s="81">
        <v>0</v>
      </c>
      <c r="I247" s="81">
        <v>0</v>
      </c>
      <c r="J247" s="81">
        <v>0</v>
      </c>
      <c r="K247" s="81">
        <v>2169.42</v>
      </c>
      <c r="L247" s="81">
        <v>0</v>
      </c>
      <c r="M247" s="80">
        <v>0</v>
      </c>
      <c r="N247" s="80">
        <v>12500</v>
      </c>
    </row>
    <row r="248" spans="1:14" hidden="1">
      <c r="A248" s="74" t="s">
        <v>1339</v>
      </c>
      <c r="B248" s="75" t="s">
        <v>1348</v>
      </c>
      <c r="C248" s="76" t="s">
        <v>134</v>
      </c>
      <c r="D248" s="76" t="s">
        <v>135</v>
      </c>
      <c r="E248" s="76" t="s">
        <v>136</v>
      </c>
      <c r="F248" s="80">
        <v>15082.64</v>
      </c>
      <c r="G248" s="80">
        <v>0</v>
      </c>
      <c r="H248" s="81">
        <v>0</v>
      </c>
      <c r="I248" s="81">
        <v>0</v>
      </c>
      <c r="J248" s="81">
        <v>0</v>
      </c>
      <c r="K248" s="81">
        <v>3167.36</v>
      </c>
      <c r="L248" s="81">
        <v>0</v>
      </c>
      <c r="M248" s="80">
        <v>0</v>
      </c>
      <c r="N248" s="80">
        <v>18250</v>
      </c>
    </row>
    <row r="249" spans="1:14" hidden="1">
      <c r="A249" s="74" t="s">
        <v>1339</v>
      </c>
      <c r="B249" s="75" t="s">
        <v>1349</v>
      </c>
      <c r="C249" s="76" t="s">
        <v>134</v>
      </c>
      <c r="D249" s="76" t="s">
        <v>135</v>
      </c>
      <c r="E249" s="76" t="s">
        <v>136</v>
      </c>
      <c r="F249" s="80">
        <v>15041.32</v>
      </c>
      <c r="G249" s="80">
        <v>0</v>
      </c>
      <c r="H249" s="81">
        <v>0</v>
      </c>
      <c r="I249" s="81">
        <v>0</v>
      </c>
      <c r="J249" s="81">
        <v>0</v>
      </c>
      <c r="K249" s="81">
        <v>3158.68</v>
      </c>
      <c r="L249" s="81">
        <v>0</v>
      </c>
      <c r="M249" s="80">
        <v>0</v>
      </c>
      <c r="N249" s="80">
        <v>18200</v>
      </c>
    </row>
    <row r="250" spans="1:14">
      <c r="A250" s="74" t="s">
        <v>1339</v>
      </c>
      <c r="B250" s="75" t="s">
        <v>1350</v>
      </c>
      <c r="C250" s="76" t="s">
        <v>36</v>
      </c>
      <c r="D250" s="76" t="s">
        <v>19</v>
      </c>
      <c r="E250" s="76">
        <v>30683032227</v>
      </c>
      <c r="F250" s="80">
        <v>11074380.17</v>
      </c>
      <c r="G250" s="80">
        <v>0</v>
      </c>
      <c r="H250" s="81">
        <v>0</v>
      </c>
      <c r="I250" s="81">
        <v>0</v>
      </c>
      <c r="J250" s="81">
        <v>0</v>
      </c>
      <c r="K250" s="81">
        <v>2325619.83</v>
      </c>
      <c r="L250" s="81">
        <v>0</v>
      </c>
      <c r="M250" s="80">
        <v>0</v>
      </c>
      <c r="N250" s="80">
        <v>13400000</v>
      </c>
    </row>
    <row r="251" spans="1:14">
      <c r="A251" s="74" t="s">
        <v>1339</v>
      </c>
      <c r="B251" s="75" t="s">
        <v>1351</v>
      </c>
      <c r="C251" s="76" t="s">
        <v>25</v>
      </c>
      <c r="D251" s="76" t="s">
        <v>19</v>
      </c>
      <c r="E251" s="76">
        <v>30522428163</v>
      </c>
      <c r="F251" s="80">
        <v>15633388.43</v>
      </c>
      <c r="G251" s="80">
        <v>0</v>
      </c>
      <c r="H251" s="81">
        <v>0</v>
      </c>
      <c r="I251" s="81">
        <v>0</v>
      </c>
      <c r="J251" s="81">
        <v>0</v>
      </c>
      <c r="K251" s="81">
        <v>3283011.57</v>
      </c>
      <c r="L251" s="81">
        <v>0</v>
      </c>
      <c r="M251" s="80">
        <v>0</v>
      </c>
      <c r="N251" s="80">
        <v>18916400</v>
      </c>
    </row>
    <row r="252" spans="1:14">
      <c r="A252" s="74" t="s">
        <v>1339</v>
      </c>
      <c r="B252" s="75" t="s">
        <v>1352</v>
      </c>
      <c r="C252" s="76" t="s">
        <v>108</v>
      </c>
      <c r="D252" s="76" t="s">
        <v>19</v>
      </c>
      <c r="E252" s="76">
        <v>20223256393</v>
      </c>
      <c r="F252" s="80">
        <v>16528.93</v>
      </c>
      <c r="G252" s="80">
        <v>0</v>
      </c>
      <c r="H252" s="81">
        <v>0</v>
      </c>
      <c r="I252" s="81">
        <v>0</v>
      </c>
      <c r="J252" s="81">
        <v>0</v>
      </c>
      <c r="K252" s="81">
        <v>3471.07</v>
      </c>
      <c r="L252" s="81">
        <v>0</v>
      </c>
      <c r="M252" s="80">
        <v>0</v>
      </c>
      <c r="N252" s="80">
        <v>20000</v>
      </c>
    </row>
    <row r="253" spans="1:14">
      <c r="A253" s="74" t="s">
        <v>1339</v>
      </c>
      <c r="B253" s="75" t="s">
        <v>1353</v>
      </c>
      <c r="C253" s="76" t="s">
        <v>481</v>
      </c>
      <c r="D253" s="76" t="s">
        <v>135</v>
      </c>
      <c r="E253" s="76">
        <v>8607637</v>
      </c>
      <c r="F253" s="80">
        <v>33305.79</v>
      </c>
      <c r="G253" s="80">
        <v>0</v>
      </c>
      <c r="H253" s="81">
        <v>0</v>
      </c>
      <c r="I253" s="81">
        <v>0</v>
      </c>
      <c r="J253" s="81">
        <v>0</v>
      </c>
      <c r="K253" s="81">
        <v>6994.21</v>
      </c>
      <c r="L253" s="81">
        <v>0</v>
      </c>
      <c r="M253" s="80">
        <v>0</v>
      </c>
      <c r="N253" s="80">
        <v>40300</v>
      </c>
    </row>
    <row r="254" spans="1:14">
      <c r="A254" s="74" t="s">
        <v>1339</v>
      </c>
      <c r="B254" s="75" t="s">
        <v>1354</v>
      </c>
      <c r="C254" s="76" t="s">
        <v>430</v>
      </c>
      <c r="D254" s="76" t="s">
        <v>135</v>
      </c>
      <c r="E254" s="76">
        <v>22608522</v>
      </c>
      <c r="F254" s="80">
        <v>10743.8</v>
      </c>
      <c r="G254" s="80">
        <v>0</v>
      </c>
      <c r="H254" s="81">
        <v>0</v>
      </c>
      <c r="I254" s="81">
        <v>0</v>
      </c>
      <c r="J254" s="81">
        <v>0</v>
      </c>
      <c r="K254" s="81">
        <v>2256.2000000000003</v>
      </c>
      <c r="L254" s="81">
        <v>0</v>
      </c>
      <c r="M254" s="80">
        <v>0</v>
      </c>
      <c r="N254" s="80">
        <v>13000</v>
      </c>
    </row>
    <row r="255" spans="1:14">
      <c r="A255" s="74" t="s">
        <v>1339</v>
      </c>
      <c r="B255" s="75" t="s">
        <v>1355</v>
      </c>
      <c r="C255" s="76" t="s">
        <v>1356</v>
      </c>
      <c r="D255" s="76" t="s">
        <v>135</v>
      </c>
      <c r="E255" s="76">
        <v>24424763</v>
      </c>
      <c r="F255" s="80">
        <v>11487.6</v>
      </c>
      <c r="G255" s="80">
        <v>0</v>
      </c>
      <c r="H255" s="81">
        <v>0</v>
      </c>
      <c r="I255" s="81">
        <v>0</v>
      </c>
      <c r="J255" s="81">
        <v>0</v>
      </c>
      <c r="K255" s="81">
        <v>2412.4</v>
      </c>
      <c r="L255" s="81">
        <v>0</v>
      </c>
      <c r="M255" s="80">
        <v>0</v>
      </c>
      <c r="N255" s="80">
        <v>13900</v>
      </c>
    </row>
    <row r="256" spans="1:14">
      <c r="A256" s="74" t="s">
        <v>1339</v>
      </c>
      <c r="B256" s="75" t="s">
        <v>1357</v>
      </c>
      <c r="C256" s="76" t="s">
        <v>735</v>
      </c>
      <c r="D256" s="76" t="s">
        <v>135</v>
      </c>
      <c r="E256" s="76" t="s">
        <v>136</v>
      </c>
      <c r="F256" s="80">
        <v>29752.07</v>
      </c>
      <c r="G256" s="80">
        <v>0</v>
      </c>
      <c r="H256" s="81">
        <v>0</v>
      </c>
      <c r="I256" s="81">
        <v>0</v>
      </c>
      <c r="J256" s="81">
        <v>0</v>
      </c>
      <c r="K256" s="81">
        <v>6247.93</v>
      </c>
      <c r="L256" s="81">
        <v>0</v>
      </c>
      <c r="M256" s="80">
        <v>0</v>
      </c>
      <c r="N256" s="80">
        <v>36000</v>
      </c>
    </row>
    <row r="257" spans="1:14" hidden="1">
      <c r="A257" s="74" t="s">
        <v>1358</v>
      </c>
      <c r="B257" s="75" t="s">
        <v>1359</v>
      </c>
      <c r="C257" s="76" t="s">
        <v>134</v>
      </c>
      <c r="D257" s="76" t="s">
        <v>135</v>
      </c>
      <c r="E257" s="76" t="s">
        <v>136</v>
      </c>
      <c r="F257" s="80">
        <v>23471.07</v>
      </c>
      <c r="G257" s="80">
        <v>0</v>
      </c>
      <c r="H257" s="81">
        <v>0</v>
      </c>
      <c r="I257" s="81">
        <v>0</v>
      </c>
      <c r="J257" s="81">
        <v>0</v>
      </c>
      <c r="K257" s="81">
        <v>4928.93</v>
      </c>
      <c r="L257" s="81">
        <v>0</v>
      </c>
      <c r="M257" s="80">
        <v>0</v>
      </c>
      <c r="N257" s="80">
        <v>28400</v>
      </c>
    </row>
    <row r="258" spans="1:14" hidden="1">
      <c r="A258" s="74" t="s">
        <v>1358</v>
      </c>
      <c r="B258" s="75" t="s">
        <v>1360</v>
      </c>
      <c r="C258" s="76" t="s">
        <v>134</v>
      </c>
      <c r="D258" s="76" t="s">
        <v>135</v>
      </c>
      <c r="E258" s="76" t="s">
        <v>136</v>
      </c>
      <c r="F258" s="80">
        <v>21239.67</v>
      </c>
      <c r="G258" s="80">
        <v>0</v>
      </c>
      <c r="H258" s="81">
        <v>0</v>
      </c>
      <c r="I258" s="81">
        <v>0</v>
      </c>
      <c r="J258" s="81">
        <v>0</v>
      </c>
      <c r="K258" s="81">
        <v>4460.33</v>
      </c>
      <c r="L258" s="81">
        <v>0</v>
      </c>
      <c r="M258" s="80">
        <v>0</v>
      </c>
      <c r="N258" s="80">
        <v>25700</v>
      </c>
    </row>
    <row r="259" spans="1:14" hidden="1">
      <c r="A259" s="74" t="s">
        <v>1358</v>
      </c>
      <c r="B259" s="75" t="s">
        <v>1361</v>
      </c>
      <c r="C259" s="76" t="s">
        <v>134</v>
      </c>
      <c r="D259" s="76" t="s">
        <v>135</v>
      </c>
      <c r="E259" s="76" t="s">
        <v>136</v>
      </c>
      <c r="F259" s="80">
        <v>14049.59</v>
      </c>
      <c r="G259" s="80">
        <v>0</v>
      </c>
      <c r="H259" s="81">
        <v>0</v>
      </c>
      <c r="I259" s="81">
        <v>0</v>
      </c>
      <c r="J259" s="81">
        <v>0</v>
      </c>
      <c r="K259" s="81">
        <v>2950.41</v>
      </c>
      <c r="L259" s="81">
        <v>0</v>
      </c>
      <c r="M259" s="80">
        <v>0</v>
      </c>
      <c r="N259" s="80">
        <v>17000</v>
      </c>
    </row>
    <row r="260" spans="1:14" hidden="1">
      <c r="A260" s="74" t="s">
        <v>1358</v>
      </c>
      <c r="B260" s="75" t="s">
        <v>1362</v>
      </c>
      <c r="C260" s="76" t="s">
        <v>134</v>
      </c>
      <c r="D260" s="76" t="s">
        <v>135</v>
      </c>
      <c r="E260" s="76" t="s">
        <v>136</v>
      </c>
      <c r="F260" s="80">
        <v>14876.03</v>
      </c>
      <c r="G260" s="80">
        <v>0</v>
      </c>
      <c r="H260" s="81">
        <v>0</v>
      </c>
      <c r="I260" s="81">
        <v>0</v>
      </c>
      <c r="J260" s="81">
        <v>0</v>
      </c>
      <c r="K260" s="81">
        <v>3123.97</v>
      </c>
      <c r="L260" s="81">
        <v>0</v>
      </c>
      <c r="M260" s="80">
        <v>0</v>
      </c>
      <c r="N260" s="80">
        <v>18000</v>
      </c>
    </row>
    <row r="261" spans="1:14">
      <c r="A261" s="74" t="s">
        <v>1358</v>
      </c>
      <c r="B261" s="75" t="s">
        <v>1363</v>
      </c>
      <c r="C261" s="76" t="s">
        <v>1364</v>
      </c>
      <c r="D261" s="76" t="s">
        <v>135</v>
      </c>
      <c r="E261" s="76">
        <v>28057873</v>
      </c>
      <c r="F261" s="80">
        <v>685950.41</v>
      </c>
      <c r="G261" s="80">
        <v>0</v>
      </c>
      <c r="H261" s="81">
        <v>0</v>
      </c>
      <c r="I261" s="81">
        <v>0</v>
      </c>
      <c r="J261" s="81">
        <v>0</v>
      </c>
      <c r="K261" s="81">
        <v>144049.59</v>
      </c>
      <c r="L261" s="81">
        <v>0</v>
      </c>
      <c r="M261" s="80">
        <v>0</v>
      </c>
      <c r="N261" s="80">
        <v>830000</v>
      </c>
    </row>
    <row r="262" spans="1:14" hidden="1">
      <c r="A262" s="74" t="s">
        <v>1358</v>
      </c>
      <c r="B262" s="75" t="s">
        <v>1365</v>
      </c>
      <c r="C262" s="76" t="s">
        <v>134</v>
      </c>
      <c r="D262" s="76" t="s">
        <v>135</v>
      </c>
      <c r="E262" s="76" t="s">
        <v>136</v>
      </c>
      <c r="F262" s="80">
        <v>34545.449999999997</v>
      </c>
      <c r="G262" s="80">
        <v>0</v>
      </c>
      <c r="H262" s="81">
        <v>0</v>
      </c>
      <c r="I262" s="81">
        <v>0</v>
      </c>
      <c r="J262" s="81">
        <v>0</v>
      </c>
      <c r="K262" s="81">
        <v>7254.55</v>
      </c>
      <c r="L262" s="81">
        <v>0</v>
      </c>
      <c r="M262" s="80">
        <v>0</v>
      </c>
      <c r="N262" s="80">
        <v>41800</v>
      </c>
    </row>
    <row r="263" spans="1:14" hidden="1">
      <c r="A263" s="74" t="s">
        <v>1358</v>
      </c>
      <c r="B263" s="75" t="s">
        <v>1366</v>
      </c>
      <c r="C263" s="76" t="s">
        <v>134</v>
      </c>
      <c r="D263" s="76" t="s">
        <v>135</v>
      </c>
      <c r="E263" s="76" t="s">
        <v>136</v>
      </c>
      <c r="F263" s="80">
        <v>7024.79</v>
      </c>
      <c r="G263" s="80">
        <v>0</v>
      </c>
      <c r="H263" s="81">
        <v>0</v>
      </c>
      <c r="I263" s="81">
        <v>0</v>
      </c>
      <c r="J263" s="81">
        <v>0</v>
      </c>
      <c r="K263" s="81">
        <v>1475.21</v>
      </c>
      <c r="L263" s="81">
        <v>0</v>
      </c>
      <c r="M263" s="80">
        <v>0</v>
      </c>
      <c r="N263" s="80">
        <v>8500</v>
      </c>
    </row>
    <row r="264" spans="1:14" hidden="1">
      <c r="A264" s="74" t="s">
        <v>1358</v>
      </c>
      <c r="B264" s="75" t="s">
        <v>1367</v>
      </c>
      <c r="C264" s="76" t="s">
        <v>134</v>
      </c>
      <c r="D264" s="76" t="s">
        <v>135</v>
      </c>
      <c r="E264" s="76" t="s">
        <v>136</v>
      </c>
      <c r="F264" s="80">
        <v>14462.81</v>
      </c>
      <c r="G264" s="80">
        <v>0</v>
      </c>
      <c r="H264" s="81">
        <v>0</v>
      </c>
      <c r="I264" s="81">
        <v>0</v>
      </c>
      <c r="J264" s="81">
        <v>0</v>
      </c>
      <c r="K264" s="81">
        <v>3037.19</v>
      </c>
      <c r="L264" s="81">
        <v>0</v>
      </c>
      <c r="M264" s="80">
        <v>0</v>
      </c>
      <c r="N264" s="80">
        <v>17500</v>
      </c>
    </row>
    <row r="265" spans="1:14" hidden="1">
      <c r="A265" s="74" t="s">
        <v>1358</v>
      </c>
      <c r="B265" s="75" t="s">
        <v>1368</v>
      </c>
      <c r="C265" s="76" t="s">
        <v>134</v>
      </c>
      <c r="D265" s="76" t="s">
        <v>135</v>
      </c>
      <c r="E265" s="76" t="s">
        <v>136</v>
      </c>
      <c r="F265" s="80">
        <v>14669.42</v>
      </c>
      <c r="G265" s="80">
        <v>0</v>
      </c>
      <c r="H265" s="81">
        <v>0</v>
      </c>
      <c r="I265" s="81">
        <v>0</v>
      </c>
      <c r="J265" s="81">
        <v>0</v>
      </c>
      <c r="K265" s="81">
        <v>3080.58</v>
      </c>
      <c r="L265" s="81">
        <v>0</v>
      </c>
      <c r="M265" s="80">
        <v>0</v>
      </c>
      <c r="N265" s="80">
        <v>17750</v>
      </c>
    </row>
    <row r="266" spans="1:14">
      <c r="A266" s="74" t="s">
        <v>1358</v>
      </c>
      <c r="B266" s="75" t="s">
        <v>1369</v>
      </c>
      <c r="C266" s="76" t="s">
        <v>1370</v>
      </c>
      <c r="D266" s="76" t="s">
        <v>135</v>
      </c>
      <c r="E266" s="76">
        <v>57338274</v>
      </c>
      <c r="F266" s="80">
        <v>14669.42</v>
      </c>
      <c r="G266" s="80">
        <v>0</v>
      </c>
      <c r="H266" s="81">
        <v>0</v>
      </c>
      <c r="I266" s="81">
        <v>0</v>
      </c>
      <c r="J266" s="81">
        <v>0</v>
      </c>
      <c r="K266" s="81">
        <v>3080.58</v>
      </c>
      <c r="L266" s="81">
        <v>0</v>
      </c>
      <c r="M266" s="80">
        <v>0</v>
      </c>
      <c r="N266" s="80">
        <v>17750</v>
      </c>
    </row>
    <row r="267" spans="1:14">
      <c r="A267" s="74" t="s">
        <v>1358</v>
      </c>
      <c r="B267" s="75" t="s">
        <v>1371</v>
      </c>
      <c r="C267" s="76" t="s">
        <v>445</v>
      </c>
      <c r="D267" s="76" t="s">
        <v>135</v>
      </c>
      <c r="E267" s="76">
        <v>25864351</v>
      </c>
      <c r="F267" s="80">
        <v>16528.93</v>
      </c>
      <c r="G267" s="80">
        <v>0</v>
      </c>
      <c r="H267" s="81">
        <v>0</v>
      </c>
      <c r="I267" s="81">
        <v>0</v>
      </c>
      <c r="J267" s="81">
        <v>0</v>
      </c>
      <c r="K267" s="81">
        <v>3471.07</v>
      </c>
      <c r="L267" s="81">
        <v>0</v>
      </c>
      <c r="M267" s="80">
        <v>0</v>
      </c>
      <c r="N267" s="80">
        <v>20000</v>
      </c>
    </row>
    <row r="268" spans="1:14">
      <c r="A268" s="74" t="s">
        <v>1358</v>
      </c>
      <c r="B268" s="75" t="s">
        <v>1372</v>
      </c>
      <c r="C268" s="76" t="s">
        <v>408</v>
      </c>
      <c r="D268" s="76" t="s">
        <v>135</v>
      </c>
      <c r="E268" s="76">
        <v>2719694</v>
      </c>
      <c r="F268" s="80">
        <v>5826.45</v>
      </c>
      <c r="G268" s="80">
        <v>0</v>
      </c>
      <c r="H268" s="81">
        <v>0</v>
      </c>
      <c r="I268" s="81">
        <v>0</v>
      </c>
      <c r="J268" s="81">
        <v>0</v>
      </c>
      <c r="K268" s="81">
        <v>1223.55</v>
      </c>
      <c r="L268" s="81">
        <v>0</v>
      </c>
      <c r="M268" s="80">
        <v>0</v>
      </c>
      <c r="N268" s="80">
        <v>7050</v>
      </c>
    </row>
    <row r="269" spans="1:14" hidden="1">
      <c r="A269" s="74" t="s">
        <v>1373</v>
      </c>
      <c r="B269" s="75" t="s">
        <v>1374</v>
      </c>
      <c r="C269" s="76" t="s">
        <v>134</v>
      </c>
      <c r="D269" s="76" t="s">
        <v>135</v>
      </c>
      <c r="E269" s="76" t="s">
        <v>136</v>
      </c>
      <c r="F269" s="80">
        <v>14876.03</v>
      </c>
      <c r="G269" s="80">
        <v>0</v>
      </c>
      <c r="H269" s="81">
        <v>0</v>
      </c>
      <c r="I269" s="81">
        <v>0</v>
      </c>
      <c r="J269" s="81">
        <v>0</v>
      </c>
      <c r="K269" s="81">
        <v>3123.97</v>
      </c>
      <c r="L269" s="81">
        <v>0</v>
      </c>
      <c r="M269" s="80">
        <v>0</v>
      </c>
      <c r="N269" s="80">
        <v>18000</v>
      </c>
    </row>
    <row r="270" spans="1:14" hidden="1">
      <c r="A270" s="74" t="s">
        <v>1373</v>
      </c>
      <c r="B270" s="75" t="s">
        <v>1375</v>
      </c>
      <c r="C270" s="76" t="s">
        <v>134</v>
      </c>
      <c r="D270" s="76" t="s">
        <v>135</v>
      </c>
      <c r="E270" s="76" t="s">
        <v>136</v>
      </c>
      <c r="F270" s="80">
        <v>25000</v>
      </c>
      <c r="G270" s="80">
        <v>0</v>
      </c>
      <c r="H270" s="81">
        <v>0</v>
      </c>
      <c r="I270" s="81">
        <v>0</v>
      </c>
      <c r="J270" s="81">
        <v>0</v>
      </c>
      <c r="K270" s="81">
        <v>5250</v>
      </c>
      <c r="L270" s="81">
        <v>0</v>
      </c>
      <c r="M270" s="80">
        <v>0</v>
      </c>
      <c r="N270" s="80">
        <v>30250</v>
      </c>
    </row>
    <row r="271" spans="1:14" hidden="1">
      <c r="A271" s="74" t="s">
        <v>1373</v>
      </c>
      <c r="B271" s="75" t="s">
        <v>1376</v>
      </c>
      <c r="C271" s="76" t="s">
        <v>134</v>
      </c>
      <c r="D271" s="76" t="s">
        <v>135</v>
      </c>
      <c r="E271" s="76" t="s">
        <v>136</v>
      </c>
      <c r="F271" s="80">
        <v>11404.96</v>
      </c>
      <c r="G271" s="80">
        <v>0</v>
      </c>
      <c r="H271" s="81">
        <v>0</v>
      </c>
      <c r="I271" s="81">
        <v>0</v>
      </c>
      <c r="J271" s="81">
        <v>0</v>
      </c>
      <c r="K271" s="81">
        <v>2395.04</v>
      </c>
      <c r="L271" s="81">
        <v>0</v>
      </c>
      <c r="M271" s="80">
        <v>0</v>
      </c>
      <c r="N271" s="80">
        <v>13800</v>
      </c>
    </row>
    <row r="272" spans="1:14" hidden="1">
      <c r="A272" s="74" t="s">
        <v>1373</v>
      </c>
      <c r="B272" s="75" t="s">
        <v>1377</v>
      </c>
      <c r="C272" s="76" t="s">
        <v>134</v>
      </c>
      <c r="D272" s="76" t="s">
        <v>135</v>
      </c>
      <c r="E272" s="76" t="s">
        <v>136</v>
      </c>
      <c r="F272" s="80">
        <v>14669.42</v>
      </c>
      <c r="G272" s="80">
        <v>0</v>
      </c>
      <c r="H272" s="81">
        <v>0</v>
      </c>
      <c r="I272" s="81">
        <v>0</v>
      </c>
      <c r="J272" s="81">
        <v>0</v>
      </c>
      <c r="K272" s="81">
        <v>3080.58</v>
      </c>
      <c r="L272" s="81">
        <v>0</v>
      </c>
      <c r="M272" s="80">
        <v>0</v>
      </c>
      <c r="N272" s="80">
        <v>17750</v>
      </c>
    </row>
    <row r="273" spans="1:14" hidden="1">
      <c r="A273" s="74" t="s">
        <v>1373</v>
      </c>
      <c r="B273" s="75" t="s">
        <v>1378</v>
      </c>
      <c r="C273" s="76" t="s">
        <v>134</v>
      </c>
      <c r="D273" s="76" t="s">
        <v>135</v>
      </c>
      <c r="E273" s="76" t="s">
        <v>136</v>
      </c>
      <c r="F273" s="80">
        <v>5537.19</v>
      </c>
      <c r="G273" s="80">
        <v>0</v>
      </c>
      <c r="H273" s="81">
        <v>0</v>
      </c>
      <c r="I273" s="81">
        <v>0</v>
      </c>
      <c r="J273" s="81">
        <v>0</v>
      </c>
      <c r="K273" s="81">
        <v>1162.81</v>
      </c>
      <c r="L273" s="81">
        <v>0</v>
      </c>
      <c r="M273" s="80">
        <v>0</v>
      </c>
      <c r="N273" s="80">
        <v>6700</v>
      </c>
    </row>
    <row r="274" spans="1:14" hidden="1">
      <c r="A274" s="74" t="s">
        <v>1373</v>
      </c>
      <c r="B274" s="75" t="s">
        <v>1379</v>
      </c>
      <c r="C274" s="76" t="s">
        <v>134</v>
      </c>
      <c r="D274" s="76" t="s">
        <v>135</v>
      </c>
      <c r="E274" s="76" t="s">
        <v>136</v>
      </c>
      <c r="F274" s="80">
        <v>10247.93</v>
      </c>
      <c r="G274" s="80">
        <v>0</v>
      </c>
      <c r="H274" s="81">
        <v>0</v>
      </c>
      <c r="I274" s="81">
        <v>0</v>
      </c>
      <c r="J274" s="81">
        <v>0</v>
      </c>
      <c r="K274" s="81">
        <v>2152.0700000000002</v>
      </c>
      <c r="L274" s="81">
        <v>0</v>
      </c>
      <c r="M274" s="80">
        <v>0</v>
      </c>
      <c r="N274" s="80">
        <v>12400</v>
      </c>
    </row>
    <row r="275" spans="1:14" hidden="1">
      <c r="A275" s="74" t="s">
        <v>1373</v>
      </c>
      <c r="B275" s="75" t="s">
        <v>1380</v>
      </c>
      <c r="C275" s="76" t="s">
        <v>134</v>
      </c>
      <c r="D275" s="76" t="s">
        <v>135</v>
      </c>
      <c r="E275" s="76" t="s">
        <v>136</v>
      </c>
      <c r="F275" s="80">
        <v>10743.8</v>
      </c>
      <c r="G275" s="80">
        <v>0</v>
      </c>
      <c r="H275" s="81">
        <v>0</v>
      </c>
      <c r="I275" s="81">
        <v>0</v>
      </c>
      <c r="J275" s="81">
        <v>0</v>
      </c>
      <c r="K275" s="81">
        <v>2256.2000000000003</v>
      </c>
      <c r="L275" s="81">
        <v>0</v>
      </c>
      <c r="M275" s="80">
        <v>0</v>
      </c>
      <c r="N275" s="80">
        <v>13000</v>
      </c>
    </row>
    <row r="276" spans="1:14" hidden="1">
      <c r="A276" s="74" t="s">
        <v>1373</v>
      </c>
      <c r="B276" s="75" t="s">
        <v>1381</v>
      </c>
      <c r="C276" s="76" t="s">
        <v>134</v>
      </c>
      <c r="D276" s="76" t="s">
        <v>135</v>
      </c>
      <c r="E276" s="76" t="s">
        <v>136</v>
      </c>
      <c r="F276" s="80">
        <v>33884.300000000003</v>
      </c>
      <c r="G276" s="80">
        <v>0</v>
      </c>
      <c r="H276" s="81">
        <v>0</v>
      </c>
      <c r="I276" s="81">
        <v>0</v>
      </c>
      <c r="J276" s="81">
        <v>0</v>
      </c>
      <c r="K276" s="81">
        <v>7115.7</v>
      </c>
      <c r="L276" s="81">
        <v>0</v>
      </c>
      <c r="M276" s="80">
        <v>0</v>
      </c>
      <c r="N276" s="80">
        <v>41000</v>
      </c>
    </row>
    <row r="277" spans="1:14" hidden="1">
      <c r="A277" s="74" t="s">
        <v>1373</v>
      </c>
      <c r="B277" s="75" t="s">
        <v>1382</v>
      </c>
      <c r="C277" s="76" t="s">
        <v>134</v>
      </c>
      <c r="D277" s="76" t="s">
        <v>135</v>
      </c>
      <c r="E277" s="76" t="s">
        <v>136</v>
      </c>
      <c r="F277" s="80">
        <v>66115.7</v>
      </c>
      <c r="G277" s="80">
        <v>0</v>
      </c>
      <c r="H277" s="81">
        <v>0</v>
      </c>
      <c r="I277" s="81">
        <v>0</v>
      </c>
      <c r="J277" s="81">
        <v>0</v>
      </c>
      <c r="K277" s="81">
        <v>13884.3</v>
      </c>
      <c r="L277" s="81">
        <v>0</v>
      </c>
      <c r="M277" s="80">
        <v>0</v>
      </c>
      <c r="N277" s="80">
        <v>80000</v>
      </c>
    </row>
    <row r="278" spans="1:14" hidden="1">
      <c r="A278" s="74" t="s">
        <v>1373</v>
      </c>
      <c r="B278" s="75" t="s">
        <v>1383</v>
      </c>
      <c r="C278" s="76" t="s">
        <v>134</v>
      </c>
      <c r="D278" s="76" t="s">
        <v>135</v>
      </c>
      <c r="E278" s="76" t="s">
        <v>136</v>
      </c>
      <c r="F278" s="80">
        <v>66115.7</v>
      </c>
      <c r="G278" s="80">
        <v>0</v>
      </c>
      <c r="H278" s="81">
        <v>0</v>
      </c>
      <c r="I278" s="81">
        <v>0</v>
      </c>
      <c r="J278" s="81">
        <v>0</v>
      </c>
      <c r="K278" s="81">
        <v>13884.3</v>
      </c>
      <c r="L278" s="81">
        <v>0</v>
      </c>
      <c r="M278" s="80">
        <v>0</v>
      </c>
      <c r="N278" s="80">
        <v>80000</v>
      </c>
    </row>
    <row r="279" spans="1:14">
      <c r="A279" s="74" t="s">
        <v>1373</v>
      </c>
      <c r="B279" s="75" t="s">
        <v>1384</v>
      </c>
      <c r="C279" s="76" t="s">
        <v>25</v>
      </c>
      <c r="D279" s="76" t="s">
        <v>19</v>
      </c>
      <c r="E279" s="76">
        <v>30522428163</v>
      </c>
      <c r="F279" s="80">
        <v>127024.79</v>
      </c>
      <c r="G279" s="80">
        <v>0</v>
      </c>
      <c r="H279" s="81">
        <v>0</v>
      </c>
      <c r="I279" s="81">
        <v>0</v>
      </c>
      <c r="J279" s="81">
        <v>0</v>
      </c>
      <c r="K279" s="81">
        <v>26675.21</v>
      </c>
      <c r="L279" s="81">
        <v>0</v>
      </c>
      <c r="M279" s="80">
        <v>0</v>
      </c>
      <c r="N279" s="80">
        <v>153700</v>
      </c>
    </row>
    <row r="280" spans="1:14">
      <c r="A280" s="74" t="s">
        <v>1373</v>
      </c>
      <c r="B280" s="75" t="s">
        <v>1385</v>
      </c>
      <c r="C280" s="76" t="s">
        <v>25</v>
      </c>
      <c r="D280" s="76" t="s">
        <v>19</v>
      </c>
      <c r="E280" s="76">
        <v>30522428163</v>
      </c>
      <c r="F280" s="80">
        <v>100473.55</v>
      </c>
      <c r="G280" s="80">
        <v>0</v>
      </c>
      <c r="H280" s="81">
        <v>0</v>
      </c>
      <c r="I280" s="81">
        <v>0</v>
      </c>
      <c r="J280" s="81">
        <v>0</v>
      </c>
      <c r="K280" s="81">
        <v>21099.45</v>
      </c>
      <c r="L280" s="81">
        <v>0</v>
      </c>
      <c r="M280" s="80">
        <v>0</v>
      </c>
      <c r="N280" s="80">
        <v>121573</v>
      </c>
    </row>
    <row r="281" spans="1:14">
      <c r="A281" s="74" t="s">
        <v>1373</v>
      </c>
      <c r="B281" s="75" t="s">
        <v>1386</v>
      </c>
      <c r="C281" s="76" t="s">
        <v>82</v>
      </c>
      <c r="D281" s="76" t="s">
        <v>19</v>
      </c>
      <c r="E281" s="76">
        <v>30657418877</v>
      </c>
      <c r="F281" s="80">
        <v>20677.689999999999</v>
      </c>
      <c r="G281" s="80">
        <v>0</v>
      </c>
      <c r="H281" s="81">
        <v>0</v>
      </c>
      <c r="I281" s="81">
        <v>0</v>
      </c>
      <c r="J281" s="81">
        <v>0</v>
      </c>
      <c r="K281" s="81">
        <v>4342.3100000000004</v>
      </c>
      <c r="L281" s="81">
        <v>0</v>
      </c>
      <c r="M281" s="80">
        <v>0</v>
      </c>
      <c r="N281" s="80">
        <v>25020</v>
      </c>
    </row>
    <row r="282" spans="1:14">
      <c r="A282" s="74" t="s">
        <v>1373</v>
      </c>
      <c r="B282" s="75" t="s">
        <v>1387</v>
      </c>
      <c r="C282" s="76" t="s">
        <v>1388</v>
      </c>
      <c r="D282" s="76" t="s">
        <v>135</v>
      </c>
      <c r="E282" s="76">
        <v>3784360</v>
      </c>
      <c r="F282" s="80">
        <v>133884.29</v>
      </c>
      <c r="G282" s="80">
        <v>0</v>
      </c>
      <c r="H282" s="81">
        <v>0</v>
      </c>
      <c r="I282" s="81">
        <v>0</v>
      </c>
      <c r="J282" s="81">
        <v>0</v>
      </c>
      <c r="K282" s="81">
        <v>28115.71</v>
      </c>
      <c r="L282" s="81">
        <v>0</v>
      </c>
      <c r="M282" s="80">
        <v>0</v>
      </c>
      <c r="N282" s="80">
        <v>162000</v>
      </c>
    </row>
    <row r="283" spans="1:14" hidden="1">
      <c r="A283" s="74" t="s">
        <v>1389</v>
      </c>
      <c r="B283" s="75" t="s">
        <v>1390</v>
      </c>
      <c r="C283" s="76" t="s">
        <v>134</v>
      </c>
      <c r="D283" s="76" t="s">
        <v>135</v>
      </c>
      <c r="E283" s="76" t="s">
        <v>136</v>
      </c>
      <c r="F283" s="80">
        <v>6611.57</v>
      </c>
      <c r="G283" s="80">
        <v>0</v>
      </c>
      <c r="H283" s="81">
        <v>0</v>
      </c>
      <c r="I283" s="81">
        <v>0</v>
      </c>
      <c r="J283" s="81">
        <v>0</v>
      </c>
      <c r="K283" s="81">
        <v>1388.43</v>
      </c>
      <c r="L283" s="81">
        <v>0</v>
      </c>
      <c r="M283" s="80">
        <v>0</v>
      </c>
      <c r="N283" s="80">
        <v>8000</v>
      </c>
    </row>
    <row r="284" spans="1:14" hidden="1">
      <c r="A284" s="74" t="s">
        <v>1389</v>
      </c>
      <c r="B284" s="75" t="s">
        <v>1391</v>
      </c>
      <c r="C284" s="76" t="s">
        <v>134</v>
      </c>
      <c r="D284" s="76" t="s">
        <v>135</v>
      </c>
      <c r="E284" s="76" t="s">
        <v>136</v>
      </c>
      <c r="F284" s="80">
        <v>10950.41</v>
      </c>
      <c r="G284" s="80">
        <v>0</v>
      </c>
      <c r="H284" s="81">
        <v>0</v>
      </c>
      <c r="I284" s="81">
        <v>0</v>
      </c>
      <c r="J284" s="81">
        <v>0</v>
      </c>
      <c r="K284" s="81">
        <v>2299.59</v>
      </c>
      <c r="L284" s="81">
        <v>0</v>
      </c>
      <c r="M284" s="80">
        <v>0</v>
      </c>
      <c r="N284" s="80">
        <v>13250</v>
      </c>
    </row>
    <row r="285" spans="1:14" hidden="1">
      <c r="A285" s="74" t="s">
        <v>1389</v>
      </c>
      <c r="B285" s="75" t="s">
        <v>1392</v>
      </c>
      <c r="C285" s="76" t="s">
        <v>134</v>
      </c>
      <c r="D285" s="76" t="s">
        <v>135</v>
      </c>
      <c r="E285" s="76" t="s">
        <v>136</v>
      </c>
      <c r="F285" s="80">
        <v>10743.8</v>
      </c>
      <c r="G285" s="80">
        <v>0</v>
      </c>
      <c r="H285" s="81">
        <v>0</v>
      </c>
      <c r="I285" s="81">
        <v>0</v>
      </c>
      <c r="J285" s="81">
        <v>0</v>
      </c>
      <c r="K285" s="81">
        <v>2256.2000000000003</v>
      </c>
      <c r="L285" s="81">
        <v>0</v>
      </c>
      <c r="M285" s="80">
        <v>0</v>
      </c>
      <c r="N285" s="80">
        <v>13000</v>
      </c>
    </row>
    <row r="286" spans="1:14" hidden="1">
      <c r="A286" s="74" t="s">
        <v>1389</v>
      </c>
      <c r="B286" s="75" t="s">
        <v>1393</v>
      </c>
      <c r="C286" s="76" t="s">
        <v>134</v>
      </c>
      <c r="D286" s="76" t="s">
        <v>135</v>
      </c>
      <c r="E286" s="76" t="s">
        <v>136</v>
      </c>
      <c r="F286" s="80">
        <v>26611.57</v>
      </c>
      <c r="G286" s="80">
        <v>0</v>
      </c>
      <c r="H286" s="81">
        <v>0</v>
      </c>
      <c r="I286" s="81">
        <v>0</v>
      </c>
      <c r="J286" s="81">
        <v>0</v>
      </c>
      <c r="K286" s="81">
        <v>5588.43</v>
      </c>
      <c r="L286" s="81">
        <v>0</v>
      </c>
      <c r="M286" s="80">
        <v>0</v>
      </c>
      <c r="N286" s="80">
        <v>32200</v>
      </c>
    </row>
    <row r="287" spans="1:14" hidden="1">
      <c r="A287" s="74" t="s">
        <v>1389</v>
      </c>
      <c r="B287" s="75" t="s">
        <v>1394</v>
      </c>
      <c r="C287" s="76" t="s">
        <v>134</v>
      </c>
      <c r="D287" s="76" t="s">
        <v>135</v>
      </c>
      <c r="E287" s="76" t="s">
        <v>136</v>
      </c>
      <c r="F287" s="80">
        <v>21487.599999999999</v>
      </c>
      <c r="G287" s="80">
        <v>0</v>
      </c>
      <c r="H287" s="81">
        <v>0</v>
      </c>
      <c r="I287" s="81">
        <v>0</v>
      </c>
      <c r="J287" s="81">
        <v>0</v>
      </c>
      <c r="K287" s="81">
        <v>4512.4000000000005</v>
      </c>
      <c r="L287" s="81">
        <v>0</v>
      </c>
      <c r="M287" s="80">
        <v>0</v>
      </c>
      <c r="N287" s="80">
        <v>26000</v>
      </c>
    </row>
    <row r="288" spans="1:14" hidden="1">
      <c r="A288" s="74" t="s">
        <v>1389</v>
      </c>
      <c r="B288" s="75" t="s">
        <v>1395</v>
      </c>
      <c r="C288" s="76" t="s">
        <v>134</v>
      </c>
      <c r="D288" s="76" t="s">
        <v>135</v>
      </c>
      <c r="E288" s="76" t="s">
        <v>136</v>
      </c>
      <c r="F288" s="80">
        <v>10743.8</v>
      </c>
      <c r="G288" s="80">
        <v>0</v>
      </c>
      <c r="H288" s="81">
        <v>0</v>
      </c>
      <c r="I288" s="81">
        <v>0</v>
      </c>
      <c r="J288" s="81">
        <v>0</v>
      </c>
      <c r="K288" s="81">
        <v>2256.2000000000003</v>
      </c>
      <c r="L288" s="81">
        <v>0</v>
      </c>
      <c r="M288" s="80">
        <v>0</v>
      </c>
      <c r="N288" s="80">
        <v>13000</v>
      </c>
    </row>
    <row r="289" spans="1:14" hidden="1">
      <c r="A289" s="74" t="s">
        <v>1389</v>
      </c>
      <c r="B289" s="75" t="s">
        <v>1396</v>
      </c>
      <c r="C289" s="76" t="s">
        <v>134</v>
      </c>
      <c r="D289" s="76" t="s">
        <v>135</v>
      </c>
      <c r="E289" s="76" t="s">
        <v>136</v>
      </c>
      <c r="F289" s="80">
        <v>15454.55</v>
      </c>
      <c r="G289" s="80">
        <v>0</v>
      </c>
      <c r="H289" s="81">
        <v>0</v>
      </c>
      <c r="I289" s="81">
        <v>0</v>
      </c>
      <c r="J289" s="81">
        <v>0</v>
      </c>
      <c r="K289" s="81">
        <v>3245.45</v>
      </c>
      <c r="L289" s="81">
        <v>0</v>
      </c>
      <c r="M289" s="80">
        <v>0</v>
      </c>
      <c r="N289" s="80">
        <v>18700</v>
      </c>
    </row>
    <row r="290" spans="1:14">
      <c r="A290" s="74" t="s">
        <v>1389</v>
      </c>
      <c r="B290" s="75" t="s">
        <v>1397</v>
      </c>
      <c r="C290" s="76" t="s">
        <v>25</v>
      </c>
      <c r="D290" s="76" t="s">
        <v>19</v>
      </c>
      <c r="E290" s="76">
        <v>30522428163</v>
      </c>
      <c r="F290" s="80">
        <v>-619019.32000000007</v>
      </c>
      <c r="G290" s="80">
        <v>0</v>
      </c>
      <c r="H290" s="81">
        <v>0</v>
      </c>
      <c r="I290" s="81">
        <v>0</v>
      </c>
      <c r="J290" s="81">
        <v>0</v>
      </c>
      <c r="K290" s="81">
        <v>-129994.06</v>
      </c>
      <c r="L290" s="81">
        <v>0</v>
      </c>
      <c r="M290" s="80">
        <v>0</v>
      </c>
      <c r="N290" s="80">
        <v>-749013.38</v>
      </c>
    </row>
    <row r="291" spans="1:14">
      <c r="A291" s="74" t="s">
        <v>1389</v>
      </c>
      <c r="B291" s="75" t="s">
        <v>1398</v>
      </c>
      <c r="C291" s="76" t="s">
        <v>25</v>
      </c>
      <c r="D291" s="76" t="s">
        <v>19</v>
      </c>
      <c r="E291" s="76">
        <v>30522428163</v>
      </c>
      <c r="F291" s="80">
        <v>-2360330.58</v>
      </c>
      <c r="G291" s="80">
        <v>0</v>
      </c>
      <c r="H291" s="81">
        <v>0</v>
      </c>
      <c r="I291" s="81">
        <v>0</v>
      </c>
      <c r="J291" s="81">
        <v>0</v>
      </c>
      <c r="K291" s="81">
        <v>-495669.42</v>
      </c>
      <c r="L291" s="81">
        <v>0</v>
      </c>
      <c r="M291" s="80">
        <v>0</v>
      </c>
      <c r="N291" s="80">
        <v>-2856000</v>
      </c>
    </row>
    <row r="292" spans="1:14">
      <c r="A292" s="74" t="s">
        <v>1389</v>
      </c>
      <c r="B292" s="75" t="s">
        <v>1399</v>
      </c>
      <c r="C292" s="76" t="s">
        <v>1400</v>
      </c>
      <c r="D292" s="76" t="s">
        <v>135</v>
      </c>
      <c r="E292" s="76">
        <v>17751485</v>
      </c>
      <c r="F292" s="80">
        <v>66115.7</v>
      </c>
      <c r="G292" s="80">
        <v>0</v>
      </c>
      <c r="H292" s="81">
        <v>0</v>
      </c>
      <c r="I292" s="81">
        <v>0</v>
      </c>
      <c r="J292" s="81">
        <v>0</v>
      </c>
      <c r="K292" s="81">
        <v>13884.3</v>
      </c>
      <c r="L292" s="81">
        <v>0</v>
      </c>
      <c r="M292" s="80">
        <v>0</v>
      </c>
      <c r="N292" s="80">
        <v>80000</v>
      </c>
    </row>
    <row r="293" spans="1:14" hidden="1">
      <c r="A293" s="74" t="s">
        <v>1401</v>
      </c>
      <c r="B293" s="75" t="s">
        <v>1402</v>
      </c>
      <c r="C293" s="76" t="s">
        <v>134</v>
      </c>
      <c r="D293" s="76" t="s">
        <v>135</v>
      </c>
      <c r="E293" s="76" t="s">
        <v>136</v>
      </c>
      <c r="F293" s="80">
        <v>28099.17</v>
      </c>
      <c r="G293" s="80">
        <v>0</v>
      </c>
      <c r="H293" s="81">
        <v>0</v>
      </c>
      <c r="I293" s="81">
        <v>0</v>
      </c>
      <c r="J293" s="81">
        <v>0</v>
      </c>
      <c r="K293" s="81">
        <v>5900.83</v>
      </c>
      <c r="L293" s="81">
        <v>0</v>
      </c>
      <c r="M293" s="80">
        <v>0</v>
      </c>
      <c r="N293" s="80">
        <v>34000</v>
      </c>
    </row>
    <row r="294" spans="1:14" hidden="1">
      <c r="A294" s="74" t="s">
        <v>1401</v>
      </c>
      <c r="B294" s="75" t="s">
        <v>1403</v>
      </c>
      <c r="C294" s="76" t="s">
        <v>134</v>
      </c>
      <c r="D294" s="76" t="s">
        <v>135</v>
      </c>
      <c r="E294" s="76" t="s">
        <v>136</v>
      </c>
      <c r="F294" s="80">
        <v>6528.92</v>
      </c>
      <c r="G294" s="80">
        <v>0</v>
      </c>
      <c r="H294" s="81">
        <v>0</v>
      </c>
      <c r="I294" s="81">
        <v>0</v>
      </c>
      <c r="J294" s="81">
        <v>0</v>
      </c>
      <c r="K294" s="81">
        <v>1371.08</v>
      </c>
      <c r="L294" s="81">
        <v>0</v>
      </c>
      <c r="M294" s="80">
        <v>0</v>
      </c>
      <c r="N294" s="80">
        <v>7900</v>
      </c>
    </row>
    <row r="295" spans="1:14" hidden="1">
      <c r="A295" s="74" t="s">
        <v>1401</v>
      </c>
      <c r="B295" s="75" t="s">
        <v>1404</v>
      </c>
      <c r="C295" s="76" t="s">
        <v>134</v>
      </c>
      <c r="D295" s="76" t="s">
        <v>135</v>
      </c>
      <c r="E295" s="76" t="s">
        <v>136</v>
      </c>
      <c r="F295" s="80">
        <v>41322.31</v>
      </c>
      <c r="G295" s="80">
        <v>0</v>
      </c>
      <c r="H295" s="81">
        <v>0</v>
      </c>
      <c r="I295" s="81">
        <v>0</v>
      </c>
      <c r="J295" s="81">
        <v>0</v>
      </c>
      <c r="K295" s="81">
        <v>8677.69</v>
      </c>
      <c r="L295" s="81">
        <v>0</v>
      </c>
      <c r="M295" s="80">
        <v>0</v>
      </c>
      <c r="N295" s="80">
        <v>50000</v>
      </c>
    </row>
    <row r="296" spans="1:14" hidden="1">
      <c r="A296" s="74" t="s">
        <v>1401</v>
      </c>
      <c r="B296" s="75" t="s">
        <v>1405</v>
      </c>
      <c r="C296" s="76" t="s">
        <v>134</v>
      </c>
      <c r="D296" s="76" t="s">
        <v>135</v>
      </c>
      <c r="E296" s="76" t="s">
        <v>136</v>
      </c>
      <c r="F296" s="80">
        <v>10909.09</v>
      </c>
      <c r="G296" s="80">
        <v>0</v>
      </c>
      <c r="H296" s="81">
        <v>0</v>
      </c>
      <c r="I296" s="81">
        <v>0</v>
      </c>
      <c r="J296" s="81">
        <v>0</v>
      </c>
      <c r="K296" s="81">
        <v>2290.91</v>
      </c>
      <c r="L296" s="81">
        <v>0</v>
      </c>
      <c r="M296" s="80">
        <v>0</v>
      </c>
      <c r="N296" s="80">
        <v>13200</v>
      </c>
    </row>
    <row r="297" spans="1:14" hidden="1">
      <c r="A297" s="74" t="s">
        <v>1401</v>
      </c>
      <c r="B297" s="75" t="s">
        <v>1406</v>
      </c>
      <c r="C297" s="76" t="s">
        <v>134</v>
      </c>
      <c r="D297" s="76" t="s">
        <v>135</v>
      </c>
      <c r="E297" s="76" t="s">
        <v>136</v>
      </c>
      <c r="F297" s="80">
        <v>55785.120000000003</v>
      </c>
      <c r="G297" s="80">
        <v>0</v>
      </c>
      <c r="H297" s="81">
        <v>0</v>
      </c>
      <c r="I297" s="81">
        <v>0</v>
      </c>
      <c r="J297" s="81">
        <v>0</v>
      </c>
      <c r="K297" s="81">
        <v>11714.88</v>
      </c>
      <c r="L297" s="81">
        <v>0</v>
      </c>
      <c r="M297" s="80">
        <v>0</v>
      </c>
      <c r="N297" s="80">
        <v>67500</v>
      </c>
    </row>
    <row r="298" spans="1:14" hidden="1">
      <c r="A298" s="74" t="s">
        <v>1401</v>
      </c>
      <c r="B298" s="75" t="s">
        <v>1407</v>
      </c>
      <c r="C298" s="76" t="s">
        <v>134</v>
      </c>
      <c r="D298" s="76" t="s">
        <v>135</v>
      </c>
      <c r="E298" s="76" t="s">
        <v>136</v>
      </c>
      <c r="F298" s="80">
        <v>5537.19</v>
      </c>
      <c r="G298" s="80">
        <v>0</v>
      </c>
      <c r="H298" s="81">
        <v>0</v>
      </c>
      <c r="I298" s="81">
        <v>0</v>
      </c>
      <c r="J298" s="81">
        <v>0</v>
      </c>
      <c r="K298" s="81">
        <v>1162.81</v>
      </c>
      <c r="L298" s="81">
        <v>0</v>
      </c>
      <c r="M298" s="80">
        <v>0</v>
      </c>
      <c r="N298" s="80">
        <v>6700</v>
      </c>
    </row>
    <row r="299" spans="1:14" hidden="1">
      <c r="A299" s="74" t="s">
        <v>1401</v>
      </c>
      <c r="B299" s="75" t="s">
        <v>1408</v>
      </c>
      <c r="C299" s="76" t="s">
        <v>134</v>
      </c>
      <c r="D299" s="76" t="s">
        <v>135</v>
      </c>
      <c r="E299" s="76" t="s">
        <v>136</v>
      </c>
      <c r="F299" s="80">
        <v>21487.599999999999</v>
      </c>
      <c r="G299" s="80">
        <v>0</v>
      </c>
      <c r="H299" s="81">
        <v>0</v>
      </c>
      <c r="I299" s="81">
        <v>0</v>
      </c>
      <c r="J299" s="81">
        <v>0</v>
      </c>
      <c r="K299" s="81">
        <v>4512.4000000000005</v>
      </c>
      <c r="L299" s="81">
        <v>0</v>
      </c>
      <c r="M299" s="80">
        <v>0</v>
      </c>
      <c r="N299" s="80">
        <v>26000</v>
      </c>
    </row>
    <row r="300" spans="1:14" hidden="1">
      <c r="A300" s="74" t="s">
        <v>1401</v>
      </c>
      <c r="B300" s="75" t="s">
        <v>1409</v>
      </c>
      <c r="C300" s="76" t="s">
        <v>134</v>
      </c>
      <c r="D300" s="76" t="s">
        <v>135</v>
      </c>
      <c r="E300" s="76" t="s">
        <v>136</v>
      </c>
      <c r="F300" s="80">
        <v>15752.07</v>
      </c>
      <c r="G300" s="80">
        <v>0</v>
      </c>
      <c r="H300" s="81">
        <v>0</v>
      </c>
      <c r="I300" s="81">
        <v>0</v>
      </c>
      <c r="J300" s="81">
        <v>0</v>
      </c>
      <c r="K300" s="81">
        <v>3307.93</v>
      </c>
      <c r="L300" s="81">
        <v>0</v>
      </c>
      <c r="M300" s="80">
        <v>0</v>
      </c>
      <c r="N300" s="80">
        <v>19060</v>
      </c>
    </row>
    <row r="301" spans="1:14">
      <c r="A301" s="74" t="s">
        <v>1401</v>
      </c>
      <c r="B301" s="75" t="s">
        <v>1410</v>
      </c>
      <c r="C301" s="76" t="s">
        <v>1411</v>
      </c>
      <c r="D301" s="76" t="s">
        <v>19</v>
      </c>
      <c r="E301" s="76">
        <v>30500053522</v>
      </c>
      <c r="F301" s="80">
        <v>51239.68</v>
      </c>
      <c r="G301" s="80">
        <v>0</v>
      </c>
      <c r="H301" s="81">
        <v>0</v>
      </c>
      <c r="I301" s="81">
        <v>0</v>
      </c>
      <c r="J301" s="81">
        <v>0</v>
      </c>
      <c r="K301" s="81">
        <v>10760.33</v>
      </c>
      <c r="L301" s="81">
        <v>0</v>
      </c>
      <c r="M301" s="80">
        <v>0</v>
      </c>
      <c r="N301" s="80">
        <v>62000.01</v>
      </c>
    </row>
    <row r="302" spans="1:14">
      <c r="A302" s="74" t="s">
        <v>1401</v>
      </c>
      <c r="B302" s="75" t="s">
        <v>1412</v>
      </c>
      <c r="C302" s="76" t="s">
        <v>1411</v>
      </c>
      <c r="D302" s="76" t="s">
        <v>19</v>
      </c>
      <c r="E302" s="76">
        <v>30500053522</v>
      </c>
      <c r="F302" s="80">
        <v>27272.73</v>
      </c>
      <c r="G302" s="80">
        <v>0</v>
      </c>
      <c r="H302" s="81">
        <v>0</v>
      </c>
      <c r="I302" s="81">
        <v>0</v>
      </c>
      <c r="J302" s="81">
        <v>0</v>
      </c>
      <c r="K302" s="81">
        <v>5727.27</v>
      </c>
      <c r="L302" s="81">
        <v>0</v>
      </c>
      <c r="M302" s="80">
        <v>0</v>
      </c>
      <c r="N302" s="80">
        <v>33000</v>
      </c>
    </row>
    <row r="303" spans="1:14">
      <c r="A303" s="74" t="s">
        <v>1401</v>
      </c>
      <c r="B303" s="75" t="s">
        <v>1413</v>
      </c>
      <c r="C303" s="76" t="s">
        <v>394</v>
      </c>
      <c r="D303" s="76" t="s">
        <v>135</v>
      </c>
      <c r="E303" s="76">
        <v>37904748</v>
      </c>
      <c r="F303" s="80">
        <v>16528.93</v>
      </c>
      <c r="G303" s="80">
        <v>0</v>
      </c>
      <c r="H303" s="81">
        <v>0</v>
      </c>
      <c r="I303" s="81">
        <v>0</v>
      </c>
      <c r="J303" s="81">
        <v>0</v>
      </c>
      <c r="K303" s="81">
        <v>3471.07</v>
      </c>
      <c r="L303" s="81">
        <v>0</v>
      </c>
      <c r="M303" s="80">
        <v>0</v>
      </c>
      <c r="N303" s="80">
        <v>20000</v>
      </c>
    </row>
    <row r="304" spans="1:14">
      <c r="A304" s="74" t="s">
        <v>1401</v>
      </c>
      <c r="B304" s="75" t="s">
        <v>1414</v>
      </c>
      <c r="C304" s="76" t="s">
        <v>447</v>
      </c>
      <c r="D304" s="76" t="s">
        <v>135</v>
      </c>
      <c r="E304" s="76">
        <v>5607654</v>
      </c>
      <c r="F304" s="80">
        <v>16528.93</v>
      </c>
      <c r="G304" s="80">
        <v>0</v>
      </c>
      <c r="H304" s="81">
        <v>0</v>
      </c>
      <c r="I304" s="81">
        <v>0</v>
      </c>
      <c r="J304" s="81">
        <v>0</v>
      </c>
      <c r="K304" s="81">
        <v>3471.07</v>
      </c>
      <c r="L304" s="81">
        <v>0</v>
      </c>
      <c r="M304" s="80">
        <v>0</v>
      </c>
      <c r="N304" s="80">
        <v>20000</v>
      </c>
    </row>
    <row r="305" spans="1:14">
      <c r="A305" s="74" t="s">
        <v>1401</v>
      </c>
      <c r="B305" s="75" t="s">
        <v>1415</v>
      </c>
      <c r="C305" s="76" t="s">
        <v>413</v>
      </c>
      <c r="D305" s="76" t="s">
        <v>135</v>
      </c>
      <c r="E305" s="76">
        <v>11172213</v>
      </c>
      <c r="F305" s="80">
        <v>16528.93</v>
      </c>
      <c r="G305" s="80">
        <v>0</v>
      </c>
      <c r="H305" s="81">
        <v>0</v>
      </c>
      <c r="I305" s="81">
        <v>0</v>
      </c>
      <c r="J305" s="81">
        <v>0</v>
      </c>
      <c r="K305" s="81">
        <v>3471.07</v>
      </c>
      <c r="L305" s="81">
        <v>0</v>
      </c>
      <c r="M305" s="80">
        <v>0</v>
      </c>
      <c r="N305" s="80">
        <v>20000</v>
      </c>
    </row>
    <row r="306" spans="1:14">
      <c r="A306" s="74" t="s">
        <v>1401</v>
      </c>
      <c r="B306" s="75" t="s">
        <v>1416</v>
      </c>
      <c r="C306" s="76" t="s">
        <v>453</v>
      </c>
      <c r="D306" s="76" t="s">
        <v>135</v>
      </c>
      <c r="E306" s="76">
        <v>5804480</v>
      </c>
      <c r="F306" s="80">
        <v>12396.69</v>
      </c>
      <c r="G306" s="80">
        <v>0</v>
      </c>
      <c r="H306" s="81">
        <v>0</v>
      </c>
      <c r="I306" s="81">
        <v>0</v>
      </c>
      <c r="J306" s="81">
        <v>0</v>
      </c>
      <c r="K306" s="81">
        <v>2603.31</v>
      </c>
      <c r="L306" s="81">
        <v>0</v>
      </c>
      <c r="M306" s="80">
        <v>0</v>
      </c>
      <c r="N306" s="80">
        <v>15000</v>
      </c>
    </row>
    <row r="307" spans="1:14">
      <c r="A307" s="74" t="s">
        <v>1401</v>
      </c>
      <c r="B307" s="75" t="s">
        <v>1417</v>
      </c>
      <c r="C307" s="76" t="s">
        <v>777</v>
      </c>
      <c r="D307" s="76" t="s">
        <v>135</v>
      </c>
      <c r="E307" s="76">
        <v>16994318</v>
      </c>
      <c r="F307" s="80">
        <v>12396.69</v>
      </c>
      <c r="G307" s="80">
        <v>0</v>
      </c>
      <c r="H307" s="81">
        <v>0</v>
      </c>
      <c r="I307" s="81">
        <v>0</v>
      </c>
      <c r="J307" s="81">
        <v>0</v>
      </c>
      <c r="K307" s="81">
        <v>2603.31</v>
      </c>
      <c r="L307" s="81">
        <v>0</v>
      </c>
      <c r="M307" s="80">
        <v>0</v>
      </c>
      <c r="N307" s="80">
        <v>15000</v>
      </c>
    </row>
    <row r="308" spans="1:14" hidden="1">
      <c r="A308" s="74" t="s">
        <v>1418</v>
      </c>
      <c r="B308" s="75" t="s">
        <v>1419</v>
      </c>
      <c r="C308" s="76" t="s">
        <v>134</v>
      </c>
      <c r="D308" s="76" t="s">
        <v>135</v>
      </c>
      <c r="E308" s="76" t="s">
        <v>136</v>
      </c>
      <c r="F308" s="80">
        <v>8264.4600000000009</v>
      </c>
      <c r="G308" s="80">
        <v>0</v>
      </c>
      <c r="H308" s="81">
        <v>0</v>
      </c>
      <c r="I308" s="81">
        <v>0</v>
      </c>
      <c r="J308" s="81">
        <v>0</v>
      </c>
      <c r="K308" s="81">
        <v>1735.54</v>
      </c>
      <c r="L308" s="81">
        <v>0</v>
      </c>
      <c r="M308" s="80">
        <v>0</v>
      </c>
      <c r="N308" s="80">
        <v>10000</v>
      </c>
    </row>
    <row r="309" spans="1:14" hidden="1">
      <c r="A309" s="74" t="s">
        <v>1418</v>
      </c>
      <c r="B309" s="75" t="s">
        <v>1420</v>
      </c>
      <c r="C309" s="76" t="s">
        <v>134</v>
      </c>
      <c r="D309" s="76" t="s">
        <v>135</v>
      </c>
      <c r="E309" s="76" t="s">
        <v>136</v>
      </c>
      <c r="F309" s="80">
        <v>5537.19</v>
      </c>
      <c r="G309" s="80">
        <v>0</v>
      </c>
      <c r="H309" s="81">
        <v>0</v>
      </c>
      <c r="I309" s="81">
        <v>0</v>
      </c>
      <c r="J309" s="81">
        <v>0</v>
      </c>
      <c r="K309" s="81">
        <v>1162.81</v>
      </c>
      <c r="L309" s="81">
        <v>0</v>
      </c>
      <c r="M309" s="80">
        <v>0</v>
      </c>
      <c r="N309" s="80">
        <v>6700</v>
      </c>
    </row>
    <row r="310" spans="1:14" hidden="1">
      <c r="A310" s="74" t="s">
        <v>1418</v>
      </c>
      <c r="B310" s="75" t="s">
        <v>1421</v>
      </c>
      <c r="C310" s="76" t="s">
        <v>134</v>
      </c>
      <c r="D310" s="76" t="s">
        <v>135</v>
      </c>
      <c r="E310" s="76" t="s">
        <v>136</v>
      </c>
      <c r="F310" s="80">
        <v>23801.65</v>
      </c>
      <c r="G310" s="80">
        <v>0</v>
      </c>
      <c r="H310" s="81">
        <v>0</v>
      </c>
      <c r="I310" s="81">
        <v>0</v>
      </c>
      <c r="J310" s="81">
        <v>0</v>
      </c>
      <c r="K310" s="81">
        <v>4998.3500000000004</v>
      </c>
      <c r="L310" s="81">
        <v>0</v>
      </c>
      <c r="M310" s="80">
        <v>0</v>
      </c>
      <c r="N310" s="80">
        <v>28800</v>
      </c>
    </row>
    <row r="311" spans="1:14" hidden="1">
      <c r="A311" s="74" t="s">
        <v>1418</v>
      </c>
      <c r="B311" s="75" t="s">
        <v>1422</v>
      </c>
      <c r="C311" s="76" t="s">
        <v>134</v>
      </c>
      <c r="D311" s="76" t="s">
        <v>135</v>
      </c>
      <c r="E311" s="76" t="s">
        <v>136</v>
      </c>
      <c r="F311" s="80">
        <v>15082.64</v>
      </c>
      <c r="G311" s="80">
        <v>0</v>
      </c>
      <c r="H311" s="81">
        <v>0</v>
      </c>
      <c r="I311" s="81">
        <v>0</v>
      </c>
      <c r="J311" s="81">
        <v>0</v>
      </c>
      <c r="K311" s="81">
        <v>3167.36</v>
      </c>
      <c r="L311" s="81">
        <v>0</v>
      </c>
      <c r="M311" s="80">
        <v>0</v>
      </c>
      <c r="N311" s="80">
        <v>18250</v>
      </c>
    </row>
    <row r="312" spans="1:14" hidden="1">
      <c r="A312" s="74" t="s">
        <v>1418</v>
      </c>
      <c r="B312" s="75" t="s">
        <v>1423</v>
      </c>
      <c r="C312" s="76" t="s">
        <v>134</v>
      </c>
      <c r="D312" s="76" t="s">
        <v>135</v>
      </c>
      <c r="E312" s="76" t="s">
        <v>136</v>
      </c>
      <c r="F312" s="80">
        <v>1652.89</v>
      </c>
      <c r="G312" s="80">
        <v>0</v>
      </c>
      <c r="H312" s="81">
        <v>0</v>
      </c>
      <c r="I312" s="81">
        <v>0</v>
      </c>
      <c r="J312" s="81">
        <v>0</v>
      </c>
      <c r="K312" s="81">
        <v>347.11</v>
      </c>
      <c r="L312" s="81">
        <v>0</v>
      </c>
      <c r="M312" s="80">
        <v>0</v>
      </c>
      <c r="N312" s="80">
        <v>2000</v>
      </c>
    </row>
    <row r="313" spans="1:14" hidden="1">
      <c r="A313" s="74" t="s">
        <v>1418</v>
      </c>
      <c r="B313" s="75" t="s">
        <v>1424</v>
      </c>
      <c r="C313" s="76" t="s">
        <v>134</v>
      </c>
      <c r="D313" s="76" t="s">
        <v>135</v>
      </c>
      <c r="E313" s="76" t="s">
        <v>136</v>
      </c>
      <c r="F313" s="80">
        <v>21487.599999999999</v>
      </c>
      <c r="G313" s="80">
        <v>0</v>
      </c>
      <c r="H313" s="81">
        <v>0</v>
      </c>
      <c r="I313" s="81">
        <v>0</v>
      </c>
      <c r="J313" s="81">
        <v>0</v>
      </c>
      <c r="K313" s="81">
        <v>4512.4000000000005</v>
      </c>
      <c r="L313" s="81">
        <v>0</v>
      </c>
      <c r="M313" s="80">
        <v>0</v>
      </c>
      <c r="N313" s="80">
        <v>26000</v>
      </c>
    </row>
    <row r="314" spans="1:14" hidden="1">
      <c r="A314" s="74" t="s">
        <v>1418</v>
      </c>
      <c r="B314" s="75" t="s">
        <v>1425</v>
      </c>
      <c r="C314" s="76" t="s">
        <v>134</v>
      </c>
      <c r="D314" s="76" t="s">
        <v>135</v>
      </c>
      <c r="E314" s="76" t="s">
        <v>136</v>
      </c>
      <c r="F314" s="80">
        <v>30165.29</v>
      </c>
      <c r="G314" s="80">
        <v>0</v>
      </c>
      <c r="H314" s="81">
        <v>0</v>
      </c>
      <c r="I314" s="81">
        <v>0</v>
      </c>
      <c r="J314" s="81">
        <v>0</v>
      </c>
      <c r="K314" s="81">
        <v>6334.71</v>
      </c>
      <c r="L314" s="81">
        <v>0</v>
      </c>
      <c r="M314" s="80">
        <v>0</v>
      </c>
      <c r="N314" s="80">
        <v>36500</v>
      </c>
    </row>
    <row r="315" spans="1:14" hidden="1">
      <c r="A315" s="74" t="s">
        <v>1418</v>
      </c>
      <c r="B315" s="75" t="s">
        <v>1426</v>
      </c>
      <c r="C315" s="76" t="s">
        <v>134</v>
      </c>
      <c r="D315" s="76" t="s">
        <v>135</v>
      </c>
      <c r="E315" s="76" t="s">
        <v>136</v>
      </c>
      <c r="F315" s="80">
        <v>21487.599999999999</v>
      </c>
      <c r="G315" s="80">
        <v>0</v>
      </c>
      <c r="H315" s="81">
        <v>0</v>
      </c>
      <c r="I315" s="81">
        <v>0</v>
      </c>
      <c r="J315" s="81">
        <v>0</v>
      </c>
      <c r="K315" s="81">
        <v>4512.4000000000005</v>
      </c>
      <c r="L315" s="81">
        <v>0</v>
      </c>
      <c r="M315" s="80">
        <v>0</v>
      </c>
      <c r="N315" s="80">
        <v>26000</v>
      </c>
    </row>
    <row r="316" spans="1:14" hidden="1">
      <c r="A316" s="74" t="s">
        <v>1418</v>
      </c>
      <c r="B316" s="75" t="s">
        <v>1427</v>
      </c>
      <c r="C316" s="76" t="s">
        <v>134</v>
      </c>
      <c r="D316" s="76" t="s">
        <v>135</v>
      </c>
      <c r="E316" s="76" t="s">
        <v>136</v>
      </c>
      <c r="F316" s="80">
        <v>14669.42</v>
      </c>
      <c r="G316" s="80">
        <v>0</v>
      </c>
      <c r="H316" s="81">
        <v>0</v>
      </c>
      <c r="I316" s="81">
        <v>0</v>
      </c>
      <c r="J316" s="81">
        <v>0</v>
      </c>
      <c r="K316" s="81">
        <v>3080.58</v>
      </c>
      <c r="L316" s="81">
        <v>0</v>
      </c>
      <c r="M316" s="80">
        <v>0</v>
      </c>
      <c r="N316" s="80">
        <v>17750</v>
      </c>
    </row>
    <row r="317" spans="1:14" hidden="1">
      <c r="A317" s="74" t="s">
        <v>1418</v>
      </c>
      <c r="B317" s="75" t="s">
        <v>1428</v>
      </c>
      <c r="C317" s="76" t="s">
        <v>134</v>
      </c>
      <c r="D317" s="76" t="s">
        <v>135</v>
      </c>
      <c r="E317" s="76" t="s">
        <v>136</v>
      </c>
      <c r="F317" s="80">
        <v>8264.4600000000009</v>
      </c>
      <c r="G317" s="80">
        <v>0</v>
      </c>
      <c r="H317" s="81">
        <v>0</v>
      </c>
      <c r="I317" s="81">
        <v>0</v>
      </c>
      <c r="J317" s="81">
        <v>0</v>
      </c>
      <c r="K317" s="81">
        <v>1735.54</v>
      </c>
      <c r="L317" s="81">
        <v>0</v>
      </c>
      <c r="M317" s="80">
        <v>0</v>
      </c>
      <c r="N317" s="80">
        <v>10000</v>
      </c>
    </row>
    <row r="318" spans="1:14">
      <c r="A318" s="74" t="s">
        <v>1418</v>
      </c>
      <c r="B318" s="75" t="s">
        <v>1429</v>
      </c>
      <c r="C318" s="76" t="s">
        <v>1430</v>
      </c>
      <c r="D318" s="76" t="s">
        <v>135</v>
      </c>
      <c r="E318" s="76" t="s">
        <v>136</v>
      </c>
      <c r="F318" s="80">
        <v>72644.63</v>
      </c>
      <c r="G318" s="80">
        <v>0</v>
      </c>
      <c r="H318" s="81">
        <v>0</v>
      </c>
      <c r="I318" s="81">
        <v>0</v>
      </c>
      <c r="J318" s="81">
        <v>0</v>
      </c>
      <c r="K318" s="81">
        <v>15255.37</v>
      </c>
      <c r="L318" s="81">
        <v>0</v>
      </c>
      <c r="M318" s="80">
        <v>0</v>
      </c>
      <c r="N318" s="80">
        <v>87900</v>
      </c>
    </row>
    <row r="319" spans="1:14">
      <c r="A319" s="74" t="s">
        <v>1418</v>
      </c>
      <c r="B319" s="75" t="s">
        <v>1431</v>
      </c>
      <c r="C319" s="76" t="s">
        <v>440</v>
      </c>
      <c r="D319" s="76" t="s">
        <v>135</v>
      </c>
      <c r="E319" s="76">
        <v>24448662</v>
      </c>
      <c r="F319" s="80">
        <v>10743.8</v>
      </c>
      <c r="G319" s="80">
        <v>0</v>
      </c>
      <c r="H319" s="81">
        <v>0</v>
      </c>
      <c r="I319" s="81">
        <v>0</v>
      </c>
      <c r="J319" s="81">
        <v>0</v>
      </c>
      <c r="K319" s="81">
        <v>2256.2000000000003</v>
      </c>
      <c r="L319" s="81">
        <v>0</v>
      </c>
      <c r="M319" s="80">
        <v>0</v>
      </c>
      <c r="N319" s="80">
        <v>13000</v>
      </c>
    </row>
    <row r="320" spans="1:14">
      <c r="A320" s="74" t="s">
        <v>1418</v>
      </c>
      <c r="B320" s="75" t="s">
        <v>1432</v>
      </c>
      <c r="C320" s="76" t="s">
        <v>777</v>
      </c>
      <c r="D320" s="76" t="s">
        <v>135</v>
      </c>
      <c r="E320" s="76">
        <v>16994318</v>
      </c>
      <c r="F320" s="80">
        <v>12396.69</v>
      </c>
      <c r="G320" s="80">
        <v>0</v>
      </c>
      <c r="H320" s="81">
        <v>0</v>
      </c>
      <c r="I320" s="81">
        <v>0</v>
      </c>
      <c r="J320" s="81">
        <v>0</v>
      </c>
      <c r="K320" s="81">
        <v>2603.31</v>
      </c>
      <c r="L320" s="81">
        <v>0</v>
      </c>
      <c r="M320" s="80">
        <v>0</v>
      </c>
      <c r="N320" s="80">
        <v>15000</v>
      </c>
    </row>
    <row r="321" spans="1:14">
      <c r="A321" s="74" t="s">
        <v>1418</v>
      </c>
      <c r="B321" s="75" t="s">
        <v>1433</v>
      </c>
      <c r="C321" s="76" t="s">
        <v>1434</v>
      </c>
      <c r="D321" s="76" t="s">
        <v>135</v>
      </c>
      <c r="E321" s="76">
        <v>26894798</v>
      </c>
      <c r="F321" s="80">
        <v>9090.91</v>
      </c>
      <c r="G321" s="80">
        <v>0</v>
      </c>
      <c r="H321" s="81">
        <v>0</v>
      </c>
      <c r="I321" s="81">
        <v>0</v>
      </c>
      <c r="J321" s="81">
        <v>0</v>
      </c>
      <c r="K321" s="81">
        <v>1909.09</v>
      </c>
      <c r="L321" s="81">
        <v>0</v>
      </c>
      <c r="M321" s="80">
        <v>0</v>
      </c>
      <c r="N321" s="80">
        <v>11000</v>
      </c>
    </row>
    <row r="322" spans="1:14">
      <c r="A322" s="74" t="s">
        <v>1418</v>
      </c>
      <c r="B322" s="75" t="s">
        <v>1435</v>
      </c>
      <c r="C322" s="76" t="s">
        <v>1434</v>
      </c>
      <c r="D322" s="76" t="s">
        <v>135</v>
      </c>
      <c r="E322" s="76">
        <v>26894798</v>
      </c>
      <c r="F322" s="80">
        <v>18181.82</v>
      </c>
      <c r="G322" s="80">
        <v>0</v>
      </c>
      <c r="H322" s="81">
        <v>0</v>
      </c>
      <c r="I322" s="81">
        <v>0</v>
      </c>
      <c r="J322" s="81">
        <v>0</v>
      </c>
      <c r="K322" s="81">
        <v>3818.18</v>
      </c>
      <c r="L322" s="81">
        <v>0</v>
      </c>
      <c r="M322" s="80">
        <v>0</v>
      </c>
      <c r="N322" s="80">
        <v>22000</v>
      </c>
    </row>
    <row r="323" spans="1:14" hidden="1">
      <c r="A323" s="74" t="s">
        <v>1436</v>
      </c>
      <c r="B323" s="75" t="s">
        <v>1437</v>
      </c>
      <c r="C323" s="76" t="s">
        <v>134</v>
      </c>
      <c r="D323" s="76" t="s">
        <v>135</v>
      </c>
      <c r="E323" s="76" t="s">
        <v>136</v>
      </c>
      <c r="F323" s="80">
        <v>10743.8</v>
      </c>
      <c r="G323" s="80">
        <v>0</v>
      </c>
      <c r="H323" s="81">
        <v>0</v>
      </c>
      <c r="I323" s="81">
        <v>0</v>
      </c>
      <c r="J323" s="81">
        <v>0</v>
      </c>
      <c r="K323" s="81">
        <v>2256.2000000000003</v>
      </c>
      <c r="L323" s="81">
        <v>0</v>
      </c>
      <c r="M323" s="80">
        <v>0</v>
      </c>
      <c r="N323" s="80">
        <v>13000</v>
      </c>
    </row>
    <row r="324" spans="1:14" hidden="1">
      <c r="A324" s="74" t="s">
        <v>1436</v>
      </c>
      <c r="B324" s="75" t="s">
        <v>1438</v>
      </c>
      <c r="C324" s="76" t="s">
        <v>134</v>
      </c>
      <c r="D324" s="76" t="s">
        <v>135</v>
      </c>
      <c r="E324" s="76" t="s">
        <v>136</v>
      </c>
      <c r="F324" s="80">
        <v>10743.8</v>
      </c>
      <c r="G324" s="80">
        <v>0</v>
      </c>
      <c r="H324" s="81">
        <v>0</v>
      </c>
      <c r="I324" s="81">
        <v>0</v>
      </c>
      <c r="J324" s="81">
        <v>0</v>
      </c>
      <c r="K324" s="81">
        <v>2256.2000000000003</v>
      </c>
      <c r="L324" s="81">
        <v>0</v>
      </c>
      <c r="M324" s="80">
        <v>0</v>
      </c>
      <c r="N324" s="80">
        <v>13000</v>
      </c>
    </row>
    <row r="325" spans="1:14">
      <c r="A325" s="74" t="s">
        <v>1436</v>
      </c>
      <c r="B325" s="75" t="s">
        <v>1439</v>
      </c>
      <c r="C325" s="76" t="s">
        <v>1440</v>
      </c>
      <c r="D325" s="76" t="s">
        <v>135</v>
      </c>
      <c r="E325" s="76">
        <v>31050767</v>
      </c>
      <c r="F325" s="80">
        <v>21239.67</v>
      </c>
      <c r="G325" s="80">
        <v>0</v>
      </c>
      <c r="H325" s="81">
        <v>0</v>
      </c>
      <c r="I325" s="81">
        <v>0</v>
      </c>
      <c r="J325" s="81">
        <v>0</v>
      </c>
      <c r="K325" s="81">
        <v>4460.33</v>
      </c>
      <c r="L325" s="81">
        <v>0</v>
      </c>
      <c r="M325" s="80">
        <v>0</v>
      </c>
      <c r="N325" s="80">
        <v>25700</v>
      </c>
    </row>
    <row r="326" spans="1:14" hidden="1">
      <c r="A326" s="74" t="s">
        <v>1436</v>
      </c>
      <c r="B326" s="75" t="s">
        <v>1441</v>
      </c>
      <c r="C326" s="76" t="s">
        <v>134</v>
      </c>
      <c r="D326" s="76" t="s">
        <v>135</v>
      </c>
      <c r="E326" s="76" t="s">
        <v>136</v>
      </c>
      <c r="F326" s="80">
        <v>33884.300000000003</v>
      </c>
      <c r="G326" s="80">
        <v>0</v>
      </c>
      <c r="H326" s="81">
        <v>0</v>
      </c>
      <c r="I326" s="81">
        <v>0</v>
      </c>
      <c r="J326" s="81">
        <v>0</v>
      </c>
      <c r="K326" s="81">
        <v>7115.7</v>
      </c>
      <c r="L326" s="81">
        <v>0</v>
      </c>
      <c r="M326" s="80">
        <v>0</v>
      </c>
      <c r="N326" s="80">
        <v>41000</v>
      </c>
    </row>
    <row r="327" spans="1:14" hidden="1">
      <c r="A327" s="74" t="s">
        <v>1436</v>
      </c>
      <c r="B327" s="75" t="s">
        <v>1442</v>
      </c>
      <c r="C327" s="76" t="s">
        <v>134</v>
      </c>
      <c r="D327" s="76" t="s">
        <v>135</v>
      </c>
      <c r="E327" s="76" t="s">
        <v>136</v>
      </c>
      <c r="F327" s="80">
        <v>5123.96</v>
      </c>
      <c r="G327" s="80">
        <v>0</v>
      </c>
      <c r="H327" s="81">
        <v>0</v>
      </c>
      <c r="I327" s="81">
        <v>0</v>
      </c>
      <c r="J327" s="81">
        <v>0</v>
      </c>
      <c r="K327" s="81">
        <v>1076.04</v>
      </c>
      <c r="L327" s="81">
        <v>0</v>
      </c>
      <c r="M327" s="80">
        <v>0</v>
      </c>
      <c r="N327" s="80">
        <v>6200</v>
      </c>
    </row>
    <row r="328" spans="1:14" hidden="1">
      <c r="A328" s="74" t="s">
        <v>1436</v>
      </c>
      <c r="B328" s="75" t="s">
        <v>1443</v>
      </c>
      <c r="C328" s="76" t="s">
        <v>134</v>
      </c>
      <c r="D328" s="76" t="s">
        <v>135</v>
      </c>
      <c r="E328" s="76" t="s">
        <v>136</v>
      </c>
      <c r="F328" s="80">
        <v>11735.54</v>
      </c>
      <c r="G328" s="80">
        <v>0</v>
      </c>
      <c r="H328" s="81">
        <v>0</v>
      </c>
      <c r="I328" s="81">
        <v>0</v>
      </c>
      <c r="J328" s="81">
        <v>0</v>
      </c>
      <c r="K328" s="81">
        <v>2464.46</v>
      </c>
      <c r="L328" s="81">
        <v>0</v>
      </c>
      <c r="M328" s="80">
        <v>0</v>
      </c>
      <c r="N328" s="80">
        <v>14200</v>
      </c>
    </row>
    <row r="329" spans="1:14">
      <c r="A329" s="82"/>
      <c r="B329" s="83"/>
      <c r="C329" s="84"/>
      <c r="D329" s="84"/>
      <c r="E329" s="85"/>
      <c r="F329" s="86">
        <f>SUBTOTAL(109,Tabla5[Gravado])</f>
        <v>187589781.10999992</v>
      </c>
      <c r="G329" s="86">
        <f>SUBTOTAL(109,Tabla5[No Gravado])</f>
        <v>0</v>
      </c>
      <c r="H329" s="86">
        <f>SUBTOTAL(109,Tabla5[IVA 2,5%])</f>
        <v>0</v>
      </c>
      <c r="I329" s="86">
        <f>SUBTOTAL(109,Tabla5[IVA 5%])</f>
        <v>0</v>
      </c>
      <c r="J329" s="86">
        <f>SUBTOTAL(109,Tabla5[IVA 10.5%])</f>
        <v>0</v>
      </c>
      <c r="K329" s="86">
        <f>SUBTOTAL(109,Tabla5[IVA 21%])</f>
        <v>39393853.949999988</v>
      </c>
      <c r="L329" s="86">
        <f>SUBTOTAL(109,Tabla5[IVA 27%])</f>
        <v>0</v>
      </c>
      <c r="M329" s="86">
        <f>SUBTOTAL(109,Tabla5[Otros Imp])</f>
        <v>0</v>
      </c>
      <c r="N329" s="86">
        <f>SUBTOTAL(109,Tabla5[Total Compr.])</f>
        <v>226983635.06</v>
      </c>
    </row>
    <row r="331" spans="1:14">
      <c r="F331" s="88"/>
      <c r="G331" s="87" t="s">
        <v>1446</v>
      </c>
      <c r="H331" s="87" t="s">
        <v>787</v>
      </c>
      <c r="I331" s="87" t="s">
        <v>459</v>
      </c>
    </row>
    <row r="332" spans="1:14">
      <c r="F332" s="87" t="s">
        <v>1444</v>
      </c>
      <c r="G332" s="88">
        <v>182465624.91999999</v>
      </c>
      <c r="H332" s="88">
        <v>38317781.200000003</v>
      </c>
      <c r="I332" s="88">
        <f>+G332+H332</f>
        <v>220783406.12</v>
      </c>
    </row>
    <row r="333" spans="1:14">
      <c r="F333" s="87" t="s">
        <v>1445</v>
      </c>
      <c r="G333" s="88">
        <v>8465296.5500000007</v>
      </c>
      <c r="H333" s="88">
        <v>1777712.3899999997</v>
      </c>
      <c r="I333" s="88">
        <f>+G333+H333</f>
        <v>10243008.940000001</v>
      </c>
    </row>
    <row r="334" spans="1:14">
      <c r="F334" s="89" t="s">
        <v>459</v>
      </c>
      <c r="G334" s="87">
        <f>SUM(G332:G333)</f>
        <v>190930921.47</v>
      </c>
      <c r="H334" s="87">
        <f>SUM(H332:H333)</f>
        <v>40095493.590000004</v>
      </c>
      <c r="I334" s="87">
        <f>SUM(I332:I333)</f>
        <v>231026415.06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1"/>
  <sheetViews>
    <sheetView topLeftCell="A354" zoomScale="90" zoomScaleNormal="90" workbookViewId="0">
      <selection activeCell="A6" sqref="A6:F375"/>
    </sheetView>
  </sheetViews>
  <sheetFormatPr baseColWidth="10" defaultColWidth="11.5703125" defaultRowHeight="15"/>
  <cols>
    <col min="2" max="2" width="20" customWidth="1"/>
    <col min="3" max="3" width="31.5703125" customWidth="1"/>
    <col min="4" max="4" width="22" bestFit="1" customWidth="1"/>
    <col min="5" max="5" width="17" style="101" bestFit="1" customWidth="1"/>
    <col min="6" max="6" width="19.85546875" style="95" customWidth="1"/>
    <col min="7" max="7" width="16" style="95" bestFit="1" customWidth="1"/>
    <col min="8" max="8" width="14.85546875" style="95" bestFit="1" customWidth="1"/>
    <col min="9" max="9" width="16" style="95" bestFit="1" customWidth="1"/>
    <col min="10" max="10" width="14.28515625" style="95" bestFit="1" customWidth="1"/>
    <col min="11" max="11" width="17.5703125" style="95" bestFit="1" customWidth="1"/>
    <col min="12" max="12" width="14.28515625" style="95" bestFit="1" customWidth="1"/>
    <col min="13" max="13" width="12.85546875" style="95" customWidth="1"/>
    <col min="14" max="14" width="18.85546875" style="95" bestFit="1" customWidth="1"/>
  </cols>
  <sheetData>
    <row r="1" spans="1:14">
      <c r="A1" s="91" t="s">
        <v>136</v>
      </c>
    </row>
    <row r="2" spans="1:14" ht="18">
      <c r="A2" s="71" t="s">
        <v>1447</v>
      </c>
    </row>
    <row r="3" spans="1:14" ht="15.75">
      <c r="A3" s="72" t="s">
        <v>1</v>
      </c>
      <c r="L3" s="96"/>
    </row>
    <row r="4" spans="1:14">
      <c r="A4" s="73"/>
      <c r="B4" s="73"/>
      <c r="C4" s="73"/>
      <c r="D4" s="73"/>
      <c r="E4" s="102"/>
      <c r="F4" s="97"/>
      <c r="G4" s="97"/>
      <c r="H4" s="97"/>
      <c r="I4" s="97"/>
      <c r="J4" s="97"/>
      <c r="K4" s="97"/>
      <c r="L4" s="97"/>
      <c r="M4" s="97"/>
      <c r="N4" s="97"/>
    </row>
    <row r="5" spans="1:14">
      <c r="A5" s="107" t="s">
        <v>2</v>
      </c>
      <c r="B5" s="108" t="s">
        <v>3</v>
      </c>
      <c r="C5" s="108" t="s">
        <v>4</v>
      </c>
      <c r="D5" s="108" t="s">
        <v>5</v>
      </c>
      <c r="E5" s="109" t="s">
        <v>6</v>
      </c>
      <c r="F5" s="110" t="s">
        <v>7</v>
      </c>
      <c r="G5" s="110" t="s">
        <v>8</v>
      </c>
      <c r="H5" s="110" t="s">
        <v>9</v>
      </c>
      <c r="I5" s="110" t="s">
        <v>10</v>
      </c>
      <c r="J5" s="110" t="s">
        <v>11</v>
      </c>
      <c r="K5" s="110" t="s">
        <v>12</v>
      </c>
      <c r="L5" s="110" t="s">
        <v>13</v>
      </c>
      <c r="M5" s="110" t="s">
        <v>14</v>
      </c>
      <c r="N5" s="111" t="s">
        <v>15</v>
      </c>
    </row>
    <row r="6" spans="1:14">
      <c r="A6" s="21" t="s">
        <v>1554</v>
      </c>
      <c r="B6" s="5" t="s">
        <v>1555</v>
      </c>
      <c r="C6" s="6" t="s">
        <v>1556</v>
      </c>
      <c r="D6" s="6" t="s">
        <v>19</v>
      </c>
      <c r="E6" s="103">
        <v>30714708224</v>
      </c>
      <c r="F6" s="7">
        <v>16033.06</v>
      </c>
      <c r="G6" s="7">
        <v>0</v>
      </c>
      <c r="H6" s="8">
        <v>0</v>
      </c>
      <c r="I6" s="8">
        <v>0</v>
      </c>
      <c r="J6" s="8">
        <v>0</v>
      </c>
      <c r="K6" s="8">
        <v>3366.94</v>
      </c>
      <c r="L6" s="8">
        <v>0</v>
      </c>
      <c r="M6" s="7">
        <v>0</v>
      </c>
      <c r="N6" s="106">
        <v>19400</v>
      </c>
    </row>
    <row r="7" spans="1:14">
      <c r="A7" s="21" t="s">
        <v>1792</v>
      </c>
      <c r="B7" s="5" t="s">
        <v>1793</v>
      </c>
      <c r="C7" s="6" t="s">
        <v>1794</v>
      </c>
      <c r="D7" s="6" t="s">
        <v>19</v>
      </c>
      <c r="E7" s="103">
        <v>20107653393</v>
      </c>
      <c r="F7" s="7">
        <v>10743.8</v>
      </c>
      <c r="G7" s="7">
        <v>0</v>
      </c>
      <c r="H7" s="8">
        <v>0</v>
      </c>
      <c r="I7" s="8">
        <v>0</v>
      </c>
      <c r="J7" s="8">
        <v>0</v>
      </c>
      <c r="K7" s="8">
        <v>2256.2000000000003</v>
      </c>
      <c r="L7" s="8">
        <v>0</v>
      </c>
      <c r="M7" s="7">
        <v>0</v>
      </c>
      <c r="N7" s="106">
        <v>13000</v>
      </c>
    </row>
    <row r="8" spans="1:14">
      <c r="A8" s="21" t="s">
        <v>1472</v>
      </c>
      <c r="B8" s="5" t="s">
        <v>1484</v>
      </c>
      <c r="C8" s="6" t="s">
        <v>25</v>
      </c>
      <c r="D8" s="6" t="s">
        <v>19</v>
      </c>
      <c r="E8" s="103">
        <v>30522428163</v>
      </c>
      <c r="F8" s="7">
        <v>5570247.9400000004</v>
      </c>
      <c r="G8" s="7">
        <v>0</v>
      </c>
      <c r="H8" s="8">
        <v>0</v>
      </c>
      <c r="I8" s="8">
        <v>0</v>
      </c>
      <c r="J8" s="8">
        <v>0</v>
      </c>
      <c r="K8" s="8">
        <v>1169752.06</v>
      </c>
      <c r="L8" s="8">
        <v>0</v>
      </c>
      <c r="M8" s="7">
        <v>0</v>
      </c>
      <c r="N8" s="106">
        <v>6740000</v>
      </c>
    </row>
    <row r="9" spans="1:14">
      <c r="A9" s="21" t="s">
        <v>1472</v>
      </c>
      <c r="B9" s="5" t="s">
        <v>1485</v>
      </c>
      <c r="C9" s="6" t="s">
        <v>25</v>
      </c>
      <c r="D9" s="6" t="s">
        <v>19</v>
      </c>
      <c r="E9" s="103">
        <v>30522428163</v>
      </c>
      <c r="F9" s="7">
        <v>5570247.9400000004</v>
      </c>
      <c r="G9" s="7">
        <v>0</v>
      </c>
      <c r="H9" s="8">
        <v>0</v>
      </c>
      <c r="I9" s="8">
        <v>0</v>
      </c>
      <c r="J9" s="8">
        <v>0</v>
      </c>
      <c r="K9" s="8">
        <v>1169752.06</v>
      </c>
      <c r="L9" s="8">
        <v>0</v>
      </c>
      <c r="M9" s="7">
        <v>0</v>
      </c>
      <c r="N9" s="106">
        <v>6740000</v>
      </c>
    </row>
    <row r="10" spans="1:14">
      <c r="A10" s="21" t="s">
        <v>1472</v>
      </c>
      <c r="B10" s="5" t="s">
        <v>1486</v>
      </c>
      <c r="C10" s="6" t="s">
        <v>25</v>
      </c>
      <c r="D10" s="6" t="s">
        <v>19</v>
      </c>
      <c r="E10" s="103">
        <v>30522428163</v>
      </c>
      <c r="F10" s="7">
        <v>14396694.210000001</v>
      </c>
      <c r="G10" s="7">
        <v>0</v>
      </c>
      <c r="H10" s="8">
        <v>0</v>
      </c>
      <c r="I10" s="8">
        <v>0</v>
      </c>
      <c r="J10" s="8">
        <v>0</v>
      </c>
      <c r="K10" s="8">
        <v>3023305.79</v>
      </c>
      <c r="L10" s="8">
        <v>0</v>
      </c>
      <c r="M10" s="7">
        <v>0</v>
      </c>
      <c r="N10" s="106">
        <v>17420000</v>
      </c>
    </row>
    <row r="11" spans="1:14">
      <c r="A11" s="21" t="s">
        <v>1472</v>
      </c>
      <c r="B11" s="5" t="s">
        <v>1487</v>
      </c>
      <c r="C11" s="6" t="s">
        <v>25</v>
      </c>
      <c r="D11" s="6" t="s">
        <v>19</v>
      </c>
      <c r="E11" s="103">
        <v>30522428163</v>
      </c>
      <c r="F11" s="7">
        <v>3183140.5</v>
      </c>
      <c r="G11" s="7">
        <v>0</v>
      </c>
      <c r="H11" s="8">
        <v>0</v>
      </c>
      <c r="I11" s="8">
        <v>0</v>
      </c>
      <c r="J11" s="8">
        <v>0</v>
      </c>
      <c r="K11" s="8">
        <v>668459.5</v>
      </c>
      <c r="L11" s="8">
        <v>0</v>
      </c>
      <c r="M11" s="7">
        <v>0</v>
      </c>
      <c r="N11" s="106">
        <v>3851600</v>
      </c>
    </row>
    <row r="12" spans="1:14">
      <c r="A12" s="21" t="s">
        <v>1472</v>
      </c>
      <c r="B12" s="5" t="s">
        <v>1488</v>
      </c>
      <c r="C12" s="6" t="s">
        <v>25</v>
      </c>
      <c r="D12" s="6" t="s">
        <v>19</v>
      </c>
      <c r="E12" s="103">
        <v>30522428163</v>
      </c>
      <c r="F12" s="7">
        <v>1317388.43</v>
      </c>
      <c r="G12" s="7">
        <v>0</v>
      </c>
      <c r="H12" s="8">
        <v>0</v>
      </c>
      <c r="I12" s="8">
        <v>0</v>
      </c>
      <c r="J12" s="8">
        <v>0</v>
      </c>
      <c r="K12" s="8">
        <v>276651.57</v>
      </c>
      <c r="L12" s="8">
        <v>0</v>
      </c>
      <c r="M12" s="7">
        <v>0</v>
      </c>
      <c r="N12" s="106">
        <v>1594040</v>
      </c>
    </row>
    <row r="13" spans="1:14">
      <c r="A13" s="21" t="s">
        <v>1510</v>
      </c>
      <c r="B13" s="5" t="s">
        <v>1523</v>
      </c>
      <c r="C13" s="6" t="s">
        <v>25</v>
      </c>
      <c r="D13" s="6" t="s">
        <v>19</v>
      </c>
      <c r="E13" s="103">
        <v>30522428163</v>
      </c>
      <c r="F13" s="7">
        <v>8067777.9500000002</v>
      </c>
      <c r="G13" s="7">
        <v>0</v>
      </c>
      <c r="H13" s="8">
        <v>0</v>
      </c>
      <c r="I13" s="8">
        <v>0</v>
      </c>
      <c r="J13" s="8">
        <v>0</v>
      </c>
      <c r="K13" s="8">
        <v>1694233.37</v>
      </c>
      <c r="L13" s="8">
        <v>0</v>
      </c>
      <c r="M13" s="7">
        <v>0</v>
      </c>
      <c r="N13" s="106">
        <v>9762011.3200000003</v>
      </c>
    </row>
    <row r="14" spans="1:14">
      <c r="A14" s="21" t="s">
        <v>1510</v>
      </c>
      <c r="B14" s="5" t="s">
        <v>1524</v>
      </c>
      <c r="C14" s="6" t="s">
        <v>25</v>
      </c>
      <c r="D14" s="6" t="s">
        <v>19</v>
      </c>
      <c r="E14" s="103">
        <v>30522428163</v>
      </c>
      <c r="F14" s="7">
        <v>1194183.3600000001</v>
      </c>
      <c r="G14" s="7">
        <v>0</v>
      </c>
      <c r="H14" s="8">
        <v>0</v>
      </c>
      <c r="I14" s="8">
        <v>0</v>
      </c>
      <c r="J14" s="8">
        <v>0</v>
      </c>
      <c r="K14" s="8">
        <v>250778.51</v>
      </c>
      <c r="L14" s="8">
        <v>0</v>
      </c>
      <c r="M14" s="7">
        <v>0</v>
      </c>
      <c r="N14" s="106">
        <v>1444961.87</v>
      </c>
    </row>
    <row r="15" spans="1:14">
      <c r="A15" s="21" t="s">
        <v>1527</v>
      </c>
      <c r="B15" s="5" t="s">
        <v>1539</v>
      </c>
      <c r="C15" s="6" t="s">
        <v>25</v>
      </c>
      <c r="D15" s="6" t="s">
        <v>19</v>
      </c>
      <c r="E15" s="103">
        <v>30522428163</v>
      </c>
      <c r="F15" s="7">
        <v>1149347.7</v>
      </c>
      <c r="G15" s="7">
        <v>0</v>
      </c>
      <c r="H15" s="8">
        <v>0</v>
      </c>
      <c r="I15" s="8">
        <v>0</v>
      </c>
      <c r="J15" s="8">
        <v>0</v>
      </c>
      <c r="K15" s="8">
        <v>241363.02</v>
      </c>
      <c r="L15" s="8">
        <v>0</v>
      </c>
      <c r="M15" s="7">
        <v>0</v>
      </c>
      <c r="N15" s="106">
        <v>1390710.72</v>
      </c>
    </row>
    <row r="16" spans="1:14">
      <c r="A16" s="21" t="s">
        <v>1527</v>
      </c>
      <c r="B16" s="5" t="s">
        <v>1540</v>
      </c>
      <c r="C16" s="6" t="s">
        <v>36</v>
      </c>
      <c r="D16" s="6" t="s">
        <v>19</v>
      </c>
      <c r="E16" s="103">
        <v>30683032227</v>
      </c>
      <c r="F16" s="7">
        <v>2640243.54</v>
      </c>
      <c r="G16" s="7">
        <v>0</v>
      </c>
      <c r="H16" s="8">
        <v>0</v>
      </c>
      <c r="I16" s="8">
        <v>0</v>
      </c>
      <c r="J16" s="8">
        <v>0</v>
      </c>
      <c r="K16" s="8">
        <v>554451.14</v>
      </c>
      <c r="L16" s="8">
        <v>0</v>
      </c>
      <c r="M16" s="7">
        <v>0</v>
      </c>
      <c r="N16" s="106">
        <v>3194694.68</v>
      </c>
    </row>
    <row r="17" spans="1:14">
      <c r="A17" s="21" t="s">
        <v>1546</v>
      </c>
      <c r="B17" s="5" t="s">
        <v>1550</v>
      </c>
      <c r="C17" s="6" t="s">
        <v>25</v>
      </c>
      <c r="D17" s="6" t="s">
        <v>19</v>
      </c>
      <c r="E17" s="103">
        <v>30522428163</v>
      </c>
      <c r="F17" s="7">
        <v>10787603.300000001</v>
      </c>
      <c r="G17" s="7">
        <v>0</v>
      </c>
      <c r="H17" s="8">
        <v>0</v>
      </c>
      <c r="I17" s="8">
        <v>0</v>
      </c>
      <c r="J17" s="8">
        <v>0</v>
      </c>
      <c r="K17" s="8">
        <v>2265396.7000000002</v>
      </c>
      <c r="L17" s="8">
        <v>0</v>
      </c>
      <c r="M17" s="7">
        <v>0</v>
      </c>
      <c r="N17" s="106">
        <v>13053000</v>
      </c>
    </row>
    <row r="18" spans="1:14">
      <c r="A18" s="21" t="s">
        <v>1628</v>
      </c>
      <c r="B18" s="5" t="s">
        <v>1646</v>
      </c>
      <c r="C18" s="6" t="s">
        <v>25</v>
      </c>
      <c r="D18" s="6" t="s">
        <v>19</v>
      </c>
      <c r="E18" s="103">
        <v>30522428163</v>
      </c>
      <c r="F18" s="7">
        <v>11306611.57</v>
      </c>
      <c r="G18" s="7">
        <v>0</v>
      </c>
      <c r="H18" s="8">
        <v>0</v>
      </c>
      <c r="I18" s="8">
        <v>0</v>
      </c>
      <c r="J18" s="8">
        <v>0</v>
      </c>
      <c r="K18" s="8">
        <v>2374388.4300000002</v>
      </c>
      <c r="L18" s="8">
        <v>0</v>
      </c>
      <c r="M18" s="7">
        <v>0</v>
      </c>
      <c r="N18" s="106">
        <v>13681000</v>
      </c>
    </row>
    <row r="19" spans="1:14">
      <c r="A19" s="21" t="s">
        <v>1628</v>
      </c>
      <c r="B19" s="5" t="s">
        <v>1647</v>
      </c>
      <c r="C19" s="6" t="s">
        <v>25</v>
      </c>
      <c r="D19" s="6" t="s">
        <v>19</v>
      </c>
      <c r="E19" s="103">
        <v>30522428163</v>
      </c>
      <c r="F19" s="7">
        <v>11265157.029999999</v>
      </c>
      <c r="G19" s="7">
        <v>0</v>
      </c>
      <c r="H19" s="8">
        <v>0</v>
      </c>
      <c r="I19" s="8">
        <v>0</v>
      </c>
      <c r="J19" s="8">
        <v>0</v>
      </c>
      <c r="K19" s="8">
        <v>2365682.9700000002</v>
      </c>
      <c r="L19" s="8">
        <v>0</v>
      </c>
      <c r="M19" s="7">
        <v>0</v>
      </c>
      <c r="N19" s="106">
        <v>13630840</v>
      </c>
    </row>
    <row r="20" spans="1:14">
      <c r="A20" s="21" t="s">
        <v>1651</v>
      </c>
      <c r="B20" s="5" t="s">
        <v>1658</v>
      </c>
      <c r="C20" s="6" t="s">
        <v>25</v>
      </c>
      <c r="D20" s="6" t="s">
        <v>19</v>
      </c>
      <c r="E20" s="103">
        <v>30522428163</v>
      </c>
      <c r="F20" s="7">
        <v>4259545.47</v>
      </c>
      <c r="G20" s="7">
        <v>0</v>
      </c>
      <c r="H20" s="8">
        <v>0</v>
      </c>
      <c r="I20" s="8">
        <v>0</v>
      </c>
      <c r="J20" s="8">
        <v>0</v>
      </c>
      <c r="K20" s="8">
        <v>894504.54</v>
      </c>
      <c r="L20" s="8">
        <v>0</v>
      </c>
      <c r="M20" s="7">
        <v>0</v>
      </c>
      <c r="N20" s="106">
        <v>5154050.01</v>
      </c>
    </row>
    <row r="21" spans="1:14">
      <c r="A21" s="21" t="s">
        <v>1700</v>
      </c>
      <c r="B21" s="5" t="s">
        <v>1715</v>
      </c>
      <c r="C21" s="6" t="s">
        <v>25</v>
      </c>
      <c r="D21" s="6" t="s">
        <v>19</v>
      </c>
      <c r="E21" s="103">
        <v>30522428163</v>
      </c>
      <c r="F21" s="7">
        <v>1421487.6</v>
      </c>
      <c r="G21" s="7">
        <v>0</v>
      </c>
      <c r="H21" s="8">
        <v>0</v>
      </c>
      <c r="I21" s="8">
        <v>0</v>
      </c>
      <c r="J21" s="8">
        <v>0</v>
      </c>
      <c r="K21" s="8">
        <v>298512.40000000002</v>
      </c>
      <c r="L21" s="8">
        <v>0</v>
      </c>
      <c r="M21" s="7">
        <v>0</v>
      </c>
      <c r="N21" s="106">
        <v>1720000</v>
      </c>
    </row>
    <row r="22" spans="1:14">
      <c r="A22" s="21" t="s">
        <v>1730</v>
      </c>
      <c r="B22" s="5" t="s">
        <v>1746</v>
      </c>
      <c r="C22" s="6" t="s">
        <v>25</v>
      </c>
      <c r="D22" s="6" t="s">
        <v>19</v>
      </c>
      <c r="E22" s="103">
        <v>30522428163</v>
      </c>
      <c r="F22" s="7">
        <v>1211570.25</v>
      </c>
      <c r="G22" s="7">
        <v>0</v>
      </c>
      <c r="H22" s="8">
        <v>0</v>
      </c>
      <c r="I22" s="8">
        <v>0</v>
      </c>
      <c r="J22" s="8">
        <v>0</v>
      </c>
      <c r="K22" s="8">
        <v>254429.76</v>
      </c>
      <c r="L22" s="8">
        <v>0</v>
      </c>
      <c r="M22" s="7">
        <v>0</v>
      </c>
      <c r="N22" s="106">
        <v>1466000.01</v>
      </c>
    </row>
    <row r="23" spans="1:14">
      <c r="A23" s="21" t="s">
        <v>1792</v>
      </c>
      <c r="B23" s="5" t="s">
        <v>1804</v>
      </c>
      <c r="C23" s="6" t="s">
        <v>25</v>
      </c>
      <c r="D23" s="6" t="s">
        <v>19</v>
      </c>
      <c r="E23" s="103">
        <v>30522428163</v>
      </c>
      <c r="F23" s="7">
        <v>28595041.32</v>
      </c>
      <c r="G23" s="7">
        <v>0</v>
      </c>
      <c r="H23" s="8">
        <v>0</v>
      </c>
      <c r="I23" s="8">
        <v>0</v>
      </c>
      <c r="J23" s="8">
        <v>0</v>
      </c>
      <c r="K23" s="8">
        <v>6004958.6799999997</v>
      </c>
      <c r="L23" s="8">
        <v>0</v>
      </c>
      <c r="M23" s="7">
        <v>0</v>
      </c>
      <c r="N23" s="106">
        <v>34600000</v>
      </c>
    </row>
    <row r="24" spans="1:14">
      <c r="A24" s="21" t="s">
        <v>1792</v>
      </c>
      <c r="B24" s="5" t="s">
        <v>1805</v>
      </c>
      <c r="C24" s="6" t="s">
        <v>25</v>
      </c>
      <c r="D24" s="6" t="s">
        <v>19</v>
      </c>
      <c r="E24" s="103">
        <v>30522428163</v>
      </c>
      <c r="F24" s="7">
        <v>2043801.65</v>
      </c>
      <c r="G24" s="7">
        <v>0</v>
      </c>
      <c r="H24" s="8">
        <v>0</v>
      </c>
      <c r="I24" s="8">
        <v>0</v>
      </c>
      <c r="J24" s="8">
        <v>0</v>
      </c>
      <c r="K24" s="8">
        <v>429198.35</v>
      </c>
      <c r="L24" s="8">
        <v>0</v>
      </c>
      <c r="M24" s="7">
        <v>0</v>
      </c>
      <c r="N24" s="106">
        <v>2473000</v>
      </c>
    </row>
    <row r="25" spans="1:14">
      <c r="A25" s="21" t="s">
        <v>1807</v>
      </c>
      <c r="B25" s="5" t="s">
        <v>1820</v>
      </c>
      <c r="C25" s="6" t="s">
        <v>25</v>
      </c>
      <c r="D25" s="6" t="s">
        <v>19</v>
      </c>
      <c r="E25" s="103">
        <v>30522428163</v>
      </c>
      <c r="F25" s="7">
        <v>16758677.689999999</v>
      </c>
      <c r="G25" s="7">
        <v>0</v>
      </c>
      <c r="H25" s="8">
        <v>0</v>
      </c>
      <c r="I25" s="8">
        <v>0</v>
      </c>
      <c r="J25" s="8">
        <v>0</v>
      </c>
      <c r="K25" s="8">
        <v>3519322.31</v>
      </c>
      <c r="L25" s="8">
        <v>0</v>
      </c>
      <c r="M25" s="7">
        <v>0</v>
      </c>
      <c r="N25" s="106">
        <v>20278000</v>
      </c>
    </row>
    <row r="26" spans="1:14">
      <c r="A26" s="21" t="s">
        <v>1472</v>
      </c>
      <c r="B26" s="5" t="s">
        <v>1483</v>
      </c>
      <c r="C26" s="6" t="s">
        <v>25</v>
      </c>
      <c r="D26" s="6" t="s">
        <v>19</v>
      </c>
      <c r="E26" s="103">
        <v>30522428163</v>
      </c>
      <c r="F26" s="7">
        <v>-5570247.9400000004</v>
      </c>
      <c r="G26" s="7">
        <v>0</v>
      </c>
      <c r="H26" s="8">
        <v>0</v>
      </c>
      <c r="I26" s="8">
        <v>0</v>
      </c>
      <c r="J26" s="8">
        <v>0</v>
      </c>
      <c r="K26" s="8">
        <v>-1169752.06</v>
      </c>
      <c r="L26" s="8">
        <v>0</v>
      </c>
      <c r="M26" s="7">
        <v>0</v>
      </c>
      <c r="N26" s="106">
        <v>-6740000</v>
      </c>
    </row>
    <row r="27" spans="1:14">
      <c r="A27" s="21" t="s">
        <v>1498</v>
      </c>
      <c r="B27" s="5" t="s">
        <v>1506</v>
      </c>
      <c r="C27" s="6" t="s">
        <v>25</v>
      </c>
      <c r="D27" s="6" t="s">
        <v>19</v>
      </c>
      <c r="E27" s="103">
        <v>30522428163</v>
      </c>
      <c r="F27" s="7">
        <v>-1206611.55</v>
      </c>
      <c r="G27" s="7">
        <v>0</v>
      </c>
      <c r="H27" s="8">
        <v>0</v>
      </c>
      <c r="I27" s="8">
        <v>0</v>
      </c>
      <c r="J27" s="8">
        <v>0</v>
      </c>
      <c r="K27" s="8">
        <v>-253388.43</v>
      </c>
      <c r="L27" s="8">
        <v>0</v>
      </c>
      <c r="M27" s="7">
        <v>0</v>
      </c>
      <c r="N27" s="106">
        <v>-1459999.98</v>
      </c>
    </row>
    <row r="28" spans="1:14">
      <c r="A28" s="21" t="s">
        <v>1527</v>
      </c>
      <c r="B28" s="5" t="s">
        <v>1537</v>
      </c>
      <c r="C28" s="6" t="s">
        <v>25</v>
      </c>
      <c r="D28" s="6" t="s">
        <v>19</v>
      </c>
      <c r="E28" s="103">
        <v>30522428163</v>
      </c>
      <c r="F28" s="7">
        <v>-82799.360000000001</v>
      </c>
      <c r="G28" s="7">
        <v>0</v>
      </c>
      <c r="H28" s="8">
        <v>0</v>
      </c>
      <c r="I28" s="8">
        <v>0</v>
      </c>
      <c r="J28" s="8">
        <v>0</v>
      </c>
      <c r="K28" s="8">
        <v>-17387.87</v>
      </c>
      <c r="L28" s="8">
        <v>0</v>
      </c>
      <c r="M28" s="7">
        <v>0</v>
      </c>
      <c r="N28" s="106">
        <v>-100187.23</v>
      </c>
    </row>
    <row r="29" spans="1:14">
      <c r="A29" s="21" t="s">
        <v>1527</v>
      </c>
      <c r="B29" s="5" t="s">
        <v>1538</v>
      </c>
      <c r="C29" s="6" t="s">
        <v>25</v>
      </c>
      <c r="D29" s="6" t="s">
        <v>19</v>
      </c>
      <c r="E29" s="103">
        <v>30522428163</v>
      </c>
      <c r="F29" s="7">
        <v>-154296.34</v>
      </c>
      <c r="G29" s="7">
        <v>0</v>
      </c>
      <c r="H29" s="8">
        <v>0</v>
      </c>
      <c r="I29" s="8">
        <v>0</v>
      </c>
      <c r="J29" s="8">
        <v>0</v>
      </c>
      <c r="K29" s="8">
        <v>-32402.23</v>
      </c>
      <c r="L29" s="8">
        <v>0</v>
      </c>
      <c r="M29" s="7">
        <v>0</v>
      </c>
      <c r="N29" s="106">
        <v>-186698.57</v>
      </c>
    </row>
    <row r="30" spans="1:14">
      <c r="A30" s="21" t="s">
        <v>1720</v>
      </c>
      <c r="B30" s="5" t="s">
        <v>1729</v>
      </c>
      <c r="C30" s="6" t="s">
        <v>25</v>
      </c>
      <c r="D30" s="6" t="s">
        <v>19</v>
      </c>
      <c r="E30" s="103">
        <v>30522428163</v>
      </c>
      <c r="F30" s="7">
        <v>-397119.11</v>
      </c>
      <c r="G30" s="7">
        <v>0</v>
      </c>
      <c r="H30" s="8">
        <v>0</v>
      </c>
      <c r="I30" s="8">
        <v>0</v>
      </c>
      <c r="J30" s="8">
        <v>0</v>
      </c>
      <c r="K30" s="8">
        <v>-83395.009999999995</v>
      </c>
      <c r="L30" s="8">
        <v>0</v>
      </c>
      <c r="M30" s="7">
        <v>0</v>
      </c>
      <c r="N30" s="106">
        <v>-480514.12</v>
      </c>
    </row>
    <row r="31" spans="1:14">
      <c r="A31" s="21" t="s">
        <v>1448</v>
      </c>
      <c r="B31" s="5" t="s">
        <v>1459</v>
      </c>
      <c r="C31" s="6" t="s">
        <v>45</v>
      </c>
      <c r="D31" s="6" t="s">
        <v>19</v>
      </c>
      <c r="E31" s="103">
        <v>30608716390</v>
      </c>
      <c r="F31" s="7">
        <v>78049.58</v>
      </c>
      <c r="G31" s="7">
        <v>0</v>
      </c>
      <c r="H31" s="8">
        <v>0</v>
      </c>
      <c r="I31" s="8">
        <v>0</v>
      </c>
      <c r="J31" s="8">
        <v>0</v>
      </c>
      <c r="K31" s="8">
        <v>16390.41</v>
      </c>
      <c r="L31" s="8">
        <v>0</v>
      </c>
      <c r="M31" s="7">
        <v>0</v>
      </c>
      <c r="N31" s="106">
        <v>94439.99</v>
      </c>
    </row>
    <row r="32" spans="1:14">
      <c r="A32" s="21" t="s">
        <v>1448</v>
      </c>
      <c r="B32" s="5" t="s">
        <v>1460</v>
      </c>
      <c r="C32" s="6" t="s">
        <v>73</v>
      </c>
      <c r="D32" s="6" t="s">
        <v>19</v>
      </c>
      <c r="E32" s="103">
        <v>30715186655</v>
      </c>
      <c r="F32" s="7">
        <v>443241.32</v>
      </c>
      <c r="G32" s="7">
        <v>0</v>
      </c>
      <c r="H32" s="8">
        <v>0</v>
      </c>
      <c r="I32" s="8">
        <v>0</v>
      </c>
      <c r="J32" s="8">
        <v>0</v>
      </c>
      <c r="K32" s="8">
        <v>93080.68</v>
      </c>
      <c r="L32" s="8">
        <v>0</v>
      </c>
      <c r="M32" s="7">
        <v>0</v>
      </c>
      <c r="N32" s="106">
        <v>536322</v>
      </c>
    </row>
    <row r="33" spans="1:14">
      <c r="A33" s="21" t="s">
        <v>1448</v>
      </c>
      <c r="B33" s="5" t="s">
        <v>1461</v>
      </c>
      <c r="C33" s="6" t="s">
        <v>73</v>
      </c>
      <c r="D33" s="6" t="s">
        <v>19</v>
      </c>
      <c r="E33" s="103">
        <v>30715186655</v>
      </c>
      <c r="F33" s="7">
        <v>25165.29</v>
      </c>
      <c r="G33" s="7">
        <v>0</v>
      </c>
      <c r="H33" s="8">
        <v>0</v>
      </c>
      <c r="I33" s="8">
        <v>0</v>
      </c>
      <c r="J33" s="8">
        <v>0</v>
      </c>
      <c r="K33" s="8">
        <v>5284.71</v>
      </c>
      <c r="L33" s="8">
        <v>0</v>
      </c>
      <c r="M33" s="7">
        <v>0</v>
      </c>
      <c r="N33" s="106">
        <v>30450</v>
      </c>
    </row>
    <row r="34" spans="1:14">
      <c r="A34" s="21" t="s">
        <v>1448</v>
      </c>
      <c r="B34" s="5" t="s">
        <v>1462</v>
      </c>
      <c r="C34" s="6" t="s">
        <v>70</v>
      </c>
      <c r="D34" s="6" t="s">
        <v>19</v>
      </c>
      <c r="E34" s="103">
        <v>30710961790</v>
      </c>
      <c r="F34" s="7">
        <v>85997.25</v>
      </c>
      <c r="G34" s="7">
        <v>0</v>
      </c>
      <c r="H34" s="8">
        <v>0</v>
      </c>
      <c r="I34" s="8">
        <v>0</v>
      </c>
      <c r="J34" s="8">
        <v>0</v>
      </c>
      <c r="K34" s="8">
        <v>18059.420000000002</v>
      </c>
      <c r="L34" s="8">
        <v>0</v>
      </c>
      <c r="M34" s="7">
        <v>0</v>
      </c>
      <c r="N34" s="106">
        <v>104056.67</v>
      </c>
    </row>
    <row r="35" spans="1:14">
      <c r="A35" s="21" t="s">
        <v>1448</v>
      </c>
      <c r="B35" s="5" t="s">
        <v>1463</v>
      </c>
      <c r="C35" s="6" t="s">
        <v>67</v>
      </c>
      <c r="D35" s="6" t="s">
        <v>19</v>
      </c>
      <c r="E35" s="103">
        <v>30710538014</v>
      </c>
      <c r="F35" s="7">
        <v>339190.08</v>
      </c>
      <c r="G35" s="7">
        <v>0</v>
      </c>
      <c r="H35" s="8">
        <v>0</v>
      </c>
      <c r="I35" s="8">
        <v>0</v>
      </c>
      <c r="J35" s="8">
        <v>0</v>
      </c>
      <c r="K35" s="8">
        <v>71229.919999999998</v>
      </c>
      <c r="L35" s="8">
        <v>0</v>
      </c>
      <c r="M35" s="7">
        <v>0</v>
      </c>
      <c r="N35" s="106">
        <v>410420</v>
      </c>
    </row>
    <row r="36" spans="1:14">
      <c r="A36" s="21" t="s">
        <v>1448</v>
      </c>
      <c r="B36" s="5" t="s">
        <v>1464</v>
      </c>
      <c r="C36" s="6" t="s">
        <v>80</v>
      </c>
      <c r="D36" s="6" t="s">
        <v>19</v>
      </c>
      <c r="E36" s="103">
        <v>30707612971</v>
      </c>
      <c r="F36" s="7">
        <v>83239.67</v>
      </c>
      <c r="G36" s="7">
        <v>0</v>
      </c>
      <c r="H36" s="8">
        <v>0</v>
      </c>
      <c r="I36" s="8">
        <v>0</v>
      </c>
      <c r="J36" s="8">
        <v>0</v>
      </c>
      <c r="K36" s="8">
        <v>17480.330000000002</v>
      </c>
      <c r="L36" s="8">
        <v>0</v>
      </c>
      <c r="M36" s="7">
        <v>0</v>
      </c>
      <c r="N36" s="106">
        <v>100720</v>
      </c>
    </row>
    <row r="37" spans="1:14">
      <c r="A37" s="21" t="s">
        <v>1448</v>
      </c>
      <c r="B37" s="5" t="s">
        <v>1465</v>
      </c>
      <c r="C37" s="6" t="s">
        <v>76</v>
      </c>
      <c r="D37" s="6" t="s">
        <v>19</v>
      </c>
      <c r="E37" s="103">
        <v>30606274161</v>
      </c>
      <c r="F37" s="7">
        <v>197909.09</v>
      </c>
      <c r="G37" s="7">
        <v>0</v>
      </c>
      <c r="H37" s="8">
        <v>0</v>
      </c>
      <c r="I37" s="8">
        <v>0</v>
      </c>
      <c r="J37" s="8">
        <v>0</v>
      </c>
      <c r="K37" s="8">
        <v>41560.910000000003</v>
      </c>
      <c r="L37" s="8">
        <v>0</v>
      </c>
      <c r="M37" s="7">
        <v>0</v>
      </c>
      <c r="N37" s="106">
        <v>239470</v>
      </c>
    </row>
    <row r="38" spans="1:14">
      <c r="A38" s="21" t="s">
        <v>1448</v>
      </c>
      <c r="B38" s="5" t="s">
        <v>1466</v>
      </c>
      <c r="C38" s="6" t="s">
        <v>78</v>
      </c>
      <c r="D38" s="6" t="s">
        <v>19</v>
      </c>
      <c r="E38" s="103">
        <v>30712529721</v>
      </c>
      <c r="F38" s="7">
        <v>37338.840000000004</v>
      </c>
      <c r="G38" s="7">
        <v>0</v>
      </c>
      <c r="H38" s="8">
        <v>0</v>
      </c>
      <c r="I38" s="8">
        <v>0</v>
      </c>
      <c r="J38" s="8">
        <v>0</v>
      </c>
      <c r="K38" s="8">
        <v>7841.16</v>
      </c>
      <c r="L38" s="8">
        <v>0</v>
      </c>
      <c r="M38" s="7">
        <v>0</v>
      </c>
      <c r="N38" s="106">
        <v>45180</v>
      </c>
    </row>
    <row r="39" spans="1:14">
      <c r="A39" s="21" t="s">
        <v>1448</v>
      </c>
      <c r="B39" s="5" t="s">
        <v>1467</v>
      </c>
      <c r="C39" s="6" t="s">
        <v>90</v>
      </c>
      <c r="D39" s="6" t="s">
        <v>19</v>
      </c>
      <c r="E39" s="103">
        <v>30645337979</v>
      </c>
      <c r="F39" s="7">
        <v>74732.23</v>
      </c>
      <c r="G39" s="7">
        <v>0</v>
      </c>
      <c r="H39" s="8">
        <v>0</v>
      </c>
      <c r="I39" s="8">
        <v>0</v>
      </c>
      <c r="J39" s="8">
        <v>0</v>
      </c>
      <c r="K39" s="8">
        <v>15693.77</v>
      </c>
      <c r="L39" s="8">
        <v>0</v>
      </c>
      <c r="M39" s="7">
        <v>0</v>
      </c>
      <c r="N39" s="106">
        <v>90426</v>
      </c>
    </row>
    <row r="40" spans="1:14">
      <c r="A40" s="21" t="s">
        <v>1448</v>
      </c>
      <c r="B40" s="5" t="s">
        <v>1468</v>
      </c>
      <c r="C40" s="6" t="s">
        <v>86</v>
      </c>
      <c r="D40" s="6" t="s">
        <v>19</v>
      </c>
      <c r="E40" s="103">
        <v>30713669004</v>
      </c>
      <c r="F40" s="7">
        <v>72476.31</v>
      </c>
      <c r="G40" s="7">
        <v>0</v>
      </c>
      <c r="H40" s="8">
        <v>0</v>
      </c>
      <c r="I40" s="8">
        <v>0</v>
      </c>
      <c r="J40" s="8">
        <v>0</v>
      </c>
      <c r="K40" s="8">
        <v>15220.03</v>
      </c>
      <c r="L40" s="8">
        <v>0</v>
      </c>
      <c r="M40" s="7">
        <v>0</v>
      </c>
      <c r="N40" s="106">
        <v>87696.34</v>
      </c>
    </row>
    <row r="41" spans="1:14">
      <c r="A41" s="21" t="s">
        <v>1448</v>
      </c>
      <c r="B41" s="5" t="s">
        <v>1469</v>
      </c>
      <c r="C41" s="6" t="s">
        <v>84</v>
      </c>
      <c r="D41" s="6" t="s">
        <v>19</v>
      </c>
      <c r="E41" s="103">
        <v>30546771314</v>
      </c>
      <c r="F41" s="7">
        <v>19917.36</v>
      </c>
      <c r="G41" s="7">
        <v>0</v>
      </c>
      <c r="H41" s="8">
        <v>0</v>
      </c>
      <c r="I41" s="8">
        <v>0</v>
      </c>
      <c r="J41" s="8">
        <v>0</v>
      </c>
      <c r="K41" s="8">
        <v>4182.6499999999996</v>
      </c>
      <c r="L41" s="8">
        <v>0</v>
      </c>
      <c r="M41" s="7">
        <v>0</v>
      </c>
      <c r="N41" s="106">
        <v>24100.01</v>
      </c>
    </row>
    <row r="42" spans="1:14">
      <c r="A42" s="21" t="s">
        <v>1448</v>
      </c>
      <c r="B42" s="5" t="s">
        <v>1470</v>
      </c>
      <c r="C42" s="6" t="s">
        <v>88</v>
      </c>
      <c r="D42" s="6" t="s">
        <v>19</v>
      </c>
      <c r="E42" s="103">
        <v>30711244383</v>
      </c>
      <c r="F42" s="7">
        <v>37366.120000000003</v>
      </c>
      <c r="G42" s="7">
        <v>0</v>
      </c>
      <c r="H42" s="8">
        <v>0</v>
      </c>
      <c r="I42" s="8">
        <v>0</v>
      </c>
      <c r="J42" s="8">
        <v>0</v>
      </c>
      <c r="K42" s="8">
        <v>7846.89</v>
      </c>
      <c r="L42" s="8">
        <v>0</v>
      </c>
      <c r="M42" s="7">
        <v>0</v>
      </c>
      <c r="N42" s="106">
        <v>45213.01</v>
      </c>
    </row>
    <row r="43" spans="1:14">
      <c r="A43" s="21" t="s">
        <v>1448</v>
      </c>
      <c r="B43" s="5" t="s">
        <v>1471</v>
      </c>
      <c r="C43" s="6" t="s">
        <v>92</v>
      </c>
      <c r="D43" s="6" t="s">
        <v>19</v>
      </c>
      <c r="E43" s="103">
        <v>30709016012</v>
      </c>
      <c r="F43" s="7">
        <v>93743.8</v>
      </c>
      <c r="G43" s="7">
        <v>0</v>
      </c>
      <c r="H43" s="8">
        <v>0</v>
      </c>
      <c r="I43" s="8">
        <v>0</v>
      </c>
      <c r="J43" s="8">
        <v>0</v>
      </c>
      <c r="K43" s="8">
        <v>19686.2</v>
      </c>
      <c r="L43" s="8">
        <v>0</v>
      </c>
      <c r="M43" s="7">
        <v>0</v>
      </c>
      <c r="N43" s="106">
        <v>113430</v>
      </c>
    </row>
    <row r="44" spans="1:14">
      <c r="A44" s="21" t="s">
        <v>1472</v>
      </c>
      <c r="B44" s="5" t="s">
        <v>1489</v>
      </c>
      <c r="C44" s="6" t="s">
        <v>92</v>
      </c>
      <c r="D44" s="6" t="s">
        <v>19</v>
      </c>
      <c r="E44" s="103">
        <v>30709016012</v>
      </c>
      <c r="F44" s="7">
        <v>404958.7</v>
      </c>
      <c r="G44" s="7">
        <v>0</v>
      </c>
      <c r="H44" s="8">
        <v>0</v>
      </c>
      <c r="I44" s="8">
        <v>0</v>
      </c>
      <c r="J44" s="8">
        <v>0</v>
      </c>
      <c r="K44" s="8">
        <v>85041.33</v>
      </c>
      <c r="L44" s="8">
        <v>0</v>
      </c>
      <c r="M44" s="7">
        <v>0</v>
      </c>
      <c r="N44" s="106">
        <v>490000.03</v>
      </c>
    </row>
    <row r="45" spans="1:14">
      <c r="A45" s="21" t="s">
        <v>1510</v>
      </c>
      <c r="B45" s="5" t="s">
        <v>1525</v>
      </c>
      <c r="C45" s="6" t="s">
        <v>25</v>
      </c>
      <c r="D45" s="6" t="s">
        <v>19</v>
      </c>
      <c r="E45" s="103">
        <v>30522428163</v>
      </c>
      <c r="F45" s="7">
        <v>812657.67</v>
      </c>
      <c r="G45" s="7">
        <v>0</v>
      </c>
      <c r="H45" s="8">
        <v>0</v>
      </c>
      <c r="I45" s="8">
        <v>0</v>
      </c>
      <c r="J45" s="8">
        <v>0</v>
      </c>
      <c r="K45" s="8">
        <v>170658.11</v>
      </c>
      <c r="L45" s="8">
        <v>0</v>
      </c>
      <c r="M45" s="7">
        <v>0</v>
      </c>
      <c r="N45" s="106">
        <v>983315.78</v>
      </c>
    </row>
    <row r="46" spans="1:14">
      <c r="A46" s="21" t="s">
        <v>1510</v>
      </c>
      <c r="B46" s="5" t="s">
        <v>1526</v>
      </c>
      <c r="C46" s="6" t="s">
        <v>25</v>
      </c>
      <c r="D46" s="6" t="s">
        <v>19</v>
      </c>
      <c r="E46" s="103">
        <v>30522428163</v>
      </c>
      <c r="F46" s="7">
        <v>45491.47</v>
      </c>
      <c r="G46" s="7">
        <v>0</v>
      </c>
      <c r="H46" s="8">
        <v>0</v>
      </c>
      <c r="I46" s="8">
        <v>0</v>
      </c>
      <c r="J46" s="8">
        <v>0</v>
      </c>
      <c r="K46" s="8">
        <v>9553.2100000000009</v>
      </c>
      <c r="L46" s="8">
        <v>0</v>
      </c>
      <c r="M46" s="7">
        <v>0</v>
      </c>
      <c r="N46" s="106">
        <v>55044.68</v>
      </c>
    </row>
    <row r="47" spans="1:14">
      <c r="A47" s="21" t="s">
        <v>1527</v>
      </c>
      <c r="B47" s="5" t="s">
        <v>1541</v>
      </c>
      <c r="C47" s="6" t="s">
        <v>25</v>
      </c>
      <c r="D47" s="6" t="s">
        <v>19</v>
      </c>
      <c r="E47" s="103">
        <v>30522428163</v>
      </c>
      <c r="F47" s="7">
        <v>119008.26</v>
      </c>
      <c r="G47" s="7">
        <v>0</v>
      </c>
      <c r="H47" s="8">
        <v>0</v>
      </c>
      <c r="I47" s="8">
        <v>0</v>
      </c>
      <c r="J47" s="8">
        <v>0</v>
      </c>
      <c r="K47" s="8">
        <v>24991.73</v>
      </c>
      <c r="L47" s="8">
        <v>0</v>
      </c>
      <c r="M47" s="7">
        <v>0</v>
      </c>
      <c r="N47" s="106">
        <v>143999.99</v>
      </c>
    </row>
    <row r="48" spans="1:14">
      <c r="A48" s="21" t="s">
        <v>1527</v>
      </c>
      <c r="B48" s="5" t="s">
        <v>1542</v>
      </c>
      <c r="C48" s="6" t="s">
        <v>36</v>
      </c>
      <c r="D48" s="6" t="s">
        <v>19</v>
      </c>
      <c r="E48" s="103">
        <v>30683032227</v>
      </c>
      <c r="F48" s="7">
        <v>989650.18</v>
      </c>
      <c r="G48" s="7">
        <v>0</v>
      </c>
      <c r="H48" s="8">
        <v>0</v>
      </c>
      <c r="I48" s="8">
        <v>0</v>
      </c>
      <c r="J48" s="8">
        <v>0</v>
      </c>
      <c r="K48" s="8">
        <v>207826.54</v>
      </c>
      <c r="L48" s="8">
        <v>0</v>
      </c>
      <c r="M48" s="7">
        <v>0</v>
      </c>
      <c r="N48" s="106">
        <v>1197476.72</v>
      </c>
    </row>
    <row r="49" spans="1:14">
      <c r="A49" s="21" t="s">
        <v>1546</v>
      </c>
      <c r="B49" s="5" t="s">
        <v>1551</v>
      </c>
      <c r="C49" s="6" t="s">
        <v>36</v>
      </c>
      <c r="D49" s="6" t="s">
        <v>19</v>
      </c>
      <c r="E49" s="103">
        <v>30683032227</v>
      </c>
      <c r="F49" s="7">
        <v>23140.5</v>
      </c>
      <c r="G49" s="7">
        <v>0</v>
      </c>
      <c r="H49" s="8">
        <v>0</v>
      </c>
      <c r="I49" s="8">
        <v>0</v>
      </c>
      <c r="J49" s="8">
        <v>0</v>
      </c>
      <c r="K49" s="8">
        <v>4859.51</v>
      </c>
      <c r="L49" s="8">
        <v>0</v>
      </c>
      <c r="M49" s="7">
        <v>0</v>
      </c>
      <c r="N49" s="106">
        <v>28000.01</v>
      </c>
    </row>
    <row r="50" spans="1:14">
      <c r="A50" s="21" t="s">
        <v>1604</v>
      </c>
      <c r="B50" s="5" t="s">
        <v>1619</v>
      </c>
      <c r="C50" s="6" t="s">
        <v>45</v>
      </c>
      <c r="D50" s="6" t="s">
        <v>19</v>
      </c>
      <c r="E50" s="103">
        <v>30608716390</v>
      </c>
      <c r="F50" s="7">
        <v>19512.400000000001</v>
      </c>
      <c r="G50" s="7">
        <v>0</v>
      </c>
      <c r="H50" s="8">
        <v>0</v>
      </c>
      <c r="I50" s="8">
        <v>0</v>
      </c>
      <c r="J50" s="8">
        <v>0</v>
      </c>
      <c r="K50" s="8">
        <v>4097.6000000000004</v>
      </c>
      <c r="L50" s="8">
        <v>0</v>
      </c>
      <c r="M50" s="7">
        <v>0</v>
      </c>
      <c r="N50" s="106">
        <v>23610</v>
      </c>
    </row>
    <row r="51" spans="1:14">
      <c r="A51" s="21" t="s">
        <v>1604</v>
      </c>
      <c r="B51" s="5" t="s">
        <v>1620</v>
      </c>
      <c r="C51" s="6" t="s">
        <v>45</v>
      </c>
      <c r="D51" s="6" t="s">
        <v>19</v>
      </c>
      <c r="E51" s="103">
        <v>30608716390</v>
      </c>
      <c r="F51" s="7">
        <v>19512.400000000001</v>
      </c>
      <c r="G51" s="7">
        <v>0</v>
      </c>
      <c r="H51" s="8">
        <v>0</v>
      </c>
      <c r="I51" s="8">
        <v>0</v>
      </c>
      <c r="J51" s="8">
        <v>0</v>
      </c>
      <c r="K51" s="8">
        <v>4097.6000000000004</v>
      </c>
      <c r="L51" s="8">
        <v>0</v>
      </c>
      <c r="M51" s="7">
        <v>0</v>
      </c>
      <c r="N51" s="106">
        <v>23610</v>
      </c>
    </row>
    <row r="52" spans="1:14">
      <c r="A52" s="21" t="s">
        <v>1604</v>
      </c>
      <c r="B52" s="5" t="s">
        <v>1621</v>
      </c>
      <c r="C52" s="6" t="s">
        <v>45</v>
      </c>
      <c r="D52" s="6" t="s">
        <v>19</v>
      </c>
      <c r="E52" s="103">
        <v>30608716390</v>
      </c>
      <c r="F52" s="7">
        <v>4962.8100000000004</v>
      </c>
      <c r="G52" s="7">
        <v>0</v>
      </c>
      <c r="H52" s="8">
        <v>0</v>
      </c>
      <c r="I52" s="8">
        <v>0</v>
      </c>
      <c r="J52" s="8">
        <v>0</v>
      </c>
      <c r="K52" s="8">
        <v>1042.19</v>
      </c>
      <c r="L52" s="8">
        <v>0</v>
      </c>
      <c r="M52" s="7">
        <v>0</v>
      </c>
      <c r="N52" s="106">
        <v>6005</v>
      </c>
    </row>
    <row r="53" spans="1:14">
      <c r="A53" s="21" t="s">
        <v>1604</v>
      </c>
      <c r="B53" s="5" t="s">
        <v>1622</v>
      </c>
      <c r="C53" s="6" t="s">
        <v>45</v>
      </c>
      <c r="D53" s="6" t="s">
        <v>19</v>
      </c>
      <c r="E53" s="103">
        <v>30608716390</v>
      </c>
      <c r="F53" s="7">
        <v>5826.45</v>
      </c>
      <c r="G53" s="7">
        <v>0</v>
      </c>
      <c r="H53" s="8">
        <v>0</v>
      </c>
      <c r="I53" s="8">
        <v>0</v>
      </c>
      <c r="J53" s="8">
        <v>0</v>
      </c>
      <c r="K53" s="8">
        <v>1223.55</v>
      </c>
      <c r="L53" s="8">
        <v>0</v>
      </c>
      <c r="M53" s="7">
        <v>0</v>
      </c>
      <c r="N53" s="106">
        <v>7050</v>
      </c>
    </row>
    <row r="54" spans="1:14">
      <c r="A54" s="21" t="s">
        <v>1604</v>
      </c>
      <c r="B54" s="5" t="s">
        <v>1623</v>
      </c>
      <c r="C54" s="6" t="s">
        <v>45</v>
      </c>
      <c r="D54" s="6" t="s">
        <v>19</v>
      </c>
      <c r="E54" s="103">
        <v>30608716390</v>
      </c>
      <c r="F54" s="7">
        <v>4661.16</v>
      </c>
      <c r="G54" s="7">
        <v>0</v>
      </c>
      <c r="H54" s="8">
        <v>0</v>
      </c>
      <c r="I54" s="8">
        <v>0</v>
      </c>
      <c r="J54" s="8">
        <v>0</v>
      </c>
      <c r="K54" s="8">
        <v>978.84</v>
      </c>
      <c r="L54" s="8">
        <v>0</v>
      </c>
      <c r="M54" s="7">
        <v>0</v>
      </c>
      <c r="N54" s="106">
        <v>5640</v>
      </c>
    </row>
    <row r="55" spans="1:14">
      <c r="A55" s="21" t="s">
        <v>1604</v>
      </c>
      <c r="B55" s="5" t="s">
        <v>1624</v>
      </c>
      <c r="C55" s="6" t="s">
        <v>45</v>
      </c>
      <c r="D55" s="6" t="s">
        <v>19</v>
      </c>
      <c r="E55" s="103">
        <v>30608716390</v>
      </c>
      <c r="F55" s="7">
        <v>11652.89</v>
      </c>
      <c r="G55" s="7">
        <v>0</v>
      </c>
      <c r="H55" s="8">
        <v>0</v>
      </c>
      <c r="I55" s="8">
        <v>0</v>
      </c>
      <c r="J55" s="8">
        <v>0</v>
      </c>
      <c r="K55" s="8">
        <v>2447.11</v>
      </c>
      <c r="L55" s="8">
        <v>0</v>
      </c>
      <c r="M55" s="7">
        <v>0</v>
      </c>
      <c r="N55" s="106">
        <v>14100</v>
      </c>
    </row>
    <row r="56" spans="1:14">
      <c r="A56" s="21" t="s">
        <v>1604</v>
      </c>
      <c r="B56" s="5" t="s">
        <v>1625</v>
      </c>
      <c r="C56" s="6" t="s">
        <v>45</v>
      </c>
      <c r="D56" s="6" t="s">
        <v>19</v>
      </c>
      <c r="E56" s="103">
        <v>30608716390</v>
      </c>
      <c r="F56" s="7">
        <v>9925.6200000000008</v>
      </c>
      <c r="G56" s="7">
        <v>0</v>
      </c>
      <c r="H56" s="8">
        <v>0</v>
      </c>
      <c r="I56" s="8">
        <v>0</v>
      </c>
      <c r="J56" s="8">
        <v>0</v>
      </c>
      <c r="K56" s="8">
        <v>2084.38</v>
      </c>
      <c r="L56" s="8">
        <v>0</v>
      </c>
      <c r="M56" s="7">
        <v>0</v>
      </c>
      <c r="N56" s="106">
        <v>12010</v>
      </c>
    </row>
    <row r="57" spans="1:14">
      <c r="A57" s="21" t="s">
        <v>1604</v>
      </c>
      <c r="B57" s="5" t="s">
        <v>1626</v>
      </c>
      <c r="C57" s="6" t="s">
        <v>45</v>
      </c>
      <c r="D57" s="6" t="s">
        <v>19</v>
      </c>
      <c r="E57" s="103">
        <v>30608716390</v>
      </c>
      <c r="F57" s="7">
        <v>38404.959999999999</v>
      </c>
      <c r="G57" s="7">
        <v>0</v>
      </c>
      <c r="H57" s="8">
        <v>0</v>
      </c>
      <c r="I57" s="8">
        <v>0</v>
      </c>
      <c r="J57" s="8">
        <v>0</v>
      </c>
      <c r="K57" s="8">
        <v>8065.04</v>
      </c>
      <c r="L57" s="8">
        <v>0</v>
      </c>
      <c r="M57" s="7">
        <v>0</v>
      </c>
      <c r="N57" s="106">
        <v>46470</v>
      </c>
    </row>
    <row r="58" spans="1:14">
      <c r="A58" s="21" t="s">
        <v>1604</v>
      </c>
      <c r="B58" s="5" t="s">
        <v>1627</v>
      </c>
      <c r="C58" s="6" t="s">
        <v>45</v>
      </c>
      <c r="D58" s="6" t="s">
        <v>19</v>
      </c>
      <c r="E58" s="103">
        <v>30608716390</v>
      </c>
      <c r="F58" s="7">
        <v>11652.89</v>
      </c>
      <c r="G58" s="7">
        <v>0</v>
      </c>
      <c r="H58" s="8">
        <v>0</v>
      </c>
      <c r="I58" s="8">
        <v>0</v>
      </c>
      <c r="J58" s="8">
        <v>0</v>
      </c>
      <c r="K58" s="8">
        <v>2447.11</v>
      </c>
      <c r="L58" s="8">
        <v>0</v>
      </c>
      <c r="M58" s="7">
        <v>0</v>
      </c>
      <c r="N58" s="106">
        <v>14100</v>
      </c>
    </row>
    <row r="59" spans="1:14">
      <c r="A59" s="21" t="s">
        <v>1628</v>
      </c>
      <c r="B59" s="5" t="s">
        <v>1648</v>
      </c>
      <c r="C59" s="6" t="s">
        <v>1216</v>
      </c>
      <c r="D59" s="6" t="s">
        <v>19</v>
      </c>
      <c r="E59" s="103">
        <v>30590412631</v>
      </c>
      <c r="F59" s="7">
        <v>31404.959999999999</v>
      </c>
      <c r="G59" s="7">
        <v>0</v>
      </c>
      <c r="H59" s="8">
        <v>0</v>
      </c>
      <c r="I59" s="8">
        <v>0</v>
      </c>
      <c r="J59" s="8">
        <v>0</v>
      </c>
      <c r="K59" s="8">
        <v>6595.04</v>
      </c>
      <c r="L59" s="8">
        <v>0</v>
      </c>
      <c r="M59" s="7">
        <v>0</v>
      </c>
      <c r="N59" s="106">
        <v>38000</v>
      </c>
    </row>
    <row r="60" spans="1:14">
      <c r="A60" s="21" t="s">
        <v>1628</v>
      </c>
      <c r="B60" s="5" t="s">
        <v>1649</v>
      </c>
      <c r="C60" s="6" t="s">
        <v>76</v>
      </c>
      <c r="D60" s="6" t="s">
        <v>19</v>
      </c>
      <c r="E60" s="103">
        <v>30606274161</v>
      </c>
      <c r="F60" s="7">
        <v>36264.46</v>
      </c>
      <c r="G60" s="7">
        <v>0</v>
      </c>
      <c r="H60" s="8">
        <v>0</v>
      </c>
      <c r="I60" s="8">
        <v>0</v>
      </c>
      <c r="J60" s="8">
        <v>0</v>
      </c>
      <c r="K60" s="8">
        <v>7615.54</v>
      </c>
      <c r="L60" s="8">
        <v>0</v>
      </c>
      <c r="M60" s="7">
        <v>0</v>
      </c>
      <c r="N60" s="106">
        <v>43880</v>
      </c>
    </row>
    <row r="61" spans="1:14">
      <c r="A61" s="21" t="s">
        <v>1651</v>
      </c>
      <c r="B61" s="5" t="s">
        <v>1659</v>
      </c>
      <c r="C61" s="6" t="s">
        <v>25</v>
      </c>
      <c r="D61" s="6" t="s">
        <v>19</v>
      </c>
      <c r="E61" s="103">
        <v>30522428163</v>
      </c>
      <c r="F61" s="7">
        <v>11640.9</v>
      </c>
      <c r="G61" s="7">
        <v>0</v>
      </c>
      <c r="H61" s="8">
        <v>0</v>
      </c>
      <c r="I61" s="8">
        <v>0</v>
      </c>
      <c r="J61" s="8">
        <v>0</v>
      </c>
      <c r="K61" s="8">
        <v>2444.59</v>
      </c>
      <c r="L61" s="8">
        <v>0</v>
      </c>
      <c r="M61" s="7">
        <v>0</v>
      </c>
      <c r="N61" s="106">
        <v>14085.49</v>
      </c>
    </row>
    <row r="62" spans="1:14">
      <c r="A62" s="21" t="s">
        <v>1673</v>
      </c>
      <c r="B62" s="5" t="s">
        <v>1691</v>
      </c>
      <c r="C62" s="6" t="s">
        <v>25</v>
      </c>
      <c r="D62" s="6" t="s">
        <v>19</v>
      </c>
      <c r="E62" s="103">
        <v>30522428163</v>
      </c>
      <c r="F62" s="7">
        <v>61620.9</v>
      </c>
      <c r="G62" s="7">
        <v>0</v>
      </c>
      <c r="H62" s="8">
        <v>0</v>
      </c>
      <c r="I62" s="8">
        <v>0</v>
      </c>
      <c r="J62" s="8">
        <v>0</v>
      </c>
      <c r="K62" s="8">
        <v>12940.39</v>
      </c>
      <c r="L62" s="8">
        <v>0</v>
      </c>
      <c r="M62" s="7">
        <v>0</v>
      </c>
      <c r="N62" s="106">
        <v>74561.290000000008</v>
      </c>
    </row>
    <row r="63" spans="1:14">
      <c r="A63" s="21" t="s">
        <v>1673</v>
      </c>
      <c r="B63" s="5" t="s">
        <v>1692</v>
      </c>
      <c r="C63" s="6" t="s">
        <v>25</v>
      </c>
      <c r="D63" s="6" t="s">
        <v>19</v>
      </c>
      <c r="E63" s="103">
        <v>30522428163</v>
      </c>
      <c r="F63" s="7">
        <v>71479.490000000005</v>
      </c>
      <c r="G63" s="7">
        <v>0</v>
      </c>
      <c r="H63" s="8">
        <v>0</v>
      </c>
      <c r="I63" s="8">
        <v>0</v>
      </c>
      <c r="J63" s="8">
        <v>0</v>
      </c>
      <c r="K63" s="8">
        <v>15010.69</v>
      </c>
      <c r="L63" s="8">
        <v>0</v>
      </c>
      <c r="M63" s="7">
        <v>0</v>
      </c>
      <c r="N63" s="106">
        <v>86490.18</v>
      </c>
    </row>
    <row r="64" spans="1:14">
      <c r="A64" s="21" t="s">
        <v>1673</v>
      </c>
      <c r="B64" s="5" t="s">
        <v>1693</v>
      </c>
      <c r="C64" s="6" t="s">
        <v>1694</v>
      </c>
      <c r="D64" s="6" t="s">
        <v>19</v>
      </c>
      <c r="E64" s="103">
        <v>30604958640</v>
      </c>
      <c r="F64" s="7">
        <v>216000</v>
      </c>
      <c r="G64" s="7">
        <v>0</v>
      </c>
      <c r="H64" s="8">
        <v>0</v>
      </c>
      <c r="I64" s="8">
        <v>0</v>
      </c>
      <c r="J64" s="8">
        <v>0</v>
      </c>
      <c r="K64" s="8">
        <v>45360</v>
      </c>
      <c r="L64" s="8">
        <v>0</v>
      </c>
      <c r="M64" s="7">
        <v>0</v>
      </c>
      <c r="N64" s="106">
        <v>261360</v>
      </c>
    </row>
    <row r="65" spans="1:14">
      <c r="A65" s="21" t="s">
        <v>1700</v>
      </c>
      <c r="B65" s="5" t="s">
        <v>1716</v>
      </c>
      <c r="C65" s="6" t="s">
        <v>25</v>
      </c>
      <c r="D65" s="6" t="s">
        <v>19</v>
      </c>
      <c r="E65" s="103">
        <v>30522428163</v>
      </c>
      <c r="F65" s="7">
        <v>119277.3</v>
      </c>
      <c r="G65" s="7">
        <v>0</v>
      </c>
      <c r="H65" s="8">
        <v>0</v>
      </c>
      <c r="I65" s="8">
        <v>0</v>
      </c>
      <c r="J65" s="8">
        <v>0</v>
      </c>
      <c r="K65" s="8">
        <v>25048.23</v>
      </c>
      <c r="L65" s="8">
        <v>0</v>
      </c>
      <c r="M65" s="7">
        <v>0</v>
      </c>
      <c r="N65" s="106">
        <v>144325.53</v>
      </c>
    </row>
    <row r="66" spans="1:14">
      <c r="A66" s="21" t="s">
        <v>1700</v>
      </c>
      <c r="B66" s="5" t="s">
        <v>1717</v>
      </c>
      <c r="C66" s="6" t="s">
        <v>25</v>
      </c>
      <c r="D66" s="6" t="s">
        <v>19</v>
      </c>
      <c r="E66" s="103">
        <v>30522428163</v>
      </c>
      <c r="F66" s="7">
        <v>47364.54</v>
      </c>
      <c r="G66" s="7">
        <v>0</v>
      </c>
      <c r="H66" s="8">
        <v>0</v>
      </c>
      <c r="I66" s="8">
        <v>0</v>
      </c>
      <c r="J66" s="8">
        <v>0</v>
      </c>
      <c r="K66" s="8">
        <v>9946.5500000000011</v>
      </c>
      <c r="L66" s="8">
        <v>0</v>
      </c>
      <c r="M66" s="7">
        <v>0</v>
      </c>
      <c r="N66" s="106">
        <v>57311.09</v>
      </c>
    </row>
    <row r="67" spans="1:14">
      <c r="A67" s="21" t="s">
        <v>1700</v>
      </c>
      <c r="B67" s="5" t="s">
        <v>1718</v>
      </c>
      <c r="C67" s="6" t="s">
        <v>25</v>
      </c>
      <c r="D67" s="6" t="s">
        <v>19</v>
      </c>
      <c r="E67" s="103">
        <v>30522428163</v>
      </c>
      <c r="F67" s="7">
        <v>71474.850000000006</v>
      </c>
      <c r="G67" s="7">
        <v>0</v>
      </c>
      <c r="H67" s="8">
        <v>0</v>
      </c>
      <c r="I67" s="8">
        <v>0</v>
      </c>
      <c r="J67" s="8">
        <v>0</v>
      </c>
      <c r="K67" s="8">
        <v>15009.72</v>
      </c>
      <c r="L67" s="8">
        <v>0</v>
      </c>
      <c r="M67" s="7">
        <v>0</v>
      </c>
      <c r="N67" s="106">
        <v>86484.57</v>
      </c>
    </row>
    <row r="68" spans="1:14">
      <c r="A68" s="21" t="s">
        <v>1730</v>
      </c>
      <c r="B68" s="5" t="s">
        <v>1747</v>
      </c>
      <c r="C68" s="6" t="s">
        <v>36</v>
      </c>
      <c r="D68" s="6" t="s">
        <v>19</v>
      </c>
      <c r="E68" s="103">
        <v>30683032227</v>
      </c>
      <c r="F68" s="7">
        <v>690082.64</v>
      </c>
      <c r="G68" s="7">
        <v>0</v>
      </c>
      <c r="H68" s="8">
        <v>0</v>
      </c>
      <c r="I68" s="8">
        <v>0</v>
      </c>
      <c r="J68" s="8">
        <v>0</v>
      </c>
      <c r="K68" s="8">
        <v>144917.35</v>
      </c>
      <c r="L68" s="8">
        <v>0</v>
      </c>
      <c r="M68" s="7">
        <v>0</v>
      </c>
      <c r="N68" s="106">
        <v>834999.99</v>
      </c>
    </row>
    <row r="69" spans="1:14">
      <c r="A69" s="21" t="s">
        <v>1730</v>
      </c>
      <c r="B69" s="5" t="s">
        <v>1748</v>
      </c>
      <c r="C69" s="6" t="s">
        <v>25</v>
      </c>
      <c r="D69" s="6" t="s">
        <v>19</v>
      </c>
      <c r="E69" s="103">
        <v>30522428163</v>
      </c>
      <c r="F69" s="7">
        <v>337539.67</v>
      </c>
      <c r="G69" s="7">
        <v>0</v>
      </c>
      <c r="H69" s="8">
        <v>0</v>
      </c>
      <c r="I69" s="8">
        <v>0</v>
      </c>
      <c r="J69" s="8">
        <v>0</v>
      </c>
      <c r="K69" s="8">
        <v>70883.33</v>
      </c>
      <c r="L69" s="8">
        <v>0</v>
      </c>
      <c r="M69" s="7">
        <v>0</v>
      </c>
      <c r="N69" s="106">
        <v>408423</v>
      </c>
    </row>
    <row r="70" spans="1:14">
      <c r="A70" s="21" t="s">
        <v>1730</v>
      </c>
      <c r="B70" s="5" t="s">
        <v>1749</v>
      </c>
      <c r="C70" s="6" t="s">
        <v>108</v>
      </c>
      <c r="D70" s="6" t="s">
        <v>19</v>
      </c>
      <c r="E70" s="103">
        <v>20223256393</v>
      </c>
      <c r="F70" s="7">
        <v>19834.71</v>
      </c>
      <c r="G70" s="7">
        <v>0</v>
      </c>
      <c r="H70" s="8">
        <v>0</v>
      </c>
      <c r="I70" s="8">
        <v>0</v>
      </c>
      <c r="J70" s="8">
        <v>0</v>
      </c>
      <c r="K70" s="8">
        <v>4165.29</v>
      </c>
      <c r="L70" s="8">
        <v>0</v>
      </c>
      <c r="M70" s="7">
        <v>0</v>
      </c>
      <c r="N70" s="106">
        <v>24000</v>
      </c>
    </row>
    <row r="71" spans="1:14">
      <c r="A71" s="21" t="s">
        <v>1755</v>
      </c>
      <c r="B71" s="5" t="s">
        <v>1768</v>
      </c>
      <c r="C71" s="6" t="s">
        <v>120</v>
      </c>
      <c r="D71" s="6" t="s">
        <v>19</v>
      </c>
      <c r="E71" s="103">
        <v>27182477368</v>
      </c>
      <c r="F71" s="7">
        <v>20661.25</v>
      </c>
      <c r="G71" s="7">
        <v>0</v>
      </c>
      <c r="H71" s="8">
        <v>0</v>
      </c>
      <c r="I71" s="8">
        <v>0</v>
      </c>
      <c r="J71" s="8">
        <v>0</v>
      </c>
      <c r="K71" s="8">
        <v>4338.8599999999997</v>
      </c>
      <c r="L71" s="8">
        <v>0</v>
      </c>
      <c r="M71" s="7">
        <v>0</v>
      </c>
      <c r="N71" s="106">
        <v>25000.11</v>
      </c>
    </row>
    <row r="72" spans="1:14">
      <c r="A72" s="21" t="s">
        <v>1777</v>
      </c>
      <c r="B72" s="5" t="s">
        <v>1791</v>
      </c>
      <c r="C72" s="6" t="s">
        <v>84</v>
      </c>
      <c r="D72" s="6" t="s">
        <v>19</v>
      </c>
      <c r="E72" s="103">
        <v>30546771314</v>
      </c>
      <c r="F72" s="7">
        <v>354071.07</v>
      </c>
      <c r="G72" s="7">
        <v>0</v>
      </c>
      <c r="H72" s="8">
        <v>0</v>
      </c>
      <c r="I72" s="8">
        <v>0</v>
      </c>
      <c r="J72" s="8">
        <v>0</v>
      </c>
      <c r="K72" s="8">
        <v>74354.92</v>
      </c>
      <c r="L72" s="8">
        <v>0</v>
      </c>
      <c r="M72" s="7">
        <v>0</v>
      </c>
      <c r="N72" s="106">
        <v>428425.99</v>
      </c>
    </row>
    <row r="73" spans="1:14">
      <c r="A73" s="21" t="s">
        <v>1792</v>
      </c>
      <c r="B73" s="5" t="s">
        <v>1806</v>
      </c>
      <c r="C73" s="6" t="s">
        <v>45</v>
      </c>
      <c r="D73" s="6" t="s">
        <v>19</v>
      </c>
      <c r="E73" s="103">
        <v>30608716390</v>
      </c>
      <c r="F73" s="7">
        <v>192024.8</v>
      </c>
      <c r="G73" s="7">
        <v>0</v>
      </c>
      <c r="H73" s="8">
        <v>0</v>
      </c>
      <c r="I73" s="8">
        <v>0</v>
      </c>
      <c r="J73" s="8">
        <v>0</v>
      </c>
      <c r="K73" s="8">
        <v>40325.200000000004</v>
      </c>
      <c r="L73" s="8">
        <v>0</v>
      </c>
      <c r="M73" s="7">
        <v>0</v>
      </c>
      <c r="N73" s="106">
        <v>232350</v>
      </c>
    </row>
    <row r="74" spans="1:14">
      <c r="A74" s="21" t="s">
        <v>1807</v>
      </c>
      <c r="B74" s="5" t="s">
        <v>1823</v>
      </c>
      <c r="C74" s="6" t="s">
        <v>25</v>
      </c>
      <c r="D74" s="6" t="s">
        <v>19</v>
      </c>
      <c r="E74" s="103">
        <v>30522428163</v>
      </c>
      <c r="F74" s="7">
        <v>273553.72000000003</v>
      </c>
      <c r="G74" s="7">
        <v>0</v>
      </c>
      <c r="H74" s="8">
        <v>0</v>
      </c>
      <c r="I74" s="8">
        <v>0</v>
      </c>
      <c r="J74" s="8">
        <v>0</v>
      </c>
      <c r="K74" s="8">
        <v>57446.28</v>
      </c>
      <c r="L74" s="8">
        <v>0</v>
      </c>
      <c r="M74" s="7">
        <v>0</v>
      </c>
      <c r="N74" s="106">
        <v>331000</v>
      </c>
    </row>
    <row r="75" spans="1:14">
      <c r="A75" s="21" t="s">
        <v>1826</v>
      </c>
      <c r="B75" s="5" t="s">
        <v>1839</v>
      </c>
      <c r="C75" s="6" t="s">
        <v>45</v>
      </c>
      <c r="D75" s="6" t="s">
        <v>19</v>
      </c>
      <c r="E75" s="103">
        <v>30608716390</v>
      </c>
      <c r="F75" s="7">
        <v>28479.34</v>
      </c>
      <c r="G75" s="7">
        <v>0</v>
      </c>
      <c r="H75" s="8">
        <v>0</v>
      </c>
      <c r="I75" s="8">
        <v>0</v>
      </c>
      <c r="J75" s="8">
        <v>0</v>
      </c>
      <c r="K75" s="8">
        <v>5980.66</v>
      </c>
      <c r="L75" s="8">
        <v>0</v>
      </c>
      <c r="M75" s="7">
        <v>0</v>
      </c>
      <c r="N75" s="106">
        <v>34460</v>
      </c>
    </row>
    <row r="76" spans="1:14">
      <c r="A76" s="21" t="s">
        <v>1826</v>
      </c>
      <c r="B76" s="5" t="s">
        <v>1840</v>
      </c>
      <c r="C76" s="6" t="s">
        <v>45</v>
      </c>
      <c r="D76" s="6" t="s">
        <v>19</v>
      </c>
      <c r="E76" s="103">
        <v>30608716390</v>
      </c>
      <c r="F76" s="7">
        <v>56958.68</v>
      </c>
      <c r="G76" s="7">
        <v>0</v>
      </c>
      <c r="H76" s="8">
        <v>0</v>
      </c>
      <c r="I76" s="8">
        <v>0</v>
      </c>
      <c r="J76" s="8">
        <v>0</v>
      </c>
      <c r="K76" s="8">
        <v>11961.32</v>
      </c>
      <c r="L76" s="8">
        <v>0</v>
      </c>
      <c r="M76" s="7">
        <v>0</v>
      </c>
      <c r="N76" s="106">
        <v>68920</v>
      </c>
    </row>
    <row r="77" spans="1:14">
      <c r="A77" s="21" t="s">
        <v>1826</v>
      </c>
      <c r="B77" s="5" t="s">
        <v>1841</v>
      </c>
      <c r="C77" s="6" t="s">
        <v>45</v>
      </c>
      <c r="D77" s="6" t="s">
        <v>19</v>
      </c>
      <c r="E77" s="103">
        <v>30608716390</v>
      </c>
      <c r="F77" s="7">
        <v>23305.78</v>
      </c>
      <c r="G77" s="7">
        <v>0</v>
      </c>
      <c r="H77" s="8">
        <v>0</v>
      </c>
      <c r="I77" s="8">
        <v>0</v>
      </c>
      <c r="J77" s="8">
        <v>0</v>
      </c>
      <c r="K77" s="8">
        <v>4894.21</v>
      </c>
      <c r="L77" s="8">
        <v>0</v>
      </c>
      <c r="M77" s="7">
        <v>0</v>
      </c>
      <c r="N77" s="106">
        <v>28199.99</v>
      </c>
    </row>
    <row r="78" spans="1:14">
      <c r="A78" s="21" t="s">
        <v>1826</v>
      </c>
      <c r="B78" s="5" t="s">
        <v>1842</v>
      </c>
      <c r="C78" s="6" t="s">
        <v>45</v>
      </c>
      <c r="D78" s="6" t="s">
        <v>19</v>
      </c>
      <c r="E78" s="103">
        <v>30608716390</v>
      </c>
      <c r="F78" s="7">
        <v>29132.23</v>
      </c>
      <c r="G78" s="7">
        <v>0</v>
      </c>
      <c r="H78" s="8">
        <v>0</v>
      </c>
      <c r="I78" s="8">
        <v>0</v>
      </c>
      <c r="J78" s="8">
        <v>0</v>
      </c>
      <c r="K78" s="8">
        <v>6117.77</v>
      </c>
      <c r="L78" s="8">
        <v>0</v>
      </c>
      <c r="M78" s="7">
        <v>0</v>
      </c>
      <c r="N78" s="106">
        <v>35250</v>
      </c>
    </row>
    <row r="79" spans="1:14">
      <c r="A79" s="21" t="s">
        <v>1826</v>
      </c>
      <c r="B79" s="5" t="s">
        <v>1843</v>
      </c>
      <c r="C79" s="6" t="s">
        <v>45</v>
      </c>
      <c r="D79" s="6" t="s">
        <v>19</v>
      </c>
      <c r="E79" s="103">
        <v>30608716390</v>
      </c>
      <c r="F79" s="7">
        <v>33652.9</v>
      </c>
      <c r="G79" s="7">
        <v>0</v>
      </c>
      <c r="H79" s="8">
        <v>0</v>
      </c>
      <c r="I79" s="8">
        <v>0</v>
      </c>
      <c r="J79" s="8">
        <v>0</v>
      </c>
      <c r="K79" s="8">
        <v>7067.11</v>
      </c>
      <c r="L79" s="8">
        <v>0</v>
      </c>
      <c r="M79" s="7">
        <v>0</v>
      </c>
      <c r="N79" s="106">
        <v>40720.01</v>
      </c>
    </row>
    <row r="80" spans="1:14">
      <c r="A80" s="21" t="s">
        <v>1844</v>
      </c>
      <c r="B80" s="5" t="s">
        <v>1861</v>
      </c>
      <c r="C80" s="6" t="s">
        <v>25</v>
      </c>
      <c r="D80" s="6" t="s">
        <v>19</v>
      </c>
      <c r="E80" s="103">
        <v>30522428163</v>
      </c>
      <c r="F80" s="7">
        <v>28264.5</v>
      </c>
      <c r="G80" s="7">
        <v>0</v>
      </c>
      <c r="H80" s="8">
        <v>0</v>
      </c>
      <c r="I80" s="8">
        <v>0</v>
      </c>
      <c r="J80" s="8">
        <v>0</v>
      </c>
      <c r="K80" s="8">
        <v>5935.55</v>
      </c>
      <c r="L80" s="8">
        <v>0</v>
      </c>
      <c r="M80" s="7">
        <v>0</v>
      </c>
      <c r="N80" s="106">
        <v>34200.050000000003</v>
      </c>
    </row>
    <row r="81" spans="1:14">
      <c r="A81" s="21" t="s">
        <v>1844</v>
      </c>
      <c r="B81" s="5" t="s">
        <v>1862</v>
      </c>
      <c r="C81" s="6" t="s">
        <v>25</v>
      </c>
      <c r="D81" s="6" t="s">
        <v>19</v>
      </c>
      <c r="E81" s="103">
        <v>30522428163</v>
      </c>
      <c r="F81" s="7">
        <v>16963.5</v>
      </c>
      <c r="G81" s="7">
        <v>0</v>
      </c>
      <c r="H81" s="8">
        <v>0</v>
      </c>
      <c r="I81" s="8">
        <v>0</v>
      </c>
      <c r="J81" s="8">
        <v>0</v>
      </c>
      <c r="K81" s="8">
        <v>3562.34</v>
      </c>
      <c r="L81" s="8">
        <v>0</v>
      </c>
      <c r="M81" s="7">
        <v>0</v>
      </c>
      <c r="N81" s="106">
        <v>20525.84</v>
      </c>
    </row>
    <row r="82" spans="1:14">
      <c r="A82" s="21" t="s">
        <v>1844</v>
      </c>
      <c r="B82" s="5" t="s">
        <v>1863</v>
      </c>
      <c r="C82" s="6" t="s">
        <v>25</v>
      </c>
      <c r="D82" s="6" t="s">
        <v>19</v>
      </c>
      <c r="E82" s="103">
        <v>30522428163</v>
      </c>
      <c r="F82" s="7">
        <v>52233</v>
      </c>
      <c r="G82" s="7">
        <v>0</v>
      </c>
      <c r="H82" s="8">
        <v>0</v>
      </c>
      <c r="I82" s="8">
        <v>0</v>
      </c>
      <c r="J82" s="8">
        <v>0</v>
      </c>
      <c r="K82" s="8">
        <v>10968.93</v>
      </c>
      <c r="L82" s="8">
        <v>0</v>
      </c>
      <c r="M82" s="7">
        <v>0</v>
      </c>
      <c r="N82" s="106">
        <v>63201.93</v>
      </c>
    </row>
    <row r="83" spans="1:14">
      <c r="A83" s="21" t="s">
        <v>1448</v>
      </c>
      <c r="B83" s="5" t="s">
        <v>1458</v>
      </c>
      <c r="C83" s="6" t="s">
        <v>25</v>
      </c>
      <c r="D83" s="6" t="s">
        <v>19</v>
      </c>
      <c r="E83" s="103">
        <v>30522428163</v>
      </c>
      <c r="F83" s="7">
        <v>-108133.2</v>
      </c>
      <c r="G83" s="7">
        <v>0</v>
      </c>
      <c r="H83" s="8">
        <v>0</v>
      </c>
      <c r="I83" s="8">
        <v>0</v>
      </c>
      <c r="J83" s="8">
        <v>0</v>
      </c>
      <c r="K83" s="8">
        <v>-22707.97</v>
      </c>
      <c r="L83" s="8">
        <v>0</v>
      </c>
      <c r="M83" s="7">
        <v>0</v>
      </c>
      <c r="N83" s="106">
        <v>-130841.17</v>
      </c>
    </row>
    <row r="84" spans="1:14">
      <c r="A84" s="21" t="s">
        <v>1604</v>
      </c>
      <c r="B84" s="5" t="s">
        <v>1618</v>
      </c>
      <c r="C84" s="6" t="s">
        <v>45</v>
      </c>
      <c r="D84" s="6" t="s">
        <v>19</v>
      </c>
      <c r="E84" s="103">
        <v>30608716390</v>
      </c>
      <c r="F84" s="7">
        <v>-19512.400000000001</v>
      </c>
      <c r="G84" s="7">
        <v>0</v>
      </c>
      <c r="H84" s="8">
        <v>0</v>
      </c>
      <c r="I84" s="8">
        <v>0</v>
      </c>
      <c r="J84" s="8">
        <v>0</v>
      </c>
      <c r="K84" s="8">
        <v>-4097.6000000000004</v>
      </c>
      <c r="L84" s="8">
        <v>0</v>
      </c>
      <c r="M84" s="7">
        <v>0</v>
      </c>
      <c r="N84" s="106">
        <v>-23610</v>
      </c>
    </row>
    <row r="85" spans="1:14" hidden="1">
      <c r="A85" s="21" t="s">
        <v>1448</v>
      </c>
      <c r="B85" s="5" t="s">
        <v>1449</v>
      </c>
      <c r="C85" s="6" t="s">
        <v>134</v>
      </c>
      <c r="D85" s="6" t="s">
        <v>135</v>
      </c>
      <c r="E85" s="103" t="s">
        <v>136</v>
      </c>
      <c r="F85" s="7">
        <v>10743.8</v>
      </c>
      <c r="G85" s="7">
        <v>0</v>
      </c>
      <c r="H85" s="8">
        <v>0</v>
      </c>
      <c r="I85" s="8">
        <v>0</v>
      </c>
      <c r="J85" s="8">
        <v>0</v>
      </c>
      <c r="K85" s="8">
        <v>2256.2000000000003</v>
      </c>
      <c r="L85" s="8">
        <v>0</v>
      </c>
      <c r="M85" s="7">
        <v>0</v>
      </c>
      <c r="N85" s="106">
        <v>13000</v>
      </c>
    </row>
    <row r="86" spans="1:14" hidden="1">
      <c r="A86" s="21" t="s">
        <v>1448</v>
      </c>
      <c r="B86" s="5" t="s">
        <v>1450</v>
      </c>
      <c r="C86" s="6" t="s">
        <v>134</v>
      </c>
      <c r="D86" s="6" t="s">
        <v>135</v>
      </c>
      <c r="E86" s="103" t="s">
        <v>136</v>
      </c>
      <c r="F86" s="7">
        <v>10743.8</v>
      </c>
      <c r="G86" s="7">
        <v>0</v>
      </c>
      <c r="H86" s="8">
        <v>0</v>
      </c>
      <c r="I86" s="8">
        <v>0</v>
      </c>
      <c r="J86" s="8">
        <v>0</v>
      </c>
      <c r="K86" s="8">
        <v>2256.2000000000003</v>
      </c>
      <c r="L86" s="8">
        <v>0</v>
      </c>
      <c r="M86" s="7">
        <v>0</v>
      </c>
      <c r="N86" s="106">
        <v>13000</v>
      </c>
    </row>
    <row r="87" spans="1:14" hidden="1">
      <c r="A87" s="21" t="s">
        <v>1448</v>
      </c>
      <c r="B87" s="5" t="s">
        <v>1451</v>
      </c>
      <c r="C87" s="6" t="s">
        <v>134</v>
      </c>
      <c r="D87" s="6" t="s">
        <v>135</v>
      </c>
      <c r="E87" s="103" t="s">
        <v>136</v>
      </c>
      <c r="F87" s="7">
        <v>10413.219999999999</v>
      </c>
      <c r="G87" s="7">
        <v>0</v>
      </c>
      <c r="H87" s="8">
        <v>0</v>
      </c>
      <c r="I87" s="8">
        <v>0</v>
      </c>
      <c r="J87" s="8">
        <v>0</v>
      </c>
      <c r="K87" s="8">
        <v>2186.7800000000002</v>
      </c>
      <c r="L87" s="8">
        <v>0</v>
      </c>
      <c r="M87" s="7">
        <v>0</v>
      </c>
      <c r="N87" s="106">
        <v>12600</v>
      </c>
    </row>
    <row r="88" spans="1:14" hidden="1">
      <c r="A88" s="21" t="s">
        <v>1448</v>
      </c>
      <c r="B88" s="5" t="s">
        <v>1452</v>
      </c>
      <c r="C88" s="6" t="s">
        <v>134</v>
      </c>
      <c r="D88" s="6" t="s">
        <v>135</v>
      </c>
      <c r="E88" s="103" t="s">
        <v>136</v>
      </c>
      <c r="F88" s="7">
        <v>119008.26</v>
      </c>
      <c r="G88" s="7">
        <v>0</v>
      </c>
      <c r="H88" s="8">
        <v>0</v>
      </c>
      <c r="I88" s="8">
        <v>0</v>
      </c>
      <c r="J88" s="8">
        <v>0</v>
      </c>
      <c r="K88" s="8">
        <v>24991.74</v>
      </c>
      <c r="L88" s="8">
        <v>0</v>
      </c>
      <c r="M88" s="7">
        <v>0</v>
      </c>
      <c r="N88" s="106">
        <v>144000</v>
      </c>
    </row>
    <row r="89" spans="1:14" hidden="1">
      <c r="A89" s="21" t="s">
        <v>1448</v>
      </c>
      <c r="B89" s="5" t="s">
        <v>1453</v>
      </c>
      <c r="C89" s="6" t="s">
        <v>134</v>
      </c>
      <c r="D89" s="6" t="s">
        <v>135</v>
      </c>
      <c r="E89" s="103" t="s">
        <v>136</v>
      </c>
      <c r="F89" s="7">
        <v>14669.42</v>
      </c>
      <c r="G89" s="7">
        <v>0</v>
      </c>
      <c r="H89" s="8">
        <v>0</v>
      </c>
      <c r="I89" s="8">
        <v>0</v>
      </c>
      <c r="J89" s="8">
        <v>0</v>
      </c>
      <c r="K89" s="8">
        <v>3080.58</v>
      </c>
      <c r="L89" s="8">
        <v>0</v>
      </c>
      <c r="M89" s="7">
        <v>0</v>
      </c>
      <c r="N89" s="106">
        <v>17750</v>
      </c>
    </row>
    <row r="90" spans="1:14" hidden="1">
      <c r="A90" s="21" t="s">
        <v>1448</v>
      </c>
      <c r="B90" s="5" t="s">
        <v>1454</v>
      </c>
      <c r="C90" s="6" t="s">
        <v>134</v>
      </c>
      <c r="D90" s="6" t="s">
        <v>135</v>
      </c>
      <c r="E90" s="103" t="s">
        <v>136</v>
      </c>
      <c r="F90" s="7">
        <v>10578.51</v>
      </c>
      <c r="G90" s="7">
        <v>0</v>
      </c>
      <c r="H90" s="8">
        <v>0</v>
      </c>
      <c r="I90" s="8">
        <v>0</v>
      </c>
      <c r="J90" s="8">
        <v>0</v>
      </c>
      <c r="K90" s="8">
        <v>2221.4900000000002</v>
      </c>
      <c r="L90" s="8">
        <v>0</v>
      </c>
      <c r="M90" s="7">
        <v>0</v>
      </c>
      <c r="N90" s="106">
        <v>12800</v>
      </c>
    </row>
    <row r="91" spans="1:14" hidden="1">
      <c r="A91" s="21" t="s">
        <v>1448</v>
      </c>
      <c r="B91" s="5" t="s">
        <v>1455</v>
      </c>
      <c r="C91" s="6" t="s">
        <v>134</v>
      </c>
      <c r="D91" s="6" t="s">
        <v>135</v>
      </c>
      <c r="E91" s="103" t="s">
        <v>136</v>
      </c>
      <c r="F91" s="7">
        <v>7768.6</v>
      </c>
      <c r="G91" s="7">
        <v>0</v>
      </c>
      <c r="H91" s="8">
        <v>0</v>
      </c>
      <c r="I91" s="8">
        <v>0</v>
      </c>
      <c r="J91" s="8">
        <v>0</v>
      </c>
      <c r="K91" s="8">
        <v>1631.4</v>
      </c>
      <c r="L91" s="8">
        <v>0</v>
      </c>
      <c r="M91" s="7">
        <v>0</v>
      </c>
      <c r="N91" s="106">
        <v>9400</v>
      </c>
    </row>
    <row r="92" spans="1:14" hidden="1">
      <c r="A92" s="21" t="s">
        <v>1448</v>
      </c>
      <c r="B92" s="5" t="s">
        <v>1456</v>
      </c>
      <c r="C92" s="6" t="s">
        <v>134</v>
      </c>
      <c r="D92" s="6" t="s">
        <v>135</v>
      </c>
      <c r="E92" s="103" t="s">
        <v>136</v>
      </c>
      <c r="F92" s="7">
        <v>10743.8</v>
      </c>
      <c r="G92" s="7">
        <v>0</v>
      </c>
      <c r="H92" s="8">
        <v>0</v>
      </c>
      <c r="I92" s="8">
        <v>0</v>
      </c>
      <c r="J92" s="8">
        <v>0</v>
      </c>
      <c r="K92" s="8">
        <v>2256.2000000000003</v>
      </c>
      <c r="L92" s="8">
        <v>0</v>
      </c>
      <c r="M92" s="7">
        <v>0</v>
      </c>
      <c r="N92" s="106">
        <v>13000</v>
      </c>
    </row>
    <row r="93" spans="1:14" hidden="1">
      <c r="A93" s="21" t="s">
        <v>1448</v>
      </c>
      <c r="B93" s="5" t="s">
        <v>1457</v>
      </c>
      <c r="C93" s="6" t="s">
        <v>134</v>
      </c>
      <c r="D93" s="6" t="s">
        <v>135</v>
      </c>
      <c r="E93" s="103" t="s">
        <v>136</v>
      </c>
      <c r="F93" s="7">
        <v>31818.18</v>
      </c>
      <c r="G93" s="7">
        <v>0</v>
      </c>
      <c r="H93" s="8">
        <v>0</v>
      </c>
      <c r="I93" s="8">
        <v>0</v>
      </c>
      <c r="J93" s="8">
        <v>0</v>
      </c>
      <c r="K93" s="8">
        <v>6681.82</v>
      </c>
      <c r="L93" s="8">
        <v>0</v>
      </c>
      <c r="M93" s="7">
        <v>0</v>
      </c>
      <c r="N93" s="106">
        <v>38500</v>
      </c>
    </row>
    <row r="94" spans="1:14" hidden="1">
      <c r="A94" s="21" t="s">
        <v>1472</v>
      </c>
      <c r="B94" s="5" t="s">
        <v>1473</v>
      </c>
      <c r="C94" s="6" t="s">
        <v>134</v>
      </c>
      <c r="D94" s="6" t="s">
        <v>135</v>
      </c>
      <c r="E94" s="103" t="s">
        <v>136</v>
      </c>
      <c r="F94" s="7">
        <v>10743.8</v>
      </c>
      <c r="G94" s="7">
        <v>0</v>
      </c>
      <c r="H94" s="8">
        <v>0</v>
      </c>
      <c r="I94" s="8">
        <v>0</v>
      </c>
      <c r="J94" s="8">
        <v>0</v>
      </c>
      <c r="K94" s="8">
        <v>2256.2000000000003</v>
      </c>
      <c r="L94" s="8">
        <v>0</v>
      </c>
      <c r="M94" s="7">
        <v>0</v>
      </c>
      <c r="N94" s="106">
        <v>13000</v>
      </c>
    </row>
    <row r="95" spans="1:14" hidden="1">
      <c r="A95" s="21" t="s">
        <v>1472</v>
      </c>
      <c r="B95" s="5" t="s">
        <v>1474</v>
      </c>
      <c r="C95" s="6" t="s">
        <v>134</v>
      </c>
      <c r="D95" s="6" t="s">
        <v>135</v>
      </c>
      <c r="E95" s="103" t="s">
        <v>136</v>
      </c>
      <c r="F95" s="7">
        <v>29752.07</v>
      </c>
      <c r="G95" s="7">
        <v>0</v>
      </c>
      <c r="H95" s="8">
        <v>0</v>
      </c>
      <c r="I95" s="8">
        <v>0</v>
      </c>
      <c r="J95" s="8">
        <v>0</v>
      </c>
      <c r="K95" s="8">
        <v>6247.93</v>
      </c>
      <c r="L95" s="8">
        <v>0</v>
      </c>
      <c r="M95" s="7">
        <v>0</v>
      </c>
      <c r="N95" s="106">
        <v>36000</v>
      </c>
    </row>
    <row r="96" spans="1:14" hidden="1">
      <c r="A96" s="21" t="s">
        <v>1472</v>
      </c>
      <c r="B96" s="5" t="s">
        <v>1475</v>
      </c>
      <c r="C96" s="6" t="s">
        <v>134</v>
      </c>
      <c r="D96" s="6" t="s">
        <v>135</v>
      </c>
      <c r="E96" s="103" t="s">
        <v>136</v>
      </c>
      <c r="F96" s="7">
        <v>31685.95</v>
      </c>
      <c r="G96" s="7">
        <v>0</v>
      </c>
      <c r="H96" s="8">
        <v>0</v>
      </c>
      <c r="I96" s="8">
        <v>0</v>
      </c>
      <c r="J96" s="8">
        <v>0</v>
      </c>
      <c r="K96" s="8">
        <v>6654.05</v>
      </c>
      <c r="L96" s="8">
        <v>0</v>
      </c>
      <c r="M96" s="7">
        <v>0</v>
      </c>
      <c r="N96" s="106">
        <v>38340</v>
      </c>
    </row>
    <row r="97" spans="1:14" hidden="1">
      <c r="A97" s="21" t="s">
        <v>1472</v>
      </c>
      <c r="B97" s="5" t="s">
        <v>1476</v>
      </c>
      <c r="C97" s="6" t="s">
        <v>134</v>
      </c>
      <c r="D97" s="6" t="s">
        <v>135</v>
      </c>
      <c r="E97" s="103" t="s">
        <v>136</v>
      </c>
      <c r="F97" s="7">
        <v>21487.599999999999</v>
      </c>
      <c r="G97" s="7">
        <v>0</v>
      </c>
      <c r="H97" s="8">
        <v>0</v>
      </c>
      <c r="I97" s="8">
        <v>0</v>
      </c>
      <c r="J97" s="8">
        <v>0</v>
      </c>
      <c r="K97" s="8">
        <v>4512.4000000000005</v>
      </c>
      <c r="L97" s="8">
        <v>0</v>
      </c>
      <c r="M97" s="7">
        <v>0</v>
      </c>
      <c r="N97" s="106">
        <v>26000</v>
      </c>
    </row>
    <row r="98" spans="1:14" hidden="1">
      <c r="A98" s="21" t="s">
        <v>1472</v>
      </c>
      <c r="B98" s="5" t="s">
        <v>1477</v>
      </c>
      <c r="C98" s="6" t="s">
        <v>134</v>
      </c>
      <c r="D98" s="6" t="s">
        <v>135</v>
      </c>
      <c r="E98" s="103" t="s">
        <v>136</v>
      </c>
      <c r="F98" s="7">
        <v>15289.26</v>
      </c>
      <c r="G98" s="7">
        <v>0</v>
      </c>
      <c r="H98" s="8">
        <v>0</v>
      </c>
      <c r="I98" s="8">
        <v>0</v>
      </c>
      <c r="J98" s="8">
        <v>0</v>
      </c>
      <c r="K98" s="8">
        <v>3210.74</v>
      </c>
      <c r="L98" s="8">
        <v>0</v>
      </c>
      <c r="M98" s="7">
        <v>0</v>
      </c>
      <c r="N98" s="106">
        <v>18500</v>
      </c>
    </row>
    <row r="99" spans="1:14" hidden="1">
      <c r="A99" s="21" t="s">
        <v>1472</v>
      </c>
      <c r="B99" s="5" t="s">
        <v>1478</v>
      </c>
      <c r="C99" s="6" t="s">
        <v>134</v>
      </c>
      <c r="D99" s="6" t="s">
        <v>135</v>
      </c>
      <c r="E99" s="103" t="s">
        <v>136</v>
      </c>
      <c r="F99" s="7">
        <v>10743.8</v>
      </c>
      <c r="G99" s="7">
        <v>0</v>
      </c>
      <c r="H99" s="8">
        <v>0</v>
      </c>
      <c r="I99" s="8">
        <v>0</v>
      </c>
      <c r="J99" s="8">
        <v>0</v>
      </c>
      <c r="K99" s="8">
        <v>2256.2000000000003</v>
      </c>
      <c r="L99" s="8">
        <v>0</v>
      </c>
      <c r="M99" s="7">
        <v>0</v>
      </c>
      <c r="N99" s="106">
        <v>13000</v>
      </c>
    </row>
    <row r="100" spans="1:14" hidden="1">
      <c r="A100" s="21" t="s">
        <v>1472</v>
      </c>
      <c r="B100" s="5" t="s">
        <v>1479</v>
      </c>
      <c r="C100" s="6" t="s">
        <v>134</v>
      </c>
      <c r="D100" s="6" t="s">
        <v>135</v>
      </c>
      <c r="E100" s="103" t="s">
        <v>136</v>
      </c>
      <c r="F100" s="7">
        <v>22066.12</v>
      </c>
      <c r="G100" s="7">
        <v>0</v>
      </c>
      <c r="H100" s="8">
        <v>0</v>
      </c>
      <c r="I100" s="8">
        <v>0</v>
      </c>
      <c r="J100" s="8">
        <v>0</v>
      </c>
      <c r="K100" s="8">
        <v>4633.88</v>
      </c>
      <c r="L100" s="8">
        <v>0</v>
      </c>
      <c r="M100" s="7">
        <v>0</v>
      </c>
      <c r="N100" s="106">
        <v>26700</v>
      </c>
    </row>
    <row r="101" spans="1:14" hidden="1">
      <c r="A101" s="21" t="s">
        <v>1472</v>
      </c>
      <c r="B101" s="5" t="s">
        <v>1480</v>
      </c>
      <c r="C101" s="6" t="s">
        <v>134</v>
      </c>
      <c r="D101" s="6" t="s">
        <v>135</v>
      </c>
      <c r="E101" s="103" t="s">
        <v>136</v>
      </c>
      <c r="F101" s="7">
        <v>10743.8</v>
      </c>
      <c r="G101" s="7">
        <v>0</v>
      </c>
      <c r="H101" s="8">
        <v>0</v>
      </c>
      <c r="I101" s="8">
        <v>0</v>
      </c>
      <c r="J101" s="8">
        <v>0</v>
      </c>
      <c r="K101" s="8">
        <v>2256.2000000000003</v>
      </c>
      <c r="L101" s="8">
        <v>0</v>
      </c>
      <c r="M101" s="7">
        <v>0</v>
      </c>
      <c r="N101" s="106">
        <v>13000</v>
      </c>
    </row>
    <row r="102" spans="1:14" hidden="1">
      <c r="A102" s="21" t="s">
        <v>1472</v>
      </c>
      <c r="B102" s="5" t="s">
        <v>1481</v>
      </c>
      <c r="C102" s="6" t="s">
        <v>134</v>
      </c>
      <c r="D102" s="6" t="s">
        <v>135</v>
      </c>
      <c r="E102" s="103" t="s">
        <v>136</v>
      </c>
      <c r="F102" s="7">
        <v>10743.8</v>
      </c>
      <c r="G102" s="7">
        <v>0</v>
      </c>
      <c r="H102" s="8">
        <v>0</v>
      </c>
      <c r="I102" s="8">
        <v>0</v>
      </c>
      <c r="J102" s="8">
        <v>0</v>
      </c>
      <c r="K102" s="8">
        <v>2256.2000000000003</v>
      </c>
      <c r="L102" s="8">
        <v>0</v>
      </c>
      <c r="M102" s="7">
        <v>0</v>
      </c>
      <c r="N102" s="106">
        <v>13000</v>
      </c>
    </row>
    <row r="103" spans="1:14" hidden="1">
      <c r="A103" s="21" t="s">
        <v>1472</v>
      </c>
      <c r="B103" s="5" t="s">
        <v>1482</v>
      </c>
      <c r="C103" s="6" t="s">
        <v>134</v>
      </c>
      <c r="D103" s="6" t="s">
        <v>135</v>
      </c>
      <c r="E103" s="103" t="s">
        <v>136</v>
      </c>
      <c r="F103" s="7">
        <v>31818.18</v>
      </c>
      <c r="G103" s="7">
        <v>0</v>
      </c>
      <c r="H103" s="8">
        <v>0</v>
      </c>
      <c r="I103" s="8">
        <v>0</v>
      </c>
      <c r="J103" s="8">
        <v>0</v>
      </c>
      <c r="K103" s="8">
        <v>6681.82</v>
      </c>
      <c r="L103" s="8">
        <v>0</v>
      </c>
      <c r="M103" s="7">
        <v>0</v>
      </c>
      <c r="N103" s="106">
        <v>38500</v>
      </c>
    </row>
    <row r="104" spans="1:14" hidden="1">
      <c r="A104" s="21" t="s">
        <v>1498</v>
      </c>
      <c r="B104" s="5" t="s">
        <v>1499</v>
      </c>
      <c r="C104" s="6" t="s">
        <v>134</v>
      </c>
      <c r="D104" s="6" t="s">
        <v>135</v>
      </c>
      <c r="E104" s="103" t="s">
        <v>136</v>
      </c>
      <c r="F104" s="7">
        <v>28264.46</v>
      </c>
      <c r="G104" s="7">
        <v>0</v>
      </c>
      <c r="H104" s="8">
        <v>0</v>
      </c>
      <c r="I104" s="8">
        <v>0</v>
      </c>
      <c r="J104" s="8">
        <v>0</v>
      </c>
      <c r="K104" s="8">
        <v>5935.54</v>
      </c>
      <c r="L104" s="8">
        <v>0</v>
      </c>
      <c r="M104" s="7">
        <v>0</v>
      </c>
      <c r="N104" s="106">
        <v>34200</v>
      </c>
    </row>
    <row r="105" spans="1:14" hidden="1">
      <c r="A105" s="21" t="s">
        <v>1498</v>
      </c>
      <c r="B105" s="5" t="s">
        <v>1500</v>
      </c>
      <c r="C105" s="6" t="s">
        <v>134</v>
      </c>
      <c r="D105" s="6" t="s">
        <v>135</v>
      </c>
      <c r="E105" s="103" t="s">
        <v>136</v>
      </c>
      <c r="F105" s="7">
        <v>11900.83</v>
      </c>
      <c r="G105" s="7">
        <v>0</v>
      </c>
      <c r="H105" s="8">
        <v>0</v>
      </c>
      <c r="I105" s="8">
        <v>0</v>
      </c>
      <c r="J105" s="8">
        <v>0</v>
      </c>
      <c r="K105" s="8">
        <v>2499.17</v>
      </c>
      <c r="L105" s="8">
        <v>0</v>
      </c>
      <c r="M105" s="7">
        <v>0</v>
      </c>
      <c r="N105" s="106">
        <v>14400</v>
      </c>
    </row>
    <row r="106" spans="1:14" hidden="1">
      <c r="A106" s="21" t="s">
        <v>1498</v>
      </c>
      <c r="B106" s="5" t="s">
        <v>1501</v>
      </c>
      <c r="C106" s="6" t="s">
        <v>134</v>
      </c>
      <c r="D106" s="6" t="s">
        <v>135</v>
      </c>
      <c r="E106" s="103" t="s">
        <v>136</v>
      </c>
      <c r="F106" s="7">
        <v>14669.42</v>
      </c>
      <c r="G106" s="7">
        <v>0</v>
      </c>
      <c r="H106" s="8">
        <v>0</v>
      </c>
      <c r="I106" s="8">
        <v>0</v>
      </c>
      <c r="J106" s="8">
        <v>0</v>
      </c>
      <c r="K106" s="8">
        <v>3080.58</v>
      </c>
      <c r="L106" s="8">
        <v>0</v>
      </c>
      <c r="M106" s="7">
        <v>0</v>
      </c>
      <c r="N106" s="106">
        <v>17750</v>
      </c>
    </row>
    <row r="107" spans="1:14" hidden="1">
      <c r="A107" s="21" t="s">
        <v>1498</v>
      </c>
      <c r="B107" s="5" t="s">
        <v>1502</v>
      </c>
      <c r="C107" s="6" t="s">
        <v>134</v>
      </c>
      <c r="D107" s="6" t="s">
        <v>135</v>
      </c>
      <c r="E107" s="103" t="s">
        <v>136</v>
      </c>
      <c r="F107" s="7">
        <v>23966.94</v>
      </c>
      <c r="G107" s="7">
        <v>0</v>
      </c>
      <c r="H107" s="8">
        <v>0</v>
      </c>
      <c r="I107" s="8">
        <v>0</v>
      </c>
      <c r="J107" s="8">
        <v>0</v>
      </c>
      <c r="K107" s="8">
        <v>5033.0600000000004</v>
      </c>
      <c r="L107" s="8">
        <v>0</v>
      </c>
      <c r="M107" s="7">
        <v>0</v>
      </c>
      <c r="N107" s="106">
        <v>29000</v>
      </c>
    </row>
    <row r="108" spans="1:14" hidden="1">
      <c r="A108" s="21" t="s">
        <v>1498</v>
      </c>
      <c r="B108" s="5" t="s">
        <v>1503</v>
      </c>
      <c r="C108" s="6" t="s">
        <v>134</v>
      </c>
      <c r="D108" s="6" t="s">
        <v>135</v>
      </c>
      <c r="E108" s="103" t="s">
        <v>136</v>
      </c>
      <c r="F108" s="7">
        <v>28925.62</v>
      </c>
      <c r="G108" s="7">
        <v>0</v>
      </c>
      <c r="H108" s="8">
        <v>0</v>
      </c>
      <c r="I108" s="8">
        <v>0</v>
      </c>
      <c r="J108" s="8">
        <v>0</v>
      </c>
      <c r="K108" s="8">
        <v>6074.38</v>
      </c>
      <c r="L108" s="8">
        <v>0</v>
      </c>
      <c r="M108" s="7">
        <v>0</v>
      </c>
      <c r="N108" s="106">
        <v>35000</v>
      </c>
    </row>
    <row r="109" spans="1:14" hidden="1">
      <c r="A109" s="21" t="s">
        <v>1498</v>
      </c>
      <c r="B109" s="5" t="s">
        <v>1504</v>
      </c>
      <c r="C109" s="6" t="s">
        <v>134</v>
      </c>
      <c r="D109" s="6" t="s">
        <v>135</v>
      </c>
      <c r="E109" s="103" t="s">
        <v>136</v>
      </c>
      <c r="F109" s="7">
        <v>10330.58</v>
      </c>
      <c r="G109" s="7">
        <v>0</v>
      </c>
      <c r="H109" s="8">
        <v>0</v>
      </c>
      <c r="I109" s="8">
        <v>0</v>
      </c>
      <c r="J109" s="8">
        <v>0</v>
      </c>
      <c r="K109" s="8">
        <v>2169.42</v>
      </c>
      <c r="L109" s="8">
        <v>0</v>
      </c>
      <c r="M109" s="7">
        <v>0</v>
      </c>
      <c r="N109" s="106">
        <v>12500</v>
      </c>
    </row>
    <row r="110" spans="1:14" hidden="1">
      <c r="A110" s="21" t="s">
        <v>1498</v>
      </c>
      <c r="B110" s="5" t="s">
        <v>1505</v>
      </c>
      <c r="C110" s="6" t="s">
        <v>134</v>
      </c>
      <c r="D110" s="6" t="s">
        <v>135</v>
      </c>
      <c r="E110" s="103" t="s">
        <v>136</v>
      </c>
      <c r="F110" s="7">
        <v>14462.81</v>
      </c>
      <c r="G110" s="7">
        <v>0</v>
      </c>
      <c r="H110" s="8">
        <v>0</v>
      </c>
      <c r="I110" s="8">
        <v>0</v>
      </c>
      <c r="J110" s="8">
        <v>0</v>
      </c>
      <c r="K110" s="8">
        <v>3037.19</v>
      </c>
      <c r="L110" s="8">
        <v>0</v>
      </c>
      <c r="M110" s="7">
        <v>0</v>
      </c>
      <c r="N110" s="106">
        <v>17500</v>
      </c>
    </row>
    <row r="111" spans="1:14" hidden="1">
      <c r="A111" s="21" t="s">
        <v>1510</v>
      </c>
      <c r="B111" s="5" t="s">
        <v>1511</v>
      </c>
      <c r="C111" s="6" t="s">
        <v>134</v>
      </c>
      <c r="D111" s="6" t="s">
        <v>135</v>
      </c>
      <c r="E111" s="103" t="s">
        <v>136</v>
      </c>
      <c r="F111" s="7">
        <v>57272.73</v>
      </c>
      <c r="G111" s="7">
        <v>0</v>
      </c>
      <c r="H111" s="8">
        <v>0</v>
      </c>
      <c r="I111" s="8">
        <v>0</v>
      </c>
      <c r="J111" s="8">
        <v>0</v>
      </c>
      <c r="K111" s="8">
        <v>12027.27</v>
      </c>
      <c r="L111" s="8">
        <v>0</v>
      </c>
      <c r="M111" s="7">
        <v>0</v>
      </c>
      <c r="N111" s="106">
        <v>69300</v>
      </c>
    </row>
    <row r="112" spans="1:14" hidden="1">
      <c r="A112" s="21" t="s">
        <v>1510</v>
      </c>
      <c r="B112" s="5" t="s">
        <v>1512</v>
      </c>
      <c r="C112" s="6" t="s">
        <v>134</v>
      </c>
      <c r="D112" s="6" t="s">
        <v>135</v>
      </c>
      <c r="E112" s="103" t="s">
        <v>136</v>
      </c>
      <c r="F112" s="7">
        <v>41322.31</v>
      </c>
      <c r="G112" s="7">
        <v>0</v>
      </c>
      <c r="H112" s="8">
        <v>0</v>
      </c>
      <c r="I112" s="8">
        <v>0</v>
      </c>
      <c r="J112" s="8">
        <v>0</v>
      </c>
      <c r="K112" s="8">
        <v>8677.69</v>
      </c>
      <c r="L112" s="8">
        <v>0</v>
      </c>
      <c r="M112" s="7">
        <v>0</v>
      </c>
      <c r="N112" s="106">
        <v>50000</v>
      </c>
    </row>
    <row r="113" spans="1:14">
      <c r="A113" s="21" t="s">
        <v>1510</v>
      </c>
      <c r="B113" s="5" t="s">
        <v>1513</v>
      </c>
      <c r="C113" s="6" t="s">
        <v>1514</v>
      </c>
      <c r="D113" s="6" t="s">
        <v>135</v>
      </c>
      <c r="E113" s="103">
        <v>26836084</v>
      </c>
      <c r="F113" s="7">
        <v>21487.599999999999</v>
      </c>
      <c r="G113" s="7">
        <v>0</v>
      </c>
      <c r="H113" s="8">
        <v>0</v>
      </c>
      <c r="I113" s="8">
        <v>0</v>
      </c>
      <c r="J113" s="8">
        <v>0</v>
      </c>
      <c r="K113" s="8">
        <v>4512.4000000000005</v>
      </c>
      <c r="L113" s="8">
        <v>0</v>
      </c>
      <c r="M113" s="7">
        <v>0</v>
      </c>
      <c r="N113" s="106">
        <v>26000</v>
      </c>
    </row>
    <row r="114" spans="1:14">
      <c r="A114" s="21" t="s">
        <v>1510</v>
      </c>
      <c r="B114" s="5" t="s">
        <v>1515</v>
      </c>
      <c r="C114" s="6" t="s">
        <v>1516</v>
      </c>
      <c r="D114" s="6" t="s">
        <v>135</v>
      </c>
      <c r="E114" s="103">
        <v>5240534</v>
      </c>
      <c r="F114" s="7">
        <v>25619.83</v>
      </c>
      <c r="G114" s="7">
        <v>0</v>
      </c>
      <c r="H114" s="8">
        <v>0</v>
      </c>
      <c r="I114" s="8">
        <v>0</v>
      </c>
      <c r="J114" s="8">
        <v>0</v>
      </c>
      <c r="K114" s="8">
        <v>5380.17</v>
      </c>
      <c r="L114" s="8">
        <v>0</v>
      </c>
      <c r="M114" s="7">
        <v>0</v>
      </c>
      <c r="N114" s="106">
        <v>31000</v>
      </c>
    </row>
    <row r="115" spans="1:14" hidden="1">
      <c r="A115" s="21" t="s">
        <v>1510</v>
      </c>
      <c r="B115" s="5" t="s">
        <v>1517</v>
      </c>
      <c r="C115" s="6" t="s">
        <v>134</v>
      </c>
      <c r="D115" s="6" t="s">
        <v>135</v>
      </c>
      <c r="E115" s="103" t="s">
        <v>136</v>
      </c>
      <c r="F115" s="7">
        <v>10743.8</v>
      </c>
      <c r="G115" s="7">
        <v>0</v>
      </c>
      <c r="H115" s="8">
        <v>0</v>
      </c>
      <c r="I115" s="8">
        <v>0</v>
      </c>
      <c r="J115" s="8">
        <v>0</v>
      </c>
      <c r="K115" s="8">
        <v>2256.2000000000003</v>
      </c>
      <c r="L115" s="8">
        <v>0</v>
      </c>
      <c r="M115" s="7">
        <v>0</v>
      </c>
      <c r="N115" s="106">
        <v>13000</v>
      </c>
    </row>
    <row r="116" spans="1:14" hidden="1">
      <c r="A116" s="21" t="s">
        <v>1510</v>
      </c>
      <c r="B116" s="5" t="s">
        <v>1518</v>
      </c>
      <c r="C116" s="6" t="s">
        <v>134</v>
      </c>
      <c r="D116" s="6" t="s">
        <v>135</v>
      </c>
      <c r="E116" s="103" t="s">
        <v>136</v>
      </c>
      <c r="F116" s="7">
        <v>5702.48</v>
      </c>
      <c r="G116" s="7">
        <v>0</v>
      </c>
      <c r="H116" s="8">
        <v>0</v>
      </c>
      <c r="I116" s="8">
        <v>0</v>
      </c>
      <c r="J116" s="8">
        <v>0</v>
      </c>
      <c r="K116" s="8">
        <v>1197.52</v>
      </c>
      <c r="L116" s="8">
        <v>0</v>
      </c>
      <c r="M116" s="7">
        <v>0</v>
      </c>
      <c r="N116" s="106">
        <v>6900</v>
      </c>
    </row>
    <row r="117" spans="1:14" hidden="1">
      <c r="A117" s="21" t="s">
        <v>1510</v>
      </c>
      <c r="B117" s="5" t="s">
        <v>1519</v>
      </c>
      <c r="C117" s="6" t="s">
        <v>134</v>
      </c>
      <c r="D117" s="6" t="s">
        <v>135</v>
      </c>
      <c r="E117" s="103" t="s">
        <v>136</v>
      </c>
      <c r="F117" s="7">
        <v>29338.84</v>
      </c>
      <c r="G117" s="7">
        <v>0</v>
      </c>
      <c r="H117" s="8">
        <v>0</v>
      </c>
      <c r="I117" s="8">
        <v>0</v>
      </c>
      <c r="J117" s="8">
        <v>0</v>
      </c>
      <c r="K117" s="8">
        <v>6161.16</v>
      </c>
      <c r="L117" s="8">
        <v>0</v>
      </c>
      <c r="M117" s="7">
        <v>0</v>
      </c>
      <c r="N117" s="106">
        <v>35500</v>
      </c>
    </row>
    <row r="118" spans="1:14" hidden="1">
      <c r="A118" s="21" t="s">
        <v>1510</v>
      </c>
      <c r="B118" s="5" t="s">
        <v>1520</v>
      </c>
      <c r="C118" s="6" t="s">
        <v>134</v>
      </c>
      <c r="D118" s="6" t="s">
        <v>135</v>
      </c>
      <c r="E118" s="103" t="s">
        <v>136</v>
      </c>
      <c r="F118" s="7">
        <v>10743.8</v>
      </c>
      <c r="G118" s="7">
        <v>0</v>
      </c>
      <c r="H118" s="8">
        <v>0</v>
      </c>
      <c r="I118" s="8">
        <v>0</v>
      </c>
      <c r="J118" s="8">
        <v>0</v>
      </c>
      <c r="K118" s="8">
        <v>2256.2000000000003</v>
      </c>
      <c r="L118" s="8">
        <v>0</v>
      </c>
      <c r="M118" s="7">
        <v>0</v>
      </c>
      <c r="N118" s="106">
        <v>13000</v>
      </c>
    </row>
    <row r="119" spans="1:14" hidden="1">
      <c r="A119" s="21" t="s">
        <v>1510</v>
      </c>
      <c r="B119" s="5" t="s">
        <v>1521</v>
      </c>
      <c r="C119" s="6" t="s">
        <v>134</v>
      </c>
      <c r="D119" s="6" t="s">
        <v>135</v>
      </c>
      <c r="E119" s="103" t="s">
        <v>136</v>
      </c>
      <c r="F119" s="7">
        <v>10743.8</v>
      </c>
      <c r="G119" s="7">
        <v>0</v>
      </c>
      <c r="H119" s="8">
        <v>0</v>
      </c>
      <c r="I119" s="8">
        <v>0</v>
      </c>
      <c r="J119" s="8">
        <v>0</v>
      </c>
      <c r="K119" s="8">
        <v>2256.2000000000003</v>
      </c>
      <c r="L119" s="8">
        <v>0</v>
      </c>
      <c r="M119" s="7">
        <v>0</v>
      </c>
      <c r="N119" s="106">
        <v>13000</v>
      </c>
    </row>
    <row r="120" spans="1:14" hidden="1">
      <c r="A120" s="21" t="s">
        <v>1510</v>
      </c>
      <c r="B120" s="5" t="s">
        <v>1522</v>
      </c>
      <c r="C120" s="6" t="s">
        <v>134</v>
      </c>
      <c r="D120" s="6" t="s">
        <v>135</v>
      </c>
      <c r="E120" s="103" t="s">
        <v>136</v>
      </c>
      <c r="F120" s="7">
        <v>16942.150000000001</v>
      </c>
      <c r="G120" s="7">
        <v>0</v>
      </c>
      <c r="H120" s="8">
        <v>0</v>
      </c>
      <c r="I120" s="8">
        <v>0</v>
      </c>
      <c r="J120" s="8">
        <v>0</v>
      </c>
      <c r="K120" s="8">
        <v>3557.85</v>
      </c>
      <c r="L120" s="8">
        <v>0</v>
      </c>
      <c r="M120" s="7">
        <v>0</v>
      </c>
      <c r="N120" s="106">
        <v>20500</v>
      </c>
    </row>
    <row r="121" spans="1:14" hidden="1">
      <c r="A121" s="21" t="s">
        <v>1527</v>
      </c>
      <c r="B121" s="5" t="s">
        <v>1528</v>
      </c>
      <c r="C121" s="6" t="s">
        <v>134</v>
      </c>
      <c r="D121" s="6" t="s">
        <v>135</v>
      </c>
      <c r="E121" s="103" t="s">
        <v>136</v>
      </c>
      <c r="F121" s="7">
        <v>9917.36</v>
      </c>
      <c r="G121" s="7">
        <v>0</v>
      </c>
      <c r="H121" s="8">
        <v>0</v>
      </c>
      <c r="I121" s="8">
        <v>0</v>
      </c>
      <c r="J121" s="8">
        <v>0</v>
      </c>
      <c r="K121" s="8">
        <v>2082.64</v>
      </c>
      <c r="L121" s="8">
        <v>0</v>
      </c>
      <c r="M121" s="7">
        <v>0</v>
      </c>
      <c r="N121" s="106">
        <v>12000</v>
      </c>
    </row>
    <row r="122" spans="1:14" hidden="1">
      <c r="A122" s="21" t="s">
        <v>1527</v>
      </c>
      <c r="B122" s="5" t="s">
        <v>1529</v>
      </c>
      <c r="C122" s="6" t="s">
        <v>134</v>
      </c>
      <c r="D122" s="6" t="s">
        <v>135</v>
      </c>
      <c r="E122" s="103" t="s">
        <v>136</v>
      </c>
      <c r="F122" s="7">
        <v>15702.48</v>
      </c>
      <c r="G122" s="7">
        <v>0</v>
      </c>
      <c r="H122" s="8">
        <v>0</v>
      </c>
      <c r="I122" s="8">
        <v>0</v>
      </c>
      <c r="J122" s="8">
        <v>0</v>
      </c>
      <c r="K122" s="8">
        <v>3297.52</v>
      </c>
      <c r="L122" s="8">
        <v>0</v>
      </c>
      <c r="M122" s="7">
        <v>0</v>
      </c>
      <c r="N122" s="106">
        <v>19000</v>
      </c>
    </row>
    <row r="123" spans="1:14" hidden="1">
      <c r="A123" s="21" t="s">
        <v>1527</v>
      </c>
      <c r="B123" s="5" t="s">
        <v>1530</v>
      </c>
      <c r="C123" s="6" t="s">
        <v>134</v>
      </c>
      <c r="D123" s="6" t="s">
        <v>135</v>
      </c>
      <c r="E123" s="103" t="s">
        <v>136</v>
      </c>
      <c r="F123" s="7">
        <v>10330.58</v>
      </c>
      <c r="G123" s="7">
        <v>0</v>
      </c>
      <c r="H123" s="8">
        <v>0</v>
      </c>
      <c r="I123" s="8">
        <v>0</v>
      </c>
      <c r="J123" s="8">
        <v>0</v>
      </c>
      <c r="K123" s="8">
        <v>2169.42</v>
      </c>
      <c r="L123" s="8">
        <v>0</v>
      </c>
      <c r="M123" s="7">
        <v>0</v>
      </c>
      <c r="N123" s="106">
        <v>12500</v>
      </c>
    </row>
    <row r="124" spans="1:14" hidden="1">
      <c r="A124" s="21" t="s">
        <v>1527</v>
      </c>
      <c r="B124" s="5" t="s">
        <v>1531</v>
      </c>
      <c r="C124" s="6" t="s">
        <v>134</v>
      </c>
      <c r="D124" s="6" t="s">
        <v>135</v>
      </c>
      <c r="E124" s="103" t="s">
        <v>136</v>
      </c>
      <c r="F124" s="7">
        <v>25619.83</v>
      </c>
      <c r="G124" s="7">
        <v>0</v>
      </c>
      <c r="H124" s="8">
        <v>0</v>
      </c>
      <c r="I124" s="8">
        <v>0</v>
      </c>
      <c r="J124" s="8">
        <v>0</v>
      </c>
      <c r="K124" s="8">
        <v>5380.17</v>
      </c>
      <c r="L124" s="8">
        <v>0</v>
      </c>
      <c r="M124" s="7">
        <v>0</v>
      </c>
      <c r="N124" s="106">
        <v>31000</v>
      </c>
    </row>
    <row r="125" spans="1:14" hidden="1">
      <c r="A125" s="21" t="s">
        <v>1527</v>
      </c>
      <c r="B125" s="5" t="s">
        <v>1532</v>
      </c>
      <c r="C125" s="6" t="s">
        <v>134</v>
      </c>
      <c r="D125" s="6" t="s">
        <v>135</v>
      </c>
      <c r="E125" s="103" t="s">
        <v>136</v>
      </c>
      <c r="F125" s="7">
        <v>25867.77</v>
      </c>
      <c r="G125" s="7">
        <v>0</v>
      </c>
      <c r="H125" s="8">
        <v>0</v>
      </c>
      <c r="I125" s="8">
        <v>0</v>
      </c>
      <c r="J125" s="8">
        <v>0</v>
      </c>
      <c r="K125" s="8">
        <v>5432.23</v>
      </c>
      <c r="L125" s="8">
        <v>0</v>
      </c>
      <c r="M125" s="7">
        <v>0</v>
      </c>
      <c r="N125" s="106">
        <v>31300</v>
      </c>
    </row>
    <row r="126" spans="1:14" hidden="1">
      <c r="A126" s="21" t="s">
        <v>1527</v>
      </c>
      <c r="B126" s="5" t="s">
        <v>1533</v>
      </c>
      <c r="C126" s="6" t="s">
        <v>134</v>
      </c>
      <c r="D126" s="6" t="s">
        <v>135</v>
      </c>
      <c r="E126" s="103" t="s">
        <v>136</v>
      </c>
      <c r="F126" s="7">
        <v>10743.8</v>
      </c>
      <c r="G126" s="7">
        <v>0</v>
      </c>
      <c r="H126" s="8">
        <v>0</v>
      </c>
      <c r="I126" s="8">
        <v>0</v>
      </c>
      <c r="J126" s="8">
        <v>0</v>
      </c>
      <c r="K126" s="8">
        <v>2256.2000000000003</v>
      </c>
      <c r="L126" s="8">
        <v>0</v>
      </c>
      <c r="M126" s="7">
        <v>0</v>
      </c>
      <c r="N126" s="106">
        <v>13000</v>
      </c>
    </row>
    <row r="127" spans="1:14">
      <c r="A127" s="21" t="s">
        <v>1527</v>
      </c>
      <c r="B127" s="5" t="s">
        <v>1534</v>
      </c>
      <c r="C127" s="6" t="s">
        <v>1535</v>
      </c>
      <c r="D127" s="6" t="s">
        <v>135</v>
      </c>
      <c r="E127" s="103">
        <v>92794478</v>
      </c>
      <c r="F127" s="7">
        <v>31404.959999999999</v>
      </c>
      <c r="G127" s="7">
        <v>0</v>
      </c>
      <c r="H127" s="8">
        <v>0</v>
      </c>
      <c r="I127" s="8">
        <v>0</v>
      </c>
      <c r="J127" s="8">
        <v>0</v>
      </c>
      <c r="K127" s="8">
        <v>6595.04</v>
      </c>
      <c r="L127" s="8">
        <v>0</v>
      </c>
      <c r="M127" s="7">
        <v>0</v>
      </c>
      <c r="N127" s="106">
        <v>38000</v>
      </c>
    </row>
    <row r="128" spans="1:14" hidden="1">
      <c r="A128" s="21" t="s">
        <v>1527</v>
      </c>
      <c r="B128" s="5" t="s">
        <v>1536</v>
      </c>
      <c r="C128" s="6" t="s">
        <v>134</v>
      </c>
      <c r="D128" s="6" t="s">
        <v>135</v>
      </c>
      <c r="E128" s="103" t="s">
        <v>136</v>
      </c>
      <c r="F128" s="7">
        <v>10950.41</v>
      </c>
      <c r="G128" s="7">
        <v>0</v>
      </c>
      <c r="H128" s="8">
        <v>0</v>
      </c>
      <c r="I128" s="8">
        <v>0</v>
      </c>
      <c r="J128" s="8">
        <v>0</v>
      </c>
      <c r="K128" s="8">
        <v>2299.59</v>
      </c>
      <c r="L128" s="8">
        <v>0</v>
      </c>
      <c r="M128" s="7">
        <v>0</v>
      </c>
      <c r="N128" s="106">
        <v>13250</v>
      </c>
    </row>
    <row r="129" spans="1:14" hidden="1">
      <c r="A129" s="21" t="s">
        <v>1546</v>
      </c>
      <c r="B129" s="5" t="s">
        <v>1547</v>
      </c>
      <c r="C129" s="6" t="s">
        <v>134</v>
      </c>
      <c r="D129" s="6" t="s">
        <v>135</v>
      </c>
      <c r="E129" s="103" t="s">
        <v>136</v>
      </c>
      <c r="F129" s="7">
        <v>11570.25</v>
      </c>
      <c r="G129" s="7">
        <v>0</v>
      </c>
      <c r="H129" s="8">
        <v>0</v>
      </c>
      <c r="I129" s="8">
        <v>0</v>
      </c>
      <c r="J129" s="8">
        <v>0</v>
      </c>
      <c r="K129" s="8">
        <v>2429.75</v>
      </c>
      <c r="L129" s="8">
        <v>0</v>
      </c>
      <c r="M129" s="7">
        <v>0</v>
      </c>
      <c r="N129" s="106">
        <v>14000</v>
      </c>
    </row>
    <row r="130" spans="1:14" hidden="1">
      <c r="A130" s="21" t="s">
        <v>1546</v>
      </c>
      <c r="B130" s="5" t="s">
        <v>1548</v>
      </c>
      <c r="C130" s="6" t="s">
        <v>134</v>
      </c>
      <c r="D130" s="6" t="s">
        <v>135</v>
      </c>
      <c r="E130" s="103" t="s">
        <v>136</v>
      </c>
      <c r="F130" s="7">
        <v>29752.07</v>
      </c>
      <c r="G130" s="7">
        <v>0</v>
      </c>
      <c r="H130" s="8">
        <v>0</v>
      </c>
      <c r="I130" s="8">
        <v>0</v>
      </c>
      <c r="J130" s="8">
        <v>0</v>
      </c>
      <c r="K130" s="8">
        <v>6247.93</v>
      </c>
      <c r="L130" s="8">
        <v>0</v>
      </c>
      <c r="M130" s="7">
        <v>0</v>
      </c>
      <c r="N130" s="106">
        <v>36000</v>
      </c>
    </row>
    <row r="131" spans="1:14" hidden="1">
      <c r="A131" s="21" t="s">
        <v>1546</v>
      </c>
      <c r="B131" s="5" t="s">
        <v>1549</v>
      </c>
      <c r="C131" s="6" t="s">
        <v>134</v>
      </c>
      <c r="D131" s="6" t="s">
        <v>135</v>
      </c>
      <c r="E131" s="103" t="s">
        <v>136</v>
      </c>
      <c r="F131" s="7">
        <v>81859.509999999995</v>
      </c>
      <c r="G131" s="7">
        <v>0</v>
      </c>
      <c r="H131" s="8">
        <v>0</v>
      </c>
      <c r="I131" s="8">
        <v>0</v>
      </c>
      <c r="J131" s="8">
        <v>0</v>
      </c>
      <c r="K131" s="8">
        <v>17190.490000000002</v>
      </c>
      <c r="L131" s="8">
        <v>0</v>
      </c>
      <c r="M131" s="7">
        <v>0</v>
      </c>
      <c r="N131" s="106">
        <v>99050</v>
      </c>
    </row>
    <row r="132" spans="1:14" hidden="1">
      <c r="A132" s="21" t="s">
        <v>1554</v>
      </c>
      <c r="B132" s="5" t="s">
        <v>1557</v>
      </c>
      <c r="C132" s="6" t="s">
        <v>134</v>
      </c>
      <c r="D132" s="6" t="s">
        <v>135</v>
      </c>
      <c r="E132" s="103" t="s">
        <v>136</v>
      </c>
      <c r="F132" s="7">
        <v>9173.5500000000011</v>
      </c>
      <c r="G132" s="7">
        <v>0</v>
      </c>
      <c r="H132" s="8">
        <v>0</v>
      </c>
      <c r="I132" s="8">
        <v>0</v>
      </c>
      <c r="J132" s="8">
        <v>0</v>
      </c>
      <c r="K132" s="8">
        <v>1926.45</v>
      </c>
      <c r="L132" s="8">
        <v>0</v>
      </c>
      <c r="M132" s="7">
        <v>0</v>
      </c>
      <c r="N132" s="106">
        <v>11100</v>
      </c>
    </row>
    <row r="133" spans="1:14" hidden="1">
      <c r="A133" s="21" t="s">
        <v>1554</v>
      </c>
      <c r="B133" s="5" t="s">
        <v>1558</v>
      </c>
      <c r="C133" s="6" t="s">
        <v>134</v>
      </c>
      <c r="D133" s="6" t="s">
        <v>135</v>
      </c>
      <c r="E133" s="103" t="s">
        <v>136</v>
      </c>
      <c r="F133" s="7">
        <v>12231.4</v>
      </c>
      <c r="G133" s="7">
        <v>0</v>
      </c>
      <c r="H133" s="8">
        <v>0</v>
      </c>
      <c r="I133" s="8">
        <v>0</v>
      </c>
      <c r="J133" s="8">
        <v>0</v>
      </c>
      <c r="K133" s="8">
        <v>2568.6</v>
      </c>
      <c r="L133" s="8">
        <v>0</v>
      </c>
      <c r="M133" s="7">
        <v>0</v>
      </c>
      <c r="N133" s="106">
        <v>14800</v>
      </c>
    </row>
    <row r="134" spans="1:14">
      <c r="A134" s="21" t="s">
        <v>1554</v>
      </c>
      <c r="B134" s="5" t="s">
        <v>1559</v>
      </c>
      <c r="C134" s="6" t="s">
        <v>1560</v>
      </c>
      <c r="D134" s="6" t="s">
        <v>135</v>
      </c>
      <c r="E134" s="103">
        <v>18319189</v>
      </c>
      <c r="F134" s="7">
        <v>21239.67</v>
      </c>
      <c r="G134" s="7">
        <v>0</v>
      </c>
      <c r="H134" s="8">
        <v>0</v>
      </c>
      <c r="I134" s="8">
        <v>0</v>
      </c>
      <c r="J134" s="8">
        <v>0</v>
      </c>
      <c r="K134" s="8">
        <v>4460.33</v>
      </c>
      <c r="L134" s="8">
        <v>0</v>
      </c>
      <c r="M134" s="7">
        <v>0</v>
      </c>
      <c r="N134" s="106">
        <v>25700</v>
      </c>
    </row>
    <row r="135" spans="1:14" hidden="1">
      <c r="A135" s="21" t="s">
        <v>1554</v>
      </c>
      <c r="B135" s="5" t="s">
        <v>1561</v>
      </c>
      <c r="C135" s="6" t="s">
        <v>134</v>
      </c>
      <c r="D135" s="6" t="s">
        <v>135</v>
      </c>
      <c r="E135" s="103" t="s">
        <v>136</v>
      </c>
      <c r="F135" s="7">
        <v>30578.51</v>
      </c>
      <c r="G135" s="7">
        <v>0</v>
      </c>
      <c r="H135" s="8">
        <v>0</v>
      </c>
      <c r="I135" s="8">
        <v>0</v>
      </c>
      <c r="J135" s="8">
        <v>0</v>
      </c>
      <c r="K135" s="8">
        <v>6421.49</v>
      </c>
      <c r="L135" s="8">
        <v>0</v>
      </c>
      <c r="M135" s="7">
        <v>0</v>
      </c>
      <c r="N135" s="106">
        <v>37000</v>
      </c>
    </row>
    <row r="136" spans="1:14" hidden="1">
      <c r="A136" s="21" t="s">
        <v>1554</v>
      </c>
      <c r="B136" s="5" t="s">
        <v>1562</v>
      </c>
      <c r="C136" s="6" t="s">
        <v>134</v>
      </c>
      <c r="D136" s="6" t="s">
        <v>135</v>
      </c>
      <c r="E136" s="103" t="s">
        <v>136</v>
      </c>
      <c r="F136" s="7">
        <v>10743.8</v>
      </c>
      <c r="G136" s="7">
        <v>0</v>
      </c>
      <c r="H136" s="8">
        <v>0</v>
      </c>
      <c r="I136" s="8">
        <v>0</v>
      </c>
      <c r="J136" s="8">
        <v>0</v>
      </c>
      <c r="K136" s="8">
        <v>2256.2000000000003</v>
      </c>
      <c r="L136" s="8">
        <v>0</v>
      </c>
      <c r="M136" s="7">
        <v>0</v>
      </c>
      <c r="N136" s="106">
        <v>13000</v>
      </c>
    </row>
    <row r="137" spans="1:14" hidden="1">
      <c r="A137" s="21" t="s">
        <v>1554</v>
      </c>
      <c r="B137" s="5" t="s">
        <v>1563</v>
      </c>
      <c r="C137" s="6" t="s">
        <v>134</v>
      </c>
      <c r="D137" s="6" t="s">
        <v>135</v>
      </c>
      <c r="E137" s="103" t="s">
        <v>136</v>
      </c>
      <c r="F137" s="7">
        <v>9669.42</v>
      </c>
      <c r="G137" s="7">
        <v>0</v>
      </c>
      <c r="H137" s="8">
        <v>0</v>
      </c>
      <c r="I137" s="8">
        <v>0</v>
      </c>
      <c r="J137" s="8">
        <v>0</v>
      </c>
      <c r="K137" s="8">
        <v>2030.5800000000002</v>
      </c>
      <c r="L137" s="8">
        <v>0</v>
      </c>
      <c r="M137" s="7">
        <v>0</v>
      </c>
      <c r="N137" s="106">
        <v>11700</v>
      </c>
    </row>
    <row r="138" spans="1:14" hidden="1">
      <c r="A138" s="21" t="s">
        <v>1554</v>
      </c>
      <c r="B138" s="5" t="s">
        <v>1564</v>
      </c>
      <c r="C138" s="6" t="s">
        <v>134</v>
      </c>
      <c r="D138" s="6" t="s">
        <v>135</v>
      </c>
      <c r="E138" s="103" t="s">
        <v>136</v>
      </c>
      <c r="F138" s="7">
        <v>25289.26</v>
      </c>
      <c r="G138" s="7">
        <v>0</v>
      </c>
      <c r="H138" s="8">
        <v>0</v>
      </c>
      <c r="I138" s="8">
        <v>0</v>
      </c>
      <c r="J138" s="8">
        <v>0</v>
      </c>
      <c r="K138" s="8">
        <v>5310.74</v>
      </c>
      <c r="L138" s="8">
        <v>0</v>
      </c>
      <c r="M138" s="7">
        <v>0</v>
      </c>
      <c r="N138" s="106">
        <v>30600</v>
      </c>
    </row>
    <row r="139" spans="1:14" hidden="1">
      <c r="A139" s="21" t="s">
        <v>1554</v>
      </c>
      <c r="B139" s="5" t="s">
        <v>1565</v>
      </c>
      <c r="C139" s="6" t="s">
        <v>134</v>
      </c>
      <c r="D139" s="6" t="s">
        <v>135</v>
      </c>
      <c r="E139" s="103" t="s">
        <v>136</v>
      </c>
      <c r="F139" s="7">
        <v>14462.81</v>
      </c>
      <c r="G139" s="7">
        <v>0</v>
      </c>
      <c r="H139" s="8">
        <v>0</v>
      </c>
      <c r="I139" s="8">
        <v>0</v>
      </c>
      <c r="J139" s="8">
        <v>0</v>
      </c>
      <c r="K139" s="8">
        <v>3037.19</v>
      </c>
      <c r="L139" s="8">
        <v>0</v>
      </c>
      <c r="M139" s="7">
        <v>0</v>
      </c>
      <c r="N139" s="106">
        <v>17500</v>
      </c>
    </row>
    <row r="140" spans="1:14" hidden="1">
      <c r="A140" s="21" t="s">
        <v>1554</v>
      </c>
      <c r="B140" s="5" t="s">
        <v>1566</v>
      </c>
      <c r="C140" s="6" t="s">
        <v>134</v>
      </c>
      <c r="D140" s="6" t="s">
        <v>135</v>
      </c>
      <c r="E140" s="103" t="s">
        <v>136</v>
      </c>
      <c r="F140" s="7">
        <v>11652.89</v>
      </c>
      <c r="G140" s="7">
        <v>0</v>
      </c>
      <c r="H140" s="8">
        <v>0</v>
      </c>
      <c r="I140" s="8">
        <v>0</v>
      </c>
      <c r="J140" s="8">
        <v>0</v>
      </c>
      <c r="K140" s="8">
        <v>2447.11</v>
      </c>
      <c r="L140" s="8">
        <v>0</v>
      </c>
      <c r="M140" s="7">
        <v>0</v>
      </c>
      <c r="N140" s="106">
        <v>14100</v>
      </c>
    </row>
    <row r="141" spans="1:14" hidden="1">
      <c r="A141" s="21" t="s">
        <v>1554</v>
      </c>
      <c r="B141" s="5" t="s">
        <v>1567</v>
      </c>
      <c r="C141" s="6" t="s">
        <v>134</v>
      </c>
      <c r="D141" s="6" t="s">
        <v>135</v>
      </c>
      <c r="E141" s="103" t="s">
        <v>136</v>
      </c>
      <c r="F141" s="7">
        <v>40495.870000000003</v>
      </c>
      <c r="G141" s="7">
        <v>0</v>
      </c>
      <c r="H141" s="8">
        <v>0</v>
      </c>
      <c r="I141" s="8">
        <v>0</v>
      </c>
      <c r="J141" s="8">
        <v>0</v>
      </c>
      <c r="K141" s="8">
        <v>8504.130000000001</v>
      </c>
      <c r="L141" s="8">
        <v>0</v>
      </c>
      <c r="M141" s="7">
        <v>0</v>
      </c>
      <c r="N141" s="106">
        <v>49000</v>
      </c>
    </row>
    <row r="142" spans="1:14" hidden="1">
      <c r="A142" s="21" t="s">
        <v>1554</v>
      </c>
      <c r="B142" s="5" t="s">
        <v>1568</v>
      </c>
      <c r="C142" s="6" t="s">
        <v>134</v>
      </c>
      <c r="D142" s="6" t="s">
        <v>135</v>
      </c>
      <c r="E142" s="103" t="s">
        <v>136</v>
      </c>
      <c r="F142" s="7">
        <v>14669.42</v>
      </c>
      <c r="G142" s="7">
        <v>0</v>
      </c>
      <c r="H142" s="8">
        <v>0</v>
      </c>
      <c r="I142" s="8">
        <v>0</v>
      </c>
      <c r="J142" s="8">
        <v>0</v>
      </c>
      <c r="K142" s="8">
        <v>3080.58</v>
      </c>
      <c r="L142" s="8">
        <v>0</v>
      </c>
      <c r="M142" s="7">
        <v>0</v>
      </c>
      <c r="N142" s="106">
        <v>17750</v>
      </c>
    </row>
    <row r="143" spans="1:14" hidden="1">
      <c r="A143" s="21" t="s">
        <v>1554</v>
      </c>
      <c r="B143" s="5" t="s">
        <v>1569</v>
      </c>
      <c r="C143" s="6" t="s">
        <v>134</v>
      </c>
      <c r="D143" s="6" t="s">
        <v>135</v>
      </c>
      <c r="E143" s="103" t="s">
        <v>136</v>
      </c>
      <c r="F143" s="7">
        <v>21487.599999999999</v>
      </c>
      <c r="G143" s="7">
        <v>0</v>
      </c>
      <c r="H143" s="8">
        <v>0</v>
      </c>
      <c r="I143" s="8">
        <v>0</v>
      </c>
      <c r="J143" s="8">
        <v>0</v>
      </c>
      <c r="K143" s="8">
        <v>4512.4000000000005</v>
      </c>
      <c r="L143" s="8">
        <v>0</v>
      </c>
      <c r="M143" s="7">
        <v>0</v>
      </c>
      <c r="N143" s="106">
        <v>26000</v>
      </c>
    </row>
    <row r="144" spans="1:14" hidden="1">
      <c r="A144" s="21" t="s">
        <v>1554</v>
      </c>
      <c r="B144" s="5" t="s">
        <v>1570</v>
      </c>
      <c r="C144" s="6" t="s">
        <v>134</v>
      </c>
      <c r="D144" s="6" t="s">
        <v>135</v>
      </c>
      <c r="E144" s="103" t="s">
        <v>136</v>
      </c>
      <c r="F144" s="7">
        <v>10743.8</v>
      </c>
      <c r="G144" s="7">
        <v>0</v>
      </c>
      <c r="H144" s="8">
        <v>0</v>
      </c>
      <c r="I144" s="8">
        <v>0</v>
      </c>
      <c r="J144" s="8">
        <v>0</v>
      </c>
      <c r="K144" s="8">
        <v>2256.2000000000003</v>
      </c>
      <c r="L144" s="8">
        <v>0</v>
      </c>
      <c r="M144" s="7">
        <v>0</v>
      </c>
      <c r="N144" s="106">
        <v>13000</v>
      </c>
    </row>
    <row r="145" spans="1:14" hidden="1">
      <c r="A145" s="21" t="s">
        <v>1573</v>
      </c>
      <c r="B145" s="5" t="s">
        <v>1574</v>
      </c>
      <c r="C145" s="6" t="s">
        <v>134</v>
      </c>
      <c r="D145" s="6" t="s">
        <v>135</v>
      </c>
      <c r="E145" s="103" t="s">
        <v>136</v>
      </c>
      <c r="F145" s="7">
        <v>22314.05</v>
      </c>
      <c r="G145" s="7">
        <v>0</v>
      </c>
      <c r="H145" s="8">
        <v>0</v>
      </c>
      <c r="I145" s="8">
        <v>0</v>
      </c>
      <c r="J145" s="8">
        <v>0</v>
      </c>
      <c r="K145" s="8">
        <v>4685.95</v>
      </c>
      <c r="L145" s="8">
        <v>0</v>
      </c>
      <c r="M145" s="7">
        <v>0</v>
      </c>
      <c r="N145" s="106">
        <v>27000</v>
      </c>
    </row>
    <row r="146" spans="1:14" hidden="1">
      <c r="A146" s="21" t="s">
        <v>1573</v>
      </c>
      <c r="B146" s="5" t="s">
        <v>1575</v>
      </c>
      <c r="C146" s="6" t="s">
        <v>134</v>
      </c>
      <c r="D146" s="6" t="s">
        <v>135</v>
      </c>
      <c r="E146" s="103" t="s">
        <v>136</v>
      </c>
      <c r="F146" s="7">
        <v>11157.02</v>
      </c>
      <c r="G146" s="7">
        <v>0</v>
      </c>
      <c r="H146" s="8">
        <v>0</v>
      </c>
      <c r="I146" s="8">
        <v>0</v>
      </c>
      <c r="J146" s="8">
        <v>0</v>
      </c>
      <c r="K146" s="8">
        <v>2342.98</v>
      </c>
      <c r="L146" s="8">
        <v>0</v>
      </c>
      <c r="M146" s="7">
        <v>0</v>
      </c>
      <c r="N146" s="106">
        <v>13500</v>
      </c>
    </row>
    <row r="147" spans="1:14" hidden="1">
      <c r="A147" s="21" t="s">
        <v>1573</v>
      </c>
      <c r="B147" s="5" t="s">
        <v>1576</v>
      </c>
      <c r="C147" s="6" t="s">
        <v>134</v>
      </c>
      <c r="D147" s="6" t="s">
        <v>135</v>
      </c>
      <c r="E147" s="103" t="s">
        <v>136</v>
      </c>
      <c r="F147" s="7">
        <v>30578.51</v>
      </c>
      <c r="G147" s="7">
        <v>0</v>
      </c>
      <c r="H147" s="8">
        <v>0</v>
      </c>
      <c r="I147" s="8">
        <v>0</v>
      </c>
      <c r="J147" s="8">
        <v>0</v>
      </c>
      <c r="K147" s="8">
        <v>6421.49</v>
      </c>
      <c r="L147" s="8">
        <v>0</v>
      </c>
      <c r="M147" s="7">
        <v>0</v>
      </c>
      <c r="N147" s="106">
        <v>37000</v>
      </c>
    </row>
    <row r="148" spans="1:14" hidden="1">
      <c r="A148" s="21" t="s">
        <v>1573</v>
      </c>
      <c r="B148" s="5" t="s">
        <v>1577</v>
      </c>
      <c r="C148" s="6" t="s">
        <v>134</v>
      </c>
      <c r="D148" s="6" t="s">
        <v>135</v>
      </c>
      <c r="E148" s="103" t="s">
        <v>136</v>
      </c>
      <c r="F148" s="7">
        <v>31818.18</v>
      </c>
      <c r="G148" s="7">
        <v>0</v>
      </c>
      <c r="H148" s="8">
        <v>0</v>
      </c>
      <c r="I148" s="8">
        <v>0</v>
      </c>
      <c r="J148" s="8">
        <v>0</v>
      </c>
      <c r="K148" s="8">
        <v>6681.82</v>
      </c>
      <c r="L148" s="8">
        <v>0</v>
      </c>
      <c r="M148" s="7">
        <v>0</v>
      </c>
      <c r="N148" s="106">
        <v>38500</v>
      </c>
    </row>
    <row r="149" spans="1:14" hidden="1">
      <c r="A149" s="21" t="s">
        <v>1573</v>
      </c>
      <c r="B149" s="5" t="s">
        <v>1578</v>
      </c>
      <c r="C149" s="6" t="s">
        <v>134</v>
      </c>
      <c r="D149" s="6" t="s">
        <v>135</v>
      </c>
      <c r="E149" s="103" t="s">
        <v>136</v>
      </c>
      <c r="F149" s="7">
        <v>10743.8</v>
      </c>
      <c r="G149" s="7">
        <v>0</v>
      </c>
      <c r="H149" s="8">
        <v>0</v>
      </c>
      <c r="I149" s="8">
        <v>0</v>
      </c>
      <c r="J149" s="8">
        <v>0</v>
      </c>
      <c r="K149" s="8">
        <v>2256.2000000000003</v>
      </c>
      <c r="L149" s="8">
        <v>0</v>
      </c>
      <c r="M149" s="7">
        <v>0</v>
      </c>
      <c r="N149" s="106">
        <v>13000</v>
      </c>
    </row>
    <row r="150" spans="1:14" hidden="1">
      <c r="A150" s="21" t="s">
        <v>1573</v>
      </c>
      <c r="B150" s="5" t="s">
        <v>1579</v>
      </c>
      <c r="C150" s="6" t="s">
        <v>134</v>
      </c>
      <c r="D150" s="6" t="s">
        <v>135</v>
      </c>
      <c r="E150" s="103" t="s">
        <v>136</v>
      </c>
      <c r="F150" s="7">
        <v>10743.8</v>
      </c>
      <c r="G150" s="7">
        <v>0</v>
      </c>
      <c r="H150" s="8">
        <v>0</v>
      </c>
      <c r="I150" s="8">
        <v>0</v>
      </c>
      <c r="J150" s="8">
        <v>0</v>
      </c>
      <c r="K150" s="8">
        <v>2256.2000000000003</v>
      </c>
      <c r="L150" s="8">
        <v>0</v>
      </c>
      <c r="M150" s="7">
        <v>0</v>
      </c>
      <c r="N150" s="106">
        <v>13000</v>
      </c>
    </row>
    <row r="151" spans="1:14" hidden="1">
      <c r="A151" s="21" t="s">
        <v>1573</v>
      </c>
      <c r="B151" s="5" t="s">
        <v>1580</v>
      </c>
      <c r="C151" s="6" t="s">
        <v>134</v>
      </c>
      <c r="D151" s="6" t="s">
        <v>135</v>
      </c>
      <c r="E151" s="103" t="s">
        <v>136</v>
      </c>
      <c r="F151" s="7">
        <v>4876.03</v>
      </c>
      <c r="G151" s="7">
        <v>0</v>
      </c>
      <c r="H151" s="8">
        <v>0</v>
      </c>
      <c r="I151" s="8">
        <v>0</v>
      </c>
      <c r="J151" s="8">
        <v>0</v>
      </c>
      <c r="K151" s="8">
        <v>1023.97</v>
      </c>
      <c r="L151" s="8">
        <v>0</v>
      </c>
      <c r="M151" s="7">
        <v>0</v>
      </c>
      <c r="N151" s="106">
        <v>5900</v>
      </c>
    </row>
    <row r="152" spans="1:14" hidden="1">
      <c r="A152" s="21" t="s">
        <v>1573</v>
      </c>
      <c r="B152" s="5" t="s">
        <v>1581</v>
      </c>
      <c r="C152" s="6" t="s">
        <v>134</v>
      </c>
      <c r="D152" s="6" t="s">
        <v>135</v>
      </c>
      <c r="E152" s="103" t="s">
        <v>136</v>
      </c>
      <c r="F152" s="7">
        <v>9917.36</v>
      </c>
      <c r="G152" s="7">
        <v>0</v>
      </c>
      <c r="H152" s="8">
        <v>0</v>
      </c>
      <c r="I152" s="8">
        <v>0</v>
      </c>
      <c r="J152" s="8">
        <v>0</v>
      </c>
      <c r="K152" s="8">
        <v>2082.64</v>
      </c>
      <c r="L152" s="8">
        <v>0</v>
      </c>
      <c r="M152" s="7">
        <v>0</v>
      </c>
      <c r="N152" s="106">
        <v>12000</v>
      </c>
    </row>
    <row r="153" spans="1:14" hidden="1">
      <c r="A153" s="21" t="s">
        <v>1573</v>
      </c>
      <c r="B153" s="5" t="s">
        <v>1582</v>
      </c>
      <c r="C153" s="6" t="s">
        <v>134</v>
      </c>
      <c r="D153" s="6" t="s">
        <v>135</v>
      </c>
      <c r="E153" s="103" t="s">
        <v>136</v>
      </c>
      <c r="F153" s="7">
        <v>10743.8</v>
      </c>
      <c r="G153" s="7">
        <v>0</v>
      </c>
      <c r="H153" s="8">
        <v>0</v>
      </c>
      <c r="I153" s="8">
        <v>0</v>
      </c>
      <c r="J153" s="8">
        <v>0</v>
      </c>
      <c r="K153" s="8">
        <v>2256.2000000000003</v>
      </c>
      <c r="L153" s="8">
        <v>0</v>
      </c>
      <c r="M153" s="7">
        <v>0</v>
      </c>
      <c r="N153" s="106">
        <v>13000</v>
      </c>
    </row>
    <row r="154" spans="1:14" hidden="1">
      <c r="A154" s="21" t="s">
        <v>1573</v>
      </c>
      <c r="B154" s="5" t="s">
        <v>1583</v>
      </c>
      <c r="C154" s="6" t="s">
        <v>134</v>
      </c>
      <c r="D154" s="6" t="s">
        <v>135</v>
      </c>
      <c r="E154" s="103" t="s">
        <v>136</v>
      </c>
      <c r="F154" s="7">
        <v>14669.42</v>
      </c>
      <c r="G154" s="7">
        <v>0</v>
      </c>
      <c r="H154" s="8">
        <v>0</v>
      </c>
      <c r="I154" s="8">
        <v>0</v>
      </c>
      <c r="J154" s="8">
        <v>0</v>
      </c>
      <c r="K154" s="8">
        <v>3080.58</v>
      </c>
      <c r="L154" s="8">
        <v>0</v>
      </c>
      <c r="M154" s="7">
        <v>0</v>
      </c>
      <c r="N154" s="106">
        <v>17750</v>
      </c>
    </row>
    <row r="155" spans="1:14" hidden="1">
      <c r="A155" s="21" t="s">
        <v>1573</v>
      </c>
      <c r="B155" s="5" t="s">
        <v>1584</v>
      </c>
      <c r="C155" s="6" t="s">
        <v>134</v>
      </c>
      <c r="D155" s="6" t="s">
        <v>135</v>
      </c>
      <c r="E155" s="103" t="s">
        <v>136</v>
      </c>
      <c r="F155" s="7">
        <v>35330.58</v>
      </c>
      <c r="G155" s="7">
        <v>0</v>
      </c>
      <c r="H155" s="8">
        <v>0</v>
      </c>
      <c r="I155" s="8">
        <v>0</v>
      </c>
      <c r="J155" s="8">
        <v>0</v>
      </c>
      <c r="K155" s="8">
        <v>7419.42</v>
      </c>
      <c r="L155" s="8">
        <v>0</v>
      </c>
      <c r="M155" s="7">
        <v>0</v>
      </c>
      <c r="N155" s="106">
        <v>42750</v>
      </c>
    </row>
    <row r="156" spans="1:14">
      <c r="A156" s="21" t="s">
        <v>1589</v>
      </c>
      <c r="B156" s="5" t="s">
        <v>1590</v>
      </c>
      <c r="C156" s="6" t="s">
        <v>1591</v>
      </c>
      <c r="D156" s="6" t="s">
        <v>135</v>
      </c>
      <c r="E156" s="103">
        <v>13196577</v>
      </c>
      <c r="F156" s="7">
        <v>101652.89</v>
      </c>
      <c r="G156" s="7">
        <v>0</v>
      </c>
      <c r="H156" s="8">
        <v>0</v>
      </c>
      <c r="I156" s="8">
        <v>0</v>
      </c>
      <c r="J156" s="8">
        <v>0</v>
      </c>
      <c r="K156" s="8">
        <v>21347.11</v>
      </c>
      <c r="L156" s="8">
        <v>0</v>
      </c>
      <c r="M156" s="7">
        <v>0</v>
      </c>
      <c r="N156" s="106">
        <v>123000</v>
      </c>
    </row>
    <row r="157" spans="1:14" hidden="1">
      <c r="A157" s="21" t="s">
        <v>1589</v>
      </c>
      <c r="B157" s="5" t="s">
        <v>1592</v>
      </c>
      <c r="C157" s="6" t="s">
        <v>134</v>
      </c>
      <c r="D157" s="6" t="s">
        <v>135</v>
      </c>
      <c r="E157" s="103" t="s">
        <v>136</v>
      </c>
      <c r="F157" s="7">
        <v>14669.42</v>
      </c>
      <c r="G157" s="7">
        <v>0</v>
      </c>
      <c r="H157" s="8">
        <v>0</v>
      </c>
      <c r="I157" s="8">
        <v>0</v>
      </c>
      <c r="J157" s="8">
        <v>0</v>
      </c>
      <c r="K157" s="8">
        <v>3080.58</v>
      </c>
      <c r="L157" s="8">
        <v>0</v>
      </c>
      <c r="M157" s="7">
        <v>0</v>
      </c>
      <c r="N157" s="106">
        <v>17750</v>
      </c>
    </row>
    <row r="158" spans="1:14" hidden="1">
      <c r="A158" s="21" t="s">
        <v>1589</v>
      </c>
      <c r="B158" s="5" t="s">
        <v>1593</v>
      </c>
      <c r="C158" s="6" t="s">
        <v>134</v>
      </c>
      <c r="D158" s="6" t="s">
        <v>135</v>
      </c>
      <c r="E158" s="103" t="s">
        <v>136</v>
      </c>
      <c r="F158" s="7">
        <v>15371.9</v>
      </c>
      <c r="G158" s="7">
        <v>0</v>
      </c>
      <c r="H158" s="8">
        <v>0</v>
      </c>
      <c r="I158" s="8">
        <v>0</v>
      </c>
      <c r="J158" s="8">
        <v>0</v>
      </c>
      <c r="K158" s="8">
        <v>3228.1</v>
      </c>
      <c r="L158" s="8">
        <v>0</v>
      </c>
      <c r="M158" s="7">
        <v>0</v>
      </c>
      <c r="N158" s="106">
        <v>18600</v>
      </c>
    </row>
    <row r="159" spans="1:14" hidden="1">
      <c r="A159" s="21" t="s">
        <v>1589</v>
      </c>
      <c r="B159" s="5" t="s">
        <v>1594</v>
      </c>
      <c r="C159" s="6" t="s">
        <v>134</v>
      </c>
      <c r="D159" s="6" t="s">
        <v>135</v>
      </c>
      <c r="E159" s="103" t="s">
        <v>136</v>
      </c>
      <c r="F159" s="7">
        <v>10743.8</v>
      </c>
      <c r="G159" s="7">
        <v>0</v>
      </c>
      <c r="H159" s="8">
        <v>0</v>
      </c>
      <c r="I159" s="8">
        <v>0</v>
      </c>
      <c r="J159" s="8">
        <v>0</v>
      </c>
      <c r="K159" s="8">
        <v>2256.2000000000003</v>
      </c>
      <c r="L159" s="8">
        <v>0</v>
      </c>
      <c r="M159" s="7">
        <v>0</v>
      </c>
      <c r="N159" s="106">
        <v>13000</v>
      </c>
    </row>
    <row r="160" spans="1:14" hidden="1">
      <c r="A160" s="21" t="s">
        <v>1589</v>
      </c>
      <c r="B160" s="5" t="s">
        <v>1595</v>
      </c>
      <c r="C160" s="6" t="s">
        <v>134</v>
      </c>
      <c r="D160" s="6" t="s">
        <v>135</v>
      </c>
      <c r="E160" s="103" t="s">
        <v>136</v>
      </c>
      <c r="F160" s="7">
        <v>22314.05</v>
      </c>
      <c r="G160" s="7">
        <v>0</v>
      </c>
      <c r="H160" s="8">
        <v>0</v>
      </c>
      <c r="I160" s="8">
        <v>0</v>
      </c>
      <c r="J160" s="8">
        <v>0</v>
      </c>
      <c r="K160" s="8">
        <v>4685.95</v>
      </c>
      <c r="L160" s="8">
        <v>0</v>
      </c>
      <c r="M160" s="7">
        <v>0</v>
      </c>
      <c r="N160" s="106">
        <v>27000</v>
      </c>
    </row>
    <row r="161" spans="1:14" hidden="1">
      <c r="A161" s="21" t="s">
        <v>1589</v>
      </c>
      <c r="B161" s="5" t="s">
        <v>1596</v>
      </c>
      <c r="C161" s="6" t="s">
        <v>134</v>
      </c>
      <c r="D161" s="6" t="s">
        <v>135</v>
      </c>
      <c r="E161" s="103" t="s">
        <v>136</v>
      </c>
      <c r="F161" s="7">
        <v>31983.47</v>
      </c>
      <c r="G161" s="7">
        <v>0</v>
      </c>
      <c r="H161" s="8">
        <v>0</v>
      </c>
      <c r="I161" s="8">
        <v>0</v>
      </c>
      <c r="J161" s="8">
        <v>0</v>
      </c>
      <c r="K161" s="8">
        <v>6716.53</v>
      </c>
      <c r="L161" s="8">
        <v>0</v>
      </c>
      <c r="M161" s="7">
        <v>0</v>
      </c>
      <c r="N161" s="106">
        <v>38700</v>
      </c>
    </row>
    <row r="162" spans="1:14" hidden="1">
      <c r="A162" s="21" t="s">
        <v>1589</v>
      </c>
      <c r="B162" s="5" t="s">
        <v>1597</v>
      </c>
      <c r="C162" s="6" t="s">
        <v>134</v>
      </c>
      <c r="D162" s="6" t="s">
        <v>135</v>
      </c>
      <c r="E162" s="103" t="s">
        <v>136</v>
      </c>
      <c r="F162" s="7">
        <v>14669.42</v>
      </c>
      <c r="G162" s="7">
        <v>0</v>
      </c>
      <c r="H162" s="8">
        <v>0</v>
      </c>
      <c r="I162" s="8">
        <v>0</v>
      </c>
      <c r="J162" s="8">
        <v>0</v>
      </c>
      <c r="K162" s="8">
        <v>3080.58</v>
      </c>
      <c r="L162" s="8">
        <v>0</v>
      </c>
      <c r="M162" s="7">
        <v>0</v>
      </c>
      <c r="N162" s="106">
        <v>17750</v>
      </c>
    </row>
    <row r="163" spans="1:14" hidden="1">
      <c r="A163" s="21" t="s">
        <v>1589</v>
      </c>
      <c r="B163" s="5" t="s">
        <v>1598</v>
      </c>
      <c r="C163" s="6" t="s">
        <v>134</v>
      </c>
      <c r="D163" s="6" t="s">
        <v>135</v>
      </c>
      <c r="E163" s="103" t="s">
        <v>136</v>
      </c>
      <c r="F163" s="7">
        <v>19834.71</v>
      </c>
      <c r="G163" s="7">
        <v>0</v>
      </c>
      <c r="H163" s="8">
        <v>0</v>
      </c>
      <c r="I163" s="8">
        <v>0</v>
      </c>
      <c r="J163" s="8">
        <v>0</v>
      </c>
      <c r="K163" s="8">
        <v>4165.29</v>
      </c>
      <c r="L163" s="8">
        <v>0</v>
      </c>
      <c r="M163" s="7">
        <v>0</v>
      </c>
      <c r="N163" s="106">
        <v>24000</v>
      </c>
    </row>
    <row r="164" spans="1:14" hidden="1">
      <c r="A164" s="21" t="s">
        <v>1589</v>
      </c>
      <c r="B164" s="5" t="s">
        <v>1599</v>
      </c>
      <c r="C164" s="6" t="s">
        <v>134</v>
      </c>
      <c r="D164" s="6" t="s">
        <v>135</v>
      </c>
      <c r="E164" s="103" t="s">
        <v>136</v>
      </c>
      <c r="F164" s="7">
        <v>42975.21</v>
      </c>
      <c r="G164" s="7">
        <v>0</v>
      </c>
      <c r="H164" s="8">
        <v>0</v>
      </c>
      <c r="I164" s="8">
        <v>0</v>
      </c>
      <c r="J164" s="8">
        <v>0</v>
      </c>
      <c r="K164" s="8">
        <v>9024.7900000000009</v>
      </c>
      <c r="L164" s="8">
        <v>0</v>
      </c>
      <c r="M164" s="7">
        <v>0</v>
      </c>
      <c r="N164" s="106">
        <v>52000</v>
      </c>
    </row>
    <row r="165" spans="1:14" hidden="1">
      <c r="A165" s="21" t="s">
        <v>1589</v>
      </c>
      <c r="B165" s="5" t="s">
        <v>1600</v>
      </c>
      <c r="C165" s="6" t="s">
        <v>134</v>
      </c>
      <c r="D165" s="6" t="s">
        <v>135</v>
      </c>
      <c r="E165" s="103" t="s">
        <v>136</v>
      </c>
      <c r="F165" s="7">
        <v>7603.31</v>
      </c>
      <c r="G165" s="7">
        <v>0</v>
      </c>
      <c r="H165" s="8">
        <v>0</v>
      </c>
      <c r="I165" s="8">
        <v>0</v>
      </c>
      <c r="J165" s="8">
        <v>0</v>
      </c>
      <c r="K165" s="8">
        <v>1596.69</v>
      </c>
      <c r="L165" s="8">
        <v>0</v>
      </c>
      <c r="M165" s="7">
        <v>0</v>
      </c>
      <c r="N165" s="106">
        <v>9200</v>
      </c>
    </row>
    <row r="166" spans="1:14" hidden="1">
      <c r="A166" s="21" t="s">
        <v>1589</v>
      </c>
      <c r="B166" s="5" t="s">
        <v>1601</v>
      </c>
      <c r="C166" s="6" t="s">
        <v>134</v>
      </c>
      <c r="D166" s="6" t="s">
        <v>135</v>
      </c>
      <c r="E166" s="103" t="s">
        <v>136</v>
      </c>
      <c r="F166" s="7">
        <v>28099.17</v>
      </c>
      <c r="G166" s="7">
        <v>0</v>
      </c>
      <c r="H166" s="8">
        <v>0</v>
      </c>
      <c r="I166" s="8">
        <v>0</v>
      </c>
      <c r="J166" s="8">
        <v>0</v>
      </c>
      <c r="K166" s="8">
        <v>5900.83</v>
      </c>
      <c r="L166" s="8">
        <v>0</v>
      </c>
      <c r="M166" s="7">
        <v>0</v>
      </c>
      <c r="N166" s="106">
        <v>34000</v>
      </c>
    </row>
    <row r="167" spans="1:14" hidden="1">
      <c r="A167" s="21" t="s">
        <v>1589</v>
      </c>
      <c r="B167" s="5" t="s">
        <v>1602</v>
      </c>
      <c r="C167" s="6" t="s">
        <v>134</v>
      </c>
      <c r="D167" s="6" t="s">
        <v>135</v>
      </c>
      <c r="E167" s="103" t="s">
        <v>136</v>
      </c>
      <c r="F167" s="7">
        <v>11735.54</v>
      </c>
      <c r="G167" s="7">
        <v>0</v>
      </c>
      <c r="H167" s="8">
        <v>0</v>
      </c>
      <c r="I167" s="8">
        <v>0</v>
      </c>
      <c r="J167" s="8">
        <v>0</v>
      </c>
      <c r="K167" s="8">
        <v>2464.46</v>
      </c>
      <c r="L167" s="8">
        <v>0</v>
      </c>
      <c r="M167" s="7">
        <v>0</v>
      </c>
      <c r="N167" s="106">
        <v>14200</v>
      </c>
    </row>
    <row r="168" spans="1:14" hidden="1">
      <c r="A168" s="21" t="s">
        <v>1604</v>
      </c>
      <c r="B168" s="5" t="s">
        <v>1605</v>
      </c>
      <c r="C168" s="6" t="s">
        <v>134</v>
      </c>
      <c r="D168" s="6" t="s">
        <v>135</v>
      </c>
      <c r="E168" s="103" t="s">
        <v>136</v>
      </c>
      <c r="F168" s="7">
        <v>19834.71</v>
      </c>
      <c r="G168" s="7">
        <v>0</v>
      </c>
      <c r="H168" s="8">
        <v>0</v>
      </c>
      <c r="I168" s="8">
        <v>0</v>
      </c>
      <c r="J168" s="8">
        <v>0</v>
      </c>
      <c r="K168" s="8">
        <v>4165.29</v>
      </c>
      <c r="L168" s="8">
        <v>0</v>
      </c>
      <c r="M168" s="7">
        <v>0</v>
      </c>
      <c r="N168" s="106">
        <v>24000</v>
      </c>
    </row>
    <row r="169" spans="1:14" hidden="1">
      <c r="A169" s="21" t="s">
        <v>1604</v>
      </c>
      <c r="B169" s="5" t="s">
        <v>1606</v>
      </c>
      <c r="C169" s="6" t="s">
        <v>134</v>
      </c>
      <c r="D169" s="6" t="s">
        <v>135</v>
      </c>
      <c r="E169" s="103" t="s">
        <v>136</v>
      </c>
      <c r="F169" s="7">
        <v>9504.130000000001</v>
      </c>
      <c r="G169" s="7">
        <v>0</v>
      </c>
      <c r="H169" s="8">
        <v>0</v>
      </c>
      <c r="I169" s="8">
        <v>0</v>
      </c>
      <c r="J169" s="8">
        <v>0</v>
      </c>
      <c r="K169" s="8">
        <v>1995.87</v>
      </c>
      <c r="L169" s="8">
        <v>0</v>
      </c>
      <c r="M169" s="7">
        <v>0</v>
      </c>
      <c r="N169" s="106">
        <v>11500</v>
      </c>
    </row>
    <row r="170" spans="1:14" hidden="1">
      <c r="A170" s="21" t="s">
        <v>1604</v>
      </c>
      <c r="B170" s="5" t="s">
        <v>1607</v>
      </c>
      <c r="C170" s="6" t="s">
        <v>134</v>
      </c>
      <c r="D170" s="6" t="s">
        <v>135</v>
      </c>
      <c r="E170" s="103" t="s">
        <v>136</v>
      </c>
      <c r="F170" s="7">
        <v>21487.599999999999</v>
      </c>
      <c r="G170" s="7">
        <v>0</v>
      </c>
      <c r="H170" s="8">
        <v>0</v>
      </c>
      <c r="I170" s="8">
        <v>0</v>
      </c>
      <c r="J170" s="8">
        <v>0</v>
      </c>
      <c r="K170" s="8">
        <v>4512.4000000000005</v>
      </c>
      <c r="L170" s="8">
        <v>0</v>
      </c>
      <c r="M170" s="7">
        <v>0</v>
      </c>
      <c r="N170" s="106">
        <v>26000</v>
      </c>
    </row>
    <row r="171" spans="1:14" hidden="1">
      <c r="A171" s="21" t="s">
        <v>1604</v>
      </c>
      <c r="B171" s="5" t="s">
        <v>1608</v>
      </c>
      <c r="C171" s="6" t="s">
        <v>134</v>
      </c>
      <c r="D171" s="6" t="s">
        <v>135</v>
      </c>
      <c r="E171" s="103" t="s">
        <v>136</v>
      </c>
      <c r="F171" s="7">
        <v>4958.68</v>
      </c>
      <c r="G171" s="7">
        <v>0</v>
      </c>
      <c r="H171" s="8">
        <v>0</v>
      </c>
      <c r="I171" s="8">
        <v>0</v>
      </c>
      <c r="J171" s="8">
        <v>0</v>
      </c>
      <c r="K171" s="8">
        <v>1041.32</v>
      </c>
      <c r="L171" s="8">
        <v>0</v>
      </c>
      <c r="M171" s="7">
        <v>0</v>
      </c>
      <c r="N171" s="106">
        <v>6000</v>
      </c>
    </row>
    <row r="172" spans="1:14" hidden="1">
      <c r="A172" s="21" t="s">
        <v>1604</v>
      </c>
      <c r="B172" s="5" t="s">
        <v>1609</v>
      </c>
      <c r="C172" s="6" t="s">
        <v>134</v>
      </c>
      <c r="D172" s="6" t="s">
        <v>135</v>
      </c>
      <c r="E172" s="103" t="s">
        <v>136</v>
      </c>
      <c r="F172" s="7">
        <v>10247.93</v>
      </c>
      <c r="G172" s="7">
        <v>0</v>
      </c>
      <c r="H172" s="8">
        <v>0</v>
      </c>
      <c r="I172" s="8">
        <v>0</v>
      </c>
      <c r="J172" s="8">
        <v>0</v>
      </c>
      <c r="K172" s="8">
        <v>2152.0700000000002</v>
      </c>
      <c r="L172" s="8">
        <v>0</v>
      </c>
      <c r="M172" s="7">
        <v>0</v>
      </c>
      <c r="N172" s="106">
        <v>12400</v>
      </c>
    </row>
    <row r="173" spans="1:14" hidden="1">
      <c r="A173" s="21" t="s">
        <v>1604</v>
      </c>
      <c r="B173" s="5" t="s">
        <v>1610</v>
      </c>
      <c r="C173" s="6" t="s">
        <v>134</v>
      </c>
      <c r="D173" s="6" t="s">
        <v>135</v>
      </c>
      <c r="E173" s="103" t="s">
        <v>136</v>
      </c>
      <c r="F173" s="7">
        <v>34462.81</v>
      </c>
      <c r="G173" s="7">
        <v>0</v>
      </c>
      <c r="H173" s="8">
        <v>0</v>
      </c>
      <c r="I173" s="8">
        <v>0</v>
      </c>
      <c r="J173" s="8">
        <v>0</v>
      </c>
      <c r="K173" s="8">
        <v>7237.19</v>
      </c>
      <c r="L173" s="8">
        <v>0</v>
      </c>
      <c r="M173" s="7">
        <v>0</v>
      </c>
      <c r="N173" s="106">
        <v>41700</v>
      </c>
    </row>
    <row r="174" spans="1:14" hidden="1">
      <c r="A174" s="21" t="s">
        <v>1604</v>
      </c>
      <c r="B174" s="5" t="s">
        <v>1611</v>
      </c>
      <c r="C174" s="6" t="s">
        <v>134</v>
      </c>
      <c r="D174" s="6" t="s">
        <v>135</v>
      </c>
      <c r="E174" s="103" t="s">
        <v>136</v>
      </c>
      <c r="F174" s="7">
        <v>4132.2300000000005</v>
      </c>
      <c r="G174" s="7">
        <v>0</v>
      </c>
      <c r="H174" s="8">
        <v>0</v>
      </c>
      <c r="I174" s="8">
        <v>0</v>
      </c>
      <c r="J174" s="8">
        <v>0</v>
      </c>
      <c r="K174" s="8">
        <v>867.77</v>
      </c>
      <c r="L174" s="8">
        <v>0</v>
      </c>
      <c r="M174" s="7">
        <v>0</v>
      </c>
      <c r="N174" s="106">
        <v>5000</v>
      </c>
    </row>
    <row r="175" spans="1:14" hidden="1">
      <c r="A175" s="21" t="s">
        <v>1604</v>
      </c>
      <c r="B175" s="5" t="s">
        <v>1612</v>
      </c>
      <c r="C175" s="6" t="s">
        <v>134</v>
      </c>
      <c r="D175" s="6" t="s">
        <v>135</v>
      </c>
      <c r="E175" s="103" t="s">
        <v>136</v>
      </c>
      <c r="F175" s="7">
        <v>10743.8</v>
      </c>
      <c r="G175" s="7">
        <v>0</v>
      </c>
      <c r="H175" s="8">
        <v>0</v>
      </c>
      <c r="I175" s="8">
        <v>0</v>
      </c>
      <c r="J175" s="8">
        <v>0</v>
      </c>
      <c r="K175" s="8">
        <v>2256.2000000000003</v>
      </c>
      <c r="L175" s="8">
        <v>0</v>
      </c>
      <c r="M175" s="7">
        <v>0</v>
      </c>
      <c r="N175" s="106">
        <v>13000</v>
      </c>
    </row>
    <row r="176" spans="1:14" hidden="1">
      <c r="A176" s="21" t="s">
        <v>1604</v>
      </c>
      <c r="B176" s="5" t="s">
        <v>1613</v>
      </c>
      <c r="C176" s="6" t="s">
        <v>134</v>
      </c>
      <c r="D176" s="6" t="s">
        <v>135</v>
      </c>
      <c r="E176" s="103" t="s">
        <v>136</v>
      </c>
      <c r="F176" s="7">
        <v>10743.8</v>
      </c>
      <c r="G176" s="7">
        <v>0</v>
      </c>
      <c r="H176" s="8">
        <v>0</v>
      </c>
      <c r="I176" s="8">
        <v>0</v>
      </c>
      <c r="J176" s="8">
        <v>0</v>
      </c>
      <c r="K176" s="8">
        <v>2256.2000000000003</v>
      </c>
      <c r="L176" s="8">
        <v>0</v>
      </c>
      <c r="M176" s="7">
        <v>0</v>
      </c>
      <c r="N176" s="106">
        <v>13000</v>
      </c>
    </row>
    <row r="177" spans="1:14">
      <c r="A177" s="21" t="s">
        <v>1604</v>
      </c>
      <c r="B177" s="5" t="s">
        <v>1614</v>
      </c>
      <c r="C177" s="6" t="s">
        <v>1615</v>
      </c>
      <c r="D177" s="6" t="s">
        <v>135</v>
      </c>
      <c r="E177" s="103">
        <v>55987565</v>
      </c>
      <c r="F177" s="7">
        <v>14669.42</v>
      </c>
      <c r="G177" s="7">
        <v>0</v>
      </c>
      <c r="H177" s="8">
        <v>0</v>
      </c>
      <c r="I177" s="8">
        <v>0</v>
      </c>
      <c r="J177" s="8">
        <v>0</v>
      </c>
      <c r="K177" s="8">
        <v>3080.58</v>
      </c>
      <c r="L177" s="8">
        <v>0</v>
      </c>
      <c r="M177" s="7">
        <v>0</v>
      </c>
      <c r="N177" s="106">
        <v>17750</v>
      </c>
    </row>
    <row r="178" spans="1:14" hidden="1">
      <c r="A178" s="21" t="s">
        <v>1604</v>
      </c>
      <c r="B178" s="5" t="s">
        <v>1616</v>
      </c>
      <c r="C178" s="6" t="s">
        <v>134</v>
      </c>
      <c r="D178" s="6" t="s">
        <v>135</v>
      </c>
      <c r="E178" s="103" t="s">
        <v>136</v>
      </c>
      <c r="F178" s="7">
        <v>21487.599999999999</v>
      </c>
      <c r="G178" s="7">
        <v>0</v>
      </c>
      <c r="H178" s="8">
        <v>0</v>
      </c>
      <c r="I178" s="8">
        <v>0</v>
      </c>
      <c r="J178" s="8">
        <v>0</v>
      </c>
      <c r="K178" s="8">
        <v>4512.4000000000005</v>
      </c>
      <c r="L178" s="8">
        <v>0</v>
      </c>
      <c r="M178" s="7">
        <v>0</v>
      </c>
      <c r="N178" s="106">
        <v>26000</v>
      </c>
    </row>
    <row r="179" spans="1:14" hidden="1">
      <c r="A179" s="21" t="s">
        <v>1604</v>
      </c>
      <c r="B179" s="5" t="s">
        <v>1617</v>
      </c>
      <c r="C179" s="6" t="s">
        <v>134</v>
      </c>
      <c r="D179" s="6" t="s">
        <v>135</v>
      </c>
      <c r="E179" s="103" t="s">
        <v>136</v>
      </c>
      <c r="F179" s="7">
        <v>10950.41</v>
      </c>
      <c r="G179" s="7">
        <v>0</v>
      </c>
      <c r="H179" s="8">
        <v>0</v>
      </c>
      <c r="I179" s="8">
        <v>0</v>
      </c>
      <c r="J179" s="8">
        <v>0</v>
      </c>
      <c r="K179" s="8">
        <v>2299.59</v>
      </c>
      <c r="L179" s="8">
        <v>0</v>
      </c>
      <c r="M179" s="7">
        <v>0</v>
      </c>
      <c r="N179" s="106">
        <v>13250</v>
      </c>
    </row>
    <row r="180" spans="1:14" hidden="1">
      <c r="A180" s="21" t="s">
        <v>1628</v>
      </c>
      <c r="B180" s="5" t="s">
        <v>1630</v>
      </c>
      <c r="C180" s="6" t="s">
        <v>134</v>
      </c>
      <c r="D180" s="6" t="s">
        <v>135</v>
      </c>
      <c r="E180" s="103" t="s">
        <v>136</v>
      </c>
      <c r="F180" s="7">
        <v>21239.67</v>
      </c>
      <c r="G180" s="7">
        <v>0</v>
      </c>
      <c r="H180" s="8">
        <v>0</v>
      </c>
      <c r="I180" s="8">
        <v>0</v>
      </c>
      <c r="J180" s="8">
        <v>0</v>
      </c>
      <c r="K180" s="8">
        <v>4460.33</v>
      </c>
      <c r="L180" s="8">
        <v>0</v>
      </c>
      <c r="M180" s="7">
        <v>0</v>
      </c>
      <c r="N180" s="106">
        <v>25700</v>
      </c>
    </row>
    <row r="181" spans="1:14" hidden="1">
      <c r="A181" s="21" t="s">
        <v>1628</v>
      </c>
      <c r="B181" s="5" t="s">
        <v>1631</v>
      </c>
      <c r="C181" s="6" t="s">
        <v>134</v>
      </c>
      <c r="D181" s="6" t="s">
        <v>135</v>
      </c>
      <c r="E181" s="103" t="s">
        <v>136</v>
      </c>
      <c r="F181" s="7">
        <v>10743.8</v>
      </c>
      <c r="G181" s="7">
        <v>0</v>
      </c>
      <c r="H181" s="8">
        <v>0</v>
      </c>
      <c r="I181" s="8">
        <v>0</v>
      </c>
      <c r="J181" s="8">
        <v>0</v>
      </c>
      <c r="K181" s="8">
        <v>2256.2000000000003</v>
      </c>
      <c r="L181" s="8">
        <v>0</v>
      </c>
      <c r="M181" s="7">
        <v>0</v>
      </c>
      <c r="N181" s="106">
        <v>13000</v>
      </c>
    </row>
    <row r="182" spans="1:14" hidden="1">
      <c r="A182" s="21" t="s">
        <v>1628</v>
      </c>
      <c r="B182" s="5" t="s">
        <v>1632</v>
      </c>
      <c r="C182" s="6" t="s">
        <v>134</v>
      </c>
      <c r="D182" s="6" t="s">
        <v>135</v>
      </c>
      <c r="E182" s="103" t="s">
        <v>136</v>
      </c>
      <c r="F182" s="7">
        <v>10743.8</v>
      </c>
      <c r="G182" s="7">
        <v>0</v>
      </c>
      <c r="H182" s="8">
        <v>0</v>
      </c>
      <c r="I182" s="8">
        <v>0</v>
      </c>
      <c r="J182" s="8">
        <v>0</v>
      </c>
      <c r="K182" s="8">
        <v>2256.2000000000003</v>
      </c>
      <c r="L182" s="8">
        <v>0</v>
      </c>
      <c r="M182" s="7">
        <v>0</v>
      </c>
      <c r="N182" s="106">
        <v>13000</v>
      </c>
    </row>
    <row r="183" spans="1:14" hidden="1">
      <c r="A183" s="21" t="s">
        <v>1628</v>
      </c>
      <c r="B183" s="5" t="s">
        <v>1633</v>
      </c>
      <c r="C183" s="6" t="s">
        <v>134</v>
      </c>
      <c r="D183" s="6" t="s">
        <v>135</v>
      </c>
      <c r="E183" s="103" t="s">
        <v>136</v>
      </c>
      <c r="F183" s="7">
        <v>29338.84</v>
      </c>
      <c r="G183" s="7">
        <v>0</v>
      </c>
      <c r="H183" s="8">
        <v>0</v>
      </c>
      <c r="I183" s="8">
        <v>0</v>
      </c>
      <c r="J183" s="8">
        <v>0</v>
      </c>
      <c r="K183" s="8">
        <v>6161.16</v>
      </c>
      <c r="L183" s="8">
        <v>0</v>
      </c>
      <c r="M183" s="7">
        <v>0</v>
      </c>
      <c r="N183" s="106">
        <v>35500</v>
      </c>
    </row>
    <row r="184" spans="1:14" hidden="1">
      <c r="A184" s="21" t="s">
        <v>1628</v>
      </c>
      <c r="B184" s="5" t="s">
        <v>1634</v>
      </c>
      <c r="C184" s="6" t="s">
        <v>134</v>
      </c>
      <c r="D184" s="6" t="s">
        <v>135</v>
      </c>
      <c r="E184" s="103" t="s">
        <v>136</v>
      </c>
      <c r="F184" s="7">
        <v>10743.8</v>
      </c>
      <c r="G184" s="7">
        <v>0</v>
      </c>
      <c r="H184" s="8">
        <v>0</v>
      </c>
      <c r="I184" s="8">
        <v>0</v>
      </c>
      <c r="J184" s="8">
        <v>0</v>
      </c>
      <c r="K184" s="8">
        <v>2256.2000000000003</v>
      </c>
      <c r="L184" s="8">
        <v>0</v>
      </c>
      <c r="M184" s="7">
        <v>0</v>
      </c>
      <c r="N184" s="106">
        <v>13000</v>
      </c>
    </row>
    <row r="185" spans="1:14" hidden="1">
      <c r="A185" s="21" t="s">
        <v>1628</v>
      </c>
      <c r="B185" s="5" t="s">
        <v>1635</v>
      </c>
      <c r="C185" s="6" t="s">
        <v>134</v>
      </c>
      <c r="D185" s="6" t="s">
        <v>135</v>
      </c>
      <c r="E185" s="103" t="s">
        <v>136</v>
      </c>
      <c r="F185" s="7">
        <v>8264.4600000000009</v>
      </c>
      <c r="G185" s="7">
        <v>0</v>
      </c>
      <c r="H185" s="8">
        <v>0</v>
      </c>
      <c r="I185" s="8">
        <v>0</v>
      </c>
      <c r="J185" s="8">
        <v>0</v>
      </c>
      <c r="K185" s="8">
        <v>1735.54</v>
      </c>
      <c r="L185" s="8">
        <v>0</v>
      </c>
      <c r="M185" s="7">
        <v>0</v>
      </c>
      <c r="N185" s="106">
        <v>10000</v>
      </c>
    </row>
    <row r="186" spans="1:14" hidden="1">
      <c r="A186" s="21" t="s">
        <v>1628</v>
      </c>
      <c r="B186" s="5" t="s">
        <v>1636</v>
      </c>
      <c r="C186" s="6" t="s">
        <v>134</v>
      </c>
      <c r="D186" s="6" t="s">
        <v>135</v>
      </c>
      <c r="E186" s="103" t="s">
        <v>136</v>
      </c>
      <c r="F186" s="7">
        <v>10743.8</v>
      </c>
      <c r="G186" s="7">
        <v>0</v>
      </c>
      <c r="H186" s="8">
        <v>0</v>
      </c>
      <c r="I186" s="8">
        <v>0</v>
      </c>
      <c r="J186" s="8">
        <v>0</v>
      </c>
      <c r="K186" s="8">
        <v>2256.2000000000003</v>
      </c>
      <c r="L186" s="8">
        <v>0</v>
      </c>
      <c r="M186" s="7">
        <v>0</v>
      </c>
      <c r="N186" s="106">
        <v>13000</v>
      </c>
    </row>
    <row r="187" spans="1:14" hidden="1">
      <c r="A187" s="21" t="s">
        <v>1628</v>
      </c>
      <c r="B187" s="5" t="s">
        <v>1637</v>
      </c>
      <c r="C187" s="6" t="s">
        <v>134</v>
      </c>
      <c r="D187" s="6" t="s">
        <v>135</v>
      </c>
      <c r="E187" s="103" t="s">
        <v>136</v>
      </c>
      <c r="F187" s="7">
        <v>31404.959999999999</v>
      </c>
      <c r="G187" s="7">
        <v>0</v>
      </c>
      <c r="H187" s="8">
        <v>0</v>
      </c>
      <c r="I187" s="8">
        <v>0</v>
      </c>
      <c r="J187" s="8">
        <v>0</v>
      </c>
      <c r="K187" s="8">
        <v>6595.04</v>
      </c>
      <c r="L187" s="8">
        <v>0</v>
      </c>
      <c r="M187" s="7">
        <v>0</v>
      </c>
      <c r="N187" s="106">
        <v>38000</v>
      </c>
    </row>
    <row r="188" spans="1:14" hidden="1">
      <c r="A188" s="21" t="s">
        <v>1628</v>
      </c>
      <c r="B188" s="5" t="s">
        <v>1638</v>
      </c>
      <c r="C188" s="6" t="s">
        <v>134</v>
      </c>
      <c r="D188" s="6" t="s">
        <v>135</v>
      </c>
      <c r="E188" s="103" t="s">
        <v>136</v>
      </c>
      <c r="F188" s="7">
        <v>70661.16</v>
      </c>
      <c r="G188" s="7">
        <v>0</v>
      </c>
      <c r="H188" s="8">
        <v>0</v>
      </c>
      <c r="I188" s="8">
        <v>0</v>
      </c>
      <c r="J188" s="8">
        <v>0</v>
      </c>
      <c r="K188" s="8">
        <v>14838.84</v>
      </c>
      <c r="L188" s="8">
        <v>0</v>
      </c>
      <c r="M188" s="7">
        <v>0</v>
      </c>
      <c r="N188" s="106">
        <v>85500</v>
      </c>
    </row>
    <row r="189" spans="1:14" hidden="1">
      <c r="A189" s="21" t="s">
        <v>1628</v>
      </c>
      <c r="B189" s="5" t="s">
        <v>1639</v>
      </c>
      <c r="C189" s="6" t="s">
        <v>134</v>
      </c>
      <c r="D189" s="6" t="s">
        <v>135</v>
      </c>
      <c r="E189" s="103" t="s">
        <v>136</v>
      </c>
      <c r="F189" s="7">
        <v>15206.61</v>
      </c>
      <c r="G189" s="7">
        <v>0</v>
      </c>
      <c r="H189" s="8">
        <v>0</v>
      </c>
      <c r="I189" s="8">
        <v>0</v>
      </c>
      <c r="J189" s="8">
        <v>0</v>
      </c>
      <c r="K189" s="8">
        <v>3193.39</v>
      </c>
      <c r="L189" s="8">
        <v>0</v>
      </c>
      <c r="M189" s="7">
        <v>0</v>
      </c>
      <c r="N189" s="106">
        <v>18400</v>
      </c>
    </row>
    <row r="190" spans="1:14" hidden="1">
      <c r="A190" s="21" t="s">
        <v>1628</v>
      </c>
      <c r="B190" s="5" t="s">
        <v>1640</v>
      </c>
      <c r="C190" s="6" t="s">
        <v>134</v>
      </c>
      <c r="D190" s="6" t="s">
        <v>135</v>
      </c>
      <c r="E190" s="103" t="s">
        <v>136</v>
      </c>
      <c r="F190" s="7">
        <v>10743.8</v>
      </c>
      <c r="G190" s="7">
        <v>0</v>
      </c>
      <c r="H190" s="8">
        <v>0</v>
      </c>
      <c r="I190" s="8">
        <v>0</v>
      </c>
      <c r="J190" s="8">
        <v>0</v>
      </c>
      <c r="K190" s="8">
        <v>2256.2000000000003</v>
      </c>
      <c r="L190" s="8">
        <v>0</v>
      </c>
      <c r="M190" s="7">
        <v>0</v>
      </c>
      <c r="N190" s="106">
        <v>13000</v>
      </c>
    </row>
    <row r="191" spans="1:14" hidden="1">
      <c r="A191" s="21" t="s">
        <v>1628</v>
      </c>
      <c r="B191" s="5" t="s">
        <v>1641</v>
      </c>
      <c r="C191" s="6" t="s">
        <v>134</v>
      </c>
      <c r="D191" s="6" t="s">
        <v>135</v>
      </c>
      <c r="E191" s="103" t="s">
        <v>136</v>
      </c>
      <c r="F191" s="7">
        <v>15082.64</v>
      </c>
      <c r="G191" s="7">
        <v>0</v>
      </c>
      <c r="H191" s="8">
        <v>0</v>
      </c>
      <c r="I191" s="8">
        <v>0</v>
      </c>
      <c r="J191" s="8">
        <v>0</v>
      </c>
      <c r="K191" s="8">
        <v>3167.36</v>
      </c>
      <c r="L191" s="8">
        <v>0</v>
      </c>
      <c r="M191" s="7">
        <v>0</v>
      </c>
      <c r="N191" s="106">
        <v>18250</v>
      </c>
    </row>
    <row r="192" spans="1:14" hidden="1">
      <c r="A192" s="21" t="s">
        <v>1628</v>
      </c>
      <c r="B192" s="5" t="s">
        <v>1642</v>
      </c>
      <c r="C192" s="6" t="s">
        <v>134</v>
      </c>
      <c r="D192" s="6" t="s">
        <v>135</v>
      </c>
      <c r="E192" s="103" t="s">
        <v>136</v>
      </c>
      <c r="F192" s="7">
        <v>10743.8</v>
      </c>
      <c r="G192" s="7">
        <v>0</v>
      </c>
      <c r="H192" s="8">
        <v>0</v>
      </c>
      <c r="I192" s="8">
        <v>0</v>
      </c>
      <c r="J192" s="8">
        <v>0</v>
      </c>
      <c r="K192" s="8">
        <v>2256.2000000000003</v>
      </c>
      <c r="L192" s="8">
        <v>0</v>
      </c>
      <c r="M192" s="7">
        <v>0</v>
      </c>
      <c r="N192" s="106">
        <v>13000</v>
      </c>
    </row>
    <row r="193" spans="1:14" hidden="1">
      <c r="A193" s="21" t="s">
        <v>1628</v>
      </c>
      <c r="B193" s="5" t="s">
        <v>1643</v>
      </c>
      <c r="C193" s="6" t="s">
        <v>134</v>
      </c>
      <c r="D193" s="6" t="s">
        <v>135</v>
      </c>
      <c r="E193" s="103" t="s">
        <v>136</v>
      </c>
      <c r="F193" s="7">
        <v>28099.17</v>
      </c>
      <c r="G193" s="7">
        <v>0</v>
      </c>
      <c r="H193" s="8">
        <v>0</v>
      </c>
      <c r="I193" s="8">
        <v>0</v>
      </c>
      <c r="J193" s="8">
        <v>0</v>
      </c>
      <c r="K193" s="8">
        <v>5900.83</v>
      </c>
      <c r="L193" s="8">
        <v>0</v>
      </c>
      <c r="M193" s="7">
        <v>0</v>
      </c>
      <c r="N193" s="106">
        <v>34000</v>
      </c>
    </row>
    <row r="194" spans="1:14" hidden="1">
      <c r="A194" s="21" t="s">
        <v>1628</v>
      </c>
      <c r="B194" s="5" t="s">
        <v>1644</v>
      </c>
      <c r="C194" s="6" t="s">
        <v>134</v>
      </c>
      <c r="D194" s="6" t="s">
        <v>135</v>
      </c>
      <c r="E194" s="103" t="s">
        <v>136</v>
      </c>
      <c r="F194" s="7">
        <v>10743.8</v>
      </c>
      <c r="G194" s="7">
        <v>0</v>
      </c>
      <c r="H194" s="8">
        <v>0</v>
      </c>
      <c r="I194" s="8">
        <v>0</v>
      </c>
      <c r="J194" s="8">
        <v>0</v>
      </c>
      <c r="K194" s="8">
        <v>2256.2000000000003</v>
      </c>
      <c r="L194" s="8">
        <v>0</v>
      </c>
      <c r="M194" s="7">
        <v>0</v>
      </c>
      <c r="N194" s="106">
        <v>13000</v>
      </c>
    </row>
    <row r="195" spans="1:14" hidden="1">
      <c r="A195" s="21" t="s">
        <v>1628</v>
      </c>
      <c r="B195" s="5" t="s">
        <v>1645</v>
      </c>
      <c r="C195" s="6" t="s">
        <v>134</v>
      </c>
      <c r="D195" s="6" t="s">
        <v>135</v>
      </c>
      <c r="E195" s="103" t="s">
        <v>136</v>
      </c>
      <c r="F195" s="7">
        <v>28925.62</v>
      </c>
      <c r="G195" s="7">
        <v>0</v>
      </c>
      <c r="H195" s="8">
        <v>0</v>
      </c>
      <c r="I195" s="8">
        <v>0</v>
      </c>
      <c r="J195" s="8">
        <v>0</v>
      </c>
      <c r="K195" s="8">
        <v>6074.38</v>
      </c>
      <c r="L195" s="8">
        <v>0</v>
      </c>
      <c r="M195" s="7">
        <v>0</v>
      </c>
      <c r="N195" s="106">
        <v>35000</v>
      </c>
    </row>
    <row r="196" spans="1:14" hidden="1">
      <c r="A196" s="21" t="s">
        <v>1651</v>
      </c>
      <c r="B196" s="5" t="s">
        <v>1652</v>
      </c>
      <c r="C196" s="6" t="s">
        <v>134</v>
      </c>
      <c r="D196" s="6" t="s">
        <v>135</v>
      </c>
      <c r="E196" s="103" t="s">
        <v>136</v>
      </c>
      <c r="F196" s="7">
        <v>4132.2300000000005</v>
      </c>
      <c r="G196" s="7">
        <v>0</v>
      </c>
      <c r="H196" s="8">
        <v>0</v>
      </c>
      <c r="I196" s="8">
        <v>0</v>
      </c>
      <c r="J196" s="8">
        <v>0</v>
      </c>
      <c r="K196" s="8">
        <v>867.77</v>
      </c>
      <c r="L196" s="8">
        <v>0</v>
      </c>
      <c r="M196" s="7">
        <v>0</v>
      </c>
      <c r="N196" s="106">
        <v>5000</v>
      </c>
    </row>
    <row r="197" spans="1:14" hidden="1">
      <c r="A197" s="21" t="s">
        <v>1651</v>
      </c>
      <c r="B197" s="5" t="s">
        <v>1653</v>
      </c>
      <c r="C197" s="6" t="s">
        <v>134</v>
      </c>
      <c r="D197" s="6" t="s">
        <v>135</v>
      </c>
      <c r="E197" s="103" t="s">
        <v>136</v>
      </c>
      <c r="F197" s="7">
        <v>41322.32</v>
      </c>
      <c r="G197" s="7">
        <v>0</v>
      </c>
      <c r="H197" s="8">
        <v>0</v>
      </c>
      <c r="I197" s="8">
        <v>0</v>
      </c>
      <c r="J197" s="8">
        <v>0</v>
      </c>
      <c r="K197" s="8">
        <v>8677.68</v>
      </c>
      <c r="L197" s="8">
        <v>0</v>
      </c>
      <c r="M197" s="7">
        <v>0</v>
      </c>
      <c r="N197" s="106">
        <v>50000</v>
      </c>
    </row>
    <row r="198" spans="1:14" hidden="1">
      <c r="A198" s="21" t="s">
        <v>1651</v>
      </c>
      <c r="B198" s="5" t="s">
        <v>1654</v>
      </c>
      <c r="C198" s="6" t="s">
        <v>134</v>
      </c>
      <c r="D198" s="6" t="s">
        <v>135</v>
      </c>
      <c r="E198" s="103" t="s">
        <v>136</v>
      </c>
      <c r="F198" s="7">
        <v>11900.83</v>
      </c>
      <c r="G198" s="7">
        <v>0</v>
      </c>
      <c r="H198" s="8">
        <v>0</v>
      </c>
      <c r="I198" s="8">
        <v>0</v>
      </c>
      <c r="J198" s="8">
        <v>0</v>
      </c>
      <c r="K198" s="8">
        <v>2499.17</v>
      </c>
      <c r="L198" s="8">
        <v>0</v>
      </c>
      <c r="M198" s="7">
        <v>0</v>
      </c>
      <c r="N198" s="106">
        <v>14400</v>
      </c>
    </row>
    <row r="199" spans="1:14" hidden="1">
      <c r="A199" s="21" t="s">
        <v>1651</v>
      </c>
      <c r="B199" s="5" t="s">
        <v>1655</v>
      </c>
      <c r="C199" s="6" t="s">
        <v>134</v>
      </c>
      <c r="D199" s="6" t="s">
        <v>135</v>
      </c>
      <c r="E199" s="103" t="s">
        <v>136</v>
      </c>
      <c r="F199" s="7">
        <v>20661.16</v>
      </c>
      <c r="G199" s="7">
        <v>0</v>
      </c>
      <c r="H199" s="8">
        <v>0</v>
      </c>
      <c r="I199" s="8">
        <v>0</v>
      </c>
      <c r="J199" s="8">
        <v>0</v>
      </c>
      <c r="K199" s="8">
        <v>4338.84</v>
      </c>
      <c r="L199" s="8">
        <v>0</v>
      </c>
      <c r="M199" s="7">
        <v>0</v>
      </c>
      <c r="N199" s="106">
        <v>25000</v>
      </c>
    </row>
    <row r="200" spans="1:14" hidden="1">
      <c r="A200" s="21" t="s">
        <v>1651</v>
      </c>
      <c r="B200" s="5" t="s">
        <v>1656</v>
      </c>
      <c r="C200" s="6" t="s">
        <v>134</v>
      </c>
      <c r="D200" s="6" t="s">
        <v>135</v>
      </c>
      <c r="E200" s="103" t="s">
        <v>136</v>
      </c>
      <c r="F200" s="7">
        <v>4958.68</v>
      </c>
      <c r="G200" s="7">
        <v>0</v>
      </c>
      <c r="H200" s="8">
        <v>0</v>
      </c>
      <c r="I200" s="8">
        <v>0</v>
      </c>
      <c r="J200" s="8">
        <v>0</v>
      </c>
      <c r="K200" s="8">
        <v>1041.32</v>
      </c>
      <c r="L200" s="8">
        <v>0</v>
      </c>
      <c r="M200" s="7">
        <v>0</v>
      </c>
      <c r="N200" s="106">
        <v>6000</v>
      </c>
    </row>
    <row r="201" spans="1:14" hidden="1">
      <c r="A201" s="21" t="s">
        <v>1651</v>
      </c>
      <c r="B201" s="5" t="s">
        <v>1657</v>
      </c>
      <c r="C201" s="6" t="s">
        <v>134</v>
      </c>
      <c r="D201" s="6" t="s">
        <v>135</v>
      </c>
      <c r="E201" s="103" t="s">
        <v>136</v>
      </c>
      <c r="F201" s="7">
        <v>11735.54</v>
      </c>
      <c r="G201" s="7">
        <v>0</v>
      </c>
      <c r="H201" s="8">
        <v>0</v>
      </c>
      <c r="I201" s="8">
        <v>0</v>
      </c>
      <c r="J201" s="8">
        <v>0</v>
      </c>
      <c r="K201" s="8">
        <v>2464.46</v>
      </c>
      <c r="L201" s="8">
        <v>0</v>
      </c>
      <c r="M201" s="7">
        <v>0</v>
      </c>
      <c r="N201" s="106">
        <v>14200</v>
      </c>
    </row>
    <row r="202" spans="1:14" hidden="1">
      <c r="A202" s="21" t="s">
        <v>1673</v>
      </c>
      <c r="B202" s="5" t="s">
        <v>1674</v>
      </c>
      <c r="C202" s="6" t="s">
        <v>134</v>
      </c>
      <c r="D202" s="6" t="s">
        <v>135</v>
      </c>
      <c r="E202" s="103" t="s">
        <v>136</v>
      </c>
      <c r="F202" s="7">
        <v>11570.25</v>
      </c>
      <c r="G202" s="7">
        <v>0</v>
      </c>
      <c r="H202" s="8">
        <v>0</v>
      </c>
      <c r="I202" s="8">
        <v>0</v>
      </c>
      <c r="J202" s="8">
        <v>0</v>
      </c>
      <c r="K202" s="8">
        <v>2429.75</v>
      </c>
      <c r="L202" s="8">
        <v>0</v>
      </c>
      <c r="M202" s="7">
        <v>0</v>
      </c>
      <c r="N202" s="106">
        <v>14000</v>
      </c>
    </row>
    <row r="203" spans="1:14" hidden="1">
      <c r="A203" s="21" t="s">
        <v>1673</v>
      </c>
      <c r="B203" s="5" t="s">
        <v>1675</v>
      </c>
      <c r="C203" s="6" t="s">
        <v>134</v>
      </c>
      <c r="D203" s="6" t="s">
        <v>135</v>
      </c>
      <c r="E203" s="103" t="s">
        <v>136</v>
      </c>
      <c r="F203" s="7">
        <v>11487.6</v>
      </c>
      <c r="G203" s="7">
        <v>0</v>
      </c>
      <c r="H203" s="8">
        <v>0</v>
      </c>
      <c r="I203" s="8">
        <v>0</v>
      </c>
      <c r="J203" s="8">
        <v>0</v>
      </c>
      <c r="K203" s="8">
        <v>2412.4</v>
      </c>
      <c r="L203" s="8">
        <v>0</v>
      </c>
      <c r="M203" s="7">
        <v>0</v>
      </c>
      <c r="N203" s="106">
        <v>13900</v>
      </c>
    </row>
    <row r="204" spans="1:14" hidden="1">
      <c r="A204" s="21" t="s">
        <v>1673</v>
      </c>
      <c r="B204" s="5" t="s">
        <v>1676</v>
      </c>
      <c r="C204" s="6" t="s">
        <v>134</v>
      </c>
      <c r="D204" s="6" t="s">
        <v>135</v>
      </c>
      <c r="E204" s="103" t="s">
        <v>136</v>
      </c>
      <c r="F204" s="7">
        <v>10247.93</v>
      </c>
      <c r="G204" s="7">
        <v>0</v>
      </c>
      <c r="H204" s="8">
        <v>0</v>
      </c>
      <c r="I204" s="8">
        <v>0</v>
      </c>
      <c r="J204" s="8">
        <v>0</v>
      </c>
      <c r="K204" s="8">
        <v>2152.0700000000002</v>
      </c>
      <c r="L204" s="8">
        <v>0</v>
      </c>
      <c r="M204" s="7">
        <v>0</v>
      </c>
      <c r="N204" s="106">
        <v>12400</v>
      </c>
    </row>
    <row r="205" spans="1:14" hidden="1">
      <c r="A205" s="21" t="s">
        <v>1673</v>
      </c>
      <c r="B205" s="5" t="s">
        <v>1677</v>
      </c>
      <c r="C205" s="6" t="s">
        <v>134</v>
      </c>
      <c r="D205" s="6" t="s">
        <v>135</v>
      </c>
      <c r="E205" s="103" t="s">
        <v>136</v>
      </c>
      <c r="F205" s="7">
        <v>11735.54</v>
      </c>
      <c r="G205" s="7">
        <v>0</v>
      </c>
      <c r="H205" s="8">
        <v>0</v>
      </c>
      <c r="I205" s="8">
        <v>0</v>
      </c>
      <c r="J205" s="8">
        <v>0</v>
      </c>
      <c r="K205" s="8">
        <v>2464.46</v>
      </c>
      <c r="L205" s="8">
        <v>0</v>
      </c>
      <c r="M205" s="7">
        <v>0</v>
      </c>
      <c r="N205" s="106">
        <v>14200</v>
      </c>
    </row>
    <row r="206" spans="1:14" hidden="1">
      <c r="A206" s="21" t="s">
        <v>1673</v>
      </c>
      <c r="B206" s="5" t="s">
        <v>1678</v>
      </c>
      <c r="C206" s="6" t="s">
        <v>134</v>
      </c>
      <c r="D206" s="6" t="s">
        <v>135</v>
      </c>
      <c r="E206" s="103" t="s">
        <v>136</v>
      </c>
      <c r="F206" s="7">
        <v>64462.810000000005</v>
      </c>
      <c r="G206" s="7">
        <v>0</v>
      </c>
      <c r="H206" s="8">
        <v>0</v>
      </c>
      <c r="I206" s="8">
        <v>0</v>
      </c>
      <c r="J206" s="8">
        <v>0</v>
      </c>
      <c r="K206" s="8">
        <v>13537.19</v>
      </c>
      <c r="L206" s="8">
        <v>0</v>
      </c>
      <c r="M206" s="7">
        <v>0</v>
      </c>
      <c r="N206" s="106">
        <v>78000</v>
      </c>
    </row>
    <row r="207" spans="1:14">
      <c r="A207" s="21" t="s">
        <v>1673</v>
      </c>
      <c r="B207" s="5" t="s">
        <v>1679</v>
      </c>
      <c r="C207" s="6" t="s">
        <v>1680</v>
      </c>
      <c r="D207" s="6" t="s">
        <v>135</v>
      </c>
      <c r="E207" s="103">
        <v>11897336</v>
      </c>
      <c r="F207" s="7">
        <v>39669.42</v>
      </c>
      <c r="G207" s="7">
        <v>0</v>
      </c>
      <c r="H207" s="8">
        <v>0</v>
      </c>
      <c r="I207" s="8">
        <v>0</v>
      </c>
      <c r="J207" s="8">
        <v>0</v>
      </c>
      <c r="K207" s="8">
        <v>8330.58</v>
      </c>
      <c r="L207" s="8">
        <v>0</v>
      </c>
      <c r="M207" s="7">
        <v>0</v>
      </c>
      <c r="N207" s="106">
        <v>48000</v>
      </c>
    </row>
    <row r="208" spans="1:14" hidden="1">
      <c r="A208" s="21" t="s">
        <v>1673</v>
      </c>
      <c r="B208" s="5" t="s">
        <v>1681</v>
      </c>
      <c r="C208" s="6" t="s">
        <v>134</v>
      </c>
      <c r="D208" s="6" t="s">
        <v>135</v>
      </c>
      <c r="E208" s="103" t="s">
        <v>136</v>
      </c>
      <c r="F208" s="7">
        <v>9090.91</v>
      </c>
      <c r="G208" s="7">
        <v>0</v>
      </c>
      <c r="H208" s="8">
        <v>0</v>
      </c>
      <c r="I208" s="8">
        <v>0</v>
      </c>
      <c r="J208" s="8">
        <v>0</v>
      </c>
      <c r="K208" s="8">
        <v>1909.09</v>
      </c>
      <c r="L208" s="8">
        <v>0</v>
      </c>
      <c r="M208" s="7">
        <v>0</v>
      </c>
      <c r="N208" s="106">
        <v>11000</v>
      </c>
    </row>
    <row r="209" spans="1:14" hidden="1">
      <c r="A209" s="21" t="s">
        <v>1673</v>
      </c>
      <c r="B209" s="5" t="s">
        <v>1682</v>
      </c>
      <c r="C209" s="6" t="s">
        <v>134</v>
      </c>
      <c r="D209" s="6" t="s">
        <v>135</v>
      </c>
      <c r="E209" s="103" t="s">
        <v>136</v>
      </c>
      <c r="F209" s="7">
        <v>20661.16</v>
      </c>
      <c r="G209" s="7">
        <v>0</v>
      </c>
      <c r="H209" s="8">
        <v>0</v>
      </c>
      <c r="I209" s="8">
        <v>0</v>
      </c>
      <c r="J209" s="8">
        <v>0</v>
      </c>
      <c r="K209" s="8">
        <v>4338.84</v>
      </c>
      <c r="L209" s="8">
        <v>0</v>
      </c>
      <c r="M209" s="7">
        <v>0</v>
      </c>
      <c r="N209" s="106">
        <v>25000</v>
      </c>
    </row>
    <row r="210" spans="1:14" hidden="1">
      <c r="A210" s="21" t="s">
        <v>1673</v>
      </c>
      <c r="B210" s="5" t="s">
        <v>1683</v>
      </c>
      <c r="C210" s="6" t="s">
        <v>134</v>
      </c>
      <c r="D210" s="6" t="s">
        <v>135</v>
      </c>
      <c r="E210" s="103" t="s">
        <v>136</v>
      </c>
      <c r="F210" s="7">
        <v>8595.0400000000009</v>
      </c>
      <c r="G210" s="7">
        <v>0</v>
      </c>
      <c r="H210" s="8">
        <v>0</v>
      </c>
      <c r="I210" s="8">
        <v>0</v>
      </c>
      <c r="J210" s="8">
        <v>0</v>
      </c>
      <c r="K210" s="8">
        <v>1804.96</v>
      </c>
      <c r="L210" s="8">
        <v>0</v>
      </c>
      <c r="M210" s="7">
        <v>0</v>
      </c>
      <c r="N210" s="106">
        <v>10400</v>
      </c>
    </row>
    <row r="211" spans="1:14" hidden="1">
      <c r="A211" s="21" t="s">
        <v>1673</v>
      </c>
      <c r="B211" s="5" t="s">
        <v>1684</v>
      </c>
      <c r="C211" s="6" t="s">
        <v>134</v>
      </c>
      <c r="D211" s="6" t="s">
        <v>135</v>
      </c>
      <c r="E211" s="103" t="s">
        <v>136</v>
      </c>
      <c r="F211" s="7">
        <v>17355.37</v>
      </c>
      <c r="G211" s="7">
        <v>0</v>
      </c>
      <c r="H211" s="8">
        <v>0</v>
      </c>
      <c r="I211" s="8">
        <v>0</v>
      </c>
      <c r="J211" s="8">
        <v>0</v>
      </c>
      <c r="K211" s="8">
        <v>3644.63</v>
      </c>
      <c r="L211" s="8">
        <v>0</v>
      </c>
      <c r="M211" s="7">
        <v>0</v>
      </c>
      <c r="N211" s="106">
        <v>21000</v>
      </c>
    </row>
    <row r="212" spans="1:14" hidden="1">
      <c r="A212" s="21" t="s">
        <v>1673</v>
      </c>
      <c r="B212" s="5" t="s">
        <v>1685</v>
      </c>
      <c r="C212" s="6" t="s">
        <v>134</v>
      </c>
      <c r="D212" s="6" t="s">
        <v>135</v>
      </c>
      <c r="E212" s="103" t="s">
        <v>136</v>
      </c>
      <c r="F212" s="7">
        <v>10743.8</v>
      </c>
      <c r="G212" s="7">
        <v>0</v>
      </c>
      <c r="H212" s="8">
        <v>0</v>
      </c>
      <c r="I212" s="8">
        <v>0</v>
      </c>
      <c r="J212" s="8">
        <v>0</v>
      </c>
      <c r="K212" s="8">
        <v>2256.2000000000003</v>
      </c>
      <c r="L212" s="8">
        <v>0</v>
      </c>
      <c r="M212" s="7">
        <v>0</v>
      </c>
      <c r="N212" s="106">
        <v>13000</v>
      </c>
    </row>
    <row r="213" spans="1:14">
      <c r="A213" s="21" t="s">
        <v>1673</v>
      </c>
      <c r="B213" s="5" t="s">
        <v>1686</v>
      </c>
      <c r="C213" s="6" t="s">
        <v>1687</v>
      </c>
      <c r="D213" s="6" t="s">
        <v>135</v>
      </c>
      <c r="E213" s="103">
        <v>12160813</v>
      </c>
      <c r="F213" s="7">
        <v>21487.599999999999</v>
      </c>
      <c r="G213" s="7">
        <v>0</v>
      </c>
      <c r="H213" s="8">
        <v>0</v>
      </c>
      <c r="I213" s="8">
        <v>0</v>
      </c>
      <c r="J213" s="8">
        <v>0</v>
      </c>
      <c r="K213" s="8">
        <v>4512.4000000000005</v>
      </c>
      <c r="L213" s="8">
        <v>0</v>
      </c>
      <c r="M213" s="7">
        <v>0</v>
      </c>
      <c r="N213" s="106">
        <v>26000</v>
      </c>
    </row>
    <row r="214" spans="1:14" hidden="1">
      <c r="A214" s="21" t="s">
        <v>1673</v>
      </c>
      <c r="B214" s="5" t="s">
        <v>1688</v>
      </c>
      <c r="C214" s="6" t="s">
        <v>134</v>
      </c>
      <c r="D214" s="6" t="s">
        <v>135</v>
      </c>
      <c r="E214" s="103" t="s">
        <v>136</v>
      </c>
      <c r="F214" s="7">
        <v>21487.599999999999</v>
      </c>
      <c r="G214" s="7">
        <v>0</v>
      </c>
      <c r="H214" s="8">
        <v>0</v>
      </c>
      <c r="I214" s="8">
        <v>0</v>
      </c>
      <c r="J214" s="8">
        <v>0</v>
      </c>
      <c r="K214" s="8">
        <v>4512.4000000000005</v>
      </c>
      <c r="L214" s="8">
        <v>0</v>
      </c>
      <c r="M214" s="7">
        <v>0</v>
      </c>
      <c r="N214" s="106">
        <v>26000</v>
      </c>
    </row>
    <row r="215" spans="1:14" hidden="1">
      <c r="A215" s="21" t="s">
        <v>1673</v>
      </c>
      <c r="B215" s="5" t="s">
        <v>1689</v>
      </c>
      <c r="C215" s="6" t="s">
        <v>134</v>
      </c>
      <c r="D215" s="6" t="s">
        <v>135</v>
      </c>
      <c r="E215" s="103" t="s">
        <v>136</v>
      </c>
      <c r="F215" s="7">
        <v>14669.42</v>
      </c>
      <c r="G215" s="7">
        <v>0</v>
      </c>
      <c r="H215" s="8">
        <v>0</v>
      </c>
      <c r="I215" s="8">
        <v>0</v>
      </c>
      <c r="J215" s="8">
        <v>0</v>
      </c>
      <c r="K215" s="8">
        <v>3080.58</v>
      </c>
      <c r="L215" s="8">
        <v>0</v>
      </c>
      <c r="M215" s="7">
        <v>0</v>
      </c>
      <c r="N215" s="106">
        <v>17750</v>
      </c>
    </row>
    <row r="216" spans="1:14" hidden="1">
      <c r="A216" s="21" t="s">
        <v>1673</v>
      </c>
      <c r="B216" s="5" t="s">
        <v>1690</v>
      </c>
      <c r="C216" s="6" t="s">
        <v>134</v>
      </c>
      <c r="D216" s="6" t="s">
        <v>135</v>
      </c>
      <c r="E216" s="103" t="s">
        <v>136</v>
      </c>
      <c r="F216" s="7">
        <v>29752.07</v>
      </c>
      <c r="G216" s="7">
        <v>0</v>
      </c>
      <c r="H216" s="8">
        <v>0</v>
      </c>
      <c r="I216" s="8">
        <v>0</v>
      </c>
      <c r="J216" s="8">
        <v>0</v>
      </c>
      <c r="K216" s="8">
        <v>6247.93</v>
      </c>
      <c r="L216" s="8">
        <v>0</v>
      </c>
      <c r="M216" s="7">
        <v>0</v>
      </c>
      <c r="N216" s="106">
        <v>36000</v>
      </c>
    </row>
    <row r="217" spans="1:14">
      <c r="A217" s="21" t="s">
        <v>1700</v>
      </c>
      <c r="B217" s="5" t="s">
        <v>1701</v>
      </c>
      <c r="C217" s="6" t="s">
        <v>1702</v>
      </c>
      <c r="D217" s="6" t="s">
        <v>135</v>
      </c>
      <c r="E217" s="103">
        <v>14331760</v>
      </c>
      <c r="F217" s="7">
        <v>10743.8</v>
      </c>
      <c r="G217" s="7">
        <v>0</v>
      </c>
      <c r="H217" s="8">
        <v>0</v>
      </c>
      <c r="I217" s="8">
        <v>0</v>
      </c>
      <c r="J217" s="8">
        <v>0</v>
      </c>
      <c r="K217" s="8">
        <v>2256.2000000000003</v>
      </c>
      <c r="L217" s="8">
        <v>0</v>
      </c>
      <c r="M217" s="7">
        <v>0</v>
      </c>
      <c r="N217" s="106">
        <v>13000</v>
      </c>
    </row>
    <row r="218" spans="1:14" hidden="1">
      <c r="A218" s="21" t="s">
        <v>1700</v>
      </c>
      <c r="B218" s="5" t="s">
        <v>1703</v>
      </c>
      <c r="C218" s="6" t="s">
        <v>134</v>
      </c>
      <c r="D218" s="6" t="s">
        <v>135</v>
      </c>
      <c r="E218" s="103" t="s">
        <v>136</v>
      </c>
      <c r="F218" s="7">
        <v>16942.150000000001</v>
      </c>
      <c r="G218" s="7">
        <v>0</v>
      </c>
      <c r="H218" s="8">
        <v>0</v>
      </c>
      <c r="I218" s="8">
        <v>0</v>
      </c>
      <c r="J218" s="8">
        <v>0</v>
      </c>
      <c r="K218" s="8">
        <v>3557.85</v>
      </c>
      <c r="L218" s="8">
        <v>0</v>
      </c>
      <c r="M218" s="7">
        <v>0</v>
      </c>
      <c r="N218" s="106">
        <v>20500</v>
      </c>
    </row>
    <row r="219" spans="1:14" hidden="1">
      <c r="A219" s="21" t="s">
        <v>1700</v>
      </c>
      <c r="B219" s="5" t="s">
        <v>1704</v>
      </c>
      <c r="C219" s="6" t="s">
        <v>134</v>
      </c>
      <c r="D219" s="6" t="s">
        <v>135</v>
      </c>
      <c r="E219" s="103" t="s">
        <v>136</v>
      </c>
      <c r="F219" s="7">
        <v>11487.6</v>
      </c>
      <c r="G219" s="7">
        <v>0</v>
      </c>
      <c r="H219" s="8">
        <v>0</v>
      </c>
      <c r="I219" s="8">
        <v>0</v>
      </c>
      <c r="J219" s="8">
        <v>0</v>
      </c>
      <c r="K219" s="8">
        <v>2412.4</v>
      </c>
      <c r="L219" s="8">
        <v>0</v>
      </c>
      <c r="M219" s="7">
        <v>0</v>
      </c>
      <c r="N219" s="106">
        <v>13900</v>
      </c>
    </row>
    <row r="220" spans="1:14" hidden="1">
      <c r="A220" s="21" t="s">
        <v>1700</v>
      </c>
      <c r="B220" s="5" t="s">
        <v>1705</v>
      </c>
      <c r="C220" s="6" t="s">
        <v>134</v>
      </c>
      <c r="D220" s="6" t="s">
        <v>135</v>
      </c>
      <c r="E220" s="103" t="s">
        <v>136</v>
      </c>
      <c r="F220" s="7">
        <v>10743.8</v>
      </c>
      <c r="G220" s="7">
        <v>0</v>
      </c>
      <c r="H220" s="8">
        <v>0</v>
      </c>
      <c r="I220" s="8">
        <v>0</v>
      </c>
      <c r="J220" s="8">
        <v>0</v>
      </c>
      <c r="K220" s="8">
        <v>2256.2000000000003</v>
      </c>
      <c r="L220" s="8">
        <v>0</v>
      </c>
      <c r="M220" s="7">
        <v>0</v>
      </c>
      <c r="N220" s="106">
        <v>13000</v>
      </c>
    </row>
    <row r="221" spans="1:14" hidden="1">
      <c r="A221" s="21" t="s">
        <v>1700</v>
      </c>
      <c r="B221" s="5" t="s">
        <v>1706</v>
      </c>
      <c r="C221" s="6" t="s">
        <v>134</v>
      </c>
      <c r="D221" s="6" t="s">
        <v>135</v>
      </c>
      <c r="E221" s="103" t="s">
        <v>136</v>
      </c>
      <c r="F221" s="7">
        <v>25000</v>
      </c>
      <c r="G221" s="7">
        <v>0</v>
      </c>
      <c r="H221" s="8">
        <v>0</v>
      </c>
      <c r="I221" s="8">
        <v>0</v>
      </c>
      <c r="J221" s="8">
        <v>0</v>
      </c>
      <c r="K221" s="8">
        <v>5250</v>
      </c>
      <c r="L221" s="8">
        <v>0</v>
      </c>
      <c r="M221" s="7">
        <v>0</v>
      </c>
      <c r="N221" s="106">
        <v>30250</v>
      </c>
    </row>
    <row r="222" spans="1:14" hidden="1">
      <c r="A222" s="21" t="s">
        <v>1700</v>
      </c>
      <c r="B222" s="5" t="s">
        <v>1707</v>
      </c>
      <c r="C222" s="6" t="s">
        <v>134</v>
      </c>
      <c r="D222" s="6" t="s">
        <v>135</v>
      </c>
      <c r="E222" s="103" t="s">
        <v>136</v>
      </c>
      <c r="F222" s="7">
        <v>10743.8</v>
      </c>
      <c r="G222" s="7">
        <v>0</v>
      </c>
      <c r="H222" s="8">
        <v>0</v>
      </c>
      <c r="I222" s="8">
        <v>0</v>
      </c>
      <c r="J222" s="8">
        <v>0</v>
      </c>
      <c r="K222" s="8">
        <v>2256.2000000000003</v>
      </c>
      <c r="L222" s="8">
        <v>0</v>
      </c>
      <c r="M222" s="7">
        <v>0</v>
      </c>
      <c r="N222" s="106">
        <v>13000</v>
      </c>
    </row>
    <row r="223" spans="1:14">
      <c r="A223" s="21" t="s">
        <v>1700</v>
      </c>
      <c r="B223" s="5" t="s">
        <v>1708</v>
      </c>
      <c r="C223" s="6" t="s">
        <v>1709</v>
      </c>
      <c r="D223" s="6" t="s">
        <v>135</v>
      </c>
      <c r="E223" s="103">
        <v>6192248</v>
      </c>
      <c r="F223" s="7">
        <v>24793.39</v>
      </c>
      <c r="G223" s="7">
        <v>0</v>
      </c>
      <c r="H223" s="8">
        <v>0</v>
      </c>
      <c r="I223" s="8">
        <v>0</v>
      </c>
      <c r="J223" s="8">
        <v>0</v>
      </c>
      <c r="K223" s="8">
        <v>5206.6099999999997</v>
      </c>
      <c r="L223" s="8">
        <v>0</v>
      </c>
      <c r="M223" s="7">
        <v>0</v>
      </c>
      <c r="N223" s="106">
        <v>30000</v>
      </c>
    </row>
    <row r="224" spans="1:14">
      <c r="A224" s="21" t="s">
        <v>1700</v>
      </c>
      <c r="B224" s="5" t="s">
        <v>1710</v>
      </c>
      <c r="C224" s="6" t="s">
        <v>1711</v>
      </c>
      <c r="D224" s="6" t="s">
        <v>135</v>
      </c>
      <c r="E224" s="103">
        <v>30995103</v>
      </c>
      <c r="F224" s="7">
        <v>34710.74</v>
      </c>
      <c r="G224" s="7">
        <v>0</v>
      </c>
      <c r="H224" s="8">
        <v>0</v>
      </c>
      <c r="I224" s="8">
        <v>0</v>
      </c>
      <c r="J224" s="8">
        <v>0</v>
      </c>
      <c r="K224" s="8">
        <v>7289.26</v>
      </c>
      <c r="L224" s="8">
        <v>0</v>
      </c>
      <c r="M224" s="7">
        <v>0</v>
      </c>
      <c r="N224" s="106">
        <v>42000</v>
      </c>
    </row>
    <row r="225" spans="1:14" hidden="1">
      <c r="A225" s="21" t="s">
        <v>1700</v>
      </c>
      <c r="B225" s="5" t="s">
        <v>1712</v>
      </c>
      <c r="C225" s="6" t="s">
        <v>134</v>
      </c>
      <c r="D225" s="6" t="s">
        <v>135</v>
      </c>
      <c r="E225" s="103" t="s">
        <v>136</v>
      </c>
      <c r="F225" s="7">
        <v>28099.18</v>
      </c>
      <c r="G225" s="7">
        <v>0</v>
      </c>
      <c r="H225" s="8">
        <v>0</v>
      </c>
      <c r="I225" s="8">
        <v>0</v>
      </c>
      <c r="J225" s="8">
        <v>0</v>
      </c>
      <c r="K225" s="8">
        <v>5900.82</v>
      </c>
      <c r="L225" s="8">
        <v>0</v>
      </c>
      <c r="M225" s="7">
        <v>0</v>
      </c>
      <c r="N225" s="106">
        <v>34000</v>
      </c>
    </row>
    <row r="226" spans="1:14" hidden="1">
      <c r="A226" s="21" t="s">
        <v>1700</v>
      </c>
      <c r="B226" s="5" t="s">
        <v>1713</v>
      </c>
      <c r="C226" s="6" t="s">
        <v>134</v>
      </c>
      <c r="D226" s="6" t="s">
        <v>135</v>
      </c>
      <c r="E226" s="103" t="s">
        <v>136</v>
      </c>
      <c r="F226" s="7">
        <v>10743.8</v>
      </c>
      <c r="G226" s="7">
        <v>0</v>
      </c>
      <c r="H226" s="8">
        <v>0</v>
      </c>
      <c r="I226" s="8">
        <v>0</v>
      </c>
      <c r="J226" s="8">
        <v>0</v>
      </c>
      <c r="K226" s="8">
        <v>2256.2000000000003</v>
      </c>
      <c r="L226" s="8">
        <v>0</v>
      </c>
      <c r="M226" s="7">
        <v>0</v>
      </c>
      <c r="N226" s="106">
        <v>13000</v>
      </c>
    </row>
    <row r="227" spans="1:14" hidden="1">
      <c r="A227" s="21" t="s">
        <v>1700</v>
      </c>
      <c r="B227" s="5" t="s">
        <v>1714</v>
      </c>
      <c r="C227" s="6" t="s">
        <v>134</v>
      </c>
      <c r="D227" s="6" t="s">
        <v>135</v>
      </c>
      <c r="E227" s="103" t="s">
        <v>136</v>
      </c>
      <c r="F227" s="7">
        <v>11735.54</v>
      </c>
      <c r="G227" s="7">
        <v>0</v>
      </c>
      <c r="H227" s="8">
        <v>0</v>
      </c>
      <c r="I227" s="8">
        <v>0</v>
      </c>
      <c r="J227" s="8">
        <v>0</v>
      </c>
      <c r="K227" s="8">
        <v>2464.46</v>
      </c>
      <c r="L227" s="8">
        <v>0</v>
      </c>
      <c r="M227" s="7">
        <v>0</v>
      </c>
      <c r="N227" s="106">
        <v>14200</v>
      </c>
    </row>
    <row r="228" spans="1:14" hidden="1">
      <c r="A228" s="21" t="s">
        <v>1720</v>
      </c>
      <c r="B228" s="5" t="s">
        <v>1721</v>
      </c>
      <c r="C228" s="6" t="s">
        <v>134</v>
      </c>
      <c r="D228" s="6" t="s">
        <v>135</v>
      </c>
      <c r="E228" s="103" t="s">
        <v>136</v>
      </c>
      <c r="F228" s="7">
        <v>10743.8</v>
      </c>
      <c r="G228" s="7">
        <v>0</v>
      </c>
      <c r="H228" s="8">
        <v>0</v>
      </c>
      <c r="I228" s="8">
        <v>0</v>
      </c>
      <c r="J228" s="8">
        <v>0</v>
      </c>
      <c r="K228" s="8">
        <v>2256.2000000000003</v>
      </c>
      <c r="L228" s="8">
        <v>0</v>
      </c>
      <c r="M228" s="7">
        <v>0</v>
      </c>
      <c r="N228" s="106">
        <v>13000</v>
      </c>
    </row>
    <row r="229" spans="1:14" hidden="1">
      <c r="A229" s="21" t="s">
        <v>1720</v>
      </c>
      <c r="B229" s="5" t="s">
        <v>1722</v>
      </c>
      <c r="C229" s="6" t="s">
        <v>134</v>
      </c>
      <c r="D229" s="6" t="s">
        <v>135</v>
      </c>
      <c r="E229" s="103" t="s">
        <v>136</v>
      </c>
      <c r="F229" s="7">
        <v>10743.8</v>
      </c>
      <c r="G229" s="7">
        <v>0</v>
      </c>
      <c r="H229" s="8">
        <v>0</v>
      </c>
      <c r="I229" s="8">
        <v>0</v>
      </c>
      <c r="J229" s="8">
        <v>0</v>
      </c>
      <c r="K229" s="8">
        <v>2256.2000000000003</v>
      </c>
      <c r="L229" s="8">
        <v>0</v>
      </c>
      <c r="M229" s="7">
        <v>0</v>
      </c>
      <c r="N229" s="106">
        <v>13000</v>
      </c>
    </row>
    <row r="230" spans="1:14" hidden="1">
      <c r="A230" s="21" t="s">
        <v>1720</v>
      </c>
      <c r="B230" s="5" t="s">
        <v>1723</v>
      </c>
      <c r="C230" s="6" t="s">
        <v>134</v>
      </c>
      <c r="D230" s="6" t="s">
        <v>135</v>
      </c>
      <c r="E230" s="103" t="s">
        <v>136</v>
      </c>
      <c r="F230" s="7">
        <v>21487.599999999999</v>
      </c>
      <c r="G230" s="7">
        <v>0</v>
      </c>
      <c r="H230" s="8">
        <v>0</v>
      </c>
      <c r="I230" s="8">
        <v>0</v>
      </c>
      <c r="J230" s="8">
        <v>0</v>
      </c>
      <c r="K230" s="8">
        <v>4512.4000000000005</v>
      </c>
      <c r="L230" s="8">
        <v>0</v>
      </c>
      <c r="M230" s="7">
        <v>0</v>
      </c>
      <c r="N230" s="106">
        <v>26000</v>
      </c>
    </row>
    <row r="231" spans="1:14" hidden="1">
      <c r="A231" s="21" t="s">
        <v>1720</v>
      </c>
      <c r="B231" s="5" t="s">
        <v>1724</v>
      </c>
      <c r="C231" s="6" t="s">
        <v>134</v>
      </c>
      <c r="D231" s="6" t="s">
        <v>135</v>
      </c>
      <c r="E231" s="103" t="s">
        <v>136</v>
      </c>
      <c r="F231" s="7">
        <v>14462.81</v>
      </c>
      <c r="G231" s="7">
        <v>0</v>
      </c>
      <c r="H231" s="8">
        <v>0</v>
      </c>
      <c r="I231" s="8">
        <v>0</v>
      </c>
      <c r="J231" s="8">
        <v>0</v>
      </c>
      <c r="K231" s="8">
        <v>3037.19</v>
      </c>
      <c r="L231" s="8">
        <v>0</v>
      </c>
      <c r="M231" s="7">
        <v>0</v>
      </c>
      <c r="N231" s="106">
        <v>17500</v>
      </c>
    </row>
    <row r="232" spans="1:14" hidden="1">
      <c r="A232" s="21" t="s">
        <v>1720</v>
      </c>
      <c r="B232" s="5" t="s">
        <v>1725</v>
      </c>
      <c r="C232" s="6" t="s">
        <v>134</v>
      </c>
      <c r="D232" s="6" t="s">
        <v>135</v>
      </c>
      <c r="E232" s="103" t="s">
        <v>136</v>
      </c>
      <c r="F232" s="7">
        <v>14669.42</v>
      </c>
      <c r="G232" s="7">
        <v>0</v>
      </c>
      <c r="H232" s="8">
        <v>0</v>
      </c>
      <c r="I232" s="8">
        <v>0</v>
      </c>
      <c r="J232" s="8">
        <v>0</v>
      </c>
      <c r="K232" s="8">
        <v>3080.58</v>
      </c>
      <c r="L232" s="8">
        <v>0</v>
      </c>
      <c r="M232" s="7">
        <v>0</v>
      </c>
      <c r="N232" s="106">
        <v>17750</v>
      </c>
    </row>
    <row r="233" spans="1:14" hidden="1">
      <c r="A233" s="21" t="s">
        <v>1720</v>
      </c>
      <c r="B233" s="5" t="s">
        <v>1726</v>
      </c>
      <c r="C233" s="6" t="s">
        <v>134</v>
      </c>
      <c r="D233" s="6" t="s">
        <v>135</v>
      </c>
      <c r="E233" s="103" t="s">
        <v>136</v>
      </c>
      <c r="F233" s="7">
        <v>31818.18</v>
      </c>
      <c r="G233" s="7">
        <v>0</v>
      </c>
      <c r="H233" s="8">
        <v>0</v>
      </c>
      <c r="I233" s="8">
        <v>0</v>
      </c>
      <c r="J233" s="8">
        <v>0</v>
      </c>
      <c r="K233" s="8">
        <v>6681.82</v>
      </c>
      <c r="L233" s="8">
        <v>0</v>
      </c>
      <c r="M233" s="7">
        <v>0</v>
      </c>
      <c r="N233" s="106">
        <v>38500</v>
      </c>
    </row>
    <row r="234" spans="1:14" hidden="1">
      <c r="A234" s="21" t="s">
        <v>1720</v>
      </c>
      <c r="B234" s="5" t="s">
        <v>1727</v>
      </c>
      <c r="C234" s="6" t="s">
        <v>134</v>
      </c>
      <c r="D234" s="6" t="s">
        <v>135</v>
      </c>
      <c r="E234" s="103" t="s">
        <v>136</v>
      </c>
      <c r="F234" s="7">
        <v>42975.21</v>
      </c>
      <c r="G234" s="7">
        <v>0</v>
      </c>
      <c r="H234" s="8">
        <v>0</v>
      </c>
      <c r="I234" s="8">
        <v>0</v>
      </c>
      <c r="J234" s="8">
        <v>0</v>
      </c>
      <c r="K234" s="8">
        <v>9024.7900000000009</v>
      </c>
      <c r="L234" s="8">
        <v>0</v>
      </c>
      <c r="M234" s="7">
        <v>0</v>
      </c>
      <c r="N234" s="106">
        <v>52000</v>
      </c>
    </row>
    <row r="235" spans="1:14" hidden="1">
      <c r="A235" s="21" t="s">
        <v>1720</v>
      </c>
      <c r="B235" s="5" t="s">
        <v>1728</v>
      </c>
      <c r="C235" s="6" t="s">
        <v>134</v>
      </c>
      <c r="D235" s="6" t="s">
        <v>135</v>
      </c>
      <c r="E235" s="103" t="s">
        <v>136</v>
      </c>
      <c r="F235" s="7">
        <v>16157.02</v>
      </c>
      <c r="G235" s="7">
        <v>0</v>
      </c>
      <c r="H235" s="8">
        <v>0</v>
      </c>
      <c r="I235" s="8">
        <v>0</v>
      </c>
      <c r="J235" s="8">
        <v>0</v>
      </c>
      <c r="K235" s="8">
        <v>3392.98</v>
      </c>
      <c r="L235" s="8">
        <v>0</v>
      </c>
      <c r="M235" s="7">
        <v>0</v>
      </c>
      <c r="N235" s="106">
        <v>19550</v>
      </c>
    </row>
    <row r="236" spans="1:14" hidden="1">
      <c r="A236" s="21" t="s">
        <v>1730</v>
      </c>
      <c r="B236" s="5" t="s">
        <v>1731</v>
      </c>
      <c r="C236" s="6" t="s">
        <v>134</v>
      </c>
      <c r="D236" s="6" t="s">
        <v>135</v>
      </c>
      <c r="E236" s="103" t="s">
        <v>136</v>
      </c>
      <c r="F236" s="7">
        <v>10743.8</v>
      </c>
      <c r="G236" s="7">
        <v>0</v>
      </c>
      <c r="H236" s="8">
        <v>0</v>
      </c>
      <c r="I236" s="8">
        <v>0</v>
      </c>
      <c r="J236" s="8">
        <v>0</v>
      </c>
      <c r="K236" s="8">
        <v>2256.2000000000003</v>
      </c>
      <c r="L236" s="8">
        <v>0</v>
      </c>
      <c r="M236" s="7">
        <v>0</v>
      </c>
      <c r="N236" s="106">
        <v>13000</v>
      </c>
    </row>
    <row r="237" spans="1:14" hidden="1">
      <c r="A237" s="21" t="s">
        <v>1730</v>
      </c>
      <c r="B237" s="5" t="s">
        <v>1732</v>
      </c>
      <c r="C237" s="6" t="s">
        <v>134</v>
      </c>
      <c r="D237" s="6" t="s">
        <v>135</v>
      </c>
      <c r="E237" s="103" t="s">
        <v>136</v>
      </c>
      <c r="F237" s="7">
        <v>10743.8</v>
      </c>
      <c r="G237" s="7">
        <v>0</v>
      </c>
      <c r="H237" s="8">
        <v>0</v>
      </c>
      <c r="I237" s="8">
        <v>0</v>
      </c>
      <c r="J237" s="8">
        <v>0</v>
      </c>
      <c r="K237" s="8">
        <v>2256.2000000000003</v>
      </c>
      <c r="L237" s="8">
        <v>0</v>
      </c>
      <c r="M237" s="7">
        <v>0</v>
      </c>
      <c r="N237" s="106">
        <v>13000</v>
      </c>
    </row>
    <row r="238" spans="1:14" hidden="1">
      <c r="A238" s="21" t="s">
        <v>1730</v>
      </c>
      <c r="B238" s="5" t="s">
        <v>1733</v>
      </c>
      <c r="C238" s="6" t="s">
        <v>134</v>
      </c>
      <c r="D238" s="6" t="s">
        <v>135</v>
      </c>
      <c r="E238" s="103" t="s">
        <v>136</v>
      </c>
      <c r="F238" s="7">
        <v>10743.8</v>
      </c>
      <c r="G238" s="7">
        <v>0</v>
      </c>
      <c r="H238" s="8">
        <v>0</v>
      </c>
      <c r="I238" s="8">
        <v>0</v>
      </c>
      <c r="J238" s="8">
        <v>0</v>
      </c>
      <c r="K238" s="8">
        <v>2256.2000000000003</v>
      </c>
      <c r="L238" s="8">
        <v>0</v>
      </c>
      <c r="M238" s="7">
        <v>0</v>
      </c>
      <c r="N238" s="106">
        <v>13000</v>
      </c>
    </row>
    <row r="239" spans="1:14" hidden="1">
      <c r="A239" s="21" t="s">
        <v>1730</v>
      </c>
      <c r="B239" s="5" t="s">
        <v>1734</v>
      </c>
      <c r="C239" s="6" t="s">
        <v>134</v>
      </c>
      <c r="D239" s="6" t="s">
        <v>135</v>
      </c>
      <c r="E239" s="103" t="s">
        <v>136</v>
      </c>
      <c r="F239" s="7">
        <v>21487.599999999999</v>
      </c>
      <c r="G239" s="7">
        <v>0</v>
      </c>
      <c r="H239" s="8">
        <v>0</v>
      </c>
      <c r="I239" s="8">
        <v>0</v>
      </c>
      <c r="J239" s="8">
        <v>0</v>
      </c>
      <c r="K239" s="8">
        <v>4512.4000000000005</v>
      </c>
      <c r="L239" s="8">
        <v>0</v>
      </c>
      <c r="M239" s="7">
        <v>0</v>
      </c>
      <c r="N239" s="106">
        <v>26000</v>
      </c>
    </row>
    <row r="240" spans="1:14" hidden="1">
      <c r="A240" s="21" t="s">
        <v>1730</v>
      </c>
      <c r="B240" s="5" t="s">
        <v>1735</v>
      </c>
      <c r="C240" s="6" t="s">
        <v>134</v>
      </c>
      <c r="D240" s="6" t="s">
        <v>135</v>
      </c>
      <c r="E240" s="103" t="s">
        <v>136</v>
      </c>
      <c r="F240" s="7">
        <v>19338.84</v>
      </c>
      <c r="G240" s="7">
        <v>0</v>
      </c>
      <c r="H240" s="8">
        <v>0</v>
      </c>
      <c r="I240" s="8">
        <v>0</v>
      </c>
      <c r="J240" s="8">
        <v>0</v>
      </c>
      <c r="K240" s="8">
        <v>4061.1600000000003</v>
      </c>
      <c r="L240" s="8">
        <v>0</v>
      </c>
      <c r="M240" s="7">
        <v>0</v>
      </c>
      <c r="N240" s="106">
        <v>23400</v>
      </c>
    </row>
    <row r="241" spans="1:14" hidden="1">
      <c r="A241" s="21" t="s">
        <v>1730</v>
      </c>
      <c r="B241" s="5" t="s">
        <v>1736</v>
      </c>
      <c r="C241" s="6" t="s">
        <v>134</v>
      </c>
      <c r="D241" s="6" t="s">
        <v>135</v>
      </c>
      <c r="E241" s="103" t="s">
        <v>136</v>
      </c>
      <c r="F241" s="7">
        <v>2231.4</v>
      </c>
      <c r="G241" s="7">
        <v>0</v>
      </c>
      <c r="H241" s="8">
        <v>0</v>
      </c>
      <c r="I241" s="8">
        <v>0</v>
      </c>
      <c r="J241" s="8">
        <v>0</v>
      </c>
      <c r="K241" s="8">
        <v>468.6</v>
      </c>
      <c r="L241" s="8">
        <v>0</v>
      </c>
      <c r="M241" s="7">
        <v>0</v>
      </c>
      <c r="N241" s="106">
        <v>2700</v>
      </c>
    </row>
    <row r="242" spans="1:14" hidden="1">
      <c r="A242" s="21" t="s">
        <v>1730</v>
      </c>
      <c r="B242" s="5" t="s">
        <v>1737</v>
      </c>
      <c r="C242" s="6" t="s">
        <v>134</v>
      </c>
      <c r="D242" s="6" t="s">
        <v>135</v>
      </c>
      <c r="E242" s="103" t="s">
        <v>136</v>
      </c>
      <c r="F242" s="7">
        <v>13223.14</v>
      </c>
      <c r="G242" s="7">
        <v>0</v>
      </c>
      <c r="H242" s="8">
        <v>0</v>
      </c>
      <c r="I242" s="8">
        <v>0</v>
      </c>
      <c r="J242" s="8">
        <v>0</v>
      </c>
      <c r="K242" s="8">
        <v>2776.86</v>
      </c>
      <c r="L242" s="8">
        <v>0</v>
      </c>
      <c r="M242" s="7">
        <v>0</v>
      </c>
      <c r="N242" s="106">
        <v>16000</v>
      </c>
    </row>
    <row r="243" spans="1:14" hidden="1">
      <c r="A243" s="21" t="s">
        <v>1730</v>
      </c>
      <c r="B243" s="5" t="s">
        <v>1738</v>
      </c>
      <c r="C243" s="6" t="s">
        <v>134</v>
      </c>
      <c r="D243" s="6" t="s">
        <v>135</v>
      </c>
      <c r="E243" s="103" t="s">
        <v>136</v>
      </c>
      <c r="F243" s="7">
        <v>8264.4600000000009</v>
      </c>
      <c r="G243" s="7">
        <v>0</v>
      </c>
      <c r="H243" s="8">
        <v>0</v>
      </c>
      <c r="I243" s="8">
        <v>0</v>
      </c>
      <c r="J243" s="8">
        <v>0</v>
      </c>
      <c r="K243" s="8">
        <v>1735.54</v>
      </c>
      <c r="L243" s="8">
        <v>0</v>
      </c>
      <c r="M243" s="7">
        <v>0</v>
      </c>
      <c r="N243" s="106">
        <v>10000</v>
      </c>
    </row>
    <row r="244" spans="1:14" hidden="1">
      <c r="A244" s="21" t="s">
        <v>1730</v>
      </c>
      <c r="B244" s="5" t="s">
        <v>1739</v>
      </c>
      <c r="C244" s="6" t="s">
        <v>134</v>
      </c>
      <c r="D244" s="6" t="s">
        <v>135</v>
      </c>
      <c r="E244" s="103" t="s">
        <v>136</v>
      </c>
      <c r="F244" s="7">
        <v>10743.8</v>
      </c>
      <c r="G244" s="7">
        <v>0</v>
      </c>
      <c r="H244" s="8">
        <v>0</v>
      </c>
      <c r="I244" s="8">
        <v>0</v>
      </c>
      <c r="J244" s="8">
        <v>0</v>
      </c>
      <c r="K244" s="8">
        <v>2256.2000000000003</v>
      </c>
      <c r="L244" s="8">
        <v>0</v>
      </c>
      <c r="M244" s="7">
        <v>0</v>
      </c>
      <c r="N244" s="106">
        <v>13000</v>
      </c>
    </row>
    <row r="245" spans="1:14" hidden="1">
      <c r="A245" s="21" t="s">
        <v>1730</v>
      </c>
      <c r="B245" s="5" t="s">
        <v>1740</v>
      </c>
      <c r="C245" s="6" t="s">
        <v>134</v>
      </c>
      <c r="D245" s="6" t="s">
        <v>135</v>
      </c>
      <c r="E245" s="103" t="s">
        <v>136</v>
      </c>
      <c r="F245" s="7">
        <v>10743.8</v>
      </c>
      <c r="G245" s="7">
        <v>0</v>
      </c>
      <c r="H245" s="8">
        <v>0</v>
      </c>
      <c r="I245" s="8">
        <v>0</v>
      </c>
      <c r="J245" s="8">
        <v>0</v>
      </c>
      <c r="K245" s="8">
        <v>2256.2000000000003</v>
      </c>
      <c r="L245" s="8">
        <v>0</v>
      </c>
      <c r="M245" s="7">
        <v>0</v>
      </c>
      <c r="N245" s="106">
        <v>13000</v>
      </c>
    </row>
    <row r="246" spans="1:14" hidden="1">
      <c r="A246" s="21" t="s">
        <v>1730</v>
      </c>
      <c r="B246" s="5" t="s">
        <v>1741</v>
      </c>
      <c r="C246" s="6" t="s">
        <v>134</v>
      </c>
      <c r="D246" s="6" t="s">
        <v>135</v>
      </c>
      <c r="E246" s="103" t="s">
        <v>136</v>
      </c>
      <c r="F246" s="7">
        <v>5785.12</v>
      </c>
      <c r="G246" s="7">
        <v>0</v>
      </c>
      <c r="H246" s="8">
        <v>0</v>
      </c>
      <c r="I246" s="8">
        <v>0</v>
      </c>
      <c r="J246" s="8">
        <v>0</v>
      </c>
      <c r="K246" s="8">
        <v>1214.8800000000001</v>
      </c>
      <c r="L246" s="8">
        <v>0</v>
      </c>
      <c r="M246" s="7">
        <v>0</v>
      </c>
      <c r="N246" s="106">
        <v>7000</v>
      </c>
    </row>
    <row r="247" spans="1:14" hidden="1">
      <c r="A247" s="21" t="s">
        <v>1730</v>
      </c>
      <c r="B247" s="5" t="s">
        <v>1742</v>
      </c>
      <c r="C247" s="6" t="s">
        <v>134</v>
      </c>
      <c r="D247" s="6" t="s">
        <v>135</v>
      </c>
      <c r="E247" s="103" t="s">
        <v>136</v>
      </c>
      <c r="F247" s="7">
        <v>23966.94</v>
      </c>
      <c r="G247" s="7">
        <v>0</v>
      </c>
      <c r="H247" s="8">
        <v>0</v>
      </c>
      <c r="I247" s="8">
        <v>0</v>
      </c>
      <c r="J247" s="8">
        <v>0</v>
      </c>
      <c r="K247" s="8">
        <v>5033.0600000000004</v>
      </c>
      <c r="L247" s="8">
        <v>0</v>
      </c>
      <c r="M247" s="7">
        <v>0</v>
      </c>
      <c r="N247" s="106">
        <v>29000</v>
      </c>
    </row>
    <row r="248" spans="1:14" hidden="1">
      <c r="A248" s="21" t="s">
        <v>1730</v>
      </c>
      <c r="B248" s="5" t="s">
        <v>1743</v>
      </c>
      <c r="C248" s="6" t="s">
        <v>134</v>
      </c>
      <c r="D248" s="6" t="s">
        <v>135</v>
      </c>
      <c r="E248" s="103" t="s">
        <v>136</v>
      </c>
      <c r="F248" s="7">
        <v>10743.8</v>
      </c>
      <c r="G248" s="7">
        <v>0</v>
      </c>
      <c r="H248" s="8">
        <v>0</v>
      </c>
      <c r="I248" s="8">
        <v>0</v>
      </c>
      <c r="J248" s="8">
        <v>0</v>
      </c>
      <c r="K248" s="8">
        <v>2256.2000000000003</v>
      </c>
      <c r="L248" s="8">
        <v>0</v>
      </c>
      <c r="M248" s="7">
        <v>0</v>
      </c>
      <c r="N248" s="106">
        <v>13000</v>
      </c>
    </row>
    <row r="249" spans="1:14" hidden="1">
      <c r="A249" s="21" t="s">
        <v>1730</v>
      </c>
      <c r="B249" s="5" t="s">
        <v>1744</v>
      </c>
      <c r="C249" s="6" t="s">
        <v>134</v>
      </c>
      <c r="D249" s="6" t="s">
        <v>135</v>
      </c>
      <c r="E249" s="103" t="s">
        <v>136</v>
      </c>
      <c r="F249" s="7">
        <v>10743.8</v>
      </c>
      <c r="G249" s="7">
        <v>0</v>
      </c>
      <c r="H249" s="8">
        <v>0</v>
      </c>
      <c r="I249" s="8">
        <v>0</v>
      </c>
      <c r="J249" s="8">
        <v>0</v>
      </c>
      <c r="K249" s="8">
        <v>2256.2000000000003</v>
      </c>
      <c r="L249" s="8">
        <v>0</v>
      </c>
      <c r="M249" s="7">
        <v>0</v>
      </c>
      <c r="N249" s="106">
        <v>13000</v>
      </c>
    </row>
    <row r="250" spans="1:14" hidden="1">
      <c r="A250" s="21" t="s">
        <v>1730</v>
      </c>
      <c r="B250" s="5" t="s">
        <v>1745</v>
      </c>
      <c r="C250" s="6" t="s">
        <v>134</v>
      </c>
      <c r="D250" s="6" t="s">
        <v>135</v>
      </c>
      <c r="E250" s="103" t="s">
        <v>136</v>
      </c>
      <c r="F250" s="7">
        <v>53719.01</v>
      </c>
      <c r="G250" s="7">
        <v>0</v>
      </c>
      <c r="H250" s="8">
        <v>0</v>
      </c>
      <c r="I250" s="8">
        <v>0</v>
      </c>
      <c r="J250" s="8">
        <v>0</v>
      </c>
      <c r="K250" s="8">
        <v>11280.99</v>
      </c>
      <c r="L250" s="8">
        <v>0</v>
      </c>
      <c r="M250" s="7">
        <v>0</v>
      </c>
      <c r="N250" s="106">
        <v>65000</v>
      </c>
    </row>
    <row r="251" spans="1:14" hidden="1">
      <c r="A251" s="21" t="s">
        <v>1755</v>
      </c>
      <c r="B251" s="5" t="s">
        <v>1756</v>
      </c>
      <c r="C251" s="6" t="s">
        <v>134</v>
      </c>
      <c r="D251" s="6" t="s">
        <v>135</v>
      </c>
      <c r="E251" s="103" t="s">
        <v>136</v>
      </c>
      <c r="F251" s="7">
        <v>10743.8</v>
      </c>
      <c r="G251" s="7">
        <v>0</v>
      </c>
      <c r="H251" s="8">
        <v>0</v>
      </c>
      <c r="I251" s="8">
        <v>0</v>
      </c>
      <c r="J251" s="8">
        <v>0</v>
      </c>
      <c r="K251" s="8">
        <v>2256.2000000000003</v>
      </c>
      <c r="L251" s="8">
        <v>0</v>
      </c>
      <c r="M251" s="7">
        <v>0</v>
      </c>
      <c r="N251" s="106">
        <v>13000</v>
      </c>
    </row>
    <row r="252" spans="1:14" hidden="1">
      <c r="A252" s="21" t="s">
        <v>1755</v>
      </c>
      <c r="B252" s="5" t="s">
        <v>1757</v>
      </c>
      <c r="C252" s="6" t="s">
        <v>134</v>
      </c>
      <c r="D252" s="6" t="s">
        <v>135</v>
      </c>
      <c r="E252" s="103" t="s">
        <v>136</v>
      </c>
      <c r="F252" s="7">
        <v>29752.07</v>
      </c>
      <c r="G252" s="7">
        <v>0</v>
      </c>
      <c r="H252" s="8">
        <v>0</v>
      </c>
      <c r="I252" s="8">
        <v>0</v>
      </c>
      <c r="J252" s="8">
        <v>0</v>
      </c>
      <c r="K252" s="8">
        <v>6247.93</v>
      </c>
      <c r="L252" s="8">
        <v>0</v>
      </c>
      <c r="M252" s="7">
        <v>0</v>
      </c>
      <c r="N252" s="106">
        <v>36000</v>
      </c>
    </row>
    <row r="253" spans="1:14" hidden="1">
      <c r="A253" s="21" t="s">
        <v>1755</v>
      </c>
      <c r="B253" s="5" t="s">
        <v>1758</v>
      </c>
      <c r="C253" s="6" t="s">
        <v>134</v>
      </c>
      <c r="D253" s="6" t="s">
        <v>135</v>
      </c>
      <c r="E253" s="103" t="s">
        <v>136</v>
      </c>
      <c r="F253" s="7">
        <v>11239.67</v>
      </c>
      <c r="G253" s="7">
        <v>0</v>
      </c>
      <c r="H253" s="8">
        <v>0</v>
      </c>
      <c r="I253" s="8">
        <v>0</v>
      </c>
      <c r="J253" s="8">
        <v>0</v>
      </c>
      <c r="K253" s="8">
        <v>2360.33</v>
      </c>
      <c r="L253" s="8">
        <v>0</v>
      </c>
      <c r="M253" s="7">
        <v>0</v>
      </c>
      <c r="N253" s="106">
        <v>13600</v>
      </c>
    </row>
    <row r="254" spans="1:14" hidden="1">
      <c r="A254" s="21" t="s">
        <v>1755</v>
      </c>
      <c r="B254" s="5" t="s">
        <v>1759</v>
      </c>
      <c r="C254" s="6" t="s">
        <v>134</v>
      </c>
      <c r="D254" s="6" t="s">
        <v>135</v>
      </c>
      <c r="E254" s="103" t="s">
        <v>136</v>
      </c>
      <c r="F254" s="7">
        <v>12396.69</v>
      </c>
      <c r="G254" s="7">
        <v>0</v>
      </c>
      <c r="H254" s="8">
        <v>0</v>
      </c>
      <c r="I254" s="8">
        <v>0</v>
      </c>
      <c r="J254" s="8">
        <v>0</v>
      </c>
      <c r="K254" s="8">
        <v>2603.31</v>
      </c>
      <c r="L254" s="8">
        <v>0</v>
      </c>
      <c r="M254" s="7">
        <v>0</v>
      </c>
      <c r="N254" s="106">
        <v>15000</v>
      </c>
    </row>
    <row r="255" spans="1:14" hidden="1">
      <c r="A255" s="21" t="s">
        <v>1755</v>
      </c>
      <c r="B255" s="5" t="s">
        <v>1760</v>
      </c>
      <c r="C255" s="6" t="s">
        <v>134</v>
      </c>
      <c r="D255" s="6" t="s">
        <v>135</v>
      </c>
      <c r="E255" s="103" t="s">
        <v>136</v>
      </c>
      <c r="F255" s="7">
        <v>10743.8</v>
      </c>
      <c r="G255" s="7">
        <v>0</v>
      </c>
      <c r="H255" s="8">
        <v>0</v>
      </c>
      <c r="I255" s="8">
        <v>0</v>
      </c>
      <c r="J255" s="8">
        <v>0</v>
      </c>
      <c r="K255" s="8">
        <v>2256.2000000000003</v>
      </c>
      <c r="L255" s="8">
        <v>0</v>
      </c>
      <c r="M255" s="7">
        <v>0</v>
      </c>
      <c r="N255" s="106">
        <v>13000</v>
      </c>
    </row>
    <row r="256" spans="1:14" hidden="1">
      <c r="A256" s="21" t="s">
        <v>1755</v>
      </c>
      <c r="B256" s="5" t="s">
        <v>1761</v>
      </c>
      <c r="C256" s="6" t="s">
        <v>134</v>
      </c>
      <c r="D256" s="6" t="s">
        <v>135</v>
      </c>
      <c r="E256" s="103" t="s">
        <v>136</v>
      </c>
      <c r="F256" s="7">
        <v>20661.16</v>
      </c>
      <c r="G256" s="7">
        <v>0</v>
      </c>
      <c r="H256" s="8">
        <v>0</v>
      </c>
      <c r="I256" s="8">
        <v>0</v>
      </c>
      <c r="J256" s="8">
        <v>0</v>
      </c>
      <c r="K256" s="8">
        <v>4338.84</v>
      </c>
      <c r="L256" s="8">
        <v>0</v>
      </c>
      <c r="M256" s="7">
        <v>0</v>
      </c>
      <c r="N256" s="106">
        <v>25000</v>
      </c>
    </row>
    <row r="257" spans="1:14" hidden="1">
      <c r="A257" s="21" t="s">
        <v>1755</v>
      </c>
      <c r="B257" s="5" t="s">
        <v>1762</v>
      </c>
      <c r="C257" s="6" t="s">
        <v>134</v>
      </c>
      <c r="D257" s="6" t="s">
        <v>135</v>
      </c>
      <c r="E257" s="103" t="s">
        <v>136</v>
      </c>
      <c r="F257" s="7">
        <v>58677.69</v>
      </c>
      <c r="G257" s="7">
        <v>0</v>
      </c>
      <c r="H257" s="8">
        <v>0</v>
      </c>
      <c r="I257" s="8">
        <v>0</v>
      </c>
      <c r="J257" s="8">
        <v>0</v>
      </c>
      <c r="K257" s="8">
        <v>12322.31</v>
      </c>
      <c r="L257" s="8">
        <v>0</v>
      </c>
      <c r="M257" s="7">
        <v>0</v>
      </c>
      <c r="N257" s="106">
        <v>71000</v>
      </c>
    </row>
    <row r="258" spans="1:14" hidden="1">
      <c r="A258" s="21" t="s">
        <v>1755</v>
      </c>
      <c r="B258" s="5" t="s">
        <v>1763</v>
      </c>
      <c r="C258" s="6" t="s">
        <v>134</v>
      </c>
      <c r="D258" s="6" t="s">
        <v>135</v>
      </c>
      <c r="E258" s="103" t="s">
        <v>136</v>
      </c>
      <c r="F258" s="7">
        <v>21487.599999999999</v>
      </c>
      <c r="G258" s="7">
        <v>0</v>
      </c>
      <c r="H258" s="8">
        <v>0</v>
      </c>
      <c r="I258" s="8">
        <v>0</v>
      </c>
      <c r="J258" s="8">
        <v>0</v>
      </c>
      <c r="K258" s="8">
        <v>4512.4000000000005</v>
      </c>
      <c r="L258" s="8">
        <v>0</v>
      </c>
      <c r="M258" s="7">
        <v>0</v>
      </c>
      <c r="N258" s="106">
        <v>26000</v>
      </c>
    </row>
    <row r="259" spans="1:14" hidden="1">
      <c r="A259" s="21" t="s">
        <v>1755</v>
      </c>
      <c r="B259" s="5" t="s">
        <v>1764</v>
      </c>
      <c r="C259" s="6" t="s">
        <v>134</v>
      </c>
      <c r="D259" s="6" t="s">
        <v>135</v>
      </c>
      <c r="E259" s="103" t="s">
        <v>136</v>
      </c>
      <c r="F259" s="7">
        <v>8264.4600000000009</v>
      </c>
      <c r="G259" s="7">
        <v>0</v>
      </c>
      <c r="H259" s="8">
        <v>0</v>
      </c>
      <c r="I259" s="8">
        <v>0</v>
      </c>
      <c r="J259" s="8">
        <v>0</v>
      </c>
      <c r="K259" s="8">
        <v>1735.54</v>
      </c>
      <c r="L259" s="8">
        <v>0</v>
      </c>
      <c r="M259" s="7">
        <v>0</v>
      </c>
      <c r="N259" s="106">
        <v>10000</v>
      </c>
    </row>
    <row r="260" spans="1:14" hidden="1">
      <c r="A260" s="21" t="s">
        <v>1755</v>
      </c>
      <c r="B260" s="5" t="s">
        <v>1765</v>
      </c>
      <c r="C260" s="6" t="s">
        <v>134</v>
      </c>
      <c r="D260" s="6" t="s">
        <v>135</v>
      </c>
      <c r="E260" s="103" t="s">
        <v>136</v>
      </c>
      <c r="F260" s="7">
        <v>29132.23</v>
      </c>
      <c r="G260" s="7">
        <v>0</v>
      </c>
      <c r="H260" s="8">
        <v>0</v>
      </c>
      <c r="I260" s="8">
        <v>0</v>
      </c>
      <c r="J260" s="8">
        <v>0</v>
      </c>
      <c r="K260" s="8">
        <v>6117.77</v>
      </c>
      <c r="L260" s="8">
        <v>0</v>
      </c>
      <c r="M260" s="7">
        <v>0</v>
      </c>
      <c r="N260" s="106">
        <v>35250</v>
      </c>
    </row>
    <row r="261" spans="1:14" hidden="1">
      <c r="A261" s="21" t="s">
        <v>1755</v>
      </c>
      <c r="B261" s="5" t="s">
        <v>1766</v>
      </c>
      <c r="C261" s="6" t="s">
        <v>134</v>
      </c>
      <c r="D261" s="6" t="s">
        <v>135</v>
      </c>
      <c r="E261" s="103" t="s">
        <v>136</v>
      </c>
      <c r="F261" s="7">
        <v>11735.54</v>
      </c>
      <c r="G261" s="7">
        <v>0</v>
      </c>
      <c r="H261" s="8">
        <v>0</v>
      </c>
      <c r="I261" s="8">
        <v>0</v>
      </c>
      <c r="J261" s="8">
        <v>0</v>
      </c>
      <c r="K261" s="8">
        <v>2464.46</v>
      </c>
      <c r="L261" s="8">
        <v>0</v>
      </c>
      <c r="M261" s="7">
        <v>0</v>
      </c>
      <c r="N261" s="106">
        <v>14200</v>
      </c>
    </row>
    <row r="262" spans="1:14" hidden="1">
      <c r="A262" s="21" t="s">
        <v>1755</v>
      </c>
      <c r="B262" s="5" t="s">
        <v>1767</v>
      </c>
      <c r="C262" s="6" t="s">
        <v>134</v>
      </c>
      <c r="D262" s="6" t="s">
        <v>135</v>
      </c>
      <c r="E262" s="103" t="s">
        <v>136</v>
      </c>
      <c r="F262" s="7">
        <v>21487.599999999999</v>
      </c>
      <c r="G262" s="7">
        <v>0</v>
      </c>
      <c r="H262" s="8">
        <v>0</v>
      </c>
      <c r="I262" s="8">
        <v>0</v>
      </c>
      <c r="J262" s="8">
        <v>0</v>
      </c>
      <c r="K262" s="8">
        <v>4512.4000000000005</v>
      </c>
      <c r="L262" s="8">
        <v>0</v>
      </c>
      <c r="M262" s="7">
        <v>0</v>
      </c>
      <c r="N262" s="106">
        <v>26000</v>
      </c>
    </row>
    <row r="263" spans="1:14" hidden="1">
      <c r="A263" s="21" t="s">
        <v>1777</v>
      </c>
      <c r="B263" s="5" t="s">
        <v>1778</v>
      </c>
      <c r="C263" s="6" t="s">
        <v>134</v>
      </c>
      <c r="D263" s="6" t="s">
        <v>135</v>
      </c>
      <c r="E263" s="103" t="s">
        <v>136</v>
      </c>
      <c r="F263" s="7">
        <v>13223.14</v>
      </c>
      <c r="G263" s="7">
        <v>0</v>
      </c>
      <c r="H263" s="8">
        <v>0</v>
      </c>
      <c r="I263" s="8">
        <v>0</v>
      </c>
      <c r="J263" s="8">
        <v>0</v>
      </c>
      <c r="K263" s="8">
        <v>2776.86</v>
      </c>
      <c r="L263" s="8">
        <v>0</v>
      </c>
      <c r="M263" s="7">
        <v>0</v>
      </c>
      <c r="N263" s="106">
        <v>16000</v>
      </c>
    </row>
    <row r="264" spans="1:14" hidden="1">
      <c r="A264" s="21" t="s">
        <v>1777</v>
      </c>
      <c r="B264" s="5" t="s">
        <v>1779</v>
      </c>
      <c r="C264" s="6" t="s">
        <v>134</v>
      </c>
      <c r="D264" s="6" t="s">
        <v>135</v>
      </c>
      <c r="E264" s="103" t="s">
        <v>136</v>
      </c>
      <c r="F264" s="7">
        <v>6611.57</v>
      </c>
      <c r="G264" s="7">
        <v>0</v>
      </c>
      <c r="H264" s="8">
        <v>0</v>
      </c>
      <c r="I264" s="8">
        <v>0</v>
      </c>
      <c r="J264" s="8">
        <v>0</v>
      </c>
      <c r="K264" s="8">
        <v>1388.43</v>
      </c>
      <c r="L264" s="8">
        <v>0</v>
      </c>
      <c r="M264" s="7">
        <v>0</v>
      </c>
      <c r="N264" s="106">
        <v>8000</v>
      </c>
    </row>
    <row r="265" spans="1:14" hidden="1">
      <c r="A265" s="21" t="s">
        <v>1777</v>
      </c>
      <c r="B265" s="5" t="s">
        <v>1780</v>
      </c>
      <c r="C265" s="6" t="s">
        <v>134</v>
      </c>
      <c r="D265" s="6" t="s">
        <v>135</v>
      </c>
      <c r="E265" s="103" t="s">
        <v>136</v>
      </c>
      <c r="F265" s="7">
        <v>10743.8</v>
      </c>
      <c r="G265" s="7">
        <v>0</v>
      </c>
      <c r="H265" s="8">
        <v>0</v>
      </c>
      <c r="I265" s="8">
        <v>0</v>
      </c>
      <c r="J265" s="8">
        <v>0</v>
      </c>
      <c r="K265" s="8">
        <v>2256.2000000000003</v>
      </c>
      <c r="L265" s="8">
        <v>0</v>
      </c>
      <c r="M265" s="7">
        <v>0</v>
      </c>
      <c r="N265" s="106">
        <v>13000</v>
      </c>
    </row>
    <row r="266" spans="1:14" hidden="1">
      <c r="A266" s="21" t="s">
        <v>1777</v>
      </c>
      <c r="B266" s="5" t="s">
        <v>1781</v>
      </c>
      <c r="C266" s="6" t="s">
        <v>134</v>
      </c>
      <c r="D266" s="6" t="s">
        <v>135</v>
      </c>
      <c r="E266" s="103" t="s">
        <v>136</v>
      </c>
      <c r="F266" s="7">
        <v>57851.24</v>
      </c>
      <c r="G266" s="7">
        <v>0</v>
      </c>
      <c r="H266" s="8">
        <v>0</v>
      </c>
      <c r="I266" s="8">
        <v>0</v>
      </c>
      <c r="J266" s="8">
        <v>0</v>
      </c>
      <c r="K266" s="8">
        <v>12148.76</v>
      </c>
      <c r="L266" s="8">
        <v>0</v>
      </c>
      <c r="M266" s="7">
        <v>0</v>
      </c>
      <c r="N266" s="106">
        <v>70000</v>
      </c>
    </row>
    <row r="267" spans="1:14">
      <c r="A267" s="21" t="s">
        <v>1777</v>
      </c>
      <c r="B267" s="5" t="s">
        <v>1782</v>
      </c>
      <c r="C267" s="6" t="s">
        <v>1783</v>
      </c>
      <c r="D267" s="6" t="s">
        <v>135</v>
      </c>
      <c r="E267" s="103">
        <v>4282553</v>
      </c>
      <c r="F267" s="7">
        <v>57851.24</v>
      </c>
      <c r="G267" s="7">
        <v>0</v>
      </c>
      <c r="H267" s="8">
        <v>0</v>
      </c>
      <c r="I267" s="8">
        <v>0</v>
      </c>
      <c r="J267" s="8">
        <v>0</v>
      </c>
      <c r="K267" s="8">
        <v>12148.76</v>
      </c>
      <c r="L267" s="8">
        <v>0</v>
      </c>
      <c r="M267" s="7">
        <v>0</v>
      </c>
      <c r="N267" s="106">
        <v>70000</v>
      </c>
    </row>
    <row r="268" spans="1:14" hidden="1">
      <c r="A268" s="21" t="s">
        <v>1777</v>
      </c>
      <c r="B268" s="5" t="s">
        <v>1784</v>
      </c>
      <c r="C268" s="6" t="s">
        <v>134</v>
      </c>
      <c r="D268" s="6" t="s">
        <v>135</v>
      </c>
      <c r="E268" s="103" t="s">
        <v>136</v>
      </c>
      <c r="F268" s="7">
        <v>33057.85</v>
      </c>
      <c r="G268" s="7">
        <v>0</v>
      </c>
      <c r="H268" s="8">
        <v>0</v>
      </c>
      <c r="I268" s="8">
        <v>0</v>
      </c>
      <c r="J268" s="8">
        <v>0</v>
      </c>
      <c r="K268" s="8">
        <v>6942.15</v>
      </c>
      <c r="L268" s="8">
        <v>0</v>
      </c>
      <c r="M268" s="7">
        <v>0</v>
      </c>
      <c r="N268" s="106">
        <v>40000</v>
      </c>
    </row>
    <row r="269" spans="1:14" hidden="1">
      <c r="A269" s="21" t="s">
        <v>1777</v>
      </c>
      <c r="B269" s="5" t="s">
        <v>1785</v>
      </c>
      <c r="C269" s="6" t="s">
        <v>134</v>
      </c>
      <c r="D269" s="6" t="s">
        <v>135</v>
      </c>
      <c r="E269" s="103" t="s">
        <v>136</v>
      </c>
      <c r="F269" s="7">
        <v>10330.58</v>
      </c>
      <c r="G269" s="7">
        <v>0</v>
      </c>
      <c r="H269" s="8">
        <v>0</v>
      </c>
      <c r="I269" s="8">
        <v>0</v>
      </c>
      <c r="J269" s="8">
        <v>0</v>
      </c>
      <c r="K269" s="8">
        <v>2169.42</v>
      </c>
      <c r="L269" s="8">
        <v>0</v>
      </c>
      <c r="M269" s="7">
        <v>0</v>
      </c>
      <c r="N269" s="106">
        <v>12500</v>
      </c>
    </row>
    <row r="270" spans="1:14" hidden="1">
      <c r="A270" s="21" t="s">
        <v>1777</v>
      </c>
      <c r="B270" s="5" t="s">
        <v>1786</v>
      </c>
      <c r="C270" s="6" t="s">
        <v>134</v>
      </c>
      <c r="D270" s="6" t="s">
        <v>135</v>
      </c>
      <c r="E270" s="103" t="s">
        <v>136</v>
      </c>
      <c r="F270" s="7">
        <v>10743.8</v>
      </c>
      <c r="G270" s="7">
        <v>0</v>
      </c>
      <c r="H270" s="8">
        <v>0</v>
      </c>
      <c r="I270" s="8">
        <v>0</v>
      </c>
      <c r="J270" s="8">
        <v>0</v>
      </c>
      <c r="K270" s="8">
        <v>2256.2000000000003</v>
      </c>
      <c r="L270" s="8">
        <v>0</v>
      </c>
      <c r="M270" s="7">
        <v>0</v>
      </c>
      <c r="N270" s="106">
        <v>13000</v>
      </c>
    </row>
    <row r="271" spans="1:14" hidden="1">
      <c r="A271" s="21" t="s">
        <v>1777</v>
      </c>
      <c r="B271" s="5" t="s">
        <v>1787</v>
      </c>
      <c r="C271" s="6" t="s">
        <v>134</v>
      </c>
      <c r="D271" s="6" t="s">
        <v>135</v>
      </c>
      <c r="E271" s="103" t="s">
        <v>136</v>
      </c>
      <c r="F271" s="7">
        <v>19008.27</v>
      </c>
      <c r="G271" s="7">
        <v>0</v>
      </c>
      <c r="H271" s="8">
        <v>0</v>
      </c>
      <c r="I271" s="8">
        <v>0</v>
      </c>
      <c r="J271" s="8">
        <v>0</v>
      </c>
      <c r="K271" s="8">
        <v>3991.73</v>
      </c>
      <c r="L271" s="8">
        <v>0</v>
      </c>
      <c r="M271" s="7">
        <v>0</v>
      </c>
      <c r="N271" s="106">
        <v>23000</v>
      </c>
    </row>
    <row r="272" spans="1:14" hidden="1">
      <c r="A272" s="21" t="s">
        <v>1777</v>
      </c>
      <c r="B272" s="5" t="s">
        <v>1788</v>
      </c>
      <c r="C272" s="6" t="s">
        <v>134</v>
      </c>
      <c r="D272" s="6" t="s">
        <v>135</v>
      </c>
      <c r="E272" s="103" t="s">
        <v>136</v>
      </c>
      <c r="F272" s="7">
        <v>20661.16</v>
      </c>
      <c r="G272" s="7">
        <v>0</v>
      </c>
      <c r="H272" s="8">
        <v>0</v>
      </c>
      <c r="I272" s="8">
        <v>0</v>
      </c>
      <c r="J272" s="8">
        <v>0</v>
      </c>
      <c r="K272" s="8">
        <v>4338.84</v>
      </c>
      <c r="L272" s="8">
        <v>0</v>
      </c>
      <c r="M272" s="7">
        <v>0</v>
      </c>
      <c r="N272" s="106">
        <v>25000</v>
      </c>
    </row>
    <row r="273" spans="1:14" hidden="1">
      <c r="A273" s="21" t="s">
        <v>1777</v>
      </c>
      <c r="B273" s="5" t="s">
        <v>1789</v>
      </c>
      <c r="C273" s="6" t="s">
        <v>134</v>
      </c>
      <c r="D273" s="6" t="s">
        <v>135</v>
      </c>
      <c r="E273" s="103" t="s">
        <v>136</v>
      </c>
      <c r="F273" s="7">
        <v>10330.58</v>
      </c>
      <c r="G273" s="7">
        <v>0</v>
      </c>
      <c r="H273" s="8">
        <v>0</v>
      </c>
      <c r="I273" s="8">
        <v>0</v>
      </c>
      <c r="J273" s="8">
        <v>0</v>
      </c>
      <c r="K273" s="8">
        <v>2169.42</v>
      </c>
      <c r="L273" s="8">
        <v>0</v>
      </c>
      <c r="M273" s="7">
        <v>0</v>
      </c>
      <c r="N273" s="106">
        <v>12500</v>
      </c>
    </row>
    <row r="274" spans="1:14" hidden="1">
      <c r="A274" s="21" t="s">
        <v>1777</v>
      </c>
      <c r="B274" s="5" t="s">
        <v>1790</v>
      </c>
      <c r="C274" s="6" t="s">
        <v>134</v>
      </c>
      <c r="D274" s="6" t="s">
        <v>135</v>
      </c>
      <c r="E274" s="103" t="s">
        <v>136</v>
      </c>
      <c r="F274" s="7">
        <v>21487.599999999999</v>
      </c>
      <c r="G274" s="7">
        <v>0</v>
      </c>
      <c r="H274" s="8">
        <v>0</v>
      </c>
      <c r="I274" s="8">
        <v>0</v>
      </c>
      <c r="J274" s="8">
        <v>0</v>
      </c>
      <c r="K274" s="8">
        <v>4512.4000000000005</v>
      </c>
      <c r="L274" s="8">
        <v>0</v>
      </c>
      <c r="M274" s="7">
        <v>0</v>
      </c>
      <c r="N274" s="106">
        <v>26000</v>
      </c>
    </row>
    <row r="275" spans="1:14" hidden="1">
      <c r="A275" s="21" t="s">
        <v>1792</v>
      </c>
      <c r="B275" s="5" t="s">
        <v>1795</v>
      </c>
      <c r="C275" s="6" t="s">
        <v>134</v>
      </c>
      <c r="D275" s="6" t="s">
        <v>135</v>
      </c>
      <c r="E275" s="103" t="s">
        <v>136</v>
      </c>
      <c r="F275" s="7">
        <v>10743.8</v>
      </c>
      <c r="G275" s="7">
        <v>0</v>
      </c>
      <c r="H275" s="8">
        <v>0</v>
      </c>
      <c r="I275" s="8">
        <v>0</v>
      </c>
      <c r="J275" s="8">
        <v>0</v>
      </c>
      <c r="K275" s="8">
        <v>2256.2000000000003</v>
      </c>
      <c r="L275" s="8">
        <v>0</v>
      </c>
      <c r="M275" s="7">
        <v>0</v>
      </c>
      <c r="N275" s="106">
        <v>13000</v>
      </c>
    </row>
    <row r="276" spans="1:14" hidden="1">
      <c r="A276" s="21" t="s">
        <v>1792</v>
      </c>
      <c r="B276" s="5" t="s">
        <v>1796</v>
      </c>
      <c r="C276" s="6" t="s">
        <v>134</v>
      </c>
      <c r="D276" s="6" t="s">
        <v>135</v>
      </c>
      <c r="E276" s="103" t="s">
        <v>136</v>
      </c>
      <c r="F276" s="7">
        <v>10743.8</v>
      </c>
      <c r="G276" s="7">
        <v>0</v>
      </c>
      <c r="H276" s="8">
        <v>0</v>
      </c>
      <c r="I276" s="8">
        <v>0</v>
      </c>
      <c r="J276" s="8">
        <v>0</v>
      </c>
      <c r="K276" s="8">
        <v>2256.2000000000003</v>
      </c>
      <c r="L276" s="8">
        <v>0</v>
      </c>
      <c r="M276" s="7">
        <v>0</v>
      </c>
      <c r="N276" s="106">
        <v>13000</v>
      </c>
    </row>
    <row r="277" spans="1:14">
      <c r="A277" s="21" t="s">
        <v>1792</v>
      </c>
      <c r="B277" s="5" t="s">
        <v>1797</v>
      </c>
      <c r="C277" s="6" t="s">
        <v>1798</v>
      </c>
      <c r="D277" s="6" t="s">
        <v>135</v>
      </c>
      <c r="E277" s="103">
        <v>8286597</v>
      </c>
      <c r="F277" s="7">
        <v>14876.03</v>
      </c>
      <c r="G277" s="7">
        <v>0</v>
      </c>
      <c r="H277" s="8">
        <v>0</v>
      </c>
      <c r="I277" s="8">
        <v>0</v>
      </c>
      <c r="J277" s="8">
        <v>0</v>
      </c>
      <c r="K277" s="8">
        <v>3123.97</v>
      </c>
      <c r="L277" s="8">
        <v>0</v>
      </c>
      <c r="M277" s="7">
        <v>0</v>
      </c>
      <c r="N277" s="106">
        <v>18000</v>
      </c>
    </row>
    <row r="278" spans="1:14" hidden="1">
      <c r="A278" s="21" t="s">
        <v>1792</v>
      </c>
      <c r="B278" s="5" t="s">
        <v>1799</v>
      </c>
      <c r="C278" s="6" t="s">
        <v>134</v>
      </c>
      <c r="D278" s="6" t="s">
        <v>135</v>
      </c>
      <c r="E278" s="103" t="s">
        <v>136</v>
      </c>
      <c r="F278" s="7">
        <v>19834.71</v>
      </c>
      <c r="G278" s="7">
        <v>0</v>
      </c>
      <c r="H278" s="8">
        <v>0</v>
      </c>
      <c r="I278" s="8">
        <v>0</v>
      </c>
      <c r="J278" s="8">
        <v>0</v>
      </c>
      <c r="K278" s="8">
        <v>4165.29</v>
      </c>
      <c r="L278" s="8">
        <v>0</v>
      </c>
      <c r="M278" s="7">
        <v>0</v>
      </c>
      <c r="N278" s="106">
        <v>24000</v>
      </c>
    </row>
    <row r="279" spans="1:14" hidden="1">
      <c r="A279" s="21" t="s">
        <v>1792</v>
      </c>
      <c r="B279" s="5" t="s">
        <v>1800</v>
      </c>
      <c r="C279" s="6" t="s">
        <v>134</v>
      </c>
      <c r="D279" s="6" t="s">
        <v>135</v>
      </c>
      <c r="E279" s="103" t="s">
        <v>136</v>
      </c>
      <c r="F279" s="7">
        <v>16528.93</v>
      </c>
      <c r="G279" s="7">
        <v>0</v>
      </c>
      <c r="H279" s="8">
        <v>0</v>
      </c>
      <c r="I279" s="8">
        <v>0</v>
      </c>
      <c r="J279" s="8">
        <v>0</v>
      </c>
      <c r="K279" s="8">
        <v>3471.07</v>
      </c>
      <c r="L279" s="8">
        <v>0</v>
      </c>
      <c r="M279" s="7">
        <v>0</v>
      </c>
      <c r="N279" s="106">
        <v>20000</v>
      </c>
    </row>
    <row r="280" spans="1:14" hidden="1">
      <c r="A280" s="21" t="s">
        <v>1792</v>
      </c>
      <c r="B280" s="5" t="s">
        <v>1801</v>
      </c>
      <c r="C280" s="6" t="s">
        <v>134</v>
      </c>
      <c r="D280" s="6" t="s">
        <v>135</v>
      </c>
      <c r="E280" s="103" t="s">
        <v>136</v>
      </c>
      <c r="F280" s="7">
        <v>10743.8</v>
      </c>
      <c r="G280" s="7">
        <v>0</v>
      </c>
      <c r="H280" s="8">
        <v>0</v>
      </c>
      <c r="I280" s="8">
        <v>0</v>
      </c>
      <c r="J280" s="8">
        <v>0</v>
      </c>
      <c r="K280" s="8">
        <v>2256.2000000000003</v>
      </c>
      <c r="L280" s="8">
        <v>0</v>
      </c>
      <c r="M280" s="7">
        <v>0</v>
      </c>
      <c r="N280" s="106">
        <v>13000</v>
      </c>
    </row>
    <row r="281" spans="1:14" hidden="1">
      <c r="A281" s="21" t="s">
        <v>1792</v>
      </c>
      <c r="B281" s="5" t="s">
        <v>1802</v>
      </c>
      <c r="C281" s="6" t="s">
        <v>134</v>
      </c>
      <c r="D281" s="6" t="s">
        <v>135</v>
      </c>
      <c r="E281" s="103" t="s">
        <v>136</v>
      </c>
      <c r="F281" s="7">
        <v>11487.6</v>
      </c>
      <c r="G281" s="7">
        <v>0</v>
      </c>
      <c r="H281" s="8">
        <v>0</v>
      </c>
      <c r="I281" s="8">
        <v>0</v>
      </c>
      <c r="J281" s="8">
        <v>0</v>
      </c>
      <c r="K281" s="8">
        <v>2412.4</v>
      </c>
      <c r="L281" s="8">
        <v>0</v>
      </c>
      <c r="M281" s="7">
        <v>0</v>
      </c>
      <c r="N281" s="106">
        <v>13900</v>
      </c>
    </row>
    <row r="282" spans="1:14" hidden="1">
      <c r="A282" s="21" t="s">
        <v>1792</v>
      </c>
      <c r="B282" s="5" t="s">
        <v>1803</v>
      </c>
      <c r="C282" s="6" t="s">
        <v>134</v>
      </c>
      <c r="D282" s="6" t="s">
        <v>135</v>
      </c>
      <c r="E282" s="103" t="s">
        <v>136</v>
      </c>
      <c r="F282" s="7">
        <v>12396.69</v>
      </c>
      <c r="G282" s="7">
        <v>0</v>
      </c>
      <c r="H282" s="8">
        <v>0</v>
      </c>
      <c r="I282" s="8">
        <v>0</v>
      </c>
      <c r="J282" s="8">
        <v>0</v>
      </c>
      <c r="K282" s="8">
        <v>2603.31</v>
      </c>
      <c r="L282" s="8">
        <v>0</v>
      </c>
      <c r="M282" s="7">
        <v>0</v>
      </c>
      <c r="N282" s="106">
        <v>15000</v>
      </c>
    </row>
    <row r="283" spans="1:14" hidden="1">
      <c r="A283" s="21" t="s">
        <v>1807</v>
      </c>
      <c r="B283" s="5" t="s">
        <v>1808</v>
      </c>
      <c r="C283" s="6" t="s">
        <v>134</v>
      </c>
      <c r="D283" s="6" t="s">
        <v>135</v>
      </c>
      <c r="E283" s="103" t="s">
        <v>136</v>
      </c>
      <c r="F283" s="7">
        <v>42975.21</v>
      </c>
      <c r="G283" s="7">
        <v>0</v>
      </c>
      <c r="H283" s="8">
        <v>0</v>
      </c>
      <c r="I283" s="8">
        <v>0</v>
      </c>
      <c r="J283" s="8">
        <v>0</v>
      </c>
      <c r="K283" s="8">
        <v>9024.7900000000009</v>
      </c>
      <c r="L283" s="8">
        <v>0</v>
      </c>
      <c r="M283" s="7">
        <v>0</v>
      </c>
      <c r="N283" s="106">
        <v>52000</v>
      </c>
    </row>
    <row r="284" spans="1:14" hidden="1">
      <c r="A284" s="21" t="s">
        <v>1807</v>
      </c>
      <c r="B284" s="5" t="s">
        <v>1809</v>
      </c>
      <c r="C284" s="6" t="s">
        <v>134</v>
      </c>
      <c r="D284" s="6" t="s">
        <v>135</v>
      </c>
      <c r="E284" s="103" t="s">
        <v>136</v>
      </c>
      <c r="F284" s="7">
        <v>18595.04</v>
      </c>
      <c r="G284" s="7">
        <v>0</v>
      </c>
      <c r="H284" s="8">
        <v>0</v>
      </c>
      <c r="I284" s="8">
        <v>0</v>
      </c>
      <c r="J284" s="8">
        <v>0</v>
      </c>
      <c r="K284" s="8">
        <v>3904.96</v>
      </c>
      <c r="L284" s="8">
        <v>0</v>
      </c>
      <c r="M284" s="7">
        <v>0</v>
      </c>
      <c r="N284" s="106">
        <v>22500</v>
      </c>
    </row>
    <row r="285" spans="1:14" hidden="1">
      <c r="A285" s="21" t="s">
        <v>1807</v>
      </c>
      <c r="B285" s="5" t="s">
        <v>1810</v>
      </c>
      <c r="C285" s="6" t="s">
        <v>134</v>
      </c>
      <c r="D285" s="6" t="s">
        <v>135</v>
      </c>
      <c r="E285" s="103" t="s">
        <v>136</v>
      </c>
      <c r="F285" s="7">
        <v>10743.8</v>
      </c>
      <c r="G285" s="7">
        <v>0</v>
      </c>
      <c r="H285" s="8">
        <v>0</v>
      </c>
      <c r="I285" s="8">
        <v>0</v>
      </c>
      <c r="J285" s="8">
        <v>0</v>
      </c>
      <c r="K285" s="8">
        <v>2256.2000000000003</v>
      </c>
      <c r="L285" s="8">
        <v>0</v>
      </c>
      <c r="M285" s="7">
        <v>0</v>
      </c>
      <c r="N285" s="106">
        <v>13000</v>
      </c>
    </row>
    <row r="286" spans="1:14" hidden="1">
      <c r="A286" s="21" t="s">
        <v>1807</v>
      </c>
      <c r="B286" s="5" t="s">
        <v>1811</v>
      </c>
      <c r="C286" s="6" t="s">
        <v>134</v>
      </c>
      <c r="D286" s="6" t="s">
        <v>135</v>
      </c>
      <c r="E286" s="103" t="s">
        <v>136</v>
      </c>
      <c r="F286" s="7">
        <v>10743.8</v>
      </c>
      <c r="G286" s="7">
        <v>0</v>
      </c>
      <c r="H286" s="8">
        <v>0</v>
      </c>
      <c r="I286" s="8">
        <v>0</v>
      </c>
      <c r="J286" s="8">
        <v>0</v>
      </c>
      <c r="K286" s="8">
        <v>2256.2000000000003</v>
      </c>
      <c r="L286" s="8">
        <v>0</v>
      </c>
      <c r="M286" s="7">
        <v>0</v>
      </c>
      <c r="N286" s="106">
        <v>13000</v>
      </c>
    </row>
    <row r="287" spans="1:14" hidden="1">
      <c r="A287" s="21" t="s">
        <v>1807</v>
      </c>
      <c r="B287" s="5" t="s">
        <v>1812</v>
      </c>
      <c r="C287" s="6" t="s">
        <v>134</v>
      </c>
      <c r="D287" s="6" t="s">
        <v>135</v>
      </c>
      <c r="E287" s="103" t="s">
        <v>136</v>
      </c>
      <c r="F287" s="7">
        <v>21487.599999999999</v>
      </c>
      <c r="G287" s="7">
        <v>0</v>
      </c>
      <c r="H287" s="8">
        <v>0</v>
      </c>
      <c r="I287" s="8">
        <v>0</v>
      </c>
      <c r="J287" s="8">
        <v>0</v>
      </c>
      <c r="K287" s="8">
        <v>4512.4000000000005</v>
      </c>
      <c r="L287" s="8">
        <v>0</v>
      </c>
      <c r="M287" s="7">
        <v>0</v>
      </c>
      <c r="N287" s="106">
        <v>26000</v>
      </c>
    </row>
    <row r="288" spans="1:14" hidden="1">
      <c r="A288" s="21" t="s">
        <v>1807</v>
      </c>
      <c r="B288" s="5" t="s">
        <v>1813</v>
      </c>
      <c r="C288" s="6" t="s">
        <v>134</v>
      </c>
      <c r="D288" s="6" t="s">
        <v>135</v>
      </c>
      <c r="E288" s="103" t="s">
        <v>136</v>
      </c>
      <c r="F288" s="7">
        <v>6611.57</v>
      </c>
      <c r="G288" s="7">
        <v>0</v>
      </c>
      <c r="H288" s="8">
        <v>0</v>
      </c>
      <c r="I288" s="8">
        <v>0</v>
      </c>
      <c r="J288" s="8">
        <v>0</v>
      </c>
      <c r="K288" s="8">
        <v>1388.43</v>
      </c>
      <c r="L288" s="8">
        <v>0</v>
      </c>
      <c r="M288" s="7">
        <v>0</v>
      </c>
      <c r="N288" s="106">
        <v>8000</v>
      </c>
    </row>
    <row r="289" spans="1:14" hidden="1">
      <c r="A289" s="21" t="s">
        <v>1807</v>
      </c>
      <c r="B289" s="5" t="s">
        <v>1814</v>
      </c>
      <c r="C289" s="6" t="s">
        <v>134</v>
      </c>
      <c r="D289" s="6" t="s">
        <v>135</v>
      </c>
      <c r="E289" s="103" t="s">
        <v>136</v>
      </c>
      <c r="F289" s="7">
        <v>10743.8</v>
      </c>
      <c r="G289" s="7">
        <v>0</v>
      </c>
      <c r="H289" s="8">
        <v>0</v>
      </c>
      <c r="I289" s="8">
        <v>0</v>
      </c>
      <c r="J289" s="8">
        <v>0</v>
      </c>
      <c r="K289" s="8">
        <v>2256.2000000000003</v>
      </c>
      <c r="L289" s="8">
        <v>0</v>
      </c>
      <c r="M289" s="7">
        <v>0</v>
      </c>
      <c r="N289" s="106">
        <v>13000</v>
      </c>
    </row>
    <row r="290" spans="1:14" hidden="1">
      <c r="A290" s="21" t="s">
        <v>1807</v>
      </c>
      <c r="B290" s="5" t="s">
        <v>1815</v>
      </c>
      <c r="C290" s="6" t="s">
        <v>134</v>
      </c>
      <c r="D290" s="6" t="s">
        <v>135</v>
      </c>
      <c r="E290" s="103" t="s">
        <v>136</v>
      </c>
      <c r="F290" s="7">
        <v>10743.8</v>
      </c>
      <c r="G290" s="7">
        <v>0</v>
      </c>
      <c r="H290" s="8">
        <v>0</v>
      </c>
      <c r="I290" s="8">
        <v>0</v>
      </c>
      <c r="J290" s="8">
        <v>0</v>
      </c>
      <c r="K290" s="8">
        <v>2256.2000000000003</v>
      </c>
      <c r="L290" s="8">
        <v>0</v>
      </c>
      <c r="M290" s="7">
        <v>0</v>
      </c>
      <c r="N290" s="106">
        <v>13000</v>
      </c>
    </row>
    <row r="291" spans="1:14" hidden="1">
      <c r="A291" s="21" t="s">
        <v>1807</v>
      </c>
      <c r="B291" s="5" t="s">
        <v>1816</v>
      </c>
      <c r="C291" s="6" t="s">
        <v>134</v>
      </c>
      <c r="D291" s="6" t="s">
        <v>135</v>
      </c>
      <c r="E291" s="103" t="s">
        <v>136</v>
      </c>
      <c r="F291" s="7">
        <v>11239.67</v>
      </c>
      <c r="G291" s="7">
        <v>0</v>
      </c>
      <c r="H291" s="8">
        <v>0</v>
      </c>
      <c r="I291" s="8">
        <v>0</v>
      </c>
      <c r="J291" s="8">
        <v>0</v>
      </c>
      <c r="K291" s="8">
        <v>2360.33</v>
      </c>
      <c r="L291" s="8">
        <v>0</v>
      </c>
      <c r="M291" s="7">
        <v>0</v>
      </c>
      <c r="N291" s="106">
        <v>13600</v>
      </c>
    </row>
    <row r="292" spans="1:14" hidden="1">
      <c r="A292" s="21" t="s">
        <v>1807</v>
      </c>
      <c r="B292" s="5" t="s">
        <v>1817</v>
      </c>
      <c r="C292" s="6" t="s">
        <v>134</v>
      </c>
      <c r="D292" s="6" t="s">
        <v>135</v>
      </c>
      <c r="E292" s="103" t="s">
        <v>136</v>
      </c>
      <c r="F292" s="7">
        <v>6942.15</v>
      </c>
      <c r="G292" s="7">
        <v>0</v>
      </c>
      <c r="H292" s="8">
        <v>0</v>
      </c>
      <c r="I292" s="8">
        <v>0</v>
      </c>
      <c r="J292" s="8">
        <v>0</v>
      </c>
      <c r="K292" s="8">
        <v>1457.85</v>
      </c>
      <c r="L292" s="8">
        <v>0</v>
      </c>
      <c r="M292" s="7">
        <v>0</v>
      </c>
      <c r="N292" s="106">
        <v>8400</v>
      </c>
    </row>
    <row r="293" spans="1:14" hidden="1">
      <c r="A293" s="21" t="s">
        <v>1807</v>
      </c>
      <c r="B293" s="5" t="s">
        <v>1818</v>
      </c>
      <c r="C293" s="6" t="s">
        <v>134</v>
      </c>
      <c r="D293" s="6" t="s">
        <v>135</v>
      </c>
      <c r="E293" s="103" t="s">
        <v>136</v>
      </c>
      <c r="F293" s="7">
        <v>21487.599999999999</v>
      </c>
      <c r="G293" s="7">
        <v>0</v>
      </c>
      <c r="H293" s="8">
        <v>0</v>
      </c>
      <c r="I293" s="8">
        <v>0</v>
      </c>
      <c r="J293" s="8">
        <v>0</v>
      </c>
      <c r="K293" s="8">
        <v>4512.4000000000005</v>
      </c>
      <c r="L293" s="8">
        <v>0</v>
      </c>
      <c r="M293" s="7">
        <v>0</v>
      </c>
      <c r="N293" s="106">
        <v>26000</v>
      </c>
    </row>
    <row r="294" spans="1:14" hidden="1">
      <c r="A294" s="21" t="s">
        <v>1807</v>
      </c>
      <c r="B294" s="5" t="s">
        <v>1819</v>
      </c>
      <c r="C294" s="6" t="s">
        <v>134</v>
      </c>
      <c r="D294" s="6" t="s">
        <v>135</v>
      </c>
      <c r="E294" s="103" t="s">
        <v>136</v>
      </c>
      <c r="F294" s="7">
        <v>10743.8</v>
      </c>
      <c r="G294" s="7">
        <v>0</v>
      </c>
      <c r="H294" s="8">
        <v>0</v>
      </c>
      <c r="I294" s="8">
        <v>0</v>
      </c>
      <c r="J294" s="8">
        <v>0</v>
      </c>
      <c r="K294" s="8">
        <v>2256.2000000000003</v>
      </c>
      <c r="L294" s="8">
        <v>0</v>
      </c>
      <c r="M294" s="7">
        <v>0</v>
      </c>
      <c r="N294" s="106">
        <v>13000</v>
      </c>
    </row>
    <row r="295" spans="1:14" hidden="1">
      <c r="A295" s="21" t="s">
        <v>1826</v>
      </c>
      <c r="B295" s="5" t="s">
        <v>1827</v>
      </c>
      <c r="C295" s="6" t="s">
        <v>134</v>
      </c>
      <c r="D295" s="6" t="s">
        <v>135</v>
      </c>
      <c r="E295" s="103" t="s">
        <v>136</v>
      </c>
      <c r="F295" s="7">
        <v>29338.84</v>
      </c>
      <c r="G295" s="7">
        <v>0</v>
      </c>
      <c r="H295" s="8">
        <v>0</v>
      </c>
      <c r="I295" s="8">
        <v>0</v>
      </c>
      <c r="J295" s="8">
        <v>0</v>
      </c>
      <c r="K295" s="8">
        <v>6161.16</v>
      </c>
      <c r="L295" s="8">
        <v>0</v>
      </c>
      <c r="M295" s="7">
        <v>0</v>
      </c>
      <c r="N295" s="106">
        <v>35500</v>
      </c>
    </row>
    <row r="296" spans="1:14">
      <c r="A296" s="21" t="s">
        <v>1826</v>
      </c>
      <c r="B296" s="5" t="s">
        <v>1828</v>
      </c>
      <c r="C296" s="6" t="s">
        <v>1829</v>
      </c>
      <c r="D296" s="6" t="s">
        <v>135</v>
      </c>
      <c r="E296" s="103">
        <v>11360862</v>
      </c>
      <c r="F296" s="7">
        <v>23471.07</v>
      </c>
      <c r="G296" s="7">
        <v>0</v>
      </c>
      <c r="H296" s="8">
        <v>0</v>
      </c>
      <c r="I296" s="8">
        <v>0</v>
      </c>
      <c r="J296" s="8">
        <v>0</v>
      </c>
      <c r="K296" s="8">
        <v>4928.93</v>
      </c>
      <c r="L296" s="8">
        <v>0</v>
      </c>
      <c r="M296" s="7">
        <v>0</v>
      </c>
      <c r="N296" s="106">
        <v>28400</v>
      </c>
    </row>
    <row r="297" spans="1:14">
      <c r="A297" s="21" t="s">
        <v>1826</v>
      </c>
      <c r="B297" s="5" t="s">
        <v>1830</v>
      </c>
      <c r="C297" s="6" t="s">
        <v>1831</v>
      </c>
      <c r="D297" s="6" t="s">
        <v>135</v>
      </c>
      <c r="E297" s="103">
        <v>10623074</v>
      </c>
      <c r="F297" s="7">
        <v>23471.07</v>
      </c>
      <c r="G297" s="7">
        <v>0</v>
      </c>
      <c r="H297" s="8">
        <v>0</v>
      </c>
      <c r="I297" s="8">
        <v>0</v>
      </c>
      <c r="J297" s="8">
        <v>0</v>
      </c>
      <c r="K297" s="8">
        <v>4928.93</v>
      </c>
      <c r="L297" s="8">
        <v>0</v>
      </c>
      <c r="M297" s="7">
        <v>0</v>
      </c>
      <c r="N297" s="106">
        <v>28400</v>
      </c>
    </row>
    <row r="298" spans="1:14" hidden="1">
      <c r="A298" s="21" t="s">
        <v>1826</v>
      </c>
      <c r="B298" s="5" t="s">
        <v>1832</v>
      </c>
      <c r="C298" s="6" t="s">
        <v>134</v>
      </c>
      <c r="D298" s="6" t="s">
        <v>135</v>
      </c>
      <c r="E298" s="103" t="s">
        <v>136</v>
      </c>
      <c r="F298" s="7">
        <v>29338.84</v>
      </c>
      <c r="G298" s="7">
        <v>0</v>
      </c>
      <c r="H298" s="8">
        <v>0</v>
      </c>
      <c r="I298" s="8">
        <v>0</v>
      </c>
      <c r="J298" s="8">
        <v>0</v>
      </c>
      <c r="K298" s="8">
        <v>6161.16</v>
      </c>
      <c r="L298" s="8">
        <v>0</v>
      </c>
      <c r="M298" s="7">
        <v>0</v>
      </c>
      <c r="N298" s="106">
        <v>35500</v>
      </c>
    </row>
    <row r="299" spans="1:14" hidden="1">
      <c r="A299" s="21" t="s">
        <v>1826</v>
      </c>
      <c r="B299" s="5" t="s">
        <v>1833</v>
      </c>
      <c r="C299" s="6" t="s">
        <v>134</v>
      </c>
      <c r="D299" s="6" t="s">
        <v>135</v>
      </c>
      <c r="E299" s="103" t="s">
        <v>136</v>
      </c>
      <c r="F299" s="7">
        <v>4628.1000000000004</v>
      </c>
      <c r="G299" s="7">
        <v>0</v>
      </c>
      <c r="H299" s="8">
        <v>0</v>
      </c>
      <c r="I299" s="8">
        <v>0</v>
      </c>
      <c r="J299" s="8">
        <v>0</v>
      </c>
      <c r="K299" s="8">
        <v>971.9</v>
      </c>
      <c r="L299" s="8">
        <v>0</v>
      </c>
      <c r="M299" s="7">
        <v>0</v>
      </c>
      <c r="N299" s="106">
        <v>5600</v>
      </c>
    </row>
    <row r="300" spans="1:14" hidden="1">
      <c r="A300" s="21" t="s">
        <v>1826</v>
      </c>
      <c r="B300" s="5" t="s">
        <v>1834</v>
      </c>
      <c r="C300" s="6" t="s">
        <v>134</v>
      </c>
      <c r="D300" s="6" t="s">
        <v>135</v>
      </c>
      <c r="E300" s="103" t="s">
        <v>136</v>
      </c>
      <c r="F300" s="7">
        <v>34710.74</v>
      </c>
      <c r="G300" s="7">
        <v>0</v>
      </c>
      <c r="H300" s="8">
        <v>0</v>
      </c>
      <c r="I300" s="8">
        <v>0</v>
      </c>
      <c r="J300" s="8">
        <v>0</v>
      </c>
      <c r="K300" s="8">
        <v>7289.26</v>
      </c>
      <c r="L300" s="8">
        <v>0</v>
      </c>
      <c r="M300" s="7">
        <v>0</v>
      </c>
      <c r="N300" s="106">
        <v>42000</v>
      </c>
    </row>
    <row r="301" spans="1:14" hidden="1">
      <c r="A301" s="21" t="s">
        <v>1826</v>
      </c>
      <c r="B301" s="5" t="s">
        <v>1835</v>
      </c>
      <c r="C301" s="6" t="s">
        <v>134</v>
      </c>
      <c r="D301" s="6" t="s">
        <v>135</v>
      </c>
      <c r="E301" s="103" t="s">
        <v>136</v>
      </c>
      <c r="F301" s="7">
        <v>21487.599999999999</v>
      </c>
      <c r="G301" s="7">
        <v>0</v>
      </c>
      <c r="H301" s="8">
        <v>0</v>
      </c>
      <c r="I301" s="8">
        <v>0</v>
      </c>
      <c r="J301" s="8">
        <v>0</v>
      </c>
      <c r="K301" s="8">
        <v>4512.4000000000005</v>
      </c>
      <c r="L301" s="8">
        <v>0</v>
      </c>
      <c r="M301" s="7">
        <v>0</v>
      </c>
      <c r="N301" s="106">
        <v>26000</v>
      </c>
    </row>
    <row r="302" spans="1:14" hidden="1">
      <c r="A302" s="21" t="s">
        <v>1826</v>
      </c>
      <c r="B302" s="5" t="s">
        <v>1836</v>
      </c>
      <c r="C302" s="6" t="s">
        <v>134</v>
      </c>
      <c r="D302" s="6" t="s">
        <v>135</v>
      </c>
      <c r="E302" s="103" t="s">
        <v>136</v>
      </c>
      <c r="F302" s="7">
        <v>14462.81</v>
      </c>
      <c r="G302" s="7">
        <v>0</v>
      </c>
      <c r="H302" s="8">
        <v>0</v>
      </c>
      <c r="I302" s="8">
        <v>0</v>
      </c>
      <c r="J302" s="8">
        <v>0</v>
      </c>
      <c r="K302" s="8">
        <v>3037.19</v>
      </c>
      <c r="L302" s="8">
        <v>0</v>
      </c>
      <c r="M302" s="7">
        <v>0</v>
      </c>
      <c r="N302" s="106">
        <v>17500</v>
      </c>
    </row>
    <row r="303" spans="1:14" hidden="1">
      <c r="A303" s="21" t="s">
        <v>1826</v>
      </c>
      <c r="B303" s="5" t="s">
        <v>1837</v>
      </c>
      <c r="C303" s="6" t="s">
        <v>134</v>
      </c>
      <c r="D303" s="6" t="s">
        <v>135</v>
      </c>
      <c r="E303" s="103" t="s">
        <v>136</v>
      </c>
      <c r="F303" s="7">
        <v>13223.14</v>
      </c>
      <c r="G303" s="7">
        <v>0</v>
      </c>
      <c r="H303" s="8">
        <v>0</v>
      </c>
      <c r="I303" s="8">
        <v>0</v>
      </c>
      <c r="J303" s="8">
        <v>0</v>
      </c>
      <c r="K303" s="8">
        <v>2776.86</v>
      </c>
      <c r="L303" s="8">
        <v>0</v>
      </c>
      <c r="M303" s="7">
        <v>0</v>
      </c>
      <c r="N303" s="106">
        <v>16000</v>
      </c>
    </row>
    <row r="304" spans="1:14" hidden="1">
      <c r="A304" s="21" t="s">
        <v>1826</v>
      </c>
      <c r="B304" s="5" t="s">
        <v>1838</v>
      </c>
      <c r="C304" s="6" t="s">
        <v>134</v>
      </c>
      <c r="D304" s="6" t="s">
        <v>135</v>
      </c>
      <c r="E304" s="103" t="s">
        <v>136</v>
      </c>
      <c r="F304" s="7">
        <v>15702.48</v>
      </c>
      <c r="G304" s="7">
        <v>0</v>
      </c>
      <c r="H304" s="8">
        <v>0</v>
      </c>
      <c r="I304" s="8">
        <v>0</v>
      </c>
      <c r="J304" s="8">
        <v>0</v>
      </c>
      <c r="K304" s="8">
        <v>3297.52</v>
      </c>
      <c r="L304" s="8">
        <v>0</v>
      </c>
      <c r="M304" s="7">
        <v>0</v>
      </c>
      <c r="N304" s="106">
        <v>19000</v>
      </c>
    </row>
    <row r="305" spans="1:14" hidden="1">
      <c r="A305" s="21" t="s">
        <v>1844</v>
      </c>
      <c r="B305" s="5" t="s">
        <v>1845</v>
      </c>
      <c r="C305" s="6" t="s">
        <v>134</v>
      </c>
      <c r="D305" s="6" t="s">
        <v>135</v>
      </c>
      <c r="E305" s="103" t="s">
        <v>136</v>
      </c>
      <c r="F305" s="7">
        <v>34462.81</v>
      </c>
      <c r="G305" s="7">
        <v>0</v>
      </c>
      <c r="H305" s="8">
        <v>0</v>
      </c>
      <c r="I305" s="8">
        <v>0</v>
      </c>
      <c r="J305" s="8">
        <v>0</v>
      </c>
      <c r="K305" s="8">
        <v>7237.19</v>
      </c>
      <c r="L305" s="8">
        <v>0</v>
      </c>
      <c r="M305" s="7">
        <v>0</v>
      </c>
      <c r="N305" s="106">
        <v>41700</v>
      </c>
    </row>
    <row r="306" spans="1:14" hidden="1">
      <c r="A306" s="21" t="s">
        <v>1844</v>
      </c>
      <c r="B306" s="5" t="s">
        <v>1846</v>
      </c>
      <c r="C306" s="6" t="s">
        <v>134</v>
      </c>
      <c r="D306" s="6" t="s">
        <v>135</v>
      </c>
      <c r="E306" s="103" t="s">
        <v>136</v>
      </c>
      <c r="F306" s="7">
        <v>21487.599999999999</v>
      </c>
      <c r="G306" s="7">
        <v>0</v>
      </c>
      <c r="H306" s="8">
        <v>0</v>
      </c>
      <c r="I306" s="8">
        <v>0</v>
      </c>
      <c r="J306" s="8">
        <v>0</v>
      </c>
      <c r="K306" s="8">
        <v>4512.4000000000005</v>
      </c>
      <c r="L306" s="8">
        <v>0</v>
      </c>
      <c r="M306" s="7">
        <v>0</v>
      </c>
      <c r="N306" s="106">
        <v>26000</v>
      </c>
    </row>
    <row r="307" spans="1:14">
      <c r="A307" s="21" t="s">
        <v>1844</v>
      </c>
      <c r="B307" s="5" t="s">
        <v>1847</v>
      </c>
      <c r="C307" s="6" t="s">
        <v>1848</v>
      </c>
      <c r="D307" s="6" t="s">
        <v>135</v>
      </c>
      <c r="E307" s="103">
        <v>21424297</v>
      </c>
      <c r="F307" s="7">
        <v>29338.84</v>
      </c>
      <c r="G307" s="7">
        <v>0</v>
      </c>
      <c r="H307" s="8">
        <v>0</v>
      </c>
      <c r="I307" s="8">
        <v>0</v>
      </c>
      <c r="J307" s="8">
        <v>0</v>
      </c>
      <c r="K307" s="8">
        <v>6161.16</v>
      </c>
      <c r="L307" s="8">
        <v>0</v>
      </c>
      <c r="M307" s="7">
        <v>0</v>
      </c>
      <c r="N307" s="106">
        <v>35500</v>
      </c>
    </row>
    <row r="308" spans="1:14">
      <c r="A308" s="21" t="s">
        <v>1844</v>
      </c>
      <c r="B308" s="5" t="s">
        <v>1849</v>
      </c>
      <c r="C308" s="6" t="s">
        <v>1848</v>
      </c>
      <c r="D308" s="6" t="s">
        <v>135</v>
      </c>
      <c r="E308" s="103">
        <v>21424297</v>
      </c>
      <c r="F308" s="7">
        <v>10330.58</v>
      </c>
      <c r="G308" s="7">
        <v>0</v>
      </c>
      <c r="H308" s="8">
        <v>0</v>
      </c>
      <c r="I308" s="8">
        <v>0</v>
      </c>
      <c r="J308" s="8">
        <v>0</v>
      </c>
      <c r="K308" s="8">
        <v>2169.42</v>
      </c>
      <c r="L308" s="8">
        <v>0</v>
      </c>
      <c r="M308" s="7">
        <v>0</v>
      </c>
      <c r="N308" s="106">
        <v>12500</v>
      </c>
    </row>
    <row r="309" spans="1:14" hidden="1">
      <c r="A309" s="21" t="s">
        <v>1844</v>
      </c>
      <c r="B309" s="5" t="s">
        <v>1850</v>
      </c>
      <c r="C309" s="6" t="s">
        <v>134</v>
      </c>
      <c r="D309" s="6" t="s">
        <v>135</v>
      </c>
      <c r="E309" s="103" t="s">
        <v>136</v>
      </c>
      <c r="F309" s="7">
        <v>10330.58</v>
      </c>
      <c r="G309" s="7">
        <v>0</v>
      </c>
      <c r="H309" s="8">
        <v>0</v>
      </c>
      <c r="I309" s="8">
        <v>0</v>
      </c>
      <c r="J309" s="8">
        <v>0</v>
      </c>
      <c r="K309" s="8">
        <v>2169.42</v>
      </c>
      <c r="L309" s="8">
        <v>0</v>
      </c>
      <c r="M309" s="7">
        <v>0</v>
      </c>
      <c r="N309" s="106">
        <v>12500</v>
      </c>
    </row>
    <row r="310" spans="1:14" hidden="1">
      <c r="A310" s="21" t="s">
        <v>1844</v>
      </c>
      <c r="B310" s="5" t="s">
        <v>1851</v>
      </c>
      <c r="C310" s="6" t="s">
        <v>134</v>
      </c>
      <c r="D310" s="6" t="s">
        <v>135</v>
      </c>
      <c r="E310" s="103" t="s">
        <v>136</v>
      </c>
      <c r="F310" s="7">
        <v>10743.8</v>
      </c>
      <c r="G310" s="7">
        <v>0</v>
      </c>
      <c r="H310" s="8">
        <v>0</v>
      </c>
      <c r="I310" s="8">
        <v>0</v>
      </c>
      <c r="J310" s="8">
        <v>0</v>
      </c>
      <c r="K310" s="8">
        <v>2256.2000000000003</v>
      </c>
      <c r="L310" s="8">
        <v>0</v>
      </c>
      <c r="M310" s="7">
        <v>0</v>
      </c>
      <c r="N310" s="106">
        <v>13000</v>
      </c>
    </row>
    <row r="311" spans="1:14" hidden="1">
      <c r="A311" s="21" t="s">
        <v>1844</v>
      </c>
      <c r="B311" s="5" t="s">
        <v>1852</v>
      </c>
      <c r="C311" s="6" t="s">
        <v>134</v>
      </c>
      <c r="D311" s="6" t="s">
        <v>135</v>
      </c>
      <c r="E311" s="103" t="s">
        <v>136</v>
      </c>
      <c r="F311" s="7">
        <v>24793.39</v>
      </c>
      <c r="G311" s="7">
        <v>0</v>
      </c>
      <c r="H311" s="8">
        <v>0</v>
      </c>
      <c r="I311" s="8">
        <v>0</v>
      </c>
      <c r="J311" s="8">
        <v>0</v>
      </c>
      <c r="K311" s="8">
        <v>5206.6099999999997</v>
      </c>
      <c r="L311" s="8">
        <v>0</v>
      </c>
      <c r="M311" s="7">
        <v>0</v>
      </c>
      <c r="N311" s="106">
        <v>30000</v>
      </c>
    </row>
    <row r="312" spans="1:14" hidden="1">
      <c r="A312" s="21" t="s">
        <v>1844</v>
      </c>
      <c r="B312" s="5" t="s">
        <v>1853</v>
      </c>
      <c r="C312" s="6" t="s">
        <v>134</v>
      </c>
      <c r="D312" s="6" t="s">
        <v>135</v>
      </c>
      <c r="E312" s="103" t="s">
        <v>136</v>
      </c>
      <c r="F312" s="7">
        <v>2561.98</v>
      </c>
      <c r="G312" s="7">
        <v>0</v>
      </c>
      <c r="H312" s="8">
        <v>0</v>
      </c>
      <c r="I312" s="8">
        <v>0</v>
      </c>
      <c r="J312" s="8">
        <v>0</v>
      </c>
      <c r="K312" s="8">
        <v>538.02</v>
      </c>
      <c r="L312" s="8">
        <v>0</v>
      </c>
      <c r="M312" s="7">
        <v>0</v>
      </c>
      <c r="N312" s="106">
        <v>3100</v>
      </c>
    </row>
    <row r="313" spans="1:14" hidden="1">
      <c r="A313" s="21" t="s">
        <v>1844</v>
      </c>
      <c r="B313" s="5" t="s">
        <v>1854</v>
      </c>
      <c r="C313" s="6" t="s">
        <v>134</v>
      </c>
      <c r="D313" s="6" t="s">
        <v>135</v>
      </c>
      <c r="E313" s="103" t="s">
        <v>136</v>
      </c>
      <c r="F313" s="7">
        <v>16528.93</v>
      </c>
      <c r="G313" s="7">
        <v>0</v>
      </c>
      <c r="H313" s="8">
        <v>0</v>
      </c>
      <c r="I313" s="8">
        <v>0</v>
      </c>
      <c r="J313" s="8">
        <v>0</v>
      </c>
      <c r="K313" s="8">
        <v>3471.07</v>
      </c>
      <c r="L313" s="8">
        <v>0</v>
      </c>
      <c r="M313" s="7">
        <v>0</v>
      </c>
      <c r="N313" s="106">
        <v>20000</v>
      </c>
    </row>
    <row r="314" spans="1:14" hidden="1">
      <c r="A314" s="21" t="s">
        <v>1844</v>
      </c>
      <c r="B314" s="5" t="s">
        <v>1855</v>
      </c>
      <c r="C314" s="6" t="s">
        <v>134</v>
      </c>
      <c r="D314" s="6" t="s">
        <v>135</v>
      </c>
      <c r="E314" s="103" t="s">
        <v>136</v>
      </c>
      <c r="F314" s="7">
        <v>10330.58</v>
      </c>
      <c r="G314" s="7">
        <v>0</v>
      </c>
      <c r="H314" s="8">
        <v>0</v>
      </c>
      <c r="I314" s="8">
        <v>0</v>
      </c>
      <c r="J314" s="8">
        <v>0</v>
      </c>
      <c r="K314" s="8">
        <v>2169.42</v>
      </c>
      <c r="L314" s="8">
        <v>0</v>
      </c>
      <c r="M314" s="7">
        <v>0</v>
      </c>
      <c r="N314" s="106">
        <v>12500</v>
      </c>
    </row>
    <row r="315" spans="1:14" hidden="1">
      <c r="A315" s="21" t="s">
        <v>1844</v>
      </c>
      <c r="B315" s="5" t="s">
        <v>1856</v>
      </c>
      <c r="C315" s="6" t="s">
        <v>134</v>
      </c>
      <c r="D315" s="6" t="s">
        <v>135</v>
      </c>
      <c r="E315" s="103" t="s">
        <v>136</v>
      </c>
      <c r="F315" s="7">
        <v>14876.03</v>
      </c>
      <c r="G315" s="7">
        <v>0</v>
      </c>
      <c r="H315" s="8">
        <v>0</v>
      </c>
      <c r="I315" s="8">
        <v>0</v>
      </c>
      <c r="J315" s="8">
        <v>0</v>
      </c>
      <c r="K315" s="8">
        <v>3123.97</v>
      </c>
      <c r="L315" s="8">
        <v>0</v>
      </c>
      <c r="M315" s="7">
        <v>0</v>
      </c>
      <c r="N315" s="106">
        <v>18000</v>
      </c>
    </row>
    <row r="316" spans="1:14" hidden="1">
      <c r="A316" s="21" t="s">
        <v>1844</v>
      </c>
      <c r="B316" s="5" t="s">
        <v>1857</v>
      </c>
      <c r="C316" s="6" t="s">
        <v>134</v>
      </c>
      <c r="D316" s="6" t="s">
        <v>135</v>
      </c>
      <c r="E316" s="103" t="s">
        <v>136</v>
      </c>
      <c r="F316" s="7">
        <v>14462.81</v>
      </c>
      <c r="G316" s="7">
        <v>0</v>
      </c>
      <c r="H316" s="8">
        <v>0</v>
      </c>
      <c r="I316" s="8">
        <v>0</v>
      </c>
      <c r="J316" s="8">
        <v>0</v>
      </c>
      <c r="K316" s="8">
        <v>3037.19</v>
      </c>
      <c r="L316" s="8">
        <v>0</v>
      </c>
      <c r="M316" s="7">
        <v>0</v>
      </c>
      <c r="N316" s="106">
        <v>17500</v>
      </c>
    </row>
    <row r="317" spans="1:14" hidden="1">
      <c r="A317" s="21" t="s">
        <v>1844</v>
      </c>
      <c r="B317" s="5" t="s">
        <v>1858</v>
      </c>
      <c r="C317" s="6" t="s">
        <v>134</v>
      </c>
      <c r="D317" s="6" t="s">
        <v>135</v>
      </c>
      <c r="E317" s="103" t="s">
        <v>136</v>
      </c>
      <c r="F317" s="7">
        <v>12396.69</v>
      </c>
      <c r="G317" s="7">
        <v>0</v>
      </c>
      <c r="H317" s="8">
        <v>0</v>
      </c>
      <c r="I317" s="8">
        <v>0</v>
      </c>
      <c r="J317" s="8">
        <v>0</v>
      </c>
      <c r="K317" s="8">
        <v>2603.31</v>
      </c>
      <c r="L317" s="8">
        <v>0</v>
      </c>
      <c r="M317" s="7">
        <v>0</v>
      </c>
      <c r="N317" s="106">
        <v>15000</v>
      </c>
    </row>
    <row r="318" spans="1:14" hidden="1">
      <c r="A318" s="21" t="s">
        <v>1844</v>
      </c>
      <c r="B318" s="5" t="s">
        <v>1859</v>
      </c>
      <c r="C318" s="6" t="s">
        <v>134</v>
      </c>
      <c r="D318" s="6" t="s">
        <v>135</v>
      </c>
      <c r="E318" s="103" t="s">
        <v>136</v>
      </c>
      <c r="F318" s="7">
        <v>7438.02</v>
      </c>
      <c r="G318" s="7">
        <v>0</v>
      </c>
      <c r="H318" s="8">
        <v>0</v>
      </c>
      <c r="I318" s="8">
        <v>0</v>
      </c>
      <c r="J318" s="8">
        <v>0</v>
      </c>
      <c r="K318" s="8">
        <v>1561.98</v>
      </c>
      <c r="L318" s="8">
        <v>0</v>
      </c>
      <c r="M318" s="7">
        <v>0</v>
      </c>
      <c r="N318" s="106">
        <v>9000</v>
      </c>
    </row>
    <row r="319" spans="1:14" hidden="1">
      <c r="A319" s="21" t="s">
        <v>1844</v>
      </c>
      <c r="B319" s="5" t="s">
        <v>1860</v>
      </c>
      <c r="C319" s="6" t="s">
        <v>134</v>
      </c>
      <c r="D319" s="6" t="s">
        <v>135</v>
      </c>
      <c r="E319" s="103" t="s">
        <v>136</v>
      </c>
      <c r="F319" s="7">
        <v>14462.81</v>
      </c>
      <c r="G319" s="7">
        <v>0</v>
      </c>
      <c r="H319" s="8">
        <v>0</v>
      </c>
      <c r="I319" s="8">
        <v>0</v>
      </c>
      <c r="J319" s="8">
        <v>0</v>
      </c>
      <c r="K319" s="8">
        <v>3037.19</v>
      </c>
      <c r="L319" s="8">
        <v>0</v>
      </c>
      <c r="M319" s="7">
        <v>0</v>
      </c>
      <c r="N319" s="106">
        <v>17500</v>
      </c>
    </row>
    <row r="320" spans="1:14" hidden="1">
      <c r="A320" s="21" t="s">
        <v>1628</v>
      </c>
      <c r="B320" s="5" t="s">
        <v>1629</v>
      </c>
      <c r="C320" s="6" t="s">
        <v>134</v>
      </c>
      <c r="D320" s="6" t="s">
        <v>135</v>
      </c>
      <c r="E320" s="103" t="s">
        <v>136</v>
      </c>
      <c r="F320" s="7">
        <v>-21239.67</v>
      </c>
      <c r="G320" s="7">
        <v>0</v>
      </c>
      <c r="H320" s="8">
        <v>0</v>
      </c>
      <c r="I320" s="8">
        <v>0</v>
      </c>
      <c r="J320" s="8">
        <v>0</v>
      </c>
      <c r="K320" s="8">
        <v>-4460.33</v>
      </c>
      <c r="L320" s="8">
        <v>0</v>
      </c>
      <c r="M320" s="7">
        <v>0</v>
      </c>
      <c r="N320" s="106">
        <v>-25700</v>
      </c>
    </row>
    <row r="321" spans="1:14">
      <c r="A321" s="21" t="s">
        <v>1472</v>
      </c>
      <c r="B321" s="5" t="s">
        <v>1490</v>
      </c>
      <c r="C321" s="6" t="s">
        <v>354</v>
      </c>
      <c r="D321" s="6" t="s">
        <v>135</v>
      </c>
      <c r="E321" s="103">
        <v>4648296</v>
      </c>
      <c r="F321" s="7">
        <v>16528.920000000002</v>
      </c>
      <c r="G321" s="7">
        <v>0</v>
      </c>
      <c r="H321" s="8">
        <v>0</v>
      </c>
      <c r="I321" s="8">
        <v>0</v>
      </c>
      <c r="J321" s="8">
        <v>0</v>
      </c>
      <c r="K321" s="8">
        <v>3471.08</v>
      </c>
      <c r="L321" s="8">
        <v>0</v>
      </c>
      <c r="M321" s="7">
        <v>0</v>
      </c>
      <c r="N321" s="106">
        <v>20000</v>
      </c>
    </row>
    <row r="322" spans="1:14">
      <c r="A322" s="21" t="s">
        <v>1472</v>
      </c>
      <c r="B322" s="5" t="s">
        <v>1491</v>
      </c>
      <c r="C322" s="6" t="s">
        <v>451</v>
      </c>
      <c r="D322" s="6" t="s">
        <v>135</v>
      </c>
      <c r="E322" s="103">
        <v>26542077</v>
      </c>
      <c r="F322" s="7">
        <v>24793.38</v>
      </c>
      <c r="G322" s="7">
        <v>0</v>
      </c>
      <c r="H322" s="8">
        <v>0</v>
      </c>
      <c r="I322" s="8">
        <v>0</v>
      </c>
      <c r="J322" s="8">
        <v>0</v>
      </c>
      <c r="K322" s="8">
        <v>5206.62</v>
      </c>
      <c r="L322" s="8">
        <v>0</v>
      </c>
      <c r="M322" s="7">
        <v>0</v>
      </c>
      <c r="N322" s="106">
        <v>30000</v>
      </c>
    </row>
    <row r="323" spans="1:14">
      <c r="A323" s="21" t="s">
        <v>1472</v>
      </c>
      <c r="B323" s="5" t="s">
        <v>1492</v>
      </c>
      <c r="C323" s="6" t="s">
        <v>345</v>
      </c>
      <c r="D323" s="6" t="s">
        <v>343</v>
      </c>
      <c r="E323" s="103">
        <v>30658137642</v>
      </c>
      <c r="F323" s="7">
        <v>413165.29</v>
      </c>
      <c r="G323" s="7">
        <v>0</v>
      </c>
      <c r="H323" s="8">
        <v>0</v>
      </c>
      <c r="I323" s="8">
        <v>0</v>
      </c>
      <c r="J323" s="8">
        <v>0</v>
      </c>
      <c r="K323" s="8">
        <v>86764.71</v>
      </c>
      <c r="L323" s="8">
        <v>0</v>
      </c>
      <c r="M323" s="7">
        <v>0</v>
      </c>
      <c r="N323" s="106">
        <v>499930</v>
      </c>
    </row>
    <row r="324" spans="1:14">
      <c r="A324" s="21" t="s">
        <v>1472</v>
      </c>
      <c r="B324" s="5" t="s">
        <v>1493</v>
      </c>
      <c r="C324" s="6" t="s">
        <v>347</v>
      </c>
      <c r="D324" s="6" t="s">
        <v>343</v>
      </c>
      <c r="E324" s="103">
        <v>30571766287</v>
      </c>
      <c r="F324" s="7">
        <v>130247.93</v>
      </c>
      <c r="G324" s="7">
        <v>0</v>
      </c>
      <c r="H324" s="8">
        <v>0</v>
      </c>
      <c r="I324" s="8">
        <v>0</v>
      </c>
      <c r="J324" s="8">
        <v>0</v>
      </c>
      <c r="K324" s="8">
        <v>27352.07</v>
      </c>
      <c r="L324" s="8">
        <v>0</v>
      </c>
      <c r="M324" s="7">
        <v>0</v>
      </c>
      <c r="N324" s="106">
        <v>157600</v>
      </c>
    </row>
    <row r="325" spans="1:14">
      <c r="A325" s="21" t="s">
        <v>1472</v>
      </c>
      <c r="B325" s="5" t="s">
        <v>1494</v>
      </c>
      <c r="C325" s="6" t="s">
        <v>342</v>
      </c>
      <c r="D325" s="6" t="s">
        <v>343</v>
      </c>
      <c r="E325" s="103">
        <v>30590354798</v>
      </c>
      <c r="F325" s="7">
        <v>1424465.64</v>
      </c>
      <c r="G325" s="7">
        <v>0</v>
      </c>
      <c r="H325" s="8">
        <v>0</v>
      </c>
      <c r="I325" s="8">
        <v>0</v>
      </c>
      <c r="J325" s="8">
        <v>0</v>
      </c>
      <c r="K325" s="8">
        <v>299137.78999999998</v>
      </c>
      <c r="L325" s="8">
        <v>0</v>
      </c>
      <c r="M325" s="7">
        <v>0</v>
      </c>
      <c r="N325" s="106">
        <v>1723603.43</v>
      </c>
    </row>
    <row r="326" spans="1:14">
      <c r="A326" s="21" t="s">
        <v>1472</v>
      </c>
      <c r="B326" s="5" t="s">
        <v>1495</v>
      </c>
      <c r="C326" s="6" t="s">
        <v>345</v>
      </c>
      <c r="D326" s="6" t="s">
        <v>343</v>
      </c>
      <c r="E326" s="103">
        <v>30658137642</v>
      </c>
      <c r="F326" s="7">
        <v>677148.76</v>
      </c>
      <c r="G326" s="7">
        <v>0</v>
      </c>
      <c r="H326" s="8">
        <v>0</v>
      </c>
      <c r="I326" s="8">
        <v>0</v>
      </c>
      <c r="J326" s="8">
        <v>0</v>
      </c>
      <c r="K326" s="8">
        <v>142201.24</v>
      </c>
      <c r="L326" s="8">
        <v>0</v>
      </c>
      <c r="M326" s="7">
        <v>0</v>
      </c>
      <c r="N326" s="106">
        <v>819350</v>
      </c>
    </row>
    <row r="327" spans="1:14">
      <c r="A327" s="21" t="s">
        <v>1472</v>
      </c>
      <c r="B327" s="5" t="s">
        <v>1496</v>
      </c>
      <c r="C327" s="6" t="s">
        <v>1497</v>
      </c>
      <c r="D327" s="6" t="s">
        <v>343</v>
      </c>
      <c r="E327" s="103">
        <v>30636196858</v>
      </c>
      <c r="F327" s="7">
        <v>4297520.66</v>
      </c>
      <c r="G327" s="7">
        <v>0</v>
      </c>
      <c r="H327" s="8">
        <v>0</v>
      </c>
      <c r="I327" s="8">
        <v>0</v>
      </c>
      <c r="J327" s="8">
        <v>0</v>
      </c>
      <c r="K327" s="8">
        <v>902479.34</v>
      </c>
      <c r="L327" s="8">
        <v>0</v>
      </c>
      <c r="M327" s="7">
        <v>0</v>
      </c>
      <c r="N327" s="106">
        <v>5200000</v>
      </c>
    </row>
    <row r="328" spans="1:14">
      <c r="A328" s="21" t="s">
        <v>1498</v>
      </c>
      <c r="B328" s="5" t="s">
        <v>1507</v>
      </c>
      <c r="C328" s="6" t="s">
        <v>369</v>
      </c>
      <c r="D328" s="6" t="s">
        <v>135</v>
      </c>
      <c r="E328" s="103">
        <v>56980</v>
      </c>
      <c r="F328" s="7">
        <v>6611.57</v>
      </c>
      <c r="G328" s="7">
        <v>0</v>
      </c>
      <c r="H328" s="8">
        <v>0</v>
      </c>
      <c r="I328" s="8">
        <v>0</v>
      </c>
      <c r="J328" s="8">
        <v>0</v>
      </c>
      <c r="K328" s="8">
        <v>1388.43</v>
      </c>
      <c r="L328" s="8">
        <v>0</v>
      </c>
      <c r="M328" s="7">
        <v>0</v>
      </c>
      <c r="N328" s="106">
        <v>8000</v>
      </c>
    </row>
    <row r="329" spans="1:14">
      <c r="A329" s="21" t="s">
        <v>1498</v>
      </c>
      <c r="B329" s="5" t="s">
        <v>1508</v>
      </c>
      <c r="C329" s="6" t="s">
        <v>424</v>
      </c>
      <c r="D329" s="6" t="s">
        <v>135</v>
      </c>
      <c r="E329" s="103">
        <v>12394145</v>
      </c>
      <c r="F329" s="7">
        <v>22314.05</v>
      </c>
      <c r="G329" s="7">
        <v>0</v>
      </c>
      <c r="H329" s="8">
        <v>0</v>
      </c>
      <c r="I329" s="8">
        <v>0</v>
      </c>
      <c r="J329" s="8">
        <v>0</v>
      </c>
      <c r="K329" s="8">
        <v>4685.95</v>
      </c>
      <c r="L329" s="8">
        <v>0</v>
      </c>
      <c r="M329" s="7">
        <v>0</v>
      </c>
      <c r="N329" s="106">
        <v>27000</v>
      </c>
    </row>
    <row r="330" spans="1:14">
      <c r="A330" s="21" t="s">
        <v>1498</v>
      </c>
      <c r="B330" s="5" t="s">
        <v>1509</v>
      </c>
      <c r="C330" s="6" t="s">
        <v>367</v>
      </c>
      <c r="D330" s="6" t="s">
        <v>135</v>
      </c>
      <c r="E330" s="103">
        <v>93354584</v>
      </c>
      <c r="F330" s="7">
        <v>12396.69</v>
      </c>
      <c r="G330" s="7">
        <v>0</v>
      </c>
      <c r="H330" s="8">
        <v>0</v>
      </c>
      <c r="I330" s="8">
        <v>0</v>
      </c>
      <c r="J330" s="8">
        <v>0</v>
      </c>
      <c r="K330" s="8">
        <v>2603.31</v>
      </c>
      <c r="L330" s="8">
        <v>0</v>
      </c>
      <c r="M330" s="7">
        <v>0</v>
      </c>
      <c r="N330" s="106">
        <v>15000</v>
      </c>
    </row>
    <row r="331" spans="1:14">
      <c r="A331" s="21" t="s">
        <v>1527</v>
      </c>
      <c r="B331" s="5" t="s">
        <v>1543</v>
      </c>
      <c r="C331" s="6" t="s">
        <v>498</v>
      </c>
      <c r="D331" s="6" t="s">
        <v>135</v>
      </c>
      <c r="E331" s="103">
        <v>17198648</v>
      </c>
      <c r="F331" s="7">
        <v>12809.92</v>
      </c>
      <c r="G331" s="7">
        <v>0</v>
      </c>
      <c r="H331" s="8">
        <v>0</v>
      </c>
      <c r="I331" s="8">
        <v>0</v>
      </c>
      <c r="J331" s="8">
        <v>0</v>
      </c>
      <c r="K331" s="8">
        <v>2690.08</v>
      </c>
      <c r="L331" s="8">
        <v>0</v>
      </c>
      <c r="M331" s="7">
        <v>0</v>
      </c>
      <c r="N331" s="106">
        <v>15500</v>
      </c>
    </row>
    <row r="332" spans="1:14">
      <c r="A332" s="21" t="s">
        <v>1527</v>
      </c>
      <c r="B332" s="5" t="s">
        <v>1544</v>
      </c>
      <c r="C332" s="6" t="s">
        <v>1545</v>
      </c>
      <c r="D332" s="6" t="s">
        <v>343</v>
      </c>
      <c r="E332" s="103">
        <v>30585412453</v>
      </c>
      <c r="F332" s="7">
        <v>7355371.9000000004</v>
      </c>
      <c r="G332" s="7">
        <v>0</v>
      </c>
      <c r="H332" s="8">
        <v>0</v>
      </c>
      <c r="I332" s="8">
        <v>0</v>
      </c>
      <c r="J332" s="8">
        <v>0</v>
      </c>
      <c r="K332" s="8">
        <v>1544628.1</v>
      </c>
      <c r="L332" s="8">
        <v>0</v>
      </c>
      <c r="M332" s="7">
        <v>0</v>
      </c>
      <c r="N332" s="106">
        <v>8900000</v>
      </c>
    </row>
    <row r="333" spans="1:14">
      <c r="A333" s="21" t="s">
        <v>1546</v>
      </c>
      <c r="B333" s="5" t="s">
        <v>1552</v>
      </c>
      <c r="C333" s="6" t="s">
        <v>390</v>
      </c>
      <c r="D333" s="6" t="s">
        <v>135</v>
      </c>
      <c r="E333" s="103">
        <v>29654556</v>
      </c>
      <c r="F333" s="7">
        <v>12396.69</v>
      </c>
      <c r="G333" s="7">
        <v>0</v>
      </c>
      <c r="H333" s="8">
        <v>0</v>
      </c>
      <c r="I333" s="8">
        <v>0</v>
      </c>
      <c r="J333" s="8">
        <v>0</v>
      </c>
      <c r="K333" s="8">
        <v>2603.31</v>
      </c>
      <c r="L333" s="8">
        <v>0</v>
      </c>
      <c r="M333" s="7">
        <v>0</v>
      </c>
      <c r="N333" s="106">
        <v>15000</v>
      </c>
    </row>
    <row r="334" spans="1:14">
      <c r="A334" s="21" t="s">
        <v>1546</v>
      </c>
      <c r="B334" s="5" t="s">
        <v>1553</v>
      </c>
      <c r="C334" s="6" t="s">
        <v>386</v>
      </c>
      <c r="D334" s="6" t="s">
        <v>343</v>
      </c>
      <c r="E334" s="103">
        <v>30685228501</v>
      </c>
      <c r="F334" s="7">
        <v>119008.26</v>
      </c>
      <c r="G334" s="7">
        <v>0</v>
      </c>
      <c r="H334" s="8">
        <v>0</v>
      </c>
      <c r="I334" s="8">
        <v>0</v>
      </c>
      <c r="J334" s="8">
        <v>0</v>
      </c>
      <c r="K334" s="8">
        <v>24991.74</v>
      </c>
      <c r="L334" s="8">
        <v>0</v>
      </c>
      <c r="M334" s="7">
        <v>0</v>
      </c>
      <c r="N334" s="106">
        <v>144000</v>
      </c>
    </row>
    <row r="335" spans="1:14">
      <c r="A335" s="21" t="s">
        <v>1554</v>
      </c>
      <c r="B335" s="5" t="s">
        <v>1571</v>
      </c>
      <c r="C335" s="6" t="s">
        <v>371</v>
      </c>
      <c r="D335" s="6" t="s">
        <v>135</v>
      </c>
      <c r="E335" s="103">
        <v>705467</v>
      </c>
      <c r="F335" s="7">
        <v>12396.69</v>
      </c>
      <c r="G335" s="7">
        <v>0</v>
      </c>
      <c r="H335" s="8">
        <v>0</v>
      </c>
      <c r="I335" s="8">
        <v>0</v>
      </c>
      <c r="J335" s="8">
        <v>0</v>
      </c>
      <c r="K335" s="8">
        <v>2603.31</v>
      </c>
      <c r="L335" s="8">
        <v>0</v>
      </c>
      <c r="M335" s="7">
        <v>0</v>
      </c>
      <c r="N335" s="106">
        <v>15000</v>
      </c>
    </row>
    <row r="336" spans="1:14">
      <c r="A336" s="21" t="s">
        <v>1554</v>
      </c>
      <c r="B336" s="5" t="s">
        <v>1572</v>
      </c>
      <c r="C336" s="6" t="s">
        <v>381</v>
      </c>
      <c r="D336" s="6" t="s">
        <v>135</v>
      </c>
      <c r="E336" s="103">
        <v>12791306</v>
      </c>
      <c r="F336" s="7">
        <v>16528.920000000002</v>
      </c>
      <c r="G336" s="7">
        <v>0</v>
      </c>
      <c r="H336" s="8">
        <v>0</v>
      </c>
      <c r="I336" s="8">
        <v>0</v>
      </c>
      <c r="J336" s="8">
        <v>0</v>
      </c>
      <c r="K336" s="8">
        <v>3471.08</v>
      </c>
      <c r="L336" s="8">
        <v>0</v>
      </c>
      <c r="M336" s="7">
        <v>0</v>
      </c>
      <c r="N336" s="106">
        <v>20000</v>
      </c>
    </row>
    <row r="337" spans="1:14">
      <c r="A337" s="21" t="s">
        <v>1573</v>
      </c>
      <c r="B337" s="5" t="s">
        <v>1587</v>
      </c>
      <c r="C337" s="6" t="s">
        <v>1586</v>
      </c>
      <c r="D337" s="6" t="s">
        <v>135</v>
      </c>
      <c r="E337" s="103">
        <v>17399042</v>
      </c>
      <c r="F337" s="7">
        <v>818.18</v>
      </c>
      <c r="G337" s="7">
        <v>0</v>
      </c>
      <c r="H337" s="8">
        <v>0</v>
      </c>
      <c r="I337" s="8">
        <v>0</v>
      </c>
      <c r="J337" s="8">
        <v>0</v>
      </c>
      <c r="K337" s="8">
        <v>171.82</v>
      </c>
      <c r="L337" s="8">
        <v>0</v>
      </c>
      <c r="M337" s="7">
        <v>0</v>
      </c>
      <c r="N337" s="106">
        <v>990</v>
      </c>
    </row>
    <row r="338" spans="1:14">
      <c r="A338" s="21" t="s">
        <v>1573</v>
      </c>
      <c r="B338" s="5" t="s">
        <v>1588</v>
      </c>
      <c r="C338" s="6" t="s">
        <v>1586</v>
      </c>
      <c r="D338" s="6" t="s">
        <v>135</v>
      </c>
      <c r="E338" s="103">
        <v>17399042</v>
      </c>
      <c r="F338" s="7">
        <v>13429.75</v>
      </c>
      <c r="G338" s="7">
        <v>0</v>
      </c>
      <c r="H338" s="8">
        <v>0</v>
      </c>
      <c r="I338" s="8">
        <v>0</v>
      </c>
      <c r="J338" s="8">
        <v>0</v>
      </c>
      <c r="K338" s="8">
        <v>2820.25</v>
      </c>
      <c r="L338" s="8">
        <v>0</v>
      </c>
      <c r="M338" s="7">
        <v>0</v>
      </c>
      <c r="N338" s="106">
        <v>16250</v>
      </c>
    </row>
    <row r="339" spans="1:14">
      <c r="A339" s="21" t="s">
        <v>1589</v>
      </c>
      <c r="B339" s="5" t="s">
        <v>1603</v>
      </c>
      <c r="C339" s="6" t="s">
        <v>1203</v>
      </c>
      <c r="D339" s="6" t="s">
        <v>135</v>
      </c>
      <c r="E339" s="103">
        <v>14736066</v>
      </c>
      <c r="F339" s="7">
        <v>22314.05</v>
      </c>
      <c r="G339" s="7">
        <v>0</v>
      </c>
      <c r="H339" s="8">
        <v>0</v>
      </c>
      <c r="I339" s="8">
        <v>0</v>
      </c>
      <c r="J339" s="8">
        <v>0</v>
      </c>
      <c r="K339" s="8">
        <v>4685.95</v>
      </c>
      <c r="L339" s="8">
        <v>0</v>
      </c>
      <c r="M339" s="7">
        <v>0</v>
      </c>
      <c r="N339" s="106">
        <v>27000</v>
      </c>
    </row>
    <row r="340" spans="1:14">
      <c r="A340" s="21" t="s">
        <v>1628</v>
      </c>
      <c r="B340" s="5" t="s">
        <v>1650</v>
      </c>
      <c r="C340" s="6" t="s">
        <v>342</v>
      </c>
      <c r="D340" s="6" t="s">
        <v>343</v>
      </c>
      <c r="E340" s="103">
        <v>30590354798</v>
      </c>
      <c r="F340" s="7">
        <v>1458429.75</v>
      </c>
      <c r="G340" s="7">
        <v>0</v>
      </c>
      <c r="H340" s="8">
        <v>0</v>
      </c>
      <c r="I340" s="8">
        <v>0</v>
      </c>
      <c r="J340" s="8">
        <v>0</v>
      </c>
      <c r="K340" s="8">
        <v>306270.25</v>
      </c>
      <c r="L340" s="8">
        <v>0</v>
      </c>
      <c r="M340" s="7">
        <v>0</v>
      </c>
      <c r="N340" s="106">
        <v>1764700</v>
      </c>
    </row>
    <row r="341" spans="1:14">
      <c r="A341" s="21" t="s">
        <v>1651</v>
      </c>
      <c r="B341" s="5" t="s">
        <v>1660</v>
      </c>
      <c r="C341" s="6" t="s">
        <v>377</v>
      </c>
      <c r="D341" s="6" t="s">
        <v>135</v>
      </c>
      <c r="E341" s="103">
        <v>10138957</v>
      </c>
      <c r="F341" s="7">
        <v>8264.4600000000009</v>
      </c>
      <c r="G341" s="7">
        <v>0</v>
      </c>
      <c r="H341" s="8">
        <v>0</v>
      </c>
      <c r="I341" s="8">
        <v>0</v>
      </c>
      <c r="J341" s="8">
        <v>0</v>
      </c>
      <c r="K341" s="8">
        <v>1735.54</v>
      </c>
      <c r="L341" s="8">
        <v>0</v>
      </c>
      <c r="M341" s="7">
        <v>0</v>
      </c>
      <c r="N341" s="106">
        <v>10000</v>
      </c>
    </row>
    <row r="342" spans="1:14">
      <c r="A342" s="21" t="s">
        <v>1651</v>
      </c>
      <c r="B342" s="5" t="s">
        <v>1661</v>
      </c>
      <c r="C342" s="6" t="s">
        <v>377</v>
      </c>
      <c r="D342" s="6" t="s">
        <v>135</v>
      </c>
      <c r="E342" s="103">
        <v>10138957</v>
      </c>
      <c r="F342" s="7">
        <v>12396.69</v>
      </c>
      <c r="G342" s="7">
        <v>0</v>
      </c>
      <c r="H342" s="8">
        <v>0</v>
      </c>
      <c r="I342" s="8">
        <v>0</v>
      </c>
      <c r="J342" s="8">
        <v>0</v>
      </c>
      <c r="K342" s="8">
        <v>2603.31</v>
      </c>
      <c r="L342" s="8">
        <v>0</v>
      </c>
      <c r="M342" s="7">
        <v>0</v>
      </c>
      <c r="N342" s="106">
        <v>15000</v>
      </c>
    </row>
    <row r="343" spans="1:14">
      <c r="A343" s="21" t="s">
        <v>1651</v>
      </c>
      <c r="B343" s="5" t="s">
        <v>1662</v>
      </c>
      <c r="C343" s="6" t="s">
        <v>455</v>
      </c>
      <c r="D343" s="6" t="s">
        <v>135</v>
      </c>
      <c r="E343" s="103">
        <v>17814995</v>
      </c>
      <c r="F343" s="7">
        <v>13223.14</v>
      </c>
      <c r="G343" s="7">
        <v>0</v>
      </c>
      <c r="H343" s="8">
        <v>0</v>
      </c>
      <c r="I343" s="8">
        <v>0</v>
      </c>
      <c r="J343" s="8">
        <v>0</v>
      </c>
      <c r="K343" s="8">
        <v>2776.86</v>
      </c>
      <c r="L343" s="8">
        <v>0</v>
      </c>
      <c r="M343" s="7">
        <v>0</v>
      </c>
      <c r="N343" s="106">
        <v>16000</v>
      </c>
    </row>
    <row r="344" spans="1:14">
      <c r="A344" s="21" t="s">
        <v>1651</v>
      </c>
      <c r="B344" s="5" t="s">
        <v>1663</v>
      </c>
      <c r="C344" s="6" t="s">
        <v>438</v>
      </c>
      <c r="D344" s="6" t="s">
        <v>135</v>
      </c>
      <c r="E344" s="103">
        <v>93195134</v>
      </c>
      <c r="F344" s="7">
        <v>13458.68</v>
      </c>
      <c r="G344" s="7">
        <v>0</v>
      </c>
      <c r="H344" s="8">
        <v>0</v>
      </c>
      <c r="I344" s="8">
        <v>0</v>
      </c>
      <c r="J344" s="8">
        <v>0</v>
      </c>
      <c r="K344" s="8">
        <v>2826.32</v>
      </c>
      <c r="L344" s="8">
        <v>0</v>
      </c>
      <c r="M344" s="7">
        <v>0</v>
      </c>
      <c r="N344" s="106">
        <v>16285</v>
      </c>
    </row>
    <row r="345" spans="1:14">
      <c r="A345" s="21" t="s">
        <v>1651</v>
      </c>
      <c r="B345" s="5" t="s">
        <v>1664</v>
      </c>
      <c r="C345" s="6" t="s">
        <v>434</v>
      </c>
      <c r="D345" s="6" t="s">
        <v>135</v>
      </c>
      <c r="E345" s="103">
        <v>902191</v>
      </c>
      <c r="F345" s="7">
        <v>12396.69</v>
      </c>
      <c r="G345" s="7">
        <v>0</v>
      </c>
      <c r="H345" s="8">
        <v>0</v>
      </c>
      <c r="I345" s="8">
        <v>0</v>
      </c>
      <c r="J345" s="8">
        <v>0</v>
      </c>
      <c r="K345" s="8">
        <v>2603.31</v>
      </c>
      <c r="L345" s="8">
        <v>0</v>
      </c>
      <c r="M345" s="7">
        <v>0</v>
      </c>
      <c r="N345" s="106">
        <v>15000</v>
      </c>
    </row>
    <row r="346" spans="1:14">
      <c r="A346" s="21" t="s">
        <v>1651</v>
      </c>
      <c r="B346" s="5" t="s">
        <v>1665</v>
      </c>
      <c r="C346" s="6" t="s">
        <v>379</v>
      </c>
      <c r="D346" s="6" t="s">
        <v>135</v>
      </c>
      <c r="E346" s="103">
        <v>20404430</v>
      </c>
      <c r="F346" s="7">
        <v>12809.92</v>
      </c>
      <c r="G346" s="7">
        <v>0</v>
      </c>
      <c r="H346" s="8">
        <v>0</v>
      </c>
      <c r="I346" s="8">
        <v>0</v>
      </c>
      <c r="J346" s="8">
        <v>0</v>
      </c>
      <c r="K346" s="8">
        <v>2690.08</v>
      </c>
      <c r="L346" s="8">
        <v>0</v>
      </c>
      <c r="M346" s="7">
        <v>0</v>
      </c>
      <c r="N346" s="106">
        <v>15500</v>
      </c>
    </row>
    <row r="347" spans="1:14">
      <c r="A347" s="21" t="s">
        <v>1651</v>
      </c>
      <c r="B347" s="5" t="s">
        <v>1666</v>
      </c>
      <c r="C347" s="6" t="s">
        <v>362</v>
      </c>
      <c r="D347" s="6" t="s">
        <v>135</v>
      </c>
      <c r="E347" s="103">
        <v>21363216</v>
      </c>
      <c r="F347" s="7">
        <v>16528.920000000002</v>
      </c>
      <c r="G347" s="7">
        <v>0</v>
      </c>
      <c r="H347" s="8">
        <v>0</v>
      </c>
      <c r="I347" s="8">
        <v>0</v>
      </c>
      <c r="J347" s="8">
        <v>0</v>
      </c>
      <c r="K347" s="8">
        <v>3471.08</v>
      </c>
      <c r="L347" s="8">
        <v>0</v>
      </c>
      <c r="M347" s="7">
        <v>0</v>
      </c>
      <c r="N347" s="106">
        <v>20000</v>
      </c>
    </row>
    <row r="348" spans="1:14">
      <c r="A348" s="21" t="s">
        <v>1651</v>
      </c>
      <c r="B348" s="5" t="s">
        <v>1667</v>
      </c>
      <c r="C348" s="6" t="s">
        <v>1668</v>
      </c>
      <c r="D348" s="6" t="s">
        <v>135</v>
      </c>
      <c r="E348" s="103">
        <v>1304464</v>
      </c>
      <c r="F348" s="7">
        <v>16528.93</v>
      </c>
      <c r="G348" s="7">
        <v>0</v>
      </c>
      <c r="H348" s="8">
        <v>0</v>
      </c>
      <c r="I348" s="8">
        <v>0</v>
      </c>
      <c r="J348" s="8">
        <v>0</v>
      </c>
      <c r="K348" s="8">
        <v>3471.07</v>
      </c>
      <c r="L348" s="8">
        <v>0</v>
      </c>
      <c r="M348" s="7">
        <v>0</v>
      </c>
      <c r="N348" s="106">
        <v>20000</v>
      </c>
    </row>
    <row r="349" spans="1:14">
      <c r="A349" s="21" t="s">
        <v>1651</v>
      </c>
      <c r="B349" s="5" t="s">
        <v>1669</v>
      </c>
      <c r="C349" s="6" t="s">
        <v>428</v>
      </c>
      <c r="D349" s="6" t="s">
        <v>135</v>
      </c>
      <c r="E349" s="103">
        <v>93332052</v>
      </c>
      <c r="F349" s="7">
        <v>5826.44</v>
      </c>
      <c r="G349" s="7">
        <v>0</v>
      </c>
      <c r="H349" s="8">
        <v>0</v>
      </c>
      <c r="I349" s="8">
        <v>0</v>
      </c>
      <c r="J349" s="8">
        <v>0</v>
      </c>
      <c r="K349" s="8">
        <v>1223.56</v>
      </c>
      <c r="L349" s="8">
        <v>0</v>
      </c>
      <c r="M349" s="7">
        <v>0</v>
      </c>
      <c r="N349" s="106">
        <v>7050</v>
      </c>
    </row>
    <row r="350" spans="1:14">
      <c r="A350" s="21" t="s">
        <v>1651</v>
      </c>
      <c r="B350" s="5" t="s">
        <v>1670</v>
      </c>
      <c r="C350" s="6" t="s">
        <v>375</v>
      </c>
      <c r="D350" s="6" t="s">
        <v>135</v>
      </c>
      <c r="E350" s="103">
        <v>36622635</v>
      </c>
      <c r="F350" s="7">
        <v>21487.61</v>
      </c>
      <c r="G350" s="7">
        <v>0</v>
      </c>
      <c r="H350" s="8">
        <v>0</v>
      </c>
      <c r="I350" s="8">
        <v>0</v>
      </c>
      <c r="J350" s="8">
        <v>0</v>
      </c>
      <c r="K350" s="8">
        <v>4512.3900000000003</v>
      </c>
      <c r="L350" s="8">
        <v>0</v>
      </c>
      <c r="M350" s="7">
        <v>0</v>
      </c>
      <c r="N350" s="106">
        <v>26000</v>
      </c>
    </row>
    <row r="351" spans="1:14">
      <c r="A351" s="21" t="s">
        <v>1651</v>
      </c>
      <c r="B351" s="5" t="s">
        <v>1671</v>
      </c>
      <c r="C351" s="6" t="s">
        <v>345</v>
      </c>
      <c r="D351" s="6" t="s">
        <v>343</v>
      </c>
      <c r="E351" s="103">
        <v>30658137642</v>
      </c>
      <c r="F351" s="7">
        <v>1676033.06</v>
      </c>
      <c r="G351" s="7">
        <v>0</v>
      </c>
      <c r="H351" s="8">
        <v>0</v>
      </c>
      <c r="I351" s="8">
        <v>0</v>
      </c>
      <c r="J351" s="8">
        <v>0</v>
      </c>
      <c r="K351" s="8">
        <v>351966.94</v>
      </c>
      <c r="L351" s="8">
        <v>0</v>
      </c>
      <c r="M351" s="7">
        <v>0</v>
      </c>
      <c r="N351" s="106">
        <v>2028000</v>
      </c>
    </row>
    <row r="352" spans="1:14">
      <c r="A352" s="21" t="s">
        <v>1651</v>
      </c>
      <c r="B352" s="5" t="s">
        <v>1672</v>
      </c>
      <c r="C352" s="6" t="s">
        <v>386</v>
      </c>
      <c r="D352" s="6" t="s">
        <v>343</v>
      </c>
      <c r="E352" s="103">
        <v>30685228501</v>
      </c>
      <c r="F352" s="7">
        <v>24876.03</v>
      </c>
      <c r="G352" s="7">
        <v>0</v>
      </c>
      <c r="H352" s="8">
        <v>0</v>
      </c>
      <c r="I352" s="8">
        <v>0</v>
      </c>
      <c r="J352" s="8">
        <v>0</v>
      </c>
      <c r="K352" s="8">
        <v>5223.97</v>
      </c>
      <c r="L352" s="8">
        <v>0</v>
      </c>
      <c r="M352" s="7">
        <v>0</v>
      </c>
      <c r="N352" s="106">
        <v>30100</v>
      </c>
    </row>
    <row r="353" spans="1:14">
      <c r="A353" s="21" t="s">
        <v>1673</v>
      </c>
      <c r="B353" s="5" t="s">
        <v>1695</v>
      </c>
      <c r="C353" s="6" t="s">
        <v>1434</v>
      </c>
      <c r="D353" s="6" t="s">
        <v>135</v>
      </c>
      <c r="E353" s="103">
        <v>26894798</v>
      </c>
      <c r="F353" s="7">
        <v>11487.61</v>
      </c>
      <c r="G353" s="7">
        <v>0</v>
      </c>
      <c r="H353" s="8">
        <v>0</v>
      </c>
      <c r="I353" s="8">
        <v>0</v>
      </c>
      <c r="J353" s="8">
        <v>0</v>
      </c>
      <c r="K353" s="8">
        <v>2412.39</v>
      </c>
      <c r="L353" s="8">
        <v>0</v>
      </c>
      <c r="M353" s="7">
        <v>0</v>
      </c>
      <c r="N353" s="106">
        <v>13900</v>
      </c>
    </row>
    <row r="354" spans="1:14">
      <c r="A354" s="21" t="s">
        <v>1673</v>
      </c>
      <c r="B354" s="5" t="s">
        <v>1696</v>
      </c>
      <c r="C354" s="6" t="s">
        <v>394</v>
      </c>
      <c r="D354" s="6" t="s">
        <v>135</v>
      </c>
      <c r="E354" s="103">
        <v>37904748</v>
      </c>
      <c r="F354" s="7">
        <v>19834.71</v>
      </c>
      <c r="G354" s="7">
        <v>0</v>
      </c>
      <c r="H354" s="8">
        <v>0</v>
      </c>
      <c r="I354" s="8">
        <v>0</v>
      </c>
      <c r="J354" s="8">
        <v>0</v>
      </c>
      <c r="K354" s="8">
        <v>4165.29</v>
      </c>
      <c r="L354" s="8">
        <v>0</v>
      </c>
      <c r="M354" s="7">
        <v>0</v>
      </c>
      <c r="N354" s="106">
        <v>24000</v>
      </c>
    </row>
    <row r="355" spans="1:14">
      <c r="A355" s="21" t="s">
        <v>1673</v>
      </c>
      <c r="B355" s="5" t="s">
        <v>1697</v>
      </c>
      <c r="C355" s="6" t="s">
        <v>408</v>
      </c>
      <c r="D355" s="6" t="s">
        <v>135</v>
      </c>
      <c r="E355" s="103">
        <v>2719694</v>
      </c>
      <c r="F355" s="7">
        <v>5826.44</v>
      </c>
      <c r="G355" s="7">
        <v>0</v>
      </c>
      <c r="H355" s="8">
        <v>0</v>
      </c>
      <c r="I355" s="8">
        <v>0</v>
      </c>
      <c r="J355" s="8">
        <v>0</v>
      </c>
      <c r="K355" s="8">
        <v>1223.56</v>
      </c>
      <c r="L355" s="8">
        <v>0</v>
      </c>
      <c r="M355" s="7">
        <v>0</v>
      </c>
      <c r="N355" s="106">
        <v>7050</v>
      </c>
    </row>
    <row r="356" spans="1:14">
      <c r="A356" s="21" t="s">
        <v>1673</v>
      </c>
      <c r="B356" s="5" t="s">
        <v>1698</v>
      </c>
      <c r="C356" s="6" t="s">
        <v>481</v>
      </c>
      <c r="D356" s="6" t="s">
        <v>135</v>
      </c>
      <c r="E356" s="103">
        <v>8607637</v>
      </c>
      <c r="F356" s="7">
        <v>33305.78</v>
      </c>
      <c r="G356" s="7">
        <v>0</v>
      </c>
      <c r="H356" s="8">
        <v>0</v>
      </c>
      <c r="I356" s="8">
        <v>0</v>
      </c>
      <c r="J356" s="8">
        <v>0</v>
      </c>
      <c r="K356" s="8">
        <v>6994.22</v>
      </c>
      <c r="L356" s="8">
        <v>0</v>
      </c>
      <c r="M356" s="7">
        <v>0</v>
      </c>
      <c r="N356" s="106">
        <v>40300</v>
      </c>
    </row>
    <row r="357" spans="1:14">
      <c r="A357" s="21" t="s">
        <v>1673</v>
      </c>
      <c r="B357" s="5" t="s">
        <v>1699</v>
      </c>
      <c r="C357" s="6" t="s">
        <v>388</v>
      </c>
      <c r="D357" s="6" t="s">
        <v>135</v>
      </c>
      <c r="E357" s="103">
        <v>14123802</v>
      </c>
      <c r="F357" s="7">
        <v>28347.1</v>
      </c>
      <c r="G357" s="7">
        <v>0</v>
      </c>
      <c r="H357" s="8">
        <v>0</v>
      </c>
      <c r="I357" s="8">
        <v>0</v>
      </c>
      <c r="J357" s="8">
        <v>0</v>
      </c>
      <c r="K357" s="8">
        <v>5952.9</v>
      </c>
      <c r="L357" s="8">
        <v>0</v>
      </c>
      <c r="M357" s="7">
        <v>0</v>
      </c>
      <c r="N357" s="106">
        <v>34300</v>
      </c>
    </row>
    <row r="358" spans="1:14">
      <c r="A358" s="21" t="s">
        <v>1700</v>
      </c>
      <c r="B358" s="5" t="s">
        <v>1719</v>
      </c>
      <c r="C358" s="6" t="s">
        <v>342</v>
      </c>
      <c r="D358" s="6" t="s">
        <v>343</v>
      </c>
      <c r="E358" s="103">
        <v>30590354798</v>
      </c>
      <c r="F358" s="7">
        <v>1140495.8700000001</v>
      </c>
      <c r="G358" s="7">
        <v>0</v>
      </c>
      <c r="H358" s="8">
        <v>0</v>
      </c>
      <c r="I358" s="8">
        <v>0</v>
      </c>
      <c r="J358" s="8">
        <v>0</v>
      </c>
      <c r="K358" s="8">
        <v>239504.13</v>
      </c>
      <c r="L358" s="8">
        <v>0</v>
      </c>
      <c r="M358" s="7">
        <v>0</v>
      </c>
      <c r="N358" s="106">
        <v>1380000</v>
      </c>
    </row>
    <row r="359" spans="1:14">
      <c r="A359" s="21" t="s">
        <v>1730</v>
      </c>
      <c r="B359" s="5" t="s">
        <v>1750</v>
      </c>
      <c r="C359" s="6" t="s">
        <v>1751</v>
      </c>
      <c r="D359" s="6" t="s">
        <v>135</v>
      </c>
      <c r="E359" s="103">
        <v>25795206</v>
      </c>
      <c r="F359" s="7">
        <v>22314.05</v>
      </c>
      <c r="G359" s="7">
        <v>0</v>
      </c>
      <c r="H359" s="8">
        <v>0</v>
      </c>
      <c r="I359" s="8">
        <v>0</v>
      </c>
      <c r="J359" s="8">
        <v>0</v>
      </c>
      <c r="K359" s="8">
        <v>4685.95</v>
      </c>
      <c r="L359" s="8">
        <v>0</v>
      </c>
      <c r="M359" s="7">
        <v>0</v>
      </c>
      <c r="N359" s="106">
        <v>27000</v>
      </c>
    </row>
    <row r="360" spans="1:14">
      <c r="A360" s="21" t="s">
        <v>1730</v>
      </c>
      <c r="B360" s="5" t="s">
        <v>1752</v>
      </c>
      <c r="C360" s="6" t="s">
        <v>432</v>
      </c>
      <c r="D360" s="6" t="s">
        <v>135</v>
      </c>
      <c r="E360" s="103">
        <v>17855620</v>
      </c>
      <c r="F360" s="7">
        <v>21487.61</v>
      </c>
      <c r="G360" s="7">
        <v>0</v>
      </c>
      <c r="H360" s="8">
        <v>0</v>
      </c>
      <c r="I360" s="8">
        <v>0</v>
      </c>
      <c r="J360" s="8">
        <v>0</v>
      </c>
      <c r="K360" s="8">
        <v>4512.3900000000003</v>
      </c>
      <c r="L360" s="8">
        <v>0</v>
      </c>
      <c r="M360" s="7">
        <v>0</v>
      </c>
      <c r="N360" s="106">
        <v>26000</v>
      </c>
    </row>
    <row r="361" spans="1:14">
      <c r="A361" s="21" t="s">
        <v>1730</v>
      </c>
      <c r="B361" s="5" t="s">
        <v>1753</v>
      </c>
      <c r="C361" s="6" t="s">
        <v>451</v>
      </c>
      <c r="D361" s="6" t="s">
        <v>135</v>
      </c>
      <c r="E361" s="103">
        <v>26542077</v>
      </c>
      <c r="F361" s="7">
        <v>35537.18</v>
      </c>
      <c r="G361" s="7">
        <v>0</v>
      </c>
      <c r="H361" s="8">
        <v>0</v>
      </c>
      <c r="I361" s="8">
        <v>0</v>
      </c>
      <c r="J361" s="8">
        <v>0</v>
      </c>
      <c r="K361" s="8">
        <v>7462.82</v>
      </c>
      <c r="L361" s="8">
        <v>0</v>
      </c>
      <c r="M361" s="7">
        <v>0</v>
      </c>
      <c r="N361" s="106">
        <v>43000</v>
      </c>
    </row>
    <row r="362" spans="1:14">
      <c r="A362" s="21" t="s">
        <v>1730</v>
      </c>
      <c r="B362" s="5" t="s">
        <v>1754</v>
      </c>
      <c r="C362" s="6" t="s">
        <v>396</v>
      </c>
      <c r="D362" s="6" t="s">
        <v>135</v>
      </c>
      <c r="E362" s="103">
        <v>17275405</v>
      </c>
      <c r="F362" s="7">
        <v>24380.16</v>
      </c>
      <c r="G362" s="7">
        <v>0</v>
      </c>
      <c r="H362" s="8">
        <v>0</v>
      </c>
      <c r="I362" s="8">
        <v>0</v>
      </c>
      <c r="J362" s="8">
        <v>0</v>
      </c>
      <c r="K362" s="8">
        <v>5119.84</v>
      </c>
      <c r="L362" s="8">
        <v>0</v>
      </c>
      <c r="M362" s="7">
        <v>0</v>
      </c>
      <c r="N362" s="106">
        <v>29500</v>
      </c>
    </row>
    <row r="363" spans="1:14">
      <c r="A363" s="21" t="s">
        <v>1755</v>
      </c>
      <c r="B363" s="5" t="s">
        <v>1769</v>
      </c>
      <c r="C363" s="6" t="s">
        <v>426</v>
      </c>
      <c r="D363" s="6" t="s">
        <v>135</v>
      </c>
      <c r="E363" s="103">
        <v>24699538</v>
      </c>
      <c r="F363" s="7">
        <v>16528.920000000002</v>
      </c>
      <c r="G363" s="7">
        <v>0</v>
      </c>
      <c r="H363" s="8">
        <v>0</v>
      </c>
      <c r="I363" s="8">
        <v>0</v>
      </c>
      <c r="J363" s="8">
        <v>0</v>
      </c>
      <c r="K363" s="8">
        <v>3471.08</v>
      </c>
      <c r="L363" s="8">
        <v>0</v>
      </c>
      <c r="M363" s="7">
        <v>0</v>
      </c>
      <c r="N363" s="106">
        <v>20000</v>
      </c>
    </row>
    <row r="364" spans="1:14">
      <c r="A364" s="21" t="s">
        <v>1755</v>
      </c>
      <c r="B364" s="5" t="s">
        <v>1770</v>
      </c>
      <c r="C364" s="6" t="s">
        <v>406</v>
      </c>
      <c r="D364" s="6" t="s">
        <v>135</v>
      </c>
      <c r="E364" s="103">
        <v>27807195</v>
      </c>
      <c r="F364" s="7">
        <v>19834.71</v>
      </c>
      <c r="G364" s="7">
        <v>0</v>
      </c>
      <c r="H364" s="8">
        <v>0</v>
      </c>
      <c r="I364" s="8">
        <v>0</v>
      </c>
      <c r="J364" s="8">
        <v>0</v>
      </c>
      <c r="K364" s="8">
        <v>4165.29</v>
      </c>
      <c r="L364" s="8">
        <v>0</v>
      </c>
      <c r="M364" s="7">
        <v>0</v>
      </c>
      <c r="N364" s="106">
        <v>24000</v>
      </c>
    </row>
    <row r="365" spans="1:14">
      <c r="A365" s="21" t="s">
        <v>1755</v>
      </c>
      <c r="B365" s="5" t="s">
        <v>1771</v>
      </c>
      <c r="C365" s="6" t="s">
        <v>447</v>
      </c>
      <c r="D365" s="6" t="s">
        <v>135</v>
      </c>
      <c r="E365" s="103">
        <v>5607654</v>
      </c>
      <c r="F365" s="7">
        <v>19834.71</v>
      </c>
      <c r="G365" s="7">
        <v>0</v>
      </c>
      <c r="H365" s="8">
        <v>0</v>
      </c>
      <c r="I365" s="8">
        <v>0</v>
      </c>
      <c r="J365" s="8">
        <v>0</v>
      </c>
      <c r="K365" s="8">
        <v>4165.29</v>
      </c>
      <c r="L365" s="8">
        <v>0</v>
      </c>
      <c r="M365" s="7">
        <v>0</v>
      </c>
      <c r="N365" s="106">
        <v>24000</v>
      </c>
    </row>
    <row r="366" spans="1:14">
      <c r="A366" s="21" t="s">
        <v>1755</v>
      </c>
      <c r="B366" s="5" t="s">
        <v>1772</v>
      </c>
      <c r="C366" s="6" t="s">
        <v>415</v>
      </c>
      <c r="D366" s="6" t="s">
        <v>135</v>
      </c>
      <c r="E366" s="103">
        <v>3292785</v>
      </c>
      <c r="F366" s="7">
        <v>4962.8100000000004</v>
      </c>
      <c r="G366" s="7">
        <v>0</v>
      </c>
      <c r="H366" s="8">
        <v>0</v>
      </c>
      <c r="I366" s="8">
        <v>0</v>
      </c>
      <c r="J366" s="8">
        <v>0</v>
      </c>
      <c r="K366" s="8">
        <v>1042.19</v>
      </c>
      <c r="L366" s="8">
        <v>0</v>
      </c>
      <c r="M366" s="7">
        <v>0</v>
      </c>
      <c r="N366" s="106">
        <v>6005</v>
      </c>
    </row>
    <row r="367" spans="1:14">
      <c r="A367" s="21" t="s">
        <v>1755</v>
      </c>
      <c r="B367" s="5" t="s">
        <v>1773</v>
      </c>
      <c r="C367" s="6" t="s">
        <v>413</v>
      </c>
      <c r="D367" s="6" t="s">
        <v>135</v>
      </c>
      <c r="E367" s="103">
        <v>11172213</v>
      </c>
      <c r="F367" s="7">
        <v>19834.71</v>
      </c>
      <c r="G367" s="7">
        <v>0</v>
      </c>
      <c r="H367" s="8">
        <v>0</v>
      </c>
      <c r="I367" s="8">
        <v>0</v>
      </c>
      <c r="J367" s="8">
        <v>0</v>
      </c>
      <c r="K367" s="8">
        <v>4165.29</v>
      </c>
      <c r="L367" s="8">
        <v>0</v>
      </c>
      <c r="M367" s="7">
        <v>0</v>
      </c>
      <c r="N367" s="106">
        <v>24000</v>
      </c>
    </row>
    <row r="368" spans="1:14">
      <c r="A368" s="21" t="s">
        <v>1755</v>
      </c>
      <c r="B368" s="5" t="s">
        <v>1774</v>
      </c>
      <c r="C368" s="6" t="s">
        <v>417</v>
      </c>
      <c r="D368" s="6" t="s">
        <v>135</v>
      </c>
      <c r="E368" s="103">
        <v>20008996</v>
      </c>
      <c r="F368" s="7">
        <v>19834.71</v>
      </c>
      <c r="G368" s="7">
        <v>0</v>
      </c>
      <c r="H368" s="8">
        <v>0</v>
      </c>
      <c r="I368" s="8">
        <v>0</v>
      </c>
      <c r="J368" s="8">
        <v>0</v>
      </c>
      <c r="K368" s="8">
        <v>4165.29</v>
      </c>
      <c r="L368" s="8">
        <v>0</v>
      </c>
      <c r="M368" s="7">
        <v>0</v>
      </c>
      <c r="N368" s="106">
        <v>24000</v>
      </c>
    </row>
    <row r="369" spans="1:14">
      <c r="A369" s="21" t="s">
        <v>1755</v>
      </c>
      <c r="B369" s="5" t="s">
        <v>1775</v>
      </c>
      <c r="C369" s="6" t="s">
        <v>419</v>
      </c>
      <c r="D369" s="6" t="s">
        <v>135</v>
      </c>
      <c r="E369" s="103">
        <v>3087423</v>
      </c>
      <c r="F369" s="7">
        <v>5826.44</v>
      </c>
      <c r="G369" s="7">
        <v>0</v>
      </c>
      <c r="H369" s="8">
        <v>0</v>
      </c>
      <c r="I369" s="8">
        <v>0</v>
      </c>
      <c r="J369" s="8">
        <v>0</v>
      </c>
      <c r="K369" s="8">
        <v>1223.56</v>
      </c>
      <c r="L369" s="8">
        <v>0</v>
      </c>
      <c r="M369" s="7">
        <v>0</v>
      </c>
      <c r="N369" s="106">
        <v>7050</v>
      </c>
    </row>
    <row r="370" spans="1:14">
      <c r="A370" s="21" t="s">
        <v>1755</v>
      </c>
      <c r="B370" s="5" t="s">
        <v>1776</v>
      </c>
      <c r="C370" s="6" t="s">
        <v>445</v>
      </c>
      <c r="D370" s="6" t="s">
        <v>135</v>
      </c>
      <c r="E370" s="103">
        <v>25864351</v>
      </c>
      <c r="F370" s="7">
        <v>19834.71</v>
      </c>
      <c r="G370" s="7">
        <v>0</v>
      </c>
      <c r="H370" s="8">
        <v>0</v>
      </c>
      <c r="I370" s="8">
        <v>0</v>
      </c>
      <c r="J370" s="8">
        <v>0</v>
      </c>
      <c r="K370" s="8">
        <v>4165.29</v>
      </c>
      <c r="L370" s="8">
        <v>0</v>
      </c>
      <c r="M370" s="7">
        <v>0</v>
      </c>
      <c r="N370" s="106">
        <v>24000</v>
      </c>
    </row>
    <row r="371" spans="1:14">
      <c r="A371" s="21" t="s">
        <v>1807</v>
      </c>
      <c r="B371" s="5" t="s">
        <v>1824</v>
      </c>
      <c r="C371" s="6" t="s">
        <v>342</v>
      </c>
      <c r="D371" s="6" t="s">
        <v>343</v>
      </c>
      <c r="E371" s="103">
        <v>30590354798</v>
      </c>
      <c r="F371" s="7">
        <v>1458429.75</v>
      </c>
      <c r="G371" s="7">
        <v>0</v>
      </c>
      <c r="H371" s="8">
        <v>0</v>
      </c>
      <c r="I371" s="8">
        <v>0</v>
      </c>
      <c r="J371" s="8">
        <v>0</v>
      </c>
      <c r="K371" s="8">
        <v>306270.25</v>
      </c>
      <c r="L371" s="8">
        <v>0</v>
      </c>
      <c r="M371" s="7">
        <v>0</v>
      </c>
      <c r="N371" s="106">
        <v>1764700</v>
      </c>
    </row>
    <row r="372" spans="1:14">
      <c r="A372" s="21" t="s">
        <v>1807</v>
      </c>
      <c r="B372" s="5" t="s">
        <v>1825</v>
      </c>
      <c r="C372" s="6" t="s">
        <v>342</v>
      </c>
      <c r="D372" s="6" t="s">
        <v>343</v>
      </c>
      <c r="E372" s="103">
        <v>30590354798</v>
      </c>
      <c r="F372" s="7">
        <v>8677.69</v>
      </c>
      <c r="G372" s="7">
        <v>0</v>
      </c>
      <c r="H372" s="8">
        <v>0</v>
      </c>
      <c r="I372" s="8">
        <v>0</v>
      </c>
      <c r="J372" s="8">
        <v>0</v>
      </c>
      <c r="K372" s="8">
        <v>1822.31</v>
      </c>
      <c r="L372" s="8">
        <v>0</v>
      </c>
      <c r="M372" s="7">
        <v>0</v>
      </c>
      <c r="N372" s="106">
        <v>10500</v>
      </c>
    </row>
    <row r="373" spans="1:14">
      <c r="A373" s="21" t="s">
        <v>1573</v>
      </c>
      <c r="B373" s="5" t="s">
        <v>1585</v>
      </c>
      <c r="C373" s="6" t="s">
        <v>1586</v>
      </c>
      <c r="D373" s="6" t="s">
        <v>135</v>
      </c>
      <c r="E373" s="103">
        <v>17399042</v>
      </c>
      <c r="F373" s="7">
        <v>-818.18</v>
      </c>
      <c r="G373" s="7">
        <v>0</v>
      </c>
      <c r="H373" s="8">
        <v>0</v>
      </c>
      <c r="I373" s="8">
        <v>0</v>
      </c>
      <c r="J373" s="8">
        <v>0</v>
      </c>
      <c r="K373" s="8">
        <v>-171.82</v>
      </c>
      <c r="L373" s="8">
        <v>0</v>
      </c>
      <c r="M373" s="7">
        <v>0</v>
      </c>
      <c r="N373" s="106">
        <v>-990</v>
      </c>
    </row>
    <row r="374" spans="1:14">
      <c r="A374" s="21" t="s">
        <v>1807</v>
      </c>
      <c r="B374" s="5" t="s">
        <v>1821</v>
      </c>
      <c r="C374" s="6" t="s">
        <v>342</v>
      </c>
      <c r="D374" s="6" t="s">
        <v>343</v>
      </c>
      <c r="E374" s="103">
        <v>30590354798</v>
      </c>
      <c r="F374" s="7">
        <v>-1458429.75</v>
      </c>
      <c r="G374" s="7">
        <v>0</v>
      </c>
      <c r="H374" s="8">
        <v>0</v>
      </c>
      <c r="I374" s="8">
        <v>0</v>
      </c>
      <c r="J374" s="8">
        <v>0</v>
      </c>
      <c r="K374" s="8">
        <v>-306270.25</v>
      </c>
      <c r="L374" s="8">
        <v>0</v>
      </c>
      <c r="M374" s="7">
        <v>0</v>
      </c>
      <c r="N374" s="106">
        <v>-1764700</v>
      </c>
    </row>
    <row r="375" spans="1:14">
      <c r="A375" s="26" t="s">
        <v>1807</v>
      </c>
      <c r="B375" s="27" t="s">
        <v>1822</v>
      </c>
      <c r="C375" s="28" t="s">
        <v>342</v>
      </c>
      <c r="D375" s="28" t="s">
        <v>343</v>
      </c>
      <c r="E375" s="112">
        <v>30590354798</v>
      </c>
      <c r="F375" s="113">
        <v>-8677.69</v>
      </c>
      <c r="G375" s="113">
        <v>0</v>
      </c>
      <c r="H375" s="37">
        <v>0</v>
      </c>
      <c r="I375" s="37">
        <v>0</v>
      </c>
      <c r="J375" s="37">
        <v>0</v>
      </c>
      <c r="K375" s="37">
        <v>-1822.31</v>
      </c>
      <c r="L375" s="37">
        <v>0</v>
      </c>
      <c r="M375" s="113">
        <v>0</v>
      </c>
      <c r="N375" s="114">
        <v>-10500</v>
      </c>
    </row>
    <row r="376" spans="1:14">
      <c r="A376" s="92"/>
      <c r="B376" s="90"/>
      <c r="C376" s="93"/>
      <c r="D376" s="93"/>
      <c r="E376" s="104"/>
      <c r="F376" s="94">
        <f>SUBTOTAL(109,Tabla6[Gravado])</f>
        <v>150017530.67000008</v>
      </c>
      <c r="G376" s="94">
        <f>SUBTOTAL(109,Tabla6[No Gravado])</f>
        <v>0</v>
      </c>
      <c r="H376" s="94">
        <f>SUBTOTAL(109,Tabla6[IVA 2,5%])</f>
        <v>0</v>
      </c>
      <c r="I376" s="94">
        <f>SUBTOTAL(109,Tabla6[IVA 5%])</f>
        <v>0</v>
      </c>
      <c r="J376" s="94">
        <f>SUBTOTAL(109,Tabla6[IVA 10.5%])</f>
        <v>0</v>
      </c>
      <c r="K376" s="94">
        <f>SUBTOTAL(109,Tabla6[IVA 21%])</f>
        <v>31503681.589999966</v>
      </c>
      <c r="L376" s="94">
        <f>SUBTOTAL(109,Tabla6[IVA 27%])</f>
        <v>0</v>
      </c>
      <c r="M376" s="94">
        <f>SUBTOTAL(109,Tabla6[Otros Imp])</f>
        <v>0</v>
      </c>
      <c r="N376" s="94">
        <f>SUBTOTAL(109,Tabla6[Total Compr.])</f>
        <v>181521212.26000011</v>
      </c>
    </row>
    <row r="377" spans="1:14">
      <c r="A377" s="19" t="s">
        <v>778</v>
      </c>
      <c r="B377" s="19" t="s">
        <v>779</v>
      </c>
      <c r="C377" s="19" t="s">
        <v>780</v>
      </c>
      <c r="D377" s="19" t="s">
        <v>781</v>
      </c>
      <c r="E377" s="105" t="s">
        <v>782</v>
      </c>
    </row>
    <row r="378" spans="1:14" ht="15.75">
      <c r="F378" s="115" t="s">
        <v>1864</v>
      </c>
      <c r="G378" s="99" t="s">
        <v>1446</v>
      </c>
      <c r="H378" s="99" t="s">
        <v>787</v>
      </c>
      <c r="I378" s="99" t="s">
        <v>459</v>
      </c>
    </row>
    <row r="379" spans="1:14">
      <c r="F379" s="99" t="s">
        <v>1444</v>
      </c>
      <c r="G379" s="98">
        <v>130159494.90000001</v>
      </c>
      <c r="H379" s="98">
        <v>27333493.93</v>
      </c>
      <c r="I379" s="98">
        <f>+G379+H379</f>
        <v>157492988.83000001</v>
      </c>
    </row>
    <row r="380" spans="1:14">
      <c r="F380" s="99" t="s">
        <v>1445</v>
      </c>
      <c r="G380" s="98">
        <v>23854101.739999998</v>
      </c>
      <c r="H380" s="98">
        <v>5009361.6900000004</v>
      </c>
      <c r="I380" s="98">
        <f>+G380+H380</f>
        <v>28863463.43</v>
      </c>
    </row>
    <row r="381" spans="1:14">
      <c r="F381" s="100" t="s">
        <v>459</v>
      </c>
      <c r="G381" s="99">
        <f>SUM(G379:G380)</f>
        <v>154013596.64000002</v>
      </c>
      <c r="H381" s="99">
        <f>SUM(H379:H380)</f>
        <v>32342855.620000001</v>
      </c>
      <c r="I381" s="99">
        <f>SUM(I379:I380)</f>
        <v>186356452.26000002</v>
      </c>
    </row>
  </sheetData>
  <sortState xmlns:xlrd2="http://schemas.microsoft.com/office/spreadsheetml/2017/richdata2" ref="A6:N375">
    <sortCondition ref="B6:B375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N370"/>
  <sheetViews>
    <sheetView topLeftCell="A344" workbookViewId="0">
      <selection activeCell="A5" sqref="A5:F363"/>
    </sheetView>
  </sheetViews>
  <sheetFormatPr baseColWidth="10" defaultColWidth="11.5703125" defaultRowHeight="15"/>
  <cols>
    <col min="2" max="2" width="18.42578125" bestFit="1" customWidth="1"/>
    <col min="3" max="3" width="19.7109375" customWidth="1"/>
    <col min="4" max="4" width="22" bestFit="1" customWidth="1"/>
    <col min="5" max="5" width="14.140625" bestFit="1" customWidth="1"/>
    <col min="6" max="6" width="15.140625" bestFit="1" customWidth="1"/>
    <col min="7" max="7" width="11.5703125" bestFit="1" customWidth="1"/>
    <col min="8" max="8" width="11.5703125" hidden="1" customWidth="1"/>
    <col min="9" max="9" width="7.140625" hidden="1" customWidth="1"/>
    <col min="10" max="10" width="9.7109375" bestFit="1" customWidth="1"/>
    <col min="11" max="11" width="14.140625" bestFit="1" customWidth="1"/>
    <col min="12" max="12" width="11.5703125" bestFit="1" customWidth="1"/>
    <col min="13" max="13" width="11.5703125" hidden="1" customWidth="1"/>
    <col min="14" max="14" width="15.140625" bestFit="1" customWidth="1"/>
  </cols>
  <sheetData>
    <row r="1" spans="1:14" ht="18">
      <c r="A1" s="71" t="s">
        <v>1865</v>
      </c>
    </row>
    <row r="2" spans="1:14" ht="15.75">
      <c r="A2" s="72" t="s">
        <v>1</v>
      </c>
      <c r="L2" s="17"/>
    </row>
    <row r="4" spans="1:14">
      <c r="A4" s="116" t="s">
        <v>2</v>
      </c>
      <c r="B4" s="116" t="s">
        <v>3</v>
      </c>
      <c r="C4" s="116" t="s">
        <v>4</v>
      </c>
      <c r="D4" s="116" t="s">
        <v>5</v>
      </c>
      <c r="E4" s="116" t="s">
        <v>6</v>
      </c>
      <c r="F4" s="116" t="s">
        <v>7</v>
      </c>
      <c r="G4" s="116" t="s">
        <v>8</v>
      </c>
      <c r="H4" s="116" t="s">
        <v>9</v>
      </c>
      <c r="I4" s="116" t="s">
        <v>10</v>
      </c>
      <c r="J4" s="116" t="s">
        <v>11</v>
      </c>
      <c r="K4" s="116" t="s">
        <v>12</v>
      </c>
      <c r="L4" s="116" t="s">
        <v>13</v>
      </c>
      <c r="M4" s="116" t="s">
        <v>14</v>
      </c>
      <c r="N4" s="116" t="s">
        <v>15</v>
      </c>
    </row>
    <row r="5" spans="1:14">
      <c r="A5" s="4" t="s">
        <v>2074</v>
      </c>
      <c r="B5" s="5" t="s">
        <v>2075</v>
      </c>
      <c r="C5" s="6" t="s">
        <v>1794</v>
      </c>
      <c r="D5" s="6" t="s">
        <v>19</v>
      </c>
      <c r="E5" s="6">
        <v>20107653393</v>
      </c>
      <c r="F5" s="18">
        <v>10743.8</v>
      </c>
      <c r="G5" s="18">
        <v>0</v>
      </c>
      <c r="H5" s="6">
        <v>0</v>
      </c>
      <c r="I5" s="6">
        <v>0</v>
      </c>
      <c r="J5" s="6">
        <v>0</v>
      </c>
      <c r="K5" s="6">
        <v>2256.2000000000003</v>
      </c>
      <c r="L5" s="6">
        <v>0</v>
      </c>
      <c r="M5" s="18">
        <v>0</v>
      </c>
      <c r="N5" s="18">
        <v>13000</v>
      </c>
    </row>
    <row r="6" spans="1:14">
      <c r="A6" s="4" t="s">
        <v>1912</v>
      </c>
      <c r="B6" s="5" t="s">
        <v>1931</v>
      </c>
      <c r="C6" s="6" t="s">
        <v>1932</v>
      </c>
      <c r="D6" s="6" t="s">
        <v>19</v>
      </c>
      <c r="E6" s="6">
        <v>30522428163</v>
      </c>
      <c r="F6" s="18">
        <v>16363636.360000001</v>
      </c>
      <c r="G6" s="18">
        <v>0</v>
      </c>
      <c r="H6" s="6">
        <v>0</v>
      </c>
      <c r="I6" s="6">
        <v>0</v>
      </c>
      <c r="J6" s="6">
        <v>0</v>
      </c>
      <c r="K6" s="6">
        <v>3436363.64</v>
      </c>
      <c r="L6" s="6">
        <v>0</v>
      </c>
      <c r="M6" s="18">
        <v>0</v>
      </c>
      <c r="N6" s="18">
        <v>19800000</v>
      </c>
    </row>
    <row r="7" spans="1:14">
      <c r="A7" s="4" t="s">
        <v>1912</v>
      </c>
      <c r="B7" s="5" t="s">
        <v>1933</v>
      </c>
      <c r="C7" s="6" t="s">
        <v>1932</v>
      </c>
      <c r="D7" s="6" t="s">
        <v>19</v>
      </c>
      <c r="E7" s="6">
        <v>30522428163</v>
      </c>
      <c r="F7" s="18">
        <v>19338842.98</v>
      </c>
      <c r="G7" s="18">
        <v>0</v>
      </c>
      <c r="H7" s="6">
        <v>0</v>
      </c>
      <c r="I7" s="6">
        <v>0</v>
      </c>
      <c r="J7" s="6">
        <v>0</v>
      </c>
      <c r="K7" s="6">
        <v>4061157.02</v>
      </c>
      <c r="L7" s="6">
        <v>0</v>
      </c>
      <c r="M7" s="18">
        <v>0</v>
      </c>
      <c r="N7" s="18">
        <v>23400000</v>
      </c>
    </row>
    <row r="8" spans="1:14">
      <c r="A8" s="4" t="s">
        <v>1912</v>
      </c>
      <c r="B8" s="5" t="s">
        <v>1934</v>
      </c>
      <c r="C8" s="6" t="s">
        <v>1932</v>
      </c>
      <c r="D8" s="6" t="s">
        <v>19</v>
      </c>
      <c r="E8" s="6">
        <v>30522428163</v>
      </c>
      <c r="F8" s="18">
        <v>10578512.41</v>
      </c>
      <c r="G8" s="18">
        <v>0</v>
      </c>
      <c r="H8" s="6">
        <v>0</v>
      </c>
      <c r="I8" s="6">
        <v>0</v>
      </c>
      <c r="J8" s="6">
        <v>0</v>
      </c>
      <c r="K8" s="6">
        <v>2221487.61</v>
      </c>
      <c r="L8" s="6">
        <v>0</v>
      </c>
      <c r="M8" s="18">
        <v>0</v>
      </c>
      <c r="N8" s="18">
        <v>12800000.02</v>
      </c>
    </row>
    <row r="9" spans="1:14">
      <c r="A9" s="4" t="s">
        <v>1959</v>
      </c>
      <c r="B9" s="5" t="s">
        <v>1975</v>
      </c>
      <c r="C9" s="6" t="s">
        <v>1932</v>
      </c>
      <c r="D9" s="6" t="s">
        <v>19</v>
      </c>
      <c r="E9" s="6">
        <v>30522428163</v>
      </c>
      <c r="F9" s="18">
        <v>8303719.0099999998</v>
      </c>
      <c r="G9" s="18">
        <v>0</v>
      </c>
      <c r="H9" s="6">
        <v>0</v>
      </c>
      <c r="I9" s="6">
        <v>0</v>
      </c>
      <c r="J9" s="6">
        <v>0</v>
      </c>
      <c r="K9" s="6">
        <v>1743780.99</v>
      </c>
      <c r="L9" s="6">
        <v>0</v>
      </c>
      <c r="M9" s="18">
        <v>0</v>
      </c>
      <c r="N9" s="18">
        <v>10047500</v>
      </c>
    </row>
    <row r="10" spans="1:14">
      <c r="A10" s="4" t="s">
        <v>2011</v>
      </c>
      <c r="B10" s="5" t="s">
        <v>2026</v>
      </c>
      <c r="C10" s="6" t="s">
        <v>1932</v>
      </c>
      <c r="D10" s="6" t="s">
        <v>19</v>
      </c>
      <c r="E10" s="6">
        <v>30522428163</v>
      </c>
      <c r="F10" s="18">
        <v>8486563.25</v>
      </c>
      <c r="G10" s="18">
        <v>0</v>
      </c>
      <c r="H10" s="6">
        <v>0</v>
      </c>
      <c r="I10" s="6">
        <v>0</v>
      </c>
      <c r="J10" s="6">
        <v>0</v>
      </c>
      <c r="K10" s="6">
        <v>1782178.28</v>
      </c>
      <c r="L10" s="6">
        <v>0</v>
      </c>
      <c r="M10" s="18">
        <v>0</v>
      </c>
      <c r="N10" s="18">
        <v>10268741.529999999</v>
      </c>
    </row>
    <row r="11" spans="1:14">
      <c r="A11" s="4" t="s">
        <v>2011</v>
      </c>
      <c r="B11" s="5" t="s">
        <v>2027</v>
      </c>
      <c r="C11" s="6" t="s">
        <v>1932</v>
      </c>
      <c r="D11" s="6" t="s">
        <v>19</v>
      </c>
      <c r="E11" s="6">
        <v>30522428163</v>
      </c>
      <c r="F11" s="18">
        <v>1359502.11</v>
      </c>
      <c r="G11" s="18">
        <v>0</v>
      </c>
      <c r="H11" s="6">
        <v>0</v>
      </c>
      <c r="I11" s="6">
        <v>0</v>
      </c>
      <c r="J11" s="6">
        <v>0</v>
      </c>
      <c r="K11" s="6">
        <v>285495.44</v>
      </c>
      <c r="L11" s="6">
        <v>0</v>
      </c>
      <c r="M11" s="18">
        <v>0</v>
      </c>
      <c r="N11" s="18">
        <v>1644997.55</v>
      </c>
    </row>
    <row r="12" spans="1:14">
      <c r="A12" s="4" t="s">
        <v>2011</v>
      </c>
      <c r="B12" s="5" t="s">
        <v>2028</v>
      </c>
      <c r="C12" s="6" t="s">
        <v>1932</v>
      </c>
      <c r="D12" s="6" t="s">
        <v>19</v>
      </c>
      <c r="E12" s="6">
        <v>30522428163</v>
      </c>
      <c r="F12" s="18">
        <v>1172665.92</v>
      </c>
      <c r="G12" s="18">
        <v>0</v>
      </c>
      <c r="H12" s="6">
        <v>0</v>
      </c>
      <c r="I12" s="6">
        <v>0</v>
      </c>
      <c r="J12" s="6">
        <v>0</v>
      </c>
      <c r="K12" s="6">
        <v>246259.84</v>
      </c>
      <c r="L12" s="6">
        <v>0</v>
      </c>
      <c r="M12" s="18">
        <v>0</v>
      </c>
      <c r="N12" s="18">
        <v>1418925.76</v>
      </c>
    </row>
    <row r="13" spans="1:14">
      <c r="A13" s="4" t="s">
        <v>2011</v>
      </c>
      <c r="B13" s="5" t="s">
        <v>2029</v>
      </c>
      <c r="C13" s="6" t="s">
        <v>1932</v>
      </c>
      <c r="D13" s="6" t="s">
        <v>19</v>
      </c>
      <c r="E13" s="6">
        <v>30522428163</v>
      </c>
      <c r="F13" s="18">
        <v>27208099.170000002</v>
      </c>
      <c r="G13" s="18">
        <v>0</v>
      </c>
      <c r="H13" s="6">
        <v>0</v>
      </c>
      <c r="I13" s="6">
        <v>0</v>
      </c>
      <c r="J13" s="6">
        <v>0</v>
      </c>
      <c r="K13" s="6">
        <v>5713700.8300000001</v>
      </c>
      <c r="L13" s="6">
        <v>0</v>
      </c>
      <c r="M13" s="18">
        <v>0</v>
      </c>
      <c r="N13" s="18">
        <v>32921800</v>
      </c>
    </row>
    <row r="14" spans="1:14">
      <c r="A14" s="4" t="s">
        <v>2011</v>
      </c>
      <c r="B14" s="5" t="s">
        <v>2030</v>
      </c>
      <c r="C14" s="6" t="s">
        <v>1932</v>
      </c>
      <c r="D14" s="6" t="s">
        <v>19</v>
      </c>
      <c r="E14" s="6">
        <v>30522428163</v>
      </c>
      <c r="F14" s="18">
        <v>1169107.1000000001</v>
      </c>
      <c r="G14" s="18">
        <v>0</v>
      </c>
      <c r="H14" s="6">
        <v>0</v>
      </c>
      <c r="I14" s="6">
        <v>0</v>
      </c>
      <c r="J14" s="6">
        <v>0</v>
      </c>
      <c r="K14" s="6">
        <v>245512.49</v>
      </c>
      <c r="L14" s="6">
        <v>0</v>
      </c>
      <c r="M14" s="18">
        <v>0</v>
      </c>
      <c r="N14" s="18">
        <v>1414619.59</v>
      </c>
    </row>
    <row r="15" spans="1:14">
      <c r="A15" s="4" t="s">
        <v>2047</v>
      </c>
      <c r="B15" s="5" t="s">
        <v>2065</v>
      </c>
      <c r="C15" s="6" t="s">
        <v>36</v>
      </c>
      <c r="D15" s="6" t="s">
        <v>19</v>
      </c>
      <c r="E15" s="6">
        <v>30683032227</v>
      </c>
      <c r="F15" s="18">
        <v>2680474.12</v>
      </c>
      <c r="G15" s="18">
        <v>0</v>
      </c>
      <c r="H15" s="6">
        <v>0</v>
      </c>
      <c r="I15" s="6">
        <v>0</v>
      </c>
      <c r="J15" s="6">
        <v>0</v>
      </c>
      <c r="K15" s="6">
        <v>562899.57000000007</v>
      </c>
      <c r="L15" s="6">
        <v>0</v>
      </c>
      <c r="M15" s="18">
        <v>0</v>
      </c>
      <c r="N15" s="18">
        <v>3243373.69</v>
      </c>
    </row>
    <row r="16" spans="1:14">
      <c r="A16" s="4" t="s">
        <v>2047</v>
      </c>
      <c r="B16" s="5" t="s">
        <v>2066</v>
      </c>
      <c r="C16" s="6" t="s">
        <v>36</v>
      </c>
      <c r="D16" s="6" t="s">
        <v>19</v>
      </c>
      <c r="E16" s="6">
        <v>30683032227</v>
      </c>
      <c r="F16" s="18">
        <v>1377748.01</v>
      </c>
      <c r="G16" s="18">
        <v>0</v>
      </c>
      <c r="H16" s="6">
        <v>0</v>
      </c>
      <c r="I16" s="6">
        <v>0</v>
      </c>
      <c r="J16" s="6">
        <v>0</v>
      </c>
      <c r="K16" s="6">
        <v>289327.08</v>
      </c>
      <c r="L16" s="6">
        <v>0</v>
      </c>
      <c r="M16" s="18">
        <v>0</v>
      </c>
      <c r="N16" s="18">
        <v>1667075.09</v>
      </c>
    </row>
    <row r="17" spans="1:14">
      <c r="A17" s="4" t="s">
        <v>2074</v>
      </c>
      <c r="B17" s="5" t="s">
        <v>2097</v>
      </c>
      <c r="C17" s="6" t="s">
        <v>1932</v>
      </c>
      <c r="D17" s="6" t="s">
        <v>19</v>
      </c>
      <c r="E17" s="6">
        <v>30522428163</v>
      </c>
      <c r="F17" s="18">
        <v>1585950.42</v>
      </c>
      <c r="G17" s="18">
        <v>0</v>
      </c>
      <c r="H17" s="6">
        <v>0</v>
      </c>
      <c r="I17" s="6">
        <v>0</v>
      </c>
      <c r="J17" s="6">
        <v>0</v>
      </c>
      <c r="K17" s="6">
        <v>333049.59000000003</v>
      </c>
      <c r="L17" s="6">
        <v>0</v>
      </c>
      <c r="M17" s="18">
        <v>0</v>
      </c>
      <c r="N17" s="18">
        <v>1919000.01</v>
      </c>
    </row>
    <row r="18" spans="1:14">
      <c r="A18" s="4" t="s">
        <v>2209</v>
      </c>
      <c r="B18" s="5" t="s">
        <v>2222</v>
      </c>
      <c r="C18" s="6" t="s">
        <v>1932</v>
      </c>
      <c r="D18" s="6" t="s">
        <v>19</v>
      </c>
      <c r="E18" s="6">
        <v>30522428163</v>
      </c>
      <c r="F18" s="18">
        <v>13609917.359999999</v>
      </c>
      <c r="G18" s="18">
        <v>0</v>
      </c>
      <c r="H18" s="6">
        <v>0</v>
      </c>
      <c r="I18" s="6">
        <v>0</v>
      </c>
      <c r="J18" s="6">
        <v>0</v>
      </c>
      <c r="K18" s="6">
        <v>2858082.65</v>
      </c>
      <c r="L18" s="6">
        <v>0</v>
      </c>
      <c r="M18" s="18">
        <v>0</v>
      </c>
      <c r="N18" s="18">
        <v>16468000.01</v>
      </c>
    </row>
    <row r="19" spans="1:14">
      <c r="A19" s="4" t="s">
        <v>1879</v>
      </c>
      <c r="B19" s="5" t="s">
        <v>1902</v>
      </c>
      <c r="C19" s="6" t="s">
        <v>67</v>
      </c>
      <c r="D19" s="6" t="s">
        <v>19</v>
      </c>
      <c r="E19" s="6">
        <v>30710538014</v>
      </c>
      <c r="F19" s="18">
        <v>339190.08</v>
      </c>
      <c r="G19" s="18">
        <v>0</v>
      </c>
      <c r="H19" s="6">
        <v>0</v>
      </c>
      <c r="I19" s="6">
        <v>0</v>
      </c>
      <c r="J19" s="6">
        <v>0</v>
      </c>
      <c r="K19" s="6">
        <v>71229.919999999998</v>
      </c>
      <c r="L19" s="6">
        <v>0</v>
      </c>
      <c r="M19" s="18">
        <v>0</v>
      </c>
      <c r="N19" s="18">
        <v>410420</v>
      </c>
    </row>
    <row r="20" spans="1:14">
      <c r="A20" s="4" t="s">
        <v>1912</v>
      </c>
      <c r="B20" s="5" t="s">
        <v>1935</v>
      </c>
      <c r="C20" s="6" t="s">
        <v>1932</v>
      </c>
      <c r="D20" s="6" t="s">
        <v>19</v>
      </c>
      <c r="E20" s="6">
        <v>30522428163</v>
      </c>
      <c r="F20" s="18">
        <v>118245.6</v>
      </c>
      <c r="G20" s="18">
        <v>0</v>
      </c>
      <c r="H20" s="6">
        <v>0</v>
      </c>
      <c r="I20" s="6">
        <v>0</v>
      </c>
      <c r="J20" s="6">
        <v>0</v>
      </c>
      <c r="K20" s="6">
        <v>24831.58</v>
      </c>
      <c r="L20" s="6">
        <v>0</v>
      </c>
      <c r="M20" s="18">
        <v>0</v>
      </c>
      <c r="N20" s="18">
        <v>143077.18</v>
      </c>
    </row>
    <row r="21" spans="1:14">
      <c r="A21" s="4" t="s">
        <v>1959</v>
      </c>
      <c r="B21" s="5" t="s">
        <v>1976</v>
      </c>
      <c r="C21" s="6" t="s">
        <v>73</v>
      </c>
      <c r="D21" s="6" t="s">
        <v>19</v>
      </c>
      <c r="E21" s="6">
        <v>30715186655</v>
      </c>
      <c r="F21" s="18">
        <v>445454.27</v>
      </c>
      <c r="G21" s="18">
        <v>0</v>
      </c>
      <c r="H21" s="6">
        <v>0</v>
      </c>
      <c r="I21" s="6">
        <v>0</v>
      </c>
      <c r="J21" s="6">
        <v>0</v>
      </c>
      <c r="K21" s="6">
        <v>93545.4</v>
      </c>
      <c r="L21" s="6">
        <v>0</v>
      </c>
      <c r="M21" s="18">
        <v>0</v>
      </c>
      <c r="N21" s="18">
        <v>538999.67000000004</v>
      </c>
    </row>
    <row r="22" spans="1:14">
      <c r="A22" s="4" t="s">
        <v>1959</v>
      </c>
      <c r="B22" s="5" t="s">
        <v>1977</v>
      </c>
      <c r="C22" s="6" t="s">
        <v>84</v>
      </c>
      <c r="D22" s="6" t="s">
        <v>19</v>
      </c>
      <c r="E22" s="6">
        <v>30546771314</v>
      </c>
      <c r="F22" s="18">
        <v>19917.36</v>
      </c>
      <c r="G22" s="18">
        <v>0</v>
      </c>
      <c r="H22" s="6">
        <v>0</v>
      </c>
      <c r="I22" s="6">
        <v>0</v>
      </c>
      <c r="J22" s="6">
        <v>0</v>
      </c>
      <c r="K22" s="6">
        <v>4182.6499999999996</v>
      </c>
      <c r="L22" s="6">
        <v>0</v>
      </c>
      <c r="M22" s="18">
        <v>0</v>
      </c>
      <c r="N22" s="18">
        <v>24100.01</v>
      </c>
    </row>
    <row r="23" spans="1:14">
      <c r="A23" s="4" t="s">
        <v>1959</v>
      </c>
      <c r="B23" s="5" t="s">
        <v>1978</v>
      </c>
      <c r="C23" s="6" t="s">
        <v>86</v>
      </c>
      <c r="D23" s="6" t="s">
        <v>19</v>
      </c>
      <c r="E23" s="6">
        <v>30713669004</v>
      </c>
      <c r="F23" s="18">
        <v>66388.430000000008</v>
      </c>
      <c r="G23" s="18">
        <v>0</v>
      </c>
      <c r="H23" s="6">
        <v>0</v>
      </c>
      <c r="I23" s="6">
        <v>0</v>
      </c>
      <c r="J23" s="6">
        <v>0</v>
      </c>
      <c r="K23" s="6">
        <v>13941.57</v>
      </c>
      <c r="L23" s="6">
        <v>0</v>
      </c>
      <c r="M23" s="18">
        <v>0</v>
      </c>
      <c r="N23" s="18">
        <v>80330</v>
      </c>
    </row>
    <row r="24" spans="1:14">
      <c r="A24" s="4" t="s">
        <v>1959</v>
      </c>
      <c r="B24" s="5" t="s">
        <v>1979</v>
      </c>
      <c r="C24" s="6" t="s">
        <v>80</v>
      </c>
      <c r="D24" s="6" t="s">
        <v>19</v>
      </c>
      <c r="E24" s="6">
        <v>30707612971</v>
      </c>
      <c r="F24" s="18">
        <v>41619.83</v>
      </c>
      <c r="G24" s="18">
        <v>0</v>
      </c>
      <c r="H24" s="6">
        <v>0</v>
      </c>
      <c r="I24" s="6">
        <v>0</v>
      </c>
      <c r="J24" s="6">
        <v>0</v>
      </c>
      <c r="K24" s="6">
        <v>8740.16</v>
      </c>
      <c r="L24" s="6">
        <v>0</v>
      </c>
      <c r="M24" s="18">
        <v>0</v>
      </c>
      <c r="N24" s="18">
        <v>50359.99</v>
      </c>
    </row>
    <row r="25" spans="1:14">
      <c r="A25" s="4" t="s">
        <v>1959</v>
      </c>
      <c r="B25" s="5" t="s">
        <v>1980</v>
      </c>
      <c r="C25" s="6" t="s">
        <v>1981</v>
      </c>
      <c r="D25" s="6" t="s">
        <v>19</v>
      </c>
      <c r="E25" s="6">
        <v>30712136754</v>
      </c>
      <c r="F25" s="18">
        <v>41619.83</v>
      </c>
      <c r="G25" s="18">
        <v>0</v>
      </c>
      <c r="H25" s="6">
        <v>0</v>
      </c>
      <c r="I25" s="6">
        <v>0</v>
      </c>
      <c r="J25" s="6">
        <v>0</v>
      </c>
      <c r="K25" s="6">
        <v>8740.16</v>
      </c>
      <c r="L25" s="6">
        <v>0</v>
      </c>
      <c r="M25" s="18">
        <v>0</v>
      </c>
      <c r="N25" s="18">
        <v>50359.99</v>
      </c>
    </row>
    <row r="26" spans="1:14">
      <c r="A26" s="4" t="s">
        <v>2011</v>
      </c>
      <c r="B26" s="5" t="s">
        <v>2031</v>
      </c>
      <c r="C26" s="6" t="s">
        <v>1932</v>
      </c>
      <c r="D26" s="6" t="s">
        <v>19</v>
      </c>
      <c r="E26" s="6">
        <v>30522428163</v>
      </c>
      <c r="F26" s="18">
        <v>199566.76</v>
      </c>
      <c r="G26" s="18">
        <v>0</v>
      </c>
      <c r="H26" s="6">
        <v>0</v>
      </c>
      <c r="I26" s="6">
        <v>0</v>
      </c>
      <c r="J26" s="6">
        <v>0</v>
      </c>
      <c r="K26" s="6">
        <v>41909.020000000004</v>
      </c>
      <c r="L26" s="6">
        <v>0</v>
      </c>
      <c r="M26" s="18">
        <v>0</v>
      </c>
      <c r="N26" s="18">
        <v>241475.78</v>
      </c>
    </row>
    <row r="27" spans="1:14">
      <c r="A27" s="4" t="s">
        <v>2011</v>
      </c>
      <c r="B27" s="5" t="s">
        <v>2032</v>
      </c>
      <c r="C27" s="6" t="s">
        <v>1932</v>
      </c>
      <c r="D27" s="6" t="s">
        <v>19</v>
      </c>
      <c r="E27" s="6">
        <v>30522428163</v>
      </c>
      <c r="F27" s="18">
        <v>277685.95</v>
      </c>
      <c r="G27" s="18">
        <v>0</v>
      </c>
      <c r="H27" s="6">
        <v>0</v>
      </c>
      <c r="I27" s="6">
        <v>0</v>
      </c>
      <c r="J27" s="6">
        <v>0</v>
      </c>
      <c r="K27" s="6">
        <v>58314.05</v>
      </c>
      <c r="L27" s="6">
        <v>0</v>
      </c>
      <c r="M27" s="18">
        <v>0</v>
      </c>
      <c r="N27" s="18">
        <v>336000</v>
      </c>
    </row>
    <row r="28" spans="1:14">
      <c r="A28" s="4" t="s">
        <v>2011</v>
      </c>
      <c r="B28" s="5" t="s">
        <v>2033</v>
      </c>
      <c r="C28" s="6" t="s">
        <v>92</v>
      </c>
      <c r="D28" s="6" t="s">
        <v>19</v>
      </c>
      <c r="E28" s="6">
        <v>30709016012</v>
      </c>
      <c r="F28" s="18">
        <v>182570.26</v>
      </c>
      <c r="G28" s="18">
        <v>0</v>
      </c>
      <c r="H28" s="6">
        <v>0</v>
      </c>
      <c r="I28" s="6">
        <v>0</v>
      </c>
      <c r="J28" s="6">
        <v>0</v>
      </c>
      <c r="K28" s="6">
        <v>38339.760000000002</v>
      </c>
      <c r="L28" s="6">
        <v>0</v>
      </c>
      <c r="M28" s="18">
        <v>0</v>
      </c>
      <c r="N28" s="18">
        <v>220910.02</v>
      </c>
    </row>
    <row r="29" spans="1:14">
      <c r="A29" s="4" t="s">
        <v>2011</v>
      </c>
      <c r="B29" s="5" t="s">
        <v>2034</v>
      </c>
      <c r="C29" s="6" t="s">
        <v>1694</v>
      </c>
      <c r="D29" s="6" t="s">
        <v>19</v>
      </c>
      <c r="E29" s="6">
        <v>30604958640</v>
      </c>
      <c r="F29" s="18">
        <v>199617.83</v>
      </c>
      <c r="G29" s="18">
        <v>0</v>
      </c>
      <c r="H29" s="6">
        <v>0</v>
      </c>
      <c r="I29" s="6">
        <v>0</v>
      </c>
      <c r="J29" s="6">
        <v>0</v>
      </c>
      <c r="K29" s="6">
        <v>41919.74</v>
      </c>
      <c r="L29" s="6">
        <v>0</v>
      </c>
      <c r="M29" s="18">
        <v>0</v>
      </c>
      <c r="N29" s="18">
        <v>241537.57</v>
      </c>
    </row>
    <row r="30" spans="1:14">
      <c r="A30" s="4" t="s">
        <v>2074</v>
      </c>
      <c r="B30" s="5" t="s">
        <v>2098</v>
      </c>
      <c r="C30" s="6" t="s">
        <v>120</v>
      </c>
      <c r="D30" s="6" t="s">
        <v>19</v>
      </c>
      <c r="E30" s="6">
        <v>27182477368</v>
      </c>
      <c r="F30" s="18">
        <v>20661.16</v>
      </c>
      <c r="G30" s="18">
        <v>0</v>
      </c>
      <c r="H30" s="6">
        <v>0</v>
      </c>
      <c r="I30" s="6">
        <v>0</v>
      </c>
      <c r="J30" s="6">
        <v>0</v>
      </c>
      <c r="K30" s="6">
        <v>4338.84</v>
      </c>
      <c r="L30" s="6">
        <v>0</v>
      </c>
      <c r="M30" s="18">
        <v>0</v>
      </c>
      <c r="N30" s="18">
        <v>25000</v>
      </c>
    </row>
    <row r="31" spans="1:14">
      <c r="A31" s="4" t="s">
        <v>2074</v>
      </c>
      <c r="B31" s="5" t="s">
        <v>2099</v>
      </c>
      <c r="C31" s="6" t="s">
        <v>88</v>
      </c>
      <c r="D31" s="6" t="s">
        <v>19</v>
      </c>
      <c r="E31" s="6">
        <v>30711244383</v>
      </c>
      <c r="F31" s="18">
        <v>37366.120000000003</v>
      </c>
      <c r="G31" s="18">
        <v>0</v>
      </c>
      <c r="H31" s="6">
        <v>0</v>
      </c>
      <c r="I31" s="6">
        <v>0</v>
      </c>
      <c r="J31" s="6">
        <v>0</v>
      </c>
      <c r="K31" s="6">
        <v>7846.89</v>
      </c>
      <c r="L31" s="6">
        <v>0</v>
      </c>
      <c r="M31" s="18">
        <v>0</v>
      </c>
      <c r="N31" s="18">
        <v>45213.01</v>
      </c>
    </row>
    <row r="32" spans="1:14">
      <c r="A32" s="4" t="s">
        <v>2074</v>
      </c>
      <c r="B32" s="5" t="s">
        <v>2100</v>
      </c>
      <c r="C32" s="6" t="s">
        <v>90</v>
      </c>
      <c r="D32" s="6" t="s">
        <v>19</v>
      </c>
      <c r="E32" s="6">
        <v>30645337979</v>
      </c>
      <c r="F32" s="18">
        <v>81308.67</v>
      </c>
      <c r="G32" s="18">
        <v>0</v>
      </c>
      <c r="H32" s="6">
        <v>0</v>
      </c>
      <c r="I32" s="6">
        <v>0</v>
      </c>
      <c r="J32" s="6">
        <v>0</v>
      </c>
      <c r="K32" s="6">
        <v>17074.82</v>
      </c>
      <c r="L32" s="6">
        <v>0</v>
      </c>
      <c r="M32" s="18">
        <v>0</v>
      </c>
      <c r="N32" s="18">
        <v>98383.49</v>
      </c>
    </row>
    <row r="33" spans="1:14">
      <c r="A33" s="4" t="s">
        <v>2074</v>
      </c>
      <c r="B33" s="5" t="s">
        <v>2101</v>
      </c>
      <c r="C33" s="6" t="s">
        <v>92</v>
      </c>
      <c r="D33" s="6" t="s">
        <v>19</v>
      </c>
      <c r="E33" s="6">
        <v>30709016012</v>
      </c>
      <c r="F33" s="18">
        <v>93743.8</v>
      </c>
      <c r="G33" s="18">
        <v>0</v>
      </c>
      <c r="H33" s="6">
        <v>0</v>
      </c>
      <c r="I33" s="6">
        <v>0</v>
      </c>
      <c r="J33" s="6">
        <v>0</v>
      </c>
      <c r="K33" s="6">
        <v>19686.2</v>
      </c>
      <c r="L33" s="6">
        <v>0</v>
      </c>
      <c r="M33" s="18">
        <v>0</v>
      </c>
      <c r="N33" s="18">
        <v>113430</v>
      </c>
    </row>
    <row r="34" spans="1:14">
      <c r="A34" s="4" t="s">
        <v>2074</v>
      </c>
      <c r="B34" s="5" t="s">
        <v>2102</v>
      </c>
      <c r="C34" s="6" t="s">
        <v>36</v>
      </c>
      <c r="D34" s="6" t="s">
        <v>19</v>
      </c>
      <c r="E34" s="6">
        <v>30683032227</v>
      </c>
      <c r="F34" s="18">
        <v>55041.32</v>
      </c>
      <c r="G34" s="18">
        <v>0</v>
      </c>
      <c r="H34" s="6">
        <v>0</v>
      </c>
      <c r="I34" s="6">
        <v>0</v>
      </c>
      <c r="J34" s="6">
        <v>0</v>
      </c>
      <c r="K34" s="6">
        <v>11558.68</v>
      </c>
      <c r="L34" s="6">
        <v>0</v>
      </c>
      <c r="M34" s="18">
        <v>0</v>
      </c>
      <c r="N34" s="18">
        <v>66600</v>
      </c>
    </row>
    <row r="35" spans="1:14">
      <c r="A35" s="4" t="s">
        <v>2074</v>
      </c>
      <c r="B35" s="5" t="s">
        <v>2103</v>
      </c>
      <c r="C35" s="6" t="s">
        <v>84</v>
      </c>
      <c r="D35" s="6" t="s">
        <v>19</v>
      </c>
      <c r="E35" s="6">
        <v>30546771314</v>
      </c>
      <c r="F35" s="18">
        <v>100000</v>
      </c>
      <c r="G35" s="18">
        <v>0</v>
      </c>
      <c r="H35" s="6">
        <v>0</v>
      </c>
      <c r="I35" s="6">
        <v>0</v>
      </c>
      <c r="J35" s="6">
        <v>0</v>
      </c>
      <c r="K35" s="6">
        <v>21000</v>
      </c>
      <c r="L35" s="6">
        <v>0</v>
      </c>
      <c r="M35" s="18">
        <v>0</v>
      </c>
      <c r="N35" s="18">
        <v>121000</v>
      </c>
    </row>
    <row r="36" spans="1:14">
      <c r="A36" s="4" t="s">
        <v>2140</v>
      </c>
      <c r="B36" s="5" t="s">
        <v>2153</v>
      </c>
      <c r="C36" s="6" t="s">
        <v>45</v>
      </c>
      <c r="D36" s="6" t="s">
        <v>19</v>
      </c>
      <c r="E36" s="6">
        <v>30608716390</v>
      </c>
      <c r="F36" s="18">
        <v>38057.85</v>
      </c>
      <c r="G36" s="18">
        <v>0</v>
      </c>
      <c r="H36" s="6">
        <v>0</v>
      </c>
      <c r="I36" s="6">
        <v>0</v>
      </c>
      <c r="J36" s="6">
        <v>0</v>
      </c>
      <c r="K36" s="6">
        <v>7992.15</v>
      </c>
      <c r="L36" s="6">
        <v>0</v>
      </c>
      <c r="M36" s="18">
        <v>0</v>
      </c>
      <c r="N36" s="18">
        <v>46050</v>
      </c>
    </row>
    <row r="37" spans="1:14">
      <c r="A37" s="4" t="s">
        <v>2140</v>
      </c>
      <c r="B37" s="5" t="s">
        <v>2154</v>
      </c>
      <c r="C37" s="6" t="s">
        <v>45</v>
      </c>
      <c r="D37" s="6" t="s">
        <v>19</v>
      </c>
      <c r="E37" s="6">
        <v>30608716390</v>
      </c>
      <c r="F37" s="18">
        <v>64809.9</v>
      </c>
      <c r="G37" s="18">
        <v>0</v>
      </c>
      <c r="H37" s="6">
        <v>0</v>
      </c>
      <c r="I37" s="6">
        <v>0</v>
      </c>
      <c r="J37" s="6">
        <v>0</v>
      </c>
      <c r="K37" s="6">
        <v>13610.08</v>
      </c>
      <c r="L37" s="6">
        <v>0</v>
      </c>
      <c r="M37" s="18">
        <v>0</v>
      </c>
      <c r="N37" s="18">
        <v>78419.98</v>
      </c>
    </row>
    <row r="38" spans="1:14">
      <c r="A38" s="4" t="s">
        <v>2160</v>
      </c>
      <c r="B38" s="5" t="s">
        <v>2174</v>
      </c>
      <c r="C38" s="6" t="s">
        <v>45</v>
      </c>
      <c r="D38" s="6" t="s">
        <v>19</v>
      </c>
      <c r="E38" s="6">
        <v>30608716390</v>
      </c>
      <c r="F38" s="18">
        <v>128198.35</v>
      </c>
      <c r="G38" s="18">
        <v>0</v>
      </c>
      <c r="H38" s="6">
        <v>0</v>
      </c>
      <c r="I38" s="6">
        <v>0</v>
      </c>
      <c r="J38" s="6">
        <v>0</v>
      </c>
      <c r="K38" s="6">
        <v>26921.65</v>
      </c>
      <c r="L38" s="6">
        <v>0</v>
      </c>
      <c r="M38" s="18">
        <v>0</v>
      </c>
      <c r="N38" s="18">
        <v>155120</v>
      </c>
    </row>
    <row r="39" spans="1:14">
      <c r="A39" s="4" t="s">
        <v>2160</v>
      </c>
      <c r="B39" s="5" t="s">
        <v>2175</v>
      </c>
      <c r="C39" s="6" t="s">
        <v>45</v>
      </c>
      <c r="D39" s="6" t="s">
        <v>19</v>
      </c>
      <c r="E39" s="6">
        <v>30608716390</v>
      </c>
      <c r="F39" s="18">
        <v>12685.95</v>
      </c>
      <c r="G39" s="18">
        <v>0</v>
      </c>
      <c r="H39" s="6">
        <v>0</v>
      </c>
      <c r="I39" s="6">
        <v>0</v>
      </c>
      <c r="J39" s="6">
        <v>0</v>
      </c>
      <c r="K39" s="6">
        <v>2664.05</v>
      </c>
      <c r="L39" s="6">
        <v>0</v>
      </c>
      <c r="M39" s="18">
        <v>0</v>
      </c>
      <c r="N39" s="18">
        <v>15350</v>
      </c>
    </row>
    <row r="40" spans="1:14">
      <c r="A40" s="4" t="s">
        <v>2160</v>
      </c>
      <c r="B40" s="5" t="s">
        <v>2176</v>
      </c>
      <c r="C40" s="6" t="s">
        <v>45</v>
      </c>
      <c r="D40" s="6" t="s">
        <v>19</v>
      </c>
      <c r="E40" s="6">
        <v>30608716390</v>
      </c>
      <c r="F40" s="18">
        <v>6342.98</v>
      </c>
      <c r="G40" s="18">
        <v>0</v>
      </c>
      <c r="H40" s="6">
        <v>0</v>
      </c>
      <c r="I40" s="6">
        <v>0</v>
      </c>
      <c r="J40" s="6">
        <v>0</v>
      </c>
      <c r="K40" s="6">
        <v>1332.03</v>
      </c>
      <c r="L40" s="6">
        <v>0</v>
      </c>
      <c r="M40" s="18">
        <v>0</v>
      </c>
      <c r="N40" s="18">
        <v>7675.01</v>
      </c>
    </row>
    <row r="41" spans="1:14">
      <c r="A41" s="4" t="s">
        <v>2160</v>
      </c>
      <c r="B41" s="5" t="s">
        <v>2177</v>
      </c>
      <c r="C41" s="6" t="s">
        <v>45</v>
      </c>
      <c r="D41" s="6" t="s">
        <v>19</v>
      </c>
      <c r="E41" s="6">
        <v>30608716390</v>
      </c>
      <c r="F41" s="18">
        <v>21231.41</v>
      </c>
      <c r="G41" s="18">
        <v>0</v>
      </c>
      <c r="H41" s="6">
        <v>0</v>
      </c>
      <c r="I41" s="6">
        <v>0</v>
      </c>
      <c r="J41" s="6">
        <v>0</v>
      </c>
      <c r="K41" s="6">
        <v>4458.6000000000004</v>
      </c>
      <c r="L41" s="6">
        <v>0</v>
      </c>
      <c r="M41" s="18">
        <v>0</v>
      </c>
      <c r="N41" s="18">
        <v>25690.01</v>
      </c>
    </row>
    <row r="42" spans="1:14">
      <c r="A42" s="4" t="s">
        <v>2160</v>
      </c>
      <c r="B42" s="5" t="s">
        <v>2178</v>
      </c>
      <c r="C42" s="6" t="s">
        <v>45</v>
      </c>
      <c r="D42" s="6" t="s">
        <v>19</v>
      </c>
      <c r="E42" s="6">
        <v>30608716390</v>
      </c>
      <c r="F42" s="18">
        <v>5400.83</v>
      </c>
      <c r="G42" s="18">
        <v>0</v>
      </c>
      <c r="H42" s="6">
        <v>0</v>
      </c>
      <c r="I42" s="6">
        <v>0</v>
      </c>
      <c r="J42" s="6">
        <v>0</v>
      </c>
      <c r="K42" s="6">
        <v>1134.17</v>
      </c>
      <c r="L42" s="6">
        <v>0</v>
      </c>
      <c r="M42" s="18">
        <v>0</v>
      </c>
      <c r="N42" s="18">
        <v>6535</v>
      </c>
    </row>
    <row r="43" spans="1:14">
      <c r="A43" s="4" t="s">
        <v>2160</v>
      </c>
      <c r="B43" s="5" t="s">
        <v>2179</v>
      </c>
      <c r="C43" s="6" t="s">
        <v>45</v>
      </c>
      <c r="D43" s="6" t="s">
        <v>19</v>
      </c>
      <c r="E43" s="6">
        <v>30608716390</v>
      </c>
      <c r="F43" s="18">
        <v>12685.95</v>
      </c>
      <c r="G43" s="18">
        <v>0</v>
      </c>
      <c r="H43" s="6">
        <v>0</v>
      </c>
      <c r="I43" s="6">
        <v>0</v>
      </c>
      <c r="J43" s="6">
        <v>0</v>
      </c>
      <c r="K43" s="6">
        <v>2664.05</v>
      </c>
      <c r="L43" s="6">
        <v>0</v>
      </c>
      <c r="M43" s="18">
        <v>0</v>
      </c>
      <c r="N43" s="18">
        <v>15350</v>
      </c>
    </row>
    <row r="44" spans="1:14">
      <c r="A44" s="4" t="s">
        <v>2160</v>
      </c>
      <c r="B44" s="5" t="s">
        <v>2180</v>
      </c>
      <c r="C44" s="6" t="s">
        <v>45</v>
      </c>
      <c r="D44" s="6" t="s">
        <v>19</v>
      </c>
      <c r="E44" s="6">
        <v>30608716390</v>
      </c>
      <c r="F44" s="18">
        <v>31000</v>
      </c>
      <c r="G44" s="18">
        <v>0</v>
      </c>
      <c r="H44" s="6">
        <v>0</v>
      </c>
      <c r="I44" s="6">
        <v>0</v>
      </c>
      <c r="J44" s="6">
        <v>0</v>
      </c>
      <c r="K44" s="6">
        <v>6510</v>
      </c>
      <c r="L44" s="6">
        <v>0</v>
      </c>
      <c r="M44" s="18">
        <v>0</v>
      </c>
      <c r="N44" s="18">
        <v>37510</v>
      </c>
    </row>
    <row r="45" spans="1:14">
      <c r="A45" s="4" t="s">
        <v>2160</v>
      </c>
      <c r="B45" s="5" t="s">
        <v>2181</v>
      </c>
      <c r="C45" s="6" t="s">
        <v>45</v>
      </c>
      <c r="D45" s="6" t="s">
        <v>19</v>
      </c>
      <c r="E45" s="6">
        <v>30608716390</v>
      </c>
      <c r="F45" s="18">
        <v>42462.81</v>
      </c>
      <c r="G45" s="18">
        <v>0</v>
      </c>
      <c r="H45" s="6">
        <v>0</v>
      </c>
      <c r="I45" s="6">
        <v>0</v>
      </c>
      <c r="J45" s="6">
        <v>0</v>
      </c>
      <c r="K45" s="6">
        <v>8917.19</v>
      </c>
      <c r="L45" s="6">
        <v>0</v>
      </c>
      <c r="M45" s="18">
        <v>0</v>
      </c>
      <c r="N45" s="18">
        <v>51380</v>
      </c>
    </row>
    <row r="46" spans="1:14">
      <c r="A46" s="4" t="s">
        <v>2160</v>
      </c>
      <c r="B46" s="5" t="s">
        <v>2182</v>
      </c>
      <c r="C46" s="6" t="s">
        <v>45</v>
      </c>
      <c r="D46" s="6" t="s">
        <v>19</v>
      </c>
      <c r="E46" s="6">
        <v>30608716390</v>
      </c>
      <c r="F46" s="18">
        <v>12685.95</v>
      </c>
      <c r="G46" s="18">
        <v>0</v>
      </c>
      <c r="H46" s="6">
        <v>0</v>
      </c>
      <c r="I46" s="6">
        <v>0</v>
      </c>
      <c r="J46" s="6">
        <v>0</v>
      </c>
      <c r="K46" s="6">
        <v>2664.05</v>
      </c>
      <c r="L46" s="6">
        <v>0</v>
      </c>
      <c r="M46" s="18">
        <v>0</v>
      </c>
      <c r="N46" s="18">
        <v>15350</v>
      </c>
    </row>
    <row r="47" spans="1:14">
      <c r="A47" s="4" t="s">
        <v>2160</v>
      </c>
      <c r="B47" s="5" t="s">
        <v>2183</v>
      </c>
      <c r="C47" s="6" t="s">
        <v>45</v>
      </c>
      <c r="D47" s="6" t="s">
        <v>19</v>
      </c>
      <c r="E47" s="6">
        <v>30608716390</v>
      </c>
      <c r="F47" s="18">
        <v>12685.95</v>
      </c>
      <c r="G47" s="18">
        <v>0</v>
      </c>
      <c r="H47" s="6">
        <v>0</v>
      </c>
      <c r="I47" s="6">
        <v>0</v>
      </c>
      <c r="J47" s="6">
        <v>0</v>
      </c>
      <c r="K47" s="6">
        <v>2664.05</v>
      </c>
      <c r="L47" s="6">
        <v>0</v>
      </c>
      <c r="M47" s="18">
        <v>0</v>
      </c>
      <c r="N47" s="18">
        <v>15350</v>
      </c>
    </row>
    <row r="48" spans="1:14">
      <c r="A48" s="4" t="s">
        <v>2160</v>
      </c>
      <c r="B48" s="5" t="s">
        <v>2184</v>
      </c>
      <c r="C48" s="6" t="s">
        <v>45</v>
      </c>
      <c r="D48" s="6" t="s">
        <v>19</v>
      </c>
      <c r="E48" s="6">
        <v>30608716390</v>
      </c>
      <c r="F48" s="18">
        <v>10801.65</v>
      </c>
      <c r="G48" s="18">
        <v>0</v>
      </c>
      <c r="H48" s="6">
        <v>0</v>
      </c>
      <c r="I48" s="6">
        <v>0</v>
      </c>
      <c r="J48" s="6">
        <v>0</v>
      </c>
      <c r="K48" s="6">
        <v>2268.35</v>
      </c>
      <c r="L48" s="6">
        <v>0</v>
      </c>
      <c r="M48" s="18">
        <v>0</v>
      </c>
      <c r="N48" s="18">
        <v>13070</v>
      </c>
    </row>
    <row r="49" spans="1:14">
      <c r="A49" s="4" t="s">
        <v>2160</v>
      </c>
      <c r="B49" s="5" t="s">
        <v>2185</v>
      </c>
      <c r="C49" s="6" t="s">
        <v>45</v>
      </c>
      <c r="D49" s="6" t="s">
        <v>19</v>
      </c>
      <c r="E49" s="6">
        <v>30608716390</v>
      </c>
      <c r="F49" s="18">
        <v>41801.65</v>
      </c>
      <c r="G49" s="18">
        <v>0</v>
      </c>
      <c r="H49" s="6">
        <v>0</v>
      </c>
      <c r="I49" s="6">
        <v>0</v>
      </c>
      <c r="J49" s="6">
        <v>0</v>
      </c>
      <c r="K49" s="6">
        <v>8778.35</v>
      </c>
      <c r="L49" s="6">
        <v>0</v>
      </c>
      <c r="M49" s="18">
        <v>0</v>
      </c>
      <c r="N49" s="18">
        <v>50580</v>
      </c>
    </row>
    <row r="50" spans="1:14">
      <c r="A50" s="4" t="s">
        <v>2160</v>
      </c>
      <c r="B50" s="5" t="s">
        <v>2186</v>
      </c>
      <c r="C50" s="6" t="s">
        <v>45</v>
      </c>
      <c r="D50" s="6" t="s">
        <v>19</v>
      </c>
      <c r="E50" s="6">
        <v>30608716390</v>
      </c>
      <c r="F50" s="18">
        <v>12685.95</v>
      </c>
      <c r="G50" s="18">
        <v>0</v>
      </c>
      <c r="H50" s="6">
        <v>0</v>
      </c>
      <c r="I50" s="6">
        <v>0</v>
      </c>
      <c r="J50" s="6">
        <v>0</v>
      </c>
      <c r="K50" s="6">
        <v>2664.05</v>
      </c>
      <c r="L50" s="6">
        <v>0</v>
      </c>
      <c r="M50" s="18">
        <v>0</v>
      </c>
      <c r="N50" s="18">
        <v>15350</v>
      </c>
    </row>
    <row r="51" spans="1:14">
      <c r="A51" s="4" t="s">
        <v>2188</v>
      </c>
      <c r="B51" s="5" t="s">
        <v>2206</v>
      </c>
      <c r="C51" s="6" t="s">
        <v>1932</v>
      </c>
      <c r="D51" s="6" t="s">
        <v>19</v>
      </c>
      <c r="E51" s="6">
        <v>30522428163</v>
      </c>
      <c r="F51" s="18">
        <v>899173.55</v>
      </c>
      <c r="G51" s="18">
        <v>0</v>
      </c>
      <c r="H51" s="6">
        <v>0</v>
      </c>
      <c r="I51" s="6">
        <v>0</v>
      </c>
      <c r="J51" s="6">
        <v>0</v>
      </c>
      <c r="K51" s="6">
        <v>188826.45</v>
      </c>
      <c r="L51" s="6">
        <v>0</v>
      </c>
      <c r="M51" s="18">
        <v>0</v>
      </c>
      <c r="N51" s="18">
        <v>1088000</v>
      </c>
    </row>
    <row r="52" spans="1:14">
      <c r="A52" s="4" t="s">
        <v>2209</v>
      </c>
      <c r="B52" s="5" t="s">
        <v>2223</v>
      </c>
      <c r="C52" s="6" t="s">
        <v>2224</v>
      </c>
      <c r="D52" s="6" t="s">
        <v>19</v>
      </c>
      <c r="E52" s="6">
        <v>27940043749</v>
      </c>
      <c r="F52" s="18">
        <v>208512.4</v>
      </c>
      <c r="G52" s="18">
        <v>0</v>
      </c>
      <c r="H52" s="6">
        <v>0</v>
      </c>
      <c r="I52" s="6">
        <v>0</v>
      </c>
      <c r="J52" s="6">
        <v>0</v>
      </c>
      <c r="K52" s="6">
        <v>43787.6</v>
      </c>
      <c r="L52" s="6">
        <v>0</v>
      </c>
      <c r="M52" s="18">
        <v>0</v>
      </c>
      <c r="N52" s="18">
        <v>252300</v>
      </c>
    </row>
    <row r="53" spans="1:14">
      <c r="A53" s="4" t="s">
        <v>2074</v>
      </c>
      <c r="B53" s="5" t="s">
        <v>2095</v>
      </c>
      <c r="C53" s="6" t="s">
        <v>1932</v>
      </c>
      <c r="D53" s="6" t="s">
        <v>19</v>
      </c>
      <c r="E53" s="6">
        <v>30522428163</v>
      </c>
      <c r="F53" s="18">
        <v>-659611.21</v>
      </c>
      <c r="G53" s="18">
        <v>0</v>
      </c>
      <c r="H53" s="6">
        <v>0</v>
      </c>
      <c r="I53" s="6">
        <v>0</v>
      </c>
      <c r="J53" s="6">
        <v>0</v>
      </c>
      <c r="K53" s="6">
        <v>-138518.35</v>
      </c>
      <c r="L53" s="6">
        <v>0</v>
      </c>
      <c r="M53" s="18">
        <v>0</v>
      </c>
      <c r="N53" s="18">
        <v>-798129.56</v>
      </c>
    </row>
    <row r="54" spans="1:14">
      <c r="A54" s="4" t="s">
        <v>2074</v>
      </c>
      <c r="B54" s="5" t="s">
        <v>2096</v>
      </c>
      <c r="C54" s="6" t="s">
        <v>1932</v>
      </c>
      <c r="D54" s="6" t="s">
        <v>19</v>
      </c>
      <c r="E54" s="6">
        <v>30522428163</v>
      </c>
      <c r="F54" s="18">
        <v>-1104280.51</v>
      </c>
      <c r="G54" s="18">
        <v>0</v>
      </c>
      <c r="H54" s="6">
        <v>0</v>
      </c>
      <c r="I54" s="6">
        <v>0</v>
      </c>
      <c r="J54" s="6">
        <v>0</v>
      </c>
      <c r="K54" s="6">
        <v>-231898.91</v>
      </c>
      <c r="L54" s="6">
        <v>0</v>
      </c>
      <c r="M54" s="18">
        <v>0</v>
      </c>
      <c r="N54" s="18">
        <v>-1336179.42</v>
      </c>
    </row>
    <row r="55" spans="1:14" hidden="1">
      <c r="A55" s="4" t="s">
        <v>1866</v>
      </c>
      <c r="B55" s="5" t="s">
        <v>1867</v>
      </c>
      <c r="C55" s="6" t="s">
        <v>134</v>
      </c>
      <c r="D55" s="6" t="s">
        <v>135</v>
      </c>
      <c r="E55" s="6" t="s">
        <v>136</v>
      </c>
      <c r="F55" s="18">
        <v>11735.54</v>
      </c>
      <c r="G55" s="18">
        <v>0</v>
      </c>
      <c r="H55" s="6">
        <v>0</v>
      </c>
      <c r="I55" s="6">
        <v>0</v>
      </c>
      <c r="J55" s="6">
        <v>0</v>
      </c>
      <c r="K55" s="6">
        <v>2464.46</v>
      </c>
      <c r="L55" s="6">
        <v>0</v>
      </c>
      <c r="M55" s="18">
        <v>0</v>
      </c>
      <c r="N55" s="18">
        <v>14200</v>
      </c>
    </row>
    <row r="56" spans="1:14" hidden="1">
      <c r="A56" s="4" t="s">
        <v>1866</v>
      </c>
      <c r="B56" s="5" t="s">
        <v>1868</v>
      </c>
      <c r="C56" s="6" t="s">
        <v>134</v>
      </c>
      <c r="D56" s="6" t="s">
        <v>135</v>
      </c>
      <c r="E56" s="6" t="s">
        <v>136</v>
      </c>
      <c r="F56" s="18">
        <v>21487.599999999999</v>
      </c>
      <c r="G56" s="18">
        <v>0</v>
      </c>
      <c r="H56" s="6">
        <v>0</v>
      </c>
      <c r="I56" s="6">
        <v>0</v>
      </c>
      <c r="J56" s="6">
        <v>0</v>
      </c>
      <c r="K56" s="6">
        <v>4512.4000000000005</v>
      </c>
      <c r="L56" s="6">
        <v>0</v>
      </c>
      <c r="M56" s="18">
        <v>0</v>
      </c>
      <c r="N56" s="18">
        <v>26000</v>
      </c>
    </row>
    <row r="57" spans="1:14" hidden="1">
      <c r="A57" s="4" t="s">
        <v>1866</v>
      </c>
      <c r="B57" s="5" t="s">
        <v>1869</v>
      </c>
      <c r="C57" s="6" t="s">
        <v>134</v>
      </c>
      <c r="D57" s="6" t="s">
        <v>135</v>
      </c>
      <c r="E57" s="6" t="s">
        <v>136</v>
      </c>
      <c r="F57" s="18">
        <v>31239.67</v>
      </c>
      <c r="G57" s="18">
        <v>0</v>
      </c>
      <c r="H57" s="6">
        <v>0</v>
      </c>
      <c r="I57" s="6">
        <v>0</v>
      </c>
      <c r="J57" s="6">
        <v>0</v>
      </c>
      <c r="K57" s="6">
        <v>6560.33</v>
      </c>
      <c r="L57" s="6">
        <v>0</v>
      </c>
      <c r="M57" s="18">
        <v>0</v>
      </c>
      <c r="N57" s="18">
        <v>37800</v>
      </c>
    </row>
    <row r="58" spans="1:14" hidden="1">
      <c r="A58" s="4" t="s">
        <v>1866</v>
      </c>
      <c r="B58" s="5" t="s">
        <v>1870</v>
      </c>
      <c r="C58" s="6" t="s">
        <v>134</v>
      </c>
      <c r="D58" s="6" t="s">
        <v>135</v>
      </c>
      <c r="E58" s="6" t="s">
        <v>136</v>
      </c>
      <c r="F58" s="18">
        <v>37107.440000000002</v>
      </c>
      <c r="G58" s="18">
        <v>0</v>
      </c>
      <c r="H58" s="6">
        <v>0</v>
      </c>
      <c r="I58" s="6">
        <v>0</v>
      </c>
      <c r="J58" s="6">
        <v>0</v>
      </c>
      <c r="K58" s="6">
        <v>7792.56</v>
      </c>
      <c r="L58" s="6">
        <v>0</v>
      </c>
      <c r="M58" s="18">
        <v>0</v>
      </c>
      <c r="N58" s="18">
        <v>44900</v>
      </c>
    </row>
    <row r="59" spans="1:14" hidden="1">
      <c r="A59" s="4" t="s">
        <v>1866</v>
      </c>
      <c r="B59" s="5" t="s">
        <v>1871</v>
      </c>
      <c r="C59" s="6" t="s">
        <v>134</v>
      </c>
      <c r="D59" s="6" t="s">
        <v>135</v>
      </c>
      <c r="E59" s="6" t="s">
        <v>136</v>
      </c>
      <c r="F59" s="18">
        <v>21404.959999999999</v>
      </c>
      <c r="G59" s="18">
        <v>0</v>
      </c>
      <c r="H59" s="6">
        <v>0</v>
      </c>
      <c r="I59" s="6">
        <v>0</v>
      </c>
      <c r="J59" s="6">
        <v>0</v>
      </c>
      <c r="K59" s="6">
        <v>4495.04</v>
      </c>
      <c r="L59" s="6">
        <v>0</v>
      </c>
      <c r="M59" s="18">
        <v>0</v>
      </c>
      <c r="N59" s="18">
        <v>25900</v>
      </c>
    </row>
    <row r="60" spans="1:14" hidden="1">
      <c r="A60" s="4" t="s">
        <v>1866</v>
      </c>
      <c r="B60" s="5" t="s">
        <v>1872</v>
      </c>
      <c r="C60" s="6" t="s">
        <v>134</v>
      </c>
      <c r="D60" s="6" t="s">
        <v>135</v>
      </c>
      <c r="E60" s="6" t="s">
        <v>136</v>
      </c>
      <c r="F60" s="18">
        <v>92975.21</v>
      </c>
      <c r="G60" s="18">
        <v>0</v>
      </c>
      <c r="H60" s="6">
        <v>0</v>
      </c>
      <c r="I60" s="6">
        <v>0</v>
      </c>
      <c r="J60" s="6">
        <v>0</v>
      </c>
      <c r="K60" s="6">
        <v>19524.79</v>
      </c>
      <c r="L60" s="6">
        <v>0</v>
      </c>
      <c r="M60" s="18">
        <v>0</v>
      </c>
      <c r="N60" s="18">
        <v>112500</v>
      </c>
    </row>
    <row r="61" spans="1:14" hidden="1">
      <c r="A61" s="4" t="s">
        <v>1866</v>
      </c>
      <c r="B61" s="5" t="s">
        <v>1873</v>
      </c>
      <c r="C61" s="6" t="s">
        <v>134</v>
      </c>
      <c r="D61" s="6" t="s">
        <v>135</v>
      </c>
      <c r="E61" s="6" t="s">
        <v>136</v>
      </c>
      <c r="F61" s="18">
        <v>14669.42</v>
      </c>
      <c r="G61" s="18">
        <v>0</v>
      </c>
      <c r="H61" s="6">
        <v>0</v>
      </c>
      <c r="I61" s="6">
        <v>0</v>
      </c>
      <c r="J61" s="6">
        <v>0</v>
      </c>
      <c r="K61" s="6">
        <v>3080.58</v>
      </c>
      <c r="L61" s="6">
        <v>0</v>
      </c>
      <c r="M61" s="18">
        <v>0</v>
      </c>
      <c r="N61" s="18">
        <v>17750</v>
      </c>
    </row>
    <row r="62" spans="1:14" hidden="1">
      <c r="A62" s="4" t="s">
        <v>1866</v>
      </c>
      <c r="B62" s="5" t="s">
        <v>1874</v>
      </c>
      <c r="C62" s="6" t="s">
        <v>134</v>
      </c>
      <c r="D62" s="6" t="s">
        <v>135</v>
      </c>
      <c r="E62" s="6" t="s">
        <v>136</v>
      </c>
      <c r="F62" s="18">
        <v>10743.8</v>
      </c>
      <c r="G62" s="18">
        <v>0</v>
      </c>
      <c r="H62" s="6">
        <v>0</v>
      </c>
      <c r="I62" s="6">
        <v>0</v>
      </c>
      <c r="J62" s="6">
        <v>0</v>
      </c>
      <c r="K62" s="6">
        <v>2256.2000000000003</v>
      </c>
      <c r="L62" s="6">
        <v>0</v>
      </c>
      <c r="M62" s="18">
        <v>0</v>
      </c>
      <c r="N62" s="18">
        <v>13000</v>
      </c>
    </row>
    <row r="63" spans="1:14" hidden="1">
      <c r="A63" s="4" t="s">
        <v>1866</v>
      </c>
      <c r="B63" s="5" t="s">
        <v>1875</v>
      </c>
      <c r="C63" s="6" t="s">
        <v>134</v>
      </c>
      <c r="D63" s="6" t="s">
        <v>135</v>
      </c>
      <c r="E63" s="6" t="s">
        <v>136</v>
      </c>
      <c r="F63" s="18">
        <v>11487.6</v>
      </c>
      <c r="G63" s="18">
        <v>0</v>
      </c>
      <c r="H63" s="6">
        <v>0</v>
      </c>
      <c r="I63" s="6">
        <v>0</v>
      </c>
      <c r="J63" s="6">
        <v>0</v>
      </c>
      <c r="K63" s="6">
        <v>2412.4</v>
      </c>
      <c r="L63" s="6">
        <v>0</v>
      </c>
      <c r="M63" s="18">
        <v>0</v>
      </c>
      <c r="N63" s="18">
        <v>13900</v>
      </c>
    </row>
    <row r="64" spans="1:14" hidden="1">
      <c r="A64" s="4" t="s">
        <v>1866</v>
      </c>
      <c r="B64" s="5" t="s">
        <v>1876</v>
      </c>
      <c r="C64" s="6" t="s">
        <v>134</v>
      </c>
      <c r="D64" s="6" t="s">
        <v>135</v>
      </c>
      <c r="E64" s="6" t="s">
        <v>136</v>
      </c>
      <c r="F64" s="18">
        <v>26528.93</v>
      </c>
      <c r="G64" s="18">
        <v>0</v>
      </c>
      <c r="H64" s="6">
        <v>0</v>
      </c>
      <c r="I64" s="6">
        <v>0</v>
      </c>
      <c r="J64" s="6">
        <v>0</v>
      </c>
      <c r="K64" s="6">
        <v>5571.07</v>
      </c>
      <c r="L64" s="6">
        <v>0</v>
      </c>
      <c r="M64" s="18">
        <v>0</v>
      </c>
      <c r="N64" s="18">
        <v>32100</v>
      </c>
    </row>
    <row r="65" spans="1:14" hidden="1">
      <c r="A65" s="4" t="s">
        <v>1866</v>
      </c>
      <c r="B65" s="5" t="s">
        <v>1877</v>
      </c>
      <c r="C65" s="6" t="s">
        <v>134</v>
      </c>
      <c r="D65" s="6" t="s">
        <v>135</v>
      </c>
      <c r="E65" s="6" t="s">
        <v>136</v>
      </c>
      <c r="F65" s="18">
        <v>10743.8</v>
      </c>
      <c r="G65" s="18">
        <v>0</v>
      </c>
      <c r="H65" s="6">
        <v>0</v>
      </c>
      <c r="I65" s="6">
        <v>0</v>
      </c>
      <c r="J65" s="6">
        <v>0</v>
      </c>
      <c r="K65" s="6">
        <v>2256.2000000000003</v>
      </c>
      <c r="L65" s="6">
        <v>0</v>
      </c>
      <c r="M65" s="18">
        <v>0</v>
      </c>
      <c r="N65" s="18">
        <v>13000</v>
      </c>
    </row>
    <row r="66" spans="1:14">
      <c r="A66" s="4" t="s">
        <v>1879</v>
      </c>
      <c r="B66" s="5" t="s">
        <v>1882</v>
      </c>
      <c r="C66" s="6" t="s">
        <v>1883</v>
      </c>
      <c r="D66" s="6" t="s">
        <v>135</v>
      </c>
      <c r="E66" s="6">
        <v>13773347</v>
      </c>
      <c r="F66" s="18">
        <v>25619.83</v>
      </c>
      <c r="G66" s="18">
        <v>0</v>
      </c>
      <c r="H66" s="6">
        <v>0</v>
      </c>
      <c r="I66" s="6">
        <v>0</v>
      </c>
      <c r="J66" s="6">
        <v>0</v>
      </c>
      <c r="K66" s="6">
        <v>5380.17</v>
      </c>
      <c r="L66" s="6">
        <v>0</v>
      </c>
      <c r="M66" s="18">
        <v>0</v>
      </c>
      <c r="N66" s="18">
        <v>31000</v>
      </c>
    </row>
    <row r="67" spans="1:14" hidden="1">
      <c r="A67" s="4" t="s">
        <v>1879</v>
      </c>
      <c r="B67" s="5" t="s">
        <v>1884</v>
      </c>
      <c r="C67" s="6" t="s">
        <v>134</v>
      </c>
      <c r="D67" s="6" t="s">
        <v>135</v>
      </c>
      <c r="E67" s="6" t="s">
        <v>136</v>
      </c>
      <c r="F67" s="18">
        <v>10743.8</v>
      </c>
      <c r="G67" s="18">
        <v>0</v>
      </c>
      <c r="H67" s="6">
        <v>0</v>
      </c>
      <c r="I67" s="6">
        <v>0</v>
      </c>
      <c r="J67" s="6">
        <v>0</v>
      </c>
      <c r="K67" s="6">
        <v>2256.2000000000003</v>
      </c>
      <c r="L67" s="6">
        <v>0</v>
      </c>
      <c r="M67" s="18">
        <v>0</v>
      </c>
      <c r="N67" s="18">
        <v>13000</v>
      </c>
    </row>
    <row r="68" spans="1:14" hidden="1">
      <c r="A68" s="4" t="s">
        <v>1879</v>
      </c>
      <c r="B68" s="5" t="s">
        <v>1885</v>
      </c>
      <c r="C68" s="6" t="s">
        <v>134</v>
      </c>
      <c r="D68" s="6" t="s">
        <v>135</v>
      </c>
      <c r="E68" s="6" t="s">
        <v>136</v>
      </c>
      <c r="F68" s="18">
        <v>10661.16</v>
      </c>
      <c r="G68" s="18">
        <v>0</v>
      </c>
      <c r="H68" s="6">
        <v>0</v>
      </c>
      <c r="I68" s="6">
        <v>0</v>
      </c>
      <c r="J68" s="6">
        <v>0</v>
      </c>
      <c r="K68" s="6">
        <v>2238.84</v>
      </c>
      <c r="L68" s="6">
        <v>0</v>
      </c>
      <c r="M68" s="18">
        <v>0</v>
      </c>
      <c r="N68" s="18">
        <v>12900</v>
      </c>
    </row>
    <row r="69" spans="1:14" hidden="1">
      <c r="A69" s="4" t="s">
        <v>1879</v>
      </c>
      <c r="B69" s="5" t="s">
        <v>1886</v>
      </c>
      <c r="C69" s="6" t="s">
        <v>134</v>
      </c>
      <c r="D69" s="6" t="s">
        <v>135</v>
      </c>
      <c r="E69" s="6" t="s">
        <v>136</v>
      </c>
      <c r="F69" s="18">
        <v>14876.03</v>
      </c>
      <c r="G69" s="18">
        <v>0</v>
      </c>
      <c r="H69" s="6">
        <v>0</v>
      </c>
      <c r="I69" s="6">
        <v>0</v>
      </c>
      <c r="J69" s="6">
        <v>0</v>
      </c>
      <c r="K69" s="6">
        <v>3123.97</v>
      </c>
      <c r="L69" s="6">
        <v>0</v>
      </c>
      <c r="M69" s="18">
        <v>0</v>
      </c>
      <c r="N69" s="18">
        <v>18000</v>
      </c>
    </row>
    <row r="70" spans="1:14" hidden="1">
      <c r="A70" s="4" t="s">
        <v>1879</v>
      </c>
      <c r="B70" s="5" t="s">
        <v>1887</v>
      </c>
      <c r="C70" s="6" t="s">
        <v>134</v>
      </c>
      <c r="D70" s="6" t="s">
        <v>135</v>
      </c>
      <c r="E70" s="6" t="s">
        <v>136</v>
      </c>
      <c r="F70" s="18">
        <v>29752.07</v>
      </c>
      <c r="G70" s="18">
        <v>0</v>
      </c>
      <c r="H70" s="6">
        <v>0</v>
      </c>
      <c r="I70" s="6">
        <v>0</v>
      </c>
      <c r="J70" s="6">
        <v>0</v>
      </c>
      <c r="K70" s="6">
        <v>6247.93</v>
      </c>
      <c r="L70" s="6">
        <v>0</v>
      </c>
      <c r="M70" s="18">
        <v>0</v>
      </c>
      <c r="N70" s="18">
        <v>36000</v>
      </c>
    </row>
    <row r="71" spans="1:14" hidden="1">
      <c r="A71" s="4" t="s">
        <v>1879</v>
      </c>
      <c r="B71" s="5" t="s">
        <v>1888</v>
      </c>
      <c r="C71" s="6" t="s">
        <v>134</v>
      </c>
      <c r="D71" s="6" t="s">
        <v>135</v>
      </c>
      <c r="E71" s="6" t="s">
        <v>136</v>
      </c>
      <c r="F71" s="18">
        <v>21404.959999999999</v>
      </c>
      <c r="G71" s="18">
        <v>0</v>
      </c>
      <c r="H71" s="6">
        <v>0</v>
      </c>
      <c r="I71" s="6">
        <v>0</v>
      </c>
      <c r="J71" s="6">
        <v>0</v>
      </c>
      <c r="K71" s="6">
        <v>4495.04</v>
      </c>
      <c r="L71" s="6">
        <v>0</v>
      </c>
      <c r="M71" s="18">
        <v>0</v>
      </c>
      <c r="N71" s="18">
        <v>25900</v>
      </c>
    </row>
    <row r="72" spans="1:14" hidden="1">
      <c r="A72" s="4" t="s">
        <v>1879</v>
      </c>
      <c r="B72" s="5" t="s">
        <v>1889</v>
      </c>
      <c r="C72" s="6" t="s">
        <v>134</v>
      </c>
      <c r="D72" s="6" t="s">
        <v>135</v>
      </c>
      <c r="E72" s="6" t="s">
        <v>136</v>
      </c>
      <c r="F72" s="18">
        <v>9917.36</v>
      </c>
      <c r="G72" s="18">
        <v>0</v>
      </c>
      <c r="H72" s="6">
        <v>0</v>
      </c>
      <c r="I72" s="6">
        <v>0</v>
      </c>
      <c r="J72" s="6">
        <v>0</v>
      </c>
      <c r="K72" s="6">
        <v>2082.64</v>
      </c>
      <c r="L72" s="6">
        <v>0</v>
      </c>
      <c r="M72" s="18">
        <v>0</v>
      </c>
      <c r="N72" s="18">
        <v>12000</v>
      </c>
    </row>
    <row r="73" spans="1:14">
      <c r="A73" s="4" t="s">
        <v>1879</v>
      </c>
      <c r="B73" s="5" t="s">
        <v>1890</v>
      </c>
      <c r="C73" s="6" t="s">
        <v>1881</v>
      </c>
      <c r="D73" s="6" t="s">
        <v>135</v>
      </c>
      <c r="E73" s="6">
        <v>95840377</v>
      </c>
      <c r="F73" s="18">
        <v>9917.36</v>
      </c>
      <c r="G73" s="18">
        <v>0</v>
      </c>
      <c r="H73" s="6">
        <v>0</v>
      </c>
      <c r="I73" s="6">
        <v>0</v>
      </c>
      <c r="J73" s="6">
        <v>0</v>
      </c>
      <c r="K73" s="6">
        <v>2082.64</v>
      </c>
      <c r="L73" s="6">
        <v>0</v>
      </c>
      <c r="M73" s="18">
        <v>0</v>
      </c>
      <c r="N73" s="18">
        <v>12000</v>
      </c>
    </row>
    <row r="74" spans="1:14" hidden="1">
      <c r="A74" s="4" t="s">
        <v>1879</v>
      </c>
      <c r="B74" s="5" t="s">
        <v>1891</v>
      </c>
      <c r="C74" s="6" t="s">
        <v>134</v>
      </c>
      <c r="D74" s="6" t="s">
        <v>135</v>
      </c>
      <c r="E74" s="6" t="s">
        <v>136</v>
      </c>
      <c r="F74" s="18">
        <v>3099.17</v>
      </c>
      <c r="G74" s="18">
        <v>0</v>
      </c>
      <c r="H74" s="6">
        <v>0</v>
      </c>
      <c r="I74" s="6">
        <v>0</v>
      </c>
      <c r="J74" s="6">
        <v>0</v>
      </c>
      <c r="K74" s="6">
        <v>650.83000000000004</v>
      </c>
      <c r="L74" s="6">
        <v>0</v>
      </c>
      <c r="M74" s="18">
        <v>0</v>
      </c>
      <c r="N74" s="18">
        <v>3750</v>
      </c>
    </row>
    <row r="75" spans="1:14" hidden="1">
      <c r="A75" s="4" t="s">
        <v>1879</v>
      </c>
      <c r="B75" s="5" t="s">
        <v>1892</v>
      </c>
      <c r="C75" s="6" t="s">
        <v>134</v>
      </c>
      <c r="D75" s="6" t="s">
        <v>135</v>
      </c>
      <c r="E75" s="6" t="s">
        <v>136</v>
      </c>
      <c r="F75" s="18">
        <v>100000</v>
      </c>
      <c r="G75" s="18">
        <v>0</v>
      </c>
      <c r="H75" s="6">
        <v>0</v>
      </c>
      <c r="I75" s="6">
        <v>0</v>
      </c>
      <c r="J75" s="6">
        <v>0</v>
      </c>
      <c r="K75" s="6">
        <v>21000</v>
      </c>
      <c r="L75" s="6">
        <v>0</v>
      </c>
      <c r="M75" s="18">
        <v>0</v>
      </c>
      <c r="N75" s="18">
        <v>121000</v>
      </c>
    </row>
    <row r="76" spans="1:14" hidden="1">
      <c r="A76" s="4" t="s">
        <v>1879</v>
      </c>
      <c r="B76" s="5" t="s">
        <v>1893</v>
      </c>
      <c r="C76" s="6" t="s">
        <v>134</v>
      </c>
      <c r="D76" s="6" t="s">
        <v>135</v>
      </c>
      <c r="E76" s="6" t="s">
        <v>136</v>
      </c>
      <c r="F76" s="18">
        <v>11983.47</v>
      </c>
      <c r="G76" s="18">
        <v>0</v>
      </c>
      <c r="H76" s="6">
        <v>0</v>
      </c>
      <c r="I76" s="6">
        <v>0</v>
      </c>
      <c r="J76" s="6">
        <v>0</v>
      </c>
      <c r="K76" s="6">
        <v>2516.5300000000002</v>
      </c>
      <c r="L76" s="6">
        <v>0</v>
      </c>
      <c r="M76" s="18">
        <v>0</v>
      </c>
      <c r="N76" s="18">
        <v>14500</v>
      </c>
    </row>
    <row r="77" spans="1:14" hidden="1">
      <c r="A77" s="4" t="s">
        <v>1879</v>
      </c>
      <c r="B77" s="5" t="s">
        <v>1894</v>
      </c>
      <c r="C77" s="6" t="s">
        <v>134</v>
      </c>
      <c r="D77" s="6" t="s">
        <v>135</v>
      </c>
      <c r="E77" s="6" t="s">
        <v>136</v>
      </c>
      <c r="F77" s="18">
        <v>10743.8</v>
      </c>
      <c r="G77" s="18">
        <v>0</v>
      </c>
      <c r="H77" s="6">
        <v>0</v>
      </c>
      <c r="I77" s="6">
        <v>0</v>
      </c>
      <c r="J77" s="6">
        <v>0</v>
      </c>
      <c r="K77" s="6">
        <v>2256.2000000000003</v>
      </c>
      <c r="L77" s="6">
        <v>0</v>
      </c>
      <c r="M77" s="18">
        <v>0</v>
      </c>
      <c r="N77" s="18">
        <v>13000</v>
      </c>
    </row>
    <row r="78" spans="1:14">
      <c r="A78" s="4" t="s">
        <v>1879</v>
      </c>
      <c r="B78" s="5" t="s">
        <v>1895</v>
      </c>
      <c r="C78" s="6" t="s">
        <v>1896</v>
      </c>
      <c r="D78" s="6" t="s">
        <v>135</v>
      </c>
      <c r="E78" s="6">
        <v>94789644</v>
      </c>
      <c r="F78" s="18">
        <v>18181.82</v>
      </c>
      <c r="G78" s="18">
        <v>0</v>
      </c>
      <c r="H78" s="6">
        <v>0</v>
      </c>
      <c r="I78" s="6">
        <v>0</v>
      </c>
      <c r="J78" s="6">
        <v>0</v>
      </c>
      <c r="K78" s="6">
        <v>3818.18</v>
      </c>
      <c r="L78" s="6">
        <v>0</v>
      </c>
      <c r="M78" s="18">
        <v>0</v>
      </c>
      <c r="N78" s="18">
        <v>22000</v>
      </c>
    </row>
    <row r="79" spans="1:14" hidden="1">
      <c r="A79" s="4" t="s">
        <v>1879</v>
      </c>
      <c r="B79" s="5" t="s">
        <v>1897</v>
      </c>
      <c r="C79" s="6" t="s">
        <v>134</v>
      </c>
      <c r="D79" s="6" t="s">
        <v>135</v>
      </c>
      <c r="E79" s="6" t="s">
        <v>136</v>
      </c>
      <c r="F79" s="18">
        <v>10743.8</v>
      </c>
      <c r="G79" s="18">
        <v>0</v>
      </c>
      <c r="H79" s="6">
        <v>0</v>
      </c>
      <c r="I79" s="6">
        <v>0</v>
      </c>
      <c r="J79" s="6">
        <v>0</v>
      </c>
      <c r="K79" s="6">
        <v>2256.2000000000003</v>
      </c>
      <c r="L79" s="6">
        <v>0</v>
      </c>
      <c r="M79" s="18">
        <v>0</v>
      </c>
      <c r="N79" s="18">
        <v>13000</v>
      </c>
    </row>
    <row r="80" spans="1:14">
      <c r="A80" s="4" t="s">
        <v>1879</v>
      </c>
      <c r="B80" s="5" t="s">
        <v>1898</v>
      </c>
      <c r="C80" s="6" t="s">
        <v>1881</v>
      </c>
      <c r="D80" s="6" t="s">
        <v>135</v>
      </c>
      <c r="E80" s="6">
        <v>95840377</v>
      </c>
      <c r="F80" s="18">
        <v>25619.83</v>
      </c>
      <c r="G80" s="18">
        <v>0</v>
      </c>
      <c r="H80" s="6">
        <v>0</v>
      </c>
      <c r="I80" s="6">
        <v>0</v>
      </c>
      <c r="J80" s="6">
        <v>0</v>
      </c>
      <c r="K80" s="6">
        <v>5380.17</v>
      </c>
      <c r="L80" s="6">
        <v>0</v>
      </c>
      <c r="M80" s="18">
        <v>0</v>
      </c>
      <c r="N80" s="18">
        <v>31000</v>
      </c>
    </row>
    <row r="81" spans="1:14" hidden="1">
      <c r="A81" s="4" t="s">
        <v>1879</v>
      </c>
      <c r="B81" s="5" t="s">
        <v>1899</v>
      </c>
      <c r="C81" s="6" t="s">
        <v>134</v>
      </c>
      <c r="D81" s="6" t="s">
        <v>135</v>
      </c>
      <c r="E81" s="6" t="s">
        <v>136</v>
      </c>
      <c r="F81" s="18">
        <v>10743.8</v>
      </c>
      <c r="G81" s="18">
        <v>0</v>
      </c>
      <c r="H81" s="6">
        <v>0</v>
      </c>
      <c r="I81" s="6">
        <v>0</v>
      </c>
      <c r="J81" s="6">
        <v>0</v>
      </c>
      <c r="K81" s="6">
        <v>2256.2000000000003</v>
      </c>
      <c r="L81" s="6">
        <v>0</v>
      </c>
      <c r="M81" s="18">
        <v>0</v>
      </c>
      <c r="N81" s="18">
        <v>13000</v>
      </c>
    </row>
    <row r="82" spans="1:14">
      <c r="A82" s="4" t="s">
        <v>1879</v>
      </c>
      <c r="B82" s="5" t="s">
        <v>1900</v>
      </c>
      <c r="C82" s="6" t="s">
        <v>1615</v>
      </c>
      <c r="D82" s="6" t="s">
        <v>135</v>
      </c>
      <c r="E82" s="6">
        <v>55987565</v>
      </c>
      <c r="F82" s="18">
        <v>14669.42</v>
      </c>
      <c r="G82" s="18">
        <v>0</v>
      </c>
      <c r="H82" s="6">
        <v>0</v>
      </c>
      <c r="I82" s="6">
        <v>0</v>
      </c>
      <c r="J82" s="6">
        <v>0</v>
      </c>
      <c r="K82" s="6">
        <v>3080.58</v>
      </c>
      <c r="L82" s="6">
        <v>0</v>
      </c>
      <c r="M82" s="18">
        <v>0</v>
      </c>
      <c r="N82" s="18">
        <v>17750</v>
      </c>
    </row>
    <row r="83" spans="1:14" hidden="1">
      <c r="A83" s="4" t="s">
        <v>1879</v>
      </c>
      <c r="B83" s="5" t="s">
        <v>1901</v>
      </c>
      <c r="C83" s="6" t="s">
        <v>134</v>
      </c>
      <c r="D83" s="6" t="s">
        <v>135</v>
      </c>
      <c r="E83" s="6" t="s">
        <v>136</v>
      </c>
      <c r="F83" s="18">
        <v>21487.599999999999</v>
      </c>
      <c r="G83" s="18">
        <v>0</v>
      </c>
      <c r="H83" s="6">
        <v>0</v>
      </c>
      <c r="I83" s="6">
        <v>0</v>
      </c>
      <c r="J83" s="6">
        <v>0</v>
      </c>
      <c r="K83" s="6">
        <v>4512.4000000000005</v>
      </c>
      <c r="L83" s="6">
        <v>0</v>
      </c>
      <c r="M83" s="18">
        <v>0</v>
      </c>
      <c r="N83" s="18">
        <v>26000</v>
      </c>
    </row>
    <row r="84" spans="1:14" hidden="1">
      <c r="A84" s="4" t="s">
        <v>1912</v>
      </c>
      <c r="B84" s="5" t="s">
        <v>1913</v>
      </c>
      <c r="C84" s="6" t="s">
        <v>134</v>
      </c>
      <c r="D84" s="6" t="s">
        <v>135</v>
      </c>
      <c r="E84" s="6" t="s">
        <v>136</v>
      </c>
      <c r="F84" s="18">
        <v>11735.54</v>
      </c>
      <c r="G84" s="18">
        <v>0</v>
      </c>
      <c r="H84" s="6">
        <v>0</v>
      </c>
      <c r="I84" s="6">
        <v>0</v>
      </c>
      <c r="J84" s="6">
        <v>0</v>
      </c>
      <c r="K84" s="6">
        <v>2464.46</v>
      </c>
      <c r="L84" s="6">
        <v>0</v>
      </c>
      <c r="M84" s="18">
        <v>0</v>
      </c>
      <c r="N84" s="18">
        <v>14200</v>
      </c>
    </row>
    <row r="85" spans="1:14" hidden="1">
      <c r="A85" s="4" t="s">
        <v>1912</v>
      </c>
      <c r="B85" s="5" t="s">
        <v>1914</v>
      </c>
      <c r="C85" s="6" t="s">
        <v>134</v>
      </c>
      <c r="D85" s="6" t="s">
        <v>135</v>
      </c>
      <c r="E85" s="6" t="s">
        <v>136</v>
      </c>
      <c r="F85" s="18">
        <v>12396.69</v>
      </c>
      <c r="G85" s="18">
        <v>0</v>
      </c>
      <c r="H85" s="6">
        <v>0</v>
      </c>
      <c r="I85" s="6">
        <v>0</v>
      </c>
      <c r="J85" s="6">
        <v>0</v>
      </c>
      <c r="K85" s="6">
        <v>2603.31</v>
      </c>
      <c r="L85" s="6">
        <v>0</v>
      </c>
      <c r="M85" s="18">
        <v>0</v>
      </c>
      <c r="N85" s="18">
        <v>15000</v>
      </c>
    </row>
    <row r="86" spans="1:14" hidden="1">
      <c r="A86" s="4" t="s">
        <v>1912</v>
      </c>
      <c r="B86" s="5" t="s">
        <v>1915</v>
      </c>
      <c r="C86" s="6" t="s">
        <v>134</v>
      </c>
      <c r="D86" s="6" t="s">
        <v>135</v>
      </c>
      <c r="E86" s="6" t="s">
        <v>136</v>
      </c>
      <c r="F86" s="18">
        <v>10743.8</v>
      </c>
      <c r="G86" s="18">
        <v>0</v>
      </c>
      <c r="H86" s="6">
        <v>0</v>
      </c>
      <c r="I86" s="6">
        <v>0</v>
      </c>
      <c r="J86" s="6">
        <v>0</v>
      </c>
      <c r="K86" s="6">
        <v>2256.2000000000003</v>
      </c>
      <c r="L86" s="6">
        <v>0</v>
      </c>
      <c r="M86" s="18">
        <v>0</v>
      </c>
      <c r="N86" s="18">
        <v>13000</v>
      </c>
    </row>
    <row r="87" spans="1:14" hidden="1">
      <c r="A87" s="4" t="s">
        <v>1912</v>
      </c>
      <c r="B87" s="5" t="s">
        <v>1916</v>
      </c>
      <c r="C87" s="6" t="s">
        <v>134</v>
      </c>
      <c r="D87" s="6" t="s">
        <v>135</v>
      </c>
      <c r="E87" s="6" t="s">
        <v>136</v>
      </c>
      <c r="F87" s="18">
        <v>7438.02</v>
      </c>
      <c r="G87" s="18">
        <v>0</v>
      </c>
      <c r="H87" s="6">
        <v>0</v>
      </c>
      <c r="I87" s="6">
        <v>0</v>
      </c>
      <c r="J87" s="6">
        <v>0</v>
      </c>
      <c r="K87" s="6">
        <v>1561.98</v>
      </c>
      <c r="L87" s="6">
        <v>0</v>
      </c>
      <c r="M87" s="18">
        <v>0</v>
      </c>
      <c r="N87" s="18">
        <v>9000</v>
      </c>
    </row>
    <row r="88" spans="1:14" hidden="1">
      <c r="A88" s="4" t="s">
        <v>1912</v>
      </c>
      <c r="B88" s="5" t="s">
        <v>1917</v>
      </c>
      <c r="C88" s="6" t="s">
        <v>134</v>
      </c>
      <c r="D88" s="6" t="s">
        <v>135</v>
      </c>
      <c r="E88" s="6" t="s">
        <v>136</v>
      </c>
      <c r="F88" s="18">
        <v>10743.8</v>
      </c>
      <c r="G88" s="18">
        <v>0</v>
      </c>
      <c r="H88" s="6">
        <v>0</v>
      </c>
      <c r="I88" s="6">
        <v>0</v>
      </c>
      <c r="J88" s="6">
        <v>0</v>
      </c>
      <c r="K88" s="6">
        <v>2256.2000000000003</v>
      </c>
      <c r="L88" s="6">
        <v>0</v>
      </c>
      <c r="M88" s="18">
        <v>0</v>
      </c>
      <c r="N88" s="18">
        <v>13000</v>
      </c>
    </row>
    <row r="89" spans="1:14" hidden="1">
      <c r="A89" s="4" t="s">
        <v>1912</v>
      </c>
      <c r="B89" s="5" t="s">
        <v>1918</v>
      </c>
      <c r="C89" s="6" t="s">
        <v>134</v>
      </c>
      <c r="D89" s="6" t="s">
        <v>135</v>
      </c>
      <c r="E89" s="6" t="s">
        <v>136</v>
      </c>
      <c r="F89" s="18">
        <v>10330.58</v>
      </c>
      <c r="G89" s="18">
        <v>0</v>
      </c>
      <c r="H89" s="6">
        <v>0</v>
      </c>
      <c r="I89" s="6">
        <v>0</v>
      </c>
      <c r="J89" s="6">
        <v>0</v>
      </c>
      <c r="K89" s="6">
        <v>2169.42</v>
      </c>
      <c r="L89" s="6">
        <v>0</v>
      </c>
      <c r="M89" s="18">
        <v>0</v>
      </c>
      <c r="N89" s="18">
        <v>12500</v>
      </c>
    </row>
    <row r="90" spans="1:14" hidden="1">
      <c r="A90" s="4" t="s">
        <v>1912</v>
      </c>
      <c r="B90" s="5" t="s">
        <v>1919</v>
      </c>
      <c r="C90" s="6" t="s">
        <v>134</v>
      </c>
      <c r="D90" s="6" t="s">
        <v>135</v>
      </c>
      <c r="E90" s="6" t="s">
        <v>136</v>
      </c>
      <c r="F90" s="18">
        <v>11487.6</v>
      </c>
      <c r="G90" s="18">
        <v>0</v>
      </c>
      <c r="H90" s="6">
        <v>0</v>
      </c>
      <c r="I90" s="6">
        <v>0</v>
      </c>
      <c r="J90" s="6">
        <v>0</v>
      </c>
      <c r="K90" s="6">
        <v>2412.4</v>
      </c>
      <c r="L90" s="6">
        <v>0</v>
      </c>
      <c r="M90" s="18">
        <v>0</v>
      </c>
      <c r="N90" s="18">
        <v>13900</v>
      </c>
    </row>
    <row r="91" spans="1:14" hidden="1">
      <c r="A91" s="4" t="s">
        <v>1912</v>
      </c>
      <c r="B91" s="5" t="s">
        <v>1920</v>
      </c>
      <c r="C91" s="6" t="s">
        <v>134</v>
      </c>
      <c r="D91" s="6" t="s">
        <v>135</v>
      </c>
      <c r="E91" s="6" t="s">
        <v>136</v>
      </c>
      <c r="F91" s="18">
        <v>10743.8</v>
      </c>
      <c r="G91" s="18">
        <v>0</v>
      </c>
      <c r="H91" s="6">
        <v>0</v>
      </c>
      <c r="I91" s="6">
        <v>0</v>
      </c>
      <c r="J91" s="6">
        <v>0</v>
      </c>
      <c r="K91" s="6">
        <v>2256.2000000000003</v>
      </c>
      <c r="L91" s="6">
        <v>0</v>
      </c>
      <c r="M91" s="18">
        <v>0</v>
      </c>
      <c r="N91" s="18">
        <v>13000</v>
      </c>
    </row>
    <row r="92" spans="1:14" hidden="1">
      <c r="A92" s="4" t="s">
        <v>1912</v>
      </c>
      <c r="B92" s="5" t="s">
        <v>1921</v>
      </c>
      <c r="C92" s="6" t="s">
        <v>134</v>
      </c>
      <c r="D92" s="6" t="s">
        <v>135</v>
      </c>
      <c r="E92" s="6" t="s">
        <v>136</v>
      </c>
      <c r="F92" s="18">
        <v>28099.17</v>
      </c>
      <c r="G92" s="18">
        <v>0</v>
      </c>
      <c r="H92" s="6">
        <v>0</v>
      </c>
      <c r="I92" s="6">
        <v>0</v>
      </c>
      <c r="J92" s="6">
        <v>0</v>
      </c>
      <c r="K92" s="6">
        <v>5900.83</v>
      </c>
      <c r="L92" s="6">
        <v>0</v>
      </c>
      <c r="M92" s="18">
        <v>0</v>
      </c>
      <c r="N92" s="18">
        <v>34000</v>
      </c>
    </row>
    <row r="93" spans="1:14" hidden="1">
      <c r="A93" s="4" t="s">
        <v>1912</v>
      </c>
      <c r="B93" s="5" t="s">
        <v>1922</v>
      </c>
      <c r="C93" s="6" t="s">
        <v>134</v>
      </c>
      <c r="D93" s="6" t="s">
        <v>135</v>
      </c>
      <c r="E93" s="6" t="s">
        <v>136</v>
      </c>
      <c r="F93" s="18">
        <v>21487.599999999999</v>
      </c>
      <c r="G93" s="18">
        <v>0</v>
      </c>
      <c r="H93" s="6">
        <v>0</v>
      </c>
      <c r="I93" s="6">
        <v>0</v>
      </c>
      <c r="J93" s="6">
        <v>0</v>
      </c>
      <c r="K93" s="6">
        <v>4512.4000000000005</v>
      </c>
      <c r="L93" s="6">
        <v>0</v>
      </c>
      <c r="M93" s="18">
        <v>0</v>
      </c>
      <c r="N93" s="18">
        <v>26000</v>
      </c>
    </row>
    <row r="94" spans="1:14" hidden="1">
      <c r="A94" s="4" t="s">
        <v>1912</v>
      </c>
      <c r="B94" s="5" t="s">
        <v>1923</v>
      </c>
      <c r="C94" s="6" t="s">
        <v>134</v>
      </c>
      <c r="D94" s="6" t="s">
        <v>135</v>
      </c>
      <c r="E94" s="6" t="s">
        <v>136</v>
      </c>
      <c r="F94" s="18">
        <v>21487.599999999999</v>
      </c>
      <c r="G94" s="18">
        <v>0</v>
      </c>
      <c r="H94" s="6">
        <v>0</v>
      </c>
      <c r="I94" s="6">
        <v>0</v>
      </c>
      <c r="J94" s="6">
        <v>0</v>
      </c>
      <c r="K94" s="6">
        <v>4512.4000000000005</v>
      </c>
      <c r="L94" s="6">
        <v>0</v>
      </c>
      <c r="M94" s="18">
        <v>0</v>
      </c>
      <c r="N94" s="18">
        <v>26000</v>
      </c>
    </row>
    <row r="95" spans="1:14" hidden="1">
      <c r="A95" s="4" t="s">
        <v>1912</v>
      </c>
      <c r="B95" s="5" t="s">
        <v>1924</v>
      </c>
      <c r="C95" s="6" t="s">
        <v>134</v>
      </c>
      <c r="D95" s="6" t="s">
        <v>135</v>
      </c>
      <c r="E95" s="6" t="s">
        <v>136</v>
      </c>
      <c r="F95" s="18">
        <v>20661.16</v>
      </c>
      <c r="G95" s="18">
        <v>0</v>
      </c>
      <c r="H95" s="6">
        <v>0</v>
      </c>
      <c r="I95" s="6">
        <v>0</v>
      </c>
      <c r="J95" s="6">
        <v>0</v>
      </c>
      <c r="K95" s="6">
        <v>4338.84</v>
      </c>
      <c r="L95" s="6">
        <v>0</v>
      </c>
      <c r="M95" s="18">
        <v>0</v>
      </c>
      <c r="N95" s="18">
        <v>25000</v>
      </c>
    </row>
    <row r="96" spans="1:14" hidden="1">
      <c r="A96" s="4" t="s">
        <v>1912</v>
      </c>
      <c r="B96" s="5" t="s">
        <v>1925</v>
      </c>
      <c r="C96" s="6" t="s">
        <v>134</v>
      </c>
      <c r="D96" s="6" t="s">
        <v>135</v>
      </c>
      <c r="E96" s="6" t="s">
        <v>136</v>
      </c>
      <c r="F96" s="18">
        <v>2975.21</v>
      </c>
      <c r="G96" s="18">
        <v>0</v>
      </c>
      <c r="H96" s="6">
        <v>0</v>
      </c>
      <c r="I96" s="6">
        <v>0</v>
      </c>
      <c r="J96" s="6">
        <v>0</v>
      </c>
      <c r="K96" s="6">
        <v>624.79</v>
      </c>
      <c r="L96" s="6">
        <v>0</v>
      </c>
      <c r="M96" s="18">
        <v>0</v>
      </c>
      <c r="N96" s="18">
        <v>3600</v>
      </c>
    </row>
    <row r="97" spans="1:14" hidden="1">
      <c r="A97" s="4" t="s">
        <v>1912</v>
      </c>
      <c r="B97" s="5" t="s">
        <v>1926</v>
      </c>
      <c r="C97" s="6" t="s">
        <v>134</v>
      </c>
      <c r="D97" s="6" t="s">
        <v>135</v>
      </c>
      <c r="E97" s="6" t="s">
        <v>136</v>
      </c>
      <c r="F97" s="18">
        <v>32231.4</v>
      </c>
      <c r="G97" s="18">
        <v>0</v>
      </c>
      <c r="H97" s="6">
        <v>0</v>
      </c>
      <c r="I97" s="6">
        <v>0</v>
      </c>
      <c r="J97" s="6">
        <v>0</v>
      </c>
      <c r="K97" s="6">
        <v>6768.6</v>
      </c>
      <c r="L97" s="6">
        <v>0</v>
      </c>
      <c r="M97" s="18">
        <v>0</v>
      </c>
      <c r="N97" s="18">
        <v>39000</v>
      </c>
    </row>
    <row r="98" spans="1:14" hidden="1">
      <c r="A98" s="4" t="s">
        <v>1912</v>
      </c>
      <c r="B98" s="5" t="s">
        <v>1927</v>
      </c>
      <c r="C98" s="6" t="s">
        <v>134</v>
      </c>
      <c r="D98" s="6" t="s">
        <v>135</v>
      </c>
      <c r="E98" s="6" t="s">
        <v>136</v>
      </c>
      <c r="F98" s="18">
        <v>21487.599999999999</v>
      </c>
      <c r="G98" s="18">
        <v>0</v>
      </c>
      <c r="H98" s="6">
        <v>0</v>
      </c>
      <c r="I98" s="6">
        <v>0</v>
      </c>
      <c r="J98" s="6">
        <v>0</v>
      </c>
      <c r="K98" s="6">
        <v>4512.4000000000005</v>
      </c>
      <c r="L98" s="6">
        <v>0</v>
      </c>
      <c r="M98" s="18">
        <v>0</v>
      </c>
      <c r="N98" s="18">
        <v>26000</v>
      </c>
    </row>
    <row r="99" spans="1:14" hidden="1">
      <c r="A99" s="4" t="s">
        <v>1912</v>
      </c>
      <c r="B99" s="5" t="s">
        <v>1928</v>
      </c>
      <c r="C99" s="6" t="s">
        <v>134</v>
      </c>
      <c r="D99" s="6" t="s">
        <v>135</v>
      </c>
      <c r="E99" s="6" t="s">
        <v>136</v>
      </c>
      <c r="F99" s="18">
        <v>79338.84</v>
      </c>
      <c r="G99" s="18">
        <v>0</v>
      </c>
      <c r="H99" s="6">
        <v>0</v>
      </c>
      <c r="I99" s="6">
        <v>0</v>
      </c>
      <c r="J99" s="6">
        <v>0</v>
      </c>
      <c r="K99" s="6">
        <v>16661.16</v>
      </c>
      <c r="L99" s="6">
        <v>0</v>
      </c>
      <c r="M99" s="18">
        <v>0</v>
      </c>
      <c r="N99" s="18">
        <v>96000</v>
      </c>
    </row>
    <row r="100" spans="1:14" hidden="1">
      <c r="A100" s="4" t="s">
        <v>1912</v>
      </c>
      <c r="B100" s="5" t="s">
        <v>1929</v>
      </c>
      <c r="C100" s="6" t="s">
        <v>134</v>
      </c>
      <c r="D100" s="6" t="s">
        <v>135</v>
      </c>
      <c r="E100" s="6" t="s">
        <v>136</v>
      </c>
      <c r="F100" s="18">
        <v>28925.62</v>
      </c>
      <c r="G100" s="18">
        <v>0</v>
      </c>
      <c r="H100" s="6">
        <v>0</v>
      </c>
      <c r="I100" s="6">
        <v>0</v>
      </c>
      <c r="J100" s="6">
        <v>0</v>
      </c>
      <c r="K100" s="6">
        <v>6074.38</v>
      </c>
      <c r="L100" s="6">
        <v>0</v>
      </c>
      <c r="M100" s="18">
        <v>0</v>
      </c>
      <c r="N100" s="18">
        <v>35000</v>
      </c>
    </row>
    <row r="101" spans="1:14" hidden="1">
      <c r="A101" s="4" t="s">
        <v>1912</v>
      </c>
      <c r="B101" s="5" t="s">
        <v>1930</v>
      </c>
      <c r="C101" s="6" t="s">
        <v>134</v>
      </c>
      <c r="D101" s="6" t="s">
        <v>135</v>
      </c>
      <c r="E101" s="6" t="s">
        <v>136</v>
      </c>
      <c r="F101" s="18">
        <v>5619.83</v>
      </c>
      <c r="G101" s="18">
        <v>0</v>
      </c>
      <c r="H101" s="6">
        <v>0</v>
      </c>
      <c r="I101" s="6">
        <v>0</v>
      </c>
      <c r="J101" s="6">
        <v>0</v>
      </c>
      <c r="K101" s="6">
        <v>1180.17</v>
      </c>
      <c r="L101" s="6">
        <v>0</v>
      </c>
      <c r="M101" s="18">
        <v>0</v>
      </c>
      <c r="N101" s="18">
        <v>6800</v>
      </c>
    </row>
    <row r="102" spans="1:14" hidden="1">
      <c r="A102" s="4" t="s">
        <v>1936</v>
      </c>
      <c r="B102" s="5" t="s">
        <v>1937</v>
      </c>
      <c r="C102" s="6" t="s">
        <v>134</v>
      </c>
      <c r="D102" s="6" t="s">
        <v>135</v>
      </c>
      <c r="E102" s="6" t="s">
        <v>136</v>
      </c>
      <c r="F102" s="18">
        <v>21487.599999999999</v>
      </c>
      <c r="G102" s="18">
        <v>0</v>
      </c>
      <c r="H102" s="6">
        <v>0</v>
      </c>
      <c r="I102" s="6">
        <v>0</v>
      </c>
      <c r="J102" s="6">
        <v>0</v>
      </c>
      <c r="K102" s="6">
        <v>4512.4000000000005</v>
      </c>
      <c r="L102" s="6">
        <v>0</v>
      </c>
      <c r="M102" s="18">
        <v>0</v>
      </c>
      <c r="N102" s="18">
        <v>26000</v>
      </c>
    </row>
    <row r="103" spans="1:14" hidden="1">
      <c r="A103" s="4" t="s">
        <v>1936</v>
      </c>
      <c r="B103" s="5" t="s">
        <v>1938</v>
      </c>
      <c r="C103" s="6" t="s">
        <v>134</v>
      </c>
      <c r="D103" s="6" t="s">
        <v>135</v>
      </c>
      <c r="E103" s="6" t="s">
        <v>136</v>
      </c>
      <c r="F103" s="18">
        <v>21404.959999999999</v>
      </c>
      <c r="G103" s="18">
        <v>0</v>
      </c>
      <c r="H103" s="6">
        <v>0</v>
      </c>
      <c r="I103" s="6">
        <v>0</v>
      </c>
      <c r="J103" s="6">
        <v>0</v>
      </c>
      <c r="K103" s="6">
        <v>4495.04</v>
      </c>
      <c r="L103" s="6">
        <v>0</v>
      </c>
      <c r="M103" s="18">
        <v>0</v>
      </c>
      <c r="N103" s="18">
        <v>25900</v>
      </c>
    </row>
    <row r="104" spans="1:14" hidden="1">
      <c r="A104" s="4" t="s">
        <v>1936</v>
      </c>
      <c r="B104" s="5" t="s">
        <v>1939</v>
      </c>
      <c r="C104" s="6" t="s">
        <v>134</v>
      </c>
      <c r="D104" s="6" t="s">
        <v>135</v>
      </c>
      <c r="E104" s="6" t="s">
        <v>136</v>
      </c>
      <c r="F104" s="18">
        <v>32231.4</v>
      </c>
      <c r="G104" s="18">
        <v>0</v>
      </c>
      <c r="H104" s="6">
        <v>0</v>
      </c>
      <c r="I104" s="6">
        <v>0</v>
      </c>
      <c r="J104" s="6">
        <v>0</v>
      </c>
      <c r="K104" s="6">
        <v>6768.6</v>
      </c>
      <c r="L104" s="6">
        <v>0</v>
      </c>
      <c r="M104" s="18">
        <v>0</v>
      </c>
      <c r="N104" s="18">
        <v>39000</v>
      </c>
    </row>
    <row r="105" spans="1:14" hidden="1">
      <c r="A105" s="4" t="s">
        <v>1936</v>
      </c>
      <c r="B105" s="5" t="s">
        <v>1940</v>
      </c>
      <c r="C105" s="6" t="s">
        <v>134</v>
      </c>
      <c r="D105" s="6" t="s">
        <v>135</v>
      </c>
      <c r="E105" s="6" t="s">
        <v>136</v>
      </c>
      <c r="F105" s="18">
        <v>4958.68</v>
      </c>
      <c r="G105" s="18">
        <v>0</v>
      </c>
      <c r="H105" s="6">
        <v>0</v>
      </c>
      <c r="I105" s="6">
        <v>0</v>
      </c>
      <c r="J105" s="6">
        <v>0</v>
      </c>
      <c r="K105" s="6">
        <v>1041.32</v>
      </c>
      <c r="L105" s="6">
        <v>0</v>
      </c>
      <c r="M105" s="18">
        <v>0</v>
      </c>
      <c r="N105" s="18">
        <v>6000</v>
      </c>
    </row>
    <row r="106" spans="1:14" hidden="1">
      <c r="A106" s="4" t="s">
        <v>1936</v>
      </c>
      <c r="B106" s="5" t="s">
        <v>1941</v>
      </c>
      <c r="C106" s="6" t="s">
        <v>134</v>
      </c>
      <c r="D106" s="6" t="s">
        <v>135</v>
      </c>
      <c r="E106" s="6" t="s">
        <v>136</v>
      </c>
      <c r="F106" s="18">
        <v>31818.18</v>
      </c>
      <c r="G106" s="18">
        <v>0</v>
      </c>
      <c r="H106" s="6">
        <v>0</v>
      </c>
      <c r="I106" s="6">
        <v>0</v>
      </c>
      <c r="J106" s="6">
        <v>0</v>
      </c>
      <c r="K106" s="6">
        <v>6681.82</v>
      </c>
      <c r="L106" s="6">
        <v>0</v>
      </c>
      <c r="M106" s="18">
        <v>0</v>
      </c>
      <c r="N106" s="18">
        <v>38500</v>
      </c>
    </row>
    <row r="107" spans="1:14" hidden="1">
      <c r="A107" s="4" t="s">
        <v>1936</v>
      </c>
      <c r="B107" s="5" t="s">
        <v>1942</v>
      </c>
      <c r="C107" s="6" t="s">
        <v>134</v>
      </c>
      <c r="D107" s="6" t="s">
        <v>135</v>
      </c>
      <c r="E107" s="6" t="s">
        <v>136</v>
      </c>
      <c r="F107" s="18">
        <v>4462.8100000000004</v>
      </c>
      <c r="G107" s="18">
        <v>0</v>
      </c>
      <c r="H107" s="6">
        <v>0</v>
      </c>
      <c r="I107" s="6">
        <v>0</v>
      </c>
      <c r="J107" s="6">
        <v>0</v>
      </c>
      <c r="K107" s="6">
        <v>937.19</v>
      </c>
      <c r="L107" s="6">
        <v>0</v>
      </c>
      <c r="M107" s="18">
        <v>0</v>
      </c>
      <c r="N107" s="18">
        <v>5400</v>
      </c>
    </row>
    <row r="108" spans="1:14" hidden="1">
      <c r="A108" s="4" t="s">
        <v>1936</v>
      </c>
      <c r="B108" s="5" t="s">
        <v>1943</v>
      </c>
      <c r="C108" s="6" t="s">
        <v>134</v>
      </c>
      <c r="D108" s="6" t="s">
        <v>135</v>
      </c>
      <c r="E108" s="6" t="s">
        <v>136</v>
      </c>
      <c r="F108" s="18">
        <v>10743.8</v>
      </c>
      <c r="G108" s="18">
        <v>0</v>
      </c>
      <c r="H108" s="6">
        <v>0</v>
      </c>
      <c r="I108" s="6">
        <v>0</v>
      </c>
      <c r="J108" s="6">
        <v>0</v>
      </c>
      <c r="K108" s="6">
        <v>2256.2000000000003</v>
      </c>
      <c r="L108" s="6">
        <v>0</v>
      </c>
      <c r="M108" s="18">
        <v>0</v>
      </c>
      <c r="N108" s="18">
        <v>13000</v>
      </c>
    </row>
    <row r="109" spans="1:14" hidden="1">
      <c r="A109" s="4" t="s">
        <v>1936</v>
      </c>
      <c r="B109" s="5" t="s">
        <v>1944</v>
      </c>
      <c r="C109" s="6" t="s">
        <v>134</v>
      </c>
      <c r="D109" s="6" t="s">
        <v>135</v>
      </c>
      <c r="E109" s="6" t="s">
        <v>136</v>
      </c>
      <c r="F109" s="18">
        <v>10743.8</v>
      </c>
      <c r="G109" s="18">
        <v>0</v>
      </c>
      <c r="H109" s="6">
        <v>0</v>
      </c>
      <c r="I109" s="6">
        <v>0</v>
      </c>
      <c r="J109" s="6">
        <v>0</v>
      </c>
      <c r="K109" s="6">
        <v>2256.2000000000003</v>
      </c>
      <c r="L109" s="6">
        <v>0</v>
      </c>
      <c r="M109" s="18">
        <v>0</v>
      </c>
      <c r="N109" s="18">
        <v>13000</v>
      </c>
    </row>
    <row r="110" spans="1:14" hidden="1">
      <c r="A110" s="4" t="s">
        <v>1936</v>
      </c>
      <c r="B110" s="5" t="s">
        <v>1945</v>
      </c>
      <c r="C110" s="6" t="s">
        <v>134</v>
      </c>
      <c r="D110" s="6" t="s">
        <v>135</v>
      </c>
      <c r="E110" s="6" t="s">
        <v>136</v>
      </c>
      <c r="F110" s="18">
        <v>3305.79</v>
      </c>
      <c r="G110" s="18">
        <v>0</v>
      </c>
      <c r="H110" s="6">
        <v>0</v>
      </c>
      <c r="I110" s="6">
        <v>0</v>
      </c>
      <c r="J110" s="6">
        <v>0</v>
      </c>
      <c r="K110" s="6">
        <v>694.21</v>
      </c>
      <c r="L110" s="6">
        <v>0</v>
      </c>
      <c r="M110" s="18">
        <v>0</v>
      </c>
      <c r="N110" s="18">
        <v>4000</v>
      </c>
    </row>
    <row r="111" spans="1:14" hidden="1">
      <c r="A111" s="4" t="s">
        <v>1936</v>
      </c>
      <c r="B111" s="5" t="s">
        <v>1946</v>
      </c>
      <c r="C111" s="6" t="s">
        <v>134</v>
      </c>
      <c r="D111" s="6" t="s">
        <v>135</v>
      </c>
      <c r="E111" s="6" t="s">
        <v>136</v>
      </c>
      <c r="F111" s="18">
        <v>31818.18</v>
      </c>
      <c r="G111" s="18">
        <v>0</v>
      </c>
      <c r="H111" s="6">
        <v>0</v>
      </c>
      <c r="I111" s="6">
        <v>0</v>
      </c>
      <c r="J111" s="6">
        <v>0</v>
      </c>
      <c r="K111" s="6">
        <v>6681.82</v>
      </c>
      <c r="L111" s="6">
        <v>0</v>
      </c>
      <c r="M111" s="18">
        <v>0</v>
      </c>
      <c r="N111" s="18">
        <v>38500</v>
      </c>
    </row>
    <row r="112" spans="1:14" hidden="1">
      <c r="A112" s="4" t="s">
        <v>1936</v>
      </c>
      <c r="B112" s="5" t="s">
        <v>1947</v>
      </c>
      <c r="C112" s="6" t="s">
        <v>134</v>
      </c>
      <c r="D112" s="6" t="s">
        <v>135</v>
      </c>
      <c r="E112" s="6" t="s">
        <v>136</v>
      </c>
      <c r="F112" s="18">
        <v>29338.84</v>
      </c>
      <c r="G112" s="18">
        <v>0</v>
      </c>
      <c r="H112" s="6">
        <v>0</v>
      </c>
      <c r="I112" s="6">
        <v>0</v>
      </c>
      <c r="J112" s="6">
        <v>0</v>
      </c>
      <c r="K112" s="6">
        <v>6161.16</v>
      </c>
      <c r="L112" s="6">
        <v>0</v>
      </c>
      <c r="M112" s="18">
        <v>0</v>
      </c>
      <c r="N112" s="18">
        <v>35500</v>
      </c>
    </row>
    <row r="113" spans="1:14" hidden="1">
      <c r="A113" s="4" t="s">
        <v>1936</v>
      </c>
      <c r="B113" s="5" t="s">
        <v>1948</v>
      </c>
      <c r="C113" s="6" t="s">
        <v>134</v>
      </c>
      <c r="D113" s="6" t="s">
        <v>135</v>
      </c>
      <c r="E113" s="6" t="s">
        <v>136</v>
      </c>
      <c r="F113" s="18">
        <v>31818.18</v>
      </c>
      <c r="G113" s="18">
        <v>0</v>
      </c>
      <c r="H113" s="6">
        <v>0</v>
      </c>
      <c r="I113" s="6">
        <v>0</v>
      </c>
      <c r="J113" s="6">
        <v>0</v>
      </c>
      <c r="K113" s="6">
        <v>6681.82</v>
      </c>
      <c r="L113" s="6">
        <v>0</v>
      </c>
      <c r="M113" s="18">
        <v>0</v>
      </c>
      <c r="N113" s="18">
        <v>38500</v>
      </c>
    </row>
    <row r="114" spans="1:14" hidden="1">
      <c r="A114" s="4" t="s">
        <v>1936</v>
      </c>
      <c r="B114" s="5" t="s">
        <v>1949</v>
      </c>
      <c r="C114" s="6" t="s">
        <v>134</v>
      </c>
      <c r="D114" s="6" t="s">
        <v>135</v>
      </c>
      <c r="E114" s="6" t="s">
        <v>136</v>
      </c>
      <c r="F114" s="18">
        <v>16942.150000000001</v>
      </c>
      <c r="G114" s="18">
        <v>0</v>
      </c>
      <c r="H114" s="6">
        <v>0</v>
      </c>
      <c r="I114" s="6">
        <v>0</v>
      </c>
      <c r="J114" s="6">
        <v>0</v>
      </c>
      <c r="K114" s="6">
        <v>3557.85</v>
      </c>
      <c r="L114" s="6">
        <v>0</v>
      </c>
      <c r="M114" s="18">
        <v>0</v>
      </c>
      <c r="N114" s="18">
        <v>20500</v>
      </c>
    </row>
    <row r="115" spans="1:14" hidden="1">
      <c r="A115" s="4" t="s">
        <v>1936</v>
      </c>
      <c r="B115" s="5" t="s">
        <v>1950</v>
      </c>
      <c r="C115" s="6" t="s">
        <v>134</v>
      </c>
      <c r="D115" s="6" t="s">
        <v>135</v>
      </c>
      <c r="E115" s="6" t="s">
        <v>136</v>
      </c>
      <c r="F115" s="18">
        <v>13223.14</v>
      </c>
      <c r="G115" s="18">
        <v>0</v>
      </c>
      <c r="H115" s="6">
        <v>0</v>
      </c>
      <c r="I115" s="6">
        <v>0</v>
      </c>
      <c r="J115" s="6">
        <v>0</v>
      </c>
      <c r="K115" s="6">
        <v>2776.86</v>
      </c>
      <c r="L115" s="6">
        <v>0</v>
      </c>
      <c r="M115" s="18">
        <v>0</v>
      </c>
      <c r="N115" s="18">
        <v>16000</v>
      </c>
    </row>
    <row r="116" spans="1:14" hidden="1">
      <c r="A116" s="4" t="s">
        <v>1936</v>
      </c>
      <c r="B116" s="5" t="s">
        <v>1951</v>
      </c>
      <c r="C116" s="6" t="s">
        <v>134</v>
      </c>
      <c r="D116" s="6" t="s">
        <v>135</v>
      </c>
      <c r="E116" s="6" t="s">
        <v>136</v>
      </c>
      <c r="F116" s="18">
        <v>11157.02</v>
      </c>
      <c r="G116" s="18">
        <v>0</v>
      </c>
      <c r="H116" s="6">
        <v>0</v>
      </c>
      <c r="I116" s="6">
        <v>0</v>
      </c>
      <c r="J116" s="6">
        <v>0</v>
      </c>
      <c r="K116" s="6">
        <v>2342.98</v>
      </c>
      <c r="L116" s="6">
        <v>0</v>
      </c>
      <c r="M116" s="18">
        <v>0</v>
      </c>
      <c r="N116" s="18">
        <v>13500</v>
      </c>
    </row>
    <row r="117" spans="1:14" hidden="1">
      <c r="A117" s="4" t="s">
        <v>1936</v>
      </c>
      <c r="B117" s="5" t="s">
        <v>1952</v>
      </c>
      <c r="C117" s="6" t="s">
        <v>134</v>
      </c>
      <c r="D117" s="6" t="s">
        <v>135</v>
      </c>
      <c r="E117" s="6" t="s">
        <v>136</v>
      </c>
      <c r="F117" s="18">
        <v>15867.77</v>
      </c>
      <c r="G117" s="18">
        <v>0</v>
      </c>
      <c r="H117" s="6">
        <v>0</v>
      </c>
      <c r="I117" s="6">
        <v>0</v>
      </c>
      <c r="J117" s="6">
        <v>0</v>
      </c>
      <c r="K117" s="6">
        <v>3332.23</v>
      </c>
      <c r="L117" s="6">
        <v>0</v>
      </c>
      <c r="M117" s="18">
        <v>0</v>
      </c>
      <c r="N117" s="18">
        <v>19200</v>
      </c>
    </row>
    <row r="118" spans="1:14" hidden="1">
      <c r="A118" s="4" t="s">
        <v>1936</v>
      </c>
      <c r="B118" s="5" t="s">
        <v>1953</v>
      </c>
      <c r="C118" s="6" t="s">
        <v>134</v>
      </c>
      <c r="D118" s="6" t="s">
        <v>135</v>
      </c>
      <c r="E118" s="6" t="s">
        <v>136</v>
      </c>
      <c r="F118" s="18">
        <v>32066.12</v>
      </c>
      <c r="G118" s="18">
        <v>0</v>
      </c>
      <c r="H118" s="6">
        <v>0</v>
      </c>
      <c r="I118" s="6">
        <v>0</v>
      </c>
      <c r="J118" s="6">
        <v>0</v>
      </c>
      <c r="K118" s="6">
        <v>6733.88</v>
      </c>
      <c r="L118" s="6">
        <v>0</v>
      </c>
      <c r="M118" s="18">
        <v>0</v>
      </c>
      <c r="N118" s="18">
        <v>38800</v>
      </c>
    </row>
    <row r="119" spans="1:14" hidden="1">
      <c r="A119" s="4" t="s">
        <v>1936</v>
      </c>
      <c r="B119" s="5" t="s">
        <v>1954</v>
      </c>
      <c r="C119" s="6" t="s">
        <v>134</v>
      </c>
      <c r="D119" s="6" t="s">
        <v>135</v>
      </c>
      <c r="E119" s="6" t="s">
        <v>136</v>
      </c>
      <c r="F119" s="18">
        <v>22314.05</v>
      </c>
      <c r="G119" s="18">
        <v>0</v>
      </c>
      <c r="H119" s="6">
        <v>0</v>
      </c>
      <c r="I119" s="6">
        <v>0</v>
      </c>
      <c r="J119" s="6">
        <v>0</v>
      </c>
      <c r="K119" s="6">
        <v>4685.95</v>
      </c>
      <c r="L119" s="6">
        <v>0</v>
      </c>
      <c r="M119" s="18">
        <v>0</v>
      </c>
      <c r="N119" s="18">
        <v>27000</v>
      </c>
    </row>
    <row r="120" spans="1:14" hidden="1">
      <c r="A120" s="4" t="s">
        <v>1959</v>
      </c>
      <c r="B120" s="5" t="s">
        <v>1960</v>
      </c>
      <c r="C120" s="6" t="s">
        <v>134</v>
      </c>
      <c r="D120" s="6" t="s">
        <v>135</v>
      </c>
      <c r="E120" s="6" t="s">
        <v>136</v>
      </c>
      <c r="F120" s="18">
        <v>10743.8</v>
      </c>
      <c r="G120" s="18">
        <v>0</v>
      </c>
      <c r="H120" s="6">
        <v>0</v>
      </c>
      <c r="I120" s="6">
        <v>0</v>
      </c>
      <c r="J120" s="6">
        <v>0</v>
      </c>
      <c r="K120" s="6">
        <v>2256.2000000000003</v>
      </c>
      <c r="L120" s="6">
        <v>0</v>
      </c>
      <c r="M120" s="18">
        <v>0</v>
      </c>
      <c r="N120" s="18">
        <v>13000</v>
      </c>
    </row>
    <row r="121" spans="1:14" hidden="1">
      <c r="A121" s="4" t="s">
        <v>1959</v>
      </c>
      <c r="B121" s="5" t="s">
        <v>1961</v>
      </c>
      <c r="C121" s="6" t="s">
        <v>134</v>
      </c>
      <c r="D121" s="6" t="s">
        <v>135</v>
      </c>
      <c r="E121" s="6" t="s">
        <v>136</v>
      </c>
      <c r="F121" s="18">
        <v>28429.75</v>
      </c>
      <c r="G121" s="18">
        <v>0</v>
      </c>
      <c r="H121" s="6">
        <v>0</v>
      </c>
      <c r="I121" s="6">
        <v>0</v>
      </c>
      <c r="J121" s="6">
        <v>0</v>
      </c>
      <c r="K121" s="6">
        <v>5970.25</v>
      </c>
      <c r="L121" s="6">
        <v>0</v>
      </c>
      <c r="M121" s="18">
        <v>0</v>
      </c>
      <c r="N121" s="18">
        <v>34400</v>
      </c>
    </row>
    <row r="122" spans="1:14" hidden="1">
      <c r="A122" s="4" t="s">
        <v>1959</v>
      </c>
      <c r="B122" s="5" t="s">
        <v>1962</v>
      </c>
      <c r="C122" s="6" t="s">
        <v>134</v>
      </c>
      <c r="D122" s="6" t="s">
        <v>135</v>
      </c>
      <c r="E122" s="6" t="s">
        <v>136</v>
      </c>
      <c r="F122" s="18">
        <v>10743.8</v>
      </c>
      <c r="G122" s="18">
        <v>0</v>
      </c>
      <c r="H122" s="6">
        <v>0</v>
      </c>
      <c r="I122" s="6">
        <v>0</v>
      </c>
      <c r="J122" s="6">
        <v>0</v>
      </c>
      <c r="K122" s="6">
        <v>2256.2000000000003</v>
      </c>
      <c r="L122" s="6">
        <v>0</v>
      </c>
      <c r="M122" s="18">
        <v>0</v>
      </c>
      <c r="N122" s="18">
        <v>13000</v>
      </c>
    </row>
    <row r="123" spans="1:14" hidden="1">
      <c r="A123" s="4" t="s">
        <v>1959</v>
      </c>
      <c r="B123" s="5" t="s">
        <v>1963</v>
      </c>
      <c r="C123" s="6" t="s">
        <v>134</v>
      </c>
      <c r="D123" s="6" t="s">
        <v>135</v>
      </c>
      <c r="E123" s="6" t="s">
        <v>136</v>
      </c>
      <c r="F123" s="18">
        <v>10743.8</v>
      </c>
      <c r="G123" s="18">
        <v>0</v>
      </c>
      <c r="H123" s="6">
        <v>0</v>
      </c>
      <c r="I123" s="6">
        <v>0</v>
      </c>
      <c r="J123" s="6">
        <v>0</v>
      </c>
      <c r="K123" s="6">
        <v>2256.2000000000003</v>
      </c>
      <c r="L123" s="6">
        <v>0</v>
      </c>
      <c r="M123" s="18">
        <v>0</v>
      </c>
      <c r="N123" s="18">
        <v>13000</v>
      </c>
    </row>
    <row r="124" spans="1:14" hidden="1">
      <c r="A124" s="4" t="s">
        <v>1959</v>
      </c>
      <c r="B124" s="5" t="s">
        <v>1964</v>
      </c>
      <c r="C124" s="6" t="s">
        <v>134</v>
      </c>
      <c r="D124" s="6" t="s">
        <v>135</v>
      </c>
      <c r="E124" s="6" t="s">
        <v>136</v>
      </c>
      <c r="F124" s="18">
        <v>29338.84</v>
      </c>
      <c r="G124" s="18">
        <v>0</v>
      </c>
      <c r="H124" s="6">
        <v>0</v>
      </c>
      <c r="I124" s="6">
        <v>0</v>
      </c>
      <c r="J124" s="6">
        <v>0</v>
      </c>
      <c r="K124" s="6">
        <v>6161.16</v>
      </c>
      <c r="L124" s="6">
        <v>0</v>
      </c>
      <c r="M124" s="18">
        <v>0</v>
      </c>
      <c r="N124" s="18">
        <v>35500</v>
      </c>
    </row>
    <row r="125" spans="1:14" hidden="1">
      <c r="A125" s="4" t="s">
        <v>1959</v>
      </c>
      <c r="B125" s="5" t="s">
        <v>1965</v>
      </c>
      <c r="C125" s="6" t="s">
        <v>134</v>
      </c>
      <c r="D125" s="6" t="s">
        <v>135</v>
      </c>
      <c r="E125" s="6" t="s">
        <v>136</v>
      </c>
      <c r="F125" s="18">
        <v>10743.8</v>
      </c>
      <c r="G125" s="18">
        <v>0</v>
      </c>
      <c r="H125" s="6">
        <v>0</v>
      </c>
      <c r="I125" s="6">
        <v>0</v>
      </c>
      <c r="J125" s="6">
        <v>0</v>
      </c>
      <c r="K125" s="6">
        <v>2256.2000000000003</v>
      </c>
      <c r="L125" s="6">
        <v>0</v>
      </c>
      <c r="M125" s="18">
        <v>0</v>
      </c>
      <c r="N125" s="18">
        <v>13000</v>
      </c>
    </row>
    <row r="126" spans="1:14" hidden="1">
      <c r="A126" s="4" t="s">
        <v>1959</v>
      </c>
      <c r="B126" s="5" t="s">
        <v>1966</v>
      </c>
      <c r="C126" s="6" t="s">
        <v>134</v>
      </c>
      <c r="D126" s="6" t="s">
        <v>135</v>
      </c>
      <c r="E126" s="6" t="s">
        <v>136</v>
      </c>
      <c r="F126" s="18">
        <v>86352.89</v>
      </c>
      <c r="G126" s="18">
        <v>0</v>
      </c>
      <c r="H126" s="6">
        <v>0</v>
      </c>
      <c r="I126" s="6">
        <v>0</v>
      </c>
      <c r="J126" s="6">
        <v>0</v>
      </c>
      <c r="K126" s="6">
        <v>18134.11</v>
      </c>
      <c r="L126" s="6">
        <v>0</v>
      </c>
      <c r="M126" s="18">
        <v>0</v>
      </c>
      <c r="N126" s="18">
        <v>104487</v>
      </c>
    </row>
    <row r="127" spans="1:14" hidden="1">
      <c r="A127" s="4" t="s">
        <v>1959</v>
      </c>
      <c r="B127" s="5" t="s">
        <v>1967</v>
      </c>
      <c r="C127" s="6" t="s">
        <v>134</v>
      </c>
      <c r="D127" s="6" t="s">
        <v>135</v>
      </c>
      <c r="E127" s="6" t="s">
        <v>136</v>
      </c>
      <c r="F127" s="18">
        <v>21404.959999999999</v>
      </c>
      <c r="G127" s="18">
        <v>0</v>
      </c>
      <c r="H127" s="6">
        <v>0</v>
      </c>
      <c r="I127" s="6">
        <v>0</v>
      </c>
      <c r="J127" s="6">
        <v>0</v>
      </c>
      <c r="K127" s="6">
        <v>4495.04</v>
      </c>
      <c r="L127" s="6">
        <v>0</v>
      </c>
      <c r="M127" s="18">
        <v>0</v>
      </c>
      <c r="N127" s="18">
        <v>25900</v>
      </c>
    </row>
    <row r="128" spans="1:14" hidden="1">
      <c r="A128" s="4" t="s">
        <v>1959</v>
      </c>
      <c r="B128" s="5" t="s">
        <v>1968</v>
      </c>
      <c r="C128" s="6" t="s">
        <v>134</v>
      </c>
      <c r="D128" s="6" t="s">
        <v>135</v>
      </c>
      <c r="E128" s="6" t="s">
        <v>136</v>
      </c>
      <c r="F128" s="18">
        <v>10743.8</v>
      </c>
      <c r="G128" s="18">
        <v>0</v>
      </c>
      <c r="H128" s="6">
        <v>0</v>
      </c>
      <c r="I128" s="6">
        <v>0</v>
      </c>
      <c r="J128" s="6">
        <v>0</v>
      </c>
      <c r="K128" s="6">
        <v>2256.2000000000003</v>
      </c>
      <c r="L128" s="6">
        <v>0</v>
      </c>
      <c r="M128" s="18">
        <v>0</v>
      </c>
      <c r="N128" s="18">
        <v>13000</v>
      </c>
    </row>
    <row r="129" spans="1:14" hidden="1">
      <c r="A129" s="4" t="s">
        <v>1959</v>
      </c>
      <c r="B129" s="5" t="s">
        <v>1969</v>
      </c>
      <c r="C129" s="6" t="s">
        <v>134</v>
      </c>
      <c r="D129" s="6" t="s">
        <v>135</v>
      </c>
      <c r="E129" s="6" t="s">
        <v>136</v>
      </c>
      <c r="F129" s="18">
        <v>5785.12</v>
      </c>
      <c r="G129" s="18">
        <v>0</v>
      </c>
      <c r="H129" s="6">
        <v>0</v>
      </c>
      <c r="I129" s="6">
        <v>0</v>
      </c>
      <c r="J129" s="6">
        <v>0</v>
      </c>
      <c r="K129" s="6">
        <v>1214.8800000000001</v>
      </c>
      <c r="L129" s="6">
        <v>0</v>
      </c>
      <c r="M129" s="18">
        <v>0</v>
      </c>
      <c r="N129" s="18">
        <v>7000</v>
      </c>
    </row>
    <row r="130" spans="1:14" hidden="1">
      <c r="A130" s="4" t="s">
        <v>1959</v>
      </c>
      <c r="B130" s="5" t="s">
        <v>1970</v>
      </c>
      <c r="C130" s="6" t="s">
        <v>134</v>
      </c>
      <c r="D130" s="6" t="s">
        <v>135</v>
      </c>
      <c r="E130" s="6" t="s">
        <v>136</v>
      </c>
      <c r="F130" s="18">
        <v>10330.58</v>
      </c>
      <c r="G130" s="18">
        <v>0</v>
      </c>
      <c r="H130" s="6">
        <v>0</v>
      </c>
      <c r="I130" s="6">
        <v>0</v>
      </c>
      <c r="J130" s="6">
        <v>0</v>
      </c>
      <c r="K130" s="6">
        <v>2169.42</v>
      </c>
      <c r="L130" s="6">
        <v>0</v>
      </c>
      <c r="M130" s="18">
        <v>0</v>
      </c>
      <c r="N130" s="18">
        <v>12500</v>
      </c>
    </row>
    <row r="131" spans="1:14" hidden="1">
      <c r="A131" s="4" t="s">
        <v>1959</v>
      </c>
      <c r="B131" s="5" t="s">
        <v>1971</v>
      </c>
      <c r="C131" s="6" t="s">
        <v>134</v>
      </c>
      <c r="D131" s="6" t="s">
        <v>135</v>
      </c>
      <c r="E131" s="6" t="s">
        <v>136</v>
      </c>
      <c r="F131" s="18">
        <v>10743.8</v>
      </c>
      <c r="G131" s="18">
        <v>0</v>
      </c>
      <c r="H131" s="6">
        <v>0</v>
      </c>
      <c r="I131" s="6">
        <v>0</v>
      </c>
      <c r="J131" s="6">
        <v>0</v>
      </c>
      <c r="K131" s="6">
        <v>2256.2000000000003</v>
      </c>
      <c r="L131" s="6">
        <v>0</v>
      </c>
      <c r="M131" s="18">
        <v>0</v>
      </c>
      <c r="N131" s="18">
        <v>13000</v>
      </c>
    </row>
    <row r="132" spans="1:14" hidden="1">
      <c r="A132" s="4" t="s">
        <v>1959</v>
      </c>
      <c r="B132" s="5" t="s">
        <v>1972</v>
      </c>
      <c r="C132" s="6" t="s">
        <v>134</v>
      </c>
      <c r="D132" s="6" t="s">
        <v>135</v>
      </c>
      <c r="E132" s="6" t="s">
        <v>136</v>
      </c>
      <c r="F132" s="18">
        <v>6942.15</v>
      </c>
      <c r="G132" s="18">
        <v>0</v>
      </c>
      <c r="H132" s="6">
        <v>0</v>
      </c>
      <c r="I132" s="6">
        <v>0</v>
      </c>
      <c r="J132" s="6">
        <v>0</v>
      </c>
      <c r="K132" s="6">
        <v>1457.85</v>
      </c>
      <c r="L132" s="6">
        <v>0</v>
      </c>
      <c r="M132" s="18">
        <v>0</v>
      </c>
      <c r="N132" s="18">
        <v>8400</v>
      </c>
    </row>
    <row r="133" spans="1:14" hidden="1">
      <c r="A133" s="4" t="s">
        <v>1959</v>
      </c>
      <c r="B133" s="5" t="s">
        <v>1973</v>
      </c>
      <c r="C133" s="6" t="s">
        <v>134</v>
      </c>
      <c r="D133" s="6" t="s">
        <v>135</v>
      </c>
      <c r="E133" s="6" t="s">
        <v>136</v>
      </c>
      <c r="F133" s="18">
        <v>20661.16</v>
      </c>
      <c r="G133" s="18">
        <v>0</v>
      </c>
      <c r="H133" s="6">
        <v>0</v>
      </c>
      <c r="I133" s="6">
        <v>0</v>
      </c>
      <c r="J133" s="6">
        <v>0</v>
      </c>
      <c r="K133" s="6">
        <v>4338.84</v>
      </c>
      <c r="L133" s="6">
        <v>0</v>
      </c>
      <c r="M133" s="18">
        <v>0</v>
      </c>
      <c r="N133" s="18">
        <v>25000</v>
      </c>
    </row>
    <row r="134" spans="1:14" hidden="1">
      <c r="A134" s="4" t="s">
        <v>1959</v>
      </c>
      <c r="B134" s="5" t="s">
        <v>1974</v>
      </c>
      <c r="C134" s="6" t="s">
        <v>134</v>
      </c>
      <c r="D134" s="6" t="s">
        <v>135</v>
      </c>
      <c r="E134" s="6" t="s">
        <v>136</v>
      </c>
      <c r="F134" s="18">
        <v>50826.44</v>
      </c>
      <c r="G134" s="18">
        <v>0</v>
      </c>
      <c r="H134" s="6">
        <v>0</v>
      </c>
      <c r="I134" s="6">
        <v>0</v>
      </c>
      <c r="J134" s="6">
        <v>0</v>
      </c>
      <c r="K134" s="6">
        <v>10673.56</v>
      </c>
      <c r="L134" s="6">
        <v>0</v>
      </c>
      <c r="M134" s="18">
        <v>0</v>
      </c>
      <c r="N134" s="18">
        <v>61500</v>
      </c>
    </row>
    <row r="135" spans="1:14" hidden="1">
      <c r="A135" s="4" t="s">
        <v>1987</v>
      </c>
      <c r="B135" s="5" t="s">
        <v>1988</v>
      </c>
      <c r="C135" s="6" t="s">
        <v>134</v>
      </c>
      <c r="D135" s="6" t="s">
        <v>135</v>
      </c>
      <c r="E135" s="6" t="s">
        <v>136</v>
      </c>
      <c r="F135" s="18">
        <v>10743.8</v>
      </c>
      <c r="G135" s="18">
        <v>0</v>
      </c>
      <c r="H135" s="6">
        <v>0</v>
      </c>
      <c r="I135" s="6">
        <v>0</v>
      </c>
      <c r="J135" s="6">
        <v>0</v>
      </c>
      <c r="K135" s="6">
        <v>2256.2000000000003</v>
      </c>
      <c r="L135" s="6">
        <v>0</v>
      </c>
      <c r="M135" s="18">
        <v>0</v>
      </c>
      <c r="N135" s="18">
        <v>13000</v>
      </c>
    </row>
    <row r="136" spans="1:14" hidden="1">
      <c r="A136" s="4" t="s">
        <v>1987</v>
      </c>
      <c r="B136" s="5" t="s">
        <v>1989</v>
      </c>
      <c r="C136" s="6" t="s">
        <v>134</v>
      </c>
      <c r="D136" s="6" t="s">
        <v>135</v>
      </c>
      <c r="E136" s="6" t="s">
        <v>136</v>
      </c>
      <c r="F136" s="18">
        <v>16528.93</v>
      </c>
      <c r="G136" s="18">
        <v>0</v>
      </c>
      <c r="H136" s="6">
        <v>0</v>
      </c>
      <c r="I136" s="6">
        <v>0</v>
      </c>
      <c r="J136" s="6">
        <v>0</v>
      </c>
      <c r="K136" s="6">
        <v>3471.07</v>
      </c>
      <c r="L136" s="6">
        <v>0</v>
      </c>
      <c r="M136" s="18">
        <v>0</v>
      </c>
      <c r="N136" s="18">
        <v>20000</v>
      </c>
    </row>
    <row r="137" spans="1:14" hidden="1">
      <c r="A137" s="4" t="s">
        <v>1987</v>
      </c>
      <c r="B137" s="5" t="s">
        <v>1990</v>
      </c>
      <c r="C137" s="6" t="s">
        <v>134</v>
      </c>
      <c r="D137" s="6" t="s">
        <v>135</v>
      </c>
      <c r="E137" s="6" t="s">
        <v>136</v>
      </c>
      <c r="F137" s="18">
        <v>10743.8</v>
      </c>
      <c r="G137" s="18">
        <v>0</v>
      </c>
      <c r="H137" s="6">
        <v>0</v>
      </c>
      <c r="I137" s="6">
        <v>0</v>
      </c>
      <c r="J137" s="6">
        <v>0</v>
      </c>
      <c r="K137" s="6">
        <v>2256.2000000000003</v>
      </c>
      <c r="L137" s="6">
        <v>0</v>
      </c>
      <c r="M137" s="18">
        <v>0</v>
      </c>
      <c r="N137" s="18">
        <v>13000</v>
      </c>
    </row>
    <row r="138" spans="1:14" hidden="1">
      <c r="A138" s="4" t="s">
        <v>1987</v>
      </c>
      <c r="B138" s="5" t="s">
        <v>1991</v>
      </c>
      <c r="C138" s="6" t="s">
        <v>134</v>
      </c>
      <c r="D138" s="6" t="s">
        <v>135</v>
      </c>
      <c r="E138" s="6" t="s">
        <v>136</v>
      </c>
      <c r="F138" s="18">
        <v>11487.6</v>
      </c>
      <c r="G138" s="18">
        <v>0</v>
      </c>
      <c r="H138" s="6">
        <v>0</v>
      </c>
      <c r="I138" s="6">
        <v>0</v>
      </c>
      <c r="J138" s="6">
        <v>0</v>
      </c>
      <c r="K138" s="6">
        <v>2412.4</v>
      </c>
      <c r="L138" s="6">
        <v>0</v>
      </c>
      <c r="M138" s="18">
        <v>0</v>
      </c>
      <c r="N138" s="18">
        <v>13900</v>
      </c>
    </row>
    <row r="139" spans="1:14" hidden="1">
      <c r="A139" s="4" t="s">
        <v>1987</v>
      </c>
      <c r="B139" s="5" t="s">
        <v>1992</v>
      </c>
      <c r="C139" s="6" t="s">
        <v>134</v>
      </c>
      <c r="D139" s="6" t="s">
        <v>135</v>
      </c>
      <c r="E139" s="6" t="s">
        <v>136</v>
      </c>
      <c r="F139" s="18">
        <v>10743.8</v>
      </c>
      <c r="G139" s="18">
        <v>0</v>
      </c>
      <c r="H139" s="6">
        <v>0</v>
      </c>
      <c r="I139" s="6">
        <v>0</v>
      </c>
      <c r="J139" s="6">
        <v>0</v>
      </c>
      <c r="K139" s="6">
        <v>2256.2000000000003</v>
      </c>
      <c r="L139" s="6">
        <v>0</v>
      </c>
      <c r="M139" s="18">
        <v>0</v>
      </c>
      <c r="N139" s="18">
        <v>13000</v>
      </c>
    </row>
    <row r="140" spans="1:14">
      <c r="A140" s="4" t="s">
        <v>1987</v>
      </c>
      <c r="B140" s="5" t="s">
        <v>1993</v>
      </c>
      <c r="C140" s="6" t="s">
        <v>1994</v>
      </c>
      <c r="D140" s="6" t="s">
        <v>135</v>
      </c>
      <c r="E140" s="6">
        <v>96039098</v>
      </c>
      <c r="F140" s="18">
        <v>41322.31</v>
      </c>
      <c r="G140" s="18">
        <v>0</v>
      </c>
      <c r="H140" s="6">
        <v>0</v>
      </c>
      <c r="I140" s="6">
        <v>0</v>
      </c>
      <c r="J140" s="6">
        <v>0</v>
      </c>
      <c r="K140" s="6">
        <v>8677.69</v>
      </c>
      <c r="L140" s="6">
        <v>0</v>
      </c>
      <c r="M140" s="18">
        <v>0</v>
      </c>
      <c r="N140" s="18">
        <v>50000</v>
      </c>
    </row>
    <row r="141" spans="1:14" hidden="1">
      <c r="A141" s="4" t="s">
        <v>1987</v>
      </c>
      <c r="B141" s="5" t="s">
        <v>1995</v>
      </c>
      <c r="C141" s="6" t="s">
        <v>134</v>
      </c>
      <c r="D141" s="6" t="s">
        <v>135</v>
      </c>
      <c r="E141" s="6" t="s">
        <v>136</v>
      </c>
      <c r="F141" s="18">
        <v>8264.4600000000009</v>
      </c>
      <c r="G141" s="18">
        <v>0</v>
      </c>
      <c r="H141" s="6">
        <v>0</v>
      </c>
      <c r="I141" s="6">
        <v>0</v>
      </c>
      <c r="J141" s="6">
        <v>0</v>
      </c>
      <c r="K141" s="6">
        <v>1735.54</v>
      </c>
      <c r="L141" s="6">
        <v>0</v>
      </c>
      <c r="M141" s="18">
        <v>0</v>
      </c>
      <c r="N141" s="18">
        <v>10000</v>
      </c>
    </row>
    <row r="142" spans="1:14" hidden="1">
      <c r="A142" s="4" t="s">
        <v>1987</v>
      </c>
      <c r="B142" s="5" t="s">
        <v>1996</v>
      </c>
      <c r="C142" s="6" t="s">
        <v>134</v>
      </c>
      <c r="D142" s="6" t="s">
        <v>135</v>
      </c>
      <c r="E142" s="6" t="s">
        <v>136</v>
      </c>
      <c r="F142" s="18">
        <v>12809.92</v>
      </c>
      <c r="G142" s="18">
        <v>0</v>
      </c>
      <c r="H142" s="6">
        <v>0</v>
      </c>
      <c r="I142" s="6">
        <v>0</v>
      </c>
      <c r="J142" s="6">
        <v>0</v>
      </c>
      <c r="K142" s="6">
        <v>2690.08</v>
      </c>
      <c r="L142" s="6">
        <v>0</v>
      </c>
      <c r="M142" s="18">
        <v>0</v>
      </c>
      <c r="N142" s="18">
        <v>15500</v>
      </c>
    </row>
    <row r="143" spans="1:14" hidden="1">
      <c r="A143" s="4" t="s">
        <v>1987</v>
      </c>
      <c r="B143" s="5" t="s">
        <v>1997</v>
      </c>
      <c r="C143" s="6" t="s">
        <v>134</v>
      </c>
      <c r="D143" s="6" t="s">
        <v>135</v>
      </c>
      <c r="E143" s="6" t="s">
        <v>136</v>
      </c>
      <c r="F143" s="18">
        <v>10743.8</v>
      </c>
      <c r="G143" s="18">
        <v>0</v>
      </c>
      <c r="H143" s="6">
        <v>0</v>
      </c>
      <c r="I143" s="6">
        <v>0</v>
      </c>
      <c r="J143" s="6">
        <v>0</v>
      </c>
      <c r="K143" s="6">
        <v>2256.2000000000003</v>
      </c>
      <c r="L143" s="6">
        <v>0</v>
      </c>
      <c r="M143" s="18">
        <v>0</v>
      </c>
      <c r="N143" s="18">
        <v>13000</v>
      </c>
    </row>
    <row r="144" spans="1:14" hidden="1">
      <c r="A144" s="4" t="s">
        <v>1987</v>
      </c>
      <c r="B144" s="5" t="s">
        <v>1998</v>
      </c>
      <c r="C144" s="6" t="s">
        <v>134</v>
      </c>
      <c r="D144" s="6" t="s">
        <v>135</v>
      </c>
      <c r="E144" s="6" t="s">
        <v>136</v>
      </c>
      <c r="F144" s="18">
        <v>20000</v>
      </c>
      <c r="G144" s="18">
        <v>0</v>
      </c>
      <c r="H144" s="6">
        <v>0</v>
      </c>
      <c r="I144" s="6">
        <v>0</v>
      </c>
      <c r="J144" s="6">
        <v>0</v>
      </c>
      <c r="K144" s="6">
        <v>4200</v>
      </c>
      <c r="L144" s="6">
        <v>0</v>
      </c>
      <c r="M144" s="18">
        <v>0</v>
      </c>
      <c r="N144" s="18">
        <v>24200</v>
      </c>
    </row>
    <row r="145" spans="1:14" hidden="1">
      <c r="A145" s="4" t="s">
        <v>1987</v>
      </c>
      <c r="B145" s="5" t="s">
        <v>1999</v>
      </c>
      <c r="C145" s="6" t="s">
        <v>134</v>
      </c>
      <c r="D145" s="6" t="s">
        <v>135</v>
      </c>
      <c r="E145" s="6" t="s">
        <v>136</v>
      </c>
      <c r="F145" s="18">
        <v>10743.8</v>
      </c>
      <c r="G145" s="18">
        <v>0</v>
      </c>
      <c r="H145" s="6">
        <v>0</v>
      </c>
      <c r="I145" s="6">
        <v>0</v>
      </c>
      <c r="J145" s="6">
        <v>0</v>
      </c>
      <c r="K145" s="6">
        <v>2256.2000000000003</v>
      </c>
      <c r="L145" s="6">
        <v>0</v>
      </c>
      <c r="M145" s="18">
        <v>0</v>
      </c>
      <c r="N145" s="18">
        <v>13000</v>
      </c>
    </row>
    <row r="146" spans="1:14" hidden="1">
      <c r="A146" s="4" t="s">
        <v>1987</v>
      </c>
      <c r="B146" s="5" t="s">
        <v>2000</v>
      </c>
      <c r="C146" s="6" t="s">
        <v>134</v>
      </c>
      <c r="D146" s="6" t="s">
        <v>135</v>
      </c>
      <c r="E146" s="6" t="s">
        <v>136</v>
      </c>
      <c r="F146" s="18">
        <v>2644.63</v>
      </c>
      <c r="G146" s="18">
        <v>0</v>
      </c>
      <c r="H146" s="6">
        <v>0</v>
      </c>
      <c r="I146" s="6">
        <v>0</v>
      </c>
      <c r="J146" s="6">
        <v>0</v>
      </c>
      <c r="K146" s="6">
        <v>555.37</v>
      </c>
      <c r="L146" s="6">
        <v>0</v>
      </c>
      <c r="M146" s="18">
        <v>0</v>
      </c>
      <c r="N146" s="18">
        <v>3200</v>
      </c>
    </row>
    <row r="147" spans="1:14">
      <c r="A147" s="4" t="s">
        <v>1987</v>
      </c>
      <c r="B147" s="5" t="s">
        <v>2001</v>
      </c>
      <c r="C147" s="6" t="s">
        <v>2002</v>
      </c>
      <c r="D147" s="6" t="s">
        <v>135</v>
      </c>
      <c r="E147" s="6">
        <v>13800871</v>
      </c>
      <c r="F147" s="18">
        <v>21487.599999999999</v>
      </c>
      <c r="G147" s="18">
        <v>0</v>
      </c>
      <c r="H147" s="6">
        <v>0</v>
      </c>
      <c r="I147" s="6">
        <v>0</v>
      </c>
      <c r="J147" s="6">
        <v>0</v>
      </c>
      <c r="K147" s="6">
        <v>4512.4000000000005</v>
      </c>
      <c r="L147" s="6">
        <v>0</v>
      </c>
      <c r="M147" s="18">
        <v>0</v>
      </c>
      <c r="N147" s="18">
        <v>26000</v>
      </c>
    </row>
    <row r="148" spans="1:14" hidden="1">
      <c r="A148" s="4" t="s">
        <v>1987</v>
      </c>
      <c r="B148" s="5" t="s">
        <v>2003</v>
      </c>
      <c r="C148" s="6" t="s">
        <v>134</v>
      </c>
      <c r="D148" s="6" t="s">
        <v>135</v>
      </c>
      <c r="E148" s="6" t="s">
        <v>136</v>
      </c>
      <c r="F148" s="18">
        <v>17685.95</v>
      </c>
      <c r="G148" s="18">
        <v>0</v>
      </c>
      <c r="H148" s="6">
        <v>0</v>
      </c>
      <c r="I148" s="6">
        <v>0</v>
      </c>
      <c r="J148" s="6">
        <v>0</v>
      </c>
      <c r="K148" s="6">
        <v>3714.05</v>
      </c>
      <c r="L148" s="6">
        <v>0</v>
      </c>
      <c r="M148" s="18">
        <v>0</v>
      </c>
      <c r="N148" s="18">
        <v>21400</v>
      </c>
    </row>
    <row r="149" spans="1:14" hidden="1">
      <c r="A149" s="4" t="s">
        <v>1987</v>
      </c>
      <c r="B149" s="5" t="s">
        <v>2004</v>
      </c>
      <c r="C149" s="6" t="s">
        <v>134</v>
      </c>
      <c r="D149" s="6" t="s">
        <v>135</v>
      </c>
      <c r="E149" s="6" t="s">
        <v>136</v>
      </c>
      <c r="F149" s="18">
        <v>10743.8</v>
      </c>
      <c r="G149" s="18">
        <v>0</v>
      </c>
      <c r="H149" s="6">
        <v>0</v>
      </c>
      <c r="I149" s="6">
        <v>0</v>
      </c>
      <c r="J149" s="6">
        <v>0</v>
      </c>
      <c r="K149" s="6">
        <v>2256.2000000000003</v>
      </c>
      <c r="L149" s="6">
        <v>0</v>
      </c>
      <c r="M149" s="18">
        <v>0</v>
      </c>
      <c r="N149" s="18">
        <v>13000</v>
      </c>
    </row>
    <row r="150" spans="1:14" hidden="1">
      <c r="A150" s="4" t="s">
        <v>1987</v>
      </c>
      <c r="B150" s="5" t="s">
        <v>2005</v>
      </c>
      <c r="C150" s="6" t="s">
        <v>134</v>
      </c>
      <c r="D150" s="6" t="s">
        <v>135</v>
      </c>
      <c r="E150" s="6" t="s">
        <v>136</v>
      </c>
      <c r="F150" s="18">
        <v>14669.42</v>
      </c>
      <c r="G150" s="18">
        <v>0</v>
      </c>
      <c r="H150" s="6">
        <v>0</v>
      </c>
      <c r="I150" s="6">
        <v>0</v>
      </c>
      <c r="J150" s="6">
        <v>0</v>
      </c>
      <c r="K150" s="6">
        <v>3080.58</v>
      </c>
      <c r="L150" s="6">
        <v>0</v>
      </c>
      <c r="M150" s="18">
        <v>0</v>
      </c>
      <c r="N150" s="18">
        <v>17750</v>
      </c>
    </row>
    <row r="151" spans="1:14" hidden="1">
      <c r="A151" s="4" t="s">
        <v>1987</v>
      </c>
      <c r="B151" s="5" t="s">
        <v>2006</v>
      </c>
      <c r="C151" s="6" t="s">
        <v>134</v>
      </c>
      <c r="D151" s="6" t="s">
        <v>135</v>
      </c>
      <c r="E151" s="6" t="s">
        <v>136</v>
      </c>
      <c r="F151" s="18">
        <v>10743.8</v>
      </c>
      <c r="G151" s="18">
        <v>0</v>
      </c>
      <c r="H151" s="6">
        <v>0</v>
      </c>
      <c r="I151" s="6">
        <v>0</v>
      </c>
      <c r="J151" s="6">
        <v>0</v>
      </c>
      <c r="K151" s="6">
        <v>2256.2000000000003</v>
      </c>
      <c r="L151" s="6">
        <v>0</v>
      </c>
      <c r="M151" s="18">
        <v>0</v>
      </c>
      <c r="N151" s="18">
        <v>13000</v>
      </c>
    </row>
    <row r="152" spans="1:14" hidden="1">
      <c r="A152" s="4" t="s">
        <v>1987</v>
      </c>
      <c r="B152" s="5" t="s">
        <v>2007</v>
      </c>
      <c r="C152" s="6" t="s">
        <v>134</v>
      </c>
      <c r="D152" s="6" t="s">
        <v>135</v>
      </c>
      <c r="E152" s="6" t="s">
        <v>136</v>
      </c>
      <c r="F152" s="18">
        <v>11487.6</v>
      </c>
      <c r="G152" s="18">
        <v>0</v>
      </c>
      <c r="H152" s="6">
        <v>0</v>
      </c>
      <c r="I152" s="6">
        <v>0</v>
      </c>
      <c r="J152" s="6">
        <v>0</v>
      </c>
      <c r="K152" s="6">
        <v>2412.4</v>
      </c>
      <c r="L152" s="6">
        <v>0</v>
      </c>
      <c r="M152" s="18">
        <v>0</v>
      </c>
      <c r="N152" s="18">
        <v>13900</v>
      </c>
    </row>
    <row r="153" spans="1:14" hidden="1">
      <c r="A153" s="4" t="s">
        <v>1987</v>
      </c>
      <c r="B153" s="5" t="s">
        <v>2008</v>
      </c>
      <c r="C153" s="6" t="s">
        <v>134</v>
      </c>
      <c r="D153" s="6" t="s">
        <v>135</v>
      </c>
      <c r="E153" s="6" t="s">
        <v>136</v>
      </c>
      <c r="F153" s="18">
        <v>10743.8</v>
      </c>
      <c r="G153" s="18">
        <v>0</v>
      </c>
      <c r="H153" s="6">
        <v>0</v>
      </c>
      <c r="I153" s="6">
        <v>0</v>
      </c>
      <c r="J153" s="6">
        <v>0</v>
      </c>
      <c r="K153" s="6">
        <v>2256.2000000000003</v>
      </c>
      <c r="L153" s="6">
        <v>0</v>
      </c>
      <c r="M153" s="18">
        <v>0</v>
      </c>
      <c r="N153" s="18">
        <v>13000</v>
      </c>
    </row>
    <row r="154" spans="1:14" hidden="1">
      <c r="A154" s="4" t="s">
        <v>1987</v>
      </c>
      <c r="B154" s="5" t="s">
        <v>2009</v>
      </c>
      <c r="C154" s="6" t="s">
        <v>134</v>
      </c>
      <c r="D154" s="6" t="s">
        <v>135</v>
      </c>
      <c r="E154" s="6" t="s">
        <v>136</v>
      </c>
      <c r="F154" s="18">
        <v>48347.11</v>
      </c>
      <c r="G154" s="18">
        <v>0</v>
      </c>
      <c r="H154" s="6">
        <v>0</v>
      </c>
      <c r="I154" s="6">
        <v>0</v>
      </c>
      <c r="J154" s="6">
        <v>0</v>
      </c>
      <c r="K154" s="6">
        <v>10152.89</v>
      </c>
      <c r="L154" s="6">
        <v>0</v>
      </c>
      <c r="M154" s="18">
        <v>0</v>
      </c>
      <c r="N154" s="18">
        <v>58500</v>
      </c>
    </row>
    <row r="155" spans="1:14" hidden="1">
      <c r="A155" s="4" t="s">
        <v>2011</v>
      </c>
      <c r="B155" s="5" t="s">
        <v>2012</v>
      </c>
      <c r="C155" s="6" t="s">
        <v>134</v>
      </c>
      <c r="D155" s="6" t="s">
        <v>135</v>
      </c>
      <c r="E155" s="6" t="s">
        <v>136</v>
      </c>
      <c r="F155" s="18">
        <v>10743.8</v>
      </c>
      <c r="G155" s="18">
        <v>0</v>
      </c>
      <c r="H155" s="6">
        <v>0</v>
      </c>
      <c r="I155" s="6">
        <v>0</v>
      </c>
      <c r="J155" s="6">
        <v>0</v>
      </c>
      <c r="K155" s="6">
        <v>2256.2000000000003</v>
      </c>
      <c r="L155" s="6">
        <v>0</v>
      </c>
      <c r="M155" s="18">
        <v>0</v>
      </c>
      <c r="N155" s="18">
        <v>13000</v>
      </c>
    </row>
    <row r="156" spans="1:14">
      <c r="A156" s="4" t="s">
        <v>2011</v>
      </c>
      <c r="B156" s="5" t="s">
        <v>2013</v>
      </c>
      <c r="C156" s="6" t="s">
        <v>1798</v>
      </c>
      <c r="D156" s="6" t="s">
        <v>135</v>
      </c>
      <c r="E156" s="6">
        <v>8286597</v>
      </c>
      <c r="F156" s="18">
        <v>14462.81</v>
      </c>
      <c r="G156" s="18">
        <v>0</v>
      </c>
      <c r="H156" s="6">
        <v>0</v>
      </c>
      <c r="I156" s="6">
        <v>0</v>
      </c>
      <c r="J156" s="6">
        <v>0</v>
      </c>
      <c r="K156" s="6">
        <v>3037.19</v>
      </c>
      <c r="L156" s="6">
        <v>0</v>
      </c>
      <c r="M156" s="18">
        <v>0</v>
      </c>
      <c r="N156" s="18">
        <v>17500</v>
      </c>
    </row>
    <row r="157" spans="1:14">
      <c r="A157" s="4" t="s">
        <v>2011</v>
      </c>
      <c r="B157" s="5" t="s">
        <v>2014</v>
      </c>
      <c r="C157" s="6" t="s">
        <v>1798</v>
      </c>
      <c r="D157" s="6" t="s">
        <v>135</v>
      </c>
      <c r="E157" s="6">
        <v>8286597</v>
      </c>
      <c r="F157" s="18">
        <v>14876.03</v>
      </c>
      <c r="G157" s="18">
        <v>0</v>
      </c>
      <c r="H157" s="6">
        <v>0</v>
      </c>
      <c r="I157" s="6">
        <v>0</v>
      </c>
      <c r="J157" s="6">
        <v>0</v>
      </c>
      <c r="K157" s="6">
        <v>3123.97</v>
      </c>
      <c r="L157" s="6">
        <v>0</v>
      </c>
      <c r="M157" s="18">
        <v>0</v>
      </c>
      <c r="N157" s="18">
        <v>18000</v>
      </c>
    </row>
    <row r="158" spans="1:14" hidden="1">
      <c r="A158" s="4" t="s">
        <v>2011</v>
      </c>
      <c r="B158" s="5" t="s">
        <v>2015</v>
      </c>
      <c r="C158" s="6" t="s">
        <v>134</v>
      </c>
      <c r="D158" s="6" t="s">
        <v>135</v>
      </c>
      <c r="E158" s="6" t="s">
        <v>136</v>
      </c>
      <c r="F158" s="18">
        <v>17355.37</v>
      </c>
      <c r="G158" s="18">
        <v>0</v>
      </c>
      <c r="H158" s="6">
        <v>0</v>
      </c>
      <c r="I158" s="6">
        <v>0</v>
      </c>
      <c r="J158" s="6">
        <v>0</v>
      </c>
      <c r="K158" s="6">
        <v>3644.63</v>
      </c>
      <c r="L158" s="6">
        <v>0</v>
      </c>
      <c r="M158" s="18">
        <v>0</v>
      </c>
      <c r="N158" s="18">
        <v>21000</v>
      </c>
    </row>
    <row r="159" spans="1:14" hidden="1">
      <c r="A159" s="4" t="s">
        <v>2011</v>
      </c>
      <c r="B159" s="5" t="s">
        <v>2016</v>
      </c>
      <c r="C159" s="6" t="s">
        <v>134</v>
      </c>
      <c r="D159" s="6" t="s">
        <v>135</v>
      </c>
      <c r="E159" s="6" t="s">
        <v>136</v>
      </c>
      <c r="F159" s="18">
        <v>16942.150000000001</v>
      </c>
      <c r="G159" s="18">
        <v>0</v>
      </c>
      <c r="H159" s="6">
        <v>0</v>
      </c>
      <c r="I159" s="6">
        <v>0</v>
      </c>
      <c r="J159" s="6">
        <v>0</v>
      </c>
      <c r="K159" s="6">
        <v>3557.85</v>
      </c>
      <c r="L159" s="6">
        <v>0</v>
      </c>
      <c r="M159" s="18">
        <v>0</v>
      </c>
      <c r="N159" s="18">
        <v>20500</v>
      </c>
    </row>
    <row r="160" spans="1:14" hidden="1">
      <c r="A160" s="4" t="s">
        <v>2011</v>
      </c>
      <c r="B160" s="5" t="s">
        <v>2017</v>
      </c>
      <c r="C160" s="6" t="s">
        <v>134</v>
      </c>
      <c r="D160" s="6" t="s">
        <v>135</v>
      </c>
      <c r="E160" s="6" t="s">
        <v>136</v>
      </c>
      <c r="F160" s="18">
        <v>10743.8</v>
      </c>
      <c r="G160" s="18">
        <v>0</v>
      </c>
      <c r="H160" s="6">
        <v>0</v>
      </c>
      <c r="I160" s="6">
        <v>0</v>
      </c>
      <c r="J160" s="6">
        <v>0</v>
      </c>
      <c r="K160" s="6">
        <v>2256.2000000000003</v>
      </c>
      <c r="L160" s="6">
        <v>0</v>
      </c>
      <c r="M160" s="18">
        <v>0</v>
      </c>
      <c r="N160" s="18">
        <v>13000</v>
      </c>
    </row>
    <row r="161" spans="1:14" hidden="1">
      <c r="A161" s="4" t="s">
        <v>2011</v>
      </c>
      <c r="B161" s="5" t="s">
        <v>2018</v>
      </c>
      <c r="C161" s="6" t="s">
        <v>134</v>
      </c>
      <c r="D161" s="6" t="s">
        <v>135</v>
      </c>
      <c r="E161" s="6" t="s">
        <v>136</v>
      </c>
      <c r="F161" s="18">
        <v>26859.5</v>
      </c>
      <c r="G161" s="18">
        <v>0</v>
      </c>
      <c r="H161" s="6">
        <v>0</v>
      </c>
      <c r="I161" s="6">
        <v>0</v>
      </c>
      <c r="J161" s="6">
        <v>0</v>
      </c>
      <c r="K161" s="6">
        <v>5640.5</v>
      </c>
      <c r="L161" s="6">
        <v>0</v>
      </c>
      <c r="M161" s="18">
        <v>0</v>
      </c>
      <c r="N161" s="18">
        <v>32500</v>
      </c>
    </row>
    <row r="162" spans="1:14" hidden="1">
      <c r="A162" s="4" t="s">
        <v>2011</v>
      </c>
      <c r="B162" s="5" t="s">
        <v>2019</v>
      </c>
      <c r="C162" s="6" t="s">
        <v>134</v>
      </c>
      <c r="D162" s="6" t="s">
        <v>135</v>
      </c>
      <c r="E162" s="6" t="s">
        <v>136</v>
      </c>
      <c r="F162" s="18">
        <v>3057.85</v>
      </c>
      <c r="G162" s="18">
        <v>0</v>
      </c>
      <c r="H162" s="6">
        <v>0</v>
      </c>
      <c r="I162" s="6">
        <v>0</v>
      </c>
      <c r="J162" s="6">
        <v>0</v>
      </c>
      <c r="K162" s="6">
        <v>642.15</v>
      </c>
      <c r="L162" s="6">
        <v>0</v>
      </c>
      <c r="M162" s="18">
        <v>0</v>
      </c>
      <c r="N162" s="18">
        <v>3700</v>
      </c>
    </row>
    <row r="163" spans="1:14" hidden="1">
      <c r="A163" s="4" t="s">
        <v>2011</v>
      </c>
      <c r="B163" s="5" t="s">
        <v>2020</v>
      </c>
      <c r="C163" s="6" t="s">
        <v>134</v>
      </c>
      <c r="D163" s="6" t="s">
        <v>135</v>
      </c>
      <c r="E163" s="6" t="s">
        <v>136</v>
      </c>
      <c r="F163" s="18">
        <v>10743.8</v>
      </c>
      <c r="G163" s="18">
        <v>0</v>
      </c>
      <c r="H163" s="6">
        <v>0</v>
      </c>
      <c r="I163" s="6">
        <v>0</v>
      </c>
      <c r="J163" s="6">
        <v>0</v>
      </c>
      <c r="K163" s="6">
        <v>2256.2000000000003</v>
      </c>
      <c r="L163" s="6">
        <v>0</v>
      </c>
      <c r="M163" s="18">
        <v>0</v>
      </c>
      <c r="N163" s="18">
        <v>13000</v>
      </c>
    </row>
    <row r="164" spans="1:14" hidden="1">
      <c r="A164" s="4" t="s">
        <v>2011</v>
      </c>
      <c r="B164" s="5" t="s">
        <v>2021</v>
      </c>
      <c r="C164" s="6" t="s">
        <v>134</v>
      </c>
      <c r="D164" s="6" t="s">
        <v>135</v>
      </c>
      <c r="E164" s="6" t="s">
        <v>136</v>
      </c>
      <c r="F164" s="18">
        <v>15702.48</v>
      </c>
      <c r="G164" s="18">
        <v>0</v>
      </c>
      <c r="H164" s="6">
        <v>0</v>
      </c>
      <c r="I164" s="6">
        <v>0</v>
      </c>
      <c r="J164" s="6">
        <v>0</v>
      </c>
      <c r="K164" s="6">
        <v>3297.52</v>
      </c>
      <c r="L164" s="6">
        <v>0</v>
      </c>
      <c r="M164" s="18">
        <v>0</v>
      </c>
      <c r="N164" s="18">
        <v>19000</v>
      </c>
    </row>
    <row r="165" spans="1:14" hidden="1">
      <c r="A165" s="4" t="s">
        <v>2011</v>
      </c>
      <c r="B165" s="5" t="s">
        <v>2022</v>
      </c>
      <c r="C165" s="6" t="s">
        <v>134</v>
      </c>
      <c r="D165" s="6" t="s">
        <v>135</v>
      </c>
      <c r="E165" s="6" t="s">
        <v>136</v>
      </c>
      <c r="F165" s="18">
        <v>10743.8</v>
      </c>
      <c r="G165" s="18">
        <v>0</v>
      </c>
      <c r="H165" s="6">
        <v>0</v>
      </c>
      <c r="I165" s="6">
        <v>0</v>
      </c>
      <c r="J165" s="6">
        <v>0</v>
      </c>
      <c r="K165" s="6">
        <v>2256.2000000000003</v>
      </c>
      <c r="L165" s="6">
        <v>0</v>
      </c>
      <c r="M165" s="18">
        <v>0</v>
      </c>
      <c r="N165" s="18">
        <v>13000</v>
      </c>
    </row>
    <row r="166" spans="1:14" hidden="1">
      <c r="A166" s="4" t="s">
        <v>2011</v>
      </c>
      <c r="B166" s="5" t="s">
        <v>2023</v>
      </c>
      <c r="C166" s="6" t="s">
        <v>134</v>
      </c>
      <c r="D166" s="6" t="s">
        <v>135</v>
      </c>
      <c r="E166" s="6" t="s">
        <v>136</v>
      </c>
      <c r="F166" s="18">
        <v>2231.4</v>
      </c>
      <c r="G166" s="18">
        <v>0</v>
      </c>
      <c r="H166" s="6">
        <v>0</v>
      </c>
      <c r="I166" s="6">
        <v>0</v>
      </c>
      <c r="J166" s="6">
        <v>0</v>
      </c>
      <c r="K166" s="6">
        <v>468.6</v>
      </c>
      <c r="L166" s="6">
        <v>0</v>
      </c>
      <c r="M166" s="18">
        <v>0</v>
      </c>
      <c r="N166" s="18">
        <v>2700</v>
      </c>
    </row>
    <row r="167" spans="1:14" hidden="1">
      <c r="A167" s="4" t="s">
        <v>2011</v>
      </c>
      <c r="B167" s="5" t="s">
        <v>2024</v>
      </c>
      <c r="C167" s="6" t="s">
        <v>134</v>
      </c>
      <c r="D167" s="6" t="s">
        <v>135</v>
      </c>
      <c r="E167" s="6" t="s">
        <v>136</v>
      </c>
      <c r="F167" s="18">
        <v>20661.16</v>
      </c>
      <c r="G167" s="18">
        <v>0</v>
      </c>
      <c r="H167" s="6">
        <v>0</v>
      </c>
      <c r="I167" s="6">
        <v>0</v>
      </c>
      <c r="J167" s="6">
        <v>0</v>
      </c>
      <c r="K167" s="6">
        <v>4338.84</v>
      </c>
      <c r="L167" s="6">
        <v>0</v>
      </c>
      <c r="M167" s="18">
        <v>0</v>
      </c>
      <c r="N167" s="18">
        <v>25000</v>
      </c>
    </row>
    <row r="168" spans="1:14" hidden="1">
      <c r="A168" s="4" t="s">
        <v>2011</v>
      </c>
      <c r="B168" s="5" t="s">
        <v>2025</v>
      </c>
      <c r="C168" s="6" t="s">
        <v>134</v>
      </c>
      <c r="D168" s="6" t="s">
        <v>135</v>
      </c>
      <c r="E168" s="6" t="s">
        <v>136</v>
      </c>
      <c r="F168" s="18">
        <v>12314.05</v>
      </c>
      <c r="G168" s="18">
        <v>0</v>
      </c>
      <c r="H168" s="6">
        <v>0</v>
      </c>
      <c r="I168" s="6">
        <v>0</v>
      </c>
      <c r="J168" s="6">
        <v>0</v>
      </c>
      <c r="K168" s="6">
        <v>2585.9500000000003</v>
      </c>
      <c r="L168" s="6">
        <v>0</v>
      </c>
      <c r="M168" s="18">
        <v>0</v>
      </c>
      <c r="N168" s="18">
        <v>14900</v>
      </c>
    </row>
    <row r="169" spans="1:14" hidden="1">
      <c r="A169" s="4" t="s">
        <v>2036</v>
      </c>
      <c r="B169" s="5" t="s">
        <v>2037</v>
      </c>
      <c r="C169" s="6" t="s">
        <v>134</v>
      </c>
      <c r="D169" s="6" t="s">
        <v>135</v>
      </c>
      <c r="E169" s="6" t="s">
        <v>136</v>
      </c>
      <c r="F169" s="18">
        <v>10743.8</v>
      </c>
      <c r="G169" s="18">
        <v>0</v>
      </c>
      <c r="H169" s="6">
        <v>0</v>
      </c>
      <c r="I169" s="6">
        <v>0</v>
      </c>
      <c r="J169" s="6">
        <v>0</v>
      </c>
      <c r="K169" s="6">
        <v>2256.2000000000003</v>
      </c>
      <c r="L169" s="6">
        <v>0</v>
      </c>
      <c r="M169" s="18">
        <v>0</v>
      </c>
      <c r="N169" s="18">
        <v>13000</v>
      </c>
    </row>
    <row r="170" spans="1:14" hidden="1">
      <c r="A170" s="4" t="s">
        <v>2036</v>
      </c>
      <c r="B170" s="5" t="s">
        <v>2038</v>
      </c>
      <c r="C170" s="6" t="s">
        <v>134</v>
      </c>
      <c r="D170" s="6" t="s">
        <v>135</v>
      </c>
      <c r="E170" s="6" t="s">
        <v>136</v>
      </c>
      <c r="F170" s="18">
        <v>15371.9</v>
      </c>
      <c r="G170" s="18">
        <v>0</v>
      </c>
      <c r="H170" s="6">
        <v>0</v>
      </c>
      <c r="I170" s="6">
        <v>0</v>
      </c>
      <c r="J170" s="6">
        <v>0</v>
      </c>
      <c r="K170" s="6">
        <v>3228.1</v>
      </c>
      <c r="L170" s="6">
        <v>0</v>
      </c>
      <c r="M170" s="18">
        <v>0</v>
      </c>
      <c r="N170" s="18">
        <v>18600</v>
      </c>
    </row>
    <row r="171" spans="1:14" hidden="1">
      <c r="A171" s="4" t="s">
        <v>2036</v>
      </c>
      <c r="B171" s="5" t="s">
        <v>2039</v>
      </c>
      <c r="C171" s="6" t="s">
        <v>134</v>
      </c>
      <c r="D171" s="6" t="s">
        <v>135</v>
      </c>
      <c r="E171" s="6" t="s">
        <v>136</v>
      </c>
      <c r="F171" s="18">
        <v>10743.8</v>
      </c>
      <c r="G171" s="18">
        <v>0</v>
      </c>
      <c r="H171" s="6">
        <v>0</v>
      </c>
      <c r="I171" s="6">
        <v>0</v>
      </c>
      <c r="J171" s="6">
        <v>0</v>
      </c>
      <c r="K171" s="6">
        <v>2256.2000000000003</v>
      </c>
      <c r="L171" s="6">
        <v>0</v>
      </c>
      <c r="M171" s="18">
        <v>0</v>
      </c>
      <c r="N171" s="18">
        <v>13000</v>
      </c>
    </row>
    <row r="172" spans="1:14" hidden="1">
      <c r="A172" s="4" t="s">
        <v>2036</v>
      </c>
      <c r="B172" s="5" t="s">
        <v>2040</v>
      </c>
      <c r="C172" s="6" t="s">
        <v>134</v>
      </c>
      <c r="D172" s="6" t="s">
        <v>135</v>
      </c>
      <c r="E172" s="6" t="s">
        <v>136</v>
      </c>
      <c r="F172" s="18">
        <v>21487.599999999999</v>
      </c>
      <c r="G172" s="18">
        <v>0</v>
      </c>
      <c r="H172" s="6">
        <v>0</v>
      </c>
      <c r="I172" s="6">
        <v>0</v>
      </c>
      <c r="J172" s="6">
        <v>0</v>
      </c>
      <c r="K172" s="6">
        <v>4512.4000000000005</v>
      </c>
      <c r="L172" s="6">
        <v>0</v>
      </c>
      <c r="M172" s="18">
        <v>0</v>
      </c>
      <c r="N172" s="18">
        <v>26000</v>
      </c>
    </row>
    <row r="173" spans="1:14" hidden="1">
      <c r="A173" s="4" t="s">
        <v>2036</v>
      </c>
      <c r="B173" s="5" t="s">
        <v>2041</v>
      </c>
      <c r="C173" s="6" t="s">
        <v>134</v>
      </c>
      <c r="D173" s="6" t="s">
        <v>135</v>
      </c>
      <c r="E173" s="6" t="s">
        <v>136</v>
      </c>
      <c r="F173" s="18">
        <v>21487.599999999999</v>
      </c>
      <c r="G173" s="18">
        <v>0</v>
      </c>
      <c r="H173" s="6">
        <v>0</v>
      </c>
      <c r="I173" s="6">
        <v>0</v>
      </c>
      <c r="J173" s="6">
        <v>0</v>
      </c>
      <c r="K173" s="6">
        <v>4512.4000000000005</v>
      </c>
      <c r="L173" s="6">
        <v>0</v>
      </c>
      <c r="M173" s="18">
        <v>0</v>
      </c>
      <c r="N173" s="18">
        <v>26000</v>
      </c>
    </row>
    <row r="174" spans="1:14" hidden="1">
      <c r="A174" s="4" t="s">
        <v>2036</v>
      </c>
      <c r="B174" s="5" t="s">
        <v>2042</v>
      </c>
      <c r="C174" s="6" t="s">
        <v>134</v>
      </c>
      <c r="D174" s="6" t="s">
        <v>135</v>
      </c>
      <c r="E174" s="6" t="s">
        <v>136</v>
      </c>
      <c r="F174" s="18">
        <v>10743.8</v>
      </c>
      <c r="G174" s="18">
        <v>0</v>
      </c>
      <c r="H174" s="6">
        <v>0</v>
      </c>
      <c r="I174" s="6">
        <v>0</v>
      </c>
      <c r="J174" s="6">
        <v>0</v>
      </c>
      <c r="K174" s="6">
        <v>2256.2000000000003</v>
      </c>
      <c r="L174" s="6">
        <v>0</v>
      </c>
      <c r="M174" s="18">
        <v>0</v>
      </c>
      <c r="N174" s="18">
        <v>13000</v>
      </c>
    </row>
    <row r="175" spans="1:14" hidden="1">
      <c r="A175" s="4" t="s">
        <v>2036</v>
      </c>
      <c r="B175" s="5" t="s">
        <v>2043</v>
      </c>
      <c r="C175" s="6" t="s">
        <v>134</v>
      </c>
      <c r="D175" s="6" t="s">
        <v>135</v>
      </c>
      <c r="E175" s="6" t="s">
        <v>136</v>
      </c>
      <c r="F175" s="18">
        <v>7438.02</v>
      </c>
      <c r="G175" s="18">
        <v>0</v>
      </c>
      <c r="H175" s="6">
        <v>0</v>
      </c>
      <c r="I175" s="6">
        <v>0</v>
      </c>
      <c r="J175" s="6">
        <v>0</v>
      </c>
      <c r="K175" s="6">
        <v>1561.98</v>
      </c>
      <c r="L175" s="6">
        <v>0</v>
      </c>
      <c r="M175" s="18">
        <v>0</v>
      </c>
      <c r="N175" s="18">
        <v>9000</v>
      </c>
    </row>
    <row r="176" spans="1:14" hidden="1">
      <c r="A176" s="4" t="s">
        <v>2036</v>
      </c>
      <c r="B176" s="5" t="s">
        <v>2044</v>
      </c>
      <c r="C176" s="6" t="s">
        <v>134</v>
      </c>
      <c r="D176" s="6" t="s">
        <v>135</v>
      </c>
      <c r="E176" s="6" t="s">
        <v>136</v>
      </c>
      <c r="F176" s="18">
        <v>5619.83</v>
      </c>
      <c r="G176" s="18">
        <v>0</v>
      </c>
      <c r="H176" s="6">
        <v>0</v>
      </c>
      <c r="I176" s="6">
        <v>0</v>
      </c>
      <c r="J176" s="6">
        <v>0</v>
      </c>
      <c r="K176" s="6">
        <v>1180.17</v>
      </c>
      <c r="L176" s="6">
        <v>0</v>
      </c>
      <c r="M176" s="18">
        <v>0</v>
      </c>
      <c r="N176" s="18">
        <v>6800</v>
      </c>
    </row>
    <row r="177" spans="1:14" hidden="1">
      <c r="A177" s="4" t="s">
        <v>2036</v>
      </c>
      <c r="B177" s="5" t="s">
        <v>2045</v>
      </c>
      <c r="C177" s="6" t="s">
        <v>134</v>
      </c>
      <c r="D177" s="6" t="s">
        <v>135</v>
      </c>
      <c r="E177" s="6" t="s">
        <v>136</v>
      </c>
      <c r="F177" s="18">
        <v>11735.54</v>
      </c>
      <c r="G177" s="18">
        <v>0</v>
      </c>
      <c r="H177" s="6">
        <v>0</v>
      </c>
      <c r="I177" s="6">
        <v>0</v>
      </c>
      <c r="J177" s="6">
        <v>0</v>
      </c>
      <c r="K177" s="6">
        <v>2464.46</v>
      </c>
      <c r="L177" s="6">
        <v>0</v>
      </c>
      <c r="M177" s="18">
        <v>0</v>
      </c>
      <c r="N177" s="18">
        <v>14200</v>
      </c>
    </row>
    <row r="178" spans="1:14" hidden="1">
      <c r="A178" s="4" t="s">
        <v>2036</v>
      </c>
      <c r="B178" s="5" t="s">
        <v>2046</v>
      </c>
      <c r="C178" s="6" t="s">
        <v>134</v>
      </c>
      <c r="D178" s="6" t="s">
        <v>135</v>
      </c>
      <c r="E178" s="6" t="s">
        <v>136</v>
      </c>
      <c r="F178" s="18">
        <v>54297.52</v>
      </c>
      <c r="G178" s="18">
        <v>0</v>
      </c>
      <c r="H178" s="6">
        <v>0</v>
      </c>
      <c r="I178" s="6">
        <v>0</v>
      </c>
      <c r="J178" s="6">
        <v>0</v>
      </c>
      <c r="K178" s="6">
        <v>11402.48</v>
      </c>
      <c r="L178" s="6">
        <v>0</v>
      </c>
      <c r="M178" s="18">
        <v>0</v>
      </c>
      <c r="N178" s="18">
        <v>65700</v>
      </c>
    </row>
    <row r="179" spans="1:14" hidden="1">
      <c r="A179" s="4" t="s">
        <v>2047</v>
      </c>
      <c r="B179" s="5" t="s">
        <v>2048</v>
      </c>
      <c r="C179" s="6" t="s">
        <v>134</v>
      </c>
      <c r="D179" s="6" t="s">
        <v>135</v>
      </c>
      <c r="E179" s="6" t="s">
        <v>136</v>
      </c>
      <c r="F179" s="18">
        <v>8471.07</v>
      </c>
      <c r="G179" s="18">
        <v>0</v>
      </c>
      <c r="H179" s="6">
        <v>0</v>
      </c>
      <c r="I179" s="6">
        <v>0</v>
      </c>
      <c r="J179" s="6">
        <v>0</v>
      </c>
      <c r="K179" s="6">
        <v>1778.93</v>
      </c>
      <c r="L179" s="6">
        <v>0</v>
      </c>
      <c r="M179" s="18">
        <v>0</v>
      </c>
      <c r="N179" s="18">
        <v>10250</v>
      </c>
    </row>
    <row r="180" spans="1:14" hidden="1">
      <c r="A180" s="4" t="s">
        <v>2047</v>
      </c>
      <c r="B180" s="5" t="s">
        <v>2049</v>
      </c>
      <c r="C180" s="6" t="s">
        <v>134</v>
      </c>
      <c r="D180" s="6" t="s">
        <v>135</v>
      </c>
      <c r="E180" s="6" t="s">
        <v>136</v>
      </c>
      <c r="F180" s="18">
        <v>25413.22</v>
      </c>
      <c r="G180" s="18">
        <v>0</v>
      </c>
      <c r="H180" s="6">
        <v>0</v>
      </c>
      <c r="I180" s="6">
        <v>0</v>
      </c>
      <c r="J180" s="6">
        <v>0</v>
      </c>
      <c r="K180" s="6">
        <v>5336.78</v>
      </c>
      <c r="L180" s="6">
        <v>0</v>
      </c>
      <c r="M180" s="18">
        <v>0</v>
      </c>
      <c r="N180" s="18">
        <v>30750</v>
      </c>
    </row>
    <row r="181" spans="1:14" hidden="1">
      <c r="A181" s="4" t="s">
        <v>2047</v>
      </c>
      <c r="B181" s="5" t="s">
        <v>2050</v>
      </c>
      <c r="C181" s="6" t="s">
        <v>134</v>
      </c>
      <c r="D181" s="6" t="s">
        <v>135</v>
      </c>
      <c r="E181" s="6" t="s">
        <v>136</v>
      </c>
      <c r="F181" s="18">
        <v>46280.99</v>
      </c>
      <c r="G181" s="18">
        <v>0</v>
      </c>
      <c r="H181" s="6">
        <v>0</v>
      </c>
      <c r="I181" s="6">
        <v>0</v>
      </c>
      <c r="J181" s="6">
        <v>0</v>
      </c>
      <c r="K181" s="6">
        <v>9719.01</v>
      </c>
      <c r="L181" s="6">
        <v>0</v>
      </c>
      <c r="M181" s="18">
        <v>0</v>
      </c>
      <c r="N181" s="18">
        <v>56000</v>
      </c>
    </row>
    <row r="182" spans="1:14" hidden="1">
      <c r="A182" s="4" t="s">
        <v>2047</v>
      </c>
      <c r="B182" s="5" t="s">
        <v>2051</v>
      </c>
      <c r="C182" s="6" t="s">
        <v>134</v>
      </c>
      <c r="D182" s="6" t="s">
        <v>135</v>
      </c>
      <c r="E182" s="6" t="s">
        <v>136</v>
      </c>
      <c r="F182" s="18">
        <v>24793.39</v>
      </c>
      <c r="G182" s="18">
        <v>0</v>
      </c>
      <c r="H182" s="6">
        <v>0</v>
      </c>
      <c r="I182" s="6">
        <v>0</v>
      </c>
      <c r="J182" s="6">
        <v>0</v>
      </c>
      <c r="K182" s="6">
        <v>5206.6099999999997</v>
      </c>
      <c r="L182" s="6">
        <v>0</v>
      </c>
      <c r="M182" s="18">
        <v>0</v>
      </c>
      <c r="N182" s="18">
        <v>30000</v>
      </c>
    </row>
    <row r="183" spans="1:14" hidden="1">
      <c r="A183" s="4" t="s">
        <v>2047</v>
      </c>
      <c r="B183" s="5" t="s">
        <v>2052</v>
      </c>
      <c r="C183" s="6" t="s">
        <v>134</v>
      </c>
      <c r="D183" s="6" t="s">
        <v>135</v>
      </c>
      <c r="E183" s="6" t="s">
        <v>136</v>
      </c>
      <c r="F183" s="18">
        <v>9917.36</v>
      </c>
      <c r="G183" s="18">
        <v>0</v>
      </c>
      <c r="H183" s="6">
        <v>0</v>
      </c>
      <c r="I183" s="6">
        <v>0</v>
      </c>
      <c r="J183" s="6">
        <v>0</v>
      </c>
      <c r="K183" s="6">
        <v>2082.64</v>
      </c>
      <c r="L183" s="6">
        <v>0</v>
      </c>
      <c r="M183" s="18">
        <v>0</v>
      </c>
      <c r="N183" s="18">
        <v>12000</v>
      </c>
    </row>
    <row r="184" spans="1:14" hidden="1">
      <c r="A184" s="4" t="s">
        <v>2047</v>
      </c>
      <c r="B184" s="5" t="s">
        <v>2053</v>
      </c>
      <c r="C184" s="6" t="s">
        <v>134</v>
      </c>
      <c r="D184" s="6" t="s">
        <v>135</v>
      </c>
      <c r="E184" s="6" t="s">
        <v>136</v>
      </c>
      <c r="F184" s="18">
        <v>16528.93</v>
      </c>
      <c r="G184" s="18">
        <v>0</v>
      </c>
      <c r="H184" s="6">
        <v>0</v>
      </c>
      <c r="I184" s="6">
        <v>0</v>
      </c>
      <c r="J184" s="6">
        <v>0</v>
      </c>
      <c r="K184" s="6">
        <v>3471.07</v>
      </c>
      <c r="L184" s="6">
        <v>0</v>
      </c>
      <c r="M184" s="18">
        <v>0</v>
      </c>
      <c r="N184" s="18">
        <v>20000</v>
      </c>
    </row>
    <row r="185" spans="1:14" hidden="1">
      <c r="A185" s="4" t="s">
        <v>2047</v>
      </c>
      <c r="B185" s="5" t="s">
        <v>2054</v>
      </c>
      <c r="C185" s="6" t="s">
        <v>134</v>
      </c>
      <c r="D185" s="6" t="s">
        <v>135</v>
      </c>
      <c r="E185" s="6" t="s">
        <v>136</v>
      </c>
      <c r="F185" s="18">
        <v>12396.69</v>
      </c>
      <c r="G185" s="18">
        <v>0</v>
      </c>
      <c r="H185" s="6">
        <v>0</v>
      </c>
      <c r="I185" s="6">
        <v>0</v>
      </c>
      <c r="J185" s="6">
        <v>0</v>
      </c>
      <c r="K185" s="6">
        <v>2603.31</v>
      </c>
      <c r="L185" s="6">
        <v>0</v>
      </c>
      <c r="M185" s="18">
        <v>0</v>
      </c>
      <c r="N185" s="18">
        <v>15000</v>
      </c>
    </row>
    <row r="186" spans="1:14" hidden="1">
      <c r="A186" s="4" t="s">
        <v>2047</v>
      </c>
      <c r="B186" s="5" t="s">
        <v>2055</v>
      </c>
      <c r="C186" s="6" t="s">
        <v>134</v>
      </c>
      <c r="D186" s="6" t="s">
        <v>135</v>
      </c>
      <c r="E186" s="6" t="s">
        <v>136</v>
      </c>
      <c r="F186" s="18">
        <v>10743.8</v>
      </c>
      <c r="G186" s="18">
        <v>0</v>
      </c>
      <c r="H186" s="6">
        <v>0</v>
      </c>
      <c r="I186" s="6">
        <v>0</v>
      </c>
      <c r="J186" s="6">
        <v>0</v>
      </c>
      <c r="K186" s="6">
        <v>2256.2000000000003</v>
      </c>
      <c r="L186" s="6">
        <v>0</v>
      </c>
      <c r="M186" s="18">
        <v>0</v>
      </c>
      <c r="N186" s="18">
        <v>13000</v>
      </c>
    </row>
    <row r="187" spans="1:14" hidden="1">
      <c r="A187" s="4" t="s">
        <v>2047</v>
      </c>
      <c r="B187" s="5" t="s">
        <v>2056</v>
      </c>
      <c r="C187" s="6" t="s">
        <v>134</v>
      </c>
      <c r="D187" s="6" t="s">
        <v>135</v>
      </c>
      <c r="E187" s="6" t="s">
        <v>136</v>
      </c>
      <c r="F187" s="18">
        <v>22892.560000000001</v>
      </c>
      <c r="G187" s="18">
        <v>0</v>
      </c>
      <c r="H187" s="6">
        <v>0</v>
      </c>
      <c r="I187" s="6">
        <v>0</v>
      </c>
      <c r="J187" s="6">
        <v>0</v>
      </c>
      <c r="K187" s="6">
        <v>4807.4400000000005</v>
      </c>
      <c r="L187" s="6">
        <v>0</v>
      </c>
      <c r="M187" s="18">
        <v>0</v>
      </c>
      <c r="N187" s="18">
        <v>27700</v>
      </c>
    </row>
    <row r="188" spans="1:14" hidden="1">
      <c r="A188" s="4" t="s">
        <v>2047</v>
      </c>
      <c r="B188" s="5" t="s">
        <v>2057</v>
      </c>
      <c r="C188" s="6" t="s">
        <v>134</v>
      </c>
      <c r="D188" s="6" t="s">
        <v>135</v>
      </c>
      <c r="E188" s="6" t="s">
        <v>136</v>
      </c>
      <c r="F188" s="18">
        <v>10743.8</v>
      </c>
      <c r="G188" s="18">
        <v>0</v>
      </c>
      <c r="H188" s="6">
        <v>0</v>
      </c>
      <c r="I188" s="6">
        <v>0</v>
      </c>
      <c r="J188" s="6">
        <v>0</v>
      </c>
      <c r="K188" s="6">
        <v>2256.2000000000003</v>
      </c>
      <c r="L188" s="6">
        <v>0</v>
      </c>
      <c r="M188" s="18">
        <v>0</v>
      </c>
      <c r="N188" s="18">
        <v>13000</v>
      </c>
    </row>
    <row r="189" spans="1:14" hidden="1">
      <c r="A189" s="4" t="s">
        <v>2047</v>
      </c>
      <c r="B189" s="5" t="s">
        <v>2058</v>
      </c>
      <c r="C189" s="6" t="s">
        <v>134</v>
      </c>
      <c r="D189" s="6" t="s">
        <v>135</v>
      </c>
      <c r="E189" s="6" t="s">
        <v>136</v>
      </c>
      <c r="F189" s="18">
        <v>10743.8</v>
      </c>
      <c r="G189" s="18">
        <v>0</v>
      </c>
      <c r="H189" s="6">
        <v>0</v>
      </c>
      <c r="I189" s="6">
        <v>0</v>
      </c>
      <c r="J189" s="6">
        <v>0</v>
      </c>
      <c r="K189" s="6">
        <v>2256.2000000000003</v>
      </c>
      <c r="L189" s="6">
        <v>0</v>
      </c>
      <c r="M189" s="18">
        <v>0</v>
      </c>
      <c r="N189" s="18">
        <v>13000</v>
      </c>
    </row>
    <row r="190" spans="1:14" hidden="1">
      <c r="A190" s="4" t="s">
        <v>2047</v>
      </c>
      <c r="B190" s="5" t="s">
        <v>2059</v>
      </c>
      <c r="C190" s="6" t="s">
        <v>134</v>
      </c>
      <c r="D190" s="6" t="s">
        <v>135</v>
      </c>
      <c r="E190" s="6" t="s">
        <v>136</v>
      </c>
      <c r="F190" s="18">
        <v>22314.05</v>
      </c>
      <c r="G190" s="18">
        <v>0</v>
      </c>
      <c r="H190" s="6">
        <v>0</v>
      </c>
      <c r="I190" s="6">
        <v>0</v>
      </c>
      <c r="J190" s="6">
        <v>0</v>
      </c>
      <c r="K190" s="6">
        <v>4685.95</v>
      </c>
      <c r="L190" s="6">
        <v>0</v>
      </c>
      <c r="M190" s="18">
        <v>0</v>
      </c>
      <c r="N190" s="18">
        <v>27000</v>
      </c>
    </row>
    <row r="191" spans="1:14" hidden="1">
      <c r="A191" s="4" t="s">
        <v>2047</v>
      </c>
      <c r="B191" s="5" t="s">
        <v>2060</v>
      </c>
      <c r="C191" s="6" t="s">
        <v>134</v>
      </c>
      <c r="D191" s="6" t="s">
        <v>135</v>
      </c>
      <c r="E191" s="6" t="s">
        <v>136</v>
      </c>
      <c r="F191" s="18">
        <v>58677.69</v>
      </c>
      <c r="G191" s="18">
        <v>0</v>
      </c>
      <c r="H191" s="6">
        <v>0</v>
      </c>
      <c r="I191" s="6">
        <v>0</v>
      </c>
      <c r="J191" s="6">
        <v>0</v>
      </c>
      <c r="K191" s="6">
        <v>12322.31</v>
      </c>
      <c r="L191" s="6">
        <v>0</v>
      </c>
      <c r="M191" s="18">
        <v>0</v>
      </c>
      <c r="N191" s="18">
        <v>71000</v>
      </c>
    </row>
    <row r="192" spans="1:14" hidden="1">
      <c r="A192" s="4" t="s">
        <v>2047</v>
      </c>
      <c r="B192" s="5" t="s">
        <v>2061</v>
      </c>
      <c r="C192" s="6" t="s">
        <v>134</v>
      </c>
      <c r="D192" s="6" t="s">
        <v>135</v>
      </c>
      <c r="E192" s="6" t="s">
        <v>136</v>
      </c>
      <c r="F192" s="18">
        <v>29132.23</v>
      </c>
      <c r="G192" s="18">
        <v>0</v>
      </c>
      <c r="H192" s="6">
        <v>0</v>
      </c>
      <c r="I192" s="6">
        <v>0</v>
      </c>
      <c r="J192" s="6">
        <v>0</v>
      </c>
      <c r="K192" s="6">
        <v>6117.77</v>
      </c>
      <c r="L192" s="6">
        <v>0</v>
      </c>
      <c r="M192" s="18">
        <v>0</v>
      </c>
      <c r="N192" s="18">
        <v>35250</v>
      </c>
    </row>
    <row r="193" spans="1:14" hidden="1">
      <c r="A193" s="4" t="s">
        <v>2047</v>
      </c>
      <c r="B193" s="5" t="s">
        <v>2062</v>
      </c>
      <c r="C193" s="6" t="s">
        <v>134</v>
      </c>
      <c r="D193" s="6" t="s">
        <v>135</v>
      </c>
      <c r="E193" s="6" t="s">
        <v>136</v>
      </c>
      <c r="F193" s="18">
        <v>10743.8</v>
      </c>
      <c r="G193" s="18">
        <v>0</v>
      </c>
      <c r="H193" s="6">
        <v>0</v>
      </c>
      <c r="I193" s="6">
        <v>0</v>
      </c>
      <c r="J193" s="6">
        <v>0</v>
      </c>
      <c r="K193" s="6">
        <v>2256.2000000000003</v>
      </c>
      <c r="L193" s="6">
        <v>0</v>
      </c>
      <c r="M193" s="18">
        <v>0</v>
      </c>
      <c r="N193" s="18">
        <v>13000</v>
      </c>
    </row>
    <row r="194" spans="1:14" hidden="1">
      <c r="A194" s="4" t="s">
        <v>2047</v>
      </c>
      <c r="B194" s="5" t="s">
        <v>2063</v>
      </c>
      <c r="C194" s="6" t="s">
        <v>134</v>
      </c>
      <c r="D194" s="6" t="s">
        <v>135</v>
      </c>
      <c r="E194" s="6" t="s">
        <v>136</v>
      </c>
      <c r="F194" s="18">
        <v>10743.8</v>
      </c>
      <c r="G194" s="18">
        <v>0</v>
      </c>
      <c r="H194" s="6">
        <v>0</v>
      </c>
      <c r="I194" s="6">
        <v>0</v>
      </c>
      <c r="J194" s="6">
        <v>0</v>
      </c>
      <c r="K194" s="6">
        <v>2256.2000000000003</v>
      </c>
      <c r="L194" s="6">
        <v>0</v>
      </c>
      <c r="M194" s="18">
        <v>0</v>
      </c>
      <c r="N194" s="18">
        <v>13000</v>
      </c>
    </row>
    <row r="195" spans="1:14" hidden="1">
      <c r="A195" s="4" t="s">
        <v>2047</v>
      </c>
      <c r="B195" s="5" t="s">
        <v>2064</v>
      </c>
      <c r="C195" s="6" t="s">
        <v>134</v>
      </c>
      <c r="D195" s="6" t="s">
        <v>135</v>
      </c>
      <c r="E195" s="6" t="s">
        <v>136</v>
      </c>
      <c r="F195" s="18">
        <v>33057.85</v>
      </c>
      <c r="G195" s="18">
        <v>0</v>
      </c>
      <c r="H195" s="6">
        <v>0</v>
      </c>
      <c r="I195" s="6">
        <v>0</v>
      </c>
      <c r="J195" s="6">
        <v>0</v>
      </c>
      <c r="K195" s="6">
        <v>6942.15</v>
      </c>
      <c r="L195" s="6">
        <v>0</v>
      </c>
      <c r="M195" s="18">
        <v>0</v>
      </c>
      <c r="N195" s="18">
        <v>40000</v>
      </c>
    </row>
    <row r="196" spans="1:14" hidden="1">
      <c r="A196" s="4" t="s">
        <v>2074</v>
      </c>
      <c r="B196" s="5" t="s">
        <v>2076</v>
      </c>
      <c r="C196" s="6" t="s">
        <v>134</v>
      </c>
      <c r="D196" s="6" t="s">
        <v>135</v>
      </c>
      <c r="E196" s="6" t="s">
        <v>136</v>
      </c>
      <c r="F196" s="18">
        <v>10743.8</v>
      </c>
      <c r="G196" s="18">
        <v>0</v>
      </c>
      <c r="H196" s="6">
        <v>0</v>
      </c>
      <c r="I196" s="6">
        <v>0</v>
      </c>
      <c r="J196" s="6">
        <v>0</v>
      </c>
      <c r="K196" s="6">
        <v>2256.2000000000003</v>
      </c>
      <c r="L196" s="6">
        <v>0</v>
      </c>
      <c r="M196" s="18">
        <v>0</v>
      </c>
      <c r="N196" s="18">
        <v>13000</v>
      </c>
    </row>
    <row r="197" spans="1:14" hidden="1">
      <c r="A197" s="4" t="s">
        <v>2074</v>
      </c>
      <c r="B197" s="5" t="s">
        <v>2077</v>
      </c>
      <c r="C197" s="6" t="s">
        <v>134</v>
      </c>
      <c r="D197" s="6" t="s">
        <v>135</v>
      </c>
      <c r="E197" s="6" t="s">
        <v>136</v>
      </c>
      <c r="F197" s="18">
        <v>14876.03</v>
      </c>
      <c r="G197" s="18">
        <v>0</v>
      </c>
      <c r="H197" s="6">
        <v>0</v>
      </c>
      <c r="I197" s="6">
        <v>0</v>
      </c>
      <c r="J197" s="6">
        <v>0</v>
      </c>
      <c r="K197" s="6">
        <v>3123.97</v>
      </c>
      <c r="L197" s="6">
        <v>0</v>
      </c>
      <c r="M197" s="18">
        <v>0</v>
      </c>
      <c r="N197" s="18">
        <v>18000</v>
      </c>
    </row>
    <row r="198" spans="1:14" hidden="1">
      <c r="A198" s="4" t="s">
        <v>2074</v>
      </c>
      <c r="B198" s="5" t="s">
        <v>2078</v>
      </c>
      <c r="C198" s="6" t="s">
        <v>134</v>
      </c>
      <c r="D198" s="6" t="s">
        <v>135</v>
      </c>
      <c r="E198" s="6" t="s">
        <v>136</v>
      </c>
      <c r="F198" s="18">
        <v>33884.300000000003</v>
      </c>
      <c r="G198" s="18">
        <v>0</v>
      </c>
      <c r="H198" s="6">
        <v>0</v>
      </c>
      <c r="I198" s="6">
        <v>0</v>
      </c>
      <c r="J198" s="6">
        <v>0</v>
      </c>
      <c r="K198" s="6">
        <v>7115.7</v>
      </c>
      <c r="L198" s="6">
        <v>0</v>
      </c>
      <c r="M198" s="18">
        <v>0</v>
      </c>
      <c r="N198" s="18">
        <v>41000</v>
      </c>
    </row>
    <row r="199" spans="1:14" hidden="1">
      <c r="A199" s="4" t="s">
        <v>2074</v>
      </c>
      <c r="B199" s="5" t="s">
        <v>2079</v>
      </c>
      <c r="C199" s="6" t="s">
        <v>134</v>
      </c>
      <c r="D199" s="6" t="s">
        <v>135</v>
      </c>
      <c r="E199" s="6" t="s">
        <v>136</v>
      </c>
      <c r="F199" s="18">
        <v>5785.12</v>
      </c>
      <c r="G199" s="18">
        <v>0</v>
      </c>
      <c r="H199" s="6">
        <v>0</v>
      </c>
      <c r="I199" s="6">
        <v>0</v>
      </c>
      <c r="J199" s="6">
        <v>0</v>
      </c>
      <c r="K199" s="6">
        <v>1214.8800000000001</v>
      </c>
      <c r="L199" s="6">
        <v>0</v>
      </c>
      <c r="M199" s="18">
        <v>0</v>
      </c>
      <c r="N199" s="18">
        <v>7000</v>
      </c>
    </row>
    <row r="200" spans="1:14" hidden="1">
      <c r="A200" s="4" t="s">
        <v>2074</v>
      </c>
      <c r="B200" s="5" t="s">
        <v>2080</v>
      </c>
      <c r="C200" s="6" t="s">
        <v>134</v>
      </c>
      <c r="D200" s="6" t="s">
        <v>135</v>
      </c>
      <c r="E200" s="6" t="s">
        <v>136</v>
      </c>
      <c r="F200" s="18">
        <v>3057.85</v>
      </c>
      <c r="G200" s="18">
        <v>0</v>
      </c>
      <c r="H200" s="6">
        <v>0</v>
      </c>
      <c r="I200" s="6">
        <v>0</v>
      </c>
      <c r="J200" s="6">
        <v>0</v>
      </c>
      <c r="K200" s="6">
        <v>642.15</v>
      </c>
      <c r="L200" s="6">
        <v>0</v>
      </c>
      <c r="M200" s="18">
        <v>0</v>
      </c>
      <c r="N200" s="18">
        <v>3700</v>
      </c>
    </row>
    <row r="201" spans="1:14" hidden="1">
      <c r="A201" s="4" t="s">
        <v>2074</v>
      </c>
      <c r="B201" s="5" t="s">
        <v>2081</v>
      </c>
      <c r="C201" s="6" t="s">
        <v>134</v>
      </c>
      <c r="D201" s="6" t="s">
        <v>135</v>
      </c>
      <c r="E201" s="6" t="s">
        <v>136</v>
      </c>
      <c r="F201" s="18">
        <v>10743.8</v>
      </c>
      <c r="G201" s="18">
        <v>0</v>
      </c>
      <c r="H201" s="6">
        <v>0</v>
      </c>
      <c r="I201" s="6">
        <v>0</v>
      </c>
      <c r="J201" s="6">
        <v>0</v>
      </c>
      <c r="K201" s="6">
        <v>2256.2000000000003</v>
      </c>
      <c r="L201" s="6">
        <v>0</v>
      </c>
      <c r="M201" s="18">
        <v>0</v>
      </c>
      <c r="N201" s="18">
        <v>13000</v>
      </c>
    </row>
    <row r="202" spans="1:14">
      <c r="A202" s="4" t="s">
        <v>2074</v>
      </c>
      <c r="B202" s="5" t="s">
        <v>2082</v>
      </c>
      <c r="C202" s="6" t="s">
        <v>2083</v>
      </c>
      <c r="D202" s="6" t="s">
        <v>135</v>
      </c>
      <c r="E202" s="6">
        <v>1196681</v>
      </c>
      <c r="F202" s="18">
        <v>34710.74</v>
      </c>
      <c r="G202" s="18">
        <v>0</v>
      </c>
      <c r="H202" s="6">
        <v>0</v>
      </c>
      <c r="I202" s="6">
        <v>0</v>
      </c>
      <c r="J202" s="6">
        <v>0</v>
      </c>
      <c r="K202" s="6">
        <v>7289.26</v>
      </c>
      <c r="L202" s="6">
        <v>0</v>
      </c>
      <c r="M202" s="18">
        <v>0</v>
      </c>
      <c r="N202" s="18">
        <v>42000</v>
      </c>
    </row>
    <row r="203" spans="1:14">
      <c r="A203" s="4" t="s">
        <v>2074</v>
      </c>
      <c r="B203" s="5" t="s">
        <v>2084</v>
      </c>
      <c r="C203" s="6" t="s">
        <v>2085</v>
      </c>
      <c r="D203" s="6" t="s">
        <v>135</v>
      </c>
      <c r="E203" s="6">
        <v>23417639</v>
      </c>
      <c r="F203" s="18">
        <v>14669.42</v>
      </c>
      <c r="G203" s="18">
        <v>0</v>
      </c>
      <c r="H203" s="6">
        <v>0</v>
      </c>
      <c r="I203" s="6">
        <v>0</v>
      </c>
      <c r="J203" s="6">
        <v>0</v>
      </c>
      <c r="K203" s="6">
        <v>3080.58</v>
      </c>
      <c r="L203" s="6">
        <v>0</v>
      </c>
      <c r="M203" s="18">
        <v>0</v>
      </c>
      <c r="N203" s="18">
        <v>17750</v>
      </c>
    </row>
    <row r="204" spans="1:14" hidden="1">
      <c r="A204" s="4" t="s">
        <v>2074</v>
      </c>
      <c r="B204" s="5" t="s">
        <v>2086</v>
      </c>
      <c r="C204" s="6" t="s">
        <v>134</v>
      </c>
      <c r="D204" s="6" t="s">
        <v>135</v>
      </c>
      <c r="E204" s="6" t="s">
        <v>136</v>
      </c>
      <c r="F204" s="18">
        <v>35206.61</v>
      </c>
      <c r="G204" s="18">
        <v>0</v>
      </c>
      <c r="H204" s="6">
        <v>0</v>
      </c>
      <c r="I204" s="6">
        <v>0</v>
      </c>
      <c r="J204" s="6">
        <v>0</v>
      </c>
      <c r="K204" s="6">
        <v>7393.39</v>
      </c>
      <c r="L204" s="6">
        <v>0</v>
      </c>
      <c r="M204" s="18">
        <v>0</v>
      </c>
      <c r="N204" s="18">
        <v>42600</v>
      </c>
    </row>
    <row r="205" spans="1:14" hidden="1">
      <c r="A205" s="4" t="s">
        <v>2074</v>
      </c>
      <c r="B205" s="5" t="s">
        <v>2087</v>
      </c>
      <c r="C205" s="6" t="s">
        <v>134</v>
      </c>
      <c r="D205" s="6" t="s">
        <v>135</v>
      </c>
      <c r="E205" s="6" t="s">
        <v>136</v>
      </c>
      <c r="F205" s="18">
        <v>8264.4600000000009</v>
      </c>
      <c r="G205" s="18">
        <v>0</v>
      </c>
      <c r="H205" s="6">
        <v>0</v>
      </c>
      <c r="I205" s="6">
        <v>0</v>
      </c>
      <c r="J205" s="6">
        <v>0</v>
      </c>
      <c r="K205" s="6">
        <v>1735.54</v>
      </c>
      <c r="L205" s="6">
        <v>0</v>
      </c>
      <c r="M205" s="18">
        <v>0</v>
      </c>
      <c r="N205" s="18">
        <v>10000</v>
      </c>
    </row>
    <row r="206" spans="1:14" hidden="1">
      <c r="A206" s="4" t="s">
        <v>2074</v>
      </c>
      <c r="B206" s="5" t="s">
        <v>2088</v>
      </c>
      <c r="C206" s="6" t="s">
        <v>134</v>
      </c>
      <c r="D206" s="6" t="s">
        <v>135</v>
      </c>
      <c r="E206" s="6" t="s">
        <v>136</v>
      </c>
      <c r="F206" s="18">
        <v>29338.84</v>
      </c>
      <c r="G206" s="18">
        <v>0</v>
      </c>
      <c r="H206" s="6">
        <v>0</v>
      </c>
      <c r="I206" s="6">
        <v>0</v>
      </c>
      <c r="J206" s="6">
        <v>0</v>
      </c>
      <c r="K206" s="6">
        <v>6161.16</v>
      </c>
      <c r="L206" s="6">
        <v>0</v>
      </c>
      <c r="M206" s="18">
        <v>0</v>
      </c>
      <c r="N206" s="18">
        <v>35500</v>
      </c>
    </row>
    <row r="207" spans="1:14" hidden="1">
      <c r="A207" s="4" t="s">
        <v>2074</v>
      </c>
      <c r="B207" s="5" t="s">
        <v>2089</v>
      </c>
      <c r="C207" s="6" t="s">
        <v>134</v>
      </c>
      <c r="D207" s="6" t="s">
        <v>135</v>
      </c>
      <c r="E207" s="6" t="s">
        <v>136</v>
      </c>
      <c r="F207" s="18">
        <v>26528.93</v>
      </c>
      <c r="G207" s="18">
        <v>0</v>
      </c>
      <c r="H207" s="6">
        <v>0</v>
      </c>
      <c r="I207" s="6">
        <v>0</v>
      </c>
      <c r="J207" s="6">
        <v>0</v>
      </c>
      <c r="K207" s="6">
        <v>5571.07</v>
      </c>
      <c r="L207" s="6">
        <v>0</v>
      </c>
      <c r="M207" s="18">
        <v>0</v>
      </c>
      <c r="N207" s="18">
        <v>32100</v>
      </c>
    </row>
    <row r="208" spans="1:14" hidden="1">
      <c r="A208" s="4" t="s">
        <v>2074</v>
      </c>
      <c r="B208" s="5" t="s">
        <v>2090</v>
      </c>
      <c r="C208" s="6" t="s">
        <v>134</v>
      </c>
      <c r="D208" s="6" t="s">
        <v>135</v>
      </c>
      <c r="E208" s="6" t="s">
        <v>136</v>
      </c>
      <c r="F208" s="18">
        <v>23471.07</v>
      </c>
      <c r="G208" s="18">
        <v>0</v>
      </c>
      <c r="H208" s="6">
        <v>0</v>
      </c>
      <c r="I208" s="6">
        <v>0</v>
      </c>
      <c r="J208" s="6">
        <v>0</v>
      </c>
      <c r="K208" s="6">
        <v>4928.93</v>
      </c>
      <c r="L208" s="6">
        <v>0</v>
      </c>
      <c r="M208" s="18">
        <v>0</v>
      </c>
      <c r="N208" s="18">
        <v>28400</v>
      </c>
    </row>
    <row r="209" spans="1:14" hidden="1">
      <c r="A209" s="4" t="s">
        <v>2074</v>
      </c>
      <c r="B209" s="5" t="s">
        <v>2091</v>
      </c>
      <c r="C209" s="6" t="s">
        <v>134</v>
      </c>
      <c r="D209" s="6" t="s">
        <v>135</v>
      </c>
      <c r="E209" s="6" t="s">
        <v>136</v>
      </c>
      <c r="F209" s="18">
        <v>11239.67</v>
      </c>
      <c r="G209" s="18">
        <v>0</v>
      </c>
      <c r="H209" s="6">
        <v>0</v>
      </c>
      <c r="I209" s="6">
        <v>0</v>
      </c>
      <c r="J209" s="6">
        <v>0</v>
      </c>
      <c r="K209" s="6">
        <v>2360.33</v>
      </c>
      <c r="L209" s="6">
        <v>0</v>
      </c>
      <c r="M209" s="18">
        <v>0</v>
      </c>
      <c r="N209" s="18">
        <v>13600</v>
      </c>
    </row>
    <row r="210" spans="1:14" hidden="1">
      <c r="A210" s="4" t="s">
        <v>2074</v>
      </c>
      <c r="B210" s="5" t="s">
        <v>2092</v>
      </c>
      <c r="C210" s="6" t="s">
        <v>134</v>
      </c>
      <c r="D210" s="6" t="s">
        <v>135</v>
      </c>
      <c r="E210" s="6" t="s">
        <v>136</v>
      </c>
      <c r="F210" s="18">
        <v>14049.59</v>
      </c>
      <c r="G210" s="18">
        <v>0</v>
      </c>
      <c r="H210" s="6">
        <v>0</v>
      </c>
      <c r="I210" s="6">
        <v>0</v>
      </c>
      <c r="J210" s="6">
        <v>0</v>
      </c>
      <c r="K210" s="6">
        <v>2950.41</v>
      </c>
      <c r="L210" s="6">
        <v>0</v>
      </c>
      <c r="M210" s="18">
        <v>0</v>
      </c>
      <c r="N210" s="18">
        <v>17000</v>
      </c>
    </row>
    <row r="211" spans="1:14" hidden="1">
      <c r="A211" s="4" t="s">
        <v>2074</v>
      </c>
      <c r="B211" s="5" t="s">
        <v>2093</v>
      </c>
      <c r="C211" s="6" t="s">
        <v>134</v>
      </c>
      <c r="D211" s="6" t="s">
        <v>135</v>
      </c>
      <c r="E211" s="6" t="s">
        <v>136</v>
      </c>
      <c r="F211" s="18">
        <v>15289.26</v>
      </c>
      <c r="G211" s="18">
        <v>0</v>
      </c>
      <c r="H211" s="6">
        <v>0</v>
      </c>
      <c r="I211" s="6">
        <v>0</v>
      </c>
      <c r="J211" s="6">
        <v>0</v>
      </c>
      <c r="K211" s="6">
        <v>3210.74</v>
      </c>
      <c r="L211" s="6">
        <v>0</v>
      </c>
      <c r="M211" s="18">
        <v>0</v>
      </c>
      <c r="N211" s="18">
        <v>18500</v>
      </c>
    </row>
    <row r="212" spans="1:14" hidden="1">
      <c r="A212" s="4" t="s">
        <v>2074</v>
      </c>
      <c r="B212" s="5" t="s">
        <v>2094</v>
      </c>
      <c r="C212" s="6" t="s">
        <v>134</v>
      </c>
      <c r="D212" s="6" t="s">
        <v>135</v>
      </c>
      <c r="E212" s="6" t="s">
        <v>136</v>
      </c>
      <c r="F212" s="18">
        <v>28925.62</v>
      </c>
      <c r="G212" s="18">
        <v>0</v>
      </c>
      <c r="H212" s="6">
        <v>0</v>
      </c>
      <c r="I212" s="6">
        <v>0</v>
      </c>
      <c r="J212" s="6">
        <v>0</v>
      </c>
      <c r="K212" s="6">
        <v>6074.38</v>
      </c>
      <c r="L212" s="6">
        <v>0</v>
      </c>
      <c r="M212" s="18">
        <v>0</v>
      </c>
      <c r="N212" s="18">
        <v>35000</v>
      </c>
    </row>
    <row r="213" spans="1:14" hidden="1">
      <c r="A213" s="4" t="s">
        <v>2110</v>
      </c>
      <c r="B213" s="5" t="s">
        <v>2111</v>
      </c>
      <c r="C213" s="6" t="s">
        <v>134</v>
      </c>
      <c r="D213" s="6" t="s">
        <v>135</v>
      </c>
      <c r="E213" s="6" t="s">
        <v>136</v>
      </c>
      <c r="F213" s="18">
        <v>21487.599999999999</v>
      </c>
      <c r="G213" s="18">
        <v>0</v>
      </c>
      <c r="H213" s="6">
        <v>0</v>
      </c>
      <c r="I213" s="6">
        <v>0</v>
      </c>
      <c r="J213" s="6">
        <v>0</v>
      </c>
      <c r="K213" s="6">
        <v>4512.4000000000005</v>
      </c>
      <c r="L213" s="6">
        <v>0</v>
      </c>
      <c r="M213" s="18">
        <v>0</v>
      </c>
      <c r="N213" s="18">
        <v>26000</v>
      </c>
    </row>
    <row r="214" spans="1:14" hidden="1">
      <c r="A214" s="4" t="s">
        <v>2110</v>
      </c>
      <c r="B214" s="5" t="s">
        <v>2112</v>
      </c>
      <c r="C214" s="6" t="s">
        <v>134</v>
      </c>
      <c r="D214" s="6" t="s">
        <v>135</v>
      </c>
      <c r="E214" s="6" t="s">
        <v>136</v>
      </c>
      <c r="F214" s="18">
        <v>12809.92</v>
      </c>
      <c r="G214" s="18">
        <v>0</v>
      </c>
      <c r="H214" s="6">
        <v>0</v>
      </c>
      <c r="I214" s="6">
        <v>0</v>
      </c>
      <c r="J214" s="6">
        <v>0</v>
      </c>
      <c r="K214" s="6">
        <v>2690.08</v>
      </c>
      <c r="L214" s="6">
        <v>0</v>
      </c>
      <c r="M214" s="18">
        <v>0</v>
      </c>
      <c r="N214" s="18">
        <v>15500</v>
      </c>
    </row>
    <row r="215" spans="1:14" hidden="1">
      <c r="A215" s="4" t="s">
        <v>2110</v>
      </c>
      <c r="B215" s="5" t="s">
        <v>2113</v>
      </c>
      <c r="C215" s="6" t="s">
        <v>134</v>
      </c>
      <c r="D215" s="6" t="s">
        <v>135</v>
      </c>
      <c r="E215" s="6" t="s">
        <v>136</v>
      </c>
      <c r="F215" s="18">
        <v>28429.75</v>
      </c>
      <c r="G215" s="18">
        <v>0</v>
      </c>
      <c r="H215" s="6">
        <v>0</v>
      </c>
      <c r="I215" s="6">
        <v>0</v>
      </c>
      <c r="J215" s="6">
        <v>0</v>
      </c>
      <c r="K215" s="6">
        <v>5970.25</v>
      </c>
      <c r="L215" s="6">
        <v>0</v>
      </c>
      <c r="M215" s="18">
        <v>0</v>
      </c>
      <c r="N215" s="18">
        <v>34400</v>
      </c>
    </row>
    <row r="216" spans="1:14" hidden="1">
      <c r="A216" s="4" t="s">
        <v>2110</v>
      </c>
      <c r="B216" s="5" t="s">
        <v>2114</v>
      </c>
      <c r="C216" s="6" t="s">
        <v>134</v>
      </c>
      <c r="D216" s="6" t="s">
        <v>135</v>
      </c>
      <c r="E216" s="6" t="s">
        <v>136</v>
      </c>
      <c r="F216" s="18">
        <v>11735.54</v>
      </c>
      <c r="G216" s="18">
        <v>0</v>
      </c>
      <c r="H216" s="6">
        <v>0</v>
      </c>
      <c r="I216" s="6">
        <v>0</v>
      </c>
      <c r="J216" s="6">
        <v>0</v>
      </c>
      <c r="K216" s="6">
        <v>2464.46</v>
      </c>
      <c r="L216" s="6">
        <v>0</v>
      </c>
      <c r="M216" s="18">
        <v>0</v>
      </c>
      <c r="N216" s="18">
        <v>14200</v>
      </c>
    </row>
    <row r="217" spans="1:14" hidden="1">
      <c r="A217" s="4" t="s">
        <v>2110</v>
      </c>
      <c r="B217" s="5" t="s">
        <v>2115</v>
      </c>
      <c r="C217" s="6" t="s">
        <v>134</v>
      </c>
      <c r="D217" s="6" t="s">
        <v>135</v>
      </c>
      <c r="E217" s="6" t="s">
        <v>136</v>
      </c>
      <c r="F217" s="18">
        <v>10743.8</v>
      </c>
      <c r="G217" s="18">
        <v>0</v>
      </c>
      <c r="H217" s="6">
        <v>0</v>
      </c>
      <c r="I217" s="6">
        <v>0</v>
      </c>
      <c r="J217" s="6">
        <v>0</v>
      </c>
      <c r="K217" s="6">
        <v>2256.2000000000003</v>
      </c>
      <c r="L217" s="6">
        <v>0</v>
      </c>
      <c r="M217" s="18">
        <v>0</v>
      </c>
      <c r="N217" s="18">
        <v>13000</v>
      </c>
    </row>
    <row r="218" spans="1:14" hidden="1">
      <c r="A218" s="4" t="s">
        <v>2118</v>
      </c>
      <c r="B218" s="5" t="s">
        <v>2119</v>
      </c>
      <c r="C218" s="6" t="s">
        <v>134</v>
      </c>
      <c r="D218" s="6" t="s">
        <v>135</v>
      </c>
      <c r="E218" s="6" t="s">
        <v>136</v>
      </c>
      <c r="F218" s="18">
        <v>24628.1</v>
      </c>
      <c r="G218" s="18">
        <v>0</v>
      </c>
      <c r="H218" s="6">
        <v>0</v>
      </c>
      <c r="I218" s="6">
        <v>0</v>
      </c>
      <c r="J218" s="6">
        <v>0</v>
      </c>
      <c r="K218" s="6">
        <v>5171.9000000000005</v>
      </c>
      <c r="L218" s="6">
        <v>0</v>
      </c>
      <c r="M218" s="18">
        <v>0</v>
      </c>
      <c r="N218" s="18">
        <v>29800</v>
      </c>
    </row>
    <row r="219" spans="1:14" hidden="1">
      <c r="A219" s="4" t="s">
        <v>2118</v>
      </c>
      <c r="B219" s="5" t="s">
        <v>2120</v>
      </c>
      <c r="C219" s="6" t="s">
        <v>134</v>
      </c>
      <c r="D219" s="6" t="s">
        <v>135</v>
      </c>
      <c r="E219" s="6" t="s">
        <v>136</v>
      </c>
      <c r="F219" s="18">
        <v>10743.8</v>
      </c>
      <c r="G219" s="18">
        <v>0</v>
      </c>
      <c r="H219" s="6">
        <v>0</v>
      </c>
      <c r="I219" s="6">
        <v>0</v>
      </c>
      <c r="J219" s="6">
        <v>0</v>
      </c>
      <c r="K219" s="6">
        <v>2256.2000000000003</v>
      </c>
      <c r="L219" s="6">
        <v>0</v>
      </c>
      <c r="M219" s="18">
        <v>0</v>
      </c>
      <c r="N219" s="18">
        <v>13000</v>
      </c>
    </row>
    <row r="220" spans="1:14" hidden="1">
      <c r="A220" s="4" t="s">
        <v>2118</v>
      </c>
      <c r="B220" s="5" t="s">
        <v>2121</v>
      </c>
      <c r="C220" s="6" t="s">
        <v>134</v>
      </c>
      <c r="D220" s="6" t="s">
        <v>135</v>
      </c>
      <c r="E220" s="6" t="s">
        <v>136</v>
      </c>
      <c r="F220" s="18">
        <v>30165.29</v>
      </c>
      <c r="G220" s="18">
        <v>0</v>
      </c>
      <c r="H220" s="6">
        <v>0</v>
      </c>
      <c r="I220" s="6">
        <v>0</v>
      </c>
      <c r="J220" s="6">
        <v>0</v>
      </c>
      <c r="K220" s="6">
        <v>6334.71</v>
      </c>
      <c r="L220" s="6">
        <v>0</v>
      </c>
      <c r="M220" s="18">
        <v>0</v>
      </c>
      <c r="N220" s="18">
        <v>36500</v>
      </c>
    </row>
    <row r="221" spans="1:14" hidden="1">
      <c r="A221" s="4" t="s">
        <v>2118</v>
      </c>
      <c r="B221" s="5" t="s">
        <v>2122</v>
      </c>
      <c r="C221" s="6" t="s">
        <v>134</v>
      </c>
      <c r="D221" s="6" t="s">
        <v>135</v>
      </c>
      <c r="E221" s="6" t="s">
        <v>136</v>
      </c>
      <c r="F221" s="18">
        <v>11157.02</v>
      </c>
      <c r="G221" s="18">
        <v>0</v>
      </c>
      <c r="H221" s="6">
        <v>0</v>
      </c>
      <c r="I221" s="6">
        <v>0</v>
      </c>
      <c r="J221" s="6">
        <v>0</v>
      </c>
      <c r="K221" s="6">
        <v>2342.98</v>
      </c>
      <c r="L221" s="6">
        <v>0</v>
      </c>
      <c r="M221" s="18">
        <v>0</v>
      </c>
      <c r="N221" s="18">
        <v>13500</v>
      </c>
    </row>
    <row r="222" spans="1:14" hidden="1">
      <c r="A222" s="4" t="s">
        <v>2118</v>
      </c>
      <c r="B222" s="5" t="s">
        <v>2123</v>
      </c>
      <c r="C222" s="6" t="s">
        <v>134</v>
      </c>
      <c r="D222" s="6" t="s">
        <v>135</v>
      </c>
      <c r="E222" s="6" t="s">
        <v>136</v>
      </c>
      <c r="F222" s="18">
        <v>10743.8</v>
      </c>
      <c r="G222" s="18">
        <v>0</v>
      </c>
      <c r="H222" s="6">
        <v>0</v>
      </c>
      <c r="I222" s="6">
        <v>0</v>
      </c>
      <c r="J222" s="6">
        <v>0</v>
      </c>
      <c r="K222" s="6">
        <v>2256.2000000000003</v>
      </c>
      <c r="L222" s="6">
        <v>0</v>
      </c>
      <c r="M222" s="18">
        <v>0</v>
      </c>
      <c r="N222" s="18">
        <v>13000</v>
      </c>
    </row>
    <row r="223" spans="1:14" hidden="1">
      <c r="A223" s="4" t="s">
        <v>2118</v>
      </c>
      <c r="B223" s="5" t="s">
        <v>2124</v>
      </c>
      <c r="C223" s="6" t="s">
        <v>134</v>
      </c>
      <c r="D223" s="6" t="s">
        <v>135</v>
      </c>
      <c r="E223" s="6" t="s">
        <v>136</v>
      </c>
      <c r="F223" s="18">
        <v>37768.6</v>
      </c>
      <c r="G223" s="18">
        <v>0</v>
      </c>
      <c r="H223" s="6">
        <v>0</v>
      </c>
      <c r="I223" s="6">
        <v>0</v>
      </c>
      <c r="J223" s="6">
        <v>0</v>
      </c>
      <c r="K223" s="6">
        <v>7931.4</v>
      </c>
      <c r="L223" s="6">
        <v>0</v>
      </c>
      <c r="M223" s="18">
        <v>0</v>
      </c>
      <c r="N223" s="18">
        <v>45700</v>
      </c>
    </row>
    <row r="224" spans="1:14" hidden="1">
      <c r="A224" s="4" t="s">
        <v>2118</v>
      </c>
      <c r="B224" s="5" t="s">
        <v>2125</v>
      </c>
      <c r="C224" s="6" t="s">
        <v>134</v>
      </c>
      <c r="D224" s="6" t="s">
        <v>135</v>
      </c>
      <c r="E224" s="6" t="s">
        <v>136</v>
      </c>
      <c r="F224" s="18">
        <v>30578.51</v>
      </c>
      <c r="G224" s="18">
        <v>0</v>
      </c>
      <c r="H224" s="6">
        <v>0</v>
      </c>
      <c r="I224" s="6">
        <v>0</v>
      </c>
      <c r="J224" s="6">
        <v>0</v>
      </c>
      <c r="K224" s="6">
        <v>6421.49</v>
      </c>
      <c r="L224" s="6">
        <v>0</v>
      </c>
      <c r="M224" s="18">
        <v>0</v>
      </c>
      <c r="N224" s="18">
        <v>37000</v>
      </c>
    </row>
    <row r="225" spans="1:14" hidden="1">
      <c r="A225" s="4" t="s">
        <v>2118</v>
      </c>
      <c r="B225" s="5" t="s">
        <v>2126</v>
      </c>
      <c r="C225" s="6" t="s">
        <v>134</v>
      </c>
      <c r="D225" s="6" t="s">
        <v>135</v>
      </c>
      <c r="E225" s="6" t="s">
        <v>136</v>
      </c>
      <c r="F225" s="18">
        <v>8595.0400000000009</v>
      </c>
      <c r="G225" s="18">
        <v>0</v>
      </c>
      <c r="H225" s="6">
        <v>0</v>
      </c>
      <c r="I225" s="6">
        <v>0</v>
      </c>
      <c r="J225" s="6">
        <v>0</v>
      </c>
      <c r="K225" s="6">
        <v>1804.96</v>
      </c>
      <c r="L225" s="6">
        <v>0</v>
      </c>
      <c r="M225" s="18">
        <v>0</v>
      </c>
      <c r="N225" s="18">
        <v>10400</v>
      </c>
    </row>
    <row r="226" spans="1:14" hidden="1">
      <c r="A226" s="4" t="s">
        <v>2118</v>
      </c>
      <c r="B226" s="5" t="s">
        <v>2127</v>
      </c>
      <c r="C226" s="6" t="s">
        <v>134</v>
      </c>
      <c r="D226" s="6" t="s">
        <v>135</v>
      </c>
      <c r="E226" s="6" t="s">
        <v>136</v>
      </c>
      <c r="F226" s="18">
        <v>21487.599999999999</v>
      </c>
      <c r="G226" s="18">
        <v>0</v>
      </c>
      <c r="H226" s="6">
        <v>0</v>
      </c>
      <c r="I226" s="6">
        <v>0</v>
      </c>
      <c r="J226" s="6">
        <v>0</v>
      </c>
      <c r="K226" s="6">
        <v>4512.4000000000005</v>
      </c>
      <c r="L226" s="6">
        <v>0</v>
      </c>
      <c r="M226" s="18">
        <v>0</v>
      </c>
      <c r="N226" s="18">
        <v>26000</v>
      </c>
    </row>
    <row r="227" spans="1:14" hidden="1">
      <c r="A227" s="4" t="s">
        <v>2118</v>
      </c>
      <c r="B227" s="5" t="s">
        <v>2128</v>
      </c>
      <c r="C227" s="6" t="s">
        <v>134</v>
      </c>
      <c r="D227" s="6" t="s">
        <v>135</v>
      </c>
      <c r="E227" s="6" t="s">
        <v>136</v>
      </c>
      <c r="F227" s="18">
        <v>8264.4600000000009</v>
      </c>
      <c r="G227" s="18">
        <v>0</v>
      </c>
      <c r="H227" s="6">
        <v>0</v>
      </c>
      <c r="I227" s="6">
        <v>0</v>
      </c>
      <c r="J227" s="6">
        <v>0</v>
      </c>
      <c r="K227" s="6">
        <v>1735.54</v>
      </c>
      <c r="L227" s="6">
        <v>0</v>
      </c>
      <c r="M227" s="18">
        <v>0</v>
      </c>
      <c r="N227" s="18">
        <v>10000</v>
      </c>
    </row>
    <row r="228" spans="1:14" hidden="1">
      <c r="A228" s="4" t="s">
        <v>2118</v>
      </c>
      <c r="B228" s="5" t="s">
        <v>2129</v>
      </c>
      <c r="C228" s="6" t="s">
        <v>134</v>
      </c>
      <c r="D228" s="6" t="s">
        <v>135</v>
      </c>
      <c r="E228" s="6" t="s">
        <v>136</v>
      </c>
      <c r="F228" s="18">
        <v>20661.16</v>
      </c>
      <c r="G228" s="18">
        <v>0</v>
      </c>
      <c r="H228" s="6">
        <v>0</v>
      </c>
      <c r="I228" s="6">
        <v>0</v>
      </c>
      <c r="J228" s="6">
        <v>0</v>
      </c>
      <c r="K228" s="6">
        <v>4338.84</v>
      </c>
      <c r="L228" s="6">
        <v>0</v>
      </c>
      <c r="M228" s="18">
        <v>0</v>
      </c>
      <c r="N228" s="18">
        <v>25000</v>
      </c>
    </row>
    <row r="229" spans="1:14" hidden="1">
      <c r="A229" s="4" t="s">
        <v>2118</v>
      </c>
      <c r="B229" s="5" t="s">
        <v>2130</v>
      </c>
      <c r="C229" s="6" t="s">
        <v>134</v>
      </c>
      <c r="D229" s="6" t="s">
        <v>135</v>
      </c>
      <c r="E229" s="6" t="s">
        <v>136</v>
      </c>
      <c r="F229" s="18">
        <v>30495.87</v>
      </c>
      <c r="G229" s="18">
        <v>0</v>
      </c>
      <c r="H229" s="6">
        <v>0</v>
      </c>
      <c r="I229" s="6">
        <v>0</v>
      </c>
      <c r="J229" s="6">
        <v>0</v>
      </c>
      <c r="K229" s="6">
        <v>6404.13</v>
      </c>
      <c r="L229" s="6">
        <v>0</v>
      </c>
      <c r="M229" s="18">
        <v>0</v>
      </c>
      <c r="N229" s="18">
        <v>36900</v>
      </c>
    </row>
    <row r="230" spans="1:14" hidden="1">
      <c r="A230" s="4" t="s">
        <v>2118</v>
      </c>
      <c r="B230" s="5" t="s">
        <v>2131</v>
      </c>
      <c r="C230" s="6" t="s">
        <v>134</v>
      </c>
      <c r="D230" s="6" t="s">
        <v>135</v>
      </c>
      <c r="E230" s="6" t="s">
        <v>136</v>
      </c>
      <c r="F230" s="18">
        <v>21487.599999999999</v>
      </c>
      <c r="G230" s="18">
        <v>0</v>
      </c>
      <c r="H230" s="6">
        <v>0</v>
      </c>
      <c r="I230" s="6">
        <v>0</v>
      </c>
      <c r="J230" s="6">
        <v>0</v>
      </c>
      <c r="K230" s="6">
        <v>4512.4000000000005</v>
      </c>
      <c r="L230" s="6">
        <v>0</v>
      </c>
      <c r="M230" s="18">
        <v>0</v>
      </c>
      <c r="N230" s="18">
        <v>26000</v>
      </c>
    </row>
    <row r="231" spans="1:14" hidden="1">
      <c r="A231" s="4" t="s">
        <v>2118</v>
      </c>
      <c r="B231" s="5" t="s">
        <v>2132</v>
      </c>
      <c r="C231" s="6" t="s">
        <v>134</v>
      </c>
      <c r="D231" s="6" t="s">
        <v>135</v>
      </c>
      <c r="E231" s="6" t="s">
        <v>136</v>
      </c>
      <c r="F231" s="18">
        <v>29752.07</v>
      </c>
      <c r="G231" s="18">
        <v>0</v>
      </c>
      <c r="H231" s="6">
        <v>0</v>
      </c>
      <c r="I231" s="6">
        <v>0</v>
      </c>
      <c r="J231" s="6">
        <v>0</v>
      </c>
      <c r="K231" s="6">
        <v>6247.93</v>
      </c>
      <c r="L231" s="6">
        <v>0</v>
      </c>
      <c r="M231" s="18">
        <v>0</v>
      </c>
      <c r="N231" s="18">
        <v>36000</v>
      </c>
    </row>
    <row r="232" spans="1:14" hidden="1">
      <c r="A232" s="4" t="s">
        <v>2118</v>
      </c>
      <c r="B232" s="5" t="s">
        <v>2133</v>
      </c>
      <c r="C232" s="6" t="s">
        <v>134</v>
      </c>
      <c r="D232" s="6" t="s">
        <v>135</v>
      </c>
      <c r="E232" s="6" t="s">
        <v>136</v>
      </c>
      <c r="F232" s="18">
        <v>22975.200000000001</v>
      </c>
      <c r="G232" s="18">
        <v>0</v>
      </c>
      <c r="H232" s="6">
        <v>0</v>
      </c>
      <c r="I232" s="6">
        <v>0</v>
      </c>
      <c r="J232" s="6">
        <v>0</v>
      </c>
      <c r="K232" s="6">
        <v>4824.8</v>
      </c>
      <c r="L232" s="6">
        <v>0</v>
      </c>
      <c r="M232" s="18">
        <v>0</v>
      </c>
      <c r="N232" s="18">
        <v>27800</v>
      </c>
    </row>
    <row r="233" spans="1:14" hidden="1">
      <c r="A233" s="4" t="s">
        <v>2118</v>
      </c>
      <c r="B233" s="5" t="s">
        <v>2134</v>
      </c>
      <c r="C233" s="6" t="s">
        <v>134</v>
      </c>
      <c r="D233" s="6" t="s">
        <v>135</v>
      </c>
      <c r="E233" s="6" t="s">
        <v>136</v>
      </c>
      <c r="F233" s="18">
        <v>11239.67</v>
      </c>
      <c r="G233" s="18">
        <v>0</v>
      </c>
      <c r="H233" s="6">
        <v>0</v>
      </c>
      <c r="I233" s="6">
        <v>0</v>
      </c>
      <c r="J233" s="6">
        <v>0</v>
      </c>
      <c r="K233" s="6">
        <v>2360.33</v>
      </c>
      <c r="L233" s="6">
        <v>0</v>
      </c>
      <c r="M233" s="18">
        <v>0</v>
      </c>
      <c r="N233" s="18">
        <v>13600</v>
      </c>
    </row>
    <row r="234" spans="1:14" hidden="1">
      <c r="A234" s="4" t="s">
        <v>2118</v>
      </c>
      <c r="B234" s="5" t="s">
        <v>2135</v>
      </c>
      <c r="C234" s="6" t="s">
        <v>134</v>
      </c>
      <c r="D234" s="6" t="s">
        <v>135</v>
      </c>
      <c r="E234" s="6" t="s">
        <v>136</v>
      </c>
      <c r="F234" s="18">
        <v>13871.9</v>
      </c>
      <c r="G234" s="18">
        <v>0</v>
      </c>
      <c r="H234" s="6">
        <v>0</v>
      </c>
      <c r="I234" s="6">
        <v>0</v>
      </c>
      <c r="J234" s="6">
        <v>0</v>
      </c>
      <c r="K234" s="6">
        <v>2913.1</v>
      </c>
      <c r="L234" s="6">
        <v>0</v>
      </c>
      <c r="M234" s="18">
        <v>0</v>
      </c>
      <c r="N234" s="18">
        <v>16785</v>
      </c>
    </row>
    <row r="235" spans="1:14" hidden="1">
      <c r="A235" s="4" t="s">
        <v>2118</v>
      </c>
      <c r="B235" s="5" t="s">
        <v>2136</v>
      </c>
      <c r="C235" s="6" t="s">
        <v>134</v>
      </c>
      <c r="D235" s="6" t="s">
        <v>135</v>
      </c>
      <c r="E235" s="6" t="s">
        <v>136</v>
      </c>
      <c r="F235" s="18">
        <v>17355.37</v>
      </c>
      <c r="G235" s="18">
        <v>0</v>
      </c>
      <c r="H235" s="6">
        <v>0</v>
      </c>
      <c r="I235" s="6">
        <v>0</v>
      </c>
      <c r="J235" s="6">
        <v>0</v>
      </c>
      <c r="K235" s="6">
        <v>3644.63</v>
      </c>
      <c r="L235" s="6">
        <v>0</v>
      </c>
      <c r="M235" s="18">
        <v>0</v>
      </c>
      <c r="N235" s="18">
        <v>21000</v>
      </c>
    </row>
    <row r="236" spans="1:14" hidden="1">
      <c r="A236" s="4" t="s">
        <v>2118</v>
      </c>
      <c r="B236" s="5" t="s">
        <v>2137</v>
      </c>
      <c r="C236" s="6" t="s">
        <v>134</v>
      </c>
      <c r="D236" s="6" t="s">
        <v>135</v>
      </c>
      <c r="E236" s="6" t="s">
        <v>136</v>
      </c>
      <c r="F236" s="18">
        <v>10743.8</v>
      </c>
      <c r="G236" s="18">
        <v>0</v>
      </c>
      <c r="H236" s="6">
        <v>0</v>
      </c>
      <c r="I236" s="6">
        <v>0</v>
      </c>
      <c r="J236" s="6">
        <v>0</v>
      </c>
      <c r="K236" s="6">
        <v>2256.2000000000003</v>
      </c>
      <c r="L236" s="6">
        <v>0</v>
      </c>
      <c r="M236" s="18">
        <v>0</v>
      </c>
      <c r="N236" s="18">
        <v>13000</v>
      </c>
    </row>
    <row r="237" spans="1:14" hidden="1">
      <c r="A237" s="4" t="s">
        <v>2118</v>
      </c>
      <c r="B237" s="5" t="s">
        <v>2138</v>
      </c>
      <c r="C237" s="6" t="s">
        <v>134</v>
      </c>
      <c r="D237" s="6" t="s">
        <v>135</v>
      </c>
      <c r="E237" s="6" t="s">
        <v>136</v>
      </c>
      <c r="F237" s="18">
        <v>10743.8</v>
      </c>
      <c r="G237" s="18">
        <v>0</v>
      </c>
      <c r="H237" s="6">
        <v>0</v>
      </c>
      <c r="I237" s="6">
        <v>0</v>
      </c>
      <c r="J237" s="6">
        <v>0</v>
      </c>
      <c r="K237" s="6">
        <v>2256.2000000000003</v>
      </c>
      <c r="L237" s="6">
        <v>0</v>
      </c>
      <c r="M237" s="18">
        <v>0</v>
      </c>
      <c r="N237" s="18">
        <v>13000</v>
      </c>
    </row>
    <row r="238" spans="1:14" hidden="1">
      <c r="A238" s="4" t="s">
        <v>2118</v>
      </c>
      <c r="B238" s="5" t="s">
        <v>2139</v>
      </c>
      <c r="C238" s="6" t="s">
        <v>134</v>
      </c>
      <c r="D238" s="6" t="s">
        <v>135</v>
      </c>
      <c r="E238" s="6" t="s">
        <v>136</v>
      </c>
      <c r="F238" s="18">
        <v>24545.45</v>
      </c>
      <c r="G238" s="18">
        <v>0</v>
      </c>
      <c r="H238" s="6">
        <v>0</v>
      </c>
      <c r="I238" s="6">
        <v>0</v>
      </c>
      <c r="J238" s="6">
        <v>0</v>
      </c>
      <c r="K238" s="6">
        <v>5154.55</v>
      </c>
      <c r="L238" s="6">
        <v>0</v>
      </c>
      <c r="M238" s="18">
        <v>0</v>
      </c>
      <c r="N238" s="18">
        <v>29700</v>
      </c>
    </row>
    <row r="239" spans="1:14" hidden="1">
      <c r="A239" s="4" t="s">
        <v>2140</v>
      </c>
      <c r="B239" s="5" t="s">
        <v>2141</v>
      </c>
      <c r="C239" s="6" t="s">
        <v>134</v>
      </c>
      <c r="D239" s="6" t="s">
        <v>135</v>
      </c>
      <c r="E239" s="6" t="s">
        <v>136</v>
      </c>
      <c r="F239" s="18">
        <v>15909.09</v>
      </c>
      <c r="G239" s="18">
        <v>0</v>
      </c>
      <c r="H239" s="6">
        <v>0</v>
      </c>
      <c r="I239" s="6">
        <v>0</v>
      </c>
      <c r="J239" s="6">
        <v>0</v>
      </c>
      <c r="K239" s="6">
        <v>3340.91</v>
      </c>
      <c r="L239" s="6">
        <v>0</v>
      </c>
      <c r="M239" s="18">
        <v>0</v>
      </c>
      <c r="N239" s="18">
        <v>19250</v>
      </c>
    </row>
    <row r="240" spans="1:14" hidden="1">
      <c r="A240" s="4" t="s">
        <v>2140</v>
      </c>
      <c r="B240" s="5" t="s">
        <v>2142</v>
      </c>
      <c r="C240" s="6" t="s">
        <v>134</v>
      </c>
      <c r="D240" s="6" t="s">
        <v>135</v>
      </c>
      <c r="E240" s="6" t="s">
        <v>136</v>
      </c>
      <c r="F240" s="18">
        <v>4958.68</v>
      </c>
      <c r="G240" s="18">
        <v>0</v>
      </c>
      <c r="H240" s="6">
        <v>0</v>
      </c>
      <c r="I240" s="6">
        <v>0</v>
      </c>
      <c r="J240" s="6">
        <v>0</v>
      </c>
      <c r="K240" s="6">
        <v>1041.32</v>
      </c>
      <c r="L240" s="6">
        <v>0</v>
      </c>
      <c r="M240" s="18">
        <v>0</v>
      </c>
      <c r="N240" s="18">
        <v>6000</v>
      </c>
    </row>
    <row r="241" spans="1:14" hidden="1">
      <c r="A241" s="4" t="s">
        <v>2140</v>
      </c>
      <c r="B241" s="5" t="s">
        <v>2143</v>
      </c>
      <c r="C241" s="6" t="s">
        <v>134</v>
      </c>
      <c r="D241" s="6" t="s">
        <v>135</v>
      </c>
      <c r="E241" s="6" t="s">
        <v>136</v>
      </c>
      <c r="F241" s="18">
        <v>31818.18</v>
      </c>
      <c r="G241" s="18">
        <v>0</v>
      </c>
      <c r="H241" s="6">
        <v>0</v>
      </c>
      <c r="I241" s="6">
        <v>0</v>
      </c>
      <c r="J241" s="6">
        <v>0</v>
      </c>
      <c r="K241" s="6">
        <v>6681.82</v>
      </c>
      <c r="L241" s="6">
        <v>0</v>
      </c>
      <c r="M241" s="18">
        <v>0</v>
      </c>
      <c r="N241" s="18">
        <v>38500</v>
      </c>
    </row>
    <row r="242" spans="1:14" hidden="1">
      <c r="A242" s="4" t="s">
        <v>2140</v>
      </c>
      <c r="B242" s="5" t="s">
        <v>2144</v>
      </c>
      <c r="C242" s="6" t="s">
        <v>134</v>
      </c>
      <c r="D242" s="6" t="s">
        <v>135</v>
      </c>
      <c r="E242" s="6" t="s">
        <v>136</v>
      </c>
      <c r="F242" s="18">
        <v>10743.8</v>
      </c>
      <c r="G242" s="18">
        <v>0</v>
      </c>
      <c r="H242" s="6">
        <v>0</v>
      </c>
      <c r="I242" s="6">
        <v>0</v>
      </c>
      <c r="J242" s="6">
        <v>0</v>
      </c>
      <c r="K242" s="6">
        <v>2256.2000000000003</v>
      </c>
      <c r="L242" s="6">
        <v>0</v>
      </c>
      <c r="M242" s="18">
        <v>0</v>
      </c>
      <c r="N242" s="18">
        <v>13000</v>
      </c>
    </row>
    <row r="243" spans="1:14" hidden="1">
      <c r="A243" s="4" t="s">
        <v>2140</v>
      </c>
      <c r="B243" s="5" t="s">
        <v>2145</v>
      </c>
      <c r="C243" s="6" t="s">
        <v>134</v>
      </c>
      <c r="D243" s="6" t="s">
        <v>135</v>
      </c>
      <c r="E243" s="6" t="s">
        <v>136</v>
      </c>
      <c r="F243" s="18">
        <v>31818.18</v>
      </c>
      <c r="G243" s="18">
        <v>0</v>
      </c>
      <c r="H243" s="6">
        <v>0</v>
      </c>
      <c r="I243" s="6">
        <v>0</v>
      </c>
      <c r="J243" s="6">
        <v>0</v>
      </c>
      <c r="K243" s="6">
        <v>6681.82</v>
      </c>
      <c r="L243" s="6">
        <v>0</v>
      </c>
      <c r="M243" s="18">
        <v>0</v>
      </c>
      <c r="N243" s="18">
        <v>38500</v>
      </c>
    </row>
    <row r="244" spans="1:14" hidden="1">
      <c r="A244" s="4" t="s">
        <v>2140</v>
      </c>
      <c r="B244" s="5" t="s">
        <v>2146</v>
      </c>
      <c r="C244" s="6" t="s">
        <v>134</v>
      </c>
      <c r="D244" s="6" t="s">
        <v>135</v>
      </c>
      <c r="E244" s="6" t="s">
        <v>136</v>
      </c>
      <c r="F244" s="18">
        <v>10743.8</v>
      </c>
      <c r="G244" s="18">
        <v>0</v>
      </c>
      <c r="H244" s="6">
        <v>0</v>
      </c>
      <c r="I244" s="6">
        <v>0</v>
      </c>
      <c r="J244" s="6">
        <v>0</v>
      </c>
      <c r="K244" s="6">
        <v>2256.2000000000003</v>
      </c>
      <c r="L244" s="6">
        <v>0</v>
      </c>
      <c r="M244" s="18">
        <v>0</v>
      </c>
      <c r="N244" s="18">
        <v>13000</v>
      </c>
    </row>
    <row r="245" spans="1:14" hidden="1">
      <c r="A245" s="4" t="s">
        <v>2140</v>
      </c>
      <c r="B245" s="5" t="s">
        <v>2147</v>
      </c>
      <c r="C245" s="6" t="s">
        <v>134</v>
      </c>
      <c r="D245" s="6" t="s">
        <v>135</v>
      </c>
      <c r="E245" s="6" t="s">
        <v>136</v>
      </c>
      <c r="F245" s="18">
        <v>21487.599999999999</v>
      </c>
      <c r="G245" s="18">
        <v>0</v>
      </c>
      <c r="H245" s="6">
        <v>0</v>
      </c>
      <c r="I245" s="6">
        <v>0</v>
      </c>
      <c r="J245" s="6">
        <v>0</v>
      </c>
      <c r="K245" s="6">
        <v>4512.4000000000005</v>
      </c>
      <c r="L245" s="6">
        <v>0</v>
      </c>
      <c r="M245" s="18">
        <v>0</v>
      </c>
      <c r="N245" s="18">
        <v>26000</v>
      </c>
    </row>
    <row r="246" spans="1:14" hidden="1">
      <c r="A246" s="4" t="s">
        <v>2140</v>
      </c>
      <c r="B246" s="5" t="s">
        <v>2148</v>
      </c>
      <c r="C246" s="6" t="s">
        <v>134</v>
      </c>
      <c r="D246" s="6" t="s">
        <v>135</v>
      </c>
      <c r="E246" s="6" t="s">
        <v>136</v>
      </c>
      <c r="F246" s="18">
        <v>14669.42</v>
      </c>
      <c r="G246" s="18">
        <v>0</v>
      </c>
      <c r="H246" s="6">
        <v>0</v>
      </c>
      <c r="I246" s="6">
        <v>0</v>
      </c>
      <c r="J246" s="6">
        <v>0</v>
      </c>
      <c r="K246" s="6">
        <v>3080.58</v>
      </c>
      <c r="L246" s="6">
        <v>0</v>
      </c>
      <c r="M246" s="18">
        <v>0</v>
      </c>
      <c r="N246" s="18">
        <v>17750</v>
      </c>
    </row>
    <row r="247" spans="1:14" hidden="1">
      <c r="A247" s="4" t="s">
        <v>2140</v>
      </c>
      <c r="B247" s="5" t="s">
        <v>2149</v>
      </c>
      <c r="C247" s="6" t="s">
        <v>134</v>
      </c>
      <c r="D247" s="6" t="s">
        <v>135</v>
      </c>
      <c r="E247" s="6" t="s">
        <v>136</v>
      </c>
      <c r="F247" s="18">
        <v>29338.84</v>
      </c>
      <c r="G247" s="18">
        <v>0</v>
      </c>
      <c r="H247" s="6">
        <v>0</v>
      </c>
      <c r="I247" s="6">
        <v>0</v>
      </c>
      <c r="J247" s="6">
        <v>0</v>
      </c>
      <c r="K247" s="6">
        <v>6161.16</v>
      </c>
      <c r="L247" s="6">
        <v>0</v>
      </c>
      <c r="M247" s="18">
        <v>0</v>
      </c>
      <c r="N247" s="18">
        <v>35500</v>
      </c>
    </row>
    <row r="248" spans="1:14" hidden="1">
      <c r="A248" s="4" t="s">
        <v>2140</v>
      </c>
      <c r="B248" s="5" t="s">
        <v>2150</v>
      </c>
      <c r="C248" s="6" t="s">
        <v>134</v>
      </c>
      <c r="D248" s="6" t="s">
        <v>135</v>
      </c>
      <c r="E248" s="6" t="s">
        <v>136</v>
      </c>
      <c r="F248" s="18">
        <v>14669.42</v>
      </c>
      <c r="G248" s="18">
        <v>0</v>
      </c>
      <c r="H248" s="6">
        <v>0</v>
      </c>
      <c r="I248" s="6">
        <v>0</v>
      </c>
      <c r="J248" s="6">
        <v>0</v>
      </c>
      <c r="K248" s="6">
        <v>3080.58</v>
      </c>
      <c r="L248" s="6">
        <v>0</v>
      </c>
      <c r="M248" s="18">
        <v>0</v>
      </c>
      <c r="N248" s="18">
        <v>17750</v>
      </c>
    </row>
    <row r="249" spans="1:14" hidden="1">
      <c r="A249" s="4" t="s">
        <v>2140</v>
      </c>
      <c r="B249" s="5" t="s">
        <v>2151</v>
      </c>
      <c r="C249" s="6" t="s">
        <v>134</v>
      </c>
      <c r="D249" s="6" t="s">
        <v>135</v>
      </c>
      <c r="E249" s="6" t="s">
        <v>136</v>
      </c>
      <c r="F249" s="18">
        <v>2231.4</v>
      </c>
      <c r="G249" s="18">
        <v>0</v>
      </c>
      <c r="H249" s="6">
        <v>0</v>
      </c>
      <c r="I249" s="6">
        <v>0</v>
      </c>
      <c r="J249" s="6">
        <v>0</v>
      </c>
      <c r="K249" s="6">
        <v>468.6</v>
      </c>
      <c r="L249" s="6">
        <v>0</v>
      </c>
      <c r="M249" s="18">
        <v>0</v>
      </c>
      <c r="N249" s="18">
        <v>2700</v>
      </c>
    </row>
    <row r="250" spans="1:14" hidden="1">
      <c r="A250" s="4" t="s">
        <v>2140</v>
      </c>
      <c r="B250" s="5" t="s">
        <v>2152</v>
      </c>
      <c r="C250" s="6" t="s">
        <v>134</v>
      </c>
      <c r="D250" s="6" t="s">
        <v>135</v>
      </c>
      <c r="E250" s="6" t="s">
        <v>136</v>
      </c>
      <c r="F250" s="18">
        <v>39669.42</v>
      </c>
      <c r="G250" s="18">
        <v>0</v>
      </c>
      <c r="H250" s="6">
        <v>0</v>
      </c>
      <c r="I250" s="6">
        <v>0</v>
      </c>
      <c r="J250" s="6">
        <v>0</v>
      </c>
      <c r="K250" s="6">
        <v>8330.58</v>
      </c>
      <c r="L250" s="6">
        <v>0</v>
      </c>
      <c r="M250" s="18">
        <v>0</v>
      </c>
      <c r="N250" s="18">
        <v>48000</v>
      </c>
    </row>
    <row r="251" spans="1:14" hidden="1">
      <c r="A251" s="4" t="s">
        <v>2160</v>
      </c>
      <c r="B251" s="5" t="s">
        <v>2161</v>
      </c>
      <c r="C251" s="6" t="s">
        <v>134</v>
      </c>
      <c r="D251" s="6" t="s">
        <v>135</v>
      </c>
      <c r="E251" s="6" t="s">
        <v>136</v>
      </c>
      <c r="F251" s="18">
        <v>39669.42</v>
      </c>
      <c r="G251" s="18">
        <v>0</v>
      </c>
      <c r="H251" s="6">
        <v>0</v>
      </c>
      <c r="I251" s="6">
        <v>0</v>
      </c>
      <c r="J251" s="6">
        <v>0</v>
      </c>
      <c r="K251" s="6">
        <v>8330.58</v>
      </c>
      <c r="L251" s="6">
        <v>0</v>
      </c>
      <c r="M251" s="18">
        <v>0</v>
      </c>
      <c r="N251" s="18">
        <v>48000</v>
      </c>
    </row>
    <row r="252" spans="1:14" hidden="1">
      <c r="A252" s="4" t="s">
        <v>2160</v>
      </c>
      <c r="B252" s="5" t="s">
        <v>2162</v>
      </c>
      <c r="C252" s="6" t="s">
        <v>134</v>
      </c>
      <c r="D252" s="6" t="s">
        <v>135</v>
      </c>
      <c r="E252" s="6" t="s">
        <v>136</v>
      </c>
      <c r="F252" s="18">
        <v>10743.8</v>
      </c>
      <c r="G252" s="18">
        <v>0</v>
      </c>
      <c r="H252" s="6">
        <v>0</v>
      </c>
      <c r="I252" s="6">
        <v>0</v>
      </c>
      <c r="J252" s="6">
        <v>0</v>
      </c>
      <c r="K252" s="6">
        <v>2256.2000000000003</v>
      </c>
      <c r="L252" s="6">
        <v>0</v>
      </c>
      <c r="M252" s="18">
        <v>0</v>
      </c>
      <c r="N252" s="18">
        <v>13000</v>
      </c>
    </row>
    <row r="253" spans="1:14" hidden="1">
      <c r="A253" s="4" t="s">
        <v>2160</v>
      </c>
      <c r="B253" s="5" t="s">
        <v>2163</v>
      </c>
      <c r="C253" s="6" t="s">
        <v>134</v>
      </c>
      <c r="D253" s="6" t="s">
        <v>135</v>
      </c>
      <c r="E253" s="6" t="s">
        <v>136</v>
      </c>
      <c r="F253" s="18">
        <v>10743.8</v>
      </c>
      <c r="G253" s="18">
        <v>0</v>
      </c>
      <c r="H253" s="6">
        <v>0</v>
      </c>
      <c r="I253" s="6">
        <v>0</v>
      </c>
      <c r="J253" s="6">
        <v>0</v>
      </c>
      <c r="K253" s="6">
        <v>2256.2000000000003</v>
      </c>
      <c r="L253" s="6">
        <v>0</v>
      </c>
      <c r="M253" s="18">
        <v>0</v>
      </c>
      <c r="N253" s="18">
        <v>13000</v>
      </c>
    </row>
    <row r="254" spans="1:14" hidden="1">
      <c r="A254" s="4" t="s">
        <v>2160</v>
      </c>
      <c r="B254" s="5" t="s">
        <v>2164</v>
      </c>
      <c r="C254" s="6" t="s">
        <v>134</v>
      </c>
      <c r="D254" s="6" t="s">
        <v>135</v>
      </c>
      <c r="E254" s="6" t="s">
        <v>136</v>
      </c>
      <c r="F254" s="18">
        <v>29338.84</v>
      </c>
      <c r="G254" s="18">
        <v>0</v>
      </c>
      <c r="H254" s="6">
        <v>0</v>
      </c>
      <c r="I254" s="6">
        <v>0</v>
      </c>
      <c r="J254" s="6">
        <v>0</v>
      </c>
      <c r="K254" s="6">
        <v>6161.16</v>
      </c>
      <c r="L254" s="6">
        <v>0</v>
      </c>
      <c r="M254" s="18">
        <v>0</v>
      </c>
      <c r="N254" s="18">
        <v>35500</v>
      </c>
    </row>
    <row r="255" spans="1:14" hidden="1">
      <c r="A255" s="4" t="s">
        <v>2160</v>
      </c>
      <c r="B255" s="5" t="s">
        <v>2165</v>
      </c>
      <c r="C255" s="6" t="s">
        <v>134</v>
      </c>
      <c r="D255" s="6" t="s">
        <v>135</v>
      </c>
      <c r="E255" s="6" t="s">
        <v>136</v>
      </c>
      <c r="F255" s="18">
        <v>28429.75</v>
      </c>
      <c r="G255" s="18">
        <v>0</v>
      </c>
      <c r="H255" s="6">
        <v>0</v>
      </c>
      <c r="I255" s="6">
        <v>0</v>
      </c>
      <c r="J255" s="6">
        <v>0</v>
      </c>
      <c r="K255" s="6">
        <v>5970.25</v>
      </c>
      <c r="L255" s="6">
        <v>0</v>
      </c>
      <c r="M255" s="18">
        <v>0</v>
      </c>
      <c r="N255" s="18">
        <v>34400</v>
      </c>
    </row>
    <row r="256" spans="1:14" hidden="1">
      <c r="A256" s="4" t="s">
        <v>2160</v>
      </c>
      <c r="B256" s="5" t="s">
        <v>2166</v>
      </c>
      <c r="C256" s="6" t="s">
        <v>134</v>
      </c>
      <c r="D256" s="6" t="s">
        <v>135</v>
      </c>
      <c r="E256" s="6" t="s">
        <v>136</v>
      </c>
      <c r="F256" s="18">
        <v>21487.599999999999</v>
      </c>
      <c r="G256" s="18">
        <v>0</v>
      </c>
      <c r="H256" s="6">
        <v>0</v>
      </c>
      <c r="I256" s="6">
        <v>0</v>
      </c>
      <c r="J256" s="6">
        <v>0</v>
      </c>
      <c r="K256" s="6">
        <v>4512.4000000000005</v>
      </c>
      <c r="L256" s="6">
        <v>0</v>
      </c>
      <c r="M256" s="18">
        <v>0</v>
      </c>
      <c r="N256" s="18">
        <v>26000</v>
      </c>
    </row>
    <row r="257" spans="1:14">
      <c r="A257" s="4" t="s">
        <v>2160</v>
      </c>
      <c r="B257" s="5" t="s">
        <v>2167</v>
      </c>
      <c r="C257" s="6" t="s">
        <v>2168</v>
      </c>
      <c r="D257" s="6" t="s">
        <v>135</v>
      </c>
      <c r="E257" s="6">
        <v>3992302</v>
      </c>
      <c r="F257" s="18">
        <v>29752.07</v>
      </c>
      <c r="G257" s="18">
        <v>0</v>
      </c>
      <c r="H257" s="6">
        <v>0</v>
      </c>
      <c r="I257" s="6">
        <v>0</v>
      </c>
      <c r="J257" s="6">
        <v>0</v>
      </c>
      <c r="K257" s="6">
        <v>6247.93</v>
      </c>
      <c r="L257" s="6">
        <v>0</v>
      </c>
      <c r="M257" s="18">
        <v>0</v>
      </c>
      <c r="N257" s="18">
        <v>36000</v>
      </c>
    </row>
    <row r="258" spans="1:14" hidden="1">
      <c r="A258" s="4" t="s">
        <v>2160</v>
      </c>
      <c r="B258" s="5" t="s">
        <v>2169</v>
      </c>
      <c r="C258" s="6" t="s">
        <v>134</v>
      </c>
      <c r="D258" s="6" t="s">
        <v>135</v>
      </c>
      <c r="E258" s="6" t="s">
        <v>136</v>
      </c>
      <c r="F258" s="18">
        <v>7438.02</v>
      </c>
      <c r="G258" s="18">
        <v>0</v>
      </c>
      <c r="H258" s="6">
        <v>0</v>
      </c>
      <c r="I258" s="6">
        <v>0</v>
      </c>
      <c r="J258" s="6">
        <v>0</v>
      </c>
      <c r="K258" s="6">
        <v>1561.98</v>
      </c>
      <c r="L258" s="6">
        <v>0</v>
      </c>
      <c r="M258" s="18">
        <v>0</v>
      </c>
      <c r="N258" s="18">
        <v>9000</v>
      </c>
    </row>
    <row r="259" spans="1:14" hidden="1">
      <c r="A259" s="4" t="s">
        <v>2160</v>
      </c>
      <c r="B259" s="5" t="s">
        <v>2170</v>
      </c>
      <c r="C259" s="6" t="s">
        <v>134</v>
      </c>
      <c r="D259" s="6" t="s">
        <v>135</v>
      </c>
      <c r="E259" s="6" t="s">
        <v>136</v>
      </c>
      <c r="F259" s="18">
        <v>10661.16</v>
      </c>
      <c r="G259" s="18">
        <v>0</v>
      </c>
      <c r="H259" s="6">
        <v>0</v>
      </c>
      <c r="I259" s="6">
        <v>0</v>
      </c>
      <c r="J259" s="6">
        <v>0</v>
      </c>
      <c r="K259" s="6">
        <v>2238.84</v>
      </c>
      <c r="L259" s="6">
        <v>0</v>
      </c>
      <c r="M259" s="18">
        <v>0</v>
      </c>
      <c r="N259" s="18">
        <v>12900</v>
      </c>
    </row>
    <row r="260" spans="1:14" hidden="1">
      <c r="A260" s="4" t="s">
        <v>2160</v>
      </c>
      <c r="B260" s="5" t="s">
        <v>2171</v>
      </c>
      <c r="C260" s="6" t="s">
        <v>134</v>
      </c>
      <c r="D260" s="6" t="s">
        <v>135</v>
      </c>
      <c r="E260" s="6" t="s">
        <v>136</v>
      </c>
      <c r="F260" s="18">
        <v>10743.8</v>
      </c>
      <c r="G260" s="18">
        <v>0</v>
      </c>
      <c r="H260" s="6">
        <v>0</v>
      </c>
      <c r="I260" s="6">
        <v>0</v>
      </c>
      <c r="J260" s="6">
        <v>0</v>
      </c>
      <c r="K260" s="6">
        <v>2256.2000000000003</v>
      </c>
      <c r="L260" s="6">
        <v>0</v>
      </c>
      <c r="M260" s="18">
        <v>0</v>
      </c>
      <c r="N260" s="18">
        <v>13000</v>
      </c>
    </row>
    <row r="261" spans="1:14" hidden="1">
      <c r="A261" s="4" t="s">
        <v>2160</v>
      </c>
      <c r="B261" s="5" t="s">
        <v>2172</v>
      </c>
      <c r="C261" s="6" t="s">
        <v>134</v>
      </c>
      <c r="D261" s="6" t="s">
        <v>135</v>
      </c>
      <c r="E261" s="6" t="s">
        <v>136</v>
      </c>
      <c r="F261" s="18">
        <v>27685.95</v>
      </c>
      <c r="G261" s="18">
        <v>0</v>
      </c>
      <c r="H261" s="6">
        <v>0</v>
      </c>
      <c r="I261" s="6">
        <v>0</v>
      </c>
      <c r="J261" s="6">
        <v>0</v>
      </c>
      <c r="K261" s="6">
        <v>5814.05</v>
      </c>
      <c r="L261" s="6">
        <v>0</v>
      </c>
      <c r="M261" s="18">
        <v>0</v>
      </c>
      <c r="N261" s="18">
        <v>33500</v>
      </c>
    </row>
    <row r="262" spans="1:14" hidden="1">
      <c r="A262" s="4" t="s">
        <v>2160</v>
      </c>
      <c r="B262" s="5" t="s">
        <v>2173</v>
      </c>
      <c r="C262" s="6" t="s">
        <v>134</v>
      </c>
      <c r="D262" s="6" t="s">
        <v>135</v>
      </c>
      <c r="E262" s="6" t="s">
        <v>136</v>
      </c>
      <c r="F262" s="18">
        <v>90909.09</v>
      </c>
      <c r="G262" s="18">
        <v>0</v>
      </c>
      <c r="H262" s="6">
        <v>0</v>
      </c>
      <c r="I262" s="6">
        <v>0</v>
      </c>
      <c r="J262" s="6">
        <v>0</v>
      </c>
      <c r="K262" s="6">
        <v>19090.91</v>
      </c>
      <c r="L262" s="6">
        <v>0</v>
      </c>
      <c r="M262" s="18">
        <v>0</v>
      </c>
      <c r="N262" s="18">
        <v>110000</v>
      </c>
    </row>
    <row r="263" spans="1:14" hidden="1">
      <c r="A263" s="4" t="s">
        <v>2188</v>
      </c>
      <c r="B263" s="5" t="s">
        <v>2189</v>
      </c>
      <c r="C263" s="6" t="s">
        <v>134</v>
      </c>
      <c r="D263" s="6" t="s">
        <v>135</v>
      </c>
      <c r="E263" s="6" t="s">
        <v>136</v>
      </c>
      <c r="F263" s="18">
        <v>10743.8</v>
      </c>
      <c r="G263" s="18">
        <v>0</v>
      </c>
      <c r="H263" s="6">
        <v>0</v>
      </c>
      <c r="I263" s="6">
        <v>0</v>
      </c>
      <c r="J263" s="6">
        <v>0</v>
      </c>
      <c r="K263" s="6">
        <v>2256.2000000000003</v>
      </c>
      <c r="L263" s="6">
        <v>0</v>
      </c>
      <c r="M263" s="18">
        <v>0</v>
      </c>
      <c r="N263" s="18">
        <v>13000</v>
      </c>
    </row>
    <row r="264" spans="1:14" hidden="1">
      <c r="A264" s="4" t="s">
        <v>2188</v>
      </c>
      <c r="B264" s="5" t="s">
        <v>2190</v>
      </c>
      <c r="C264" s="6" t="s">
        <v>134</v>
      </c>
      <c r="D264" s="6" t="s">
        <v>135</v>
      </c>
      <c r="E264" s="6" t="s">
        <v>136</v>
      </c>
      <c r="F264" s="18">
        <v>10743.8</v>
      </c>
      <c r="G264" s="18">
        <v>0</v>
      </c>
      <c r="H264" s="6">
        <v>0</v>
      </c>
      <c r="I264" s="6">
        <v>0</v>
      </c>
      <c r="J264" s="6">
        <v>0</v>
      </c>
      <c r="K264" s="6">
        <v>2256.2000000000003</v>
      </c>
      <c r="L264" s="6">
        <v>0</v>
      </c>
      <c r="M264" s="18">
        <v>0</v>
      </c>
      <c r="N264" s="18">
        <v>13000</v>
      </c>
    </row>
    <row r="265" spans="1:14" hidden="1">
      <c r="A265" s="4" t="s">
        <v>2188</v>
      </c>
      <c r="B265" s="5" t="s">
        <v>2191</v>
      </c>
      <c r="C265" s="6" t="s">
        <v>134</v>
      </c>
      <c r="D265" s="6" t="s">
        <v>135</v>
      </c>
      <c r="E265" s="6" t="s">
        <v>136</v>
      </c>
      <c r="F265" s="18">
        <v>29338.84</v>
      </c>
      <c r="G265" s="18">
        <v>0</v>
      </c>
      <c r="H265" s="6">
        <v>0</v>
      </c>
      <c r="I265" s="6">
        <v>0</v>
      </c>
      <c r="J265" s="6">
        <v>0</v>
      </c>
      <c r="K265" s="6">
        <v>6161.16</v>
      </c>
      <c r="L265" s="6">
        <v>0</v>
      </c>
      <c r="M265" s="18">
        <v>0</v>
      </c>
      <c r="N265" s="18">
        <v>35500</v>
      </c>
    </row>
    <row r="266" spans="1:14" hidden="1">
      <c r="A266" s="4" t="s">
        <v>2188</v>
      </c>
      <c r="B266" s="5" t="s">
        <v>2192</v>
      </c>
      <c r="C266" s="6" t="s">
        <v>134</v>
      </c>
      <c r="D266" s="6" t="s">
        <v>135</v>
      </c>
      <c r="E266" s="6" t="s">
        <v>136</v>
      </c>
      <c r="F266" s="18">
        <v>15041.32</v>
      </c>
      <c r="G266" s="18">
        <v>0</v>
      </c>
      <c r="H266" s="6">
        <v>0</v>
      </c>
      <c r="I266" s="6">
        <v>0</v>
      </c>
      <c r="J266" s="6">
        <v>0</v>
      </c>
      <c r="K266" s="6">
        <v>3158.68</v>
      </c>
      <c r="L266" s="6">
        <v>0</v>
      </c>
      <c r="M266" s="18">
        <v>0</v>
      </c>
      <c r="N266" s="18">
        <v>18200</v>
      </c>
    </row>
    <row r="267" spans="1:14" hidden="1">
      <c r="A267" s="4" t="s">
        <v>2188</v>
      </c>
      <c r="B267" s="5" t="s">
        <v>2193</v>
      </c>
      <c r="C267" s="6" t="s">
        <v>134</v>
      </c>
      <c r="D267" s="6" t="s">
        <v>135</v>
      </c>
      <c r="E267" s="6" t="s">
        <v>136</v>
      </c>
      <c r="F267" s="18">
        <v>3305.79</v>
      </c>
      <c r="G267" s="18">
        <v>0</v>
      </c>
      <c r="H267" s="6">
        <v>0</v>
      </c>
      <c r="I267" s="6">
        <v>0</v>
      </c>
      <c r="J267" s="6">
        <v>0</v>
      </c>
      <c r="K267" s="6">
        <v>694.21</v>
      </c>
      <c r="L267" s="6">
        <v>0</v>
      </c>
      <c r="M267" s="18">
        <v>0</v>
      </c>
      <c r="N267" s="18">
        <v>4000</v>
      </c>
    </row>
    <row r="268" spans="1:14" hidden="1">
      <c r="A268" s="4" t="s">
        <v>2188</v>
      </c>
      <c r="B268" s="5" t="s">
        <v>2194</v>
      </c>
      <c r="C268" s="6" t="s">
        <v>134</v>
      </c>
      <c r="D268" s="6" t="s">
        <v>135</v>
      </c>
      <c r="E268" s="6" t="s">
        <v>136</v>
      </c>
      <c r="F268" s="18">
        <v>21487.599999999999</v>
      </c>
      <c r="G268" s="18">
        <v>0</v>
      </c>
      <c r="H268" s="6">
        <v>0</v>
      </c>
      <c r="I268" s="6">
        <v>0</v>
      </c>
      <c r="J268" s="6">
        <v>0</v>
      </c>
      <c r="K268" s="6">
        <v>4512.4000000000005</v>
      </c>
      <c r="L268" s="6">
        <v>0</v>
      </c>
      <c r="M268" s="18">
        <v>0</v>
      </c>
      <c r="N268" s="18">
        <v>26000</v>
      </c>
    </row>
    <row r="269" spans="1:14" hidden="1">
      <c r="A269" s="4" t="s">
        <v>2188</v>
      </c>
      <c r="B269" s="5" t="s">
        <v>2195</v>
      </c>
      <c r="C269" s="6" t="s">
        <v>134</v>
      </c>
      <c r="D269" s="6" t="s">
        <v>135</v>
      </c>
      <c r="E269" s="6" t="s">
        <v>136</v>
      </c>
      <c r="F269" s="18">
        <v>33884.300000000003</v>
      </c>
      <c r="G269" s="18">
        <v>0</v>
      </c>
      <c r="H269" s="6">
        <v>0</v>
      </c>
      <c r="I269" s="6">
        <v>0</v>
      </c>
      <c r="J269" s="6">
        <v>0</v>
      </c>
      <c r="K269" s="6">
        <v>7115.7</v>
      </c>
      <c r="L269" s="6">
        <v>0</v>
      </c>
      <c r="M269" s="18">
        <v>0</v>
      </c>
      <c r="N269" s="18">
        <v>41000</v>
      </c>
    </row>
    <row r="270" spans="1:14" hidden="1">
      <c r="A270" s="4" t="s">
        <v>2188</v>
      </c>
      <c r="B270" s="5" t="s">
        <v>2196</v>
      </c>
      <c r="C270" s="6" t="s">
        <v>134</v>
      </c>
      <c r="D270" s="6" t="s">
        <v>135</v>
      </c>
      <c r="E270" s="6" t="s">
        <v>136</v>
      </c>
      <c r="F270" s="18">
        <v>23471.07</v>
      </c>
      <c r="G270" s="18">
        <v>0</v>
      </c>
      <c r="H270" s="6">
        <v>0</v>
      </c>
      <c r="I270" s="6">
        <v>0</v>
      </c>
      <c r="J270" s="6">
        <v>0</v>
      </c>
      <c r="K270" s="6">
        <v>4928.93</v>
      </c>
      <c r="L270" s="6">
        <v>0</v>
      </c>
      <c r="M270" s="18">
        <v>0</v>
      </c>
      <c r="N270" s="18">
        <v>28400</v>
      </c>
    </row>
    <row r="271" spans="1:14" hidden="1">
      <c r="A271" s="4" t="s">
        <v>2188</v>
      </c>
      <c r="B271" s="5" t="s">
        <v>2197</v>
      </c>
      <c r="C271" s="6" t="s">
        <v>134</v>
      </c>
      <c r="D271" s="6" t="s">
        <v>135</v>
      </c>
      <c r="E271" s="6" t="s">
        <v>136</v>
      </c>
      <c r="F271" s="18">
        <v>15123.97</v>
      </c>
      <c r="G271" s="18">
        <v>0</v>
      </c>
      <c r="H271" s="6">
        <v>0</v>
      </c>
      <c r="I271" s="6">
        <v>0</v>
      </c>
      <c r="J271" s="6">
        <v>0</v>
      </c>
      <c r="K271" s="6">
        <v>3176.03</v>
      </c>
      <c r="L271" s="6">
        <v>0</v>
      </c>
      <c r="M271" s="18">
        <v>0</v>
      </c>
      <c r="N271" s="18">
        <v>18300</v>
      </c>
    </row>
    <row r="272" spans="1:14" hidden="1">
      <c r="A272" s="4" t="s">
        <v>2188</v>
      </c>
      <c r="B272" s="5" t="s">
        <v>2198</v>
      </c>
      <c r="C272" s="6" t="s">
        <v>134</v>
      </c>
      <c r="D272" s="6" t="s">
        <v>135</v>
      </c>
      <c r="E272" s="6" t="s">
        <v>136</v>
      </c>
      <c r="F272" s="18">
        <v>10330.58</v>
      </c>
      <c r="G272" s="18">
        <v>0</v>
      </c>
      <c r="H272" s="6">
        <v>0</v>
      </c>
      <c r="I272" s="6">
        <v>0</v>
      </c>
      <c r="J272" s="6">
        <v>0</v>
      </c>
      <c r="K272" s="6">
        <v>2169.42</v>
      </c>
      <c r="L272" s="6">
        <v>0</v>
      </c>
      <c r="M272" s="18">
        <v>0</v>
      </c>
      <c r="N272" s="18">
        <v>12500</v>
      </c>
    </row>
    <row r="273" spans="1:14" hidden="1">
      <c r="A273" s="4" t="s">
        <v>2188</v>
      </c>
      <c r="B273" s="5" t="s">
        <v>2199</v>
      </c>
      <c r="C273" s="6" t="s">
        <v>134</v>
      </c>
      <c r="D273" s="6" t="s">
        <v>135</v>
      </c>
      <c r="E273" s="6" t="s">
        <v>136</v>
      </c>
      <c r="F273" s="18">
        <v>14669.42</v>
      </c>
      <c r="G273" s="18">
        <v>0</v>
      </c>
      <c r="H273" s="6">
        <v>0</v>
      </c>
      <c r="I273" s="6">
        <v>0</v>
      </c>
      <c r="J273" s="6">
        <v>0</v>
      </c>
      <c r="K273" s="6">
        <v>3080.58</v>
      </c>
      <c r="L273" s="6">
        <v>0</v>
      </c>
      <c r="M273" s="18">
        <v>0</v>
      </c>
      <c r="N273" s="18">
        <v>17750</v>
      </c>
    </row>
    <row r="274" spans="1:14" hidden="1">
      <c r="A274" s="4" t="s">
        <v>2188</v>
      </c>
      <c r="B274" s="5" t="s">
        <v>2200</v>
      </c>
      <c r="C274" s="6" t="s">
        <v>134</v>
      </c>
      <c r="D274" s="6" t="s">
        <v>135</v>
      </c>
      <c r="E274" s="6" t="s">
        <v>136</v>
      </c>
      <c r="F274" s="18">
        <v>31818.18</v>
      </c>
      <c r="G274" s="18">
        <v>0</v>
      </c>
      <c r="H274" s="6">
        <v>0</v>
      </c>
      <c r="I274" s="6">
        <v>0</v>
      </c>
      <c r="J274" s="6">
        <v>0</v>
      </c>
      <c r="K274" s="6">
        <v>6681.82</v>
      </c>
      <c r="L274" s="6">
        <v>0</v>
      </c>
      <c r="M274" s="18">
        <v>0</v>
      </c>
      <c r="N274" s="18">
        <v>38500</v>
      </c>
    </row>
    <row r="275" spans="1:14" hidden="1">
      <c r="A275" s="4" t="s">
        <v>2188</v>
      </c>
      <c r="B275" s="5" t="s">
        <v>2201</v>
      </c>
      <c r="C275" s="6" t="s">
        <v>134</v>
      </c>
      <c r="D275" s="6" t="s">
        <v>135</v>
      </c>
      <c r="E275" s="6" t="s">
        <v>136</v>
      </c>
      <c r="F275" s="18">
        <v>26446.28</v>
      </c>
      <c r="G275" s="18">
        <v>0</v>
      </c>
      <c r="H275" s="6">
        <v>0</v>
      </c>
      <c r="I275" s="6">
        <v>0</v>
      </c>
      <c r="J275" s="6">
        <v>0</v>
      </c>
      <c r="K275" s="6">
        <v>5553.72</v>
      </c>
      <c r="L275" s="6">
        <v>0</v>
      </c>
      <c r="M275" s="18">
        <v>0</v>
      </c>
      <c r="N275" s="18">
        <v>32000</v>
      </c>
    </row>
    <row r="276" spans="1:14" hidden="1">
      <c r="A276" s="4" t="s">
        <v>2188</v>
      </c>
      <c r="B276" s="5" t="s">
        <v>2202</v>
      </c>
      <c r="C276" s="6" t="s">
        <v>134</v>
      </c>
      <c r="D276" s="6" t="s">
        <v>135</v>
      </c>
      <c r="E276" s="6" t="s">
        <v>136</v>
      </c>
      <c r="F276" s="18">
        <v>10743.8</v>
      </c>
      <c r="G276" s="18">
        <v>0</v>
      </c>
      <c r="H276" s="6">
        <v>0</v>
      </c>
      <c r="I276" s="6">
        <v>0</v>
      </c>
      <c r="J276" s="6">
        <v>0</v>
      </c>
      <c r="K276" s="6">
        <v>2256.2000000000003</v>
      </c>
      <c r="L276" s="6">
        <v>0</v>
      </c>
      <c r="M276" s="18">
        <v>0</v>
      </c>
      <c r="N276" s="18">
        <v>13000</v>
      </c>
    </row>
    <row r="277" spans="1:14" hidden="1">
      <c r="A277" s="4" t="s">
        <v>2188</v>
      </c>
      <c r="B277" s="5" t="s">
        <v>2203</v>
      </c>
      <c r="C277" s="6" t="s">
        <v>134</v>
      </c>
      <c r="D277" s="6" t="s">
        <v>135</v>
      </c>
      <c r="E277" s="6" t="s">
        <v>136</v>
      </c>
      <c r="F277" s="18">
        <v>10743.8</v>
      </c>
      <c r="G277" s="18">
        <v>0</v>
      </c>
      <c r="H277" s="6">
        <v>0</v>
      </c>
      <c r="I277" s="6">
        <v>0</v>
      </c>
      <c r="J277" s="6">
        <v>0</v>
      </c>
      <c r="K277" s="6">
        <v>2256.2000000000003</v>
      </c>
      <c r="L277" s="6">
        <v>0</v>
      </c>
      <c r="M277" s="18">
        <v>0</v>
      </c>
      <c r="N277" s="18">
        <v>13000</v>
      </c>
    </row>
    <row r="278" spans="1:14" hidden="1">
      <c r="A278" s="4" t="s">
        <v>2188</v>
      </c>
      <c r="B278" s="5" t="s">
        <v>2204</v>
      </c>
      <c r="C278" s="6" t="s">
        <v>134</v>
      </c>
      <c r="D278" s="6" t="s">
        <v>135</v>
      </c>
      <c r="E278" s="6" t="s">
        <v>136</v>
      </c>
      <c r="F278" s="18">
        <v>8264.4600000000009</v>
      </c>
      <c r="G278" s="18">
        <v>0</v>
      </c>
      <c r="H278" s="6">
        <v>0</v>
      </c>
      <c r="I278" s="6">
        <v>0</v>
      </c>
      <c r="J278" s="6">
        <v>0</v>
      </c>
      <c r="K278" s="6">
        <v>1735.54</v>
      </c>
      <c r="L278" s="6">
        <v>0</v>
      </c>
      <c r="M278" s="18">
        <v>0</v>
      </c>
      <c r="N278" s="18">
        <v>10000</v>
      </c>
    </row>
    <row r="279" spans="1:14" hidden="1">
      <c r="A279" s="4" t="s">
        <v>2188</v>
      </c>
      <c r="B279" s="5" t="s">
        <v>2205</v>
      </c>
      <c r="C279" s="6" t="s">
        <v>134</v>
      </c>
      <c r="D279" s="6" t="s">
        <v>135</v>
      </c>
      <c r="E279" s="6" t="s">
        <v>136</v>
      </c>
      <c r="F279" s="18">
        <v>11570.25</v>
      </c>
      <c r="G279" s="18">
        <v>0</v>
      </c>
      <c r="H279" s="6">
        <v>0</v>
      </c>
      <c r="I279" s="6">
        <v>0</v>
      </c>
      <c r="J279" s="6">
        <v>0</v>
      </c>
      <c r="K279" s="6">
        <v>2429.75</v>
      </c>
      <c r="L279" s="6">
        <v>0</v>
      </c>
      <c r="M279" s="18">
        <v>0</v>
      </c>
      <c r="N279" s="18">
        <v>14000</v>
      </c>
    </row>
    <row r="280" spans="1:14" hidden="1">
      <c r="A280" s="4" t="s">
        <v>2209</v>
      </c>
      <c r="B280" s="5" t="s">
        <v>2210</v>
      </c>
      <c r="C280" s="6" t="s">
        <v>134</v>
      </c>
      <c r="D280" s="6" t="s">
        <v>135</v>
      </c>
      <c r="E280" s="6" t="s">
        <v>136</v>
      </c>
      <c r="F280" s="18">
        <v>132231.4</v>
      </c>
      <c r="G280" s="18">
        <v>0</v>
      </c>
      <c r="H280" s="6">
        <v>0</v>
      </c>
      <c r="I280" s="6">
        <v>0</v>
      </c>
      <c r="J280" s="6">
        <v>0</v>
      </c>
      <c r="K280" s="6">
        <v>27768.6</v>
      </c>
      <c r="L280" s="6">
        <v>0</v>
      </c>
      <c r="M280" s="18">
        <v>0</v>
      </c>
      <c r="N280" s="18">
        <v>160000</v>
      </c>
    </row>
    <row r="281" spans="1:14" hidden="1">
      <c r="A281" s="4" t="s">
        <v>2209</v>
      </c>
      <c r="B281" s="5" t="s">
        <v>2211</v>
      </c>
      <c r="C281" s="6" t="s">
        <v>134</v>
      </c>
      <c r="D281" s="6" t="s">
        <v>135</v>
      </c>
      <c r="E281" s="6" t="s">
        <v>136</v>
      </c>
      <c r="F281" s="18">
        <v>10743.8</v>
      </c>
      <c r="G281" s="18">
        <v>0</v>
      </c>
      <c r="H281" s="6">
        <v>0</v>
      </c>
      <c r="I281" s="6">
        <v>0</v>
      </c>
      <c r="J281" s="6">
        <v>0</v>
      </c>
      <c r="K281" s="6">
        <v>2256.2000000000003</v>
      </c>
      <c r="L281" s="6">
        <v>0</v>
      </c>
      <c r="M281" s="18">
        <v>0</v>
      </c>
      <c r="N281" s="18">
        <v>13000</v>
      </c>
    </row>
    <row r="282" spans="1:14" hidden="1">
      <c r="A282" s="4" t="s">
        <v>2209</v>
      </c>
      <c r="B282" s="5" t="s">
        <v>2212</v>
      </c>
      <c r="C282" s="6" t="s">
        <v>134</v>
      </c>
      <c r="D282" s="6" t="s">
        <v>135</v>
      </c>
      <c r="E282" s="6" t="s">
        <v>136</v>
      </c>
      <c r="F282" s="18">
        <v>10330.58</v>
      </c>
      <c r="G282" s="18">
        <v>0</v>
      </c>
      <c r="H282" s="6">
        <v>0</v>
      </c>
      <c r="I282" s="6">
        <v>0</v>
      </c>
      <c r="J282" s="6">
        <v>0</v>
      </c>
      <c r="K282" s="6">
        <v>2169.42</v>
      </c>
      <c r="L282" s="6">
        <v>0</v>
      </c>
      <c r="M282" s="18">
        <v>0</v>
      </c>
      <c r="N282" s="18">
        <v>12500</v>
      </c>
    </row>
    <row r="283" spans="1:14" hidden="1">
      <c r="A283" s="4" t="s">
        <v>2209</v>
      </c>
      <c r="B283" s="5" t="s">
        <v>2213</v>
      </c>
      <c r="C283" s="6" t="s">
        <v>134</v>
      </c>
      <c r="D283" s="6" t="s">
        <v>135</v>
      </c>
      <c r="E283" s="6" t="s">
        <v>136</v>
      </c>
      <c r="F283" s="18">
        <v>8677.69</v>
      </c>
      <c r="G283" s="18">
        <v>0</v>
      </c>
      <c r="H283" s="6">
        <v>0</v>
      </c>
      <c r="I283" s="6">
        <v>0</v>
      </c>
      <c r="J283" s="6">
        <v>0</v>
      </c>
      <c r="K283" s="6">
        <v>1822.31</v>
      </c>
      <c r="L283" s="6">
        <v>0</v>
      </c>
      <c r="M283" s="18">
        <v>0</v>
      </c>
      <c r="N283" s="18">
        <v>10500</v>
      </c>
    </row>
    <row r="284" spans="1:14" hidden="1">
      <c r="A284" s="4" t="s">
        <v>2209</v>
      </c>
      <c r="B284" s="5" t="s">
        <v>2214</v>
      </c>
      <c r="C284" s="6" t="s">
        <v>134</v>
      </c>
      <c r="D284" s="6" t="s">
        <v>135</v>
      </c>
      <c r="E284" s="6" t="s">
        <v>136</v>
      </c>
      <c r="F284" s="18">
        <v>12809.92</v>
      </c>
      <c r="G284" s="18">
        <v>0</v>
      </c>
      <c r="H284" s="6">
        <v>0</v>
      </c>
      <c r="I284" s="6">
        <v>0</v>
      </c>
      <c r="J284" s="6">
        <v>0</v>
      </c>
      <c r="K284" s="6">
        <v>2690.08</v>
      </c>
      <c r="L284" s="6">
        <v>0</v>
      </c>
      <c r="M284" s="18">
        <v>0</v>
      </c>
      <c r="N284" s="18">
        <v>15500</v>
      </c>
    </row>
    <row r="285" spans="1:14" hidden="1">
      <c r="A285" s="4" t="s">
        <v>2209</v>
      </c>
      <c r="B285" s="5" t="s">
        <v>2215</v>
      </c>
      <c r="C285" s="6" t="s">
        <v>134</v>
      </c>
      <c r="D285" s="6" t="s">
        <v>135</v>
      </c>
      <c r="E285" s="6" t="s">
        <v>136</v>
      </c>
      <c r="F285" s="18">
        <v>16942.150000000001</v>
      </c>
      <c r="G285" s="18">
        <v>0</v>
      </c>
      <c r="H285" s="6">
        <v>0</v>
      </c>
      <c r="I285" s="6">
        <v>0</v>
      </c>
      <c r="J285" s="6">
        <v>0</v>
      </c>
      <c r="K285" s="6">
        <v>3557.85</v>
      </c>
      <c r="L285" s="6">
        <v>0</v>
      </c>
      <c r="M285" s="18">
        <v>0</v>
      </c>
      <c r="N285" s="18">
        <v>20500</v>
      </c>
    </row>
    <row r="286" spans="1:14" hidden="1">
      <c r="A286" s="4" t="s">
        <v>2209</v>
      </c>
      <c r="B286" s="5" t="s">
        <v>2216</v>
      </c>
      <c r="C286" s="6" t="s">
        <v>134</v>
      </c>
      <c r="D286" s="6" t="s">
        <v>135</v>
      </c>
      <c r="E286" s="6" t="s">
        <v>136</v>
      </c>
      <c r="F286" s="18">
        <v>37190.080000000002</v>
      </c>
      <c r="G286" s="18">
        <v>0</v>
      </c>
      <c r="H286" s="6">
        <v>0</v>
      </c>
      <c r="I286" s="6">
        <v>0</v>
      </c>
      <c r="J286" s="6">
        <v>0</v>
      </c>
      <c r="K286" s="6">
        <v>7809.92</v>
      </c>
      <c r="L286" s="6">
        <v>0</v>
      </c>
      <c r="M286" s="18">
        <v>0</v>
      </c>
      <c r="N286" s="18">
        <v>45000</v>
      </c>
    </row>
    <row r="287" spans="1:14" hidden="1">
      <c r="A287" s="4" t="s">
        <v>2209</v>
      </c>
      <c r="B287" s="5" t="s">
        <v>2217</v>
      </c>
      <c r="C287" s="6" t="s">
        <v>134</v>
      </c>
      <c r="D287" s="6" t="s">
        <v>135</v>
      </c>
      <c r="E287" s="6" t="s">
        <v>136</v>
      </c>
      <c r="F287" s="18">
        <v>3595.04</v>
      </c>
      <c r="G287" s="18">
        <v>0</v>
      </c>
      <c r="H287" s="6">
        <v>0</v>
      </c>
      <c r="I287" s="6">
        <v>0</v>
      </c>
      <c r="J287" s="6">
        <v>0</v>
      </c>
      <c r="K287" s="6">
        <v>754.96</v>
      </c>
      <c r="L287" s="6">
        <v>0</v>
      </c>
      <c r="M287" s="18">
        <v>0</v>
      </c>
      <c r="N287" s="18">
        <v>4350</v>
      </c>
    </row>
    <row r="288" spans="1:14" hidden="1">
      <c r="A288" s="4" t="s">
        <v>2209</v>
      </c>
      <c r="B288" s="5" t="s">
        <v>2218</v>
      </c>
      <c r="C288" s="6" t="s">
        <v>134</v>
      </c>
      <c r="D288" s="6" t="s">
        <v>135</v>
      </c>
      <c r="E288" s="6" t="s">
        <v>136</v>
      </c>
      <c r="F288" s="18">
        <v>21487.599999999999</v>
      </c>
      <c r="G288" s="18">
        <v>0</v>
      </c>
      <c r="H288" s="6">
        <v>0</v>
      </c>
      <c r="I288" s="6">
        <v>0</v>
      </c>
      <c r="J288" s="6">
        <v>0</v>
      </c>
      <c r="K288" s="6">
        <v>4512.4000000000005</v>
      </c>
      <c r="L288" s="6">
        <v>0</v>
      </c>
      <c r="M288" s="18">
        <v>0</v>
      </c>
      <c r="N288" s="18">
        <v>26000</v>
      </c>
    </row>
    <row r="289" spans="1:14" hidden="1">
      <c r="A289" s="4" t="s">
        <v>2209</v>
      </c>
      <c r="B289" s="5" t="s">
        <v>2219</v>
      </c>
      <c r="C289" s="6" t="s">
        <v>134</v>
      </c>
      <c r="D289" s="6" t="s">
        <v>135</v>
      </c>
      <c r="E289" s="6" t="s">
        <v>136</v>
      </c>
      <c r="F289" s="18">
        <v>19173.55</v>
      </c>
      <c r="G289" s="18">
        <v>0</v>
      </c>
      <c r="H289" s="6">
        <v>0</v>
      </c>
      <c r="I289" s="6">
        <v>0</v>
      </c>
      <c r="J289" s="6">
        <v>0</v>
      </c>
      <c r="K289" s="6">
        <v>4026.45</v>
      </c>
      <c r="L289" s="6">
        <v>0</v>
      </c>
      <c r="M289" s="18">
        <v>0</v>
      </c>
      <c r="N289" s="18">
        <v>23200</v>
      </c>
    </row>
    <row r="290" spans="1:14" hidden="1">
      <c r="A290" s="4" t="s">
        <v>2209</v>
      </c>
      <c r="B290" s="5" t="s">
        <v>2220</v>
      </c>
      <c r="C290" s="6" t="s">
        <v>134</v>
      </c>
      <c r="D290" s="6" t="s">
        <v>135</v>
      </c>
      <c r="E290" s="6" t="s">
        <v>136</v>
      </c>
      <c r="F290" s="18">
        <v>47107.44</v>
      </c>
      <c r="G290" s="18">
        <v>0</v>
      </c>
      <c r="H290" s="6">
        <v>0</v>
      </c>
      <c r="I290" s="6">
        <v>0</v>
      </c>
      <c r="J290" s="6">
        <v>0</v>
      </c>
      <c r="K290" s="6">
        <v>9892.56</v>
      </c>
      <c r="L290" s="6">
        <v>0</v>
      </c>
      <c r="M290" s="18">
        <v>0</v>
      </c>
      <c r="N290" s="18">
        <v>57000</v>
      </c>
    </row>
    <row r="291" spans="1:14" hidden="1">
      <c r="A291" s="4" t="s">
        <v>2209</v>
      </c>
      <c r="B291" s="5" t="s">
        <v>2221</v>
      </c>
      <c r="C291" s="6" t="s">
        <v>134</v>
      </c>
      <c r="D291" s="6" t="s">
        <v>135</v>
      </c>
      <c r="E291" s="6" t="s">
        <v>136</v>
      </c>
      <c r="F291" s="18">
        <v>10743.8</v>
      </c>
      <c r="G291" s="18">
        <v>0</v>
      </c>
      <c r="H291" s="6">
        <v>0</v>
      </c>
      <c r="I291" s="6">
        <v>0</v>
      </c>
      <c r="J291" s="6">
        <v>0</v>
      </c>
      <c r="K291" s="6">
        <v>2256.2000000000003</v>
      </c>
      <c r="L291" s="6">
        <v>0</v>
      </c>
      <c r="M291" s="18">
        <v>0</v>
      </c>
      <c r="N291" s="18">
        <v>13000</v>
      </c>
    </row>
    <row r="292" spans="1:14" hidden="1">
      <c r="A292" s="4" t="s">
        <v>2225</v>
      </c>
      <c r="B292" s="5" t="s">
        <v>2226</v>
      </c>
      <c r="C292" s="6" t="s">
        <v>134</v>
      </c>
      <c r="D292" s="6" t="s">
        <v>135</v>
      </c>
      <c r="E292" s="6" t="s">
        <v>136</v>
      </c>
      <c r="F292" s="18">
        <v>10743.8</v>
      </c>
      <c r="G292" s="18">
        <v>0</v>
      </c>
      <c r="H292" s="6">
        <v>0</v>
      </c>
      <c r="I292" s="6">
        <v>0</v>
      </c>
      <c r="J292" s="6">
        <v>0</v>
      </c>
      <c r="K292" s="6">
        <v>2256.2000000000003</v>
      </c>
      <c r="L292" s="6">
        <v>0</v>
      </c>
      <c r="M292" s="18">
        <v>0</v>
      </c>
      <c r="N292" s="18">
        <v>13000</v>
      </c>
    </row>
    <row r="293" spans="1:14" hidden="1">
      <c r="A293" s="4" t="s">
        <v>2225</v>
      </c>
      <c r="B293" s="5" t="s">
        <v>2227</v>
      </c>
      <c r="C293" s="6" t="s">
        <v>134</v>
      </c>
      <c r="D293" s="6" t="s">
        <v>135</v>
      </c>
      <c r="E293" s="6" t="s">
        <v>136</v>
      </c>
      <c r="F293" s="18">
        <v>21487.599999999999</v>
      </c>
      <c r="G293" s="18">
        <v>0</v>
      </c>
      <c r="H293" s="6">
        <v>0</v>
      </c>
      <c r="I293" s="6">
        <v>0</v>
      </c>
      <c r="J293" s="6">
        <v>0</v>
      </c>
      <c r="K293" s="6">
        <v>4512.4000000000005</v>
      </c>
      <c r="L293" s="6">
        <v>0</v>
      </c>
      <c r="M293" s="18">
        <v>0</v>
      </c>
      <c r="N293" s="18">
        <v>26000</v>
      </c>
    </row>
    <row r="294" spans="1:14" hidden="1">
      <c r="A294" s="4" t="s">
        <v>2225</v>
      </c>
      <c r="B294" s="5" t="s">
        <v>2228</v>
      </c>
      <c r="C294" s="6" t="s">
        <v>134</v>
      </c>
      <c r="D294" s="6" t="s">
        <v>135</v>
      </c>
      <c r="E294" s="6" t="s">
        <v>136</v>
      </c>
      <c r="F294" s="18">
        <v>19834.71</v>
      </c>
      <c r="G294" s="18">
        <v>0</v>
      </c>
      <c r="H294" s="6">
        <v>0</v>
      </c>
      <c r="I294" s="6">
        <v>0</v>
      </c>
      <c r="J294" s="6">
        <v>0</v>
      </c>
      <c r="K294" s="6">
        <v>4165.29</v>
      </c>
      <c r="L294" s="6">
        <v>0</v>
      </c>
      <c r="M294" s="18">
        <v>0</v>
      </c>
      <c r="N294" s="18">
        <v>24000</v>
      </c>
    </row>
    <row r="295" spans="1:14" hidden="1">
      <c r="A295" s="4" t="s">
        <v>2225</v>
      </c>
      <c r="B295" s="5" t="s">
        <v>2229</v>
      </c>
      <c r="C295" s="6" t="s">
        <v>134</v>
      </c>
      <c r="D295" s="6" t="s">
        <v>135</v>
      </c>
      <c r="E295" s="6" t="s">
        <v>136</v>
      </c>
      <c r="F295" s="18">
        <v>21487.599999999999</v>
      </c>
      <c r="G295" s="18">
        <v>0</v>
      </c>
      <c r="H295" s="6">
        <v>0</v>
      </c>
      <c r="I295" s="6">
        <v>0</v>
      </c>
      <c r="J295" s="6">
        <v>0</v>
      </c>
      <c r="K295" s="6">
        <v>4512.4000000000005</v>
      </c>
      <c r="L295" s="6">
        <v>0</v>
      </c>
      <c r="M295" s="18">
        <v>0</v>
      </c>
      <c r="N295" s="18">
        <v>26000</v>
      </c>
    </row>
    <row r="296" spans="1:14" hidden="1">
      <c r="A296" s="4" t="s">
        <v>2225</v>
      </c>
      <c r="B296" s="5" t="s">
        <v>2230</v>
      </c>
      <c r="C296" s="6" t="s">
        <v>134</v>
      </c>
      <c r="D296" s="6" t="s">
        <v>135</v>
      </c>
      <c r="E296" s="6" t="s">
        <v>136</v>
      </c>
      <c r="F296" s="18">
        <v>26859.5</v>
      </c>
      <c r="G296" s="18">
        <v>0</v>
      </c>
      <c r="H296" s="6">
        <v>0</v>
      </c>
      <c r="I296" s="6">
        <v>0</v>
      </c>
      <c r="J296" s="6">
        <v>0</v>
      </c>
      <c r="K296" s="6">
        <v>5640.5</v>
      </c>
      <c r="L296" s="6">
        <v>0</v>
      </c>
      <c r="M296" s="18">
        <v>0</v>
      </c>
      <c r="N296" s="18">
        <v>32500</v>
      </c>
    </row>
    <row r="297" spans="1:14" hidden="1">
      <c r="A297" s="4" t="s">
        <v>2225</v>
      </c>
      <c r="B297" s="5" t="s">
        <v>2231</v>
      </c>
      <c r="C297" s="6" t="s">
        <v>134</v>
      </c>
      <c r="D297" s="6" t="s">
        <v>135</v>
      </c>
      <c r="E297" s="6" t="s">
        <v>136</v>
      </c>
      <c r="F297" s="18">
        <v>8264.4600000000009</v>
      </c>
      <c r="G297" s="18">
        <v>0</v>
      </c>
      <c r="H297" s="6">
        <v>0</v>
      </c>
      <c r="I297" s="6">
        <v>0</v>
      </c>
      <c r="J297" s="6">
        <v>0</v>
      </c>
      <c r="K297" s="6">
        <v>1735.54</v>
      </c>
      <c r="L297" s="6">
        <v>0</v>
      </c>
      <c r="M297" s="18">
        <v>0</v>
      </c>
      <c r="N297" s="18">
        <v>10000</v>
      </c>
    </row>
    <row r="298" spans="1:14" hidden="1">
      <c r="A298" s="4" t="s">
        <v>2225</v>
      </c>
      <c r="B298" s="5" t="s">
        <v>2232</v>
      </c>
      <c r="C298" s="6" t="s">
        <v>134</v>
      </c>
      <c r="D298" s="6" t="s">
        <v>135</v>
      </c>
      <c r="E298" s="6" t="s">
        <v>136</v>
      </c>
      <c r="F298" s="18">
        <v>14462.81</v>
      </c>
      <c r="G298" s="18">
        <v>0</v>
      </c>
      <c r="H298" s="6">
        <v>0</v>
      </c>
      <c r="I298" s="6">
        <v>0</v>
      </c>
      <c r="J298" s="6">
        <v>0</v>
      </c>
      <c r="K298" s="6">
        <v>3037.19</v>
      </c>
      <c r="L298" s="6">
        <v>0</v>
      </c>
      <c r="M298" s="18">
        <v>0</v>
      </c>
      <c r="N298" s="18">
        <v>17500</v>
      </c>
    </row>
    <row r="299" spans="1:14" hidden="1">
      <c r="A299" s="4" t="s">
        <v>2225</v>
      </c>
      <c r="B299" s="5" t="s">
        <v>2233</v>
      </c>
      <c r="C299" s="6" t="s">
        <v>134</v>
      </c>
      <c r="D299" s="6" t="s">
        <v>135</v>
      </c>
      <c r="E299" s="6" t="s">
        <v>136</v>
      </c>
      <c r="F299" s="18">
        <v>2066.12</v>
      </c>
      <c r="G299" s="18">
        <v>0</v>
      </c>
      <c r="H299" s="6">
        <v>0</v>
      </c>
      <c r="I299" s="6">
        <v>0</v>
      </c>
      <c r="J299" s="6">
        <v>0</v>
      </c>
      <c r="K299" s="6">
        <v>433.88</v>
      </c>
      <c r="L299" s="6">
        <v>0</v>
      </c>
      <c r="M299" s="18">
        <v>0</v>
      </c>
      <c r="N299" s="18">
        <v>2500</v>
      </c>
    </row>
    <row r="300" spans="1:14" hidden="1">
      <c r="A300" s="4" t="s">
        <v>2225</v>
      </c>
      <c r="B300" s="5" t="s">
        <v>2234</v>
      </c>
      <c r="C300" s="6" t="s">
        <v>134</v>
      </c>
      <c r="D300" s="6" t="s">
        <v>135</v>
      </c>
      <c r="E300" s="6" t="s">
        <v>136</v>
      </c>
      <c r="F300" s="18">
        <v>10743.8</v>
      </c>
      <c r="G300" s="18">
        <v>0</v>
      </c>
      <c r="H300" s="6">
        <v>0</v>
      </c>
      <c r="I300" s="6">
        <v>0</v>
      </c>
      <c r="J300" s="6">
        <v>0</v>
      </c>
      <c r="K300" s="6">
        <v>2256.2000000000003</v>
      </c>
      <c r="L300" s="6">
        <v>0</v>
      </c>
      <c r="M300" s="18">
        <v>0</v>
      </c>
      <c r="N300" s="18">
        <v>13000</v>
      </c>
    </row>
    <row r="301" spans="1:14" hidden="1">
      <c r="A301" s="4" t="s">
        <v>2225</v>
      </c>
      <c r="B301" s="5" t="s">
        <v>2235</v>
      </c>
      <c r="C301" s="6" t="s">
        <v>134</v>
      </c>
      <c r="D301" s="6" t="s">
        <v>135</v>
      </c>
      <c r="E301" s="6" t="s">
        <v>136</v>
      </c>
      <c r="F301" s="18">
        <v>10743.8</v>
      </c>
      <c r="G301" s="18">
        <v>0</v>
      </c>
      <c r="H301" s="6">
        <v>0</v>
      </c>
      <c r="I301" s="6">
        <v>0</v>
      </c>
      <c r="J301" s="6">
        <v>0</v>
      </c>
      <c r="K301" s="6">
        <v>2256.2000000000003</v>
      </c>
      <c r="L301" s="6">
        <v>0</v>
      </c>
      <c r="M301" s="18">
        <v>0</v>
      </c>
      <c r="N301" s="18">
        <v>13000</v>
      </c>
    </row>
    <row r="302" spans="1:14" hidden="1">
      <c r="A302" s="4" t="s">
        <v>2225</v>
      </c>
      <c r="B302" s="5" t="s">
        <v>2236</v>
      </c>
      <c r="C302" s="6" t="s">
        <v>134</v>
      </c>
      <c r="D302" s="6" t="s">
        <v>135</v>
      </c>
      <c r="E302" s="6" t="s">
        <v>136</v>
      </c>
      <c r="F302" s="18">
        <v>21487.599999999999</v>
      </c>
      <c r="G302" s="18">
        <v>0</v>
      </c>
      <c r="H302" s="6">
        <v>0</v>
      </c>
      <c r="I302" s="6">
        <v>0</v>
      </c>
      <c r="J302" s="6">
        <v>0</v>
      </c>
      <c r="K302" s="6">
        <v>4512.4000000000005</v>
      </c>
      <c r="L302" s="6">
        <v>0</v>
      </c>
      <c r="M302" s="18">
        <v>0</v>
      </c>
      <c r="N302" s="18">
        <v>26000</v>
      </c>
    </row>
    <row r="303" spans="1:14">
      <c r="A303" s="4" t="s">
        <v>2225</v>
      </c>
      <c r="B303" s="5" t="s">
        <v>2237</v>
      </c>
      <c r="C303" s="6" t="s">
        <v>2238</v>
      </c>
      <c r="D303" s="6" t="s">
        <v>135</v>
      </c>
      <c r="E303" s="6">
        <v>6418515</v>
      </c>
      <c r="F303" s="18">
        <v>24793.39</v>
      </c>
      <c r="G303" s="18">
        <v>0</v>
      </c>
      <c r="H303" s="6">
        <v>0</v>
      </c>
      <c r="I303" s="6">
        <v>0</v>
      </c>
      <c r="J303" s="6">
        <v>0</v>
      </c>
      <c r="K303" s="6">
        <v>5206.6099999999997</v>
      </c>
      <c r="L303" s="6">
        <v>0</v>
      </c>
      <c r="M303" s="18">
        <v>0</v>
      </c>
      <c r="N303" s="18">
        <v>30000</v>
      </c>
    </row>
    <row r="304" spans="1:14" hidden="1">
      <c r="A304" s="4" t="s">
        <v>2225</v>
      </c>
      <c r="B304" s="5" t="s">
        <v>2239</v>
      </c>
      <c r="C304" s="6" t="s">
        <v>134</v>
      </c>
      <c r="D304" s="6" t="s">
        <v>135</v>
      </c>
      <c r="E304" s="6" t="s">
        <v>136</v>
      </c>
      <c r="F304" s="18">
        <v>21487.599999999999</v>
      </c>
      <c r="G304" s="18">
        <v>0</v>
      </c>
      <c r="H304" s="6">
        <v>0</v>
      </c>
      <c r="I304" s="6">
        <v>0</v>
      </c>
      <c r="J304" s="6">
        <v>0</v>
      </c>
      <c r="K304" s="6">
        <v>4512.4000000000005</v>
      </c>
      <c r="L304" s="6">
        <v>0</v>
      </c>
      <c r="M304" s="18">
        <v>0</v>
      </c>
      <c r="N304" s="18">
        <v>26000</v>
      </c>
    </row>
    <row r="305" spans="1:14" hidden="1">
      <c r="A305" s="4" t="s">
        <v>2225</v>
      </c>
      <c r="B305" s="5" t="s">
        <v>2240</v>
      </c>
      <c r="C305" s="6" t="s">
        <v>134</v>
      </c>
      <c r="D305" s="6" t="s">
        <v>135</v>
      </c>
      <c r="E305" s="6" t="s">
        <v>136</v>
      </c>
      <c r="F305" s="18">
        <v>15206.61</v>
      </c>
      <c r="G305" s="18">
        <v>0</v>
      </c>
      <c r="H305" s="6">
        <v>0</v>
      </c>
      <c r="I305" s="6">
        <v>0</v>
      </c>
      <c r="J305" s="6">
        <v>0</v>
      </c>
      <c r="K305" s="6">
        <v>3193.39</v>
      </c>
      <c r="L305" s="6">
        <v>0</v>
      </c>
      <c r="M305" s="18">
        <v>0</v>
      </c>
      <c r="N305" s="18">
        <v>18400</v>
      </c>
    </row>
    <row r="306" spans="1:14" hidden="1">
      <c r="A306" s="4" t="s">
        <v>2225</v>
      </c>
      <c r="B306" s="5" t="s">
        <v>2241</v>
      </c>
      <c r="C306" s="6" t="s">
        <v>134</v>
      </c>
      <c r="D306" s="6" t="s">
        <v>135</v>
      </c>
      <c r="E306" s="6" t="s">
        <v>136</v>
      </c>
      <c r="F306" s="18">
        <v>10743.8</v>
      </c>
      <c r="G306" s="18">
        <v>0</v>
      </c>
      <c r="H306" s="6">
        <v>0</v>
      </c>
      <c r="I306" s="6">
        <v>0</v>
      </c>
      <c r="J306" s="6">
        <v>0</v>
      </c>
      <c r="K306" s="6">
        <v>2256.2000000000003</v>
      </c>
      <c r="L306" s="6">
        <v>0</v>
      </c>
      <c r="M306" s="18">
        <v>0</v>
      </c>
      <c r="N306" s="18">
        <v>13000</v>
      </c>
    </row>
    <row r="307" spans="1:14" hidden="1">
      <c r="A307" s="4" t="s">
        <v>2225</v>
      </c>
      <c r="B307" s="5" t="s">
        <v>2242</v>
      </c>
      <c r="C307" s="6" t="s">
        <v>134</v>
      </c>
      <c r="D307" s="6" t="s">
        <v>135</v>
      </c>
      <c r="E307" s="6" t="s">
        <v>136</v>
      </c>
      <c r="F307" s="18">
        <v>14669.42</v>
      </c>
      <c r="G307" s="18">
        <v>0</v>
      </c>
      <c r="H307" s="6">
        <v>0</v>
      </c>
      <c r="I307" s="6">
        <v>0</v>
      </c>
      <c r="J307" s="6">
        <v>0</v>
      </c>
      <c r="K307" s="6">
        <v>3080.58</v>
      </c>
      <c r="L307" s="6">
        <v>0</v>
      </c>
      <c r="M307" s="18">
        <v>0</v>
      </c>
      <c r="N307" s="18">
        <v>17750</v>
      </c>
    </row>
    <row r="308" spans="1:14" hidden="1">
      <c r="A308" s="4" t="s">
        <v>2225</v>
      </c>
      <c r="B308" s="5" t="s">
        <v>2243</v>
      </c>
      <c r="C308" s="6" t="s">
        <v>134</v>
      </c>
      <c r="D308" s="6" t="s">
        <v>135</v>
      </c>
      <c r="E308" s="6" t="s">
        <v>136</v>
      </c>
      <c r="F308" s="18">
        <v>29338.84</v>
      </c>
      <c r="G308" s="18">
        <v>0</v>
      </c>
      <c r="H308" s="6">
        <v>0</v>
      </c>
      <c r="I308" s="6">
        <v>0</v>
      </c>
      <c r="J308" s="6">
        <v>0</v>
      </c>
      <c r="K308" s="6">
        <v>6161.16</v>
      </c>
      <c r="L308" s="6">
        <v>0</v>
      </c>
      <c r="M308" s="18">
        <v>0</v>
      </c>
      <c r="N308" s="18">
        <v>35500</v>
      </c>
    </row>
    <row r="309" spans="1:14" hidden="1">
      <c r="A309" s="4" t="s">
        <v>2225</v>
      </c>
      <c r="B309" s="5" t="s">
        <v>2244</v>
      </c>
      <c r="C309" s="6" t="s">
        <v>134</v>
      </c>
      <c r="D309" s="6" t="s">
        <v>135</v>
      </c>
      <c r="E309" s="6" t="s">
        <v>136</v>
      </c>
      <c r="F309" s="18">
        <v>79338.84</v>
      </c>
      <c r="G309" s="18">
        <v>0</v>
      </c>
      <c r="H309" s="6">
        <v>0</v>
      </c>
      <c r="I309" s="6">
        <v>0</v>
      </c>
      <c r="J309" s="6">
        <v>0</v>
      </c>
      <c r="K309" s="6">
        <v>16661.16</v>
      </c>
      <c r="L309" s="6">
        <v>0</v>
      </c>
      <c r="M309" s="18">
        <v>0</v>
      </c>
      <c r="N309" s="18">
        <v>96000</v>
      </c>
    </row>
    <row r="310" spans="1:14" hidden="1">
      <c r="A310" s="4" t="s">
        <v>2225</v>
      </c>
      <c r="B310" s="5" t="s">
        <v>2245</v>
      </c>
      <c r="C310" s="6" t="s">
        <v>134</v>
      </c>
      <c r="D310" s="6" t="s">
        <v>135</v>
      </c>
      <c r="E310" s="6" t="s">
        <v>136</v>
      </c>
      <c r="F310" s="18">
        <v>14669.42</v>
      </c>
      <c r="G310" s="18">
        <v>0</v>
      </c>
      <c r="H310" s="6">
        <v>0</v>
      </c>
      <c r="I310" s="6">
        <v>0</v>
      </c>
      <c r="J310" s="6">
        <v>0</v>
      </c>
      <c r="K310" s="6">
        <v>3080.58</v>
      </c>
      <c r="L310" s="6">
        <v>0</v>
      </c>
      <c r="M310" s="18">
        <v>0</v>
      </c>
      <c r="N310" s="18">
        <v>17750</v>
      </c>
    </row>
    <row r="311" spans="1:14" hidden="1">
      <c r="A311" s="4" t="s">
        <v>2225</v>
      </c>
      <c r="B311" s="5" t="s">
        <v>2246</v>
      </c>
      <c r="C311" s="6" t="s">
        <v>134</v>
      </c>
      <c r="D311" s="6" t="s">
        <v>135</v>
      </c>
      <c r="E311" s="6" t="s">
        <v>136</v>
      </c>
      <c r="F311" s="18">
        <v>14669.42</v>
      </c>
      <c r="G311" s="18">
        <v>0</v>
      </c>
      <c r="H311" s="6">
        <v>0</v>
      </c>
      <c r="I311" s="6">
        <v>0</v>
      </c>
      <c r="J311" s="6">
        <v>0</v>
      </c>
      <c r="K311" s="6">
        <v>3080.58</v>
      </c>
      <c r="L311" s="6">
        <v>0</v>
      </c>
      <c r="M311" s="18">
        <v>0</v>
      </c>
      <c r="N311" s="18">
        <v>17750</v>
      </c>
    </row>
    <row r="312" spans="1:14" hidden="1">
      <c r="A312" s="4" t="s">
        <v>2225</v>
      </c>
      <c r="B312" s="5" t="s">
        <v>2247</v>
      </c>
      <c r="C312" s="6" t="s">
        <v>134</v>
      </c>
      <c r="D312" s="6" t="s">
        <v>135</v>
      </c>
      <c r="E312" s="6" t="s">
        <v>136</v>
      </c>
      <c r="F312" s="18">
        <v>34710.74</v>
      </c>
      <c r="G312" s="18">
        <v>0</v>
      </c>
      <c r="H312" s="6">
        <v>0</v>
      </c>
      <c r="I312" s="6">
        <v>0</v>
      </c>
      <c r="J312" s="6">
        <v>0</v>
      </c>
      <c r="K312" s="6">
        <v>7289.26</v>
      </c>
      <c r="L312" s="6">
        <v>0</v>
      </c>
      <c r="M312" s="18">
        <v>0</v>
      </c>
      <c r="N312" s="18">
        <v>42000</v>
      </c>
    </row>
    <row r="313" spans="1:14">
      <c r="A313" s="4" t="s">
        <v>1866</v>
      </c>
      <c r="B313" s="5" t="s">
        <v>1878</v>
      </c>
      <c r="C313" s="6" t="s">
        <v>498</v>
      </c>
      <c r="D313" s="6" t="s">
        <v>135</v>
      </c>
      <c r="E313" s="6">
        <v>17198648</v>
      </c>
      <c r="F313" s="18">
        <v>16942.150000000001</v>
      </c>
      <c r="G313" s="18">
        <v>0</v>
      </c>
      <c r="H313" s="6">
        <v>0</v>
      </c>
      <c r="I313" s="6">
        <v>0</v>
      </c>
      <c r="J313" s="6">
        <v>0</v>
      </c>
      <c r="K313" s="6">
        <v>3557.85</v>
      </c>
      <c r="L313" s="6">
        <v>0</v>
      </c>
      <c r="M313" s="18">
        <v>0</v>
      </c>
      <c r="N313" s="18">
        <v>20500</v>
      </c>
    </row>
    <row r="314" spans="1:14">
      <c r="A314" s="4" t="s">
        <v>1879</v>
      </c>
      <c r="B314" s="5" t="s">
        <v>1903</v>
      </c>
      <c r="C314" s="6" t="s">
        <v>453</v>
      </c>
      <c r="D314" s="6" t="s">
        <v>135</v>
      </c>
      <c r="E314" s="6">
        <v>5804480</v>
      </c>
      <c r="F314" s="18">
        <v>12396.69</v>
      </c>
      <c r="G314" s="18">
        <v>0</v>
      </c>
      <c r="H314" s="6">
        <v>0</v>
      </c>
      <c r="I314" s="6">
        <v>0</v>
      </c>
      <c r="J314" s="6">
        <v>0</v>
      </c>
      <c r="K314" s="6">
        <v>2603.31</v>
      </c>
      <c r="L314" s="6">
        <v>0</v>
      </c>
      <c r="M314" s="18">
        <v>0</v>
      </c>
      <c r="N314" s="18">
        <v>15000</v>
      </c>
    </row>
    <row r="315" spans="1:14">
      <c r="A315" s="4" t="s">
        <v>1879</v>
      </c>
      <c r="B315" s="5" t="s">
        <v>1904</v>
      </c>
      <c r="C315" s="6" t="s">
        <v>350</v>
      </c>
      <c r="D315" s="6" t="s">
        <v>135</v>
      </c>
      <c r="E315" s="6">
        <v>3192296</v>
      </c>
      <c r="F315" s="18">
        <v>12396.69</v>
      </c>
      <c r="G315" s="18">
        <v>0</v>
      </c>
      <c r="H315" s="6">
        <v>0</v>
      </c>
      <c r="I315" s="6">
        <v>0</v>
      </c>
      <c r="J315" s="6">
        <v>0</v>
      </c>
      <c r="K315" s="6">
        <v>2603.31</v>
      </c>
      <c r="L315" s="6">
        <v>0</v>
      </c>
      <c r="M315" s="18">
        <v>0</v>
      </c>
      <c r="N315" s="18">
        <v>15000</v>
      </c>
    </row>
    <row r="316" spans="1:14">
      <c r="A316" s="4" t="s">
        <v>1879</v>
      </c>
      <c r="B316" s="5" t="s">
        <v>1905</v>
      </c>
      <c r="C316" s="6" t="s">
        <v>440</v>
      </c>
      <c r="D316" s="6" t="s">
        <v>135</v>
      </c>
      <c r="E316" s="6">
        <v>24448662</v>
      </c>
      <c r="F316" s="18">
        <v>13223.15</v>
      </c>
      <c r="G316" s="18">
        <v>0</v>
      </c>
      <c r="H316" s="6">
        <v>0</v>
      </c>
      <c r="I316" s="6">
        <v>0</v>
      </c>
      <c r="J316" s="6">
        <v>0</v>
      </c>
      <c r="K316" s="6">
        <v>2776.85</v>
      </c>
      <c r="L316" s="6">
        <v>0</v>
      </c>
      <c r="M316" s="18">
        <v>0</v>
      </c>
      <c r="N316" s="18">
        <v>16000</v>
      </c>
    </row>
    <row r="317" spans="1:14">
      <c r="A317" s="4" t="s">
        <v>1879</v>
      </c>
      <c r="B317" s="5" t="s">
        <v>1906</v>
      </c>
      <c r="C317" s="6" t="s">
        <v>396</v>
      </c>
      <c r="D317" s="6" t="s">
        <v>135</v>
      </c>
      <c r="E317" s="6">
        <v>17275405</v>
      </c>
      <c r="F317" s="18">
        <v>24380.16</v>
      </c>
      <c r="G317" s="18">
        <v>0</v>
      </c>
      <c r="H317" s="6">
        <v>0</v>
      </c>
      <c r="I317" s="6">
        <v>0</v>
      </c>
      <c r="J317" s="6">
        <v>0</v>
      </c>
      <c r="K317" s="6">
        <v>5119.84</v>
      </c>
      <c r="L317" s="6">
        <v>0</v>
      </c>
      <c r="M317" s="18">
        <v>0</v>
      </c>
      <c r="N317" s="18">
        <v>29500</v>
      </c>
    </row>
    <row r="318" spans="1:14">
      <c r="A318" s="4" t="s">
        <v>1879</v>
      </c>
      <c r="B318" s="5" t="s">
        <v>1907</v>
      </c>
      <c r="C318" s="6" t="s">
        <v>388</v>
      </c>
      <c r="D318" s="6" t="s">
        <v>135</v>
      </c>
      <c r="E318" s="6">
        <v>14123802</v>
      </c>
      <c r="F318" s="18">
        <v>13223.15</v>
      </c>
      <c r="G318" s="18">
        <v>0</v>
      </c>
      <c r="H318" s="6">
        <v>0</v>
      </c>
      <c r="I318" s="6">
        <v>0</v>
      </c>
      <c r="J318" s="6">
        <v>0</v>
      </c>
      <c r="K318" s="6">
        <v>2776.85</v>
      </c>
      <c r="L318" s="6">
        <v>0</v>
      </c>
      <c r="M318" s="18">
        <v>0</v>
      </c>
      <c r="N318" s="18">
        <v>16000</v>
      </c>
    </row>
    <row r="319" spans="1:14">
      <c r="A319" s="4" t="s">
        <v>1879</v>
      </c>
      <c r="B319" s="5" t="s">
        <v>1908</v>
      </c>
      <c r="C319" s="6" t="s">
        <v>1909</v>
      </c>
      <c r="D319" s="6" t="s">
        <v>135</v>
      </c>
      <c r="E319" s="6">
        <v>96052829</v>
      </c>
      <c r="F319" s="18">
        <v>21487.61</v>
      </c>
      <c r="G319" s="18">
        <v>0</v>
      </c>
      <c r="H319" s="6">
        <v>0</v>
      </c>
      <c r="I319" s="6">
        <v>0</v>
      </c>
      <c r="J319" s="6">
        <v>0</v>
      </c>
      <c r="K319" s="6">
        <v>4512.3900000000003</v>
      </c>
      <c r="L319" s="6">
        <v>0</v>
      </c>
      <c r="M319" s="18">
        <v>0</v>
      </c>
      <c r="N319" s="18">
        <v>26000</v>
      </c>
    </row>
    <row r="320" spans="1:14">
      <c r="A320" s="4" t="s">
        <v>1879</v>
      </c>
      <c r="B320" s="5" t="s">
        <v>1910</v>
      </c>
      <c r="C320" s="6" t="s">
        <v>1909</v>
      </c>
      <c r="D320" s="6" t="s">
        <v>135</v>
      </c>
      <c r="E320" s="6">
        <v>96052829</v>
      </c>
      <c r="F320" s="18">
        <v>21487.599999999999</v>
      </c>
      <c r="G320" s="18">
        <v>0</v>
      </c>
      <c r="H320" s="6">
        <v>0</v>
      </c>
      <c r="I320" s="6">
        <v>0</v>
      </c>
      <c r="J320" s="6">
        <v>0</v>
      </c>
      <c r="K320" s="6">
        <v>4512.4000000000005</v>
      </c>
      <c r="L320" s="6">
        <v>0</v>
      </c>
      <c r="M320" s="18">
        <v>0</v>
      </c>
      <c r="N320" s="18">
        <v>26000</v>
      </c>
    </row>
    <row r="321" spans="1:14">
      <c r="A321" s="4" t="s">
        <v>1879</v>
      </c>
      <c r="B321" s="5" t="s">
        <v>1911</v>
      </c>
      <c r="C321" s="6" t="s">
        <v>390</v>
      </c>
      <c r="D321" s="6" t="s">
        <v>135</v>
      </c>
      <c r="E321" s="6">
        <v>29654556</v>
      </c>
      <c r="F321" s="18">
        <v>30578.51</v>
      </c>
      <c r="G321" s="18">
        <v>0</v>
      </c>
      <c r="H321" s="6">
        <v>0</v>
      </c>
      <c r="I321" s="6">
        <v>0</v>
      </c>
      <c r="J321" s="6">
        <v>0</v>
      </c>
      <c r="K321" s="6">
        <v>6421.49</v>
      </c>
      <c r="L321" s="6">
        <v>0</v>
      </c>
      <c r="M321" s="18">
        <v>0</v>
      </c>
      <c r="N321" s="18">
        <v>37000</v>
      </c>
    </row>
    <row r="322" spans="1:14">
      <c r="A322" s="4" t="s">
        <v>1936</v>
      </c>
      <c r="B322" s="5" t="s">
        <v>1955</v>
      </c>
      <c r="C322" s="6" t="s">
        <v>369</v>
      </c>
      <c r="D322" s="6" t="s">
        <v>135</v>
      </c>
      <c r="E322" s="6">
        <v>56980</v>
      </c>
      <c r="F322" s="18">
        <v>6611.57</v>
      </c>
      <c r="G322" s="18">
        <v>0</v>
      </c>
      <c r="H322" s="6">
        <v>0</v>
      </c>
      <c r="I322" s="6">
        <v>0</v>
      </c>
      <c r="J322" s="6">
        <v>0</v>
      </c>
      <c r="K322" s="6">
        <v>1388.43</v>
      </c>
      <c r="L322" s="6">
        <v>0</v>
      </c>
      <c r="M322" s="18">
        <v>0</v>
      </c>
      <c r="N322" s="18">
        <v>8000</v>
      </c>
    </row>
    <row r="323" spans="1:14">
      <c r="A323" s="4" t="s">
        <v>1936</v>
      </c>
      <c r="B323" s="5" t="s">
        <v>1956</v>
      </c>
      <c r="C323" s="6" t="s">
        <v>365</v>
      </c>
      <c r="D323" s="6" t="s">
        <v>135</v>
      </c>
      <c r="E323" s="6">
        <v>14547747</v>
      </c>
      <c r="F323" s="18">
        <v>14876.03</v>
      </c>
      <c r="G323" s="18">
        <v>0</v>
      </c>
      <c r="H323" s="6">
        <v>0</v>
      </c>
      <c r="I323" s="6">
        <v>0</v>
      </c>
      <c r="J323" s="6">
        <v>0</v>
      </c>
      <c r="K323" s="6">
        <v>3123.97</v>
      </c>
      <c r="L323" s="6">
        <v>0</v>
      </c>
      <c r="M323" s="18">
        <v>0</v>
      </c>
      <c r="N323" s="18">
        <v>18000</v>
      </c>
    </row>
    <row r="324" spans="1:14">
      <c r="A324" s="4" t="s">
        <v>1936</v>
      </c>
      <c r="B324" s="5" t="s">
        <v>1957</v>
      </c>
      <c r="C324" s="6" t="s">
        <v>424</v>
      </c>
      <c r="D324" s="6" t="s">
        <v>135</v>
      </c>
      <c r="E324" s="6">
        <v>12394145</v>
      </c>
      <c r="F324" s="18">
        <v>11157.02</v>
      </c>
      <c r="G324" s="18">
        <v>0</v>
      </c>
      <c r="H324" s="6">
        <v>0</v>
      </c>
      <c r="I324" s="6">
        <v>0</v>
      </c>
      <c r="J324" s="6">
        <v>0</v>
      </c>
      <c r="K324" s="6">
        <v>2342.98</v>
      </c>
      <c r="L324" s="6">
        <v>0</v>
      </c>
      <c r="M324" s="18">
        <v>0</v>
      </c>
      <c r="N324" s="18">
        <v>13500</v>
      </c>
    </row>
    <row r="325" spans="1:14">
      <c r="A325" s="4" t="s">
        <v>1936</v>
      </c>
      <c r="B325" s="5" t="s">
        <v>1958</v>
      </c>
      <c r="C325" s="6" t="s">
        <v>356</v>
      </c>
      <c r="D325" s="6" t="s">
        <v>135</v>
      </c>
      <c r="E325" s="6">
        <v>21645724</v>
      </c>
      <c r="F325" s="18">
        <v>22314.05</v>
      </c>
      <c r="G325" s="18">
        <v>0</v>
      </c>
      <c r="H325" s="6">
        <v>0</v>
      </c>
      <c r="I325" s="6">
        <v>0</v>
      </c>
      <c r="J325" s="6">
        <v>0</v>
      </c>
      <c r="K325" s="6">
        <v>4685.95</v>
      </c>
      <c r="L325" s="6">
        <v>0</v>
      </c>
      <c r="M325" s="18">
        <v>0</v>
      </c>
      <c r="N325" s="18">
        <v>27000</v>
      </c>
    </row>
    <row r="326" spans="1:14">
      <c r="A326" s="4" t="s">
        <v>1959</v>
      </c>
      <c r="B326" s="5" t="s">
        <v>1982</v>
      </c>
      <c r="C326" s="6" t="s">
        <v>415</v>
      </c>
      <c r="D326" s="6" t="s">
        <v>135</v>
      </c>
      <c r="E326" s="6">
        <v>3292785</v>
      </c>
      <c r="F326" s="18">
        <v>4962.8100000000004</v>
      </c>
      <c r="G326" s="18">
        <v>0</v>
      </c>
      <c r="H326" s="6">
        <v>0</v>
      </c>
      <c r="I326" s="6">
        <v>0</v>
      </c>
      <c r="J326" s="6">
        <v>0</v>
      </c>
      <c r="K326" s="6">
        <v>1042.19</v>
      </c>
      <c r="L326" s="6">
        <v>0</v>
      </c>
      <c r="M326" s="18">
        <v>0</v>
      </c>
      <c r="N326" s="18">
        <v>6005</v>
      </c>
    </row>
    <row r="327" spans="1:14">
      <c r="A327" s="4" t="s">
        <v>1959</v>
      </c>
      <c r="B327" s="5" t="s">
        <v>1983</v>
      </c>
      <c r="C327" s="6" t="s">
        <v>342</v>
      </c>
      <c r="D327" s="6" t="s">
        <v>343</v>
      </c>
      <c r="E327" s="6">
        <v>30590354798</v>
      </c>
      <c r="F327" s="18">
        <v>281177.69</v>
      </c>
      <c r="G327" s="18">
        <v>0</v>
      </c>
      <c r="H327" s="6">
        <v>0</v>
      </c>
      <c r="I327" s="6">
        <v>0</v>
      </c>
      <c r="J327" s="6">
        <v>0</v>
      </c>
      <c r="K327" s="6">
        <v>59047.31</v>
      </c>
      <c r="L327" s="6">
        <v>0</v>
      </c>
      <c r="M327" s="18">
        <v>0</v>
      </c>
      <c r="N327" s="18">
        <v>340225</v>
      </c>
    </row>
    <row r="328" spans="1:14">
      <c r="A328" s="4" t="s">
        <v>1959</v>
      </c>
      <c r="B328" s="5" t="s">
        <v>1984</v>
      </c>
      <c r="C328" s="6" t="s">
        <v>342</v>
      </c>
      <c r="D328" s="6" t="s">
        <v>343</v>
      </c>
      <c r="E328" s="6">
        <v>30590354798</v>
      </c>
      <c r="F328" s="18">
        <v>1303725.18</v>
      </c>
      <c r="G328" s="18">
        <v>0</v>
      </c>
      <c r="H328" s="6">
        <v>0</v>
      </c>
      <c r="I328" s="6">
        <v>0</v>
      </c>
      <c r="J328" s="6">
        <v>0</v>
      </c>
      <c r="K328" s="6">
        <v>273782.28999999998</v>
      </c>
      <c r="L328" s="6">
        <v>0</v>
      </c>
      <c r="M328" s="18">
        <v>0</v>
      </c>
      <c r="N328" s="18">
        <v>1577507.47</v>
      </c>
    </row>
    <row r="329" spans="1:14">
      <c r="A329" s="4" t="s">
        <v>1959</v>
      </c>
      <c r="B329" s="5" t="s">
        <v>1985</v>
      </c>
      <c r="C329" s="6" t="s">
        <v>345</v>
      </c>
      <c r="D329" s="6" t="s">
        <v>343</v>
      </c>
      <c r="E329" s="6">
        <v>30658137642</v>
      </c>
      <c r="F329" s="18">
        <v>444434.16</v>
      </c>
      <c r="G329" s="18">
        <v>0</v>
      </c>
      <c r="H329" s="6">
        <v>0</v>
      </c>
      <c r="I329" s="6">
        <v>0</v>
      </c>
      <c r="J329" s="6">
        <v>0</v>
      </c>
      <c r="K329" s="6">
        <v>93331.17</v>
      </c>
      <c r="L329" s="6">
        <v>0</v>
      </c>
      <c r="M329" s="18">
        <v>0</v>
      </c>
      <c r="N329" s="18">
        <v>537765.32999999996</v>
      </c>
    </row>
    <row r="330" spans="1:14">
      <c r="A330" s="4" t="s">
        <v>1959</v>
      </c>
      <c r="B330" s="5" t="s">
        <v>1986</v>
      </c>
      <c r="C330" s="6" t="s">
        <v>345</v>
      </c>
      <c r="D330" s="6" t="s">
        <v>343</v>
      </c>
      <c r="E330" s="6">
        <v>30658137642</v>
      </c>
      <c r="F330" s="18">
        <v>43859.5</v>
      </c>
      <c r="G330" s="18">
        <v>0</v>
      </c>
      <c r="H330" s="6">
        <v>0</v>
      </c>
      <c r="I330" s="6">
        <v>0</v>
      </c>
      <c r="J330" s="6">
        <v>0</v>
      </c>
      <c r="K330" s="6">
        <v>9210.5</v>
      </c>
      <c r="L330" s="6">
        <v>0</v>
      </c>
      <c r="M330" s="18">
        <v>0</v>
      </c>
      <c r="N330" s="18">
        <v>53070</v>
      </c>
    </row>
    <row r="331" spans="1:14">
      <c r="A331" s="4" t="s">
        <v>1987</v>
      </c>
      <c r="B331" s="5" t="s">
        <v>2010</v>
      </c>
      <c r="C331" s="6" t="s">
        <v>777</v>
      </c>
      <c r="D331" s="6" t="s">
        <v>135</v>
      </c>
      <c r="E331" s="6">
        <v>16994318</v>
      </c>
      <c r="F331" s="18">
        <v>29752.07</v>
      </c>
      <c r="G331" s="18">
        <v>0</v>
      </c>
      <c r="H331" s="6">
        <v>0</v>
      </c>
      <c r="I331" s="6">
        <v>0</v>
      </c>
      <c r="J331" s="6">
        <v>0</v>
      </c>
      <c r="K331" s="6">
        <v>6247.93</v>
      </c>
      <c r="L331" s="6">
        <v>0</v>
      </c>
      <c r="M331" s="18">
        <v>0</v>
      </c>
      <c r="N331" s="18">
        <v>36000</v>
      </c>
    </row>
    <row r="332" spans="1:14">
      <c r="A332" s="4" t="s">
        <v>2011</v>
      </c>
      <c r="B332" s="5" t="s">
        <v>2035</v>
      </c>
      <c r="C332" s="6" t="s">
        <v>479</v>
      </c>
      <c r="D332" s="6" t="s">
        <v>135</v>
      </c>
      <c r="E332" s="6">
        <v>18375246</v>
      </c>
      <c r="F332" s="18">
        <v>19834.71</v>
      </c>
      <c r="G332" s="18">
        <v>0</v>
      </c>
      <c r="H332" s="6">
        <v>0</v>
      </c>
      <c r="I332" s="6">
        <v>0</v>
      </c>
      <c r="J332" s="6">
        <v>0</v>
      </c>
      <c r="K332" s="6">
        <v>4165.29</v>
      </c>
      <c r="L332" s="6">
        <v>0</v>
      </c>
      <c r="M332" s="18">
        <v>0</v>
      </c>
      <c r="N332" s="18">
        <v>24000</v>
      </c>
    </row>
    <row r="333" spans="1:14">
      <c r="A333" s="4" t="s">
        <v>2047</v>
      </c>
      <c r="B333" s="5" t="s">
        <v>2067</v>
      </c>
      <c r="C333" s="6" t="s">
        <v>1050</v>
      </c>
      <c r="D333" s="6" t="s">
        <v>135</v>
      </c>
      <c r="E333" s="6">
        <v>22001100</v>
      </c>
      <c r="F333" s="18">
        <v>44628.1</v>
      </c>
      <c r="G333" s="18">
        <v>0</v>
      </c>
      <c r="H333" s="6">
        <v>0</v>
      </c>
      <c r="I333" s="6">
        <v>0</v>
      </c>
      <c r="J333" s="6">
        <v>0</v>
      </c>
      <c r="K333" s="6">
        <v>9371.9</v>
      </c>
      <c r="L333" s="6">
        <v>0</v>
      </c>
      <c r="M333" s="18">
        <v>0</v>
      </c>
      <c r="N333" s="18">
        <v>54000</v>
      </c>
    </row>
    <row r="334" spans="1:14">
      <c r="A334" s="4" t="s">
        <v>2047</v>
      </c>
      <c r="B334" s="5" t="s">
        <v>2068</v>
      </c>
      <c r="C334" s="6" t="s">
        <v>345</v>
      </c>
      <c r="D334" s="6" t="s">
        <v>343</v>
      </c>
      <c r="E334" s="6">
        <v>30658137642</v>
      </c>
      <c r="F334" s="18">
        <v>29752.07</v>
      </c>
      <c r="G334" s="18">
        <v>0</v>
      </c>
      <c r="H334" s="6">
        <v>0</v>
      </c>
      <c r="I334" s="6">
        <v>0</v>
      </c>
      <c r="J334" s="6">
        <v>0</v>
      </c>
      <c r="K334" s="6">
        <v>6247.93</v>
      </c>
      <c r="L334" s="6">
        <v>0</v>
      </c>
      <c r="M334" s="18">
        <v>0</v>
      </c>
      <c r="N334" s="18">
        <v>36000</v>
      </c>
    </row>
    <row r="335" spans="1:14">
      <c r="A335" s="4" t="s">
        <v>2047</v>
      </c>
      <c r="B335" s="5" t="s">
        <v>2069</v>
      </c>
      <c r="C335" s="6" t="s">
        <v>379</v>
      </c>
      <c r="D335" s="6" t="s">
        <v>135</v>
      </c>
      <c r="E335" s="6">
        <v>20404430</v>
      </c>
      <c r="F335" s="18">
        <v>17355.37</v>
      </c>
      <c r="G335" s="18">
        <v>0</v>
      </c>
      <c r="H335" s="6">
        <v>0</v>
      </c>
      <c r="I335" s="6">
        <v>0</v>
      </c>
      <c r="J335" s="6">
        <v>0</v>
      </c>
      <c r="K335" s="6">
        <v>3644.63</v>
      </c>
      <c r="L335" s="6">
        <v>0</v>
      </c>
      <c r="M335" s="18">
        <v>0</v>
      </c>
      <c r="N335" s="18">
        <v>21000</v>
      </c>
    </row>
    <row r="336" spans="1:14">
      <c r="A336" s="4" t="s">
        <v>2047</v>
      </c>
      <c r="B336" s="5" t="s">
        <v>2070</v>
      </c>
      <c r="C336" s="6" t="s">
        <v>375</v>
      </c>
      <c r="D336" s="6" t="s">
        <v>135</v>
      </c>
      <c r="E336" s="6">
        <v>36622635</v>
      </c>
      <c r="F336" s="18">
        <v>38016.53</v>
      </c>
      <c r="G336" s="18">
        <v>0</v>
      </c>
      <c r="H336" s="6">
        <v>0</v>
      </c>
      <c r="I336" s="6">
        <v>0</v>
      </c>
      <c r="J336" s="6">
        <v>0</v>
      </c>
      <c r="K336" s="6">
        <v>7983.47</v>
      </c>
      <c r="L336" s="6">
        <v>0</v>
      </c>
      <c r="M336" s="18">
        <v>0</v>
      </c>
      <c r="N336" s="18">
        <v>46000</v>
      </c>
    </row>
    <row r="337" spans="1:14">
      <c r="A337" s="4" t="s">
        <v>2047</v>
      </c>
      <c r="B337" s="5" t="s">
        <v>2071</v>
      </c>
      <c r="C337" s="6" t="s">
        <v>371</v>
      </c>
      <c r="D337" s="6" t="s">
        <v>135</v>
      </c>
      <c r="E337" s="6">
        <v>705467</v>
      </c>
      <c r="F337" s="18">
        <v>12396.69</v>
      </c>
      <c r="G337" s="18">
        <v>0</v>
      </c>
      <c r="H337" s="6">
        <v>0</v>
      </c>
      <c r="I337" s="6">
        <v>0</v>
      </c>
      <c r="J337" s="6">
        <v>0</v>
      </c>
      <c r="K337" s="6">
        <v>2603.31</v>
      </c>
      <c r="L337" s="6">
        <v>0</v>
      </c>
      <c r="M337" s="18">
        <v>0</v>
      </c>
      <c r="N337" s="18">
        <v>15000</v>
      </c>
    </row>
    <row r="338" spans="1:14">
      <c r="A338" s="4" t="s">
        <v>2047</v>
      </c>
      <c r="B338" s="5" t="s">
        <v>2072</v>
      </c>
      <c r="C338" s="6" t="s">
        <v>381</v>
      </c>
      <c r="D338" s="6" t="s">
        <v>135</v>
      </c>
      <c r="E338" s="6">
        <v>12791306</v>
      </c>
      <c r="F338" s="18">
        <v>16528.93</v>
      </c>
      <c r="G338" s="18">
        <v>0</v>
      </c>
      <c r="H338" s="6">
        <v>0</v>
      </c>
      <c r="I338" s="6">
        <v>0</v>
      </c>
      <c r="J338" s="6">
        <v>0</v>
      </c>
      <c r="K338" s="6">
        <v>3471.07</v>
      </c>
      <c r="L338" s="6">
        <v>0</v>
      </c>
      <c r="M338" s="18">
        <v>0</v>
      </c>
      <c r="N338" s="18">
        <v>20000</v>
      </c>
    </row>
    <row r="339" spans="1:14">
      <c r="A339" s="4" t="s">
        <v>2047</v>
      </c>
      <c r="B339" s="5" t="s">
        <v>2073</v>
      </c>
      <c r="C339" s="6" t="s">
        <v>438</v>
      </c>
      <c r="D339" s="6" t="s">
        <v>135</v>
      </c>
      <c r="E339" s="6">
        <v>93195134</v>
      </c>
      <c r="F339" s="18">
        <v>13458.68</v>
      </c>
      <c r="G339" s="18">
        <v>0</v>
      </c>
      <c r="H339" s="6">
        <v>0</v>
      </c>
      <c r="I339" s="6">
        <v>0</v>
      </c>
      <c r="J339" s="6">
        <v>0</v>
      </c>
      <c r="K339" s="6">
        <v>2826.32</v>
      </c>
      <c r="L339" s="6">
        <v>0</v>
      </c>
      <c r="M339" s="18">
        <v>0</v>
      </c>
      <c r="N339" s="18">
        <v>16285</v>
      </c>
    </row>
    <row r="340" spans="1:14">
      <c r="A340" s="4" t="s">
        <v>2074</v>
      </c>
      <c r="B340" s="5" t="s">
        <v>2104</v>
      </c>
      <c r="C340" s="6" t="s">
        <v>377</v>
      </c>
      <c r="D340" s="6" t="s">
        <v>135</v>
      </c>
      <c r="E340" s="6">
        <v>10138957</v>
      </c>
      <c r="F340" s="18">
        <v>12396.69</v>
      </c>
      <c r="G340" s="18">
        <v>0</v>
      </c>
      <c r="H340" s="6">
        <v>0</v>
      </c>
      <c r="I340" s="6">
        <v>0</v>
      </c>
      <c r="J340" s="6">
        <v>0</v>
      </c>
      <c r="K340" s="6">
        <v>2603.31</v>
      </c>
      <c r="L340" s="6">
        <v>0</v>
      </c>
      <c r="M340" s="18">
        <v>0</v>
      </c>
      <c r="N340" s="18">
        <v>15000</v>
      </c>
    </row>
    <row r="341" spans="1:14">
      <c r="A341" s="4" t="s">
        <v>2074</v>
      </c>
      <c r="B341" s="5" t="s">
        <v>2105</v>
      </c>
      <c r="C341" s="6" t="s">
        <v>388</v>
      </c>
      <c r="D341" s="6" t="s">
        <v>135</v>
      </c>
      <c r="E341" s="6">
        <v>14123802</v>
      </c>
      <c r="F341" s="18">
        <v>28347.11</v>
      </c>
      <c r="G341" s="18">
        <v>0</v>
      </c>
      <c r="H341" s="6">
        <v>0</v>
      </c>
      <c r="I341" s="6">
        <v>0</v>
      </c>
      <c r="J341" s="6">
        <v>0</v>
      </c>
      <c r="K341" s="6">
        <v>5952.89</v>
      </c>
      <c r="L341" s="6">
        <v>0</v>
      </c>
      <c r="M341" s="18">
        <v>0</v>
      </c>
      <c r="N341" s="18">
        <v>34300</v>
      </c>
    </row>
    <row r="342" spans="1:14">
      <c r="A342" s="4" t="s">
        <v>2074</v>
      </c>
      <c r="B342" s="5" t="s">
        <v>2106</v>
      </c>
      <c r="C342" s="6" t="s">
        <v>406</v>
      </c>
      <c r="D342" s="6" t="s">
        <v>135</v>
      </c>
      <c r="E342" s="6">
        <v>27807195</v>
      </c>
      <c r="F342" s="18">
        <v>19834.71</v>
      </c>
      <c r="G342" s="18">
        <v>0</v>
      </c>
      <c r="H342" s="6">
        <v>0</v>
      </c>
      <c r="I342" s="6">
        <v>0</v>
      </c>
      <c r="J342" s="6">
        <v>0</v>
      </c>
      <c r="K342" s="6">
        <v>4165.29</v>
      </c>
      <c r="L342" s="6">
        <v>0</v>
      </c>
      <c r="M342" s="18">
        <v>0</v>
      </c>
      <c r="N342" s="18">
        <v>24000</v>
      </c>
    </row>
    <row r="343" spans="1:14">
      <c r="A343" s="4" t="s">
        <v>2074</v>
      </c>
      <c r="B343" s="5" t="s">
        <v>2107</v>
      </c>
      <c r="C343" s="6" t="s">
        <v>417</v>
      </c>
      <c r="D343" s="6" t="s">
        <v>135</v>
      </c>
      <c r="E343" s="6">
        <v>20008996</v>
      </c>
      <c r="F343" s="18">
        <v>19834.71</v>
      </c>
      <c r="G343" s="18">
        <v>0</v>
      </c>
      <c r="H343" s="6">
        <v>0</v>
      </c>
      <c r="I343" s="6">
        <v>0</v>
      </c>
      <c r="J343" s="6">
        <v>0</v>
      </c>
      <c r="K343" s="6">
        <v>4165.29</v>
      </c>
      <c r="L343" s="6">
        <v>0</v>
      </c>
      <c r="M343" s="18">
        <v>0</v>
      </c>
      <c r="N343" s="18">
        <v>24000</v>
      </c>
    </row>
    <row r="344" spans="1:14">
      <c r="A344" s="4" t="s">
        <v>2074</v>
      </c>
      <c r="B344" s="5" t="s">
        <v>2108</v>
      </c>
      <c r="C344" s="6" t="s">
        <v>1203</v>
      </c>
      <c r="D344" s="6" t="s">
        <v>135</v>
      </c>
      <c r="E344" s="6">
        <v>14736066</v>
      </c>
      <c r="F344" s="18">
        <v>22314.05</v>
      </c>
      <c r="G344" s="18">
        <v>0</v>
      </c>
      <c r="H344" s="6">
        <v>0</v>
      </c>
      <c r="I344" s="6">
        <v>0</v>
      </c>
      <c r="J344" s="6">
        <v>0</v>
      </c>
      <c r="K344" s="6">
        <v>4685.95</v>
      </c>
      <c r="L344" s="6">
        <v>0</v>
      </c>
      <c r="M344" s="18">
        <v>0</v>
      </c>
      <c r="N344" s="18">
        <v>27000</v>
      </c>
    </row>
    <row r="345" spans="1:14">
      <c r="A345" s="4" t="s">
        <v>2074</v>
      </c>
      <c r="B345" s="5" t="s">
        <v>2109</v>
      </c>
      <c r="C345" s="6" t="s">
        <v>347</v>
      </c>
      <c r="D345" s="6" t="s">
        <v>343</v>
      </c>
      <c r="E345" s="6">
        <v>30571766287</v>
      </c>
      <c r="F345" s="18">
        <v>130247.93</v>
      </c>
      <c r="G345" s="18">
        <v>0</v>
      </c>
      <c r="H345" s="6">
        <v>0</v>
      </c>
      <c r="I345" s="6">
        <v>0</v>
      </c>
      <c r="J345" s="6">
        <v>0</v>
      </c>
      <c r="K345" s="6">
        <v>27352.07</v>
      </c>
      <c r="L345" s="6">
        <v>0</v>
      </c>
      <c r="M345" s="18">
        <v>0</v>
      </c>
      <c r="N345" s="18">
        <v>157600</v>
      </c>
    </row>
    <row r="346" spans="1:14">
      <c r="A346" s="4" t="s">
        <v>2110</v>
      </c>
      <c r="B346" s="5" t="s">
        <v>2116</v>
      </c>
      <c r="C346" s="6" t="s">
        <v>2117</v>
      </c>
      <c r="D346" s="6" t="s">
        <v>135</v>
      </c>
      <c r="E346" s="6">
        <v>39267103</v>
      </c>
      <c r="F346" s="18">
        <v>12396.69</v>
      </c>
      <c r="G346" s="18">
        <v>0</v>
      </c>
      <c r="H346" s="6">
        <v>0</v>
      </c>
      <c r="I346" s="6">
        <v>0</v>
      </c>
      <c r="J346" s="6">
        <v>0</v>
      </c>
      <c r="K346" s="6">
        <v>2603.31</v>
      </c>
      <c r="L346" s="6">
        <v>0</v>
      </c>
      <c r="M346" s="18">
        <v>0</v>
      </c>
      <c r="N346" s="18">
        <v>15000</v>
      </c>
    </row>
    <row r="347" spans="1:14">
      <c r="A347" s="4" t="s">
        <v>2140</v>
      </c>
      <c r="B347" s="5" t="s">
        <v>2155</v>
      </c>
      <c r="C347" s="6" t="s">
        <v>426</v>
      </c>
      <c r="D347" s="6" t="s">
        <v>135</v>
      </c>
      <c r="E347" s="6">
        <v>24699538</v>
      </c>
      <c r="F347" s="18">
        <v>16528.93</v>
      </c>
      <c r="G347" s="18">
        <v>0</v>
      </c>
      <c r="H347" s="6">
        <v>0</v>
      </c>
      <c r="I347" s="6">
        <v>0</v>
      </c>
      <c r="J347" s="6">
        <v>0</v>
      </c>
      <c r="K347" s="6">
        <v>3471.07</v>
      </c>
      <c r="L347" s="6">
        <v>0</v>
      </c>
      <c r="M347" s="18">
        <v>0</v>
      </c>
      <c r="N347" s="18">
        <v>20000</v>
      </c>
    </row>
    <row r="348" spans="1:14">
      <c r="A348" s="4" t="s">
        <v>2140</v>
      </c>
      <c r="B348" s="5" t="s">
        <v>2156</v>
      </c>
      <c r="C348" s="6" t="s">
        <v>2157</v>
      </c>
      <c r="D348" s="6" t="s">
        <v>135</v>
      </c>
      <c r="E348" s="6">
        <v>927772243</v>
      </c>
      <c r="F348" s="18">
        <v>479338.84</v>
      </c>
      <c r="G348" s="18">
        <v>0</v>
      </c>
      <c r="H348" s="6">
        <v>0</v>
      </c>
      <c r="I348" s="6">
        <v>0</v>
      </c>
      <c r="J348" s="6">
        <v>0</v>
      </c>
      <c r="K348" s="6">
        <v>100661.16</v>
      </c>
      <c r="L348" s="6">
        <v>0</v>
      </c>
      <c r="M348" s="18">
        <v>0</v>
      </c>
      <c r="N348" s="18">
        <v>580000</v>
      </c>
    </row>
    <row r="349" spans="1:14">
      <c r="A349" s="4" t="s">
        <v>2140</v>
      </c>
      <c r="B349" s="5" t="s">
        <v>2158</v>
      </c>
      <c r="C349" s="6" t="s">
        <v>2159</v>
      </c>
      <c r="D349" s="6" t="s">
        <v>135</v>
      </c>
      <c r="E349" s="6">
        <v>34583665</v>
      </c>
      <c r="F349" s="18">
        <v>12314.05</v>
      </c>
      <c r="G349" s="18">
        <v>0</v>
      </c>
      <c r="H349" s="6">
        <v>0</v>
      </c>
      <c r="I349" s="6">
        <v>0</v>
      </c>
      <c r="J349" s="6">
        <v>0</v>
      </c>
      <c r="K349" s="6">
        <v>2585.9500000000003</v>
      </c>
      <c r="L349" s="6">
        <v>0</v>
      </c>
      <c r="M349" s="18">
        <v>0</v>
      </c>
      <c r="N349" s="18">
        <v>14900</v>
      </c>
    </row>
    <row r="350" spans="1:14">
      <c r="A350" s="4" t="s">
        <v>2160</v>
      </c>
      <c r="B350" s="5" t="s">
        <v>2187</v>
      </c>
      <c r="C350" s="6" t="s">
        <v>1434</v>
      </c>
      <c r="D350" s="6" t="s">
        <v>135</v>
      </c>
      <c r="E350" s="6">
        <v>26894798</v>
      </c>
      <c r="F350" s="18">
        <v>11487.6</v>
      </c>
      <c r="G350" s="18">
        <v>0</v>
      </c>
      <c r="H350" s="6">
        <v>0</v>
      </c>
      <c r="I350" s="6">
        <v>0</v>
      </c>
      <c r="J350" s="6">
        <v>0</v>
      </c>
      <c r="K350" s="6">
        <v>2412.4</v>
      </c>
      <c r="L350" s="6">
        <v>0</v>
      </c>
      <c r="M350" s="18">
        <v>0</v>
      </c>
      <c r="N350" s="18">
        <v>13900</v>
      </c>
    </row>
    <row r="351" spans="1:14">
      <c r="A351" s="4" t="s">
        <v>2188</v>
      </c>
      <c r="B351" s="5" t="s">
        <v>2207</v>
      </c>
      <c r="C351" s="6" t="s">
        <v>479</v>
      </c>
      <c r="D351" s="6" t="s">
        <v>135</v>
      </c>
      <c r="E351" s="6">
        <v>18375246</v>
      </c>
      <c r="F351" s="18">
        <v>24793.39</v>
      </c>
      <c r="G351" s="18">
        <v>0</v>
      </c>
      <c r="H351" s="6">
        <v>0</v>
      </c>
      <c r="I351" s="6">
        <v>0</v>
      </c>
      <c r="J351" s="6">
        <v>0</v>
      </c>
      <c r="K351" s="6">
        <v>5206.6099999999997</v>
      </c>
      <c r="L351" s="6">
        <v>0</v>
      </c>
      <c r="M351" s="18">
        <v>0</v>
      </c>
      <c r="N351" s="18">
        <v>30000</v>
      </c>
    </row>
    <row r="352" spans="1:14" hidden="1">
      <c r="A352" s="4" t="s">
        <v>2188</v>
      </c>
      <c r="B352" s="5" t="s">
        <v>2208</v>
      </c>
      <c r="C352" s="6" t="s">
        <v>134</v>
      </c>
      <c r="D352" s="6" t="s">
        <v>135</v>
      </c>
      <c r="E352" s="6" t="s">
        <v>136</v>
      </c>
      <c r="F352" s="18">
        <v>33884.300000000003</v>
      </c>
      <c r="G352" s="18">
        <v>0</v>
      </c>
      <c r="H352" s="6">
        <v>0</v>
      </c>
      <c r="I352" s="6">
        <v>0</v>
      </c>
      <c r="J352" s="6">
        <v>0</v>
      </c>
      <c r="K352" s="6">
        <v>7115.7</v>
      </c>
      <c r="L352" s="6">
        <v>0</v>
      </c>
      <c r="M352" s="18">
        <v>0</v>
      </c>
      <c r="N352" s="18">
        <v>41000</v>
      </c>
    </row>
    <row r="353" spans="1:14">
      <c r="A353" s="4" t="s">
        <v>2225</v>
      </c>
      <c r="B353" s="5" t="s">
        <v>2249</v>
      </c>
      <c r="C353" s="6" t="s">
        <v>451</v>
      </c>
      <c r="D353" s="6" t="s">
        <v>135</v>
      </c>
      <c r="E353" s="6">
        <v>26542077</v>
      </c>
      <c r="F353" s="18">
        <v>35537.19</v>
      </c>
      <c r="G353" s="18">
        <v>0</v>
      </c>
      <c r="H353" s="6">
        <v>0</v>
      </c>
      <c r="I353" s="6">
        <v>0</v>
      </c>
      <c r="J353" s="6">
        <v>0</v>
      </c>
      <c r="K353" s="6">
        <v>7462.81</v>
      </c>
      <c r="L353" s="6">
        <v>0</v>
      </c>
      <c r="M353" s="18">
        <v>0</v>
      </c>
      <c r="N353" s="18">
        <v>43000</v>
      </c>
    </row>
    <row r="354" spans="1:14">
      <c r="A354" s="4" t="s">
        <v>2225</v>
      </c>
      <c r="B354" s="5" t="s">
        <v>2250</v>
      </c>
      <c r="C354" s="6" t="s">
        <v>455</v>
      </c>
      <c r="D354" s="6" t="s">
        <v>135</v>
      </c>
      <c r="E354" s="6">
        <v>17814995</v>
      </c>
      <c r="F354" s="18">
        <v>15702.48</v>
      </c>
      <c r="G354" s="18">
        <v>0</v>
      </c>
      <c r="H354" s="6">
        <v>0</v>
      </c>
      <c r="I354" s="6">
        <v>0</v>
      </c>
      <c r="J354" s="6">
        <v>0</v>
      </c>
      <c r="K354" s="6">
        <v>3297.52</v>
      </c>
      <c r="L354" s="6">
        <v>0</v>
      </c>
      <c r="M354" s="18">
        <v>0</v>
      </c>
      <c r="N354" s="18">
        <v>19000</v>
      </c>
    </row>
    <row r="355" spans="1:14">
      <c r="A355" s="4" t="s">
        <v>2225</v>
      </c>
      <c r="B355" s="5" t="s">
        <v>2251</v>
      </c>
      <c r="C355" s="6" t="s">
        <v>428</v>
      </c>
      <c r="D355" s="6" t="s">
        <v>135</v>
      </c>
      <c r="E355" s="6">
        <v>93332052</v>
      </c>
      <c r="F355" s="18">
        <v>6342.97</v>
      </c>
      <c r="G355" s="18">
        <v>0</v>
      </c>
      <c r="H355" s="6">
        <v>0</v>
      </c>
      <c r="I355" s="6">
        <v>0</v>
      </c>
      <c r="J355" s="6">
        <v>0</v>
      </c>
      <c r="K355" s="6">
        <v>1332.03</v>
      </c>
      <c r="L355" s="6">
        <v>0</v>
      </c>
      <c r="M355" s="18">
        <v>0</v>
      </c>
      <c r="N355" s="18">
        <v>7675</v>
      </c>
    </row>
    <row r="356" spans="1:14">
      <c r="A356" s="4" t="s">
        <v>2225</v>
      </c>
      <c r="B356" s="5" t="s">
        <v>2252</v>
      </c>
      <c r="C356" s="6" t="s">
        <v>360</v>
      </c>
      <c r="D356" s="6" t="s">
        <v>135</v>
      </c>
      <c r="E356" s="6">
        <v>4186965</v>
      </c>
      <c r="F356" s="18">
        <v>33057.85</v>
      </c>
      <c r="G356" s="18">
        <v>0</v>
      </c>
      <c r="H356" s="6">
        <v>0</v>
      </c>
      <c r="I356" s="6">
        <v>0</v>
      </c>
      <c r="J356" s="6">
        <v>0</v>
      </c>
      <c r="K356" s="6">
        <v>6942.15</v>
      </c>
      <c r="L356" s="6">
        <v>0</v>
      </c>
      <c r="M356" s="18">
        <v>0</v>
      </c>
      <c r="N356" s="18">
        <v>40000</v>
      </c>
    </row>
    <row r="357" spans="1:14">
      <c r="A357" s="4" t="s">
        <v>2225</v>
      </c>
      <c r="B357" s="5" t="s">
        <v>2253</v>
      </c>
      <c r="C357" s="6" t="s">
        <v>434</v>
      </c>
      <c r="D357" s="6" t="s">
        <v>135</v>
      </c>
      <c r="E357" s="6">
        <v>902191</v>
      </c>
      <c r="F357" s="18">
        <v>12396.69</v>
      </c>
      <c r="G357" s="18">
        <v>0</v>
      </c>
      <c r="H357" s="6">
        <v>0</v>
      </c>
      <c r="I357" s="6">
        <v>0</v>
      </c>
      <c r="J357" s="6">
        <v>0</v>
      </c>
      <c r="K357" s="6">
        <v>2603.31</v>
      </c>
      <c r="L357" s="6">
        <v>0</v>
      </c>
      <c r="M357" s="18">
        <v>0</v>
      </c>
      <c r="N357" s="18">
        <v>15000</v>
      </c>
    </row>
    <row r="358" spans="1:14">
      <c r="A358" s="4" t="s">
        <v>2225</v>
      </c>
      <c r="B358" s="5" t="s">
        <v>2254</v>
      </c>
      <c r="C358" s="6" t="s">
        <v>440</v>
      </c>
      <c r="D358" s="6" t="s">
        <v>135</v>
      </c>
      <c r="E358" s="6">
        <v>24448662</v>
      </c>
      <c r="F358" s="18">
        <v>13223.14</v>
      </c>
      <c r="G358" s="18">
        <v>0</v>
      </c>
      <c r="H358" s="6">
        <v>0</v>
      </c>
      <c r="I358" s="6">
        <v>0</v>
      </c>
      <c r="J358" s="6">
        <v>0</v>
      </c>
      <c r="K358" s="6">
        <v>2776.86</v>
      </c>
      <c r="L358" s="6">
        <v>0</v>
      </c>
      <c r="M358" s="18">
        <v>0</v>
      </c>
      <c r="N358" s="18">
        <v>16000</v>
      </c>
    </row>
    <row r="359" spans="1:14">
      <c r="A359" s="4" t="s">
        <v>2225</v>
      </c>
      <c r="B359" s="5" t="s">
        <v>2255</v>
      </c>
      <c r="C359" s="6" t="s">
        <v>445</v>
      </c>
      <c r="D359" s="6" t="s">
        <v>135</v>
      </c>
      <c r="E359" s="6">
        <v>25864351</v>
      </c>
      <c r="F359" s="18">
        <v>19834.71</v>
      </c>
      <c r="G359" s="18">
        <v>0</v>
      </c>
      <c r="H359" s="6">
        <v>0</v>
      </c>
      <c r="I359" s="6">
        <v>0</v>
      </c>
      <c r="J359" s="6">
        <v>0</v>
      </c>
      <c r="K359" s="6">
        <v>4165.29</v>
      </c>
      <c r="L359" s="6">
        <v>0</v>
      </c>
      <c r="M359" s="18">
        <v>0</v>
      </c>
      <c r="N359" s="18">
        <v>24000</v>
      </c>
    </row>
    <row r="360" spans="1:14">
      <c r="A360" s="4" t="s">
        <v>2225</v>
      </c>
      <c r="B360" s="5" t="s">
        <v>2256</v>
      </c>
      <c r="C360" s="6" t="s">
        <v>342</v>
      </c>
      <c r="D360" s="6" t="s">
        <v>343</v>
      </c>
      <c r="E360" s="6">
        <v>30590354798</v>
      </c>
      <c r="F360" s="18">
        <v>1458429.75</v>
      </c>
      <c r="G360" s="18">
        <v>0</v>
      </c>
      <c r="H360" s="6">
        <v>0</v>
      </c>
      <c r="I360" s="6">
        <v>0</v>
      </c>
      <c r="J360" s="6">
        <v>0</v>
      </c>
      <c r="K360" s="6">
        <v>306270.25</v>
      </c>
      <c r="L360" s="6">
        <v>0</v>
      </c>
      <c r="M360" s="18">
        <v>0</v>
      </c>
      <c r="N360" s="18">
        <v>1764700</v>
      </c>
    </row>
    <row r="361" spans="1:14">
      <c r="A361" s="4" t="s">
        <v>2225</v>
      </c>
      <c r="B361" s="5" t="s">
        <v>2257</v>
      </c>
      <c r="C361" s="6" t="s">
        <v>350</v>
      </c>
      <c r="D361" s="6" t="s">
        <v>135</v>
      </c>
      <c r="E361" s="6">
        <v>3192296</v>
      </c>
      <c r="F361" s="18">
        <v>12396.69</v>
      </c>
      <c r="G361" s="18">
        <v>0</v>
      </c>
      <c r="H361" s="6">
        <v>0</v>
      </c>
      <c r="I361" s="6">
        <v>0</v>
      </c>
      <c r="J361" s="6">
        <v>0</v>
      </c>
      <c r="K361" s="6">
        <v>2603.31</v>
      </c>
      <c r="L361" s="6">
        <v>0</v>
      </c>
      <c r="M361" s="18">
        <v>0</v>
      </c>
      <c r="N361" s="18">
        <v>15000</v>
      </c>
    </row>
    <row r="362" spans="1:14">
      <c r="A362" s="4" t="s">
        <v>1879</v>
      </c>
      <c r="B362" s="5" t="s">
        <v>1880</v>
      </c>
      <c r="C362" s="6" t="s">
        <v>1881</v>
      </c>
      <c r="D362" s="6" t="s">
        <v>135</v>
      </c>
      <c r="E362" s="6">
        <v>95840377</v>
      </c>
      <c r="F362" s="18">
        <v>-9917.36</v>
      </c>
      <c r="G362" s="18">
        <v>0</v>
      </c>
      <c r="H362" s="6">
        <v>0</v>
      </c>
      <c r="I362" s="6">
        <v>0</v>
      </c>
      <c r="J362" s="6">
        <v>0</v>
      </c>
      <c r="K362" s="6">
        <v>-2082.64</v>
      </c>
      <c r="L362" s="6">
        <v>0</v>
      </c>
      <c r="M362" s="18">
        <v>0</v>
      </c>
      <c r="N362" s="18">
        <v>-12000</v>
      </c>
    </row>
    <row r="363" spans="1:14">
      <c r="A363" s="4" t="s">
        <v>2225</v>
      </c>
      <c r="B363" s="5" t="s">
        <v>2248</v>
      </c>
      <c r="C363" s="6" t="s">
        <v>342</v>
      </c>
      <c r="D363" s="6" t="s">
        <v>343</v>
      </c>
      <c r="E363" s="6">
        <v>30590354798</v>
      </c>
      <c r="F363" s="18">
        <v>-1458429.75</v>
      </c>
      <c r="G363" s="18">
        <v>0</v>
      </c>
      <c r="H363" s="6">
        <v>0</v>
      </c>
      <c r="I363" s="6">
        <v>0</v>
      </c>
      <c r="J363" s="6">
        <v>0</v>
      </c>
      <c r="K363" s="6">
        <v>-306270.25</v>
      </c>
      <c r="L363" s="6">
        <v>0</v>
      </c>
      <c r="M363" s="18">
        <v>0</v>
      </c>
      <c r="N363" s="18">
        <v>-1764700</v>
      </c>
    </row>
    <row r="364" spans="1:14">
      <c r="A364" s="19" t="s">
        <v>778</v>
      </c>
      <c r="B364" s="19" t="s">
        <v>779</v>
      </c>
      <c r="C364" s="19" t="s">
        <v>780</v>
      </c>
      <c r="D364" s="19" t="s">
        <v>781</v>
      </c>
      <c r="E364" s="19" t="s">
        <v>782</v>
      </c>
      <c r="F364" s="117">
        <f>SUM(F5:F363)</f>
        <v>123954136.71999975</v>
      </c>
      <c r="G364" s="117">
        <f t="shared" ref="G364:N364" si="0">SUM(G5:G363)</f>
        <v>0</v>
      </c>
      <c r="H364" s="117">
        <f t="shared" si="0"/>
        <v>0</v>
      </c>
      <c r="I364" s="117">
        <f t="shared" si="0"/>
        <v>0</v>
      </c>
      <c r="J364" s="117">
        <f t="shared" si="0"/>
        <v>0</v>
      </c>
      <c r="K364" s="117">
        <f t="shared" si="0"/>
        <v>26030369.059999879</v>
      </c>
      <c r="L364" s="117">
        <f t="shared" si="0"/>
        <v>0</v>
      </c>
      <c r="M364" s="117">
        <f t="shared" si="0"/>
        <v>0</v>
      </c>
      <c r="N364" s="117">
        <f t="shared" si="0"/>
        <v>149984505.78</v>
      </c>
    </row>
    <row r="367" spans="1:14" ht="15.75">
      <c r="C367" s="115" t="s">
        <v>1864</v>
      </c>
      <c r="D367" s="99" t="s">
        <v>1446</v>
      </c>
      <c r="E367" s="99" t="s">
        <v>787</v>
      </c>
      <c r="F367" s="99" t="s">
        <v>459</v>
      </c>
    </row>
    <row r="368" spans="1:14">
      <c r="C368" s="99" t="s">
        <v>1444</v>
      </c>
      <c r="D368" s="98">
        <f>SUM(F5:F54)</f>
        <v>115362810.70000002</v>
      </c>
      <c r="E368" s="98">
        <f>SUM(K5:K54)</f>
        <v>24226190.280000001</v>
      </c>
      <c r="F368" s="98">
        <f>+D368+E368</f>
        <v>139589000.98000002</v>
      </c>
    </row>
    <row r="369" spans="3:6">
      <c r="C369" s="99" t="s">
        <v>1445</v>
      </c>
      <c r="D369" s="98">
        <f>SUM(F55:F363)</f>
        <v>8591326.0199999977</v>
      </c>
      <c r="E369" s="98">
        <f>SUM(K55:K363)</f>
        <v>1804178.7799999993</v>
      </c>
      <c r="F369" s="98">
        <f>+D369+E369</f>
        <v>10395504.799999997</v>
      </c>
    </row>
    <row r="370" spans="3:6">
      <c r="C370" s="100" t="s">
        <v>459</v>
      </c>
      <c r="D370" s="99">
        <f>SUM(D368:D369)</f>
        <v>123954136.72000001</v>
      </c>
      <c r="E370" s="99">
        <f>SUM(E368:E369)</f>
        <v>26030369.060000002</v>
      </c>
      <c r="F370" s="99">
        <f>SUM(F368:F369)</f>
        <v>149984505.78000003</v>
      </c>
    </row>
  </sheetData>
  <autoFilter ref="A4:N364" xr:uid="{00000000-0001-0000-0500-000000000000}">
    <filterColumn colId="2">
      <filters>
        <filter val="Aca Salud Cooperativa De Prestacion De Servicios Medico Asistenciales Limitada"/>
        <filter val="ADRIANA SAN PEDRO"/>
        <filter val="AGOSTINO MIRIAM"/>
        <filter val="ALEJANDRA SIFFREDI TORRES SANMARCO"/>
        <filter val="Alexander Fleming S A"/>
        <filter val="Amparo Salud S.R.L."/>
        <filter val="ARANA, MARCELLA OFELIA"/>
        <filter val="Asociacion Mutual Sancor Salud"/>
        <filter val="BECERRA SANCHEZ  LISYENERY BEATRIZ"/>
        <filter val="BOGLIOLO MARÍA CRISTINA"/>
        <filter val="Bullrich, Jorge Antonio"/>
        <filter val="BUNCHICOFF, MARIA"/>
        <filter val="c"/>
        <filter val="Centro Medico Amenabar Srl"/>
        <filter val="CORIGLIANO, LORENA ELISA"/>
        <filter val="CRISTIAN GOLDENHORN"/>
        <filter val="CUDERO, SILVINA"/>
        <filter val="Desalvo Miguel Angel"/>
        <filter val="DIAZ, HECTOR"/>
        <filter val="ENRIQUETA MARIA DEL SOCORRO MAJO"/>
        <filter val="Felix Torres, Esmeralda"/>
        <filter val="GABRIELA VANINA GALLO"/>
        <filter val="GALENO ARGENTINA SA"/>
        <filter val="GARRIDO PUICON, EDSON JOSE"/>
        <filter val="GONZALEZ MARTÍN RUTH"/>
        <filter val="GONZALEZ, LAURA BEATRIZ"/>
        <filter val="GRACIELA ESTER SEBE"/>
        <filter val="Hc Homecare Internacion Domiciliaria S.A."/>
        <filter val="Herman Patricia"/>
        <filter val="IRIARTE MARIANO"/>
        <filter val="IZZO, ADRIANA"/>
        <filter val="JUAN PABLO MINVIELLE"/>
        <filter val="KARIVALI DESPINA"/>
        <filter val="LAPPONI, ORQUIDEA MARIA JUANA"/>
        <filter val="LOCOCO, CARMEN"/>
        <filter val="Login Door S.A"/>
        <filter val="MALOMO, ENRIQUE DANIEL"/>
        <filter val="Medicus Sociedad Anonima De Asistencia Medica Y Cientifica"/>
        <filter val="Medincare Argentina S.A."/>
        <filter val="MGR IMPLANTES SA"/>
        <filter val="MIGUEL, EDUARDO ADRIAN"/>
        <filter val="MINERVINI, MARIA DEL CARMEN LILIANA"/>
        <filter val="MIZRAHI, DIEGO ALBERTO"/>
        <filter val="MONTI, MARIA PAULA"/>
        <filter val="Obra Social De Los Trabajadores De La Industria Del Gas"/>
        <filter val="Obra Social Del Personal De La Industria Del Plastico"/>
        <filter val="Obra Social Del Personal De Las Telecomunicaciones De La Republica Argentina"/>
        <filter val="Obra Social Union Personal De La Union  Del Personal Civil De La Nacion"/>
        <filter val="OJEDA ANDREA"/>
        <filter val="PAILHE JUAN"/>
        <filter val="PARK KEUN WON"/>
        <filter val="PEDROZO, PAULA GABRIELA"/>
        <filter val="Piaggio, Paula Andrea"/>
        <filter val="PINO, ANA PAULA"/>
        <filter val="PREZZAVENTO DANIEL HORACIO"/>
        <filter val="RODRIGUEZ GONZALO"/>
        <filter val="RSC S.A."/>
        <filter val="SAENZ, MAGDALENA."/>
        <filter val="SAGGESE, ENRIQUE LUIS"/>
        <filter val="SALLES, ANA MARIA"/>
        <filter val="SANCHEZ ANA MARÍA"/>
        <filter val="SANZIO, INMACULADA CONCEPCION"/>
        <filter val="SARA STRASBERG"/>
        <filter val="SCHELGEL, LUIS ALBERTO"/>
        <filter val="TRISTAN SARA ADELA"/>
        <filter val="WILLBER PIMENTEL DUARTE"/>
        <filter val="ZANOTTI, ANA LAURA"/>
      </filters>
    </filterColumn>
  </autoFilter>
  <sortState xmlns:xlrd2="http://schemas.microsoft.com/office/spreadsheetml/2017/richdata2" ref="A5:N363">
    <sortCondition ref="B5:B36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FFC000"/>
  </sheetPr>
  <dimension ref="A1:N451"/>
  <sheetViews>
    <sheetView topLeftCell="A437" workbookViewId="0">
      <selection activeCell="A389" sqref="A389:F443"/>
    </sheetView>
  </sheetViews>
  <sheetFormatPr baseColWidth="10" defaultColWidth="11.5703125" defaultRowHeight="15"/>
  <cols>
    <col min="1" max="1" width="11.7109375" customWidth="1"/>
    <col min="2" max="2" width="18.5703125" customWidth="1"/>
    <col min="3" max="3" width="27.28515625" customWidth="1"/>
    <col min="4" max="4" width="22.5703125" customWidth="1"/>
    <col min="5" max="5" width="14.42578125" customWidth="1"/>
    <col min="6" max="6" width="16.7109375" bestFit="1" customWidth="1"/>
    <col min="7" max="7" width="15.5703125" bestFit="1" customWidth="1"/>
    <col min="8" max="8" width="16.7109375" bestFit="1" customWidth="1"/>
    <col min="9" max="10" width="9.7109375" customWidth="1"/>
    <col min="11" max="11" width="13.85546875" customWidth="1"/>
    <col min="12" max="12" width="9.7109375" customWidth="1"/>
    <col min="13" max="13" width="9.85546875" customWidth="1"/>
    <col min="14" max="14" width="15.28515625" customWidth="1"/>
  </cols>
  <sheetData>
    <row r="1" spans="1:14" ht="18">
      <c r="A1" s="71" t="s">
        <v>2723</v>
      </c>
    </row>
    <row r="2" spans="1:14" ht="15.75">
      <c r="A2" s="72" t="s">
        <v>1</v>
      </c>
      <c r="L2" s="17"/>
    </row>
    <row r="4" spans="1:14">
      <c r="A4" s="116" t="s">
        <v>2</v>
      </c>
      <c r="B4" s="116" t="s">
        <v>3</v>
      </c>
      <c r="C4" s="116" t="s">
        <v>4</v>
      </c>
      <c r="D4" s="116" t="s">
        <v>5</v>
      </c>
      <c r="E4" s="116" t="s">
        <v>6</v>
      </c>
      <c r="F4" s="116" t="s">
        <v>7</v>
      </c>
      <c r="G4" s="116" t="s">
        <v>8</v>
      </c>
      <c r="H4" s="116" t="s">
        <v>9</v>
      </c>
      <c r="I4" s="116" t="s">
        <v>10</v>
      </c>
      <c r="J4" s="116" t="s">
        <v>11</v>
      </c>
      <c r="K4" s="116" t="s">
        <v>12</v>
      </c>
      <c r="L4" s="116" t="s">
        <v>13</v>
      </c>
      <c r="M4" s="116" t="s">
        <v>14</v>
      </c>
      <c r="N4" s="116" t="s">
        <v>15</v>
      </c>
    </row>
    <row r="5" spans="1:14">
      <c r="A5" s="140">
        <v>45484</v>
      </c>
      <c r="B5" s="5" t="s">
        <v>2722</v>
      </c>
      <c r="C5" s="6" t="s">
        <v>2712</v>
      </c>
      <c r="D5" s="6" t="s">
        <v>19</v>
      </c>
      <c r="E5" s="6">
        <v>30522428163</v>
      </c>
      <c r="F5" s="18">
        <v>1135289</v>
      </c>
      <c r="G5" s="18"/>
      <c r="H5" s="6"/>
      <c r="I5" s="6"/>
      <c r="J5" s="6"/>
      <c r="K5" s="6">
        <f t="shared" ref="K5:K13" si="0">F5*21/100</f>
        <v>238410.69</v>
      </c>
      <c r="L5" s="6"/>
      <c r="M5" s="18"/>
      <c r="N5" s="18">
        <f t="shared" ref="N5:N14" si="1">F5+K5</f>
        <v>1373699.69</v>
      </c>
    </row>
    <row r="6" spans="1:14">
      <c r="A6" s="140">
        <v>45484</v>
      </c>
      <c r="B6" s="5" t="s">
        <v>2721</v>
      </c>
      <c r="C6" s="6" t="s">
        <v>2715</v>
      </c>
      <c r="D6" s="6" t="s">
        <v>19</v>
      </c>
      <c r="E6" s="6">
        <v>30683032227</v>
      </c>
      <c r="F6" s="18">
        <v>2790291.86</v>
      </c>
      <c r="G6" s="18"/>
      <c r="H6" s="6"/>
      <c r="I6" s="6"/>
      <c r="J6" s="6"/>
      <c r="K6" s="6">
        <f t="shared" si="0"/>
        <v>585961.29059999995</v>
      </c>
      <c r="L6" s="6"/>
      <c r="M6" s="18"/>
      <c r="N6" s="18">
        <f t="shared" si="1"/>
        <v>3376253.1505999998</v>
      </c>
    </row>
    <row r="7" spans="1:14">
      <c r="A7" s="140">
        <v>45484</v>
      </c>
      <c r="B7" s="5" t="s">
        <v>2720</v>
      </c>
      <c r="C7" s="6" t="s">
        <v>2712</v>
      </c>
      <c r="D7" s="6" t="s">
        <v>19</v>
      </c>
      <c r="E7" s="6">
        <v>30522428163</v>
      </c>
      <c r="F7" s="18">
        <v>1221309.33</v>
      </c>
      <c r="G7" s="18"/>
      <c r="H7" s="6"/>
      <c r="I7" s="6"/>
      <c r="J7" s="6"/>
      <c r="K7" s="6">
        <f t="shared" si="0"/>
        <v>256474.95929999999</v>
      </c>
      <c r="L7" s="6"/>
      <c r="M7" s="18"/>
      <c r="N7" s="18">
        <f t="shared" si="1"/>
        <v>1477784.2893000001</v>
      </c>
    </row>
    <row r="8" spans="1:14">
      <c r="A8" s="140">
        <v>45485</v>
      </c>
      <c r="B8" s="5" t="s">
        <v>2719</v>
      </c>
      <c r="C8" s="6" t="s">
        <v>2712</v>
      </c>
      <c r="D8" s="6" t="s">
        <v>19</v>
      </c>
      <c r="E8" s="6">
        <v>30522428163</v>
      </c>
      <c r="F8" s="18">
        <v>6642975.1900000004</v>
      </c>
      <c r="G8" s="18"/>
      <c r="H8" s="6"/>
      <c r="I8" s="6"/>
      <c r="J8" s="6"/>
      <c r="K8" s="6">
        <f t="shared" si="0"/>
        <v>1395024.7899000002</v>
      </c>
      <c r="L8" s="6"/>
      <c r="M8" s="18"/>
      <c r="N8" s="18">
        <f t="shared" si="1"/>
        <v>8037999.9799000006</v>
      </c>
    </row>
    <row r="9" spans="1:14">
      <c r="A9" s="140">
        <v>45497</v>
      </c>
      <c r="B9" s="5" t="s">
        <v>2718</v>
      </c>
      <c r="C9" s="6" t="s">
        <v>2712</v>
      </c>
      <c r="D9" s="6" t="s">
        <v>19</v>
      </c>
      <c r="E9" s="6">
        <v>30522428163</v>
      </c>
      <c r="F9" s="18">
        <v>6642975.1900000004</v>
      </c>
      <c r="G9" s="18"/>
      <c r="H9" s="6"/>
      <c r="I9" s="6"/>
      <c r="J9" s="6"/>
      <c r="K9" s="6">
        <f t="shared" si="0"/>
        <v>1395024.7899000002</v>
      </c>
      <c r="L9" s="6"/>
      <c r="M9" s="18"/>
      <c r="N9" s="18">
        <f t="shared" si="1"/>
        <v>8037999.9799000006</v>
      </c>
    </row>
    <row r="10" spans="1:14">
      <c r="A10" s="140">
        <v>45497</v>
      </c>
      <c r="B10" s="5" t="s">
        <v>2717</v>
      </c>
      <c r="C10" s="6" t="s">
        <v>2712</v>
      </c>
      <c r="D10" s="6" t="s">
        <v>19</v>
      </c>
      <c r="E10" s="6">
        <v>30522428163</v>
      </c>
      <c r="F10" s="18">
        <v>1477685.95</v>
      </c>
      <c r="G10" s="18"/>
      <c r="H10" s="6"/>
      <c r="I10" s="6"/>
      <c r="J10" s="6"/>
      <c r="K10" s="6">
        <f t="shared" si="0"/>
        <v>310314.04949999996</v>
      </c>
      <c r="L10" s="6"/>
      <c r="M10" s="18"/>
      <c r="N10" s="18">
        <f t="shared" si="1"/>
        <v>1787999.9994999999</v>
      </c>
    </row>
    <row r="11" spans="1:14">
      <c r="A11" s="140">
        <v>45497</v>
      </c>
      <c r="B11" s="5" t="s">
        <v>2716</v>
      </c>
      <c r="C11" s="6" t="s">
        <v>2715</v>
      </c>
      <c r="D11" s="6" t="s">
        <v>19</v>
      </c>
      <c r="E11" s="6">
        <v>30683032227</v>
      </c>
      <c r="F11" s="18">
        <v>1670247.95</v>
      </c>
      <c r="G11" s="18"/>
      <c r="H11" s="6"/>
      <c r="I11" s="6"/>
      <c r="J11" s="6"/>
      <c r="K11" s="6">
        <f t="shared" si="0"/>
        <v>350752.06949999998</v>
      </c>
      <c r="L11" s="6"/>
      <c r="M11" s="18"/>
      <c r="N11" s="18">
        <f t="shared" si="1"/>
        <v>2021000.0194999999</v>
      </c>
    </row>
    <row r="12" spans="1:14">
      <c r="A12" s="140">
        <v>45503</v>
      </c>
      <c r="B12" s="5" t="s">
        <v>2714</v>
      </c>
      <c r="C12" s="6" t="s">
        <v>2712</v>
      </c>
      <c r="D12" s="6" t="s">
        <v>19</v>
      </c>
      <c r="E12" s="6">
        <v>30522428163</v>
      </c>
      <c r="F12" s="18">
        <v>1453471.1</v>
      </c>
      <c r="G12" s="18"/>
      <c r="H12" s="6"/>
      <c r="I12" s="6"/>
      <c r="J12" s="6"/>
      <c r="K12" s="6">
        <f t="shared" si="0"/>
        <v>305228.93100000004</v>
      </c>
      <c r="L12" s="6"/>
      <c r="M12" s="18"/>
      <c r="N12" s="18">
        <f t="shared" si="1"/>
        <v>1758700.0310000002</v>
      </c>
    </row>
    <row r="13" spans="1:14">
      <c r="A13" s="140">
        <v>45497</v>
      </c>
      <c r="B13" s="5" t="s">
        <v>2713</v>
      </c>
      <c r="C13" s="6" t="s">
        <v>2712</v>
      </c>
      <c r="D13" s="6" t="s">
        <v>19</v>
      </c>
      <c r="E13" s="6">
        <v>30522428163</v>
      </c>
      <c r="F13" s="18">
        <v>-6642975.1900000004</v>
      </c>
      <c r="G13" s="18"/>
      <c r="H13" s="6"/>
      <c r="I13" s="6"/>
      <c r="J13" s="6"/>
      <c r="K13" s="6">
        <f t="shared" si="0"/>
        <v>-1395024.7899000002</v>
      </c>
      <c r="L13" s="6"/>
      <c r="M13" s="18"/>
      <c r="N13" s="18">
        <f t="shared" si="1"/>
        <v>-8037999.9799000006</v>
      </c>
    </row>
    <row r="14" spans="1:14" s="134" customFormat="1">
      <c r="A14" s="138"/>
      <c r="B14" s="137"/>
      <c r="C14" s="136"/>
      <c r="D14" s="136"/>
      <c r="E14" s="136"/>
      <c r="F14" s="135">
        <f>SUM(F5:F13)</f>
        <v>16391270.379999999</v>
      </c>
      <c r="G14" s="135"/>
      <c r="H14" s="136"/>
      <c r="I14" s="136"/>
      <c r="J14" s="136"/>
      <c r="K14" s="136">
        <f>SUM(K5:K13)</f>
        <v>3442166.7797999997</v>
      </c>
      <c r="L14" s="136"/>
      <c r="M14" s="135"/>
      <c r="N14" s="135">
        <f t="shared" si="1"/>
        <v>19833437.1598</v>
      </c>
    </row>
    <row r="15" spans="1:14" s="134" customFormat="1">
      <c r="A15" s="138"/>
      <c r="B15" s="137"/>
      <c r="C15" s="136"/>
      <c r="D15" s="136"/>
      <c r="E15" s="136"/>
      <c r="F15" s="135"/>
      <c r="G15" s="135"/>
      <c r="H15" s="136"/>
      <c r="I15" s="136"/>
      <c r="J15" s="136"/>
      <c r="K15" s="136"/>
      <c r="L15" s="136"/>
      <c r="M15" s="135"/>
      <c r="N15" s="135"/>
    </row>
    <row r="16" spans="1:14">
      <c r="A16" s="140">
        <v>45485</v>
      </c>
      <c r="B16" s="5" t="s">
        <v>2724</v>
      </c>
      <c r="C16" s="6" t="s">
        <v>2725</v>
      </c>
      <c r="D16" s="6" t="s">
        <v>19</v>
      </c>
      <c r="E16" s="6">
        <v>20238528543</v>
      </c>
      <c r="F16" s="18">
        <v>10743.8</v>
      </c>
      <c r="G16" s="18"/>
      <c r="H16" s="6"/>
      <c r="I16" s="6"/>
      <c r="J16" s="6"/>
      <c r="K16" s="6">
        <f>F16*21/100</f>
        <v>2256.1979999999999</v>
      </c>
      <c r="L16" s="6"/>
      <c r="M16" s="18"/>
      <c r="N16" s="18">
        <f>K16+F16</f>
        <v>12999.998</v>
      </c>
    </row>
    <row r="17" spans="1:14">
      <c r="A17" s="4" t="s">
        <v>2261</v>
      </c>
      <c r="B17" s="5" t="s">
        <v>2711</v>
      </c>
      <c r="C17" s="6" t="s">
        <v>1261</v>
      </c>
      <c r="D17" s="6" t="s">
        <v>19</v>
      </c>
      <c r="E17" s="6">
        <v>20249404870</v>
      </c>
      <c r="F17" s="18">
        <v>15123.97</v>
      </c>
      <c r="G17" s="18">
        <v>0</v>
      </c>
      <c r="H17" s="6">
        <v>0</v>
      </c>
      <c r="I17" s="6">
        <v>0</v>
      </c>
      <c r="J17" s="6">
        <v>0</v>
      </c>
      <c r="K17" s="6">
        <v>3176.03</v>
      </c>
      <c r="L17" s="6">
        <v>0</v>
      </c>
      <c r="M17" s="18">
        <v>0</v>
      </c>
      <c r="N17" s="18">
        <v>18300</v>
      </c>
    </row>
    <row r="18" spans="1:14">
      <c r="A18" s="4"/>
      <c r="B18" s="5"/>
      <c r="C18" s="6"/>
      <c r="D18" s="6"/>
      <c r="E18" s="6"/>
      <c r="F18" s="135">
        <f>SUM(F16:F17)</f>
        <v>25867.769999999997</v>
      </c>
      <c r="G18" s="135">
        <f t="shared" ref="G18:M18" si="2">SUM(G17:G17)</f>
        <v>0</v>
      </c>
      <c r="H18" s="135">
        <f t="shared" si="2"/>
        <v>0</v>
      </c>
      <c r="I18" s="135">
        <f t="shared" si="2"/>
        <v>0</v>
      </c>
      <c r="J18" s="135">
        <f t="shared" si="2"/>
        <v>0</v>
      </c>
      <c r="K18" s="135">
        <f>SUM(K16:K17)</f>
        <v>5432.2280000000001</v>
      </c>
      <c r="L18" s="135">
        <f t="shared" si="2"/>
        <v>0</v>
      </c>
      <c r="M18" s="135">
        <f t="shared" si="2"/>
        <v>0</v>
      </c>
      <c r="N18" s="135">
        <f>SUM(N16:N17)</f>
        <v>31299.998</v>
      </c>
    </row>
    <row r="19" spans="1:14">
      <c r="A19" s="4"/>
      <c r="B19" s="5"/>
      <c r="C19" s="6"/>
      <c r="D19" s="6"/>
      <c r="E19" s="6"/>
      <c r="F19" s="18"/>
      <c r="G19" s="18"/>
      <c r="H19" s="6"/>
      <c r="I19" s="6"/>
      <c r="J19" s="6"/>
      <c r="K19" s="6"/>
      <c r="L19" s="6"/>
      <c r="M19" s="18"/>
      <c r="N19" s="18"/>
    </row>
    <row r="20" spans="1:14" ht="15.75" customHeight="1">
      <c r="A20" s="4" t="s">
        <v>2314</v>
      </c>
      <c r="B20" s="5" t="s">
        <v>2710</v>
      </c>
      <c r="C20" s="6" t="s">
        <v>2634</v>
      </c>
      <c r="D20" s="6" t="s">
        <v>19</v>
      </c>
      <c r="E20" s="6">
        <v>30522428163</v>
      </c>
      <c r="F20" s="18">
        <v>1495867.76</v>
      </c>
      <c r="G20" s="18">
        <v>0</v>
      </c>
      <c r="H20" s="6">
        <v>0</v>
      </c>
      <c r="I20" s="6">
        <v>0</v>
      </c>
      <c r="J20" s="6">
        <v>0</v>
      </c>
      <c r="K20" s="6">
        <v>314132.24</v>
      </c>
      <c r="L20" s="6">
        <v>0</v>
      </c>
      <c r="M20" s="18">
        <v>0</v>
      </c>
      <c r="N20" s="18">
        <v>1810000</v>
      </c>
    </row>
    <row r="21" spans="1:14">
      <c r="A21" s="4" t="s">
        <v>2557</v>
      </c>
      <c r="B21" s="5" t="s">
        <v>2709</v>
      </c>
      <c r="C21" s="6" t="s">
        <v>2634</v>
      </c>
      <c r="D21" s="6" t="s">
        <v>19</v>
      </c>
      <c r="E21" s="6">
        <v>30522428163</v>
      </c>
      <c r="F21" s="18">
        <v>1267889.92</v>
      </c>
      <c r="G21" s="18">
        <v>0</v>
      </c>
      <c r="H21" s="6">
        <v>0</v>
      </c>
      <c r="I21" s="6">
        <v>0</v>
      </c>
      <c r="J21" s="6">
        <v>0</v>
      </c>
      <c r="K21" s="6">
        <v>266256.88</v>
      </c>
      <c r="L21" s="6">
        <v>0</v>
      </c>
      <c r="M21" s="18">
        <v>0</v>
      </c>
      <c r="N21" s="18">
        <v>1534146.8</v>
      </c>
    </row>
    <row r="22" spans="1:14">
      <c r="A22" s="4" t="s">
        <v>2557</v>
      </c>
      <c r="B22" s="5" t="s">
        <v>2708</v>
      </c>
      <c r="C22" s="6" t="s">
        <v>2634</v>
      </c>
      <c r="D22" s="6" t="s">
        <v>19</v>
      </c>
      <c r="E22" s="6">
        <v>30522428163</v>
      </c>
      <c r="F22" s="18">
        <v>8704563.870000001</v>
      </c>
      <c r="G22" s="18">
        <v>0</v>
      </c>
      <c r="H22" s="6">
        <v>0</v>
      </c>
      <c r="I22" s="6">
        <v>0</v>
      </c>
      <c r="J22" s="6">
        <v>0</v>
      </c>
      <c r="K22" s="6">
        <v>1827958.41</v>
      </c>
      <c r="L22" s="6">
        <v>0</v>
      </c>
      <c r="M22" s="18">
        <v>0</v>
      </c>
      <c r="N22" s="18">
        <v>10532522.279999999</v>
      </c>
    </row>
    <row r="23" spans="1:14">
      <c r="A23" s="140">
        <v>45483</v>
      </c>
      <c r="B23" s="5" t="s">
        <v>2707</v>
      </c>
      <c r="C23" s="6" t="s">
        <v>2634</v>
      </c>
      <c r="D23" s="6" t="s">
        <v>19</v>
      </c>
      <c r="E23" s="6">
        <v>30522428163</v>
      </c>
      <c r="F23" s="18">
        <v>1221309.3500000001</v>
      </c>
      <c r="G23" s="18"/>
      <c r="H23" s="6"/>
      <c r="I23" s="6"/>
      <c r="J23" s="6"/>
      <c r="K23" s="139">
        <f>F23*21/100</f>
        <v>256474.96350000001</v>
      </c>
      <c r="L23" s="6"/>
      <c r="M23" s="18"/>
      <c r="N23" s="18">
        <f>SUM(F23:M23)</f>
        <v>1477784.3135000002</v>
      </c>
    </row>
    <row r="24" spans="1:14">
      <c r="A24" s="4" t="s">
        <v>2263</v>
      </c>
      <c r="B24" s="5" t="s">
        <v>2706</v>
      </c>
      <c r="C24" s="6" t="s">
        <v>2634</v>
      </c>
      <c r="D24" s="6" t="s">
        <v>19</v>
      </c>
      <c r="E24" s="6">
        <v>30522428163</v>
      </c>
      <c r="F24" s="18">
        <v>1453471.07</v>
      </c>
      <c r="G24" s="18">
        <v>0</v>
      </c>
      <c r="H24" s="6">
        <v>0</v>
      </c>
      <c r="I24" s="6">
        <v>0</v>
      </c>
      <c r="J24" s="6">
        <v>0</v>
      </c>
      <c r="K24" s="6">
        <v>305228.93</v>
      </c>
      <c r="L24" s="6">
        <v>0</v>
      </c>
      <c r="M24" s="18">
        <v>0</v>
      </c>
      <c r="N24" s="18">
        <v>1758700</v>
      </c>
    </row>
    <row r="25" spans="1:14">
      <c r="A25" s="4" t="s">
        <v>2292</v>
      </c>
      <c r="B25" s="5" t="s">
        <v>2705</v>
      </c>
      <c r="C25" s="6" t="s">
        <v>2634</v>
      </c>
      <c r="D25" s="6" t="s">
        <v>19</v>
      </c>
      <c r="E25" s="6">
        <v>30522428163</v>
      </c>
      <c r="F25" s="18">
        <v>-68091.91</v>
      </c>
      <c r="G25" s="18">
        <v>0</v>
      </c>
      <c r="H25" s="6">
        <v>0</v>
      </c>
      <c r="I25" s="6">
        <v>0</v>
      </c>
      <c r="J25" s="6">
        <v>0</v>
      </c>
      <c r="K25" s="6">
        <v>-14299.3</v>
      </c>
      <c r="L25" s="6">
        <v>0</v>
      </c>
      <c r="M25" s="18">
        <v>0</v>
      </c>
      <c r="N25" s="18">
        <v>-82391.210000000006</v>
      </c>
    </row>
    <row r="26" spans="1:14">
      <c r="A26" s="4" t="s">
        <v>2292</v>
      </c>
      <c r="B26" s="5" t="s">
        <v>2704</v>
      </c>
      <c r="C26" s="6" t="s">
        <v>2634</v>
      </c>
      <c r="D26" s="6" t="s">
        <v>19</v>
      </c>
      <c r="E26" s="6">
        <v>30522428163</v>
      </c>
      <c r="F26" s="18">
        <v>-23678.3</v>
      </c>
      <c r="G26" s="18">
        <v>0</v>
      </c>
      <c r="H26" s="6">
        <v>0</v>
      </c>
      <c r="I26" s="6">
        <v>0</v>
      </c>
      <c r="J26" s="6">
        <v>0</v>
      </c>
      <c r="K26" s="6">
        <v>-4972.4400000000005</v>
      </c>
      <c r="L26" s="6">
        <v>0</v>
      </c>
      <c r="M26" s="18">
        <v>0</v>
      </c>
      <c r="N26" s="18">
        <v>-28650.74</v>
      </c>
    </row>
    <row r="27" spans="1:14">
      <c r="A27" s="4" t="s">
        <v>2292</v>
      </c>
      <c r="B27" s="5" t="s">
        <v>2703</v>
      </c>
      <c r="C27" s="6" t="s">
        <v>2634</v>
      </c>
      <c r="D27" s="6" t="s">
        <v>19</v>
      </c>
      <c r="E27" s="6">
        <v>30522428163</v>
      </c>
      <c r="F27" s="18">
        <v>-211023.64</v>
      </c>
      <c r="G27" s="18">
        <v>0</v>
      </c>
      <c r="H27" s="6">
        <v>0</v>
      </c>
      <c r="I27" s="6">
        <v>0</v>
      </c>
      <c r="J27" s="6">
        <v>0</v>
      </c>
      <c r="K27" s="6">
        <v>-44314.96</v>
      </c>
      <c r="L27" s="6">
        <v>0</v>
      </c>
      <c r="M27" s="18">
        <v>0</v>
      </c>
      <c r="N27" s="18">
        <v>-255338.6</v>
      </c>
    </row>
    <row r="28" spans="1:14">
      <c r="A28" s="4" t="s">
        <v>2379</v>
      </c>
      <c r="B28" s="5" t="s">
        <v>2702</v>
      </c>
      <c r="C28" s="6" t="s">
        <v>2634</v>
      </c>
      <c r="D28" s="6" t="s">
        <v>19</v>
      </c>
      <c r="E28" s="6">
        <v>30522428163</v>
      </c>
      <c r="F28" s="18">
        <v>-136363.64000000001</v>
      </c>
      <c r="G28" s="18">
        <v>0</v>
      </c>
      <c r="H28" s="6">
        <v>0</v>
      </c>
      <c r="I28" s="6">
        <v>0</v>
      </c>
      <c r="J28" s="6">
        <v>0</v>
      </c>
      <c r="K28" s="6">
        <v>-28636.36</v>
      </c>
      <c r="L28" s="6">
        <v>0</v>
      </c>
      <c r="M28" s="18">
        <v>0</v>
      </c>
      <c r="N28" s="18">
        <v>-165000</v>
      </c>
    </row>
    <row r="29" spans="1:14">
      <c r="A29" s="4" t="s">
        <v>2263</v>
      </c>
      <c r="B29" s="5" t="s">
        <v>2701</v>
      </c>
      <c r="C29" s="6" t="s">
        <v>2634</v>
      </c>
      <c r="D29" s="6" t="s">
        <v>19</v>
      </c>
      <c r="E29" s="6">
        <v>30522428163</v>
      </c>
      <c r="F29" s="18">
        <v>-1453471.07</v>
      </c>
      <c r="G29" s="18">
        <v>0</v>
      </c>
      <c r="H29" s="6">
        <v>0</v>
      </c>
      <c r="I29" s="6">
        <v>0</v>
      </c>
      <c r="J29" s="6">
        <v>0</v>
      </c>
      <c r="K29" s="6">
        <v>-305228.93</v>
      </c>
      <c r="L29" s="6">
        <v>0</v>
      </c>
      <c r="M29" s="18">
        <v>0</v>
      </c>
      <c r="N29" s="18">
        <v>-1758700</v>
      </c>
    </row>
    <row r="30" spans="1:14" s="134" customFormat="1">
      <c r="A30" s="138"/>
      <c r="B30" s="137"/>
      <c r="C30" s="136"/>
      <c r="D30" s="136"/>
      <c r="E30" s="136"/>
      <c r="F30" s="135">
        <f t="shared" ref="F30:N30" si="3">SUM(F20:F29)</f>
        <v>12250473.409999998</v>
      </c>
      <c r="G30" s="135">
        <f t="shared" si="3"/>
        <v>0</v>
      </c>
      <c r="H30" s="135">
        <f t="shared" si="3"/>
        <v>0</v>
      </c>
      <c r="I30" s="135">
        <f t="shared" si="3"/>
        <v>0</v>
      </c>
      <c r="J30" s="135">
        <f t="shared" si="3"/>
        <v>0</v>
      </c>
      <c r="K30" s="135">
        <f t="shared" si="3"/>
        <v>2572599.4335000003</v>
      </c>
      <c r="L30" s="135">
        <f t="shared" si="3"/>
        <v>0</v>
      </c>
      <c r="M30" s="135">
        <f t="shared" si="3"/>
        <v>0</v>
      </c>
      <c r="N30" s="135">
        <f t="shared" si="3"/>
        <v>14823072.843500001</v>
      </c>
    </row>
    <row r="31" spans="1:14">
      <c r="A31" s="4"/>
      <c r="B31" s="5"/>
      <c r="C31" s="6"/>
      <c r="D31" s="6"/>
      <c r="E31" s="6"/>
      <c r="F31" s="18"/>
      <c r="G31" s="18"/>
      <c r="H31" s="6"/>
      <c r="I31" s="6"/>
      <c r="J31" s="6"/>
      <c r="K31" s="6"/>
      <c r="L31" s="6"/>
      <c r="M31" s="18"/>
      <c r="N31" s="18"/>
    </row>
    <row r="32" spans="1:14">
      <c r="A32" s="4" t="s">
        <v>2329</v>
      </c>
      <c r="B32" s="5" t="s">
        <v>2700</v>
      </c>
      <c r="C32" s="6" t="s">
        <v>86</v>
      </c>
      <c r="D32" s="6" t="s">
        <v>19</v>
      </c>
      <c r="E32" s="6">
        <v>30713669004</v>
      </c>
      <c r="F32" s="18">
        <v>72231.400000000009</v>
      </c>
      <c r="G32" s="18">
        <v>0</v>
      </c>
      <c r="H32" s="6">
        <v>0</v>
      </c>
      <c r="I32" s="6">
        <v>0</v>
      </c>
      <c r="J32" s="6">
        <v>0</v>
      </c>
      <c r="K32" s="6">
        <v>15168.59</v>
      </c>
      <c r="L32" s="6">
        <v>0</v>
      </c>
      <c r="M32" s="18">
        <v>0</v>
      </c>
      <c r="N32" s="18">
        <v>87399.99</v>
      </c>
    </row>
    <row r="33" spans="1:14">
      <c r="A33" s="4" t="s">
        <v>2329</v>
      </c>
      <c r="B33" s="5" t="s">
        <v>2699</v>
      </c>
      <c r="C33" s="6" t="s">
        <v>67</v>
      </c>
      <c r="D33" s="6" t="s">
        <v>19</v>
      </c>
      <c r="E33" s="6">
        <v>30710538014</v>
      </c>
      <c r="F33" s="18">
        <v>369049.59</v>
      </c>
      <c r="G33" s="18">
        <v>0</v>
      </c>
      <c r="H33" s="6">
        <v>0</v>
      </c>
      <c r="I33" s="6">
        <v>0</v>
      </c>
      <c r="J33" s="6">
        <v>0</v>
      </c>
      <c r="K33" s="6">
        <v>77500.41</v>
      </c>
      <c r="L33" s="6">
        <v>0</v>
      </c>
      <c r="M33" s="18">
        <v>0</v>
      </c>
      <c r="N33" s="18">
        <v>446550</v>
      </c>
    </row>
    <row r="34" spans="1:14">
      <c r="A34" s="4" t="s">
        <v>2329</v>
      </c>
      <c r="B34" s="5" t="s">
        <v>2698</v>
      </c>
      <c r="C34" s="6" t="s">
        <v>88</v>
      </c>
      <c r="D34" s="6" t="s">
        <v>19</v>
      </c>
      <c r="E34" s="6">
        <v>30711244383</v>
      </c>
      <c r="F34" s="18">
        <v>48576.03</v>
      </c>
      <c r="G34" s="18">
        <v>0</v>
      </c>
      <c r="H34" s="6">
        <v>0</v>
      </c>
      <c r="I34" s="6">
        <v>0</v>
      </c>
      <c r="J34" s="6">
        <v>0</v>
      </c>
      <c r="K34" s="6">
        <v>10200.969999999999</v>
      </c>
      <c r="L34" s="6">
        <v>0</v>
      </c>
      <c r="M34" s="18">
        <v>0</v>
      </c>
      <c r="N34" s="18">
        <v>58777</v>
      </c>
    </row>
    <row r="35" spans="1:14">
      <c r="A35" s="4" t="s">
        <v>2329</v>
      </c>
      <c r="B35" s="5" t="s">
        <v>2697</v>
      </c>
      <c r="C35" s="6" t="s">
        <v>84</v>
      </c>
      <c r="D35" s="6" t="s">
        <v>19</v>
      </c>
      <c r="E35" s="6">
        <v>30546771314</v>
      </c>
      <c r="F35" s="18">
        <v>16597.8</v>
      </c>
      <c r="G35" s="18">
        <v>0</v>
      </c>
      <c r="H35" s="6">
        <v>0</v>
      </c>
      <c r="I35" s="6">
        <v>0</v>
      </c>
      <c r="J35" s="6">
        <v>0</v>
      </c>
      <c r="K35" s="6">
        <v>3485.54</v>
      </c>
      <c r="L35" s="6">
        <v>0</v>
      </c>
      <c r="M35" s="18">
        <v>0</v>
      </c>
      <c r="N35" s="18">
        <v>20083.34</v>
      </c>
    </row>
    <row r="36" spans="1:14">
      <c r="A36" s="4" t="s">
        <v>2319</v>
      </c>
      <c r="B36" s="5" t="s">
        <v>2696</v>
      </c>
      <c r="C36" s="6" t="s">
        <v>92</v>
      </c>
      <c r="D36" s="6" t="s">
        <v>19</v>
      </c>
      <c r="E36" s="6">
        <v>30709016012</v>
      </c>
      <c r="F36" s="18">
        <v>131716.53</v>
      </c>
      <c r="G36" s="18">
        <v>0</v>
      </c>
      <c r="H36" s="6">
        <v>0</v>
      </c>
      <c r="I36" s="6">
        <v>0</v>
      </c>
      <c r="J36" s="6">
        <v>0</v>
      </c>
      <c r="K36" s="6">
        <v>27660.47</v>
      </c>
      <c r="L36" s="6">
        <v>0</v>
      </c>
      <c r="M36" s="18">
        <v>0</v>
      </c>
      <c r="N36" s="18">
        <v>159377</v>
      </c>
    </row>
    <row r="37" spans="1:14">
      <c r="A37" s="4" t="s">
        <v>2319</v>
      </c>
      <c r="B37" s="5" t="s">
        <v>2695</v>
      </c>
      <c r="C37" s="6" t="s">
        <v>92</v>
      </c>
      <c r="D37" s="6" t="s">
        <v>19</v>
      </c>
      <c r="E37" s="6">
        <v>30709016012</v>
      </c>
      <c r="F37" s="18">
        <v>487603.32</v>
      </c>
      <c r="G37" s="18">
        <v>0</v>
      </c>
      <c r="H37" s="6">
        <v>0</v>
      </c>
      <c r="I37" s="6">
        <v>0</v>
      </c>
      <c r="J37" s="6">
        <v>0</v>
      </c>
      <c r="K37" s="6">
        <v>102396.71</v>
      </c>
      <c r="L37" s="6">
        <v>0</v>
      </c>
      <c r="M37" s="18">
        <v>0</v>
      </c>
      <c r="N37" s="18">
        <v>590000.03</v>
      </c>
    </row>
    <row r="38" spans="1:14">
      <c r="A38" s="4" t="s">
        <v>2319</v>
      </c>
      <c r="B38" s="5" t="s">
        <v>2694</v>
      </c>
      <c r="C38" s="6" t="s">
        <v>108</v>
      </c>
      <c r="D38" s="6" t="s">
        <v>19</v>
      </c>
      <c r="E38" s="6">
        <v>20223256393</v>
      </c>
      <c r="F38" s="18">
        <v>19834.71</v>
      </c>
      <c r="G38" s="18">
        <v>0</v>
      </c>
      <c r="H38" s="6">
        <v>0</v>
      </c>
      <c r="I38" s="6">
        <v>0</v>
      </c>
      <c r="J38" s="6">
        <v>0</v>
      </c>
      <c r="K38" s="6">
        <v>4165.29</v>
      </c>
      <c r="L38" s="6">
        <v>0</v>
      </c>
      <c r="M38" s="18">
        <v>0</v>
      </c>
      <c r="N38" s="18">
        <v>24000</v>
      </c>
    </row>
    <row r="39" spans="1:14">
      <c r="A39" s="4" t="s">
        <v>2319</v>
      </c>
      <c r="B39" s="5" t="s">
        <v>2693</v>
      </c>
      <c r="C39" s="6" t="s">
        <v>73</v>
      </c>
      <c r="D39" s="6" t="s">
        <v>19</v>
      </c>
      <c r="E39" s="6">
        <v>30715186655</v>
      </c>
      <c r="F39" s="18">
        <v>453438.02</v>
      </c>
      <c r="G39" s="18">
        <v>0</v>
      </c>
      <c r="H39" s="6">
        <v>0</v>
      </c>
      <c r="I39" s="6">
        <v>0</v>
      </c>
      <c r="J39" s="6">
        <v>0</v>
      </c>
      <c r="K39" s="6">
        <v>95221.98</v>
      </c>
      <c r="L39" s="6">
        <v>0</v>
      </c>
      <c r="M39" s="18">
        <v>0</v>
      </c>
      <c r="N39" s="18">
        <v>548660</v>
      </c>
    </row>
    <row r="40" spans="1:14">
      <c r="A40" s="4" t="s">
        <v>2314</v>
      </c>
      <c r="B40" s="5" t="s">
        <v>2692</v>
      </c>
      <c r="C40" s="6" t="s">
        <v>90</v>
      </c>
      <c r="D40" s="6" t="s">
        <v>19</v>
      </c>
      <c r="E40" s="6">
        <v>30645337979</v>
      </c>
      <c r="F40" s="18">
        <v>97152.07</v>
      </c>
      <c r="G40" s="18">
        <v>0</v>
      </c>
      <c r="H40" s="6">
        <v>0</v>
      </c>
      <c r="I40" s="6">
        <v>0</v>
      </c>
      <c r="J40" s="6">
        <v>0</v>
      </c>
      <c r="K40" s="6">
        <v>20401.93</v>
      </c>
      <c r="L40" s="6">
        <v>0</v>
      </c>
      <c r="M40" s="18">
        <v>0</v>
      </c>
      <c r="N40" s="18">
        <v>117554</v>
      </c>
    </row>
    <row r="41" spans="1:14">
      <c r="A41" s="4" t="s">
        <v>2314</v>
      </c>
      <c r="B41" s="5" t="s">
        <v>2691</v>
      </c>
      <c r="C41" s="6" t="s">
        <v>1694</v>
      </c>
      <c r="D41" s="6" t="s">
        <v>19</v>
      </c>
      <c r="E41" s="6">
        <v>30604958640</v>
      </c>
      <c r="F41" s="18">
        <v>185682.68</v>
      </c>
      <c r="G41" s="18">
        <v>0</v>
      </c>
      <c r="H41" s="6">
        <v>0</v>
      </c>
      <c r="I41" s="6">
        <v>0</v>
      </c>
      <c r="J41" s="6">
        <v>0</v>
      </c>
      <c r="K41" s="6">
        <v>38993.360000000001</v>
      </c>
      <c r="L41" s="6">
        <v>0</v>
      </c>
      <c r="M41" s="18">
        <v>0</v>
      </c>
      <c r="N41" s="18">
        <v>224676.04</v>
      </c>
    </row>
    <row r="42" spans="1:14">
      <c r="A42" s="4" t="s">
        <v>2314</v>
      </c>
      <c r="B42" s="5" t="s">
        <v>2690</v>
      </c>
      <c r="C42" s="6" t="s">
        <v>1694</v>
      </c>
      <c r="D42" s="6" t="s">
        <v>19</v>
      </c>
      <c r="E42" s="6">
        <v>30604958640</v>
      </c>
      <c r="F42" s="18">
        <v>33096.199999999997</v>
      </c>
      <c r="G42" s="18">
        <v>0</v>
      </c>
      <c r="H42" s="6">
        <v>0</v>
      </c>
      <c r="I42" s="6">
        <v>0</v>
      </c>
      <c r="J42" s="6">
        <v>0</v>
      </c>
      <c r="K42" s="6">
        <v>6950.2</v>
      </c>
      <c r="L42" s="6">
        <v>0</v>
      </c>
      <c r="M42" s="18">
        <v>0</v>
      </c>
      <c r="N42" s="18">
        <v>40046.400000000001</v>
      </c>
    </row>
    <row r="43" spans="1:14">
      <c r="A43" s="4" t="s">
        <v>2557</v>
      </c>
      <c r="B43" s="5" t="s">
        <v>2689</v>
      </c>
      <c r="C43" s="6" t="s">
        <v>2634</v>
      </c>
      <c r="D43" s="6" t="s">
        <v>19</v>
      </c>
      <c r="E43" s="6">
        <v>30522428163</v>
      </c>
      <c r="F43" s="18">
        <v>130295.29</v>
      </c>
      <c r="G43" s="18">
        <v>0</v>
      </c>
      <c r="H43" s="6">
        <v>0</v>
      </c>
      <c r="I43" s="6">
        <v>0</v>
      </c>
      <c r="J43" s="6">
        <v>0</v>
      </c>
      <c r="K43" s="6">
        <v>27362.01</v>
      </c>
      <c r="L43" s="6">
        <v>0</v>
      </c>
      <c r="M43" s="18">
        <v>0</v>
      </c>
      <c r="N43" s="18">
        <v>157657.30000000002</v>
      </c>
    </row>
    <row r="44" spans="1:14">
      <c r="A44" s="4" t="s">
        <v>2301</v>
      </c>
      <c r="B44" s="5" t="s">
        <v>2688</v>
      </c>
      <c r="C44" s="6" t="s">
        <v>80</v>
      </c>
      <c r="D44" s="6" t="s">
        <v>19</v>
      </c>
      <c r="E44" s="6">
        <v>30707612971</v>
      </c>
      <c r="F44" s="18">
        <v>47198.35</v>
      </c>
      <c r="G44" s="18">
        <v>0</v>
      </c>
      <c r="H44" s="6">
        <v>0</v>
      </c>
      <c r="I44" s="6">
        <v>0</v>
      </c>
      <c r="J44" s="6">
        <v>0</v>
      </c>
      <c r="K44" s="6">
        <v>9911.65</v>
      </c>
      <c r="L44" s="6">
        <v>0</v>
      </c>
      <c r="M44" s="18">
        <v>0</v>
      </c>
      <c r="N44" s="18">
        <v>57110</v>
      </c>
    </row>
    <row r="45" spans="1:14">
      <c r="A45" s="4" t="s">
        <v>2301</v>
      </c>
      <c r="B45" s="5" t="s">
        <v>2687</v>
      </c>
      <c r="C45" s="6" t="s">
        <v>1981</v>
      </c>
      <c r="D45" s="6" t="s">
        <v>19</v>
      </c>
      <c r="E45" s="6">
        <v>30712136754</v>
      </c>
      <c r="F45" s="18">
        <v>47198.35</v>
      </c>
      <c r="G45" s="18">
        <v>0</v>
      </c>
      <c r="H45" s="6">
        <v>0</v>
      </c>
      <c r="I45" s="6">
        <v>0</v>
      </c>
      <c r="J45" s="6">
        <v>0</v>
      </c>
      <c r="K45" s="6">
        <v>9911.65</v>
      </c>
      <c r="L45" s="6">
        <v>0</v>
      </c>
      <c r="M45" s="18">
        <v>0</v>
      </c>
      <c r="N45" s="18">
        <v>57110</v>
      </c>
    </row>
    <row r="46" spans="1:14">
      <c r="A46" s="4" t="s">
        <v>2301</v>
      </c>
      <c r="B46" s="5" t="s">
        <v>2686</v>
      </c>
      <c r="C46" s="6" t="s">
        <v>2634</v>
      </c>
      <c r="D46" s="6" t="s">
        <v>19</v>
      </c>
      <c r="E46" s="6">
        <v>30522428163</v>
      </c>
      <c r="F46" s="18">
        <v>142148.76</v>
      </c>
      <c r="G46" s="18">
        <v>0</v>
      </c>
      <c r="H46" s="6">
        <v>0</v>
      </c>
      <c r="I46" s="6">
        <v>0</v>
      </c>
      <c r="J46" s="6">
        <v>0</v>
      </c>
      <c r="K46" s="6">
        <v>29851.24</v>
      </c>
      <c r="L46" s="6">
        <v>0</v>
      </c>
      <c r="M46" s="18">
        <v>0</v>
      </c>
      <c r="N46" s="18">
        <v>172000</v>
      </c>
    </row>
    <row r="47" spans="1:14">
      <c r="A47" s="4" t="s">
        <v>2301</v>
      </c>
      <c r="B47" s="5" t="s">
        <v>2685</v>
      </c>
      <c r="C47" s="6" t="s">
        <v>36</v>
      </c>
      <c r="D47" s="6" t="s">
        <v>19</v>
      </c>
      <c r="E47" s="6">
        <v>30683032227</v>
      </c>
      <c r="F47" s="18">
        <v>207986.84</v>
      </c>
      <c r="G47" s="18">
        <v>0</v>
      </c>
      <c r="H47" s="6">
        <v>0</v>
      </c>
      <c r="I47" s="6">
        <v>0</v>
      </c>
      <c r="J47" s="6">
        <v>0</v>
      </c>
      <c r="K47" s="6">
        <v>43677.24</v>
      </c>
      <c r="L47" s="6">
        <v>0</v>
      </c>
      <c r="M47" s="18">
        <v>0</v>
      </c>
      <c r="N47" s="18">
        <v>251664.08</v>
      </c>
    </row>
    <row r="48" spans="1:14">
      <c r="A48" s="4" t="s">
        <v>2292</v>
      </c>
      <c r="B48" s="5" t="s">
        <v>2684</v>
      </c>
      <c r="C48" s="6" t="s">
        <v>45</v>
      </c>
      <c r="D48" s="6" t="s">
        <v>19</v>
      </c>
      <c r="E48" s="6">
        <v>30608716390</v>
      </c>
      <c r="F48" s="18">
        <v>44247.93</v>
      </c>
      <c r="G48" s="18">
        <v>0</v>
      </c>
      <c r="H48" s="6">
        <v>0</v>
      </c>
      <c r="I48" s="6">
        <v>0</v>
      </c>
      <c r="J48" s="6">
        <v>0</v>
      </c>
      <c r="K48" s="6">
        <v>9292.07</v>
      </c>
      <c r="L48" s="6">
        <v>0</v>
      </c>
      <c r="M48" s="18">
        <v>0</v>
      </c>
      <c r="N48" s="18">
        <v>53540</v>
      </c>
    </row>
    <row r="49" spans="1:14">
      <c r="A49" s="4" t="s">
        <v>2292</v>
      </c>
      <c r="B49" s="5" t="s">
        <v>2683</v>
      </c>
      <c r="C49" s="6" t="s">
        <v>45</v>
      </c>
      <c r="D49" s="6" t="s">
        <v>19</v>
      </c>
      <c r="E49" s="6">
        <v>30608716390</v>
      </c>
      <c r="F49" s="18">
        <v>11256.2</v>
      </c>
      <c r="G49" s="18">
        <v>0</v>
      </c>
      <c r="H49" s="6">
        <v>0</v>
      </c>
      <c r="I49" s="6">
        <v>0</v>
      </c>
      <c r="J49" s="6">
        <v>0</v>
      </c>
      <c r="K49" s="6">
        <v>2363.8000000000002</v>
      </c>
      <c r="L49" s="6">
        <v>0</v>
      </c>
      <c r="M49" s="18">
        <v>0</v>
      </c>
      <c r="N49" s="18">
        <v>13620</v>
      </c>
    </row>
    <row r="50" spans="1:14">
      <c r="A50" s="4" t="s">
        <v>2292</v>
      </c>
      <c r="B50" s="5" t="s">
        <v>2682</v>
      </c>
      <c r="C50" s="6" t="s">
        <v>45</v>
      </c>
      <c r="D50" s="6" t="s">
        <v>19</v>
      </c>
      <c r="E50" s="6">
        <v>30608716390</v>
      </c>
      <c r="F50" s="18">
        <v>13223.14</v>
      </c>
      <c r="G50" s="18">
        <v>0</v>
      </c>
      <c r="H50" s="6">
        <v>0</v>
      </c>
      <c r="I50" s="6">
        <v>0</v>
      </c>
      <c r="J50" s="6">
        <v>0</v>
      </c>
      <c r="K50" s="6">
        <v>2776.86</v>
      </c>
      <c r="L50" s="6">
        <v>0</v>
      </c>
      <c r="M50" s="18">
        <v>0</v>
      </c>
      <c r="N50" s="18">
        <v>16000</v>
      </c>
    </row>
    <row r="51" spans="1:14">
      <c r="A51" s="4" t="s">
        <v>2292</v>
      </c>
      <c r="B51" s="5" t="s">
        <v>2681</v>
      </c>
      <c r="C51" s="6" t="s">
        <v>45</v>
      </c>
      <c r="D51" s="6" t="s">
        <v>19</v>
      </c>
      <c r="E51" s="6">
        <v>30608716390</v>
      </c>
      <c r="F51" s="18">
        <v>13223.14</v>
      </c>
      <c r="G51" s="18">
        <v>0</v>
      </c>
      <c r="H51" s="6">
        <v>0</v>
      </c>
      <c r="I51" s="6">
        <v>0</v>
      </c>
      <c r="J51" s="6">
        <v>0</v>
      </c>
      <c r="K51" s="6">
        <v>2776.86</v>
      </c>
      <c r="L51" s="6">
        <v>0</v>
      </c>
      <c r="M51" s="18">
        <v>0</v>
      </c>
      <c r="N51" s="18">
        <v>16000</v>
      </c>
    </row>
    <row r="52" spans="1:14">
      <c r="A52" s="4" t="s">
        <v>2292</v>
      </c>
      <c r="B52" s="5" t="s">
        <v>2680</v>
      </c>
      <c r="C52" s="6" t="s">
        <v>45</v>
      </c>
      <c r="D52" s="6" t="s">
        <v>19</v>
      </c>
      <c r="E52" s="6">
        <v>30608716390</v>
      </c>
      <c r="F52" s="18">
        <v>13223.14</v>
      </c>
      <c r="G52" s="18">
        <v>0</v>
      </c>
      <c r="H52" s="6">
        <v>0</v>
      </c>
      <c r="I52" s="6">
        <v>0</v>
      </c>
      <c r="J52" s="6">
        <v>0</v>
      </c>
      <c r="K52" s="6">
        <v>2776.86</v>
      </c>
      <c r="L52" s="6">
        <v>0</v>
      </c>
      <c r="M52" s="18">
        <v>0</v>
      </c>
      <c r="N52" s="18">
        <v>16000</v>
      </c>
    </row>
    <row r="53" spans="1:14">
      <c r="A53" s="4" t="s">
        <v>2292</v>
      </c>
      <c r="B53" s="5" t="s">
        <v>2679</v>
      </c>
      <c r="C53" s="6" t="s">
        <v>45</v>
      </c>
      <c r="D53" s="6" t="s">
        <v>19</v>
      </c>
      <c r="E53" s="6">
        <v>30608716390</v>
      </c>
      <c r="F53" s="18">
        <v>19090.91</v>
      </c>
      <c r="G53" s="18">
        <v>0</v>
      </c>
      <c r="H53" s="6">
        <v>0</v>
      </c>
      <c r="I53" s="6">
        <v>0</v>
      </c>
      <c r="J53" s="6">
        <v>0</v>
      </c>
      <c r="K53" s="6">
        <v>4009.09</v>
      </c>
      <c r="L53" s="6">
        <v>0</v>
      </c>
      <c r="M53" s="18">
        <v>0</v>
      </c>
      <c r="N53" s="18">
        <v>23100</v>
      </c>
    </row>
    <row r="54" spans="1:14">
      <c r="A54" s="4" t="s">
        <v>2292</v>
      </c>
      <c r="B54" s="5" t="s">
        <v>2678</v>
      </c>
      <c r="C54" s="6" t="s">
        <v>45</v>
      </c>
      <c r="D54" s="6" t="s">
        <v>19</v>
      </c>
      <c r="E54" s="6">
        <v>30608716390</v>
      </c>
      <c r="F54" s="18">
        <v>6611.57</v>
      </c>
      <c r="G54" s="18">
        <v>0</v>
      </c>
      <c r="H54" s="6">
        <v>0</v>
      </c>
      <c r="I54" s="6">
        <v>0</v>
      </c>
      <c r="J54" s="6">
        <v>0</v>
      </c>
      <c r="K54" s="6">
        <v>1388.43</v>
      </c>
      <c r="L54" s="6">
        <v>0</v>
      </c>
      <c r="M54" s="18">
        <v>0</v>
      </c>
      <c r="N54" s="18">
        <v>8000</v>
      </c>
    </row>
    <row r="55" spans="1:14">
      <c r="A55" s="4" t="s">
        <v>2292</v>
      </c>
      <c r="B55" s="5" t="s">
        <v>2677</v>
      </c>
      <c r="C55" s="6" t="s">
        <v>45</v>
      </c>
      <c r="D55" s="6" t="s">
        <v>19</v>
      </c>
      <c r="E55" s="6">
        <v>30608716390</v>
      </c>
      <c r="F55" s="18">
        <v>5628.1</v>
      </c>
      <c r="G55" s="18">
        <v>0</v>
      </c>
      <c r="H55" s="6">
        <v>0</v>
      </c>
      <c r="I55" s="6">
        <v>0</v>
      </c>
      <c r="J55" s="6">
        <v>0</v>
      </c>
      <c r="K55" s="6">
        <v>1181.9000000000001</v>
      </c>
      <c r="L55" s="6">
        <v>0</v>
      </c>
      <c r="M55" s="18">
        <v>0</v>
      </c>
      <c r="N55" s="18">
        <v>6810</v>
      </c>
    </row>
    <row r="56" spans="1:14">
      <c r="A56" s="4" t="s">
        <v>2292</v>
      </c>
      <c r="B56" s="5" t="s">
        <v>2676</v>
      </c>
      <c r="C56" s="6" t="s">
        <v>84</v>
      </c>
      <c r="D56" s="6" t="s">
        <v>19</v>
      </c>
      <c r="E56" s="6">
        <v>30546771314</v>
      </c>
      <c r="F56" s="18">
        <v>40165.29</v>
      </c>
      <c r="G56" s="18">
        <v>0</v>
      </c>
      <c r="H56" s="6">
        <v>0</v>
      </c>
      <c r="I56" s="6">
        <v>0</v>
      </c>
      <c r="J56" s="6">
        <v>0</v>
      </c>
      <c r="K56" s="6">
        <v>8434.7100000000009</v>
      </c>
      <c r="L56" s="6">
        <v>0</v>
      </c>
      <c r="M56" s="18">
        <v>0</v>
      </c>
      <c r="N56" s="18">
        <v>48600</v>
      </c>
    </row>
    <row r="57" spans="1:14">
      <c r="A57" s="4" t="s">
        <v>2287</v>
      </c>
      <c r="B57" s="5" t="s">
        <v>2675</v>
      </c>
      <c r="C57" s="6" t="s">
        <v>2634</v>
      </c>
      <c r="D57" s="6" t="s">
        <v>19</v>
      </c>
      <c r="E57" s="6">
        <v>30522428163</v>
      </c>
      <c r="F57" s="18">
        <v>381445.96</v>
      </c>
      <c r="G57" s="18">
        <v>0</v>
      </c>
      <c r="H57" s="6">
        <v>0</v>
      </c>
      <c r="I57" s="6">
        <v>0</v>
      </c>
      <c r="J57" s="6">
        <v>0</v>
      </c>
      <c r="K57" s="6">
        <v>80103.66</v>
      </c>
      <c r="L57" s="6">
        <v>0</v>
      </c>
      <c r="M57" s="18">
        <v>0</v>
      </c>
      <c r="N57" s="18">
        <v>461549.62</v>
      </c>
    </row>
    <row r="58" spans="1:14">
      <c r="A58" s="4" t="s">
        <v>2287</v>
      </c>
      <c r="B58" s="5" t="s">
        <v>2674</v>
      </c>
      <c r="C58" s="6" t="s">
        <v>2634</v>
      </c>
      <c r="D58" s="6" t="s">
        <v>19</v>
      </c>
      <c r="E58" s="6">
        <v>30522428163</v>
      </c>
      <c r="F58" s="18">
        <v>205421.49</v>
      </c>
      <c r="G58" s="18">
        <v>0</v>
      </c>
      <c r="H58" s="6">
        <v>0</v>
      </c>
      <c r="I58" s="6">
        <v>0</v>
      </c>
      <c r="J58" s="6">
        <v>0</v>
      </c>
      <c r="K58" s="6">
        <v>43138.51</v>
      </c>
      <c r="L58" s="6">
        <v>0</v>
      </c>
      <c r="M58" s="18">
        <v>0</v>
      </c>
      <c r="N58" s="18">
        <v>248560</v>
      </c>
    </row>
    <row r="59" spans="1:14">
      <c r="A59" s="4" t="s">
        <v>2287</v>
      </c>
      <c r="B59" s="5" t="s">
        <v>2673</v>
      </c>
      <c r="C59" s="6" t="s">
        <v>2634</v>
      </c>
      <c r="D59" s="6" t="s">
        <v>19</v>
      </c>
      <c r="E59" s="6">
        <v>30522428163</v>
      </c>
      <c r="F59" s="18">
        <v>440944.73</v>
      </c>
      <c r="G59" s="18">
        <v>0</v>
      </c>
      <c r="H59" s="6">
        <v>0</v>
      </c>
      <c r="I59" s="6">
        <v>0</v>
      </c>
      <c r="J59" s="6">
        <v>0</v>
      </c>
      <c r="K59" s="6">
        <v>92598.39</v>
      </c>
      <c r="L59" s="6">
        <v>0</v>
      </c>
      <c r="M59" s="18">
        <v>0</v>
      </c>
      <c r="N59" s="18">
        <v>533543.12</v>
      </c>
    </row>
    <row r="60" spans="1:14">
      <c r="A60" s="4" t="s">
        <v>2279</v>
      </c>
      <c r="B60" s="5" t="s">
        <v>2672</v>
      </c>
      <c r="C60" s="6" t="s">
        <v>120</v>
      </c>
      <c r="D60" s="6" t="s">
        <v>19</v>
      </c>
      <c r="E60" s="6">
        <v>27182477368</v>
      </c>
      <c r="F60" s="18">
        <v>19834.71</v>
      </c>
      <c r="G60" s="18">
        <v>0</v>
      </c>
      <c r="H60" s="6">
        <v>0</v>
      </c>
      <c r="I60" s="6">
        <v>0</v>
      </c>
      <c r="J60" s="6">
        <v>0</v>
      </c>
      <c r="K60" s="6">
        <v>4165.29</v>
      </c>
      <c r="L60" s="6">
        <v>0</v>
      </c>
      <c r="M60" s="18">
        <v>0</v>
      </c>
      <c r="N60" s="18">
        <v>24000</v>
      </c>
    </row>
    <row r="61" spans="1:14">
      <c r="A61" s="4" t="s">
        <v>2279</v>
      </c>
      <c r="B61" s="5" t="s">
        <v>2671</v>
      </c>
      <c r="C61" s="6" t="s">
        <v>108</v>
      </c>
      <c r="D61" s="6" t="s">
        <v>19</v>
      </c>
      <c r="E61" s="6">
        <v>20223256393</v>
      </c>
      <c r="F61" s="18">
        <v>19834.71</v>
      </c>
      <c r="G61" s="18">
        <v>0</v>
      </c>
      <c r="H61" s="6">
        <v>0</v>
      </c>
      <c r="I61" s="6">
        <v>0</v>
      </c>
      <c r="J61" s="6">
        <v>0</v>
      </c>
      <c r="K61" s="6">
        <v>4165.29</v>
      </c>
      <c r="L61" s="6">
        <v>0</v>
      </c>
      <c r="M61" s="18">
        <v>0</v>
      </c>
      <c r="N61" s="18">
        <v>24000</v>
      </c>
    </row>
    <row r="62" spans="1:14">
      <c r="A62" s="4" t="s">
        <v>2269</v>
      </c>
      <c r="B62" s="5" t="s">
        <v>2670</v>
      </c>
      <c r="C62" s="6" t="s">
        <v>36</v>
      </c>
      <c r="D62" s="6" t="s">
        <v>19</v>
      </c>
      <c r="E62" s="6">
        <v>30683032227</v>
      </c>
      <c r="F62" s="18">
        <v>72479.34</v>
      </c>
      <c r="G62" s="18">
        <v>0</v>
      </c>
      <c r="H62" s="6">
        <v>0</v>
      </c>
      <c r="I62" s="6">
        <v>0</v>
      </c>
      <c r="J62" s="6">
        <v>0</v>
      </c>
      <c r="K62" s="6">
        <v>15220.66</v>
      </c>
      <c r="L62" s="6">
        <v>0</v>
      </c>
      <c r="M62" s="18">
        <v>0</v>
      </c>
      <c r="N62" s="18">
        <v>87700</v>
      </c>
    </row>
    <row r="63" spans="1:14">
      <c r="A63" s="4" t="s">
        <v>2269</v>
      </c>
      <c r="B63" s="5" t="s">
        <v>2669</v>
      </c>
      <c r="C63" s="6" t="s">
        <v>2634</v>
      </c>
      <c r="D63" s="6" t="s">
        <v>19</v>
      </c>
      <c r="E63" s="6">
        <v>30522428163</v>
      </c>
      <c r="F63" s="18">
        <v>857024.79</v>
      </c>
      <c r="G63" s="18">
        <v>0</v>
      </c>
      <c r="H63" s="6">
        <v>0</v>
      </c>
      <c r="I63" s="6">
        <v>0</v>
      </c>
      <c r="J63" s="6">
        <v>0</v>
      </c>
      <c r="K63" s="6">
        <v>179975.2</v>
      </c>
      <c r="L63" s="6">
        <v>0</v>
      </c>
      <c r="M63" s="18">
        <v>0</v>
      </c>
      <c r="N63" s="18">
        <v>1036999.99</v>
      </c>
    </row>
    <row r="64" spans="1:14">
      <c r="A64" s="4" t="s">
        <v>2403</v>
      </c>
      <c r="B64" s="5" t="s">
        <v>2668</v>
      </c>
      <c r="C64" s="6" t="s">
        <v>1694</v>
      </c>
      <c r="D64" s="6" t="s">
        <v>19</v>
      </c>
      <c r="E64" s="6">
        <v>30604958640</v>
      </c>
      <c r="F64" s="18">
        <v>297161.02</v>
      </c>
      <c r="G64" s="18">
        <v>0</v>
      </c>
      <c r="H64" s="6">
        <v>0</v>
      </c>
      <c r="I64" s="6">
        <v>0</v>
      </c>
      <c r="J64" s="6">
        <v>0</v>
      </c>
      <c r="K64" s="6">
        <v>62403.81</v>
      </c>
      <c r="L64" s="6">
        <v>0</v>
      </c>
      <c r="M64" s="18">
        <v>0</v>
      </c>
      <c r="N64" s="18">
        <v>359564.83</v>
      </c>
    </row>
    <row r="65" spans="1:14">
      <c r="A65" s="4" t="s">
        <v>2403</v>
      </c>
      <c r="B65" s="5" t="s">
        <v>2667</v>
      </c>
      <c r="C65" s="6" t="s">
        <v>2634</v>
      </c>
      <c r="D65" s="6" t="s">
        <v>19</v>
      </c>
      <c r="E65" s="6">
        <v>30522428163</v>
      </c>
      <c r="F65" s="18">
        <v>251923.49000000002</v>
      </c>
      <c r="G65" s="18">
        <v>0</v>
      </c>
      <c r="H65" s="6">
        <v>0</v>
      </c>
      <c r="I65" s="6">
        <v>0</v>
      </c>
      <c r="J65" s="6">
        <v>0</v>
      </c>
      <c r="K65" s="6">
        <v>52903.93</v>
      </c>
      <c r="L65" s="6">
        <v>0</v>
      </c>
      <c r="M65" s="18">
        <v>0</v>
      </c>
      <c r="N65" s="18">
        <v>304827.42</v>
      </c>
    </row>
    <row r="66" spans="1:14">
      <c r="A66" s="4" t="s">
        <v>2403</v>
      </c>
      <c r="B66" s="5" t="s">
        <v>2666</v>
      </c>
      <c r="C66" s="6" t="s">
        <v>2634</v>
      </c>
      <c r="D66" s="6" t="s">
        <v>19</v>
      </c>
      <c r="E66" s="6">
        <v>30522428163</v>
      </c>
      <c r="F66" s="18">
        <v>208031.6</v>
      </c>
      <c r="G66" s="18">
        <v>0</v>
      </c>
      <c r="H66" s="6">
        <v>0</v>
      </c>
      <c r="I66" s="6">
        <v>0</v>
      </c>
      <c r="J66" s="6">
        <v>0</v>
      </c>
      <c r="K66" s="6">
        <v>43686.64</v>
      </c>
      <c r="L66" s="6">
        <v>0</v>
      </c>
      <c r="M66" s="18">
        <v>0</v>
      </c>
      <c r="N66" s="18">
        <v>251718.24000000002</v>
      </c>
    </row>
    <row r="67" spans="1:14">
      <c r="A67" s="4" t="s">
        <v>2403</v>
      </c>
      <c r="B67" s="5" t="s">
        <v>2665</v>
      </c>
      <c r="C67" s="6" t="s">
        <v>2634</v>
      </c>
      <c r="D67" s="6" t="s">
        <v>19</v>
      </c>
      <c r="E67" s="6">
        <v>30522428163</v>
      </c>
      <c r="F67" s="18">
        <v>251923.49000000002</v>
      </c>
      <c r="G67" s="18">
        <v>0</v>
      </c>
      <c r="H67" s="6">
        <v>0</v>
      </c>
      <c r="I67" s="6">
        <v>0</v>
      </c>
      <c r="J67" s="6">
        <v>0</v>
      </c>
      <c r="K67" s="6">
        <v>52903.93</v>
      </c>
      <c r="L67" s="6">
        <v>0</v>
      </c>
      <c r="M67" s="18">
        <v>0</v>
      </c>
      <c r="N67" s="18">
        <v>304827.42</v>
      </c>
    </row>
    <row r="68" spans="1:14">
      <c r="A68" s="4" t="s">
        <v>2403</v>
      </c>
      <c r="B68" s="5" t="s">
        <v>2664</v>
      </c>
      <c r="C68" s="6" t="s">
        <v>2634</v>
      </c>
      <c r="D68" s="6" t="s">
        <v>19</v>
      </c>
      <c r="E68" s="6">
        <v>30522428163</v>
      </c>
      <c r="F68" s="18">
        <v>594037.29</v>
      </c>
      <c r="G68" s="18">
        <v>0</v>
      </c>
      <c r="H68" s="6">
        <v>0</v>
      </c>
      <c r="I68" s="6">
        <v>0</v>
      </c>
      <c r="J68" s="6">
        <v>0</v>
      </c>
      <c r="K68" s="6">
        <v>124747.83</v>
      </c>
      <c r="L68" s="6">
        <v>0</v>
      </c>
      <c r="M68" s="18">
        <v>0</v>
      </c>
      <c r="N68" s="18">
        <v>718785.12</v>
      </c>
    </row>
    <row r="69" spans="1:14">
      <c r="A69" s="4" t="s">
        <v>2379</v>
      </c>
      <c r="B69" s="5" t="s">
        <v>2663</v>
      </c>
      <c r="C69" s="6" t="s">
        <v>2634</v>
      </c>
      <c r="D69" s="6" t="s">
        <v>19</v>
      </c>
      <c r="E69" s="6">
        <v>30522428163</v>
      </c>
      <c r="F69" s="18">
        <v>1018124.41</v>
      </c>
      <c r="G69" s="18">
        <v>0</v>
      </c>
      <c r="H69" s="6">
        <v>0</v>
      </c>
      <c r="I69" s="6">
        <v>0</v>
      </c>
      <c r="J69" s="6">
        <v>0</v>
      </c>
      <c r="K69" s="6">
        <v>213806.13</v>
      </c>
      <c r="L69" s="6">
        <v>0</v>
      </c>
      <c r="M69" s="18">
        <v>0</v>
      </c>
      <c r="N69" s="18">
        <v>1231930.54</v>
      </c>
    </row>
    <row r="70" spans="1:14">
      <c r="A70" s="4" t="s">
        <v>2379</v>
      </c>
      <c r="B70" s="5" t="s">
        <v>2662</v>
      </c>
      <c r="C70" s="6" t="s">
        <v>2634</v>
      </c>
      <c r="D70" s="6" t="s">
        <v>19</v>
      </c>
      <c r="E70" s="6">
        <v>30522428163</v>
      </c>
      <c r="F70" s="18">
        <v>812180.69</v>
      </c>
      <c r="G70" s="18">
        <v>0</v>
      </c>
      <c r="H70" s="6">
        <v>0</v>
      </c>
      <c r="I70" s="6">
        <v>0</v>
      </c>
      <c r="J70" s="6">
        <v>0</v>
      </c>
      <c r="K70" s="6">
        <v>170557.94</v>
      </c>
      <c r="L70" s="6">
        <v>0</v>
      </c>
      <c r="M70" s="18">
        <v>0</v>
      </c>
      <c r="N70" s="18">
        <v>982738.63</v>
      </c>
    </row>
    <row r="71" spans="1:14">
      <c r="A71" s="4" t="s">
        <v>2379</v>
      </c>
      <c r="B71" s="5" t="s">
        <v>2661</v>
      </c>
      <c r="C71" s="6" t="s">
        <v>2634</v>
      </c>
      <c r="D71" s="6" t="s">
        <v>19</v>
      </c>
      <c r="E71" s="6">
        <v>30522428163</v>
      </c>
      <c r="F71" s="18">
        <v>690176.65</v>
      </c>
      <c r="G71" s="18">
        <v>0</v>
      </c>
      <c r="H71" s="6">
        <v>0</v>
      </c>
      <c r="I71" s="6">
        <v>0</v>
      </c>
      <c r="J71" s="6">
        <v>0</v>
      </c>
      <c r="K71" s="6">
        <v>144937.1</v>
      </c>
      <c r="L71" s="6">
        <v>0</v>
      </c>
      <c r="M71" s="18">
        <v>0</v>
      </c>
      <c r="N71" s="18">
        <v>835113.75</v>
      </c>
    </row>
    <row r="72" spans="1:14">
      <c r="A72" s="4" t="s">
        <v>2379</v>
      </c>
      <c r="B72" s="5" t="s">
        <v>2660</v>
      </c>
      <c r="C72" s="6" t="s">
        <v>2634</v>
      </c>
      <c r="D72" s="6" t="s">
        <v>19</v>
      </c>
      <c r="E72" s="6">
        <v>30522428163</v>
      </c>
      <c r="F72" s="18">
        <v>15261</v>
      </c>
      <c r="G72" s="18">
        <v>0</v>
      </c>
      <c r="H72" s="6">
        <v>0</v>
      </c>
      <c r="I72" s="6">
        <v>0</v>
      </c>
      <c r="J72" s="6">
        <v>0</v>
      </c>
      <c r="K72" s="6">
        <v>3204.81</v>
      </c>
      <c r="L72" s="6">
        <v>0</v>
      </c>
      <c r="M72" s="18">
        <v>0</v>
      </c>
      <c r="N72" s="18">
        <v>18465.810000000001</v>
      </c>
    </row>
    <row r="73" spans="1:14">
      <c r="A73" s="4" t="s">
        <v>2379</v>
      </c>
      <c r="B73" s="5" t="s">
        <v>2659</v>
      </c>
      <c r="C73" s="6" t="s">
        <v>2634</v>
      </c>
      <c r="D73" s="6" t="s">
        <v>19</v>
      </c>
      <c r="E73" s="6">
        <v>30522428163</v>
      </c>
      <c r="F73" s="18">
        <v>18312.900000000001</v>
      </c>
      <c r="G73" s="18">
        <v>0</v>
      </c>
      <c r="H73" s="6">
        <v>0</v>
      </c>
      <c r="I73" s="6">
        <v>0</v>
      </c>
      <c r="J73" s="6">
        <v>0</v>
      </c>
      <c r="K73" s="6">
        <v>3845.71</v>
      </c>
      <c r="L73" s="6">
        <v>0</v>
      </c>
      <c r="M73" s="18">
        <v>0</v>
      </c>
      <c r="N73" s="18">
        <v>22158.61</v>
      </c>
    </row>
    <row r="74" spans="1:14">
      <c r="A74" s="4" t="s">
        <v>2379</v>
      </c>
      <c r="B74" s="5" t="s">
        <v>2658</v>
      </c>
      <c r="C74" s="6" t="s">
        <v>2634</v>
      </c>
      <c r="D74" s="6" t="s">
        <v>19</v>
      </c>
      <c r="E74" s="6">
        <v>30522428163</v>
      </c>
      <c r="F74" s="18">
        <v>21425.7</v>
      </c>
      <c r="G74" s="18">
        <v>0</v>
      </c>
      <c r="H74" s="6">
        <v>0</v>
      </c>
      <c r="I74" s="6">
        <v>0</v>
      </c>
      <c r="J74" s="6">
        <v>0</v>
      </c>
      <c r="K74" s="6">
        <v>4499.4000000000005</v>
      </c>
      <c r="L74" s="6">
        <v>0</v>
      </c>
      <c r="M74" s="18">
        <v>0</v>
      </c>
      <c r="N74" s="18">
        <v>25925.1</v>
      </c>
    </row>
    <row r="75" spans="1:14">
      <c r="A75" s="4" t="s">
        <v>2379</v>
      </c>
      <c r="B75" s="5" t="s">
        <v>2657</v>
      </c>
      <c r="C75" s="6" t="s">
        <v>2634</v>
      </c>
      <c r="D75" s="6" t="s">
        <v>19</v>
      </c>
      <c r="E75" s="6">
        <v>30522428163</v>
      </c>
      <c r="F75" s="18">
        <v>41771.520000000004</v>
      </c>
      <c r="G75" s="18">
        <v>0</v>
      </c>
      <c r="H75" s="6">
        <v>0</v>
      </c>
      <c r="I75" s="6">
        <v>0</v>
      </c>
      <c r="J75" s="6">
        <v>0</v>
      </c>
      <c r="K75" s="6">
        <v>8772.02</v>
      </c>
      <c r="L75" s="6">
        <v>0</v>
      </c>
      <c r="M75" s="18">
        <v>0</v>
      </c>
      <c r="N75" s="18">
        <v>50543.54</v>
      </c>
    </row>
    <row r="76" spans="1:14">
      <c r="A76" s="4" t="s">
        <v>2261</v>
      </c>
      <c r="B76" s="5" t="s">
        <v>2656</v>
      </c>
      <c r="C76" s="6" t="s">
        <v>45</v>
      </c>
      <c r="D76" s="6" t="s">
        <v>19</v>
      </c>
      <c r="E76" s="6">
        <v>30608716390</v>
      </c>
      <c r="F76" s="18">
        <v>11256.2</v>
      </c>
      <c r="G76" s="18">
        <v>0</v>
      </c>
      <c r="H76" s="6">
        <v>0</v>
      </c>
      <c r="I76" s="6">
        <v>0</v>
      </c>
      <c r="J76" s="6">
        <v>0</v>
      </c>
      <c r="K76" s="6">
        <v>2363.8000000000002</v>
      </c>
      <c r="L76" s="6">
        <v>0</v>
      </c>
      <c r="M76" s="18">
        <v>0</v>
      </c>
      <c r="N76" s="18">
        <v>13620</v>
      </c>
    </row>
    <row r="77" spans="1:14">
      <c r="A77" s="4" t="s">
        <v>2261</v>
      </c>
      <c r="B77" s="5" t="s">
        <v>2655</v>
      </c>
      <c r="C77" s="6" t="s">
        <v>45</v>
      </c>
      <c r="D77" s="6" t="s">
        <v>19</v>
      </c>
      <c r="E77" s="6">
        <v>30608716390</v>
      </c>
      <c r="F77" s="18">
        <v>6611.57</v>
      </c>
      <c r="G77" s="18">
        <v>0</v>
      </c>
      <c r="H77" s="6">
        <v>0</v>
      </c>
      <c r="I77" s="6">
        <v>0</v>
      </c>
      <c r="J77" s="6">
        <v>0</v>
      </c>
      <c r="K77" s="6">
        <v>1388.43</v>
      </c>
      <c r="L77" s="6">
        <v>0</v>
      </c>
      <c r="M77" s="18">
        <v>0</v>
      </c>
      <c r="N77" s="18">
        <v>8000</v>
      </c>
    </row>
    <row r="78" spans="1:14">
      <c r="A78" s="4" t="s">
        <v>2261</v>
      </c>
      <c r="B78" s="5" t="s">
        <v>2654</v>
      </c>
      <c r="C78" s="6" t="s">
        <v>45</v>
      </c>
      <c r="D78" s="6" t="s">
        <v>19</v>
      </c>
      <c r="E78" s="6">
        <v>30608716390</v>
      </c>
      <c r="F78" s="18">
        <v>43570.25</v>
      </c>
      <c r="G78" s="18">
        <v>0</v>
      </c>
      <c r="H78" s="6">
        <v>0</v>
      </c>
      <c r="I78" s="6">
        <v>0</v>
      </c>
      <c r="J78" s="6">
        <v>0</v>
      </c>
      <c r="K78" s="6">
        <v>9149.75</v>
      </c>
      <c r="L78" s="6">
        <v>0</v>
      </c>
      <c r="M78" s="18">
        <v>0</v>
      </c>
      <c r="N78" s="18">
        <v>52720</v>
      </c>
    </row>
    <row r="79" spans="1:14">
      <c r="A79" s="4" t="s">
        <v>2261</v>
      </c>
      <c r="B79" s="5" t="s">
        <v>2653</v>
      </c>
      <c r="C79" s="6" t="s">
        <v>45</v>
      </c>
      <c r="D79" s="6" t="s">
        <v>19</v>
      </c>
      <c r="E79" s="6">
        <v>30608716390</v>
      </c>
      <c r="F79" s="18">
        <v>13223.14</v>
      </c>
      <c r="G79" s="18">
        <v>0</v>
      </c>
      <c r="H79" s="6">
        <v>0</v>
      </c>
      <c r="I79" s="6">
        <v>0</v>
      </c>
      <c r="J79" s="6">
        <v>0</v>
      </c>
      <c r="K79" s="6">
        <v>2776.86</v>
      </c>
      <c r="L79" s="6">
        <v>0</v>
      </c>
      <c r="M79" s="18">
        <v>0</v>
      </c>
      <c r="N79" s="18">
        <v>16000</v>
      </c>
    </row>
    <row r="80" spans="1:14">
      <c r="A80" s="4" t="s">
        <v>2261</v>
      </c>
      <c r="B80" s="5" t="s">
        <v>2652</v>
      </c>
      <c r="C80" s="6" t="s">
        <v>45</v>
      </c>
      <c r="D80" s="6" t="s">
        <v>19</v>
      </c>
      <c r="E80" s="6">
        <v>30608716390</v>
      </c>
      <c r="F80" s="18">
        <v>32314.05</v>
      </c>
      <c r="G80" s="18">
        <v>0</v>
      </c>
      <c r="H80" s="6">
        <v>0</v>
      </c>
      <c r="I80" s="6">
        <v>0</v>
      </c>
      <c r="J80" s="6">
        <v>0</v>
      </c>
      <c r="K80" s="6">
        <v>6785.95</v>
      </c>
      <c r="L80" s="6">
        <v>0</v>
      </c>
      <c r="M80" s="18">
        <v>0</v>
      </c>
      <c r="N80" s="18">
        <v>39100</v>
      </c>
    </row>
    <row r="81" spans="1:14">
      <c r="A81" s="4" t="s">
        <v>2261</v>
      </c>
      <c r="B81" s="5" t="s">
        <v>2651</v>
      </c>
      <c r="C81" s="6" t="s">
        <v>84</v>
      </c>
      <c r="D81" s="6" t="s">
        <v>19</v>
      </c>
      <c r="E81" s="6">
        <v>30546771314</v>
      </c>
      <c r="F81" s="18">
        <v>98578.52</v>
      </c>
      <c r="G81" s="18">
        <v>0</v>
      </c>
      <c r="H81" s="6">
        <v>0</v>
      </c>
      <c r="I81" s="6">
        <v>0</v>
      </c>
      <c r="J81" s="6">
        <v>0</v>
      </c>
      <c r="K81" s="6">
        <v>20701.490000000002</v>
      </c>
      <c r="L81" s="6">
        <v>0</v>
      </c>
      <c r="M81" s="18">
        <v>0</v>
      </c>
      <c r="N81" s="18">
        <v>119280.01</v>
      </c>
    </row>
    <row r="82" spans="1:14">
      <c r="A82" s="4" t="s">
        <v>2261</v>
      </c>
      <c r="B82" s="5" t="s">
        <v>2650</v>
      </c>
      <c r="C82" s="6" t="s">
        <v>1694</v>
      </c>
      <c r="D82" s="6" t="s">
        <v>19</v>
      </c>
      <c r="E82" s="6">
        <v>30604958640</v>
      </c>
      <c r="F82" s="18">
        <v>369747.65</v>
      </c>
      <c r="G82" s="18">
        <v>0</v>
      </c>
      <c r="H82" s="6">
        <v>0</v>
      </c>
      <c r="I82" s="6">
        <v>0</v>
      </c>
      <c r="J82" s="6">
        <v>0</v>
      </c>
      <c r="K82" s="6">
        <v>77647.009999999995</v>
      </c>
      <c r="L82" s="6">
        <v>0</v>
      </c>
      <c r="M82" s="18">
        <v>0</v>
      </c>
      <c r="N82" s="18">
        <v>447394.66</v>
      </c>
    </row>
    <row r="83" spans="1:14">
      <c r="A83" s="4" t="s">
        <v>2266</v>
      </c>
      <c r="B83" s="5" t="s">
        <v>2649</v>
      </c>
      <c r="C83" s="6" t="s">
        <v>84</v>
      </c>
      <c r="D83" s="6" t="s">
        <v>19</v>
      </c>
      <c r="E83" s="6">
        <v>30546771314</v>
      </c>
      <c r="F83" s="18">
        <v>61983.48</v>
      </c>
      <c r="G83" s="18">
        <v>0</v>
      </c>
      <c r="H83" s="6">
        <v>0</v>
      </c>
      <c r="I83" s="6">
        <v>0</v>
      </c>
      <c r="J83" s="6">
        <v>0</v>
      </c>
      <c r="K83" s="6">
        <v>13016.53</v>
      </c>
      <c r="L83" s="6">
        <v>0</v>
      </c>
      <c r="M83" s="18">
        <v>0</v>
      </c>
      <c r="N83" s="18">
        <v>75000.009999999995</v>
      </c>
    </row>
    <row r="84" spans="1:14">
      <c r="A84" s="4" t="s">
        <v>2266</v>
      </c>
      <c r="B84" s="5" t="s">
        <v>2648</v>
      </c>
      <c r="C84" s="6" t="s">
        <v>36</v>
      </c>
      <c r="D84" s="6" t="s">
        <v>19</v>
      </c>
      <c r="E84" s="6">
        <v>30683032227</v>
      </c>
      <c r="F84" s="18">
        <v>410413.22</v>
      </c>
      <c r="G84" s="18">
        <v>0</v>
      </c>
      <c r="H84" s="6">
        <v>0</v>
      </c>
      <c r="I84" s="6">
        <v>0</v>
      </c>
      <c r="J84" s="6">
        <v>0</v>
      </c>
      <c r="K84" s="6">
        <v>86186.78</v>
      </c>
      <c r="L84" s="6">
        <v>0</v>
      </c>
      <c r="M84" s="18">
        <v>0</v>
      </c>
      <c r="N84" s="18">
        <v>496600</v>
      </c>
    </row>
    <row r="85" spans="1:14">
      <c r="A85" s="4" t="s">
        <v>2266</v>
      </c>
      <c r="B85" s="5" t="s">
        <v>2647</v>
      </c>
      <c r="C85" s="6" t="s">
        <v>36</v>
      </c>
      <c r="D85" s="6" t="s">
        <v>19</v>
      </c>
      <c r="E85" s="6">
        <v>30683032227</v>
      </c>
      <c r="F85" s="18">
        <v>105785.12</v>
      </c>
      <c r="G85" s="18">
        <v>0</v>
      </c>
      <c r="H85" s="6">
        <v>0</v>
      </c>
      <c r="I85" s="6">
        <v>0</v>
      </c>
      <c r="J85" s="6">
        <v>0</v>
      </c>
      <c r="K85" s="6">
        <v>22214.880000000001</v>
      </c>
      <c r="L85" s="6">
        <v>0</v>
      </c>
      <c r="M85" s="18">
        <v>0</v>
      </c>
      <c r="N85" s="18">
        <v>128000</v>
      </c>
    </row>
    <row r="86" spans="1:14">
      <c r="A86" s="4" t="s">
        <v>2266</v>
      </c>
      <c r="B86" s="5" t="s">
        <v>2646</v>
      </c>
      <c r="C86" s="6" t="s">
        <v>1694</v>
      </c>
      <c r="D86" s="6" t="s">
        <v>19</v>
      </c>
      <c r="E86" s="6">
        <v>30604958640</v>
      </c>
      <c r="F86" s="18">
        <v>400000</v>
      </c>
      <c r="G86" s="18">
        <v>0</v>
      </c>
      <c r="H86" s="6">
        <v>0</v>
      </c>
      <c r="I86" s="6">
        <v>0</v>
      </c>
      <c r="J86" s="6">
        <v>0</v>
      </c>
      <c r="K86" s="6">
        <v>84000</v>
      </c>
      <c r="L86" s="6">
        <v>0</v>
      </c>
      <c r="M86" s="18">
        <v>0</v>
      </c>
      <c r="N86" s="18">
        <v>484000</v>
      </c>
    </row>
    <row r="87" spans="1:14">
      <c r="A87" s="4" t="s">
        <v>2314</v>
      </c>
      <c r="B87" s="5" t="s">
        <v>2645</v>
      </c>
      <c r="C87" s="6" t="s">
        <v>2634</v>
      </c>
      <c r="D87" s="6" t="s">
        <v>19</v>
      </c>
      <c r="E87" s="6">
        <v>30522428163</v>
      </c>
      <c r="F87" s="18">
        <v>-225814.2</v>
      </c>
      <c r="G87" s="18">
        <v>0</v>
      </c>
      <c r="H87" s="6">
        <v>0</v>
      </c>
      <c r="I87" s="6">
        <v>0</v>
      </c>
      <c r="J87" s="6">
        <v>0</v>
      </c>
      <c r="K87" s="6">
        <v>-47420.98</v>
      </c>
      <c r="L87" s="6">
        <v>0</v>
      </c>
      <c r="M87" s="18">
        <v>0</v>
      </c>
      <c r="N87" s="18">
        <v>-273235.18</v>
      </c>
    </row>
    <row r="88" spans="1:14">
      <c r="A88" s="4" t="s">
        <v>2403</v>
      </c>
      <c r="B88" s="5" t="s">
        <v>2644</v>
      </c>
      <c r="C88" s="6" t="s">
        <v>2634</v>
      </c>
      <c r="D88" s="6" t="s">
        <v>19</v>
      </c>
      <c r="E88" s="6">
        <v>30522428163</v>
      </c>
      <c r="F88" s="18">
        <v>-251923.49000000002</v>
      </c>
      <c r="G88" s="18">
        <v>0</v>
      </c>
      <c r="H88" s="6">
        <v>0</v>
      </c>
      <c r="I88" s="6">
        <v>0</v>
      </c>
      <c r="J88" s="6">
        <v>0</v>
      </c>
      <c r="K88" s="6">
        <v>-52903.93</v>
      </c>
      <c r="L88" s="6">
        <v>0</v>
      </c>
      <c r="M88" s="18">
        <v>0</v>
      </c>
      <c r="N88" s="18">
        <v>-304827.42</v>
      </c>
    </row>
    <row r="89" spans="1:14">
      <c r="A89" s="4" t="s">
        <v>2379</v>
      </c>
      <c r="B89" s="5" t="s">
        <v>2643</v>
      </c>
      <c r="C89" s="6" t="s">
        <v>2634</v>
      </c>
      <c r="D89" s="6" t="s">
        <v>19</v>
      </c>
      <c r="E89" s="6">
        <v>30522428163</v>
      </c>
      <c r="F89" s="18">
        <v>-208031.6</v>
      </c>
      <c r="G89" s="18">
        <v>0</v>
      </c>
      <c r="H89" s="6">
        <v>0</v>
      </c>
      <c r="I89" s="6">
        <v>0</v>
      </c>
      <c r="J89" s="6">
        <v>0</v>
      </c>
      <c r="K89" s="6">
        <v>-43686.64</v>
      </c>
      <c r="L89" s="6">
        <v>0</v>
      </c>
      <c r="M89" s="18">
        <v>0</v>
      </c>
      <c r="N89" s="18">
        <v>-251718.24000000002</v>
      </c>
    </row>
    <row r="90" spans="1:14">
      <c r="A90" s="4" t="s">
        <v>2379</v>
      </c>
      <c r="B90" s="5" t="s">
        <v>2642</v>
      </c>
      <c r="C90" s="6" t="s">
        <v>2634</v>
      </c>
      <c r="D90" s="6" t="s">
        <v>19</v>
      </c>
      <c r="E90" s="6">
        <v>30522428163</v>
      </c>
      <c r="F90" s="18">
        <v>-251923.49000000002</v>
      </c>
      <c r="G90" s="18">
        <v>0</v>
      </c>
      <c r="H90" s="6">
        <v>0</v>
      </c>
      <c r="I90" s="6">
        <v>0</v>
      </c>
      <c r="J90" s="6">
        <v>0</v>
      </c>
      <c r="K90" s="6">
        <v>-52903.93</v>
      </c>
      <c r="L90" s="6">
        <v>0</v>
      </c>
      <c r="M90" s="18">
        <v>0</v>
      </c>
      <c r="N90" s="18">
        <v>-304827.42</v>
      </c>
    </row>
    <row r="91" spans="1:14">
      <c r="A91" s="4" t="s">
        <v>2379</v>
      </c>
      <c r="B91" s="5" t="s">
        <v>2641</v>
      </c>
      <c r="C91" s="6" t="s">
        <v>2634</v>
      </c>
      <c r="D91" s="6" t="s">
        <v>19</v>
      </c>
      <c r="E91" s="6">
        <v>30522428163</v>
      </c>
      <c r="F91" s="18">
        <v>-1018124.41</v>
      </c>
      <c r="G91" s="18">
        <v>0</v>
      </c>
      <c r="H91" s="6">
        <v>0</v>
      </c>
      <c r="I91" s="6">
        <v>0</v>
      </c>
      <c r="J91" s="6">
        <v>0</v>
      </c>
      <c r="K91" s="6">
        <v>-213806.13</v>
      </c>
      <c r="L91" s="6">
        <v>0</v>
      </c>
      <c r="M91" s="18">
        <v>0</v>
      </c>
      <c r="N91" s="18">
        <v>-1231930.54</v>
      </c>
    </row>
    <row r="92" spans="1:14">
      <c r="A92" s="4" t="s">
        <v>2379</v>
      </c>
      <c r="B92" s="5" t="s">
        <v>2640</v>
      </c>
      <c r="C92" s="6" t="s">
        <v>2634</v>
      </c>
      <c r="D92" s="6" t="s">
        <v>19</v>
      </c>
      <c r="E92" s="6">
        <v>30522428163</v>
      </c>
      <c r="F92" s="18">
        <v>-8310.08</v>
      </c>
      <c r="G92" s="18">
        <v>0</v>
      </c>
      <c r="H92" s="6">
        <v>0</v>
      </c>
      <c r="I92" s="6">
        <v>0</v>
      </c>
      <c r="J92" s="6">
        <v>0</v>
      </c>
      <c r="K92" s="6">
        <v>-1745.12</v>
      </c>
      <c r="L92" s="6">
        <v>0</v>
      </c>
      <c r="M92" s="18">
        <v>0</v>
      </c>
      <c r="N92" s="18">
        <v>-10055.200000000001</v>
      </c>
    </row>
    <row r="93" spans="1:14">
      <c r="A93" s="4" t="s">
        <v>2379</v>
      </c>
      <c r="B93" s="5" t="s">
        <v>2639</v>
      </c>
      <c r="C93" s="6" t="s">
        <v>2634</v>
      </c>
      <c r="D93" s="6" t="s">
        <v>19</v>
      </c>
      <c r="E93" s="6">
        <v>30522428163</v>
      </c>
      <c r="F93" s="18">
        <v>-25867.75</v>
      </c>
      <c r="G93" s="18">
        <v>0</v>
      </c>
      <c r="H93" s="6">
        <v>0</v>
      </c>
      <c r="I93" s="6">
        <v>0</v>
      </c>
      <c r="J93" s="6">
        <v>0</v>
      </c>
      <c r="K93" s="6">
        <v>-5432.23</v>
      </c>
      <c r="L93" s="6">
        <v>0</v>
      </c>
      <c r="M93" s="18">
        <v>0</v>
      </c>
      <c r="N93" s="18">
        <v>-31299.98</v>
      </c>
    </row>
    <row r="94" spans="1:14">
      <c r="A94" s="4" t="s">
        <v>2379</v>
      </c>
      <c r="B94" s="5" t="s">
        <v>2638</v>
      </c>
      <c r="C94" s="6" t="s">
        <v>2634</v>
      </c>
      <c r="D94" s="6" t="s">
        <v>19</v>
      </c>
      <c r="E94" s="6">
        <v>30522428163</v>
      </c>
      <c r="F94" s="18">
        <v>-103461.04</v>
      </c>
      <c r="G94" s="18">
        <v>0</v>
      </c>
      <c r="H94" s="6">
        <v>0</v>
      </c>
      <c r="I94" s="6">
        <v>0</v>
      </c>
      <c r="J94" s="6">
        <v>0</v>
      </c>
      <c r="K94" s="6">
        <v>-21726.82</v>
      </c>
      <c r="L94" s="6">
        <v>0</v>
      </c>
      <c r="M94" s="18">
        <v>0</v>
      </c>
      <c r="N94" s="18">
        <v>-125187.86</v>
      </c>
    </row>
    <row r="95" spans="1:14">
      <c r="A95" s="4" t="s">
        <v>2379</v>
      </c>
      <c r="B95" s="5" t="s">
        <v>2637</v>
      </c>
      <c r="C95" s="6" t="s">
        <v>2634</v>
      </c>
      <c r="D95" s="6" t="s">
        <v>19</v>
      </c>
      <c r="E95" s="6">
        <v>30522428163</v>
      </c>
      <c r="F95" s="18">
        <v>-59427.040000000001</v>
      </c>
      <c r="G95" s="18">
        <v>0</v>
      </c>
      <c r="H95" s="6">
        <v>0</v>
      </c>
      <c r="I95" s="6">
        <v>0</v>
      </c>
      <c r="J95" s="6">
        <v>0</v>
      </c>
      <c r="K95" s="6">
        <v>-12479.68</v>
      </c>
      <c r="L95" s="6">
        <v>0</v>
      </c>
      <c r="M95" s="18">
        <v>0</v>
      </c>
      <c r="N95" s="18">
        <v>-71906.720000000001</v>
      </c>
    </row>
    <row r="96" spans="1:14">
      <c r="A96" s="4" t="s">
        <v>2379</v>
      </c>
      <c r="B96" s="5" t="s">
        <v>2636</v>
      </c>
      <c r="C96" s="6" t="s">
        <v>2634</v>
      </c>
      <c r="D96" s="6" t="s">
        <v>19</v>
      </c>
      <c r="E96" s="6">
        <v>30522428163</v>
      </c>
      <c r="F96" s="18">
        <v>-812180.69</v>
      </c>
      <c r="G96" s="18">
        <v>0</v>
      </c>
      <c r="H96" s="6">
        <v>0</v>
      </c>
      <c r="I96" s="6">
        <v>0</v>
      </c>
      <c r="J96" s="6">
        <v>0</v>
      </c>
      <c r="K96" s="6">
        <v>-170557.94</v>
      </c>
      <c r="L96" s="6">
        <v>0</v>
      </c>
      <c r="M96" s="18">
        <v>0</v>
      </c>
      <c r="N96" s="18">
        <v>-982738.63</v>
      </c>
    </row>
    <row r="97" spans="1:14">
      <c r="A97" s="4" t="s">
        <v>2379</v>
      </c>
      <c r="B97" s="5" t="s">
        <v>2635</v>
      </c>
      <c r="C97" s="6" t="s">
        <v>2634</v>
      </c>
      <c r="D97" s="6" t="s">
        <v>19</v>
      </c>
      <c r="E97" s="6">
        <v>30522428163</v>
      </c>
      <c r="F97" s="18">
        <v>-9181.98</v>
      </c>
      <c r="G97" s="18">
        <v>0</v>
      </c>
      <c r="H97" s="6">
        <v>0</v>
      </c>
      <c r="I97" s="6">
        <v>0</v>
      </c>
      <c r="J97" s="6">
        <v>0</v>
      </c>
      <c r="K97" s="6">
        <v>-1928.22</v>
      </c>
      <c r="L97" s="6">
        <v>0</v>
      </c>
      <c r="M97" s="18">
        <v>0</v>
      </c>
      <c r="N97" s="18">
        <v>-11110.2</v>
      </c>
    </row>
    <row r="98" spans="1:14" s="134" customFormat="1">
      <c r="A98" s="138"/>
      <c r="B98" s="137"/>
      <c r="C98" s="136"/>
      <c r="D98" s="136"/>
      <c r="E98" s="136"/>
      <c r="F98" s="135">
        <f t="shared" ref="F98:N98" si="4">SUM(F32:F97)</f>
        <v>7453028.2800000012</v>
      </c>
      <c r="G98" s="135">
        <f t="shared" si="4"/>
        <v>0</v>
      </c>
      <c r="H98" s="135">
        <f t="shared" si="4"/>
        <v>0</v>
      </c>
      <c r="I98" s="135">
        <f t="shared" si="4"/>
        <v>0</v>
      </c>
      <c r="J98" s="135">
        <f t="shared" si="4"/>
        <v>0</v>
      </c>
      <c r="K98" s="135">
        <f t="shared" si="4"/>
        <v>1565135.9300000004</v>
      </c>
      <c r="L98" s="135">
        <f t="shared" si="4"/>
        <v>0</v>
      </c>
      <c r="M98" s="135">
        <f t="shared" si="4"/>
        <v>0</v>
      </c>
      <c r="N98" s="135">
        <f t="shared" si="4"/>
        <v>9018164.2100000009</v>
      </c>
    </row>
    <row r="99" spans="1:14">
      <c r="A99" s="4"/>
      <c r="B99" s="5"/>
      <c r="C99" s="6"/>
      <c r="D99" s="6"/>
      <c r="E99" s="6"/>
      <c r="F99" s="18"/>
      <c r="G99" s="18"/>
      <c r="H99" s="6"/>
      <c r="I99" s="6"/>
      <c r="J99" s="6"/>
      <c r="K99" s="6"/>
      <c r="L99" s="6"/>
      <c r="M99" s="18"/>
      <c r="N99" s="18"/>
    </row>
    <row r="100" spans="1:14" hidden="1">
      <c r="A100" s="4" t="s">
        <v>2290</v>
      </c>
      <c r="B100" s="5" t="s">
        <v>2335</v>
      </c>
      <c r="C100" s="6" t="s">
        <v>134</v>
      </c>
      <c r="D100" s="6" t="s">
        <v>135</v>
      </c>
      <c r="E100" s="6" t="s">
        <v>136</v>
      </c>
      <c r="F100" s="18">
        <v>-78512.400000000009</v>
      </c>
      <c r="G100" s="18">
        <v>0</v>
      </c>
      <c r="H100" s="6">
        <v>0</v>
      </c>
      <c r="I100" s="6">
        <v>0</v>
      </c>
      <c r="J100" s="6">
        <v>0</v>
      </c>
      <c r="K100" s="6">
        <v>-16487.599999999999</v>
      </c>
      <c r="L100" s="6">
        <v>0</v>
      </c>
      <c r="M100" s="18">
        <v>0</v>
      </c>
      <c r="N100" s="18">
        <v>-95000</v>
      </c>
    </row>
    <row r="101" spans="1:14" hidden="1">
      <c r="A101" s="4" t="s">
        <v>2334</v>
      </c>
      <c r="B101" s="5" t="s">
        <v>2336</v>
      </c>
      <c r="C101" s="6" t="s">
        <v>134</v>
      </c>
      <c r="D101" s="6" t="s">
        <v>135</v>
      </c>
      <c r="E101" s="6" t="s">
        <v>136</v>
      </c>
      <c r="F101" s="18">
        <v>-14462.81</v>
      </c>
      <c r="G101" s="18">
        <v>0</v>
      </c>
      <c r="H101" s="6">
        <v>0</v>
      </c>
      <c r="I101" s="6">
        <v>0</v>
      </c>
      <c r="J101" s="6">
        <v>0</v>
      </c>
      <c r="K101" s="6">
        <v>-3037.19</v>
      </c>
      <c r="L101" s="6">
        <v>0</v>
      </c>
      <c r="M101" s="18">
        <v>0</v>
      </c>
      <c r="N101" s="18">
        <v>-17500</v>
      </c>
    </row>
    <row r="102" spans="1:14" hidden="1">
      <c r="A102" s="4" t="s">
        <v>2292</v>
      </c>
      <c r="B102" s="5" t="s">
        <v>2545</v>
      </c>
      <c r="C102" s="6" t="s">
        <v>134</v>
      </c>
      <c r="D102" s="6" t="s">
        <v>135</v>
      </c>
      <c r="E102" s="6" t="s">
        <v>136</v>
      </c>
      <c r="F102" s="18">
        <v>1735.54</v>
      </c>
      <c r="G102" s="18">
        <v>0</v>
      </c>
      <c r="H102" s="6">
        <v>0</v>
      </c>
      <c r="I102" s="6">
        <v>0</v>
      </c>
      <c r="J102" s="6">
        <v>0</v>
      </c>
      <c r="K102" s="6">
        <v>364.46</v>
      </c>
      <c r="L102" s="6">
        <v>0</v>
      </c>
      <c r="M102" s="18">
        <v>0</v>
      </c>
      <c r="N102" s="18">
        <v>2100</v>
      </c>
    </row>
    <row r="103" spans="1:14" hidden="1">
      <c r="A103" s="4" t="s">
        <v>2263</v>
      </c>
      <c r="B103" s="5" t="s">
        <v>2351</v>
      </c>
      <c r="C103" s="6" t="s">
        <v>134</v>
      </c>
      <c r="D103" s="6" t="s">
        <v>135</v>
      </c>
      <c r="E103" s="6" t="s">
        <v>136</v>
      </c>
      <c r="F103" s="18">
        <v>2479.34</v>
      </c>
      <c r="G103" s="18">
        <v>0</v>
      </c>
      <c r="H103" s="6">
        <v>0</v>
      </c>
      <c r="I103" s="6">
        <v>0</v>
      </c>
      <c r="J103" s="6">
        <v>0</v>
      </c>
      <c r="K103" s="6">
        <v>520.66</v>
      </c>
      <c r="L103" s="6">
        <v>0</v>
      </c>
      <c r="M103" s="18">
        <v>0</v>
      </c>
      <c r="N103" s="18">
        <v>3000</v>
      </c>
    </row>
    <row r="104" spans="1:14" hidden="1">
      <c r="A104" s="4" t="s">
        <v>2279</v>
      </c>
      <c r="B104" s="5" t="s">
        <v>2476</v>
      </c>
      <c r="C104" s="6" t="s">
        <v>134</v>
      </c>
      <c r="D104" s="6" t="s">
        <v>135</v>
      </c>
      <c r="E104" s="6" t="s">
        <v>136</v>
      </c>
      <c r="F104" s="18">
        <v>2892.56</v>
      </c>
      <c r="G104" s="18">
        <v>0</v>
      </c>
      <c r="H104" s="6">
        <v>0</v>
      </c>
      <c r="I104" s="6">
        <v>0</v>
      </c>
      <c r="J104" s="6">
        <v>0</v>
      </c>
      <c r="K104" s="6">
        <v>607.44000000000005</v>
      </c>
      <c r="L104" s="6">
        <v>0</v>
      </c>
      <c r="M104" s="18">
        <v>0</v>
      </c>
      <c r="N104" s="18">
        <v>3500</v>
      </c>
    </row>
    <row r="105" spans="1:14" hidden="1">
      <c r="A105" s="4" t="s">
        <v>2287</v>
      </c>
      <c r="B105" s="5" t="s">
        <v>2507</v>
      </c>
      <c r="C105" s="6" t="s">
        <v>134</v>
      </c>
      <c r="D105" s="6" t="s">
        <v>135</v>
      </c>
      <c r="E105" s="6" t="s">
        <v>136</v>
      </c>
      <c r="F105" s="18">
        <v>3057.85</v>
      </c>
      <c r="G105" s="18">
        <v>0</v>
      </c>
      <c r="H105" s="6">
        <v>0</v>
      </c>
      <c r="I105" s="6">
        <v>0</v>
      </c>
      <c r="J105" s="6">
        <v>0</v>
      </c>
      <c r="K105" s="6">
        <v>642.15</v>
      </c>
      <c r="L105" s="6">
        <v>0</v>
      </c>
      <c r="M105" s="18">
        <v>0</v>
      </c>
      <c r="N105" s="18">
        <v>3700</v>
      </c>
    </row>
    <row r="106" spans="1:14" hidden="1">
      <c r="A106" s="4" t="s">
        <v>2279</v>
      </c>
      <c r="B106" s="5" t="s">
        <v>2470</v>
      </c>
      <c r="C106" s="6" t="s">
        <v>134</v>
      </c>
      <c r="D106" s="6" t="s">
        <v>135</v>
      </c>
      <c r="E106" s="6" t="s">
        <v>136</v>
      </c>
      <c r="F106" s="18">
        <v>3099.17</v>
      </c>
      <c r="G106" s="18">
        <v>0</v>
      </c>
      <c r="H106" s="6">
        <v>0</v>
      </c>
      <c r="I106" s="6">
        <v>0</v>
      </c>
      <c r="J106" s="6">
        <v>0</v>
      </c>
      <c r="K106" s="6">
        <v>650.83000000000004</v>
      </c>
      <c r="L106" s="6">
        <v>0</v>
      </c>
      <c r="M106" s="18">
        <v>0</v>
      </c>
      <c r="N106" s="18">
        <v>3750</v>
      </c>
    </row>
    <row r="107" spans="1:14" hidden="1">
      <c r="A107" s="4" t="s">
        <v>2292</v>
      </c>
      <c r="B107" s="5" t="s">
        <v>2538</v>
      </c>
      <c r="C107" s="6" t="s">
        <v>134</v>
      </c>
      <c r="D107" s="6" t="s">
        <v>135</v>
      </c>
      <c r="E107" s="6" t="s">
        <v>136</v>
      </c>
      <c r="F107" s="18">
        <v>3347.11</v>
      </c>
      <c r="G107" s="18">
        <v>0</v>
      </c>
      <c r="H107" s="6">
        <v>0</v>
      </c>
      <c r="I107" s="6">
        <v>0</v>
      </c>
      <c r="J107" s="6">
        <v>0</v>
      </c>
      <c r="K107" s="6">
        <v>702.89</v>
      </c>
      <c r="L107" s="6">
        <v>0</v>
      </c>
      <c r="M107" s="18">
        <v>0</v>
      </c>
      <c r="N107" s="18">
        <v>4050</v>
      </c>
    </row>
    <row r="108" spans="1:14" hidden="1">
      <c r="A108" s="4" t="s">
        <v>2269</v>
      </c>
      <c r="B108" s="5" t="s">
        <v>2433</v>
      </c>
      <c r="C108" s="6" t="s">
        <v>134</v>
      </c>
      <c r="D108" s="6" t="s">
        <v>135</v>
      </c>
      <c r="E108" s="6" t="s">
        <v>136</v>
      </c>
      <c r="F108" s="18">
        <v>3388.43</v>
      </c>
      <c r="G108" s="18">
        <v>0</v>
      </c>
      <c r="H108" s="6">
        <v>0</v>
      </c>
      <c r="I108" s="6">
        <v>0</v>
      </c>
      <c r="J108" s="6">
        <v>0</v>
      </c>
      <c r="K108" s="6">
        <v>711.57</v>
      </c>
      <c r="L108" s="6">
        <v>0</v>
      </c>
      <c r="M108" s="18">
        <v>0</v>
      </c>
      <c r="N108" s="18">
        <v>4100</v>
      </c>
    </row>
    <row r="109" spans="1:14" hidden="1">
      <c r="A109" s="4" t="s">
        <v>2263</v>
      </c>
      <c r="B109" s="5" t="s">
        <v>2340</v>
      </c>
      <c r="C109" s="6" t="s">
        <v>134</v>
      </c>
      <c r="D109" s="6" t="s">
        <v>135</v>
      </c>
      <c r="E109" s="6" t="s">
        <v>136</v>
      </c>
      <c r="F109" s="18">
        <v>3966.94</v>
      </c>
      <c r="G109" s="18">
        <v>0</v>
      </c>
      <c r="H109" s="6">
        <v>0</v>
      </c>
      <c r="I109" s="6">
        <v>0</v>
      </c>
      <c r="J109" s="6">
        <v>0</v>
      </c>
      <c r="K109" s="6">
        <v>833.06</v>
      </c>
      <c r="L109" s="6">
        <v>0</v>
      </c>
      <c r="M109" s="18">
        <v>0</v>
      </c>
      <c r="N109" s="18">
        <v>4800</v>
      </c>
    </row>
    <row r="110" spans="1:14" hidden="1">
      <c r="A110" s="4" t="s">
        <v>2314</v>
      </c>
      <c r="B110" s="5" t="s">
        <v>2586</v>
      </c>
      <c r="C110" s="6" t="s">
        <v>134</v>
      </c>
      <c r="D110" s="6" t="s">
        <v>135</v>
      </c>
      <c r="E110" s="6" t="s">
        <v>136</v>
      </c>
      <c r="F110" s="18">
        <v>4132.2300000000005</v>
      </c>
      <c r="G110" s="18">
        <v>0</v>
      </c>
      <c r="H110" s="6">
        <v>0</v>
      </c>
      <c r="I110" s="6">
        <v>0</v>
      </c>
      <c r="J110" s="6">
        <v>0</v>
      </c>
      <c r="K110" s="6">
        <v>867.77</v>
      </c>
      <c r="L110" s="6">
        <v>0</v>
      </c>
      <c r="M110" s="18">
        <v>0</v>
      </c>
      <c r="N110" s="18">
        <v>5000</v>
      </c>
    </row>
    <row r="111" spans="1:14" hidden="1">
      <c r="A111" s="4" t="s">
        <v>2285</v>
      </c>
      <c r="B111" s="5" t="s">
        <v>2490</v>
      </c>
      <c r="C111" s="6" t="s">
        <v>134</v>
      </c>
      <c r="D111" s="6" t="s">
        <v>135</v>
      </c>
      <c r="E111" s="6" t="s">
        <v>136</v>
      </c>
      <c r="F111" s="18">
        <v>4132.2300000000005</v>
      </c>
      <c r="G111" s="18">
        <v>0</v>
      </c>
      <c r="H111" s="6">
        <v>0</v>
      </c>
      <c r="I111" s="6">
        <v>0</v>
      </c>
      <c r="J111" s="6">
        <v>0</v>
      </c>
      <c r="K111" s="6">
        <v>867.77</v>
      </c>
      <c r="L111" s="6">
        <v>0</v>
      </c>
      <c r="M111" s="18">
        <v>0</v>
      </c>
      <c r="N111" s="18">
        <v>5000</v>
      </c>
    </row>
    <row r="112" spans="1:14" hidden="1">
      <c r="A112" s="4" t="s">
        <v>2263</v>
      </c>
      <c r="B112" s="5" t="s">
        <v>2347</v>
      </c>
      <c r="C112" s="6" t="s">
        <v>134</v>
      </c>
      <c r="D112" s="6" t="s">
        <v>135</v>
      </c>
      <c r="E112" s="6" t="s">
        <v>136</v>
      </c>
      <c r="F112" s="18">
        <v>4132.2300000000005</v>
      </c>
      <c r="G112" s="18">
        <v>0</v>
      </c>
      <c r="H112" s="6">
        <v>0</v>
      </c>
      <c r="I112" s="6">
        <v>0</v>
      </c>
      <c r="J112" s="6">
        <v>0</v>
      </c>
      <c r="K112" s="6">
        <v>867.77</v>
      </c>
      <c r="L112" s="6">
        <v>0</v>
      </c>
      <c r="M112" s="18">
        <v>0</v>
      </c>
      <c r="N112" s="18">
        <v>5000</v>
      </c>
    </row>
    <row r="113" spans="1:14" hidden="1">
      <c r="A113" s="4" t="s">
        <v>2314</v>
      </c>
      <c r="B113" s="5" t="s">
        <v>2591</v>
      </c>
      <c r="C113" s="6" t="s">
        <v>134</v>
      </c>
      <c r="D113" s="6" t="s">
        <v>135</v>
      </c>
      <c r="E113" s="6" t="s">
        <v>136</v>
      </c>
      <c r="F113" s="18">
        <v>4462.8100000000004</v>
      </c>
      <c r="G113" s="18">
        <v>0</v>
      </c>
      <c r="H113" s="6">
        <v>0</v>
      </c>
      <c r="I113" s="6">
        <v>0</v>
      </c>
      <c r="J113" s="6">
        <v>0</v>
      </c>
      <c r="K113" s="6">
        <v>937.19</v>
      </c>
      <c r="L113" s="6">
        <v>0</v>
      </c>
      <c r="M113" s="18">
        <v>0</v>
      </c>
      <c r="N113" s="18">
        <v>5400</v>
      </c>
    </row>
    <row r="114" spans="1:14" hidden="1">
      <c r="A114" s="4" t="s">
        <v>2379</v>
      </c>
      <c r="B114" s="5" t="s">
        <v>2394</v>
      </c>
      <c r="C114" s="6" t="s">
        <v>134</v>
      </c>
      <c r="D114" s="6" t="s">
        <v>135</v>
      </c>
      <c r="E114" s="6" t="s">
        <v>136</v>
      </c>
      <c r="F114" s="18">
        <v>4462.8100000000004</v>
      </c>
      <c r="G114" s="18">
        <v>0</v>
      </c>
      <c r="H114" s="6">
        <v>0</v>
      </c>
      <c r="I114" s="6">
        <v>0</v>
      </c>
      <c r="J114" s="6">
        <v>0</v>
      </c>
      <c r="K114" s="6">
        <v>937.19</v>
      </c>
      <c r="L114" s="6">
        <v>0</v>
      </c>
      <c r="M114" s="18">
        <v>0</v>
      </c>
      <c r="N114" s="18">
        <v>5400</v>
      </c>
    </row>
    <row r="115" spans="1:14" hidden="1">
      <c r="A115" s="4" t="s">
        <v>2334</v>
      </c>
      <c r="B115" s="5" t="s">
        <v>2628</v>
      </c>
      <c r="C115" s="6" t="s">
        <v>134</v>
      </c>
      <c r="D115" s="6" t="s">
        <v>135</v>
      </c>
      <c r="E115" s="6" t="s">
        <v>136</v>
      </c>
      <c r="F115" s="18">
        <v>4628.1000000000004</v>
      </c>
      <c r="G115" s="18">
        <v>0</v>
      </c>
      <c r="H115" s="6">
        <v>0</v>
      </c>
      <c r="I115" s="6">
        <v>0</v>
      </c>
      <c r="J115" s="6">
        <v>0</v>
      </c>
      <c r="K115" s="6">
        <v>971.9</v>
      </c>
      <c r="L115" s="6">
        <v>0</v>
      </c>
      <c r="M115" s="18">
        <v>0</v>
      </c>
      <c r="N115" s="18">
        <v>5600</v>
      </c>
    </row>
    <row r="116" spans="1:14" hidden="1">
      <c r="A116" s="4" t="s">
        <v>2557</v>
      </c>
      <c r="B116" s="5" t="s">
        <v>2560</v>
      </c>
      <c r="C116" s="6" t="s">
        <v>134</v>
      </c>
      <c r="D116" s="6" t="s">
        <v>135</v>
      </c>
      <c r="E116" s="6" t="s">
        <v>136</v>
      </c>
      <c r="F116" s="18">
        <v>5041.32</v>
      </c>
      <c r="G116" s="18">
        <v>0</v>
      </c>
      <c r="H116" s="6">
        <v>0</v>
      </c>
      <c r="I116" s="6">
        <v>0</v>
      </c>
      <c r="J116" s="6">
        <v>0</v>
      </c>
      <c r="K116" s="6">
        <v>1058.68</v>
      </c>
      <c r="L116" s="6">
        <v>0</v>
      </c>
      <c r="M116" s="18">
        <v>0</v>
      </c>
      <c r="N116" s="18">
        <v>6100</v>
      </c>
    </row>
    <row r="117" spans="1:14" hidden="1">
      <c r="A117" s="4" t="s">
        <v>2279</v>
      </c>
      <c r="B117" s="5" t="s">
        <v>2473</v>
      </c>
      <c r="C117" s="6" t="s">
        <v>134</v>
      </c>
      <c r="D117" s="6" t="s">
        <v>135</v>
      </c>
      <c r="E117" s="6" t="s">
        <v>136</v>
      </c>
      <c r="F117" s="18">
        <v>5371.9</v>
      </c>
      <c r="G117" s="18">
        <v>0</v>
      </c>
      <c r="H117" s="6">
        <v>0</v>
      </c>
      <c r="I117" s="6">
        <v>0</v>
      </c>
      <c r="J117" s="6">
        <v>0</v>
      </c>
      <c r="K117" s="6">
        <v>1128.1000000000001</v>
      </c>
      <c r="L117" s="6">
        <v>0</v>
      </c>
      <c r="M117" s="18">
        <v>0</v>
      </c>
      <c r="N117" s="18">
        <v>6500</v>
      </c>
    </row>
    <row r="118" spans="1:14" hidden="1">
      <c r="A118" s="4" t="s">
        <v>2263</v>
      </c>
      <c r="B118" s="5" t="s">
        <v>2341</v>
      </c>
      <c r="C118" s="6" t="s">
        <v>134</v>
      </c>
      <c r="D118" s="6" t="s">
        <v>135</v>
      </c>
      <c r="E118" s="6" t="s">
        <v>136</v>
      </c>
      <c r="F118" s="18">
        <v>5785.12</v>
      </c>
      <c r="G118" s="18">
        <v>0</v>
      </c>
      <c r="H118" s="6">
        <v>0</v>
      </c>
      <c r="I118" s="6">
        <v>0</v>
      </c>
      <c r="J118" s="6">
        <v>0</v>
      </c>
      <c r="K118" s="6">
        <v>1214.8800000000001</v>
      </c>
      <c r="L118" s="6">
        <v>0</v>
      </c>
      <c r="M118" s="18">
        <v>0</v>
      </c>
      <c r="N118" s="18">
        <v>7000</v>
      </c>
    </row>
    <row r="119" spans="1:14" hidden="1">
      <c r="A119" s="4" t="s">
        <v>2379</v>
      </c>
      <c r="B119" s="5" t="s">
        <v>2392</v>
      </c>
      <c r="C119" s="6" t="s">
        <v>134</v>
      </c>
      <c r="D119" s="6" t="s">
        <v>135</v>
      </c>
      <c r="E119" s="6" t="s">
        <v>136</v>
      </c>
      <c r="F119" s="18">
        <v>5867.77</v>
      </c>
      <c r="G119" s="18">
        <v>0</v>
      </c>
      <c r="H119" s="6">
        <v>0</v>
      </c>
      <c r="I119" s="6">
        <v>0</v>
      </c>
      <c r="J119" s="6">
        <v>0</v>
      </c>
      <c r="K119" s="6">
        <v>1232.23</v>
      </c>
      <c r="L119" s="6">
        <v>0</v>
      </c>
      <c r="M119" s="18">
        <v>0</v>
      </c>
      <c r="N119" s="18">
        <v>7100</v>
      </c>
    </row>
    <row r="120" spans="1:14" hidden="1">
      <c r="A120" s="4" t="s">
        <v>2557</v>
      </c>
      <c r="B120" s="5" t="s">
        <v>2558</v>
      </c>
      <c r="C120" s="6" t="s">
        <v>134</v>
      </c>
      <c r="D120" s="6" t="s">
        <v>135</v>
      </c>
      <c r="E120" s="6" t="s">
        <v>136</v>
      </c>
      <c r="F120" s="18">
        <v>6611.57</v>
      </c>
      <c r="G120" s="18">
        <v>0</v>
      </c>
      <c r="H120" s="6">
        <v>0</v>
      </c>
      <c r="I120" s="6">
        <v>0</v>
      </c>
      <c r="J120" s="6">
        <v>0</v>
      </c>
      <c r="K120" s="6">
        <v>1388.43</v>
      </c>
      <c r="L120" s="6">
        <v>0</v>
      </c>
      <c r="M120" s="18">
        <v>0</v>
      </c>
      <c r="N120" s="18">
        <v>8000</v>
      </c>
    </row>
    <row r="121" spans="1:14" hidden="1">
      <c r="A121" s="4" t="s">
        <v>2301</v>
      </c>
      <c r="B121" s="5" t="s">
        <v>2555</v>
      </c>
      <c r="C121" s="6" t="s">
        <v>134</v>
      </c>
      <c r="D121" s="6" t="s">
        <v>135</v>
      </c>
      <c r="E121" s="6" t="s">
        <v>136</v>
      </c>
      <c r="F121" s="18">
        <v>7024.79</v>
      </c>
      <c r="G121" s="18">
        <v>0</v>
      </c>
      <c r="H121" s="6">
        <v>0</v>
      </c>
      <c r="I121" s="6">
        <v>0</v>
      </c>
      <c r="J121" s="6">
        <v>0</v>
      </c>
      <c r="K121" s="6">
        <v>1475.21</v>
      </c>
      <c r="L121" s="6">
        <v>0</v>
      </c>
      <c r="M121" s="18">
        <v>0</v>
      </c>
      <c r="N121" s="18">
        <v>8500</v>
      </c>
    </row>
    <row r="122" spans="1:14" hidden="1">
      <c r="A122" s="4" t="s">
        <v>2314</v>
      </c>
      <c r="B122" s="5" t="s">
        <v>2594</v>
      </c>
      <c r="C122" s="6" t="s">
        <v>134</v>
      </c>
      <c r="D122" s="6" t="s">
        <v>135</v>
      </c>
      <c r="E122" s="6" t="s">
        <v>136</v>
      </c>
      <c r="F122" s="18">
        <v>7438.02</v>
      </c>
      <c r="G122" s="18">
        <v>0</v>
      </c>
      <c r="H122" s="6">
        <v>0</v>
      </c>
      <c r="I122" s="6">
        <v>0</v>
      </c>
      <c r="J122" s="6">
        <v>0</v>
      </c>
      <c r="K122" s="6">
        <v>1561.98</v>
      </c>
      <c r="L122" s="6">
        <v>0</v>
      </c>
      <c r="M122" s="18">
        <v>0</v>
      </c>
      <c r="N122" s="18">
        <v>9000</v>
      </c>
    </row>
    <row r="123" spans="1:14" hidden="1">
      <c r="A123" s="4" t="s">
        <v>2314</v>
      </c>
      <c r="B123" s="5" t="s">
        <v>2584</v>
      </c>
      <c r="C123" s="6" t="s">
        <v>134</v>
      </c>
      <c r="D123" s="6" t="s">
        <v>135</v>
      </c>
      <c r="E123" s="6" t="s">
        <v>136</v>
      </c>
      <c r="F123" s="18">
        <v>7438.02</v>
      </c>
      <c r="G123" s="18">
        <v>0</v>
      </c>
      <c r="H123" s="6">
        <v>0</v>
      </c>
      <c r="I123" s="6">
        <v>0</v>
      </c>
      <c r="J123" s="6">
        <v>0</v>
      </c>
      <c r="K123" s="6">
        <v>1561.98</v>
      </c>
      <c r="L123" s="6">
        <v>0</v>
      </c>
      <c r="M123" s="18">
        <v>0</v>
      </c>
      <c r="N123" s="18">
        <v>9000</v>
      </c>
    </row>
    <row r="124" spans="1:14" hidden="1">
      <c r="A124" s="4" t="s">
        <v>2287</v>
      </c>
      <c r="B124" s="5" t="s">
        <v>2518</v>
      </c>
      <c r="C124" s="6" t="s">
        <v>134</v>
      </c>
      <c r="D124" s="6" t="s">
        <v>135</v>
      </c>
      <c r="E124" s="6" t="s">
        <v>136</v>
      </c>
      <c r="F124" s="18">
        <v>7438.02</v>
      </c>
      <c r="G124" s="18">
        <v>0</v>
      </c>
      <c r="H124" s="6">
        <v>0</v>
      </c>
      <c r="I124" s="6">
        <v>0</v>
      </c>
      <c r="J124" s="6">
        <v>0</v>
      </c>
      <c r="K124" s="6">
        <v>1561.98</v>
      </c>
      <c r="L124" s="6">
        <v>0</v>
      </c>
      <c r="M124" s="18">
        <v>0</v>
      </c>
      <c r="N124" s="18">
        <v>9000</v>
      </c>
    </row>
    <row r="125" spans="1:14" hidden="1">
      <c r="A125" s="4" t="s">
        <v>2279</v>
      </c>
      <c r="B125" s="5" t="s">
        <v>2479</v>
      </c>
      <c r="C125" s="6" t="s">
        <v>134</v>
      </c>
      <c r="D125" s="6" t="s">
        <v>135</v>
      </c>
      <c r="E125" s="6" t="s">
        <v>136</v>
      </c>
      <c r="F125" s="18">
        <v>7438.02</v>
      </c>
      <c r="G125" s="18">
        <v>0</v>
      </c>
      <c r="H125" s="6">
        <v>0</v>
      </c>
      <c r="I125" s="6">
        <v>0</v>
      </c>
      <c r="J125" s="6">
        <v>0</v>
      </c>
      <c r="K125" s="6">
        <v>1561.98</v>
      </c>
      <c r="L125" s="6">
        <v>0</v>
      </c>
      <c r="M125" s="18">
        <v>0</v>
      </c>
      <c r="N125" s="18">
        <v>9000</v>
      </c>
    </row>
    <row r="126" spans="1:14" hidden="1">
      <c r="A126" s="4" t="s">
        <v>2263</v>
      </c>
      <c r="B126" s="5" t="s">
        <v>2353</v>
      </c>
      <c r="C126" s="6" t="s">
        <v>134</v>
      </c>
      <c r="D126" s="6" t="s">
        <v>135</v>
      </c>
      <c r="E126" s="6" t="s">
        <v>136</v>
      </c>
      <c r="F126" s="18">
        <v>7438.02</v>
      </c>
      <c r="G126" s="18">
        <v>0</v>
      </c>
      <c r="H126" s="6">
        <v>0</v>
      </c>
      <c r="I126" s="6">
        <v>0</v>
      </c>
      <c r="J126" s="6">
        <v>0</v>
      </c>
      <c r="K126" s="6">
        <v>1561.98</v>
      </c>
      <c r="L126" s="6">
        <v>0</v>
      </c>
      <c r="M126" s="18">
        <v>0</v>
      </c>
      <c r="N126" s="18">
        <v>9000</v>
      </c>
    </row>
    <row r="127" spans="1:14" hidden="1">
      <c r="A127" s="4" t="s">
        <v>2263</v>
      </c>
      <c r="B127" s="5" t="s">
        <v>2346</v>
      </c>
      <c r="C127" s="6" t="s">
        <v>134</v>
      </c>
      <c r="D127" s="6" t="s">
        <v>135</v>
      </c>
      <c r="E127" s="6" t="s">
        <v>136</v>
      </c>
      <c r="F127" s="18">
        <v>7438.02</v>
      </c>
      <c r="G127" s="18">
        <v>0</v>
      </c>
      <c r="H127" s="6">
        <v>0</v>
      </c>
      <c r="I127" s="6">
        <v>0</v>
      </c>
      <c r="J127" s="6">
        <v>0</v>
      </c>
      <c r="K127" s="6">
        <v>1561.98</v>
      </c>
      <c r="L127" s="6">
        <v>0</v>
      </c>
      <c r="M127" s="18">
        <v>0</v>
      </c>
      <c r="N127" s="18">
        <v>9000</v>
      </c>
    </row>
    <row r="128" spans="1:14" hidden="1">
      <c r="A128" s="4" t="s">
        <v>2319</v>
      </c>
      <c r="B128" s="5" t="s">
        <v>2604</v>
      </c>
      <c r="C128" s="6" t="s">
        <v>134</v>
      </c>
      <c r="D128" s="6" t="s">
        <v>135</v>
      </c>
      <c r="E128" s="6" t="s">
        <v>136</v>
      </c>
      <c r="F128" s="18">
        <v>8264.4600000000009</v>
      </c>
      <c r="G128" s="18">
        <v>0</v>
      </c>
      <c r="H128" s="6">
        <v>0</v>
      </c>
      <c r="I128" s="6">
        <v>0</v>
      </c>
      <c r="J128" s="6">
        <v>0</v>
      </c>
      <c r="K128" s="6">
        <v>1735.54</v>
      </c>
      <c r="L128" s="6">
        <v>0</v>
      </c>
      <c r="M128" s="18">
        <v>0</v>
      </c>
      <c r="N128" s="18">
        <v>10000</v>
      </c>
    </row>
    <row r="129" spans="1:14" hidden="1">
      <c r="A129" s="4" t="s">
        <v>2292</v>
      </c>
      <c r="B129" s="5" t="s">
        <v>2546</v>
      </c>
      <c r="C129" s="6" t="s">
        <v>134</v>
      </c>
      <c r="D129" s="6" t="s">
        <v>135</v>
      </c>
      <c r="E129" s="6" t="s">
        <v>136</v>
      </c>
      <c r="F129" s="18">
        <v>8264.4600000000009</v>
      </c>
      <c r="G129" s="18">
        <v>0</v>
      </c>
      <c r="H129" s="6">
        <v>0</v>
      </c>
      <c r="I129" s="6">
        <v>0</v>
      </c>
      <c r="J129" s="6">
        <v>0</v>
      </c>
      <c r="K129" s="6">
        <v>1735.54</v>
      </c>
      <c r="L129" s="6">
        <v>0</v>
      </c>
      <c r="M129" s="18">
        <v>0</v>
      </c>
      <c r="N129" s="18">
        <v>10000</v>
      </c>
    </row>
    <row r="130" spans="1:14" hidden="1">
      <c r="A130" s="4" t="s">
        <v>2279</v>
      </c>
      <c r="B130" s="5" t="s">
        <v>2469</v>
      </c>
      <c r="C130" s="6" t="s">
        <v>134</v>
      </c>
      <c r="D130" s="6" t="s">
        <v>135</v>
      </c>
      <c r="E130" s="6" t="s">
        <v>136</v>
      </c>
      <c r="F130" s="18">
        <v>8595.0400000000009</v>
      </c>
      <c r="G130" s="18">
        <v>0</v>
      </c>
      <c r="H130" s="6">
        <v>0</v>
      </c>
      <c r="I130" s="6">
        <v>0</v>
      </c>
      <c r="J130" s="6">
        <v>0</v>
      </c>
      <c r="K130" s="6">
        <v>1804.96</v>
      </c>
      <c r="L130" s="6">
        <v>0</v>
      </c>
      <c r="M130" s="18">
        <v>0</v>
      </c>
      <c r="N130" s="18">
        <v>10400</v>
      </c>
    </row>
    <row r="131" spans="1:14" hidden="1">
      <c r="A131" s="4" t="s">
        <v>2279</v>
      </c>
      <c r="B131" s="5" t="s">
        <v>2465</v>
      </c>
      <c r="C131" s="6" t="s">
        <v>134</v>
      </c>
      <c r="D131" s="6" t="s">
        <v>135</v>
      </c>
      <c r="E131" s="6" t="s">
        <v>136</v>
      </c>
      <c r="F131" s="18">
        <v>8595.0400000000009</v>
      </c>
      <c r="G131" s="18">
        <v>0</v>
      </c>
      <c r="H131" s="6">
        <v>0</v>
      </c>
      <c r="I131" s="6">
        <v>0</v>
      </c>
      <c r="J131" s="6">
        <v>0</v>
      </c>
      <c r="K131" s="6">
        <v>1804.96</v>
      </c>
      <c r="L131" s="6">
        <v>0</v>
      </c>
      <c r="M131" s="18">
        <v>0</v>
      </c>
      <c r="N131" s="18">
        <v>10400</v>
      </c>
    </row>
    <row r="132" spans="1:14">
      <c r="A132" s="4" t="s">
        <v>2403</v>
      </c>
      <c r="B132" s="5" t="s">
        <v>2422</v>
      </c>
      <c r="C132" s="6" t="s">
        <v>2421</v>
      </c>
      <c r="D132" s="6" t="s">
        <v>135</v>
      </c>
      <c r="E132" s="6">
        <v>24190411</v>
      </c>
      <c r="F132" s="18">
        <v>8595.0400000000009</v>
      </c>
      <c r="G132" s="18">
        <v>0</v>
      </c>
      <c r="H132" s="6">
        <v>0</v>
      </c>
      <c r="I132" s="6">
        <v>0</v>
      </c>
      <c r="J132" s="6">
        <v>0</v>
      </c>
      <c r="K132" s="6">
        <v>1804.96</v>
      </c>
      <c r="L132" s="6">
        <v>0</v>
      </c>
      <c r="M132" s="18">
        <v>0</v>
      </c>
      <c r="N132" s="18">
        <v>10400</v>
      </c>
    </row>
    <row r="133" spans="1:14" hidden="1">
      <c r="A133" s="4" t="s">
        <v>2304</v>
      </c>
      <c r="B133" s="5" t="s">
        <v>2582</v>
      </c>
      <c r="C133" s="6" t="s">
        <v>134</v>
      </c>
      <c r="D133" s="6" t="s">
        <v>135</v>
      </c>
      <c r="E133" s="6" t="s">
        <v>136</v>
      </c>
      <c r="F133" s="18">
        <v>9917.36</v>
      </c>
      <c r="G133" s="18">
        <v>0</v>
      </c>
      <c r="H133" s="6">
        <v>0</v>
      </c>
      <c r="I133" s="6">
        <v>0</v>
      </c>
      <c r="J133" s="6">
        <v>0</v>
      </c>
      <c r="K133" s="6">
        <v>2082.64</v>
      </c>
      <c r="L133" s="6">
        <v>0</v>
      </c>
      <c r="M133" s="18">
        <v>0</v>
      </c>
      <c r="N133" s="18">
        <v>12000</v>
      </c>
    </row>
    <row r="134" spans="1:14" hidden="1">
      <c r="A134" s="4" t="s">
        <v>2304</v>
      </c>
      <c r="B134" s="5" t="s">
        <v>2575</v>
      </c>
      <c r="C134" s="6" t="s">
        <v>134</v>
      </c>
      <c r="D134" s="6" t="s">
        <v>135</v>
      </c>
      <c r="E134" s="6" t="s">
        <v>136</v>
      </c>
      <c r="F134" s="18">
        <v>9917.36</v>
      </c>
      <c r="G134" s="18">
        <v>0</v>
      </c>
      <c r="H134" s="6">
        <v>0</v>
      </c>
      <c r="I134" s="6">
        <v>0</v>
      </c>
      <c r="J134" s="6">
        <v>0</v>
      </c>
      <c r="K134" s="6">
        <v>2082.64</v>
      </c>
      <c r="L134" s="6">
        <v>0</v>
      </c>
      <c r="M134" s="18">
        <v>0</v>
      </c>
      <c r="N134" s="18">
        <v>12000</v>
      </c>
    </row>
    <row r="135" spans="1:14" hidden="1">
      <c r="A135" s="4" t="s">
        <v>2301</v>
      </c>
      <c r="B135" s="5" t="s">
        <v>2547</v>
      </c>
      <c r="C135" s="6" t="s">
        <v>134</v>
      </c>
      <c r="D135" s="6" t="s">
        <v>135</v>
      </c>
      <c r="E135" s="6" t="s">
        <v>136</v>
      </c>
      <c r="F135" s="18">
        <v>9917.36</v>
      </c>
      <c r="G135" s="18">
        <v>0</v>
      </c>
      <c r="H135" s="6">
        <v>0</v>
      </c>
      <c r="I135" s="6">
        <v>0</v>
      </c>
      <c r="J135" s="6">
        <v>0</v>
      </c>
      <c r="K135" s="6">
        <v>2082.64</v>
      </c>
      <c r="L135" s="6">
        <v>0</v>
      </c>
      <c r="M135" s="18">
        <v>0</v>
      </c>
      <c r="N135" s="18">
        <v>12000</v>
      </c>
    </row>
    <row r="136" spans="1:14" hidden="1">
      <c r="A136" s="4" t="s">
        <v>2275</v>
      </c>
      <c r="B136" s="5" t="s">
        <v>2451</v>
      </c>
      <c r="C136" s="6" t="s">
        <v>134</v>
      </c>
      <c r="D136" s="6" t="s">
        <v>135</v>
      </c>
      <c r="E136" s="6" t="s">
        <v>136</v>
      </c>
      <c r="F136" s="18">
        <v>9917.36</v>
      </c>
      <c r="G136" s="18">
        <v>0</v>
      </c>
      <c r="H136" s="6">
        <v>0</v>
      </c>
      <c r="I136" s="6">
        <v>0</v>
      </c>
      <c r="J136" s="6">
        <v>0</v>
      </c>
      <c r="K136" s="6">
        <v>2082.64</v>
      </c>
      <c r="L136" s="6">
        <v>0</v>
      </c>
      <c r="M136" s="18">
        <v>0</v>
      </c>
      <c r="N136" s="18">
        <v>12000</v>
      </c>
    </row>
    <row r="137" spans="1:14" hidden="1">
      <c r="A137" s="4" t="s">
        <v>2379</v>
      </c>
      <c r="B137" s="5" t="s">
        <v>2385</v>
      </c>
      <c r="C137" s="6" t="s">
        <v>134</v>
      </c>
      <c r="D137" s="6" t="s">
        <v>135</v>
      </c>
      <c r="E137" s="6" t="s">
        <v>136</v>
      </c>
      <c r="F137" s="18">
        <v>9917.36</v>
      </c>
      <c r="G137" s="18">
        <v>0</v>
      </c>
      <c r="H137" s="6">
        <v>0</v>
      </c>
      <c r="I137" s="6">
        <v>0</v>
      </c>
      <c r="J137" s="6">
        <v>0</v>
      </c>
      <c r="K137" s="6">
        <v>2082.64</v>
      </c>
      <c r="L137" s="6">
        <v>0</v>
      </c>
      <c r="M137" s="18">
        <v>0</v>
      </c>
      <c r="N137" s="18">
        <v>12000</v>
      </c>
    </row>
    <row r="138" spans="1:14" hidden="1">
      <c r="A138" s="4" t="s">
        <v>2266</v>
      </c>
      <c r="B138" s="5" t="s">
        <v>2364</v>
      </c>
      <c r="C138" s="6" t="s">
        <v>134</v>
      </c>
      <c r="D138" s="6" t="s">
        <v>135</v>
      </c>
      <c r="E138" s="6" t="s">
        <v>136</v>
      </c>
      <c r="F138" s="18">
        <v>9917.36</v>
      </c>
      <c r="G138" s="18">
        <v>0</v>
      </c>
      <c r="H138" s="6">
        <v>0</v>
      </c>
      <c r="I138" s="6">
        <v>0</v>
      </c>
      <c r="J138" s="6">
        <v>0</v>
      </c>
      <c r="K138" s="6">
        <v>2082.64</v>
      </c>
      <c r="L138" s="6">
        <v>0</v>
      </c>
      <c r="M138" s="18">
        <v>0</v>
      </c>
      <c r="N138" s="18">
        <v>12000</v>
      </c>
    </row>
    <row r="139" spans="1:14" hidden="1">
      <c r="A139" s="4" t="s">
        <v>2287</v>
      </c>
      <c r="B139" s="5" t="s">
        <v>2515</v>
      </c>
      <c r="C139" s="6" t="s">
        <v>134</v>
      </c>
      <c r="D139" s="6" t="s">
        <v>135</v>
      </c>
      <c r="E139" s="6" t="s">
        <v>136</v>
      </c>
      <c r="F139" s="18">
        <v>10330.58</v>
      </c>
      <c r="G139" s="18">
        <v>0</v>
      </c>
      <c r="H139" s="6">
        <v>0</v>
      </c>
      <c r="I139" s="6">
        <v>0</v>
      </c>
      <c r="J139" s="6">
        <v>0</v>
      </c>
      <c r="K139" s="6">
        <v>2169.42</v>
      </c>
      <c r="L139" s="6">
        <v>0</v>
      </c>
      <c r="M139" s="18">
        <v>0</v>
      </c>
      <c r="N139" s="18">
        <v>12500</v>
      </c>
    </row>
    <row r="140" spans="1:14" hidden="1">
      <c r="A140" s="4" t="s">
        <v>2279</v>
      </c>
      <c r="B140" s="5" t="s">
        <v>2471</v>
      </c>
      <c r="C140" s="6" t="s">
        <v>134</v>
      </c>
      <c r="D140" s="6" t="s">
        <v>135</v>
      </c>
      <c r="E140" s="6" t="s">
        <v>136</v>
      </c>
      <c r="F140" s="18">
        <v>10330.58</v>
      </c>
      <c r="G140" s="18">
        <v>0</v>
      </c>
      <c r="H140" s="6">
        <v>0</v>
      </c>
      <c r="I140" s="6">
        <v>0</v>
      </c>
      <c r="J140" s="6">
        <v>0</v>
      </c>
      <c r="K140" s="6">
        <v>2169.42</v>
      </c>
      <c r="L140" s="6">
        <v>0</v>
      </c>
      <c r="M140" s="18">
        <v>0</v>
      </c>
      <c r="N140" s="18">
        <v>12500</v>
      </c>
    </row>
    <row r="141" spans="1:14" hidden="1">
      <c r="A141" s="4" t="s">
        <v>2275</v>
      </c>
      <c r="B141" s="5" t="s">
        <v>2453</v>
      </c>
      <c r="C141" s="6" t="s">
        <v>134</v>
      </c>
      <c r="D141" s="6" t="s">
        <v>135</v>
      </c>
      <c r="E141" s="6" t="s">
        <v>136</v>
      </c>
      <c r="F141" s="18">
        <v>10330.58</v>
      </c>
      <c r="G141" s="18">
        <v>0</v>
      </c>
      <c r="H141" s="6">
        <v>0</v>
      </c>
      <c r="I141" s="6">
        <v>0</v>
      </c>
      <c r="J141" s="6">
        <v>0</v>
      </c>
      <c r="K141" s="6">
        <v>2169.42</v>
      </c>
      <c r="L141" s="6">
        <v>0</v>
      </c>
      <c r="M141" s="18">
        <v>0</v>
      </c>
      <c r="N141" s="18">
        <v>12500</v>
      </c>
    </row>
    <row r="142" spans="1:14" hidden="1">
      <c r="A142" s="4" t="s">
        <v>2271</v>
      </c>
      <c r="B142" s="5" t="s">
        <v>2446</v>
      </c>
      <c r="C142" s="6" t="s">
        <v>134</v>
      </c>
      <c r="D142" s="6" t="s">
        <v>135</v>
      </c>
      <c r="E142" s="6" t="s">
        <v>136</v>
      </c>
      <c r="F142" s="18">
        <v>10330.58</v>
      </c>
      <c r="G142" s="18">
        <v>0</v>
      </c>
      <c r="H142" s="6">
        <v>0</v>
      </c>
      <c r="I142" s="6">
        <v>0</v>
      </c>
      <c r="J142" s="6">
        <v>0</v>
      </c>
      <c r="K142" s="6">
        <v>2169.42</v>
      </c>
      <c r="L142" s="6">
        <v>0</v>
      </c>
      <c r="M142" s="18">
        <v>0</v>
      </c>
      <c r="N142" s="18">
        <v>12500</v>
      </c>
    </row>
    <row r="143" spans="1:14" hidden="1">
      <c r="A143" s="4" t="s">
        <v>2263</v>
      </c>
      <c r="B143" s="5" t="s">
        <v>2338</v>
      </c>
      <c r="C143" s="6" t="s">
        <v>134</v>
      </c>
      <c r="D143" s="6" t="s">
        <v>135</v>
      </c>
      <c r="E143" s="6" t="s">
        <v>136</v>
      </c>
      <c r="F143" s="18">
        <v>10330.58</v>
      </c>
      <c r="G143" s="18">
        <v>0</v>
      </c>
      <c r="H143" s="6">
        <v>0</v>
      </c>
      <c r="I143" s="6">
        <v>0</v>
      </c>
      <c r="J143" s="6">
        <v>0</v>
      </c>
      <c r="K143" s="6">
        <v>2169.42</v>
      </c>
      <c r="L143" s="6">
        <v>0</v>
      </c>
      <c r="M143" s="18">
        <v>0</v>
      </c>
      <c r="N143" s="18">
        <v>12500</v>
      </c>
    </row>
    <row r="144" spans="1:14" hidden="1">
      <c r="A144" s="4" t="s">
        <v>2287</v>
      </c>
      <c r="B144" s="5" t="s">
        <v>2511</v>
      </c>
      <c r="C144" s="6" t="s">
        <v>134</v>
      </c>
      <c r="D144" s="6" t="s">
        <v>135</v>
      </c>
      <c r="E144" s="6" t="s">
        <v>136</v>
      </c>
      <c r="F144" s="18">
        <v>10661.16</v>
      </c>
      <c r="G144" s="18">
        <v>0</v>
      </c>
      <c r="H144" s="6">
        <v>0</v>
      </c>
      <c r="I144" s="6">
        <v>0</v>
      </c>
      <c r="J144" s="6">
        <v>0</v>
      </c>
      <c r="K144" s="6">
        <v>2238.84</v>
      </c>
      <c r="L144" s="6">
        <v>0</v>
      </c>
      <c r="M144" s="18">
        <v>0</v>
      </c>
      <c r="N144" s="18">
        <v>12900</v>
      </c>
    </row>
    <row r="145" spans="1:14" hidden="1">
      <c r="A145" s="4" t="s">
        <v>2271</v>
      </c>
      <c r="B145" s="5" t="s">
        <v>2443</v>
      </c>
      <c r="C145" s="6" t="s">
        <v>134</v>
      </c>
      <c r="D145" s="6" t="s">
        <v>135</v>
      </c>
      <c r="E145" s="6" t="s">
        <v>136</v>
      </c>
      <c r="F145" s="18">
        <v>10661.16</v>
      </c>
      <c r="G145" s="18">
        <v>0</v>
      </c>
      <c r="H145" s="6">
        <v>0</v>
      </c>
      <c r="I145" s="6">
        <v>0</v>
      </c>
      <c r="J145" s="6">
        <v>0</v>
      </c>
      <c r="K145" s="6">
        <v>2238.84</v>
      </c>
      <c r="L145" s="6">
        <v>0</v>
      </c>
      <c r="M145" s="18">
        <v>0</v>
      </c>
      <c r="N145" s="18">
        <v>12900</v>
      </c>
    </row>
    <row r="146" spans="1:14" hidden="1">
      <c r="A146" s="4" t="s">
        <v>2261</v>
      </c>
      <c r="B146" s="5" t="s">
        <v>2372</v>
      </c>
      <c r="C146" s="6" t="s">
        <v>134</v>
      </c>
      <c r="D146" s="6" t="s">
        <v>135</v>
      </c>
      <c r="E146" s="6" t="s">
        <v>136</v>
      </c>
      <c r="F146" s="18">
        <v>10661.16</v>
      </c>
      <c r="G146" s="18">
        <v>0</v>
      </c>
      <c r="H146" s="6">
        <v>0</v>
      </c>
      <c r="I146" s="6">
        <v>0</v>
      </c>
      <c r="J146" s="6">
        <v>0</v>
      </c>
      <c r="K146" s="6">
        <v>2238.84</v>
      </c>
      <c r="L146" s="6">
        <v>0</v>
      </c>
      <c r="M146" s="18">
        <v>0</v>
      </c>
      <c r="N146" s="18">
        <v>12900</v>
      </c>
    </row>
    <row r="147" spans="1:14" hidden="1">
      <c r="A147" s="4" t="s">
        <v>2334</v>
      </c>
      <c r="B147" s="5" t="s">
        <v>2633</v>
      </c>
      <c r="C147" s="6" t="s">
        <v>134</v>
      </c>
      <c r="D147" s="6" t="s">
        <v>135</v>
      </c>
      <c r="E147" s="6" t="s">
        <v>136</v>
      </c>
      <c r="F147" s="18">
        <v>10743.8</v>
      </c>
      <c r="G147" s="18">
        <v>0</v>
      </c>
      <c r="H147" s="6">
        <v>0</v>
      </c>
      <c r="I147" s="6">
        <v>0</v>
      </c>
      <c r="J147" s="6">
        <v>0</v>
      </c>
      <c r="K147" s="6">
        <v>2256.2000000000003</v>
      </c>
      <c r="L147" s="6">
        <v>0</v>
      </c>
      <c r="M147" s="18">
        <v>0</v>
      </c>
      <c r="N147" s="18">
        <v>13000</v>
      </c>
    </row>
    <row r="148" spans="1:14" hidden="1">
      <c r="A148" s="4" t="s">
        <v>2334</v>
      </c>
      <c r="B148" s="5" t="s">
        <v>2632</v>
      </c>
      <c r="C148" s="6" t="s">
        <v>134</v>
      </c>
      <c r="D148" s="6" t="s">
        <v>135</v>
      </c>
      <c r="E148" s="6" t="s">
        <v>136</v>
      </c>
      <c r="F148" s="18">
        <v>10743.8</v>
      </c>
      <c r="G148" s="18">
        <v>0</v>
      </c>
      <c r="H148" s="6">
        <v>0</v>
      </c>
      <c r="I148" s="6">
        <v>0</v>
      </c>
      <c r="J148" s="6">
        <v>0</v>
      </c>
      <c r="K148" s="6">
        <v>2256.2000000000003</v>
      </c>
      <c r="L148" s="6">
        <v>0</v>
      </c>
      <c r="M148" s="18">
        <v>0</v>
      </c>
      <c r="N148" s="18">
        <v>13000</v>
      </c>
    </row>
    <row r="149" spans="1:14" hidden="1">
      <c r="A149" s="4" t="s">
        <v>2334</v>
      </c>
      <c r="B149" s="5" t="s">
        <v>2622</v>
      </c>
      <c r="C149" s="6" t="s">
        <v>134</v>
      </c>
      <c r="D149" s="6" t="s">
        <v>135</v>
      </c>
      <c r="E149" s="6" t="s">
        <v>136</v>
      </c>
      <c r="F149" s="18">
        <v>10743.8</v>
      </c>
      <c r="G149" s="18">
        <v>0</v>
      </c>
      <c r="H149" s="6">
        <v>0</v>
      </c>
      <c r="I149" s="6">
        <v>0</v>
      </c>
      <c r="J149" s="6">
        <v>0</v>
      </c>
      <c r="K149" s="6">
        <v>2256.2000000000003</v>
      </c>
      <c r="L149" s="6">
        <v>0</v>
      </c>
      <c r="M149" s="18">
        <v>0</v>
      </c>
      <c r="N149" s="18">
        <v>13000</v>
      </c>
    </row>
    <row r="150" spans="1:14" hidden="1">
      <c r="A150" s="4" t="s">
        <v>2329</v>
      </c>
      <c r="B150" s="5" t="s">
        <v>2611</v>
      </c>
      <c r="C150" s="6" t="s">
        <v>134</v>
      </c>
      <c r="D150" s="6" t="s">
        <v>135</v>
      </c>
      <c r="E150" s="6" t="s">
        <v>136</v>
      </c>
      <c r="F150" s="18">
        <v>10743.8</v>
      </c>
      <c r="G150" s="18">
        <v>0</v>
      </c>
      <c r="H150" s="6">
        <v>0</v>
      </c>
      <c r="I150" s="6">
        <v>0</v>
      </c>
      <c r="J150" s="6">
        <v>0</v>
      </c>
      <c r="K150" s="6">
        <v>2256.2000000000003</v>
      </c>
      <c r="L150" s="6">
        <v>0</v>
      </c>
      <c r="M150" s="18">
        <v>0</v>
      </c>
      <c r="N150" s="18">
        <v>13000</v>
      </c>
    </row>
    <row r="151" spans="1:14" hidden="1">
      <c r="A151" s="4" t="s">
        <v>2329</v>
      </c>
      <c r="B151" s="5" t="s">
        <v>2610</v>
      </c>
      <c r="C151" s="6" t="s">
        <v>134</v>
      </c>
      <c r="D151" s="6" t="s">
        <v>135</v>
      </c>
      <c r="E151" s="6" t="s">
        <v>136</v>
      </c>
      <c r="F151" s="18">
        <v>10743.8</v>
      </c>
      <c r="G151" s="18">
        <v>0</v>
      </c>
      <c r="H151" s="6">
        <v>0</v>
      </c>
      <c r="I151" s="6">
        <v>0</v>
      </c>
      <c r="J151" s="6">
        <v>0</v>
      </c>
      <c r="K151" s="6">
        <v>2256.2000000000003</v>
      </c>
      <c r="L151" s="6">
        <v>0</v>
      </c>
      <c r="M151" s="18">
        <v>0</v>
      </c>
      <c r="N151" s="18">
        <v>13000</v>
      </c>
    </row>
    <row r="152" spans="1:14" hidden="1">
      <c r="A152" s="4" t="s">
        <v>2319</v>
      </c>
      <c r="B152" s="5" t="s">
        <v>2605</v>
      </c>
      <c r="C152" s="6" t="s">
        <v>134</v>
      </c>
      <c r="D152" s="6" t="s">
        <v>135</v>
      </c>
      <c r="E152" s="6" t="s">
        <v>136</v>
      </c>
      <c r="F152" s="18">
        <v>10743.8</v>
      </c>
      <c r="G152" s="18">
        <v>0</v>
      </c>
      <c r="H152" s="6">
        <v>0</v>
      </c>
      <c r="I152" s="6">
        <v>0</v>
      </c>
      <c r="J152" s="6">
        <v>0</v>
      </c>
      <c r="K152" s="6">
        <v>2256.2000000000003</v>
      </c>
      <c r="L152" s="6">
        <v>0</v>
      </c>
      <c r="M152" s="18">
        <v>0</v>
      </c>
      <c r="N152" s="18">
        <v>13000</v>
      </c>
    </row>
    <row r="153" spans="1:14" hidden="1">
      <c r="A153" s="4" t="s">
        <v>2319</v>
      </c>
      <c r="B153" s="5" t="s">
        <v>2601</v>
      </c>
      <c r="C153" s="6" t="s">
        <v>134</v>
      </c>
      <c r="D153" s="6" t="s">
        <v>135</v>
      </c>
      <c r="E153" s="6" t="s">
        <v>136</v>
      </c>
      <c r="F153" s="18">
        <v>10743.8</v>
      </c>
      <c r="G153" s="18">
        <v>0</v>
      </c>
      <c r="H153" s="6">
        <v>0</v>
      </c>
      <c r="I153" s="6">
        <v>0</v>
      </c>
      <c r="J153" s="6">
        <v>0</v>
      </c>
      <c r="K153" s="6">
        <v>2256.2000000000003</v>
      </c>
      <c r="L153" s="6">
        <v>0</v>
      </c>
      <c r="M153" s="18">
        <v>0</v>
      </c>
      <c r="N153" s="18">
        <v>13000</v>
      </c>
    </row>
    <row r="154" spans="1:14" hidden="1">
      <c r="A154" s="4" t="s">
        <v>2319</v>
      </c>
      <c r="B154" s="5" t="s">
        <v>2598</v>
      </c>
      <c r="C154" s="6" t="s">
        <v>134</v>
      </c>
      <c r="D154" s="6" t="s">
        <v>135</v>
      </c>
      <c r="E154" s="6" t="s">
        <v>136</v>
      </c>
      <c r="F154" s="18">
        <v>10743.8</v>
      </c>
      <c r="G154" s="18">
        <v>0</v>
      </c>
      <c r="H154" s="6">
        <v>0</v>
      </c>
      <c r="I154" s="6">
        <v>0</v>
      </c>
      <c r="J154" s="6">
        <v>0</v>
      </c>
      <c r="K154" s="6">
        <v>2256.2000000000003</v>
      </c>
      <c r="L154" s="6">
        <v>0</v>
      </c>
      <c r="M154" s="18">
        <v>0</v>
      </c>
      <c r="N154" s="18">
        <v>13000</v>
      </c>
    </row>
    <row r="155" spans="1:14" hidden="1">
      <c r="A155" s="4" t="s">
        <v>2314</v>
      </c>
      <c r="B155" s="5" t="s">
        <v>2596</v>
      </c>
      <c r="C155" s="6" t="s">
        <v>134</v>
      </c>
      <c r="D155" s="6" t="s">
        <v>135</v>
      </c>
      <c r="E155" s="6" t="s">
        <v>136</v>
      </c>
      <c r="F155" s="18">
        <v>10743.8</v>
      </c>
      <c r="G155" s="18">
        <v>0</v>
      </c>
      <c r="H155" s="6">
        <v>0</v>
      </c>
      <c r="I155" s="6">
        <v>0</v>
      </c>
      <c r="J155" s="6">
        <v>0</v>
      </c>
      <c r="K155" s="6">
        <v>2256.2000000000003</v>
      </c>
      <c r="L155" s="6">
        <v>0</v>
      </c>
      <c r="M155" s="18">
        <v>0</v>
      </c>
      <c r="N155" s="18">
        <v>13000</v>
      </c>
    </row>
    <row r="156" spans="1:14" hidden="1">
      <c r="A156" s="4" t="s">
        <v>2314</v>
      </c>
      <c r="B156" s="5" t="s">
        <v>2589</v>
      </c>
      <c r="C156" s="6" t="s">
        <v>134</v>
      </c>
      <c r="D156" s="6" t="s">
        <v>135</v>
      </c>
      <c r="E156" s="6" t="s">
        <v>136</v>
      </c>
      <c r="F156" s="18">
        <v>10743.8</v>
      </c>
      <c r="G156" s="18">
        <v>0</v>
      </c>
      <c r="H156" s="6">
        <v>0</v>
      </c>
      <c r="I156" s="6">
        <v>0</v>
      </c>
      <c r="J156" s="6">
        <v>0</v>
      </c>
      <c r="K156" s="6">
        <v>2256.2000000000003</v>
      </c>
      <c r="L156" s="6">
        <v>0</v>
      </c>
      <c r="M156" s="18">
        <v>0</v>
      </c>
      <c r="N156" s="18">
        <v>13000</v>
      </c>
    </row>
    <row r="157" spans="1:14" hidden="1">
      <c r="A157" s="4" t="s">
        <v>2304</v>
      </c>
      <c r="B157" s="5" t="s">
        <v>2576</v>
      </c>
      <c r="C157" s="6" t="s">
        <v>134</v>
      </c>
      <c r="D157" s="6" t="s">
        <v>135</v>
      </c>
      <c r="E157" s="6" t="s">
        <v>136</v>
      </c>
      <c r="F157" s="18">
        <v>10743.8</v>
      </c>
      <c r="G157" s="18">
        <v>0</v>
      </c>
      <c r="H157" s="6">
        <v>0</v>
      </c>
      <c r="I157" s="6">
        <v>0</v>
      </c>
      <c r="J157" s="6">
        <v>0</v>
      </c>
      <c r="K157" s="6">
        <v>2256.2000000000003</v>
      </c>
      <c r="L157" s="6">
        <v>0</v>
      </c>
      <c r="M157" s="18">
        <v>0</v>
      </c>
      <c r="N157" s="18">
        <v>13000</v>
      </c>
    </row>
    <row r="158" spans="1:14" hidden="1">
      <c r="A158" s="4" t="s">
        <v>2304</v>
      </c>
      <c r="B158" s="5" t="s">
        <v>2573</v>
      </c>
      <c r="C158" s="6" t="s">
        <v>134</v>
      </c>
      <c r="D158" s="6" t="s">
        <v>135</v>
      </c>
      <c r="E158" s="6" t="s">
        <v>136</v>
      </c>
      <c r="F158" s="18">
        <v>10743.8</v>
      </c>
      <c r="G158" s="18">
        <v>0</v>
      </c>
      <c r="H158" s="6">
        <v>0</v>
      </c>
      <c r="I158" s="6">
        <v>0</v>
      </c>
      <c r="J158" s="6">
        <v>0</v>
      </c>
      <c r="K158" s="6">
        <v>2256.2000000000003</v>
      </c>
      <c r="L158" s="6">
        <v>0</v>
      </c>
      <c r="M158" s="18">
        <v>0</v>
      </c>
      <c r="N158" s="18">
        <v>13000</v>
      </c>
    </row>
    <row r="159" spans="1:14" hidden="1">
      <c r="A159" s="4" t="s">
        <v>2565</v>
      </c>
      <c r="B159" s="5" t="s">
        <v>2564</v>
      </c>
      <c r="C159" s="6" t="s">
        <v>134</v>
      </c>
      <c r="D159" s="6" t="s">
        <v>135</v>
      </c>
      <c r="E159" s="6" t="s">
        <v>136</v>
      </c>
      <c r="F159" s="18">
        <v>10743.8</v>
      </c>
      <c r="G159" s="18">
        <v>0</v>
      </c>
      <c r="H159" s="6">
        <v>0</v>
      </c>
      <c r="I159" s="6">
        <v>0</v>
      </c>
      <c r="J159" s="6">
        <v>0</v>
      </c>
      <c r="K159" s="6">
        <v>2256.2000000000003</v>
      </c>
      <c r="L159" s="6">
        <v>0</v>
      </c>
      <c r="M159" s="18">
        <v>0</v>
      </c>
      <c r="N159" s="18">
        <v>13000</v>
      </c>
    </row>
    <row r="160" spans="1:14" hidden="1">
      <c r="A160" s="4" t="s">
        <v>2301</v>
      </c>
      <c r="B160" s="5" t="s">
        <v>2554</v>
      </c>
      <c r="C160" s="6" t="s">
        <v>134</v>
      </c>
      <c r="D160" s="6" t="s">
        <v>135</v>
      </c>
      <c r="E160" s="6" t="s">
        <v>136</v>
      </c>
      <c r="F160" s="18">
        <v>10743.8</v>
      </c>
      <c r="G160" s="18">
        <v>0</v>
      </c>
      <c r="H160" s="6">
        <v>0</v>
      </c>
      <c r="I160" s="6">
        <v>0</v>
      </c>
      <c r="J160" s="6">
        <v>0</v>
      </c>
      <c r="K160" s="6">
        <v>2256.2000000000003</v>
      </c>
      <c r="L160" s="6">
        <v>0</v>
      </c>
      <c r="M160" s="18">
        <v>0</v>
      </c>
      <c r="N160" s="18">
        <v>13000</v>
      </c>
    </row>
    <row r="161" spans="1:14" hidden="1">
      <c r="A161" s="4" t="s">
        <v>2301</v>
      </c>
      <c r="B161" s="5" t="s">
        <v>2549</v>
      </c>
      <c r="C161" s="6" t="s">
        <v>134</v>
      </c>
      <c r="D161" s="6" t="s">
        <v>135</v>
      </c>
      <c r="E161" s="6" t="s">
        <v>136</v>
      </c>
      <c r="F161" s="18">
        <v>10743.8</v>
      </c>
      <c r="G161" s="18">
        <v>0</v>
      </c>
      <c r="H161" s="6">
        <v>0</v>
      </c>
      <c r="I161" s="6">
        <v>0</v>
      </c>
      <c r="J161" s="6">
        <v>0</v>
      </c>
      <c r="K161" s="6">
        <v>2256.2000000000003</v>
      </c>
      <c r="L161" s="6">
        <v>0</v>
      </c>
      <c r="M161" s="18">
        <v>0</v>
      </c>
      <c r="N161" s="18">
        <v>13000</v>
      </c>
    </row>
    <row r="162" spans="1:14" hidden="1">
      <c r="A162" s="4" t="s">
        <v>2301</v>
      </c>
      <c r="B162" s="5" t="s">
        <v>2548</v>
      </c>
      <c r="C162" s="6" t="s">
        <v>134</v>
      </c>
      <c r="D162" s="6" t="s">
        <v>135</v>
      </c>
      <c r="E162" s="6" t="s">
        <v>136</v>
      </c>
      <c r="F162" s="18">
        <v>10743.8</v>
      </c>
      <c r="G162" s="18">
        <v>0</v>
      </c>
      <c r="H162" s="6">
        <v>0</v>
      </c>
      <c r="I162" s="6">
        <v>0</v>
      </c>
      <c r="J162" s="6">
        <v>0</v>
      </c>
      <c r="K162" s="6">
        <v>2256.2000000000003</v>
      </c>
      <c r="L162" s="6">
        <v>0</v>
      </c>
      <c r="M162" s="18">
        <v>0</v>
      </c>
      <c r="N162" s="18">
        <v>13000</v>
      </c>
    </row>
    <row r="163" spans="1:14" hidden="1">
      <c r="A163" s="4" t="s">
        <v>2290</v>
      </c>
      <c r="B163" s="5" t="s">
        <v>2532</v>
      </c>
      <c r="C163" s="6" t="s">
        <v>134</v>
      </c>
      <c r="D163" s="6" t="s">
        <v>135</v>
      </c>
      <c r="E163" s="6" t="s">
        <v>136</v>
      </c>
      <c r="F163" s="18">
        <v>10743.8</v>
      </c>
      <c r="G163" s="18">
        <v>0</v>
      </c>
      <c r="H163" s="6">
        <v>0</v>
      </c>
      <c r="I163" s="6">
        <v>0</v>
      </c>
      <c r="J163" s="6">
        <v>0</v>
      </c>
      <c r="K163" s="6">
        <v>2256.2000000000003</v>
      </c>
      <c r="L163" s="6">
        <v>0</v>
      </c>
      <c r="M163" s="18">
        <v>0</v>
      </c>
      <c r="N163" s="18">
        <v>13000</v>
      </c>
    </row>
    <row r="164" spans="1:14" hidden="1">
      <c r="A164" s="4" t="s">
        <v>2290</v>
      </c>
      <c r="B164" s="5" t="s">
        <v>2523</v>
      </c>
      <c r="C164" s="6" t="s">
        <v>134</v>
      </c>
      <c r="D164" s="6" t="s">
        <v>135</v>
      </c>
      <c r="E164" s="6" t="s">
        <v>136</v>
      </c>
      <c r="F164" s="18">
        <v>10743.8</v>
      </c>
      <c r="G164" s="18">
        <v>0</v>
      </c>
      <c r="H164" s="6">
        <v>0</v>
      </c>
      <c r="I164" s="6">
        <v>0</v>
      </c>
      <c r="J164" s="6">
        <v>0</v>
      </c>
      <c r="K164" s="6">
        <v>2256.2000000000003</v>
      </c>
      <c r="L164" s="6">
        <v>0</v>
      </c>
      <c r="M164" s="18">
        <v>0</v>
      </c>
      <c r="N164" s="18">
        <v>13000</v>
      </c>
    </row>
    <row r="165" spans="1:14" hidden="1">
      <c r="A165" s="4" t="s">
        <v>2287</v>
      </c>
      <c r="B165" s="5" t="s">
        <v>2514</v>
      </c>
      <c r="C165" s="6" t="s">
        <v>134</v>
      </c>
      <c r="D165" s="6" t="s">
        <v>135</v>
      </c>
      <c r="E165" s="6" t="s">
        <v>136</v>
      </c>
      <c r="F165" s="18">
        <v>10743.8</v>
      </c>
      <c r="G165" s="18">
        <v>0</v>
      </c>
      <c r="H165" s="6">
        <v>0</v>
      </c>
      <c r="I165" s="6">
        <v>0</v>
      </c>
      <c r="J165" s="6">
        <v>0</v>
      </c>
      <c r="K165" s="6">
        <v>2256.2000000000003</v>
      </c>
      <c r="L165" s="6">
        <v>0</v>
      </c>
      <c r="M165" s="18">
        <v>0</v>
      </c>
      <c r="N165" s="18">
        <v>13000</v>
      </c>
    </row>
    <row r="166" spans="1:14" hidden="1">
      <c r="A166" s="4" t="s">
        <v>2496</v>
      </c>
      <c r="B166" s="5" t="s">
        <v>2502</v>
      </c>
      <c r="C166" s="6" t="s">
        <v>134</v>
      </c>
      <c r="D166" s="6" t="s">
        <v>135</v>
      </c>
      <c r="E166" s="6" t="s">
        <v>136</v>
      </c>
      <c r="F166" s="18">
        <v>10743.8</v>
      </c>
      <c r="G166" s="18">
        <v>0</v>
      </c>
      <c r="H166" s="6">
        <v>0</v>
      </c>
      <c r="I166" s="6">
        <v>0</v>
      </c>
      <c r="J166" s="6">
        <v>0</v>
      </c>
      <c r="K166" s="6">
        <v>2256.2000000000003</v>
      </c>
      <c r="L166" s="6">
        <v>0</v>
      </c>
      <c r="M166" s="18">
        <v>0</v>
      </c>
      <c r="N166" s="18">
        <v>13000</v>
      </c>
    </row>
    <row r="167" spans="1:14" hidden="1">
      <c r="A167" s="4" t="s">
        <v>2496</v>
      </c>
      <c r="B167" s="5" t="s">
        <v>2501</v>
      </c>
      <c r="C167" s="6" t="s">
        <v>134</v>
      </c>
      <c r="D167" s="6" t="s">
        <v>135</v>
      </c>
      <c r="E167" s="6" t="s">
        <v>136</v>
      </c>
      <c r="F167" s="18">
        <v>10743.8</v>
      </c>
      <c r="G167" s="18">
        <v>0</v>
      </c>
      <c r="H167" s="6">
        <v>0</v>
      </c>
      <c r="I167" s="6">
        <v>0</v>
      </c>
      <c r="J167" s="6">
        <v>0</v>
      </c>
      <c r="K167" s="6">
        <v>2256.2000000000003</v>
      </c>
      <c r="L167" s="6">
        <v>0</v>
      </c>
      <c r="M167" s="18">
        <v>0</v>
      </c>
      <c r="N167" s="18">
        <v>13000</v>
      </c>
    </row>
    <row r="168" spans="1:14" hidden="1">
      <c r="A168" s="4" t="s">
        <v>2285</v>
      </c>
      <c r="B168" s="5" t="s">
        <v>2487</v>
      </c>
      <c r="C168" s="6" t="s">
        <v>134</v>
      </c>
      <c r="D168" s="6" t="s">
        <v>135</v>
      </c>
      <c r="E168" s="6" t="s">
        <v>136</v>
      </c>
      <c r="F168" s="18">
        <v>10743.8</v>
      </c>
      <c r="G168" s="18">
        <v>0</v>
      </c>
      <c r="H168" s="6">
        <v>0</v>
      </c>
      <c r="I168" s="6">
        <v>0</v>
      </c>
      <c r="J168" s="6">
        <v>0</v>
      </c>
      <c r="K168" s="6">
        <v>2256.2000000000003</v>
      </c>
      <c r="L168" s="6">
        <v>0</v>
      </c>
      <c r="M168" s="18">
        <v>0</v>
      </c>
      <c r="N168" s="18">
        <v>13000</v>
      </c>
    </row>
    <row r="169" spans="1:14" hidden="1">
      <c r="A169" s="4" t="s">
        <v>2285</v>
      </c>
      <c r="B169" s="5" t="s">
        <v>2486</v>
      </c>
      <c r="C169" s="6" t="s">
        <v>134</v>
      </c>
      <c r="D169" s="6" t="s">
        <v>135</v>
      </c>
      <c r="E169" s="6" t="s">
        <v>136</v>
      </c>
      <c r="F169" s="18">
        <v>10743.8</v>
      </c>
      <c r="G169" s="18">
        <v>0</v>
      </c>
      <c r="H169" s="6">
        <v>0</v>
      </c>
      <c r="I169" s="6">
        <v>0</v>
      </c>
      <c r="J169" s="6">
        <v>0</v>
      </c>
      <c r="K169" s="6">
        <v>2256.2000000000003</v>
      </c>
      <c r="L169" s="6">
        <v>0</v>
      </c>
      <c r="M169" s="18">
        <v>0</v>
      </c>
      <c r="N169" s="18">
        <v>13000</v>
      </c>
    </row>
    <row r="170" spans="1:14" hidden="1">
      <c r="A170" s="4" t="s">
        <v>2285</v>
      </c>
      <c r="B170" s="5" t="s">
        <v>2482</v>
      </c>
      <c r="C170" s="6" t="s">
        <v>134</v>
      </c>
      <c r="D170" s="6" t="s">
        <v>135</v>
      </c>
      <c r="E170" s="6" t="s">
        <v>136</v>
      </c>
      <c r="F170" s="18">
        <v>10743.8</v>
      </c>
      <c r="G170" s="18">
        <v>0</v>
      </c>
      <c r="H170" s="6">
        <v>0</v>
      </c>
      <c r="I170" s="6">
        <v>0</v>
      </c>
      <c r="J170" s="6">
        <v>0</v>
      </c>
      <c r="K170" s="6">
        <v>2256.2000000000003</v>
      </c>
      <c r="L170" s="6">
        <v>0</v>
      </c>
      <c r="M170" s="18">
        <v>0</v>
      </c>
      <c r="N170" s="18">
        <v>13000</v>
      </c>
    </row>
    <row r="171" spans="1:14" hidden="1">
      <c r="A171" s="4" t="s">
        <v>2279</v>
      </c>
      <c r="B171" s="5" t="s">
        <v>2481</v>
      </c>
      <c r="C171" s="6" t="s">
        <v>134</v>
      </c>
      <c r="D171" s="6" t="s">
        <v>135</v>
      </c>
      <c r="E171" s="6" t="s">
        <v>136</v>
      </c>
      <c r="F171" s="18">
        <v>10743.8</v>
      </c>
      <c r="G171" s="18">
        <v>0</v>
      </c>
      <c r="H171" s="6">
        <v>0</v>
      </c>
      <c r="I171" s="6">
        <v>0</v>
      </c>
      <c r="J171" s="6">
        <v>0</v>
      </c>
      <c r="K171" s="6">
        <v>2256.2000000000003</v>
      </c>
      <c r="L171" s="6">
        <v>0</v>
      </c>
      <c r="M171" s="18">
        <v>0</v>
      </c>
      <c r="N171" s="18">
        <v>13000</v>
      </c>
    </row>
    <row r="172" spans="1:14" hidden="1">
      <c r="A172" s="4" t="s">
        <v>2279</v>
      </c>
      <c r="B172" s="5" t="s">
        <v>2467</v>
      </c>
      <c r="C172" s="6" t="s">
        <v>134</v>
      </c>
      <c r="D172" s="6" t="s">
        <v>135</v>
      </c>
      <c r="E172" s="6" t="s">
        <v>136</v>
      </c>
      <c r="F172" s="18">
        <v>10743.8</v>
      </c>
      <c r="G172" s="18">
        <v>0</v>
      </c>
      <c r="H172" s="6">
        <v>0</v>
      </c>
      <c r="I172" s="6">
        <v>0</v>
      </c>
      <c r="J172" s="6">
        <v>0</v>
      </c>
      <c r="K172" s="6">
        <v>2256.2000000000003</v>
      </c>
      <c r="L172" s="6">
        <v>0</v>
      </c>
      <c r="M172" s="18">
        <v>0</v>
      </c>
      <c r="N172" s="18">
        <v>13000</v>
      </c>
    </row>
    <row r="173" spans="1:14" hidden="1">
      <c r="A173" s="4" t="s">
        <v>2275</v>
      </c>
      <c r="B173" s="5" t="s">
        <v>2452</v>
      </c>
      <c r="C173" s="6" t="s">
        <v>134</v>
      </c>
      <c r="D173" s="6" t="s">
        <v>135</v>
      </c>
      <c r="E173" s="6" t="s">
        <v>136</v>
      </c>
      <c r="F173" s="18">
        <v>10743.8</v>
      </c>
      <c r="G173" s="18">
        <v>0</v>
      </c>
      <c r="H173" s="6">
        <v>0</v>
      </c>
      <c r="I173" s="6">
        <v>0</v>
      </c>
      <c r="J173" s="6">
        <v>0</v>
      </c>
      <c r="K173" s="6">
        <v>2256.2000000000003</v>
      </c>
      <c r="L173" s="6">
        <v>0</v>
      </c>
      <c r="M173" s="18">
        <v>0</v>
      </c>
      <c r="N173" s="18">
        <v>13000</v>
      </c>
    </row>
    <row r="174" spans="1:14" hidden="1">
      <c r="A174" s="4" t="s">
        <v>2275</v>
      </c>
      <c r="B174" s="5" t="s">
        <v>2449</v>
      </c>
      <c r="C174" s="6" t="s">
        <v>134</v>
      </c>
      <c r="D174" s="6" t="s">
        <v>135</v>
      </c>
      <c r="E174" s="6" t="s">
        <v>136</v>
      </c>
      <c r="F174" s="18">
        <v>10743.8</v>
      </c>
      <c r="G174" s="18">
        <v>0</v>
      </c>
      <c r="H174" s="6">
        <v>0</v>
      </c>
      <c r="I174" s="6">
        <v>0</v>
      </c>
      <c r="J174" s="6">
        <v>0</v>
      </c>
      <c r="K174" s="6">
        <v>2256.2000000000003</v>
      </c>
      <c r="L174" s="6">
        <v>0</v>
      </c>
      <c r="M174" s="18">
        <v>0</v>
      </c>
      <c r="N174" s="18">
        <v>13000</v>
      </c>
    </row>
    <row r="175" spans="1:14" hidden="1">
      <c r="A175" s="4" t="s">
        <v>2269</v>
      </c>
      <c r="B175" s="5" t="s">
        <v>2432</v>
      </c>
      <c r="C175" s="6" t="s">
        <v>134</v>
      </c>
      <c r="D175" s="6" t="s">
        <v>135</v>
      </c>
      <c r="E175" s="6" t="s">
        <v>136</v>
      </c>
      <c r="F175" s="18">
        <v>10743.8</v>
      </c>
      <c r="G175" s="18">
        <v>0</v>
      </c>
      <c r="H175" s="6">
        <v>0</v>
      </c>
      <c r="I175" s="6">
        <v>0</v>
      </c>
      <c r="J175" s="6">
        <v>0</v>
      </c>
      <c r="K175" s="6">
        <v>2256.2000000000003</v>
      </c>
      <c r="L175" s="6">
        <v>0</v>
      </c>
      <c r="M175" s="18">
        <v>0</v>
      </c>
      <c r="N175" s="18">
        <v>13000</v>
      </c>
    </row>
    <row r="176" spans="1:14" hidden="1">
      <c r="A176" s="4" t="s">
        <v>2269</v>
      </c>
      <c r="B176" s="5" t="s">
        <v>2429</v>
      </c>
      <c r="C176" s="6" t="s">
        <v>134</v>
      </c>
      <c r="D176" s="6" t="s">
        <v>135</v>
      </c>
      <c r="E176" s="6" t="s">
        <v>136</v>
      </c>
      <c r="F176" s="18">
        <v>10743.8</v>
      </c>
      <c r="G176" s="18">
        <v>0</v>
      </c>
      <c r="H176" s="6">
        <v>0</v>
      </c>
      <c r="I176" s="6">
        <v>0</v>
      </c>
      <c r="J176" s="6">
        <v>0</v>
      </c>
      <c r="K176" s="6">
        <v>2256.2000000000003</v>
      </c>
      <c r="L176" s="6">
        <v>0</v>
      </c>
      <c r="M176" s="18">
        <v>0</v>
      </c>
      <c r="N176" s="18">
        <v>13000</v>
      </c>
    </row>
    <row r="177" spans="1:14" hidden="1">
      <c r="A177" s="4" t="s">
        <v>2269</v>
      </c>
      <c r="B177" s="5" t="s">
        <v>2428</v>
      </c>
      <c r="C177" s="6" t="s">
        <v>134</v>
      </c>
      <c r="D177" s="6" t="s">
        <v>135</v>
      </c>
      <c r="E177" s="6" t="s">
        <v>136</v>
      </c>
      <c r="F177" s="18">
        <v>10743.8</v>
      </c>
      <c r="G177" s="18">
        <v>0</v>
      </c>
      <c r="H177" s="6">
        <v>0</v>
      </c>
      <c r="I177" s="6">
        <v>0</v>
      </c>
      <c r="J177" s="6">
        <v>0</v>
      </c>
      <c r="K177" s="6">
        <v>2256.2000000000003</v>
      </c>
      <c r="L177" s="6">
        <v>0</v>
      </c>
      <c r="M177" s="18">
        <v>0</v>
      </c>
      <c r="N177" s="18">
        <v>13000</v>
      </c>
    </row>
    <row r="178" spans="1:14" hidden="1">
      <c r="A178" s="4" t="s">
        <v>2403</v>
      </c>
      <c r="B178" s="5" t="s">
        <v>2420</v>
      </c>
      <c r="C178" s="6" t="s">
        <v>134</v>
      </c>
      <c r="D178" s="6" t="s">
        <v>135</v>
      </c>
      <c r="E178" s="6" t="s">
        <v>136</v>
      </c>
      <c r="F178" s="18">
        <v>10743.8</v>
      </c>
      <c r="G178" s="18">
        <v>0</v>
      </c>
      <c r="H178" s="6">
        <v>0</v>
      </c>
      <c r="I178" s="6">
        <v>0</v>
      </c>
      <c r="J178" s="6">
        <v>0</v>
      </c>
      <c r="K178" s="6">
        <v>2256.2000000000003</v>
      </c>
      <c r="L178" s="6">
        <v>0</v>
      </c>
      <c r="M178" s="18">
        <v>0</v>
      </c>
      <c r="N178" s="18">
        <v>13000</v>
      </c>
    </row>
    <row r="179" spans="1:14" hidden="1">
      <c r="A179" s="4" t="s">
        <v>2403</v>
      </c>
      <c r="B179" s="5" t="s">
        <v>2417</v>
      </c>
      <c r="C179" s="6" t="s">
        <v>134</v>
      </c>
      <c r="D179" s="6" t="s">
        <v>135</v>
      </c>
      <c r="E179" s="6" t="s">
        <v>136</v>
      </c>
      <c r="F179" s="18">
        <v>10743.8</v>
      </c>
      <c r="G179" s="18">
        <v>0</v>
      </c>
      <c r="H179" s="6">
        <v>0</v>
      </c>
      <c r="I179" s="6">
        <v>0</v>
      </c>
      <c r="J179" s="6">
        <v>0</v>
      </c>
      <c r="K179" s="6">
        <v>2256.2000000000003</v>
      </c>
      <c r="L179" s="6">
        <v>0</v>
      </c>
      <c r="M179" s="18">
        <v>0</v>
      </c>
      <c r="N179" s="18">
        <v>13000</v>
      </c>
    </row>
    <row r="180" spans="1:14" hidden="1">
      <c r="A180" s="4" t="s">
        <v>2403</v>
      </c>
      <c r="B180" s="5" t="s">
        <v>2413</v>
      </c>
      <c r="C180" s="6" t="s">
        <v>134</v>
      </c>
      <c r="D180" s="6" t="s">
        <v>135</v>
      </c>
      <c r="E180" s="6" t="s">
        <v>136</v>
      </c>
      <c r="F180" s="18">
        <v>10743.8</v>
      </c>
      <c r="G180" s="18">
        <v>0</v>
      </c>
      <c r="H180" s="6">
        <v>0</v>
      </c>
      <c r="I180" s="6">
        <v>0</v>
      </c>
      <c r="J180" s="6">
        <v>0</v>
      </c>
      <c r="K180" s="6">
        <v>2256.2000000000003</v>
      </c>
      <c r="L180" s="6">
        <v>0</v>
      </c>
      <c r="M180" s="18">
        <v>0</v>
      </c>
      <c r="N180" s="18">
        <v>13000</v>
      </c>
    </row>
    <row r="181" spans="1:14" hidden="1">
      <c r="A181" s="4" t="s">
        <v>2403</v>
      </c>
      <c r="B181" s="5" t="s">
        <v>2408</v>
      </c>
      <c r="C181" s="6" t="s">
        <v>134</v>
      </c>
      <c r="D181" s="6" t="s">
        <v>135</v>
      </c>
      <c r="E181" s="6" t="s">
        <v>136</v>
      </c>
      <c r="F181" s="18">
        <v>10743.8</v>
      </c>
      <c r="G181" s="18">
        <v>0</v>
      </c>
      <c r="H181" s="6">
        <v>0</v>
      </c>
      <c r="I181" s="6">
        <v>0</v>
      </c>
      <c r="J181" s="6">
        <v>0</v>
      </c>
      <c r="K181" s="6">
        <v>2256.2000000000003</v>
      </c>
      <c r="L181" s="6">
        <v>0</v>
      </c>
      <c r="M181" s="18">
        <v>0</v>
      </c>
      <c r="N181" s="18">
        <v>13000</v>
      </c>
    </row>
    <row r="182" spans="1:14" hidden="1">
      <c r="A182" s="4" t="s">
        <v>2403</v>
      </c>
      <c r="B182" s="5" t="s">
        <v>2405</v>
      </c>
      <c r="C182" s="6" t="s">
        <v>134</v>
      </c>
      <c r="D182" s="6" t="s">
        <v>135</v>
      </c>
      <c r="E182" s="6" t="s">
        <v>136</v>
      </c>
      <c r="F182" s="18">
        <v>10743.8</v>
      </c>
      <c r="G182" s="18">
        <v>0</v>
      </c>
      <c r="H182" s="6">
        <v>0</v>
      </c>
      <c r="I182" s="6">
        <v>0</v>
      </c>
      <c r="J182" s="6">
        <v>0</v>
      </c>
      <c r="K182" s="6">
        <v>2256.2000000000003</v>
      </c>
      <c r="L182" s="6">
        <v>0</v>
      </c>
      <c r="M182" s="18">
        <v>0</v>
      </c>
      <c r="N182" s="18">
        <v>13000</v>
      </c>
    </row>
    <row r="183" spans="1:14" hidden="1">
      <c r="A183" s="4" t="s">
        <v>2403</v>
      </c>
      <c r="B183" s="5" t="s">
        <v>2404</v>
      </c>
      <c r="C183" s="6" t="s">
        <v>134</v>
      </c>
      <c r="D183" s="6" t="s">
        <v>135</v>
      </c>
      <c r="E183" s="6" t="s">
        <v>136</v>
      </c>
      <c r="F183" s="18">
        <v>10743.8</v>
      </c>
      <c r="G183" s="18">
        <v>0</v>
      </c>
      <c r="H183" s="6">
        <v>0</v>
      </c>
      <c r="I183" s="6">
        <v>0</v>
      </c>
      <c r="J183" s="6">
        <v>0</v>
      </c>
      <c r="K183" s="6">
        <v>2256.2000000000003</v>
      </c>
      <c r="L183" s="6">
        <v>0</v>
      </c>
      <c r="M183" s="18">
        <v>0</v>
      </c>
      <c r="N183" s="18">
        <v>13000</v>
      </c>
    </row>
    <row r="184" spans="1:14" hidden="1">
      <c r="A184" s="4" t="s">
        <v>2379</v>
      </c>
      <c r="B184" s="5" t="s">
        <v>2397</v>
      </c>
      <c r="C184" s="6" t="s">
        <v>134</v>
      </c>
      <c r="D184" s="6" t="s">
        <v>135</v>
      </c>
      <c r="E184" s="6" t="s">
        <v>136</v>
      </c>
      <c r="F184" s="18">
        <v>10743.8</v>
      </c>
      <c r="G184" s="18">
        <v>0</v>
      </c>
      <c r="H184" s="6">
        <v>0</v>
      </c>
      <c r="I184" s="6">
        <v>0</v>
      </c>
      <c r="J184" s="6">
        <v>0</v>
      </c>
      <c r="K184" s="6">
        <v>2256.2000000000003</v>
      </c>
      <c r="L184" s="6">
        <v>0</v>
      </c>
      <c r="M184" s="18">
        <v>0</v>
      </c>
      <c r="N184" s="18">
        <v>13000</v>
      </c>
    </row>
    <row r="185" spans="1:14" hidden="1">
      <c r="A185" s="4" t="s">
        <v>2379</v>
      </c>
      <c r="B185" s="5" t="s">
        <v>2390</v>
      </c>
      <c r="C185" s="6" t="s">
        <v>134</v>
      </c>
      <c r="D185" s="6" t="s">
        <v>135</v>
      </c>
      <c r="E185" s="6" t="s">
        <v>136</v>
      </c>
      <c r="F185" s="18">
        <v>10743.8</v>
      </c>
      <c r="G185" s="18">
        <v>0</v>
      </c>
      <c r="H185" s="6">
        <v>0</v>
      </c>
      <c r="I185" s="6">
        <v>0</v>
      </c>
      <c r="J185" s="6">
        <v>0</v>
      </c>
      <c r="K185" s="6">
        <v>2256.2000000000003</v>
      </c>
      <c r="L185" s="6">
        <v>0</v>
      </c>
      <c r="M185" s="18">
        <v>0</v>
      </c>
      <c r="N185" s="18">
        <v>13000</v>
      </c>
    </row>
    <row r="186" spans="1:14" hidden="1">
      <c r="A186" s="4" t="s">
        <v>2379</v>
      </c>
      <c r="B186" s="5" t="s">
        <v>2384</v>
      </c>
      <c r="C186" s="6" t="s">
        <v>134</v>
      </c>
      <c r="D186" s="6" t="s">
        <v>135</v>
      </c>
      <c r="E186" s="6" t="s">
        <v>136</v>
      </c>
      <c r="F186" s="18">
        <v>10743.8</v>
      </c>
      <c r="G186" s="18">
        <v>0</v>
      </c>
      <c r="H186" s="6">
        <v>0</v>
      </c>
      <c r="I186" s="6">
        <v>0</v>
      </c>
      <c r="J186" s="6">
        <v>0</v>
      </c>
      <c r="K186" s="6">
        <v>2256.2000000000003</v>
      </c>
      <c r="L186" s="6">
        <v>0</v>
      </c>
      <c r="M186" s="18">
        <v>0</v>
      </c>
      <c r="N186" s="18">
        <v>13000</v>
      </c>
    </row>
    <row r="187" spans="1:14" hidden="1">
      <c r="A187" s="4" t="s">
        <v>2261</v>
      </c>
      <c r="B187" s="5" t="s">
        <v>2377</v>
      </c>
      <c r="C187" s="6" t="s">
        <v>134</v>
      </c>
      <c r="D187" s="6" t="s">
        <v>135</v>
      </c>
      <c r="E187" s="6" t="s">
        <v>136</v>
      </c>
      <c r="F187" s="18">
        <v>10743.8</v>
      </c>
      <c r="G187" s="18">
        <v>0</v>
      </c>
      <c r="H187" s="6">
        <v>0</v>
      </c>
      <c r="I187" s="6">
        <v>0</v>
      </c>
      <c r="J187" s="6">
        <v>0</v>
      </c>
      <c r="K187" s="6">
        <v>2256.2000000000003</v>
      </c>
      <c r="L187" s="6">
        <v>0</v>
      </c>
      <c r="M187" s="18">
        <v>0</v>
      </c>
      <c r="N187" s="18">
        <v>13000</v>
      </c>
    </row>
    <row r="188" spans="1:14" hidden="1">
      <c r="A188" s="4" t="s">
        <v>2261</v>
      </c>
      <c r="B188" s="5" t="s">
        <v>2373</v>
      </c>
      <c r="C188" s="6" t="s">
        <v>134</v>
      </c>
      <c r="D188" s="6" t="s">
        <v>135</v>
      </c>
      <c r="E188" s="6" t="s">
        <v>136</v>
      </c>
      <c r="F188" s="18">
        <v>10743.8</v>
      </c>
      <c r="G188" s="18">
        <v>0</v>
      </c>
      <c r="H188" s="6">
        <v>0</v>
      </c>
      <c r="I188" s="6">
        <v>0</v>
      </c>
      <c r="J188" s="6">
        <v>0</v>
      </c>
      <c r="K188" s="6">
        <v>2256.2000000000003</v>
      </c>
      <c r="L188" s="6">
        <v>0</v>
      </c>
      <c r="M188" s="18">
        <v>0</v>
      </c>
      <c r="N188" s="18">
        <v>13000</v>
      </c>
    </row>
    <row r="189" spans="1:14" hidden="1">
      <c r="A189" s="4" t="s">
        <v>2261</v>
      </c>
      <c r="B189" s="5" t="s">
        <v>2368</v>
      </c>
      <c r="C189" s="6" t="s">
        <v>134</v>
      </c>
      <c r="D189" s="6" t="s">
        <v>135</v>
      </c>
      <c r="E189" s="6" t="s">
        <v>136</v>
      </c>
      <c r="F189" s="18">
        <v>10743.8</v>
      </c>
      <c r="G189" s="18">
        <v>0</v>
      </c>
      <c r="H189" s="6">
        <v>0</v>
      </c>
      <c r="I189" s="6">
        <v>0</v>
      </c>
      <c r="J189" s="6">
        <v>0</v>
      </c>
      <c r="K189" s="6">
        <v>2256.2000000000003</v>
      </c>
      <c r="L189" s="6">
        <v>0</v>
      </c>
      <c r="M189" s="18">
        <v>0</v>
      </c>
      <c r="N189" s="18">
        <v>13000</v>
      </c>
    </row>
    <row r="190" spans="1:14" hidden="1">
      <c r="A190" s="4" t="s">
        <v>2266</v>
      </c>
      <c r="B190" s="5" t="s">
        <v>2359</v>
      </c>
      <c r="C190" s="6" t="s">
        <v>134</v>
      </c>
      <c r="D190" s="6" t="s">
        <v>135</v>
      </c>
      <c r="E190" s="6" t="s">
        <v>136</v>
      </c>
      <c r="F190" s="18">
        <v>10743.8</v>
      </c>
      <c r="G190" s="18">
        <v>0</v>
      </c>
      <c r="H190" s="6">
        <v>0</v>
      </c>
      <c r="I190" s="6">
        <v>0</v>
      </c>
      <c r="J190" s="6">
        <v>0</v>
      </c>
      <c r="K190" s="6">
        <v>2256.2000000000003</v>
      </c>
      <c r="L190" s="6">
        <v>0</v>
      </c>
      <c r="M190" s="18">
        <v>0</v>
      </c>
      <c r="N190" s="18">
        <v>13000</v>
      </c>
    </row>
    <row r="191" spans="1:14" hidden="1">
      <c r="A191" s="4" t="s">
        <v>2263</v>
      </c>
      <c r="B191" s="5" t="s">
        <v>2349</v>
      </c>
      <c r="C191" s="6" t="s">
        <v>134</v>
      </c>
      <c r="D191" s="6" t="s">
        <v>135</v>
      </c>
      <c r="E191" s="6" t="s">
        <v>136</v>
      </c>
      <c r="F191" s="18">
        <v>10743.8</v>
      </c>
      <c r="G191" s="18">
        <v>0</v>
      </c>
      <c r="H191" s="6">
        <v>0</v>
      </c>
      <c r="I191" s="6">
        <v>0</v>
      </c>
      <c r="J191" s="6">
        <v>0</v>
      </c>
      <c r="K191" s="6">
        <v>2256.2000000000003</v>
      </c>
      <c r="L191" s="6">
        <v>0</v>
      </c>
      <c r="M191" s="18">
        <v>0</v>
      </c>
      <c r="N191" s="18">
        <v>13000</v>
      </c>
    </row>
    <row r="192" spans="1:14" hidden="1">
      <c r="A192" s="4" t="s">
        <v>2287</v>
      </c>
      <c r="B192" s="5" t="s">
        <v>2512</v>
      </c>
      <c r="C192" s="6" t="s">
        <v>134</v>
      </c>
      <c r="D192" s="6" t="s">
        <v>135</v>
      </c>
      <c r="E192" s="6" t="s">
        <v>136</v>
      </c>
      <c r="F192" s="18">
        <v>11404.96</v>
      </c>
      <c r="G192" s="18">
        <v>0</v>
      </c>
      <c r="H192" s="6">
        <v>0</v>
      </c>
      <c r="I192" s="6">
        <v>0</v>
      </c>
      <c r="J192" s="6">
        <v>0</v>
      </c>
      <c r="K192" s="6">
        <v>2395.04</v>
      </c>
      <c r="L192" s="6">
        <v>0</v>
      </c>
      <c r="M192" s="18">
        <v>0</v>
      </c>
      <c r="N192" s="18">
        <v>13800</v>
      </c>
    </row>
    <row r="193" spans="1:14" hidden="1">
      <c r="A193" s="4" t="s">
        <v>2319</v>
      </c>
      <c r="B193" s="5" t="s">
        <v>2608</v>
      </c>
      <c r="C193" s="6" t="s">
        <v>134</v>
      </c>
      <c r="D193" s="6" t="s">
        <v>135</v>
      </c>
      <c r="E193" s="6" t="s">
        <v>136</v>
      </c>
      <c r="F193" s="18">
        <v>11487.6</v>
      </c>
      <c r="G193" s="18">
        <v>0</v>
      </c>
      <c r="H193" s="6">
        <v>0</v>
      </c>
      <c r="I193" s="6">
        <v>0</v>
      </c>
      <c r="J193" s="6">
        <v>0</v>
      </c>
      <c r="K193" s="6">
        <v>2412.4</v>
      </c>
      <c r="L193" s="6">
        <v>0</v>
      </c>
      <c r="M193" s="18">
        <v>0</v>
      </c>
      <c r="N193" s="18">
        <v>13900</v>
      </c>
    </row>
    <row r="194" spans="1:14" hidden="1">
      <c r="A194" s="4" t="s">
        <v>2319</v>
      </c>
      <c r="B194" s="5" t="s">
        <v>2607</v>
      </c>
      <c r="C194" s="6" t="s">
        <v>134</v>
      </c>
      <c r="D194" s="6" t="s">
        <v>135</v>
      </c>
      <c r="E194" s="6" t="s">
        <v>136</v>
      </c>
      <c r="F194" s="18">
        <v>11487.6</v>
      </c>
      <c r="G194" s="18">
        <v>0</v>
      </c>
      <c r="H194" s="6">
        <v>0</v>
      </c>
      <c r="I194" s="6">
        <v>0</v>
      </c>
      <c r="J194" s="6">
        <v>0</v>
      </c>
      <c r="K194" s="6">
        <v>2412.4</v>
      </c>
      <c r="L194" s="6">
        <v>0</v>
      </c>
      <c r="M194" s="18">
        <v>0</v>
      </c>
      <c r="N194" s="18">
        <v>13900</v>
      </c>
    </row>
    <row r="195" spans="1:14" hidden="1">
      <c r="A195" s="4" t="s">
        <v>2314</v>
      </c>
      <c r="B195" s="5" t="s">
        <v>2592</v>
      </c>
      <c r="C195" s="6" t="s">
        <v>134</v>
      </c>
      <c r="D195" s="6" t="s">
        <v>135</v>
      </c>
      <c r="E195" s="6" t="s">
        <v>136</v>
      </c>
      <c r="F195" s="18">
        <v>11487.6</v>
      </c>
      <c r="G195" s="18">
        <v>0</v>
      </c>
      <c r="H195" s="6">
        <v>0</v>
      </c>
      <c r="I195" s="6">
        <v>0</v>
      </c>
      <c r="J195" s="6">
        <v>0</v>
      </c>
      <c r="K195" s="6">
        <v>2412.4</v>
      </c>
      <c r="L195" s="6">
        <v>0</v>
      </c>
      <c r="M195" s="18">
        <v>0</v>
      </c>
      <c r="N195" s="18">
        <v>13900</v>
      </c>
    </row>
    <row r="196" spans="1:14" hidden="1">
      <c r="A196" s="4" t="s">
        <v>2304</v>
      </c>
      <c r="B196" s="5" t="s">
        <v>2583</v>
      </c>
      <c r="C196" s="6" t="s">
        <v>134</v>
      </c>
      <c r="D196" s="6" t="s">
        <v>135</v>
      </c>
      <c r="E196" s="6" t="s">
        <v>136</v>
      </c>
      <c r="F196" s="18">
        <v>11487.6</v>
      </c>
      <c r="G196" s="18">
        <v>0</v>
      </c>
      <c r="H196" s="6">
        <v>0</v>
      </c>
      <c r="I196" s="6">
        <v>0</v>
      </c>
      <c r="J196" s="6">
        <v>0</v>
      </c>
      <c r="K196" s="6">
        <v>2412.4</v>
      </c>
      <c r="L196" s="6">
        <v>0</v>
      </c>
      <c r="M196" s="18">
        <v>0</v>
      </c>
      <c r="N196" s="18">
        <v>13900</v>
      </c>
    </row>
    <row r="197" spans="1:14" hidden="1">
      <c r="A197" s="4" t="s">
        <v>2301</v>
      </c>
      <c r="B197" s="5" t="s">
        <v>2553</v>
      </c>
      <c r="C197" s="6" t="s">
        <v>134</v>
      </c>
      <c r="D197" s="6" t="s">
        <v>135</v>
      </c>
      <c r="E197" s="6" t="s">
        <v>136</v>
      </c>
      <c r="F197" s="18">
        <v>11487.6</v>
      </c>
      <c r="G197" s="18">
        <v>0</v>
      </c>
      <c r="H197" s="6">
        <v>0</v>
      </c>
      <c r="I197" s="6">
        <v>0</v>
      </c>
      <c r="J197" s="6">
        <v>0</v>
      </c>
      <c r="K197" s="6">
        <v>2412.4</v>
      </c>
      <c r="L197" s="6">
        <v>0</v>
      </c>
      <c r="M197" s="18">
        <v>0</v>
      </c>
      <c r="N197" s="18">
        <v>13900</v>
      </c>
    </row>
    <row r="198" spans="1:14" hidden="1">
      <c r="A198" s="4" t="s">
        <v>2496</v>
      </c>
      <c r="B198" s="5" t="s">
        <v>2503</v>
      </c>
      <c r="C198" s="6" t="s">
        <v>134</v>
      </c>
      <c r="D198" s="6" t="s">
        <v>135</v>
      </c>
      <c r="E198" s="6" t="s">
        <v>136</v>
      </c>
      <c r="F198" s="18">
        <v>11487.6</v>
      </c>
      <c r="G198" s="18">
        <v>0</v>
      </c>
      <c r="H198" s="6">
        <v>0</v>
      </c>
      <c r="I198" s="6">
        <v>0</v>
      </c>
      <c r="J198" s="6">
        <v>0</v>
      </c>
      <c r="K198" s="6">
        <v>2412.4</v>
      </c>
      <c r="L198" s="6">
        <v>0</v>
      </c>
      <c r="M198" s="18">
        <v>0</v>
      </c>
      <c r="N198" s="18">
        <v>13900</v>
      </c>
    </row>
    <row r="199" spans="1:14" hidden="1">
      <c r="A199" s="4" t="s">
        <v>2271</v>
      </c>
      <c r="B199" s="5" t="s">
        <v>2447</v>
      </c>
      <c r="C199" s="6" t="s">
        <v>134</v>
      </c>
      <c r="D199" s="6" t="s">
        <v>135</v>
      </c>
      <c r="E199" s="6" t="s">
        <v>136</v>
      </c>
      <c r="F199" s="18">
        <v>11487.6</v>
      </c>
      <c r="G199" s="18">
        <v>0</v>
      </c>
      <c r="H199" s="6">
        <v>0</v>
      </c>
      <c r="I199" s="6">
        <v>0</v>
      </c>
      <c r="J199" s="6">
        <v>0</v>
      </c>
      <c r="K199" s="6">
        <v>2412.4</v>
      </c>
      <c r="L199" s="6">
        <v>0</v>
      </c>
      <c r="M199" s="18">
        <v>0</v>
      </c>
      <c r="N199" s="18">
        <v>13900</v>
      </c>
    </row>
    <row r="200" spans="1:14" hidden="1">
      <c r="A200" s="4" t="s">
        <v>2271</v>
      </c>
      <c r="B200" s="5" t="s">
        <v>2441</v>
      </c>
      <c r="C200" s="6" t="s">
        <v>134</v>
      </c>
      <c r="D200" s="6" t="s">
        <v>135</v>
      </c>
      <c r="E200" s="6" t="s">
        <v>136</v>
      </c>
      <c r="F200" s="18">
        <v>11487.6</v>
      </c>
      <c r="G200" s="18">
        <v>0</v>
      </c>
      <c r="H200" s="6">
        <v>0</v>
      </c>
      <c r="I200" s="6">
        <v>0</v>
      </c>
      <c r="J200" s="6">
        <v>0</v>
      </c>
      <c r="K200" s="6">
        <v>2412.4</v>
      </c>
      <c r="L200" s="6">
        <v>0</v>
      </c>
      <c r="M200" s="18">
        <v>0</v>
      </c>
      <c r="N200" s="18">
        <v>13900</v>
      </c>
    </row>
    <row r="201" spans="1:14" hidden="1">
      <c r="A201" s="4" t="s">
        <v>2379</v>
      </c>
      <c r="B201" s="5" t="s">
        <v>2387</v>
      </c>
      <c r="C201" s="6" t="s">
        <v>134</v>
      </c>
      <c r="D201" s="6" t="s">
        <v>135</v>
      </c>
      <c r="E201" s="6" t="s">
        <v>136</v>
      </c>
      <c r="F201" s="18">
        <v>11487.6</v>
      </c>
      <c r="G201" s="18">
        <v>0</v>
      </c>
      <c r="H201" s="6">
        <v>0</v>
      </c>
      <c r="I201" s="6">
        <v>0</v>
      </c>
      <c r="J201" s="6">
        <v>0</v>
      </c>
      <c r="K201" s="6">
        <v>2412.4</v>
      </c>
      <c r="L201" s="6">
        <v>0</v>
      </c>
      <c r="M201" s="18">
        <v>0</v>
      </c>
      <c r="N201" s="18">
        <v>13900</v>
      </c>
    </row>
    <row r="202" spans="1:14" hidden="1">
      <c r="A202" s="4" t="s">
        <v>2292</v>
      </c>
      <c r="B202" s="5" t="s">
        <v>2535</v>
      </c>
      <c r="C202" s="6" t="s">
        <v>134</v>
      </c>
      <c r="D202" s="6" t="s">
        <v>135</v>
      </c>
      <c r="E202" s="6" t="s">
        <v>136</v>
      </c>
      <c r="F202" s="18">
        <v>11735.54</v>
      </c>
      <c r="G202" s="18">
        <v>0</v>
      </c>
      <c r="H202" s="6">
        <v>0</v>
      </c>
      <c r="I202" s="6">
        <v>0</v>
      </c>
      <c r="J202" s="6">
        <v>0</v>
      </c>
      <c r="K202" s="6">
        <v>2464.46</v>
      </c>
      <c r="L202" s="6">
        <v>0</v>
      </c>
      <c r="M202" s="18">
        <v>0</v>
      </c>
      <c r="N202" s="18">
        <v>14200</v>
      </c>
    </row>
    <row r="203" spans="1:14" hidden="1">
      <c r="A203" s="4" t="s">
        <v>2279</v>
      </c>
      <c r="B203" s="5" t="s">
        <v>2468</v>
      </c>
      <c r="C203" s="6" t="s">
        <v>134</v>
      </c>
      <c r="D203" s="6" t="s">
        <v>135</v>
      </c>
      <c r="E203" s="6" t="s">
        <v>136</v>
      </c>
      <c r="F203" s="18">
        <v>11735.54</v>
      </c>
      <c r="G203" s="18">
        <v>0</v>
      </c>
      <c r="H203" s="6">
        <v>0</v>
      </c>
      <c r="I203" s="6">
        <v>0</v>
      </c>
      <c r="J203" s="6">
        <v>0</v>
      </c>
      <c r="K203" s="6">
        <v>2464.46</v>
      </c>
      <c r="L203" s="6">
        <v>0</v>
      </c>
      <c r="M203" s="18">
        <v>0</v>
      </c>
      <c r="N203" s="18">
        <v>14200</v>
      </c>
    </row>
    <row r="204" spans="1:14" hidden="1">
      <c r="A204" s="4" t="s">
        <v>2290</v>
      </c>
      <c r="B204" s="5" t="s">
        <v>2525</v>
      </c>
      <c r="C204" s="6" t="s">
        <v>134</v>
      </c>
      <c r="D204" s="6" t="s">
        <v>135</v>
      </c>
      <c r="E204" s="6" t="s">
        <v>136</v>
      </c>
      <c r="F204" s="18">
        <v>12314.05</v>
      </c>
      <c r="G204" s="18">
        <v>0</v>
      </c>
      <c r="H204" s="6">
        <v>0</v>
      </c>
      <c r="I204" s="6">
        <v>0</v>
      </c>
      <c r="J204" s="6">
        <v>0</v>
      </c>
      <c r="K204" s="6">
        <v>2585.9500000000003</v>
      </c>
      <c r="L204" s="6">
        <v>0</v>
      </c>
      <c r="M204" s="18">
        <v>0</v>
      </c>
      <c r="N204" s="18">
        <v>14900</v>
      </c>
    </row>
    <row r="205" spans="1:14" hidden="1">
      <c r="A205" s="4" t="s">
        <v>2403</v>
      </c>
      <c r="B205" s="5" t="s">
        <v>2414</v>
      </c>
      <c r="C205" s="6" t="s">
        <v>134</v>
      </c>
      <c r="D205" s="6" t="s">
        <v>135</v>
      </c>
      <c r="E205" s="6" t="s">
        <v>136</v>
      </c>
      <c r="F205" s="18">
        <v>12314.05</v>
      </c>
      <c r="G205" s="18">
        <v>0</v>
      </c>
      <c r="H205" s="6">
        <v>0</v>
      </c>
      <c r="I205" s="6">
        <v>0</v>
      </c>
      <c r="J205" s="6">
        <v>0</v>
      </c>
      <c r="K205" s="6">
        <v>2585.9500000000003</v>
      </c>
      <c r="L205" s="6">
        <v>0</v>
      </c>
      <c r="M205" s="18">
        <v>0</v>
      </c>
      <c r="N205" s="18">
        <v>14900</v>
      </c>
    </row>
    <row r="206" spans="1:14" hidden="1">
      <c r="A206" s="4" t="s">
        <v>2261</v>
      </c>
      <c r="B206" s="5" t="s">
        <v>2376</v>
      </c>
      <c r="C206" s="6" t="s">
        <v>134</v>
      </c>
      <c r="D206" s="6" t="s">
        <v>135</v>
      </c>
      <c r="E206" s="6" t="s">
        <v>136</v>
      </c>
      <c r="F206" s="18">
        <v>12314.05</v>
      </c>
      <c r="G206" s="18">
        <v>0</v>
      </c>
      <c r="H206" s="6">
        <v>0</v>
      </c>
      <c r="I206" s="6">
        <v>0</v>
      </c>
      <c r="J206" s="6">
        <v>0</v>
      </c>
      <c r="K206" s="6">
        <v>2585.9500000000003</v>
      </c>
      <c r="L206" s="6">
        <v>0</v>
      </c>
      <c r="M206" s="18">
        <v>0</v>
      </c>
      <c r="N206" s="18">
        <v>14900</v>
      </c>
    </row>
    <row r="207" spans="1:14" hidden="1">
      <c r="A207" s="4" t="s">
        <v>2275</v>
      </c>
      <c r="B207" s="5" t="s">
        <v>2463</v>
      </c>
      <c r="C207" s="6" t="s">
        <v>134</v>
      </c>
      <c r="D207" s="6" t="s">
        <v>135</v>
      </c>
      <c r="E207" s="6" t="s">
        <v>136</v>
      </c>
      <c r="F207" s="18">
        <v>12396.69</v>
      </c>
      <c r="G207" s="18">
        <v>0</v>
      </c>
      <c r="H207" s="6">
        <v>0</v>
      </c>
      <c r="I207" s="6">
        <v>0</v>
      </c>
      <c r="J207" s="6">
        <v>0</v>
      </c>
      <c r="K207" s="6">
        <v>2603.31</v>
      </c>
      <c r="L207" s="6">
        <v>0</v>
      </c>
      <c r="M207" s="18">
        <v>0</v>
      </c>
      <c r="N207" s="18">
        <v>15000</v>
      </c>
    </row>
    <row r="208" spans="1:14" hidden="1">
      <c r="A208" s="4" t="s">
        <v>2403</v>
      </c>
      <c r="B208" s="5" t="s">
        <v>2412</v>
      </c>
      <c r="C208" s="6" t="s">
        <v>134</v>
      </c>
      <c r="D208" s="6" t="s">
        <v>135</v>
      </c>
      <c r="E208" s="6" t="s">
        <v>136</v>
      </c>
      <c r="F208" s="18">
        <v>12396.69</v>
      </c>
      <c r="G208" s="18">
        <v>0</v>
      </c>
      <c r="H208" s="6">
        <v>0</v>
      </c>
      <c r="I208" s="6">
        <v>0</v>
      </c>
      <c r="J208" s="6">
        <v>0</v>
      </c>
      <c r="K208" s="6">
        <v>2603.31</v>
      </c>
      <c r="L208" s="6">
        <v>0</v>
      </c>
      <c r="M208" s="18">
        <v>0</v>
      </c>
      <c r="N208" s="18">
        <v>15000</v>
      </c>
    </row>
    <row r="209" spans="1:14" hidden="1">
      <c r="A209" s="4" t="s">
        <v>2379</v>
      </c>
      <c r="B209" s="5" t="s">
        <v>2378</v>
      </c>
      <c r="C209" s="6" t="s">
        <v>134</v>
      </c>
      <c r="D209" s="6" t="s">
        <v>135</v>
      </c>
      <c r="E209" s="6" t="s">
        <v>136</v>
      </c>
      <c r="F209" s="18">
        <v>12809.92</v>
      </c>
      <c r="G209" s="18">
        <v>0</v>
      </c>
      <c r="H209" s="6">
        <v>0</v>
      </c>
      <c r="I209" s="6">
        <v>0</v>
      </c>
      <c r="J209" s="6">
        <v>0</v>
      </c>
      <c r="K209" s="6">
        <v>2690.08</v>
      </c>
      <c r="L209" s="6">
        <v>0</v>
      </c>
      <c r="M209" s="18">
        <v>0</v>
      </c>
      <c r="N209" s="18">
        <v>15500</v>
      </c>
    </row>
    <row r="210" spans="1:14" hidden="1">
      <c r="A210" s="4" t="s">
        <v>2285</v>
      </c>
      <c r="B210" s="5" t="s">
        <v>2493</v>
      </c>
      <c r="C210" s="6" t="s">
        <v>134</v>
      </c>
      <c r="D210" s="6" t="s">
        <v>135</v>
      </c>
      <c r="E210" s="6" t="s">
        <v>136</v>
      </c>
      <c r="F210" s="18">
        <v>12975.21</v>
      </c>
      <c r="G210" s="18">
        <v>0</v>
      </c>
      <c r="H210" s="6">
        <v>0</v>
      </c>
      <c r="I210" s="6">
        <v>0</v>
      </c>
      <c r="J210" s="6">
        <v>0</v>
      </c>
      <c r="K210" s="6">
        <v>2724.79</v>
      </c>
      <c r="L210" s="6">
        <v>0</v>
      </c>
      <c r="M210" s="18">
        <v>0</v>
      </c>
      <c r="N210" s="18">
        <v>15700</v>
      </c>
    </row>
    <row r="211" spans="1:14" hidden="1">
      <c r="A211" s="4" t="s">
        <v>2279</v>
      </c>
      <c r="B211" s="5" t="s">
        <v>2480</v>
      </c>
      <c r="C211" s="6" t="s">
        <v>134</v>
      </c>
      <c r="D211" s="6" t="s">
        <v>135</v>
      </c>
      <c r="E211" s="6" t="s">
        <v>136</v>
      </c>
      <c r="F211" s="18">
        <v>13181.82</v>
      </c>
      <c r="G211" s="18">
        <v>0</v>
      </c>
      <c r="H211" s="6">
        <v>0</v>
      </c>
      <c r="I211" s="6">
        <v>0</v>
      </c>
      <c r="J211" s="6">
        <v>0</v>
      </c>
      <c r="K211" s="6">
        <v>2768.18</v>
      </c>
      <c r="L211" s="6">
        <v>0</v>
      </c>
      <c r="M211" s="18">
        <v>0</v>
      </c>
      <c r="N211" s="18">
        <v>15950</v>
      </c>
    </row>
    <row r="212" spans="1:14" hidden="1">
      <c r="A212" s="4" t="s">
        <v>2334</v>
      </c>
      <c r="B212" s="5" t="s">
        <v>2618</v>
      </c>
      <c r="C212" s="6" t="s">
        <v>134</v>
      </c>
      <c r="D212" s="6" t="s">
        <v>135</v>
      </c>
      <c r="E212" s="6" t="s">
        <v>136</v>
      </c>
      <c r="F212" s="18">
        <v>13223.14</v>
      </c>
      <c r="G212" s="18">
        <v>0</v>
      </c>
      <c r="H212" s="6">
        <v>0</v>
      </c>
      <c r="I212" s="6">
        <v>0</v>
      </c>
      <c r="J212" s="6">
        <v>0</v>
      </c>
      <c r="K212" s="6">
        <v>2776.86</v>
      </c>
      <c r="L212" s="6">
        <v>0</v>
      </c>
      <c r="M212" s="18">
        <v>0</v>
      </c>
      <c r="N212" s="18">
        <v>16000</v>
      </c>
    </row>
    <row r="213" spans="1:14" hidden="1">
      <c r="A213" s="4" t="s">
        <v>2287</v>
      </c>
      <c r="B213" s="5" t="s">
        <v>2519</v>
      </c>
      <c r="C213" s="6" t="s">
        <v>134</v>
      </c>
      <c r="D213" s="6" t="s">
        <v>135</v>
      </c>
      <c r="E213" s="6" t="s">
        <v>136</v>
      </c>
      <c r="F213" s="18">
        <v>13223.14</v>
      </c>
      <c r="G213" s="18">
        <v>0</v>
      </c>
      <c r="H213" s="6">
        <v>0</v>
      </c>
      <c r="I213" s="6">
        <v>0</v>
      </c>
      <c r="J213" s="6">
        <v>0</v>
      </c>
      <c r="K213" s="6">
        <v>2776.86</v>
      </c>
      <c r="L213" s="6">
        <v>0</v>
      </c>
      <c r="M213" s="18">
        <v>0</v>
      </c>
      <c r="N213" s="18">
        <v>16000</v>
      </c>
    </row>
    <row r="214" spans="1:14" hidden="1">
      <c r="A214" s="4" t="s">
        <v>2287</v>
      </c>
      <c r="B214" s="5" t="s">
        <v>2508</v>
      </c>
      <c r="C214" s="6" t="s">
        <v>134</v>
      </c>
      <c r="D214" s="6" t="s">
        <v>135</v>
      </c>
      <c r="E214" s="6" t="s">
        <v>136</v>
      </c>
      <c r="F214" s="18">
        <v>13223.14</v>
      </c>
      <c r="G214" s="18">
        <v>0</v>
      </c>
      <c r="H214" s="6">
        <v>0</v>
      </c>
      <c r="I214" s="6">
        <v>0</v>
      </c>
      <c r="J214" s="6">
        <v>0</v>
      </c>
      <c r="K214" s="6">
        <v>2776.86</v>
      </c>
      <c r="L214" s="6">
        <v>0</v>
      </c>
      <c r="M214" s="18">
        <v>0</v>
      </c>
      <c r="N214" s="18">
        <v>16000</v>
      </c>
    </row>
    <row r="215" spans="1:14" hidden="1">
      <c r="A215" s="4" t="s">
        <v>2285</v>
      </c>
      <c r="B215" s="5" t="s">
        <v>2494</v>
      </c>
      <c r="C215" s="6" t="s">
        <v>134</v>
      </c>
      <c r="D215" s="6" t="s">
        <v>135</v>
      </c>
      <c r="E215" s="6" t="s">
        <v>136</v>
      </c>
      <c r="F215" s="18">
        <v>13223.14</v>
      </c>
      <c r="G215" s="18">
        <v>0</v>
      </c>
      <c r="H215" s="6">
        <v>0</v>
      </c>
      <c r="I215" s="6">
        <v>0</v>
      </c>
      <c r="J215" s="6">
        <v>0</v>
      </c>
      <c r="K215" s="6">
        <v>2776.86</v>
      </c>
      <c r="L215" s="6">
        <v>0</v>
      </c>
      <c r="M215" s="18">
        <v>0</v>
      </c>
      <c r="N215" s="18">
        <v>16000</v>
      </c>
    </row>
    <row r="216" spans="1:14" hidden="1">
      <c r="A216" s="4" t="s">
        <v>2279</v>
      </c>
      <c r="B216" s="5" t="s">
        <v>2478</v>
      </c>
      <c r="C216" s="6" t="s">
        <v>134</v>
      </c>
      <c r="D216" s="6" t="s">
        <v>135</v>
      </c>
      <c r="E216" s="6" t="s">
        <v>136</v>
      </c>
      <c r="F216" s="18">
        <v>13223.14</v>
      </c>
      <c r="G216" s="18">
        <v>0</v>
      </c>
      <c r="H216" s="6">
        <v>0</v>
      </c>
      <c r="I216" s="6">
        <v>0</v>
      </c>
      <c r="J216" s="6">
        <v>0</v>
      </c>
      <c r="K216" s="6">
        <v>2776.86</v>
      </c>
      <c r="L216" s="6">
        <v>0</v>
      </c>
      <c r="M216" s="18">
        <v>0</v>
      </c>
      <c r="N216" s="18">
        <v>16000</v>
      </c>
    </row>
    <row r="217" spans="1:14" hidden="1">
      <c r="A217" s="4" t="s">
        <v>2379</v>
      </c>
      <c r="B217" s="5" t="s">
        <v>2399</v>
      </c>
      <c r="C217" s="6" t="s">
        <v>134</v>
      </c>
      <c r="D217" s="6" t="s">
        <v>135</v>
      </c>
      <c r="E217" s="6" t="s">
        <v>136</v>
      </c>
      <c r="F217" s="18">
        <v>13223.14</v>
      </c>
      <c r="G217" s="18">
        <v>0</v>
      </c>
      <c r="H217" s="6">
        <v>0</v>
      </c>
      <c r="I217" s="6">
        <v>0</v>
      </c>
      <c r="J217" s="6">
        <v>0</v>
      </c>
      <c r="K217" s="6">
        <v>2776.86</v>
      </c>
      <c r="L217" s="6">
        <v>0</v>
      </c>
      <c r="M217" s="18">
        <v>0</v>
      </c>
      <c r="N217" s="18">
        <v>16000</v>
      </c>
    </row>
    <row r="218" spans="1:14" hidden="1">
      <c r="A218" s="4" t="s">
        <v>2334</v>
      </c>
      <c r="B218" s="5" t="s">
        <v>2626</v>
      </c>
      <c r="C218" s="6" t="s">
        <v>134</v>
      </c>
      <c r="D218" s="6" t="s">
        <v>135</v>
      </c>
      <c r="E218" s="6" t="s">
        <v>136</v>
      </c>
      <c r="F218" s="18">
        <v>13636.36</v>
      </c>
      <c r="G218" s="18">
        <v>0</v>
      </c>
      <c r="H218" s="6">
        <v>0</v>
      </c>
      <c r="I218" s="6">
        <v>0</v>
      </c>
      <c r="J218" s="6">
        <v>0</v>
      </c>
      <c r="K218" s="6">
        <v>2863.64</v>
      </c>
      <c r="L218" s="6">
        <v>0</v>
      </c>
      <c r="M218" s="18">
        <v>0</v>
      </c>
      <c r="N218" s="18">
        <v>16500</v>
      </c>
    </row>
    <row r="219" spans="1:14" hidden="1">
      <c r="A219" s="4" t="s">
        <v>2334</v>
      </c>
      <c r="B219" s="5" t="s">
        <v>2620</v>
      </c>
      <c r="C219" s="6" t="s">
        <v>134</v>
      </c>
      <c r="D219" s="6" t="s">
        <v>135</v>
      </c>
      <c r="E219" s="6" t="s">
        <v>136</v>
      </c>
      <c r="F219" s="18">
        <v>14049.59</v>
      </c>
      <c r="G219" s="18">
        <v>0</v>
      </c>
      <c r="H219" s="6">
        <v>0</v>
      </c>
      <c r="I219" s="6">
        <v>0</v>
      </c>
      <c r="J219" s="6">
        <v>0</v>
      </c>
      <c r="K219" s="6">
        <v>2950.41</v>
      </c>
      <c r="L219" s="6">
        <v>0</v>
      </c>
      <c r="M219" s="18">
        <v>0</v>
      </c>
      <c r="N219" s="18">
        <v>17000</v>
      </c>
    </row>
    <row r="220" spans="1:14" hidden="1">
      <c r="A220" s="4" t="s">
        <v>2334</v>
      </c>
      <c r="B220" s="5" t="s">
        <v>2631</v>
      </c>
      <c r="C220" s="6" t="s">
        <v>134</v>
      </c>
      <c r="D220" s="6" t="s">
        <v>135</v>
      </c>
      <c r="E220" s="6" t="s">
        <v>136</v>
      </c>
      <c r="F220" s="18">
        <v>14462.81</v>
      </c>
      <c r="G220" s="18">
        <v>0</v>
      </c>
      <c r="H220" s="6">
        <v>0</v>
      </c>
      <c r="I220" s="6">
        <v>0</v>
      </c>
      <c r="J220" s="6">
        <v>0</v>
      </c>
      <c r="K220" s="6">
        <v>3037.19</v>
      </c>
      <c r="L220" s="6">
        <v>0</v>
      </c>
      <c r="M220" s="18">
        <v>0</v>
      </c>
      <c r="N220" s="18">
        <v>17500</v>
      </c>
    </row>
    <row r="221" spans="1:14">
      <c r="A221" s="4" t="s">
        <v>2334</v>
      </c>
      <c r="B221" s="5" t="s">
        <v>2630</v>
      </c>
      <c r="C221" s="6" t="s">
        <v>1798</v>
      </c>
      <c r="D221" s="6" t="s">
        <v>135</v>
      </c>
      <c r="E221" s="6">
        <v>8286597</v>
      </c>
      <c r="F221" s="18">
        <v>14462.81</v>
      </c>
      <c r="G221" s="18">
        <v>0</v>
      </c>
      <c r="H221" s="6">
        <v>0</v>
      </c>
      <c r="I221" s="6">
        <v>0</v>
      </c>
      <c r="J221" s="6">
        <v>0</v>
      </c>
      <c r="K221" s="6">
        <v>3037.19</v>
      </c>
      <c r="L221" s="6">
        <v>0</v>
      </c>
      <c r="M221" s="18">
        <v>0</v>
      </c>
      <c r="N221" s="18">
        <v>17500</v>
      </c>
    </row>
    <row r="222" spans="1:14" hidden="1">
      <c r="A222" s="4" t="s">
        <v>2334</v>
      </c>
      <c r="B222" s="5" t="s">
        <v>2623</v>
      </c>
      <c r="C222" s="6" t="s">
        <v>134</v>
      </c>
      <c r="D222" s="6" t="s">
        <v>135</v>
      </c>
      <c r="E222" s="6" t="s">
        <v>136</v>
      </c>
      <c r="F222" s="18">
        <v>14669.42</v>
      </c>
      <c r="G222" s="18">
        <v>0</v>
      </c>
      <c r="H222" s="6">
        <v>0</v>
      </c>
      <c r="I222" s="6">
        <v>0</v>
      </c>
      <c r="J222" s="6">
        <v>0</v>
      </c>
      <c r="K222" s="6">
        <v>3080.58</v>
      </c>
      <c r="L222" s="6">
        <v>0</v>
      </c>
      <c r="M222" s="18">
        <v>0</v>
      </c>
      <c r="N222" s="18">
        <v>17750</v>
      </c>
    </row>
    <row r="223" spans="1:14" hidden="1">
      <c r="A223" s="4" t="s">
        <v>2319</v>
      </c>
      <c r="B223" s="5" t="s">
        <v>2602</v>
      </c>
      <c r="C223" s="6" t="s">
        <v>134</v>
      </c>
      <c r="D223" s="6" t="s">
        <v>135</v>
      </c>
      <c r="E223" s="6" t="s">
        <v>136</v>
      </c>
      <c r="F223" s="18">
        <v>14669.42</v>
      </c>
      <c r="G223" s="18">
        <v>0</v>
      </c>
      <c r="H223" s="6">
        <v>0</v>
      </c>
      <c r="I223" s="6">
        <v>0</v>
      </c>
      <c r="J223" s="6">
        <v>0</v>
      </c>
      <c r="K223" s="6">
        <v>3080.58</v>
      </c>
      <c r="L223" s="6">
        <v>0</v>
      </c>
      <c r="M223" s="18">
        <v>0</v>
      </c>
      <c r="N223" s="18">
        <v>17750</v>
      </c>
    </row>
    <row r="224" spans="1:14" hidden="1">
      <c r="A224" s="4" t="s">
        <v>2319</v>
      </c>
      <c r="B224" s="5" t="s">
        <v>2599</v>
      </c>
      <c r="C224" s="6" t="s">
        <v>134</v>
      </c>
      <c r="D224" s="6" t="s">
        <v>135</v>
      </c>
      <c r="E224" s="6" t="s">
        <v>136</v>
      </c>
      <c r="F224" s="18">
        <v>14669.42</v>
      </c>
      <c r="G224" s="18">
        <v>0</v>
      </c>
      <c r="H224" s="6">
        <v>0</v>
      </c>
      <c r="I224" s="6">
        <v>0</v>
      </c>
      <c r="J224" s="6">
        <v>0</v>
      </c>
      <c r="K224" s="6">
        <v>3080.58</v>
      </c>
      <c r="L224" s="6">
        <v>0</v>
      </c>
      <c r="M224" s="18">
        <v>0</v>
      </c>
      <c r="N224" s="18">
        <v>17750</v>
      </c>
    </row>
    <row r="225" spans="1:14" hidden="1">
      <c r="A225" s="4" t="s">
        <v>2304</v>
      </c>
      <c r="B225" s="5" t="s">
        <v>2574</v>
      </c>
      <c r="C225" s="6" t="s">
        <v>134</v>
      </c>
      <c r="D225" s="6" t="s">
        <v>135</v>
      </c>
      <c r="E225" s="6" t="s">
        <v>136</v>
      </c>
      <c r="F225" s="18">
        <v>14669.42</v>
      </c>
      <c r="G225" s="18">
        <v>0</v>
      </c>
      <c r="H225" s="6">
        <v>0</v>
      </c>
      <c r="I225" s="6">
        <v>0</v>
      </c>
      <c r="J225" s="6">
        <v>0</v>
      </c>
      <c r="K225" s="6">
        <v>3080.58</v>
      </c>
      <c r="L225" s="6">
        <v>0</v>
      </c>
      <c r="M225" s="18">
        <v>0</v>
      </c>
      <c r="N225" s="18">
        <v>17750</v>
      </c>
    </row>
    <row r="226" spans="1:14" hidden="1">
      <c r="A226" s="4" t="s">
        <v>2304</v>
      </c>
      <c r="B226" s="5" t="s">
        <v>2572</v>
      </c>
      <c r="C226" s="6" t="s">
        <v>134</v>
      </c>
      <c r="D226" s="6" t="s">
        <v>135</v>
      </c>
      <c r="E226" s="6" t="s">
        <v>136</v>
      </c>
      <c r="F226" s="18">
        <v>14669.42</v>
      </c>
      <c r="G226" s="18">
        <v>0</v>
      </c>
      <c r="H226" s="6">
        <v>0</v>
      </c>
      <c r="I226" s="6">
        <v>0</v>
      </c>
      <c r="J226" s="6">
        <v>0</v>
      </c>
      <c r="K226" s="6">
        <v>3080.58</v>
      </c>
      <c r="L226" s="6">
        <v>0</v>
      </c>
      <c r="M226" s="18">
        <v>0</v>
      </c>
      <c r="N226" s="18">
        <v>17750</v>
      </c>
    </row>
    <row r="227" spans="1:14" hidden="1">
      <c r="A227" s="4" t="s">
        <v>2557</v>
      </c>
      <c r="B227" s="5" t="s">
        <v>2563</v>
      </c>
      <c r="C227" s="6" t="s">
        <v>134</v>
      </c>
      <c r="D227" s="6" t="s">
        <v>135</v>
      </c>
      <c r="E227" s="6" t="s">
        <v>136</v>
      </c>
      <c r="F227" s="18">
        <v>14669.42</v>
      </c>
      <c r="G227" s="18">
        <v>0</v>
      </c>
      <c r="H227" s="6">
        <v>0</v>
      </c>
      <c r="I227" s="6">
        <v>0</v>
      </c>
      <c r="J227" s="6">
        <v>0</v>
      </c>
      <c r="K227" s="6">
        <v>3080.58</v>
      </c>
      <c r="L227" s="6">
        <v>0</v>
      </c>
      <c r="M227" s="18">
        <v>0</v>
      </c>
      <c r="N227" s="18">
        <v>17750</v>
      </c>
    </row>
    <row r="228" spans="1:14" hidden="1">
      <c r="A228" s="4" t="s">
        <v>2557</v>
      </c>
      <c r="B228" s="5" t="s">
        <v>2559</v>
      </c>
      <c r="C228" s="6" t="s">
        <v>134</v>
      </c>
      <c r="D228" s="6" t="s">
        <v>135</v>
      </c>
      <c r="E228" s="6" t="s">
        <v>136</v>
      </c>
      <c r="F228" s="18">
        <v>14669.42</v>
      </c>
      <c r="G228" s="18">
        <v>0</v>
      </c>
      <c r="H228" s="6">
        <v>0</v>
      </c>
      <c r="I228" s="6">
        <v>0</v>
      </c>
      <c r="J228" s="6">
        <v>0</v>
      </c>
      <c r="K228" s="6">
        <v>3080.58</v>
      </c>
      <c r="L228" s="6">
        <v>0</v>
      </c>
      <c r="M228" s="18">
        <v>0</v>
      </c>
      <c r="N228" s="18">
        <v>17750</v>
      </c>
    </row>
    <row r="229" spans="1:14" hidden="1">
      <c r="A229" s="4" t="s">
        <v>2301</v>
      </c>
      <c r="B229" s="5" t="s">
        <v>2550</v>
      </c>
      <c r="C229" s="6" t="s">
        <v>134</v>
      </c>
      <c r="D229" s="6" t="s">
        <v>135</v>
      </c>
      <c r="E229" s="6" t="s">
        <v>136</v>
      </c>
      <c r="F229" s="18">
        <v>14669.42</v>
      </c>
      <c r="G229" s="18">
        <v>0</v>
      </c>
      <c r="H229" s="6">
        <v>0</v>
      </c>
      <c r="I229" s="6">
        <v>0</v>
      </c>
      <c r="J229" s="6">
        <v>0</v>
      </c>
      <c r="K229" s="6">
        <v>3080.58</v>
      </c>
      <c r="L229" s="6">
        <v>0</v>
      </c>
      <c r="M229" s="18">
        <v>0</v>
      </c>
      <c r="N229" s="18">
        <v>17750</v>
      </c>
    </row>
    <row r="230" spans="1:14" hidden="1">
      <c r="A230" s="4" t="s">
        <v>2292</v>
      </c>
      <c r="B230" s="5" t="s">
        <v>2541</v>
      </c>
      <c r="C230" s="6" t="s">
        <v>134</v>
      </c>
      <c r="D230" s="6" t="s">
        <v>135</v>
      </c>
      <c r="E230" s="6" t="s">
        <v>136</v>
      </c>
      <c r="F230" s="18">
        <v>14669.42</v>
      </c>
      <c r="G230" s="18">
        <v>0</v>
      </c>
      <c r="H230" s="6">
        <v>0</v>
      </c>
      <c r="I230" s="6">
        <v>0</v>
      </c>
      <c r="J230" s="6">
        <v>0</v>
      </c>
      <c r="K230" s="6">
        <v>3080.58</v>
      </c>
      <c r="L230" s="6">
        <v>0</v>
      </c>
      <c r="M230" s="18">
        <v>0</v>
      </c>
      <c r="N230" s="18">
        <v>17750</v>
      </c>
    </row>
    <row r="231" spans="1:14" hidden="1">
      <c r="A231" s="4" t="s">
        <v>2292</v>
      </c>
      <c r="B231" s="5" t="s">
        <v>2536</v>
      </c>
      <c r="C231" s="6" t="s">
        <v>134</v>
      </c>
      <c r="D231" s="6" t="s">
        <v>135</v>
      </c>
      <c r="E231" s="6" t="s">
        <v>136</v>
      </c>
      <c r="F231" s="18">
        <v>14669.42</v>
      </c>
      <c r="G231" s="18">
        <v>0</v>
      </c>
      <c r="H231" s="6">
        <v>0</v>
      </c>
      <c r="I231" s="6">
        <v>0</v>
      </c>
      <c r="J231" s="6">
        <v>0</v>
      </c>
      <c r="K231" s="6">
        <v>3080.58</v>
      </c>
      <c r="L231" s="6">
        <v>0</v>
      </c>
      <c r="M231" s="18">
        <v>0</v>
      </c>
      <c r="N231" s="18">
        <v>17750</v>
      </c>
    </row>
    <row r="232" spans="1:14" hidden="1">
      <c r="A232" s="4" t="s">
        <v>2290</v>
      </c>
      <c r="B232" s="5" t="s">
        <v>2524</v>
      </c>
      <c r="C232" s="6" t="s">
        <v>134</v>
      </c>
      <c r="D232" s="6" t="s">
        <v>135</v>
      </c>
      <c r="E232" s="6" t="s">
        <v>136</v>
      </c>
      <c r="F232" s="18">
        <v>14669.42</v>
      </c>
      <c r="G232" s="18">
        <v>0</v>
      </c>
      <c r="H232" s="6">
        <v>0</v>
      </c>
      <c r="I232" s="6">
        <v>0</v>
      </c>
      <c r="J232" s="6">
        <v>0</v>
      </c>
      <c r="K232" s="6">
        <v>3080.58</v>
      </c>
      <c r="L232" s="6">
        <v>0</v>
      </c>
      <c r="M232" s="18">
        <v>0</v>
      </c>
      <c r="N232" s="18">
        <v>17750</v>
      </c>
    </row>
    <row r="233" spans="1:14" hidden="1">
      <c r="A233" s="4" t="s">
        <v>2290</v>
      </c>
      <c r="B233" s="5" t="s">
        <v>2521</v>
      </c>
      <c r="C233" s="6" t="s">
        <v>134</v>
      </c>
      <c r="D233" s="6" t="s">
        <v>135</v>
      </c>
      <c r="E233" s="6" t="s">
        <v>136</v>
      </c>
      <c r="F233" s="18">
        <v>14669.42</v>
      </c>
      <c r="G233" s="18">
        <v>0</v>
      </c>
      <c r="H233" s="6">
        <v>0</v>
      </c>
      <c r="I233" s="6">
        <v>0</v>
      </c>
      <c r="J233" s="6">
        <v>0</v>
      </c>
      <c r="K233" s="6">
        <v>3080.58</v>
      </c>
      <c r="L233" s="6">
        <v>0</v>
      </c>
      <c r="M233" s="18">
        <v>0</v>
      </c>
      <c r="N233" s="18">
        <v>17750</v>
      </c>
    </row>
    <row r="234" spans="1:14" hidden="1">
      <c r="A234" s="4" t="s">
        <v>2496</v>
      </c>
      <c r="B234" s="5" t="s">
        <v>2500</v>
      </c>
      <c r="C234" s="6" t="s">
        <v>134</v>
      </c>
      <c r="D234" s="6" t="s">
        <v>135</v>
      </c>
      <c r="E234" s="6" t="s">
        <v>136</v>
      </c>
      <c r="F234" s="18">
        <v>14669.42</v>
      </c>
      <c r="G234" s="18">
        <v>0</v>
      </c>
      <c r="H234" s="6">
        <v>0</v>
      </c>
      <c r="I234" s="6">
        <v>0</v>
      </c>
      <c r="J234" s="6">
        <v>0</v>
      </c>
      <c r="K234" s="6">
        <v>3080.58</v>
      </c>
      <c r="L234" s="6">
        <v>0</v>
      </c>
      <c r="M234" s="18">
        <v>0</v>
      </c>
      <c r="N234" s="18">
        <v>17750</v>
      </c>
    </row>
    <row r="235" spans="1:14" hidden="1">
      <c r="A235" s="4" t="s">
        <v>2279</v>
      </c>
      <c r="B235" s="5" t="s">
        <v>2474</v>
      </c>
      <c r="C235" s="6" t="s">
        <v>134</v>
      </c>
      <c r="D235" s="6" t="s">
        <v>135</v>
      </c>
      <c r="E235" s="6" t="s">
        <v>136</v>
      </c>
      <c r="F235" s="18">
        <v>14669.42</v>
      </c>
      <c r="G235" s="18">
        <v>0</v>
      </c>
      <c r="H235" s="6">
        <v>0</v>
      </c>
      <c r="I235" s="6">
        <v>0</v>
      </c>
      <c r="J235" s="6">
        <v>0</v>
      </c>
      <c r="K235" s="6">
        <v>3080.58</v>
      </c>
      <c r="L235" s="6">
        <v>0</v>
      </c>
      <c r="M235" s="18">
        <v>0</v>
      </c>
      <c r="N235" s="18">
        <v>17750</v>
      </c>
    </row>
    <row r="236" spans="1:14" hidden="1">
      <c r="A236" s="4" t="s">
        <v>2275</v>
      </c>
      <c r="B236" s="5" t="s">
        <v>2450</v>
      </c>
      <c r="C236" s="6" t="s">
        <v>134</v>
      </c>
      <c r="D236" s="6" t="s">
        <v>135</v>
      </c>
      <c r="E236" s="6" t="s">
        <v>136</v>
      </c>
      <c r="F236" s="18">
        <v>14669.42</v>
      </c>
      <c r="G236" s="18">
        <v>0</v>
      </c>
      <c r="H236" s="6">
        <v>0</v>
      </c>
      <c r="I236" s="6">
        <v>0</v>
      </c>
      <c r="J236" s="6">
        <v>0</v>
      </c>
      <c r="K236" s="6">
        <v>3080.58</v>
      </c>
      <c r="L236" s="6">
        <v>0</v>
      </c>
      <c r="M236" s="18">
        <v>0</v>
      </c>
      <c r="N236" s="18">
        <v>17750</v>
      </c>
    </row>
    <row r="237" spans="1:14" hidden="1">
      <c r="A237" s="4" t="s">
        <v>2271</v>
      </c>
      <c r="B237" s="5" t="s">
        <v>2448</v>
      </c>
      <c r="C237" s="6" t="s">
        <v>134</v>
      </c>
      <c r="D237" s="6" t="s">
        <v>135</v>
      </c>
      <c r="E237" s="6" t="s">
        <v>136</v>
      </c>
      <c r="F237" s="18">
        <v>14669.42</v>
      </c>
      <c r="G237" s="18">
        <v>0</v>
      </c>
      <c r="H237" s="6">
        <v>0</v>
      </c>
      <c r="I237" s="6">
        <v>0</v>
      </c>
      <c r="J237" s="6">
        <v>0</v>
      </c>
      <c r="K237" s="6">
        <v>3080.58</v>
      </c>
      <c r="L237" s="6">
        <v>0</v>
      </c>
      <c r="M237" s="18">
        <v>0</v>
      </c>
      <c r="N237" s="18">
        <v>17750</v>
      </c>
    </row>
    <row r="238" spans="1:14" hidden="1">
      <c r="A238" s="4" t="s">
        <v>2269</v>
      </c>
      <c r="B238" s="5" t="s">
        <v>2435</v>
      </c>
      <c r="C238" s="6" t="s">
        <v>134</v>
      </c>
      <c r="D238" s="6" t="s">
        <v>135</v>
      </c>
      <c r="E238" s="6" t="s">
        <v>136</v>
      </c>
      <c r="F238" s="18">
        <v>14669.42</v>
      </c>
      <c r="G238" s="18">
        <v>0</v>
      </c>
      <c r="H238" s="6">
        <v>0</v>
      </c>
      <c r="I238" s="6">
        <v>0</v>
      </c>
      <c r="J238" s="6">
        <v>0</v>
      </c>
      <c r="K238" s="6">
        <v>3080.58</v>
      </c>
      <c r="L238" s="6">
        <v>0</v>
      </c>
      <c r="M238" s="18">
        <v>0</v>
      </c>
      <c r="N238" s="18">
        <v>17750</v>
      </c>
    </row>
    <row r="239" spans="1:14" hidden="1">
      <c r="A239" s="4" t="s">
        <v>2269</v>
      </c>
      <c r="B239" s="5" t="s">
        <v>2423</v>
      </c>
      <c r="C239" s="6" t="s">
        <v>134</v>
      </c>
      <c r="D239" s="6" t="s">
        <v>135</v>
      </c>
      <c r="E239" s="6" t="s">
        <v>136</v>
      </c>
      <c r="F239" s="18">
        <v>14669.42</v>
      </c>
      <c r="G239" s="18">
        <v>0</v>
      </c>
      <c r="H239" s="6">
        <v>0</v>
      </c>
      <c r="I239" s="6">
        <v>0</v>
      </c>
      <c r="J239" s="6">
        <v>0</v>
      </c>
      <c r="K239" s="6">
        <v>3080.58</v>
      </c>
      <c r="L239" s="6">
        <v>0</v>
      </c>
      <c r="M239" s="18">
        <v>0</v>
      </c>
      <c r="N239" s="18">
        <v>17750</v>
      </c>
    </row>
    <row r="240" spans="1:14" hidden="1">
      <c r="A240" s="4" t="s">
        <v>2403</v>
      </c>
      <c r="B240" s="5" t="s">
        <v>2418</v>
      </c>
      <c r="C240" s="6" t="s">
        <v>134</v>
      </c>
      <c r="D240" s="6" t="s">
        <v>135</v>
      </c>
      <c r="E240" s="6" t="s">
        <v>136</v>
      </c>
      <c r="F240" s="18">
        <v>14669.42</v>
      </c>
      <c r="G240" s="18">
        <v>0</v>
      </c>
      <c r="H240" s="6">
        <v>0</v>
      </c>
      <c r="I240" s="6">
        <v>0</v>
      </c>
      <c r="J240" s="6">
        <v>0</v>
      </c>
      <c r="K240" s="6">
        <v>3080.58</v>
      </c>
      <c r="L240" s="6">
        <v>0</v>
      </c>
      <c r="M240" s="18">
        <v>0</v>
      </c>
      <c r="N240" s="18">
        <v>17750</v>
      </c>
    </row>
    <row r="241" spans="1:14" hidden="1">
      <c r="A241" s="4" t="s">
        <v>2403</v>
      </c>
      <c r="B241" s="5" t="s">
        <v>2402</v>
      </c>
      <c r="C241" s="6" t="s">
        <v>134</v>
      </c>
      <c r="D241" s="6" t="s">
        <v>135</v>
      </c>
      <c r="E241" s="6" t="s">
        <v>136</v>
      </c>
      <c r="F241" s="18">
        <v>14669.42</v>
      </c>
      <c r="G241" s="18">
        <v>0</v>
      </c>
      <c r="H241" s="6">
        <v>0</v>
      </c>
      <c r="I241" s="6">
        <v>0</v>
      </c>
      <c r="J241" s="6">
        <v>0</v>
      </c>
      <c r="K241" s="6">
        <v>3080.58</v>
      </c>
      <c r="L241" s="6">
        <v>0</v>
      </c>
      <c r="M241" s="18">
        <v>0</v>
      </c>
      <c r="N241" s="18">
        <v>17750</v>
      </c>
    </row>
    <row r="242" spans="1:14" hidden="1">
      <c r="A242" s="4" t="s">
        <v>2379</v>
      </c>
      <c r="B242" s="5" t="s">
        <v>2398</v>
      </c>
      <c r="C242" s="6" t="s">
        <v>134</v>
      </c>
      <c r="D242" s="6" t="s">
        <v>135</v>
      </c>
      <c r="E242" s="6" t="s">
        <v>136</v>
      </c>
      <c r="F242" s="18">
        <v>14669.42</v>
      </c>
      <c r="G242" s="18">
        <v>0</v>
      </c>
      <c r="H242" s="6">
        <v>0</v>
      </c>
      <c r="I242" s="6">
        <v>0</v>
      </c>
      <c r="J242" s="6">
        <v>0</v>
      </c>
      <c r="K242" s="6">
        <v>3080.58</v>
      </c>
      <c r="L242" s="6">
        <v>0</v>
      </c>
      <c r="M242" s="18">
        <v>0</v>
      </c>
      <c r="N242" s="18">
        <v>17750</v>
      </c>
    </row>
    <row r="243" spans="1:14" hidden="1">
      <c r="A243" s="4" t="s">
        <v>2379</v>
      </c>
      <c r="B243" s="5" t="s">
        <v>2389</v>
      </c>
      <c r="C243" s="6" t="s">
        <v>134</v>
      </c>
      <c r="D243" s="6" t="s">
        <v>135</v>
      </c>
      <c r="E243" s="6" t="s">
        <v>136</v>
      </c>
      <c r="F243" s="18">
        <v>14669.42</v>
      </c>
      <c r="G243" s="18">
        <v>0</v>
      </c>
      <c r="H243" s="6">
        <v>0</v>
      </c>
      <c r="I243" s="6">
        <v>0</v>
      </c>
      <c r="J243" s="6">
        <v>0</v>
      </c>
      <c r="K243" s="6">
        <v>3080.58</v>
      </c>
      <c r="L243" s="6">
        <v>0</v>
      </c>
      <c r="M243" s="18">
        <v>0</v>
      </c>
      <c r="N243" s="18">
        <v>17750</v>
      </c>
    </row>
    <row r="244" spans="1:14" hidden="1">
      <c r="A244" s="4" t="s">
        <v>2379</v>
      </c>
      <c r="B244" s="5" t="s">
        <v>2380</v>
      </c>
      <c r="C244" s="6" t="s">
        <v>134</v>
      </c>
      <c r="D244" s="6" t="s">
        <v>135</v>
      </c>
      <c r="E244" s="6" t="s">
        <v>136</v>
      </c>
      <c r="F244" s="18">
        <v>14669.42</v>
      </c>
      <c r="G244" s="18">
        <v>0</v>
      </c>
      <c r="H244" s="6">
        <v>0</v>
      </c>
      <c r="I244" s="6">
        <v>0</v>
      </c>
      <c r="J244" s="6">
        <v>0</v>
      </c>
      <c r="K244" s="6">
        <v>3080.58</v>
      </c>
      <c r="L244" s="6">
        <v>0</v>
      </c>
      <c r="M244" s="18">
        <v>0</v>
      </c>
      <c r="N244" s="18">
        <v>17750</v>
      </c>
    </row>
    <row r="245" spans="1:14" hidden="1">
      <c r="A245" s="4" t="s">
        <v>2266</v>
      </c>
      <c r="B245" s="5" t="s">
        <v>2361</v>
      </c>
      <c r="C245" s="6" t="s">
        <v>134</v>
      </c>
      <c r="D245" s="6" t="s">
        <v>135</v>
      </c>
      <c r="E245" s="6" t="s">
        <v>136</v>
      </c>
      <c r="F245" s="18">
        <v>14669.42</v>
      </c>
      <c r="G245" s="18">
        <v>0</v>
      </c>
      <c r="H245" s="6">
        <v>0</v>
      </c>
      <c r="I245" s="6">
        <v>0</v>
      </c>
      <c r="J245" s="6">
        <v>0</v>
      </c>
      <c r="K245" s="6">
        <v>3080.58</v>
      </c>
      <c r="L245" s="6">
        <v>0</v>
      </c>
      <c r="M245" s="18">
        <v>0</v>
      </c>
      <c r="N245" s="18">
        <v>17750</v>
      </c>
    </row>
    <row r="246" spans="1:14" hidden="1">
      <c r="A246" s="4" t="s">
        <v>2263</v>
      </c>
      <c r="B246" s="5" t="s">
        <v>2352</v>
      </c>
      <c r="C246" s="6" t="s">
        <v>134</v>
      </c>
      <c r="D246" s="6" t="s">
        <v>135</v>
      </c>
      <c r="E246" s="6" t="s">
        <v>136</v>
      </c>
      <c r="F246" s="18">
        <v>14669.42</v>
      </c>
      <c r="G246" s="18">
        <v>0</v>
      </c>
      <c r="H246" s="6">
        <v>0</v>
      </c>
      <c r="I246" s="6">
        <v>0</v>
      </c>
      <c r="J246" s="6">
        <v>0</v>
      </c>
      <c r="K246" s="6">
        <v>3080.58</v>
      </c>
      <c r="L246" s="6">
        <v>0</v>
      </c>
      <c r="M246" s="18">
        <v>0</v>
      </c>
      <c r="N246" s="18">
        <v>17750</v>
      </c>
    </row>
    <row r="247" spans="1:14" hidden="1">
      <c r="A247" s="4" t="s">
        <v>2263</v>
      </c>
      <c r="B247" s="5" t="s">
        <v>2337</v>
      </c>
      <c r="C247" s="6" t="s">
        <v>134</v>
      </c>
      <c r="D247" s="6" t="s">
        <v>135</v>
      </c>
      <c r="E247" s="6" t="s">
        <v>136</v>
      </c>
      <c r="F247" s="18">
        <v>14669.42</v>
      </c>
      <c r="G247" s="18">
        <v>0</v>
      </c>
      <c r="H247" s="6">
        <v>0</v>
      </c>
      <c r="I247" s="6">
        <v>0</v>
      </c>
      <c r="J247" s="6">
        <v>0</v>
      </c>
      <c r="K247" s="6">
        <v>3080.58</v>
      </c>
      <c r="L247" s="6">
        <v>0</v>
      </c>
      <c r="M247" s="18">
        <v>0</v>
      </c>
      <c r="N247" s="18">
        <v>17750</v>
      </c>
    </row>
    <row r="248" spans="1:14" hidden="1">
      <c r="A248" s="4" t="s">
        <v>2334</v>
      </c>
      <c r="B248" s="5" t="s">
        <v>2627</v>
      </c>
      <c r="C248" s="6" t="s">
        <v>134</v>
      </c>
      <c r="D248" s="6" t="s">
        <v>135</v>
      </c>
      <c r="E248" s="6" t="s">
        <v>136</v>
      </c>
      <c r="F248" s="18">
        <v>14876.03</v>
      </c>
      <c r="G248" s="18">
        <v>0</v>
      </c>
      <c r="H248" s="6">
        <v>0</v>
      </c>
      <c r="I248" s="6">
        <v>0</v>
      </c>
      <c r="J248" s="6">
        <v>0</v>
      </c>
      <c r="K248" s="6">
        <v>3123.97</v>
      </c>
      <c r="L248" s="6">
        <v>0</v>
      </c>
      <c r="M248" s="18">
        <v>0</v>
      </c>
      <c r="N248" s="18">
        <v>18000</v>
      </c>
    </row>
    <row r="249" spans="1:14" hidden="1">
      <c r="A249" s="4" t="s">
        <v>2275</v>
      </c>
      <c r="B249" s="5" t="s">
        <v>2458</v>
      </c>
      <c r="C249" s="6" t="s">
        <v>134</v>
      </c>
      <c r="D249" s="6" t="s">
        <v>135</v>
      </c>
      <c r="E249" s="6" t="s">
        <v>136</v>
      </c>
      <c r="F249" s="18">
        <v>14876.03</v>
      </c>
      <c r="G249" s="18">
        <v>0</v>
      </c>
      <c r="H249" s="6">
        <v>0</v>
      </c>
      <c r="I249" s="6">
        <v>0</v>
      </c>
      <c r="J249" s="6">
        <v>0</v>
      </c>
      <c r="K249" s="6">
        <v>3123.97</v>
      </c>
      <c r="L249" s="6">
        <v>0</v>
      </c>
      <c r="M249" s="18">
        <v>0</v>
      </c>
      <c r="N249" s="18">
        <v>18000</v>
      </c>
    </row>
    <row r="250" spans="1:14" hidden="1">
      <c r="A250" s="4" t="s">
        <v>2266</v>
      </c>
      <c r="B250" s="5" t="s">
        <v>2358</v>
      </c>
      <c r="C250" s="6" t="s">
        <v>134</v>
      </c>
      <c r="D250" s="6" t="s">
        <v>135</v>
      </c>
      <c r="E250" s="6" t="s">
        <v>136</v>
      </c>
      <c r="F250" s="18">
        <v>14876.03</v>
      </c>
      <c r="G250" s="18">
        <v>0</v>
      </c>
      <c r="H250" s="6">
        <v>0</v>
      </c>
      <c r="I250" s="6">
        <v>0</v>
      </c>
      <c r="J250" s="6">
        <v>0</v>
      </c>
      <c r="K250" s="6">
        <v>3123.97</v>
      </c>
      <c r="L250" s="6">
        <v>0</v>
      </c>
      <c r="M250" s="18">
        <v>0</v>
      </c>
      <c r="N250" s="18">
        <v>18000</v>
      </c>
    </row>
    <row r="251" spans="1:14" hidden="1">
      <c r="A251" s="4" t="s">
        <v>2301</v>
      </c>
      <c r="B251" s="5" t="s">
        <v>2552</v>
      </c>
      <c r="C251" s="6" t="s">
        <v>134</v>
      </c>
      <c r="D251" s="6" t="s">
        <v>135</v>
      </c>
      <c r="E251" s="6" t="s">
        <v>136</v>
      </c>
      <c r="F251" s="18">
        <v>15206.61</v>
      </c>
      <c r="G251" s="18">
        <v>0</v>
      </c>
      <c r="H251" s="6">
        <v>0</v>
      </c>
      <c r="I251" s="6">
        <v>0</v>
      </c>
      <c r="J251" s="6">
        <v>0</v>
      </c>
      <c r="K251" s="6">
        <v>3193.39</v>
      </c>
      <c r="L251" s="6">
        <v>0</v>
      </c>
      <c r="M251" s="18">
        <v>0</v>
      </c>
      <c r="N251" s="18">
        <v>18400</v>
      </c>
    </row>
    <row r="252" spans="1:14" hidden="1">
      <c r="A252" s="4" t="s">
        <v>2285</v>
      </c>
      <c r="B252" s="5" t="s">
        <v>2484</v>
      </c>
      <c r="C252" s="6" t="s">
        <v>134</v>
      </c>
      <c r="D252" s="6" t="s">
        <v>135</v>
      </c>
      <c r="E252" s="6" t="s">
        <v>136</v>
      </c>
      <c r="F252" s="18">
        <v>15702.48</v>
      </c>
      <c r="G252" s="18">
        <v>0</v>
      </c>
      <c r="H252" s="6">
        <v>0</v>
      </c>
      <c r="I252" s="6">
        <v>0</v>
      </c>
      <c r="J252" s="6">
        <v>0</v>
      </c>
      <c r="K252" s="6">
        <v>3297.52</v>
      </c>
      <c r="L252" s="6">
        <v>0</v>
      </c>
      <c r="M252" s="18">
        <v>0</v>
      </c>
      <c r="N252" s="18">
        <v>19000</v>
      </c>
    </row>
    <row r="253" spans="1:14" hidden="1">
      <c r="A253" s="4" t="s">
        <v>2403</v>
      </c>
      <c r="B253" s="5" t="s">
        <v>2419</v>
      </c>
      <c r="C253" s="6" t="s">
        <v>134</v>
      </c>
      <c r="D253" s="6" t="s">
        <v>135</v>
      </c>
      <c r="E253" s="6" t="s">
        <v>136</v>
      </c>
      <c r="F253" s="18">
        <v>15702.48</v>
      </c>
      <c r="G253" s="18">
        <v>0</v>
      </c>
      <c r="H253" s="6">
        <v>0</v>
      </c>
      <c r="I253" s="6">
        <v>0</v>
      </c>
      <c r="J253" s="6">
        <v>0</v>
      </c>
      <c r="K253" s="6">
        <v>3297.52</v>
      </c>
      <c r="L253" s="6">
        <v>0</v>
      </c>
      <c r="M253" s="18">
        <v>0</v>
      </c>
      <c r="N253" s="18">
        <v>19000</v>
      </c>
    </row>
    <row r="254" spans="1:14" hidden="1">
      <c r="A254" s="4" t="s">
        <v>2403</v>
      </c>
      <c r="B254" s="5" t="s">
        <v>2415</v>
      </c>
      <c r="C254" s="6" t="s">
        <v>134</v>
      </c>
      <c r="D254" s="6" t="s">
        <v>135</v>
      </c>
      <c r="E254" s="6" t="s">
        <v>136</v>
      </c>
      <c r="F254" s="18">
        <v>15702.48</v>
      </c>
      <c r="G254" s="18">
        <v>0</v>
      </c>
      <c r="H254" s="6">
        <v>0</v>
      </c>
      <c r="I254" s="6">
        <v>0</v>
      </c>
      <c r="J254" s="6">
        <v>0</v>
      </c>
      <c r="K254" s="6">
        <v>3297.52</v>
      </c>
      <c r="L254" s="6">
        <v>0</v>
      </c>
      <c r="M254" s="18">
        <v>0</v>
      </c>
      <c r="N254" s="18">
        <v>19000</v>
      </c>
    </row>
    <row r="255" spans="1:14" hidden="1">
      <c r="A255" s="4" t="s">
        <v>2279</v>
      </c>
      <c r="B255" s="5" t="s">
        <v>2472</v>
      </c>
      <c r="C255" s="6" t="s">
        <v>134</v>
      </c>
      <c r="D255" s="6" t="s">
        <v>135</v>
      </c>
      <c r="E255" s="6" t="s">
        <v>136</v>
      </c>
      <c r="F255" s="18">
        <v>15867.77</v>
      </c>
      <c r="G255" s="18">
        <v>0</v>
      </c>
      <c r="H255" s="6">
        <v>0</v>
      </c>
      <c r="I255" s="6">
        <v>0</v>
      </c>
      <c r="J255" s="6">
        <v>0</v>
      </c>
      <c r="K255" s="6">
        <v>3332.23</v>
      </c>
      <c r="L255" s="6">
        <v>0</v>
      </c>
      <c r="M255" s="18">
        <v>0</v>
      </c>
      <c r="N255" s="18">
        <v>19200</v>
      </c>
    </row>
    <row r="256" spans="1:14" hidden="1">
      <c r="A256" s="4" t="s">
        <v>2261</v>
      </c>
      <c r="B256" s="5" t="s">
        <v>2366</v>
      </c>
      <c r="C256" s="6" t="s">
        <v>134</v>
      </c>
      <c r="D256" s="6" t="s">
        <v>135</v>
      </c>
      <c r="E256" s="6" t="s">
        <v>136</v>
      </c>
      <c r="F256" s="18">
        <v>15867.77</v>
      </c>
      <c r="G256" s="18">
        <v>0</v>
      </c>
      <c r="H256" s="6">
        <v>0</v>
      </c>
      <c r="I256" s="6">
        <v>0</v>
      </c>
      <c r="J256" s="6">
        <v>0</v>
      </c>
      <c r="K256" s="6">
        <v>3332.23</v>
      </c>
      <c r="L256" s="6">
        <v>0</v>
      </c>
      <c r="M256" s="18">
        <v>0</v>
      </c>
      <c r="N256" s="18">
        <v>19200</v>
      </c>
    </row>
    <row r="257" spans="1:14" hidden="1">
      <c r="A257" s="4" t="s">
        <v>2319</v>
      </c>
      <c r="B257" s="5" t="s">
        <v>2600</v>
      </c>
      <c r="C257" s="6" t="s">
        <v>134</v>
      </c>
      <c r="D257" s="6" t="s">
        <v>135</v>
      </c>
      <c r="E257" s="6" t="s">
        <v>136</v>
      </c>
      <c r="F257" s="18">
        <v>15909.09</v>
      </c>
      <c r="G257" s="18">
        <v>0</v>
      </c>
      <c r="H257" s="6">
        <v>0</v>
      </c>
      <c r="I257" s="6">
        <v>0</v>
      </c>
      <c r="J257" s="6">
        <v>0</v>
      </c>
      <c r="K257" s="6">
        <v>3340.91</v>
      </c>
      <c r="L257" s="6">
        <v>0</v>
      </c>
      <c r="M257" s="18">
        <v>0</v>
      </c>
      <c r="N257" s="18">
        <v>19250</v>
      </c>
    </row>
    <row r="258" spans="1:14" hidden="1">
      <c r="A258" s="4" t="s">
        <v>2271</v>
      </c>
      <c r="B258" s="5" t="s">
        <v>2445</v>
      </c>
      <c r="C258" s="6" t="s">
        <v>134</v>
      </c>
      <c r="D258" s="6" t="s">
        <v>135</v>
      </c>
      <c r="E258" s="6" t="s">
        <v>136</v>
      </c>
      <c r="F258" s="18">
        <v>15909.09</v>
      </c>
      <c r="G258" s="18">
        <v>0</v>
      </c>
      <c r="H258" s="6">
        <v>0</v>
      </c>
      <c r="I258" s="6">
        <v>0</v>
      </c>
      <c r="J258" s="6">
        <v>0</v>
      </c>
      <c r="K258" s="6">
        <v>3340.91</v>
      </c>
      <c r="L258" s="6">
        <v>0</v>
      </c>
      <c r="M258" s="18">
        <v>0</v>
      </c>
      <c r="N258" s="18">
        <v>19250</v>
      </c>
    </row>
    <row r="259" spans="1:14" hidden="1">
      <c r="A259" s="4" t="s">
        <v>2379</v>
      </c>
      <c r="B259" s="5" t="s">
        <v>2400</v>
      </c>
      <c r="C259" s="6" t="s">
        <v>134</v>
      </c>
      <c r="D259" s="6" t="s">
        <v>135</v>
      </c>
      <c r="E259" s="6" t="s">
        <v>136</v>
      </c>
      <c r="F259" s="18">
        <v>15909.09</v>
      </c>
      <c r="G259" s="18">
        <v>0</v>
      </c>
      <c r="H259" s="6">
        <v>0</v>
      </c>
      <c r="I259" s="6">
        <v>0</v>
      </c>
      <c r="J259" s="6">
        <v>0</v>
      </c>
      <c r="K259" s="6">
        <v>3340.91</v>
      </c>
      <c r="L259" s="6">
        <v>0</v>
      </c>
      <c r="M259" s="18">
        <v>0</v>
      </c>
      <c r="N259" s="18">
        <v>19250</v>
      </c>
    </row>
    <row r="260" spans="1:14" hidden="1">
      <c r="A260" s="4" t="s">
        <v>2329</v>
      </c>
      <c r="B260" s="5" t="s">
        <v>2612</v>
      </c>
      <c r="C260" s="6" t="s">
        <v>134</v>
      </c>
      <c r="D260" s="6" t="s">
        <v>135</v>
      </c>
      <c r="E260" s="6" t="s">
        <v>136</v>
      </c>
      <c r="F260" s="18">
        <v>16528.93</v>
      </c>
      <c r="G260" s="18">
        <v>0</v>
      </c>
      <c r="H260" s="6">
        <v>0</v>
      </c>
      <c r="I260" s="6">
        <v>0</v>
      </c>
      <c r="J260" s="6">
        <v>0</v>
      </c>
      <c r="K260" s="6">
        <v>3471.07</v>
      </c>
      <c r="L260" s="6">
        <v>0</v>
      </c>
      <c r="M260" s="18">
        <v>0</v>
      </c>
      <c r="N260" s="18">
        <v>20000</v>
      </c>
    </row>
    <row r="261" spans="1:14" hidden="1">
      <c r="A261" s="4" t="s">
        <v>2304</v>
      </c>
      <c r="B261" s="5" t="s">
        <v>2580</v>
      </c>
      <c r="C261" s="6" t="s">
        <v>134</v>
      </c>
      <c r="D261" s="6" t="s">
        <v>135</v>
      </c>
      <c r="E261" s="6" t="s">
        <v>136</v>
      </c>
      <c r="F261" s="18">
        <v>16528.93</v>
      </c>
      <c r="G261" s="18">
        <v>0</v>
      </c>
      <c r="H261" s="6">
        <v>0</v>
      </c>
      <c r="I261" s="6">
        <v>0</v>
      </c>
      <c r="J261" s="6">
        <v>0</v>
      </c>
      <c r="K261" s="6">
        <v>3471.07</v>
      </c>
      <c r="L261" s="6">
        <v>0</v>
      </c>
      <c r="M261" s="18">
        <v>0</v>
      </c>
      <c r="N261" s="18">
        <v>20000</v>
      </c>
    </row>
    <row r="262" spans="1:14" hidden="1">
      <c r="A262" s="4" t="s">
        <v>2557</v>
      </c>
      <c r="B262" s="5" t="s">
        <v>2556</v>
      </c>
      <c r="C262" s="6" t="s">
        <v>134</v>
      </c>
      <c r="D262" s="6" t="s">
        <v>135</v>
      </c>
      <c r="E262" s="6" t="s">
        <v>136</v>
      </c>
      <c r="F262" s="18">
        <v>16528.93</v>
      </c>
      <c r="G262" s="18">
        <v>0</v>
      </c>
      <c r="H262" s="6">
        <v>0</v>
      </c>
      <c r="I262" s="6">
        <v>0</v>
      </c>
      <c r="J262" s="6">
        <v>0</v>
      </c>
      <c r="K262" s="6">
        <v>3471.07</v>
      </c>
      <c r="L262" s="6">
        <v>0</v>
      </c>
      <c r="M262" s="18">
        <v>0</v>
      </c>
      <c r="N262" s="18">
        <v>20000</v>
      </c>
    </row>
    <row r="263" spans="1:14" hidden="1">
      <c r="A263" s="4" t="s">
        <v>2292</v>
      </c>
      <c r="B263" s="5" t="s">
        <v>2542</v>
      </c>
      <c r="C263" s="6" t="s">
        <v>134</v>
      </c>
      <c r="D263" s="6" t="s">
        <v>135</v>
      </c>
      <c r="E263" s="6" t="s">
        <v>136</v>
      </c>
      <c r="F263" s="18">
        <v>16528.93</v>
      </c>
      <c r="G263" s="18">
        <v>0</v>
      </c>
      <c r="H263" s="6">
        <v>0</v>
      </c>
      <c r="I263" s="6">
        <v>0</v>
      </c>
      <c r="J263" s="6">
        <v>0</v>
      </c>
      <c r="K263" s="6">
        <v>3471.07</v>
      </c>
      <c r="L263" s="6">
        <v>0</v>
      </c>
      <c r="M263" s="18">
        <v>0</v>
      </c>
      <c r="N263" s="18">
        <v>20000</v>
      </c>
    </row>
    <row r="264" spans="1:14" hidden="1">
      <c r="A264" s="4" t="s">
        <v>2275</v>
      </c>
      <c r="B264" s="5" t="s">
        <v>2456</v>
      </c>
      <c r="C264" s="6" t="s">
        <v>134</v>
      </c>
      <c r="D264" s="6" t="s">
        <v>135</v>
      </c>
      <c r="E264" s="6" t="s">
        <v>136</v>
      </c>
      <c r="F264" s="18">
        <v>16528.93</v>
      </c>
      <c r="G264" s="18">
        <v>0</v>
      </c>
      <c r="H264" s="6">
        <v>0</v>
      </c>
      <c r="I264" s="6">
        <v>0</v>
      </c>
      <c r="J264" s="6">
        <v>0</v>
      </c>
      <c r="K264" s="6">
        <v>3471.07</v>
      </c>
      <c r="L264" s="6">
        <v>0</v>
      </c>
      <c r="M264" s="18">
        <v>0</v>
      </c>
      <c r="N264" s="18">
        <v>20000</v>
      </c>
    </row>
    <row r="265" spans="1:14" hidden="1">
      <c r="A265" s="4" t="s">
        <v>2271</v>
      </c>
      <c r="B265" s="5" t="s">
        <v>2442</v>
      </c>
      <c r="C265" s="6" t="s">
        <v>134</v>
      </c>
      <c r="D265" s="6" t="s">
        <v>135</v>
      </c>
      <c r="E265" s="6" t="s">
        <v>136</v>
      </c>
      <c r="F265" s="18">
        <v>16528.93</v>
      </c>
      <c r="G265" s="18">
        <v>0</v>
      </c>
      <c r="H265" s="6">
        <v>0</v>
      </c>
      <c r="I265" s="6">
        <v>0</v>
      </c>
      <c r="J265" s="6">
        <v>0</v>
      </c>
      <c r="K265" s="6">
        <v>3471.07</v>
      </c>
      <c r="L265" s="6">
        <v>0</v>
      </c>
      <c r="M265" s="18">
        <v>0</v>
      </c>
      <c r="N265" s="18">
        <v>20000</v>
      </c>
    </row>
    <row r="266" spans="1:14" hidden="1">
      <c r="A266" s="4" t="s">
        <v>2496</v>
      </c>
      <c r="B266" s="5" t="s">
        <v>2499</v>
      </c>
      <c r="C266" s="6" t="s">
        <v>134</v>
      </c>
      <c r="D266" s="6" t="s">
        <v>135</v>
      </c>
      <c r="E266" s="6" t="s">
        <v>136</v>
      </c>
      <c r="F266" s="18">
        <v>17603.310000000001</v>
      </c>
      <c r="G266" s="18">
        <v>0</v>
      </c>
      <c r="H266" s="6">
        <v>0</v>
      </c>
      <c r="I266" s="6">
        <v>0</v>
      </c>
      <c r="J266" s="6">
        <v>0</v>
      </c>
      <c r="K266" s="6">
        <v>3696.69</v>
      </c>
      <c r="L266" s="6">
        <v>0</v>
      </c>
      <c r="M266" s="18">
        <v>0</v>
      </c>
      <c r="N266" s="18">
        <v>21300</v>
      </c>
    </row>
    <row r="267" spans="1:14" hidden="1">
      <c r="A267" s="4" t="s">
        <v>2266</v>
      </c>
      <c r="B267" s="5" t="s">
        <v>2363</v>
      </c>
      <c r="C267" s="6" t="s">
        <v>134</v>
      </c>
      <c r="D267" s="6" t="s">
        <v>135</v>
      </c>
      <c r="E267" s="6" t="s">
        <v>136</v>
      </c>
      <c r="F267" s="18">
        <v>18181.82</v>
      </c>
      <c r="G267" s="18">
        <v>0</v>
      </c>
      <c r="H267" s="6">
        <v>0</v>
      </c>
      <c r="I267" s="6">
        <v>0</v>
      </c>
      <c r="J267" s="6">
        <v>0</v>
      </c>
      <c r="K267" s="6">
        <v>3818.18</v>
      </c>
      <c r="L267" s="6">
        <v>0</v>
      </c>
      <c r="M267" s="18">
        <v>0</v>
      </c>
      <c r="N267" s="18">
        <v>22000</v>
      </c>
    </row>
    <row r="268" spans="1:14" hidden="1">
      <c r="A268" s="4" t="s">
        <v>2329</v>
      </c>
      <c r="B268" s="5" t="s">
        <v>2617</v>
      </c>
      <c r="C268" s="6" t="s">
        <v>134</v>
      </c>
      <c r="D268" s="6" t="s">
        <v>135</v>
      </c>
      <c r="E268" s="6" t="s">
        <v>136</v>
      </c>
      <c r="F268" s="18">
        <v>19090.91</v>
      </c>
      <c r="G268" s="18">
        <v>0</v>
      </c>
      <c r="H268" s="6">
        <v>0</v>
      </c>
      <c r="I268" s="6">
        <v>0</v>
      </c>
      <c r="J268" s="6">
        <v>0</v>
      </c>
      <c r="K268" s="6">
        <v>4009.09</v>
      </c>
      <c r="L268" s="6">
        <v>0</v>
      </c>
      <c r="M268" s="18">
        <v>0</v>
      </c>
      <c r="N268" s="18">
        <v>23100</v>
      </c>
    </row>
    <row r="269" spans="1:14" hidden="1">
      <c r="A269" s="4" t="s">
        <v>2334</v>
      </c>
      <c r="B269" s="5" t="s">
        <v>2621</v>
      </c>
      <c r="C269" s="6" t="s">
        <v>134</v>
      </c>
      <c r="D269" s="6" t="s">
        <v>135</v>
      </c>
      <c r="E269" s="6" t="s">
        <v>136</v>
      </c>
      <c r="F269" s="18">
        <v>19669.420000000002</v>
      </c>
      <c r="G269" s="18">
        <v>0</v>
      </c>
      <c r="H269" s="6">
        <v>0</v>
      </c>
      <c r="I269" s="6">
        <v>0</v>
      </c>
      <c r="J269" s="6">
        <v>0</v>
      </c>
      <c r="K269" s="6">
        <v>4130.58</v>
      </c>
      <c r="L269" s="6">
        <v>0</v>
      </c>
      <c r="M269" s="18">
        <v>0</v>
      </c>
      <c r="N269" s="18">
        <v>23800</v>
      </c>
    </row>
    <row r="270" spans="1:14" hidden="1">
      <c r="A270" s="4" t="s">
        <v>2496</v>
      </c>
      <c r="B270" s="5" t="s">
        <v>2498</v>
      </c>
      <c r="C270" s="6" t="s">
        <v>134</v>
      </c>
      <c r="D270" s="6" t="s">
        <v>135</v>
      </c>
      <c r="E270" s="6" t="s">
        <v>136</v>
      </c>
      <c r="F270" s="18">
        <v>19834.71</v>
      </c>
      <c r="G270" s="18">
        <v>0</v>
      </c>
      <c r="H270" s="6">
        <v>0</v>
      </c>
      <c r="I270" s="6">
        <v>0</v>
      </c>
      <c r="J270" s="6">
        <v>0</v>
      </c>
      <c r="K270" s="6">
        <v>4165.29</v>
      </c>
      <c r="L270" s="6">
        <v>0</v>
      </c>
      <c r="M270" s="18">
        <v>0</v>
      </c>
      <c r="N270" s="18">
        <v>24000</v>
      </c>
    </row>
    <row r="271" spans="1:14" hidden="1">
      <c r="A271" s="4" t="s">
        <v>2279</v>
      </c>
      <c r="B271" s="5" t="s">
        <v>2464</v>
      </c>
      <c r="C271" s="6" t="s">
        <v>134</v>
      </c>
      <c r="D271" s="6" t="s">
        <v>135</v>
      </c>
      <c r="E271" s="6" t="s">
        <v>136</v>
      </c>
      <c r="F271" s="18">
        <v>19834.71</v>
      </c>
      <c r="G271" s="18">
        <v>0</v>
      </c>
      <c r="H271" s="6">
        <v>0</v>
      </c>
      <c r="I271" s="6">
        <v>0</v>
      </c>
      <c r="J271" s="6">
        <v>0</v>
      </c>
      <c r="K271" s="6">
        <v>4165.29</v>
      </c>
      <c r="L271" s="6">
        <v>0</v>
      </c>
      <c r="M271" s="18">
        <v>0</v>
      </c>
      <c r="N271" s="18">
        <v>24000</v>
      </c>
    </row>
    <row r="272" spans="1:14" hidden="1">
      <c r="A272" s="4" t="s">
        <v>2279</v>
      </c>
      <c r="B272" s="5" t="s">
        <v>2466</v>
      </c>
      <c r="C272" s="6" t="s">
        <v>134</v>
      </c>
      <c r="D272" s="6" t="s">
        <v>135</v>
      </c>
      <c r="E272" s="6" t="s">
        <v>136</v>
      </c>
      <c r="F272" s="18">
        <v>20454.54</v>
      </c>
      <c r="G272" s="18">
        <v>0</v>
      </c>
      <c r="H272" s="6">
        <v>0</v>
      </c>
      <c r="I272" s="6">
        <v>0</v>
      </c>
      <c r="J272" s="6">
        <v>0</v>
      </c>
      <c r="K272" s="6">
        <v>4295.46</v>
      </c>
      <c r="L272" s="6">
        <v>0</v>
      </c>
      <c r="M272" s="18">
        <v>0</v>
      </c>
      <c r="N272" s="18">
        <v>24750</v>
      </c>
    </row>
    <row r="273" spans="1:14" hidden="1">
      <c r="A273" s="4" t="s">
        <v>2271</v>
      </c>
      <c r="B273" s="5" t="s">
        <v>2439</v>
      </c>
      <c r="C273" s="6" t="s">
        <v>134</v>
      </c>
      <c r="D273" s="6" t="s">
        <v>135</v>
      </c>
      <c r="E273" s="6" t="s">
        <v>136</v>
      </c>
      <c r="F273" s="18">
        <v>20495.87</v>
      </c>
      <c r="G273" s="18">
        <v>0</v>
      </c>
      <c r="H273" s="6">
        <v>0</v>
      </c>
      <c r="I273" s="6">
        <v>0</v>
      </c>
      <c r="J273" s="6">
        <v>0</v>
      </c>
      <c r="K273" s="6">
        <v>4304.13</v>
      </c>
      <c r="L273" s="6">
        <v>0</v>
      </c>
      <c r="M273" s="18">
        <v>0</v>
      </c>
      <c r="N273" s="18">
        <v>24800</v>
      </c>
    </row>
    <row r="274" spans="1:14" hidden="1">
      <c r="A274" s="4" t="s">
        <v>2319</v>
      </c>
      <c r="B274" s="5" t="s">
        <v>2597</v>
      </c>
      <c r="C274" s="6" t="s">
        <v>134</v>
      </c>
      <c r="D274" s="6" t="s">
        <v>135</v>
      </c>
      <c r="E274" s="6" t="s">
        <v>136</v>
      </c>
      <c r="F274" s="18">
        <v>20661.16</v>
      </c>
      <c r="G274" s="18">
        <v>0</v>
      </c>
      <c r="H274" s="6">
        <v>0</v>
      </c>
      <c r="I274" s="6">
        <v>0</v>
      </c>
      <c r="J274" s="6">
        <v>0</v>
      </c>
      <c r="K274" s="6">
        <v>4338.84</v>
      </c>
      <c r="L274" s="6">
        <v>0</v>
      </c>
      <c r="M274" s="18">
        <v>0</v>
      </c>
      <c r="N274" s="18">
        <v>25000</v>
      </c>
    </row>
    <row r="275" spans="1:14" hidden="1">
      <c r="A275" s="4" t="s">
        <v>2403</v>
      </c>
      <c r="B275" s="5" t="s">
        <v>2409</v>
      </c>
      <c r="C275" s="6" t="s">
        <v>134</v>
      </c>
      <c r="D275" s="6" t="s">
        <v>135</v>
      </c>
      <c r="E275" s="6" t="s">
        <v>136</v>
      </c>
      <c r="F275" s="18">
        <v>20661.16</v>
      </c>
      <c r="G275" s="18">
        <v>0</v>
      </c>
      <c r="H275" s="6">
        <v>0</v>
      </c>
      <c r="I275" s="6">
        <v>0</v>
      </c>
      <c r="J275" s="6">
        <v>0</v>
      </c>
      <c r="K275" s="6">
        <v>4338.84</v>
      </c>
      <c r="L275" s="6">
        <v>0</v>
      </c>
      <c r="M275" s="18">
        <v>0</v>
      </c>
      <c r="N275" s="18">
        <v>25000</v>
      </c>
    </row>
    <row r="276" spans="1:14" hidden="1">
      <c r="A276" s="4" t="s">
        <v>2263</v>
      </c>
      <c r="B276" s="5" t="s">
        <v>2348</v>
      </c>
      <c r="C276" s="6" t="s">
        <v>134</v>
      </c>
      <c r="D276" s="6" t="s">
        <v>135</v>
      </c>
      <c r="E276" s="6" t="s">
        <v>136</v>
      </c>
      <c r="F276" s="18">
        <v>20661.16</v>
      </c>
      <c r="G276" s="18">
        <v>0</v>
      </c>
      <c r="H276" s="6">
        <v>0</v>
      </c>
      <c r="I276" s="6">
        <v>0</v>
      </c>
      <c r="J276" s="6">
        <v>0</v>
      </c>
      <c r="K276" s="6">
        <v>4338.84</v>
      </c>
      <c r="L276" s="6">
        <v>0</v>
      </c>
      <c r="M276" s="18">
        <v>0</v>
      </c>
      <c r="N276" s="18">
        <v>25000</v>
      </c>
    </row>
    <row r="277" spans="1:14" hidden="1">
      <c r="A277" s="4" t="s">
        <v>2329</v>
      </c>
      <c r="B277" s="5" t="s">
        <v>2615</v>
      </c>
      <c r="C277" s="6" t="s">
        <v>134</v>
      </c>
      <c r="D277" s="6" t="s">
        <v>135</v>
      </c>
      <c r="E277" s="6" t="s">
        <v>136</v>
      </c>
      <c r="F277" s="18">
        <v>21074.38</v>
      </c>
      <c r="G277" s="18">
        <v>0</v>
      </c>
      <c r="H277" s="6">
        <v>0</v>
      </c>
      <c r="I277" s="6">
        <v>0</v>
      </c>
      <c r="J277" s="6">
        <v>0</v>
      </c>
      <c r="K277" s="6">
        <v>4425.62</v>
      </c>
      <c r="L277" s="6">
        <v>0</v>
      </c>
      <c r="M277" s="18">
        <v>0</v>
      </c>
      <c r="N277" s="18">
        <v>25500</v>
      </c>
    </row>
    <row r="278" spans="1:14">
      <c r="A278" s="4" t="s">
        <v>2263</v>
      </c>
      <c r="B278" s="5" t="s">
        <v>2345</v>
      </c>
      <c r="C278" s="6" t="s">
        <v>2344</v>
      </c>
      <c r="D278" s="6" t="s">
        <v>135</v>
      </c>
      <c r="E278" s="6">
        <v>22548191</v>
      </c>
      <c r="F278" s="18">
        <v>21404.959999999999</v>
      </c>
      <c r="G278" s="18">
        <v>0</v>
      </c>
      <c r="H278" s="6">
        <v>0</v>
      </c>
      <c r="I278" s="6">
        <v>0</v>
      </c>
      <c r="J278" s="6">
        <v>0</v>
      </c>
      <c r="K278" s="6">
        <v>4495.04</v>
      </c>
      <c r="L278" s="6">
        <v>0</v>
      </c>
      <c r="M278" s="18">
        <v>0</v>
      </c>
      <c r="N278" s="18">
        <v>25900</v>
      </c>
    </row>
    <row r="279" spans="1:14" hidden="1">
      <c r="A279" s="4" t="s">
        <v>2334</v>
      </c>
      <c r="B279" s="5" t="s">
        <v>2629</v>
      </c>
      <c r="C279" s="6" t="s">
        <v>134</v>
      </c>
      <c r="D279" s="6" t="s">
        <v>135</v>
      </c>
      <c r="E279" s="6" t="s">
        <v>136</v>
      </c>
      <c r="F279" s="18">
        <v>21487.599999999999</v>
      </c>
      <c r="G279" s="18">
        <v>0</v>
      </c>
      <c r="H279" s="6">
        <v>0</v>
      </c>
      <c r="I279" s="6">
        <v>0</v>
      </c>
      <c r="J279" s="6">
        <v>0</v>
      </c>
      <c r="K279" s="6">
        <v>4512.4000000000005</v>
      </c>
      <c r="L279" s="6">
        <v>0</v>
      </c>
      <c r="M279" s="18">
        <v>0</v>
      </c>
      <c r="N279" s="18">
        <v>26000</v>
      </c>
    </row>
    <row r="280" spans="1:14" hidden="1">
      <c r="A280" s="4" t="s">
        <v>2329</v>
      </c>
      <c r="B280" s="5" t="s">
        <v>2614</v>
      </c>
      <c r="C280" s="6" t="s">
        <v>134</v>
      </c>
      <c r="D280" s="6" t="s">
        <v>135</v>
      </c>
      <c r="E280" s="6" t="s">
        <v>136</v>
      </c>
      <c r="F280" s="18">
        <v>21487.599999999999</v>
      </c>
      <c r="G280" s="18">
        <v>0</v>
      </c>
      <c r="H280" s="6">
        <v>0</v>
      </c>
      <c r="I280" s="6">
        <v>0</v>
      </c>
      <c r="J280" s="6">
        <v>0</v>
      </c>
      <c r="K280" s="6">
        <v>4512.4000000000005</v>
      </c>
      <c r="L280" s="6">
        <v>0</v>
      </c>
      <c r="M280" s="18">
        <v>0</v>
      </c>
      <c r="N280" s="18">
        <v>26000</v>
      </c>
    </row>
    <row r="281" spans="1:14" hidden="1">
      <c r="A281" s="4" t="s">
        <v>2304</v>
      </c>
      <c r="B281" s="5" t="s">
        <v>2578</v>
      </c>
      <c r="C281" s="6" t="s">
        <v>134</v>
      </c>
      <c r="D281" s="6" t="s">
        <v>135</v>
      </c>
      <c r="E281" s="6" t="s">
        <v>136</v>
      </c>
      <c r="F281" s="18">
        <v>21487.599999999999</v>
      </c>
      <c r="G281" s="18">
        <v>0</v>
      </c>
      <c r="H281" s="6">
        <v>0</v>
      </c>
      <c r="I281" s="6">
        <v>0</v>
      </c>
      <c r="J281" s="6">
        <v>0</v>
      </c>
      <c r="K281" s="6">
        <v>4512.4000000000005</v>
      </c>
      <c r="L281" s="6">
        <v>0</v>
      </c>
      <c r="M281" s="18">
        <v>0</v>
      </c>
      <c r="N281" s="18">
        <v>26000</v>
      </c>
    </row>
    <row r="282" spans="1:14" hidden="1">
      <c r="A282" s="4" t="s">
        <v>2304</v>
      </c>
      <c r="B282" s="5" t="s">
        <v>2577</v>
      </c>
      <c r="C282" s="6" t="s">
        <v>134</v>
      </c>
      <c r="D282" s="6" t="s">
        <v>135</v>
      </c>
      <c r="E282" s="6" t="s">
        <v>136</v>
      </c>
      <c r="F282" s="18">
        <v>21487.599999999999</v>
      </c>
      <c r="G282" s="18">
        <v>0</v>
      </c>
      <c r="H282" s="6">
        <v>0</v>
      </c>
      <c r="I282" s="6">
        <v>0</v>
      </c>
      <c r="J282" s="6">
        <v>0</v>
      </c>
      <c r="K282" s="6">
        <v>4512.4000000000005</v>
      </c>
      <c r="L282" s="6">
        <v>0</v>
      </c>
      <c r="M282" s="18">
        <v>0</v>
      </c>
      <c r="N282" s="18">
        <v>26000</v>
      </c>
    </row>
    <row r="283" spans="1:14" hidden="1">
      <c r="A283" s="4" t="s">
        <v>2565</v>
      </c>
      <c r="B283" s="5" t="s">
        <v>2571</v>
      </c>
      <c r="C283" s="6" t="s">
        <v>134</v>
      </c>
      <c r="D283" s="6" t="s">
        <v>135</v>
      </c>
      <c r="E283" s="6" t="s">
        <v>136</v>
      </c>
      <c r="F283" s="18">
        <v>21487.599999999999</v>
      </c>
      <c r="G283" s="18">
        <v>0</v>
      </c>
      <c r="H283" s="6">
        <v>0</v>
      </c>
      <c r="I283" s="6">
        <v>0</v>
      </c>
      <c r="J283" s="6">
        <v>0</v>
      </c>
      <c r="K283" s="6">
        <v>4512.4000000000005</v>
      </c>
      <c r="L283" s="6">
        <v>0</v>
      </c>
      <c r="M283" s="18">
        <v>0</v>
      </c>
      <c r="N283" s="18">
        <v>26000</v>
      </c>
    </row>
    <row r="284" spans="1:14" hidden="1">
      <c r="A284" s="4" t="s">
        <v>2301</v>
      </c>
      <c r="B284" s="5" t="s">
        <v>2551</v>
      </c>
      <c r="C284" s="6" t="s">
        <v>134</v>
      </c>
      <c r="D284" s="6" t="s">
        <v>135</v>
      </c>
      <c r="E284" s="6" t="s">
        <v>136</v>
      </c>
      <c r="F284" s="18">
        <v>21487.599999999999</v>
      </c>
      <c r="G284" s="18">
        <v>0</v>
      </c>
      <c r="H284" s="6">
        <v>0</v>
      </c>
      <c r="I284" s="6">
        <v>0</v>
      </c>
      <c r="J284" s="6">
        <v>0</v>
      </c>
      <c r="K284" s="6">
        <v>4512.4000000000005</v>
      </c>
      <c r="L284" s="6">
        <v>0</v>
      </c>
      <c r="M284" s="18">
        <v>0</v>
      </c>
      <c r="N284" s="18">
        <v>26000</v>
      </c>
    </row>
    <row r="285" spans="1:14" hidden="1">
      <c r="A285" s="4" t="s">
        <v>2292</v>
      </c>
      <c r="B285" s="5" t="s">
        <v>2544</v>
      </c>
      <c r="C285" s="6" t="s">
        <v>134</v>
      </c>
      <c r="D285" s="6" t="s">
        <v>135</v>
      </c>
      <c r="E285" s="6" t="s">
        <v>136</v>
      </c>
      <c r="F285" s="18">
        <v>21487.599999999999</v>
      </c>
      <c r="G285" s="18">
        <v>0</v>
      </c>
      <c r="H285" s="6">
        <v>0</v>
      </c>
      <c r="I285" s="6">
        <v>0</v>
      </c>
      <c r="J285" s="6">
        <v>0</v>
      </c>
      <c r="K285" s="6">
        <v>4512.4000000000005</v>
      </c>
      <c r="L285" s="6">
        <v>0</v>
      </c>
      <c r="M285" s="18">
        <v>0</v>
      </c>
      <c r="N285" s="18">
        <v>26000</v>
      </c>
    </row>
    <row r="286" spans="1:14" hidden="1">
      <c r="A286" s="4" t="s">
        <v>2292</v>
      </c>
      <c r="B286" s="5" t="s">
        <v>2537</v>
      </c>
      <c r="C286" s="6" t="s">
        <v>134</v>
      </c>
      <c r="D286" s="6" t="s">
        <v>135</v>
      </c>
      <c r="E286" s="6" t="s">
        <v>136</v>
      </c>
      <c r="F286" s="18">
        <v>21487.599999999999</v>
      </c>
      <c r="G286" s="18">
        <v>0</v>
      </c>
      <c r="H286" s="6">
        <v>0</v>
      </c>
      <c r="I286" s="6">
        <v>0</v>
      </c>
      <c r="J286" s="6">
        <v>0</v>
      </c>
      <c r="K286" s="6">
        <v>4512.4000000000005</v>
      </c>
      <c r="L286" s="6">
        <v>0</v>
      </c>
      <c r="M286" s="18">
        <v>0</v>
      </c>
      <c r="N286" s="18">
        <v>26000</v>
      </c>
    </row>
    <row r="287" spans="1:14" hidden="1">
      <c r="A287" s="4" t="s">
        <v>2290</v>
      </c>
      <c r="B287" s="5" t="s">
        <v>2530</v>
      </c>
      <c r="C287" s="6" t="s">
        <v>134</v>
      </c>
      <c r="D287" s="6" t="s">
        <v>135</v>
      </c>
      <c r="E287" s="6" t="s">
        <v>136</v>
      </c>
      <c r="F287" s="18">
        <v>21487.599999999999</v>
      </c>
      <c r="G287" s="18">
        <v>0</v>
      </c>
      <c r="H287" s="6">
        <v>0</v>
      </c>
      <c r="I287" s="6">
        <v>0</v>
      </c>
      <c r="J287" s="6">
        <v>0</v>
      </c>
      <c r="K287" s="6">
        <v>4512.4000000000005</v>
      </c>
      <c r="L287" s="6">
        <v>0</v>
      </c>
      <c r="M287" s="18">
        <v>0</v>
      </c>
      <c r="N287" s="18">
        <v>26000</v>
      </c>
    </row>
    <row r="288" spans="1:14" hidden="1">
      <c r="A288" s="4" t="s">
        <v>2290</v>
      </c>
      <c r="B288" s="5" t="s">
        <v>2529</v>
      </c>
      <c r="C288" s="6" t="s">
        <v>134</v>
      </c>
      <c r="D288" s="6" t="s">
        <v>135</v>
      </c>
      <c r="E288" s="6" t="s">
        <v>136</v>
      </c>
      <c r="F288" s="18">
        <v>21487.599999999999</v>
      </c>
      <c r="G288" s="18">
        <v>0</v>
      </c>
      <c r="H288" s="6">
        <v>0</v>
      </c>
      <c r="I288" s="6">
        <v>0</v>
      </c>
      <c r="J288" s="6">
        <v>0</v>
      </c>
      <c r="K288" s="6">
        <v>4512.4000000000005</v>
      </c>
      <c r="L288" s="6">
        <v>0</v>
      </c>
      <c r="M288" s="18">
        <v>0</v>
      </c>
      <c r="N288" s="18">
        <v>26000</v>
      </c>
    </row>
    <row r="289" spans="1:14" hidden="1">
      <c r="A289" s="4" t="s">
        <v>2496</v>
      </c>
      <c r="B289" s="5" t="s">
        <v>2504</v>
      </c>
      <c r="C289" s="6" t="s">
        <v>134</v>
      </c>
      <c r="D289" s="6" t="s">
        <v>135</v>
      </c>
      <c r="E289" s="6" t="s">
        <v>136</v>
      </c>
      <c r="F289" s="18">
        <v>21487.599999999999</v>
      </c>
      <c r="G289" s="18">
        <v>0</v>
      </c>
      <c r="H289" s="6">
        <v>0</v>
      </c>
      <c r="I289" s="6">
        <v>0</v>
      </c>
      <c r="J289" s="6">
        <v>0</v>
      </c>
      <c r="K289" s="6">
        <v>4512.4000000000005</v>
      </c>
      <c r="L289" s="6">
        <v>0</v>
      </c>
      <c r="M289" s="18">
        <v>0</v>
      </c>
      <c r="N289" s="18">
        <v>26000</v>
      </c>
    </row>
    <row r="290" spans="1:14" hidden="1">
      <c r="A290" s="4" t="s">
        <v>2496</v>
      </c>
      <c r="B290" s="5" t="s">
        <v>2495</v>
      </c>
      <c r="C290" s="6" t="s">
        <v>134</v>
      </c>
      <c r="D290" s="6" t="s">
        <v>135</v>
      </c>
      <c r="E290" s="6" t="s">
        <v>136</v>
      </c>
      <c r="F290" s="18">
        <v>21487.599999999999</v>
      </c>
      <c r="G290" s="18">
        <v>0</v>
      </c>
      <c r="H290" s="6">
        <v>0</v>
      </c>
      <c r="I290" s="6">
        <v>0</v>
      </c>
      <c r="J290" s="6">
        <v>0</v>
      </c>
      <c r="K290" s="6">
        <v>4512.4000000000005</v>
      </c>
      <c r="L290" s="6">
        <v>0</v>
      </c>
      <c r="M290" s="18">
        <v>0</v>
      </c>
      <c r="N290" s="18">
        <v>26000</v>
      </c>
    </row>
    <row r="291" spans="1:14" hidden="1">
      <c r="A291" s="4" t="s">
        <v>2285</v>
      </c>
      <c r="B291" s="5" t="s">
        <v>2488</v>
      </c>
      <c r="C291" s="6" t="s">
        <v>134</v>
      </c>
      <c r="D291" s="6" t="s">
        <v>135</v>
      </c>
      <c r="E291" s="6" t="s">
        <v>136</v>
      </c>
      <c r="F291" s="18">
        <v>21487.599999999999</v>
      </c>
      <c r="G291" s="18">
        <v>0</v>
      </c>
      <c r="H291" s="6">
        <v>0</v>
      </c>
      <c r="I291" s="6">
        <v>0</v>
      </c>
      <c r="J291" s="6">
        <v>0</v>
      </c>
      <c r="K291" s="6">
        <v>4512.4000000000005</v>
      </c>
      <c r="L291" s="6">
        <v>0</v>
      </c>
      <c r="M291" s="18">
        <v>0</v>
      </c>
      <c r="N291" s="18">
        <v>26000</v>
      </c>
    </row>
    <row r="292" spans="1:14" hidden="1">
      <c r="A292" s="4" t="s">
        <v>2285</v>
      </c>
      <c r="B292" s="5" t="s">
        <v>2485</v>
      </c>
      <c r="C292" s="6" t="s">
        <v>134</v>
      </c>
      <c r="D292" s="6" t="s">
        <v>135</v>
      </c>
      <c r="E292" s="6" t="s">
        <v>136</v>
      </c>
      <c r="F292" s="18">
        <v>21487.599999999999</v>
      </c>
      <c r="G292" s="18">
        <v>0</v>
      </c>
      <c r="H292" s="6">
        <v>0</v>
      </c>
      <c r="I292" s="6">
        <v>0</v>
      </c>
      <c r="J292" s="6">
        <v>0</v>
      </c>
      <c r="K292" s="6">
        <v>4512.4000000000005</v>
      </c>
      <c r="L292" s="6">
        <v>0</v>
      </c>
      <c r="M292" s="18">
        <v>0</v>
      </c>
      <c r="N292" s="18">
        <v>26000</v>
      </c>
    </row>
    <row r="293" spans="1:14" hidden="1">
      <c r="A293" s="4" t="s">
        <v>2279</v>
      </c>
      <c r="B293" s="5" t="s">
        <v>2475</v>
      </c>
      <c r="C293" s="6" t="s">
        <v>134</v>
      </c>
      <c r="D293" s="6" t="s">
        <v>135</v>
      </c>
      <c r="E293" s="6" t="s">
        <v>136</v>
      </c>
      <c r="F293" s="18">
        <v>21487.599999999999</v>
      </c>
      <c r="G293" s="18">
        <v>0</v>
      </c>
      <c r="H293" s="6">
        <v>0</v>
      </c>
      <c r="I293" s="6">
        <v>0</v>
      </c>
      <c r="J293" s="6">
        <v>0</v>
      </c>
      <c r="K293" s="6">
        <v>4512.4000000000005</v>
      </c>
      <c r="L293" s="6">
        <v>0</v>
      </c>
      <c r="M293" s="18">
        <v>0</v>
      </c>
      <c r="N293" s="18">
        <v>26000</v>
      </c>
    </row>
    <row r="294" spans="1:14" hidden="1">
      <c r="A294" s="4" t="s">
        <v>2271</v>
      </c>
      <c r="B294" s="5" t="s">
        <v>2438</v>
      </c>
      <c r="C294" s="6" t="s">
        <v>134</v>
      </c>
      <c r="D294" s="6" t="s">
        <v>135</v>
      </c>
      <c r="E294" s="6" t="s">
        <v>136</v>
      </c>
      <c r="F294" s="18">
        <v>21487.599999999999</v>
      </c>
      <c r="G294" s="18">
        <v>0</v>
      </c>
      <c r="H294" s="6">
        <v>0</v>
      </c>
      <c r="I294" s="6">
        <v>0</v>
      </c>
      <c r="J294" s="6">
        <v>0</v>
      </c>
      <c r="K294" s="6">
        <v>4512.4000000000005</v>
      </c>
      <c r="L294" s="6">
        <v>0</v>
      </c>
      <c r="M294" s="18">
        <v>0</v>
      </c>
      <c r="N294" s="18">
        <v>26000</v>
      </c>
    </row>
    <row r="295" spans="1:14" hidden="1">
      <c r="A295" s="4" t="s">
        <v>2271</v>
      </c>
      <c r="B295" s="5" t="s">
        <v>2437</v>
      </c>
      <c r="C295" s="6" t="s">
        <v>134</v>
      </c>
      <c r="D295" s="6" t="s">
        <v>135</v>
      </c>
      <c r="E295" s="6" t="s">
        <v>136</v>
      </c>
      <c r="F295" s="18">
        <v>21487.599999999999</v>
      </c>
      <c r="G295" s="18">
        <v>0</v>
      </c>
      <c r="H295" s="6">
        <v>0</v>
      </c>
      <c r="I295" s="6">
        <v>0</v>
      </c>
      <c r="J295" s="6">
        <v>0</v>
      </c>
      <c r="K295" s="6">
        <v>4512.4000000000005</v>
      </c>
      <c r="L295" s="6">
        <v>0</v>
      </c>
      <c r="M295" s="18">
        <v>0</v>
      </c>
      <c r="N295" s="18">
        <v>26000</v>
      </c>
    </row>
    <row r="296" spans="1:14" hidden="1">
      <c r="A296" s="4" t="s">
        <v>2403</v>
      </c>
      <c r="B296" s="5" t="s">
        <v>2416</v>
      </c>
      <c r="C296" s="6" t="s">
        <v>134</v>
      </c>
      <c r="D296" s="6" t="s">
        <v>135</v>
      </c>
      <c r="E296" s="6" t="s">
        <v>136</v>
      </c>
      <c r="F296" s="18">
        <v>21487.599999999999</v>
      </c>
      <c r="G296" s="18">
        <v>0</v>
      </c>
      <c r="H296" s="6">
        <v>0</v>
      </c>
      <c r="I296" s="6">
        <v>0</v>
      </c>
      <c r="J296" s="6">
        <v>0</v>
      </c>
      <c r="K296" s="6">
        <v>4512.4000000000005</v>
      </c>
      <c r="L296" s="6">
        <v>0</v>
      </c>
      <c r="M296" s="18">
        <v>0</v>
      </c>
      <c r="N296" s="18">
        <v>26000</v>
      </c>
    </row>
    <row r="297" spans="1:14" hidden="1">
      <c r="A297" s="4" t="s">
        <v>2379</v>
      </c>
      <c r="B297" s="5" t="s">
        <v>2391</v>
      </c>
      <c r="C297" s="6" t="s">
        <v>134</v>
      </c>
      <c r="D297" s="6" t="s">
        <v>135</v>
      </c>
      <c r="E297" s="6" t="s">
        <v>136</v>
      </c>
      <c r="F297" s="18">
        <v>21487.599999999999</v>
      </c>
      <c r="G297" s="18">
        <v>0</v>
      </c>
      <c r="H297" s="6">
        <v>0</v>
      </c>
      <c r="I297" s="6">
        <v>0</v>
      </c>
      <c r="J297" s="6">
        <v>0</v>
      </c>
      <c r="K297" s="6">
        <v>4512.4000000000005</v>
      </c>
      <c r="L297" s="6">
        <v>0</v>
      </c>
      <c r="M297" s="18">
        <v>0</v>
      </c>
      <c r="N297" s="18">
        <v>26000</v>
      </c>
    </row>
    <row r="298" spans="1:14" hidden="1">
      <c r="A298" s="4" t="s">
        <v>2379</v>
      </c>
      <c r="B298" s="5" t="s">
        <v>2383</v>
      </c>
      <c r="C298" s="6" t="s">
        <v>134</v>
      </c>
      <c r="D298" s="6" t="s">
        <v>135</v>
      </c>
      <c r="E298" s="6" t="s">
        <v>136</v>
      </c>
      <c r="F298" s="18">
        <v>21487.599999999999</v>
      </c>
      <c r="G298" s="18">
        <v>0</v>
      </c>
      <c r="H298" s="6">
        <v>0</v>
      </c>
      <c r="I298" s="6">
        <v>0</v>
      </c>
      <c r="J298" s="6">
        <v>0</v>
      </c>
      <c r="K298" s="6">
        <v>4512.4000000000005</v>
      </c>
      <c r="L298" s="6">
        <v>0</v>
      </c>
      <c r="M298" s="18">
        <v>0</v>
      </c>
      <c r="N298" s="18">
        <v>26000</v>
      </c>
    </row>
    <row r="299" spans="1:14" hidden="1">
      <c r="A299" s="4" t="s">
        <v>2379</v>
      </c>
      <c r="B299" s="5" t="s">
        <v>2382</v>
      </c>
      <c r="C299" s="6" t="s">
        <v>134</v>
      </c>
      <c r="D299" s="6" t="s">
        <v>135</v>
      </c>
      <c r="E299" s="6" t="s">
        <v>136</v>
      </c>
      <c r="F299" s="18">
        <v>21487.599999999999</v>
      </c>
      <c r="G299" s="18">
        <v>0</v>
      </c>
      <c r="H299" s="6">
        <v>0</v>
      </c>
      <c r="I299" s="6">
        <v>0</v>
      </c>
      <c r="J299" s="6">
        <v>0</v>
      </c>
      <c r="K299" s="6">
        <v>4512.4000000000005</v>
      </c>
      <c r="L299" s="6">
        <v>0</v>
      </c>
      <c r="M299" s="18">
        <v>0</v>
      </c>
      <c r="N299" s="18">
        <v>26000</v>
      </c>
    </row>
    <row r="300" spans="1:14" hidden="1">
      <c r="A300" s="4" t="s">
        <v>2379</v>
      </c>
      <c r="B300" s="5" t="s">
        <v>2381</v>
      </c>
      <c r="C300" s="6" t="s">
        <v>134</v>
      </c>
      <c r="D300" s="6" t="s">
        <v>135</v>
      </c>
      <c r="E300" s="6" t="s">
        <v>136</v>
      </c>
      <c r="F300" s="18">
        <v>21487.599999999999</v>
      </c>
      <c r="G300" s="18">
        <v>0</v>
      </c>
      <c r="H300" s="6">
        <v>0</v>
      </c>
      <c r="I300" s="6">
        <v>0</v>
      </c>
      <c r="J300" s="6">
        <v>0</v>
      </c>
      <c r="K300" s="6">
        <v>4512.4000000000005</v>
      </c>
      <c r="L300" s="6">
        <v>0</v>
      </c>
      <c r="M300" s="18">
        <v>0</v>
      </c>
      <c r="N300" s="18">
        <v>26000</v>
      </c>
    </row>
    <row r="301" spans="1:14" hidden="1">
      <c r="A301" s="4" t="s">
        <v>2261</v>
      </c>
      <c r="B301" s="5" t="s">
        <v>2367</v>
      </c>
      <c r="C301" s="6" t="s">
        <v>134</v>
      </c>
      <c r="D301" s="6" t="s">
        <v>135</v>
      </c>
      <c r="E301" s="6" t="s">
        <v>136</v>
      </c>
      <c r="F301" s="18">
        <v>21487.599999999999</v>
      </c>
      <c r="G301" s="18">
        <v>0</v>
      </c>
      <c r="H301" s="6">
        <v>0</v>
      </c>
      <c r="I301" s="6">
        <v>0</v>
      </c>
      <c r="J301" s="6">
        <v>0</v>
      </c>
      <c r="K301" s="6">
        <v>4512.4000000000005</v>
      </c>
      <c r="L301" s="6">
        <v>0</v>
      </c>
      <c r="M301" s="18">
        <v>0</v>
      </c>
      <c r="N301" s="18">
        <v>26000</v>
      </c>
    </row>
    <row r="302" spans="1:14" hidden="1">
      <c r="A302" s="4" t="s">
        <v>2266</v>
      </c>
      <c r="B302" s="5" t="s">
        <v>2360</v>
      </c>
      <c r="C302" s="6" t="s">
        <v>134</v>
      </c>
      <c r="D302" s="6" t="s">
        <v>135</v>
      </c>
      <c r="E302" s="6" t="s">
        <v>136</v>
      </c>
      <c r="F302" s="18">
        <v>21487.599999999999</v>
      </c>
      <c r="G302" s="18">
        <v>0</v>
      </c>
      <c r="H302" s="6">
        <v>0</v>
      </c>
      <c r="I302" s="6">
        <v>0</v>
      </c>
      <c r="J302" s="6">
        <v>0</v>
      </c>
      <c r="K302" s="6">
        <v>4512.4000000000005</v>
      </c>
      <c r="L302" s="6">
        <v>0</v>
      </c>
      <c r="M302" s="18">
        <v>0</v>
      </c>
      <c r="N302" s="18">
        <v>26000</v>
      </c>
    </row>
    <row r="303" spans="1:14" hidden="1">
      <c r="A303" s="4" t="s">
        <v>2263</v>
      </c>
      <c r="B303" s="5" t="s">
        <v>2342</v>
      </c>
      <c r="C303" s="6" t="s">
        <v>134</v>
      </c>
      <c r="D303" s="6" t="s">
        <v>135</v>
      </c>
      <c r="E303" s="6" t="s">
        <v>136</v>
      </c>
      <c r="F303" s="18">
        <v>21487.599999999999</v>
      </c>
      <c r="G303" s="18">
        <v>0</v>
      </c>
      <c r="H303" s="6">
        <v>0</v>
      </c>
      <c r="I303" s="6">
        <v>0</v>
      </c>
      <c r="J303" s="6">
        <v>0</v>
      </c>
      <c r="K303" s="6">
        <v>4512.4000000000005</v>
      </c>
      <c r="L303" s="6">
        <v>0</v>
      </c>
      <c r="M303" s="18">
        <v>0</v>
      </c>
      <c r="N303" s="18">
        <v>26000</v>
      </c>
    </row>
    <row r="304" spans="1:14" hidden="1">
      <c r="A304" s="4" t="s">
        <v>2263</v>
      </c>
      <c r="B304" s="5" t="s">
        <v>2339</v>
      </c>
      <c r="C304" s="6" t="s">
        <v>134</v>
      </c>
      <c r="D304" s="6" t="s">
        <v>135</v>
      </c>
      <c r="E304" s="6" t="s">
        <v>136</v>
      </c>
      <c r="F304" s="18">
        <v>21487.599999999999</v>
      </c>
      <c r="G304" s="18">
        <v>0</v>
      </c>
      <c r="H304" s="6">
        <v>0</v>
      </c>
      <c r="I304" s="6">
        <v>0</v>
      </c>
      <c r="J304" s="6">
        <v>0</v>
      </c>
      <c r="K304" s="6">
        <v>4512.4000000000005</v>
      </c>
      <c r="L304" s="6">
        <v>0</v>
      </c>
      <c r="M304" s="18">
        <v>0</v>
      </c>
      <c r="N304" s="18">
        <v>26000</v>
      </c>
    </row>
    <row r="305" spans="1:14" hidden="1">
      <c r="A305" s="4" t="s">
        <v>2319</v>
      </c>
      <c r="B305" s="5" t="s">
        <v>2606</v>
      </c>
      <c r="C305" s="6" t="s">
        <v>134</v>
      </c>
      <c r="D305" s="6" t="s">
        <v>135</v>
      </c>
      <c r="E305" s="6" t="s">
        <v>136</v>
      </c>
      <c r="F305" s="18">
        <v>22066.12</v>
      </c>
      <c r="G305" s="18">
        <v>0</v>
      </c>
      <c r="H305" s="6">
        <v>0</v>
      </c>
      <c r="I305" s="6">
        <v>0</v>
      </c>
      <c r="J305" s="6">
        <v>0</v>
      </c>
      <c r="K305" s="6">
        <v>4633.88</v>
      </c>
      <c r="L305" s="6">
        <v>0</v>
      </c>
      <c r="M305" s="18">
        <v>0</v>
      </c>
      <c r="N305" s="18">
        <v>26700</v>
      </c>
    </row>
    <row r="306" spans="1:14" hidden="1">
      <c r="A306" s="4" t="s">
        <v>2314</v>
      </c>
      <c r="B306" s="5" t="s">
        <v>2588</v>
      </c>
      <c r="C306" s="6" t="s">
        <v>134</v>
      </c>
      <c r="D306" s="6" t="s">
        <v>135</v>
      </c>
      <c r="E306" s="6" t="s">
        <v>136</v>
      </c>
      <c r="F306" s="18">
        <v>22892.560000000001</v>
      </c>
      <c r="G306" s="18">
        <v>0</v>
      </c>
      <c r="H306" s="6">
        <v>0</v>
      </c>
      <c r="I306" s="6">
        <v>0</v>
      </c>
      <c r="J306" s="6">
        <v>0</v>
      </c>
      <c r="K306" s="6">
        <v>4807.4400000000005</v>
      </c>
      <c r="L306" s="6">
        <v>0</v>
      </c>
      <c r="M306" s="18">
        <v>0</v>
      </c>
      <c r="N306" s="18">
        <v>27700</v>
      </c>
    </row>
    <row r="307" spans="1:14" hidden="1">
      <c r="A307" s="4" t="s">
        <v>2279</v>
      </c>
      <c r="B307" s="5" t="s">
        <v>2477</v>
      </c>
      <c r="C307" s="6" t="s">
        <v>134</v>
      </c>
      <c r="D307" s="6" t="s">
        <v>135</v>
      </c>
      <c r="E307" s="6" t="s">
        <v>136</v>
      </c>
      <c r="F307" s="18">
        <v>22892.560000000001</v>
      </c>
      <c r="G307" s="18">
        <v>0</v>
      </c>
      <c r="H307" s="6">
        <v>0</v>
      </c>
      <c r="I307" s="6">
        <v>0</v>
      </c>
      <c r="J307" s="6">
        <v>0</v>
      </c>
      <c r="K307" s="6">
        <v>4807.4400000000005</v>
      </c>
      <c r="L307" s="6">
        <v>0</v>
      </c>
      <c r="M307" s="18">
        <v>0</v>
      </c>
      <c r="N307" s="18">
        <v>27700</v>
      </c>
    </row>
    <row r="308" spans="1:14" hidden="1">
      <c r="A308" s="4" t="s">
        <v>2379</v>
      </c>
      <c r="B308" s="5" t="s">
        <v>2388</v>
      </c>
      <c r="C308" s="6" t="s">
        <v>134</v>
      </c>
      <c r="D308" s="6" t="s">
        <v>135</v>
      </c>
      <c r="E308" s="6" t="s">
        <v>136</v>
      </c>
      <c r="F308" s="18">
        <v>23057.85</v>
      </c>
      <c r="G308" s="18">
        <v>0</v>
      </c>
      <c r="H308" s="6">
        <v>0</v>
      </c>
      <c r="I308" s="6">
        <v>0</v>
      </c>
      <c r="J308" s="6">
        <v>0</v>
      </c>
      <c r="K308" s="6">
        <v>4842.1500000000005</v>
      </c>
      <c r="L308" s="6">
        <v>0</v>
      </c>
      <c r="M308" s="18">
        <v>0</v>
      </c>
      <c r="N308" s="18">
        <v>27900</v>
      </c>
    </row>
    <row r="309" spans="1:14" hidden="1">
      <c r="A309" s="4" t="s">
        <v>2314</v>
      </c>
      <c r="B309" s="5" t="s">
        <v>2593</v>
      </c>
      <c r="C309" s="6" t="s">
        <v>134</v>
      </c>
      <c r="D309" s="6" t="s">
        <v>135</v>
      </c>
      <c r="E309" s="6" t="s">
        <v>136</v>
      </c>
      <c r="F309" s="18">
        <v>23471.07</v>
      </c>
      <c r="G309" s="18">
        <v>0</v>
      </c>
      <c r="H309" s="6">
        <v>0</v>
      </c>
      <c r="I309" s="6">
        <v>0</v>
      </c>
      <c r="J309" s="6">
        <v>0</v>
      </c>
      <c r="K309" s="6">
        <v>4928.93</v>
      </c>
      <c r="L309" s="6">
        <v>0</v>
      </c>
      <c r="M309" s="18">
        <v>0</v>
      </c>
      <c r="N309" s="18">
        <v>28400</v>
      </c>
    </row>
    <row r="310" spans="1:14" hidden="1">
      <c r="A310" s="4" t="s">
        <v>2292</v>
      </c>
      <c r="B310" s="5" t="s">
        <v>2539</v>
      </c>
      <c r="C310" s="6" t="s">
        <v>134</v>
      </c>
      <c r="D310" s="6" t="s">
        <v>135</v>
      </c>
      <c r="E310" s="6" t="s">
        <v>136</v>
      </c>
      <c r="F310" s="18">
        <v>23471.07</v>
      </c>
      <c r="G310" s="18">
        <v>0</v>
      </c>
      <c r="H310" s="6">
        <v>0</v>
      </c>
      <c r="I310" s="6">
        <v>0</v>
      </c>
      <c r="J310" s="6">
        <v>0</v>
      </c>
      <c r="K310" s="6">
        <v>4928.93</v>
      </c>
      <c r="L310" s="6">
        <v>0</v>
      </c>
      <c r="M310" s="18">
        <v>0</v>
      </c>
      <c r="N310" s="18">
        <v>28400</v>
      </c>
    </row>
    <row r="311" spans="1:14" hidden="1">
      <c r="A311" s="4" t="s">
        <v>2266</v>
      </c>
      <c r="B311" s="5" t="s">
        <v>2355</v>
      </c>
      <c r="C311" s="6" t="s">
        <v>134</v>
      </c>
      <c r="D311" s="6" t="s">
        <v>135</v>
      </c>
      <c r="E311" s="6" t="s">
        <v>136</v>
      </c>
      <c r="F311" s="18">
        <v>23471.07</v>
      </c>
      <c r="G311" s="18">
        <v>0</v>
      </c>
      <c r="H311" s="6">
        <v>0</v>
      </c>
      <c r="I311" s="6">
        <v>0</v>
      </c>
      <c r="J311" s="6">
        <v>0</v>
      </c>
      <c r="K311" s="6">
        <v>4928.93</v>
      </c>
      <c r="L311" s="6">
        <v>0</v>
      </c>
      <c r="M311" s="18">
        <v>0</v>
      </c>
      <c r="N311" s="18">
        <v>28400</v>
      </c>
    </row>
    <row r="312" spans="1:14" hidden="1">
      <c r="A312" s="4" t="s">
        <v>2266</v>
      </c>
      <c r="B312" s="5" t="s">
        <v>2357</v>
      </c>
      <c r="C312" s="6" t="s">
        <v>134</v>
      </c>
      <c r="D312" s="6" t="s">
        <v>135</v>
      </c>
      <c r="E312" s="6" t="s">
        <v>136</v>
      </c>
      <c r="F312" s="18">
        <v>23801.65</v>
      </c>
      <c r="G312" s="18">
        <v>0</v>
      </c>
      <c r="H312" s="6">
        <v>0</v>
      </c>
      <c r="I312" s="6">
        <v>0</v>
      </c>
      <c r="J312" s="6">
        <v>0</v>
      </c>
      <c r="K312" s="6">
        <v>4998.3500000000004</v>
      </c>
      <c r="L312" s="6">
        <v>0</v>
      </c>
      <c r="M312" s="18">
        <v>0</v>
      </c>
      <c r="N312" s="18">
        <v>28800</v>
      </c>
    </row>
    <row r="313" spans="1:14" hidden="1">
      <c r="A313" s="4" t="s">
        <v>2266</v>
      </c>
      <c r="B313" s="5" t="s">
        <v>2356</v>
      </c>
      <c r="C313" s="6" t="s">
        <v>134</v>
      </c>
      <c r="D313" s="6" t="s">
        <v>135</v>
      </c>
      <c r="E313" s="6" t="s">
        <v>136</v>
      </c>
      <c r="F313" s="18">
        <v>23966.94</v>
      </c>
      <c r="G313" s="18">
        <v>0</v>
      </c>
      <c r="H313" s="6">
        <v>0</v>
      </c>
      <c r="I313" s="6">
        <v>0</v>
      </c>
      <c r="J313" s="6">
        <v>0</v>
      </c>
      <c r="K313" s="6">
        <v>5033.0600000000004</v>
      </c>
      <c r="L313" s="6">
        <v>0</v>
      </c>
      <c r="M313" s="18">
        <v>0</v>
      </c>
      <c r="N313" s="18">
        <v>29000</v>
      </c>
    </row>
    <row r="314" spans="1:14" hidden="1">
      <c r="A314" s="4" t="s">
        <v>2287</v>
      </c>
      <c r="B314" s="5" t="s">
        <v>2517</v>
      </c>
      <c r="C314" s="6" t="s">
        <v>134</v>
      </c>
      <c r="D314" s="6" t="s">
        <v>135</v>
      </c>
      <c r="E314" s="6" t="s">
        <v>136</v>
      </c>
      <c r="F314" s="18">
        <v>24545.46</v>
      </c>
      <c r="G314" s="18">
        <v>0</v>
      </c>
      <c r="H314" s="6">
        <v>0</v>
      </c>
      <c r="I314" s="6">
        <v>0</v>
      </c>
      <c r="J314" s="6">
        <v>0</v>
      </c>
      <c r="K314" s="6">
        <v>5154.54</v>
      </c>
      <c r="L314" s="6">
        <v>0</v>
      </c>
      <c r="M314" s="18">
        <v>0</v>
      </c>
      <c r="N314" s="18">
        <v>29700</v>
      </c>
    </row>
    <row r="315" spans="1:14" hidden="1">
      <c r="A315" s="4" t="s">
        <v>2329</v>
      </c>
      <c r="B315" s="5" t="s">
        <v>2616</v>
      </c>
      <c r="C315" s="6" t="s">
        <v>134</v>
      </c>
      <c r="D315" s="6" t="s">
        <v>135</v>
      </c>
      <c r="E315" s="6" t="s">
        <v>136</v>
      </c>
      <c r="F315" s="18">
        <v>24628.1</v>
      </c>
      <c r="G315" s="18">
        <v>0</v>
      </c>
      <c r="H315" s="6">
        <v>0</v>
      </c>
      <c r="I315" s="6">
        <v>0</v>
      </c>
      <c r="J315" s="6">
        <v>0</v>
      </c>
      <c r="K315" s="6">
        <v>5171.9000000000005</v>
      </c>
      <c r="L315" s="6">
        <v>0</v>
      </c>
      <c r="M315" s="18">
        <v>0</v>
      </c>
      <c r="N315" s="18">
        <v>29800</v>
      </c>
    </row>
    <row r="316" spans="1:14">
      <c r="A316" s="4" t="s">
        <v>2565</v>
      </c>
      <c r="B316" s="5" t="s">
        <v>2570</v>
      </c>
      <c r="C316" s="6" t="s">
        <v>2569</v>
      </c>
      <c r="D316" s="6" t="s">
        <v>135</v>
      </c>
      <c r="E316" s="6">
        <v>29116688</v>
      </c>
      <c r="F316" s="18">
        <v>24628.1</v>
      </c>
      <c r="G316" s="18">
        <v>0</v>
      </c>
      <c r="H316" s="6">
        <v>0</v>
      </c>
      <c r="I316" s="6">
        <v>0</v>
      </c>
      <c r="J316" s="6">
        <v>0</v>
      </c>
      <c r="K316" s="6">
        <v>5171.9000000000005</v>
      </c>
      <c r="L316" s="6">
        <v>0</v>
      </c>
      <c r="M316" s="18">
        <v>0</v>
      </c>
      <c r="N316" s="18">
        <v>29800</v>
      </c>
    </row>
    <row r="317" spans="1:14" hidden="1">
      <c r="A317" s="4" t="s">
        <v>2287</v>
      </c>
      <c r="B317" s="5" t="s">
        <v>2510</v>
      </c>
      <c r="C317" s="6" t="s">
        <v>134</v>
      </c>
      <c r="D317" s="6" t="s">
        <v>135</v>
      </c>
      <c r="E317" s="6" t="s">
        <v>136</v>
      </c>
      <c r="F317" s="18">
        <v>24628.1</v>
      </c>
      <c r="G317" s="18">
        <v>0</v>
      </c>
      <c r="H317" s="6">
        <v>0</v>
      </c>
      <c r="I317" s="6">
        <v>0</v>
      </c>
      <c r="J317" s="6">
        <v>0</v>
      </c>
      <c r="K317" s="6">
        <v>5171.9000000000005</v>
      </c>
      <c r="L317" s="6">
        <v>0</v>
      </c>
      <c r="M317" s="18">
        <v>0</v>
      </c>
      <c r="N317" s="18">
        <v>29800</v>
      </c>
    </row>
    <row r="318" spans="1:14" hidden="1">
      <c r="A318" s="4" t="s">
        <v>2285</v>
      </c>
      <c r="B318" s="5" t="s">
        <v>2491</v>
      </c>
      <c r="C318" s="6" t="s">
        <v>134</v>
      </c>
      <c r="D318" s="6" t="s">
        <v>135</v>
      </c>
      <c r="E318" s="6" t="s">
        <v>136</v>
      </c>
      <c r="F318" s="18">
        <v>24669.42</v>
      </c>
      <c r="G318" s="18">
        <v>0</v>
      </c>
      <c r="H318" s="6">
        <v>0</v>
      </c>
      <c r="I318" s="6">
        <v>0</v>
      </c>
      <c r="J318" s="6">
        <v>0</v>
      </c>
      <c r="K318" s="6">
        <v>5180.58</v>
      </c>
      <c r="L318" s="6">
        <v>0</v>
      </c>
      <c r="M318" s="18">
        <v>0</v>
      </c>
      <c r="N318" s="18">
        <v>29850</v>
      </c>
    </row>
    <row r="319" spans="1:14" hidden="1">
      <c r="A319" s="4" t="s">
        <v>2269</v>
      </c>
      <c r="B319" s="5" t="s">
        <v>2426</v>
      </c>
      <c r="C319" s="6" t="s">
        <v>134</v>
      </c>
      <c r="D319" s="6" t="s">
        <v>135</v>
      </c>
      <c r="E319" s="6" t="s">
        <v>136</v>
      </c>
      <c r="F319" s="18">
        <v>24793.39</v>
      </c>
      <c r="G319" s="18">
        <v>0</v>
      </c>
      <c r="H319" s="6">
        <v>0</v>
      </c>
      <c r="I319" s="6">
        <v>0</v>
      </c>
      <c r="J319" s="6">
        <v>0</v>
      </c>
      <c r="K319" s="6">
        <v>5206.6099999999997</v>
      </c>
      <c r="L319" s="6">
        <v>0</v>
      </c>
      <c r="M319" s="18">
        <v>0</v>
      </c>
      <c r="N319" s="18">
        <v>30000</v>
      </c>
    </row>
    <row r="320" spans="1:14" hidden="1">
      <c r="A320" s="4" t="s">
        <v>2275</v>
      </c>
      <c r="B320" s="5" t="s">
        <v>2459</v>
      </c>
      <c r="C320" s="6" t="s">
        <v>134</v>
      </c>
      <c r="D320" s="6" t="s">
        <v>135</v>
      </c>
      <c r="E320" s="6" t="s">
        <v>136</v>
      </c>
      <c r="F320" s="18">
        <v>25413.22</v>
      </c>
      <c r="G320" s="18">
        <v>0</v>
      </c>
      <c r="H320" s="6">
        <v>0</v>
      </c>
      <c r="I320" s="6">
        <v>0</v>
      </c>
      <c r="J320" s="6">
        <v>0</v>
      </c>
      <c r="K320" s="6">
        <v>5336.78</v>
      </c>
      <c r="L320" s="6">
        <v>0</v>
      </c>
      <c r="M320" s="18">
        <v>0</v>
      </c>
      <c r="N320" s="18">
        <v>30750</v>
      </c>
    </row>
    <row r="321" spans="1:14" hidden="1">
      <c r="A321" s="4" t="s">
        <v>2290</v>
      </c>
      <c r="B321" s="5" t="s">
        <v>2534</v>
      </c>
      <c r="C321" s="6" t="s">
        <v>134</v>
      </c>
      <c r="D321" s="6" t="s">
        <v>135</v>
      </c>
      <c r="E321" s="6" t="s">
        <v>136</v>
      </c>
      <c r="F321" s="18">
        <v>26033.06</v>
      </c>
      <c r="G321" s="18">
        <v>0</v>
      </c>
      <c r="H321" s="6">
        <v>0</v>
      </c>
      <c r="I321" s="6">
        <v>0</v>
      </c>
      <c r="J321" s="6">
        <v>0</v>
      </c>
      <c r="K321" s="6">
        <v>5466.94</v>
      </c>
      <c r="L321" s="6">
        <v>0</v>
      </c>
      <c r="M321" s="18">
        <v>0</v>
      </c>
      <c r="N321" s="18">
        <v>31500</v>
      </c>
    </row>
    <row r="322" spans="1:14" hidden="1">
      <c r="A322" s="4" t="s">
        <v>2287</v>
      </c>
      <c r="B322" s="5" t="s">
        <v>2513</v>
      </c>
      <c r="C322" s="6" t="s">
        <v>134</v>
      </c>
      <c r="D322" s="6" t="s">
        <v>135</v>
      </c>
      <c r="E322" s="6" t="s">
        <v>136</v>
      </c>
      <c r="F322" s="18">
        <v>26033.06</v>
      </c>
      <c r="G322" s="18">
        <v>0</v>
      </c>
      <c r="H322" s="6">
        <v>0</v>
      </c>
      <c r="I322" s="6">
        <v>0</v>
      </c>
      <c r="J322" s="6">
        <v>0</v>
      </c>
      <c r="K322" s="6">
        <v>5466.94</v>
      </c>
      <c r="L322" s="6">
        <v>0</v>
      </c>
      <c r="M322" s="18">
        <v>0</v>
      </c>
      <c r="N322" s="18">
        <v>31500</v>
      </c>
    </row>
    <row r="323" spans="1:14" hidden="1">
      <c r="A323" s="4" t="s">
        <v>2263</v>
      </c>
      <c r="B323" s="5" t="s">
        <v>2350</v>
      </c>
      <c r="C323" s="6" t="s">
        <v>134</v>
      </c>
      <c r="D323" s="6" t="s">
        <v>135</v>
      </c>
      <c r="E323" s="6" t="s">
        <v>136</v>
      </c>
      <c r="F323" s="18">
        <v>26446.28</v>
      </c>
      <c r="G323" s="18">
        <v>0</v>
      </c>
      <c r="H323" s="6">
        <v>0</v>
      </c>
      <c r="I323" s="6">
        <v>0</v>
      </c>
      <c r="J323" s="6">
        <v>0</v>
      </c>
      <c r="K323" s="6">
        <v>5553.72</v>
      </c>
      <c r="L323" s="6">
        <v>0</v>
      </c>
      <c r="M323" s="18">
        <v>0</v>
      </c>
      <c r="N323" s="18">
        <v>32000</v>
      </c>
    </row>
    <row r="324" spans="1:14" hidden="1">
      <c r="A324" s="4" t="s">
        <v>2261</v>
      </c>
      <c r="B324" s="5" t="s">
        <v>2369</v>
      </c>
      <c r="C324" s="6" t="s">
        <v>134</v>
      </c>
      <c r="D324" s="6" t="s">
        <v>135</v>
      </c>
      <c r="E324" s="6" t="s">
        <v>136</v>
      </c>
      <c r="F324" s="18">
        <v>28016.53</v>
      </c>
      <c r="G324" s="18">
        <v>0</v>
      </c>
      <c r="H324" s="6">
        <v>0</v>
      </c>
      <c r="I324" s="6">
        <v>0</v>
      </c>
      <c r="J324" s="6">
        <v>0</v>
      </c>
      <c r="K324" s="6">
        <v>5883.47</v>
      </c>
      <c r="L324" s="6">
        <v>0</v>
      </c>
      <c r="M324" s="18">
        <v>0</v>
      </c>
      <c r="N324" s="18">
        <v>33900</v>
      </c>
    </row>
    <row r="325" spans="1:14" hidden="1">
      <c r="A325" s="4" t="s">
        <v>2292</v>
      </c>
      <c r="B325" s="5" t="s">
        <v>2540</v>
      </c>
      <c r="C325" s="6" t="s">
        <v>134</v>
      </c>
      <c r="D325" s="6" t="s">
        <v>135</v>
      </c>
      <c r="E325" s="6" t="s">
        <v>136</v>
      </c>
      <c r="F325" s="18">
        <v>28099.17</v>
      </c>
      <c r="G325" s="18">
        <v>0</v>
      </c>
      <c r="H325" s="6">
        <v>0</v>
      </c>
      <c r="I325" s="6">
        <v>0</v>
      </c>
      <c r="J325" s="6">
        <v>0</v>
      </c>
      <c r="K325" s="6">
        <v>5900.83</v>
      </c>
      <c r="L325" s="6">
        <v>0</v>
      </c>
      <c r="M325" s="18">
        <v>0</v>
      </c>
      <c r="N325" s="18">
        <v>34000</v>
      </c>
    </row>
    <row r="326" spans="1:14" hidden="1">
      <c r="A326" s="4" t="s">
        <v>2269</v>
      </c>
      <c r="B326" s="5" t="s">
        <v>2427</v>
      </c>
      <c r="C326" s="6" t="s">
        <v>134</v>
      </c>
      <c r="D326" s="6" t="s">
        <v>135</v>
      </c>
      <c r="E326" s="6" t="s">
        <v>136</v>
      </c>
      <c r="F326" s="18">
        <v>28099.17</v>
      </c>
      <c r="G326" s="18">
        <v>0</v>
      </c>
      <c r="H326" s="6">
        <v>0</v>
      </c>
      <c r="I326" s="6">
        <v>0</v>
      </c>
      <c r="J326" s="6">
        <v>0</v>
      </c>
      <c r="K326" s="6">
        <v>5900.83</v>
      </c>
      <c r="L326" s="6">
        <v>0</v>
      </c>
      <c r="M326" s="18">
        <v>0</v>
      </c>
      <c r="N326" s="18">
        <v>34000</v>
      </c>
    </row>
    <row r="327" spans="1:14" hidden="1">
      <c r="A327" s="4" t="s">
        <v>2304</v>
      </c>
      <c r="B327" s="5" t="s">
        <v>2581</v>
      </c>
      <c r="C327" s="6" t="s">
        <v>134</v>
      </c>
      <c r="D327" s="6" t="s">
        <v>135</v>
      </c>
      <c r="E327" s="6" t="s">
        <v>136</v>
      </c>
      <c r="F327" s="18">
        <v>28925.62</v>
      </c>
      <c r="G327" s="18">
        <v>0</v>
      </c>
      <c r="H327" s="6">
        <v>0</v>
      </c>
      <c r="I327" s="6">
        <v>0</v>
      </c>
      <c r="J327" s="6">
        <v>0</v>
      </c>
      <c r="K327" s="6">
        <v>6074.38</v>
      </c>
      <c r="L327" s="6">
        <v>0</v>
      </c>
      <c r="M327" s="18">
        <v>0</v>
      </c>
      <c r="N327" s="18">
        <v>35000</v>
      </c>
    </row>
    <row r="328" spans="1:14" hidden="1">
      <c r="A328" s="4" t="s">
        <v>2403</v>
      </c>
      <c r="B328" s="5" t="s">
        <v>2410</v>
      </c>
      <c r="C328" s="6" t="s">
        <v>134</v>
      </c>
      <c r="D328" s="6" t="s">
        <v>135</v>
      </c>
      <c r="E328" s="6" t="s">
        <v>136</v>
      </c>
      <c r="F328" s="18">
        <v>28925.62</v>
      </c>
      <c r="G328" s="18">
        <v>0</v>
      </c>
      <c r="H328" s="6">
        <v>0</v>
      </c>
      <c r="I328" s="6">
        <v>0</v>
      </c>
      <c r="J328" s="6">
        <v>0</v>
      </c>
      <c r="K328" s="6">
        <v>6074.38</v>
      </c>
      <c r="L328" s="6">
        <v>0</v>
      </c>
      <c r="M328" s="18">
        <v>0</v>
      </c>
      <c r="N328" s="18">
        <v>35000</v>
      </c>
    </row>
    <row r="329" spans="1:14" hidden="1">
      <c r="A329" s="4" t="s">
        <v>2496</v>
      </c>
      <c r="B329" s="5" t="s">
        <v>2505</v>
      </c>
      <c r="C329" s="6" t="s">
        <v>134</v>
      </c>
      <c r="D329" s="6" t="s">
        <v>135</v>
      </c>
      <c r="E329" s="6" t="s">
        <v>136</v>
      </c>
      <c r="F329" s="18">
        <v>29090.91</v>
      </c>
      <c r="G329" s="18">
        <v>0</v>
      </c>
      <c r="H329" s="6">
        <v>0</v>
      </c>
      <c r="I329" s="6">
        <v>0</v>
      </c>
      <c r="J329" s="6">
        <v>0</v>
      </c>
      <c r="K329" s="6">
        <v>6109.09</v>
      </c>
      <c r="L329" s="6">
        <v>0</v>
      </c>
      <c r="M329" s="18">
        <v>0</v>
      </c>
      <c r="N329" s="18">
        <v>35200</v>
      </c>
    </row>
    <row r="330" spans="1:14">
      <c r="A330" s="4" t="s">
        <v>2334</v>
      </c>
      <c r="B330" s="5" t="s">
        <v>2625</v>
      </c>
      <c r="C330" s="6" t="s">
        <v>2624</v>
      </c>
      <c r="D330" s="6" t="s">
        <v>135</v>
      </c>
      <c r="E330" s="6">
        <v>25966714</v>
      </c>
      <c r="F330" s="18">
        <v>29338.84</v>
      </c>
      <c r="G330" s="18">
        <v>0</v>
      </c>
      <c r="H330" s="6">
        <v>0</v>
      </c>
      <c r="I330" s="6">
        <v>0</v>
      </c>
      <c r="J330" s="6">
        <v>0</v>
      </c>
      <c r="K330" s="6">
        <v>6161.16</v>
      </c>
      <c r="L330" s="6">
        <v>0</v>
      </c>
      <c r="M330" s="18">
        <v>0</v>
      </c>
      <c r="N330" s="18">
        <v>35500</v>
      </c>
    </row>
    <row r="331" spans="1:14" hidden="1">
      <c r="A331" s="4" t="s">
        <v>2314</v>
      </c>
      <c r="B331" s="5" t="s">
        <v>2585</v>
      </c>
      <c r="C331" s="6" t="s">
        <v>134</v>
      </c>
      <c r="D331" s="6" t="s">
        <v>135</v>
      </c>
      <c r="E331" s="6" t="s">
        <v>136</v>
      </c>
      <c r="F331" s="18">
        <v>29338.84</v>
      </c>
      <c r="G331" s="18">
        <v>0</v>
      </c>
      <c r="H331" s="6">
        <v>0</v>
      </c>
      <c r="I331" s="6">
        <v>0</v>
      </c>
      <c r="J331" s="6">
        <v>0</v>
      </c>
      <c r="K331" s="6">
        <v>6161.16</v>
      </c>
      <c r="L331" s="6">
        <v>0</v>
      </c>
      <c r="M331" s="18">
        <v>0</v>
      </c>
      <c r="N331" s="18">
        <v>35500</v>
      </c>
    </row>
    <row r="332" spans="1:14" hidden="1">
      <c r="A332" s="4" t="s">
        <v>2304</v>
      </c>
      <c r="B332" s="5" t="s">
        <v>2579</v>
      </c>
      <c r="C332" s="6" t="s">
        <v>134</v>
      </c>
      <c r="D332" s="6" t="s">
        <v>135</v>
      </c>
      <c r="E332" s="6" t="s">
        <v>136</v>
      </c>
      <c r="F332" s="18">
        <v>29338.84</v>
      </c>
      <c r="G332" s="18">
        <v>0</v>
      </c>
      <c r="H332" s="6">
        <v>0</v>
      </c>
      <c r="I332" s="6">
        <v>0</v>
      </c>
      <c r="J332" s="6">
        <v>0</v>
      </c>
      <c r="K332" s="6">
        <v>6161.16</v>
      </c>
      <c r="L332" s="6">
        <v>0</v>
      </c>
      <c r="M332" s="18">
        <v>0</v>
      </c>
      <c r="N332" s="18">
        <v>35500</v>
      </c>
    </row>
    <row r="333" spans="1:14" hidden="1">
      <c r="A333" s="4" t="s">
        <v>2290</v>
      </c>
      <c r="B333" s="5" t="s">
        <v>2533</v>
      </c>
      <c r="C333" s="6" t="s">
        <v>134</v>
      </c>
      <c r="D333" s="6" t="s">
        <v>135</v>
      </c>
      <c r="E333" s="6" t="s">
        <v>136</v>
      </c>
      <c r="F333" s="18">
        <v>29338.84</v>
      </c>
      <c r="G333" s="18">
        <v>0</v>
      </c>
      <c r="H333" s="6">
        <v>0</v>
      </c>
      <c r="I333" s="6">
        <v>0</v>
      </c>
      <c r="J333" s="6">
        <v>0</v>
      </c>
      <c r="K333" s="6">
        <v>6161.16</v>
      </c>
      <c r="L333" s="6">
        <v>0</v>
      </c>
      <c r="M333" s="18">
        <v>0</v>
      </c>
      <c r="N333" s="18">
        <v>35500</v>
      </c>
    </row>
    <row r="334" spans="1:14" hidden="1">
      <c r="A334" s="4" t="s">
        <v>2287</v>
      </c>
      <c r="B334" s="5" t="s">
        <v>2516</v>
      </c>
      <c r="C334" s="6" t="s">
        <v>134</v>
      </c>
      <c r="D334" s="6" t="s">
        <v>135</v>
      </c>
      <c r="E334" s="6" t="s">
        <v>136</v>
      </c>
      <c r="F334" s="18">
        <v>29338.84</v>
      </c>
      <c r="G334" s="18">
        <v>0</v>
      </c>
      <c r="H334" s="6">
        <v>0</v>
      </c>
      <c r="I334" s="6">
        <v>0</v>
      </c>
      <c r="J334" s="6">
        <v>0</v>
      </c>
      <c r="K334" s="6">
        <v>6161.16</v>
      </c>
      <c r="L334" s="6">
        <v>0</v>
      </c>
      <c r="M334" s="18">
        <v>0</v>
      </c>
      <c r="N334" s="18">
        <v>35500</v>
      </c>
    </row>
    <row r="335" spans="1:14">
      <c r="A335" s="4" t="s">
        <v>2275</v>
      </c>
      <c r="B335" s="5" t="s">
        <v>2455</v>
      </c>
      <c r="C335" s="6" t="s">
        <v>2454</v>
      </c>
      <c r="D335" s="6" t="s">
        <v>135</v>
      </c>
      <c r="E335" s="6">
        <v>29078770</v>
      </c>
      <c r="F335" s="18">
        <v>29338.84</v>
      </c>
      <c r="G335" s="18">
        <v>0</v>
      </c>
      <c r="H335" s="6">
        <v>0</v>
      </c>
      <c r="I335" s="6">
        <v>0</v>
      </c>
      <c r="J335" s="6">
        <v>0</v>
      </c>
      <c r="K335" s="6">
        <v>6161.16</v>
      </c>
      <c r="L335" s="6">
        <v>0</v>
      </c>
      <c r="M335" s="18">
        <v>0</v>
      </c>
      <c r="N335" s="18">
        <v>35500</v>
      </c>
    </row>
    <row r="336" spans="1:14" hidden="1">
      <c r="A336" s="4" t="s">
        <v>2271</v>
      </c>
      <c r="B336" s="5" t="s">
        <v>2436</v>
      </c>
      <c r="C336" s="6" t="s">
        <v>134</v>
      </c>
      <c r="D336" s="6" t="s">
        <v>135</v>
      </c>
      <c r="E336" s="6" t="s">
        <v>136</v>
      </c>
      <c r="F336" s="18">
        <v>29338.84</v>
      </c>
      <c r="G336" s="18">
        <v>0</v>
      </c>
      <c r="H336" s="6">
        <v>0</v>
      </c>
      <c r="I336" s="6">
        <v>0</v>
      </c>
      <c r="J336" s="6">
        <v>0</v>
      </c>
      <c r="K336" s="6">
        <v>6161.16</v>
      </c>
      <c r="L336" s="6">
        <v>0</v>
      </c>
      <c r="M336" s="18">
        <v>0</v>
      </c>
      <c r="N336" s="18">
        <v>35500</v>
      </c>
    </row>
    <row r="337" spans="1:14" hidden="1">
      <c r="A337" s="4" t="s">
        <v>2266</v>
      </c>
      <c r="B337" s="5" t="s">
        <v>2362</v>
      </c>
      <c r="C337" s="6" t="s">
        <v>134</v>
      </c>
      <c r="D337" s="6" t="s">
        <v>135</v>
      </c>
      <c r="E337" s="6" t="s">
        <v>136</v>
      </c>
      <c r="F337" s="18">
        <v>29338.84</v>
      </c>
      <c r="G337" s="18">
        <v>0</v>
      </c>
      <c r="H337" s="6">
        <v>0</v>
      </c>
      <c r="I337" s="6">
        <v>0</v>
      </c>
      <c r="J337" s="6">
        <v>0</v>
      </c>
      <c r="K337" s="6">
        <v>6161.16</v>
      </c>
      <c r="L337" s="6">
        <v>0</v>
      </c>
      <c r="M337" s="18">
        <v>0</v>
      </c>
      <c r="N337" s="18">
        <v>35500</v>
      </c>
    </row>
    <row r="338" spans="1:14">
      <c r="A338" s="4" t="s">
        <v>2269</v>
      </c>
      <c r="B338" s="5" t="s">
        <v>2425</v>
      </c>
      <c r="C338" s="6" t="s">
        <v>2424</v>
      </c>
      <c r="D338" s="6" t="s">
        <v>135</v>
      </c>
      <c r="E338" s="6">
        <v>13881587</v>
      </c>
      <c r="F338" s="18">
        <v>29752.07</v>
      </c>
      <c r="G338" s="18">
        <v>0</v>
      </c>
      <c r="H338" s="6">
        <v>0</v>
      </c>
      <c r="I338" s="6">
        <v>0</v>
      </c>
      <c r="J338" s="6">
        <v>0</v>
      </c>
      <c r="K338" s="6">
        <v>6247.93</v>
      </c>
      <c r="L338" s="6">
        <v>0</v>
      </c>
      <c r="M338" s="18">
        <v>0</v>
      </c>
      <c r="N338" s="18">
        <v>36000</v>
      </c>
    </row>
    <row r="339" spans="1:14">
      <c r="A339" s="4" t="s">
        <v>2403</v>
      </c>
      <c r="B339" s="5" t="s">
        <v>2407</v>
      </c>
      <c r="C339" s="6" t="s">
        <v>2406</v>
      </c>
      <c r="D339" s="6" t="s">
        <v>135</v>
      </c>
      <c r="E339" s="6">
        <v>5584608</v>
      </c>
      <c r="F339" s="18">
        <v>29752.07</v>
      </c>
      <c r="G339" s="18">
        <v>0</v>
      </c>
      <c r="H339" s="6">
        <v>0</v>
      </c>
      <c r="I339" s="6">
        <v>0</v>
      </c>
      <c r="J339" s="6">
        <v>0</v>
      </c>
      <c r="K339" s="6">
        <v>6247.93</v>
      </c>
      <c r="L339" s="6">
        <v>0</v>
      </c>
      <c r="M339" s="18">
        <v>0</v>
      </c>
      <c r="N339" s="18">
        <v>36000</v>
      </c>
    </row>
    <row r="340" spans="1:14" hidden="1">
      <c r="A340" s="4" t="s">
        <v>2263</v>
      </c>
      <c r="B340" s="5" t="s">
        <v>2343</v>
      </c>
      <c r="C340" s="6" t="s">
        <v>134</v>
      </c>
      <c r="D340" s="6" t="s">
        <v>135</v>
      </c>
      <c r="E340" s="6" t="s">
        <v>136</v>
      </c>
      <c r="F340" s="18">
        <v>29752.07</v>
      </c>
      <c r="G340" s="18">
        <v>0</v>
      </c>
      <c r="H340" s="6">
        <v>0</v>
      </c>
      <c r="I340" s="6">
        <v>0</v>
      </c>
      <c r="J340" s="6">
        <v>0</v>
      </c>
      <c r="K340" s="6">
        <v>6247.93</v>
      </c>
      <c r="L340" s="6">
        <v>0</v>
      </c>
      <c r="M340" s="18">
        <v>0</v>
      </c>
      <c r="N340" s="18">
        <v>36000</v>
      </c>
    </row>
    <row r="341" spans="1:14" hidden="1">
      <c r="A341" s="4" t="s">
        <v>2266</v>
      </c>
      <c r="B341" s="5" t="s">
        <v>2365</v>
      </c>
      <c r="C341" s="6" t="s">
        <v>134</v>
      </c>
      <c r="D341" s="6" t="s">
        <v>135</v>
      </c>
      <c r="E341" s="6" t="s">
        <v>136</v>
      </c>
      <c r="F341" s="18">
        <v>30495.87</v>
      </c>
      <c r="G341" s="18">
        <v>0</v>
      </c>
      <c r="H341" s="6">
        <v>0</v>
      </c>
      <c r="I341" s="6">
        <v>0</v>
      </c>
      <c r="J341" s="6">
        <v>0</v>
      </c>
      <c r="K341" s="6">
        <v>6404.13</v>
      </c>
      <c r="L341" s="6">
        <v>0</v>
      </c>
      <c r="M341" s="18">
        <v>0</v>
      </c>
      <c r="N341" s="18">
        <v>36900</v>
      </c>
    </row>
    <row r="342" spans="1:14" hidden="1">
      <c r="A342" s="4" t="s">
        <v>2319</v>
      </c>
      <c r="B342" s="5" t="s">
        <v>2603</v>
      </c>
      <c r="C342" s="6" t="s">
        <v>134</v>
      </c>
      <c r="D342" s="6" t="s">
        <v>135</v>
      </c>
      <c r="E342" s="6" t="s">
        <v>136</v>
      </c>
      <c r="F342" s="18">
        <v>30991.74</v>
      </c>
      <c r="G342" s="18">
        <v>0</v>
      </c>
      <c r="H342" s="6">
        <v>0</v>
      </c>
      <c r="I342" s="6">
        <v>0</v>
      </c>
      <c r="J342" s="6">
        <v>0</v>
      </c>
      <c r="K342" s="6">
        <v>6508.26</v>
      </c>
      <c r="L342" s="6">
        <v>0</v>
      </c>
      <c r="M342" s="18">
        <v>0</v>
      </c>
      <c r="N342" s="18">
        <v>37500</v>
      </c>
    </row>
    <row r="343" spans="1:14" hidden="1">
      <c r="A343" s="4" t="s">
        <v>2263</v>
      </c>
      <c r="B343" s="5" t="s">
        <v>2354</v>
      </c>
      <c r="C343" s="6" t="s">
        <v>134</v>
      </c>
      <c r="D343" s="6" t="s">
        <v>135</v>
      </c>
      <c r="E343" s="6" t="s">
        <v>136</v>
      </c>
      <c r="F343" s="18">
        <v>31239.67</v>
      </c>
      <c r="G343" s="18">
        <v>0</v>
      </c>
      <c r="H343" s="6">
        <v>0</v>
      </c>
      <c r="I343" s="6">
        <v>0</v>
      </c>
      <c r="J343" s="6">
        <v>0</v>
      </c>
      <c r="K343" s="6">
        <v>6560.33</v>
      </c>
      <c r="L343" s="6">
        <v>0</v>
      </c>
      <c r="M343" s="18">
        <v>0</v>
      </c>
      <c r="N343" s="18">
        <v>37800</v>
      </c>
    </row>
    <row r="344" spans="1:14" hidden="1">
      <c r="A344" s="4" t="s">
        <v>2290</v>
      </c>
      <c r="B344" s="5" t="s">
        <v>2531</v>
      </c>
      <c r="C344" s="6" t="s">
        <v>134</v>
      </c>
      <c r="D344" s="6" t="s">
        <v>135</v>
      </c>
      <c r="E344" s="6" t="s">
        <v>136</v>
      </c>
      <c r="F344" s="18">
        <v>31818.18</v>
      </c>
      <c r="G344" s="18">
        <v>0</v>
      </c>
      <c r="H344" s="6">
        <v>0</v>
      </c>
      <c r="I344" s="6">
        <v>0</v>
      </c>
      <c r="J344" s="6">
        <v>0</v>
      </c>
      <c r="K344" s="6">
        <v>6681.82</v>
      </c>
      <c r="L344" s="6">
        <v>0</v>
      </c>
      <c r="M344" s="18">
        <v>0</v>
      </c>
      <c r="N344" s="18">
        <v>38500</v>
      </c>
    </row>
    <row r="345" spans="1:14" hidden="1">
      <c r="A345" s="4" t="s">
        <v>2275</v>
      </c>
      <c r="B345" s="5" t="s">
        <v>2460</v>
      </c>
      <c r="C345" s="6" t="s">
        <v>134</v>
      </c>
      <c r="D345" s="6" t="s">
        <v>135</v>
      </c>
      <c r="E345" s="6" t="s">
        <v>136</v>
      </c>
      <c r="F345" s="18">
        <v>31818.18</v>
      </c>
      <c r="G345" s="18">
        <v>0</v>
      </c>
      <c r="H345" s="6">
        <v>0</v>
      </c>
      <c r="I345" s="6">
        <v>0</v>
      </c>
      <c r="J345" s="6">
        <v>0</v>
      </c>
      <c r="K345" s="6">
        <v>6681.82</v>
      </c>
      <c r="L345" s="6">
        <v>0</v>
      </c>
      <c r="M345" s="18">
        <v>0</v>
      </c>
      <c r="N345" s="18">
        <v>38500</v>
      </c>
    </row>
    <row r="346" spans="1:14" hidden="1">
      <c r="A346" s="4" t="s">
        <v>2269</v>
      </c>
      <c r="B346" s="5" t="s">
        <v>2430</v>
      </c>
      <c r="C346" s="6" t="s">
        <v>134</v>
      </c>
      <c r="D346" s="6" t="s">
        <v>135</v>
      </c>
      <c r="E346" s="6" t="s">
        <v>136</v>
      </c>
      <c r="F346" s="18">
        <v>31818.18</v>
      </c>
      <c r="G346" s="18">
        <v>0</v>
      </c>
      <c r="H346" s="6">
        <v>0</v>
      </c>
      <c r="I346" s="6">
        <v>0</v>
      </c>
      <c r="J346" s="6">
        <v>0</v>
      </c>
      <c r="K346" s="6">
        <v>6681.82</v>
      </c>
      <c r="L346" s="6">
        <v>0</v>
      </c>
      <c r="M346" s="18">
        <v>0</v>
      </c>
      <c r="N346" s="18">
        <v>38500</v>
      </c>
    </row>
    <row r="347" spans="1:14" hidden="1">
      <c r="A347" s="4" t="s">
        <v>2271</v>
      </c>
      <c r="B347" s="5" t="s">
        <v>2444</v>
      </c>
      <c r="C347" s="6" t="s">
        <v>134</v>
      </c>
      <c r="D347" s="6" t="s">
        <v>135</v>
      </c>
      <c r="E347" s="6" t="s">
        <v>136</v>
      </c>
      <c r="F347" s="18">
        <v>32231.4</v>
      </c>
      <c r="G347" s="18">
        <v>0</v>
      </c>
      <c r="H347" s="6">
        <v>0</v>
      </c>
      <c r="I347" s="6">
        <v>0</v>
      </c>
      <c r="J347" s="6">
        <v>0</v>
      </c>
      <c r="K347" s="6">
        <v>6768.6</v>
      </c>
      <c r="L347" s="6">
        <v>0</v>
      </c>
      <c r="M347" s="18">
        <v>0</v>
      </c>
      <c r="N347" s="18">
        <v>39000</v>
      </c>
    </row>
    <row r="348" spans="1:14" hidden="1">
      <c r="A348" s="4" t="s">
        <v>2379</v>
      </c>
      <c r="B348" s="5" t="s">
        <v>2395</v>
      </c>
      <c r="C348" s="6" t="s">
        <v>134</v>
      </c>
      <c r="D348" s="6" t="s">
        <v>135</v>
      </c>
      <c r="E348" s="6" t="s">
        <v>136</v>
      </c>
      <c r="F348" s="18">
        <v>33801.65</v>
      </c>
      <c r="G348" s="18">
        <v>0</v>
      </c>
      <c r="H348" s="6">
        <v>0</v>
      </c>
      <c r="I348" s="6">
        <v>0</v>
      </c>
      <c r="J348" s="6">
        <v>0</v>
      </c>
      <c r="K348" s="6">
        <v>7098.35</v>
      </c>
      <c r="L348" s="6">
        <v>0</v>
      </c>
      <c r="M348" s="18">
        <v>0</v>
      </c>
      <c r="N348" s="18">
        <v>40900</v>
      </c>
    </row>
    <row r="349" spans="1:14">
      <c r="A349" s="4" t="s">
        <v>2314</v>
      </c>
      <c r="B349" s="5" t="s">
        <v>2590</v>
      </c>
      <c r="C349" s="6" t="s">
        <v>2316</v>
      </c>
      <c r="D349" s="6" t="s">
        <v>135</v>
      </c>
      <c r="E349" s="6">
        <v>30298513</v>
      </c>
      <c r="F349" s="18">
        <v>33884.300000000003</v>
      </c>
      <c r="G349" s="18">
        <v>0</v>
      </c>
      <c r="H349" s="6">
        <v>0</v>
      </c>
      <c r="I349" s="6">
        <v>0</v>
      </c>
      <c r="J349" s="6">
        <v>0</v>
      </c>
      <c r="K349" s="6">
        <v>7115.7</v>
      </c>
      <c r="L349" s="6">
        <v>0</v>
      </c>
      <c r="M349" s="18">
        <v>0</v>
      </c>
      <c r="N349" s="18">
        <v>41000</v>
      </c>
    </row>
    <row r="350" spans="1:14" hidden="1">
      <c r="A350" s="4" t="s">
        <v>2287</v>
      </c>
      <c r="B350" s="5" t="s">
        <v>2520</v>
      </c>
      <c r="C350" s="6" t="s">
        <v>134</v>
      </c>
      <c r="D350" s="6" t="s">
        <v>135</v>
      </c>
      <c r="E350" s="6" t="s">
        <v>136</v>
      </c>
      <c r="F350" s="18">
        <v>33884.300000000003</v>
      </c>
      <c r="G350" s="18">
        <v>0</v>
      </c>
      <c r="H350" s="6">
        <v>0</v>
      </c>
      <c r="I350" s="6">
        <v>0</v>
      </c>
      <c r="J350" s="6">
        <v>0</v>
      </c>
      <c r="K350" s="6">
        <v>7115.7</v>
      </c>
      <c r="L350" s="6">
        <v>0</v>
      </c>
      <c r="M350" s="18">
        <v>0</v>
      </c>
      <c r="N350" s="18">
        <v>41000</v>
      </c>
    </row>
    <row r="351" spans="1:14" hidden="1">
      <c r="A351" s="4" t="s">
        <v>2271</v>
      </c>
      <c r="B351" s="5" t="s">
        <v>2440</v>
      </c>
      <c r="C351" s="6" t="s">
        <v>134</v>
      </c>
      <c r="D351" s="6" t="s">
        <v>135</v>
      </c>
      <c r="E351" s="6" t="s">
        <v>136</v>
      </c>
      <c r="F351" s="18">
        <v>33884.300000000003</v>
      </c>
      <c r="G351" s="18">
        <v>0</v>
      </c>
      <c r="H351" s="6">
        <v>0</v>
      </c>
      <c r="I351" s="6">
        <v>0</v>
      </c>
      <c r="J351" s="6">
        <v>0</v>
      </c>
      <c r="K351" s="6">
        <v>7115.7</v>
      </c>
      <c r="L351" s="6">
        <v>0</v>
      </c>
      <c r="M351" s="18">
        <v>0</v>
      </c>
      <c r="N351" s="18">
        <v>41000</v>
      </c>
    </row>
    <row r="352" spans="1:14" hidden="1">
      <c r="A352" s="4" t="s">
        <v>2557</v>
      </c>
      <c r="B352" s="5" t="s">
        <v>2562</v>
      </c>
      <c r="C352" s="6" t="s">
        <v>134</v>
      </c>
      <c r="D352" s="6" t="s">
        <v>135</v>
      </c>
      <c r="E352" s="6" t="s">
        <v>136</v>
      </c>
      <c r="F352" s="18">
        <v>34462.81</v>
      </c>
      <c r="G352" s="18">
        <v>0</v>
      </c>
      <c r="H352" s="6">
        <v>0</v>
      </c>
      <c r="I352" s="6">
        <v>0</v>
      </c>
      <c r="J352" s="6">
        <v>0</v>
      </c>
      <c r="K352" s="6">
        <v>7237.19</v>
      </c>
      <c r="L352" s="6">
        <v>0</v>
      </c>
      <c r="M352" s="18">
        <v>0</v>
      </c>
      <c r="N352" s="18">
        <v>41700</v>
      </c>
    </row>
    <row r="353" spans="1:14" hidden="1">
      <c r="A353" s="4" t="s">
        <v>2290</v>
      </c>
      <c r="B353" s="5" t="s">
        <v>2522</v>
      </c>
      <c r="C353" s="6" t="s">
        <v>134</v>
      </c>
      <c r="D353" s="6" t="s">
        <v>135</v>
      </c>
      <c r="E353" s="6" t="s">
        <v>136</v>
      </c>
      <c r="F353" s="18">
        <v>34462.81</v>
      </c>
      <c r="G353" s="18">
        <v>0</v>
      </c>
      <c r="H353" s="6">
        <v>0</v>
      </c>
      <c r="I353" s="6">
        <v>0</v>
      </c>
      <c r="J353" s="6">
        <v>0</v>
      </c>
      <c r="K353" s="6">
        <v>7237.19</v>
      </c>
      <c r="L353" s="6">
        <v>0</v>
      </c>
      <c r="M353" s="18">
        <v>0</v>
      </c>
      <c r="N353" s="18">
        <v>41700</v>
      </c>
    </row>
    <row r="354" spans="1:14" hidden="1">
      <c r="A354" s="4" t="s">
        <v>2314</v>
      </c>
      <c r="B354" s="5" t="s">
        <v>2587</v>
      </c>
      <c r="C354" s="6" t="s">
        <v>134</v>
      </c>
      <c r="D354" s="6" t="s">
        <v>135</v>
      </c>
      <c r="E354" s="6" t="s">
        <v>136</v>
      </c>
      <c r="F354" s="18">
        <v>34710.74</v>
      </c>
      <c r="G354" s="18">
        <v>0</v>
      </c>
      <c r="H354" s="6">
        <v>0</v>
      </c>
      <c r="I354" s="6">
        <v>0</v>
      </c>
      <c r="J354" s="6">
        <v>0</v>
      </c>
      <c r="K354" s="6">
        <v>7289.26</v>
      </c>
      <c r="L354" s="6">
        <v>0</v>
      </c>
      <c r="M354" s="18">
        <v>0</v>
      </c>
      <c r="N354" s="18">
        <v>42000</v>
      </c>
    </row>
    <row r="355" spans="1:14" hidden="1">
      <c r="A355" s="4" t="s">
        <v>2275</v>
      </c>
      <c r="B355" s="5" t="s">
        <v>2461</v>
      </c>
      <c r="C355" s="6" t="s">
        <v>134</v>
      </c>
      <c r="D355" s="6" t="s">
        <v>135</v>
      </c>
      <c r="E355" s="6" t="s">
        <v>136</v>
      </c>
      <c r="F355" s="18">
        <v>34710.74</v>
      </c>
      <c r="G355" s="18">
        <v>0</v>
      </c>
      <c r="H355" s="6">
        <v>0</v>
      </c>
      <c r="I355" s="6">
        <v>0</v>
      </c>
      <c r="J355" s="6">
        <v>0</v>
      </c>
      <c r="K355" s="6">
        <v>7289.26</v>
      </c>
      <c r="L355" s="6">
        <v>0</v>
      </c>
      <c r="M355" s="18">
        <v>0</v>
      </c>
      <c r="N355" s="18">
        <v>42000</v>
      </c>
    </row>
    <row r="356" spans="1:14" hidden="1">
      <c r="A356" s="4" t="s">
        <v>2261</v>
      </c>
      <c r="B356" s="5" t="s">
        <v>2375</v>
      </c>
      <c r="C356" s="6" t="s">
        <v>134</v>
      </c>
      <c r="D356" s="6" t="s">
        <v>135</v>
      </c>
      <c r="E356" s="6" t="s">
        <v>136</v>
      </c>
      <c r="F356" s="18">
        <v>34710.74</v>
      </c>
      <c r="G356" s="18">
        <v>0</v>
      </c>
      <c r="H356" s="6">
        <v>0</v>
      </c>
      <c r="I356" s="6">
        <v>0</v>
      </c>
      <c r="J356" s="6">
        <v>0</v>
      </c>
      <c r="K356" s="6">
        <v>7289.26</v>
      </c>
      <c r="L356" s="6">
        <v>0</v>
      </c>
      <c r="M356" s="18">
        <v>0</v>
      </c>
      <c r="N356" s="18">
        <v>42000</v>
      </c>
    </row>
    <row r="357" spans="1:14" hidden="1">
      <c r="A357" s="4" t="s">
        <v>2275</v>
      </c>
      <c r="B357" s="5" t="s">
        <v>2457</v>
      </c>
      <c r="C357" s="6" t="s">
        <v>134</v>
      </c>
      <c r="D357" s="6" t="s">
        <v>135</v>
      </c>
      <c r="E357" s="6" t="s">
        <v>136</v>
      </c>
      <c r="F357" s="18">
        <v>35371.9</v>
      </c>
      <c r="G357" s="18">
        <v>0</v>
      </c>
      <c r="H357" s="6">
        <v>0</v>
      </c>
      <c r="I357" s="6">
        <v>0</v>
      </c>
      <c r="J357" s="6">
        <v>0</v>
      </c>
      <c r="K357" s="6">
        <v>7428.1</v>
      </c>
      <c r="L357" s="6">
        <v>0</v>
      </c>
      <c r="M357" s="18">
        <v>0</v>
      </c>
      <c r="N357" s="18">
        <v>42800</v>
      </c>
    </row>
    <row r="358" spans="1:14" hidden="1">
      <c r="A358" s="4" t="s">
        <v>2557</v>
      </c>
      <c r="B358" s="5" t="s">
        <v>2561</v>
      </c>
      <c r="C358" s="6" t="s">
        <v>134</v>
      </c>
      <c r="D358" s="6" t="s">
        <v>135</v>
      </c>
      <c r="E358" s="6" t="s">
        <v>136</v>
      </c>
      <c r="F358" s="18">
        <v>37190.080000000002</v>
      </c>
      <c r="G358" s="18">
        <v>0</v>
      </c>
      <c r="H358" s="6">
        <v>0</v>
      </c>
      <c r="I358" s="6">
        <v>0</v>
      </c>
      <c r="J358" s="6">
        <v>0</v>
      </c>
      <c r="K358" s="6">
        <v>7809.92</v>
      </c>
      <c r="L358" s="6">
        <v>0</v>
      </c>
      <c r="M358" s="18">
        <v>0</v>
      </c>
      <c r="N358" s="18">
        <v>45000</v>
      </c>
    </row>
    <row r="359" spans="1:14" hidden="1">
      <c r="A359" s="4" t="s">
        <v>2334</v>
      </c>
      <c r="B359" s="5" t="s">
        <v>2619</v>
      </c>
      <c r="C359" s="6" t="s">
        <v>134</v>
      </c>
      <c r="D359" s="6" t="s">
        <v>135</v>
      </c>
      <c r="E359" s="6" t="s">
        <v>136</v>
      </c>
      <c r="F359" s="18">
        <v>38925.620000000003</v>
      </c>
      <c r="G359" s="18">
        <v>0</v>
      </c>
      <c r="H359" s="6">
        <v>0</v>
      </c>
      <c r="I359" s="6">
        <v>0</v>
      </c>
      <c r="J359" s="6">
        <v>0</v>
      </c>
      <c r="K359" s="6">
        <v>8174.38</v>
      </c>
      <c r="L359" s="6">
        <v>0</v>
      </c>
      <c r="M359" s="18">
        <v>0</v>
      </c>
      <c r="N359" s="18">
        <v>47100</v>
      </c>
    </row>
    <row r="360" spans="1:14" hidden="1">
      <c r="A360" s="4" t="s">
        <v>2285</v>
      </c>
      <c r="B360" s="5" t="s">
        <v>2492</v>
      </c>
      <c r="C360" s="6" t="s">
        <v>134</v>
      </c>
      <c r="D360" s="6" t="s">
        <v>135</v>
      </c>
      <c r="E360" s="6" t="s">
        <v>136</v>
      </c>
      <c r="F360" s="18">
        <v>41322.31</v>
      </c>
      <c r="G360" s="18">
        <v>0</v>
      </c>
      <c r="H360" s="6">
        <v>0</v>
      </c>
      <c r="I360" s="6">
        <v>0</v>
      </c>
      <c r="J360" s="6">
        <v>0</v>
      </c>
      <c r="K360" s="6">
        <v>8677.69</v>
      </c>
      <c r="L360" s="6">
        <v>0</v>
      </c>
      <c r="M360" s="18">
        <v>0</v>
      </c>
      <c r="N360" s="18">
        <v>50000</v>
      </c>
    </row>
    <row r="361" spans="1:14" hidden="1">
      <c r="A361" s="4" t="s">
        <v>2379</v>
      </c>
      <c r="B361" s="5" t="s">
        <v>2393</v>
      </c>
      <c r="C361" s="6" t="s">
        <v>134</v>
      </c>
      <c r="D361" s="6" t="s">
        <v>135</v>
      </c>
      <c r="E361" s="6" t="s">
        <v>136</v>
      </c>
      <c r="F361" s="18">
        <v>41322.31</v>
      </c>
      <c r="G361" s="18">
        <v>0</v>
      </c>
      <c r="H361" s="6">
        <v>0</v>
      </c>
      <c r="I361" s="6">
        <v>0</v>
      </c>
      <c r="J361" s="6">
        <v>0</v>
      </c>
      <c r="K361" s="6">
        <v>8677.69</v>
      </c>
      <c r="L361" s="6">
        <v>0</v>
      </c>
      <c r="M361" s="18">
        <v>0</v>
      </c>
      <c r="N361" s="18">
        <v>50000</v>
      </c>
    </row>
    <row r="362" spans="1:14" hidden="1">
      <c r="A362" s="4" t="s">
        <v>2379</v>
      </c>
      <c r="B362" s="5" t="s">
        <v>2386</v>
      </c>
      <c r="C362" s="6" t="s">
        <v>134</v>
      </c>
      <c r="D362" s="6" t="s">
        <v>135</v>
      </c>
      <c r="E362" s="6" t="s">
        <v>136</v>
      </c>
      <c r="F362" s="18">
        <v>41322.31</v>
      </c>
      <c r="G362" s="18">
        <v>0</v>
      </c>
      <c r="H362" s="6">
        <v>0</v>
      </c>
      <c r="I362" s="6">
        <v>0</v>
      </c>
      <c r="J362" s="6">
        <v>0</v>
      </c>
      <c r="K362" s="6">
        <v>8677.69</v>
      </c>
      <c r="L362" s="6">
        <v>0</v>
      </c>
      <c r="M362" s="18">
        <v>0</v>
      </c>
      <c r="N362" s="18">
        <v>50000</v>
      </c>
    </row>
    <row r="363" spans="1:14" hidden="1">
      <c r="A363" s="4" t="s">
        <v>2287</v>
      </c>
      <c r="B363" s="5" t="s">
        <v>2509</v>
      </c>
      <c r="C363" s="6" t="s">
        <v>134</v>
      </c>
      <c r="D363" s="6" t="s">
        <v>135</v>
      </c>
      <c r="E363" s="6" t="s">
        <v>136</v>
      </c>
      <c r="F363" s="18">
        <v>42396.69</v>
      </c>
      <c r="G363" s="18">
        <v>0</v>
      </c>
      <c r="H363" s="6">
        <v>0</v>
      </c>
      <c r="I363" s="6">
        <v>0</v>
      </c>
      <c r="J363" s="6">
        <v>0</v>
      </c>
      <c r="K363" s="6">
        <v>8903.31</v>
      </c>
      <c r="L363" s="6">
        <v>0</v>
      </c>
      <c r="M363" s="18">
        <v>0</v>
      </c>
      <c r="N363" s="18">
        <v>51300</v>
      </c>
    </row>
    <row r="364" spans="1:14" hidden="1">
      <c r="A364" s="4" t="s">
        <v>2403</v>
      </c>
      <c r="B364" s="5" t="s">
        <v>2411</v>
      </c>
      <c r="C364" s="6" t="s">
        <v>134</v>
      </c>
      <c r="D364" s="6" t="s">
        <v>135</v>
      </c>
      <c r="E364" s="6" t="s">
        <v>136</v>
      </c>
      <c r="F364" s="18">
        <v>42975.21</v>
      </c>
      <c r="G364" s="18">
        <v>0</v>
      </c>
      <c r="H364" s="6">
        <v>0</v>
      </c>
      <c r="I364" s="6">
        <v>0</v>
      </c>
      <c r="J364" s="6">
        <v>0</v>
      </c>
      <c r="K364" s="6">
        <v>9024.7900000000009</v>
      </c>
      <c r="L364" s="6">
        <v>0</v>
      </c>
      <c r="M364" s="18">
        <v>0</v>
      </c>
      <c r="N364" s="18">
        <v>52000</v>
      </c>
    </row>
    <row r="365" spans="1:14" hidden="1">
      <c r="A365" s="4" t="s">
        <v>2496</v>
      </c>
      <c r="B365" s="5" t="s">
        <v>2506</v>
      </c>
      <c r="C365" s="6" t="s">
        <v>134</v>
      </c>
      <c r="D365" s="6" t="s">
        <v>135</v>
      </c>
      <c r="E365" s="6" t="s">
        <v>136</v>
      </c>
      <c r="F365" s="18">
        <v>46942.15</v>
      </c>
      <c r="G365" s="18">
        <v>0</v>
      </c>
      <c r="H365" s="6">
        <v>0</v>
      </c>
      <c r="I365" s="6">
        <v>0</v>
      </c>
      <c r="J365" s="6">
        <v>0</v>
      </c>
      <c r="K365" s="6">
        <v>9857.85</v>
      </c>
      <c r="L365" s="6">
        <v>0</v>
      </c>
      <c r="M365" s="18">
        <v>0</v>
      </c>
      <c r="N365" s="18">
        <v>56800</v>
      </c>
    </row>
    <row r="366" spans="1:14" hidden="1">
      <c r="A366" s="4" t="s">
        <v>2261</v>
      </c>
      <c r="B366" s="5" t="s">
        <v>2374</v>
      </c>
      <c r="C366" s="6" t="s">
        <v>134</v>
      </c>
      <c r="D366" s="6" t="s">
        <v>135</v>
      </c>
      <c r="E366" s="6" t="s">
        <v>136</v>
      </c>
      <c r="F366" s="18">
        <v>48347.11</v>
      </c>
      <c r="G366" s="18">
        <v>0</v>
      </c>
      <c r="H366" s="6">
        <v>0</v>
      </c>
      <c r="I366" s="6">
        <v>0</v>
      </c>
      <c r="J366" s="6">
        <v>0</v>
      </c>
      <c r="K366" s="6">
        <v>10152.89</v>
      </c>
      <c r="L366" s="6">
        <v>0</v>
      </c>
      <c r="M366" s="18">
        <v>0</v>
      </c>
      <c r="N366" s="18">
        <v>58500</v>
      </c>
    </row>
    <row r="367" spans="1:14" hidden="1">
      <c r="A367" s="4" t="s">
        <v>2261</v>
      </c>
      <c r="B367" s="5" t="s">
        <v>2371</v>
      </c>
      <c r="C367" s="6" t="s">
        <v>134</v>
      </c>
      <c r="D367" s="6" t="s">
        <v>135</v>
      </c>
      <c r="E367" s="6" t="s">
        <v>136</v>
      </c>
      <c r="F367" s="18">
        <v>50826.44</v>
      </c>
      <c r="G367" s="18">
        <v>0</v>
      </c>
      <c r="H367" s="6">
        <v>0</v>
      </c>
      <c r="I367" s="6">
        <v>0</v>
      </c>
      <c r="J367" s="6">
        <v>0</v>
      </c>
      <c r="K367" s="6">
        <v>10673.56</v>
      </c>
      <c r="L367" s="6">
        <v>0</v>
      </c>
      <c r="M367" s="18">
        <v>0</v>
      </c>
      <c r="N367" s="18">
        <v>61500</v>
      </c>
    </row>
    <row r="368" spans="1:14" hidden="1">
      <c r="A368" s="4" t="s">
        <v>2314</v>
      </c>
      <c r="B368" s="5" t="s">
        <v>2595</v>
      </c>
      <c r="C368" s="6" t="s">
        <v>134</v>
      </c>
      <c r="D368" s="6" t="s">
        <v>135</v>
      </c>
      <c r="E368" s="6" t="s">
        <v>136</v>
      </c>
      <c r="F368" s="18">
        <v>52066.12</v>
      </c>
      <c r="G368" s="18">
        <v>0</v>
      </c>
      <c r="H368" s="6">
        <v>0</v>
      </c>
      <c r="I368" s="6">
        <v>0</v>
      </c>
      <c r="J368" s="6">
        <v>0</v>
      </c>
      <c r="K368" s="6">
        <v>10933.88</v>
      </c>
      <c r="L368" s="6">
        <v>0</v>
      </c>
      <c r="M368" s="18">
        <v>0</v>
      </c>
      <c r="N368" s="18">
        <v>63000</v>
      </c>
    </row>
    <row r="369" spans="1:14" hidden="1">
      <c r="A369" s="4" t="s">
        <v>2565</v>
      </c>
      <c r="B369" s="5" t="s">
        <v>2568</v>
      </c>
      <c r="C369" s="6" t="s">
        <v>134</v>
      </c>
      <c r="D369" s="6" t="s">
        <v>135</v>
      </c>
      <c r="E369" s="6" t="s">
        <v>136</v>
      </c>
      <c r="F369" s="18">
        <v>52809.91</v>
      </c>
      <c r="G369" s="18">
        <v>0</v>
      </c>
      <c r="H369" s="6">
        <v>0</v>
      </c>
      <c r="I369" s="6">
        <v>0</v>
      </c>
      <c r="J369" s="6">
        <v>0</v>
      </c>
      <c r="K369" s="6">
        <v>11090.09</v>
      </c>
      <c r="L369" s="6">
        <v>0</v>
      </c>
      <c r="M369" s="18">
        <v>0</v>
      </c>
      <c r="N369" s="18">
        <v>63900</v>
      </c>
    </row>
    <row r="370" spans="1:14" hidden="1">
      <c r="A370" s="4" t="s">
        <v>2329</v>
      </c>
      <c r="B370" s="5" t="s">
        <v>2609</v>
      </c>
      <c r="C370" s="6" t="s">
        <v>134</v>
      </c>
      <c r="D370" s="6" t="s">
        <v>135</v>
      </c>
      <c r="E370" s="6" t="s">
        <v>136</v>
      </c>
      <c r="F370" s="18">
        <v>53719.01</v>
      </c>
      <c r="G370" s="18">
        <v>0</v>
      </c>
      <c r="H370" s="6">
        <v>0</v>
      </c>
      <c r="I370" s="6">
        <v>0</v>
      </c>
      <c r="J370" s="6">
        <v>0</v>
      </c>
      <c r="K370" s="6">
        <v>11280.99</v>
      </c>
      <c r="L370" s="6">
        <v>0</v>
      </c>
      <c r="M370" s="18">
        <v>0</v>
      </c>
      <c r="N370" s="18">
        <v>65000</v>
      </c>
    </row>
    <row r="371" spans="1:14" hidden="1">
      <c r="A371" s="4" t="s">
        <v>2565</v>
      </c>
      <c r="B371" s="5" t="s">
        <v>2567</v>
      </c>
      <c r="C371" s="6" t="s">
        <v>134</v>
      </c>
      <c r="D371" s="6" t="s">
        <v>135</v>
      </c>
      <c r="E371" s="6" t="s">
        <v>136</v>
      </c>
      <c r="F371" s="18">
        <v>53719.01</v>
      </c>
      <c r="G371" s="18">
        <v>0</v>
      </c>
      <c r="H371" s="6">
        <v>0</v>
      </c>
      <c r="I371" s="6">
        <v>0</v>
      </c>
      <c r="J371" s="6">
        <v>0</v>
      </c>
      <c r="K371" s="6">
        <v>11280.99</v>
      </c>
      <c r="L371" s="6">
        <v>0</v>
      </c>
      <c r="M371" s="18">
        <v>0</v>
      </c>
      <c r="N371" s="18">
        <v>65000</v>
      </c>
    </row>
    <row r="372" spans="1:14" hidden="1">
      <c r="A372" s="4" t="s">
        <v>2285</v>
      </c>
      <c r="B372" s="5" t="s">
        <v>2489</v>
      </c>
      <c r="C372" s="6" t="s">
        <v>134</v>
      </c>
      <c r="D372" s="6" t="s">
        <v>135</v>
      </c>
      <c r="E372" s="6" t="s">
        <v>136</v>
      </c>
      <c r="F372" s="18">
        <v>61157.02</v>
      </c>
      <c r="G372" s="18">
        <v>0</v>
      </c>
      <c r="H372" s="6">
        <v>0</v>
      </c>
      <c r="I372" s="6">
        <v>0</v>
      </c>
      <c r="J372" s="6">
        <v>0</v>
      </c>
      <c r="K372" s="6">
        <v>12842.98</v>
      </c>
      <c r="L372" s="6">
        <v>0</v>
      </c>
      <c r="M372" s="18">
        <v>0</v>
      </c>
      <c r="N372" s="18">
        <v>74000</v>
      </c>
    </row>
    <row r="373" spans="1:14" hidden="1">
      <c r="A373" s="4" t="s">
        <v>2379</v>
      </c>
      <c r="B373" s="5" t="s">
        <v>2396</v>
      </c>
      <c r="C373" s="6" t="s">
        <v>134</v>
      </c>
      <c r="D373" s="6" t="s">
        <v>135</v>
      </c>
      <c r="E373" s="6" t="s">
        <v>136</v>
      </c>
      <c r="F373" s="18">
        <v>64462.810000000005</v>
      </c>
      <c r="G373" s="18">
        <v>0</v>
      </c>
      <c r="H373" s="6">
        <v>0</v>
      </c>
      <c r="I373" s="6">
        <v>0</v>
      </c>
      <c r="J373" s="6">
        <v>0</v>
      </c>
      <c r="K373" s="6">
        <v>13537.19</v>
      </c>
      <c r="L373" s="6">
        <v>0</v>
      </c>
      <c r="M373" s="18">
        <v>0</v>
      </c>
      <c r="N373" s="18">
        <v>78000</v>
      </c>
    </row>
    <row r="374" spans="1:14" hidden="1">
      <c r="A374" s="4" t="s">
        <v>2275</v>
      </c>
      <c r="B374" s="5" t="s">
        <v>2462</v>
      </c>
      <c r="C374" s="6" t="s">
        <v>134</v>
      </c>
      <c r="D374" s="6" t="s">
        <v>135</v>
      </c>
      <c r="E374" s="6" t="s">
        <v>136</v>
      </c>
      <c r="F374" s="18">
        <v>65950.41</v>
      </c>
      <c r="G374" s="18">
        <v>0</v>
      </c>
      <c r="H374" s="6">
        <v>0</v>
      </c>
      <c r="I374" s="6">
        <v>0</v>
      </c>
      <c r="J374" s="6">
        <v>0</v>
      </c>
      <c r="K374" s="6">
        <v>13849.59</v>
      </c>
      <c r="L374" s="6">
        <v>0</v>
      </c>
      <c r="M374" s="18">
        <v>0</v>
      </c>
      <c r="N374" s="18">
        <v>79800</v>
      </c>
    </row>
    <row r="375" spans="1:14" hidden="1">
      <c r="A375" s="4" t="s">
        <v>2565</v>
      </c>
      <c r="B375" s="5" t="s">
        <v>2566</v>
      </c>
      <c r="C375" s="6" t="s">
        <v>134</v>
      </c>
      <c r="D375" s="6" t="s">
        <v>135</v>
      </c>
      <c r="E375" s="6" t="s">
        <v>136</v>
      </c>
      <c r="F375" s="18">
        <v>66115.7</v>
      </c>
      <c r="G375" s="18">
        <v>0</v>
      </c>
      <c r="H375" s="6">
        <v>0</v>
      </c>
      <c r="I375" s="6">
        <v>0</v>
      </c>
      <c r="J375" s="6">
        <v>0</v>
      </c>
      <c r="K375" s="6">
        <v>13884.3</v>
      </c>
      <c r="L375" s="6">
        <v>0</v>
      </c>
      <c r="M375" s="18">
        <v>0</v>
      </c>
      <c r="N375" s="18">
        <v>80000</v>
      </c>
    </row>
    <row r="376" spans="1:14" hidden="1">
      <c r="A376" s="4" t="s">
        <v>2285</v>
      </c>
      <c r="B376" s="5" t="s">
        <v>2483</v>
      </c>
      <c r="C376" s="6" t="s">
        <v>134</v>
      </c>
      <c r="D376" s="6" t="s">
        <v>135</v>
      </c>
      <c r="E376" s="6" t="s">
        <v>136</v>
      </c>
      <c r="F376" s="18">
        <v>67768.600000000006</v>
      </c>
      <c r="G376" s="18">
        <v>0</v>
      </c>
      <c r="H376" s="6">
        <v>0</v>
      </c>
      <c r="I376" s="6">
        <v>0</v>
      </c>
      <c r="J376" s="6">
        <v>0</v>
      </c>
      <c r="K376" s="6">
        <v>14231.4</v>
      </c>
      <c r="L376" s="6">
        <v>0</v>
      </c>
      <c r="M376" s="18">
        <v>0</v>
      </c>
      <c r="N376" s="18">
        <v>82000</v>
      </c>
    </row>
    <row r="377" spans="1:14" hidden="1">
      <c r="A377" s="4" t="s">
        <v>2329</v>
      </c>
      <c r="B377" s="5" t="s">
        <v>2613</v>
      </c>
      <c r="C377" s="6" t="s">
        <v>134</v>
      </c>
      <c r="D377" s="6" t="s">
        <v>135</v>
      </c>
      <c r="E377" s="6" t="s">
        <v>136</v>
      </c>
      <c r="F377" s="18">
        <v>68925.62</v>
      </c>
      <c r="G377" s="18">
        <v>0</v>
      </c>
      <c r="H377" s="6">
        <v>0</v>
      </c>
      <c r="I377" s="6">
        <v>0</v>
      </c>
      <c r="J377" s="6">
        <v>0</v>
      </c>
      <c r="K377" s="6">
        <v>14474.38</v>
      </c>
      <c r="L377" s="6">
        <v>0</v>
      </c>
      <c r="M377" s="18">
        <v>0</v>
      </c>
      <c r="N377" s="18">
        <v>83400</v>
      </c>
    </row>
    <row r="378" spans="1:14" hidden="1">
      <c r="A378" s="4" t="s">
        <v>2269</v>
      </c>
      <c r="B378" s="5" t="s">
        <v>2431</v>
      </c>
      <c r="C378" s="6" t="s">
        <v>134</v>
      </c>
      <c r="D378" s="6" t="s">
        <v>135</v>
      </c>
      <c r="E378" s="6" t="s">
        <v>136</v>
      </c>
      <c r="F378" s="18">
        <v>71487.600000000006</v>
      </c>
      <c r="G378" s="18">
        <v>0</v>
      </c>
      <c r="H378" s="6">
        <v>0</v>
      </c>
      <c r="I378" s="6">
        <v>0</v>
      </c>
      <c r="J378" s="6">
        <v>0</v>
      </c>
      <c r="K378" s="6">
        <v>15012.4</v>
      </c>
      <c r="L378" s="6">
        <v>0</v>
      </c>
      <c r="M378" s="18">
        <v>0</v>
      </c>
      <c r="N378" s="18">
        <v>86500</v>
      </c>
    </row>
    <row r="379" spans="1:14" hidden="1">
      <c r="A379" s="4" t="s">
        <v>2261</v>
      </c>
      <c r="B379" s="5" t="s">
        <v>2370</v>
      </c>
      <c r="C379" s="6" t="s">
        <v>134</v>
      </c>
      <c r="D379" s="6" t="s">
        <v>135</v>
      </c>
      <c r="E379" s="6" t="s">
        <v>136</v>
      </c>
      <c r="F379" s="18">
        <v>78099.17</v>
      </c>
      <c r="G379" s="18">
        <v>0</v>
      </c>
      <c r="H379" s="6">
        <v>0</v>
      </c>
      <c r="I379" s="6">
        <v>0</v>
      </c>
      <c r="J379" s="6">
        <v>0</v>
      </c>
      <c r="K379" s="6">
        <v>16400.830000000002</v>
      </c>
      <c r="L379" s="6">
        <v>0</v>
      </c>
      <c r="M379" s="18">
        <v>0</v>
      </c>
      <c r="N379" s="18">
        <v>94500</v>
      </c>
    </row>
    <row r="380" spans="1:14" hidden="1">
      <c r="A380" s="4" t="s">
        <v>2290</v>
      </c>
      <c r="B380" s="5" t="s">
        <v>2528</v>
      </c>
      <c r="C380" s="6" t="s">
        <v>134</v>
      </c>
      <c r="D380" s="6" t="s">
        <v>135</v>
      </c>
      <c r="E380" s="6" t="s">
        <v>136</v>
      </c>
      <c r="F380" s="18">
        <v>78512.400000000009</v>
      </c>
      <c r="G380" s="18">
        <v>0</v>
      </c>
      <c r="H380" s="6">
        <v>0</v>
      </c>
      <c r="I380" s="6">
        <v>0</v>
      </c>
      <c r="J380" s="6">
        <v>0</v>
      </c>
      <c r="K380" s="6">
        <v>16487.599999999999</v>
      </c>
      <c r="L380" s="6">
        <v>0</v>
      </c>
      <c r="M380" s="18">
        <v>0</v>
      </c>
      <c r="N380" s="18">
        <v>95000</v>
      </c>
    </row>
    <row r="381" spans="1:14">
      <c r="A381" s="4" t="s">
        <v>2290</v>
      </c>
      <c r="B381" s="5" t="s">
        <v>2527</v>
      </c>
      <c r="C381" s="6" t="s">
        <v>2526</v>
      </c>
      <c r="D381" s="6" t="s">
        <v>135</v>
      </c>
      <c r="E381" s="6">
        <v>95857770</v>
      </c>
      <c r="F381" s="18">
        <v>78512.400000000009</v>
      </c>
      <c r="G381" s="18">
        <v>0</v>
      </c>
      <c r="H381" s="6">
        <v>0</v>
      </c>
      <c r="I381" s="6">
        <v>0</v>
      </c>
      <c r="J381" s="6">
        <v>0</v>
      </c>
      <c r="K381" s="6">
        <v>16487.599999999999</v>
      </c>
      <c r="L381" s="6">
        <v>0</v>
      </c>
      <c r="M381" s="18">
        <v>0</v>
      </c>
      <c r="N381" s="18">
        <v>95000</v>
      </c>
    </row>
    <row r="382" spans="1:14" hidden="1">
      <c r="A382" s="4" t="s">
        <v>2379</v>
      </c>
      <c r="B382" s="5" t="s">
        <v>2401</v>
      </c>
      <c r="C382" s="6" t="s">
        <v>134</v>
      </c>
      <c r="D382" s="6" t="s">
        <v>135</v>
      </c>
      <c r="E382" s="6" t="s">
        <v>136</v>
      </c>
      <c r="F382" s="18">
        <v>79338.850000000006</v>
      </c>
      <c r="G382" s="18">
        <v>0</v>
      </c>
      <c r="H382" s="6">
        <v>0</v>
      </c>
      <c r="I382" s="6">
        <v>0</v>
      </c>
      <c r="J382" s="6">
        <v>0</v>
      </c>
      <c r="K382" s="6">
        <v>16661.150000000001</v>
      </c>
      <c r="L382" s="6">
        <v>0</v>
      </c>
      <c r="M382" s="18">
        <v>0</v>
      </c>
      <c r="N382" s="18">
        <v>96000</v>
      </c>
    </row>
    <row r="383" spans="1:14" hidden="1">
      <c r="A383" s="4" t="s">
        <v>2496</v>
      </c>
      <c r="B383" s="5" t="s">
        <v>2497</v>
      </c>
      <c r="C383" s="6" t="s">
        <v>134</v>
      </c>
      <c r="D383" s="6" t="s">
        <v>135</v>
      </c>
      <c r="E383" s="6" t="s">
        <v>136</v>
      </c>
      <c r="F383" s="18">
        <v>86528.93</v>
      </c>
      <c r="G383" s="18">
        <v>0</v>
      </c>
      <c r="H383" s="6">
        <v>0</v>
      </c>
      <c r="I383" s="6">
        <v>0</v>
      </c>
      <c r="J383" s="6">
        <v>0</v>
      </c>
      <c r="K383" s="6">
        <v>18171.07</v>
      </c>
      <c r="L383" s="6">
        <v>0</v>
      </c>
      <c r="M383" s="18">
        <v>0</v>
      </c>
      <c r="N383" s="18">
        <v>104700</v>
      </c>
    </row>
    <row r="384" spans="1:14" hidden="1">
      <c r="A384" s="4" t="s">
        <v>2292</v>
      </c>
      <c r="B384" s="5" t="s">
        <v>2543</v>
      </c>
      <c r="C384" s="6" t="s">
        <v>134</v>
      </c>
      <c r="D384" s="6" t="s">
        <v>135</v>
      </c>
      <c r="E384" s="6" t="s">
        <v>136</v>
      </c>
      <c r="F384" s="18">
        <v>86776.86</v>
      </c>
      <c r="G384" s="18">
        <v>0</v>
      </c>
      <c r="H384" s="6">
        <v>0</v>
      </c>
      <c r="I384" s="6">
        <v>0</v>
      </c>
      <c r="J384" s="6">
        <v>0</v>
      </c>
      <c r="K384" s="6">
        <v>18223.14</v>
      </c>
      <c r="L384" s="6">
        <v>0</v>
      </c>
      <c r="M384" s="18">
        <v>0</v>
      </c>
      <c r="N384" s="18">
        <v>105000</v>
      </c>
    </row>
    <row r="385" spans="1:14" hidden="1">
      <c r="A385" s="4" t="s">
        <v>2269</v>
      </c>
      <c r="B385" s="5" t="s">
        <v>2434</v>
      </c>
      <c r="C385" s="6" t="s">
        <v>134</v>
      </c>
      <c r="D385" s="6" t="s">
        <v>135</v>
      </c>
      <c r="E385" s="6" t="s">
        <v>136</v>
      </c>
      <c r="F385" s="18">
        <v>147933.88</v>
      </c>
      <c r="G385" s="18">
        <v>0</v>
      </c>
      <c r="H385" s="6">
        <v>0</v>
      </c>
      <c r="I385" s="6">
        <v>0</v>
      </c>
      <c r="J385" s="6">
        <v>0</v>
      </c>
      <c r="K385" s="6">
        <v>31066.12</v>
      </c>
      <c r="L385" s="6">
        <v>0</v>
      </c>
      <c r="M385" s="18">
        <v>0</v>
      </c>
      <c r="N385" s="18">
        <v>179000</v>
      </c>
    </row>
    <row r="386" spans="1:14" s="134" customFormat="1">
      <c r="A386" s="138"/>
      <c r="B386" s="137"/>
      <c r="C386" s="136"/>
      <c r="D386" s="136"/>
      <c r="E386" s="136"/>
      <c r="F386" s="135">
        <f t="shared" ref="F386:N386" si="5">SUM(F100:F385)</f>
        <v>5832189.8699999992</v>
      </c>
      <c r="G386" s="135">
        <f t="shared" si="5"/>
        <v>0</v>
      </c>
      <c r="H386" s="135">
        <f t="shared" si="5"/>
        <v>0</v>
      </c>
      <c r="I386" s="135">
        <f t="shared" si="5"/>
        <v>0</v>
      </c>
      <c r="J386" s="135">
        <f t="shared" si="5"/>
        <v>0</v>
      </c>
      <c r="K386" s="135">
        <f t="shared" si="5"/>
        <v>1224760.1300000004</v>
      </c>
      <c r="L386" s="135">
        <f t="shared" si="5"/>
        <v>0</v>
      </c>
      <c r="M386" s="135">
        <f t="shared" si="5"/>
        <v>0</v>
      </c>
      <c r="N386" s="135">
        <f t="shared" si="5"/>
        <v>7056950</v>
      </c>
    </row>
    <row r="387" spans="1:14" s="134" customFormat="1">
      <c r="A387" s="138"/>
      <c r="B387" s="137"/>
      <c r="C387" s="136"/>
      <c r="D387" s="136"/>
      <c r="E387" s="136"/>
      <c r="F387" s="135"/>
      <c r="G387" s="135"/>
      <c r="H387" s="135"/>
      <c r="I387" s="135"/>
      <c r="J387" s="135"/>
      <c r="K387" s="135"/>
      <c r="L387" s="135"/>
      <c r="M387" s="135"/>
      <c r="N387" s="135"/>
    </row>
    <row r="388" spans="1:14">
      <c r="A388" s="4" t="s">
        <v>2334</v>
      </c>
      <c r="B388" s="5" t="s">
        <v>2333</v>
      </c>
      <c r="C388" s="6" t="s">
        <v>134</v>
      </c>
      <c r="D388" s="6" t="s">
        <v>135</v>
      </c>
      <c r="E388" s="6" t="s">
        <v>136</v>
      </c>
      <c r="F388" s="18">
        <v>15123.97</v>
      </c>
      <c r="G388" s="18">
        <v>0</v>
      </c>
      <c r="H388" s="6">
        <v>0</v>
      </c>
      <c r="I388" s="6">
        <v>0</v>
      </c>
      <c r="J388" s="6">
        <v>0</v>
      </c>
      <c r="K388" s="6">
        <v>3176.03</v>
      </c>
      <c r="L388" s="6">
        <v>0</v>
      </c>
      <c r="M388" s="18">
        <v>0</v>
      </c>
      <c r="N388" s="18">
        <v>18300</v>
      </c>
    </row>
    <row r="389" spans="1:14">
      <c r="A389" s="4" t="s">
        <v>2329</v>
      </c>
      <c r="B389" s="5" t="s">
        <v>2332</v>
      </c>
      <c r="C389" s="6" t="s">
        <v>498</v>
      </c>
      <c r="D389" s="6" t="s">
        <v>135</v>
      </c>
      <c r="E389" s="6">
        <v>17198648</v>
      </c>
      <c r="F389" s="18">
        <v>16942.150000000001</v>
      </c>
      <c r="G389" s="18">
        <v>0</v>
      </c>
      <c r="H389" s="6">
        <v>0</v>
      </c>
      <c r="I389" s="6">
        <v>0</v>
      </c>
      <c r="J389" s="6">
        <v>0</v>
      </c>
      <c r="K389" s="6">
        <v>3557.85</v>
      </c>
      <c r="L389" s="6">
        <v>0</v>
      </c>
      <c r="M389" s="18">
        <v>0</v>
      </c>
      <c r="N389" s="18">
        <v>20500</v>
      </c>
    </row>
    <row r="390" spans="1:14">
      <c r="A390" s="4" t="s">
        <v>2329</v>
      </c>
      <c r="B390" s="5" t="s">
        <v>2331</v>
      </c>
      <c r="C390" s="6" t="s">
        <v>432</v>
      </c>
      <c r="D390" s="6" t="s">
        <v>135</v>
      </c>
      <c r="E390" s="6">
        <v>17855620</v>
      </c>
      <c r="F390" s="18">
        <v>15702.48</v>
      </c>
      <c r="G390" s="18">
        <v>0</v>
      </c>
      <c r="H390" s="6">
        <v>0</v>
      </c>
      <c r="I390" s="6">
        <v>0</v>
      </c>
      <c r="J390" s="6">
        <v>0</v>
      </c>
      <c r="K390" s="6">
        <v>3297.52</v>
      </c>
      <c r="L390" s="6">
        <v>0</v>
      </c>
      <c r="M390" s="18">
        <v>0</v>
      </c>
      <c r="N390" s="18">
        <v>19000</v>
      </c>
    </row>
    <row r="391" spans="1:14">
      <c r="A391" s="4" t="s">
        <v>2329</v>
      </c>
      <c r="B391" s="5" t="s">
        <v>2330</v>
      </c>
      <c r="C391" s="6" t="s">
        <v>369</v>
      </c>
      <c r="D391" s="6" t="s">
        <v>135</v>
      </c>
      <c r="E391" s="6">
        <v>56980</v>
      </c>
      <c r="F391" s="18">
        <v>6611.57</v>
      </c>
      <c r="G391" s="18">
        <v>0</v>
      </c>
      <c r="H391" s="6">
        <v>0</v>
      </c>
      <c r="I391" s="6">
        <v>0</v>
      </c>
      <c r="J391" s="6">
        <v>0</v>
      </c>
      <c r="K391" s="6">
        <v>1388.43</v>
      </c>
      <c r="L391" s="6">
        <v>0</v>
      </c>
      <c r="M391" s="18">
        <v>0</v>
      </c>
      <c r="N391" s="18">
        <v>8000</v>
      </c>
    </row>
    <row r="392" spans="1:14">
      <c r="A392" s="4" t="s">
        <v>2329</v>
      </c>
      <c r="B392" s="5" t="s">
        <v>2328</v>
      </c>
      <c r="C392" s="6" t="s">
        <v>1751</v>
      </c>
      <c r="D392" s="6" t="s">
        <v>135</v>
      </c>
      <c r="E392" s="6">
        <v>25795206</v>
      </c>
      <c r="F392" s="18">
        <v>22314.05</v>
      </c>
      <c r="G392" s="18">
        <v>0</v>
      </c>
      <c r="H392" s="6">
        <v>0</v>
      </c>
      <c r="I392" s="6">
        <v>0</v>
      </c>
      <c r="J392" s="6">
        <v>0</v>
      </c>
      <c r="K392" s="6">
        <v>4685.95</v>
      </c>
      <c r="L392" s="6">
        <v>0</v>
      </c>
      <c r="M392" s="18">
        <v>0</v>
      </c>
      <c r="N392" s="18">
        <v>27000</v>
      </c>
    </row>
    <row r="393" spans="1:14">
      <c r="A393" s="4" t="s">
        <v>2319</v>
      </c>
      <c r="B393" s="5" t="s">
        <v>2327</v>
      </c>
      <c r="C393" s="6" t="s">
        <v>394</v>
      </c>
      <c r="D393" s="6" t="s">
        <v>135</v>
      </c>
      <c r="E393" s="6">
        <v>37904748</v>
      </c>
      <c r="F393" s="18">
        <v>19834.71</v>
      </c>
      <c r="G393" s="18">
        <v>0</v>
      </c>
      <c r="H393" s="6">
        <v>0</v>
      </c>
      <c r="I393" s="6">
        <v>0</v>
      </c>
      <c r="J393" s="6">
        <v>0</v>
      </c>
      <c r="K393" s="6">
        <v>4165.29</v>
      </c>
      <c r="L393" s="6">
        <v>0</v>
      </c>
      <c r="M393" s="18">
        <v>0</v>
      </c>
      <c r="N393" s="18">
        <v>24000</v>
      </c>
    </row>
    <row r="394" spans="1:14">
      <c r="A394" s="4" t="s">
        <v>2319</v>
      </c>
      <c r="B394" s="5" t="s">
        <v>2326</v>
      </c>
      <c r="C394" s="6" t="s">
        <v>413</v>
      </c>
      <c r="D394" s="6" t="s">
        <v>135</v>
      </c>
      <c r="E394" s="6">
        <v>11172213</v>
      </c>
      <c r="F394" s="18">
        <v>19834.71</v>
      </c>
      <c r="G394" s="18">
        <v>0</v>
      </c>
      <c r="H394" s="6">
        <v>0</v>
      </c>
      <c r="I394" s="6">
        <v>0</v>
      </c>
      <c r="J394" s="6">
        <v>0</v>
      </c>
      <c r="K394" s="6">
        <v>4165.29</v>
      </c>
      <c r="L394" s="6">
        <v>0</v>
      </c>
      <c r="M394" s="18">
        <v>0</v>
      </c>
      <c r="N394" s="18">
        <v>24000</v>
      </c>
    </row>
    <row r="395" spans="1:14">
      <c r="A395" s="4" t="s">
        <v>2319</v>
      </c>
      <c r="B395" s="5" t="s">
        <v>2325</v>
      </c>
      <c r="C395" s="6" t="s">
        <v>408</v>
      </c>
      <c r="D395" s="6" t="s">
        <v>135</v>
      </c>
      <c r="E395" s="6">
        <v>2719694</v>
      </c>
      <c r="F395" s="18">
        <v>5826.45</v>
      </c>
      <c r="G395" s="18">
        <v>0</v>
      </c>
      <c r="H395" s="6">
        <v>0</v>
      </c>
      <c r="I395" s="6">
        <v>0</v>
      </c>
      <c r="J395" s="6">
        <v>0</v>
      </c>
      <c r="K395" s="6">
        <v>1223.55</v>
      </c>
      <c r="L395" s="6">
        <v>0</v>
      </c>
      <c r="M395" s="18">
        <v>0</v>
      </c>
      <c r="N395" s="18">
        <v>7050</v>
      </c>
    </row>
    <row r="396" spans="1:14">
      <c r="A396" s="4" t="s">
        <v>2319</v>
      </c>
      <c r="B396" s="5" t="s">
        <v>2324</v>
      </c>
      <c r="C396" s="6" t="s">
        <v>345</v>
      </c>
      <c r="D396" s="6" t="s">
        <v>343</v>
      </c>
      <c r="E396" s="6">
        <v>30658137642</v>
      </c>
      <c r="F396" s="18">
        <v>440517.91</v>
      </c>
      <c r="G396" s="18">
        <v>0</v>
      </c>
      <c r="H396" s="6">
        <v>0</v>
      </c>
      <c r="I396" s="6">
        <v>0</v>
      </c>
      <c r="J396" s="6">
        <v>0</v>
      </c>
      <c r="K396" s="6">
        <v>92508.76</v>
      </c>
      <c r="L396" s="6">
        <v>0</v>
      </c>
      <c r="M396" s="18">
        <v>0</v>
      </c>
      <c r="N396" s="18">
        <v>533026.67000000004</v>
      </c>
    </row>
    <row r="397" spans="1:14">
      <c r="A397" s="4" t="s">
        <v>2319</v>
      </c>
      <c r="B397" s="5" t="s">
        <v>2323</v>
      </c>
      <c r="C397" s="6" t="s">
        <v>347</v>
      </c>
      <c r="D397" s="6" t="s">
        <v>343</v>
      </c>
      <c r="E397" s="6">
        <v>30571766287</v>
      </c>
      <c r="F397" s="18">
        <v>141752.07</v>
      </c>
      <c r="G397" s="18">
        <v>0</v>
      </c>
      <c r="H397" s="6">
        <v>0</v>
      </c>
      <c r="I397" s="6">
        <v>0</v>
      </c>
      <c r="J397" s="6">
        <v>0</v>
      </c>
      <c r="K397" s="6">
        <v>29767.93</v>
      </c>
      <c r="L397" s="6">
        <v>0</v>
      </c>
      <c r="M397" s="18">
        <v>0</v>
      </c>
      <c r="N397" s="18">
        <v>171520</v>
      </c>
    </row>
    <row r="398" spans="1:14">
      <c r="A398" s="4" t="s">
        <v>2319</v>
      </c>
      <c r="B398" s="5" t="s">
        <v>2322</v>
      </c>
      <c r="C398" s="6" t="s">
        <v>345</v>
      </c>
      <c r="D398" s="6" t="s">
        <v>343</v>
      </c>
      <c r="E398" s="6">
        <v>30658137642</v>
      </c>
      <c r="F398" s="18">
        <v>66115.7</v>
      </c>
      <c r="G398" s="18">
        <v>0</v>
      </c>
      <c r="H398" s="6">
        <v>0</v>
      </c>
      <c r="I398" s="6">
        <v>0</v>
      </c>
      <c r="J398" s="6">
        <v>0</v>
      </c>
      <c r="K398" s="6">
        <v>13884.3</v>
      </c>
      <c r="L398" s="6">
        <v>0</v>
      </c>
      <c r="M398" s="18">
        <v>0</v>
      </c>
      <c r="N398" s="18">
        <v>80000</v>
      </c>
    </row>
    <row r="399" spans="1:14">
      <c r="A399" s="4" t="s">
        <v>2319</v>
      </c>
      <c r="B399" s="5" t="s">
        <v>2321</v>
      </c>
      <c r="C399" s="6" t="s">
        <v>1054</v>
      </c>
      <c r="D399" s="6" t="s">
        <v>135</v>
      </c>
      <c r="E399" s="6" t="s">
        <v>136</v>
      </c>
      <c r="F399" s="18">
        <v>52066.12</v>
      </c>
      <c r="G399" s="18">
        <v>0</v>
      </c>
      <c r="H399" s="6">
        <v>0</v>
      </c>
      <c r="I399" s="6">
        <v>0</v>
      </c>
      <c r="J399" s="6">
        <v>0</v>
      </c>
      <c r="K399" s="6">
        <v>10933.88</v>
      </c>
      <c r="L399" s="6">
        <v>0</v>
      </c>
      <c r="M399" s="18">
        <v>0</v>
      </c>
      <c r="N399" s="18">
        <v>63000</v>
      </c>
    </row>
    <row r="400" spans="1:14">
      <c r="A400" s="4" t="s">
        <v>2319</v>
      </c>
      <c r="B400" s="5" t="s">
        <v>2320</v>
      </c>
      <c r="C400" s="6" t="s">
        <v>365</v>
      </c>
      <c r="D400" s="6" t="s">
        <v>135</v>
      </c>
      <c r="E400" s="6">
        <v>14547747</v>
      </c>
      <c r="F400" s="18">
        <v>14876.04</v>
      </c>
      <c r="G400" s="18">
        <v>0</v>
      </c>
      <c r="H400" s="6">
        <v>0</v>
      </c>
      <c r="I400" s="6">
        <v>0</v>
      </c>
      <c r="J400" s="6">
        <v>0</v>
      </c>
      <c r="K400" s="6">
        <v>3123.96</v>
      </c>
      <c r="L400" s="6">
        <v>0</v>
      </c>
      <c r="M400" s="18">
        <v>0</v>
      </c>
      <c r="N400" s="18">
        <v>18000</v>
      </c>
    </row>
    <row r="401" spans="1:14">
      <c r="A401" s="4" t="s">
        <v>2319</v>
      </c>
      <c r="B401" s="5" t="s">
        <v>2318</v>
      </c>
      <c r="C401" s="6" t="s">
        <v>342</v>
      </c>
      <c r="D401" s="6" t="s">
        <v>343</v>
      </c>
      <c r="E401" s="6">
        <v>30590354798</v>
      </c>
      <c r="F401" s="18">
        <v>1537751.43</v>
      </c>
      <c r="G401" s="18">
        <v>0</v>
      </c>
      <c r="H401" s="6">
        <v>0</v>
      </c>
      <c r="I401" s="6">
        <v>0</v>
      </c>
      <c r="J401" s="6">
        <v>0</v>
      </c>
      <c r="K401" s="6">
        <v>322927.78999999998</v>
      </c>
      <c r="L401" s="6">
        <v>0</v>
      </c>
      <c r="M401" s="18">
        <v>0</v>
      </c>
      <c r="N401" s="18">
        <v>1860679.22</v>
      </c>
    </row>
    <row r="402" spans="1:14">
      <c r="A402" s="4" t="s">
        <v>2314</v>
      </c>
      <c r="B402" s="5" t="s">
        <v>2317</v>
      </c>
      <c r="C402" s="6" t="s">
        <v>2316</v>
      </c>
      <c r="D402" s="6" t="s">
        <v>135</v>
      </c>
      <c r="E402" s="6">
        <v>30298513</v>
      </c>
      <c r="F402" s="18">
        <v>33884.300000000003</v>
      </c>
      <c r="G402" s="18">
        <v>0</v>
      </c>
      <c r="H402" s="6">
        <v>0</v>
      </c>
      <c r="I402" s="6">
        <v>0</v>
      </c>
      <c r="J402" s="6">
        <v>0</v>
      </c>
      <c r="K402" s="6">
        <v>7115.7</v>
      </c>
      <c r="L402" s="6">
        <v>0</v>
      </c>
      <c r="M402" s="18">
        <v>0</v>
      </c>
      <c r="N402" s="18">
        <v>41000</v>
      </c>
    </row>
    <row r="403" spans="1:14">
      <c r="A403" s="4" t="s">
        <v>2314</v>
      </c>
      <c r="B403" s="5" t="s">
        <v>2315</v>
      </c>
      <c r="C403" s="6" t="s">
        <v>342</v>
      </c>
      <c r="D403" s="6" t="s">
        <v>343</v>
      </c>
      <c r="E403" s="6">
        <v>30590354798</v>
      </c>
      <c r="F403" s="18">
        <v>552892.56000000006</v>
      </c>
      <c r="G403" s="18">
        <v>0</v>
      </c>
      <c r="H403" s="6">
        <v>0</v>
      </c>
      <c r="I403" s="6">
        <v>0</v>
      </c>
      <c r="J403" s="6">
        <v>0</v>
      </c>
      <c r="K403" s="6">
        <v>116107.44</v>
      </c>
      <c r="L403" s="6">
        <v>0</v>
      </c>
      <c r="M403" s="18">
        <v>0</v>
      </c>
      <c r="N403" s="18">
        <v>669000</v>
      </c>
    </row>
    <row r="404" spans="1:14">
      <c r="A404" s="4" t="s">
        <v>2314</v>
      </c>
      <c r="B404" s="5" t="s">
        <v>2313</v>
      </c>
      <c r="C404" s="6" t="s">
        <v>342</v>
      </c>
      <c r="D404" s="6" t="s">
        <v>343</v>
      </c>
      <c r="E404" s="6">
        <v>30590354798</v>
      </c>
      <c r="F404" s="18">
        <v>850413.22</v>
      </c>
      <c r="G404" s="18">
        <v>0</v>
      </c>
      <c r="H404" s="6">
        <v>0</v>
      </c>
      <c r="I404" s="6">
        <v>0</v>
      </c>
      <c r="J404" s="6">
        <v>0</v>
      </c>
      <c r="K404" s="6">
        <v>178586.78</v>
      </c>
      <c r="L404" s="6">
        <v>0</v>
      </c>
      <c r="M404" s="18">
        <v>0</v>
      </c>
      <c r="N404" s="18">
        <v>1029000</v>
      </c>
    </row>
    <row r="405" spans="1:14">
      <c r="A405" s="4" t="s">
        <v>2304</v>
      </c>
      <c r="B405" s="5" t="s">
        <v>2312</v>
      </c>
      <c r="C405" s="6" t="s">
        <v>362</v>
      </c>
      <c r="D405" s="6" t="s">
        <v>135</v>
      </c>
      <c r="E405" s="6">
        <v>21363216</v>
      </c>
      <c r="F405" s="18">
        <v>16528.93</v>
      </c>
      <c r="G405" s="18">
        <v>0</v>
      </c>
      <c r="H405" s="6">
        <v>0</v>
      </c>
      <c r="I405" s="6">
        <v>0</v>
      </c>
      <c r="J405" s="6">
        <v>0</v>
      </c>
      <c r="K405" s="6">
        <v>3471.07</v>
      </c>
      <c r="L405" s="6">
        <v>0</v>
      </c>
      <c r="M405" s="18">
        <v>0</v>
      </c>
      <c r="N405" s="18">
        <v>20000</v>
      </c>
    </row>
    <row r="406" spans="1:14">
      <c r="A406" s="4" t="s">
        <v>2304</v>
      </c>
      <c r="B406" s="5" t="s">
        <v>2311</v>
      </c>
      <c r="C406" s="6" t="s">
        <v>396</v>
      </c>
      <c r="D406" s="6" t="s">
        <v>135</v>
      </c>
      <c r="E406" s="6">
        <v>17275405</v>
      </c>
      <c r="F406" s="18">
        <v>24380.16</v>
      </c>
      <c r="G406" s="18">
        <v>0</v>
      </c>
      <c r="H406" s="6">
        <v>0</v>
      </c>
      <c r="I406" s="6">
        <v>0</v>
      </c>
      <c r="J406" s="6">
        <v>0</v>
      </c>
      <c r="K406" s="6">
        <v>5119.84</v>
      </c>
      <c r="L406" s="6">
        <v>0</v>
      </c>
      <c r="M406" s="18">
        <v>0</v>
      </c>
      <c r="N406" s="18">
        <v>29500</v>
      </c>
    </row>
    <row r="407" spans="1:14">
      <c r="A407" s="4" t="s">
        <v>2304</v>
      </c>
      <c r="B407" s="5" t="s">
        <v>2310</v>
      </c>
      <c r="C407" s="6" t="s">
        <v>447</v>
      </c>
      <c r="D407" s="6" t="s">
        <v>135</v>
      </c>
      <c r="E407" s="6">
        <v>5607654</v>
      </c>
      <c r="F407" s="18">
        <v>19834.71</v>
      </c>
      <c r="G407" s="18">
        <v>0</v>
      </c>
      <c r="H407" s="6">
        <v>0</v>
      </c>
      <c r="I407" s="6">
        <v>0</v>
      </c>
      <c r="J407" s="6">
        <v>0</v>
      </c>
      <c r="K407" s="6">
        <v>4165.29</v>
      </c>
      <c r="L407" s="6">
        <v>0</v>
      </c>
      <c r="M407" s="18">
        <v>0</v>
      </c>
      <c r="N407" s="18">
        <v>24000</v>
      </c>
    </row>
    <row r="408" spans="1:14">
      <c r="A408" s="4" t="s">
        <v>2304</v>
      </c>
      <c r="B408" s="5" t="s">
        <v>2309</v>
      </c>
      <c r="C408" s="6" t="s">
        <v>356</v>
      </c>
      <c r="D408" s="6" t="s">
        <v>135</v>
      </c>
      <c r="E408" s="6">
        <v>21645724</v>
      </c>
      <c r="F408" s="18">
        <v>22314.05</v>
      </c>
      <c r="G408" s="18">
        <v>0</v>
      </c>
      <c r="H408" s="6">
        <v>0</v>
      </c>
      <c r="I408" s="6">
        <v>0</v>
      </c>
      <c r="J408" s="6">
        <v>0</v>
      </c>
      <c r="K408" s="6">
        <v>4685.95</v>
      </c>
      <c r="L408" s="6">
        <v>0</v>
      </c>
      <c r="M408" s="18">
        <v>0</v>
      </c>
      <c r="N408" s="18">
        <v>27000</v>
      </c>
    </row>
    <row r="409" spans="1:14">
      <c r="A409" s="4" t="s">
        <v>2304</v>
      </c>
      <c r="B409" s="5" t="s">
        <v>2308</v>
      </c>
      <c r="C409" s="6" t="s">
        <v>415</v>
      </c>
      <c r="D409" s="6" t="s">
        <v>135</v>
      </c>
      <c r="E409" s="6">
        <v>3292785</v>
      </c>
      <c r="F409" s="18">
        <v>4962.8100000000004</v>
      </c>
      <c r="G409" s="18">
        <v>0</v>
      </c>
      <c r="H409" s="6">
        <v>0</v>
      </c>
      <c r="I409" s="6">
        <v>0</v>
      </c>
      <c r="J409" s="6">
        <v>0</v>
      </c>
      <c r="K409" s="6">
        <v>1042.19</v>
      </c>
      <c r="L409" s="6">
        <v>0</v>
      </c>
      <c r="M409" s="18">
        <v>0</v>
      </c>
      <c r="N409" s="18">
        <v>6005</v>
      </c>
    </row>
    <row r="410" spans="1:14">
      <c r="A410" s="4" t="s">
        <v>2304</v>
      </c>
      <c r="B410" s="5" t="s">
        <v>2307</v>
      </c>
      <c r="C410" s="6" t="s">
        <v>388</v>
      </c>
      <c r="D410" s="6" t="s">
        <v>135</v>
      </c>
      <c r="E410" s="6">
        <v>14123802</v>
      </c>
      <c r="F410" s="18">
        <v>16528.93</v>
      </c>
      <c r="G410" s="18">
        <v>0</v>
      </c>
      <c r="H410" s="6">
        <v>0</v>
      </c>
      <c r="I410" s="6">
        <v>0</v>
      </c>
      <c r="J410" s="6">
        <v>0</v>
      </c>
      <c r="K410" s="6">
        <v>3471.07</v>
      </c>
      <c r="L410" s="6">
        <v>0</v>
      </c>
      <c r="M410" s="18">
        <v>0</v>
      </c>
      <c r="N410" s="18">
        <v>20000</v>
      </c>
    </row>
    <row r="411" spans="1:14">
      <c r="A411" s="4" t="s">
        <v>2304</v>
      </c>
      <c r="B411" s="5" t="s">
        <v>2306</v>
      </c>
      <c r="C411" s="6" t="s">
        <v>342</v>
      </c>
      <c r="D411" s="6" t="s">
        <v>343</v>
      </c>
      <c r="E411" s="6">
        <v>30590354798</v>
      </c>
      <c r="F411" s="18">
        <v>440619.01</v>
      </c>
      <c r="G411" s="18">
        <v>0</v>
      </c>
      <c r="H411" s="6">
        <v>0</v>
      </c>
      <c r="I411" s="6">
        <v>0</v>
      </c>
      <c r="J411" s="6">
        <v>0</v>
      </c>
      <c r="K411" s="6">
        <v>92529.99</v>
      </c>
      <c r="L411" s="6">
        <v>0</v>
      </c>
      <c r="M411" s="18">
        <v>0</v>
      </c>
      <c r="N411" s="18">
        <v>533149</v>
      </c>
    </row>
    <row r="412" spans="1:14">
      <c r="A412" s="4" t="s">
        <v>2304</v>
      </c>
      <c r="B412" s="5" t="s">
        <v>2305</v>
      </c>
      <c r="C412" s="6" t="s">
        <v>390</v>
      </c>
      <c r="D412" s="6" t="s">
        <v>135</v>
      </c>
      <c r="E412" s="6">
        <v>29654556</v>
      </c>
      <c r="F412" s="18">
        <v>35537.19</v>
      </c>
      <c r="G412" s="18">
        <v>0</v>
      </c>
      <c r="H412" s="6">
        <v>0</v>
      </c>
      <c r="I412" s="6">
        <v>0</v>
      </c>
      <c r="J412" s="6">
        <v>0</v>
      </c>
      <c r="K412" s="6">
        <v>7462.81</v>
      </c>
      <c r="L412" s="6">
        <v>0</v>
      </c>
      <c r="M412" s="18">
        <v>0</v>
      </c>
      <c r="N412" s="18">
        <v>43000</v>
      </c>
    </row>
    <row r="413" spans="1:14">
      <c r="A413" s="4" t="s">
        <v>2304</v>
      </c>
      <c r="B413" s="5" t="s">
        <v>2303</v>
      </c>
      <c r="C413" s="6" t="s">
        <v>1909</v>
      </c>
      <c r="D413" s="6" t="s">
        <v>135</v>
      </c>
      <c r="E413" s="6">
        <v>96052829</v>
      </c>
      <c r="F413" s="18">
        <v>21487.61</v>
      </c>
      <c r="G413" s="18">
        <v>0</v>
      </c>
      <c r="H413" s="6">
        <v>0</v>
      </c>
      <c r="I413" s="6">
        <v>0</v>
      </c>
      <c r="J413" s="6">
        <v>0</v>
      </c>
      <c r="K413" s="6">
        <v>4512.3900000000003</v>
      </c>
      <c r="L413" s="6">
        <v>0</v>
      </c>
      <c r="M413" s="18">
        <v>0</v>
      </c>
      <c r="N413" s="18">
        <v>26000</v>
      </c>
    </row>
    <row r="414" spans="1:14">
      <c r="A414" s="4" t="s">
        <v>2301</v>
      </c>
      <c r="B414" s="5" t="s">
        <v>2302</v>
      </c>
      <c r="C414" s="6" t="s">
        <v>371</v>
      </c>
      <c r="D414" s="6" t="s">
        <v>135</v>
      </c>
      <c r="E414" s="6">
        <v>705467</v>
      </c>
      <c r="F414" s="18">
        <v>12396.69</v>
      </c>
      <c r="G414" s="18">
        <v>0</v>
      </c>
      <c r="H414" s="6">
        <v>0</v>
      </c>
      <c r="I414" s="6">
        <v>0</v>
      </c>
      <c r="J414" s="6">
        <v>0</v>
      </c>
      <c r="K414" s="6">
        <v>2603.31</v>
      </c>
      <c r="L414" s="6">
        <v>0</v>
      </c>
      <c r="M414" s="18">
        <v>0</v>
      </c>
      <c r="N414" s="18">
        <v>15000</v>
      </c>
    </row>
    <row r="415" spans="1:14">
      <c r="A415" s="4" t="s">
        <v>2301</v>
      </c>
      <c r="B415" s="5" t="s">
        <v>2300</v>
      </c>
      <c r="C415" s="6" t="s">
        <v>381</v>
      </c>
      <c r="D415" s="6" t="s">
        <v>135</v>
      </c>
      <c r="E415" s="6">
        <v>12791306</v>
      </c>
      <c r="F415" s="18">
        <v>16528.920000000002</v>
      </c>
      <c r="G415" s="18">
        <v>0</v>
      </c>
      <c r="H415" s="6">
        <v>0</v>
      </c>
      <c r="I415" s="6">
        <v>0</v>
      </c>
      <c r="J415" s="6">
        <v>0</v>
      </c>
      <c r="K415" s="6">
        <v>3471.08</v>
      </c>
      <c r="L415" s="6">
        <v>0</v>
      </c>
      <c r="M415" s="18">
        <v>0</v>
      </c>
      <c r="N415" s="18">
        <v>20000</v>
      </c>
    </row>
    <row r="416" spans="1:14">
      <c r="A416" s="4" t="s">
        <v>2292</v>
      </c>
      <c r="B416" s="5" t="s">
        <v>2299</v>
      </c>
      <c r="C416" s="6" t="s">
        <v>379</v>
      </c>
      <c r="D416" s="6" t="s">
        <v>135</v>
      </c>
      <c r="E416" s="6">
        <v>20404430</v>
      </c>
      <c r="F416" s="18">
        <v>17355.37</v>
      </c>
      <c r="G416" s="18">
        <v>0</v>
      </c>
      <c r="H416" s="6">
        <v>0</v>
      </c>
      <c r="I416" s="6">
        <v>0</v>
      </c>
      <c r="J416" s="6">
        <v>0</v>
      </c>
      <c r="K416" s="6">
        <v>3644.63</v>
      </c>
      <c r="L416" s="6">
        <v>0</v>
      </c>
      <c r="M416" s="18">
        <v>0</v>
      </c>
      <c r="N416" s="18">
        <v>21000</v>
      </c>
    </row>
    <row r="417" spans="1:14">
      <c r="A417" s="4" t="s">
        <v>2292</v>
      </c>
      <c r="B417" s="5" t="s">
        <v>2298</v>
      </c>
      <c r="C417" s="6" t="s">
        <v>377</v>
      </c>
      <c r="D417" s="6" t="s">
        <v>135</v>
      </c>
      <c r="E417" s="6">
        <v>10138957</v>
      </c>
      <c r="F417" s="18">
        <v>12396.69</v>
      </c>
      <c r="G417" s="18">
        <v>0</v>
      </c>
      <c r="H417" s="6">
        <v>0</v>
      </c>
      <c r="I417" s="6">
        <v>0</v>
      </c>
      <c r="J417" s="6">
        <v>0</v>
      </c>
      <c r="K417" s="6">
        <v>2603.31</v>
      </c>
      <c r="L417" s="6">
        <v>0</v>
      </c>
      <c r="M417" s="18">
        <v>0</v>
      </c>
      <c r="N417" s="18">
        <v>15000</v>
      </c>
    </row>
    <row r="418" spans="1:14">
      <c r="A418" s="4" t="s">
        <v>2292</v>
      </c>
      <c r="B418" s="5" t="s">
        <v>2297</v>
      </c>
      <c r="C418" s="6" t="s">
        <v>388</v>
      </c>
      <c r="D418" s="6" t="s">
        <v>135</v>
      </c>
      <c r="E418" s="6">
        <v>14123802</v>
      </c>
      <c r="F418" s="18">
        <v>32479.33</v>
      </c>
      <c r="G418" s="18">
        <v>0</v>
      </c>
      <c r="H418" s="6">
        <v>0</v>
      </c>
      <c r="I418" s="6">
        <v>0</v>
      </c>
      <c r="J418" s="6">
        <v>0</v>
      </c>
      <c r="K418" s="6">
        <v>6820.67</v>
      </c>
      <c r="L418" s="6">
        <v>0</v>
      </c>
      <c r="M418" s="18">
        <v>0</v>
      </c>
      <c r="N418" s="18">
        <v>39300</v>
      </c>
    </row>
    <row r="419" spans="1:14">
      <c r="A419" s="4" t="s">
        <v>2292</v>
      </c>
      <c r="B419" s="5" t="s">
        <v>2296</v>
      </c>
      <c r="C419" s="6" t="s">
        <v>417</v>
      </c>
      <c r="D419" s="6" t="s">
        <v>135</v>
      </c>
      <c r="E419" s="6">
        <v>20008996</v>
      </c>
      <c r="F419" s="18">
        <v>19834.71</v>
      </c>
      <c r="G419" s="18">
        <v>0</v>
      </c>
      <c r="H419" s="6">
        <v>0</v>
      </c>
      <c r="I419" s="6">
        <v>0</v>
      </c>
      <c r="J419" s="6">
        <v>0</v>
      </c>
      <c r="K419" s="6">
        <v>4165.29</v>
      </c>
      <c r="L419" s="6">
        <v>0</v>
      </c>
      <c r="M419" s="18">
        <v>0</v>
      </c>
      <c r="N419" s="18">
        <v>24000</v>
      </c>
    </row>
    <row r="420" spans="1:14">
      <c r="A420" s="4" t="s">
        <v>2292</v>
      </c>
      <c r="B420" s="5" t="s">
        <v>2295</v>
      </c>
      <c r="C420" s="6" t="s">
        <v>1203</v>
      </c>
      <c r="D420" s="6" t="s">
        <v>135</v>
      </c>
      <c r="E420" s="6">
        <v>14736066</v>
      </c>
      <c r="F420" s="18">
        <v>22314.05</v>
      </c>
      <c r="G420" s="18">
        <v>0</v>
      </c>
      <c r="H420" s="6">
        <v>0</v>
      </c>
      <c r="I420" s="6">
        <v>0</v>
      </c>
      <c r="J420" s="6">
        <v>0</v>
      </c>
      <c r="K420" s="6">
        <v>4685.95</v>
      </c>
      <c r="L420" s="6">
        <v>0</v>
      </c>
      <c r="M420" s="18">
        <v>0</v>
      </c>
      <c r="N420" s="18">
        <v>27000</v>
      </c>
    </row>
    <row r="421" spans="1:14">
      <c r="A421" s="4" t="s">
        <v>2292</v>
      </c>
      <c r="B421" s="5" t="s">
        <v>2294</v>
      </c>
      <c r="C421" s="6" t="s">
        <v>2293</v>
      </c>
      <c r="D421" s="6" t="s">
        <v>135</v>
      </c>
      <c r="E421" s="6">
        <v>95904113</v>
      </c>
      <c r="F421" s="18">
        <v>12727.28</v>
      </c>
      <c r="G421" s="18">
        <v>0</v>
      </c>
      <c r="H421" s="6">
        <v>0</v>
      </c>
      <c r="I421" s="6">
        <v>0</v>
      </c>
      <c r="J421" s="6">
        <v>0</v>
      </c>
      <c r="K421" s="6">
        <v>2672.72</v>
      </c>
      <c r="L421" s="6">
        <v>0</v>
      </c>
      <c r="M421" s="18">
        <v>0</v>
      </c>
      <c r="N421" s="18">
        <v>15400</v>
      </c>
    </row>
    <row r="422" spans="1:14">
      <c r="A422" s="4" t="s">
        <v>2292</v>
      </c>
      <c r="B422" s="5" t="s">
        <v>2291</v>
      </c>
      <c r="C422" s="6" t="s">
        <v>342</v>
      </c>
      <c r="D422" s="6" t="s">
        <v>343</v>
      </c>
      <c r="E422" s="6">
        <v>30590354798</v>
      </c>
      <c r="F422" s="18">
        <v>175329.75</v>
      </c>
      <c r="G422" s="18">
        <v>0</v>
      </c>
      <c r="H422" s="6">
        <v>0</v>
      </c>
      <c r="I422" s="6">
        <v>0</v>
      </c>
      <c r="J422" s="6">
        <v>0</v>
      </c>
      <c r="K422" s="6">
        <v>36819.25</v>
      </c>
      <c r="L422" s="6">
        <v>0</v>
      </c>
      <c r="M422" s="18">
        <v>0</v>
      </c>
      <c r="N422" s="18">
        <v>212149</v>
      </c>
    </row>
    <row r="423" spans="1:14">
      <c r="A423" s="4" t="s">
        <v>2290</v>
      </c>
      <c r="B423" s="5" t="s">
        <v>2289</v>
      </c>
      <c r="C423" s="6" t="s">
        <v>426</v>
      </c>
      <c r="D423" s="6" t="s">
        <v>135</v>
      </c>
      <c r="E423" s="6">
        <v>24699538</v>
      </c>
      <c r="F423" s="18">
        <v>16528.920000000002</v>
      </c>
      <c r="G423" s="18">
        <v>0</v>
      </c>
      <c r="H423" s="6">
        <v>0</v>
      </c>
      <c r="I423" s="6">
        <v>0</v>
      </c>
      <c r="J423" s="6">
        <v>0</v>
      </c>
      <c r="K423" s="6">
        <v>3471.08</v>
      </c>
      <c r="L423" s="6">
        <v>0</v>
      </c>
      <c r="M423" s="18">
        <v>0</v>
      </c>
      <c r="N423" s="18">
        <v>20000</v>
      </c>
    </row>
    <row r="424" spans="1:14">
      <c r="A424" s="4" t="s">
        <v>2287</v>
      </c>
      <c r="B424" s="5" t="s">
        <v>2288</v>
      </c>
      <c r="C424" s="6" t="s">
        <v>455</v>
      </c>
      <c r="D424" s="6" t="s">
        <v>135</v>
      </c>
      <c r="E424" s="6">
        <v>17814995</v>
      </c>
      <c r="F424" s="18">
        <v>15702.48</v>
      </c>
      <c r="G424" s="18">
        <v>0</v>
      </c>
      <c r="H424" s="6">
        <v>0</v>
      </c>
      <c r="I424" s="6">
        <v>0</v>
      </c>
      <c r="J424" s="6">
        <v>0</v>
      </c>
      <c r="K424" s="6">
        <v>3297.52</v>
      </c>
      <c r="L424" s="6">
        <v>0</v>
      </c>
      <c r="M424" s="18">
        <v>0</v>
      </c>
      <c r="N424" s="18">
        <v>19000</v>
      </c>
    </row>
    <row r="425" spans="1:14">
      <c r="A425" s="4" t="s">
        <v>2287</v>
      </c>
      <c r="B425" s="5" t="s">
        <v>2286</v>
      </c>
      <c r="C425" s="6" t="s">
        <v>342</v>
      </c>
      <c r="D425" s="6" t="s">
        <v>343</v>
      </c>
      <c r="E425" s="6">
        <v>30590354798</v>
      </c>
      <c r="F425" s="18">
        <v>2644628.1</v>
      </c>
      <c r="G425" s="18">
        <v>0</v>
      </c>
      <c r="H425" s="6">
        <v>0</v>
      </c>
      <c r="I425" s="6">
        <v>0</v>
      </c>
      <c r="J425" s="6">
        <v>0</v>
      </c>
      <c r="K425" s="6">
        <v>555371.9</v>
      </c>
      <c r="L425" s="6">
        <v>0</v>
      </c>
      <c r="M425" s="18">
        <v>0</v>
      </c>
      <c r="N425" s="18">
        <v>3200000</v>
      </c>
    </row>
    <row r="426" spans="1:14">
      <c r="A426" s="4" t="s">
        <v>2285</v>
      </c>
      <c r="B426" s="5" t="s">
        <v>2284</v>
      </c>
      <c r="C426" s="6" t="s">
        <v>735</v>
      </c>
      <c r="D426" s="6" t="s">
        <v>135</v>
      </c>
      <c r="E426" s="6" t="s">
        <v>136</v>
      </c>
      <c r="F426" s="18">
        <v>59504.13</v>
      </c>
      <c r="G426" s="18">
        <v>0</v>
      </c>
      <c r="H426" s="6">
        <v>0</v>
      </c>
      <c r="I426" s="6">
        <v>0</v>
      </c>
      <c r="J426" s="6">
        <v>0</v>
      </c>
      <c r="K426" s="6">
        <v>12495.87</v>
      </c>
      <c r="L426" s="6">
        <v>0</v>
      </c>
      <c r="M426" s="18">
        <v>0</v>
      </c>
      <c r="N426" s="18">
        <v>72000</v>
      </c>
    </row>
    <row r="427" spans="1:14">
      <c r="A427" s="4" t="s">
        <v>2279</v>
      </c>
      <c r="B427" s="5" t="s">
        <v>2283</v>
      </c>
      <c r="C427" s="6" t="s">
        <v>354</v>
      </c>
      <c r="D427" s="6" t="s">
        <v>135</v>
      </c>
      <c r="E427" s="6">
        <v>4648296</v>
      </c>
      <c r="F427" s="18">
        <v>16528.93</v>
      </c>
      <c r="G427" s="18">
        <v>0</v>
      </c>
      <c r="H427" s="6">
        <v>0</v>
      </c>
      <c r="I427" s="6">
        <v>0</v>
      </c>
      <c r="J427" s="6">
        <v>0</v>
      </c>
      <c r="K427" s="6">
        <v>3471.07</v>
      </c>
      <c r="L427" s="6">
        <v>0</v>
      </c>
      <c r="M427" s="18">
        <v>0</v>
      </c>
      <c r="N427" s="18">
        <v>20000</v>
      </c>
    </row>
    <row r="428" spans="1:14">
      <c r="A428" s="4" t="s">
        <v>2279</v>
      </c>
      <c r="B428" s="5" t="s">
        <v>2282</v>
      </c>
      <c r="C428" s="6" t="s">
        <v>408</v>
      </c>
      <c r="D428" s="6" t="s">
        <v>135</v>
      </c>
      <c r="E428" s="6">
        <v>2719694</v>
      </c>
      <c r="F428" s="18">
        <v>5826.44</v>
      </c>
      <c r="G428" s="18">
        <v>0</v>
      </c>
      <c r="H428" s="6">
        <v>0</v>
      </c>
      <c r="I428" s="6">
        <v>0</v>
      </c>
      <c r="J428" s="6">
        <v>0</v>
      </c>
      <c r="K428" s="6">
        <v>1223.56</v>
      </c>
      <c r="L428" s="6">
        <v>0</v>
      </c>
      <c r="M428" s="18">
        <v>0</v>
      </c>
      <c r="N428" s="18">
        <v>7050</v>
      </c>
    </row>
    <row r="429" spans="1:14">
      <c r="A429" s="4" t="s">
        <v>2279</v>
      </c>
      <c r="B429" s="5" t="s">
        <v>2281</v>
      </c>
      <c r="C429" s="6" t="s">
        <v>394</v>
      </c>
      <c r="D429" s="6" t="s">
        <v>135</v>
      </c>
      <c r="E429" s="6">
        <v>37904748</v>
      </c>
      <c r="F429" s="18">
        <v>19834.71</v>
      </c>
      <c r="G429" s="18">
        <v>0</v>
      </c>
      <c r="H429" s="6">
        <v>0</v>
      </c>
      <c r="I429" s="6">
        <v>0</v>
      </c>
      <c r="J429" s="6">
        <v>0</v>
      </c>
      <c r="K429" s="6">
        <v>4165.29</v>
      </c>
      <c r="L429" s="6">
        <v>0</v>
      </c>
      <c r="M429" s="18">
        <v>0</v>
      </c>
      <c r="N429" s="18">
        <v>24000</v>
      </c>
    </row>
    <row r="430" spans="1:14">
      <c r="A430" s="4" t="s">
        <v>2279</v>
      </c>
      <c r="B430" s="5" t="s">
        <v>2280</v>
      </c>
      <c r="C430" s="6" t="s">
        <v>445</v>
      </c>
      <c r="D430" s="6" t="s">
        <v>135</v>
      </c>
      <c r="E430" s="6">
        <v>25864351</v>
      </c>
      <c r="F430" s="18">
        <v>19834.71</v>
      </c>
      <c r="G430" s="18">
        <v>0</v>
      </c>
      <c r="H430" s="6">
        <v>0</v>
      </c>
      <c r="I430" s="6">
        <v>0</v>
      </c>
      <c r="J430" s="6">
        <v>0</v>
      </c>
      <c r="K430" s="6">
        <v>4165.29</v>
      </c>
      <c r="L430" s="6">
        <v>0</v>
      </c>
      <c r="M430" s="18">
        <v>0</v>
      </c>
      <c r="N430" s="18">
        <v>24000</v>
      </c>
    </row>
    <row r="431" spans="1:14">
      <c r="A431" s="4" t="s">
        <v>2279</v>
      </c>
      <c r="B431" s="5" t="s">
        <v>2278</v>
      </c>
      <c r="C431" s="6" t="s">
        <v>1107</v>
      </c>
      <c r="D431" s="6" t="s">
        <v>135</v>
      </c>
      <c r="E431" s="6">
        <v>22040665</v>
      </c>
      <c r="F431" s="18">
        <v>44628.1</v>
      </c>
      <c r="G431" s="18">
        <v>0</v>
      </c>
      <c r="H431" s="6">
        <v>0</v>
      </c>
      <c r="I431" s="6">
        <v>0</v>
      </c>
      <c r="J431" s="6">
        <v>0</v>
      </c>
      <c r="K431" s="6">
        <v>9371.9</v>
      </c>
      <c r="L431" s="6">
        <v>0</v>
      </c>
      <c r="M431" s="18">
        <v>0</v>
      </c>
      <c r="N431" s="18">
        <v>54000</v>
      </c>
    </row>
    <row r="432" spans="1:14">
      <c r="A432" s="4" t="s">
        <v>2275</v>
      </c>
      <c r="B432" s="5" t="s">
        <v>2277</v>
      </c>
      <c r="C432" s="6" t="s">
        <v>1751</v>
      </c>
      <c r="D432" s="6" t="s">
        <v>135</v>
      </c>
      <c r="E432" s="6">
        <v>25795206</v>
      </c>
      <c r="F432" s="18">
        <v>22314.05</v>
      </c>
      <c r="G432" s="18">
        <v>0</v>
      </c>
      <c r="H432" s="6">
        <v>0</v>
      </c>
      <c r="I432" s="6">
        <v>0</v>
      </c>
      <c r="J432" s="6">
        <v>0</v>
      </c>
      <c r="K432" s="6">
        <v>4685.95</v>
      </c>
      <c r="L432" s="6">
        <v>0</v>
      </c>
      <c r="M432" s="18">
        <v>0</v>
      </c>
      <c r="N432" s="18">
        <v>27000</v>
      </c>
    </row>
    <row r="433" spans="1:14">
      <c r="A433" s="4" t="s">
        <v>2275</v>
      </c>
      <c r="B433" s="5" t="s">
        <v>2276</v>
      </c>
      <c r="C433" s="6" t="s">
        <v>375</v>
      </c>
      <c r="D433" s="6" t="s">
        <v>135</v>
      </c>
      <c r="E433" s="6">
        <v>36622635</v>
      </c>
      <c r="F433" s="18">
        <v>21487.599999999999</v>
      </c>
      <c r="G433" s="18">
        <v>0</v>
      </c>
      <c r="H433" s="6">
        <v>0</v>
      </c>
      <c r="I433" s="6">
        <v>0</v>
      </c>
      <c r="J433" s="6">
        <v>0</v>
      </c>
      <c r="K433" s="6">
        <v>4512.4000000000005</v>
      </c>
      <c r="L433" s="6">
        <v>0</v>
      </c>
      <c r="M433" s="18">
        <v>0</v>
      </c>
      <c r="N433" s="18">
        <v>26000</v>
      </c>
    </row>
    <row r="434" spans="1:14">
      <c r="A434" s="4" t="s">
        <v>2275</v>
      </c>
      <c r="B434" s="5" t="s">
        <v>2274</v>
      </c>
      <c r="C434" s="6" t="s">
        <v>434</v>
      </c>
      <c r="D434" s="6" t="s">
        <v>135</v>
      </c>
      <c r="E434" s="6">
        <v>902191</v>
      </c>
      <c r="F434" s="18">
        <v>24793.39</v>
      </c>
      <c r="G434" s="18">
        <v>0</v>
      </c>
      <c r="H434" s="6">
        <v>0</v>
      </c>
      <c r="I434" s="6">
        <v>0</v>
      </c>
      <c r="J434" s="6">
        <v>0</v>
      </c>
      <c r="K434" s="6">
        <v>5206.6099999999997</v>
      </c>
      <c r="L434" s="6">
        <v>0</v>
      </c>
      <c r="M434" s="18">
        <v>0</v>
      </c>
      <c r="N434" s="18">
        <v>30000</v>
      </c>
    </row>
    <row r="435" spans="1:14">
      <c r="A435" s="4" t="s">
        <v>2271</v>
      </c>
      <c r="B435" s="5" t="s">
        <v>2273</v>
      </c>
      <c r="C435" s="6" t="s">
        <v>447</v>
      </c>
      <c r="D435" s="6" t="s">
        <v>135</v>
      </c>
      <c r="E435" s="6">
        <v>5607654</v>
      </c>
      <c r="F435" s="18">
        <v>19834.71</v>
      </c>
      <c r="G435" s="18">
        <v>0</v>
      </c>
      <c r="H435" s="6">
        <v>0</v>
      </c>
      <c r="I435" s="6">
        <v>0</v>
      </c>
      <c r="J435" s="6">
        <v>0</v>
      </c>
      <c r="K435" s="6">
        <v>4165.29</v>
      </c>
      <c r="L435" s="6">
        <v>0</v>
      </c>
      <c r="M435" s="18">
        <v>0</v>
      </c>
      <c r="N435" s="18">
        <v>24000</v>
      </c>
    </row>
    <row r="436" spans="1:14">
      <c r="A436" s="4" t="s">
        <v>2271</v>
      </c>
      <c r="B436" s="5" t="s">
        <v>2272</v>
      </c>
      <c r="C436" s="6" t="s">
        <v>413</v>
      </c>
      <c r="D436" s="6" t="s">
        <v>135</v>
      </c>
      <c r="E436" s="6">
        <v>11172213</v>
      </c>
      <c r="F436" s="18">
        <v>19834.71</v>
      </c>
      <c r="G436" s="18">
        <v>0</v>
      </c>
      <c r="H436" s="6">
        <v>0</v>
      </c>
      <c r="I436" s="6">
        <v>0</v>
      </c>
      <c r="J436" s="6">
        <v>0</v>
      </c>
      <c r="K436" s="6">
        <v>4165.29</v>
      </c>
      <c r="L436" s="6">
        <v>0</v>
      </c>
      <c r="M436" s="18">
        <v>0</v>
      </c>
      <c r="N436" s="18">
        <v>24000</v>
      </c>
    </row>
    <row r="437" spans="1:14">
      <c r="A437" s="4" t="s">
        <v>2271</v>
      </c>
      <c r="B437" s="5" t="s">
        <v>2270</v>
      </c>
      <c r="C437" s="6" t="s">
        <v>457</v>
      </c>
      <c r="D437" s="6" t="s">
        <v>135</v>
      </c>
      <c r="E437" s="6">
        <v>20435515</v>
      </c>
      <c r="F437" s="18">
        <v>115702.48</v>
      </c>
      <c r="G437" s="18">
        <v>0</v>
      </c>
      <c r="H437" s="6">
        <v>0</v>
      </c>
      <c r="I437" s="6">
        <v>0</v>
      </c>
      <c r="J437" s="6">
        <v>0</v>
      </c>
      <c r="K437" s="6">
        <v>24297.52</v>
      </c>
      <c r="L437" s="6">
        <v>0</v>
      </c>
      <c r="M437" s="18">
        <v>0</v>
      </c>
      <c r="N437" s="18">
        <v>140000</v>
      </c>
    </row>
    <row r="438" spans="1:14">
      <c r="A438" s="4" t="s">
        <v>2269</v>
      </c>
      <c r="B438" s="5" t="s">
        <v>2268</v>
      </c>
      <c r="C438" s="6" t="s">
        <v>453</v>
      </c>
      <c r="D438" s="6" t="s">
        <v>135</v>
      </c>
      <c r="E438" s="6">
        <v>5804480</v>
      </c>
      <c r="F438" s="18">
        <v>28925.62</v>
      </c>
      <c r="G438" s="18">
        <v>0</v>
      </c>
      <c r="H438" s="6">
        <v>0</v>
      </c>
      <c r="I438" s="6">
        <v>0</v>
      </c>
      <c r="J438" s="6">
        <v>0</v>
      </c>
      <c r="K438" s="6">
        <v>6074.38</v>
      </c>
      <c r="L438" s="6">
        <v>0</v>
      </c>
      <c r="M438" s="18">
        <v>0</v>
      </c>
      <c r="N438" s="18">
        <v>35000</v>
      </c>
    </row>
    <row r="439" spans="1:14">
      <c r="A439" s="4" t="s">
        <v>2261</v>
      </c>
      <c r="B439" s="5" t="s">
        <v>2267</v>
      </c>
      <c r="C439" s="6" t="s">
        <v>1497</v>
      </c>
      <c r="D439" s="6" t="s">
        <v>343</v>
      </c>
      <c r="E439" s="6">
        <v>30636196858</v>
      </c>
      <c r="F439" s="18">
        <v>6666859.5</v>
      </c>
      <c r="G439" s="18">
        <v>0</v>
      </c>
      <c r="H439" s="6">
        <v>0</v>
      </c>
      <c r="I439" s="6">
        <v>0</v>
      </c>
      <c r="J439" s="6">
        <v>0</v>
      </c>
      <c r="K439" s="6">
        <v>1400040.5</v>
      </c>
      <c r="L439" s="6">
        <v>0</v>
      </c>
      <c r="M439" s="18">
        <v>0</v>
      </c>
      <c r="N439" s="18">
        <v>8066900</v>
      </c>
    </row>
    <row r="440" spans="1:14">
      <c r="A440" s="4" t="s">
        <v>2266</v>
      </c>
      <c r="B440" s="5" t="s">
        <v>2265</v>
      </c>
      <c r="C440" s="6" t="s">
        <v>1545</v>
      </c>
      <c r="D440" s="6" t="s">
        <v>343</v>
      </c>
      <c r="E440" s="6">
        <v>30585412453</v>
      </c>
      <c r="F440" s="18">
        <v>7809917.3600000003</v>
      </c>
      <c r="G440" s="18">
        <v>0</v>
      </c>
      <c r="H440" s="6">
        <v>0</v>
      </c>
      <c r="I440" s="6">
        <v>0</v>
      </c>
      <c r="J440" s="6">
        <v>0</v>
      </c>
      <c r="K440" s="6">
        <v>1640082.64</v>
      </c>
      <c r="L440" s="6">
        <v>0</v>
      </c>
      <c r="M440" s="18">
        <v>0</v>
      </c>
      <c r="N440" s="18">
        <v>9450000</v>
      </c>
    </row>
    <row r="441" spans="1:14">
      <c r="A441" s="4" t="s">
        <v>2263</v>
      </c>
      <c r="B441" s="5" t="s">
        <v>2264</v>
      </c>
      <c r="C441" s="6" t="s">
        <v>428</v>
      </c>
      <c r="D441" s="6" t="s">
        <v>135</v>
      </c>
      <c r="E441" s="6">
        <v>93332052</v>
      </c>
      <c r="F441" s="18">
        <v>6611.57</v>
      </c>
      <c r="G441" s="18">
        <v>0</v>
      </c>
      <c r="H441" s="6">
        <v>0</v>
      </c>
      <c r="I441" s="6">
        <v>0</v>
      </c>
      <c r="J441" s="6">
        <v>0</v>
      </c>
      <c r="K441" s="6">
        <v>1388.43</v>
      </c>
      <c r="L441" s="6">
        <v>0</v>
      </c>
      <c r="M441" s="18">
        <v>0</v>
      </c>
      <c r="N441" s="18">
        <v>8000</v>
      </c>
    </row>
    <row r="442" spans="1:14">
      <c r="A442" s="4" t="s">
        <v>2263</v>
      </c>
      <c r="B442" s="5" t="s">
        <v>2262</v>
      </c>
      <c r="C442" s="6" t="s">
        <v>1545</v>
      </c>
      <c r="D442" s="6" t="s">
        <v>343</v>
      </c>
      <c r="E442" s="6">
        <v>30585412453</v>
      </c>
      <c r="F442" s="18">
        <v>7809917.3600000003</v>
      </c>
      <c r="G442" s="18">
        <v>0</v>
      </c>
      <c r="H442" s="6">
        <v>0</v>
      </c>
      <c r="I442" s="6">
        <v>0</v>
      </c>
      <c r="J442" s="6">
        <v>0</v>
      </c>
      <c r="K442" s="6">
        <v>1640082.64</v>
      </c>
      <c r="L442" s="6">
        <v>0</v>
      </c>
      <c r="M442" s="18">
        <v>0</v>
      </c>
      <c r="N442" s="18">
        <v>9450000</v>
      </c>
    </row>
    <row r="443" spans="1:14">
      <c r="A443" s="4" t="s">
        <v>2261</v>
      </c>
      <c r="B443" s="5" t="s">
        <v>2260</v>
      </c>
      <c r="C443" s="6" t="s">
        <v>342</v>
      </c>
      <c r="D443" s="6" t="s">
        <v>343</v>
      </c>
      <c r="E443" s="6">
        <v>30590354798</v>
      </c>
      <c r="F443" s="18">
        <v>-8677.69</v>
      </c>
      <c r="G443" s="18">
        <v>0</v>
      </c>
      <c r="H443" s="6">
        <v>0</v>
      </c>
      <c r="I443" s="6">
        <v>0</v>
      </c>
      <c r="J443" s="6">
        <v>0</v>
      </c>
      <c r="K443" s="6">
        <v>-1822.31</v>
      </c>
      <c r="L443" s="6">
        <v>0</v>
      </c>
      <c r="M443" s="18">
        <v>0</v>
      </c>
      <c r="N443" s="18">
        <v>-10500</v>
      </c>
    </row>
    <row r="444" spans="1:14">
      <c r="F444" s="133">
        <f t="shared" ref="F444:N444" si="6">SUM(F388:F443)</f>
        <v>30116552.809999999</v>
      </c>
      <c r="G444" s="132">
        <f t="shared" si="6"/>
        <v>0</v>
      </c>
      <c r="H444" s="132">
        <f t="shared" si="6"/>
        <v>0</v>
      </c>
      <c r="I444" s="132">
        <f t="shared" si="6"/>
        <v>0</v>
      </c>
      <c r="J444" s="132">
        <f t="shared" si="6"/>
        <v>0</v>
      </c>
      <c r="K444" s="132">
        <f t="shared" si="6"/>
        <v>6324476.0799999991</v>
      </c>
      <c r="L444" s="132">
        <f t="shared" si="6"/>
        <v>0</v>
      </c>
      <c r="M444" s="132">
        <f t="shared" si="6"/>
        <v>0</v>
      </c>
      <c r="N444" s="132">
        <f t="shared" si="6"/>
        <v>36441028.890000001</v>
      </c>
    </row>
    <row r="445" spans="1:14">
      <c r="F445" s="132"/>
      <c r="G445" s="132"/>
      <c r="H445" s="132"/>
      <c r="I445" s="132"/>
      <c r="J445" s="132"/>
      <c r="K445" s="132"/>
      <c r="L445" s="132"/>
      <c r="M445" s="132"/>
      <c r="N445" s="132"/>
    </row>
    <row r="446" spans="1:14">
      <c r="A446" s="19" t="s">
        <v>778</v>
      </c>
      <c r="B446" s="19" t="s">
        <v>779</v>
      </c>
      <c r="C446" s="19" t="s">
        <v>780</v>
      </c>
      <c r="D446" s="19" t="s">
        <v>781</v>
      </c>
      <c r="E446" s="19" t="s">
        <v>782</v>
      </c>
      <c r="F446" s="131">
        <f t="shared" ref="F446:N446" si="7">F14+F18+F30+F98+F386+F444</f>
        <v>72069382.519999996</v>
      </c>
      <c r="G446" s="131">
        <f t="shared" si="7"/>
        <v>0</v>
      </c>
      <c r="H446" s="131">
        <f t="shared" si="7"/>
        <v>0</v>
      </c>
      <c r="I446" s="131">
        <f t="shared" si="7"/>
        <v>0</v>
      </c>
      <c r="J446" s="131">
        <f t="shared" si="7"/>
        <v>0</v>
      </c>
      <c r="K446" s="131">
        <f t="shared" si="7"/>
        <v>15134570.581300002</v>
      </c>
      <c r="L446" s="131">
        <f t="shared" si="7"/>
        <v>0</v>
      </c>
      <c r="M446" s="131">
        <f t="shared" si="7"/>
        <v>0</v>
      </c>
      <c r="N446" s="131">
        <f t="shared" si="7"/>
        <v>87203953.101300001</v>
      </c>
    </row>
    <row r="447" spans="1:14" ht="15.75" thickBot="1"/>
    <row r="448" spans="1:14" ht="15.75" thickBot="1">
      <c r="E448" s="130"/>
      <c r="F448" s="129" t="s">
        <v>460</v>
      </c>
      <c r="G448" s="129" t="s">
        <v>463</v>
      </c>
      <c r="H448" s="128" t="s">
        <v>459</v>
      </c>
    </row>
    <row r="449" spans="5:8" ht="15.75" thickBot="1">
      <c r="E449" s="127" t="s">
        <v>2259</v>
      </c>
      <c r="F449" s="123">
        <f>SUM(F5:F13)+SUM(F16:F17)+SUM(F20:F29)+SUM(F32:F97)</f>
        <v>36120639.839999996</v>
      </c>
      <c r="G449" s="126">
        <f>F449*21/100</f>
        <v>7585334.3663999988</v>
      </c>
      <c r="H449" s="125">
        <f>G449+F449</f>
        <v>43705974.206399992</v>
      </c>
    </row>
    <row r="450" spans="5:8" ht="15.75" thickBot="1">
      <c r="E450" s="124" t="s">
        <v>2258</v>
      </c>
      <c r="F450" s="123">
        <f>SUM(F100:F385)+SUM(F388:F443)</f>
        <v>35948742.68</v>
      </c>
      <c r="G450" s="122">
        <f>F450*21/100</f>
        <v>7549235.9627999999</v>
      </c>
      <c r="H450" s="121">
        <f>G450+F450</f>
        <v>43497978.642800003</v>
      </c>
    </row>
    <row r="451" spans="5:8" ht="15.75" thickBot="1">
      <c r="E451" s="120" t="s">
        <v>459</v>
      </c>
      <c r="F451" s="119">
        <f>F450+F449</f>
        <v>72069382.519999996</v>
      </c>
      <c r="G451" s="119">
        <f>G450+G449</f>
        <v>15134570.3292</v>
      </c>
      <c r="H451" s="118">
        <f>H450+H449</f>
        <v>87203952.849199995</v>
      </c>
    </row>
  </sheetData>
  <autoFilter ref="A99:N386" xr:uid="{00000000-0001-0000-0600-000000000000}">
    <filterColumn colId="2">
      <filters blank="1">
        <filter val="AROMATARE HERNÁN"/>
        <filter val="DIAZ, HECTOR"/>
        <filter val="GOMEZ JUAN PEDRO"/>
        <filter val="GONZALEZ HUGO CESAR"/>
        <filter val="LEAL LUIS"/>
        <filter val="LESCANO CLARA"/>
        <filter val="LORENA MORAN"/>
        <filter val="LOUGE BARBARA"/>
        <filter val="MATA EVYS DEL VALLE"/>
        <filter val="PRESAS MARIA EUGENIA"/>
      </filters>
    </filterColumn>
  </autoFilter>
  <sortState xmlns:xlrd2="http://schemas.microsoft.com/office/spreadsheetml/2017/richdata2" ref="A147:N191">
    <sortCondition ref="B147:B191"/>
  </sortState>
  <phoneticPr fontId="2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R494"/>
  <sheetViews>
    <sheetView topLeftCell="A480" workbookViewId="0">
      <selection activeCell="A420" sqref="A420:F486"/>
    </sheetView>
  </sheetViews>
  <sheetFormatPr baseColWidth="10" defaultColWidth="11.5703125" defaultRowHeight="15"/>
  <cols>
    <col min="2" max="2" width="18.42578125" bestFit="1" customWidth="1"/>
    <col min="3" max="3" width="29.140625" customWidth="1"/>
    <col min="4" max="4" width="22" bestFit="1" customWidth="1"/>
    <col min="5" max="5" width="15" customWidth="1"/>
    <col min="6" max="6" width="14" customWidth="1"/>
    <col min="7" max="7" width="14.140625" bestFit="1" customWidth="1"/>
    <col min="8" max="9" width="0" hidden="1" customWidth="1"/>
    <col min="10" max="10" width="14.7109375" customWidth="1"/>
    <col min="11" max="11" width="13.5703125" customWidth="1"/>
    <col min="12" max="13" width="0" hidden="1" customWidth="1"/>
    <col min="14" max="14" width="14.7109375" customWidth="1"/>
  </cols>
  <sheetData>
    <row r="1" spans="1:14">
      <c r="A1" s="91" t="s">
        <v>136</v>
      </c>
    </row>
    <row r="2" spans="1:14" ht="18">
      <c r="A2" s="71" t="s">
        <v>2726</v>
      </c>
    </row>
    <row r="3" spans="1:14" ht="15.75">
      <c r="A3" s="72" t="s">
        <v>1</v>
      </c>
      <c r="L3" s="17"/>
    </row>
    <row r="5" spans="1:14" ht="15.75" thickBot="1">
      <c r="A5" s="116" t="s">
        <v>2</v>
      </c>
      <c r="B5" s="116" t="s">
        <v>3</v>
      </c>
      <c r="C5" s="116" t="s">
        <v>4</v>
      </c>
      <c r="D5" s="116" t="s">
        <v>5</v>
      </c>
      <c r="E5" s="116" t="s">
        <v>6</v>
      </c>
      <c r="F5" s="116" t="s">
        <v>7</v>
      </c>
      <c r="G5" s="116" t="s">
        <v>8</v>
      </c>
      <c r="H5" s="116" t="s">
        <v>9</v>
      </c>
      <c r="I5" s="116" t="s">
        <v>10</v>
      </c>
      <c r="J5" s="116" t="s">
        <v>11</v>
      </c>
      <c r="K5" s="116" t="s">
        <v>12</v>
      </c>
      <c r="L5" s="116" t="s">
        <v>13</v>
      </c>
      <c r="M5" s="116" t="s">
        <v>14</v>
      </c>
      <c r="N5" s="116" t="s">
        <v>15</v>
      </c>
    </row>
    <row r="6" spans="1:14" ht="15.75" thickBot="1">
      <c r="A6" s="167" t="s">
        <v>3243</v>
      </c>
      <c r="B6" s="168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</row>
    <row r="7" spans="1:14">
      <c r="A7" s="4" t="s">
        <v>3229</v>
      </c>
      <c r="B7" s="5" t="s">
        <v>3230</v>
      </c>
      <c r="C7" s="6" t="s">
        <v>115</v>
      </c>
      <c r="D7" s="6" t="s">
        <v>19</v>
      </c>
      <c r="E7" s="6">
        <v>30690973517</v>
      </c>
      <c r="F7" s="142">
        <v>76859.5</v>
      </c>
      <c r="G7" s="142">
        <v>0</v>
      </c>
      <c r="H7" s="141">
        <v>0</v>
      </c>
      <c r="I7" s="141">
        <v>0</v>
      </c>
      <c r="J7" s="141">
        <v>0</v>
      </c>
      <c r="K7" s="141">
        <v>16140.5</v>
      </c>
      <c r="L7" s="141">
        <v>0</v>
      </c>
      <c r="M7" s="142">
        <v>0</v>
      </c>
      <c r="N7" s="142">
        <v>93000</v>
      </c>
    </row>
    <row r="8" spans="1:14" ht="15.75" thickBot="1">
      <c r="A8" s="4"/>
      <c r="B8" s="5"/>
      <c r="C8" s="6"/>
      <c r="D8" s="6"/>
      <c r="E8" s="6"/>
      <c r="F8" s="18"/>
      <c r="G8" s="18"/>
      <c r="H8" s="6"/>
      <c r="I8" s="6"/>
      <c r="J8" s="6"/>
      <c r="K8" s="6"/>
      <c r="L8" s="6"/>
      <c r="M8" s="18"/>
      <c r="N8" s="18"/>
    </row>
    <row r="9" spans="1:14" ht="15.75" thickBot="1">
      <c r="A9" s="167" t="s">
        <v>3244</v>
      </c>
      <c r="B9" s="168"/>
      <c r="C9" s="6"/>
      <c r="D9" s="6"/>
      <c r="E9" s="6"/>
      <c r="F9" s="18"/>
      <c r="G9" s="18"/>
      <c r="H9" s="6"/>
      <c r="I9" s="6"/>
      <c r="J9" s="6"/>
      <c r="K9" s="6"/>
      <c r="L9" s="6"/>
      <c r="M9" s="18"/>
      <c r="N9" s="18"/>
    </row>
    <row r="10" spans="1:14">
      <c r="A10" s="4" t="s">
        <v>2727</v>
      </c>
      <c r="B10" s="5" t="s">
        <v>2744</v>
      </c>
      <c r="C10" s="6" t="s">
        <v>2634</v>
      </c>
      <c r="D10" s="6" t="s">
        <v>19</v>
      </c>
      <c r="E10" s="6">
        <v>30522428163</v>
      </c>
      <c r="F10" s="18">
        <v>1324217.68</v>
      </c>
      <c r="G10" s="18">
        <v>0</v>
      </c>
      <c r="H10" s="6">
        <v>0</v>
      </c>
      <c r="I10" s="6">
        <v>0</v>
      </c>
      <c r="J10" s="6">
        <v>0</v>
      </c>
      <c r="K10" s="6">
        <v>278085.71000000002</v>
      </c>
      <c r="L10" s="6">
        <v>0</v>
      </c>
      <c r="M10" s="18">
        <v>0</v>
      </c>
      <c r="N10" s="18">
        <v>1602303.39</v>
      </c>
    </row>
    <row r="11" spans="1:14">
      <c r="A11" s="4" t="s">
        <v>2727</v>
      </c>
      <c r="B11" s="5" t="s">
        <v>2745</v>
      </c>
      <c r="C11" s="6" t="s">
        <v>2634</v>
      </c>
      <c r="D11" s="6" t="s">
        <v>19</v>
      </c>
      <c r="E11" s="6">
        <v>30522428163</v>
      </c>
      <c r="F11" s="18">
        <v>9186307.5999999996</v>
      </c>
      <c r="G11" s="18">
        <v>0</v>
      </c>
      <c r="H11" s="6">
        <v>0</v>
      </c>
      <c r="I11" s="6">
        <v>0</v>
      </c>
      <c r="J11" s="6">
        <v>0</v>
      </c>
      <c r="K11" s="6">
        <v>1929124.6</v>
      </c>
      <c r="L11" s="6">
        <v>0</v>
      </c>
      <c r="M11" s="18">
        <v>0</v>
      </c>
      <c r="N11" s="18">
        <v>11115432.200000001</v>
      </c>
    </row>
    <row r="12" spans="1:14">
      <c r="A12" s="4" t="s">
        <v>2727</v>
      </c>
      <c r="B12" s="5" t="s">
        <v>2746</v>
      </c>
      <c r="C12" s="6" t="s">
        <v>2634</v>
      </c>
      <c r="D12" s="6" t="s">
        <v>19</v>
      </c>
      <c r="E12" s="6">
        <v>30522428163</v>
      </c>
      <c r="F12" s="18">
        <v>1132474.07</v>
      </c>
      <c r="G12" s="18">
        <v>0</v>
      </c>
      <c r="H12" s="6">
        <v>0</v>
      </c>
      <c r="I12" s="6">
        <v>0</v>
      </c>
      <c r="J12" s="6">
        <v>0</v>
      </c>
      <c r="K12" s="6">
        <v>237819.55</v>
      </c>
      <c r="L12" s="6">
        <v>0</v>
      </c>
      <c r="M12" s="18">
        <v>0</v>
      </c>
      <c r="N12" s="18">
        <v>1370293.62</v>
      </c>
    </row>
    <row r="13" spans="1:14">
      <c r="A13" s="4" t="s">
        <v>2727</v>
      </c>
      <c r="B13" s="5" t="s">
        <v>2747</v>
      </c>
      <c r="C13" s="6" t="s">
        <v>2634</v>
      </c>
      <c r="D13" s="6" t="s">
        <v>19</v>
      </c>
      <c r="E13" s="6">
        <v>30522428163</v>
      </c>
      <c r="F13" s="18">
        <v>1143530.07</v>
      </c>
      <c r="G13" s="18">
        <v>0</v>
      </c>
      <c r="H13" s="6">
        <v>0</v>
      </c>
      <c r="I13" s="6">
        <v>0</v>
      </c>
      <c r="J13" s="6">
        <v>0</v>
      </c>
      <c r="K13" s="6">
        <v>240141.31</v>
      </c>
      <c r="L13" s="6">
        <v>0</v>
      </c>
      <c r="M13" s="18">
        <v>0</v>
      </c>
      <c r="N13" s="18">
        <v>1383671.38</v>
      </c>
    </row>
    <row r="14" spans="1:14">
      <c r="A14" s="4" t="s">
        <v>2819</v>
      </c>
      <c r="B14" s="5" t="s">
        <v>2834</v>
      </c>
      <c r="C14" s="6" t="s">
        <v>36</v>
      </c>
      <c r="D14" s="6" t="s">
        <v>19</v>
      </c>
      <c r="E14" s="6">
        <v>30683032227</v>
      </c>
      <c r="F14" s="18">
        <v>3048083.92</v>
      </c>
      <c r="G14" s="18">
        <v>0</v>
      </c>
      <c r="H14" s="6">
        <v>0</v>
      </c>
      <c r="I14" s="6">
        <v>0</v>
      </c>
      <c r="J14" s="6">
        <v>0</v>
      </c>
      <c r="K14" s="6">
        <v>640097.62</v>
      </c>
      <c r="L14" s="6">
        <v>0</v>
      </c>
      <c r="M14" s="18">
        <v>0</v>
      </c>
      <c r="N14" s="18">
        <v>3688181.54</v>
      </c>
    </row>
    <row r="15" spans="1:14">
      <c r="A15" s="4" t="s">
        <v>2819</v>
      </c>
      <c r="B15" s="5" t="s">
        <v>2835</v>
      </c>
      <c r="C15" s="6" t="s">
        <v>36</v>
      </c>
      <c r="D15" s="6" t="s">
        <v>19</v>
      </c>
      <c r="E15" s="6">
        <v>30683032227</v>
      </c>
      <c r="F15" s="18">
        <v>1139231.17</v>
      </c>
      <c r="G15" s="18">
        <v>0</v>
      </c>
      <c r="H15" s="6">
        <v>0</v>
      </c>
      <c r="I15" s="6">
        <v>0</v>
      </c>
      <c r="J15" s="6">
        <v>0</v>
      </c>
      <c r="K15" s="6">
        <v>239238.55</v>
      </c>
      <c r="L15" s="6">
        <v>0</v>
      </c>
      <c r="M15" s="18">
        <v>0</v>
      </c>
      <c r="N15" s="18">
        <v>1378469.72</v>
      </c>
    </row>
    <row r="16" spans="1:14">
      <c r="A16" s="4" t="s">
        <v>2885</v>
      </c>
      <c r="B16" s="5" t="s">
        <v>2898</v>
      </c>
      <c r="C16" s="6" t="s">
        <v>2634</v>
      </c>
      <c r="D16" s="6" t="s">
        <v>19</v>
      </c>
      <c r="E16" s="6">
        <v>30522428163</v>
      </c>
      <c r="F16" s="18">
        <v>1948760.33</v>
      </c>
      <c r="G16" s="18">
        <v>0</v>
      </c>
      <c r="H16" s="6">
        <v>0</v>
      </c>
      <c r="I16" s="6">
        <v>0</v>
      </c>
      <c r="J16" s="6">
        <v>0</v>
      </c>
      <c r="K16" s="6">
        <v>409239.67</v>
      </c>
      <c r="L16" s="6">
        <v>0</v>
      </c>
      <c r="M16" s="18">
        <v>0</v>
      </c>
      <c r="N16" s="18">
        <v>2358000</v>
      </c>
    </row>
    <row r="17" spans="1:14">
      <c r="A17" s="4" t="s">
        <v>2968</v>
      </c>
      <c r="B17" s="5" t="s">
        <v>2988</v>
      </c>
      <c r="C17" s="6" t="s">
        <v>2634</v>
      </c>
      <c r="D17" s="6" t="s">
        <v>19</v>
      </c>
      <c r="E17" s="6">
        <v>30522428163</v>
      </c>
      <c r="F17" s="18">
        <v>18909090.91</v>
      </c>
      <c r="G17" s="18">
        <v>0</v>
      </c>
      <c r="H17" s="6">
        <v>0</v>
      </c>
      <c r="I17" s="6">
        <v>0</v>
      </c>
      <c r="J17" s="6">
        <v>0</v>
      </c>
      <c r="K17" s="6">
        <v>3970909.09</v>
      </c>
      <c r="L17" s="6">
        <v>0</v>
      </c>
      <c r="M17" s="18">
        <v>0</v>
      </c>
      <c r="N17" s="18">
        <v>22880000</v>
      </c>
    </row>
    <row r="18" spans="1:14">
      <c r="A18" s="4" t="s">
        <v>2990</v>
      </c>
      <c r="B18" s="5" t="s">
        <v>3016</v>
      </c>
      <c r="C18" s="6" t="s">
        <v>36</v>
      </c>
      <c r="D18" s="6" t="s">
        <v>19</v>
      </c>
      <c r="E18" s="6">
        <v>30683032227</v>
      </c>
      <c r="F18" s="18">
        <v>2388429.75</v>
      </c>
      <c r="G18" s="18">
        <v>0</v>
      </c>
      <c r="H18" s="6">
        <v>0</v>
      </c>
      <c r="I18" s="6">
        <v>0</v>
      </c>
      <c r="J18" s="6">
        <v>0</v>
      </c>
      <c r="K18" s="6">
        <v>501570.25</v>
      </c>
      <c r="L18" s="6">
        <v>0</v>
      </c>
      <c r="M18" s="18">
        <v>0</v>
      </c>
      <c r="N18" s="18">
        <v>2890000</v>
      </c>
    </row>
    <row r="19" spans="1:14">
      <c r="A19" s="4" t="s">
        <v>2990</v>
      </c>
      <c r="B19" s="5" t="s">
        <v>3017</v>
      </c>
      <c r="C19" s="6" t="s">
        <v>2634</v>
      </c>
      <c r="D19" s="6" t="s">
        <v>19</v>
      </c>
      <c r="E19" s="6">
        <v>30522428163</v>
      </c>
      <c r="F19" s="18">
        <v>3821487.6</v>
      </c>
      <c r="G19" s="18">
        <v>0</v>
      </c>
      <c r="H19" s="6">
        <v>0</v>
      </c>
      <c r="I19" s="6">
        <v>0</v>
      </c>
      <c r="J19" s="6">
        <v>0</v>
      </c>
      <c r="K19" s="6">
        <v>802512.4</v>
      </c>
      <c r="L19" s="6">
        <v>0</v>
      </c>
      <c r="M19" s="18">
        <v>0</v>
      </c>
      <c r="N19" s="18">
        <v>4624000</v>
      </c>
    </row>
    <row r="20" spans="1:14">
      <c r="A20" s="4" t="s">
        <v>3229</v>
      </c>
      <c r="B20" s="5" t="s">
        <v>3237</v>
      </c>
      <c r="C20" s="6" t="s">
        <v>2634</v>
      </c>
      <c r="D20" s="6" t="s">
        <v>19</v>
      </c>
      <c r="E20" s="6">
        <v>30522428163</v>
      </c>
      <c r="F20" s="18">
        <v>1550489.86</v>
      </c>
      <c r="G20" s="18">
        <v>0</v>
      </c>
      <c r="H20" s="6">
        <v>0</v>
      </c>
      <c r="I20" s="6">
        <v>0</v>
      </c>
      <c r="J20" s="6">
        <v>0</v>
      </c>
      <c r="K20" s="6">
        <v>325602.87</v>
      </c>
      <c r="L20" s="6">
        <v>0</v>
      </c>
      <c r="M20" s="18">
        <v>0</v>
      </c>
      <c r="N20" s="18">
        <v>1876092.73</v>
      </c>
    </row>
    <row r="21" spans="1:14">
      <c r="A21" s="4" t="s">
        <v>3025</v>
      </c>
      <c r="B21" s="5" t="s">
        <v>3046</v>
      </c>
      <c r="C21" s="6" t="s">
        <v>2634</v>
      </c>
      <c r="D21" s="6" t="s">
        <v>19</v>
      </c>
      <c r="E21" s="6">
        <v>30522428163</v>
      </c>
      <c r="F21" s="18">
        <v>-123945.37</v>
      </c>
      <c r="G21" s="18">
        <v>0</v>
      </c>
      <c r="H21" s="6">
        <v>0</v>
      </c>
      <c r="I21" s="6">
        <v>0</v>
      </c>
      <c r="J21" s="6">
        <v>0</v>
      </c>
      <c r="K21" s="6">
        <v>-26028.53</v>
      </c>
      <c r="L21" s="6">
        <v>0</v>
      </c>
      <c r="M21" s="18">
        <v>0</v>
      </c>
      <c r="N21" s="18">
        <v>-149973.9</v>
      </c>
    </row>
    <row r="22" spans="1:14">
      <c r="A22" s="4" t="s">
        <v>3071</v>
      </c>
      <c r="B22" s="5" t="s">
        <v>3087</v>
      </c>
      <c r="C22" s="6" t="s">
        <v>2634</v>
      </c>
      <c r="D22" s="6" t="s">
        <v>19</v>
      </c>
      <c r="E22" s="6">
        <v>30522428163</v>
      </c>
      <c r="F22" s="18">
        <v>-11234.5</v>
      </c>
      <c r="G22" s="18">
        <v>0</v>
      </c>
      <c r="H22" s="6">
        <v>0</v>
      </c>
      <c r="I22" s="6">
        <v>0</v>
      </c>
      <c r="J22" s="6">
        <v>0</v>
      </c>
      <c r="K22" s="6">
        <v>-2359.25</v>
      </c>
      <c r="L22" s="6">
        <v>0</v>
      </c>
      <c r="M22" s="18">
        <v>0</v>
      </c>
      <c r="N22" s="18">
        <v>-13593.75</v>
      </c>
    </row>
    <row r="23" spans="1:14">
      <c r="A23" s="4" t="s">
        <v>3071</v>
      </c>
      <c r="B23" s="5" t="s">
        <v>3088</v>
      </c>
      <c r="C23" s="6" t="s">
        <v>2634</v>
      </c>
      <c r="D23" s="6" t="s">
        <v>19</v>
      </c>
      <c r="E23" s="6">
        <v>30522428163</v>
      </c>
      <c r="F23" s="18">
        <v>-31891.47</v>
      </c>
      <c r="G23" s="18">
        <v>0</v>
      </c>
      <c r="H23" s="6">
        <v>0</v>
      </c>
      <c r="I23" s="6">
        <v>0</v>
      </c>
      <c r="J23" s="6">
        <v>0</v>
      </c>
      <c r="K23" s="6">
        <v>-6697.21</v>
      </c>
      <c r="L23" s="6">
        <v>0</v>
      </c>
      <c r="M23" s="18">
        <v>0</v>
      </c>
      <c r="N23" s="18">
        <v>-38588.68</v>
      </c>
    </row>
    <row r="24" spans="1:14">
      <c r="A24" s="4" t="s">
        <v>3140</v>
      </c>
      <c r="B24" s="5" t="s">
        <v>3155</v>
      </c>
      <c r="C24" s="6" t="s">
        <v>2634</v>
      </c>
      <c r="D24" s="6" t="s">
        <v>19</v>
      </c>
      <c r="E24" s="6">
        <v>30522428163</v>
      </c>
      <c r="F24" s="18">
        <v>-401652.89</v>
      </c>
      <c r="G24" s="18">
        <v>0</v>
      </c>
      <c r="H24" s="6">
        <v>0</v>
      </c>
      <c r="I24" s="6">
        <v>0</v>
      </c>
      <c r="J24" s="6">
        <v>0</v>
      </c>
      <c r="K24" s="6">
        <v>-84347.11</v>
      </c>
      <c r="L24" s="6">
        <v>0</v>
      </c>
      <c r="M24" s="18">
        <v>0</v>
      </c>
      <c r="N24" s="18">
        <v>-486000</v>
      </c>
    </row>
    <row r="25" spans="1:14">
      <c r="A25" s="4"/>
      <c r="B25" s="5"/>
      <c r="C25" s="6"/>
      <c r="D25" s="6"/>
      <c r="E25" s="6"/>
      <c r="F25" s="142">
        <f>SUM(F10:F24)</f>
        <v>45023378.730000004</v>
      </c>
      <c r="G25" s="142">
        <f t="shared" ref="G25:N25" si="0">SUM(G10:G24)</f>
        <v>0</v>
      </c>
      <c r="H25" s="142">
        <f t="shared" si="0"/>
        <v>0</v>
      </c>
      <c r="I25" s="142">
        <f t="shared" si="0"/>
        <v>0</v>
      </c>
      <c r="J25" s="142">
        <f t="shared" si="0"/>
        <v>0</v>
      </c>
      <c r="K25" s="142">
        <f t="shared" si="0"/>
        <v>9454909.5199999996</v>
      </c>
      <c r="L25" s="142">
        <f t="shared" si="0"/>
        <v>0</v>
      </c>
      <c r="M25" s="142">
        <f t="shared" si="0"/>
        <v>0</v>
      </c>
      <c r="N25" s="142">
        <f t="shared" si="0"/>
        <v>54478288.249999993</v>
      </c>
    </row>
    <row r="26" spans="1:14" ht="15.75" thickBot="1">
      <c r="A26" s="165"/>
      <c r="B26" s="27"/>
      <c r="C26" s="6"/>
      <c r="D26" s="6"/>
      <c r="E26" s="6"/>
      <c r="F26" s="18"/>
      <c r="G26" s="18"/>
      <c r="H26" s="6"/>
      <c r="I26" s="6"/>
      <c r="J26" s="6"/>
      <c r="K26" s="6"/>
      <c r="L26" s="6"/>
      <c r="M26" s="18"/>
      <c r="N26" s="18"/>
    </row>
    <row r="27" spans="1:14" ht="15.75" thickBot="1">
      <c r="A27" s="167" t="s">
        <v>3242</v>
      </c>
      <c r="B27" s="168"/>
      <c r="C27" s="164"/>
      <c r="D27" s="6"/>
      <c r="E27" s="6"/>
      <c r="F27" s="18"/>
      <c r="G27" s="18"/>
      <c r="H27" s="6"/>
      <c r="I27" s="6"/>
      <c r="J27" s="6"/>
      <c r="K27" s="6"/>
      <c r="L27" s="6"/>
      <c r="M27" s="18"/>
      <c r="N27" s="18"/>
    </row>
    <row r="28" spans="1:14">
      <c r="A28" s="4" t="s">
        <v>2727</v>
      </c>
      <c r="B28" s="5" t="s">
        <v>2748</v>
      </c>
      <c r="C28" s="6" t="s">
        <v>2634</v>
      </c>
      <c r="D28" s="6" t="s">
        <v>19</v>
      </c>
      <c r="E28" s="6">
        <v>30522428163</v>
      </c>
      <c r="F28" s="18">
        <v>122763.39</v>
      </c>
      <c r="G28" s="18">
        <v>0</v>
      </c>
      <c r="H28" s="6">
        <v>0</v>
      </c>
      <c r="I28" s="6">
        <v>0</v>
      </c>
      <c r="J28" s="6">
        <v>0</v>
      </c>
      <c r="K28" s="6">
        <v>25780.31</v>
      </c>
      <c r="L28" s="6">
        <v>0</v>
      </c>
      <c r="M28" s="18">
        <v>0</v>
      </c>
      <c r="N28" s="18">
        <v>148543.70000000001</v>
      </c>
    </row>
    <row r="29" spans="1:14">
      <c r="A29" s="4" t="s">
        <v>2727</v>
      </c>
      <c r="B29" s="5" t="s">
        <v>2749</v>
      </c>
      <c r="C29" s="6" t="s">
        <v>2634</v>
      </c>
      <c r="D29" s="6" t="s">
        <v>19</v>
      </c>
      <c r="E29" s="6">
        <v>30522428163</v>
      </c>
      <c r="F29" s="18">
        <v>248330.58</v>
      </c>
      <c r="G29" s="18">
        <v>0</v>
      </c>
      <c r="H29" s="6">
        <v>0</v>
      </c>
      <c r="I29" s="6">
        <v>0</v>
      </c>
      <c r="J29" s="6">
        <v>0</v>
      </c>
      <c r="K29" s="6">
        <v>52149.42</v>
      </c>
      <c r="L29" s="6">
        <v>0</v>
      </c>
      <c r="M29" s="18">
        <v>0</v>
      </c>
      <c r="N29" s="18">
        <v>300480</v>
      </c>
    </row>
    <row r="30" spans="1:14">
      <c r="A30" s="4" t="s">
        <v>2750</v>
      </c>
      <c r="B30" s="5" t="s">
        <v>2767</v>
      </c>
      <c r="C30" s="6" t="s">
        <v>2634</v>
      </c>
      <c r="D30" s="6" t="s">
        <v>19</v>
      </c>
      <c r="E30" s="6">
        <v>30522428163</v>
      </c>
      <c r="F30" s="18">
        <v>370247.93</v>
      </c>
      <c r="G30" s="18">
        <v>0</v>
      </c>
      <c r="H30" s="6">
        <v>0</v>
      </c>
      <c r="I30" s="6">
        <v>0</v>
      </c>
      <c r="J30" s="6">
        <v>0</v>
      </c>
      <c r="K30" s="6">
        <v>77752.070000000007</v>
      </c>
      <c r="L30" s="6">
        <v>0</v>
      </c>
      <c r="M30" s="18">
        <v>0</v>
      </c>
      <c r="N30" s="18">
        <v>448000</v>
      </c>
    </row>
    <row r="31" spans="1:14">
      <c r="A31" s="4" t="s">
        <v>2750</v>
      </c>
      <c r="B31" s="5" t="s">
        <v>2768</v>
      </c>
      <c r="C31" s="6" t="s">
        <v>84</v>
      </c>
      <c r="D31" s="6" t="s">
        <v>19</v>
      </c>
      <c r="E31" s="6">
        <v>30546771314</v>
      </c>
      <c r="F31" s="18">
        <v>304380.16000000003</v>
      </c>
      <c r="G31" s="18">
        <v>0</v>
      </c>
      <c r="H31" s="6">
        <v>0</v>
      </c>
      <c r="I31" s="6">
        <v>0</v>
      </c>
      <c r="J31" s="6">
        <v>0</v>
      </c>
      <c r="K31" s="6">
        <v>63919.839999999997</v>
      </c>
      <c r="L31" s="6">
        <v>0</v>
      </c>
      <c r="M31" s="18">
        <v>0</v>
      </c>
      <c r="N31" s="18">
        <v>368300</v>
      </c>
    </row>
    <row r="32" spans="1:14">
      <c r="A32" s="4" t="s">
        <v>2750</v>
      </c>
      <c r="B32" s="5" t="s">
        <v>2769</v>
      </c>
      <c r="C32" s="6" t="s">
        <v>36</v>
      </c>
      <c r="D32" s="6" t="s">
        <v>19</v>
      </c>
      <c r="E32" s="6">
        <v>30683032227</v>
      </c>
      <c r="F32" s="18">
        <v>20247.93</v>
      </c>
      <c r="G32" s="18">
        <v>0</v>
      </c>
      <c r="H32" s="6">
        <v>0</v>
      </c>
      <c r="I32" s="6">
        <v>0</v>
      </c>
      <c r="J32" s="6">
        <v>0</v>
      </c>
      <c r="K32" s="6">
        <v>4252.07</v>
      </c>
      <c r="L32" s="6">
        <v>0</v>
      </c>
      <c r="M32" s="18">
        <v>0</v>
      </c>
      <c r="N32" s="18">
        <v>24500</v>
      </c>
    </row>
    <row r="33" spans="1:14">
      <c r="A33" s="4" t="s">
        <v>2750</v>
      </c>
      <c r="B33" s="5" t="s">
        <v>2770</v>
      </c>
      <c r="C33" s="6" t="s">
        <v>36</v>
      </c>
      <c r="D33" s="6" t="s">
        <v>19</v>
      </c>
      <c r="E33" s="6">
        <v>30683032227</v>
      </c>
      <c r="F33" s="18">
        <v>370247.93</v>
      </c>
      <c r="G33" s="18">
        <v>0</v>
      </c>
      <c r="H33" s="6">
        <v>0</v>
      </c>
      <c r="I33" s="6">
        <v>0</v>
      </c>
      <c r="J33" s="6">
        <v>0</v>
      </c>
      <c r="K33" s="6">
        <v>77752.070000000007</v>
      </c>
      <c r="L33" s="6">
        <v>0</v>
      </c>
      <c r="M33" s="18">
        <v>0</v>
      </c>
      <c r="N33" s="18">
        <v>448000</v>
      </c>
    </row>
    <row r="34" spans="1:14">
      <c r="A34" s="4" t="s">
        <v>2750</v>
      </c>
      <c r="B34" s="5" t="s">
        <v>2771</v>
      </c>
      <c r="C34" s="6" t="s">
        <v>36</v>
      </c>
      <c r="D34" s="6" t="s">
        <v>19</v>
      </c>
      <c r="E34" s="6">
        <v>30683032227</v>
      </c>
      <c r="F34" s="18">
        <v>339669.42</v>
      </c>
      <c r="G34" s="18">
        <v>0</v>
      </c>
      <c r="H34" s="6">
        <v>0</v>
      </c>
      <c r="I34" s="6">
        <v>0</v>
      </c>
      <c r="J34" s="6">
        <v>0</v>
      </c>
      <c r="K34" s="6">
        <v>71330.58</v>
      </c>
      <c r="L34" s="6">
        <v>0</v>
      </c>
      <c r="M34" s="18">
        <v>0</v>
      </c>
      <c r="N34" s="18">
        <v>411000</v>
      </c>
    </row>
    <row r="35" spans="1:14">
      <c r="A35" s="4" t="s">
        <v>2750</v>
      </c>
      <c r="B35" s="5" t="s">
        <v>2772</v>
      </c>
      <c r="C35" s="6" t="s">
        <v>73</v>
      </c>
      <c r="D35" s="6" t="s">
        <v>19</v>
      </c>
      <c r="E35" s="6">
        <v>30715186655</v>
      </c>
      <c r="F35" s="18">
        <v>451473.28</v>
      </c>
      <c r="G35" s="18">
        <v>0</v>
      </c>
      <c r="H35" s="6">
        <v>0</v>
      </c>
      <c r="I35" s="6">
        <v>0</v>
      </c>
      <c r="J35" s="6">
        <v>0</v>
      </c>
      <c r="K35" s="6">
        <v>94809.39</v>
      </c>
      <c r="L35" s="6">
        <v>0</v>
      </c>
      <c r="M35" s="18">
        <v>0</v>
      </c>
      <c r="N35" s="18">
        <v>546282.67000000004</v>
      </c>
    </row>
    <row r="36" spans="1:14">
      <c r="A36" s="4" t="s">
        <v>2750</v>
      </c>
      <c r="B36" s="5" t="s">
        <v>2773</v>
      </c>
      <c r="C36" s="6" t="s">
        <v>73</v>
      </c>
      <c r="D36" s="6" t="s">
        <v>19</v>
      </c>
      <c r="E36" s="6">
        <v>30715186655</v>
      </c>
      <c r="F36" s="18">
        <v>62421.49</v>
      </c>
      <c r="G36" s="18">
        <v>0</v>
      </c>
      <c r="H36" s="6">
        <v>0</v>
      </c>
      <c r="I36" s="6">
        <v>0</v>
      </c>
      <c r="J36" s="6">
        <v>0</v>
      </c>
      <c r="K36" s="6">
        <v>13108.51</v>
      </c>
      <c r="L36" s="6">
        <v>0</v>
      </c>
      <c r="M36" s="18">
        <v>0</v>
      </c>
      <c r="N36" s="18">
        <v>75530</v>
      </c>
    </row>
    <row r="37" spans="1:14">
      <c r="A37" s="4" t="s">
        <v>2750</v>
      </c>
      <c r="B37" s="5" t="s">
        <v>2774</v>
      </c>
      <c r="C37" s="6" t="s">
        <v>67</v>
      </c>
      <c r="D37" s="6" t="s">
        <v>19</v>
      </c>
      <c r="E37" s="6">
        <v>30710538014</v>
      </c>
      <c r="F37" s="18">
        <v>384595.04</v>
      </c>
      <c r="G37" s="18">
        <v>0</v>
      </c>
      <c r="H37" s="6">
        <v>0</v>
      </c>
      <c r="I37" s="6">
        <v>0</v>
      </c>
      <c r="J37" s="6">
        <v>0</v>
      </c>
      <c r="K37" s="6">
        <v>80764.960000000006</v>
      </c>
      <c r="L37" s="6">
        <v>0</v>
      </c>
      <c r="M37" s="18">
        <v>0</v>
      </c>
      <c r="N37" s="18">
        <v>465360</v>
      </c>
    </row>
    <row r="38" spans="1:14">
      <c r="A38" s="4" t="s">
        <v>2781</v>
      </c>
      <c r="B38" s="5" t="s">
        <v>2803</v>
      </c>
      <c r="C38" s="6" t="s">
        <v>88</v>
      </c>
      <c r="D38" s="6" t="s">
        <v>19</v>
      </c>
      <c r="E38" s="6">
        <v>30711244383</v>
      </c>
      <c r="F38" s="18">
        <v>58291.24</v>
      </c>
      <c r="G38" s="18">
        <v>0</v>
      </c>
      <c r="H38" s="6">
        <v>0</v>
      </c>
      <c r="I38" s="6">
        <v>0</v>
      </c>
      <c r="J38" s="6">
        <v>0</v>
      </c>
      <c r="K38" s="6">
        <v>12241.16</v>
      </c>
      <c r="L38" s="6">
        <v>0</v>
      </c>
      <c r="M38" s="18">
        <v>0</v>
      </c>
      <c r="N38" s="18">
        <v>70532.400000000009</v>
      </c>
    </row>
    <row r="39" spans="1:14">
      <c r="A39" s="4" t="s">
        <v>2781</v>
      </c>
      <c r="B39" s="5" t="s">
        <v>2804</v>
      </c>
      <c r="C39" s="6" t="s">
        <v>90</v>
      </c>
      <c r="D39" s="6" t="s">
        <v>19</v>
      </c>
      <c r="E39" s="6">
        <v>30645337979</v>
      </c>
      <c r="F39" s="18">
        <v>116582.48</v>
      </c>
      <c r="G39" s="18">
        <v>0</v>
      </c>
      <c r="H39" s="6">
        <v>0</v>
      </c>
      <c r="I39" s="6">
        <v>0</v>
      </c>
      <c r="J39" s="6">
        <v>0</v>
      </c>
      <c r="K39" s="6">
        <v>24482.32</v>
      </c>
      <c r="L39" s="6">
        <v>0</v>
      </c>
      <c r="M39" s="18">
        <v>0</v>
      </c>
      <c r="N39" s="18">
        <v>141064.80000000002</v>
      </c>
    </row>
    <row r="40" spans="1:14">
      <c r="A40" s="4" t="s">
        <v>2781</v>
      </c>
      <c r="B40" s="5" t="s">
        <v>2805</v>
      </c>
      <c r="C40" s="6" t="s">
        <v>45</v>
      </c>
      <c r="D40" s="6" t="s">
        <v>19</v>
      </c>
      <c r="E40" s="6">
        <v>30608716390</v>
      </c>
      <c r="F40" s="18">
        <v>33809.919999999998</v>
      </c>
      <c r="G40" s="18">
        <v>0</v>
      </c>
      <c r="H40" s="6">
        <v>0</v>
      </c>
      <c r="I40" s="6">
        <v>0</v>
      </c>
      <c r="J40" s="6">
        <v>0</v>
      </c>
      <c r="K40" s="6">
        <v>7100.08</v>
      </c>
      <c r="L40" s="6">
        <v>0</v>
      </c>
      <c r="M40" s="18">
        <v>0</v>
      </c>
      <c r="N40" s="18">
        <v>40910</v>
      </c>
    </row>
    <row r="41" spans="1:14">
      <c r="A41" s="4" t="s">
        <v>2781</v>
      </c>
      <c r="B41" s="5" t="s">
        <v>2806</v>
      </c>
      <c r="C41" s="6" t="s">
        <v>45</v>
      </c>
      <c r="D41" s="6" t="s">
        <v>19</v>
      </c>
      <c r="E41" s="6">
        <v>30608716390</v>
      </c>
      <c r="F41" s="18">
        <v>46289.26</v>
      </c>
      <c r="G41" s="18">
        <v>0</v>
      </c>
      <c r="H41" s="6">
        <v>0</v>
      </c>
      <c r="I41" s="6">
        <v>0</v>
      </c>
      <c r="J41" s="6">
        <v>0</v>
      </c>
      <c r="K41" s="6">
        <v>9720.74</v>
      </c>
      <c r="L41" s="6">
        <v>0</v>
      </c>
      <c r="M41" s="18">
        <v>0</v>
      </c>
      <c r="N41" s="18">
        <v>56010</v>
      </c>
    </row>
    <row r="42" spans="1:14">
      <c r="A42" s="4" t="s">
        <v>2781</v>
      </c>
      <c r="B42" s="5" t="s">
        <v>2807</v>
      </c>
      <c r="C42" s="6" t="s">
        <v>45</v>
      </c>
      <c r="D42" s="6" t="s">
        <v>19</v>
      </c>
      <c r="E42" s="6">
        <v>30608716390</v>
      </c>
      <c r="F42" s="18">
        <v>13834.71</v>
      </c>
      <c r="G42" s="18">
        <v>0</v>
      </c>
      <c r="H42" s="6">
        <v>0</v>
      </c>
      <c r="I42" s="6">
        <v>0</v>
      </c>
      <c r="J42" s="6">
        <v>0</v>
      </c>
      <c r="K42" s="6">
        <v>2905.29</v>
      </c>
      <c r="L42" s="6">
        <v>0</v>
      </c>
      <c r="M42" s="18">
        <v>0</v>
      </c>
      <c r="N42" s="18">
        <v>16740</v>
      </c>
    </row>
    <row r="43" spans="1:14">
      <c r="A43" s="4" t="s">
        <v>2781</v>
      </c>
      <c r="B43" s="5" t="s">
        <v>2808</v>
      </c>
      <c r="C43" s="6" t="s">
        <v>45</v>
      </c>
      <c r="D43" s="6" t="s">
        <v>19</v>
      </c>
      <c r="E43" s="6">
        <v>30608716390</v>
      </c>
      <c r="F43" s="18">
        <v>45586.78</v>
      </c>
      <c r="G43" s="18">
        <v>0</v>
      </c>
      <c r="H43" s="6">
        <v>0</v>
      </c>
      <c r="I43" s="6">
        <v>0</v>
      </c>
      <c r="J43" s="6">
        <v>0</v>
      </c>
      <c r="K43" s="6">
        <v>9573.2199999999993</v>
      </c>
      <c r="L43" s="6">
        <v>0</v>
      </c>
      <c r="M43" s="18">
        <v>0</v>
      </c>
      <c r="N43" s="18">
        <v>55160</v>
      </c>
    </row>
    <row r="44" spans="1:14">
      <c r="A44" s="4" t="s">
        <v>2781</v>
      </c>
      <c r="B44" s="5" t="s">
        <v>2809</v>
      </c>
      <c r="C44" s="6" t="s">
        <v>45</v>
      </c>
      <c r="D44" s="6" t="s">
        <v>19</v>
      </c>
      <c r="E44" s="6">
        <v>30608716390</v>
      </c>
      <c r="F44" s="18">
        <v>27669.42</v>
      </c>
      <c r="G44" s="18">
        <v>0</v>
      </c>
      <c r="H44" s="6">
        <v>0</v>
      </c>
      <c r="I44" s="6">
        <v>0</v>
      </c>
      <c r="J44" s="6">
        <v>0</v>
      </c>
      <c r="K44" s="6">
        <v>5810.58</v>
      </c>
      <c r="L44" s="6">
        <v>0</v>
      </c>
      <c r="M44" s="18">
        <v>0</v>
      </c>
      <c r="N44" s="18">
        <v>33480</v>
      </c>
    </row>
    <row r="45" spans="1:14">
      <c r="A45" s="4" t="s">
        <v>2781</v>
      </c>
      <c r="B45" s="5" t="s">
        <v>2810</v>
      </c>
      <c r="C45" s="6" t="s">
        <v>45</v>
      </c>
      <c r="D45" s="6" t="s">
        <v>19</v>
      </c>
      <c r="E45" s="6">
        <v>30608716390</v>
      </c>
      <c r="F45" s="18">
        <v>11776.86</v>
      </c>
      <c r="G45" s="18">
        <v>0</v>
      </c>
      <c r="H45" s="6">
        <v>0</v>
      </c>
      <c r="I45" s="6">
        <v>0</v>
      </c>
      <c r="J45" s="6">
        <v>0</v>
      </c>
      <c r="K45" s="6">
        <v>2473.14</v>
      </c>
      <c r="L45" s="6">
        <v>0</v>
      </c>
      <c r="M45" s="18">
        <v>0</v>
      </c>
      <c r="N45" s="18">
        <v>14250</v>
      </c>
    </row>
    <row r="46" spans="1:14">
      <c r="A46" s="4" t="s">
        <v>2781</v>
      </c>
      <c r="B46" s="5" t="s">
        <v>2811</v>
      </c>
      <c r="C46" s="6" t="s">
        <v>45</v>
      </c>
      <c r="D46" s="6" t="s">
        <v>19</v>
      </c>
      <c r="E46" s="6">
        <v>30608716390</v>
      </c>
      <c r="F46" s="18">
        <v>13834.71</v>
      </c>
      <c r="G46" s="18">
        <v>0</v>
      </c>
      <c r="H46" s="6">
        <v>0</v>
      </c>
      <c r="I46" s="6">
        <v>0</v>
      </c>
      <c r="J46" s="6">
        <v>0</v>
      </c>
      <c r="K46" s="6">
        <v>2905.29</v>
      </c>
      <c r="L46" s="6">
        <v>0</v>
      </c>
      <c r="M46" s="18">
        <v>0</v>
      </c>
      <c r="N46" s="18">
        <v>16740</v>
      </c>
    </row>
    <row r="47" spans="1:14">
      <c r="A47" s="4" t="s">
        <v>2781</v>
      </c>
      <c r="B47" s="5" t="s">
        <v>2812</v>
      </c>
      <c r="C47" s="6" t="s">
        <v>45</v>
      </c>
      <c r="D47" s="6" t="s">
        <v>19</v>
      </c>
      <c r="E47" s="6">
        <v>30608716390</v>
      </c>
      <c r="F47" s="18">
        <v>13834.71</v>
      </c>
      <c r="G47" s="18">
        <v>0</v>
      </c>
      <c r="H47" s="6">
        <v>0</v>
      </c>
      <c r="I47" s="6">
        <v>0</v>
      </c>
      <c r="J47" s="6">
        <v>0</v>
      </c>
      <c r="K47" s="6">
        <v>2905.29</v>
      </c>
      <c r="L47" s="6">
        <v>0</v>
      </c>
      <c r="M47" s="18">
        <v>0</v>
      </c>
      <c r="N47" s="18">
        <v>16740</v>
      </c>
    </row>
    <row r="48" spans="1:14">
      <c r="A48" s="4" t="s">
        <v>2781</v>
      </c>
      <c r="B48" s="5" t="s">
        <v>2813</v>
      </c>
      <c r="C48" s="6" t="s">
        <v>45</v>
      </c>
      <c r="D48" s="6" t="s">
        <v>19</v>
      </c>
      <c r="E48" s="6">
        <v>30608716390</v>
      </c>
      <c r="F48" s="18">
        <v>13834.71</v>
      </c>
      <c r="G48" s="18">
        <v>0</v>
      </c>
      <c r="H48" s="6">
        <v>0</v>
      </c>
      <c r="I48" s="6">
        <v>0</v>
      </c>
      <c r="J48" s="6">
        <v>0</v>
      </c>
      <c r="K48" s="6">
        <v>2905.29</v>
      </c>
      <c r="L48" s="6">
        <v>0</v>
      </c>
      <c r="M48" s="18">
        <v>0</v>
      </c>
      <c r="N48" s="18">
        <v>16740</v>
      </c>
    </row>
    <row r="49" spans="1:14">
      <c r="A49" s="4" t="s">
        <v>2781</v>
      </c>
      <c r="B49" s="5" t="s">
        <v>2814</v>
      </c>
      <c r="C49" s="6" t="s">
        <v>45</v>
      </c>
      <c r="D49" s="6" t="s">
        <v>19</v>
      </c>
      <c r="E49" s="6">
        <v>30608716390</v>
      </c>
      <c r="F49" s="18">
        <v>19975.21</v>
      </c>
      <c r="G49" s="18">
        <v>0</v>
      </c>
      <c r="H49" s="6">
        <v>0</v>
      </c>
      <c r="I49" s="6">
        <v>0</v>
      </c>
      <c r="J49" s="6">
        <v>0</v>
      </c>
      <c r="K49" s="6">
        <v>4194.79</v>
      </c>
      <c r="L49" s="6">
        <v>0</v>
      </c>
      <c r="M49" s="18">
        <v>0</v>
      </c>
      <c r="N49" s="18">
        <v>24170</v>
      </c>
    </row>
    <row r="50" spans="1:14">
      <c r="A50" s="4" t="s">
        <v>2819</v>
      </c>
      <c r="B50" s="5" t="s">
        <v>2837</v>
      </c>
      <c r="C50" s="6" t="s">
        <v>1411</v>
      </c>
      <c r="D50" s="6" t="s">
        <v>19</v>
      </c>
      <c r="E50" s="6">
        <v>30500053522</v>
      </c>
      <c r="F50" s="18">
        <v>41322.32</v>
      </c>
      <c r="G50" s="18">
        <v>0</v>
      </c>
      <c r="H50" s="6">
        <v>0</v>
      </c>
      <c r="I50" s="6">
        <v>0</v>
      </c>
      <c r="J50" s="6">
        <v>0</v>
      </c>
      <c r="K50" s="6">
        <v>8677.69</v>
      </c>
      <c r="L50" s="6">
        <v>0</v>
      </c>
      <c r="M50" s="18">
        <v>0</v>
      </c>
      <c r="N50" s="18">
        <v>50000.01</v>
      </c>
    </row>
    <row r="51" spans="1:14">
      <c r="A51" s="4" t="s">
        <v>2819</v>
      </c>
      <c r="B51" s="5" t="s">
        <v>2838</v>
      </c>
      <c r="C51" s="6" t="s">
        <v>1411</v>
      </c>
      <c r="D51" s="6" t="s">
        <v>19</v>
      </c>
      <c r="E51" s="6">
        <v>30500053522</v>
      </c>
      <c r="F51" s="18">
        <v>41033.07</v>
      </c>
      <c r="G51" s="18">
        <v>0</v>
      </c>
      <c r="H51" s="6">
        <v>0</v>
      </c>
      <c r="I51" s="6">
        <v>0</v>
      </c>
      <c r="J51" s="6">
        <v>0</v>
      </c>
      <c r="K51" s="6">
        <v>8616.94</v>
      </c>
      <c r="L51" s="6">
        <v>0</v>
      </c>
      <c r="M51" s="18">
        <v>0</v>
      </c>
      <c r="N51" s="18">
        <v>49650.01</v>
      </c>
    </row>
    <row r="52" spans="1:14">
      <c r="A52" s="4" t="s">
        <v>2885</v>
      </c>
      <c r="B52" s="5" t="s">
        <v>2899</v>
      </c>
      <c r="C52" s="6" t="s">
        <v>2634</v>
      </c>
      <c r="D52" s="6" t="s">
        <v>19</v>
      </c>
      <c r="E52" s="6">
        <v>30522428163</v>
      </c>
      <c r="F52" s="18">
        <v>97520.66</v>
      </c>
      <c r="G52" s="18">
        <v>0</v>
      </c>
      <c r="H52" s="6">
        <v>0</v>
      </c>
      <c r="I52" s="6">
        <v>0</v>
      </c>
      <c r="J52" s="6">
        <v>0</v>
      </c>
      <c r="K52" s="6">
        <v>20479.34</v>
      </c>
      <c r="L52" s="6">
        <v>0</v>
      </c>
      <c r="M52" s="18">
        <v>0</v>
      </c>
      <c r="N52" s="18">
        <v>118000</v>
      </c>
    </row>
    <row r="53" spans="1:14">
      <c r="A53" s="4" t="s">
        <v>2885</v>
      </c>
      <c r="B53" s="5" t="s">
        <v>2900</v>
      </c>
      <c r="C53" s="6" t="s">
        <v>84</v>
      </c>
      <c r="D53" s="6" t="s">
        <v>19</v>
      </c>
      <c r="E53" s="6">
        <v>30546771314</v>
      </c>
      <c r="F53" s="18">
        <v>246280.99</v>
      </c>
      <c r="G53" s="18">
        <v>0</v>
      </c>
      <c r="H53" s="6">
        <v>0</v>
      </c>
      <c r="I53" s="6">
        <v>0</v>
      </c>
      <c r="J53" s="6">
        <v>0</v>
      </c>
      <c r="K53" s="6">
        <v>51719.01</v>
      </c>
      <c r="L53" s="6">
        <v>0</v>
      </c>
      <c r="M53" s="18">
        <v>0</v>
      </c>
      <c r="N53" s="18">
        <v>298000</v>
      </c>
    </row>
    <row r="54" spans="1:14">
      <c r="A54" s="4" t="s">
        <v>2885</v>
      </c>
      <c r="B54" s="5" t="s">
        <v>2901</v>
      </c>
      <c r="C54" s="6" t="s">
        <v>1694</v>
      </c>
      <c r="D54" s="6" t="s">
        <v>19</v>
      </c>
      <c r="E54" s="6">
        <v>30604958640</v>
      </c>
      <c r="F54" s="18">
        <v>33884.300000000003</v>
      </c>
      <c r="G54" s="18">
        <v>0</v>
      </c>
      <c r="H54" s="6">
        <v>0</v>
      </c>
      <c r="I54" s="6">
        <v>0</v>
      </c>
      <c r="J54" s="6">
        <v>0</v>
      </c>
      <c r="K54" s="6">
        <v>7115.7</v>
      </c>
      <c r="L54" s="6">
        <v>0</v>
      </c>
      <c r="M54" s="18">
        <v>0</v>
      </c>
      <c r="N54" s="18">
        <v>41000</v>
      </c>
    </row>
    <row r="55" spans="1:14">
      <c r="A55" s="4" t="s">
        <v>2885</v>
      </c>
      <c r="B55" s="5" t="s">
        <v>2902</v>
      </c>
      <c r="C55" s="6" t="s">
        <v>36</v>
      </c>
      <c r="D55" s="6" t="s">
        <v>19</v>
      </c>
      <c r="E55" s="6">
        <v>30683032227</v>
      </c>
      <c r="F55" s="18">
        <v>319008.26</v>
      </c>
      <c r="G55" s="18">
        <v>0</v>
      </c>
      <c r="H55" s="6">
        <v>0</v>
      </c>
      <c r="I55" s="6">
        <v>0</v>
      </c>
      <c r="J55" s="6">
        <v>0</v>
      </c>
      <c r="K55" s="6">
        <v>66991.73</v>
      </c>
      <c r="L55" s="6">
        <v>0</v>
      </c>
      <c r="M55" s="18">
        <v>0</v>
      </c>
      <c r="N55" s="18">
        <v>385999.99</v>
      </c>
    </row>
    <row r="56" spans="1:14">
      <c r="A56" s="4" t="s">
        <v>2885</v>
      </c>
      <c r="B56" s="5" t="s">
        <v>2903</v>
      </c>
      <c r="C56" s="6" t="s">
        <v>92</v>
      </c>
      <c r="D56" s="6" t="s">
        <v>19</v>
      </c>
      <c r="E56" s="6">
        <v>30709016012</v>
      </c>
      <c r="F56" s="18">
        <v>491404.98</v>
      </c>
      <c r="G56" s="18">
        <v>0</v>
      </c>
      <c r="H56" s="6">
        <v>0</v>
      </c>
      <c r="I56" s="6">
        <v>0</v>
      </c>
      <c r="J56" s="6">
        <v>0</v>
      </c>
      <c r="K56" s="6">
        <v>103195.06</v>
      </c>
      <c r="L56" s="6">
        <v>0</v>
      </c>
      <c r="M56" s="18">
        <v>0</v>
      </c>
      <c r="N56" s="18">
        <v>594600.04</v>
      </c>
    </row>
    <row r="57" spans="1:14">
      <c r="A57" s="4" t="s">
        <v>2885</v>
      </c>
      <c r="B57" s="5" t="s">
        <v>2904</v>
      </c>
      <c r="C57" s="6" t="s">
        <v>92</v>
      </c>
      <c r="D57" s="6" t="s">
        <v>19</v>
      </c>
      <c r="E57" s="6">
        <v>30709016012</v>
      </c>
      <c r="F57" s="18">
        <v>136424.24</v>
      </c>
      <c r="G57" s="18">
        <v>0</v>
      </c>
      <c r="H57" s="6">
        <v>0</v>
      </c>
      <c r="I57" s="6">
        <v>0</v>
      </c>
      <c r="J57" s="6">
        <v>0</v>
      </c>
      <c r="K57" s="6">
        <v>28649.09</v>
      </c>
      <c r="L57" s="6">
        <v>0</v>
      </c>
      <c r="M57" s="18">
        <v>0</v>
      </c>
      <c r="N57" s="18">
        <v>165073.33000000002</v>
      </c>
    </row>
    <row r="58" spans="1:14">
      <c r="A58" s="4" t="s">
        <v>2910</v>
      </c>
      <c r="B58" s="5" t="s">
        <v>2928</v>
      </c>
      <c r="C58" s="6" t="s">
        <v>76</v>
      </c>
      <c r="D58" s="6" t="s">
        <v>19</v>
      </c>
      <c r="E58" s="6">
        <v>30606274161</v>
      </c>
      <c r="F58" s="18">
        <v>254851.24000000002</v>
      </c>
      <c r="G58" s="18">
        <v>0</v>
      </c>
      <c r="H58" s="6">
        <v>0</v>
      </c>
      <c r="I58" s="6">
        <v>0</v>
      </c>
      <c r="J58" s="6">
        <v>0</v>
      </c>
      <c r="K58" s="6">
        <v>53518.76</v>
      </c>
      <c r="L58" s="6">
        <v>0</v>
      </c>
      <c r="M58" s="18">
        <v>0</v>
      </c>
      <c r="N58" s="18">
        <v>308370</v>
      </c>
    </row>
    <row r="59" spans="1:14">
      <c r="A59" s="4" t="s">
        <v>2910</v>
      </c>
      <c r="B59" s="5" t="s">
        <v>2929</v>
      </c>
      <c r="C59" s="6" t="s">
        <v>78</v>
      </c>
      <c r="D59" s="6" t="s">
        <v>19</v>
      </c>
      <c r="E59" s="6">
        <v>30712529721</v>
      </c>
      <c r="F59" s="18">
        <v>40636.36</v>
      </c>
      <c r="G59" s="18">
        <v>0</v>
      </c>
      <c r="H59" s="6">
        <v>0</v>
      </c>
      <c r="I59" s="6">
        <v>0</v>
      </c>
      <c r="J59" s="6">
        <v>0</v>
      </c>
      <c r="K59" s="6">
        <v>8533.64</v>
      </c>
      <c r="L59" s="6">
        <v>0</v>
      </c>
      <c r="M59" s="18">
        <v>0</v>
      </c>
      <c r="N59" s="18">
        <v>49170</v>
      </c>
    </row>
    <row r="60" spans="1:14">
      <c r="A60" s="4" t="s">
        <v>2910</v>
      </c>
      <c r="B60" s="5" t="s">
        <v>2930</v>
      </c>
      <c r="C60" s="6" t="s">
        <v>2931</v>
      </c>
      <c r="D60" s="6" t="s">
        <v>19</v>
      </c>
      <c r="E60" s="6">
        <v>30654144482</v>
      </c>
      <c r="F60" s="18">
        <v>19008.260000000002</v>
      </c>
      <c r="G60" s="18">
        <v>0</v>
      </c>
      <c r="H60" s="6">
        <v>0</v>
      </c>
      <c r="I60" s="6">
        <v>0</v>
      </c>
      <c r="J60" s="6">
        <v>0</v>
      </c>
      <c r="K60" s="6">
        <v>3991.74</v>
      </c>
      <c r="L60" s="6">
        <v>0</v>
      </c>
      <c r="M60" s="18">
        <v>0</v>
      </c>
      <c r="N60" s="18">
        <v>23000</v>
      </c>
    </row>
    <row r="61" spans="1:14">
      <c r="A61" s="4" t="s">
        <v>2939</v>
      </c>
      <c r="B61" s="5" t="s">
        <v>2964</v>
      </c>
      <c r="C61" s="6" t="s">
        <v>1694</v>
      </c>
      <c r="D61" s="6" t="s">
        <v>19</v>
      </c>
      <c r="E61" s="6">
        <v>30604958640</v>
      </c>
      <c r="F61" s="18">
        <v>386755.96</v>
      </c>
      <c r="G61" s="18">
        <v>0</v>
      </c>
      <c r="H61" s="6">
        <v>0</v>
      </c>
      <c r="I61" s="6">
        <v>0</v>
      </c>
      <c r="J61" s="6">
        <v>0</v>
      </c>
      <c r="K61" s="6">
        <v>81218.75</v>
      </c>
      <c r="L61" s="6">
        <v>0</v>
      </c>
      <c r="M61" s="18">
        <v>0</v>
      </c>
      <c r="N61" s="18">
        <v>467974.71</v>
      </c>
    </row>
    <row r="62" spans="1:14">
      <c r="A62" s="4" t="s">
        <v>2939</v>
      </c>
      <c r="B62" s="5" t="s">
        <v>2965</v>
      </c>
      <c r="C62" s="6" t="s">
        <v>45</v>
      </c>
      <c r="D62" s="6" t="s">
        <v>19</v>
      </c>
      <c r="E62" s="6">
        <v>30608716390</v>
      </c>
      <c r="F62" s="18">
        <v>6917.36</v>
      </c>
      <c r="G62" s="18">
        <v>0</v>
      </c>
      <c r="H62" s="6">
        <v>0</v>
      </c>
      <c r="I62" s="6">
        <v>0</v>
      </c>
      <c r="J62" s="6">
        <v>0</v>
      </c>
      <c r="K62" s="6">
        <v>1452.65</v>
      </c>
      <c r="L62" s="6">
        <v>0</v>
      </c>
      <c r="M62" s="18">
        <v>0</v>
      </c>
      <c r="N62" s="18">
        <v>8370.01</v>
      </c>
    </row>
    <row r="63" spans="1:14">
      <c r="A63" s="4" t="s">
        <v>2939</v>
      </c>
      <c r="B63" s="5" t="s">
        <v>2966</v>
      </c>
      <c r="C63" s="6" t="s">
        <v>45</v>
      </c>
      <c r="D63" s="6" t="s">
        <v>19</v>
      </c>
      <c r="E63" s="6">
        <v>30608716390</v>
      </c>
      <c r="F63" s="18">
        <v>6917.36</v>
      </c>
      <c r="G63" s="18">
        <v>0</v>
      </c>
      <c r="H63" s="6">
        <v>0</v>
      </c>
      <c r="I63" s="6">
        <v>0</v>
      </c>
      <c r="J63" s="6">
        <v>0</v>
      </c>
      <c r="K63" s="6">
        <v>1452.65</v>
      </c>
      <c r="L63" s="6">
        <v>0</v>
      </c>
      <c r="M63" s="18">
        <v>0</v>
      </c>
      <c r="N63" s="18">
        <v>8370.01</v>
      </c>
    </row>
    <row r="64" spans="1:14">
      <c r="A64" s="4" t="s">
        <v>2939</v>
      </c>
      <c r="B64" s="5" t="s">
        <v>2967</v>
      </c>
      <c r="C64" s="6" t="s">
        <v>45</v>
      </c>
      <c r="D64" s="6" t="s">
        <v>19</v>
      </c>
      <c r="E64" s="6">
        <v>30608716390</v>
      </c>
      <c r="F64" s="18">
        <v>5888.43</v>
      </c>
      <c r="G64" s="18">
        <v>0</v>
      </c>
      <c r="H64" s="6">
        <v>0</v>
      </c>
      <c r="I64" s="6">
        <v>0</v>
      </c>
      <c r="J64" s="6">
        <v>0</v>
      </c>
      <c r="K64" s="6">
        <v>1236.57</v>
      </c>
      <c r="L64" s="6">
        <v>0</v>
      </c>
      <c r="M64" s="18">
        <v>0</v>
      </c>
      <c r="N64" s="18">
        <v>7125</v>
      </c>
    </row>
    <row r="65" spans="1:14">
      <c r="A65" s="4" t="s">
        <v>2990</v>
      </c>
      <c r="B65" s="5" t="s">
        <v>3019</v>
      </c>
      <c r="C65" s="6" t="s">
        <v>2634</v>
      </c>
      <c r="D65" s="6" t="s">
        <v>19</v>
      </c>
      <c r="E65" s="6">
        <v>30522428163</v>
      </c>
      <c r="F65" s="18">
        <v>138148.76</v>
      </c>
      <c r="G65" s="18">
        <v>0</v>
      </c>
      <c r="H65" s="6">
        <v>0</v>
      </c>
      <c r="I65" s="6">
        <v>0</v>
      </c>
      <c r="J65" s="6">
        <v>0</v>
      </c>
      <c r="K65" s="6">
        <v>29011.24</v>
      </c>
      <c r="L65" s="6">
        <v>0</v>
      </c>
      <c r="M65" s="18">
        <v>0</v>
      </c>
      <c r="N65" s="18">
        <v>167160</v>
      </c>
    </row>
    <row r="66" spans="1:14">
      <c r="A66" s="4" t="s">
        <v>3025</v>
      </c>
      <c r="B66" s="5" t="s">
        <v>3047</v>
      </c>
      <c r="C66" s="6" t="s">
        <v>2634</v>
      </c>
      <c r="D66" s="6" t="s">
        <v>19</v>
      </c>
      <c r="E66" s="6">
        <v>30522428163</v>
      </c>
      <c r="F66" s="18">
        <v>91729.69</v>
      </c>
      <c r="G66" s="18">
        <v>0</v>
      </c>
      <c r="H66" s="6">
        <v>0</v>
      </c>
      <c r="I66" s="6">
        <v>0</v>
      </c>
      <c r="J66" s="6">
        <v>0</v>
      </c>
      <c r="K66" s="6">
        <v>19263.23</v>
      </c>
      <c r="L66" s="6">
        <v>0</v>
      </c>
      <c r="M66" s="18">
        <v>0</v>
      </c>
      <c r="N66" s="18">
        <v>110992.92</v>
      </c>
    </row>
    <row r="67" spans="1:14">
      <c r="A67" s="4" t="s">
        <v>3089</v>
      </c>
      <c r="B67" s="5" t="s">
        <v>3101</v>
      </c>
      <c r="C67" s="6" t="s">
        <v>45</v>
      </c>
      <c r="D67" s="6" t="s">
        <v>19</v>
      </c>
      <c r="E67" s="6">
        <v>30608716390</v>
      </c>
      <c r="F67" s="18">
        <v>41504.129999999997</v>
      </c>
      <c r="G67" s="18">
        <v>0</v>
      </c>
      <c r="H67" s="6">
        <v>0</v>
      </c>
      <c r="I67" s="6">
        <v>0</v>
      </c>
      <c r="J67" s="6">
        <v>0</v>
      </c>
      <c r="K67" s="6">
        <v>8715.8700000000008</v>
      </c>
      <c r="L67" s="6">
        <v>0</v>
      </c>
      <c r="M67" s="18">
        <v>0</v>
      </c>
      <c r="N67" s="18">
        <v>50220</v>
      </c>
    </row>
    <row r="68" spans="1:14">
      <c r="A68" s="4" t="s">
        <v>3117</v>
      </c>
      <c r="B68" s="5" t="s">
        <v>3131</v>
      </c>
      <c r="C68" s="6" t="s">
        <v>80</v>
      </c>
      <c r="D68" s="6" t="s">
        <v>19</v>
      </c>
      <c r="E68" s="6">
        <v>30707612971</v>
      </c>
      <c r="F68" s="18">
        <v>47198.35</v>
      </c>
      <c r="G68" s="18">
        <v>0</v>
      </c>
      <c r="H68" s="6">
        <v>0</v>
      </c>
      <c r="I68" s="6">
        <v>0</v>
      </c>
      <c r="J68" s="6">
        <v>0</v>
      </c>
      <c r="K68" s="6">
        <v>9911.65</v>
      </c>
      <c r="L68" s="6">
        <v>0</v>
      </c>
      <c r="M68" s="18">
        <v>0</v>
      </c>
      <c r="N68" s="18">
        <v>57110</v>
      </c>
    </row>
    <row r="69" spans="1:14">
      <c r="A69" s="4" t="s">
        <v>3117</v>
      </c>
      <c r="B69" s="5" t="s">
        <v>3132</v>
      </c>
      <c r="C69" s="6" t="s">
        <v>1981</v>
      </c>
      <c r="D69" s="6" t="s">
        <v>19</v>
      </c>
      <c r="E69" s="6">
        <v>30712136754</v>
      </c>
      <c r="F69" s="18">
        <v>47198.35</v>
      </c>
      <c r="G69" s="18">
        <v>0</v>
      </c>
      <c r="H69" s="6">
        <v>0</v>
      </c>
      <c r="I69" s="6">
        <v>0</v>
      </c>
      <c r="J69" s="6">
        <v>0</v>
      </c>
      <c r="K69" s="6">
        <v>9911.65</v>
      </c>
      <c r="L69" s="6">
        <v>0</v>
      </c>
      <c r="M69" s="18">
        <v>0</v>
      </c>
      <c r="N69" s="18">
        <v>57110</v>
      </c>
    </row>
    <row r="70" spans="1:14">
      <c r="A70" s="4" t="s">
        <v>3117</v>
      </c>
      <c r="B70" s="5" t="s">
        <v>3133</v>
      </c>
      <c r="C70" s="6" t="s">
        <v>78</v>
      </c>
      <c r="D70" s="6" t="s">
        <v>19</v>
      </c>
      <c r="E70" s="6">
        <v>30712529721</v>
      </c>
      <c r="F70" s="18">
        <v>42371.9</v>
      </c>
      <c r="G70" s="18">
        <v>0</v>
      </c>
      <c r="H70" s="6">
        <v>0</v>
      </c>
      <c r="I70" s="6">
        <v>0</v>
      </c>
      <c r="J70" s="6">
        <v>0</v>
      </c>
      <c r="K70" s="6">
        <v>8898.1</v>
      </c>
      <c r="L70" s="6">
        <v>0</v>
      </c>
      <c r="M70" s="18">
        <v>0</v>
      </c>
      <c r="N70" s="18">
        <v>51270</v>
      </c>
    </row>
    <row r="71" spans="1:14">
      <c r="A71" s="4" t="s">
        <v>3117</v>
      </c>
      <c r="B71" s="5" t="s">
        <v>3134</v>
      </c>
      <c r="C71" s="6" t="s">
        <v>76</v>
      </c>
      <c r="D71" s="6" t="s">
        <v>19</v>
      </c>
      <c r="E71" s="6">
        <v>30606274161</v>
      </c>
      <c r="F71" s="18">
        <v>265735.53999999998</v>
      </c>
      <c r="G71" s="18">
        <v>0</v>
      </c>
      <c r="H71" s="6">
        <v>0</v>
      </c>
      <c r="I71" s="6">
        <v>0</v>
      </c>
      <c r="J71" s="6">
        <v>0</v>
      </c>
      <c r="K71" s="6">
        <v>55804.46</v>
      </c>
      <c r="L71" s="6">
        <v>0</v>
      </c>
      <c r="M71" s="18">
        <v>0</v>
      </c>
      <c r="N71" s="18">
        <v>321540</v>
      </c>
    </row>
    <row r="72" spans="1:14">
      <c r="A72" s="4" t="s">
        <v>3117</v>
      </c>
      <c r="B72" s="5" t="s">
        <v>3135</v>
      </c>
      <c r="C72" s="6" t="s">
        <v>2634</v>
      </c>
      <c r="D72" s="6" t="s">
        <v>19</v>
      </c>
      <c r="E72" s="6">
        <v>30522428163</v>
      </c>
      <c r="F72" s="18">
        <v>641322.31000000006</v>
      </c>
      <c r="G72" s="18">
        <v>0</v>
      </c>
      <c r="H72" s="6">
        <v>0</v>
      </c>
      <c r="I72" s="6">
        <v>0</v>
      </c>
      <c r="J72" s="6">
        <v>0</v>
      </c>
      <c r="K72" s="6">
        <v>134677.69</v>
      </c>
      <c r="L72" s="6">
        <v>0</v>
      </c>
      <c r="M72" s="18">
        <v>0</v>
      </c>
      <c r="N72" s="18">
        <v>776000</v>
      </c>
    </row>
    <row r="73" spans="1:14">
      <c r="A73" s="4" t="s">
        <v>3117</v>
      </c>
      <c r="B73" s="5" t="s">
        <v>3136</v>
      </c>
      <c r="C73" s="6" t="s">
        <v>1694</v>
      </c>
      <c r="D73" s="6" t="s">
        <v>19</v>
      </c>
      <c r="E73" s="6">
        <v>30604958640</v>
      </c>
      <c r="F73" s="18">
        <v>84132.23</v>
      </c>
      <c r="G73" s="18">
        <v>0</v>
      </c>
      <c r="H73" s="6">
        <v>0</v>
      </c>
      <c r="I73" s="6">
        <v>0</v>
      </c>
      <c r="J73" s="6">
        <v>0</v>
      </c>
      <c r="K73" s="6">
        <v>17667.77</v>
      </c>
      <c r="L73" s="6">
        <v>0</v>
      </c>
      <c r="M73" s="18">
        <v>0</v>
      </c>
      <c r="N73" s="18">
        <v>101800</v>
      </c>
    </row>
    <row r="74" spans="1:14">
      <c r="A74" s="4" t="s">
        <v>3117</v>
      </c>
      <c r="B74" s="5" t="s">
        <v>3137</v>
      </c>
      <c r="C74" s="6" t="s">
        <v>1216</v>
      </c>
      <c r="D74" s="6" t="s">
        <v>19</v>
      </c>
      <c r="E74" s="6">
        <v>30590412631</v>
      </c>
      <c r="F74" s="18">
        <v>74049.59</v>
      </c>
      <c r="G74" s="18">
        <v>0</v>
      </c>
      <c r="H74" s="6">
        <v>0</v>
      </c>
      <c r="I74" s="6">
        <v>0</v>
      </c>
      <c r="J74" s="6">
        <v>0</v>
      </c>
      <c r="K74" s="6">
        <v>15550.41</v>
      </c>
      <c r="L74" s="6">
        <v>0</v>
      </c>
      <c r="M74" s="18">
        <v>0</v>
      </c>
      <c r="N74" s="18">
        <v>89600</v>
      </c>
    </row>
    <row r="75" spans="1:14">
      <c r="A75" s="4" t="s">
        <v>3117</v>
      </c>
      <c r="B75" s="5" t="s">
        <v>3138</v>
      </c>
      <c r="C75" s="6" t="s">
        <v>36</v>
      </c>
      <c r="D75" s="6" t="s">
        <v>19</v>
      </c>
      <c r="E75" s="6">
        <v>30683032227</v>
      </c>
      <c r="F75" s="18">
        <v>137603.29999999999</v>
      </c>
      <c r="G75" s="18">
        <v>0</v>
      </c>
      <c r="H75" s="6">
        <v>0</v>
      </c>
      <c r="I75" s="6">
        <v>0</v>
      </c>
      <c r="J75" s="6">
        <v>0</v>
      </c>
      <c r="K75" s="6">
        <v>28896.7</v>
      </c>
      <c r="L75" s="6">
        <v>0</v>
      </c>
      <c r="M75" s="18">
        <v>0</v>
      </c>
      <c r="N75" s="18">
        <v>166500</v>
      </c>
    </row>
    <row r="76" spans="1:14">
      <c r="A76" s="4" t="s">
        <v>3158</v>
      </c>
      <c r="B76" s="5" t="s">
        <v>3176</v>
      </c>
      <c r="C76" s="6" t="s">
        <v>108</v>
      </c>
      <c r="D76" s="6" t="s">
        <v>19</v>
      </c>
      <c r="E76" s="6">
        <v>20223256393</v>
      </c>
      <c r="F76" s="18">
        <v>19834.71</v>
      </c>
      <c r="G76" s="18">
        <v>0</v>
      </c>
      <c r="H76" s="6">
        <v>0</v>
      </c>
      <c r="I76" s="6">
        <v>0</v>
      </c>
      <c r="J76" s="6">
        <v>0</v>
      </c>
      <c r="K76" s="6">
        <v>4165.29</v>
      </c>
      <c r="L76" s="6">
        <v>0</v>
      </c>
      <c r="M76" s="18">
        <v>0</v>
      </c>
      <c r="N76" s="18">
        <v>24000</v>
      </c>
    </row>
    <row r="77" spans="1:14">
      <c r="A77" s="4" t="s">
        <v>3202</v>
      </c>
      <c r="B77" s="5" t="s">
        <v>3223</v>
      </c>
      <c r="C77" s="6" t="s">
        <v>2634</v>
      </c>
      <c r="D77" s="6" t="s">
        <v>19</v>
      </c>
      <c r="E77" s="6">
        <v>30522428163</v>
      </c>
      <c r="F77" s="18">
        <v>73917.55</v>
      </c>
      <c r="G77" s="18">
        <v>0</v>
      </c>
      <c r="H77" s="6">
        <v>0</v>
      </c>
      <c r="I77" s="6">
        <v>0</v>
      </c>
      <c r="J77" s="6">
        <v>0</v>
      </c>
      <c r="K77" s="6">
        <v>15522.69</v>
      </c>
      <c r="L77" s="6">
        <v>0</v>
      </c>
      <c r="M77" s="18">
        <v>0</v>
      </c>
      <c r="N77" s="18">
        <v>89440.24</v>
      </c>
    </row>
    <row r="78" spans="1:14">
      <c r="A78" s="4" t="s">
        <v>3229</v>
      </c>
      <c r="B78" s="5" t="s">
        <v>3238</v>
      </c>
      <c r="C78" s="6" t="s">
        <v>120</v>
      </c>
      <c r="D78" s="6" t="s">
        <v>19</v>
      </c>
      <c r="E78" s="6">
        <v>27182477368</v>
      </c>
      <c r="F78" s="18">
        <v>19834.71</v>
      </c>
      <c r="G78" s="18">
        <v>0</v>
      </c>
      <c r="H78" s="6">
        <v>0</v>
      </c>
      <c r="I78" s="6">
        <v>0</v>
      </c>
      <c r="J78" s="6">
        <v>0</v>
      </c>
      <c r="K78" s="6">
        <v>4165.29</v>
      </c>
      <c r="L78" s="6">
        <v>0</v>
      </c>
      <c r="M78" s="18">
        <v>0</v>
      </c>
      <c r="N78" s="18">
        <v>24000</v>
      </c>
    </row>
    <row r="79" spans="1:14">
      <c r="A79" s="4" t="s">
        <v>3089</v>
      </c>
      <c r="B79" s="5" t="s">
        <v>3100</v>
      </c>
      <c r="C79" s="6" t="s">
        <v>45</v>
      </c>
      <c r="D79" s="6" t="s">
        <v>19</v>
      </c>
      <c r="E79" s="6">
        <v>30608716390</v>
      </c>
      <c r="F79" s="18">
        <v>-4458.6000000000004</v>
      </c>
      <c r="G79" s="18">
        <v>0</v>
      </c>
      <c r="H79" s="6">
        <v>0</v>
      </c>
      <c r="I79" s="6">
        <v>0</v>
      </c>
      <c r="J79" s="6">
        <v>0</v>
      </c>
      <c r="K79" s="6">
        <v>-936.31</v>
      </c>
      <c r="L79" s="6">
        <v>0</v>
      </c>
      <c r="M79" s="18">
        <v>0</v>
      </c>
      <c r="N79" s="18">
        <v>-5394.91</v>
      </c>
    </row>
    <row r="80" spans="1:14" ht="15.75" thickBot="1">
      <c r="A80" s="4"/>
      <c r="B80" s="5"/>
      <c r="C80" s="6"/>
      <c r="D80" s="6"/>
      <c r="E80" s="6"/>
      <c r="F80" s="142">
        <f>SUM(F28:F79)</f>
        <v>6937673.4699999988</v>
      </c>
      <c r="G80" s="142">
        <f t="shared" ref="G80:N80" ca="1" si="1">SUM(G28:G486)</f>
        <v>285200000</v>
      </c>
      <c r="H80" s="142">
        <f t="shared" ca="1" si="1"/>
        <v>0</v>
      </c>
      <c r="I80" s="142">
        <f t="shared" ca="1" si="1"/>
        <v>0</v>
      </c>
      <c r="J80" s="142">
        <f t="shared" ca="1" si="1"/>
        <v>0</v>
      </c>
      <c r="K80" s="142">
        <f t="shared" ca="1" si="1"/>
        <v>24043411750.337402</v>
      </c>
      <c r="L80" s="142">
        <f t="shared" ca="1" si="1"/>
        <v>0</v>
      </c>
      <c r="M80" s="142">
        <f t="shared" ca="1" si="1"/>
        <v>0</v>
      </c>
      <c r="N80" s="142">
        <f t="shared" ca="1" si="1"/>
        <v>138821039009.90695</v>
      </c>
    </row>
    <row r="81" spans="1:14" ht="15.75" thickBot="1">
      <c r="A81" s="167" t="s">
        <v>3245</v>
      </c>
      <c r="B81" s="168"/>
      <c r="C81" s="6"/>
      <c r="D81" s="6"/>
      <c r="E81" s="6"/>
      <c r="F81" s="18"/>
      <c r="G81" s="18"/>
      <c r="H81" s="6"/>
      <c r="I81" s="6"/>
      <c r="J81" s="6"/>
      <c r="K81" s="6"/>
      <c r="L81" s="6"/>
      <c r="M81" s="18"/>
      <c r="N81" s="18"/>
    </row>
    <row r="82" spans="1:14" hidden="1">
      <c r="A82" s="4" t="s">
        <v>2727</v>
      </c>
      <c r="B82" s="5" t="s">
        <v>2728</v>
      </c>
      <c r="C82" s="6" t="s">
        <v>134</v>
      </c>
      <c r="D82" s="6" t="s">
        <v>135</v>
      </c>
      <c r="E82" s="6" t="s">
        <v>136</v>
      </c>
      <c r="F82" s="18">
        <v>14669.42</v>
      </c>
      <c r="G82" s="18">
        <v>0</v>
      </c>
      <c r="H82" s="6">
        <v>0</v>
      </c>
      <c r="I82" s="6">
        <v>0</v>
      </c>
      <c r="J82" s="6">
        <v>0</v>
      </c>
      <c r="K82" s="6">
        <v>3080.58</v>
      </c>
      <c r="L82" s="6">
        <v>0</v>
      </c>
      <c r="M82" s="18">
        <v>0</v>
      </c>
      <c r="N82" s="18">
        <v>17750</v>
      </c>
    </row>
    <row r="83" spans="1:14" hidden="1">
      <c r="A83" s="4" t="s">
        <v>2727</v>
      </c>
      <c r="B83" s="5" t="s">
        <v>2729</v>
      </c>
      <c r="C83" s="6" t="s">
        <v>134</v>
      </c>
      <c r="D83" s="6" t="s">
        <v>135</v>
      </c>
      <c r="E83" s="6" t="s">
        <v>136</v>
      </c>
      <c r="F83" s="18">
        <v>2066.12</v>
      </c>
      <c r="G83" s="18">
        <v>0</v>
      </c>
      <c r="H83" s="6">
        <v>0</v>
      </c>
      <c r="I83" s="6">
        <v>0</v>
      </c>
      <c r="J83" s="6">
        <v>0</v>
      </c>
      <c r="K83" s="6">
        <v>433.88</v>
      </c>
      <c r="L83" s="6">
        <v>0</v>
      </c>
      <c r="M83" s="18">
        <v>0</v>
      </c>
      <c r="N83" s="18">
        <v>2500</v>
      </c>
    </row>
    <row r="84" spans="1:14" hidden="1">
      <c r="A84" s="4" t="s">
        <v>2727</v>
      </c>
      <c r="B84" s="5" t="s">
        <v>2730</v>
      </c>
      <c r="C84" s="6" t="s">
        <v>134</v>
      </c>
      <c r="D84" s="6" t="s">
        <v>135</v>
      </c>
      <c r="E84" s="6" t="s">
        <v>136</v>
      </c>
      <c r="F84" s="18">
        <v>24628.1</v>
      </c>
      <c r="G84" s="18">
        <v>0</v>
      </c>
      <c r="H84" s="6">
        <v>0</v>
      </c>
      <c r="I84" s="6">
        <v>0</v>
      </c>
      <c r="J84" s="6">
        <v>0</v>
      </c>
      <c r="K84" s="6">
        <v>5171.9000000000005</v>
      </c>
      <c r="L84" s="6">
        <v>0</v>
      </c>
      <c r="M84" s="18">
        <v>0</v>
      </c>
      <c r="N84" s="18">
        <v>29800</v>
      </c>
    </row>
    <row r="85" spans="1:14" hidden="1">
      <c r="A85" s="4" t="s">
        <v>2727</v>
      </c>
      <c r="B85" s="5" t="s">
        <v>2731</v>
      </c>
      <c r="C85" s="6" t="s">
        <v>134</v>
      </c>
      <c r="D85" s="6" t="s">
        <v>135</v>
      </c>
      <c r="E85" s="6" t="s">
        <v>136</v>
      </c>
      <c r="F85" s="18">
        <v>15867.77</v>
      </c>
      <c r="G85" s="18">
        <v>0</v>
      </c>
      <c r="H85" s="6">
        <v>0</v>
      </c>
      <c r="I85" s="6">
        <v>0</v>
      </c>
      <c r="J85" s="6">
        <v>0</v>
      </c>
      <c r="K85" s="6">
        <v>3332.23</v>
      </c>
      <c r="L85" s="6">
        <v>0</v>
      </c>
      <c r="M85" s="18">
        <v>0</v>
      </c>
      <c r="N85" s="18">
        <v>19200</v>
      </c>
    </row>
    <row r="86" spans="1:14" hidden="1">
      <c r="A86" s="4" t="s">
        <v>2727</v>
      </c>
      <c r="B86" s="5" t="s">
        <v>2732</v>
      </c>
      <c r="C86" s="6" t="s">
        <v>134</v>
      </c>
      <c r="D86" s="6" t="s">
        <v>135</v>
      </c>
      <c r="E86" s="6" t="s">
        <v>136</v>
      </c>
      <c r="F86" s="18">
        <v>3471.07</v>
      </c>
      <c r="G86" s="18">
        <v>0</v>
      </c>
      <c r="H86" s="6">
        <v>0</v>
      </c>
      <c r="I86" s="6">
        <v>0</v>
      </c>
      <c r="J86" s="6">
        <v>0</v>
      </c>
      <c r="K86" s="6">
        <v>728.93</v>
      </c>
      <c r="L86" s="6">
        <v>0</v>
      </c>
      <c r="M86" s="18">
        <v>0</v>
      </c>
      <c r="N86" s="18">
        <v>4200</v>
      </c>
    </row>
    <row r="87" spans="1:14">
      <c r="A87" s="4" t="s">
        <v>2727</v>
      </c>
      <c r="B87" s="5" t="s">
        <v>2733</v>
      </c>
      <c r="C87" s="6" t="s">
        <v>2734</v>
      </c>
      <c r="D87" s="6" t="s">
        <v>135</v>
      </c>
      <c r="E87" s="6">
        <v>24687831</v>
      </c>
      <c r="F87" s="18">
        <v>21487.599999999999</v>
      </c>
      <c r="G87" s="18">
        <v>0</v>
      </c>
      <c r="H87" s="6">
        <v>0</v>
      </c>
      <c r="I87" s="6">
        <v>0</v>
      </c>
      <c r="J87" s="6">
        <v>0</v>
      </c>
      <c r="K87" s="6">
        <v>4512.4000000000005</v>
      </c>
      <c r="L87" s="6">
        <v>0</v>
      </c>
      <c r="M87" s="18">
        <v>0</v>
      </c>
      <c r="N87" s="18">
        <v>26000</v>
      </c>
    </row>
    <row r="88" spans="1:14">
      <c r="A88" s="4" t="s">
        <v>2727</v>
      </c>
      <c r="B88" s="5" t="s">
        <v>2735</v>
      </c>
      <c r="C88" s="6" t="s">
        <v>2736</v>
      </c>
      <c r="D88" s="6" t="s">
        <v>135</v>
      </c>
      <c r="E88" s="6">
        <v>45238321</v>
      </c>
      <c r="F88" s="18">
        <v>21487.599999999999</v>
      </c>
      <c r="G88" s="18">
        <v>0</v>
      </c>
      <c r="H88" s="6">
        <v>0</v>
      </c>
      <c r="I88" s="6">
        <v>0</v>
      </c>
      <c r="J88" s="6">
        <v>0</v>
      </c>
      <c r="K88" s="6">
        <v>4512.4000000000005</v>
      </c>
      <c r="L88" s="6">
        <v>0</v>
      </c>
      <c r="M88" s="18">
        <v>0</v>
      </c>
      <c r="N88" s="18">
        <v>26000</v>
      </c>
    </row>
    <row r="89" spans="1:14" hidden="1">
      <c r="A89" s="4" t="s">
        <v>2727</v>
      </c>
      <c r="B89" s="5" t="s">
        <v>2737</v>
      </c>
      <c r="C89" s="6" t="s">
        <v>134</v>
      </c>
      <c r="D89" s="6" t="s">
        <v>135</v>
      </c>
      <c r="E89" s="6" t="s">
        <v>136</v>
      </c>
      <c r="F89" s="18">
        <v>10330.58</v>
      </c>
      <c r="G89" s="18">
        <v>0</v>
      </c>
      <c r="H89" s="6">
        <v>0</v>
      </c>
      <c r="I89" s="6">
        <v>0</v>
      </c>
      <c r="J89" s="6">
        <v>0</v>
      </c>
      <c r="K89" s="6">
        <v>2169.42</v>
      </c>
      <c r="L89" s="6">
        <v>0</v>
      </c>
      <c r="M89" s="18">
        <v>0</v>
      </c>
      <c r="N89" s="18">
        <v>12500</v>
      </c>
    </row>
    <row r="90" spans="1:14" hidden="1">
      <c r="A90" s="4" t="s">
        <v>2727</v>
      </c>
      <c r="B90" s="5" t="s">
        <v>2738</v>
      </c>
      <c r="C90" s="6" t="s">
        <v>134</v>
      </c>
      <c r="D90" s="6" t="s">
        <v>135</v>
      </c>
      <c r="E90" s="6" t="s">
        <v>136</v>
      </c>
      <c r="F90" s="18">
        <v>21487.599999999999</v>
      </c>
      <c r="G90" s="18">
        <v>0</v>
      </c>
      <c r="H90" s="6">
        <v>0</v>
      </c>
      <c r="I90" s="6">
        <v>0</v>
      </c>
      <c r="J90" s="6">
        <v>0</v>
      </c>
      <c r="K90" s="6">
        <v>4512.4000000000005</v>
      </c>
      <c r="L90" s="6">
        <v>0</v>
      </c>
      <c r="M90" s="18">
        <v>0</v>
      </c>
      <c r="N90" s="18">
        <v>26000</v>
      </c>
    </row>
    <row r="91" spans="1:14" hidden="1">
      <c r="A91" s="4" t="s">
        <v>2727</v>
      </c>
      <c r="B91" s="5" t="s">
        <v>2739</v>
      </c>
      <c r="C91" s="6" t="s">
        <v>134</v>
      </c>
      <c r="D91" s="6" t="s">
        <v>135</v>
      </c>
      <c r="E91" s="6" t="s">
        <v>136</v>
      </c>
      <c r="F91" s="18">
        <v>23140.5</v>
      </c>
      <c r="G91" s="18">
        <v>0</v>
      </c>
      <c r="H91" s="6">
        <v>0</v>
      </c>
      <c r="I91" s="6">
        <v>0</v>
      </c>
      <c r="J91" s="6">
        <v>0</v>
      </c>
      <c r="K91" s="6">
        <v>4859.5</v>
      </c>
      <c r="L91" s="6">
        <v>0</v>
      </c>
      <c r="M91" s="18">
        <v>0</v>
      </c>
      <c r="N91" s="18">
        <v>28000</v>
      </c>
    </row>
    <row r="92" spans="1:14" hidden="1">
      <c r="A92" s="4" t="s">
        <v>2727</v>
      </c>
      <c r="B92" s="5" t="s">
        <v>2740</v>
      </c>
      <c r="C92" s="6" t="s">
        <v>134</v>
      </c>
      <c r="D92" s="6" t="s">
        <v>135</v>
      </c>
      <c r="E92" s="6" t="s">
        <v>136</v>
      </c>
      <c r="F92" s="18">
        <v>19834.71</v>
      </c>
      <c r="G92" s="18">
        <v>0</v>
      </c>
      <c r="H92" s="6">
        <v>0</v>
      </c>
      <c r="I92" s="6">
        <v>0</v>
      </c>
      <c r="J92" s="6">
        <v>0</v>
      </c>
      <c r="K92" s="6">
        <v>4165.29</v>
      </c>
      <c r="L92" s="6">
        <v>0</v>
      </c>
      <c r="M92" s="18">
        <v>0</v>
      </c>
      <c r="N92" s="18">
        <v>24000</v>
      </c>
    </row>
    <row r="93" spans="1:14" hidden="1">
      <c r="A93" s="4" t="s">
        <v>2727</v>
      </c>
      <c r="B93" s="5" t="s">
        <v>2741</v>
      </c>
      <c r="C93" s="6" t="s">
        <v>134</v>
      </c>
      <c r="D93" s="6" t="s">
        <v>135</v>
      </c>
      <c r="E93" s="6" t="s">
        <v>136</v>
      </c>
      <c r="F93" s="18">
        <v>40495.870000000003</v>
      </c>
      <c r="G93" s="18">
        <v>0</v>
      </c>
      <c r="H93" s="6">
        <v>0</v>
      </c>
      <c r="I93" s="6">
        <v>0</v>
      </c>
      <c r="J93" s="6">
        <v>0</v>
      </c>
      <c r="K93" s="6">
        <v>8504.130000000001</v>
      </c>
      <c r="L93" s="6">
        <v>0</v>
      </c>
      <c r="M93" s="18">
        <v>0</v>
      </c>
      <c r="N93" s="18">
        <v>49000</v>
      </c>
    </row>
    <row r="94" spans="1:14" hidden="1">
      <c r="A94" s="4" t="s">
        <v>2727</v>
      </c>
      <c r="B94" s="5" t="s">
        <v>2742</v>
      </c>
      <c r="C94" s="6" t="s">
        <v>134</v>
      </c>
      <c r="D94" s="6" t="s">
        <v>135</v>
      </c>
      <c r="E94" s="6" t="s">
        <v>136</v>
      </c>
      <c r="F94" s="18">
        <v>10743.8</v>
      </c>
      <c r="G94" s="18">
        <v>0</v>
      </c>
      <c r="H94" s="6">
        <v>0</v>
      </c>
      <c r="I94" s="6">
        <v>0</v>
      </c>
      <c r="J94" s="6">
        <v>0</v>
      </c>
      <c r="K94" s="6">
        <v>2256.2000000000003</v>
      </c>
      <c r="L94" s="6">
        <v>0</v>
      </c>
      <c r="M94" s="18">
        <v>0</v>
      </c>
      <c r="N94" s="18">
        <v>13000</v>
      </c>
    </row>
    <row r="95" spans="1:14" hidden="1">
      <c r="A95" s="4" t="s">
        <v>2727</v>
      </c>
      <c r="B95" s="5" t="s">
        <v>2743</v>
      </c>
      <c r="C95" s="6" t="s">
        <v>134</v>
      </c>
      <c r="D95" s="6" t="s">
        <v>135</v>
      </c>
      <c r="E95" s="6" t="s">
        <v>136</v>
      </c>
      <c r="F95" s="18">
        <v>10743.8</v>
      </c>
      <c r="G95" s="18">
        <v>0</v>
      </c>
      <c r="H95" s="6">
        <v>0</v>
      </c>
      <c r="I95" s="6">
        <v>0</v>
      </c>
      <c r="J95" s="6">
        <v>0</v>
      </c>
      <c r="K95" s="6">
        <v>2256.2000000000003</v>
      </c>
      <c r="L95" s="6">
        <v>0</v>
      </c>
      <c r="M95" s="18">
        <v>0</v>
      </c>
      <c r="N95" s="18">
        <v>13000</v>
      </c>
    </row>
    <row r="96" spans="1:14" hidden="1">
      <c r="A96" s="4" t="s">
        <v>2750</v>
      </c>
      <c r="B96" s="5" t="s">
        <v>2751</v>
      </c>
      <c r="C96" s="6" t="s">
        <v>134</v>
      </c>
      <c r="D96" s="6" t="s">
        <v>135</v>
      </c>
      <c r="E96" s="6" t="s">
        <v>136</v>
      </c>
      <c r="F96" s="18">
        <v>16528.93</v>
      </c>
      <c r="G96" s="18">
        <v>0</v>
      </c>
      <c r="H96" s="6">
        <v>0</v>
      </c>
      <c r="I96" s="6">
        <v>0</v>
      </c>
      <c r="J96" s="6">
        <v>0</v>
      </c>
      <c r="K96" s="6">
        <v>3471.07</v>
      </c>
      <c r="L96" s="6">
        <v>0</v>
      </c>
      <c r="M96" s="18">
        <v>0</v>
      </c>
      <c r="N96" s="18">
        <v>20000</v>
      </c>
    </row>
    <row r="97" spans="1:14" hidden="1">
      <c r="A97" s="4" t="s">
        <v>2750</v>
      </c>
      <c r="B97" s="5" t="s">
        <v>2752</v>
      </c>
      <c r="C97" s="6" t="s">
        <v>134</v>
      </c>
      <c r="D97" s="6" t="s">
        <v>135</v>
      </c>
      <c r="E97" s="6" t="s">
        <v>136</v>
      </c>
      <c r="F97" s="18">
        <v>21239.67</v>
      </c>
      <c r="G97" s="18">
        <v>0</v>
      </c>
      <c r="H97" s="6">
        <v>0</v>
      </c>
      <c r="I97" s="6">
        <v>0</v>
      </c>
      <c r="J97" s="6">
        <v>0</v>
      </c>
      <c r="K97" s="6">
        <v>4460.33</v>
      </c>
      <c r="L97" s="6">
        <v>0</v>
      </c>
      <c r="M97" s="18">
        <v>0</v>
      </c>
      <c r="N97" s="18">
        <v>25700</v>
      </c>
    </row>
    <row r="98" spans="1:14" hidden="1">
      <c r="A98" s="4" t="s">
        <v>2750</v>
      </c>
      <c r="B98" s="5" t="s">
        <v>2753</v>
      </c>
      <c r="C98" s="6" t="s">
        <v>134</v>
      </c>
      <c r="D98" s="6" t="s">
        <v>135</v>
      </c>
      <c r="E98" s="6" t="s">
        <v>136</v>
      </c>
      <c r="F98" s="18">
        <v>14669.42</v>
      </c>
      <c r="G98" s="18">
        <v>0</v>
      </c>
      <c r="H98" s="6">
        <v>0</v>
      </c>
      <c r="I98" s="6">
        <v>0</v>
      </c>
      <c r="J98" s="6">
        <v>0</v>
      </c>
      <c r="K98" s="6">
        <v>3080.58</v>
      </c>
      <c r="L98" s="6">
        <v>0</v>
      </c>
      <c r="M98" s="18">
        <v>0</v>
      </c>
      <c r="N98" s="18">
        <v>17750</v>
      </c>
    </row>
    <row r="99" spans="1:14" hidden="1">
      <c r="A99" s="4" t="s">
        <v>2750</v>
      </c>
      <c r="B99" s="5" t="s">
        <v>2754</v>
      </c>
      <c r="C99" s="6" t="s">
        <v>134</v>
      </c>
      <c r="D99" s="6" t="s">
        <v>135</v>
      </c>
      <c r="E99" s="6" t="s">
        <v>136</v>
      </c>
      <c r="F99" s="18">
        <v>18181.82</v>
      </c>
      <c r="G99" s="18">
        <v>0</v>
      </c>
      <c r="H99" s="6">
        <v>0</v>
      </c>
      <c r="I99" s="6">
        <v>0</v>
      </c>
      <c r="J99" s="6">
        <v>0</v>
      </c>
      <c r="K99" s="6">
        <v>3818.18</v>
      </c>
      <c r="L99" s="6">
        <v>0</v>
      </c>
      <c r="M99" s="18">
        <v>0</v>
      </c>
      <c r="N99" s="18">
        <v>22000</v>
      </c>
    </row>
    <row r="100" spans="1:14" hidden="1">
      <c r="A100" s="4" t="s">
        <v>2750</v>
      </c>
      <c r="B100" s="5" t="s">
        <v>2755</v>
      </c>
      <c r="C100" s="6" t="s">
        <v>134</v>
      </c>
      <c r="D100" s="6" t="s">
        <v>135</v>
      </c>
      <c r="E100" s="6" t="s">
        <v>136</v>
      </c>
      <c r="F100" s="18">
        <v>14669.42</v>
      </c>
      <c r="G100" s="18">
        <v>0</v>
      </c>
      <c r="H100" s="6">
        <v>0</v>
      </c>
      <c r="I100" s="6">
        <v>0</v>
      </c>
      <c r="J100" s="6">
        <v>0</v>
      </c>
      <c r="K100" s="6">
        <v>3080.58</v>
      </c>
      <c r="L100" s="6">
        <v>0</v>
      </c>
      <c r="M100" s="18">
        <v>0</v>
      </c>
      <c r="N100" s="18">
        <v>17750</v>
      </c>
    </row>
    <row r="101" spans="1:14" hidden="1">
      <c r="A101" s="4" t="s">
        <v>2750</v>
      </c>
      <c r="B101" s="5" t="s">
        <v>2756</v>
      </c>
      <c r="C101" s="6" t="s">
        <v>134</v>
      </c>
      <c r="D101" s="6" t="s">
        <v>135</v>
      </c>
      <c r="E101" s="6" t="s">
        <v>136</v>
      </c>
      <c r="F101" s="18">
        <v>29338.84</v>
      </c>
      <c r="G101" s="18">
        <v>0</v>
      </c>
      <c r="H101" s="6">
        <v>0</v>
      </c>
      <c r="I101" s="6">
        <v>0</v>
      </c>
      <c r="J101" s="6">
        <v>0</v>
      </c>
      <c r="K101" s="6">
        <v>6161.16</v>
      </c>
      <c r="L101" s="6">
        <v>0</v>
      </c>
      <c r="M101" s="18">
        <v>0</v>
      </c>
      <c r="N101" s="18">
        <v>35500</v>
      </c>
    </row>
    <row r="102" spans="1:14" hidden="1">
      <c r="A102" s="4" t="s">
        <v>2750</v>
      </c>
      <c r="B102" s="5" t="s">
        <v>2757</v>
      </c>
      <c r="C102" s="6" t="s">
        <v>134</v>
      </c>
      <c r="D102" s="6" t="s">
        <v>135</v>
      </c>
      <c r="E102" s="6" t="s">
        <v>136</v>
      </c>
      <c r="F102" s="18">
        <v>12396.69</v>
      </c>
      <c r="G102" s="18">
        <v>0</v>
      </c>
      <c r="H102" s="6">
        <v>0</v>
      </c>
      <c r="I102" s="6">
        <v>0</v>
      </c>
      <c r="J102" s="6">
        <v>0</v>
      </c>
      <c r="K102" s="6">
        <v>2603.31</v>
      </c>
      <c r="L102" s="6">
        <v>0</v>
      </c>
      <c r="M102" s="18">
        <v>0</v>
      </c>
      <c r="N102" s="18">
        <v>15000</v>
      </c>
    </row>
    <row r="103" spans="1:14" hidden="1">
      <c r="A103" s="4" t="s">
        <v>2750</v>
      </c>
      <c r="B103" s="5" t="s">
        <v>2758</v>
      </c>
      <c r="C103" s="6" t="s">
        <v>134</v>
      </c>
      <c r="D103" s="6" t="s">
        <v>135</v>
      </c>
      <c r="E103" s="6" t="s">
        <v>136</v>
      </c>
      <c r="F103" s="18">
        <v>10743.8</v>
      </c>
      <c r="G103" s="18">
        <v>0</v>
      </c>
      <c r="H103" s="6">
        <v>0</v>
      </c>
      <c r="I103" s="6">
        <v>0</v>
      </c>
      <c r="J103" s="6">
        <v>0</v>
      </c>
      <c r="K103" s="6">
        <v>2256.2000000000003</v>
      </c>
      <c r="L103" s="6">
        <v>0</v>
      </c>
      <c r="M103" s="18">
        <v>0</v>
      </c>
      <c r="N103" s="18">
        <v>13000</v>
      </c>
    </row>
    <row r="104" spans="1:14" hidden="1">
      <c r="A104" s="4" t="s">
        <v>2750</v>
      </c>
      <c r="B104" s="5" t="s">
        <v>2759</v>
      </c>
      <c r="C104" s="6" t="s">
        <v>134</v>
      </c>
      <c r="D104" s="6" t="s">
        <v>135</v>
      </c>
      <c r="E104" s="6" t="s">
        <v>136</v>
      </c>
      <c r="F104" s="18">
        <v>10743.8</v>
      </c>
      <c r="G104" s="18">
        <v>0</v>
      </c>
      <c r="H104" s="6">
        <v>0</v>
      </c>
      <c r="I104" s="6">
        <v>0</v>
      </c>
      <c r="J104" s="6">
        <v>0</v>
      </c>
      <c r="K104" s="6">
        <v>2256.2000000000003</v>
      </c>
      <c r="L104" s="6">
        <v>0</v>
      </c>
      <c r="M104" s="18">
        <v>0</v>
      </c>
      <c r="N104" s="18">
        <v>13000</v>
      </c>
    </row>
    <row r="105" spans="1:14" hidden="1">
      <c r="A105" s="4" t="s">
        <v>2750</v>
      </c>
      <c r="B105" s="5" t="s">
        <v>2760</v>
      </c>
      <c r="C105" s="6" t="s">
        <v>134</v>
      </c>
      <c r="D105" s="6" t="s">
        <v>135</v>
      </c>
      <c r="E105" s="6" t="s">
        <v>136</v>
      </c>
      <c r="F105" s="18">
        <v>11735.54</v>
      </c>
      <c r="G105" s="18">
        <v>0</v>
      </c>
      <c r="H105" s="6">
        <v>0</v>
      </c>
      <c r="I105" s="6">
        <v>0</v>
      </c>
      <c r="J105" s="6">
        <v>0</v>
      </c>
      <c r="K105" s="6">
        <v>2464.46</v>
      </c>
      <c r="L105" s="6">
        <v>0</v>
      </c>
      <c r="M105" s="18">
        <v>0</v>
      </c>
      <c r="N105" s="18">
        <v>14200</v>
      </c>
    </row>
    <row r="106" spans="1:14" hidden="1">
      <c r="A106" s="4" t="s">
        <v>2750</v>
      </c>
      <c r="B106" s="5" t="s">
        <v>2761</v>
      </c>
      <c r="C106" s="6" t="s">
        <v>134</v>
      </c>
      <c r="D106" s="6" t="s">
        <v>135</v>
      </c>
      <c r="E106" s="6" t="s">
        <v>136</v>
      </c>
      <c r="F106" s="18">
        <v>16528.93</v>
      </c>
      <c r="G106" s="18">
        <v>0</v>
      </c>
      <c r="H106" s="6">
        <v>0</v>
      </c>
      <c r="I106" s="6">
        <v>0</v>
      </c>
      <c r="J106" s="6">
        <v>0</v>
      </c>
      <c r="K106" s="6">
        <v>3471.07</v>
      </c>
      <c r="L106" s="6">
        <v>0</v>
      </c>
      <c r="M106" s="18">
        <v>0</v>
      </c>
      <c r="N106" s="18">
        <v>20000</v>
      </c>
    </row>
    <row r="107" spans="1:14" hidden="1">
      <c r="A107" s="4" t="s">
        <v>2750</v>
      </c>
      <c r="B107" s="5" t="s">
        <v>2762</v>
      </c>
      <c r="C107" s="6" t="s">
        <v>134</v>
      </c>
      <c r="D107" s="6" t="s">
        <v>135</v>
      </c>
      <c r="E107" s="6" t="s">
        <v>136</v>
      </c>
      <c r="F107" s="18">
        <v>10330.58</v>
      </c>
      <c r="G107" s="18">
        <v>0</v>
      </c>
      <c r="H107" s="6">
        <v>0</v>
      </c>
      <c r="I107" s="6">
        <v>0</v>
      </c>
      <c r="J107" s="6">
        <v>0</v>
      </c>
      <c r="K107" s="6">
        <v>2169.42</v>
      </c>
      <c r="L107" s="6">
        <v>0</v>
      </c>
      <c r="M107" s="18">
        <v>0</v>
      </c>
      <c r="N107" s="18">
        <v>12500</v>
      </c>
    </row>
    <row r="108" spans="1:14" hidden="1">
      <c r="A108" s="4" t="s">
        <v>2750</v>
      </c>
      <c r="B108" s="5" t="s">
        <v>2763</v>
      </c>
      <c r="C108" s="6" t="s">
        <v>134</v>
      </c>
      <c r="D108" s="6" t="s">
        <v>135</v>
      </c>
      <c r="E108" s="6" t="s">
        <v>136</v>
      </c>
      <c r="F108" s="18">
        <v>14793.39</v>
      </c>
      <c r="G108" s="18">
        <v>0</v>
      </c>
      <c r="H108" s="6">
        <v>0</v>
      </c>
      <c r="I108" s="6">
        <v>0</v>
      </c>
      <c r="J108" s="6">
        <v>0</v>
      </c>
      <c r="K108" s="6">
        <v>3106.61</v>
      </c>
      <c r="L108" s="6">
        <v>0</v>
      </c>
      <c r="M108" s="18">
        <v>0</v>
      </c>
      <c r="N108" s="18">
        <v>17900</v>
      </c>
    </row>
    <row r="109" spans="1:14" hidden="1">
      <c r="A109" s="4" t="s">
        <v>2750</v>
      </c>
      <c r="B109" s="5" t="s">
        <v>2764</v>
      </c>
      <c r="C109" s="6" t="s">
        <v>134</v>
      </c>
      <c r="D109" s="6" t="s">
        <v>135</v>
      </c>
      <c r="E109" s="6" t="s">
        <v>136</v>
      </c>
      <c r="F109" s="18">
        <v>14669.42</v>
      </c>
      <c r="G109" s="18">
        <v>0</v>
      </c>
      <c r="H109" s="6">
        <v>0</v>
      </c>
      <c r="I109" s="6">
        <v>0</v>
      </c>
      <c r="J109" s="6">
        <v>0</v>
      </c>
      <c r="K109" s="6">
        <v>3080.58</v>
      </c>
      <c r="L109" s="6">
        <v>0</v>
      </c>
      <c r="M109" s="18">
        <v>0</v>
      </c>
      <c r="N109" s="18">
        <v>17750</v>
      </c>
    </row>
    <row r="110" spans="1:14" hidden="1">
      <c r="A110" s="4" t="s">
        <v>2750</v>
      </c>
      <c r="B110" s="5" t="s">
        <v>2765</v>
      </c>
      <c r="C110" s="6" t="s">
        <v>134</v>
      </c>
      <c r="D110" s="6" t="s">
        <v>135</v>
      </c>
      <c r="E110" s="6" t="s">
        <v>136</v>
      </c>
      <c r="F110" s="18">
        <v>11735.54</v>
      </c>
      <c r="G110" s="18">
        <v>0</v>
      </c>
      <c r="H110" s="6">
        <v>0</v>
      </c>
      <c r="I110" s="6">
        <v>0</v>
      </c>
      <c r="J110" s="6">
        <v>0</v>
      </c>
      <c r="K110" s="6">
        <v>2464.46</v>
      </c>
      <c r="L110" s="6">
        <v>0</v>
      </c>
      <c r="M110" s="18">
        <v>0</v>
      </c>
      <c r="N110" s="18">
        <v>14200</v>
      </c>
    </row>
    <row r="111" spans="1:14" hidden="1">
      <c r="A111" s="4" t="s">
        <v>2750</v>
      </c>
      <c r="B111" s="5" t="s">
        <v>2766</v>
      </c>
      <c r="C111" s="6" t="s">
        <v>134</v>
      </c>
      <c r="D111" s="6" t="s">
        <v>135</v>
      </c>
      <c r="E111" s="6" t="s">
        <v>136</v>
      </c>
      <c r="F111" s="18">
        <v>8264.4600000000009</v>
      </c>
      <c r="G111" s="18">
        <v>0</v>
      </c>
      <c r="H111" s="6">
        <v>0</v>
      </c>
      <c r="I111" s="6">
        <v>0</v>
      </c>
      <c r="J111" s="6">
        <v>0</v>
      </c>
      <c r="K111" s="6">
        <v>1735.54</v>
      </c>
      <c r="L111" s="6">
        <v>0</v>
      </c>
      <c r="M111" s="18">
        <v>0</v>
      </c>
      <c r="N111" s="18">
        <v>10000</v>
      </c>
    </row>
    <row r="112" spans="1:14" hidden="1">
      <c r="A112" s="4" t="s">
        <v>2781</v>
      </c>
      <c r="B112" s="5" t="s">
        <v>2782</v>
      </c>
      <c r="C112" s="6" t="s">
        <v>134</v>
      </c>
      <c r="D112" s="6" t="s">
        <v>135</v>
      </c>
      <c r="E112" s="6" t="s">
        <v>136</v>
      </c>
      <c r="F112" s="18">
        <v>10743.8</v>
      </c>
      <c r="G112" s="18">
        <v>0</v>
      </c>
      <c r="H112" s="6">
        <v>0</v>
      </c>
      <c r="I112" s="6">
        <v>0</v>
      </c>
      <c r="J112" s="6">
        <v>0</v>
      </c>
      <c r="K112" s="6">
        <v>2256.2000000000003</v>
      </c>
      <c r="L112" s="6">
        <v>0</v>
      </c>
      <c r="M112" s="18">
        <v>0</v>
      </c>
      <c r="N112" s="18">
        <v>13000</v>
      </c>
    </row>
    <row r="113" spans="1:14" hidden="1">
      <c r="A113" s="4" t="s">
        <v>2781</v>
      </c>
      <c r="B113" s="5" t="s">
        <v>2783</v>
      </c>
      <c r="C113" s="6" t="s">
        <v>134</v>
      </c>
      <c r="D113" s="6" t="s">
        <v>135</v>
      </c>
      <c r="E113" s="6" t="s">
        <v>136</v>
      </c>
      <c r="F113" s="18">
        <v>33884.300000000003</v>
      </c>
      <c r="G113" s="18">
        <v>0</v>
      </c>
      <c r="H113" s="6">
        <v>0</v>
      </c>
      <c r="I113" s="6">
        <v>0</v>
      </c>
      <c r="J113" s="6">
        <v>0</v>
      </c>
      <c r="K113" s="6">
        <v>7115.7</v>
      </c>
      <c r="L113" s="6">
        <v>0</v>
      </c>
      <c r="M113" s="18">
        <v>0</v>
      </c>
      <c r="N113" s="18">
        <v>41000</v>
      </c>
    </row>
    <row r="114" spans="1:14" hidden="1">
      <c r="A114" s="4" t="s">
        <v>2781</v>
      </c>
      <c r="B114" s="5" t="s">
        <v>2784</v>
      </c>
      <c r="C114" s="6" t="s">
        <v>134</v>
      </c>
      <c r="D114" s="6" t="s">
        <v>135</v>
      </c>
      <c r="E114" s="6" t="s">
        <v>136</v>
      </c>
      <c r="F114" s="18">
        <v>14876.03</v>
      </c>
      <c r="G114" s="18">
        <v>0</v>
      </c>
      <c r="H114" s="6">
        <v>0</v>
      </c>
      <c r="I114" s="6">
        <v>0</v>
      </c>
      <c r="J114" s="6">
        <v>0</v>
      </c>
      <c r="K114" s="6">
        <v>3123.97</v>
      </c>
      <c r="L114" s="6">
        <v>0</v>
      </c>
      <c r="M114" s="18">
        <v>0</v>
      </c>
      <c r="N114" s="18">
        <v>18000</v>
      </c>
    </row>
    <row r="115" spans="1:14" hidden="1">
      <c r="A115" s="4" t="s">
        <v>2781</v>
      </c>
      <c r="B115" s="5" t="s">
        <v>2785</v>
      </c>
      <c r="C115" s="6" t="s">
        <v>134</v>
      </c>
      <c r="D115" s="6" t="s">
        <v>135</v>
      </c>
      <c r="E115" s="6" t="s">
        <v>136</v>
      </c>
      <c r="F115" s="18">
        <v>12396.69</v>
      </c>
      <c r="G115" s="18">
        <v>0</v>
      </c>
      <c r="H115" s="6">
        <v>0</v>
      </c>
      <c r="I115" s="6">
        <v>0</v>
      </c>
      <c r="J115" s="6">
        <v>0</v>
      </c>
      <c r="K115" s="6">
        <v>2603.31</v>
      </c>
      <c r="L115" s="6">
        <v>0</v>
      </c>
      <c r="M115" s="18">
        <v>0</v>
      </c>
      <c r="N115" s="18">
        <v>15000</v>
      </c>
    </row>
    <row r="116" spans="1:14" hidden="1">
      <c r="A116" s="4" t="s">
        <v>2781</v>
      </c>
      <c r="B116" s="5" t="s">
        <v>2786</v>
      </c>
      <c r="C116" s="6" t="s">
        <v>134</v>
      </c>
      <c r="D116" s="6" t="s">
        <v>135</v>
      </c>
      <c r="E116" s="6" t="s">
        <v>136</v>
      </c>
      <c r="F116" s="18">
        <v>8595.0400000000009</v>
      </c>
      <c r="G116" s="18">
        <v>0</v>
      </c>
      <c r="H116" s="6">
        <v>0</v>
      </c>
      <c r="I116" s="6">
        <v>0</v>
      </c>
      <c r="J116" s="6">
        <v>0</v>
      </c>
      <c r="K116" s="6">
        <v>1804.96</v>
      </c>
      <c r="L116" s="6">
        <v>0</v>
      </c>
      <c r="M116" s="18">
        <v>0</v>
      </c>
      <c r="N116" s="18">
        <v>10400</v>
      </c>
    </row>
    <row r="117" spans="1:14" hidden="1">
      <c r="A117" s="4" t="s">
        <v>2781</v>
      </c>
      <c r="B117" s="5" t="s">
        <v>2787</v>
      </c>
      <c r="C117" s="6" t="s">
        <v>134</v>
      </c>
      <c r="D117" s="6" t="s">
        <v>135</v>
      </c>
      <c r="E117" s="6" t="s">
        <v>136</v>
      </c>
      <c r="F117" s="18">
        <v>14669.42</v>
      </c>
      <c r="G117" s="18">
        <v>0</v>
      </c>
      <c r="H117" s="6">
        <v>0</v>
      </c>
      <c r="I117" s="6">
        <v>0</v>
      </c>
      <c r="J117" s="6">
        <v>0</v>
      </c>
      <c r="K117" s="6">
        <v>3080.58</v>
      </c>
      <c r="L117" s="6">
        <v>0</v>
      </c>
      <c r="M117" s="18">
        <v>0</v>
      </c>
      <c r="N117" s="18">
        <v>17750</v>
      </c>
    </row>
    <row r="118" spans="1:14" hidden="1">
      <c r="A118" s="4" t="s">
        <v>2781</v>
      </c>
      <c r="B118" s="5" t="s">
        <v>2788</v>
      </c>
      <c r="C118" s="6" t="s">
        <v>134</v>
      </c>
      <c r="D118" s="6" t="s">
        <v>135</v>
      </c>
      <c r="E118" s="6" t="s">
        <v>136</v>
      </c>
      <c r="F118" s="18">
        <v>10743.8</v>
      </c>
      <c r="G118" s="18">
        <v>0</v>
      </c>
      <c r="H118" s="6">
        <v>0</v>
      </c>
      <c r="I118" s="6">
        <v>0</v>
      </c>
      <c r="J118" s="6">
        <v>0</v>
      </c>
      <c r="K118" s="6">
        <v>2256.2000000000003</v>
      </c>
      <c r="L118" s="6">
        <v>0</v>
      </c>
      <c r="M118" s="18">
        <v>0</v>
      </c>
      <c r="N118" s="18">
        <v>13000</v>
      </c>
    </row>
    <row r="119" spans="1:14" hidden="1">
      <c r="A119" s="4" t="s">
        <v>2781</v>
      </c>
      <c r="B119" s="5" t="s">
        <v>2789</v>
      </c>
      <c r="C119" s="6" t="s">
        <v>134</v>
      </c>
      <c r="D119" s="6" t="s">
        <v>135</v>
      </c>
      <c r="E119" s="6" t="s">
        <v>136</v>
      </c>
      <c r="F119" s="18">
        <v>10743.8</v>
      </c>
      <c r="G119" s="18">
        <v>0</v>
      </c>
      <c r="H119" s="6">
        <v>0</v>
      </c>
      <c r="I119" s="6">
        <v>0</v>
      </c>
      <c r="J119" s="6">
        <v>0</v>
      </c>
      <c r="K119" s="6">
        <v>2256.2000000000003</v>
      </c>
      <c r="L119" s="6">
        <v>0</v>
      </c>
      <c r="M119" s="18">
        <v>0</v>
      </c>
      <c r="N119" s="18">
        <v>13000</v>
      </c>
    </row>
    <row r="120" spans="1:14" hidden="1">
      <c r="A120" s="4" t="s">
        <v>2781</v>
      </c>
      <c r="B120" s="5" t="s">
        <v>2790</v>
      </c>
      <c r="C120" s="6" t="s">
        <v>134</v>
      </c>
      <c r="D120" s="6" t="s">
        <v>135</v>
      </c>
      <c r="E120" s="6" t="s">
        <v>136</v>
      </c>
      <c r="F120" s="18">
        <v>23471.07</v>
      </c>
      <c r="G120" s="18">
        <v>0</v>
      </c>
      <c r="H120" s="6">
        <v>0</v>
      </c>
      <c r="I120" s="6">
        <v>0</v>
      </c>
      <c r="J120" s="6">
        <v>0</v>
      </c>
      <c r="K120" s="6">
        <v>4928.93</v>
      </c>
      <c r="L120" s="6">
        <v>0</v>
      </c>
      <c r="M120" s="18">
        <v>0</v>
      </c>
      <c r="N120" s="18">
        <v>28400</v>
      </c>
    </row>
    <row r="121" spans="1:14">
      <c r="A121" s="4" t="s">
        <v>2781</v>
      </c>
      <c r="B121" s="5" t="s">
        <v>2791</v>
      </c>
      <c r="C121" s="6" t="s">
        <v>2792</v>
      </c>
      <c r="D121" s="6" t="s">
        <v>135</v>
      </c>
      <c r="E121" s="6">
        <v>4917608</v>
      </c>
      <c r="F121" s="18">
        <v>99504.13</v>
      </c>
      <c r="G121" s="18">
        <v>0</v>
      </c>
      <c r="H121" s="6">
        <v>0</v>
      </c>
      <c r="I121" s="6">
        <v>0</v>
      </c>
      <c r="J121" s="6">
        <v>0</v>
      </c>
      <c r="K121" s="6">
        <v>20895.87</v>
      </c>
      <c r="L121" s="6">
        <v>0</v>
      </c>
      <c r="M121" s="18">
        <v>0</v>
      </c>
      <c r="N121" s="18">
        <v>120400</v>
      </c>
    </row>
    <row r="122" spans="1:14" hidden="1">
      <c r="A122" s="4" t="s">
        <v>2781</v>
      </c>
      <c r="B122" s="5" t="s">
        <v>2793</v>
      </c>
      <c r="C122" s="6" t="s">
        <v>134</v>
      </c>
      <c r="D122" s="6" t="s">
        <v>135</v>
      </c>
      <c r="E122" s="6" t="s">
        <v>136</v>
      </c>
      <c r="F122" s="18">
        <v>27520.66</v>
      </c>
      <c r="G122" s="18">
        <v>0</v>
      </c>
      <c r="H122" s="6">
        <v>0</v>
      </c>
      <c r="I122" s="6">
        <v>0</v>
      </c>
      <c r="J122" s="6">
        <v>0</v>
      </c>
      <c r="K122" s="6">
        <v>5779.34</v>
      </c>
      <c r="L122" s="6">
        <v>0</v>
      </c>
      <c r="M122" s="18">
        <v>0</v>
      </c>
      <c r="N122" s="18">
        <v>33300</v>
      </c>
    </row>
    <row r="123" spans="1:14">
      <c r="A123" s="4" t="s">
        <v>2781</v>
      </c>
      <c r="B123" s="5" t="s">
        <v>2794</v>
      </c>
      <c r="C123" s="6" t="s">
        <v>2795</v>
      </c>
      <c r="D123" s="6" t="s">
        <v>135</v>
      </c>
      <c r="E123" s="6">
        <v>18258724</v>
      </c>
      <c r="F123" s="18">
        <v>21487.599999999999</v>
      </c>
      <c r="G123" s="18">
        <v>0</v>
      </c>
      <c r="H123" s="6">
        <v>0</v>
      </c>
      <c r="I123" s="6">
        <v>0</v>
      </c>
      <c r="J123" s="6">
        <v>0</v>
      </c>
      <c r="K123" s="6">
        <v>4512.4000000000005</v>
      </c>
      <c r="L123" s="6">
        <v>0</v>
      </c>
      <c r="M123" s="18">
        <v>0</v>
      </c>
      <c r="N123" s="18">
        <v>26000</v>
      </c>
    </row>
    <row r="124" spans="1:14" hidden="1">
      <c r="A124" s="4" t="s">
        <v>2781</v>
      </c>
      <c r="B124" s="5" t="s">
        <v>2796</v>
      </c>
      <c r="C124" s="6" t="s">
        <v>134</v>
      </c>
      <c r="D124" s="6" t="s">
        <v>135</v>
      </c>
      <c r="E124" s="6" t="s">
        <v>136</v>
      </c>
      <c r="F124" s="18">
        <v>10743.8</v>
      </c>
      <c r="G124" s="18">
        <v>0</v>
      </c>
      <c r="H124" s="6">
        <v>0</v>
      </c>
      <c r="I124" s="6">
        <v>0</v>
      </c>
      <c r="J124" s="6">
        <v>0</v>
      </c>
      <c r="K124" s="6">
        <v>2256.2000000000003</v>
      </c>
      <c r="L124" s="6">
        <v>0</v>
      </c>
      <c r="M124" s="18">
        <v>0</v>
      </c>
      <c r="N124" s="18">
        <v>13000</v>
      </c>
    </row>
    <row r="125" spans="1:14" hidden="1">
      <c r="A125" s="4" t="s">
        <v>2781</v>
      </c>
      <c r="B125" s="5" t="s">
        <v>2797</v>
      </c>
      <c r="C125" s="6" t="s">
        <v>134</v>
      </c>
      <c r="D125" s="6" t="s">
        <v>135</v>
      </c>
      <c r="E125" s="6" t="s">
        <v>136</v>
      </c>
      <c r="F125" s="18">
        <v>22975.21</v>
      </c>
      <c r="G125" s="18">
        <v>0</v>
      </c>
      <c r="H125" s="6">
        <v>0</v>
      </c>
      <c r="I125" s="6">
        <v>0</v>
      </c>
      <c r="J125" s="6">
        <v>0</v>
      </c>
      <c r="K125" s="6">
        <v>4824.79</v>
      </c>
      <c r="L125" s="6">
        <v>0</v>
      </c>
      <c r="M125" s="18">
        <v>0</v>
      </c>
      <c r="N125" s="18">
        <v>27800</v>
      </c>
    </row>
    <row r="126" spans="1:14" hidden="1">
      <c r="A126" s="4" t="s">
        <v>2781</v>
      </c>
      <c r="B126" s="5" t="s">
        <v>2798</v>
      </c>
      <c r="C126" s="6" t="s">
        <v>134</v>
      </c>
      <c r="D126" s="6" t="s">
        <v>135</v>
      </c>
      <c r="E126" s="6" t="s">
        <v>136</v>
      </c>
      <c r="F126" s="18">
        <v>20661.16</v>
      </c>
      <c r="G126" s="18">
        <v>0</v>
      </c>
      <c r="H126" s="6">
        <v>0</v>
      </c>
      <c r="I126" s="6">
        <v>0</v>
      </c>
      <c r="J126" s="6">
        <v>0</v>
      </c>
      <c r="K126" s="6">
        <v>4338.84</v>
      </c>
      <c r="L126" s="6">
        <v>0</v>
      </c>
      <c r="M126" s="18">
        <v>0</v>
      </c>
      <c r="N126" s="18">
        <v>25000</v>
      </c>
    </row>
    <row r="127" spans="1:14" hidden="1">
      <c r="A127" s="4" t="s">
        <v>2781</v>
      </c>
      <c r="B127" s="5" t="s">
        <v>2799</v>
      </c>
      <c r="C127" s="6" t="s">
        <v>134</v>
      </c>
      <c r="D127" s="6" t="s">
        <v>135</v>
      </c>
      <c r="E127" s="6" t="s">
        <v>136</v>
      </c>
      <c r="F127" s="18">
        <v>10743.8</v>
      </c>
      <c r="G127" s="18">
        <v>0</v>
      </c>
      <c r="H127" s="6">
        <v>0</v>
      </c>
      <c r="I127" s="6">
        <v>0</v>
      </c>
      <c r="J127" s="6">
        <v>0</v>
      </c>
      <c r="K127" s="6">
        <v>2256.2000000000003</v>
      </c>
      <c r="L127" s="6">
        <v>0</v>
      </c>
      <c r="M127" s="18">
        <v>0</v>
      </c>
      <c r="N127" s="18">
        <v>13000</v>
      </c>
    </row>
    <row r="128" spans="1:14" hidden="1">
      <c r="A128" s="4" t="s">
        <v>2781</v>
      </c>
      <c r="B128" s="5" t="s">
        <v>2800</v>
      </c>
      <c r="C128" s="6" t="s">
        <v>134</v>
      </c>
      <c r="D128" s="6" t="s">
        <v>135</v>
      </c>
      <c r="E128" s="6" t="s">
        <v>136</v>
      </c>
      <c r="F128" s="18">
        <v>14876.03</v>
      </c>
      <c r="G128" s="18">
        <v>0</v>
      </c>
      <c r="H128" s="6">
        <v>0</v>
      </c>
      <c r="I128" s="6">
        <v>0</v>
      </c>
      <c r="J128" s="6">
        <v>0</v>
      </c>
      <c r="K128" s="6">
        <v>3123.97</v>
      </c>
      <c r="L128" s="6">
        <v>0</v>
      </c>
      <c r="M128" s="18">
        <v>0</v>
      </c>
      <c r="N128" s="18">
        <v>18000</v>
      </c>
    </row>
    <row r="129" spans="1:14" hidden="1">
      <c r="A129" s="4" t="s">
        <v>2781</v>
      </c>
      <c r="B129" s="5" t="s">
        <v>2801</v>
      </c>
      <c r="C129" s="6" t="s">
        <v>134</v>
      </c>
      <c r="D129" s="6" t="s">
        <v>135</v>
      </c>
      <c r="E129" s="6" t="s">
        <v>136</v>
      </c>
      <c r="F129" s="18">
        <v>21487.599999999999</v>
      </c>
      <c r="G129" s="18">
        <v>0</v>
      </c>
      <c r="H129" s="6">
        <v>0</v>
      </c>
      <c r="I129" s="6">
        <v>0</v>
      </c>
      <c r="J129" s="6">
        <v>0</v>
      </c>
      <c r="K129" s="6">
        <v>4512.4000000000005</v>
      </c>
      <c r="L129" s="6">
        <v>0</v>
      </c>
      <c r="M129" s="18">
        <v>0</v>
      </c>
      <c r="N129" s="18">
        <v>26000</v>
      </c>
    </row>
    <row r="130" spans="1:14" hidden="1">
      <c r="A130" s="4" t="s">
        <v>2781</v>
      </c>
      <c r="B130" s="5" t="s">
        <v>2802</v>
      </c>
      <c r="C130" s="6" t="s">
        <v>134</v>
      </c>
      <c r="D130" s="6" t="s">
        <v>135</v>
      </c>
      <c r="E130" s="6" t="s">
        <v>136</v>
      </c>
      <c r="F130" s="18">
        <v>11487.6</v>
      </c>
      <c r="G130" s="18">
        <v>0</v>
      </c>
      <c r="H130" s="6">
        <v>0</v>
      </c>
      <c r="I130" s="6">
        <v>0</v>
      </c>
      <c r="J130" s="6">
        <v>0</v>
      </c>
      <c r="K130" s="6">
        <v>2412.4</v>
      </c>
      <c r="L130" s="6">
        <v>0</v>
      </c>
      <c r="M130" s="18">
        <v>0</v>
      </c>
      <c r="N130" s="18">
        <v>13900</v>
      </c>
    </row>
    <row r="131" spans="1:14" hidden="1">
      <c r="A131" s="4" t="s">
        <v>2819</v>
      </c>
      <c r="B131" s="5" t="s">
        <v>2820</v>
      </c>
      <c r="C131" s="6" t="s">
        <v>134</v>
      </c>
      <c r="D131" s="6" t="s">
        <v>135</v>
      </c>
      <c r="E131" s="6" t="s">
        <v>136</v>
      </c>
      <c r="F131" s="18">
        <v>20661.16</v>
      </c>
      <c r="G131" s="18">
        <v>0</v>
      </c>
      <c r="H131" s="6">
        <v>0</v>
      </c>
      <c r="I131" s="6">
        <v>0</v>
      </c>
      <c r="J131" s="6">
        <v>0</v>
      </c>
      <c r="K131" s="6">
        <v>4338.84</v>
      </c>
      <c r="L131" s="6">
        <v>0</v>
      </c>
      <c r="M131" s="18">
        <v>0</v>
      </c>
      <c r="N131" s="18">
        <v>25000</v>
      </c>
    </row>
    <row r="132" spans="1:14" hidden="1">
      <c r="A132" s="4" t="s">
        <v>2819</v>
      </c>
      <c r="B132" s="5" t="s">
        <v>2821</v>
      </c>
      <c r="C132" s="6" t="s">
        <v>134</v>
      </c>
      <c r="D132" s="6" t="s">
        <v>135</v>
      </c>
      <c r="E132" s="6" t="s">
        <v>136</v>
      </c>
      <c r="F132" s="18">
        <v>21487.599999999999</v>
      </c>
      <c r="G132" s="18">
        <v>0</v>
      </c>
      <c r="H132" s="6">
        <v>0</v>
      </c>
      <c r="I132" s="6">
        <v>0</v>
      </c>
      <c r="J132" s="6">
        <v>0</v>
      </c>
      <c r="K132" s="6">
        <v>4512.4000000000005</v>
      </c>
      <c r="L132" s="6">
        <v>0</v>
      </c>
      <c r="M132" s="18">
        <v>0</v>
      </c>
      <c r="N132" s="18">
        <v>26000</v>
      </c>
    </row>
    <row r="133" spans="1:14" hidden="1">
      <c r="A133" s="4" t="s">
        <v>2819</v>
      </c>
      <c r="B133" s="5" t="s">
        <v>2822</v>
      </c>
      <c r="C133" s="6" t="s">
        <v>134</v>
      </c>
      <c r="D133" s="6" t="s">
        <v>135</v>
      </c>
      <c r="E133" s="6" t="s">
        <v>136</v>
      </c>
      <c r="F133" s="18">
        <v>15371.9</v>
      </c>
      <c r="G133" s="18">
        <v>0</v>
      </c>
      <c r="H133" s="6">
        <v>0</v>
      </c>
      <c r="I133" s="6">
        <v>0</v>
      </c>
      <c r="J133" s="6">
        <v>0</v>
      </c>
      <c r="K133" s="6">
        <v>3228.1</v>
      </c>
      <c r="L133" s="6">
        <v>0</v>
      </c>
      <c r="M133" s="18">
        <v>0</v>
      </c>
      <c r="N133" s="18">
        <v>18600</v>
      </c>
    </row>
    <row r="134" spans="1:14" hidden="1">
      <c r="A134" s="4" t="s">
        <v>2819</v>
      </c>
      <c r="B134" s="5" t="s">
        <v>2823</v>
      </c>
      <c r="C134" s="6" t="s">
        <v>134</v>
      </c>
      <c r="D134" s="6" t="s">
        <v>135</v>
      </c>
      <c r="E134" s="6" t="s">
        <v>136</v>
      </c>
      <c r="F134" s="18">
        <v>14669.42</v>
      </c>
      <c r="G134" s="18">
        <v>0</v>
      </c>
      <c r="H134" s="6">
        <v>0</v>
      </c>
      <c r="I134" s="6">
        <v>0</v>
      </c>
      <c r="J134" s="6">
        <v>0</v>
      </c>
      <c r="K134" s="6">
        <v>3080.58</v>
      </c>
      <c r="L134" s="6">
        <v>0</v>
      </c>
      <c r="M134" s="18">
        <v>0</v>
      </c>
      <c r="N134" s="18">
        <v>17750</v>
      </c>
    </row>
    <row r="135" spans="1:14" hidden="1">
      <c r="A135" s="4" t="s">
        <v>2819</v>
      </c>
      <c r="B135" s="5" t="s">
        <v>2824</v>
      </c>
      <c r="C135" s="6" t="s">
        <v>134</v>
      </c>
      <c r="D135" s="6" t="s">
        <v>135</v>
      </c>
      <c r="E135" s="6" t="s">
        <v>136</v>
      </c>
      <c r="F135" s="18">
        <v>14876.03</v>
      </c>
      <c r="G135" s="18">
        <v>0</v>
      </c>
      <c r="H135" s="6">
        <v>0</v>
      </c>
      <c r="I135" s="6">
        <v>0</v>
      </c>
      <c r="J135" s="6">
        <v>0</v>
      </c>
      <c r="K135" s="6">
        <v>3123.97</v>
      </c>
      <c r="L135" s="6">
        <v>0</v>
      </c>
      <c r="M135" s="18">
        <v>0</v>
      </c>
      <c r="N135" s="18">
        <v>18000</v>
      </c>
    </row>
    <row r="136" spans="1:14" hidden="1">
      <c r="A136" s="4" t="s">
        <v>2819</v>
      </c>
      <c r="B136" s="5" t="s">
        <v>2825</v>
      </c>
      <c r="C136" s="6" t="s">
        <v>134</v>
      </c>
      <c r="D136" s="6" t="s">
        <v>135</v>
      </c>
      <c r="E136" s="6" t="s">
        <v>136</v>
      </c>
      <c r="F136" s="18">
        <v>21487.599999999999</v>
      </c>
      <c r="G136" s="18">
        <v>0</v>
      </c>
      <c r="H136" s="6">
        <v>0</v>
      </c>
      <c r="I136" s="6">
        <v>0</v>
      </c>
      <c r="J136" s="6">
        <v>0</v>
      </c>
      <c r="K136" s="6">
        <v>4512.4000000000005</v>
      </c>
      <c r="L136" s="6">
        <v>0</v>
      </c>
      <c r="M136" s="18">
        <v>0</v>
      </c>
      <c r="N136" s="18">
        <v>26000</v>
      </c>
    </row>
    <row r="137" spans="1:14" hidden="1">
      <c r="A137" s="4" t="s">
        <v>2819</v>
      </c>
      <c r="B137" s="5" t="s">
        <v>2826</v>
      </c>
      <c r="C137" s="6" t="s">
        <v>134</v>
      </c>
      <c r="D137" s="6" t="s">
        <v>135</v>
      </c>
      <c r="E137" s="6" t="s">
        <v>136</v>
      </c>
      <c r="F137" s="18">
        <v>14669.42</v>
      </c>
      <c r="G137" s="18">
        <v>0</v>
      </c>
      <c r="H137" s="6">
        <v>0</v>
      </c>
      <c r="I137" s="6">
        <v>0</v>
      </c>
      <c r="J137" s="6">
        <v>0</v>
      </c>
      <c r="K137" s="6">
        <v>3080.58</v>
      </c>
      <c r="L137" s="6">
        <v>0</v>
      </c>
      <c r="M137" s="18">
        <v>0</v>
      </c>
      <c r="N137" s="18">
        <v>17750</v>
      </c>
    </row>
    <row r="138" spans="1:14" hidden="1">
      <c r="A138" s="4" t="s">
        <v>2819</v>
      </c>
      <c r="B138" s="5" t="s">
        <v>2827</v>
      </c>
      <c r="C138" s="6" t="s">
        <v>134</v>
      </c>
      <c r="D138" s="6" t="s">
        <v>135</v>
      </c>
      <c r="E138" s="6" t="s">
        <v>136</v>
      </c>
      <c r="F138" s="18">
        <v>2066.12</v>
      </c>
      <c r="G138" s="18">
        <v>0</v>
      </c>
      <c r="H138" s="6">
        <v>0</v>
      </c>
      <c r="I138" s="6">
        <v>0</v>
      </c>
      <c r="J138" s="6">
        <v>0</v>
      </c>
      <c r="K138" s="6">
        <v>433.88</v>
      </c>
      <c r="L138" s="6">
        <v>0</v>
      </c>
      <c r="M138" s="18">
        <v>0</v>
      </c>
      <c r="N138" s="18">
        <v>2500</v>
      </c>
    </row>
    <row r="139" spans="1:14" hidden="1">
      <c r="A139" s="4" t="s">
        <v>2819</v>
      </c>
      <c r="B139" s="5" t="s">
        <v>2828</v>
      </c>
      <c r="C139" s="6" t="s">
        <v>134</v>
      </c>
      <c r="D139" s="6" t="s">
        <v>135</v>
      </c>
      <c r="E139" s="6" t="s">
        <v>136</v>
      </c>
      <c r="F139" s="18">
        <v>7438.02</v>
      </c>
      <c r="G139" s="18">
        <v>0</v>
      </c>
      <c r="H139" s="6">
        <v>0</v>
      </c>
      <c r="I139" s="6">
        <v>0</v>
      </c>
      <c r="J139" s="6">
        <v>0</v>
      </c>
      <c r="K139" s="6">
        <v>1561.98</v>
      </c>
      <c r="L139" s="6">
        <v>0</v>
      </c>
      <c r="M139" s="18">
        <v>0</v>
      </c>
      <c r="N139" s="18">
        <v>9000</v>
      </c>
    </row>
    <row r="140" spans="1:14" hidden="1">
      <c r="A140" s="4" t="s">
        <v>2819</v>
      </c>
      <c r="B140" s="5" t="s">
        <v>2829</v>
      </c>
      <c r="C140" s="6" t="s">
        <v>134</v>
      </c>
      <c r="D140" s="6" t="s">
        <v>135</v>
      </c>
      <c r="E140" s="6" t="s">
        <v>136</v>
      </c>
      <c r="F140" s="18">
        <v>19834.71</v>
      </c>
      <c r="G140" s="18">
        <v>0</v>
      </c>
      <c r="H140" s="6">
        <v>0</v>
      </c>
      <c r="I140" s="6">
        <v>0</v>
      </c>
      <c r="J140" s="6">
        <v>0</v>
      </c>
      <c r="K140" s="6">
        <v>4165.29</v>
      </c>
      <c r="L140" s="6">
        <v>0</v>
      </c>
      <c r="M140" s="18">
        <v>0</v>
      </c>
      <c r="N140" s="18">
        <v>24000</v>
      </c>
    </row>
    <row r="141" spans="1:14" hidden="1">
      <c r="A141" s="4" t="s">
        <v>2819</v>
      </c>
      <c r="B141" s="5" t="s">
        <v>2830</v>
      </c>
      <c r="C141" s="6" t="s">
        <v>134</v>
      </c>
      <c r="D141" s="6" t="s">
        <v>135</v>
      </c>
      <c r="E141" s="6" t="s">
        <v>136</v>
      </c>
      <c r="F141" s="18">
        <v>14876.03</v>
      </c>
      <c r="G141" s="18">
        <v>0</v>
      </c>
      <c r="H141" s="6">
        <v>0</v>
      </c>
      <c r="I141" s="6">
        <v>0</v>
      </c>
      <c r="J141" s="6">
        <v>0</v>
      </c>
      <c r="K141" s="6">
        <v>3123.97</v>
      </c>
      <c r="L141" s="6">
        <v>0</v>
      </c>
      <c r="M141" s="18">
        <v>0</v>
      </c>
      <c r="N141" s="18">
        <v>18000</v>
      </c>
    </row>
    <row r="142" spans="1:14" hidden="1">
      <c r="A142" s="4" t="s">
        <v>2819</v>
      </c>
      <c r="B142" s="5" t="s">
        <v>2831</v>
      </c>
      <c r="C142" s="6" t="s">
        <v>134</v>
      </c>
      <c r="D142" s="6" t="s">
        <v>135</v>
      </c>
      <c r="E142" s="6" t="s">
        <v>136</v>
      </c>
      <c r="F142" s="18">
        <v>41322.31</v>
      </c>
      <c r="G142" s="18">
        <v>0</v>
      </c>
      <c r="H142" s="6">
        <v>0</v>
      </c>
      <c r="I142" s="6">
        <v>0</v>
      </c>
      <c r="J142" s="6">
        <v>0</v>
      </c>
      <c r="K142" s="6">
        <v>8677.69</v>
      </c>
      <c r="L142" s="6">
        <v>0</v>
      </c>
      <c r="M142" s="18">
        <v>0</v>
      </c>
      <c r="N142" s="18">
        <v>50000</v>
      </c>
    </row>
    <row r="143" spans="1:14" hidden="1">
      <c r="A143" s="4" t="s">
        <v>2819</v>
      </c>
      <c r="B143" s="5" t="s">
        <v>2832</v>
      </c>
      <c r="C143" s="6" t="s">
        <v>134</v>
      </c>
      <c r="D143" s="6" t="s">
        <v>135</v>
      </c>
      <c r="E143" s="6" t="s">
        <v>136</v>
      </c>
      <c r="F143" s="18">
        <v>16528.93</v>
      </c>
      <c r="G143" s="18">
        <v>0</v>
      </c>
      <c r="H143" s="6">
        <v>0</v>
      </c>
      <c r="I143" s="6">
        <v>0</v>
      </c>
      <c r="J143" s="6">
        <v>0</v>
      </c>
      <c r="K143" s="6">
        <v>3471.07</v>
      </c>
      <c r="L143" s="6">
        <v>0</v>
      </c>
      <c r="M143" s="18">
        <v>0</v>
      </c>
      <c r="N143" s="18">
        <v>20000</v>
      </c>
    </row>
    <row r="144" spans="1:14" hidden="1">
      <c r="A144" s="4" t="s">
        <v>2819</v>
      </c>
      <c r="B144" s="5" t="s">
        <v>2833</v>
      </c>
      <c r="C144" s="6" t="s">
        <v>134</v>
      </c>
      <c r="D144" s="6" t="s">
        <v>135</v>
      </c>
      <c r="E144" s="6" t="s">
        <v>136</v>
      </c>
      <c r="F144" s="18">
        <v>14669.42</v>
      </c>
      <c r="G144" s="18">
        <v>0</v>
      </c>
      <c r="H144" s="6">
        <v>0</v>
      </c>
      <c r="I144" s="6">
        <v>0</v>
      </c>
      <c r="J144" s="6">
        <v>0</v>
      </c>
      <c r="K144" s="6">
        <v>3080.58</v>
      </c>
      <c r="L144" s="6">
        <v>0</v>
      </c>
      <c r="M144" s="18">
        <v>0</v>
      </c>
      <c r="N144" s="18">
        <v>17750</v>
      </c>
    </row>
    <row r="145" spans="1:14" hidden="1">
      <c r="A145" s="4" t="s">
        <v>2843</v>
      </c>
      <c r="B145" s="5" t="s">
        <v>2844</v>
      </c>
      <c r="C145" s="6" t="s">
        <v>134</v>
      </c>
      <c r="D145" s="6" t="s">
        <v>135</v>
      </c>
      <c r="E145" s="6" t="s">
        <v>136</v>
      </c>
      <c r="F145" s="18">
        <v>12809.92</v>
      </c>
      <c r="G145" s="18">
        <v>0</v>
      </c>
      <c r="H145" s="6">
        <v>0</v>
      </c>
      <c r="I145" s="6">
        <v>0</v>
      </c>
      <c r="J145" s="6">
        <v>0</v>
      </c>
      <c r="K145" s="6">
        <v>2690.08</v>
      </c>
      <c r="L145" s="6">
        <v>0</v>
      </c>
      <c r="M145" s="18">
        <v>0</v>
      </c>
      <c r="N145" s="18">
        <v>15500</v>
      </c>
    </row>
    <row r="146" spans="1:14" hidden="1">
      <c r="A146" s="4" t="s">
        <v>2843</v>
      </c>
      <c r="B146" s="5" t="s">
        <v>2845</v>
      </c>
      <c r="C146" s="6" t="s">
        <v>134</v>
      </c>
      <c r="D146" s="6" t="s">
        <v>135</v>
      </c>
      <c r="E146" s="6" t="s">
        <v>136</v>
      </c>
      <c r="F146" s="18">
        <v>10743.8</v>
      </c>
      <c r="G146" s="18">
        <v>0</v>
      </c>
      <c r="H146" s="6">
        <v>0</v>
      </c>
      <c r="I146" s="6">
        <v>0</v>
      </c>
      <c r="J146" s="6">
        <v>0</v>
      </c>
      <c r="K146" s="6">
        <v>2256.2000000000003</v>
      </c>
      <c r="L146" s="6">
        <v>0</v>
      </c>
      <c r="M146" s="18">
        <v>0</v>
      </c>
      <c r="N146" s="18">
        <v>13000</v>
      </c>
    </row>
    <row r="147" spans="1:14" hidden="1">
      <c r="A147" s="4" t="s">
        <v>2843</v>
      </c>
      <c r="B147" s="5" t="s">
        <v>2846</v>
      </c>
      <c r="C147" s="6" t="s">
        <v>134</v>
      </c>
      <c r="D147" s="6" t="s">
        <v>135</v>
      </c>
      <c r="E147" s="6" t="s">
        <v>136</v>
      </c>
      <c r="F147" s="18">
        <v>10743.8</v>
      </c>
      <c r="G147" s="18">
        <v>0</v>
      </c>
      <c r="H147" s="6">
        <v>0</v>
      </c>
      <c r="I147" s="6">
        <v>0</v>
      </c>
      <c r="J147" s="6">
        <v>0</v>
      </c>
      <c r="K147" s="6">
        <v>2256.2000000000003</v>
      </c>
      <c r="L147" s="6">
        <v>0</v>
      </c>
      <c r="M147" s="18">
        <v>0</v>
      </c>
      <c r="N147" s="18">
        <v>13000</v>
      </c>
    </row>
    <row r="148" spans="1:14" hidden="1">
      <c r="A148" s="4" t="s">
        <v>2843</v>
      </c>
      <c r="B148" s="5" t="s">
        <v>2847</v>
      </c>
      <c r="C148" s="6" t="s">
        <v>134</v>
      </c>
      <c r="D148" s="6" t="s">
        <v>135</v>
      </c>
      <c r="E148" s="6" t="s">
        <v>136</v>
      </c>
      <c r="F148" s="18">
        <v>12396.69</v>
      </c>
      <c r="G148" s="18">
        <v>0</v>
      </c>
      <c r="H148" s="6">
        <v>0</v>
      </c>
      <c r="I148" s="6">
        <v>0</v>
      </c>
      <c r="J148" s="6">
        <v>0</v>
      </c>
      <c r="K148" s="6">
        <v>2603.31</v>
      </c>
      <c r="L148" s="6">
        <v>0</v>
      </c>
      <c r="M148" s="18">
        <v>0</v>
      </c>
      <c r="N148" s="18">
        <v>15000</v>
      </c>
    </row>
    <row r="149" spans="1:14" hidden="1">
      <c r="A149" s="4" t="s">
        <v>2843</v>
      </c>
      <c r="B149" s="5" t="s">
        <v>2848</v>
      </c>
      <c r="C149" s="6" t="s">
        <v>134</v>
      </c>
      <c r="D149" s="6" t="s">
        <v>135</v>
      </c>
      <c r="E149" s="6" t="s">
        <v>136</v>
      </c>
      <c r="F149" s="18">
        <v>24793.39</v>
      </c>
      <c r="G149" s="18">
        <v>0</v>
      </c>
      <c r="H149" s="6">
        <v>0</v>
      </c>
      <c r="I149" s="6">
        <v>0</v>
      </c>
      <c r="J149" s="6">
        <v>0</v>
      </c>
      <c r="K149" s="6">
        <v>5206.6099999999997</v>
      </c>
      <c r="L149" s="6">
        <v>0</v>
      </c>
      <c r="M149" s="18">
        <v>0</v>
      </c>
      <c r="N149" s="18">
        <v>30000</v>
      </c>
    </row>
    <row r="150" spans="1:14" hidden="1">
      <c r="A150" s="4" t="s">
        <v>2843</v>
      </c>
      <c r="B150" s="5" t="s">
        <v>2849</v>
      </c>
      <c r="C150" s="6" t="s">
        <v>134</v>
      </c>
      <c r="D150" s="6" t="s">
        <v>135</v>
      </c>
      <c r="E150" s="6" t="s">
        <v>136</v>
      </c>
      <c r="F150" s="18">
        <v>30578.51</v>
      </c>
      <c r="G150" s="18">
        <v>0</v>
      </c>
      <c r="H150" s="6">
        <v>0</v>
      </c>
      <c r="I150" s="6">
        <v>0</v>
      </c>
      <c r="J150" s="6">
        <v>0</v>
      </c>
      <c r="K150" s="6">
        <v>6421.49</v>
      </c>
      <c r="L150" s="6">
        <v>0</v>
      </c>
      <c r="M150" s="18">
        <v>0</v>
      </c>
      <c r="N150" s="18">
        <v>37000</v>
      </c>
    </row>
    <row r="151" spans="1:14" hidden="1">
      <c r="A151" s="4" t="s">
        <v>2843</v>
      </c>
      <c r="B151" s="5" t="s">
        <v>2850</v>
      </c>
      <c r="C151" s="6" t="s">
        <v>134</v>
      </c>
      <c r="D151" s="6" t="s">
        <v>135</v>
      </c>
      <c r="E151" s="6" t="s">
        <v>136</v>
      </c>
      <c r="F151" s="18">
        <v>4132.2300000000005</v>
      </c>
      <c r="G151" s="18">
        <v>0</v>
      </c>
      <c r="H151" s="6">
        <v>0</v>
      </c>
      <c r="I151" s="6">
        <v>0</v>
      </c>
      <c r="J151" s="6">
        <v>0</v>
      </c>
      <c r="K151" s="6">
        <v>867.77</v>
      </c>
      <c r="L151" s="6">
        <v>0</v>
      </c>
      <c r="M151" s="18">
        <v>0</v>
      </c>
      <c r="N151" s="18">
        <v>5000</v>
      </c>
    </row>
    <row r="152" spans="1:14" hidden="1">
      <c r="A152" s="4" t="s">
        <v>2843</v>
      </c>
      <c r="B152" s="5" t="s">
        <v>2851</v>
      </c>
      <c r="C152" s="6" t="s">
        <v>134</v>
      </c>
      <c r="D152" s="6" t="s">
        <v>135</v>
      </c>
      <c r="E152" s="6" t="s">
        <v>136</v>
      </c>
      <c r="F152" s="18">
        <v>25413.22</v>
      </c>
      <c r="G152" s="18">
        <v>0</v>
      </c>
      <c r="H152" s="6">
        <v>0</v>
      </c>
      <c r="I152" s="6">
        <v>0</v>
      </c>
      <c r="J152" s="6">
        <v>0</v>
      </c>
      <c r="K152" s="6">
        <v>5336.78</v>
      </c>
      <c r="L152" s="6">
        <v>0</v>
      </c>
      <c r="M152" s="18">
        <v>0</v>
      </c>
      <c r="N152" s="18">
        <v>30750</v>
      </c>
    </row>
    <row r="153" spans="1:14" hidden="1">
      <c r="A153" s="4" t="s">
        <v>2843</v>
      </c>
      <c r="B153" s="5" t="s">
        <v>2852</v>
      </c>
      <c r="C153" s="6" t="s">
        <v>134</v>
      </c>
      <c r="D153" s="6" t="s">
        <v>135</v>
      </c>
      <c r="E153" s="6" t="s">
        <v>136</v>
      </c>
      <c r="F153" s="18">
        <v>21404.959999999999</v>
      </c>
      <c r="G153" s="18">
        <v>0</v>
      </c>
      <c r="H153" s="6">
        <v>0</v>
      </c>
      <c r="I153" s="6">
        <v>0</v>
      </c>
      <c r="J153" s="6">
        <v>0</v>
      </c>
      <c r="K153" s="6">
        <v>4495.04</v>
      </c>
      <c r="L153" s="6">
        <v>0</v>
      </c>
      <c r="M153" s="18">
        <v>0</v>
      </c>
      <c r="N153" s="18">
        <v>25900</v>
      </c>
    </row>
    <row r="154" spans="1:14" hidden="1">
      <c r="A154" s="4" t="s">
        <v>2843</v>
      </c>
      <c r="B154" s="5" t="s">
        <v>2853</v>
      </c>
      <c r="C154" s="6" t="s">
        <v>134</v>
      </c>
      <c r="D154" s="6" t="s">
        <v>135</v>
      </c>
      <c r="E154" s="6" t="s">
        <v>136</v>
      </c>
      <c r="F154" s="18">
        <v>29338.84</v>
      </c>
      <c r="G154" s="18">
        <v>0</v>
      </c>
      <c r="H154" s="6">
        <v>0</v>
      </c>
      <c r="I154" s="6">
        <v>0</v>
      </c>
      <c r="J154" s="6">
        <v>0</v>
      </c>
      <c r="K154" s="6">
        <v>6161.16</v>
      </c>
      <c r="L154" s="6">
        <v>0</v>
      </c>
      <c r="M154" s="18">
        <v>0</v>
      </c>
      <c r="N154" s="18">
        <v>35500</v>
      </c>
    </row>
    <row r="155" spans="1:14" hidden="1">
      <c r="A155" s="4" t="s">
        <v>2843</v>
      </c>
      <c r="B155" s="5" t="s">
        <v>2854</v>
      </c>
      <c r="C155" s="6" t="s">
        <v>134</v>
      </c>
      <c r="D155" s="6" t="s">
        <v>135</v>
      </c>
      <c r="E155" s="6" t="s">
        <v>136</v>
      </c>
      <c r="F155" s="18">
        <v>10743.8</v>
      </c>
      <c r="G155" s="18">
        <v>0</v>
      </c>
      <c r="H155" s="6">
        <v>0</v>
      </c>
      <c r="I155" s="6">
        <v>0</v>
      </c>
      <c r="J155" s="6">
        <v>0</v>
      </c>
      <c r="K155" s="6">
        <v>2256.2000000000003</v>
      </c>
      <c r="L155" s="6">
        <v>0</v>
      </c>
      <c r="M155" s="18">
        <v>0</v>
      </c>
      <c r="N155" s="18">
        <v>13000</v>
      </c>
    </row>
    <row r="156" spans="1:14" hidden="1">
      <c r="A156" s="4" t="s">
        <v>2843</v>
      </c>
      <c r="B156" s="5" t="s">
        <v>2855</v>
      </c>
      <c r="C156" s="6" t="s">
        <v>134</v>
      </c>
      <c r="D156" s="6" t="s">
        <v>135</v>
      </c>
      <c r="E156" s="6" t="s">
        <v>136</v>
      </c>
      <c r="F156" s="18">
        <v>37190.080000000002</v>
      </c>
      <c r="G156" s="18">
        <v>0</v>
      </c>
      <c r="H156" s="6">
        <v>0</v>
      </c>
      <c r="I156" s="6">
        <v>0</v>
      </c>
      <c r="J156" s="6">
        <v>0</v>
      </c>
      <c r="K156" s="6">
        <v>7809.92</v>
      </c>
      <c r="L156" s="6">
        <v>0</v>
      </c>
      <c r="M156" s="18">
        <v>0</v>
      </c>
      <c r="N156" s="18">
        <v>45000</v>
      </c>
    </row>
    <row r="157" spans="1:14" hidden="1">
      <c r="A157" s="4" t="s">
        <v>2843</v>
      </c>
      <c r="B157" s="5" t="s">
        <v>2856</v>
      </c>
      <c r="C157" s="6" t="s">
        <v>134</v>
      </c>
      <c r="D157" s="6" t="s">
        <v>135</v>
      </c>
      <c r="E157" s="6" t="s">
        <v>136</v>
      </c>
      <c r="F157" s="18">
        <v>5702.48</v>
      </c>
      <c r="G157" s="18">
        <v>0</v>
      </c>
      <c r="H157" s="6">
        <v>0</v>
      </c>
      <c r="I157" s="6">
        <v>0</v>
      </c>
      <c r="J157" s="6">
        <v>0</v>
      </c>
      <c r="K157" s="6">
        <v>1197.52</v>
      </c>
      <c r="L157" s="6">
        <v>0</v>
      </c>
      <c r="M157" s="18">
        <v>0</v>
      </c>
      <c r="N157" s="18">
        <v>6900</v>
      </c>
    </row>
    <row r="158" spans="1:14" hidden="1">
      <c r="A158" s="4" t="s">
        <v>2843</v>
      </c>
      <c r="B158" s="5" t="s">
        <v>2857</v>
      </c>
      <c r="C158" s="6" t="s">
        <v>134</v>
      </c>
      <c r="D158" s="6" t="s">
        <v>135</v>
      </c>
      <c r="E158" s="6" t="s">
        <v>136</v>
      </c>
      <c r="F158" s="18">
        <v>28925.62</v>
      </c>
      <c r="G158" s="18">
        <v>0</v>
      </c>
      <c r="H158" s="6">
        <v>0</v>
      </c>
      <c r="I158" s="6">
        <v>0</v>
      </c>
      <c r="J158" s="6">
        <v>0</v>
      </c>
      <c r="K158" s="6">
        <v>6074.38</v>
      </c>
      <c r="L158" s="6">
        <v>0</v>
      </c>
      <c r="M158" s="18">
        <v>0</v>
      </c>
      <c r="N158" s="18">
        <v>35000</v>
      </c>
    </row>
    <row r="159" spans="1:14" hidden="1">
      <c r="A159" s="4" t="s">
        <v>2843</v>
      </c>
      <c r="B159" s="5" t="s">
        <v>2858</v>
      </c>
      <c r="C159" s="6" t="s">
        <v>134</v>
      </c>
      <c r="D159" s="6" t="s">
        <v>135</v>
      </c>
      <c r="E159" s="6" t="s">
        <v>136</v>
      </c>
      <c r="F159" s="18">
        <v>31404.959999999999</v>
      </c>
      <c r="G159" s="18">
        <v>0</v>
      </c>
      <c r="H159" s="6">
        <v>0</v>
      </c>
      <c r="I159" s="6">
        <v>0</v>
      </c>
      <c r="J159" s="6">
        <v>0</v>
      </c>
      <c r="K159" s="6">
        <v>6595.04</v>
      </c>
      <c r="L159" s="6">
        <v>0</v>
      </c>
      <c r="M159" s="18">
        <v>0</v>
      </c>
      <c r="N159" s="18">
        <v>38000</v>
      </c>
    </row>
    <row r="160" spans="1:14" hidden="1">
      <c r="A160" s="4" t="s">
        <v>2843</v>
      </c>
      <c r="B160" s="5" t="s">
        <v>2859</v>
      </c>
      <c r="C160" s="6" t="s">
        <v>134</v>
      </c>
      <c r="D160" s="6" t="s">
        <v>135</v>
      </c>
      <c r="E160" s="6" t="s">
        <v>136</v>
      </c>
      <c r="F160" s="18">
        <v>9256.2000000000007</v>
      </c>
      <c r="G160" s="18">
        <v>0</v>
      </c>
      <c r="H160" s="6">
        <v>0</v>
      </c>
      <c r="I160" s="6">
        <v>0</v>
      </c>
      <c r="J160" s="6">
        <v>0</v>
      </c>
      <c r="K160" s="6">
        <v>1943.8</v>
      </c>
      <c r="L160" s="6">
        <v>0</v>
      </c>
      <c r="M160" s="18">
        <v>0</v>
      </c>
      <c r="N160" s="18">
        <v>11200</v>
      </c>
    </row>
    <row r="161" spans="1:14" hidden="1">
      <c r="A161" s="4" t="s">
        <v>2843</v>
      </c>
      <c r="B161" s="5" t="s">
        <v>2860</v>
      </c>
      <c r="C161" s="6" t="s">
        <v>134</v>
      </c>
      <c r="D161" s="6" t="s">
        <v>135</v>
      </c>
      <c r="E161" s="6" t="s">
        <v>136</v>
      </c>
      <c r="F161" s="18">
        <v>47603.31</v>
      </c>
      <c r="G161" s="18">
        <v>0</v>
      </c>
      <c r="H161" s="6">
        <v>0</v>
      </c>
      <c r="I161" s="6">
        <v>0</v>
      </c>
      <c r="J161" s="6">
        <v>0</v>
      </c>
      <c r="K161" s="6">
        <v>9996.69</v>
      </c>
      <c r="L161" s="6">
        <v>0</v>
      </c>
      <c r="M161" s="18">
        <v>0</v>
      </c>
      <c r="N161" s="18">
        <v>57600</v>
      </c>
    </row>
    <row r="162" spans="1:14" hidden="1">
      <c r="A162" s="4" t="s">
        <v>2863</v>
      </c>
      <c r="B162" s="5" t="s">
        <v>2864</v>
      </c>
      <c r="C162" s="6" t="s">
        <v>134</v>
      </c>
      <c r="D162" s="6" t="s">
        <v>135</v>
      </c>
      <c r="E162" s="6" t="s">
        <v>136</v>
      </c>
      <c r="F162" s="18">
        <v>17355.37</v>
      </c>
      <c r="G162" s="18">
        <v>0</v>
      </c>
      <c r="H162" s="6">
        <v>0</v>
      </c>
      <c r="I162" s="6">
        <v>0</v>
      </c>
      <c r="J162" s="6">
        <v>0</v>
      </c>
      <c r="K162" s="6">
        <v>3644.63</v>
      </c>
      <c r="L162" s="6">
        <v>0</v>
      </c>
      <c r="M162" s="18">
        <v>0</v>
      </c>
      <c r="N162" s="18">
        <v>21000</v>
      </c>
    </row>
    <row r="163" spans="1:14" hidden="1">
      <c r="A163" s="4" t="s">
        <v>2863</v>
      </c>
      <c r="B163" s="5" t="s">
        <v>2865</v>
      </c>
      <c r="C163" s="6" t="s">
        <v>134</v>
      </c>
      <c r="D163" s="6" t="s">
        <v>135</v>
      </c>
      <c r="E163" s="6" t="s">
        <v>136</v>
      </c>
      <c r="F163" s="18">
        <v>14462.81</v>
      </c>
      <c r="G163" s="18">
        <v>0</v>
      </c>
      <c r="H163" s="6">
        <v>0</v>
      </c>
      <c r="I163" s="6">
        <v>0</v>
      </c>
      <c r="J163" s="6">
        <v>0</v>
      </c>
      <c r="K163" s="6">
        <v>3037.19</v>
      </c>
      <c r="L163" s="6">
        <v>0</v>
      </c>
      <c r="M163" s="18">
        <v>0</v>
      </c>
      <c r="N163" s="18">
        <v>17500</v>
      </c>
    </row>
    <row r="164" spans="1:14" hidden="1">
      <c r="A164" s="4" t="s">
        <v>2863</v>
      </c>
      <c r="B164" s="5" t="s">
        <v>2866</v>
      </c>
      <c r="C164" s="6" t="s">
        <v>134</v>
      </c>
      <c r="D164" s="6" t="s">
        <v>135</v>
      </c>
      <c r="E164" s="6" t="s">
        <v>136</v>
      </c>
      <c r="F164" s="18">
        <v>9917.36</v>
      </c>
      <c r="G164" s="18">
        <v>0</v>
      </c>
      <c r="H164" s="6">
        <v>0</v>
      </c>
      <c r="I164" s="6">
        <v>0</v>
      </c>
      <c r="J164" s="6">
        <v>0</v>
      </c>
      <c r="K164" s="6">
        <v>2082.64</v>
      </c>
      <c r="L164" s="6">
        <v>0</v>
      </c>
      <c r="M164" s="18">
        <v>0</v>
      </c>
      <c r="N164" s="18">
        <v>12000</v>
      </c>
    </row>
    <row r="165" spans="1:14" hidden="1">
      <c r="A165" s="4" t="s">
        <v>2863</v>
      </c>
      <c r="B165" s="5" t="s">
        <v>2867</v>
      </c>
      <c r="C165" s="6" t="s">
        <v>134</v>
      </c>
      <c r="D165" s="6" t="s">
        <v>135</v>
      </c>
      <c r="E165" s="6" t="s">
        <v>136</v>
      </c>
      <c r="F165" s="18">
        <v>11239.67</v>
      </c>
      <c r="G165" s="18">
        <v>0</v>
      </c>
      <c r="H165" s="6">
        <v>0</v>
      </c>
      <c r="I165" s="6">
        <v>0</v>
      </c>
      <c r="J165" s="6">
        <v>0</v>
      </c>
      <c r="K165" s="6">
        <v>2360.33</v>
      </c>
      <c r="L165" s="6">
        <v>0</v>
      </c>
      <c r="M165" s="18">
        <v>0</v>
      </c>
      <c r="N165" s="18">
        <v>13600</v>
      </c>
    </row>
    <row r="166" spans="1:14" hidden="1">
      <c r="A166" s="4" t="s">
        <v>2863</v>
      </c>
      <c r="B166" s="5" t="s">
        <v>2868</v>
      </c>
      <c r="C166" s="6" t="s">
        <v>134</v>
      </c>
      <c r="D166" s="6" t="s">
        <v>135</v>
      </c>
      <c r="E166" s="6" t="s">
        <v>136</v>
      </c>
      <c r="F166" s="18">
        <v>15909.09</v>
      </c>
      <c r="G166" s="18">
        <v>0</v>
      </c>
      <c r="H166" s="6">
        <v>0</v>
      </c>
      <c r="I166" s="6">
        <v>0</v>
      </c>
      <c r="J166" s="6">
        <v>0</v>
      </c>
      <c r="K166" s="6">
        <v>3340.91</v>
      </c>
      <c r="L166" s="6">
        <v>0</v>
      </c>
      <c r="M166" s="18">
        <v>0</v>
      </c>
      <c r="N166" s="18">
        <v>19250</v>
      </c>
    </row>
    <row r="167" spans="1:14">
      <c r="A167" s="4" t="s">
        <v>2863</v>
      </c>
      <c r="B167" s="5" t="s">
        <v>2869</v>
      </c>
      <c r="C167" s="6" t="s">
        <v>2870</v>
      </c>
      <c r="D167" s="6" t="s">
        <v>135</v>
      </c>
      <c r="E167" s="6">
        <v>54697623</v>
      </c>
      <c r="F167" s="18">
        <v>23471.07</v>
      </c>
      <c r="G167" s="18">
        <v>0</v>
      </c>
      <c r="H167" s="6">
        <v>0</v>
      </c>
      <c r="I167" s="6">
        <v>0</v>
      </c>
      <c r="J167" s="6">
        <v>0</v>
      </c>
      <c r="K167" s="6">
        <v>4928.93</v>
      </c>
      <c r="L167" s="6">
        <v>0</v>
      </c>
      <c r="M167" s="18">
        <v>0</v>
      </c>
      <c r="N167" s="18">
        <v>28400</v>
      </c>
    </row>
    <row r="168" spans="1:14" hidden="1">
      <c r="A168" s="4" t="s">
        <v>2863</v>
      </c>
      <c r="B168" s="5" t="s">
        <v>2871</v>
      </c>
      <c r="C168" s="6" t="s">
        <v>134</v>
      </c>
      <c r="D168" s="6" t="s">
        <v>135</v>
      </c>
      <c r="E168" s="6" t="s">
        <v>136</v>
      </c>
      <c r="F168" s="18">
        <v>12809.92</v>
      </c>
      <c r="G168" s="18">
        <v>0</v>
      </c>
      <c r="H168" s="6">
        <v>0</v>
      </c>
      <c r="I168" s="6">
        <v>0</v>
      </c>
      <c r="J168" s="6">
        <v>0</v>
      </c>
      <c r="K168" s="6">
        <v>2690.08</v>
      </c>
      <c r="L168" s="6">
        <v>0</v>
      </c>
      <c r="M168" s="18">
        <v>0</v>
      </c>
      <c r="N168" s="18">
        <v>15500</v>
      </c>
    </row>
    <row r="169" spans="1:14" hidden="1">
      <c r="A169" s="4" t="s">
        <v>2863</v>
      </c>
      <c r="B169" s="5" t="s">
        <v>2872</v>
      </c>
      <c r="C169" s="6" t="s">
        <v>134</v>
      </c>
      <c r="D169" s="6" t="s">
        <v>135</v>
      </c>
      <c r="E169" s="6" t="s">
        <v>136</v>
      </c>
      <c r="F169" s="18">
        <v>28925.62</v>
      </c>
      <c r="G169" s="18">
        <v>0</v>
      </c>
      <c r="H169" s="6">
        <v>0</v>
      </c>
      <c r="I169" s="6">
        <v>0</v>
      </c>
      <c r="J169" s="6">
        <v>0</v>
      </c>
      <c r="K169" s="6">
        <v>6074.38</v>
      </c>
      <c r="L169" s="6">
        <v>0</v>
      </c>
      <c r="M169" s="18">
        <v>0</v>
      </c>
      <c r="N169" s="18">
        <v>35000</v>
      </c>
    </row>
    <row r="170" spans="1:14" hidden="1">
      <c r="A170" s="4" t="s">
        <v>2863</v>
      </c>
      <c r="B170" s="5" t="s">
        <v>2873</v>
      </c>
      <c r="C170" s="6" t="s">
        <v>134</v>
      </c>
      <c r="D170" s="6" t="s">
        <v>135</v>
      </c>
      <c r="E170" s="6" t="s">
        <v>136</v>
      </c>
      <c r="F170" s="18">
        <v>123966.94</v>
      </c>
      <c r="G170" s="18">
        <v>0</v>
      </c>
      <c r="H170" s="6">
        <v>0</v>
      </c>
      <c r="I170" s="6">
        <v>0</v>
      </c>
      <c r="J170" s="6">
        <v>0</v>
      </c>
      <c r="K170" s="6">
        <v>26033.06</v>
      </c>
      <c r="L170" s="6">
        <v>0</v>
      </c>
      <c r="M170" s="18">
        <v>0</v>
      </c>
      <c r="N170" s="18">
        <v>150000</v>
      </c>
    </row>
    <row r="171" spans="1:14" hidden="1">
      <c r="A171" s="4" t="s">
        <v>2863</v>
      </c>
      <c r="B171" s="5" t="s">
        <v>2874</v>
      </c>
      <c r="C171" s="6" t="s">
        <v>134</v>
      </c>
      <c r="D171" s="6" t="s">
        <v>135</v>
      </c>
      <c r="E171" s="6" t="s">
        <v>136</v>
      </c>
      <c r="F171" s="18">
        <v>14876.03</v>
      </c>
      <c r="G171" s="18">
        <v>0</v>
      </c>
      <c r="H171" s="6">
        <v>0</v>
      </c>
      <c r="I171" s="6">
        <v>0</v>
      </c>
      <c r="J171" s="6">
        <v>0</v>
      </c>
      <c r="K171" s="6">
        <v>3123.97</v>
      </c>
      <c r="L171" s="6">
        <v>0</v>
      </c>
      <c r="M171" s="18">
        <v>0</v>
      </c>
      <c r="N171" s="18">
        <v>18000</v>
      </c>
    </row>
    <row r="172" spans="1:14" hidden="1">
      <c r="A172" s="4" t="s">
        <v>2863</v>
      </c>
      <c r="B172" s="5" t="s">
        <v>2875</v>
      </c>
      <c r="C172" s="6" t="s">
        <v>134</v>
      </c>
      <c r="D172" s="6" t="s">
        <v>135</v>
      </c>
      <c r="E172" s="6" t="s">
        <v>136</v>
      </c>
      <c r="F172" s="18">
        <v>3057.85</v>
      </c>
      <c r="G172" s="18">
        <v>0</v>
      </c>
      <c r="H172" s="6">
        <v>0</v>
      </c>
      <c r="I172" s="6">
        <v>0</v>
      </c>
      <c r="J172" s="6">
        <v>0</v>
      </c>
      <c r="K172" s="6">
        <v>642.15</v>
      </c>
      <c r="L172" s="6">
        <v>0</v>
      </c>
      <c r="M172" s="18">
        <v>0</v>
      </c>
      <c r="N172" s="18">
        <v>3700</v>
      </c>
    </row>
    <row r="173" spans="1:14" hidden="1">
      <c r="A173" s="4" t="s">
        <v>2863</v>
      </c>
      <c r="B173" s="5" t="s">
        <v>2876</v>
      </c>
      <c r="C173" s="6" t="s">
        <v>134</v>
      </c>
      <c r="D173" s="6" t="s">
        <v>135</v>
      </c>
      <c r="E173" s="6" t="s">
        <v>136</v>
      </c>
      <c r="F173" s="18">
        <v>21404.959999999999</v>
      </c>
      <c r="G173" s="18">
        <v>0</v>
      </c>
      <c r="H173" s="6">
        <v>0</v>
      </c>
      <c r="I173" s="6">
        <v>0</v>
      </c>
      <c r="J173" s="6">
        <v>0</v>
      </c>
      <c r="K173" s="6">
        <v>4495.04</v>
      </c>
      <c r="L173" s="6">
        <v>0</v>
      </c>
      <c r="M173" s="18">
        <v>0</v>
      </c>
      <c r="N173" s="18">
        <v>25900</v>
      </c>
    </row>
    <row r="174" spans="1:14" hidden="1">
      <c r="A174" s="4" t="s">
        <v>2863</v>
      </c>
      <c r="B174" s="5" t="s">
        <v>2877</v>
      </c>
      <c r="C174" s="6" t="s">
        <v>134</v>
      </c>
      <c r="D174" s="6" t="s">
        <v>135</v>
      </c>
      <c r="E174" s="6" t="s">
        <v>136</v>
      </c>
      <c r="F174" s="18">
        <v>10743.8</v>
      </c>
      <c r="G174" s="18">
        <v>0</v>
      </c>
      <c r="H174" s="6">
        <v>0</v>
      </c>
      <c r="I174" s="6">
        <v>0</v>
      </c>
      <c r="J174" s="6">
        <v>0</v>
      </c>
      <c r="K174" s="6">
        <v>2256.2000000000003</v>
      </c>
      <c r="L174" s="6">
        <v>0</v>
      </c>
      <c r="M174" s="18">
        <v>0</v>
      </c>
      <c r="N174" s="18">
        <v>13000</v>
      </c>
    </row>
    <row r="175" spans="1:14" hidden="1">
      <c r="A175" s="4" t="s">
        <v>2863</v>
      </c>
      <c r="B175" s="5" t="s">
        <v>2878</v>
      </c>
      <c r="C175" s="6" t="s">
        <v>134</v>
      </c>
      <c r="D175" s="6" t="s">
        <v>135</v>
      </c>
      <c r="E175" s="6" t="s">
        <v>136</v>
      </c>
      <c r="F175" s="18">
        <v>52892.56</v>
      </c>
      <c r="G175" s="18">
        <v>0</v>
      </c>
      <c r="H175" s="6">
        <v>0</v>
      </c>
      <c r="I175" s="6">
        <v>0</v>
      </c>
      <c r="J175" s="6">
        <v>0</v>
      </c>
      <c r="K175" s="6">
        <v>11107.44</v>
      </c>
      <c r="L175" s="6">
        <v>0</v>
      </c>
      <c r="M175" s="18">
        <v>0</v>
      </c>
      <c r="N175" s="18">
        <v>64000</v>
      </c>
    </row>
    <row r="176" spans="1:14" hidden="1">
      <c r="A176" s="4" t="s">
        <v>2863</v>
      </c>
      <c r="B176" s="5" t="s">
        <v>2879</v>
      </c>
      <c r="C176" s="6" t="s">
        <v>134</v>
      </c>
      <c r="D176" s="6" t="s">
        <v>135</v>
      </c>
      <c r="E176" s="6" t="s">
        <v>136</v>
      </c>
      <c r="F176" s="18">
        <v>11487.6</v>
      </c>
      <c r="G176" s="18">
        <v>0</v>
      </c>
      <c r="H176" s="6">
        <v>0</v>
      </c>
      <c r="I176" s="6">
        <v>0</v>
      </c>
      <c r="J176" s="6">
        <v>0</v>
      </c>
      <c r="K176" s="6">
        <v>2412.4</v>
      </c>
      <c r="L176" s="6">
        <v>0</v>
      </c>
      <c r="M176" s="18">
        <v>0</v>
      </c>
      <c r="N176" s="18">
        <v>13900</v>
      </c>
    </row>
    <row r="177" spans="1:14" hidden="1">
      <c r="A177" s="4" t="s">
        <v>2863</v>
      </c>
      <c r="B177" s="5" t="s">
        <v>2880</v>
      </c>
      <c r="C177" s="6" t="s">
        <v>134</v>
      </c>
      <c r="D177" s="6" t="s">
        <v>135</v>
      </c>
      <c r="E177" s="6" t="s">
        <v>136</v>
      </c>
      <c r="F177" s="18">
        <v>29338.84</v>
      </c>
      <c r="G177" s="18">
        <v>0</v>
      </c>
      <c r="H177" s="6">
        <v>0</v>
      </c>
      <c r="I177" s="6">
        <v>0</v>
      </c>
      <c r="J177" s="6">
        <v>0</v>
      </c>
      <c r="K177" s="6">
        <v>6161.16</v>
      </c>
      <c r="L177" s="6">
        <v>0</v>
      </c>
      <c r="M177" s="18">
        <v>0</v>
      </c>
      <c r="N177" s="18">
        <v>35500</v>
      </c>
    </row>
    <row r="178" spans="1:14" hidden="1">
      <c r="A178" s="4" t="s">
        <v>2885</v>
      </c>
      <c r="B178" s="5" t="s">
        <v>2886</v>
      </c>
      <c r="C178" s="6" t="s">
        <v>134</v>
      </c>
      <c r="D178" s="6" t="s">
        <v>135</v>
      </c>
      <c r="E178" s="6" t="s">
        <v>136</v>
      </c>
      <c r="F178" s="18">
        <v>31818.18</v>
      </c>
      <c r="G178" s="18">
        <v>0</v>
      </c>
      <c r="H178" s="6">
        <v>0</v>
      </c>
      <c r="I178" s="6">
        <v>0</v>
      </c>
      <c r="J178" s="6">
        <v>0</v>
      </c>
      <c r="K178" s="6">
        <v>6681.82</v>
      </c>
      <c r="L178" s="6">
        <v>0</v>
      </c>
      <c r="M178" s="18">
        <v>0</v>
      </c>
      <c r="N178" s="18">
        <v>38500</v>
      </c>
    </row>
    <row r="179" spans="1:14" hidden="1">
      <c r="A179" s="4" t="s">
        <v>2885</v>
      </c>
      <c r="B179" s="5" t="s">
        <v>2887</v>
      </c>
      <c r="C179" s="6" t="s">
        <v>134</v>
      </c>
      <c r="D179" s="6" t="s">
        <v>135</v>
      </c>
      <c r="E179" s="6" t="s">
        <v>136</v>
      </c>
      <c r="F179" s="18">
        <v>2231.4</v>
      </c>
      <c r="G179" s="18">
        <v>0</v>
      </c>
      <c r="H179" s="6">
        <v>0</v>
      </c>
      <c r="I179" s="6">
        <v>0</v>
      </c>
      <c r="J179" s="6">
        <v>0</v>
      </c>
      <c r="K179" s="6">
        <v>468.6</v>
      </c>
      <c r="L179" s="6">
        <v>0</v>
      </c>
      <c r="M179" s="18">
        <v>0</v>
      </c>
      <c r="N179" s="18">
        <v>2700</v>
      </c>
    </row>
    <row r="180" spans="1:14" hidden="1">
      <c r="A180" s="4" t="s">
        <v>2885</v>
      </c>
      <c r="B180" s="5" t="s">
        <v>2888</v>
      </c>
      <c r="C180" s="6" t="s">
        <v>134</v>
      </c>
      <c r="D180" s="6" t="s">
        <v>135</v>
      </c>
      <c r="E180" s="6" t="s">
        <v>136</v>
      </c>
      <c r="F180" s="18">
        <v>14876.03</v>
      </c>
      <c r="G180" s="18">
        <v>0</v>
      </c>
      <c r="H180" s="6">
        <v>0</v>
      </c>
      <c r="I180" s="6">
        <v>0</v>
      </c>
      <c r="J180" s="6">
        <v>0</v>
      </c>
      <c r="K180" s="6">
        <v>3123.97</v>
      </c>
      <c r="L180" s="6">
        <v>0</v>
      </c>
      <c r="M180" s="18">
        <v>0</v>
      </c>
      <c r="N180" s="18">
        <v>18000</v>
      </c>
    </row>
    <row r="181" spans="1:14" hidden="1">
      <c r="A181" s="4" t="s">
        <v>2885</v>
      </c>
      <c r="B181" s="5" t="s">
        <v>2889</v>
      </c>
      <c r="C181" s="6" t="s">
        <v>134</v>
      </c>
      <c r="D181" s="6" t="s">
        <v>135</v>
      </c>
      <c r="E181" s="6" t="s">
        <v>136</v>
      </c>
      <c r="F181" s="18">
        <v>21487.599999999999</v>
      </c>
      <c r="G181" s="18">
        <v>0</v>
      </c>
      <c r="H181" s="6">
        <v>0</v>
      </c>
      <c r="I181" s="6">
        <v>0</v>
      </c>
      <c r="J181" s="6">
        <v>0</v>
      </c>
      <c r="K181" s="6">
        <v>4512.4000000000005</v>
      </c>
      <c r="L181" s="6">
        <v>0</v>
      </c>
      <c r="M181" s="18">
        <v>0</v>
      </c>
      <c r="N181" s="18">
        <v>26000</v>
      </c>
    </row>
    <row r="182" spans="1:14" hidden="1">
      <c r="A182" s="4" t="s">
        <v>2885</v>
      </c>
      <c r="B182" s="5" t="s">
        <v>2890</v>
      </c>
      <c r="C182" s="6" t="s">
        <v>134</v>
      </c>
      <c r="D182" s="6" t="s">
        <v>135</v>
      </c>
      <c r="E182" s="6" t="s">
        <v>136</v>
      </c>
      <c r="F182" s="18">
        <v>13181.82</v>
      </c>
      <c r="G182" s="18">
        <v>0</v>
      </c>
      <c r="H182" s="6">
        <v>0</v>
      </c>
      <c r="I182" s="6">
        <v>0</v>
      </c>
      <c r="J182" s="6">
        <v>0</v>
      </c>
      <c r="K182" s="6">
        <v>2768.18</v>
      </c>
      <c r="L182" s="6">
        <v>0</v>
      </c>
      <c r="M182" s="18">
        <v>0</v>
      </c>
      <c r="N182" s="18">
        <v>15950</v>
      </c>
    </row>
    <row r="183" spans="1:14" hidden="1">
      <c r="A183" s="4" t="s">
        <v>2885</v>
      </c>
      <c r="B183" s="5" t="s">
        <v>2891</v>
      </c>
      <c r="C183" s="6" t="s">
        <v>134</v>
      </c>
      <c r="D183" s="6" t="s">
        <v>135</v>
      </c>
      <c r="E183" s="6" t="s">
        <v>136</v>
      </c>
      <c r="F183" s="18">
        <v>29752.07</v>
      </c>
      <c r="G183" s="18">
        <v>0</v>
      </c>
      <c r="H183" s="6">
        <v>0</v>
      </c>
      <c r="I183" s="6">
        <v>0</v>
      </c>
      <c r="J183" s="6">
        <v>0</v>
      </c>
      <c r="K183" s="6">
        <v>6247.93</v>
      </c>
      <c r="L183" s="6">
        <v>0</v>
      </c>
      <c r="M183" s="18">
        <v>0</v>
      </c>
      <c r="N183" s="18">
        <v>36000</v>
      </c>
    </row>
    <row r="184" spans="1:14" hidden="1">
      <c r="A184" s="4" t="s">
        <v>2885</v>
      </c>
      <c r="B184" s="5" t="s">
        <v>2892</v>
      </c>
      <c r="C184" s="6" t="s">
        <v>134</v>
      </c>
      <c r="D184" s="6" t="s">
        <v>135</v>
      </c>
      <c r="E184" s="6" t="s">
        <v>136</v>
      </c>
      <c r="F184" s="18">
        <v>9256.2000000000007</v>
      </c>
      <c r="G184" s="18">
        <v>0</v>
      </c>
      <c r="H184" s="6">
        <v>0</v>
      </c>
      <c r="I184" s="6">
        <v>0</v>
      </c>
      <c r="J184" s="6">
        <v>0</v>
      </c>
      <c r="K184" s="6">
        <v>1943.8</v>
      </c>
      <c r="L184" s="6">
        <v>0</v>
      </c>
      <c r="M184" s="18">
        <v>0</v>
      </c>
      <c r="N184" s="18">
        <v>11200</v>
      </c>
    </row>
    <row r="185" spans="1:14" hidden="1">
      <c r="A185" s="4" t="s">
        <v>2885</v>
      </c>
      <c r="B185" s="5" t="s">
        <v>2893</v>
      </c>
      <c r="C185" s="6" t="s">
        <v>134</v>
      </c>
      <c r="D185" s="6" t="s">
        <v>135</v>
      </c>
      <c r="E185" s="6" t="s">
        <v>136</v>
      </c>
      <c r="F185" s="18">
        <v>10743.8</v>
      </c>
      <c r="G185" s="18">
        <v>0</v>
      </c>
      <c r="H185" s="6">
        <v>0</v>
      </c>
      <c r="I185" s="6">
        <v>0</v>
      </c>
      <c r="J185" s="6">
        <v>0</v>
      </c>
      <c r="K185" s="6">
        <v>2256.2000000000003</v>
      </c>
      <c r="L185" s="6">
        <v>0</v>
      </c>
      <c r="M185" s="18">
        <v>0</v>
      </c>
      <c r="N185" s="18">
        <v>13000</v>
      </c>
    </row>
    <row r="186" spans="1:14" hidden="1">
      <c r="A186" s="4" t="s">
        <v>2885</v>
      </c>
      <c r="B186" s="5" t="s">
        <v>2894</v>
      </c>
      <c r="C186" s="6" t="s">
        <v>134</v>
      </c>
      <c r="D186" s="6" t="s">
        <v>135</v>
      </c>
      <c r="E186" s="6" t="s">
        <v>136</v>
      </c>
      <c r="F186" s="18">
        <v>14876.03</v>
      </c>
      <c r="G186" s="18">
        <v>0</v>
      </c>
      <c r="H186" s="6">
        <v>0</v>
      </c>
      <c r="I186" s="6">
        <v>0</v>
      </c>
      <c r="J186" s="6">
        <v>0</v>
      </c>
      <c r="K186" s="6">
        <v>3123.97</v>
      </c>
      <c r="L186" s="6">
        <v>0</v>
      </c>
      <c r="M186" s="18">
        <v>0</v>
      </c>
      <c r="N186" s="18">
        <v>18000</v>
      </c>
    </row>
    <row r="187" spans="1:14" hidden="1">
      <c r="A187" s="4" t="s">
        <v>2885</v>
      </c>
      <c r="B187" s="5" t="s">
        <v>2895</v>
      </c>
      <c r="C187" s="6" t="s">
        <v>134</v>
      </c>
      <c r="D187" s="6" t="s">
        <v>135</v>
      </c>
      <c r="E187" s="6" t="s">
        <v>136</v>
      </c>
      <c r="F187" s="18">
        <v>10743.8</v>
      </c>
      <c r="G187" s="18">
        <v>0</v>
      </c>
      <c r="H187" s="6">
        <v>0</v>
      </c>
      <c r="I187" s="6">
        <v>0</v>
      </c>
      <c r="J187" s="6">
        <v>0</v>
      </c>
      <c r="K187" s="6">
        <v>2256.2000000000003</v>
      </c>
      <c r="L187" s="6">
        <v>0</v>
      </c>
      <c r="M187" s="18">
        <v>0</v>
      </c>
      <c r="N187" s="18">
        <v>13000</v>
      </c>
    </row>
    <row r="188" spans="1:14" hidden="1">
      <c r="A188" s="4" t="s">
        <v>2885</v>
      </c>
      <c r="B188" s="5" t="s">
        <v>2896</v>
      </c>
      <c r="C188" s="6" t="s">
        <v>134</v>
      </c>
      <c r="D188" s="6" t="s">
        <v>135</v>
      </c>
      <c r="E188" s="6" t="s">
        <v>136</v>
      </c>
      <c r="F188" s="18">
        <v>14669.42</v>
      </c>
      <c r="G188" s="18">
        <v>0</v>
      </c>
      <c r="H188" s="6">
        <v>0</v>
      </c>
      <c r="I188" s="6">
        <v>0</v>
      </c>
      <c r="J188" s="6">
        <v>0</v>
      </c>
      <c r="K188" s="6">
        <v>3080.58</v>
      </c>
      <c r="L188" s="6">
        <v>0</v>
      </c>
      <c r="M188" s="18">
        <v>0</v>
      </c>
      <c r="N188" s="18">
        <v>17750</v>
      </c>
    </row>
    <row r="189" spans="1:14" hidden="1">
      <c r="A189" s="4" t="s">
        <v>2885</v>
      </c>
      <c r="B189" s="5" t="s">
        <v>2897</v>
      </c>
      <c r="C189" s="6" t="s">
        <v>134</v>
      </c>
      <c r="D189" s="6" t="s">
        <v>135</v>
      </c>
      <c r="E189" s="6" t="s">
        <v>136</v>
      </c>
      <c r="F189" s="18">
        <v>12975.21</v>
      </c>
      <c r="G189" s="18">
        <v>0</v>
      </c>
      <c r="H189" s="6">
        <v>0</v>
      </c>
      <c r="I189" s="6">
        <v>0</v>
      </c>
      <c r="J189" s="6">
        <v>0</v>
      </c>
      <c r="K189" s="6">
        <v>2724.79</v>
      </c>
      <c r="L189" s="6">
        <v>0</v>
      </c>
      <c r="M189" s="18">
        <v>0</v>
      </c>
      <c r="N189" s="18">
        <v>15700</v>
      </c>
    </row>
    <row r="190" spans="1:14" hidden="1">
      <c r="A190" s="4" t="s">
        <v>2910</v>
      </c>
      <c r="B190" s="5" t="s">
        <v>2911</v>
      </c>
      <c r="C190" s="6" t="s">
        <v>134</v>
      </c>
      <c r="D190" s="6" t="s">
        <v>135</v>
      </c>
      <c r="E190" s="6" t="s">
        <v>136</v>
      </c>
      <c r="F190" s="18">
        <v>21487.599999999999</v>
      </c>
      <c r="G190" s="18">
        <v>0</v>
      </c>
      <c r="H190" s="6">
        <v>0</v>
      </c>
      <c r="I190" s="6">
        <v>0</v>
      </c>
      <c r="J190" s="6">
        <v>0</v>
      </c>
      <c r="K190" s="6">
        <v>4512.4000000000005</v>
      </c>
      <c r="L190" s="6">
        <v>0</v>
      </c>
      <c r="M190" s="18">
        <v>0</v>
      </c>
      <c r="N190" s="18">
        <v>26000</v>
      </c>
    </row>
    <row r="191" spans="1:14" hidden="1">
      <c r="A191" s="4" t="s">
        <v>2910</v>
      </c>
      <c r="B191" s="5" t="s">
        <v>2912</v>
      </c>
      <c r="C191" s="6" t="s">
        <v>134</v>
      </c>
      <c r="D191" s="6" t="s">
        <v>135</v>
      </c>
      <c r="E191" s="6" t="s">
        <v>136</v>
      </c>
      <c r="F191" s="18">
        <v>14669.42</v>
      </c>
      <c r="G191" s="18">
        <v>0</v>
      </c>
      <c r="H191" s="6">
        <v>0</v>
      </c>
      <c r="I191" s="6">
        <v>0</v>
      </c>
      <c r="J191" s="6">
        <v>0</v>
      </c>
      <c r="K191" s="6">
        <v>3080.58</v>
      </c>
      <c r="L191" s="6">
        <v>0</v>
      </c>
      <c r="M191" s="18">
        <v>0</v>
      </c>
      <c r="N191" s="18">
        <v>17750</v>
      </c>
    </row>
    <row r="192" spans="1:14" hidden="1">
      <c r="A192" s="4" t="s">
        <v>2910</v>
      </c>
      <c r="B192" s="5" t="s">
        <v>2913</v>
      </c>
      <c r="C192" s="6" t="s">
        <v>134</v>
      </c>
      <c r="D192" s="6" t="s">
        <v>135</v>
      </c>
      <c r="E192" s="6" t="s">
        <v>136</v>
      </c>
      <c r="F192" s="18">
        <v>14876.03</v>
      </c>
      <c r="G192" s="18">
        <v>0</v>
      </c>
      <c r="H192" s="6">
        <v>0</v>
      </c>
      <c r="I192" s="6">
        <v>0</v>
      </c>
      <c r="J192" s="6">
        <v>0</v>
      </c>
      <c r="K192" s="6">
        <v>3123.97</v>
      </c>
      <c r="L192" s="6">
        <v>0</v>
      </c>
      <c r="M192" s="18">
        <v>0</v>
      </c>
      <c r="N192" s="18">
        <v>18000</v>
      </c>
    </row>
    <row r="193" spans="1:14" hidden="1">
      <c r="A193" s="4" t="s">
        <v>2910</v>
      </c>
      <c r="B193" s="5" t="s">
        <v>2914</v>
      </c>
      <c r="C193" s="6" t="s">
        <v>134</v>
      </c>
      <c r="D193" s="6" t="s">
        <v>135</v>
      </c>
      <c r="E193" s="6" t="s">
        <v>136</v>
      </c>
      <c r="F193" s="18">
        <v>29752.07</v>
      </c>
      <c r="G193" s="18">
        <v>0</v>
      </c>
      <c r="H193" s="6">
        <v>0</v>
      </c>
      <c r="I193" s="6">
        <v>0</v>
      </c>
      <c r="J193" s="6">
        <v>0</v>
      </c>
      <c r="K193" s="6">
        <v>6247.93</v>
      </c>
      <c r="L193" s="6">
        <v>0</v>
      </c>
      <c r="M193" s="18">
        <v>0</v>
      </c>
      <c r="N193" s="18">
        <v>36000</v>
      </c>
    </row>
    <row r="194" spans="1:14">
      <c r="A194" s="4" t="s">
        <v>2910</v>
      </c>
      <c r="B194" s="5" t="s">
        <v>2915</v>
      </c>
      <c r="C194" s="6" t="s">
        <v>2916</v>
      </c>
      <c r="D194" s="6" t="s">
        <v>135</v>
      </c>
      <c r="E194" s="6">
        <v>12463269</v>
      </c>
      <c r="F194" s="18">
        <v>14876.03</v>
      </c>
      <c r="G194" s="18">
        <v>0</v>
      </c>
      <c r="H194" s="6">
        <v>0</v>
      </c>
      <c r="I194" s="6">
        <v>0</v>
      </c>
      <c r="J194" s="6">
        <v>0</v>
      </c>
      <c r="K194" s="6">
        <v>3123.97</v>
      </c>
      <c r="L194" s="6">
        <v>0</v>
      </c>
      <c r="M194" s="18">
        <v>0</v>
      </c>
      <c r="N194" s="18">
        <v>18000</v>
      </c>
    </row>
    <row r="195" spans="1:14" hidden="1">
      <c r="A195" s="4" t="s">
        <v>2910</v>
      </c>
      <c r="B195" s="5" t="s">
        <v>2917</v>
      </c>
      <c r="C195" s="6" t="s">
        <v>134</v>
      </c>
      <c r="D195" s="6" t="s">
        <v>135</v>
      </c>
      <c r="E195" s="6" t="s">
        <v>136</v>
      </c>
      <c r="F195" s="18">
        <v>31818.18</v>
      </c>
      <c r="G195" s="18">
        <v>0</v>
      </c>
      <c r="H195" s="6">
        <v>0</v>
      </c>
      <c r="I195" s="6">
        <v>0</v>
      </c>
      <c r="J195" s="6">
        <v>0</v>
      </c>
      <c r="K195" s="6">
        <v>6681.82</v>
      </c>
      <c r="L195" s="6">
        <v>0</v>
      </c>
      <c r="M195" s="18">
        <v>0</v>
      </c>
      <c r="N195" s="18">
        <v>38500</v>
      </c>
    </row>
    <row r="196" spans="1:14" hidden="1">
      <c r="A196" s="4" t="s">
        <v>2910</v>
      </c>
      <c r="B196" s="5" t="s">
        <v>2918</v>
      </c>
      <c r="C196" s="6" t="s">
        <v>134</v>
      </c>
      <c r="D196" s="6" t="s">
        <v>135</v>
      </c>
      <c r="E196" s="6" t="s">
        <v>136</v>
      </c>
      <c r="F196" s="18">
        <v>11487.6</v>
      </c>
      <c r="G196" s="18">
        <v>0</v>
      </c>
      <c r="H196" s="6">
        <v>0</v>
      </c>
      <c r="I196" s="6">
        <v>0</v>
      </c>
      <c r="J196" s="6">
        <v>0</v>
      </c>
      <c r="K196" s="6">
        <v>2412.4</v>
      </c>
      <c r="L196" s="6">
        <v>0</v>
      </c>
      <c r="M196" s="18">
        <v>0</v>
      </c>
      <c r="N196" s="18">
        <v>13900</v>
      </c>
    </row>
    <row r="197" spans="1:14" hidden="1">
      <c r="A197" s="4" t="s">
        <v>2910</v>
      </c>
      <c r="B197" s="5" t="s">
        <v>2919</v>
      </c>
      <c r="C197" s="6" t="s">
        <v>134</v>
      </c>
      <c r="D197" s="6" t="s">
        <v>135</v>
      </c>
      <c r="E197" s="6" t="s">
        <v>136</v>
      </c>
      <c r="F197" s="18">
        <v>7438.02</v>
      </c>
      <c r="G197" s="18">
        <v>0</v>
      </c>
      <c r="H197" s="6">
        <v>0</v>
      </c>
      <c r="I197" s="6">
        <v>0</v>
      </c>
      <c r="J197" s="6">
        <v>0</v>
      </c>
      <c r="K197" s="6">
        <v>1561.98</v>
      </c>
      <c r="L197" s="6">
        <v>0</v>
      </c>
      <c r="M197" s="18">
        <v>0</v>
      </c>
      <c r="N197" s="18">
        <v>9000</v>
      </c>
    </row>
    <row r="198" spans="1:14" hidden="1">
      <c r="A198" s="4" t="s">
        <v>2910</v>
      </c>
      <c r="B198" s="5" t="s">
        <v>2920</v>
      </c>
      <c r="C198" s="6" t="s">
        <v>134</v>
      </c>
      <c r="D198" s="6" t="s">
        <v>135</v>
      </c>
      <c r="E198" s="6" t="s">
        <v>136</v>
      </c>
      <c r="F198" s="18">
        <v>4132.2300000000005</v>
      </c>
      <c r="G198" s="18">
        <v>0</v>
      </c>
      <c r="H198" s="6">
        <v>0</v>
      </c>
      <c r="I198" s="6">
        <v>0</v>
      </c>
      <c r="J198" s="6">
        <v>0</v>
      </c>
      <c r="K198" s="6">
        <v>867.77</v>
      </c>
      <c r="L198" s="6">
        <v>0</v>
      </c>
      <c r="M198" s="18">
        <v>0</v>
      </c>
      <c r="N198" s="18">
        <v>5000</v>
      </c>
    </row>
    <row r="199" spans="1:14" hidden="1">
      <c r="A199" s="4" t="s">
        <v>2910</v>
      </c>
      <c r="B199" s="5" t="s">
        <v>2921</v>
      </c>
      <c r="C199" s="6" t="s">
        <v>134</v>
      </c>
      <c r="D199" s="6" t="s">
        <v>135</v>
      </c>
      <c r="E199" s="6" t="s">
        <v>136</v>
      </c>
      <c r="F199" s="18">
        <v>10743.8</v>
      </c>
      <c r="G199" s="18">
        <v>0</v>
      </c>
      <c r="H199" s="6">
        <v>0</v>
      </c>
      <c r="I199" s="6">
        <v>0</v>
      </c>
      <c r="J199" s="6">
        <v>0</v>
      </c>
      <c r="K199" s="6">
        <v>2256.2000000000003</v>
      </c>
      <c r="L199" s="6">
        <v>0</v>
      </c>
      <c r="M199" s="18">
        <v>0</v>
      </c>
      <c r="N199" s="18">
        <v>13000</v>
      </c>
    </row>
    <row r="200" spans="1:14" hidden="1">
      <c r="A200" s="4" t="s">
        <v>2910</v>
      </c>
      <c r="B200" s="5" t="s">
        <v>2922</v>
      </c>
      <c r="C200" s="6" t="s">
        <v>134</v>
      </c>
      <c r="D200" s="6" t="s">
        <v>135</v>
      </c>
      <c r="E200" s="6" t="s">
        <v>136</v>
      </c>
      <c r="F200" s="18">
        <v>10743.8</v>
      </c>
      <c r="G200" s="18">
        <v>0</v>
      </c>
      <c r="H200" s="6">
        <v>0</v>
      </c>
      <c r="I200" s="6">
        <v>0</v>
      </c>
      <c r="J200" s="6">
        <v>0</v>
      </c>
      <c r="K200" s="6">
        <v>2256.2000000000003</v>
      </c>
      <c r="L200" s="6">
        <v>0</v>
      </c>
      <c r="M200" s="18">
        <v>0</v>
      </c>
      <c r="N200" s="18">
        <v>13000</v>
      </c>
    </row>
    <row r="201" spans="1:14" hidden="1">
      <c r="A201" s="4" t="s">
        <v>2910</v>
      </c>
      <c r="B201" s="5" t="s">
        <v>2923</v>
      </c>
      <c r="C201" s="6" t="s">
        <v>134</v>
      </c>
      <c r="D201" s="6" t="s">
        <v>135</v>
      </c>
      <c r="E201" s="6" t="s">
        <v>136</v>
      </c>
      <c r="F201" s="18">
        <v>23264.46</v>
      </c>
      <c r="G201" s="18">
        <v>0</v>
      </c>
      <c r="H201" s="6">
        <v>0</v>
      </c>
      <c r="I201" s="6">
        <v>0</v>
      </c>
      <c r="J201" s="6">
        <v>0</v>
      </c>
      <c r="K201" s="6">
        <v>4885.54</v>
      </c>
      <c r="L201" s="6">
        <v>0</v>
      </c>
      <c r="M201" s="18">
        <v>0</v>
      </c>
      <c r="N201" s="18">
        <v>28150</v>
      </c>
    </row>
    <row r="202" spans="1:14" hidden="1">
      <c r="A202" s="4" t="s">
        <v>2910</v>
      </c>
      <c r="B202" s="5" t="s">
        <v>2924</v>
      </c>
      <c r="C202" s="6" t="s">
        <v>134</v>
      </c>
      <c r="D202" s="6" t="s">
        <v>135</v>
      </c>
      <c r="E202" s="6" t="s">
        <v>136</v>
      </c>
      <c r="F202" s="18">
        <v>11239.67</v>
      </c>
      <c r="G202" s="18">
        <v>0</v>
      </c>
      <c r="H202" s="6">
        <v>0</v>
      </c>
      <c r="I202" s="6">
        <v>0</v>
      </c>
      <c r="J202" s="6">
        <v>0</v>
      </c>
      <c r="K202" s="6">
        <v>2360.33</v>
      </c>
      <c r="L202" s="6">
        <v>0</v>
      </c>
      <c r="M202" s="18">
        <v>0</v>
      </c>
      <c r="N202" s="18">
        <v>13600</v>
      </c>
    </row>
    <row r="203" spans="1:14" hidden="1">
      <c r="A203" s="4" t="s">
        <v>2910</v>
      </c>
      <c r="B203" s="5" t="s">
        <v>2925</v>
      </c>
      <c r="C203" s="6" t="s">
        <v>134</v>
      </c>
      <c r="D203" s="6" t="s">
        <v>135</v>
      </c>
      <c r="E203" s="6" t="s">
        <v>136</v>
      </c>
      <c r="F203" s="18">
        <v>25206.61</v>
      </c>
      <c r="G203" s="18">
        <v>0</v>
      </c>
      <c r="H203" s="6">
        <v>0</v>
      </c>
      <c r="I203" s="6">
        <v>0</v>
      </c>
      <c r="J203" s="6">
        <v>0</v>
      </c>
      <c r="K203" s="6">
        <v>5293.39</v>
      </c>
      <c r="L203" s="6">
        <v>0</v>
      </c>
      <c r="M203" s="18">
        <v>0</v>
      </c>
      <c r="N203" s="18">
        <v>30500</v>
      </c>
    </row>
    <row r="204" spans="1:14" hidden="1">
      <c r="A204" s="4" t="s">
        <v>2910</v>
      </c>
      <c r="B204" s="5" t="s">
        <v>2926</v>
      </c>
      <c r="C204" s="6" t="s">
        <v>134</v>
      </c>
      <c r="D204" s="6" t="s">
        <v>135</v>
      </c>
      <c r="E204" s="6" t="s">
        <v>136</v>
      </c>
      <c r="F204" s="18">
        <v>10743.8</v>
      </c>
      <c r="G204" s="18">
        <v>0</v>
      </c>
      <c r="H204" s="6">
        <v>0</v>
      </c>
      <c r="I204" s="6">
        <v>0</v>
      </c>
      <c r="J204" s="6">
        <v>0</v>
      </c>
      <c r="K204" s="6">
        <v>2256.2000000000003</v>
      </c>
      <c r="L204" s="6">
        <v>0</v>
      </c>
      <c r="M204" s="18">
        <v>0</v>
      </c>
      <c r="N204" s="18">
        <v>13000</v>
      </c>
    </row>
    <row r="205" spans="1:14" hidden="1">
      <c r="A205" s="4" t="s">
        <v>2910</v>
      </c>
      <c r="B205" s="5" t="s">
        <v>2927</v>
      </c>
      <c r="C205" s="6" t="s">
        <v>134</v>
      </c>
      <c r="D205" s="6" t="s">
        <v>135</v>
      </c>
      <c r="E205" s="6" t="s">
        <v>136</v>
      </c>
      <c r="F205" s="18">
        <v>112396.69</v>
      </c>
      <c r="G205" s="18">
        <v>0</v>
      </c>
      <c r="H205" s="6">
        <v>0</v>
      </c>
      <c r="I205" s="6">
        <v>0</v>
      </c>
      <c r="J205" s="6">
        <v>0</v>
      </c>
      <c r="K205" s="6">
        <v>23603.31</v>
      </c>
      <c r="L205" s="6">
        <v>0</v>
      </c>
      <c r="M205" s="18">
        <v>0</v>
      </c>
      <c r="N205" s="18">
        <v>136000</v>
      </c>
    </row>
    <row r="206" spans="1:14" hidden="1">
      <c r="A206" s="4" t="s">
        <v>2939</v>
      </c>
      <c r="B206" s="5" t="s">
        <v>2940</v>
      </c>
      <c r="C206" s="6" t="s">
        <v>134</v>
      </c>
      <c r="D206" s="6" t="s">
        <v>135</v>
      </c>
      <c r="E206" s="6" t="s">
        <v>136</v>
      </c>
      <c r="F206" s="18">
        <v>21487.61</v>
      </c>
      <c r="G206" s="18">
        <v>0</v>
      </c>
      <c r="H206" s="6">
        <v>0</v>
      </c>
      <c r="I206" s="6">
        <v>0</v>
      </c>
      <c r="J206" s="6">
        <v>0</v>
      </c>
      <c r="K206" s="6">
        <v>4512.3900000000003</v>
      </c>
      <c r="L206" s="6">
        <v>0</v>
      </c>
      <c r="M206" s="18">
        <v>0</v>
      </c>
      <c r="N206" s="18">
        <v>26000</v>
      </c>
    </row>
    <row r="207" spans="1:14" hidden="1">
      <c r="A207" s="4" t="s">
        <v>2939</v>
      </c>
      <c r="B207" s="5" t="s">
        <v>2941</v>
      </c>
      <c r="C207" s="6" t="s">
        <v>134</v>
      </c>
      <c r="D207" s="6" t="s">
        <v>135</v>
      </c>
      <c r="E207" s="6" t="s">
        <v>136</v>
      </c>
      <c r="F207" s="18">
        <v>31818.18</v>
      </c>
      <c r="G207" s="18">
        <v>0</v>
      </c>
      <c r="H207" s="6">
        <v>0</v>
      </c>
      <c r="I207" s="6">
        <v>0</v>
      </c>
      <c r="J207" s="6">
        <v>0</v>
      </c>
      <c r="K207" s="6">
        <v>6681.82</v>
      </c>
      <c r="L207" s="6">
        <v>0</v>
      </c>
      <c r="M207" s="18">
        <v>0</v>
      </c>
      <c r="N207" s="18">
        <v>38500</v>
      </c>
    </row>
    <row r="208" spans="1:14" hidden="1">
      <c r="A208" s="4" t="s">
        <v>2939</v>
      </c>
      <c r="B208" s="5" t="s">
        <v>2942</v>
      </c>
      <c r="C208" s="6" t="s">
        <v>134</v>
      </c>
      <c r="D208" s="6" t="s">
        <v>135</v>
      </c>
      <c r="E208" s="6" t="s">
        <v>136</v>
      </c>
      <c r="F208" s="18">
        <v>7024.79</v>
      </c>
      <c r="G208" s="18">
        <v>0</v>
      </c>
      <c r="H208" s="6">
        <v>0</v>
      </c>
      <c r="I208" s="6">
        <v>0</v>
      </c>
      <c r="J208" s="6">
        <v>0</v>
      </c>
      <c r="K208" s="6">
        <v>1475.21</v>
      </c>
      <c r="L208" s="6">
        <v>0</v>
      </c>
      <c r="M208" s="18">
        <v>0</v>
      </c>
      <c r="N208" s="18">
        <v>8500</v>
      </c>
    </row>
    <row r="209" spans="1:14" hidden="1">
      <c r="A209" s="4" t="s">
        <v>2939</v>
      </c>
      <c r="B209" s="5" t="s">
        <v>2943</v>
      </c>
      <c r="C209" s="6" t="s">
        <v>134</v>
      </c>
      <c r="D209" s="6" t="s">
        <v>135</v>
      </c>
      <c r="E209" s="6" t="s">
        <v>136</v>
      </c>
      <c r="F209" s="18">
        <v>21404.959999999999</v>
      </c>
      <c r="G209" s="18">
        <v>0</v>
      </c>
      <c r="H209" s="6">
        <v>0</v>
      </c>
      <c r="I209" s="6">
        <v>0</v>
      </c>
      <c r="J209" s="6">
        <v>0</v>
      </c>
      <c r="K209" s="6">
        <v>4495.04</v>
      </c>
      <c r="L209" s="6">
        <v>0</v>
      </c>
      <c r="M209" s="18">
        <v>0</v>
      </c>
      <c r="N209" s="18">
        <v>25900</v>
      </c>
    </row>
    <row r="210" spans="1:14" hidden="1">
      <c r="A210" s="4" t="s">
        <v>2939</v>
      </c>
      <c r="B210" s="5" t="s">
        <v>2944</v>
      </c>
      <c r="C210" s="6" t="s">
        <v>134</v>
      </c>
      <c r="D210" s="6" t="s">
        <v>135</v>
      </c>
      <c r="E210" s="6" t="s">
        <v>136</v>
      </c>
      <c r="F210" s="18">
        <v>46280.99</v>
      </c>
      <c r="G210" s="18">
        <v>0</v>
      </c>
      <c r="H210" s="6">
        <v>0</v>
      </c>
      <c r="I210" s="6">
        <v>0</v>
      </c>
      <c r="J210" s="6">
        <v>0</v>
      </c>
      <c r="K210" s="6">
        <v>9719.01</v>
      </c>
      <c r="L210" s="6">
        <v>0</v>
      </c>
      <c r="M210" s="18">
        <v>0</v>
      </c>
      <c r="N210" s="18">
        <v>56000</v>
      </c>
    </row>
    <row r="211" spans="1:14" hidden="1">
      <c r="A211" s="4" t="s">
        <v>2939</v>
      </c>
      <c r="B211" s="5" t="s">
        <v>2945</v>
      </c>
      <c r="C211" s="6" t="s">
        <v>134</v>
      </c>
      <c r="D211" s="6" t="s">
        <v>135</v>
      </c>
      <c r="E211" s="6" t="s">
        <v>136</v>
      </c>
      <c r="F211" s="18">
        <v>10743.8</v>
      </c>
      <c r="G211" s="18">
        <v>0</v>
      </c>
      <c r="H211" s="6">
        <v>0</v>
      </c>
      <c r="I211" s="6">
        <v>0</v>
      </c>
      <c r="J211" s="6">
        <v>0</v>
      </c>
      <c r="K211" s="6">
        <v>2256.2000000000003</v>
      </c>
      <c r="L211" s="6">
        <v>0</v>
      </c>
      <c r="M211" s="18">
        <v>0</v>
      </c>
      <c r="N211" s="18">
        <v>13000</v>
      </c>
    </row>
    <row r="212" spans="1:14" hidden="1">
      <c r="A212" s="4" t="s">
        <v>2939</v>
      </c>
      <c r="B212" s="5" t="s">
        <v>2946</v>
      </c>
      <c r="C212" s="6" t="s">
        <v>134</v>
      </c>
      <c r="D212" s="6" t="s">
        <v>135</v>
      </c>
      <c r="E212" s="6" t="s">
        <v>136</v>
      </c>
      <c r="F212" s="18">
        <v>17355.37</v>
      </c>
      <c r="G212" s="18">
        <v>0</v>
      </c>
      <c r="H212" s="6">
        <v>0</v>
      </c>
      <c r="I212" s="6">
        <v>0</v>
      </c>
      <c r="J212" s="6">
        <v>0</v>
      </c>
      <c r="K212" s="6">
        <v>3644.63</v>
      </c>
      <c r="L212" s="6">
        <v>0</v>
      </c>
      <c r="M212" s="18">
        <v>0</v>
      </c>
      <c r="N212" s="18">
        <v>21000</v>
      </c>
    </row>
    <row r="213" spans="1:14" hidden="1">
      <c r="A213" s="4" t="s">
        <v>2939</v>
      </c>
      <c r="B213" s="5" t="s">
        <v>2947</v>
      </c>
      <c r="C213" s="6" t="s">
        <v>134</v>
      </c>
      <c r="D213" s="6" t="s">
        <v>135</v>
      </c>
      <c r="E213" s="6" t="s">
        <v>136</v>
      </c>
      <c r="F213" s="18">
        <v>9090.91</v>
      </c>
      <c r="G213" s="18">
        <v>0</v>
      </c>
      <c r="H213" s="6">
        <v>0</v>
      </c>
      <c r="I213" s="6">
        <v>0</v>
      </c>
      <c r="J213" s="6">
        <v>0</v>
      </c>
      <c r="K213" s="6">
        <v>1909.09</v>
      </c>
      <c r="L213" s="6">
        <v>0</v>
      </c>
      <c r="M213" s="18">
        <v>0</v>
      </c>
      <c r="N213" s="18">
        <v>11000</v>
      </c>
    </row>
    <row r="214" spans="1:14" hidden="1">
      <c r="A214" s="4" t="s">
        <v>2939</v>
      </c>
      <c r="B214" s="5" t="s">
        <v>2948</v>
      </c>
      <c r="C214" s="6" t="s">
        <v>134</v>
      </c>
      <c r="D214" s="6" t="s">
        <v>135</v>
      </c>
      <c r="E214" s="6" t="s">
        <v>136</v>
      </c>
      <c r="F214" s="18">
        <v>14669.42</v>
      </c>
      <c r="G214" s="18">
        <v>0</v>
      </c>
      <c r="H214" s="6">
        <v>0</v>
      </c>
      <c r="I214" s="6">
        <v>0</v>
      </c>
      <c r="J214" s="6">
        <v>0</v>
      </c>
      <c r="K214" s="6">
        <v>3080.58</v>
      </c>
      <c r="L214" s="6">
        <v>0</v>
      </c>
      <c r="M214" s="18">
        <v>0</v>
      </c>
      <c r="N214" s="18">
        <v>17750</v>
      </c>
    </row>
    <row r="215" spans="1:14" hidden="1">
      <c r="A215" s="4" t="s">
        <v>2939</v>
      </c>
      <c r="B215" s="5" t="s">
        <v>2949</v>
      </c>
      <c r="C215" s="6" t="s">
        <v>134</v>
      </c>
      <c r="D215" s="6" t="s">
        <v>135</v>
      </c>
      <c r="E215" s="6" t="s">
        <v>136</v>
      </c>
      <c r="F215" s="18">
        <v>10743.8</v>
      </c>
      <c r="G215" s="18">
        <v>0</v>
      </c>
      <c r="H215" s="6">
        <v>0</v>
      </c>
      <c r="I215" s="6">
        <v>0</v>
      </c>
      <c r="J215" s="6">
        <v>0</v>
      </c>
      <c r="K215" s="6">
        <v>2256.2000000000003</v>
      </c>
      <c r="L215" s="6">
        <v>0</v>
      </c>
      <c r="M215" s="18">
        <v>0</v>
      </c>
      <c r="N215" s="18">
        <v>13000</v>
      </c>
    </row>
    <row r="216" spans="1:14" hidden="1">
      <c r="A216" s="4" t="s">
        <v>2939</v>
      </c>
      <c r="B216" s="5" t="s">
        <v>2950</v>
      </c>
      <c r="C216" s="6" t="s">
        <v>134</v>
      </c>
      <c r="D216" s="6" t="s">
        <v>135</v>
      </c>
      <c r="E216" s="6" t="s">
        <v>136</v>
      </c>
      <c r="F216" s="18">
        <v>11570.25</v>
      </c>
      <c r="G216" s="18">
        <v>0</v>
      </c>
      <c r="H216" s="6">
        <v>0</v>
      </c>
      <c r="I216" s="6">
        <v>0</v>
      </c>
      <c r="J216" s="6">
        <v>0</v>
      </c>
      <c r="K216" s="6">
        <v>2429.75</v>
      </c>
      <c r="L216" s="6">
        <v>0</v>
      </c>
      <c r="M216" s="18">
        <v>0</v>
      </c>
      <c r="N216" s="18">
        <v>14000</v>
      </c>
    </row>
    <row r="217" spans="1:14" hidden="1">
      <c r="A217" s="4" t="s">
        <v>2939</v>
      </c>
      <c r="B217" s="5" t="s">
        <v>2951</v>
      </c>
      <c r="C217" s="6" t="s">
        <v>134</v>
      </c>
      <c r="D217" s="6" t="s">
        <v>135</v>
      </c>
      <c r="E217" s="6" t="s">
        <v>136</v>
      </c>
      <c r="F217" s="18">
        <v>21487.599999999999</v>
      </c>
      <c r="G217" s="18">
        <v>0</v>
      </c>
      <c r="H217" s="6">
        <v>0</v>
      </c>
      <c r="I217" s="6">
        <v>0</v>
      </c>
      <c r="J217" s="6">
        <v>0</v>
      </c>
      <c r="K217" s="6">
        <v>4512.4000000000005</v>
      </c>
      <c r="L217" s="6">
        <v>0</v>
      </c>
      <c r="M217" s="18">
        <v>0</v>
      </c>
      <c r="N217" s="18">
        <v>26000</v>
      </c>
    </row>
    <row r="218" spans="1:14" hidden="1">
      <c r="A218" s="4" t="s">
        <v>2939</v>
      </c>
      <c r="B218" s="5" t="s">
        <v>2952</v>
      </c>
      <c r="C218" s="6" t="s">
        <v>134</v>
      </c>
      <c r="D218" s="6" t="s">
        <v>135</v>
      </c>
      <c r="E218" s="6" t="s">
        <v>136</v>
      </c>
      <c r="F218" s="18">
        <v>16528.93</v>
      </c>
      <c r="G218" s="18">
        <v>0</v>
      </c>
      <c r="H218" s="6">
        <v>0</v>
      </c>
      <c r="I218" s="6">
        <v>0</v>
      </c>
      <c r="J218" s="6">
        <v>0</v>
      </c>
      <c r="K218" s="6">
        <v>3471.07</v>
      </c>
      <c r="L218" s="6">
        <v>0</v>
      </c>
      <c r="M218" s="18">
        <v>0</v>
      </c>
      <c r="N218" s="18">
        <v>20000</v>
      </c>
    </row>
    <row r="219" spans="1:14" hidden="1">
      <c r="A219" s="4" t="s">
        <v>2939</v>
      </c>
      <c r="B219" s="5" t="s">
        <v>2953</v>
      </c>
      <c r="C219" s="6" t="s">
        <v>134</v>
      </c>
      <c r="D219" s="6" t="s">
        <v>135</v>
      </c>
      <c r="E219" s="6" t="s">
        <v>136</v>
      </c>
      <c r="F219" s="18">
        <v>22438.02</v>
      </c>
      <c r="G219" s="18">
        <v>0</v>
      </c>
      <c r="H219" s="6">
        <v>0</v>
      </c>
      <c r="I219" s="6">
        <v>0</v>
      </c>
      <c r="J219" s="6">
        <v>0</v>
      </c>
      <c r="K219" s="6">
        <v>4711.9800000000005</v>
      </c>
      <c r="L219" s="6">
        <v>0</v>
      </c>
      <c r="M219" s="18">
        <v>0</v>
      </c>
      <c r="N219" s="18">
        <v>27150</v>
      </c>
    </row>
    <row r="220" spans="1:14" hidden="1">
      <c r="A220" s="4" t="s">
        <v>2939</v>
      </c>
      <c r="B220" s="5" t="s">
        <v>2954</v>
      </c>
      <c r="C220" s="6" t="s">
        <v>134</v>
      </c>
      <c r="D220" s="6" t="s">
        <v>135</v>
      </c>
      <c r="E220" s="6" t="s">
        <v>136</v>
      </c>
      <c r="F220" s="18">
        <v>28925.62</v>
      </c>
      <c r="G220" s="18">
        <v>0</v>
      </c>
      <c r="H220" s="6">
        <v>0</v>
      </c>
      <c r="I220" s="6">
        <v>0</v>
      </c>
      <c r="J220" s="6">
        <v>0</v>
      </c>
      <c r="K220" s="6">
        <v>6074.38</v>
      </c>
      <c r="L220" s="6">
        <v>0</v>
      </c>
      <c r="M220" s="18">
        <v>0</v>
      </c>
      <c r="N220" s="18">
        <v>35000</v>
      </c>
    </row>
    <row r="221" spans="1:14" hidden="1">
      <c r="A221" s="4" t="s">
        <v>2939</v>
      </c>
      <c r="B221" s="5" t="s">
        <v>2955</v>
      </c>
      <c r="C221" s="6" t="s">
        <v>134</v>
      </c>
      <c r="D221" s="6" t="s">
        <v>135</v>
      </c>
      <c r="E221" s="6" t="s">
        <v>136</v>
      </c>
      <c r="F221" s="18">
        <v>31818.18</v>
      </c>
      <c r="G221" s="18">
        <v>0</v>
      </c>
      <c r="H221" s="6">
        <v>0</v>
      </c>
      <c r="I221" s="6">
        <v>0</v>
      </c>
      <c r="J221" s="6">
        <v>0</v>
      </c>
      <c r="K221" s="6">
        <v>6681.82</v>
      </c>
      <c r="L221" s="6">
        <v>0</v>
      </c>
      <c r="M221" s="18">
        <v>0</v>
      </c>
      <c r="N221" s="18">
        <v>38500</v>
      </c>
    </row>
    <row r="222" spans="1:14" hidden="1">
      <c r="A222" s="4" t="s">
        <v>2939</v>
      </c>
      <c r="B222" s="5" t="s">
        <v>2956</v>
      </c>
      <c r="C222" s="6" t="s">
        <v>134</v>
      </c>
      <c r="D222" s="6" t="s">
        <v>135</v>
      </c>
      <c r="E222" s="6" t="s">
        <v>136</v>
      </c>
      <c r="F222" s="18">
        <v>34834.71</v>
      </c>
      <c r="G222" s="18">
        <v>0</v>
      </c>
      <c r="H222" s="6">
        <v>0</v>
      </c>
      <c r="I222" s="6">
        <v>0</v>
      </c>
      <c r="J222" s="6">
        <v>0</v>
      </c>
      <c r="K222" s="6">
        <v>7315.29</v>
      </c>
      <c r="L222" s="6">
        <v>0</v>
      </c>
      <c r="M222" s="18">
        <v>0</v>
      </c>
      <c r="N222" s="18">
        <v>42150</v>
      </c>
    </row>
    <row r="223" spans="1:14" hidden="1">
      <c r="A223" s="4" t="s">
        <v>2939</v>
      </c>
      <c r="B223" s="5" t="s">
        <v>2957</v>
      </c>
      <c r="C223" s="6" t="s">
        <v>134</v>
      </c>
      <c r="D223" s="6" t="s">
        <v>135</v>
      </c>
      <c r="E223" s="6" t="s">
        <v>136</v>
      </c>
      <c r="F223" s="18">
        <v>21487.599999999999</v>
      </c>
      <c r="G223" s="18">
        <v>0</v>
      </c>
      <c r="H223" s="6">
        <v>0</v>
      </c>
      <c r="I223" s="6">
        <v>0</v>
      </c>
      <c r="J223" s="6">
        <v>0</v>
      </c>
      <c r="K223" s="6">
        <v>4512.4000000000005</v>
      </c>
      <c r="L223" s="6">
        <v>0</v>
      </c>
      <c r="M223" s="18">
        <v>0</v>
      </c>
      <c r="N223" s="18">
        <v>26000</v>
      </c>
    </row>
    <row r="224" spans="1:14" hidden="1">
      <c r="A224" s="4" t="s">
        <v>2939</v>
      </c>
      <c r="B224" s="5" t="s">
        <v>2958</v>
      </c>
      <c r="C224" s="6" t="s">
        <v>134</v>
      </c>
      <c r="D224" s="6" t="s">
        <v>135</v>
      </c>
      <c r="E224" s="6" t="s">
        <v>136</v>
      </c>
      <c r="F224" s="18">
        <v>29338.84</v>
      </c>
      <c r="G224" s="18">
        <v>0</v>
      </c>
      <c r="H224" s="6">
        <v>0</v>
      </c>
      <c r="I224" s="6">
        <v>0</v>
      </c>
      <c r="J224" s="6">
        <v>0</v>
      </c>
      <c r="K224" s="6">
        <v>6161.16</v>
      </c>
      <c r="L224" s="6">
        <v>0</v>
      </c>
      <c r="M224" s="18">
        <v>0</v>
      </c>
      <c r="N224" s="18">
        <v>35500</v>
      </c>
    </row>
    <row r="225" spans="1:14" hidden="1">
      <c r="A225" s="4" t="s">
        <v>2939</v>
      </c>
      <c r="B225" s="5" t="s">
        <v>2959</v>
      </c>
      <c r="C225" s="6" t="s">
        <v>134</v>
      </c>
      <c r="D225" s="6" t="s">
        <v>135</v>
      </c>
      <c r="E225" s="6" t="s">
        <v>136</v>
      </c>
      <c r="F225" s="18">
        <v>11570.25</v>
      </c>
      <c r="G225" s="18">
        <v>0</v>
      </c>
      <c r="H225" s="6">
        <v>0</v>
      </c>
      <c r="I225" s="6">
        <v>0</v>
      </c>
      <c r="J225" s="6">
        <v>0</v>
      </c>
      <c r="K225" s="6">
        <v>2429.75</v>
      </c>
      <c r="L225" s="6">
        <v>0</v>
      </c>
      <c r="M225" s="18">
        <v>0</v>
      </c>
      <c r="N225" s="18">
        <v>14000</v>
      </c>
    </row>
    <row r="226" spans="1:14" hidden="1">
      <c r="A226" s="4" t="s">
        <v>2939</v>
      </c>
      <c r="B226" s="5" t="s">
        <v>2960</v>
      </c>
      <c r="C226" s="6" t="s">
        <v>134</v>
      </c>
      <c r="D226" s="6" t="s">
        <v>135</v>
      </c>
      <c r="E226" s="6" t="s">
        <v>136</v>
      </c>
      <c r="F226" s="18">
        <v>10743.8</v>
      </c>
      <c r="G226" s="18">
        <v>0</v>
      </c>
      <c r="H226" s="6">
        <v>0</v>
      </c>
      <c r="I226" s="6">
        <v>0</v>
      </c>
      <c r="J226" s="6">
        <v>0</v>
      </c>
      <c r="K226" s="6">
        <v>2256.2000000000003</v>
      </c>
      <c r="L226" s="6">
        <v>0</v>
      </c>
      <c r="M226" s="18">
        <v>0</v>
      </c>
      <c r="N226" s="18">
        <v>13000</v>
      </c>
    </row>
    <row r="227" spans="1:14" hidden="1">
      <c r="A227" s="4" t="s">
        <v>2939</v>
      </c>
      <c r="B227" s="5" t="s">
        <v>2961</v>
      </c>
      <c r="C227" s="6" t="s">
        <v>134</v>
      </c>
      <c r="D227" s="6" t="s">
        <v>135</v>
      </c>
      <c r="E227" s="6" t="s">
        <v>136</v>
      </c>
      <c r="F227" s="18">
        <v>14669.42</v>
      </c>
      <c r="G227" s="18">
        <v>0</v>
      </c>
      <c r="H227" s="6">
        <v>0</v>
      </c>
      <c r="I227" s="6">
        <v>0</v>
      </c>
      <c r="J227" s="6">
        <v>0</v>
      </c>
      <c r="K227" s="6">
        <v>3080.58</v>
      </c>
      <c r="L227" s="6">
        <v>0</v>
      </c>
      <c r="M227" s="18">
        <v>0</v>
      </c>
      <c r="N227" s="18">
        <v>17750</v>
      </c>
    </row>
    <row r="228" spans="1:14" hidden="1">
      <c r="A228" s="4" t="s">
        <v>2939</v>
      </c>
      <c r="B228" s="5" t="s">
        <v>2962</v>
      </c>
      <c r="C228" s="6" t="s">
        <v>134</v>
      </c>
      <c r="D228" s="6" t="s">
        <v>135</v>
      </c>
      <c r="E228" s="6" t="s">
        <v>136</v>
      </c>
      <c r="F228" s="18">
        <v>25619.83</v>
      </c>
      <c r="G228" s="18">
        <v>0</v>
      </c>
      <c r="H228" s="6">
        <v>0</v>
      </c>
      <c r="I228" s="6">
        <v>0</v>
      </c>
      <c r="J228" s="6">
        <v>0</v>
      </c>
      <c r="K228" s="6">
        <v>5380.17</v>
      </c>
      <c r="L228" s="6">
        <v>0</v>
      </c>
      <c r="M228" s="18">
        <v>0</v>
      </c>
      <c r="N228" s="18">
        <v>31000</v>
      </c>
    </row>
    <row r="229" spans="1:14" hidden="1">
      <c r="A229" s="4" t="s">
        <v>2939</v>
      </c>
      <c r="B229" s="5" t="s">
        <v>2963</v>
      </c>
      <c r="C229" s="6" t="s">
        <v>134</v>
      </c>
      <c r="D229" s="6" t="s">
        <v>135</v>
      </c>
      <c r="E229" s="6" t="s">
        <v>136</v>
      </c>
      <c r="F229" s="18">
        <v>10330.58</v>
      </c>
      <c r="G229" s="18">
        <v>0</v>
      </c>
      <c r="H229" s="6">
        <v>0</v>
      </c>
      <c r="I229" s="6">
        <v>0</v>
      </c>
      <c r="J229" s="6">
        <v>0</v>
      </c>
      <c r="K229" s="6">
        <v>2169.42</v>
      </c>
      <c r="L229" s="6">
        <v>0</v>
      </c>
      <c r="M229" s="18">
        <v>0</v>
      </c>
      <c r="N229" s="18">
        <v>12500</v>
      </c>
    </row>
    <row r="230" spans="1:14" hidden="1">
      <c r="A230" s="4" t="s">
        <v>2968</v>
      </c>
      <c r="B230" s="5" t="s">
        <v>2969</v>
      </c>
      <c r="C230" s="6" t="s">
        <v>134</v>
      </c>
      <c r="D230" s="6" t="s">
        <v>135</v>
      </c>
      <c r="E230" s="6" t="s">
        <v>136</v>
      </c>
      <c r="F230" s="18">
        <v>28925.62</v>
      </c>
      <c r="G230" s="18">
        <v>0</v>
      </c>
      <c r="H230" s="6">
        <v>0</v>
      </c>
      <c r="I230" s="6">
        <v>0</v>
      </c>
      <c r="J230" s="6">
        <v>0</v>
      </c>
      <c r="K230" s="6">
        <v>6074.38</v>
      </c>
      <c r="L230" s="6">
        <v>0</v>
      </c>
      <c r="M230" s="18">
        <v>0</v>
      </c>
      <c r="N230" s="18">
        <v>35000</v>
      </c>
    </row>
    <row r="231" spans="1:14" hidden="1">
      <c r="A231" s="4" t="s">
        <v>2968</v>
      </c>
      <c r="B231" s="5" t="s">
        <v>2970</v>
      </c>
      <c r="C231" s="6" t="s">
        <v>134</v>
      </c>
      <c r="D231" s="6" t="s">
        <v>135</v>
      </c>
      <c r="E231" s="6" t="s">
        <v>136</v>
      </c>
      <c r="F231" s="18">
        <v>29338.84</v>
      </c>
      <c r="G231" s="18">
        <v>0</v>
      </c>
      <c r="H231" s="6">
        <v>0</v>
      </c>
      <c r="I231" s="6">
        <v>0</v>
      </c>
      <c r="J231" s="6">
        <v>0</v>
      </c>
      <c r="K231" s="6">
        <v>6161.16</v>
      </c>
      <c r="L231" s="6">
        <v>0</v>
      </c>
      <c r="M231" s="18">
        <v>0</v>
      </c>
      <c r="N231" s="18">
        <v>35500</v>
      </c>
    </row>
    <row r="232" spans="1:14" hidden="1">
      <c r="A232" s="4" t="s">
        <v>2968</v>
      </c>
      <c r="B232" s="5" t="s">
        <v>2971</v>
      </c>
      <c r="C232" s="6" t="s">
        <v>134</v>
      </c>
      <c r="D232" s="6" t="s">
        <v>135</v>
      </c>
      <c r="E232" s="6" t="s">
        <v>136</v>
      </c>
      <c r="F232" s="18">
        <v>16528.93</v>
      </c>
      <c r="G232" s="18">
        <v>0</v>
      </c>
      <c r="H232" s="6">
        <v>0</v>
      </c>
      <c r="I232" s="6">
        <v>0</v>
      </c>
      <c r="J232" s="6">
        <v>0</v>
      </c>
      <c r="K232" s="6">
        <v>3471.07</v>
      </c>
      <c r="L232" s="6">
        <v>0</v>
      </c>
      <c r="M232" s="18">
        <v>0</v>
      </c>
      <c r="N232" s="18">
        <v>20000</v>
      </c>
    </row>
    <row r="233" spans="1:14" hidden="1">
      <c r="A233" s="4" t="s">
        <v>2968</v>
      </c>
      <c r="B233" s="5" t="s">
        <v>2972</v>
      </c>
      <c r="C233" s="6" t="s">
        <v>134</v>
      </c>
      <c r="D233" s="6" t="s">
        <v>135</v>
      </c>
      <c r="E233" s="6" t="s">
        <v>136</v>
      </c>
      <c r="F233" s="18">
        <v>15123.97</v>
      </c>
      <c r="G233" s="18">
        <v>0</v>
      </c>
      <c r="H233" s="6">
        <v>0</v>
      </c>
      <c r="I233" s="6">
        <v>0</v>
      </c>
      <c r="J233" s="6">
        <v>0</v>
      </c>
      <c r="K233" s="6">
        <v>3176.03</v>
      </c>
      <c r="L233" s="6">
        <v>0</v>
      </c>
      <c r="M233" s="18">
        <v>0</v>
      </c>
      <c r="N233" s="18">
        <v>18300</v>
      </c>
    </row>
    <row r="234" spans="1:14">
      <c r="A234" s="4" t="s">
        <v>2968</v>
      </c>
      <c r="B234" s="5" t="s">
        <v>2973</v>
      </c>
      <c r="C234" s="6" t="s">
        <v>2974</v>
      </c>
      <c r="D234" s="6" t="s">
        <v>135</v>
      </c>
      <c r="E234" s="6">
        <v>27627390</v>
      </c>
      <c r="F234" s="18">
        <v>25619.83</v>
      </c>
      <c r="G234" s="18">
        <v>0</v>
      </c>
      <c r="H234" s="6">
        <v>0</v>
      </c>
      <c r="I234" s="6">
        <v>0</v>
      </c>
      <c r="J234" s="6">
        <v>0</v>
      </c>
      <c r="K234" s="6">
        <v>5380.17</v>
      </c>
      <c r="L234" s="6">
        <v>0</v>
      </c>
      <c r="M234" s="18">
        <v>0</v>
      </c>
      <c r="N234" s="18">
        <v>31000</v>
      </c>
    </row>
    <row r="235" spans="1:14" hidden="1">
      <c r="A235" s="4" t="s">
        <v>2968</v>
      </c>
      <c r="B235" s="5" t="s">
        <v>2975</v>
      </c>
      <c r="C235" s="6" t="s">
        <v>134</v>
      </c>
      <c r="D235" s="6" t="s">
        <v>135</v>
      </c>
      <c r="E235" s="6" t="s">
        <v>136</v>
      </c>
      <c r="F235" s="18">
        <v>21487.599999999999</v>
      </c>
      <c r="G235" s="18">
        <v>0</v>
      </c>
      <c r="H235" s="6">
        <v>0</v>
      </c>
      <c r="I235" s="6">
        <v>0</v>
      </c>
      <c r="J235" s="6">
        <v>0</v>
      </c>
      <c r="K235" s="6">
        <v>4512.4000000000005</v>
      </c>
      <c r="L235" s="6">
        <v>0</v>
      </c>
      <c r="M235" s="18">
        <v>0</v>
      </c>
      <c r="N235" s="18">
        <v>26000</v>
      </c>
    </row>
    <row r="236" spans="1:14" hidden="1">
      <c r="A236" s="4" t="s">
        <v>2968</v>
      </c>
      <c r="B236" s="5" t="s">
        <v>2976</v>
      </c>
      <c r="C236" s="6" t="s">
        <v>134</v>
      </c>
      <c r="D236" s="6" t="s">
        <v>135</v>
      </c>
      <c r="E236" s="6" t="s">
        <v>136</v>
      </c>
      <c r="F236" s="18">
        <v>52892.56</v>
      </c>
      <c r="G236" s="18">
        <v>0</v>
      </c>
      <c r="H236" s="6">
        <v>0</v>
      </c>
      <c r="I236" s="6">
        <v>0</v>
      </c>
      <c r="J236" s="6">
        <v>0</v>
      </c>
      <c r="K236" s="6">
        <v>11107.44</v>
      </c>
      <c r="L236" s="6">
        <v>0</v>
      </c>
      <c r="M236" s="18">
        <v>0</v>
      </c>
      <c r="N236" s="18">
        <v>64000</v>
      </c>
    </row>
    <row r="237" spans="1:14" hidden="1">
      <c r="A237" s="4" t="s">
        <v>2968</v>
      </c>
      <c r="B237" s="5" t="s">
        <v>2977</v>
      </c>
      <c r="C237" s="6" t="s">
        <v>134</v>
      </c>
      <c r="D237" s="6" t="s">
        <v>135</v>
      </c>
      <c r="E237" s="6" t="s">
        <v>136</v>
      </c>
      <c r="F237" s="18">
        <v>10330.58</v>
      </c>
      <c r="G237" s="18">
        <v>0</v>
      </c>
      <c r="H237" s="6">
        <v>0</v>
      </c>
      <c r="I237" s="6">
        <v>0</v>
      </c>
      <c r="J237" s="6">
        <v>0</v>
      </c>
      <c r="K237" s="6">
        <v>2169.42</v>
      </c>
      <c r="L237" s="6">
        <v>0</v>
      </c>
      <c r="M237" s="18">
        <v>0</v>
      </c>
      <c r="N237" s="18">
        <v>12500</v>
      </c>
    </row>
    <row r="238" spans="1:14" hidden="1">
      <c r="A238" s="4" t="s">
        <v>2968</v>
      </c>
      <c r="B238" s="5" t="s">
        <v>2978</v>
      </c>
      <c r="C238" s="6" t="s">
        <v>134</v>
      </c>
      <c r="D238" s="6" t="s">
        <v>135</v>
      </c>
      <c r="E238" s="6" t="s">
        <v>136</v>
      </c>
      <c r="F238" s="18">
        <v>18595.04</v>
      </c>
      <c r="G238" s="18">
        <v>0</v>
      </c>
      <c r="H238" s="6">
        <v>0</v>
      </c>
      <c r="I238" s="6">
        <v>0</v>
      </c>
      <c r="J238" s="6">
        <v>0</v>
      </c>
      <c r="K238" s="6">
        <v>3904.96</v>
      </c>
      <c r="L238" s="6">
        <v>0</v>
      </c>
      <c r="M238" s="18">
        <v>0</v>
      </c>
      <c r="N238" s="18">
        <v>22500</v>
      </c>
    </row>
    <row r="239" spans="1:14" hidden="1">
      <c r="A239" s="4" t="s">
        <v>2968</v>
      </c>
      <c r="B239" s="5" t="s">
        <v>2979</v>
      </c>
      <c r="C239" s="6" t="s">
        <v>134</v>
      </c>
      <c r="D239" s="6" t="s">
        <v>135</v>
      </c>
      <c r="E239" s="6" t="s">
        <v>136</v>
      </c>
      <c r="F239" s="18">
        <v>29338.84</v>
      </c>
      <c r="G239" s="18">
        <v>0</v>
      </c>
      <c r="H239" s="6">
        <v>0</v>
      </c>
      <c r="I239" s="6">
        <v>0</v>
      </c>
      <c r="J239" s="6">
        <v>0</v>
      </c>
      <c r="K239" s="6">
        <v>6161.16</v>
      </c>
      <c r="L239" s="6">
        <v>0</v>
      </c>
      <c r="M239" s="18">
        <v>0</v>
      </c>
      <c r="N239" s="18">
        <v>35500</v>
      </c>
    </row>
    <row r="240" spans="1:14" hidden="1">
      <c r="A240" s="4" t="s">
        <v>2968</v>
      </c>
      <c r="B240" s="5" t="s">
        <v>2980</v>
      </c>
      <c r="C240" s="6" t="s">
        <v>134</v>
      </c>
      <c r="D240" s="6" t="s">
        <v>135</v>
      </c>
      <c r="E240" s="6" t="s">
        <v>136</v>
      </c>
      <c r="F240" s="18">
        <v>10743.8</v>
      </c>
      <c r="G240" s="18">
        <v>0</v>
      </c>
      <c r="H240" s="6">
        <v>0</v>
      </c>
      <c r="I240" s="6">
        <v>0</v>
      </c>
      <c r="J240" s="6">
        <v>0</v>
      </c>
      <c r="K240" s="6">
        <v>2256.2000000000003</v>
      </c>
      <c r="L240" s="6">
        <v>0</v>
      </c>
      <c r="M240" s="18">
        <v>0</v>
      </c>
      <c r="N240" s="18">
        <v>13000</v>
      </c>
    </row>
    <row r="241" spans="1:14" hidden="1">
      <c r="A241" s="4" t="s">
        <v>2968</v>
      </c>
      <c r="B241" s="5" t="s">
        <v>2981</v>
      </c>
      <c r="C241" s="6" t="s">
        <v>134</v>
      </c>
      <c r="D241" s="6" t="s">
        <v>135</v>
      </c>
      <c r="E241" s="6" t="s">
        <v>136</v>
      </c>
      <c r="F241" s="18">
        <v>21487.599999999999</v>
      </c>
      <c r="G241" s="18">
        <v>0</v>
      </c>
      <c r="H241" s="6">
        <v>0</v>
      </c>
      <c r="I241" s="6">
        <v>0</v>
      </c>
      <c r="J241" s="6">
        <v>0</v>
      </c>
      <c r="K241" s="6">
        <v>4512.4000000000005</v>
      </c>
      <c r="L241" s="6">
        <v>0</v>
      </c>
      <c r="M241" s="18">
        <v>0</v>
      </c>
      <c r="N241" s="18">
        <v>26000</v>
      </c>
    </row>
    <row r="242" spans="1:14">
      <c r="A242" s="4" t="s">
        <v>2968</v>
      </c>
      <c r="B242" s="5" t="s">
        <v>2982</v>
      </c>
      <c r="C242" s="6" t="s">
        <v>2983</v>
      </c>
      <c r="D242" s="6" t="s">
        <v>135</v>
      </c>
      <c r="E242" s="6">
        <v>4971413</v>
      </c>
      <c r="F242" s="18">
        <v>21487.599999999999</v>
      </c>
      <c r="G242" s="18">
        <v>0</v>
      </c>
      <c r="H242" s="6">
        <v>0</v>
      </c>
      <c r="I242" s="6">
        <v>0</v>
      </c>
      <c r="J242" s="6">
        <v>0</v>
      </c>
      <c r="K242" s="6">
        <v>4512.4000000000005</v>
      </c>
      <c r="L242" s="6">
        <v>0</v>
      </c>
      <c r="M242" s="18">
        <v>0</v>
      </c>
      <c r="N242" s="18">
        <v>26000</v>
      </c>
    </row>
    <row r="243" spans="1:14" hidden="1">
      <c r="A243" s="4" t="s">
        <v>2968</v>
      </c>
      <c r="B243" s="5" t="s">
        <v>2984</v>
      </c>
      <c r="C243" s="6" t="s">
        <v>134</v>
      </c>
      <c r="D243" s="6" t="s">
        <v>135</v>
      </c>
      <c r="E243" s="6" t="s">
        <v>136</v>
      </c>
      <c r="F243" s="18">
        <v>31818.18</v>
      </c>
      <c r="G243" s="18">
        <v>0</v>
      </c>
      <c r="H243" s="6">
        <v>0</v>
      </c>
      <c r="I243" s="6">
        <v>0</v>
      </c>
      <c r="J243" s="6">
        <v>0</v>
      </c>
      <c r="K243" s="6">
        <v>6681.82</v>
      </c>
      <c r="L243" s="6">
        <v>0</v>
      </c>
      <c r="M243" s="18">
        <v>0</v>
      </c>
      <c r="N243" s="18">
        <v>38500</v>
      </c>
    </row>
    <row r="244" spans="1:14" hidden="1">
      <c r="A244" s="4" t="s">
        <v>2968</v>
      </c>
      <c r="B244" s="5" t="s">
        <v>2985</v>
      </c>
      <c r="C244" s="6" t="s">
        <v>134</v>
      </c>
      <c r="D244" s="6" t="s">
        <v>135</v>
      </c>
      <c r="E244" s="6" t="s">
        <v>136</v>
      </c>
      <c r="F244" s="18">
        <v>14669.42</v>
      </c>
      <c r="G244" s="18">
        <v>0</v>
      </c>
      <c r="H244" s="6">
        <v>0</v>
      </c>
      <c r="I244" s="6">
        <v>0</v>
      </c>
      <c r="J244" s="6">
        <v>0</v>
      </c>
      <c r="K244" s="6">
        <v>3080.58</v>
      </c>
      <c r="L244" s="6">
        <v>0</v>
      </c>
      <c r="M244" s="18">
        <v>0</v>
      </c>
      <c r="N244" s="18">
        <v>17750</v>
      </c>
    </row>
    <row r="245" spans="1:14" hidden="1">
      <c r="A245" s="4" t="s">
        <v>2968</v>
      </c>
      <c r="B245" s="5" t="s">
        <v>2986</v>
      </c>
      <c r="C245" s="6" t="s">
        <v>134</v>
      </c>
      <c r="D245" s="6" t="s">
        <v>135</v>
      </c>
      <c r="E245" s="6" t="s">
        <v>136</v>
      </c>
      <c r="F245" s="18">
        <v>16528.93</v>
      </c>
      <c r="G245" s="18">
        <v>0</v>
      </c>
      <c r="H245" s="6">
        <v>0</v>
      </c>
      <c r="I245" s="6">
        <v>0</v>
      </c>
      <c r="J245" s="6">
        <v>0</v>
      </c>
      <c r="K245" s="6">
        <v>3471.07</v>
      </c>
      <c r="L245" s="6">
        <v>0</v>
      </c>
      <c r="M245" s="18">
        <v>0</v>
      </c>
      <c r="N245" s="18">
        <v>20000</v>
      </c>
    </row>
    <row r="246" spans="1:14" hidden="1">
      <c r="A246" s="4" t="s">
        <v>2968</v>
      </c>
      <c r="B246" s="5" t="s">
        <v>2987</v>
      </c>
      <c r="C246" s="6" t="s">
        <v>134</v>
      </c>
      <c r="D246" s="6" t="s">
        <v>135</v>
      </c>
      <c r="E246" s="6" t="s">
        <v>136</v>
      </c>
      <c r="F246" s="18">
        <v>22314.05</v>
      </c>
      <c r="G246" s="18">
        <v>0</v>
      </c>
      <c r="H246" s="6">
        <v>0</v>
      </c>
      <c r="I246" s="6">
        <v>0</v>
      </c>
      <c r="J246" s="6">
        <v>0</v>
      </c>
      <c r="K246" s="6">
        <v>4685.95</v>
      </c>
      <c r="L246" s="6">
        <v>0</v>
      </c>
      <c r="M246" s="18">
        <v>0</v>
      </c>
      <c r="N246" s="18">
        <v>27000</v>
      </c>
    </row>
    <row r="247" spans="1:14" hidden="1">
      <c r="A247" s="4" t="s">
        <v>2990</v>
      </c>
      <c r="B247" s="5" t="s">
        <v>2991</v>
      </c>
      <c r="C247" s="6" t="s">
        <v>134</v>
      </c>
      <c r="D247" s="6" t="s">
        <v>135</v>
      </c>
      <c r="E247" s="6" t="s">
        <v>136</v>
      </c>
      <c r="F247" s="18">
        <v>10743.8</v>
      </c>
      <c r="G247" s="18">
        <v>0</v>
      </c>
      <c r="H247" s="6">
        <v>0</v>
      </c>
      <c r="I247" s="6">
        <v>0</v>
      </c>
      <c r="J247" s="6">
        <v>0</v>
      </c>
      <c r="K247" s="6">
        <v>2256.2000000000003</v>
      </c>
      <c r="L247" s="6">
        <v>0</v>
      </c>
      <c r="M247" s="18">
        <v>0</v>
      </c>
      <c r="N247" s="18">
        <v>13000</v>
      </c>
    </row>
    <row r="248" spans="1:14" hidden="1">
      <c r="A248" s="4" t="s">
        <v>2990</v>
      </c>
      <c r="B248" s="5" t="s">
        <v>2992</v>
      </c>
      <c r="C248" s="6" t="s">
        <v>134</v>
      </c>
      <c r="D248" s="6" t="s">
        <v>135</v>
      </c>
      <c r="E248" s="6" t="s">
        <v>136</v>
      </c>
      <c r="F248" s="18">
        <v>12809.92</v>
      </c>
      <c r="G248" s="18">
        <v>0</v>
      </c>
      <c r="H248" s="6">
        <v>0</v>
      </c>
      <c r="I248" s="6">
        <v>0</v>
      </c>
      <c r="J248" s="6">
        <v>0</v>
      </c>
      <c r="K248" s="6">
        <v>2690.08</v>
      </c>
      <c r="L248" s="6">
        <v>0</v>
      </c>
      <c r="M248" s="18">
        <v>0</v>
      </c>
      <c r="N248" s="18">
        <v>15500</v>
      </c>
    </row>
    <row r="249" spans="1:14" hidden="1">
      <c r="A249" s="4" t="s">
        <v>2990</v>
      </c>
      <c r="B249" s="5" t="s">
        <v>2993</v>
      </c>
      <c r="C249" s="6" t="s">
        <v>134</v>
      </c>
      <c r="D249" s="6" t="s">
        <v>135</v>
      </c>
      <c r="E249" s="6" t="s">
        <v>136</v>
      </c>
      <c r="F249" s="18">
        <v>10743.8</v>
      </c>
      <c r="G249" s="18">
        <v>0</v>
      </c>
      <c r="H249" s="6">
        <v>0</v>
      </c>
      <c r="I249" s="6">
        <v>0</v>
      </c>
      <c r="J249" s="6">
        <v>0</v>
      </c>
      <c r="K249" s="6">
        <v>2256.2000000000003</v>
      </c>
      <c r="L249" s="6">
        <v>0</v>
      </c>
      <c r="M249" s="18">
        <v>0</v>
      </c>
      <c r="N249" s="18">
        <v>13000</v>
      </c>
    </row>
    <row r="250" spans="1:14" hidden="1">
      <c r="A250" s="4" t="s">
        <v>2990</v>
      </c>
      <c r="B250" s="5" t="s">
        <v>2994</v>
      </c>
      <c r="C250" s="6" t="s">
        <v>134</v>
      </c>
      <c r="D250" s="6" t="s">
        <v>135</v>
      </c>
      <c r="E250" s="6" t="s">
        <v>136</v>
      </c>
      <c r="F250" s="18">
        <v>10330.58</v>
      </c>
      <c r="G250" s="18">
        <v>0</v>
      </c>
      <c r="H250" s="6">
        <v>0</v>
      </c>
      <c r="I250" s="6">
        <v>0</v>
      </c>
      <c r="J250" s="6">
        <v>0</v>
      </c>
      <c r="K250" s="6">
        <v>2169.42</v>
      </c>
      <c r="L250" s="6">
        <v>0</v>
      </c>
      <c r="M250" s="18">
        <v>0</v>
      </c>
      <c r="N250" s="18">
        <v>12500</v>
      </c>
    </row>
    <row r="251" spans="1:14" hidden="1">
      <c r="A251" s="4" t="s">
        <v>2990</v>
      </c>
      <c r="B251" s="5" t="s">
        <v>2995</v>
      </c>
      <c r="C251" s="6" t="s">
        <v>134</v>
      </c>
      <c r="D251" s="6" t="s">
        <v>135</v>
      </c>
      <c r="E251" s="6" t="s">
        <v>136</v>
      </c>
      <c r="F251" s="18">
        <v>14876.03</v>
      </c>
      <c r="G251" s="18">
        <v>0</v>
      </c>
      <c r="H251" s="6">
        <v>0</v>
      </c>
      <c r="I251" s="6">
        <v>0</v>
      </c>
      <c r="J251" s="6">
        <v>0</v>
      </c>
      <c r="K251" s="6">
        <v>3123.97</v>
      </c>
      <c r="L251" s="6">
        <v>0</v>
      </c>
      <c r="M251" s="18">
        <v>0</v>
      </c>
      <c r="N251" s="18">
        <v>18000</v>
      </c>
    </row>
    <row r="252" spans="1:14" hidden="1">
      <c r="A252" s="4" t="s">
        <v>2990</v>
      </c>
      <c r="B252" s="5" t="s">
        <v>2996</v>
      </c>
      <c r="C252" s="6" t="s">
        <v>134</v>
      </c>
      <c r="D252" s="6" t="s">
        <v>135</v>
      </c>
      <c r="E252" s="6" t="s">
        <v>136</v>
      </c>
      <c r="F252" s="18">
        <v>3471.07</v>
      </c>
      <c r="G252" s="18">
        <v>0</v>
      </c>
      <c r="H252" s="6">
        <v>0</v>
      </c>
      <c r="I252" s="6">
        <v>0</v>
      </c>
      <c r="J252" s="6">
        <v>0</v>
      </c>
      <c r="K252" s="6">
        <v>728.93</v>
      </c>
      <c r="L252" s="6">
        <v>0</v>
      </c>
      <c r="M252" s="18">
        <v>0</v>
      </c>
      <c r="N252" s="18">
        <v>4200</v>
      </c>
    </row>
    <row r="253" spans="1:14" hidden="1">
      <c r="A253" s="4" t="s">
        <v>2990</v>
      </c>
      <c r="B253" s="5" t="s">
        <v>2997</v>
      </c>
      <c r="C253" s="6" t="s">
        <v>134</v>
      </c>
      <c r="D253" s="6" t="s">
        <v>135</v>
      </c>
      <c r="E253" s="6" t="s">
        <v>136</v>
      </c>
      <c r="F253" s="18">
        <v>10743.8</v>
      </c>
      <c r="G253" s="18">
        <v>0</v>
      </c>
      <c r="H253" s="6">
        <v>0</v>
      </c>
      <c r="I253" s="6">
        <v>0</v>
      </c>
      <c r="J253" s="6">
        <v>0</v>
      </c>
      <c r="K253" s="6">
        <v>2256.2000000000003</v>
      </c>
      <c r="L253" s="6">
        <v>0</v>
      </c>
      <c r="M253" s="18">
        <v>0</v>
      </c>
      <c r="N253" s="18">
        <v>13000</v>
      </c>
    </row>
    <row r="254" spans="1:14" hidden="1">
      <c r="A254" s="4" t="s">
        <v>2990</v>
      </c>
      <c r="B254" s="5" t="s">
        <v>2998</v>
      </c>
      <c r="C254" s="6" t="s">
        <v>134</v>
      </c>
      <c r="D254" s="6" t="s">
        <v>135</v>
      </c>
      <c r="E254" s="6" t="s">
        <v>136</v>
      </c>
      <c r="F254" s="18">
        <v>10743.8</v>
      </c>
      <c r="G254" s="18">
        <v>0</v>
      </c>
      <c r="H254" s="6">
        <v>0</v>
      </c>
      <c r="I254" s="6">
        <v>0</v>
      </c>
      <c r="J254" s="6">
        <v>0</v>
      </c>
      <c r="K254" s="6">
        <v>2256.2000000000003</v>
      </c>
      <c r="L254" s="6">
        <v>0</v>
      </c>
      <c r="M254" s="18">
        <v>0</v>
      </c>
      <c r="N254" s="18">
        <v>13000</v>
      </c>
    </row>
    <row r="255" spans="1:14" hidden="1">
      <c r="A255" s="4" t="s">
        <v>2990</v>
      </c>
      <c r="B255" s="5" t="s">
        <v>2999</v>
      </c>
      <c r="C255" s="6" t="s">
        <v>134</v>
      </c>
      <c r="D255" s="6" t="s">
        <v>135</v>
      </c>
      <c r="E255" s="6" t="s">
        <v>136</v>
      </c>
      <c r="F255" s="18">
        <v>10743.8</v>
      </c>
      <c r="G255" s="18">
        <v>0</v>
      </c>
      <c r="H255" s="6">
        <v>0</v>
      </c>
      <c r="I255" s="6">
        <v>0</v>
      </c>
      <c r="J255" s="6">
        <v>0</v>
      </c>
      <c r="K255" s="6">
        <v>2256.2000000000003</v>
      </c>
      <c r="L255" s="6">
        <v>0</v>
      </c>
      <c r="M255" s="18">
        <v>0</v>
      </c>
      <c r="N255" s="18">
        <v>13000</v>
      </c>
    </row>
    <row r="256" spans="1:14" hidden="1">
      <c r="A256" s="4" t="s">
        <v>2990</v>
      </c>
      <c r="B256" s="5" t="s">
        <v>3000</v>
      </c>
      <c r="C256" s="6" t="s">
        <v>134</v>
      </c>
      <c r="D256" s="6" t="s">
        <v>135</v>
      </c>
      <c r="E256" s="6" t="s">
        <v>136</v>
      </c>
      <c r="F256" s="18">
        <v>10743.8</v>
      </c>
      <c r="G256" s="18">
        <v>0</v>
      </c>
      <c r="H256" s="6">
        <v>0</v>
      </c>
      <c r="I256" s="6">
        <v>0</v>
      </c>
      <c r="J256" s="6">
        <v>0</v>
      </c>
      <c r="K256" s="6">
        <v>2256.2000000000003</v>
      </c>
      <c r="L256" s="6">
        <v>0</v>
      </c>
      <c r="M256" s="18">
        <v>0</v>
      </c>
      <c r="N256" s="18">
        <v>13000</v>
      </c>
    </row>
    <row r="257" spans="1:14" hidden="1">
      <c r="A257" s="4" t="s">
        <v>2990</v>
      </c>
      <c r="B257" s="5" t="s">
        <v>3001</v>
      </c>
      <c r="C257" s="6" t="s">
        <v>134</v>
      </c>
      <c r="D257" s="6" t="s">
        <v>135</v>
      </c>
      <c r="E257" s="6" t="s">
        <v>136</v>
      </c>
      <c r="F257" s="18">
        <v>21074.38</v>
      </c>
      <c r="G257" s="18">
        <v>0</v>
      </c>
      <c r="H257" s="6">
        <v>0</v>
      </c>
      <c r="I257" s="6">
        <v>0</v>
      </c>
      <c r="J257" s="6">
        <v>0</v>
      </c>
      <c r="K257" s="6">
        <v>4425.62</v>
      </c>
      <c r="L257" s="6">
        <v>0</v>
      </c>
      <c r="M257" s="18">
        <v>0</v>
      </c>
      <c r="N257" s="18">
        <v>25500</v>
      </c>
    </row>
    <row r="258" spans="1:14" hidden="1">
      <c r="A258" s="4" t="s">
        <v>2990</v>
      </c>
      <c r="B258" s="5" t="s">
        <v>3002</v>
      </c>
      <c r="C258" s="6" t="s">
        <v>134</v>
      </c>
      <c r="D258" s="6" t="s">
        <v>135</v>
      </c>
      <c r="E258" s="6" t="s">
        <v>136</v>
      </c>
      <c r="F258" s="18">
        <v>14876.03</v>
      </c>
      <c r="G258" s="18">
        <v>0</v>
      </c>
      <c r="H258" s="6">
        <v>0</v>
      </c>
      <c r="I258" s="6">
        <v>0</v>
      </c>
      <c r="J258" s="6">
        <v>0</v>
      </c>
      <c r="K258" s="6">
        <v>3123.97</v>
      </c>
      <c r="L258" s="6">
        <v>0</v>
      </c>
      <c r="M258" s="18">
        <v>0</v>
      </c>
      <c r="N258" s="18">
        <v>18000</v>
      </c>
    </row>
    <row r="259" spans="1:14" hidden="1">
      <c r="A259" s="4" t="s">
        <v>2990</v>
      </c>
      <c r="B259" s="5" t="s">
        <v>3003</v>
      </c>
      <c r="C259" s="6" t="s">
        <v>134</v>
      </c>
      <c r="D259" s="6" t="s">
        <v>135</v>
      </c>
      <c r="E259" s="6" t="s">
        <v>136</v>
      </c>
      <c r="F259" s="18">
        <v>10743.8</v>
      </c>
      <c r="G259" s="18">
        <v>0</v>
      </c>
      <c r="H259" s="6">
        <v>0</v>
      </c>
      <c r="I259" s="6">
        <v>0</v>
      </c>
      <c r="J259" s="6">
        <v>0</v>
      </c>
      <c r="K259" s="6">
        <v>2256.2000000000003</v>
      </c>
      <c r="L259" s="6">
        <v>0</v>
      </c>
      <c r="M259" s="18">
        <v>0</v>
      </c>
      <c r="N259" s="18">
        <v>13000</v>
      </c>
    </row>
    <row r="260" spans="1:14" hidden="1">
      <c r="A260" s="4" t="s">
        <v>2990</v>
      </c>
      <c r="B260" s="5" t="s">
        <v>3004</v>
      </c>
      <c r="C260" s="6" t="s">
        <v>134</v>
      </c>
      <c r="D260" s="6" t="s">
        <v>135</v>
      </c>
      <c r="E260" s="6" t="s">
        <v>136</v>
      </c>
      <c r="F260" s="18">
        <v>1652.89</v>
      </c>
      <c r="G260" s="18">
        <v>0</v>
      </c>
      <c r="H260" s="6">
        <v>0</v>
      </c>
      <c r="I260" s="6">
        <v>0</v>
      </c>
      <c r="J260" s="6">
        <v>0</v>
      </c>
      <c r="K260" s="6">
        <v>347.11</v>
      </c>
      <c r="L260" s="6">
        <v>0</v>
      </c>
      <c r="M260" s="18">
        <v>0</v>
      </c>
      <c r="N260" s="18">
        <v>2000</v>
      </c>
    </row>
    <row r="261" spans="1:14" hidden="1">
      <c r="A261" s="4" t="s">
        <v>2990</v>
      </c>
      <c r="B261" s="5" t="s">
        <v>3005</v>
      </c>
      <c r="C261" s="6" t="s">
        <v>134</v>
      </c>
      <c r="D261" s="6" t="s">
        <v>135</v>
      </c>
      <c r="E261" s="6" t="s">
        <v>136</v>
      </c>
      <c r="F261" s="18">
        <v>3305.79</v>
      </c>
      <c r="G261" s="18">
        <v>0</v>
      </c>
      <c r="H261" s="6">
        <v>0</v>
      </c>
      <c r="I261" s="6">
        <v>0</v>
      </c>
      <c r="J261" s="6">
        <v>0</v>
      </c>
      <c r="K261" s="6">
        <v>694.21</v>
      </c>
      <c r="L261" s="6">
        <v>0</v>
      </c>
      <c r="M261" s="18">
        <v>0</v>
      </c>
      <c r="N261" s="18">
        <v>4000</v>
      </c>
    </row>
    <row r="262" spans="1:14" hidden="1">
      <c r="A262" s="4" t="s">
        <v>2990</v>
      </c>
      <c r="B262" s="5" t="s">
        <v>3006</v>
      </c>
      <c r="C262" s="6" t="s">
        <v>134</v>
      </c>
      <c r="D262" s="6" t="s">
        <v>135</v>
      </c>
      <c r="E262" s="6" t="s">
        <v>136</v>
      </c>
      <c r="F262" s="18">
        <v>21487.599999999999</v>
      </c>
      <c r="G262" s="18">
        <v>0</v>
      </c>
      <c r="H262" s="6">
        <v>0</v>
      </c>
      <c r="I262" s="6">
        <v>0</v>
      </c>
      <c r="J262" s="6">
        <v>0</v>
      </c>
      <c r="K262" s="6">
        <v>4512.4000000000005</v>
      </c>
      <c r="L262" s="6">
        <v>0</v>
      </c>
      <c r="M262" s="18">
        <v>0</v>
      </c>
      <c r="N262" s="18">
        <v>26000</v>
      </c>
    </row>
    <row r="263" spans="1:14" hidden="1">
      <c r="A263" s="4" t="s">
        <v>2990</v>
      </c>
      <c r="B263" s="5" t="s">
        <v>3007</v>
      </c>
      <c r="C263" s="6" t="s">
        <v>134</v>
      </c>
      <c r="D263" s="6" t="s">
        <v>135</v>
      </c>
      <c r="E263" s="6" t="s">
        <v>136</v>
      </c>
      <c r="F263" s="18">
        <v>39669.42</v>
      </c>
      <c r="G263" s="18">
        <v>0</v>
      </c>
      <c r="H263" s="6">
        <v>0</v>
      </c>
      <c r="I263" s="6">
        <v>0</v>
      </c>
      <c r="J263" s="6">
        <v>0</v>
      </c>
      <c r="K263" s="6">
        <v>8330.58</v>
      </c>
      <c r="L263" s="6">
        <v>0</v>
      </c>
      <c r="M263" s="18">
        <v>0</v>
      </c>
      <c r="N263" s="18">
        <v>48000</v>
      </c>
    </row>
    <row r="264" spans="1:14">
      <c r="A264" s="4" t="s">
        <v>2990</v>
      </c>
      <c r="B264" s="5" t="s">
        <v>3008</v>
      </c>
      <c r="C264" s="6" t="s">
        <v>3009</v>
      </c>
      <c r="D264" s="6" t="s">
        <v>135</v>
      </c>
      <c r="E264" s="6">
        <v>21156563</v>
      </c>
      <c r="F264" s="18">
        <v>39669.42</v>
      </c>
      <c r="G264" s="18">
        <v>0</v>
      </c>
      <c r="H264" s="6">
        <v>0</v>
      </c>
      <c r="I264" s="6">
        <v>0</v>
      </c>
      <c r="J264" s="6">
        <v>0</v>
      </c>
      <c r="K264" s="6">
        <v>8330.58</v>
      </c>
      <c r="L264" s="6">
        <v>0</v>
      </c>
      <c r="M264" s="18">
        <v>0</v>
      </c>
      <c r="N264" s="18">
        <v>48000</v>
      </c>
    </row>
    <row r="265" spans="1:14" hidden="1">
      <c r="A265" s="4" t="s">
        <v>2990</v>
      </c>
      <c r="B265" s="5" t="s">
        <v>3010</v>
      </c>
      <c r="C265" s="6" t="s">
        <v>134</v>
      </c>
      <c r="D265" s="6" t="s">
        <v>135</v>
      </c>
      <c r="E265" s="6" t="s">
        <v>136</v>
      </c>
      <c r="F265" s="18">
        <v>21487.599999999999</v>
      </c>
      <c r="G265" s="18">
        <v>0</v>
      </c>
      <c r="H265" s="6">
        <v>0</v>
      </c>
      <c r="I265" s="6">
        <v>0</v>
      </c>
      <c r="J265" s="6">
        <v>0</v>
      </c>
      <c r="K265" s="6">
        <v>4512.4000000000005</v>
      </c>
      <c r="L265" s="6">
        <v>0</v>
      </c>
      <c r="M265" s="18">
        <v>0</v>
      </c>
      <c r="N265" s="18">
        <v>26000</v>
      </c>
    </row>
    <row r="266" spans="1:14" hidden="1">
      <c r="A266" s="4" t="s">
        <v>2990</v>
      </c>
      <c r="B266" s="5" t="s">
        <v>3011</v>
      </c>
      <c r="C266" s="6" t="s">
        <v>134</v>
      </c>
      <c r="D266" s="6" t="s">
        <v>135</v>
      </c>
      <c r="E266" s="6" t="s">
        <v>136</v>
      </c>
      <c r="F266" s="18">
        <v>4958.68</v>
      </c>
      <c r="G266" s="18">
        <v>0</v>
      </c>
      <c r="H266" s="6">
        <v>0</v>
      </c>
      <c r="I266" s="6">
        <v>0</v>
      </c>
      <c r="J266" s="6">
        <v>0</v>
      </c>
      <c r="K266" s="6">
        <v>1041.32</v>
      </c>
      <c r="L266" s="6">
        <v>0</v>
      </c>
      <c r="M266" s="18">
        <v>0</v>
      </c>
      <c r="N266" s="18">
        <v>6000</v>
      </c>
    </row>
    <row r="267" spans="1:14" hidden="1">
      <c r="A267" s="4" t="s">
        <v>2990</v>
      </c>
      <c r="B267" s="5" t="s">
        <v>3012</v>
      </c>
      <c r="C267" s="6" t="s">
        <v>134</v>
      </c>
      <c r="D267" s="6" t="s">
        <v>135</v>
      </c>
      <c r="E267" s="6" t="s">
        <v>136</v>
      </c>
      <c r="F267" s="18">
        <v>10743.8</v>
      </c>
      <c r="G267" s="18">
        <v>0</v>
      </c>
      <c r="H267" s="6">
        <v>0</v>
      </c>
      <c r="I267" s="6">
        <v>0</v>
      </c>
      <c r="J267" s="6">
        <v>0</v>
      </c>
      <c r="K267" s="6">
        <v>2256.2000000000003</v>
      </c>
      <c r="L267" s="6">
        <v>0</v>
      </c>
      <c r="M267" s="18">
        <v>0</v>
      </c>
      <c r="N267" s="18">
        <v>13000</v>
      </c>
    </row>
    <row r="268" spans="1:14" hidden="1">
      <c r="A268" s="4" t="s">
        <v>2990</v>
      </c>
      <c r="B268" s="5" t="s">
        <v>3013</v>
      </c>
      <c r="C268" s="6" t="s">
        <v>134</v>
      </c>
      <c r="D268" s="6" t="s">
        <v>135</v>
      </c>
      <c r="E268" s="6" t="s">
        <v>136</v>
      </c>
      <c r="F268" s="18">
        <v>10743.8</v>
      </c>
      <c r="G268" s="18">
        <v>0</v>
      </c>
      <c r="H268" s="6">
        <v>0</v>
      </c>
      <c r="I268" s="6">
        <v>0</v>
      </c>
      <c r="J268" s="6">
        <v>0</v>
      </c>
      <c r="K268" s="6">
        <v>2256.2000000000003</v>
      </c>
      <c r="L268" s="6">
        <v>0</v>
      </c>
      <c r="M268" s="18">
        <v>0</v>
      </c>
      <c r="N268" s="18">
        <v>13000</v>
      </c>
    </row>
    <row r="269" spans="1:14" hidden="1">
      <c r="A269" s="4" t="s">
        <v>2990</v>
      </c>
      <c r="B269" s="5" t="s">
        <v>3014</v>
      </c>
      <c r="C269" s="6" t="s">
        <v>134</v>
      </c>
      <c r="D269" s="6" t="s">
        <v>135</v>
      </c>
      <c r="E269" s="6" t="s">
        <v>136</v>
      </c>
      <c r="F269" s="18">
        <v>49586.78</v>
      </c>
      <c r="G269" s="18">
        <v>0</v>
      </c>
      <c r="H269" s="6">
        <v>0</v>
      </c>
      <c r="I269" s="6">
        <v>0</v>
      </c>
      <c r="J269" s="6">
        <v>0</v>
      </c>
      <c r="K269" s="6">
        <v>10413.219999999999</v>
      </c>
      <c r="L269" s="6">
        <v>0</v>
      </c>
      <c r="M269" s="18">
        <v>0</v>
      </c>
      <c r="N269" s="18">
        <v>60000</v>
      </c>
    </row>
    <row r="270" spans="1:14" hidden="1">
      <c r="A270" s="4" t="s">
        <v>2990</v>
      </c>
      <c r="B270" s="5" t="s">
        <v>3015</v>
      </c>
      <c r="C270" s="6" t="s">
        <v>134</v>
      </c>
      <c r="D270" s="6" t="s">
        <v>135</v>
      </c>
      <c r="E270" s="6" t="s">
        <v>136</v>
      </c>
      <c r="F270" s="18">
        <v>12396.69</v>
      </c>
      <c r="G270" s="18">
        <v>0</v>
      </c>
      <c r="H270" s="6">
        <v>0</v>
      </c>
      <c r="I270" s="6">
        <v>0</v>
      </c>
      <c r="J270" s="6">
        <v>0</v>
      </c>
      <c r="K270" s="6">
        <v>2603.31</v>
      </c>
      <c r="L270" s="6">
        <v>0</v>
      </c>
      <c r="M270" s="18">
        <v>0</v>
      </c>
      <c r="N270" s="18">
        <v>15000</v>
      </c>
    </row>
    <row r="271" spans="1:14" hidden="1">
      <c r="A271" s="4" t="s">
        <v>3025</v>
      </c>
      <c r="B271" s="5" t="s">
        <v>3026</v>
      </c>
      <c r="C271" s="6" t="s">
        <v>134</v>
      </c>
      <c r="D271" s="6" t="s">
        <v>135</v>
      </c>
      <c r="E271" s="6" t="s">
        <v>136</v>
      </c>
      <c r="F271" s="18">
        <v>33884.300000000003</v>
      </c>
      <c r="G271" s="18">
        <v>0</v>
      </c>
      <c r="H271" s="6">
        <v>0</v>
      </c>
      <c r="I271" s="6">
        <v>0</v>
      </c>
      <c r="J271" s="6">
        <v>0</v>
      </c>
      <c r="K271" s="6">
        <v>7115.7</v>
      </c>
      <c r="L271" s="6">
        <v>0</v>
      </c>
      <c r="M271" s="18">
        <v>0</v>
      </c>
      <c r="N271" s="18">
        <v>41000</v>
      </c>
    </row>
    <row r="272" spans="1:14" hidden="1">
      <c r="A272" s="4" t="s">
        <v>3025</v>
      </c>
      <c r="B272" s="5" t="s">
        <v>3027</v>
      </c>
      <c r="C272" s="6" t="s">
        <v>134</v>
      </c>
      <c r="D272" s="6" t="s">
        <v>135</v>
      </c>
      <c r="E272" s="6" t="s">
        <v>136</v>
      </c>
      <c r="F272" s="18">
        <v>34710.74</v>
      </c>
      <c r="G272" s="18">
        <v>0</v>
      </c>
      <c r="H272" s="6">
        <v>0</v>
      </c>
      <c r="I272" s="6">
        <v>0</v>
      </c>
      <c r="J272" s="6">
        <v>0</v>
      </c>
      <c r="K272" s="6">
        <v>7289.26</v>
      </c>
      <c r="L272" s="6">
        <v>0</v>
      </c>
      <c r="M272" s="18">
        <v>0</v>
      </c>
      <c r="N272" s="18">
        <v>42000</v>
      </c>
    </row>
    <row r="273" spans="1:14" hidden="1">
      <c r="A273" s="4" t="s">
        <v>3025</v>
      </c>
      <c r="B273" s="5" t="s">
        <v>3028</v>
      </c>
      <c r="C273" s="6" t="s">
        <v>134</v>
      </c>
      <c r="D273" s="6" t="s">
        <v>135</v>
      </c>
      <c r="E273" s="6" t="s">
        <v>136</v>
      </c>
      <c r="F273" s="18">
        <v>8595.0400000000009</v>
      </c>
      <c r="G273" s="18">
        <v>0</v>
      </c>
      <c r="H273" s="6">
        <v>0</v>
      </c>
      <c r="I273" s="6">
        <v>0</v>
      </c>
      <c r="J273" s="6">
        <v>0</v>
      </c>
      <c r="K273" s="6">
        <v>1804.96</v>
      </c>
      <c r="L273" s="6">
        <v>0</v>
      </c>
      <c r="M273" s="18">
        <v>0</v>
      </c>
      <c r="N273" s="18">
        <v>10400</v>
      </c>
    </row>
    <row r="274" spans="1:14" hidden="1">
      <c r="A274" s="4" t="s">
        <v>3025</v>
      </c>
      <c r="B274" s="5" t="s">
        <v>3029</v>
      </c>
      <c r="C274" s="6" t="s">
        <v>134</v>
      </c>
      <c r="D274" s="6" t="s">
        <v>135</v>
      </c>
      <c r="E274" s="6" t="s">
        <v>136</v>
      </c>
      <c r="F274" s="18">
        <v>15909.09</v>
      </c>
      <c r="G274" s="18">
        <v>0</v>
      </c>
      <c r="H274" s="6">
        <v>0</v>
      </c>
      <c r="I274" s="6">
        <v>0</v>
      </c>
      <c r="J274" s="6">
        <v>0</v>
      </c>
      <c r="K274" s="6">
        <v>3340.91</v>
      </c>
      <c r="L274" s="6">
        <v>0</v>
      </c>
      <c r="M274" s="18">
        <v>0</v>
      </c>
      <c r="N274" s="18">
        <v>19250</v>
      </c>
    </row>
    <row r="275" spans="1:14" hidden="1">
      <c r="A275" s="4" t="s">
        <v>3025</v>
      </c>
      <c r="B275" s="5" t="s">
        <v>3030</v>
      </c>
      <c r="C275" s="6" t="s">
        <v>134</v>
      </c>
      <c r="D275" s="6" t="s">
        <v>135</v>
      </c>
      <c r="E275" s="6" t="s">
        <v>136</v>
      </c>
      <c r="F275" s="18">
        <v>26776.86</v>
      </c>
      <c r="G275" s="18">
        <v>0</v>
      </c>
      <c r="H275" s="6">
        <v>0</v>
      </c>
      <c r="I275" s="6">
        <v>0</v>
      </c>
      <c r="J275" s="6">
        <v>0</v>
      </c>
      <c r="K275" s="6">
        <v>5623.14</v>
      </c>
      <c r="L275" s="6">
        <v>0</v>
      </c>
      <c r="M275" s="18">
        <v>0</v>
      </c>
      <c r="N275" s="18">
        <v>32400</v>
      </c>
    </row>
    <row r="276" spans="1:14">
      <c r="A276" s="4" t="s">
        <v>3025</v>
      </c>
      <c r="B276" s="5" t="s">
        <v>3031</v>
      </c>
      <c r="C276" s="6" t="s">
        <v>3032</v>
      </c>
      <c r="D276" s="6" t="s">
        <v>135</v>
      </c>
      <c r="E276" s="6">
        <v>16821504</v>
      </c>
      <c r="F276" s="18">
        <v>37190.080000000002</v>
      </c>
      <c r="G276" s="18">
        <v>0</v>
      </c>
      <c r="H276" s="6">
        <v>0</v>
      </c>
      <c r="I276" s="6">
        <v>0</v>
      </c>
      <c r="J276" s="6">
        <v>0</v>
      </c>
      <c r="K276" s="6">
        <v>7809.92</v>
      </c>
      <c r="L276" s="6">
        <v>0</v>
      </c>
      <c r="M276" s="18">
        <v>0</v>
      </c>
      <c r="N276" s="18">
        <v>45000</v>
      </c>
    </row>
    <row r="277" spans="1:14" hidden="1">
      <c r="A277" s="4" t="s">
        <v>3025</v>
      </c>
      <c r="B277" s="5" t="s">
        <v>3033</v>
      </c>
      <c r="C277" s="6" t="s">
        <v>134</v>
      </c>
      <c r="D277" s="6" t="s">
        <v>135</v>
      </c>
      <c r="E277" s="6" t="s">
        <v>136</v>
      </c>
      <c r="F277" s="18">
        <v>30578.51</v>
      </c>
      <c r="G277" s="18">
        <v>0</v>
      </c>
      <c r="H277" s="6">
        <v>0</v>
      </c>
      <c r="I277" s="6">
        <v>0</v>
      </c>
      <c r="J277" s="6">
        <v>0</v>
      </c>
      <c r="K277" s="6">
        <v>6421.49</v>
      </c>
      <c r="L277" s="6">
        <v>0</v>
      </c>
      <c r="M277" s="18">
        <v>0</v>
      </c>
      <c r="N277" s="18">
        <v>37000</v>
      </c>
    </row>
    <row r="278" spans="1:14" hidden="1">
      <c r="A278" s="4" t="s">
        <v>3025</v>
      </c>
      <c r="B278" s="5" t="s">
        <v>3034</v>
      </c>
      <c r="C278" s="6" t="s">
        <v>134</v>
      </c>
      <c r="D278" s="6" t="s">
        <v>135</v>
      </c>
      <c r="E278" s="6" t="s">
        <v>136</v>
      </c>
      <c r="F278" s="18">
        <v>42148.76</v>
      </c>
      <c r="G278" s="18">
        <v>0</v>
      </c>
      <c r="H278" s="6">
        <v>0</v>
      </c>
      <c r="I278" s="6">
        <v>0</v>
      </c>
      <c r="J278" s="6">
        <v>0</v>
      </c>
      <c r="K278" s="6">
        <v>8851.24</v>
      </c>
      <c r="L278" s="6">
        <v>0</v>
      </c>
      <c r="M278" s="18">
        <v>0</v>
      </c>
      <c r="N278" s="18">
        <v>51000</v>
      </c>
    </row>
    <row r="279" spans="1:14" hidden="1">
      <c r="A279" s="4" t="s">
        <v>3025</v>
      </c>
      <c r="B279" s="5" t="s">
        <v>3035</v>
      </c>
      <c r="C279" s="6" t="s">
        <v>134</v>
      </c>
      <c r="D279" s="6" t="s">
        <v>135</v>
      </c>
      <c r="E279" s="6" t="s">
        <v>136</v>
      </c>
      <c r="F279" s="18">
        <v>10743.8</v>
      </c>
      <c r="G279" s="18">
        <v>0</v>
      </c>
      <c r="H279" s="6">
        <v>0</v>
      </c>
      <c r="I279" s="6">
        <v>0</v>
      </c>
      <c r="J279" s="6">
        <v>0</v>
      </c>
      <c r="K279" s="6">
        <v>2256.2000000000003</v>
      </c>
      <c r="L279" s="6">
        <v>0</v>
      </c>
      <c r="M279" s="18">
        <v>0</v>
      </c>
      <c r="N279" s="18">
        <v>13000</v>
      </c>
    </row>
    <row r="280" spans="1:14" hidden="1">
      <c r="A280" s="4" t="s">
        <v>3025</v>
      </c>
      <c r="B280" s="5" t="s">
        <v>3036</v>
      </c>
      <c r="C280" s="6" t="s">
        <v>134</v>
      </c>
      <c r="D280" s="6" t="s">
        <v>135</v>
      </c>
      <c r="E280" s="6" t="s">
        <v>136</v>
      </c>
      <c r="F280" s="18">
        <v>16528.93</v>
      </c>
      <c r="G280" s="18">
        <v>0</v>
      </c>
      <c r="H280" s="6">
        <v>0</v>
      </c>
      <c r="I280" s="6">
        <v>0</v>
      </c>
      <c r="J280" s="6">
        <v>0</v>
      </c>
      <c r="K280" s="6">
        <v>3471.07</v>
      </c>
      <c r="L280" s="6">
        <v>0</v>
      </c>
      <c r="M280" s="18">
        <v>0</v>
      </c>
      <c r="N280" s="18">
        <v>20000</v>
      </c>
    </row>
    <row r="281" spans="1:14" hidden="1">
      <c r="A281" s="4" t="s">
        <v>3025</v>
      </c>
      <c r="B281" s="5" t="s">
        <v>3037</v>
      </c>
      <c r="C281" s="6" t="s">
        <v>134</v>
      </c>
      <c r="D281" s="6" t="s">
        <v>135</v>
      </c>
      <c r="E281" s="6" t="s">
        <v>136</v>
      </c>
      <c r="F281" s="18">
        <v>107438.02</v>
      </c>
      <c r="G281" s="18">
        <v>0</v>
      </c>
      <c r="H281" s="6">
        <v>0</v>
      </c>
      <c r="I281" s="6">
        <v>0</v>
      </c>
      <c r="J281" s="6">
        <v>0</v>
      </c>
      <c r="K281" s="6">
        <v>22561.98</v>
      </c>
      <c r="L281" s="6">
        <v>0</v>
      </c>
      <c r="M281" s="18">
        <v>0</v>
      </c>
      <c r="N281" s="18">
        <v>130000</v>
      </c>
    </row>
    <row r="282" spans="1:14" hidden="1">
      <c r="A282" s="4" t="s">
        <v>3025</v>
      </c>
      <c r="B282" s="5" t="s">
        <v>3038</v>
      </c>
      <c r="C282" s="6" t="s">
        <v>134</v>
      </c>
      <c r="D282" s="6" t="s">
        <v>135</v>
      </c>
      <c r="E282" s="6" t="s">
        <v>136</v>
      </c>
      <c r="F282" s="18">
        <v>22314.05</v>
      </c>
      <c r="G282" s="18">
        <v>0</v>
      </c>
      <c r="H282" s="6">
        <v>0</v>
      </c>
      <c r="I282" s="6">
        <v>0</v>
      </c>
      <c r="J282" s="6">
        <v>0</v>
      </c>
      <c r="K282" s="6">
        <v>4685.95</v>
      </c>
      <c r="L282" s="6">
        <v>0</v>
      </c>
      <c r="M282" s="18">
        <v>0</v>
      </c>
      <c r="N282" s="18">
        <v>27000</v>
      </c>
    </row>
    <row r="283" spans="1:14" hidden="1">
      <c r="A283" s="4" t="s">
        <v>3025</v>
      </c>
      <c r="B283" s="5" t="s">
        <v>3039</v>
      </c>
      <c r="C283" s="6" t="s">
        <v>134</v>
      </c>
      <c r="D283" s="6" t="s">
        <v>135</v>
      </c>
      <c r="E283" s="6" t="s">
        <v>136</v>
      </c>
      <c r="F283" s="18">
        <v>10743.8</v>
      </c>
      <c r="G283" s="18">
        <v>0</v>
      </c>
      <c r="H283" s="6">
        <v>0</v>
      </c>
      <c r="I283" s="6">
        <v>0</v>
      </c>
      <c r="J283" s="6">
        <v>0</v>
      </c>
      <c r="K283" s="6">
        <v>2256.2000000000003</v>
      </c>
      <c r="L283" s="6">
        <v>0</v>
      </c>
      <c r="M283" s="18">
        <v>0</v>
      </c>
      <c r="N283" s="18">
        <v>13000</v>
      </c>
    </row>
    <row r="284" spans="1:14" hidden="1">
      <c r="A284" s="4" t="s">
        <v>3025</v>
      </c>
      <c r="B284" s="5" t="s">
        <v>3040</v>
      </c>
      <c r="C284" s="6" t="s">
        <v>134</v>
      </c>
      <c r="D284" s="6" t="s">
        <v>135</v>
      </c>
      <c r="E284" s="6" t="s">
        <v>136</v>
      </c>
      <c r="F284" s="18">
        <v>14669.42</v>
      </c>
      <c r="G284" s="18">
        <v>0</v>
      </c>
      <c r="H284" s="6">
        <v>0</v>
      </c>
      <c r="I284" s="6">
        <v>0</v>
      </c>
      <c r="J284" s="6">
        <v>0</v>
      </c>
      <c r="K284" s="6">
        <v>3080.58</v>
      </c>
      <c r="L284" s="6">
        <v>0</v>
      </c>
      <c r="M284" s="18">
        <v>0</v>
      </c>
      <c r="N284" s="18">
        <v>17750</v>
      </c>
    </row>
    <row r="285" spans="1:14" hidden="1">
      <c r="A285" s="4" t="s">
        <v>3025</v>
      </c>
      <c r="B285" s="5" t="s">
        <v>3041</v>
      </c>
      <c r="C285" s="6" t="s">
        <v>134</v>
      </c>
      <c r="D285" s="6" t="s">
        <v>135</v>
      </c>
      <c r="E285" s="6" t="s">
        <v>136</v>
      </c>
      <c r="F285" s="18">
        <v>14876.03</v>
      </c>
      <c r="G285" s="18">
        <v>0</v>
      </c>
      <c r="H285" s="6">
        <v>0</v>
      </c>
      <c r="I285" s="6">
        <v>0</v>
      </c>
      <c r="J285" s="6">
        <v>0</v>
      </c>
      <c r="K285" s="6">
        <v>3123.97</v>
      </c>
      <c r="L285" s="6">
        <v>0</v>
      </c>
      <c r="M285" s="18">
        <v>0</v>
      </c>
      <c r="N285" s="18">
        <v>18000</v>
      </c>
    </row>
    <row r="286" spans="1:14" hidden="1">
      <c r="A286" s="4" t="s">
        <v>3025</v>
      </c>
      <c r="B286" s="5" t="s">
        <v>3042</v>
      </c>
      <c r="C286" s="6" t="s">
        <v>134</v>
      </c>
      <c r="D286" s="6" t="s">
        <v>135</v>
      </c>
      <c r="E286" s="6" t="s">
        <v>136</v>
      </c>
      <c r="F286" s="18">
        <v>10743.8</v>
      </c>
      <c r="G286" s="18">
        <v>0</v>
      </c>
      <c r="H286" s="6">
        <v>0</v>
      </c>
      <c r="I286" s="6">
        <v>0</v>
      </c>
      <c r="J286" s="6">
        <v>0</v>
      </c>
      <c r="K286" s="6">
        <v>2256.2000000000003</v>
      </c>
      <c r="L286" s="6">
        <v>0</v>
      </c>
      <c r="M286" s="18">
        <v>0</v>
      </c>
      <c r="N286" s="18">
        <v>13000</v>
      </c>
    </row>
    <row r="287" spans="1:14" hidden="1">
      <c r="A287" s="4" t="s">
        <v>3025</v>
      </c>
      <c r="B287" s="5" t="s">
        <v>3043</v>
      </c>
      <c r="C287" s="6" t="s">
        <v>134</v>
      </c>
      <c r="D287" s="6" t="s">
        <v>135</v>
      </c>
      <c r="E287" s="6" t="s">
        <v>136</v>
      </c>
      <c r="F287" s="18">
        <v>21487.599999999999</v>
      </c>
      <c r="G287" s="18">
        <v>0</v>
      </c>
      <c r="H287" s="6">
        <v>0</v>
      </c>
      <c r="I287" s="6">
        <v>0</v>
      </c>
      <c r="J287" s="6">
        <v>0</v>
      </c>
      <c r="K287" s="6">
        <v>4512.4000000000005</v>
      </c>
      <c r="L287" s="6">
        <v>0</v>
      </c>
      <c r="M287" s="18">
        <v>0</v>
      </c>
      <c r="N287" s="18">
        <v>26000</v>
      </c>
    </row>
    <row r="288" spans="1:14" hidden="1">
      <c r="A288" s="4" t="s">
        <v>3025</v>
      </c>
      <c r="B288" s="5" t="s">
        <v>3044</v>
      </c>
      <c r="C288" s="6" t="s">
        <v>134</v>
      </c>
      <c r="D288" s="6" t="s">
        <v>135</v>
      </c>
      <c r="E288" s="6" t="s">
        <v>136</v>
      </c>
      <c r="F288" s="18">
        <v>29338.84</v>
      </c>
      <c r="G288" s="18">
        <v>0</v>
      </c>
      <c r="H288" s="6">
        <v>0</v>
      </c>
      <c r="I288" s="6">
        <v>0</v>
      </c>
      <c r="J288" s="6">
        <v>0</v>
      </c>
      <c r="K288" s="6">
        <v>6161.16</v>
      </c>
      <c r="L288" s="6">
        <v>0</v>
      </c>
      <c r="M288" s="18">
        <v>0</v>
      </c>
      <c r="N288" s="18">
        <v>35500</v>
      </c>
    </row>
    <row r="289" spans="1:14" hidden="1">
      <c r="A289" s="4" t="s">
        <v>3025</v>
      </c>
      <c r="B289" s="5" t="s">
        <v>3045</v>
      </c>
      <c r="C289" s="6" t="s">
        <v>134</v>
      </c>
      <c r="D289" s="6" t="s">
        <v>135</v>
      </c>
      <c r="E289" s="6" t="s">
        <v>136</v>
      </c>
      <c r="F289" s="18">
        <v>14462.81</v>
      </c>
      <c r="G289" s="18">
        <v>0</v>
      </c>
      <c r="H289" s="6">
        <v>0</v>
      </c>
      <c r="I289" s="6">
        <v>0</v>
      </c>
      <c r="J289" s="6">
        <v>0</v>
      </c>
      <c r="K289" s="6">
        <v>3037.19</v>
      </c>
      <c r="L289" s="6">
        <v>0</v>
      </c>
      <c r="M289" s="18">
        <v>0</v>
      </c>
      <c r="N289" s="18">
        <v>17500</v>
      </c>
    </row>
    <row r="290" spans="1:14" hidden="1">
      <c r="A290" s="4" t="s">
        <v>3050</v>
      </c>
      <c r="B290" s="5" t="s">
        <v>3051</v>
      </c>
      <c r="C290" s="6" t="s">
        <v>134</v>
      </c>
      <c r="D290" s="6" t="s">
        <v>135</v>
      </c>
      <c r="E290" s="6" t="s">
        <v>136</v>
      </c>
      <c r="F290" s="18">
        <v>8595.0400000000009</v>
      </c>
      <c r="G290" s="18">
        <v>0</v>
      </c>
      <c r="H290" s="6">
        <v>0</v>
      </c>
      <c r="I290" s="6">
        <v>0</v>
      </c>
      <c r="J290" s="6">
        <v>0</v>
      </c>
      <c r="K290" s="6">
        <v>1804.96</v>
      </c>
      <c r="L290" s="6">
        <v>0</v>
      </c>
      <c r="M290" s="18">
        <v>0</v>
      </c>
      <c r="N290" s="18">
        <v>10400</v>
      </c>
    </row>
    <row r="291" spans="1:14" hidden="1">
      <c r="A291" s="4" t="s">
        <v>3050</v>
      </c>
      <c r="B291" s="5" t="s">
        <v>3052</v>
      </c>
      <c r="C291" s="6" t="s">
        <v>134</v>
      </c>
      <c r="D291" s="6" t="s">
        <v>135</v>
      </c>
      <c r="E291" s="6" t="s">
        <v>136</v>
      </c>
      <c r="F291" s="18">
        <v>11487.6</v>
      </c>
      <c r="G291" s="18">
        <v>0</v>
      </c>
      <c r="H291" s="6">
        <v>0</v>
      </c>
      <c r="I291" s="6">
        <v>0</v>
      </c>
      <c r="J291" s="6">
        <v>0</v>
      </c>
      <c r="K291" s="6">
        <v>2412.4</v>
      </c>
      <c r="L291" s="6">
        <v>0</v>
      </c>
      <c r="M291" s="18">
        <v>0</v>
      </c>
      <c r="N291" s="18">
        <v>13900</v>
      </c>
    </row>
    <row r="292" spans="1:14">
      <c r="A292" s="4" t="s">
        <v>3050</v>
      </c>
      <c r="B292" s="5" t="s">
        <v>3053</v>
      </c>
      <c r="C292" s="6" t="s">
        <v>3054</v>
      </c>
      <c r="D292" s="6" t="s">
        <v>135</v>
      </c>
      <c r="E292" s="6">
        <v>16777182</v>
      </c>
      <c r="F292" s="18">
        <v>25867.77</v>
      </c>
      <c r="G292" s="18">
        <v>0</v>
      </c>
      <c r="H292" s="6">
        <v>0</v>
      </c>
      <c r="I292" s="6">
        <v>0</v>
      </c>
      <c r="J292" s="6">
        <v>0</v>
      </c>
      <c r="K292" s="6">
        <v>5432.23</v>
      </c>
      <c r="L292" s="6">
        <v>0</v>
      </c>
      <c r="M292" s="18">
        <v>0</v>
      </c>
      <c r="N292" s="18">
        <v>31300</v>
      </c>
    </row>
    <row r="293" spans="1:14" hidden="1">
      <c r="A293" s="4" t="s">
        <v>3050</v>
      </c>
      <c r="B293" s="5" t="s">
        <v>3055</v>
      </c>
      <c r="C293" s="6" t="s">
        <v>134</v>
      </c>
      <c r="D293" s="6" t="s">
        <v>135</v>
      </c>
      <c r="E293" s="6" t="s">
        <v>136</v>
      </c>
      <c r="F293" s="18">
        <v>12809.92</v>
      </c>
      <c r="G293" s="18">
        <v>0</v>
      </c>
      <c r="H293" s="6">
        <v>0</v>
      </c>
      <c r="I293" s="6">
        <v>0</v>
      </c>
      <c r="J293" s="6">
        <v>0</v>
      </c>
      <c r="K293" s="6">
        <v>2690.08</v>
      </c>
      <c r="L293" s="6">
        <v>0</v>
      </c>
      <c r="M293" s="18">
        <v>0</v>
      </c>
      <c r="N293" s="18">
        <v>15500</v>
      </c>
    </row>
    <row r="294" spans="1:14" hidden="1">
      <c r="A294" s="4" t="s">
        <v>3050</v>
      </c>
      <c r="B294" s="5" t="s">
        <v>3056</v>
      </c>
      <c r="C294" s="6" t="s">
        <v>134</v>
      </c>
      <c r="D294" s="6" t="s">
        <v>135</v>
      </c>
      <c r="E294" s="6" t="s">
        <v>136</v>
      </c>
      <c r="F294" s="18">
        <v>10743.8</v>
      </c>
      <c r="G294" s="18">
        <v>0</v>
      </c>
      <c r="H294" s="6">
        <v>0</v>
      </c>
      <c r="I294" s="6">
        <v>0</v>
      </c>
      <c r="J294" s="6">
        <v>0</v>
      </c>
      <c r="K294" s="6">
        <v>2256.2000000000003</v>
      </c>
      <c r="L294" s="6">
        <v>0</v>
      </c>
      <c r="M294" s="18">
        <v>0</v>
      </c>
      <c r="N294" s="18">
        <v>13000</v>
      </c>
    </row>
    <row r="295" spans="1:14" hidden="1">
      <c r="A295" s="4" t="s">
        <v>3050</v>
      </c>
      <c r="B295" s="5" t="s">
        <v>3057</v>
      </c>
      <c r="C295" s="6" t="s">
        <v>134</v>
      </c>
      <c r="D295" s="6" t="s">
        <v>135</v>
      </c>
      <c r="E295" s="6" t="s">
        <v>136</v>
      </c>
      <c r="F295" s="18">
        <v>2066.12</v>
      </c>
      <c r="G295" s="18">
        <v>0</v>
      </c>
      <c r="H295" s="6">
        <v>0</v>
      </c>
      <c r="I295" s="6">
        <v>0</v>
      </c>
      <c r="J295" s="6">
        <v>0</v>
      </c>
      <c r="K295" s="6">
        <v>433.88</v>
      </c>
      <c r="L295" s="6">
        <v>0</v>
      </c>
      <c r="M295" s="18">
        <v>0</v>
      </c>
      <c r="N295" s="18">
        <v>2500</v>
      </c>
    </row>
    <row r="296" spans="1:14" hidden="1">
      <c r="A296" s="4" t="s">
        <v>3050</v>
      </c>
      <c r="B296" s="5" t="s">
        <v>3058</v>
      </c>
      <c r="C296" s="6" t="s">
        <v>134</v>
      </c>
      <c r="D296" s="6" t="s">
        <v>135</v>
      </c>
      <c r="E296" s="6" t="s">
        <v>136</v>
      </c>
      <c r="F296" s="18">
        <v>20661.16</v>
      </c>
      <c r="G296" s="18">
        <v>0</v>
      </c>
      <c r="H296" s="6">
        <v>0</v>
      </c>
      <c r="I296" s="6">
        <v>0</v>
      </c>
      <c r="J296" s="6">
        <v>0</v>
      </c>
      <c r="K296" s="6">
        <v>4338.84</v>
      </c>
      <c r="L296" s="6">
        <v>0</v>
      </c>
      <c r="M296" s="18">
        <v>0</v>
      </c>
      <c r="N296" s="18">
        <v>25000</v>
      </c>
    </row>
    <row r="297" spans="1:14" hidden="1">
      <c r="A297" s="4" t="s">
        <v>3050</v>
      </c>
      <c r="B297" s="5" t="s">
        <v>3059</v>
      </c>
      <c r="C297" s="6" t="s">
        <v>134</v>
      </c>
      <c r="D297" s="6" t="s">
        <v>135</v>
      </c>
      <c r="E297" s="6" t="s">
        <v>136</v>
      </c>
      <c r="F297" s="18">
        <v>8677.69</v>
      </c>
      <c r="G297" s="18">
        <v>0</v>
      </c>
      <c r="H297" s="6">
        <v>0</v>
      </c>
      <c r="I297" s="6">
        <v>0</v>
      </c>
      <c r="J297" s="6">
        <v>0</v>
      </c>
      <c r="K297" s="6">
        <v>1822.31</v>
      </c>
      <c r="L297" s="6">
        <v>0</v>
      </c>
      <c r="M297" s="18">
        <v>0</v>
      </c>
      <c r="N297" s="18">
        <v>10500</v>
      </c>
    </row>
    <row r="298" spans="1:14" hidden="1">
      <c r="A298" s="4" t="s">
        <v>3050</v>
      </c>
      <c r="B298" s="5" t="s">
        <v>3060</v>
      </c>
      <c r="C298" s="6" t="s">
        <v>134</v>
      </c>
      <c r="D298" s="6" t="s">
        <v>135</v>
      </c>
      <c r="E298" s="6" t="s">
        <v>136</v>
      </c>
      <c r="F298" s="18">
        <v>11487.6</v>
      </c>
      <c r="G298" s="18">
        <v>0</v>
      </c>
      <c r="H298" s="6">
        <v>0</v>
      </c>
      <c r="I298" s="6">
        <v>0</v>
      </c>
      <c r="J298" s="6">
        <v>0</v>
      </c>
      <c r="K298" s="6">
        <v>2412.4</v>
      </c>
      <c r="L298" s="6">
        <v>0</v>
      </c>
      <c r="M298" s="18">
        <v>0</v>
      </c>
      <c r="N298" s="18">
        <v>13900</v>
      </c>
    </row>
    <row r="299" spans="1:14" hidden="1">
      <c r="A299" s="4" t="s">
        <v>3050</v>
      </c>
      <c r="B299" s="5" t="s">
        <v>3061</v>
      </c>
      <c r="C299" s="6" t="s">
        <v>134</v>
      </c>
      <c r="D299" s="6" t="s">
        <v>135</v>
      </c>
      <c r="E299" s="6" t="s">
        <v>136</v>
      </c>
      <c r="F299" s="18">
        <v>3057.85</v>
      </c>
      <c r="G299" s="18">
        <v>0</v>
      </c>
      <c r="H299" s="6">
        <v>0</v>
      </c>
      <c r="I299" s="6">
        <v>0</v>
      </c>
      <c r="J299" s="6">
        <v>0</v>
      </c>
      <c r="K299" s="6">
        <v>642.15</v>
      </c>
      <c r="L299" s="6">
        <v>0</v>
      </c>
      <c r="M299" s="18">
        <v>0</v>
      </c>
      <c r="N299" s="18">
        <v>3700</v>
      </c>
    </row>
    <row r="300" spans="1:14" hidden="1">
      <c r="A300" s="4" t="s">
        <v>3050</v>
      </c>
      <c r="B300" s="5" t="s">
        <v>3062</v>
      </c>
      <c r="C300" s="6" t="s">
        <v>134</v>
      </c>
      <c r="D300" s="6" t="s">
        <v>135</v>
      </c>
      <c r="E300" s="6" t="s">
        <v>136</v>
      </c>
      <c r="F300" s="18">
        <v>14669.42</v>
      </c>
      <c r="G300" s="18">
        <v>0</v>
      </c>
      <c r="H300" s="6">
        <v>0</v>
      </c>
      <c r="I300" s="6">
        <v>0</v>
      </c>
      <c r="J300" s="6">
        <v>0</v>
      </c>
      <c r="K300" s="6">
        <v>3080.58</v>
      </c>
      <c r="L300" s="6">
        <v>0</v>
      </c>
      <c r="M300" s="18">
        <v>0</v>
      </c>
      <c r="N300" s="18">
        <v>17750</v>
      </c>
    </row>
    <row r="301" spans="1:14" hidden="1">
      <c r="A301" s="4" t="s">
        <v>3050</v>
      </c>
      <c r="B301" s="5" t="s">
        <v>3063</v>
      </c>
      <c r="C301" s="6" t="s">
        <v>134</v>
      </c>
      <c r="D301" s="6" t="s">
        <v>135</v>
      </c>
      <c r="E301" s="6" t="s">
        <v>136</v>
      </c>
      <c r="F301" s="18">
        <v>26446.28</v>
      </c>
      <c r="G301" s="18">
        <v>0</v>
      </c>
      <c r="H301" s="6">
        <v>0</v>
      </c>
      <c r="I301" s="6">
        <v>0</v>
      </c>
      <c r="J301" s="6">
        <v>0</v>
      </c>
      <c r="K301" s="6">
        <v>5553.72</v>
      </c>
      <c r="L301" s="6">
        <v>0</v>
      </c>
      <c r="M301" s="18">
        <v>0</v>
      </c>
      <c r="N301" s="18">
        <v>32000</v>
      </c>
    </row>
    <row r="302" spans="1:14" hidden="1">
      <c r="A302" s="4" t="s">
        <v>3050</v>
      </c>
      <c r="B302" s="5" t="s">
        <v>3064</v>
      </c>
      <c r="C302" s="6" t="s">
        <v>134</v>
      </c>
      <c r="D302" s="6" t="s">
        <v>135</v>
      </c>
      <c r="E302" s="6" t="s">
        <v>136</v>
      </c>
      <c r="F302" s="18">
        <v>60330.58</v>
      </c>
      <c r="G302" s="18">
        <v>0</v>
      </c>
      <c r="H302" s="6">
        <v>0</v>
      </c>
      <c r="I302" s="6">
        <v>0</v>
      </c>
      <c r="J302" s="6">
        <v>0</v>
      </c>
      <c r="K302" s="6">
        <v>12669.42</v>
      </c>
      <c r="L302" s="6">
        <v>0</v>
      </c>
      <c r="M302" s="18">
        <v>0</v>
      </c>
      <c r="N302" s="18">
        <v>73000</v>
      </c>
    </row>
    <row r="303" spans="1:14" hidden="1">
      <c r="A303" s="4" t="s">
        <v>3050</v>
      </c>
      <c r="B303" s="5" t="s">
        <v>3065</v>
      </c>
      <c r="C303" s="6" t="s">
        <v>134</v>
      </c>
      <c r="D303" s="6" t="s">
        <v>135</v>
      </c>
      <c r="E303" s="6" t="s">
        <v>136</v>
      </c>
      <c r="F303" s="18">
        <v>21074.38</v>
      </c>
      <c r="G303" s="18">
        <v>0</v>
      </c>
      <c r="H303" s="6">
        <v>0</v>
      </c>
      <c r="I303" s="6">
        <v>0</v>
      </c>
      <c r="J303" s="6">
        <v>0</v>
      </c>
      <c r="K303" s="6">
        <v>4425.62</v>
      </c>
      <c r="L303" s="6">
        <v>0</v>
      </c>
      <c r="M303" s="18">
        <v>0</v>
      </c>
      <c r="N303" s="18">
        <v>25500</v>
      </c>
    </row>
    <row r="304" spans="1:14" hidden="1">
      <c r="A304" s="4" t="s">
        <v>3050</v>
      </c>
      <c r="B304" s="5" t="s">
        <v>3066</v>
      </c>
      <c r="C304" s="6" t="s">
        <v>134</v>
      </c>
      <c r="D304" s="6" t="s">
        <v>135</v>
      </c>
      <c r="E304" s="6" t="s">
        <v>136</v>
      </c>
      <c r="F304" s="18">
        <v>14462.81</v>
      </c>
      <c r="G304" s="18">
        <v>0</v>
      </c>
      <c r="H304" s="6">
        <v>0</v>
      </c>
      <c r="I304" s="6">
        <v>0</v>
      </c>
      <c r="J304" s="6">
        <v>0</v>
      </c>
      <c r="K304" s="6">
        <v>3037.19</v>
      </c>
      <c r="L304" s="6">
        <v>0</v>
      </c>
      <c r="M304" s="18">
        <v>0</v>
      </c>
      <c r="N304" s="18">
        <v>17500</v>
      </c>
    </row>
    <row r="305" spans="1:14" hidden="1">
      <c r="A305" s="4" t="s">
        <v>3050</v>
      </c>
      <c r="B305" s="5" t="s">
        <v>3067</v>
      </c>
      <c r="C305" s="6" t="s">
        <v>134</v>
      </c>
      <c r="D305" s="6" t="s">
        <v>135</v>
      </c>
      <c r="E305" s="6" t="s">
        <v>136</v>
      </c>
      <c r="F305" s="18">
        <v>13719.01</v>
      </c>
      <c r="G305" s="18">
        <v>0</v>
      </c>
      <c r="H305" s="6">
        <v>0</v>
      </c>
      <c r="I305" s="6">
        <v>0</v>
      </c>
      <c r="J305" s="6">
        <v>0</v>
      </c>
      <c r="K305" s="6">
        <v>2880.99</v>
      </c>
      <c r="L305" s="6">
        <v>0</v>
      </c>
      <c r="M305" s="18">
        <v>0</v>
      </c>
      <c r="N305" s="18">
        <v>16600</v>
      </c>
    </row>
    <row r="306" spans="1:14" hidden="1">
      <c r="A306" s="4" t="s">
        <v>3050</v>
      </c>
      <c r="B306" s="5" t="s">
        <v>3068</v>
      </c>
      <c r="C306" s="6" t="s">
        <v>134</v>
      </c>
      <c r="D306" s="6" t="s">
        <v>135</v>
      </c>
      <c r="E306" s="6" t="s">
        <v>136</v>
      </c>
      <c r="F306" s="18">
        <v>10743.8</v>
      </c>
      <c r="G306" s="18">
        <v>0</v>
      </c>
      <c r="H306" s="6">
        <v>0</v>
      </c>
      <c r="I306" s="6">
        <v>0</v>
      </c>
      <c r="J306" s="6">
        <v>0</v>
      </c>
      <c r="K306" s="6">
        <v>2256.2000000000003</v>
      </c>
      <c r="L306" s="6">
        <v>0</v>
      </c>
      <c r="M306" s="18">
        <v>0</v>
      </c>
      <c r="N306" s="18">
        <v>13000</v>
      </c>
    </row>
    <row r="307" spans="1:14" hidden="1">
      <c r="A307" s="4" t="s">
        <v>3050</v>
      </c>
      <c r="B307" s="5" t="s">
        <v>3069</v>
      </c>
      <c r="C307" s="6" t="s">
        <v>134</v>
      </c>
      <c r="D307" s="6" t="s">
        <v>135</v>
      </c>
      <c r="E307" s="6" t="s">
        <v>136</v>
      </c>
      <c r="F307" s="18">
        <v>14669.42</v>
      </c>
      <c r="G307" s="18">
        <v>0</v>
      </c>
      <c r="H307" s="6">
        <v>0</v>
      </c>
      <c r="I307" s="6">
        <v>0</v>
      </c>
      <c r="J307" s="6">
        <v>0</v>
      </c>
      <c r="K307" s="6">
        <v>3080.58</v>
      </c>
      <c r="L307" s="6">
        <v>0</v>
      </c>
      <c r="M307" s="18">
        <v>0</v>
      </c>
      <c r="N307" s="18">
        <v>17750</v>
      </c>
    </row>
    <row r="308" spans="1:14" hidden="1">
      <c r="A308" s="4" t="s">
        <v>3071</v>
      </c>
      <c r="B308" s="5" t="s">
        <v>3072</v>
      </c>
      <c r="C308" s="6" t="s">
        <v>134</v>
      </c>
      <c r="D308" s="6" t="s">
        <v>135</v>
      </c>
      <c r="E308" s="6" t="s">
        <v>136</v>
      </c>
      <c r="F308" s="18">
        <v>33884.300000000003</v>
      </c>
      <c r="G308" s="18">
        <v>0</v>
      </c>
      <c r="H308" s="6">
        <v>0</v>
      </c>
      <c r="I308" s="6">
        <v>0</v>
      </c>
      <c r="J308" s="6">
        <v>0</v>
      </c>
      <c r="K308" s="6">
        <v>7115.7</v>
      </c>
      <c r="L308" s="6">
        <v>0</v>
      </c>
      <c r="M308" s="18">
        <v>0</v>
      </c>
      <c r="N308" s="18">
        <v>41000</v>
      </c>
    </row>
    <row r="309" spans="1:14" hidden="1">
      <c r="A309" s="4" t="s">
        <v>3071</v>
      </c>
      <c r="B309" s="5" t="s">
        <v>3073</v>
      </c>
      <c r="C309" s="6" t="s">
        <v>134</v>
      </c>
      <c r="D309" s="6" t="s">
        <v>135</v>
      </c>
      <c r="E309" s="6" t="s">
        <v>136</v>
      </c>
      <c r="F309" s="18">
        <v>25619.83</v>
      </c>
      <c r="G309" s="18">
        <v>0</v>
      </c>
      <c r="H309" s="6">
        <v>0</v>
      </c>
      <c r="I309" s="6">
        <v>0</v>
      </c>
      <c r="J309" s="6">
        <v>0</v>
      </c>
      <c r="K309" s="6">
        <v>5380.17</v>
      </c>
      <c r="L309" s="6">
        <v>0</v>
      </c>
      <c r="M309" s="18">
        <v>0</v>
      </c>
      <c r="N309" s="18">
        <v>31000</v>
      </c>
    </row>
    <row r="310" spans="1:14" hidden="1">
      <c r="A310" s="4" t="s">
        <v>3071</v>
      </c>
      <c r="B310" s="5" t="s">
        <v>3074</v>
      </c>
      <c r="C310" s="6" t="s">
        <v>134</v>
      </c>
      <c r="D310" s="6" t="s">
        <v>135</v>
      </c>
      <c r="E310" s="6" t="s">
        <v>136</v>
      </c>
      <c r="F310" s="18">
        <v>14669.42</v>
      </c>
      <c r="G310" s="18">
        <v>0</v>
      </c>
      <c r="H310" s="6">
        <v>0</v>
      </c>
      <c r="I310" s="6">
        <v>0</v>
      </c>
      <c r="J310" s="6">
        <v>0</v>
      </c>
      <c r="K310" s="6">
        <v>3080.58</v>
      </c>
      <c r="L310" s="6">
        <v>0</v>
      </c>
      <c r="M310" s="18">
        <v>0</v>
      </c>
      <c r="N310" s="18">
        <v>17750</v>
      </c>
    </row>
    <row r="311" spans="1:14" hidden="1">
      <c r="A311" s="4" t="s">
        <v>3071</v>
      </c>
      <c r="B311" s="5" t="s">
        <v>3075</v>
      </c>
      <c r="C311" s="6" t="s">
        <v>134</v>
      </c>
      <c r="D311" s="6" t="s">
        <v>135</v>
      </c>
      <c r="E311" s="6" t="s">
        <v>136</v>
      </c>
      <c r="F311" s="18">
        <v>30495.87</v>
      </c>
      <c r="G311" s="18">
        <v>0</v>
      </c>
      <c r="H311" s="6">
        <v>0</v>
      </c>
      <c r="I311" s="6">
        <v>0</v>
      </c>
      <c r="J311" s="6">
        <v>0</v>
      </c>
      <c r="K311" s="6">
        <v>6404.13</v>
      </c>
      <c r="L311" s="6">
        <v>0</v>
      </c>
      <c r="M311" s="18">
        <v>0</v>
      </c>
      <c r="N311" s="18">
        <v>36900</v>
      </c>
    </row>
    <row r="312" spans="1:14" hidden="1">
      <c r="A312" s="4" t="s">
        <v>3071</v>
      </c>
      <c r="B312" s="5" t="s">
        <v>3076</v>
      </c>
      <c r="C312" s="6" t="s">
        <v>134</v>
      </c>
      <c r="D312" s="6" t="s">
        <v>135</v>
      </c>
      <c r="E312" s="6" t="s">
        <v>136</v>
      </c>
      <c r="F312" s="18">
        <v>29338.84</v>
      </c>
      <c r="G312" s="18">
        <v>0</v>
      </c>
      <c r="H312" s="6">
        <v>0</v>
      </c>
      <c r="I312" s="6">
        <v>0</v>
      </c>
      <c r="J312" s="6">
        <v>0</v>
      </c>
      <c r="K312" s="6">
        <v>6161.16</v>
      </c>
      <c r="L312" s="6">
        <v>0</v>
      </c>
      <c r="M312" s="18">
        <v>0</v>
      </c>
      <c r="N312" s="18">
        <v>35500</v>
      </c>
    </row>
    <row r="313" spans="1:14" hidden="1">
      <c r="A313" s="4" t="s">
        <v>3071</v>
      </c>
      <c r="B313" s="5" t="s">
        <v>3077</v>
      </c>
      <c r="C313" s="6" t="s">
        <v>134</v>
      </c>
      <c r="D313" s="6" t="s">
        <v>135</v>
      </c>
      <c r="E313" s="6" t="s">
        <v>136</v>
      </c>
      <c r="F313" s="18">
        <v>10743.8</v>
      </c>
      <c r="G313" s="18">
        <v>0</v>
      </c>
      <c r="H313" s="6">
        <v>0</v>
      </c>
      <c r="I313" s="6">
        <v>0</v>
      </c>
      <c r="J313" s="6">
        <v>0</v>
      </c>
      <c r="K313" s="6">
        <v>2256.2000000000003</v>
      </c>
      <c r="L313" s="6">
        <v>0</v>
      </c>
      <c r="M313" s="18">
        <v>0</v>
      </c>
      <c r="N313" s="18">
        <v>13000</v>
      </c>
    </row>
    <row r="314" spans="1:14" hidden="1">
      <c r="A314" s="4" t="s">
        <v>3071</v>
      </c>
      <c r="B314" s="5" t="s">
        <v>3078</v>
      </c>
      <c r="C314" s="6" t="s">
        <v>134</v>
      </c>
      <c r="D314" s="6" t="s">
        <v>135</v>
      </c>
      <c r="E314" s="6" t="s">
        <v>136</v>
      </c>
      <c r="F314" s="18">
        <v>10743.8</v>
      </c>
      <c r="G314" s="18">
        <v>0</v>
      </c>
      <c r="H314" s="6">
        <v>0</v>
      </c>
      <c r="I314" s="6">
        <v>0</v>
      </c>
      <c r="J314" s="6">
        <v>0</v>
      </c>
      <c r="K314" s="6">
        <v>2256.2000000000003</v>
      </c>
      <c r="L314" s="6">
        <v>0</v>
      </c>
      <c r="M314" s="18">
        <v>0</v>
      </c>
      <c r="N314" s="18">
        <v>13000</v>
      </c>
    </row>
    <row r="315" spans="1:14" hidden="1">
      <c r="A315" s="4" t="s">
        <v>3071</v>
      </c>
      <c r="B315" s="5" t="s">
        <v>3079</v>
      </c>
      <c r="C315" s="6" t="s">
        <v>134</v>
      </c>
      <c r="D315" s="6" t="s">
        <v>135</v>
      </c>
      <c r="E315" s="6" t="s">
        <v>136</v>
      </c>
      <c r="F315" s="18">
        <v>10743.8</v>
      </c>
      <c r="G315" s="18">
        <v>0</v>
      </c>
      <c r="H315" s="6">
        <v>0</v>
      </c>
      <c r="I315" s="6">
        <v>0</v>
      </c>
      <c r="J315" s="6">
        <v>0</v>
      </c>
      <c r="K315" s="6">
        <v>2256.2000000000003</v>
      </c>
      <c r="L315" s="6">
        <v>0</v>
      </c>
      <c r="M315" s="18">
        <v>0</v>
      </c>
      <c r="N315" s="18">
        <v>13000</v>
      </c>
    </row>
    <row r="316" spans="1:14" hidden="1">
      <c r="A316" s="4" t="s">
        <v>3071</v>
      </c>
      <c r="B316" s="5" t="s">
        <v>3080</v>
      </c>
      <c r="C316" s="6" t="s">
        <v>134</v>
      </c>
      <c r="D316" s="6" t="s">
        <v>135</v>
      </c>
      <c r="E316" s="6" t="s">
        <v>136</v>
      </c>
      <c r="F316" s="18">
        <v>10743.8</v>
      </c>
      <c r="G316" s="18">
        <v>0</v>
      </c>
      <c r="H316" s="6">
        <v>0</v>
      </c>
      <c r="I316" s="6">
        <v>0</v>
      </c>
      <c r="J316" s="6">
        <v>0</v>
      </c>
      <c r="K316" s="6">
        <v>2256.2000000000003</v>
      </c>
      <c r="L316" s="6">
        <v>0</v>
      </c>
      <c r="M316" s="18">
        <v>0</v>
      </c>
      <c r="N316" s="18">
        <v>13000</v>
      </c>
    </row>
    <row r="317" spans="1:14" hidden="1">
      <c r="A317" s="4" t="s">
        <v>3071</v>
      </c>
      <c r="B317" s="5" t="s">
        <v>3081</v>
      </c>
      <c r="C317" s="6" t="s">
        <v>134</v>
      </c>
      <c r="D317" s="6" t="s">
        <v>135</v>
      </c>
      <c r="E317" s="6" t="s">
        <v>136</v>
      </c>
      <c r="F317" s="18">
        <v>34710.74</v>
      </c>
      <c r="G317" s="18">
        <v>0</v>
      </c>
      <c r="H317" s="6">
        <v>0</v>
      </c>
      <c r="I317" s="6">
        <v>0</v>
      </c>
      <c r="J317" s="6">
        <v>0</v>
      </c>
      <c r="K317" s="6">
        <v>7289.26</v>
      </c>
      <c r="L317" s="6">
        <v>0</v>
      </c>
      <c r="M317" s="18">
        <v>0</v>
      </c>
      <c r="N317" s="18">
        <v>42000</v>
      </c>
    </row>
    <row r="318" spans="1:14" hidden="1">
      <c r="A318" s="4" t="s">
        <v>3071</v>
      </c>
      <c r="B318" s="5" t="s">
        <v>3082</v>
      </c>
      <c r="C318" s="6" t="s">
        <v>134</v>
      </c>
      <c r="D318" s="6" t="s">
        <v>135</v>
      </c>
      <c r="E318" s="6" t="s">
        <v>136</v>
      </c>
      <c r="F318" s="18">
        <v>14669.42</v>
      </c>
      <c r="G318" s="18">
        <v>0</v>
      </c>
      <c r="H318" s="6">
        <v>0</v>
      </c>
      <c r="I318" s="6">
        <v>0</v>
      </c>
      <c r="J318" s="6">
        <v>0</v>
      </c>
      <c r="K318" s="6">
        <v>3080.58</v>
      </c>
      <c r="L318" s="6">
        <v>0</v>
      </c>
      <c r="M318" s="18">
        <v>0</v>
      </c>
      <c r="N318" s="18">
        <v>17750</v>
      </c>
    </row>
    <row r="319" spans="1:14" hidden="1">
      <c r="A319" s="4" t="s">
        <v>3071</v>
      </c>
      <c r="B319" s="5" t="s">
        <v>3083</v>
      </c>
      <c r="C319" s="6" t="s">
        <v>134</v>
      </c>
      <c r="D319" s="6" t="s">
        <v>135</v>
      </c>
      <c r="E319" s="6" t="s">
        <v>136</v>
      </c>
      <c r="F319" s="18">
        <v>10743.8</v>
      </c>
      <c r="G319" s="18">
        <v>0</v>
      </c>
      <c r="H319" s="6">
        <v>0</v>
      </c>
      <c r="I319" s="6">
        <v>0</v>
      </c>
      <c r="J319" s="6">
        <v>0</v>
      </c>
      <c r="K319" s="6">
        <v>2256.2000000000003</v>
      </c>
      <c r="L319" s="6">
        <v>0</v>
      </c>
      <c r="M319" s="18">
        <v>0</v>
      </c>
      <c r="N319" s="18">
        <v>13000</v>
      </c>
    </row>
    <row r="320" spans="1:14" hidden="1">
      <c r="A320" s="4" t="s">
        <v>3071</v>
      </c>
      <c r="B320" s="5" t="s">
        <v>3084</v>
      </c>
      <c r="C320" s="6" t="s">
        <v>134</v>
      </c>
      <c r="D320" s="6" t="s">
        <v>135</v>
      </c>
      <c r="E320" s="6" t="s">
        <v>136</v>
      </c>
      <c r="F320" s="18">
        <v>10743.8</v>
      </c>
      <c r="G320" s="18">
        <v>0</v>
      </c>
      <c r="H320" s="6">
        <v>0</v>
      </c>
      <c r="I320" s="6">
        <v>0</v>
      </c>
      <c r="J320" s="6">
        <v>0</v>
      </c>
      <c r="K320" s="6">
        <v>2256.2000000000003</v>
      </c>
      <c r="L320" s="6">
        <v>0</v>
      </c>
      <c r="M320" s="18">
        <v>0</v>
      </c>
      <c r="N320" s="18">
        <v>13000</v>
      </c>
    </row>
    <row r="321" spans="1:14" hidden="1">
      <c r="A321" s="4" t="s">
        <v>3071</v>
      </c>
      <c r="B321" s="5" t="s">
        <v>3085</v>
      </c>
      <c r="C321" s="6" t="s">
        <v>134</v>
      </c>
      <c r="D321" s="6" t="s">
        <v>135</v>
      </c>
      <c r="E321" s="6" t="s">
        <v>136</v>
      </c>
      <c r="F321" s="18">
        <v>10330.58</v>
      </c>
      <c r="G321" s="18">
        <v>0</v>
      </c>
      <c r="H321" s="6">
        <v>0</v>
      </c>
      <c r="I321" s="6">
        <v>0</v>
      </c>
      <c r="J321" s="6">
        <v>0</v>
      </c>
      <c r="K321" s="6">
        <v>2169.42</v>
      </c>
      <c r="L321" s="6">
        <v>0</v>
      </c>
      <c r="M321" s="18">
        <v>0</v>
      </c>
      <c r="N321" s="18">
        <v>12500</v>
      </c>
    </row>
    <row r="322" spans="1:14" hidden="1">
      <c r="A322" s="4" t="s">
        <v>3071</v>
      </c>
      <c r="B322" s="5" t="s">
        <v>3086</v>
      </c>
      <c r="C322" s="6" t="s">
        <v>134</v>
      </c>
      <c r="D322" s="6" t="s">
        <v>135</v>
      </c>
      <c r="E322" s="6" t="s">
        <v>136</v>
      </c>
      <c r="F322" s="18">
        <v>10743.8</v>
      </c>
      <c r="G322" s="18">
        <v>0</v>
      </c>
      <c r="H322" s="6">
        <v>0</v>
      </c>
      <c r="I322" s="6">
        <v>0</v>
      </c>
      <c r="J322" s="6">
        <v>0</v>
      </c>
      <c r="K322" s="6">
        <v>2256.2000000000003</v>
      </c>
      <c r="L322" s="6">
        <v>0</v>
      </c>
      <c r="M322" s="18">
        <v>0</v>
      </c>
      <c r="N322" s="18">
        <v>13000</v>
      </c>
    </row>
    <row r="323" spans="1:14" hidden="1">
      <c r="A323" s="4" t="s">
        <v>3089</v>
      </c>
      <c r="B323" s="5" t="s">
        <v>3090</v>
      </c>
      <c r="C323" s="6" t="s">
        <v>134</v>
      </c>
      <c r="D323" s="6" t="s">
        <v>135</v>
      </c>
      <c r="E323" s="6" t="s">
        <v>136</v>
      </c>
      <c r="F323" s="18">
        <v>23140.5</v>
      </c>
      <c r="G323" s="18">
        <v>0</v>
      </c>
      <c r="H323" s="6">
        <v>0</v>
      </c>
      <c r="I323" s="6">
        <v>0</v>
      </c>
      <c r="J323" s="6">
        <v>0</v>
      </c>
      <c r="K323" s="6">
        <v>4859.5</v>
      </c>
      <c r="L323" s="6">
        <v>0</v>
      </c>
      <c r="M323" s="18">
        <v>0</v>
      </c>
      <c r="N323" s="18">
        <v>28000</v>
      </c>
    </row>
    <row r="324" spans="1:14" hidden="1">
      <c r="A324" s="4" t="s">
        <v>3089</v>
      </c>
      <c r="B324" s="5" t="s">
        <v>3091</v>
      </c>
      <c r="C324" s="6" t="s">
        <v>134</v>
      </c>
      <c r="D324" s="6" t="s">
        <v>135</v>
      </c>
      <c r="E324" s="6" t="s">
        <v>136</v>
      </c>
      <c r="F324" s="18">
        <v>19834.71</v>
      </c>
      <c r="G324" s="18">
        <v>0</v>
      </c>
      <c r="H324" s="6">
        <v>0</v>
      </c>
      <c r="I324" s="6">
        <v>0</v>
      </c>
      <c r="J324" s="6">
        <v>0</v>
      </c>
      <c r="K324" s="6">
        <v>4165.29</v>
      </c>
      <c r="L324" s="6">
        <v>0</v>
      </c>
      <c r="M324" s="18">
        <v>0</v>
      </c>
      <c r="N324" s="18">
        <v>24000</v>
      </c>
    </row>
    <row r="325" spans="1:14" hidden="1">
      <c r="A325" s="4" t="s">
        <v>3089</v>
      </c>
      <c r="B325" s="5" t="s">
        <v>3092</v>
      </c>
      <c r="C325" s="6" t="s">
        <v>134</v>
      </c>
      <c r="D325" s="6" t="s">
        <v>135</v>
      </c>
      <c r="E325" s="6" t="s">
        <v>136</v>
      </c>
      <c r="F325" s="18">
        <v>31404.959999999999</v>
      </c>
      <c r="G325" s="18">
        <v>0</v>
      </c>
      <c r="H325" s="6">
        <v>0</v>
      </c>
      <c r="I325" s="6">
        <v>0</v>
      </c>
      <c r="J325" s="6">
        <v>0</v>
      </c>
      <c r="K325" s="6">
        <v>6595.04</v>
      </c>
      <c r="L325" s="6">
        <v>0</v>
      </c>
      <c r="M325" s="18">
        <v>0</v>
      </c>
      <c r="N325" s="18">
        <v>38000</v>
      </c>
    </row>
    <row r="326" spans="1:14" hidden="1">
      <c r="A326" s="4" t="s">
        <v>3089</v>
      </c>
      <c r="B326" s="5" t="s">
        <v>3093</v>
      </c>
      <c r="C326" s="6" t="s">
        <v>134</v>
      </c>
      <c r="D326" s="6" t="s">
        <v>135</v>
      </c>
      <c r="E326" s="6" t="s">
        <v>136</v>
      </c>
      <c r="F326" s="18">
        <v>20661.16</v>
      </c>
      <c r="G326" s="18">
        <v>0</v>
      </c>
      <c r="H326" s="6">
        <v>0</v>
      </c>
      <c r="I326" s="6">
        <v>0</v>
      </c>
      <c r="J326" s="6">
        <v>0</v>
      </c>
      <c r="K326" s="6">
        <v>4338.84</v>
      </c>
      <c r="L326" s="6">
        <v>0</v>
      </c>
      <c r="M326" s="18">
        <v>0</v>
      </c>
      <c r="N326" s="18">
        <v>25000</v>
      </c>
    </row>
    <row r="327" spans="1:14" hidden="1">
      <c r="A327" s="4" t="s">
        <v>3089</v>
      </c>
      <c r="B327" s="5" t="s">
        <v>3094</v>
      </c>
      <c r="C327" s="6" t="s">
        <v>134</v>
      </c>
      <c r="D327" s="6" t="s">
        <v>135</v>
      </c>
      <c r="E327" s="6" t="s">
        <v>136</v>
      </c>
      <c r="F327" s="18">
        <v>10743.8</v>
      </c>
      <c r="G327" s="18">
        <v>0</v>
      </c>
      <c r="H327" s="6">
        <v>0</v>
      </c>
      <c r="I327" s="6">
        <v>0</v>
      </c>
      <c r="J327" s="6">
        <v>0</v>
      </c>
      <c r="K327" s="6">
        <v>2256.2000000000003</v>
      </c>
      <c r="L327" s="6">
        <v>0</v>
      </c>
      <c r="M327" s="18">
        <v>0</v>
      </c>
      <c r="N327" s="18">
        <v>13000</v>
      </c>
    </row>
    <row r="328" spans="1:14" hidden="1">
      <c r="A328" s="4" t="s">
        <v>3089</v>
      </c>
      <c r="B328" s="5" t="s">
        <v>3095</v>
      </c>
      <c r="C328" s="6" t="s">
        <v>134</v>
      </c>
      <c r="D328" s="6" t="s">
        <v>135</v>
      </c>
      <c r="E328" s="6" t="s">
        <v>136</v>
      </c>
      <c r="F328" s="18">
        <v>29338.84</v>
      </c>
      <c r="G328" s="18">
        <v>0</v>
      </c>
      <c r="H328" s="6">
        <v>0</v>
      </c>
      <c r="I328" s="6">
        <v>0</v>
      </c>
      <c r="J328" s="6">
        <v>0</v>
      </c>
      <c r="K328" s="6">
        <v>6161.16</v>
      </c>
      <c r="L328" s="6">
        <v>0</v>
      </c>
      <c r="M328" s="18">
        <v>0</v>
      </c>
      <c r="N328" s="18">
        <v>35500</v>
      </c>
    </row>
    <row r="329" spans="1:14" hidden="1">
      <c r="A329" s="4" t="s">
        <v>3089</v>
      </c>
      <c r="B329" s="5" t="s">
        <v>3096</v>
      </c>
      <c r="C329" s="6" t="s">
        <v>134</v>
      </c>
      <c r="D329" s="6" t="s">
        <v>135</v>
      </c>
      <c r="E329" s="6" t="s">
        <v>136</v>
      </c>
      <c r="F329" s="18">
        <v>7024.8</v>
      </c>
      <c r="G329" s="18">
        <v>0</v>
      </c>
      <c r="H329" s="6">
        <v>0</v>
      </c>
      <c r="I329" s="6">
        <v>0</v>
      </c>
      <c r="J329" s="6">
        <v>0</v>
      </c>
      <c r="K329" s="6">
        <v>1475.2</v>
      </c>
      <c r="L329" s="6">
        <v>0</v>
      </c>
      <c r="M329" s="18">
        <v>0</v>
      </c>
      <c r="N329" s="18">
        <v>8500</v>
      </c>
    </row>
    <row r="330" spans="1:14" hidden="1">
      <c r="A330" s="4" t="s">
        <v>3089</v>
      </c>
      <c r="B330" s="5" t="s">
        <v>3097</v>
      </c>
      <c r="C330" s="6" t="s">
        <v>134</v>
      </c>
      <c r="D330" s="6" t="s">
        <v>135</v>
      </c>
      <c r="E330" s="6" t="s">
        <v>136</v>
      </c>
      <c r="F330" s="18">
        <v>20661.16</v>
      </c>
      <c r="G330" s="18">
        <v>0</v>
      </c>
      <c r="H330" s="6">
        <v>0</v>
      </c>
      <c r="I330" s="6">
        <v>0</v>
      </c>
      <c r="J330" s="6">
        <v>0</v>
      </c>
      <c r="K330" s="6">
        <v>4338.84</v>
      </c>
      <c r="L330" s="6">
        <v>0</v>
      </c>
      <c r="M330" s="18">
        <v>0</v>
      </c>
      <c r="N330" s="18">
        <v>25000</v>
      </c>
    </row>
    <row r="331" spans="1:14" hidden="1">
      <c r="A331" s="4" t="s">
        <v>3089</v>
      </c>
      <c r="B331" s="5" t="s">
        <v>3098</v>
      </c>
      <c r="C331" s="6" t="s">
        <v>134</v>
      </c>
      <c r="D331" s="6" t="s">
        <v>135</v>
      </c>
      <c r="E331" s="6" t="s">
        <v>136</v>
      </c>
      <c r="F331" s="18">
        <v>25826.45</v>
      </c>
      <c r="G331" s="18">
        <v>0</v>
      </c>
      <c r="H331" s="6">
        <v>0</v>
      </c>
      <c r="I331" s="6">
        <v>0</v>
      </c>
      <c r="J331" s="6">
        <v>0</v>
      </c>
      <c r="K331" s="6">
        <v>5423.55</v>
      </c>
      <c r="L331" s="6">
        <v>0</v>
      </c>
      <c r="M331" s="18">
        <v>0</v>
      </c>
      <c r="N331" s="18">
        <v>31250</v>
      </c>
    </row>
    <row r="332" spans="1:14" hidden="1">
      <c r="A332" s="4" t="s">
        <v>3089</v>
      </c>
      <c r="B332" s="5" t="s">
        <v>3099</v>
      </c>
      <c r="C332" s="6" t="s">
        <v>134</v>
      </c>
      <c r="D332" s="6" t="s">
        <v>135</v>
      </c>
      <c r="E332" s="6" t="s">
        <v>136</v>
      </c>
      <c r="F332" s="18">
        <v>4958.68</v>
      </c>
      <c r="G332" s="18">
        <v>0</v>
      </c>
      <c r="H332" s="6">
        <v>0</v>
      </c>
      <c r="I332" s="6">
        <v>0</v>
      </c>
      <c r="J332" s="6">
        <v>0</v>
      </c>
      <c r="K332" s="6">
        <v>1041.32</v>
      </c>
      <c r="L332" s="6">
        <v>0</v>
      </c>
      <c r="M332" s="18">
        <v>0</v>
      </c>
      <c r="N332" s="18">
        <v>6000</v>
      </c>
    </row>
    <row r="333" spans="1:14" hidden="1">
      <c r="A333" s="4" t="s">
        <v>3103</v>
      </c>
      <c r="B333" s="5" t="s">
        <v>3104</v>
      </c>
      <c r="C333" s="6" t="s">
        <v>134</v>
      </c>
      <c r="D333" s="6" t="s">
        <v>135</v>
      </c>
      <c r="E333" s="6" t="s">
        <v>136</v>
      </c>
      <c r="F333" s="18">
        <v>29338.84</v>
      </c>
      <c r="G333" s="18">
        <v>0</v>
      </c>
      <c r="H333" s="6">
        <v>0</v>
      </c>
      <c r="I333" s="6">
        <v>0</v>
      </c>
      <c r="J333" s="6">
        <v>0</v>
      </c>
      <c r="K333" s="6">
        <v>6161.16</v>
      </c>
      <c r="L333" s="6">
        <v>0</v>
      </c>
      <c r="M333" s="18">
        <v>0</v>
      </c>
      <c r="N333" s="18">
        <v>35500</v>
      </c>
    </row>
    <row r="334" spans="1:14" hidden="1">
      <c r="A334" s="4" t="s">
        <v>3103</v>
      </c>
      <c r="B334" s="5" t="s">
        <v>3105</v>
      </c>
      <c r="C334" s="6" t="s">
        <v>134</v>
      </c>
      <c r="D334" s="6" t="s">
        <v>135</v>
      </c>
      <c r="E334" s="6" t="s">
        <v>136</v>
      </c>
      <c r="F334" s="18">
        <v>11487.6</v>
      </c>
      <c r="G334" s="18">
        <v>0</v>
      </c>
      <c r="H334" s="6">
        <v>0</v>
      </c>
      <c r="I334" s="6">
        <v>0</v>
      </c>
      <c r="J334" s="6">
        <v>0</v>
      </c>
      <c r="K334" s="6">
        <v>2412.4</v>
      </c>
      <c r="L334" s="6">
        <v>0</v>
      </c>
      <c r="M334" s="18">
        <v>0</v>
      </c>
      <c r="N334" s="18">
        <v>13900</v>
      </c>
    </row>
    <row r="335" spans="1:14" hidden="1">
      <c r="A335" s="4" t="s">
        <v>3103</v>
      </c>
      <c r="B335" s="5" t="s">
        <v>3106</v>
      </c>
      <c r="C335" s="6" t="s">
        <v>134</v>
      </c>
      <c r="D335" s="6" t="s">
        <v>135</v>
      </c>
      <c r="E335" s="6" t="s">
        <v>136</v>
      </c>
      <c r="F335" s="18">
        <v>35537.19</v>
      </c>
      <c r="G335" s="18">
        <v>0</v>
      </c>
      <c r="H335" s="6">
        <v>0</v>
      </c>
      <c r="I335" s="6">
        <v>0</v>
      </c>
      <c r="J335" s="6">
        <v>0</v>
      </c>
      <c r="K335" s="6">
        <v>7462.81</v>
      </c>
      <c r="L335" s="6">
        <v>0</v>
      </c>
      <c r="M335" s="18">
        <v>0</v>
      </c>
      <c r="N335" s="18">
        <v>43000</v>
      </c>
    </row>
    <row r="336" spans="1:14" hidden="1">
      <c r="A336" s="4" t="s">
        <v>3103</v>
      </c>
      <c r="B336" s="5" t="s">
        <v>3107</v>
      </c>
      <c r="C336" s="6" t="s">
        <v>134</v>
      </c>
      <c r="D336" s="6" t="s">
        <v>135</v>
      </c>
      <c r="E336" s="6" t="s">
        <v>136</v>
      </c>
      <c r="F336" s="18">
        <v>10743.8</v>
      </c>
      <c r="G336" s="18">
        <v>0</v>
      </c>
      <c r="H336" s="6">
        <v>0</v>
      </c>
      <c r="I336" s="6">
        <v>0</v>
      </c>
      <c r="J336" s="6">
        <v>0</v>
      </c>
      <c r="K336" s="6">
        <v>2256.2000000000003</v>
      </c>
      <c r="L336" s="6">
        <v>0</v>
      </c>
      <c r="M336" s="18">
        <v>0</v>
      </c>
      <c r="N336" s="18">
        <v>13000</v>
      </c>
    </row>
    <row r="337" spans="1:14" hidden="1">
      <c r="A337" s="4" t="s">
        <v>3103</v>
      </c>
      <c r="B337" s="5" t="s">
        <v>3108</v>
      </c>
      <c r="C337" s="6" t="s">
        <v>134</v>
      </c>
      <c r="D337" s="6" t="s">
        <v>135</v>
      </c>
      <c r="E337" s="6" t="s">
        <v>136</v>
      </c>
      <c r="F337" s="18">
        <v>10743.8</v>
      </c>
      <c r="G337" s="18">
        <v>0</v>
      </c>
      <c r="H337" s="6">
        <v>0</v>
      </c>
      <c r="I337" s="6">
        <v>0</v>
      </c>
      <c r="J337" s="6">
        <v>0</v>
      </c>
      <c r="K337" s="6">
        <v>2256.2000000000003</v>
      </c>
      <c r="L337" s="6">
        <v>0</v>
      </c>
      <c r="M337" s="18">
        <v>0</v>
      </c>
      <c r="N337" s="18">
        <v>13000</v>
      </c>
    </row>
    <row r="338" spans="1:14" hidden="1">
      <c r="A338" s="4" t="s">
        <v>3103</v>
      </c>
      <c r="B338" s="5" t="s">
        <v>3109</v>
      </c>
      <c r="C338" s="6" t="s">
        <v>134</v>
      </c>
      <c r="D338" s="6" t="s">
        <v>135</v>
      </c>
      <c r="E338" s="6" t="s">
        <v>136</v>
      </c>
      <c r="F338" s="18">
        <v>10743.8</v>
      </c>
      <c r="G338" s="18">
        <v>0</v>
      </c>
      <c r="H338" s="6">
        <v>0</v>
      </c>
      <c r="I338" s="6">
        <v>0</v>
      </c>
      <c r="J338" s="6">
        <v>0</v>
      </c>
      <c r="K338" s="6">
        <v>2256.2000000000003</v>
      </c>
      <c r="L338" s="6">
        <v>0</v>
      </c>
      <c r="M338" s="18">
        <v>0</v>
      </c>
      <c r="N338" s="18">
        <v>13000</v>
      </c>
    </row>
    <row r="339" spans="1:14" hidden="1">
      <c r="A339" s="4" t="s">
        <v>3103</v>
      </c>
      <c r="B339" s="5" t="s">
        <v>3110</v>
      </c>
      <c r="C339" s="6" t="s">
        <v>134</v>
      </c>
      <c r="D339" s="6" t="s">
        <v>135</v>
      </c>
      <c r="E339" s="6" t="s">
        <v>136</v>
      </c>
      <c r="F339" s="18">
        <v>14876.03</v>
      </c>
      <c r="G339" s="18">
        <v>0</v>
      </c>
      <c r="H339" s="6">
        <v>0</v>
      </c>
      <c r="I339" s="6">
        <v>0</v>
      </c>
      <c r="J339" s="6">
        <v>0</v>
      </c>
      <c r="K339" s="6">
        <v>3123.97</v>
      </c>
      <c r="L339" s="6">
        <v>0</v>
      </c>
      <c r="M339" s="18">
        <v>0</v>
      </c>
      <c r="N339" s="18">
        <v>18000</v>
      </c>
    </row>
    <row r="340" spans="1:14" hidden="1">
      <c r="A340" s="4" t="s">
        <v>3103</v>
      </c>
      <c r="B340" s="5" t="s">
        <v>3111</v>
      </c>
      <c r="C340" s="6" t="s">
        <v>134</v>
      </c>
      <c r="D340" s="6" t="s">
        <v>135</v>
      </c>
      <c r="E340" s="6" t="s">
        <v>136</v>
      </c>
      <c r="F340" s="18">
        <v>21074.38</v>
      </c>
      <c r="G340" s="18">
        <v>0</v>
      </c>
      <c r="H340" s="6">
        <v>0</v>
      </c>
      <c r="I340" s="6">
        <v>0</v>
      </c>
      <c r="J340" s="6">
        <v>0</v>
      </c>
      <c r="K340" s="6">
        <v>4425.62</v>
      </c>
      <c r="L340" s="6">
        <v>0</v>
      </c>
      <c r="M340" s="18">
        <v>0</v>
      </c>
      <c r="N340" s="18">
        <v>25500</v>
      </c>
    </row>
    <row r="341" spans="1:14" hidden="1">
      <c r="A341" s="4" t="s">
        <v>3103</v>
      </c>
      <c r="B341" s="5" t="s">
        <v>3112</v>
      </c>
      <c r="C341" s="6" t="s">
        <v>134</v>
      </c>
      <c r="D341" s="6" t="s">
        <v>135</v>
      </c>
      <c r="E341" s="6" t="s">
        <v>136</v>
      </c>
      <c r="F341" s="18">
        <v>8264.4600000000009</v>
      </c>
      <c r="G341" s="18">
        <v>0</v>
      </c>
      <c r="H341" s="6">
        <v>0</v>
      </c>
      <c r="I341" s="6">
        <v>0</v>
      </c>
      <c r="J341" s="6">
        <v>0</v>
      </c>
      <c r="K341" s="6">
        <v>1735.54</v>
      </c>
      <c r="L341" s="6">
        <v>0</v>
      </c>
      <c r="M341" s="18">
        <v>0</v>
      </c>
      <c r="N341" s="18">
        <v>10000</v>
      </c>
    </row>
    <row r="342" spans="1:14" hidden="1">
      <c r="A342" s="4" t="s">
        <v>3103</v>
      </c>
      <c r="B342" s="5" t="s">
        <v>3113</v>
      </c>
      <c r="C342" s="6" t="s">
        <v>134</v>
      </c>
      <c r="D342" s="6" t="s">
        <v>135</v>
      </c>
      <c r="E342" s="6" t="s">
        <v>136</v>
      </c>
      <c r="F342" s="18">
        <v>15702.48</v>
      </c>
      <c r="G342" s="18">
        <v>0</v>
      </c>
      <c r="H342" s="6">
        <v>0</v>
      </c>
      <c r="I342" s="6">
        <v>0</v>
      </c>
      <c r="J342" s="6">
        <v>0</v>
      </c>
      <c r="K342" s="6">
        <v>3297.52</v>
      </c>
      <c r="L342" s="6">
        <v>0</v>
      </c>
      <c r="M342" s="18">
        <v>0</v>
      </c>
      <c r="N342" s="18">
        <v>19000</v>
      </c>
    </row>
    <row r="343" spans="1:14" hidden="1">
      <c r="A343" s="4" t="s">
        <v>3117</v>
      </c>
      <c r="B343" s="5" t="s">
        <v>3118</v>
      </c>
      <c r="C343" s="6" t="s">
        <v>134</v>
      </c>
      <c r="D343" s="6" t="s">
        <v>135</v>
      </c>
      <c r="E343" s="6" t="s">
        <v>136</v>
      </c>
      <c r="F343" s="18">
        <v>14049.59</v>
      </c>
      <c r="G343" s="18">
        <v>0</v>
      </c>
      <c r="H343" s="6">
        <v>0</v>
      </c>
      <c r="I343" s="6">
        <v>0</v>
      </c>
      <c r="J343" s="6">
        <v>0</v>
      </c>
      <c r="K343" s="6">
        <v>2950.41</v>
      </c>
      <c r="L343" s="6">
        <v>0</v>
      </c>
      <c r="M343" s="18">
        <v>0</v>
      </c>
      <c r="N343" s="18">
        <v>17000</v>
      </c>
    </row>
    <row r="344" spans="1:14" hidden="1">
      <c r="A344" s="4" t="s">
        <v>3117</v>
      </c>
      <c r="B344" s="5" t="s">
        <v>3119</v>
      </c>
      <c r="C344" s="6" t="s">
        <v>134</v>
      </c>
      <c r="D344" s="6" t="s">
        <v>135</v>
      </c>
      <c r="E344" s="6" t="s">
        <v>136</v>
      </c>
      <c r="F344" s="18">
        <v>10743.8</v>
      </c>
      <c r="G344" s="18">
        <v>0</v>
      </c>
      <c r="H344" s="6">
        <v>0</v>
      </c>
      <c r="I344" s="6">
        <v>0</v>
      </c>
      <c r="J344" s="6">
        <v>0</v>
      </c>
      <c r="K344" s="6">
        <v>2256.2000000000003</v>
      </c>
      <c r="L344" s="6">
        <v>0</v>
      </c>
      <c r="M344" s="18">
        <v>0</v>
      </c>
      <c r="N344" s="18">
        <v>13000</v>
      </c>
    </row>
    <row r="345" spans="1:14" hidden="1">
      <c r="A345" s="4" t="s">
        <v>3117</v>
      </c>
      <c r="B345" s="5" t="s">
        <v>3120</v>
      </c>
      <c r="C345" s="6" t="s">
        <v>134</v>
      </c>
      <c r="D345" s="6" t="s">
        <v>135</v>
      </c>
      <c r="E345" s="6" t="s">
        <v>136</v>
      </c>
      <c r="F345" s="18">
        <v>2066.12</v>
      </c>
      <c r="G345" s="18">
        <v>0</v>
      </c>
      <c r="H345" s="6">
        <v>0</v>
      </c>
      <c r="I345" s="6">
        <v>0</v>
      </c>
      <c r="J345" s="6">
        <v>0</v>
      </c>
      <c r="K345" s="6">
        <v>433.88</v>
      </c>
      <c r="L345" s="6">
        <v>0</v>
      </c>
      <c r="M345" s="18">
        <v>0</v>
      </c>
      <c r="N345" s="18">
        <v>2500</v>
      </c>
    </row>
    <row r="346" spans="1:14" hidden="1">
      <c r="A346" s="4" t="s">
        <v>3117</v>
      </c>
      <c r="B346" s="5" t="s">
        <v>3121</v>
      </c>
      <c r="C346" s="6" t="s">
        <v>134</v>
      </c>
      <c r="D346" s="6" t="s">
        <v>135</v>
      </c>
      <c r="E346" s="6" t="s">
        <v>136</v>
      </c>
      <c r="F346" s="18">
        <v>10743.8</v>
      </c>
      <c r="G346" s="18">
        <v>0</v>
      </c>
      <c r="H346" s="6">
        <v>0</v>
      </c>
      <c r="I346" s="6">
        <v>0</v>
      </c>
      <c r="J346" s="6">
        <v>0</v>
      </c>
      <c r="K346" s="6">
        <v>2256.2000000000003</v>
      </c>
      <c r="L346" s="6">
        <v>0</v>
      </c>
      <c r="M346" s="18">
        <v>0</v>
      </c>
      <c r="N346" s="18">
        <v>13000</v>
      </c>
    </row>
    <row r="347" spans="1:14" hidden="1">
      <c r="A347" s="4" t="s">
        <v>3117</v>
      </c>
      <c r="B347" s="5" t="s">
        <v>3122</v>
      </c>
      <c r="C347" s="6" t="s">
        <v>134</v>
      </c>
      <c r="D347" s="6" t="s">
        <v>135</v>
      </c>
      <c r="E347" s="6" t="s">
        <v>136</v>
      </c>
      <c r="F347" s="18">
        <v>21487.599999999999</v>
      </c>
      <c r="G347" s="18">
        <v>0</v>
      </c>
      <c r="H347" s="6">
        <v>0</v>
      </c>
      <c r="I347" s="6">
        <v>0</v>
      </c>
      <c r="J347" s="6">
        <v>0</v>
      </c>
      <c r="K347" s="6">
        <v>4512.4000000000005</v>
      </c>
      <c r="L347" s="6">
        <v>0</v>
      </c>
      <c r="M347" s="18">
        <v>0</v>
      </c>
      <c r="N347" s="18">
        <v>26000</v>
      </c>
    </row>
    <row r="348" spans="1:14" hidden="1">
      <c r="A348" s="4" t="s">
        <v>3117</v>
      </c>
      <c r="B348" s="5" t="s">
        <v>3123</v>
      </c>
      <c r="C348" s="6" t="s">
        <v>134</v>
      </c>
      <c r="D348" s="6" t="s">
        <v>135</v>
      </c>
      <c r="E348" s="6" t="s">
        <v>136</v>
      </c>
      <c r="F348" s="18">
        <v>28099.17</v>
      </c>
      <c r="G348" s="18">
        <v>0</v>
      </c>
      <c r="H348" s="6">
        <v>0</v>
      </c>
      <c r="I348" s="6">
        <v>0</v>
      </c>
      <c r="J348" s="6">
        <v>0</v>
      </c>
      <c r="K348" s="6">
        <v>5900.83</v>
      </c>
      <c r="L348" s="6">
        <v>0</v>
      </c>
      <c r="M348" s="18">
        <v>0</v>
      </c>
      <c r="N348" s="18">
        <v>34000</v>
      </c>
    </row>
    <row r="349" spans="1:14" hidden="1">
      <c r="A349" s="4" t="s">
        <v>3117</v>
      </c>
      <c r="B349" s="5" t="s">
        <v>3124</v>
      </c>
      <c r="C349" s="6" t="s">
        <v>134</v>
      </c>
      <c r="D349" s="6" t="s">
        <v>135</v>
      </c>
      <c r="E349" s="6" t="s">
        <v>136</v>
      </c>
      <c r="F349" s="18">
        <v>16528.93</v>
      </c>
      <c r="G349" s="18">
        <v>0</v>
      </c>
      <c r="H349" s="6">
        <v>0</v>
      </c>
      <c r="I349" s="6">
        <v>0</v>
      </c>
      <c r="J349" s="6">
        <v>0</v>
      </c>
      <c r="K349" s="6">
        <v>3471.07</v>
      </c>
      <c r="L349" s="6">
        <v>0</v>
      </c>
      <c r="M349" s="18">
        <v>0</v>
      </c>
      <c r="N349" s="18">
        <v>20000</v>
      </c>
    </row>
    <row r="350" spans="1:14" hidden="1">
      <c r="A350" s="4" t="s">
        <v>3117</v>
      </c>
      <c r="B350" s="5" t="s">
        <v>3125</v>
      </c>
      <c r="C350" s="6" t="s">
        <v>134</v>
      </c>
      <c r="D350" s="6" t="s">
        <v>135</v>
      </c>
      <c r="E350" s="6" t="s">
        <v>136</v>
      </c>
      <c r="F350" s="18">
        <v>22314.05</v>
      </c>
      <c r="G350" s="18">
        <v>0</v>
      </c>
      <c r="H350" s="6">
        <v>0</v>
      </c>
      <c r="I350" s="6">
        <v>0</v>
      </c>
      <c r="J350" s="6">
        <v>0</v>
      </c>
      <c r="K350" s="6">
        <v>4685.95</v>
      </c>
      <c r="L350" s="6">
        <v>0</v>
      </c>
      <c r="M350" s="18">
        <v>0</v>
      </c>
      <c r="N350" s="18">
        <v>27000</v>
      </c>
    </row>
    <row r="351" spans="1:14" hidden="1">
      <c r="A351" s="4" t="s">
        <v>3117</v>
      </c>
      <c r="B351" s="5" t="s">
        <v>3126</v>
      </c>
      <c r="C351" s="6" t="s">
        <v>134</v>
      </c>
      <c r="D351" s="6" t="s">
        <v>135</v>
      </c>
      <c r="E351" s="6" t="s">
        <v>136</v>
      </c>
      <c r="F351" s="18">
        <v>53719.01</v>
      </c>
      <c r="G351" s="18">
        <v>0</v>
      </c>
      <c r="H351" s="6">
        <v>0</v>
      </c>
      <c r="I351" s="6">
        <v>0</v>
      </c>
      <c r="J351" s="6">
        <v>0</v>
      </c>
      <c r="K351" s="6">
        <v>11280.99</v>
      </c>
      <c r="L351" s="6">
        <v>0</v>
      </c>
      <c r="M351" s="18">
        <v>0</v>
      </c>
      <c r="N351" s="18">
        <v>65000</v>
      </c>
    </row>
    <row r="352" spans="1:14" hidden="1">
      <c r="A352" s="4" t="s">
        <v>3117</v>
      </c>
      <c r="B352" s="5" t="s">
        <v>3127</v>
      </c>
      <c r="C352" s="6" t="s">
        <v>134</v>
      </c>
      <c r="D352" s="6" t="s">
        <v>135</v>
      </c>
      <c r="E352" s="6" t="s">
        <v>136</v>
      </c>
      <c r="F352" s="18">
        <v>10743.8</v>
      </c>
      <c r="G352" s="18">
        <v>0</v>
      </c>
      <c r="H352" s="6">
        <v>0</v>
      </c>
      <c r="I352" s="6">
        <v>0</v>
      </c>
      <c r="J352" s="6">
        <v>0</v>
      </c>
      <c r="K352" s="6">
        <v>2256.2000000000003</v>
      </c>
      <c r="L352" s="6">
        <v>0</v>
      </c>
      <c r="M352" s="18">
        <v>0</v>
      </c>
      <c r="N352" s="18">
        <v>13000</v>
      </c>
    </row>
    <row r="353" spans="1:14" hidden="1">
      <c r="A353" s="4" t="s">
        <v>3117</v>
      </c>
      <c r="B353" s="5" t="s">
        <v>3128</v>
      </c>
      <c r="C353" s="6" t="s">
        <v>134</v>
      </c>
      <c r="D353" s="6" t="s">
        <v>135</v>
      </c>
      <c r="E353" s="6" t="s">
        <v>136</v>
      </c>
      <c r="F353" s="18">
        <v>15702.48</v>
      </c>
      <c r="G353" s="18">
        <v>0</v>
      </c>
      <c r="H353" s="6">
        <v>0</v>
      </c>
      <c r="I353" s="6">
        <v>0</v>
      </c>
      <c r="J353" s="6">
        <v>0</v>
      </c>
      <c r="K353" s="6">
        <v>3297.52</v>
      </c>
      <c r="L353" s="6">
        <v>0</v>
      </c>
      <c r="M353" s="18">
        <v>0</v>
      </c>
      <c r="N353" s="18">
        <v>19000</v>
      </c>
    </row>
    <row r="354" spans="1:14" hidden="1">
      <c r="A354" s="4" t="s">
        <v>3117</v>
      </c>
      <c r="B354" s="5" t="s">
        <v>3129</v>
      </c>
      <c r="C354" s="6" t="s">
        <v>134</v>
      </c>
      <c r="D354" s="6" t="s">
        <v>135</v>
      </c>
      <c r="E354" s="6" t="s">
        <v>136</v>
      </c>
      <c r="F354" s="18">
        <v>10743.8</v>
      </c>
      <c r="G354" s="18">
        <v>0</v>
      </c>
      <c r="H354" s="6">
        <v>0</v>
      </c>
      <c r="I354" s="6">
        <v>0</v>
      </c>
      <c r="J354" s="6">
        <v>0</v>
      </c>
      <c r="K354" s="6">
        <v>2256.2000000000003</v>
      </c>
      <c r="L354" s="6">
        <v>0</v>
      </c>
      <c r="M354" s="18">
        <v>0</v>
      </c>
      <c r="N354" s="18">
        <v>13000</v>
      </c>
    </row>
    <row r="355" spans="1:14" hidden="1">
      <c r="A355" s="4" t="s">
        <v>3140</v>
      </c>
      <c r="B355" s="5" t="s">
        <v>3141</v>
      </c>
      <c r="C355" s="6" t="s">
        <v>134</v>
      </c>
      <c r="D355" s="6" t="s">
        <v>135</v>
      </c>
      <c r="E355" s="6" t="s">
        <v>136</v>
      </c>
      <c r="F355" s="18">
        <v>10743.8</v>
      </c>
      <c r="G355" s="18">
        <v>0</v>
      </c>
      <c r="H355" s="6">
        <v>0</v>
      </c>
      <c r="I355" s="6">
        <v>0</v>
      </c>
      <c r="J355" s="6">
        <v>0</v>
      </c>
      <c r="K355" s="6">
        <v>2256.2000000000003</v>
      </c>
      <c r="L355" s="6">
        <v>0</v>
      </c>
      <c r="M355" s="18">
        <v>0</v>
      </c>
      <c r="N355" s="18">
        <v>13000</v>
      </c>
    </row>
    <row r="356" spans="1:14" hidden="1">
      <c r="A356" s="4" t="s">
        <v>3140</v>
      </c>
      <c r="B356" s="5" t="s">
        <v>3142</v>
      </c>
      <c r="C356" s="6" t="s">
        <v>134</v>
      </c>
      <c r="D356" s="6" t="s">
        <v>135</v>
      </c>
      <c r="E356" s="6" t="s">
        <v>136</v>
      </c>
      <c r="F356" s="18">
        <v>10743.8</v>
      </c>
      <c r="G356" s="18">
        <v>0</v>
      </c>
      <c r="H356" s="6">
        <v>0</v>
      </c>
      <c r="I356" s="6">
        <v>0</v>
      </c>
      <c r="J356" s="6">
        <v>0</v>
      </c>
      <c r="K356" s="6">
        <v>2256.2000000000003</v>
      </c>
      <c r="L356" s="6">
        <v>0</v>
      </c>
      <c r="M356" s="18">
        <v>0</v>
      </c>
      <c r="N356" s="18">
        <v>13000</v>
      </c>
    </row>
    <row r="357" spans="1:14" hidden="1">
      <c r="A357" s="4" t="s">
        <v>3140</v>
      </c>
      <c r="B357" s="5" t="s">
        <v>3143</v>
      </c>
      <c r="C357" s="6" t="s">
        <v>134</v>
      </c>
      <c r="D357" s="6" t="s">
        <v>135</v>
      </c>
      <c r="E357" s="6" t="s">
        <v>136</v>
      </c>
      <c r="F357" s="18">
        <v>10247.93</v>
      </c>
      <c r="G357" s="18">
        <v>0</v>
      </c>
      <c r="H357" s="6">
        <v>0</v>
      </c>
      <c r="I357" s="6">
        <v>0</v>
      </c>
      <c r="J357" s="6">
        <v>0</v>
      </c>
      <c r="K357" s="6">
        <v>2152.0700000000002</v>
      </c>
      <c r="L357" s="6">
        <v>0</v>
      </c>
      <c r="M357" s="18">
        <v>0</v>
      </c>
      <c r="N357" s="18">
        <v>12400</v>
      </c>
    </row>
    <row r="358" spans="1:14" hidden="1">
      <c r="A358" s="4" t="s">
        <v>3140</v>
      </c>
      <c r="B358" s="5" t="s">
        <v>3144</v>
      </c>
      <c r="C358" s="6" t="s">
        <v>134</v>
      </c>
      <c r="D358" s="6" t="s">
        <v>135</v>
      </c>
      <c r="E358" s="6" t="s">
        <v>136</v>
      </c>
      <c r="F358" s="18">
        <v>14876.03</v>
      </c>
      <c r="G358" s="18">
        <v>0</v>
      </c>
      <c r="H358" s="6">
        <v>0</v>
      </c>
      <c r="I358" s="6">
        <v>0</v>
      </c>
      <c r="J358" s="6">
        <v>0</v>
      </c>
      <c r="K358" s="6">
        <v>3123.97</v>
      </c>
      <c r="L358" s="6">
        <v>0</v>
      </c>
      <c r="M358" s="18">
        <v>0</v>
      </c>
      <c r="N358" s="18">
        <v>18000</v>
      </c>
    </row>
    <row r="359" spans="1:14" hidden="1">
      <c r="A359" s="4" t="s">
        <v>3140</v>
      </c>
      <c r="B359" s="5" t="s">
        <v>3145</v>
      </c>
      <c r="C359" s="6" t="s">
        <v>134</v>
      </c>
      <c r="D359" s="6" t="s">
        <v>135</v>
      </c>
      <c r="E359" s="6" t="s">
        <v>136</v>
      </c>
      <c r="F359" s="18">
        <v>42975.21</v>
      </c>
      <c r="G359" s="18">
        <v>0</v>
      </c>
      <c r="H359" s="6">
        <v>0</v>
      </c>
      <c r="I359" s="6">
        <v>0</v>
      </c>
      <c r="J359" s="6">
        <v>0</v>
      </c>
      <c r="K359" s="6">
        <v>9024.7900000000009</v>
      </c>
      <c r="L359" s="6">
        <v>0</v>
      </c>
      <c r="M359" s="18">
        <v>0</v>
      </c>
      <c r="N359" s="18">
        <v>52000</v>
      </c>
    </row>
    <row r="360" spans="1:14" hidden="1">
      <c r="A360" s="4" t="s">
        <v>3140</v>
      </c>
      <c r="B360" s="5" t="s">
        <v>3146</v>
      </c>
      <c r="C360" s="6" t="s">
        <v>134</v>
      </c>
      <c r="D360" s="6" t="s">
        <v>135</v>
      </c>
      <c r="E360" s="6" t="s">
        <v>136</v>
      </c>
      <c r="F360" s="18">
        <v>16528.93</v>
      </c>
      <c r="G360" s="18">
        <v>0</v>
      </c>
      <c r="H360" s="6">
        <v>0</v>
      </c>
      <c r="I360" s="6">
        <v>0</v>
      </c>
      <c r="J360" s="6">
        <v>0</v>
      </c>
      <c r="K360" s="6">
        <v>3471.07</v>
      </c>
      <c r="L360" s="6">
        <v>0</v>
      </c>
      <c r="M360" s="18">
        <v>0</v>
      </c>
      <c r="N360" s="18">
        <v>20000</v>
      </c>
    </row>
    <row r="361" spans="1:14" hidden="1">
      <c r="A361" s="4" t="s">
        <v>3140</v>
      </c>
      <c r="B361" s="5" t="s">
        <v>3147</v>
      </c>
      <c r="C361" s="6" t="s">
        <v>134</v>
      </c>
      <c r="D361" s="6" t="s">
        <v>135</v>
      </c>
      <c r="E361" s="6" t="s">
        <v>136</v>
      </c>
      <c r="F361" s="18">
        <v>5619.83</v>
      </c>
      <c r="G361" s="18">
        <v>0</v>
      </c>
      <c r="H361" s="6">
        <v>0</v>
      </c>
      <c r="I361" s="6">
        <v>0</v>
      </c>
      <c r="J361" s="6">
        <v>0</v>
      </c>
      <c r="K361" s="6">
        <v>1180.17</v>
      </c>
      <c r="L361" s="6">
        <v>0</v>
      </c>
      <c r="M361" s="18">
        <v>0</v>
      </c>
      <c r="N361" s="18">
        <v>6800</v>
      </c>
    </row>
    <row r="362" spans="1:14" hidden="1">
      <c r="A362" s="4" t="s">
        <v>3140</v>
      </c>
      <c r="B362" s="5" t="s">
        <v>3148</v>
      </c>
      <c r="C362" s="6" t="s">
        <v>134</v>
      </c>
      <c r="D362" s="6" t="s">
        <v>135</v>
      </c>
      <c r="E362" s="6" t="s">
        <v>136</v>
      </c>
      <c r="F362" s="18">
        <v>14669.42</v>
      </c>
      <c r="G362" s="18">
        <v>0</v>
      </c>
      <c r="H362" s="6">
        <v>0</v>
      </c>
      <c r="I362" s="6">
        <v>0</v>
      </c>
      <c r="J362" s="6">
        <v>0</v>
      </c>
      <c r="K362" s="6">
        <v>3080.58</v>
      </c>
      <c r="L362" s="6">
        <v>0</v>
      </c>
      <c r="M362" s="18">
        <v>0</v>
      </c>
      <c r="N362" s="18">
        <v>17750</v>
      </c>
    </row>
    <row r="363" spans="1:14" hidden="1">
      <c r="A363" s="4" t="s">
        <v>3140</v>
      </c>
      <c r="B363" s="5" t="s">
        <v>3149</v>
      </c>
      <c r="C363" s="6" t="s">
        <v>134</v>
      </c>
      <c r="D363" s="6" t="s">
        <v>135</v>
      </c>
      <c r="E363" s="6" t="s">
        <v>136</v>
      </c>
      <c r="F363" s="18">
        <v>10743.8</v>
      </c>
      <c r="G363" s="18">
        <v>0</v>
      </c>
      <c r="H363" s="6">
        <v>0</v>
      </c>
      <c r="I363" s="6">
        <v>0</v>
      </c>
      <c r="J363" s="6">
        <v>0</v>
      </c>
      <c r="K363" s="6">
        <v>2256.2000000000003</v>
      </c>
      <c r="L363" s="6">
        <v>0</v>
      </c>
      <c r="M363" s="18">
        <v>0</v>
      </c>
      <c r="N363" s="18">
        <v>13000</v>
      </c>
    </row>
    <row r="364" spans="1:14" hidden="1">
      <c r="A364" s="4" t="s">
        <v>3140</v>
      </c>
      <c r="B364" s="5" t="s">
        <v>3150</v>
      </c>
      <c r="C364" s="6" t="s">
        <v>134</v>
      </c>
      <c r="D364" s="6" t="s">
        <v>135</v>
      </c>
      <c r="E364" s="6" t="s">
        <v>136</v>
      </c>
      <c r="F364" s="18">
        <v>72727.27</v>
      </c>
      <c r="G364" s="18">
        <v>0</v>
      </c>
      <c r="H364" s="6">
        <v>0</v>
      </c>
      <c r="I364" s="6">
        <v>0</v>
      </c>
      <c r="J364" s="6">
        <v>0</v>
      </c>
      <c r="K364" s="6">
        <v>15272.73</v>
      </c>
      <c r="L364" s="6">
        <v>0</v>
      </c>
      <c r="M364" s="18">
        <v>0</v>
      </c>
      <c r="N364" s="18">
        <v>88000</v>
      </c>
    </row>
    <row r="365" spans="1:14" hidden="1">
      <c r="A365" s="4" t="s">
        <v>3140</v>
      </c>
      <c r="B365" s="5" t="s">
        <v>3151</v>
      </c>
      <c r="C365" s="6" t="s">
        <v>134</v>
      </c>
      <c r="D365" s="6" t="s">
        <v>135</v>
      </c>
      <c r="E365" s="6" t="s">
        <v>136</v>
      </c>
      <c r="F365" s="18">
        <v>10743.8</v>
      </c>
      <c r="G365" s="18">
        <v>0</v>
      </c>
      <c r="H365" s="6">
        <v>0</v>
      </c>
      <c r="I365" s="6">
        <v>0</v>
      </c>
      <c r="J365" s="6">
        <v>0</v>
      </c>
      <c r="K365" s="6">
        <v>2256.2000000000003</v>
      </c>
      <c r="L365" s="6">
        <v>0</v>
      </c>
      <c r="M365" s="18">
        <v>0</v>
      </c>
      <c r="N365" s="18">
        <v>13000</v>
      </c>
    </row>
    <row r="366" spans="1:14" hidden="1">
      <c r="A366" s="4" t="s">
        <v>3140</v>
      </c>
      <c r="B366" s="5" t="s">
        <v>3152</v>
      </c>
      <c r="C366" s="6" t="s">
        <v>134</v>
      </c>
      <c r="D366" s="6" t="s">
        <v>135</v>
      </c>
      <c r="E366" s="6" t="s">
        <v>136</v>
      </c>
      <c r="F366" s="18">
        <v>28099.17</v>
      </c>
      <c r="G366" s="18">
        <v>0</v>
      </c>
      <c r="H366" s="6">
        <v>0</v>
      </c>
      <c r="I366" s="6">
        <v>0</v>
      </c>
      <c r="J366" s="6">
        <v>0</v>
      </c>
      <c r="K366" s="6">
        <v>5900.83</v>
      </c>
      <c r="L366" s="6">
        <v>0</v>
      </c>
      <c r="M366" s="18">
        <v>0</v>
      </c>
      <c r="N366" s="18">
        <v>34000</v>
      </c>
    </row>
    <row r="367" spans="1:14" hidden="1">
      <c r="A367" s="4" t="s">
        <v>3140</v>
      </c>
      <c r="B367" s="5" t="s">
        <v>3153</v>
      </c>
      <c r="C367" s="6" t="s">
        <v>134</v>
      </c>
      <c r="D367" s="6" t="s">
        <v>135</v>
      </c>
      <c r="E367" s="6" t="s">
        <v>136</v>
      </c>
      <c r="F367" s="18">
        <v>34710.74</v>
      </c>
      <c r="G367" s="18">
        <v>0</v>
      </c>
      <c r="H367" s="6">
        <v>0</v>
      </c>
      <c r="I367" s="6">
        <v>0</v>
      </c>
      <c r="J367" s="6">
        <v>0</v>
      </c>
      <c r="K367" s="6">
        <v>7289.26</v>
      </c>
      <c r="L367" s="6">
        <v>0</v>
      </c>
      <c r="M367" s="18">
        <v>0</v>
      </c>
      <c r="N367" s="18">
        <v>42000</v>
      </c>
    </row>
    <row r="368" spans="1:14" hidden="1">
      <c r="A368" s="4" t="s">
        <v>3140</v>
      </c>
      <c r="B368" s="5" t="s">
        <v>3154</v>
      </c>
      <c r="C368" s="6" t="s">
        <v>134</v>
      </c>
      <c r="D368" s="6" t="s">
        <v>135</v>
      </c>
      <c r="E368" s="6" t="s">
        <v>136</v>
      </c>
      <c r="F368" s="18">
        <v>10743.8</v>
      </c>
      <c r="G368" s="18">
        <v>0</v>
      </c>
      <c r="H368" s="6">
        <v>0</v>
      </c>
      <c r="I368" s="6">
        <v>0</v>
      </c>
      <c r="J368" s="6">
        <v>0</v>
      </c>
      <c r="K368" s="6">
        <v>2256.2000000000003</v>
      </c>
      <c r="L368" s="6">
        <v>0</v>
      </c>
      <c r="M368" s="18">
        <v>0</v>
      </c>
      <c r="N368" s="18">
        <v>13000</v>
      </c>
    </row>
    <row r="369" spans="1:14" hidden="1">
      <c r="A369" s="4" t="s">
        <v>3158</v>
      </c>
      <c r="B369" s="5" t="s">
        <v>3159</v>
      </c>
      <c r="C369" s="6" t="s">
        <v>134</v>
      </c>
      <c r="D369" s="6" t="s">
        <v>135</v>
      </c>
      <c r="E369" s="6" t="s">
        <v>136</v>
      </c>
      <c r="F369" s="18">
        <v>10743.8</v>
      </c>
      <c r="G369" s="18">
        <v>0</v>
      </c>
      <c r="H369" s="6">
        <v>0</v>
      </c>
      <c r="I369" s="6">
        <v>0</v>
      </c>
      <c r="J369" s="6">
        <v>0</v>
      </c>
      <c r="K369" s="6">
        <v>2256.2000000000003</v>
      </c>
      <c r="L369" s="6">
        <v>0</v>
      </c>
      <c r="M369" s="18">
        <v>0</v>
      </c>
      <c r="N369" s="18">
        <v>13000</v>
      </c>
    </row>
    <row r="370" spans="1:14" hidden="1">
      <c r="A370" s="4" t="s">
        <v>3158</v>
      </c>
      <c r="B370" s="5" t="s">
        <v>3160</v>
      </c>
      <c r="C370" s="6" t="s">
        <v>134</v>
      </c>
      <c r="D370" s="6" t="s">
        <v>135</v>
      </c>
      <c r="E370" s="6" t="s">
        <v>136</v>
      </c>
      <c r="F370" s="18">
        <v>14669.42</v>
      </c>
      <c r="G370" s="18">
        <v>0</v>
      </c>
      <c r="H370" s="6">
        <v>0</v>
      </c>
      <c r="I370" s="6">
        <v>0</v>
      </c>
      <c r="J370" s="6">
        <v>0</v>
      </c>
      <c r="K370" s="6">
        <v>3080.58</v>
      </c>
      <c r="L370" s="6">
        <v>0</v>
      </c>
      <c r="M370" s="18">
        <v>0</v>
      </c>
      <c r="N370" s="18">
        <v>17750</v>
      </c>
    </row>
    <row r="371" spans="1:14" hidden="1">
      <c r="A371" s="4" t="s">
        <v>3158</v>
      </c>
      <c r="B371" s="5" t="s">
        <v>3161</v>
      </c>
      <c r="C371" s="6" t="s">
        <v>134</v>
      </c>
      <c r="D371" s="6" t="s">
        <v>135</v>
      </c>
      <c r="E371" s="6" t="s">
        <v>136</v>
      </c>
      <c r="F371" s="18">
        <v>10743.8</v>
      </c>
      <c r="G371" s="18">
        <v>0</v>
      </c>
      <c r="H371" s="6">
        <v>0</v>
      </c>
      <c r="I371" s="6">
        <v>0</v>
      </c>
      <c r="J371" s="6">
        <v>0</v>
      </c>
      <c r="K371" s="6">
        <v>2256.2000000000003</v>
      </c>
      <c r="L371" s="6">
        <v>0</v>
      </c>
      <c r="M371" s="18">
        <v>0</v>
      </c>
      <c r="N371" s="18">
        <v>13000</v>
      </c>
    </row>
    <row r="372" spans="1:14" hidden="1">
      <c r="A372" s="4" t="s">
        <v>3158</v>
      </c>
      <c r="B372" s="5" t="s">
        <v>3162</v>
      </c>
      <c r="C372" s="6" t="s">
        <v>134</v>
      </c>
      <c r="D372" s="6" t="s">
        <v>135</v>
      </c>
      <c r="E372" s="6" t="s">
        <v>136</v>
      </c>
      <c r="F372" s="18">
        <v>10743.8</v>
      </c>
      <c r="G372" s="18">
        <v>0</v>
      </c>
      <c r="H372" s="6">
        <v>0</v>
      </c>
      <c r="I372" s="6">
        <v>0</v>
      </c>
      <c r="J372" s="6">
        <v>0</v>
      </c>
      <c r="K372" s="6">
        <v>2256.2000000000003</v>
      </c>
      <c r="L372" s="6">
        <v>0</v>
      </c>
      <c r="M372" s="18">
        <v>0</v>
      </c>
      <c r="N372" s="18">
        <v>13000</v>
      </c>
    </row>
    <row r="373" spans="1:14" hidden="1">
      <c r="A373" s="4" t="s">
        <v>3158</v>
      </c>
      <c r="B373" s="5" t="s">
        <v>3163</v>
      </c>
      <c r="C373" s="6" t="s">
        <v>134</v>
      </c>
      <c r="D373" s="6" t="s">
        <v>135</v>
      </c>
      <c r="E373" s="6" t="s">
        <v>136</v>
      </c>
      <c r="F373" s="18">
        <v>29338.84</v>
      </c>
      <c r="G373" s="18">
        <v>0</v>
      </c>
      <c r="H373" s="6">
        <v>0</v>
      </c>
      <c r="I373" s="6">
        <v>0</v>
      </c>
      <c r="J373" s="6">
        <v>0</v>
      </c>
      <c r="K373" s="6">
        <v>6161.16</v>
      </c>
      <c r="L373" s="6">
        <v>0</v>
      </c>
      <c r="M373" s="18">
        <v>0</v>
      </c>
      <c r="N373" s="18">
        <v>35500</v>
      </c>
    </row>
    <row r="374" spans="1:14" hidden="1">
      <c r="A374" s="4" t="s">
        <v>3158</v>
      </c>
      <c r="B374" s="5" t="s">
        <v>3164</v>
      </c>
      <c r="C374" s="6" t="s">
        <v>134</v>
      </c>
      <c r="D374" s="6" t="s">
        <v>135</v>
      </c>
      <c r="E374" s="6" t="s">
        <v>136</v>
      </c>
      <c r="F374" s="18">
        <v>10743.8</v>
      </c>
      <c r="G374" s="18">
        <v>0</v>
      </c>
      <c r="H374" s="6">
        <v>0</v>
      </c>
      <c r="I374" s="6">
        <v>0</v>
      </c>
      <c r="J374" s="6">
        <v>0</v>
      </c>
      <c r="K374" s="6">
        <v>2256.2000000000003</v>
      </c>
      <c r="L374" s="6">
        <v>0</v>
      </c>
      <c r="M374" s="18">
        <v>0</v>
      </c>
      <c r="N374" s="18">
        <v>13000</v>
      </c>
    </row>
    <row r="375" spans="1:14" hidden="1">
      <c r="A375" s="4" t="s">
        <v>3158</v>
      </c>
      <c r="B375" s="5" t="s">
        <v>3165</v>
      </c>
      <c r="C375" s="6" t="s">
        <v>134</v>
      </c>
      <c r="D375" s="6" t="s">
        <v>135</v>
      </c>
      <c r="E375" s="6" t="s">
        <v>136</v>
      </c>
      <c r="F375" s="18">
        <v>42148.76</v>
      </c>
      <c r="G375" s="18">
        <v>0</v>
      </c>
      <c r="H375" s="6">
        <v>0</v>
      </c>
      <c r="I375" s="6">
        <v>0</v>
      </c>
      <c r="J375" s="6">
        <v>0</v>
      </c>
      <c r="K375" s="6">
        <v>8851.24</v>
      </c>
      <c r="L375" s="6">
        <v>0</v>
      </c>
      <c r="M375" s="18">
        <v>0</v>
      </c>
      <c r="N375" s="18">
        <v>51000</v>
      </c>
    </row>
    <row r="376" spans="1:14">
      <c r="A376" s="4" t="s">
        <v>3158</v>
      </c>
      <c r="B376" s="5" t="s">
        <v>3166</v>
      </c>
      <c r="C376" s="6" t="s">
        <v>3167</v>
      </c>
      <c r="D376" s="6" t="s">
        <v>135</v>
      </c>
      <c r="E376" s="6">
        <v>4412788</v>
      </c>
      <c r="F376" s="18">
        <v>115702.48</v>
      </c>
      <c r="G376" s="18">
        <v>0</v>
      </c>
      <c r="H376" s="6">
        <v>0</v>
      </c>
      <c r="I376" s="6">
        <v>0</v>
      </c>
      <c r="J376" s="6">
        <v>0</v>
      </c>
      <c r="K376" s="6">
        <v>24297.52</v>
      </c>
      <c r="L376" s="6">
        <v>0</v>
      </c>
      <c r="M376" s="18">
        <v>0</v>
      </c>
      <c r="N376" s="18">
        <v>140000</v>
      </c>
    </row>
    <row r="377" spans="1:14" hidden="1">
      <c r="A377" s="4" t="s">
        <v>3158</v>
      </c>
      <c r="B377" s="5" t="s">
        <v>3168</v>
      </c>
      <c r="C377" s="6" t="s">
        <v>134</v>
      </c>
      <c r="D377" s="6" t="s">
        <v>135</v>
      </c>
      <c r="E377" s="6" t="s">
        <v>136</v>
      </c>
      <c r="F377" s="18">
        <v>21487.599999999999</v>
      </c>
      <c r="G377" s="18">
        <v>0</v>
      </c>
      <c r="H377" s="6">
        <v>0</v>
      </c>
      <c r="I377" s="6">
        <v>0</v>
      </c>
      <c r="J377" s="6">
        <v>0</v>
      </c>
      <c r="K377" s="6">
        <v>4512.4000000000005</v>
      </c>
      <c r="L377" s="6">
        <v>0</v>
      </c>
      <c r="M377" s="18">
        <v>0</v>
      </c>
      <c r="N377" s="18">
        <v>26000</v>
      </c>
    </row>
    <row r="378" spans="1:14" hidden="1">
      <c r="A378" s="4" t="s">
        <v>3158</v>
      </c>
      <c r="B378" s="5" t="s">
        <v>3169</v>
      </c>
      <c r="C378" s="6" t="s">
        <v>134</v>
      </c>
      <c r="D378" s="6" t="s">
        <v>135</v>
      </c>
      <c r="E378" s="6" t="s">
        <v>136</v>
      </c>
      <c r="F378" s="18">
        <v>6942.15</v>
      </c>
      <c r="G378" s="18">
        <v>0</v>
      </c>
      <c r="H378" s="6">
        <v>0</v>
      </c>
      <c r="I378" s="6">
        <v>0</v>
      </c>
      <c r="J378" s="6">
        <v>0</v>
      </c>
      <c r="K378" s="6">
        <v>1457.85</v>
      </c>
      <c r="L378" s="6">
        <v>0</v>
      </c>
      <c r="M378" s="18">
        <v>0</v>
      </c>
      <c r="N378" s="18">
        <v>8400</v>
      </c>
    </row>
    <row r="379" spans="1:14" hidden="1">
      <c r="A379" s="4" t="s">
        <v>3158</v>
      </c>
      <c r="B379" s="5" t="s">
        <v>3170</v>
      </c>
      <c r="C379" s="6" t="s">
        <v>134</v>
      </c>
      <c r="D379" s="6" t="s">
        <v>135</v>
      </c>
      <c r="E379" s="6" t="s">
        <v>136</v>
      </c>
      <c r="F379" s="18">
        <v>14669.42</v>
      </c>
      <c r="G379" s="18">
        <v>0</v>
      </c>
      <c r="H379" s="6">
        <v>0</v>
      </c>
      <c r="I379" s="6">
        <v>0</v>
      </c>
      <c r="J379" s="6">
        <v>0</v>
      </c>
      <c r="K379" s="6">
        <v>3080.58</v>
      </c>
      <c r="L379" s="6">
        <v>0</v>
      </c>
      <c r="M379" s="18">
        <v>0</v>
      </c>
      <c r="N379" s="18">
        <v>17750</v>
      </c>
    </row>
    <row r="380" spans="1:14" hidden="1">
      <c r="A380" s="4" t="s">
        <v>3158</v>
      </c>
      <c r="B380" s="5" t="s">
        <v>3171</v>
      </c>
      <c r="C380" s="6" t="s">
        <v>134</v>
      </c>
      <c r="D380" s="6" t="s">
        <v>135</v>
      </c>
      <c r="E380" s="6" t="s">
        <v>136</v>
      </c>
      <c r="F380" s="18">
        <v>6859.5</v>
      </c>
      <c r="G380" s="18">
        <v>0</v>
      </c>
      <c r="H380" s="6">
        <v>0</v>
      </c>
      <c r="I380" s="6">
        <v>0</v>
      </c>
      <c r="J380" s="6">
        <v>0</v>
      </c>
      <c r="K380" s="6">
        <v>1440.5</v>
      </c>
      <c r="L380" s="6">
        <v>0</v>
      </c>
      <c r="M380" s="18">
        <v>0</v>
      </c>
      <c r="N380" s="18">
        <v>8300</v>
      </c>
    </row>
    <row r="381" spans="1:14" hidden="1">
      <c r="A381" s="4" t="s">
        <v>3158</v>
      </c>
      <c r="B381" s="5" t="s">
        <v>3172</v>
      </c>
      <c r="C381" s="6" t="s">
        <v>134</v>
      </c>
      <c r="D381" s="6" t="s">
        <v>135</v>
      </c>
      <c r="E381" s="6" t="s">
        <v>136</v>
      </c>
      <c r="F381" s="18">
        <v>95041.32</v>
      </c>
      <c r="G381" s="18">
        <v>0</v>
      </c>
      <c r="H381" s="6">
        <v>0</v>
      </c>
      <c r="I381" s="6">
        <v>0</v>
      </c>
      <c r="J381" s="6">
        <v>0</v>
      </c>
      <c r="K381" s="6">
        <v>19958.68</v>
      </c>
      <c r="L381" s="6">
        <v>0</v>
      </c>
      <c r="M381" s="18">
        <v>0</v>
      </c>
      <c r="N381" s="18">
        <v>115000</v>
      </c>
    </row>
    <row r="382" spans="1:14" hidden="1">
      <c r="A382" s="4" t="s">
        <v>3158</v>
      </c>
      <c r="B382" s="5" t="s">
        <v>3173</v>
      </c>
      <c r="C382" s="6" t="s">
        <v>134</v>
      </c>
      <c r="D382" s="6" t="s">
        <v>135</v>
      </c>
      <c r="E382" s="6" t="s">
        <v>136</v>
      </c>
      <c r="F382" s="18">
        <v>10743.8</v>
      </c>
      <c r="G382" s="18">
        <v>0</v>
      </c>
      <c r="H382" s="6">
        <v>0</v>
      </c>
      <c r="I382" s="6">
        <v>0</v>
      </c>
      <c r="J382" s="6">
        <v>0</v>
      </c>
      <c r="K382" s="6">
        <v>2256.2000000000003</v>
      </c>
      <c r="L382" s="6">
        <v>0</v>
      </c>
      <c r="M382" s="18">
        <v>0</v>
      </c>
      <c r="N382" s="18">
        <v>13000</v>
      </c>
    </row>
    <row r="383" spans="1:14" hidden="1">
      <c r="A383" s="4" t="s">
        <v>3158</v>
      </c>
      <c r="B383" s="5" t="s">
        <v>3174</v>
      </c>
      <c r="C383" s="6" t="s">
        <v>134</v>
      </c>
      <c r="D383" s="6" t="s">
        <v>135</v>
      </c>
      <c r="E383" s="6" t="s">
        <v>136</v>
      </c>
      <c r="F383" s="18">
        <v>12809.92</v>
      </c>
      <c r="G383" s="18">
        <v>0</v>
      </c>
      <c r="H383" s="6">
        <v>0</v>
      </c>
      <c r="I383" s="6">
        <v>0</v>
      </c>
      <c r="J383" s="6">
        <v>0</v>
      </c>
      <c r="K383" s="6">
        <v>2690.08</v>
      </c>
      <c r="L383" s="6">
        <v>0</v>
      </c>
      <c r="M383" s="18">
        <v>0</v>
      </c>
      <c r="N383" s="18">
        <v>15500</v>
      </c>
    </row>
    <row r="384" spans="1:14" hidden="1">
      <c r="A384" s="4" t="s">
        <v>3158</v>
      </c>
      <c r="B384" s="5" t="s">
        <v>3175</v>
      </c>
      <c r="C384" s="6" t="s">
        <v>134</v>
      </c>
      <c r="D384" s="6" t="s">
        <v>135</v>
      </c>
      <c r="E384" s="6" t="s">
        <v>136</v>
      </c>
      <c r="F384" s="18">
        <v>11487.6</v>
      </c>
      <c r="G384" s="18">
        <v>0</v>
      </c>
      <c r="H384" s="6">
        <v>0</v>
      </c>
      <c r="I384" s="6">
        <v>0</v>
      </c>
      <c r="J384" s="6">
        <v>0</v>
      </c>
      <c r="K384" s="6">
        <v>2412.4</v>
      </c>
      <c r="L384" s="6">
        <v>0</v>
      </c>
      <c r="M384" s="18">
        <v>0</v>
      </c>
      <c r="N384" s="18">
        <v>13900</v>
      </c>
    </row>
    <row r="385" spans="1:14" hidden="1">
      <c r="A385" s="4" t="s">
        <v>3182</v>
      </c>
      <c r="B385" s="5" t="s">
        <v>3183</v>
      </c>
      <c r="C385" s="6" t="s">
        <v>134</v>
      </c>
      <c r="D385" s="6" t="s">
        <v>135</v>
      </c>
      <c r="E385" s="6" t="s">
        <v>136</v>
      </c>
      <c r="F385" s="18">
        <v>12809.92</v>
      </c>
      <c r="G385" s="18">
        <v>0</v>
      </c>
      <c r="H385" s="6">
        <v>0</v>
      </c>
      <c r="I385" s="6">
        <v>0</v>
      </c>
      <c r="J385" s="6">
        <v>0</v>
      </c>
      <c r="K385" s="6">
        <v>2690.08</v>
      </c>
      <c r="L385" s="6">
        <v>0</v>
      </c>
      <c r="M385" s="18">
        <v>0</v>
      </c>
      <c r="N385" s="18">
        <v>15500</v>
      </c>
    </row>
    <row r="386" spans="1:14" hidden="1">
      <c r="A386" s="4" t="s">
        <v>3182</v>
      </c>
      <c r="B386" s="5" t="s">
        <v>3184</v>
      </c>
      <c r="C386" s="6" t="s">
        <v>134</v>
      </c>
      <c r="D386" s="6" t="s">
        <v>135</v>
      </c>
      <c r="E386" s="6" t="s">
        <v>136</v>
      </c>
      <c r="F386" s="18">
        <v>31239.67</v>
      </c>
      <c r="G386" s="18">
        <v>0</v>
      </c>
      <c r="H386" s="6">
        <v>0</v>
      </c>
      <c r="I386" s="6">
        <v>0</v>
      </c>
      <c r="J386" s="6">
        <v>0</v>
      </c>
      <c r="K386" s="6">
        <v>6560.33</v>
      </c>
      <c r="L386" s="6">
        <v>0</v>
      </c>
      <c r="M386" s="18">
        <v>0</v>
      </c>
      <c r="N386" s="18">
        <v>37800</v>
      </c>
    </row>
    <row r="387" spans="1:14" hidden="1">
      <c r="A387" s="4" t="s">
        <v>3182</v>
      </c>
      <c r="B387" s="5" t="s">
        <v>3185</v>
      </c>
      <c r="C387" s="6" t="s">
        <v>134</v>
      </c>
      <c r="D387" s="6" t="s">
        <v>135</v>
      </c>
      <c r="E387" s="6" t="s">
        <v>136</v>
      </c>
      <c r="F387" s="18">
        <v>11239.67</v>
      </c>
      <c r="G387" s="18">
        <v>0</v>
      </c>
      <c r="H387" s="6">
        <v>0</v>
      </c>
      <c r="I387" s="6">
        <v>0</v>
      </c>
      <c r="J387" s="6">
        <v>0</v>
      </c>
      <c r="K387" s="6">
        <v>2360.33</v>
      </c>
      <c r="L387" s="6">
        <v>0</v>
      </c>
      <c r="M387" s="18">
        <v>0</v>
      </c>
      <c r="N387" s="18">
        <v>13600</v>
      </c>
    </row>
    <row r="388" spans="1:14" hidden="1">
      <c r="A388" s="4" t="s">
        <v>3182</v>
      </c>
      <c r="B388" s="5" t="s">
        <v>3186</v>
      </c>
      <c r="C388" s="6" t="s">
        <v>134</v>
      </c>
      <c r="D388" s="6" t="s">
        <v>135</v>
      </c>
      <c r="E388" s="6" t="s">
        <v>136</v>
      </c>
      <c r="F388" s="18">
        <v>10743.8</v>
      </c>
      <c r="G388" s="18">
        <v>0</v>
      </c>
      <c r="H388" s="6">
        <v>0</v>
      </c>
      <c r="I388" s="6">
        <v>0</v>
      </c>
      <c r="J388" s="6">
        <v>0</v>
      </c>
      <c r="K388" s="6">
        <v>2256.2000000000003</v>
      </c>
      <c r="L388" s="6">
        <v>0</v>
      </c>
      <c r="M388" s="18">
        <v>0</v>
      </c>
      <c r="N388" s="18">
        <v>13000</v>
      </c>
    </row>
    <row r="389" spans="1:14" hidden="1">
      <c r="A389" s="4" t="s">
        <v>3182</v>
      </c>
      <c r="B389" s="5" t="s">
        <v>3187</v>
      </c>
      <c r="C389" s="6" t="s">
        <v>134</v>
      </c>
      <c r="D389" s="6" t="s">
        <v>135</v>
      </c>
      <c r="E389" s="6" t="s">
        <v>136</v>
      </c>
      <c r="F389" s="18">
        <v>50826.44</v>
      </c>
      <c r="G389" s="18">
        <v>0</v>
      </c>
      <c r="H389" s="6">
        <v>0</v>
      </c>
      <c r="I389" s="6">
        <v>0</v>
      </c>
      <c r="J389" s="6">
        <v>0</v>
      </c>
      <c r="K389" s="6">
        <v>10673.56</v>
      </c>
      <c r="L389" s="6">
        <v>0</v>
      </c>
      <c r="M389" s="18">
        <v>0</v>
      </c>
      <c r="N389" s="18">
        <v>61500</v>
      </c>
    </row>
    <row r="390" spans="1:14" hidden="1">
      <c r="A390" s="4" t="s">
        <v>3182</v>
      </c>
      <c r="B390" s="5" t="s">
        <v>3188</v>
      </c>
      <c r="C390" s="6" t="s">
        <v>134</v>
      </c>
      <c r="D390" s="6" t="s">
        <v>135</v>
      </c>
      <c r="E390" s="6" t="s">
        <v>136</v>
      </c>
      <c r="F390" s="18">
        <v>21487.599999999999</v>
      </c>
      <c r="G390" s="18">
        <v>0</v>
      </c>
      <c r="H390" s="6">
        <v>0</v>
      </c>
      <c r="I390" s="6">
        <v>0</v>
      </c>
      <c r="J390" s="6">
        <v>0</v>
      </c>
      <c r="K390" s="6">
        <v>4512.4000000000005</v>
      </c>
      <c r="L390" s="6">
        <v>0</v>
      </c>
      <c r="M390" s="18">
        <v>0</v>
      </c>
      <c r="N390" s="18">
        <v>26000</v>
      </c>
    </row>
    <row r="391" spans="1:14" hidden="1">
      <c r="A391" s="4" t="s">
        <v>3182</v>
      </c>
      <c r="B391" s="5" t="s">
        <v>3189</v>
      </c>
      <c r="C391" s="6" t="s">
        <v>134</v>
      </c>
      <c r="D391" s="6" t="s">
        <v>135</v>
      </c>
      <c r="E391" s="6" t="s">
        <v>136</v>
      </c>
      <c r="F391" s="18">
        <v>14669.42</v>
      </c>
      <c r="G391" s="18">
        <v>0</v>
      </c>
      <c r="H391" s="6">
        <v>0</v>
      </c>
      <c r="I391" s="6">
        <v>0</v>
      </c>
      <c r="J391" s="6">
        <v>0</v>
      </c>
      <c r="K391" s="6">
        <v>3080.58</v>
      </c>
      <c r="L391" s="6">
        <v>0</v>
      </c>
      <c r="M391" s="18">
        <v>0</v>
      </c>
      <c r="N391" s="18">
        <v>17750</v>
      </c>
    </row>
    <row r="392" spans="1:14" hidden="1">
      <c r="A392" s="4" t="s">
        <v>3202</v>
      </c>
      <c r="B392" s="5" t="s">
        <v>3203</v>
      </c>
      <c r="C392" s="6" t="s">
        <v>134</v>
      </c>
      <c r="D392" s="6" t="s">
        <v>135</v>
      </c>
      <c r="E392" s="6" t="s">
        <v>136</v>
      </c>
      <c r="F392" s="18">
        <v>11487.6</v>
      </c>
      <c r="G392" s="18">
        <v>0</v>
      </c>
      <c r="H392" s="6">
        <v>0</v>
      </c>
      <c r="I392" s="6">
        <v>0</v>
      </c>
      <c r="J392" s="6">
        <v>0</v>
      </c>
      <c r="K392" s="6">
        <v>2412.4</v>
      </c>
      <c r="L392" s="6">
        <v>0</v>
      </c>
      <c r="M392" s="18">
        <v>0</v>
      </c>
      <c r="N392" s="18">
        <v>13900</v>
      </c>
    </row>
    <row r="393" spans="1:14" hidden="1">
      <c r="A393" s="4" t="s">
        <v>3202</v>
      </c>
      <c r="B393" s="5" t="s">
        <v>3204</v>
      </c>
      <c r="C393" s="6" t="s">
        <v>134</v>
      </c>
      <c r="D393" s="6" t="s">
        <v>135</v>
      </c>
      <c r="E393" s="6" t="s">
        <v>136</v>
      </c>
      <c r="F393" s="18">
        <v>10330.58</v>
      </c>
      <c r="G393" s="18">
        <v>0</v>
      </c>
      <c r="H393" s="6">
        <v>0</v>
      </c>
      <c r="I393" s="6">
        <v>0</v>
      </c>
      <c r="J393" s="6">
        <v>0</v>
      </c>
      <c r="K393" s="6">
        <v>2169.42</v>
      </c>
      <c r="L393" s="6">
        <v>0</v>
      </c>
      <c r="M393" s="18">
        <v>0</v>
      </c>
      <c r="N393" s="18">
        <v>12500</v>
      </c>
    </row>
    <row r="394" spans="1:14" hidden="1">
      <c r="A394" s="4" t="s">
        <v>3202</v>
      </c>
      <c r="B394" s="5" t="s">
        <v>3205</v>
      </c>
      <c r="C394" s="6" t="s">
        <v>134</v>
      </c>
      <c r="D394" s="6" t="s">
        <v>135</v>
      </c>
      <c r="E394" s="6" t="s">
        <v>136</v>
      </c>
      <c r="F394" s="18">
        <v>21487.599999999999</v>
      </c>
      <c r="G394" s="18">
        <v>0</v>
      </c>
      <c r="H394" s="6">
        <v>0</v>
      </c>
      <c r="I394" s="6">
        <v>0</v>
      </c>
      <c r="J394" s="6">
        <v>0</v>
      </c>
      <c r="K394" s="6">
        <v>4512.4000000000005</v>
      </c>
      <c r="L394" s="6">
        <v>0</v>
      </c>
      <c r="M394" s="18">
        <v>0</v>
      </c>
      <c r="N394" s="18">
        <v>26000</v>
      </c>
    </row>
    <row r="395" spans="1:14" hidden="1">
      <c r="A395" s="4" t="s">
        <v>3202</v>
      </c>
      <c r="B395" s="5" t="s">
        <v>3206</v>
      </c>
      <c r="C395" s="6" t="s">
        <v>134</v>
      </c>
      <c r="D395" s="6" t="s">
        <v>135</v>
      </c>
      <c r="E395" s="6" t="s">
        <v>136</v>
      </c>
      <c r="F395" s="18">
        <v>21487.599999999999</v>
      </c>
      <c r="G395" s="18">
        <v>0</v>
      </c>
      <c r="H395" s="6">
        <v>0</v>
      </c>
      <c r="I395" s="6">
        <v>0</v>
      </c>
      <c r="J395" s="6">
        <v>0</v>
      </c>
      <c r="K395" s="6">
        <v>4512.4000000000005</v>
      </c>
      <c r="L395" s="6">
        <v>0</v>
      </c>
      <c r="M395" s="18">
        <v>0</v>
      </c>
      <c r="N395" s="18">
        <v>26000</v>
      </c>
    </row>
    <row r="396" spans="1:14" hidden="1">
      <c r="A396" s="4" t="s">
        <v>3202</v>
      </c>
      <c r="B396" s="5" t="s">
        <v>3207</v>
      </c>
      <c r="C396" s="6" t="s">
        <v>134</v>
      </c>
      <c r="D396" s="6" t="s">
        <v>135</v>
      </c>
      <c r="E396" s="6" t="s">
        <v>136</v>
      </c>
      <c r="F396" s="18">
        <v>10743.8</v>
      </c>
      <c r="G396" s="18">
        <v>0</v>
      </c>
      <c r="H396" s="6">
        <v>0</v>
      </c>
      <c r="I396" s="6">
        <v>0</v>
      </c>
      <c r="J396" s="6">
        <v>0</v>
      </c>
      <c r="K396" s="6">
        <v>2256.2000000000003</v>
      </c>
      <c r="L396" s="6">
        <v>0</v>
      </c>
      <c r="M396" s="18">
        <v>0</v>
      </c>
      <c r="N396" s="18">
        <v>13000</v>
      </c>
    </row>
    <row r="397" spans="1:14" hidden="1">
      <c r="A397" s="4" t="s">
        <v>3202</v>
      </c>
      <c r="B397" s="5" t="s">
        <v>3208</v>
      </c>
      <c r="C397" s="6" t="s">
        <v>134</v>
      </c>
      <c r="D397" s="6" t="s">
        <v>135</v>
      </c>
      <c r="E397" s="6" t="s">
        <v>136</v>
      </c>
      <c r="F397" s="18">
        <v>21487.599999999999</v>
      </c>
      <c r="G397" s="18">
        <v>0</v>
      </c>
      <c r="H397" s="6">
        <v>0</v>
      </c>
      <c r="I397" s="6">
        <v>0</v>
      </c>
      <c r="J397" s="6">
        <v>0</v>
      </c>
      <c r="K397" s="6">
        <v>4512.4000000000005</v>
      </c>
      <c r="L397" s="6">
        <v>0</v>
      </c>
      <c r="M397" s="18">
        <v>0</v>
      </c>
      <c r="N397" s="18">
        <v>26000</v>
      </c>
    </row>
    <row r="398" spans="1:14" hidden="1">
      <c r="A398" s="4" t="s">
        <v>3202</v>
      </c>
      <c r="B398" s="5" t="s">
        <v>3209</v>
      </c>
      <c r="C398" s="6" t="s">
        <v>134</v>
      </c>
      <c r="D398" s="6" t="s">
        <v>135</v>
      </c>
      <c r="E398" s="6" t="s">
        <v>136</v>
      </c>
      <c r="F398" s="18">
        <v>20661.16</v>
      </c>
      <c r="G398" s="18">
        <v>0</v>
      </c>
      <c r="H398" s="6">
        <v>0</v>
      </c>
      <c r="I398" s="6">
        <v>0</v>
      </c>
      <c r="J398" s="6">
        <v>0</v>
      </c>
      <c r="K398" s="6">
        <v>4338.84</v>
      </c>
      <c r="L398" s="6">
        <v>0</v>
      </c>
      <c r="M398" s="18">
        <v>0</v>
      </c>
      <c r="N398" s="18">
        <v>25000</v>
      </c>
    </row>
    <row r="399" spans="1:14" hidden="1">
      <c r="A399" s="4" t="s">
        <v>3202</v>
      </c>
      <c r="B399" s="5" t="s">
        <v>3210</v>
      </c>
      <c r="C399" s="6" t="s">
        <v>134</v>
      </c>
      <c r="D399" s="6" t="s">
        <v>135</v>
      </c>
      <c r="E399" s="6" t="s">
        <v>136</v>
      </c>
      <c r="F399" s="18">
        <v>21487.599999999999</v>
      </c>
      <c r="G399" s="18">
        <v>0</v>
      </c>
      <c r="H399" s="6">
        <v>0</v>
      </c>
      <c r="I399" s="6">
        <v>0</v>
      </c>
      <c r="J399" s="6">
        <v>0</v>
      </c>
      <c r="K399" s="6">
        <v>4512.4000000000005</v>
      </c>
      <c r="L399" s="6">
        <v>0</v>
      </c>
      <c r="M399" s="18">
        <v>0</v>
      </c>
      <c r="N399" s="18">
        <v>26000</v>
      </c>
    </row>
    <row r="400" spans="1:14" hidden="1">
      <c r="A400" s="4" t="s">
        <v>3202</v>
      </c>
      <c r="B400" s="5" t="s">
        <v>3211</v>
      </c>
      <c r="C400" s="6" t="s">
        <v>134</v>
      </c>
      <c r="D400" s="6" t="s">
        <v>135</v>
      </c>
      <c r="E400" s="6" t="s">
        <v>136</v>
      </c>
      <c r="F400" s="18">
        <v>34710.74</v>
      </c>
      <c r="G400" s="18">
        <v>0</v>
      </c>
      <c r="H400" s="6">
        <v>0</v>
      </c>
      <c r="I400" s="6">
        <v>0</v>
      </c>
      <c r="J400" s="6">
        <v>0</v>
      </c>
      <c r="K400" s="6">
        <v>7289.26</v>
      </c>
      <c r="L400" s="6">
        <v>0</v>
      </c>
      <c r="M400" s="18">
        <v>0</v>
      </c>
      <c r="N400" s="18">
        <v>42000</v>
      </c>
    </row>
    <row r="401" spans="1:14" hidden="1">
      <c r="A401" s="4" t="s">
        <v>3202</v>
      </c>
      <c r="B401" s="5" t="s">
        <v>3212</v>
      </c>
      <c r="C401" s="6" t="s">
        <v>134</v>
      </c>
      <c r="D401" s="6" t="s">
        <v>135</v>
      </c>
      <c r="E401" s="6" t="s">
        <v>136</v>
      </c>
      <c r="F401" s="18">
        <v>30495.87</v>
      </c>
      <c r="G401" s="18">
        <v>0</v>
      </c>
      <c r="H401" s="6">
        <v>0</v>
      </c>
      <c r="I401" s="6">
        <v>0</v>
      </c>
      <c r="J401" s="6">
        <v>0</v>
      </c>
      <c r="K401" s="6">
        <v>6404.13</v>
      </c>
      <c r="L401" s="6">
        <v>0</v>
      </c>
      <c r="M401" s="18">
        <v>0</v>
      </c>
      <c r="N401" s="18">
        <v>36900</v>
      </c>
    </row>
    <row r="402" spans="1:14" hidden="1">
      <c r="A402" s="4" t="s">
        <v>3202</v>
      </c>
      <c r="B402" s="5" t="s">
        <v>3213</v>
      </c>
      <c r="C402" s="6" t="s">
        <v>134</v>
      </c>
      <c r="D402" s="6" t="s">
        <v>135</v>
      </c>
      <c r="E402" s="6" t="s">
        <v>136</v>
      </c>
      <c r="F402" s="18">
        <v>20661.16</v>
      </c>
      <c r="G402" s="18">
        <v>0</v>
      </c>
      <c r="H402" s="6">
        <v>0</v>
      </c>
      <c r="I402" s="6">
        <v>0</v>
      </c>
      <c r="J402" s="6">
        <v>0</v>
      </c>
      <c r="K402" s="6">
        <v>4338.84</v>
      </c>
      <c r="L402" s="6">
        <v>0</v>
      </c>
      <c r="M402" s="18">
        <v>0</v>
      </c>
      <c r="N402" s="18">
        <v>25000</v>
      </c>
    </row>
    <row r="403" spans="1:14" hidden="1">
      <c r="A403" s="4" t="s">
        <v>3202</v>
      </c>
      <c r="B403" s="5" t="s">
        <v>3214</v>
      </c>
      <c r="C403" s="6" t="s">
        <v>134</v>
      </c>
      <c r="D403" s="6" t="s">
        <v>135</v>
      </c>
      <c r="E403" s="6" t="s">
        <v>136</v>
      </c>
      <c r="F403" s="18">
        <v>51652.89</v>
      </c>
      <c r="G403" s="18">
        <v>0</v>
      </c>
      <c r="H403" s="6">
        <v>0</v>
      </c>
      <c r="I403" s="6">
        <v>0</v>
      </c>
      <c r="J403" s="6">
        <v>0</v>
      </c>
      <c r="K403" s="6">
        <v>10847.11</v>
      </c>
      <c r="L403" s="6">
        <v>0</v>
      </c>
      <c r="M403" s="18">
        <v>0</v>
      </c>
      <c r="N403" s="18">
        <v>62500</v>
      </c>
    </row>
    <row r="404" spans="1:14" hidden="1">
      <c r="A404" s="4" t="s">
        <v>3202</v>
      </c>
      <c r="B404" s="5" t="s">
        <v>3215</v>
      </c>
      <c r="C404" s="6" t="s">
        <v>134</v>
      </c>
      <c r="D404" s="6" t="s">
        <v>135</v>
      </c>
      <c r="E404" s="6" t="s">
        <v>136</v>
      </c>
      <c r="F404" s="18">
        <v>21487.599999999999</v>
      </c>
      <c r="G404" s="18">
        <v>0</v>
      </c>
      <c r="H404" s="6">
        <v>0</v>
      </c>
      <c r="I404" s="6">
        <v>0</v>
      </c>
      <c r="J404" s="6">
        <v>0</v>
      </c>
      <c r="K404" s="6">
        <v>4512.4000000000005</v>
      </c>
      <c r="L404" s="6">
        <v>0</v>
      </c>
      <c r="M404" s="18">
        <v>0</v>
      </c>
      <c r="N404" s="18">
        <v>26000</v>
      </c>
    </row>
    <row r="405" spans="1:14" hidden="1">
      <c r="A405" s="4" t="s">
        <v>3202</v>
      </c>
      <c r="B405" s="5" t="s">
        <v>3216</v>
      </c>
      <c r="C405" s="6" t="s">
        <v>134</v>
      </c>
      <c r="D405" s="6" t="s">
        <v>135</v>
      </c>
      <c r="E405" s="6" t="s">
        <v>136</v>
      </c>
      <c r="F405" s="18">
        <v>29338.84</v>
      </c>
      <c r="G405" s="18">
        <v>0</v>
      </c>
      <c r="H405" s="6">
        <v>0</v>
      </c>
      <c r="I405" s="6">
        <v>0</v>
      </c>
      <c r="J405" s="6">
        <v>0</v>
      </c>
      <c r="K405" s="6">
        <v>6161.16</v>
      </c>
      <c r="L405" s="6">
        <v>0</v>
      </c>
      <c r="M405" s="18">
        <v>0</v>
      </c>
      <c r="N405" s="18">
        <v>35500</v>
      </c>
    </row>
    <row r="406" spans="1:14" hidden="1">
      <c r="A406" s="4" t="s">
        <v>3202</v>
      </c>
      <c r="B406" s="5" t="s">
        <v>3217</v>
      </c>
      <c r="C406" s="6" t="s">
        <v>134</v>
      </c>
      <c r="D406" s="6" t="s">
        <v>135</v>
      </c>
      <c r="E406" s="6" t="s">
        <v>136</v>
      </c>
      <c r="F406" s="18">
        <v>16528.93</v>
      </c>
      <c r="G406" s="18">
        <v>0</v>
      </c>
      <c r="H406" s="6">
        <v>0</v>
      </c>
      <c r="I406" s="6">
        <v>0</v>
      </c>
      <c r="J406" s="6">
        <v>0</v>
      </c>
      <c r="K406" s="6">
        <v>3471.07</v>
      </c>
      <c r="L406" s="6">
        <v>0</v>
      </c>
      <c r="M406" s="18">
        <v>0</v>
      </c>
      <c r="N406" s="18">
        <v>20000</v>
      </c>
    </row>
    <row r="407" spans="1:14" hidden="1">
      <c r="A407" s="4" t="s">
        <v>3202</v>
      </c>
      <c r="B407" s="5" t="s">
        <v>3218</v>
      </c>
      <c r="C407" s="6" t="s">
        <v>134</v>
      </c>
      <c r="D407" s="6" t="s">
        <v>135</v>
      </c>
      <c r="E407" s="6" t="s">
        <v>136</v>
      </c>
      <c r="F407" s="18">
        <v>14669.42</v>
      </c>
      <c r="G407" s="18">
        <v>0</v>
      </c>
      <c r="H407" s="6">
        <v>0</v>
      </c>
      <c r="I407" s="6">
        <v>0</v>
      </c>
      <c r="J407" s="6">
        <v>0</v>
      </c>
      <c r="K407" s="6">
        <v>3080.58</v>
      </c>
      <c r="L407" s="6">
        <v>0</v>
      </c>
      <c r="M407" s="18">
        <v>0</v>
      </c>
      <c r="N407" s="18">
        <v>17750</v>
      </c>
    </row>
    <row r="408" spans="1:14" hidden="1">
      <c r="A408" s="4" t="s">
        <v>3202</v>
      </c>
      <c r="B408" s="5" t="s">
        <v>3219</v>
      </c>
      <c r="C408" s="6" t="s">
        <v>134</v>
      </c>
      <c r="D408" s="6" t="s">
        <v>135</v>
      </c>
      <c r="E408" s="6" t="s">
        <v>136</v>
      </c>
      <c r="F408" s="18">
        <v>10743.8</v>
      </c>
      <c r="G408" s="18">
        <v>0</v>
      </c>
      <c r="H408" s="6">
        <v>0</v>
      </c>
      <c r="I408" s="6">
        <v>0</v>
      </c>
      <c r="J408" s="6">
        <v>0</v>
      </c>
      <c r="K408" s="6">
        <v>2256.2000000000003</v>
      </c>
      <c r="L408" s="6">
        <v>0</v>
      </c>
      <c r="M408" s="18">
        <v>0</v>
      </c>
      <c r="N408" s="18">
        <v>13000</v>
      </c>
    </row>
    <row r="409" spans="1:14" hidden="1">
      <c r="A409" s="4" t="s">
        <v>3202</v>
      </c>
      <c r="B409" s="5" t="s">
        <v>3220</v>
      </c>
      <c r="C409" s="6" t="s">
        <v>134</v>
      </c>
      <c r="D409" s="6" t="s">
        <v>135</v>
      </c>
      <c r="E409" s="6" t="s">
        <v>136</v>
      </c>
      <c r="F409" s="18">
        <v>21487.599999999999</v>
      </c>
      <c r="G409" s="18">
        <v>0</v>
      </c>
      <c r="H409" s="6">
        <v>0</v>
      </c>
      <c r="I409" s="6">
        <v>0</v>
      </c>
      <c r="J409" s="6">
        <v>0</v>
      </c>
      <c r="K409" s="6">
        <v>4512.4000000000005</v>
      </c>
      <c r="L409" s="6">
        <v>0</v>
      </c>
      <c r="M409" s="18">
        <v>0</v>
      </c>
      <c r="N409" s="18">
        <v>26000</v>
      </c>
    </row>
    <row r="410" spans="1:14" hidden="1">
      <c r="A410" s="4" t="s">
        <v>3202</v>
      </c>
      <c r="B410" s="5" t="s">
        <v>3221</v>
      </c>
      <c r="C410" s="6" t="s">
        <v>134</v>
      </c>
      <c r="D410" s="6" t="s">
        <v>135</v>
      </c>
      <c r="E410" s="6" t="s">
        <v>136</v>
      </c>
      <c r="F410" s="18">
        <v>14462.81</v>
      </c>
      <c r="G410" s="18">
        <v>0</v>
      </c>
      <c r="H410" s="6">
        <v>0</v>
      </c>
      <c r="I410" s="6">
        <v>0</v>
      </c>
      <c r="J410" s="6">
        <v>0</v>
      </c>
      <c r="K410" s="6">
        <v>3037.19</v>
      </c>
      <c r="L410" s="6">
        <v>0</v>
      </c>
      <c r="M410" s="18">
        <v>0</v>
      </c>
      <c r="N410" s="18">
        <v>17500</v>
      </c>
    </row>
    <row r="411" spans="1:14" hidden="1">
      <c r="A411" s="4" t="s">
        <v>3202</v>
      </c>
      <c r="B411" s="5" t="s">
        <v>3222</v>
      </c>
      <c r="C411" s="6" t="s">
        <v>134</v>
      </c>
      <c r="D411" s="6" t="s">
        <v>135</v>
      </c>
      <c r="E411" s="6" t="s">
        <v>136</v>
      </c>
      <c r="F411" s="18">
        <v>13884.3</v>
      </c>
      <c r="G411" s="18">
        <v>0</v>
      </c>
      <c r="H411" s="6">
        <v>0</v>
      </c>
      <c r="I411" s="6">
        <v>0</v>
      </c>
      <c r="J411" s="6">
        <v>0</v>
      </c>
      <c r="K411" s="6">
        <v>2915.7</v>
      </c>
      <c r="L411" s="6">
        <v>0</v>
      </c>
      <c r="M411" s="18">
        <v>0</v>
      </c>
      <c r="N411" s="18">
        <v>16800</v>
      </c>
    </row>
    <row r="412" spans="1:14" hidden="1">
      <c r="A412" s="4" t="s">
        <v>3229</v>
      </c>
      <c r="B412" s="5" t="s">
        <v>3231</v>
      </c>
      <c r="C412" s="6" t="s">
        <v>134</v>
      </c>
      <c r="D412" s="6" t="s">
        <v>135</v>
      </c>
      <c r="E412" s="6" t="s">
        <v>136</v>
      </c>
      <c r="F412" s="18">
        <v>21487.599999999999</v>
      </c>
      <c r="G412" s="18">
        <v>0</v>
      </c>
      <c r="H412" s="6">
        <v>0</v>
      </c>
      <c r="I412" s="6">
        <v>0</v>
      </c>
      <c r="J412" s="6">
        <v>0</v>
      </c>
      <c r="K412" s="6">
        <v>4512.4000000000005</v>
      </c>
      <c r="L412" s="6">
        <v>0</v>
      </c>
      <c r="M412" s="18">
        <v>0</v>
      </c>
      <c r="N412" s="18">
        <v>26000</v>
      </c>
    </row>
    <row r="413" spans="1:14" hidden="1">
      <c r="A413" s="4" t="s">
        <v>3229</v>
      </c>
      <c r="B413" s="5" t="s">
        <v>3232</v>
      </c>
      <c r="C413" s="6" t="s">
        <v>134</v>
      </c>
      <c r="D413" s="6" t="s">
        <v>135</v>
      </c>
      <c r="E413" s="6" t="s">
        <v>136</v>
      </c>
      <c r="F413" s="18">
        <v>29338.84</v>
      </c>
      <c r="G413" s="18">
        <v>0</v>
      </c>
      <c r="H413" s="6">
        <v>0</v>
      </c>
      <c r="I413" s="6">
        <v>0</v>
      </c>
      <c r="J413" s="6">
        <v>0</v>
      </c>
      <c r="K413" s="6">
        <v>6161.16</v>
      </c>
      <c r="L413" s="6">
        <v>0</v>
      </c>
      <c r="M413" s="18">
        <v>0</v>
      </c>
      <c r="N413" s="18">
        <v>35500</v>
      </c>
    </row>
    <row r="414" spans="1:14" hidden="1">
      <c r="A414" s="4" t="s">
        <v>3229</v>
      </c>
      <c r="B414" s="5" t="s">
        <v>3233</v>
      </c>
      <c r="C414" s="6" t="s">
        <v>134</v>
      </c>
      <c r="D414" s="6" t="s">
        <v>135</v>
      </c>
      <c r="E414" s="6" t="s">
        <v>136</v>
      </c>
      <c r="F414" s="18">
        <v>14669.42</v>
      </c>
      <c r="G414" s="18">
        <v>0</v>
      </c>
      <c r="H414" s="6">
        <v>0</v>
      </c>
      <c r="I414" s="6">
        <v>0</v>
      </c>
      <c r="J414" s="6">
        <v>0</v>
      </c>
      <c r="K414" s="6">
        <v>3080.58</v>
      </c>
      <c r="L414" s="6">
        <v>0</v>
      </c>
      <c r="M414" s="18">
        <v>0</v>
      </c>
      <c r="N414" s="18">
        <v>17750</v>
      </c>
    </row>
    <row r="415" spans="1:14" hidden="1">
      <c r="A415" s="4" t="s">
        <v>3229</v>
      </c>
      <c r="B415" s="5" t="s">
        <v>3234</v>
      </c>
      <c r="C415" s="6" t="s">
        <v>134</v>
      </c>
      <c r="D415" s="6" t="s">
        <v>135</v>
      </c>
      <c r="E415" s="6" t="s">
        <v>136</v>
      </c>
      <c r="F415" s="18">
        <v>25826.45</v>
      </c>
      <c r="G415" s="18">
        <v>0</v>
      </c>
      <c r="H415" s="6">
        <v>0</v>
      </c>
      <c r="I415" s="6">
        <v>0</v>
      </c>
      <c r="J415" s="6">
        <v>0</v>
      </c>
      <c r="K415" s="6">
        <v>5423.55</v>
      </c>
      <c r="L415" s="6">
        <v>0</v>
      </c>
      <c r="M415" s="18">
        <v>0</v>
      </c>
      <c r="N415" s="18">
        <v>31250</v>
      </c>
    </row>
    <row r="416" spans="1:14" hidden="1">
      <c r="A416" s="4" t="s">
        <v>3229</v>
      </c>
      <c r="B416" s="5" t="s">
        <v>3235</v>
      </c>
      <c r="C416" s="6" t="s">
        <v>134</v>
      </c>
      <c r="D416" s="6" t="s">
        <v>135</v>
      </c>
      <c r="E416" s="6" t="s">
        <v>136</v>
      </c>
      <c r="F416" s="18">
        <v>21404.959999999999</v>
      </c>
      <c r="G416" s="18">
        <v>0</v>
      </c>
      <c r="H416" s="6">
        <v>0</v>
      </c>
      <c r="I416" s="6">
        <v>0</v>
      </c>
      <c r="J416" s="6">
        <v>0</v>
      </c>
      <c r="K416" s="6">
        <v>4495.04</v>
      </c>
      <c r="L416" s="6">
        <v>0</v>
      </c>
      <c r="M416" s="18">
        <v>0</v>
      </c>
      <c r="N416" s="18">
        <v>25900</v>
      </c>
    </row>
    <row r="417" spans="1:14" hidden="1">
      <c r="A417" s="4" t="s">
        <v>3229</v>
      </c>
      <c r="B417" s="5" t="s">
        <v>3236</v>
      </c>
      <c r="C417" s="6" t="s">
        <v>134</v>
      </c>
      <c r="D417" s="6" t="s">
        <v>135</v>
      </c>
      <c r="E417" s="6" t="s">
        <v>136</v>
      </c>
      <c r="F417" s="18">
        <v>12975.21</v>
      </c>
      <c r="G417" s="18">
        <v>0</v>
      </c>
      <c r="H417" s="6">
        <v>0</v>
      </c>
      <c r="I417" s="6">
        <v>0</v>
      </c>
      <c r="J417" s="6">
        <v>0</v>
      </c>
      <c r="K417" s="6">
        <v>2724.79</v>
      </c>
      <c r="L417" s="6">
        <v>0</v>
      </c>
      <c r="M417" s="18">
        <v>0</v>
      </c>
      <c r="N417" s="18">
        <v>15700</v>
      </c>
    </row>
    <row r="418" spans="1:14" ht="15.75" thickBot="1">
      <c r="A418" s="4"/>
      <c r="B418" s="5"/>
      <c r="C418" s="6"/>
      <c r="D418" s="6"/>
      <c r="E418" s="6"/>
      <c r="F418" s="142">
        <f>SUM(F82:F417)</f>
        <v>6712437.7599999849</v>
      </c>
      <c r="G418" s="142">
        <f t="shared" ref="G418:N418" si="2">SUM(G82:G417)</f>
        <v>0</v>
      </c>
      <c r="H418" s="142">
        <f t="shared" si="2"/>
        <v>0</v>
      </c>
      <c r="I418" s="142">
        <f t="shared" si="2"/>
        <v>0</v>
      </c>
      <c r="J418" s="142">
        <f t="shared" si="2"/>
        <v>0</v>
      </c>
      <c r="K418" s="142">
        <f t="shared" si="2"/>
        <v>1409612.2399999972</v>
      </c>
      <c r="L418" s="142">
        <f t="shared" si="2"/>
        <v>0</v>
      </c>
      <c r="M418" s="142">
        <f t="shared" si="2"/>
        <v>0</v>
      </c>
      <c r="N418" s="142">
        <f t="shared" si="2"/>
        <v>8122050</v>
      </c>
    </row>
    <row r="419" spans="1:14" ht="15.75" thickBot="1">
      <c r="A419" s="167" t="s">
        <v>3246</v>
      </c>
      <c r="B419" s="168"/>
      <c r="C419" s="6"/>
      <c r="D419" s="6"/>
      <c r="E419" s="6"/>
      <c r="F419" s="18"/>
      <c r="G419" s="18"/>
      <c r="H419" s="6"/>
      <c r="I419" s="6"/>
      <c r="J419" s="6"/>
      <c r="K419" s="6"/>
      <c r="L419" s="6"/>
      <c r="M419" s="18"/>
      <c r="N419" s="18"/>
    </row>
    <row r="420" spans="1:14">
      <c r="A420" s="4" t="s">
        <v>2750</v>
      </c>
      <c r="B420" s="5" t="s">
        <v>2775</v>
      </c>
      <c r="C420" s="6" t="s">
        <v>440</v>
      </c>
      <c r="D420" s="6" t="s">
        <v>135</v>
      </c>
      <c r="E420" s="6">
        <v>24448662</v>
      </c>
      <c r="F420" s="18">
        <v>13223.15</v>
      </c>
      <c r="G420" s="18">
        <v>0</v>
      </c>
      <c r="H420" s="6">
        <v>0</v>
      </c>
      <c r="I420" s="6">
        <v>0</v>
      </c>
      <c r="J420" s="6">
        <v>0</v>
      </c>
      <c r="K420" s="6">
        <v>2776.85</v>
      </c>
      <c r="L420" s="6">
        <v>0</v>
      </c>
      <c r="M420" s="18">
        <v>0</v>
      </c>
      <c r="N420" s="18">
        <v>16000</v>
      </c>
    </row>
    <row r="421" spans="1:14">
      <c r="A421" s="4" t="s">
        <v>2750</v>
      </c>
      <c r="B421" s="5" t="s">
        <v>2776</v>
      </c>
      <c r="C421" s="6" t="s">
        <v>451</v>
      </c>
      <c r="D421" s="6" t="s">
        <v>135</v>
      </c>
      <c r="E421" s="6">
        <v>26542077</v>
      </c>
      <c r="F421" s="18">
        <v>35537.200000000004</v>
      </c>
      <c r="G421" s="18">
        <v>0</v>
      </c>
      <c r="H421" s="6">
        <v>0</v>
      </c>
      <c r="I421" s="6">
        <v>0</v>
      </c>
      <c r="J421" s="6">
        <v>0</v>
      </c>
      <c r="K421" s="6">
        <v>7462.8</v>
      </c>
      <c r="L421" s="6">
        <v>0</v>
      </c>
      <c r="M421" s="18">
        <v>0</v>
      </c>
      <c r="N421" s="18">
        <v>43000</v>
      </c>
    </row>
    <row r="422" spans="1:14">
      <c r="A422" s="4" t="s">
        <v>2750</v>
      </c>
      <c r="B422" s="5" t="s">
        <v>2777</v>
      </c>
      <c r="C422" s="6" t="s">
        <v>369</v>
      </c>
      <c r="D422" s="6" t="s">
        <v>135</v>
      </c>
      <c r="E422" s="6">
        <v>56980</v>
      </c>
      <c r="F422" s="18">
        <v>8264.4699999999993</v>
      </c>
      <c r="G422" s="18">
        <v>0</v>
      </c>
      <c r="H422" s="6">
        <v>0</v>
      </c>
      <c r="I422" s="6">
        <v>0</v>
      </c>
      <c r="J422" s="6">
        <v>0</v>
      </c>
      <c r="K422" s="6">
        <v>1735.53</v>
      </c>
      <c r="L422" s="6">
        <v>0</v>
      </c>
      <c r="M422" s="18">
        <v>0</v>
      </c>
      <c r="N422" s="18">
        <v>10000</v>
      </c>
    </row>
    <row r="423" spans="1:14">
      <c r="A423" s="4" t="s">
        <v>2750</v>
      </c>
      <c r="B423" s="5" t="s">
        <v>2778</v>
      </c>
      <c r="C423" s="6" t="s">
        <v>388</v>
      </c>
      <c r="D423" s="6" t="s">
        <v>135</v>
      </c>
      <c r="E423" s="6">
        <v>14123802</v>
      </c>
      <c r="F423" s="18">
        <v>16528.920000000002</v>
      </c>
      <c r="G423" s="18">
        <v>0</v>
      </c>
      <c r="H423" s="6">
        <v>0</v>
      </c>
      <c r="I423" s="6">
        <v>0</v>
      </c>
      <c r="J423" s="6">
        <v>0</v>
      </c>
      <c r="K423" s="6">
        <v>3471.08</v>
      </c>
      <c r="L423" s="6">
        <v>0</v>
      </c>
      <c r="M423" s="18">
        <v>0</v>
      </c>
      <c r="N423" s="18">
        <v>20000</v>
      </c>
    </row>
    <row r="424" spans="1:14">
      <c r="A424" s="4" t="s">
        <v>2750</v>
      </c>
      <c r="B424" s="5" t="s">
        <v>2779</v>
      </c>
      <c r="C424" s="6" t="s">
        <v>1909</v>
      </c>
      <c r="D424" s="6" t="s">
        <v>135</v>
      </c>
      <c r="E424" s="6">
        <v>96052829</v>
      </c>
      <c r="F424" s="18">
        <v>21900.83</v>
      </c>
      <c r="G424" s="18">
        <v>0</v>
      </c>
      <c r="H424" s="6">
        <v>0</v>
      </c>
      <c r="I424" s="6">
        <v>0</v>
      </c>
      <c r="J424" s="6">
        <v>0</v>
      </c>
      <c r="K424" s="6">
        <v>4599.17</v>
      </c>
      <c r="L424" s="6">
        <v>0</v>
      </c>
      <c r="M424" s="18">
        <v>0</v>
      </c>
      <c r="N424" s="18">
        <v>26500</v>
      </c>
    </row>
    <row r="425" spans="1:14">
      <c r="A425" s="4" t="s">
        <v>2750</v>
      </c>
      <c r="B425" s="5" t="s">
        <v>2780</v>
      </c>
      <c r="C425" s="6" t="s">
        <v>342</v>
      </c>
      <c r="D425" s="6" t="s">
        <v>343</v>
      </c>
      <c r="E425" s="6">
        <v>30590354798</v>
      </c>
      <c r="F425" s="18">
        <v>2892561.98</v>
      </c>
      <c r="G425" s="18">
        <v>0</v>
      </c>
      <c r="H425" s="6">
        <v>0</v>
      </c>
      <c r="I425" s="6">
        <v>0</v>
      </c>
      <c r="J425" s="6">
        <v>0</v>
      </c>
      <c r="K425" s="6">
        <v>607438.02</v>
      </c>
      <c r="L425" s="6">
        <v>0</v>
      </c>
      <c r="M425" s="18">
        <v>0</v>
      </c>
      <c r="N425" s="18">
        <v>3500000</v>
      </c>
    </row>
    <row r="426" spans="1:14">
      <c r="A426" s="4" t="s">
        <v>2781</v>
      </c>
      <c r="B426" s="5" t="s">
        <v>2815</v>
      </c>
      <c r="C426" s="6" t="s">
        <v>345</v>
      </c>
      <c r="D426" s="6" t="s">
        <v>343</v>
      </c>
      <c r="E426" s="6">
        <v>30658137642</v>
      </c>
      <c r="F426" s="18">
        <v>450942.15</v>
      </c>
      <c r="G426" s="18">
        <v>0</v>
      </c>
      <c r="H426" s="6">
        <v>0</v>
      </c>
      <c r="I426" s="6">
        <v>0</v>
      </c>
      <c r="J426" s="6">
        <v>0</v>
      </c>
      <c r="K426" s="6">
        <v>94697.85</v>
      </c>
      <c r="L426" s="6">
        <v>0</v>
      </c>
      <c r="M426" s="18">
        <v>0</v>
      </c>
      <c r="N426" s="18">
        <v>545640</v>
      </c>
    </row>
    <row r="427" spans="1:14">
      <c r="A427" s="4" t="s">
        <v>2781</v>
      </c>
      <c r="B427" s="5" t="s">
        <v>2816</v>
      </c>
      <c r="C427" s="6" t="s">
        <v>345</v>
      </c>
      <c r="D427" s="6" t="s">
        <v>343</v>
      </c>
      <c r="E427" s="6">
        <v>30658137642</v>
      </c>
      <c r="F427" s="18">
        <v>28537.19</v>
      </c>
      <c r="G427" s="18">
        <v>0</v>
      </c>
      <c r="H427" s="6">
        <v>0</v>
      </c>
      <c r="I427" s="6">
        <v>0</v>
      </c>
      <c r="J427" s="6">
        <v>0</v>
      </c>
      <c r="K427" s="6">
        <v>5992.81</v>
      </c>
      <c r="L427" s="6">
        <v>0</v>
      </c>
      <c r="M427" s="18">
        <v>0</v>
      </c>
      <c r="N427" s="18">
        <v>34530</v>
      </c>
    </row>
    <row r="428" spans="1:14">
      <c r="A428" s="4" t="s">
        <v>2781</v>
      </c>
      <c r="B428" s="5" t="s">
        <v>2817</v>
      </c>
      <c r="C428" s="6" t="s">
        <v>347</v>
      </c>
      <c r="D428" s="6" t="s">
        <v>343</v>
      </c>
      <c r="E428" s="6">
        <v>30571766287</v>
      </c>
      <c r="F428" s="18">
        <v>147735.54</v>
      </c>
      <c r="G428" s="18">
        <v>0</v>
      </c>
      <c r="H428" s="6">
        <v>0</v>
      </c>
      <c r="I428" s="6">
        <v>0</v>
      </c>
      <c r="J428" s="6">
        <v>0</v>
      </c>
      <c r="K428" s="6">
        <v>31024.46</v>
      </c>
      <c r="L428" s="6">
        <v>0</v>
      </c>
      <c r="M428" s="18">
        <v>0</v>
      </c>
      <c r="N428" s="18">
        <v>178760</v>
      </c>
    </row>
    <row r="429" spans="1:14">
      <c r="A429" s="4" t="s">
        <v>2781</v>
      </c>
      <c r="B429" s="5" t="s">
        <v>2818</v>
      </c>
      <c r="C429" s="6" t="s">
        <v>342</v>
      </c>
      <c r="D429" s="6" t="s">
        <v>343</v>
      </c>
      <c r="E429" s="6">
        <v>30590354798</v>
      </c>
      <c r="F429" s="18">
        <v>1468286.59</v>
      </c>
      <c r="G429" s="18">
        <v>0</v>
      </c>
      <c r="H429" s="6">
        <v>0</v>
      </c>
      <c r="I429" s="6">
        <v>0</v>
      </c>
      <c r="J429" s="6">
        <v>0</v>
      </c>
      <c r="K429" s="6">
        <v>308340.19</v>
      </c>
      <c r="L429" s="6">
        <v>0</v>
      </c>
      <c r="M429" s="18">
        <v>0</v>
      </c>
      <c r="N429" s="18">
        <v>1776626.78</v>
      </c>
    </row>
    <row r="430" spans="1:14">
      <c r="A430" s="4" t="s">
        <v>2819</v>
      </c>
      <c r="B430" s="5" t="s">
        <v>2839</v>
      </c>
      <c r="C430" s="6" t="s">
        <v>356</v>
      </c>
      <c r="D430" s="6" t="s">
        <v>135</v>
      </c>
      <c r="E430" s="6">
        <v>21645724</v>
      </c>
      <c r="F430" s="18">
        <v>22314.05</v>
      </c>
      <c r="G430" s="18">
        <v>0</v>
      </c>
      <c r="H430" s="6">
        <v>0</v>
      </c>
      <c r="I430" s="6">
        <v>0</v>
      </c>
      <c r="J430" s="6">
        <v>0</v>
      </c>
      <c r="K430" s="6">
        <v>4685.95</v>
      </c>
      <c r="L430" s="6">
        <v>0</v>
      </c>
      <c r="M430" s="18">
        <v>0</v>
      </c>
      <c r="N430" s="18">
        <v>27000</v>
      </c>
    </row>
    <row r="431" spans="1:14">
      <c r="A431" s="4" t="s">
        <v>2819</v>
      </c>
      <c r="B431" s="5" t="s">
        <v>2840</v>
      </c>
      <c r="C431" s="6" t="s">
        <v>498</v>
      </c>
      <c r="D431" s="6" t="s">
        <v>135</v>
      </c>
      <c r="E431" s="6">
        <v>17198648</v>
      </c>
      <c r="F431" s="18">
        <v>16942.150000000001</v>
      </c>
      <c r="G431" s="18">
        <v>0</v>
      </c>
      <c r="H431" s="6">
        <v>0</v>
      </c>
      <c r="I431" s="6">
        <v>0</v>
      </c>
      <c r="J431" s="6">
        <v>0</v>
      </c>
      <c r="K431" s="6">
        <v>3557.85</v>
      </c>
      <c r="L431" s="6">
        <v>0</v>
      </c>
      <c r="M431" s="18">
        <v>0</v>
      </c>
      <c r="N431" s="18">
        <v>20500</v>
      </c>
    </row>
    <row r="432" spans="1:14">
      <c r="A432" s="4" t="s">
        <v>2819</v>
      </c>
      <c r="B432" s="5" t="s">
        <v>2841</v>
      </c>
      <c r="C432" s="6" t="s">
        <v>2842</v>
      </c>
      <c r="D432" s="6" t="s">
        <v>135</v>
      </c>
      <c r="E432" s="6">
        <v>10363173</v>
      </c>
      <c r="F432" s="18">
        <v>413223.14</v>
      </c>
      <c r="G432" s="18">
        <v>0</v>
      </c>
      <c r="H432" s="6">
        <v>0</v>
      </c>
      <c r="I432" s="6">
        <v>0</v>
      </c>
      <c r="J432" s="6">
        <v>0</v>
      </c>
      <c r="K432" s="6">
        <v>86776.86</v>
      </c>
      <c r="L432" s="6">
        <v>0</v>
      </c>
      <c r="M432" s="18">
        <v>0</v>
      </c>
      <c r="N432" s="18">
        <v>500000</v>
      </c>
    </row>
    <row r="433" spans="1:14">
      <c r="A433" s="4" t="s">
        <v>2843</v>
      </c>
      <c r="B433" s="5" t="s">
        <v>2861</v>
      </c>
      <c r="C433" s="6" t="s">
        <v>2862</v>
      </c>
      <c r="D433" s="6" t="s">
        <v>135</v>
      </c>
      <c r="E433" s="6">
        <v>12928506</v>
      </c>
      <c r="F433" s="18">
        <v>17355.37</v>
      </c>
      <c r="G433" s="18">
        <v>0</v>
      </c>
      <c r="H433" s="6">
        <v>0</v>
      </c>
      <c r="I433" s="6">
        <v>0</v>
      </c>
      <c r="J433" s="6">
        <v>0</v>
      </c>
      <c r="K433" s="6">
        <v>3644.63</v>
      </c>
      <c r="L433" s="6">
        <v>0</v>
      </c>
      <c r="M433" s="18">
        <v>0</v>
      </c>
      <c r="N433" s="18">
        <v>21000</v>
      </c>
    </row>
    <row r="434" spans="1:14">
      <c r="A434" s="4" t="s">
        <v>2863</v>
      </c>
      <c r="B434" s="5" t="s">
        <v>2882</v>
      </c>
      <c r="C434" s="6" t="s">
        <v>386</v>
      </c>
      <c r="D434" s="6" t="s">
        <v>343</v>
      </c>
      <c r="E434" s="6">
        <v>30685228501</v>
      </c>
      <c r="F434" s="18">
        <v>23966.94</v>
      </c>
      <c r="G434" s="18">
        <v>0</v>
      </c>
      <c r="H434" s="6">
        <v>0</v>
      </c>
      <c r="I434" s="6">
        <v>0</v>
      </c>
      <c r="J434" s="6">
        <v>0</v>
      </c>
      <c r="K434" s="6">
        <v>5033.0600000000004</v>
      </c>
      <c r="L434" s="6">
        <v>0</v>
      </c>
      <c r="M434" s="18">
        <v>0</v>
      </c>
      <c r="N434" s="18">
        <v>29000</v>
      </c>
    </row>
    <row r="435" spans="1:14">
      <c r="A435" s="4" t="s">
        <v>2863</v>
      </c>
      <c r="B435" s="5" t="s">
        <v>2883</v>
      </c>
      <c r="C435" s="6" t="s">
        <v>342</v>
      </c>
      <c r="D435" s="6" t="s">
        <v>343</v>
      </c>
      <c r="E435" s="6">
        <v>30590354798</v>
      </c>
      <c r="F435" s="18">
        <v>12809.92</v>
      </c>
      <c r="G435" s="18">
        <v>0</v>
      </c>
      <c r="H435" s="6">
        <v>0</v>
      </c>
      <c r="I435" s="6">
        <v>0</v>
      </c>
      <c r="J435" s="6">
        <v>0</v>
      </c>
      <c r="K435" s="6">
        <v>2690.08</v>
      </c>
      <c r="L435" s="6">
        <v>0</v>
      </c>
      <c r="M435" s="18">
        <v>0</v>
      </c>
      <c r="N435" s="18">
        <v>15500</v>
      </c>
    </row>
    <row r="436" spans="1:14">
      <c r="A436" s="4" t="s">
        <v>2863</v>
      </c>
      <c r="B436" s="5" t="s">
        <v>2884</v>
      </c>
      <c r="C436" s="6" t="s">
        <v>424</v>
      </c>
      <c r="D436" s="6" t="s">
        <v>135</v>
      </c>
      <c r="E436" s="6">
        <v>12394145</v>
      </c>
      <c r="F436" s="18">
        <v>29752.06</v>
      </c>
      <c r="G436" s="18">
        <v>0</v>
      </c>
      <c r="H436" s="6">
        <v>0</v>
      </c>
      <c r="I436" s="6">
        <v>0</v>
      </c>
      <c r="J436" s="6">
        <v>0</v>
      </c>
      <c r="K436" s="6">
        <v>6247.94</v>
      </c>
      <c r="L436" s="6">
        <v>0</v>
      </c>
      <c r="M436" s="18">
        <v>0</v>
      </c>
      <c r="N436" s="18">
        <v>36000</v>
      </c>
    </row>
    <row r="437" spans="1:14">
      <c r="A437" s="4" t="s">
        <v>2885</v>
      </c>
      <c r="B437" s="5" t="s">
        <v>2905</v>
      </c>
      <c r="C437" s="6" t="s">
        <v>432</v>
      </c>
      <c r="D437" s="6" t="s">
        <v>135</v>
      </c>
      <c r="E437" s="6">
        <v>17855620</v>
      </c>
      <c r="F437" s="18">
        <v>15702.48</v>
      </c>
      <c r="G437" s="18">
        <v>0</v>
      </c>
      <c r="H437" s="6">
        <v>0</v>
      </c>
      <c r="I437" s="6">
        <v>0</v>
      </c>
      <c r="J437" s="6">
        <v>0</v>
      </c>
      <c r="K437" s="6">
        <v>3297.52</v>
      </c>
      <c r="L437" s="6">
        <v>0</v>
      </c>
      <c r="M437" s="18">
        <v>0</v>
      </c>
      <c r="N437" s="18">
        <v>19000</v>
      </c>
    </row>
    <row r="438" spans="1:14">
      <c r="A438" s="4" t="s">
        <v>2885</v>
      </c>
      <c r="B438" s="5" t="s">
        <v>2906</v>
      </c>
      <c r="C438" s="6" t="s">
        <v>381</v>
      </c>
      <c r="D438" s="6" t="s">
        <v>135</v>
      </c>
      <c r="E438" s="6">
        <v>12791306</v>
      </c>
      <c r="F438" s="18">
        <v>19834.71</v>
      </c>
      <c r="G438" s="18">
        <v>0</v>
      </c>
      <c r="H438" s="6">
        <v>0</v>
      </c>
      <c r="I438" s="6">
        <v>0</v>
      </c>
      <c r="J438" s="6">
        <v>0</v>
      </c>
      <c r="K438" s="6">
        <v>4165.29</v>
      </c>
      <c r="L438" s="6">
        <v>0</v>
      </c>
      <c r="M438" s="18">
        <v>0</v>
      </c>
      <c r="N438" s="18">
        <v>24000</v>
      </c>
    </row>
    <row r="439" spans="1:14">
      <c r="A439" s="4" t="s">
        <v>2885</v>
      </c>
      <c r="B439" s="5" t="s">
        <v>2907</v>
      </c>
      <c r="C439" s="6" t="s">
        <v>354</v>
      </c>
      <c r="D439" s="6" t="s">
        <v>135</v>
      </c>
      <c r="E439" s="6">
        <v>4648296</v>
      </c>
      <c r="F439" s="18">
        <v>16528.920000000002</v>
      </c>
      <c r="G439" s="18">
        <v>0</v>
      </c>
      <c r="H439" s="6">
        <v>0</v>
      </c>
      <c r="I439" s="6">
        <v>0</v>
      </c>
      <c r="J439" s="6">
        <v>0</v>
      </c>
      <c r="K439" s="6">
        <v>3471.08</v>
      </c>
      <c r="L439" s="6">
        <v>0</v>
      </c>
      <c r="M439" s="18">
        <v>0</v>
      </c>
      <c r="N439" s="18">
        <v>20000</v>
      </c>
    </row>
    <row r="440" spans="1:14">
      <c r="A440" s="4" t="s">
        <v>2885</v>
      </c>
      <c r="B440" s="5" t="s">
        <v>2908</v>
      </c>
      <c r="C440" s="6" t="s">
        <v>386</v>
      </c>
      <c r="D440" s="6" t="s">
        <v>343</v>
      </c>
      <c r="E440" s="6">
        <v>30685228501</v>
      </c>
      <c r="F440" s="18">
        <v>24710.74</v>
      </c>
      <c r="G440" s="18">
        <v>0</v>
      </c>
      <c r="H440" s="6">
        <v>0</v>
      </c>
      <c r="I440" s="6">
        <v>0</v>
      </c>
      <c r="J440" s="6">
        <v>0</v>
      </c>
      <c r="K440" s="6">
        <v>5189.26</v>
      </c>
      <c r="L440" s="6">
        <v>0</v>
      </c>
      <c r="M440" s="18">
        <v>0</v>
      </c>
      <c r="N440" s="18">
        <v>29900</v>
      </c>
    </row>
    <row r="441" spans="1:14">
      <c r="A441" s="4" t="s">
        <v>2885</v>
      </c>
      <c r="B441" s="5" t="s">
        <v>2909</v>
      </c>
      <c r="C441" s="6" t="s">
        <v>342</v>
      </c>
      <c r="D441" s="6" t="s">
        <v>343</v>
      </c>
      <c r="E441" s="6">
        <v>30590354798</v>
      </c>
      <c r="F441" s="18">
        <v>624793.39</v>
      </c>
      <c r="G441" s="18">
        <v>0</v>
      </c>
      <c r="H441" s="6">
        <v>0</v>
      </c>
      <c r="I441" s="6">
        <v>0</v>
      </c>
      <c r="J441" s="6">
        <v>0</v>
      </c>
      <c r="K441" s="6">
        <v>131206.61000000002</v>
      </c>
      <c r="L441" s="6">
        <v>0</v>
      </c>
      <c r="M441" s="18">
        <v>0</v>
      </c>
      <c r="N441" s="18">
        <v>756000</v>
      </c>
    </row>
    <row r="442" spans="1:14">
      <c r="A442" s="4" t="s">
        <v>2910</v>
      </c>
      <c r="B442" s="5" t="s">
        <v>2932</v>
      </c>
      <c r="C442" s="6" t="s">
        <v>777</v>
      </c>
      <c r="D442" s="6" t="s">
        <v>135</v>
      </c>
      <c r="E442" s="6">
        <v>16994318</v>
      </c>
      <c r="F442" s="18">
        <v>29752.06</v>
      </c>
      <c r="G442" s="18">
        <v>0</v>
      </c>
      <c r="H442" s="6">
        <v>0</v>
      </c>
      <c r="I442" s="6">
        <v>0</v>
      </c>
      <c r="J442" s="6">
        <v>0</v>
      </c>
      <c r="K442" s="6">
        <v>6247.94</v>
      </c>
      <c r="L442" s="6">
        <v>0</v>
      </c>
      <c r="M442" s="18">
        <v>0</v>
      </c>
      <c r="N442" s="18">
        <v>36000</v>
      </c>
    </row>
    <row r="443" spans="1:14">
      <c r="A443" s="4" t="s">
        <v>2910</v>
      </c>
      <c r="B443" s="5" t="s">
        <v>2933</v>
      </c>
      <c r="C443" s="6" t="s">
        <v>365</v>
      </c>
      <c r="D443" s="6" t="s">
        <v>135</v>
      </c>
      <c r="E443" s="6">
        <v>14547747</v>
      </c>
      <c r="F443" s="18">
        <v>16528.920000000002</v>
      </c>
      <c r="G443" s="18">
        <v>0</v>
      </c>
      <c r="H443" s="6">
        <v>0</v>
      </c>
      <c r="I443" s="6">
        <v>0</v>
      </c>
      <c r="J443" s="6">
        <v>0</v>
      </c>
      <c r="K443" s="6">
        <v>3471.08</v>
      </c>
      <c r="L443" s="6">
        <v>0</v>
      </c>
      <c r="M443" s="18">
        <v>0</v>
      </c>
      <c r="N443" s="18">
        <v>20000</v>
      </c>
    </row>
    <row r="444" spans="1:14">
      <c r="A444" s="4" t="s">
        <v>2910</v>
      </c>
      <c r="B444" s="5" t="s">
        <v>2934</v>
      </c>
      <c r="C444" s="6" t="s">
        <v>1203</v>
      </c>
      <c r="D444" s="6" t="s">
        <v>135</v>
      </c>
      <c r="E444" s="6">
        <v>14736066</v>
      </c>
      <c r="F444" s="18">
        <v>22314.05</v>
      </c>
      <c r="G444" s="18">
        <v>0</v>
      </c>
      <c r="H444" s="6">
        <v>0</v>
      </c>
      <c r="I444" s="6">
        <v>0</v>
      </c>
      <c r="J444" s="6">
        <v>0</v>
      </c>
      <c r="K444" s="6">
        <v>4685.95</v>
      </c>
      <c r="L444" s="6">
        <v>0</v>
      </c>
      <c r="M444" s="18">
        <v>0</v>
      </c>
      <c r="N444" s="18">
        <v>27000</v>
      </c>
    </row>
    <row r="445" spans="1:14">
      <c r="A445" s="4" t="s">
        <v>2910</v>
      </c>
      <c r="B445" s="5" t="s">
        <v>2935</v>
      </c>
      <c r="C445" s="6" t="s">
        <v>417</v>
      </c>
      <c r="D445" s="6" t="s">
        <v>135</v>
      </c>
      <c r="E445" s="6">
        <v>20008996</v>
      </c>
      <c r="F445" s="18">
        <v>19834.71</v>
      </c>
      <c r="G445" s="18">
        <v>0</v>
      </c>
      <c r="H445" s="6">
        <v>0</v>
      </c>
      <c r="I445" s="6">
        <v>0</v>
      </c>
      <c r="J445" s="6">
        <v>0</v>
      </c>
      <c r="K445" s="6">
        <v>4165.29</v>
      </c>
      <c r="L445" s="6">
        <v>0</v>
      </c>
      <c r="M445" s="18">
        <v>0</v>
      </c>
      <c r="N445" s="18">
        <v>24000</v>
      </c>
    </row>
    <row r="446" spans="1:14">
      <c r="A446" s="4" t="s">
        <v>2910</v>
      </c>
      <c r="B446" s="5" t="s">
        <v>2936</v>
      </c>
      <c r="C446" s="6" t="s">
        <v>396</v>
      </c>
      <c r="D446" s="6" t="s">
        <v>135</v>
      </c>
      <c r="E446" s="6">
        <v>17275405</v>
      </c>
      <c r="F446" s="18">
        <v>28925.62</v>
      </c>
      <c r="G446" s="18">
        <v>0</v>
      </c>
      <c r="H446" s="6">
        <v>0</v>
      </c>
      <c r="I446" s="6">
        <v>0</v>
      </c>
      <c r="J446" s="6">
        <v>0</v>
      </c>
      <c r="K446" s="6">
        <v>6074.38</v>
      </c>
      <c r="L446" s="6">
        <v>0</v>
      </c>
      <c r="M446" s="18">
        <v>0</v>
      </c>
      <c r="N446" s="18">
        <v>35000</v>
      </c>
    </row>
    <row r="447" spans="1:14">
      <c r="A447" s="4" t="s">
        <v>2910</v>
      </c>
      <c r="B447" s="5" t="s">
        <v>2937</v>
      </c>
      <c r="C447" s="6" t="s">
        <v>388</v>
      </c>
      <c r="D447" s="6" t="s">
        <v>135</v>
      </c>
      <c r="E447" s="6">
        <v>14123802</v>
      </c>
      <c r="F447" s="18">
        <v>32479.33</v>
      </c>
      <c r="G447" s="18">
        <v>0</v>
      </c>
      <c r="H447" s="6">
        <v>0</v>
      </c>
      <c r="I447" s="6">
        <v>0</v>
      </c>
      <c r="J447" s="6">
        <v>0</v>
      </c>
      <c r="K447" s="6">
        <v>6820.67</v>
      </c>
      <c r="L447" s="6">
        <v>0</v>
      </c>
      <c r="M447" s="18">
        <v>0</v>
      </c>
      <c r="N447" s="18">
        <v>39300</v>
      </c>
    </row>
    <row r="448" spans="1:14">
      <c r="A448" s="4" t="s">
        <v>2910</v>
      </c>
      <c r="B448" s="5" t="s">
        <v>2938</v>
      </c>
      <c r="C448" s="6" t="s">
        <v>415</v>
      </c>
      <c r="D448" s="6" t="s">
        <v>135</v>
      </c>
      <c r="E448" s="6">
        <v>3292785</v>
      </c>
      <c r="F448" s="18">
        <v>5628.1</v>
      </c>
      <c r="G448" s="18">
        <v>0</v>
      </c>
      <c r="H448" s="6">
        <v>0</v>
      </c>
      <c r="I448" s="6">
        <v>0</v>
      </c>
      <c r="J448" s="6">
        <v>0</v>
      </c>
      <c r="K448" s="6">
        <v>1181.9000000000001</v>
      </c>
      <c r="L448" s="6">
        <v>0</v>
      </c>
      <c r="M448" s="18">
        <v>0</v>
      </c>
      <c r="N448" s="18">
        <v>6810</v>
      </c>
    </row>
    <row r="449" spans="1:14">
      <c r="A449" s="4" t="s">
        <v>2968</v>
      </c>
      <c r="B449" s="5" t="s">
        <v>2989</v>
      </c>
      <c r="C449" s="6" t="s">
        <v>375</v>
      </c>
      <c r="D449" s="6" t="s">
        <v>135</v>
      </c>
      <c r="E449" s="6">
        <v>36622635</v>
      </c>
      <c r="F449" s="18">
        <v>21487.599999999999</v>
      </c>
      <c r="G449" s="18">
        <v>0</v>
      </c>
      <c r="H449" s="6">
        <v>0</v>
      </c>
      <c r="I449" s="6">
        <v>0</v>
      </c>
      <c r="J449" s="6">
        <v>0</v>
      </c>
      <c r="K449" s="6">
        <v>4512.4000000000005</v>
      </c>
      <c r="L449" s="6">
        <v>0</v>
      </c>
      <c r="M449" s="18">
        <v>0</v>
      </c>
      <c r="N449" s="18">
        <v>26000</v>
      </c>
    </row>
    <row r="450" spans="1:14">
      <c r="A450" s="4" t="s">
        <v>2990</v>
      </c>
      <c r="B450" s="5" t="s">
        <v>3020</v>
      </c>
      <c r="C450" s="6" t="s">
        <v>2842</v>
      </c>
      <c r="D450" s="6" t="s">
        <v>135</v>
      </c>
      <c r="E450" s="6">
        <v>10363173</v>
      </c>
      <c r="F450" s="18">
        <v>2314049.59</v>
      </c>
      <c r="G450" s="18">
        <v>0</v>
      </c>
      <c r="H450" s="6">
        <v>0</v>
      </c>
      <c r="I450" s="6">
        <v>0</v>
      </c>
      <c r="J450" s="6">
        <v>0</v>
      </c>
      <c r="K450" s="6">
        <v>485950.41</v>
      </c>
      <c r="L450" s="6">
        <v>0</v>
      </c>
      <c r="M450" s="18">
        <v>0</v>
      </c>
      <c r="N450" s="18">
        <v>2800000</v>
      </c>
    </row>
    <row r="451" spans="1:14">
      <c r="A451" s="4" t="s">
        <v>2990</v>
      </c>
      <c r="B451" s="5" t="s">
        <v>3021</v>
      </c>
      <c r="C451" s="6" t="s">
        <v>1545</v>
      </c>
      <c r="D451" s="6" t="s">
        <v>343</v>
      </c>
      <c r="E451" s="6">
        <v>30585412453</v>
      </c>
      <c r="F451" s="18">
        <v>1087603.31</v>
      </c>
      <c r="G451" s="18">
        <v>0</v>
      </c>
      <c r="H451" s="6">
        <v>0</v>
      </c>
      <c r="I451" s="6">
        <v>0</v>
      </c>
      <c r="J451" s="6">
        <v>0</v>
      </c>
      <c r="K451" s="6">
        <v>228396.69</v>
      </c>
      <c r="L451" s="6">
        <v>0</v>
      </c>
      <c r="M451" s="18">
        <v>0</v>
      </c>
      <c r="N451" s="18">
        <v>1316000</v>
      </c>
    </row>
    <row r="452" spans="1:14">
      <c r="A452" s="4" t="s">
        <v>2990</v>
      </c>
      <c r="B452" s="5" t="s">
        <v>3022</v>
      </c>
      <c r="C452" s="6" t="s">
        <v>386</v>
      </c>
      <c r="D452" s="6" t="s">
        <v>343</v>
      </c>
      <c r="E452" s="6">
        <v>30685228501</v>
      </c>
      <c r="F452" s="18">
        <v>1087603.31</v>
      </c>
      <c r="G452" s="18">
        <v>0</v>
      </c>
      <c r="H452" s="6">
        <v>0</v>
      </c>
      <c r="I452" s="6">
        <v>0</v>
      </c>
      <c r="J452" s="6">
        <v>0</v>
      </c>
      <c r="K452" s="6">
        <v>228396.69</v>
      </c>
      <c r="L452" s="6">
        <v>0</v>
      </c>
      <c r="M452" s="18">
        <v>0</v>
      </c>
      <c r="N452" s="18">
        <v>1316000</v>
      </c>
    </row>
    <row r="453" spans="1:14">
      <c r="A453" s="4" t="s">
        <v>2990</v>
      </c>
      <c r="B453" s="5" t="s">
        <v>3023</v>
      </c>
      <c r="C453" s="6" t="s">
        <v>342</v>
      </c>
      <c r="D453" s="6" t="s">
        <v>343</v>
      </c>
      <c r="E453" s="6">
        <v>30590354798</v>
      </c>
      <c r="F453" s="18">
        <v>430578.51</v>
      </c>
      <c r="G453" s="18">
        <v>0</v>
      </c>
      <c r="H453" s="6">
        <v>0</v>
      </c>
      <c r="I453" s="6">
        <v>0</v>
      </c>
      <c r="J453" s="6">
        <v>0</v>
      </c>
      <c r="K453" s="6">
        <v>90421.49</v>
      </c>
      <c r="L453" s="6">
        <v>0</v>
      </c>
      <c r="M453" s="18">
        <v>0</v>
      </c>
      <c r="N453" s="18">
        <v>521000</v>
      </c>
    </row>
    <row r="454" spans="1:14">
      <c r="A454" s="4" t="s">
        <v>2990</v>
      </c>
      <c r="B454" s="5" t="s">
        <v>3024</v>
      </c>
      <c r="C454" s="6" t="s">
        <v>342</v>
      </c>
      <c r="D454" s="6" t="s">
        <v>343</v>
      </c>
      <c r="E454" s="6">
        <v>30590354798</v>
      </c>
      <c r="F454" s="18">
        <v>4363636.3600000003</v>
      </c>
      <c r="G454" s="18">
        <v>0</v>
      </c>
      <c r="H454" s="6">
        <v>0</v>
      </c>
      <c r="I454" s="6">
        <v>0</v>
      </c>
      <c r="J454" s="6">
        <v>0</v>
      </c>
      <c r="K454" s="6">
        <v>916363.64</v>
      </c>
      <c r="L454" s="6">
        <v>0</v>
      </c>
      <c r="M454" s="18">
        <v>0</v>
      </c>
      <c r="N454" s="18">
        <v>5280000</v>
      </c>
    </row>
    <row r="455" spans="1:14">
      <c r="A455" s="4" t="s">
        <v>3025</v>
      </c>
      <c r="B455" s="5" t="s">
        <v>3048</v>
      </c>
      <c r="C455" s="6" t="s">
        <v>371</v>
      </c>
      <c r="D455" s="6" t="s">
        <v>135</v>
      </c>
      <c r="E455" s="6">
        <v>705467</v>
      </c>
      <c r="F455" s="18">
        <v>15289.26</v>
      </c>
      <c r="G455" s="18">
        <v>0</v>
      </c>
      <c r="H455" s="6">
        <v>0</v>
      </c>
      <c r="I455" s="6">
        <v>0</v>
      </c>
      <c r="J455" s="6">
        <v>0</v>
      </c>
      <c r="K455" s="6">
        <v>3210.74</v>
      </c>
      <c r="L455" s="6">
        <v>0</v>
      </c>
      <c r="M455" s="18">
        <v>0</v>
      </c>
      <c r="N455" s="18">
        <v>18500</v>
      </c>
    </row>
    <row r="456" spans="1:14">
      <c r="A456" s="4" t="s">
        <v>3025</v>
      </c>
      <c r="B456" s="5" t="s">
        <v>3049</v>
      </c>
      <c r="C456" s="6" t="s">
        <v>386</v>
      </c>
      <c r="D456" s="6" t="s">
        <v>343</v>
      </c>
      <c r="E456" s="6">
        <v>30685228501</v>
      </c>
      <c r="F456" s="18">
        <v>484793.39</v>
      </c>
      <c r="G456" s="18">
        <v>0</v>
      </c>
      <c r="H456" s="6">
        <v>0</v>
      </c>
      <c r="I456" s="6">
        <v>0</v>
      </c>
      <c r="J456" s="6">
        <v>0</v>
      </c>
      <c r="K456" s="6">
        <v>101806.61</v>
      </c>
      <c r="L456" s="6">
        <v>0</v>
      </c>
      <c r="M456" s="18">
        <v>0</v>
      </c>
      <c r="N456" s="18">
        <v>586600</v>
      </c>
    </row>
    <row r="457" spans="1:14" hidden="1">
      <c r="A457" s="4" t="s">
        <v>3050</v>
      </c>
      <c r="B457" s="5" t="s">
        <v>3070</v>
      </c>
      <c r="C457" s="6" t="s">
        <v>134</v>
      </c>
      <c r="D457" s="6" t="s">
        <v>135</v>
      </c>
      <c r="E457" s="6" t="s">
        <v>136</v>
      </c>
      <c r="F457" s="18">
        <v>66115.7</v>
      </c>
      <c r="G457" s="18">
        <v>0</v>
      </c>
      <c r="H457" s="6">
        <v>0</v>
      </c>
      <c r="I457" s="6">
        <v>0</v>
      </c>
      <c r="J457" s="6">
        <v>0</v>
      </c>
      <c r="K457" s="6">
        <v>13884.3</v>
      </c>
      <c r="L457" s="6">
        <v>0</v>
      </c>
      <c r="M457" s="18">
        <v>0</v>
      </c>
      <c r="N457" s="18">
        <v>80000</v>
      </c>
    </row>
    <row r="458" spans="1:14">
      <c r="A458" s="4" t="s">
        <v>3089</v>
      </c>
      <c r="B458" s="5" t="s">
        <v>3102</v>
      </c>
      <c r="C458" s="6" t="s">
        <v>379</v>
      </c>
      <c r="D458" s="6" t="s">
        <v>135</v>
      </c>
      <c r="E458" s="6">
        <v>20404430</v>
      </c>
      <c r="F458" s="18">
        <v>19834.71</v>
      </c>
      <c r="G458" s="18">
        <v>0</v>
      </c>
      <c r="H458" s="6">
        <v>0</v>
      </c>
      <c r="I458" s="6">
        <v>0</v>
      </c>
      <c r="J458" s="6">
        <v>0</v>
      </c>
      <c r="K458" s="6">
        <v>4165.29</v>
      </c>
      <c r="L458" s="6">
        <v>0</v>
      </c>
      <c r="M458" s="18">
        <v>0</v>
      </c>
      <c r="N458" s="18">
        <v>24000</v>
      </c>
    </row>
    <row r="459" spans="1:14">
      <c r="A459" s="4" t="s">
        <v>3103</v>
      </c>
      <c r="B459" s="5" t="s">
        <v>3114</v>
      </c>
      <c r="C459" s="6" t="s">
        <v>342</v>
      </c>
      <c r="D459" s="6" t="s">
        <v>343</v>
      </c>
      <c r="E459" s="6">
        <v>30590354798</v>
      </c>
      <c r="F459" s="18">
        <v>16942.150000000001</v>
      </c>
      <c r="G459" s="18">
        <v>0</v>
      </c>
      <c r="H459" s="6">
        <v>0</v>
      </c>
      <c r="I459" s="6">
        <v>0</v>
      </c>
      <c r="J459" s="6">
        <v>0</v>
      </c>
      <c r="K459" s="6">
        <v>3557.85</v>
      </c>
      <c r="L459" s="6">
        <v>0</v>
      </c>
      <c r="M459" s="18">
        <v>0</v>
      </c>
      <c r="N459" s="18">
        <v>20500</v>
      </c>
    </row>
    <row r="460" spans="1:14">
      <c r="A460" s="4" t="s">
        <v>3103</v>
      </c>
      <c r="B460" s="5" t="s">
        <v>3115</v>
      </c>
      <c r="C460" s="6" t="s">
        <v>3116</v>
      </c>
      <c r="D460" s="6" t="s">
        <v>343</v>
      </c>
      <c r="E460" s="6">
        <v>30711547963</v>
      </c>
      <c r="F460" s="18">
        <v>0</v>
      </c>
      <c r="G460" s="18">
        <v>92000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18">
        <v>0</v>
      </c>
      <c r="N460" s="18">
        <v>92000</v>
      </c>
    </row>
    <row r="461" spans="1:14">
      <c r="A461" s="4" t="s">
        <v>3117</v>
      </c>
      <c r="B461" s="5" t="s">
        <v>3139</v>
      </c>
      <c r="C461" s="6" t="s">
        <v>342</v>
      </c>
      <c r="D461" s="6" t="s">
        <v>343</v>
      </c>
      <c r="E461" s="6">
        <v>30590354798</v>
      </c>
      <c r="F461" s="18">
        <v>869504.14</v>
      </c>
      <c r="G461" s="18">
        <v>0</v>
      </c>
      <c r="H461" s="6">
        <v>0</v>
      </c>
      <c r="I461" s="6">
        <v>0</v>
      </c>
      <c r="J461" s="6">
        <v>0</v>
      </c>
      <c r="K461" s="6">
        <v>182595.86</v>
      </c>
      <c r="L461" s="6">
        <v>0</v>
      </c>
      <c r="M461" s="18">
        <v>0</v>
      </c>
      <c r="N461" s="18">
        <v>1052100</v>
      </c>
    </row>
    <row r="462" spans="1:14">
      <c r="A462" s="4" t="s">
        <v>3140</v>
      </c>
      <c r="B462" s="5" t="s">
        <v>3156</v>
      </c>
      <c r="C462" s="6" t="s">
        <v>3157</v>
      </c>
      <c r="D462" s="6" t="s">
        <v>135</v>
      </c>
      <c r="E462" s="6">
        <v>26001312</v>
      </c>
      <c r="F462" s="18">
        <v>12727.31</v>
      </c>
      <c r="G462" s="18">
        <v>0</v>
      </c>
      <c r="H462" s="6">
        <v>0</v>
      </c>
      <c r="I462" s="6">
        <v>0</v>
      </c>
      <c r="J462" s="6">
        <v>0</v>
      </c>
      <c r="K462" s="6">
        <v>2672.73</v>
      </c>
      <c r="L462" s="6">
        <v>0</v>
      </c>
      <c r="M462" s="18">
        <v>0</v>
      </c>
      <c r="N462" s="18">
        <v>15400.04</v>
      </c>
    </row>
    <row r="463" spans="1:14">
      <c r="A463" s="4" t="s">
        <v>3158</v>
      </c>
      <c r="B463" s="5" t="s">
        <v>3177</v>
      </c>
      <c r="C463" s="6" t="s">
        <v>428</v>
      </c>
      <c r="D463" s="6" t="s">
        <v>135</v>
      </c>
      <c r="E463" s="6">
        <v>93332052</v>
      </c>
      <c r="F463" s="18">
        <v>6917.36</v>
      </c>
      <c r="G463" s="18">
        <v>0</v>
      </c>
      <c r="H463" s="6">
        <v>0</v>
      </c>
      <c r="I463" s="6">
        <v>0</v>
      </c>
      <c r="J463" s="6">
        <v>0</v>
      </c>
      <c r="K463" s="6">
        <v>1452.64</v>
      </c>
      <c r="L463" s="6">
        <v>0</v>
      </c>
      <c r="M463" s="18">
        <v>0</v>
      </c>
      <c r="N463" s="18">
        <v>8370</v>
      </c>
    </row>
    <row r="464" spans="1:14">
      <c r="A464" s="4" t="s">
        <v>3158</v>
      </c>
      <c r="B464" s="5" t="s">
        <v>3178</v>
      </c>
      <c r="C464" s="6" t="s">
        <v>432</v>
      </c>
      <c r="D464" s="6" t="s">
        <v>135</v>
      </c>
      <c r="E464" s="6">
        <v>17855620</v>
      </c>
      <c r="F464" s="18">
        <v>15702.48</v>
      </c>
      <c r="G464" s="18">
        <v>0</v>
      </c>
      <c r="H464" s="6">
        <v>0</v>
      </c>
      <c r="I464" s="6">
        <v>0</v>
      </c>
      <c r="J464" s="6">
        <v>0</v>
      </c>
      <c r="K464" s="6">
        <v>3297.52</v>
      </c>
      <c r="L464" s="6">
        <v>0</v>
      </c>
      <c r="M464" s="18">
        <v>0</v>
      </c>
      <c r="N464" s="18">
        <v>19000</v>
      </c>
    </row>
    <row r="465" spans="1:14">
      <c r="A465" s="4" t="s">
        <v>3158</v>
      </c>
      <c r="B465" s="5" t="s">
        <v>3179</v>
      </c>
      <c r="C465" s="6" t="s">
        <v>388</v>
      </c>
      <c r="D465" s="6" t="s">
        <v>135</v>
      </c>
      <c r="E465" s="6">
        <v>14123802</v>
      </c>
      <c r="F465" s="18">
        <v>16528.920000000002</v>
      </c>
      <c r="G465" s="18">
        <v>0</v>
      </c>
      <c r="H465" s="6">
        <v>0</v>
      </c>
      <c r="I465" s="6">
        <v>0</v>
      </c>
      <c r="J465" s="6">
        <v>0</v>
      </c>
      <c r="K465" s="6">
        <v>3471.08</v>
      </c>
      <c r="L465" s="6">
        <v>0</v>
      </c>
      <c r="M465" s="18">
        <v>0</v>
      </c>
      <c r="N465" s="18">
        <v>20000</v>
      </c>
    </row>
    <row r="466" spans="1:14">
      <c r="A466" s="4" t="s">
        <v>3158</v>
      </c>
      <c r="B466" s="5" t="s">
        <v>3180</v>
      </c>
      <c r="C466" s="6" t="s">
        <v>408</v>
      </c>
      <c r="D466" s="6" t="s">
        <v>135</v>
      </c>
      <c r="E466" s="6">
        <v>2719694</v>
      </c>
      <c r="F466" s="18">
        <v>6611.57</v>
      </c>
      <c r="G466" s="18">
        <v>0</v>
      </c>
      <c r="H466" s="6">
        <v>0</v>
      </c>
      <c r="I466" s="6">
        <v>0</v>
      </c>
      <c r="J466" s="6">
        <v>0</v>
      </c>
      <c r="K466" s="6">
        <v>1388.43</v>
      </c>
      <c r="L466" s="6">
        <v>0</v>
      </c>
      <c r="M466" s="18">
        <v>0</v>
      </c>
      <c r="N466" s="18">
        <v>8000</v>
      </c>
    </row>
    <row r="467" spans="1:14">
      <c r="A467" s="4" t="s">
        <v>3158</v>
      </c>
      <c r="B467" s="5" t="s">
        <v>3181</v>
      </c>
      <c r="C467" s="6" t="s">
        <v>447</v>
      </c>
      <c r="D467" s="6" t="s">
        <v>135</v>
      </c>
      <c r="E467" s="6">
        <v>5607654</v>
      </c>
      <c r="F467" s="18">
        <v>19834.71</v>
      </c>
      <c r="G467" s="18">
        <v>0</v>
      </c>
      <c r="H467" s="6">
        <v>0</v>
      </c>
      <c r="I467" s="6">
        <v>0</v>
      </c>
      <c r="J467" s="6">
        <v>0</v>
      </c>
      <c r="K467" s="6">
        <v>4165.29</v>
      </c>
      <c r="L467" s="6">
        <v>0</v>
      </c>
      <c r="M467" s="18">
        <v>0</v>
      </c>
      <c r="N467" s="18">
        <v>24000</v>
      </c>
    </row>
    <row r="468" spans="1:14">
      <c r="A468" s="4" t="s">
        <v>3182</v>
      </c>
      <c r="B468" s="5" t="s">
        <v>3191</v>
      </c>
      <c r="C468" s="6" t="s">
        <v>413</v>
      </c>
      <c r="D468" s="6" t="s">
        <v>135</v>
      </c>
      <c r="E468" s="6">
        <v>11172213</v>
      </c>
      <c r="F468" s="18">
        <v>19834.71</v>
      </c>
      <c r="G468" s="18">
        <v>0</v>
      </c>
      <c r="H468" s="6">
        <v>0</v>
      </c>
      <c r="I468" s="6">
        <v>0</v>
      </c>
      <c r="J468" s="6">
        <v>0</v>
      </c>
      <c r="K468" s="6">
        <v>4165.29</v>
      </c>
      <c r="L468" s="6">
        <v>0</v>
      </c>
      <c r="M468" s="18">
        <v>0</v>
      </c>
      <c r="N468" s="18">
        <v>24000</v>
      </c>
    </row>
    <row r="469" spans="1:14">
      <c r="A469" s="4" t="s">
        <v>3182</v>
      </c>
      <c r="B469" s="5" t="s">
        <v>3192</v>
      </c>
      <c r="C469" s="6" t="s">
        <v>445</v>
      </c>
      <c r="D469" s="6" t="s">
        <v>135</v>
      </c>
      <c r="E469" s="6">
        <v>25864351</v>
      </c>
      <c r="F469" s="18">
        <v>19834.71</v>
      </c>
      <c r="G469" s="18">
        <v>0</v>
      </c>
      <c r="H469" s="6">
        <v>0</v>
      </c>
      <c r="I469" s="6">
        <v>0</v>
      </c>
      <c r="J469" s="6">
        <v>0</v>
      </c>
      <c r="K469" s="6">
        <v>4165.29</v>
      </c>
      <c r="L469" s="6">
        <v>0</v>
      </c>
      <c r="M469" s="18">
        <v>0</v>
      </c>
      <c r="N469" s="18">
        <v>24000</v>
      </c>
    </row>
    <row r="470" spans="1:14">
      <c r="A470" s="4" t="s">
        <v>3182</v>
      </c>
      <c r="B470" s="5" t="s">
        <v>3193</v>
      </c>
      <c r="C470" s="6" t="s">
        <v>1751</v>
      </c>
      <c r="D470" s="6" t="s">
        <v>135</v>
      </c>
      <c r="E470" s="6">
        <v>25795206</v>
      </c>
      <c r="F470" s="18">
        <v>22314.05</v>
      </c>
      <c r="G470" s="18">
        <v>0</v>
      </c>
      <c r="H470" s="6">
        <v>0</v>
      </c>
      <c r="I470" s="6">
        <v>0</v>
      </c>
      <c r="J470" s="6">
        <v>0</v>
      </c>
      <c r="K470" s="6">
        <v>4685.95</v>
      </c>
      <c r="L470" s="6">
        <v>0</v>
      </c>
      <c r="M470" s="18">
        <v>0</v>
      </c>
      <c r="N470" s="18">
        <v>27000</v>
      </c>
    </row>
    <row r="471" spans="1:14">
      <c r="A471" s="4" t="s">
        <v>3182</v>
      </c>
      <c r="B471" s="5" t="s">
        <v>3194</v>
      </c>
      <c r="C471" s="6" t="s">
        <v>3195</v>
      </c>
      <c r="D471" s="6" t="s">
        <v>135</v>
      </c>
      <c r="E471" s="6">
        <v>27490861</v>
      </c>
      <c r="F471" s="18">
        <v>19834.71</v>
      </c>
      <c r="G471" s="18">
        <v>0</v>
      </c>
      <c r="H471" s="6">
        <v>0</v>
      </c>
      <c r="I471" s="6">
        <v>0</v>
      </c>
      <c r="J471" s="6">
        <v>0</v>
      </c>
      <c r="K471" s="6">
        <v>4165.29</v>
      </c>
      <c r="L471" s="6">
        <v>0</v>
      </c>
      <c r="M471" s="18">
        <v>0</v>
      </c>
      <c r="N471" s="18">
        <v>24000</v>
      </c>
    </row>
    <row r="472" spans="1:14">
      <c r="A472" s="4" t="s">
        <v>3182</v>
      </c>
      <c r="B472" s="5" t="s">
        <v>3196</v>
      </c>
      <c r="C472" s="6" t="s">
        <v>3197</v>
      </c>
      <c r="D472" s="6" t="s">
        <v>135</v>
      </c>
      <c r="E472" s="6">
        <v>28233990</v>
      </c>
      <c r="F472" s="18">
        <v>19834.71</v>
      </c>
      <c r="G472" s="18">
        <v>0</v>
      </c>
      <c r="H472" s="6">
        <v>0</v>
      </c>
      <c r="I472" s="6">
        <v>0</v>
      </c>
      <c r="J472" s="6">
        <v>0</v>
      </c>
      <c r="K472" s="6">
        <v>4165.29</v>
      </c>
      <c r="L472" s="6">
        <v>0</v>
      </c>
      <c r="M472" s="18">
        <v>0</v>
      </c>
      <c r="N472" s="18">
        <v>24000</v>
      </c>
    </row>
    <row r="473" spans="1:14">
      <c r="A473" s="4" t="s">
        <v>3182</v>
      </c>
      <c r="B473" s="5" t="s">
        <v>3198</v>
      </c>
      <c r="C473" s="6" t="s">
        <v>3197</v>
      </c>
      <c r="D473" s="6" t="s">
        <v>135</v>
      </c>
      <c r="E473" s="6">
        <v>28233990</v>
      </c>
      <c r="F473" s="18">
        <v>19834.71</v>
      </c>
      <c r="G473" s="18">
        <v>0</v>
      </c>
      <c r="H473" s="6">
        <v>0</v>
      </c>
      <c r="I473" s="6">
        <v>0</v>
      </c>
      <c r="J473" s="6">
        <v>0</v>
      </c>
      <c r="K473" s="6">
        <v>4165.29</v>
      </c>
      <c r="L473" s="6">
        <v>0</v>
      </c>
      <c r="M473" s="18">
        <v>0</v>
      </c>
      <c r="N473" s="18">
        <v>24000</v>
      </c>
    </row>
    <row r="474" spans="1:14">
      <c r="A474" s="4" t="s">
        <v>3182</v>
      </c>
      <c r="B474" s="5" t="s">
        <v>3199</v>
      </c>
      <c r="C474" s="6" t="s">
        <v>453</v>
      </c>
      <c r="D474" s="6" t="s">
        <v>135</v>
      </c>
      <c r="E474" s="6">
        <v>5804480</v>
      </c>
      <c r="F474" s="18">
        <v>16528.920000000002</v>
      </c>
      <c r="G474" s="18">
        <v>0</v>
      </c>
      <c r="H474" s="6">
        <v>0</v>
      </c>
      <c r="I474" s="6">
        <v>0</v>
      </c>
      <c r="J474" s="6">
        <v>0</v>
      </c>
      <c r="K474" s="6">
        <v>3471.08</v>
      </c>
      <c r="L474" s="6">
        <v>0</v>
      </c>
      <c r="M474" s="18">
        <v>0</v>
      </c>
      <c r="N474" s="18">
        <v>20000</v>
      </c>
    </row>
    <row r="475" spans="1:14">
      <c r="A475" s="4" t="s">
        <v>3182</v>
      </c>
      <c r="B475" s="5" t="s">
        <v>3200</v>
      </c>
      <c r="C475" s="6" t="s">
        <v>3201</v>
      </c>
      <c r="D475" s="6" t="s">
        <v>135</v>
      </c>
      <c r="E475" s="6">
        <v>25315045</v>
      </c>
      <c r="F475" s="18">
        <v>10661.16</v>
      </c>
      <c r="G475" s="18">
        <v>0</v>
      </c>
      <c r="H475" s="6">
        <v>0</v>
      </c>
      <c r="I475" s="6">
        <v>0</v>
      </c>
      <c r="J475" s="6">
        <v>0</v>
      </c>
      <c r="K475" s="6">
        <v>2238.84</v>
      </c>
      <c r="L475" s="6">
        <v>0</v>
      </c>
      <c r="M475" s="18">
        <v>0</v>
      </c>
      <c r="N475" s="18">
        <v>12900</v>
      </c>
    </row>
    <row r="476" spans="1:14">
      <c r="A476" s="4" t="s">
        <v>3202</v>
      </c>
      <c r="B476" s="5" t="s">
        <v>3224</v>
      </c>
      <c r="C476" s="6" t="s">
        <v>369</v>
      </c>
      <c r="D476" s="6" t="s">
        <v>135</v>
      </c>
      <c r="E476" s="6">
        <v>56980</v>
      </c>
      <c r="F476" s="18">
        <v>73884.31</v>
      </c>
      <c r="G476" s="18">
        <v>0</v>
      </c>
      <c r="H476" s="6">
        <v>0</v>
      </c>
      <c r="I476" s="6">
        <v>0</v>
      </c>
      <c r="J476" s="6">
        <v>0</v>
      </c>
      <c r="K476" s="6">
        <v>15515.69</v>
      </c>
      <c r="L476" s="6">
        <v>0</v>
      </c>
      <c r="M476" s="18">
        <v>0</v>
      </c>
      <c r="N476" s="18">
        <v>89400</v>
      </c>
    </row>
    <row r="477" spans="1:14">
      <c r="A477" s="4" t="s">
        <v>3202</v>
      </c>
      <c r="B477" s="5" t="s">
        <v>3225</v>
      </c>
      <c r="C477" s="6" t="s">
        <v>369</v>
      </c>
      <c r="D477" s="6" t="s">
        <v>135</v>
      </c>
      <c r="E477" s="6">
        <v>56980</v>
      </c>
      <c r="F477" s="18">
        <v>35041.33</v>
      </c>
      <c r="G477" s="18">
        <v>0</v>
      </c>
      <c r="H477" s="6">
        <v>0</v>
      </c>
      <c r="I477" s="6">
        <v>0</v>
      </c>
      <c r="J477" s="6">
        <v>0</v>
      </c>
      <c r="K477" s="6">
        <v>7358.67</v>
      </c>
      <c r="L477" s="6">
        <v>0</v>
      </c>
      <c r="M477" s="18">
        <v>0</v>
      </c>
      <c r="N477" s="18">
        <v>42400</v>
      </c>
    </row>
    <row r="478" spans="1:14">
      <c r="A478" s="4" t="s">
        <v>3202</v>
      </c>
      <c r="B478" s="5" t="s">
        <v>3226</v>
      </c>
      <c r="C478" s="6" t="s">
        <v>3227</v>
      </c>
      <c r="D478" s="6" t="s">
        <v>135</v>
      </c>
      <c r="E478" s="6">
        <v>6654601</v>
      </c>
      <c r="F478" s="18">
        <v>78347.100000000006</v>
      </c>
      <c r="G478" s="18">
        <v>0</v>
      </c>
      <c r="H478" s="6">
        <v>0</v>
      </c>
      <c r="I478" s="6">
        <v>0</v>
      </c>
      <c r="J478" s="6">
        <v>0</v>
      </c>
      <c r="K478" s="6">
        <v>16452.900000000001</v>
      </c>
      <c r="L478" s="6">
        <v>0</v>
      </c>
      <c r="M478" s="18">
        <v>0</v>
      </c>
      <c r="N478" s="18">
        <v>94800</v>
      </c>
    </row>
    <row r="479" spans="1:14">
      <c r="A479" s="4" t="s">
        <v>3202</v>
      </c>
      <c r="B479" s="5" t="s">
        <v>3228</v>
      </c>
      <c r="C479" s="6" t="s">
        <v>440</v>
      </c>
      <c r="D479" s="6" t="s">
        <v>135</v>
      </c>
      <c r="E479" s="6">
        <v>24448662</v>
      </c>
      <c r="F479" s="18">
        <v>15702.48</v>
      </c>
      <c r="G479" s="18">
        <v>0</v>
      </c>
      <c r="H479" s="6">
        <v>0</v>
      </c>
      <c r="I479" s="6">
        <v>0</v>
      </c>
      <c r="J479" s="6">
        <v>0</v>
      </c>
      <c r="K479" s="6">
        <v>3297.52</v>
      </c>
      <c r="L479" s="6">
        <v>0</v>
      </c>
      <c r="M479" s="18">
        <v>0</v>
      </c>
      <c r="N479" s="18">
        <v>19000</v>
      </c>
    </row>
    <row r="480" spans="1:14">
      <c r="A480" s="4" t="s">
        <v>3229</v>
      </c>
      <c r="B480" s="5" t="s">
        <v>3239</v>
      </c>
      <c r="C480" s="6" t="s">
        <v>455</v>
      </c>
      <c r="D480" s="6" t="s">
        <v>135</v>
      </c>
      <c r="E480" s="6">
        <v>17814995</v>
      </c>
      <c r="F480" s="18">
        <v>15702.48</v>
      </c>
      <c r="G480" s="18">
        <v>0</v>
      </c>
      <c r="H480" s="6">
        <v>0</v>
      </c>
      <c r="I480" s="6">
        <v>0</v>
      </c>
      <c r="J480" s="6">
        <v>0</v>
      </c>
      <c r="K480" s="6">
        <v>3297.52</v>
      </c>
      <c r="L480" s="6">
        <v>0</v>
      </c>
      <c r="M480" s="18">
        <v>0</v>
      </c>
      <c r="N480" s="18">
        <v>19000</v>
      </c>
    </row>
    <row r="481" spans="1:18">
      <c r="A481" s="4" t="s">
        <v>3229</v>
      </c>
      <c r="B481" s="5" t="s">
        <v>3240</v>
      </c>
      <c r="C481" s="6" t="s">
        <v>426</v>
      </c>
      <c r="D481" s="6" t="s">
        <v>135</v>
      </c>
      <c r="E481" s="6">
        <v>24699538</v>
      </c>
      <c r="F481" s="18">
        <v>19834.71</v>
      </c>
      <c r="G481" s="18">
        <v>0</v>
      </c>
      <c r="H481" s="6">
        <v>0</v>
      </c>
      <c r="I481" s="6">
        <v>0</v>
      </c>
      <c r="J481" s="6">
        <v>0</v>
      </c>
      <c r="K481" s="6">
        <v>4165.29</v>
      </c>
      <c r="L481" s="6">
        <v>0</v>
      </c>
      <c r="M481" s="18">
        <v>0</v>
      </c>
      <c r="N481" s="18">
        <v>24000</v>
      </c>
    </row>
    <row r="482" spans="1:18">
      <c r="A482" s="4" t="s">
        <v>2819</v>
      </c>
      <c r="B482" s="5" t="s">
        <v>2836</v>
      </c>
      <c r="C482" s="6" t="s">
        <v>342</v>
      </c>
      <c r="D482" s="6" t="s">
        <v>343</v>
      </c>
      <c r="E482" s="6">
        <v>30590354798</v>
      </c>
      <c r="F482" s="18">
        <v>-12809.92</v>
      </c>
      <c r="G482" s="18">
        <v>0</v>
      </c>
      <c r="H482" s="6">
        <v>0</v>
      </c>
      <c r="I482" s="6">
        <v>0</v>
      </c>
      <c r="J482" s="6">
        <v>0</v>
      </c>
      <c r="K482" s="6">
        <v>-2690.08</v>
      </c>
      <c r="L482" s="6">
        <v>0</v>
      </c>
      <c r="M482" s="18">
        <v>0</v>
      </c>
      <c r="N482" s="18">
        <v>-15500</v>
      </c>
    </row>
    <row r="483" spans="1:18">
      <c r="A483" s="4" t="s">
        <v>2863</v>
      </c>
      <c r="B483" s="5" t="s">
        <v>2881</v>
      </c>
      <c r="C483" s="6" t="s">
        <v>342</v>
      </c>
      <c r="D483" s="6" t="s">
        <v>343</v>
      </c>
      <c r="E483" s="6">
        <v>30590354798</v>
      </c>
      <c r="F483" s="18">
        <v>-16942.150000000001</v>
      </c>
      <c r="G483" s="18">
        <v>0</v>
      </c>
      <c r="H483" s="6">
        <v>0</v>
      </c>
      <c r="I483" s="6">
        <v>0</v>
      </c>
      <c r="J483" s="6">
        <v>0</v>
      </c>
      <c r="K483" s="6">
        <v>-3557.85</v>
      </c>
      <c r="L483" s="6">
        <v>0</v>
      </c>
      <c r="M483" s="18">
        <v>0</v>
      </c>
      <c r="N483" s="18">
        <v>-20500</v>
      </c>
    </row>
    <row r="484" spans="1:18">
      <c r="A484" s="4" t="s">
        <v>2990</v>
      </c>
      <c r="B484" s="5" t="s">
        <v>3018</v>
      </c>
      <c r="C484" s="6" t="s">
        <v>1545</v>
      </c>
      <c r="D484" s="6" t="s">
        <v>343</v>
      </c>
      <c r="E484" s="6">
        <v>30585412453</v>
      </c>
      <c r="F484" s="18">
        <v>-1087603.31</v>
      </c>
      <c r="G484" s="18">
        <v>0</v>
      </c>
      <c r="H484" s="6">
        <v>0</v>
      </c>
      <c r="I484" s="6">
        <v>0</v>
      </c>
      <c r="J484" s="6">
        <v>0</v>
      </c>
      <c r="K484" s="6">
        <v>-228396.69</v>
      </c>
      <c r="L484" s="6">
        <v>0</v>
      </c>
      <c r="M484" s="18">
        <v>0</v>
      </c>
      <c r="N484" s="18">
        <v>-1316000</v>
      </c>
    </row>
    <row r="485" spans="1:18">
      <c r="A485" s="4" t="s">
        <v>3117</v>
      </c>
      <c r="B485" s="5" t="s">
        <v>3130</v>
      </c>
      <c r="C485" s="6" t="s">
        <v>342</v>
      </c>
      <c r="D485" s="6" t="s">
        <v>343</v>
      </c>
      <c r="E485" s="6">
        <v>30590354798</v>
      </c>
      <c r="F485" s="18">
        <v>-16942.150000000001</v>
      </c>
      <c r="G485" s="18">
        <v>0</v>
      </c>
      <c r="H485" s="6">
        <v>0</v>
      </c>
      <c r="I485" s="6">
        <v>0</v>
      </c>
      <c r="J485" s="6">
        <v>0</v>
      </c>
      <c r="K485" s="6">
        <v>-3557.85</v>
      </c>
      <c r="L485" s="6">
        <v>0</v>
      </c>
      <c r="M485" s="18">
        <v>0</v>
      </c>
      <c r="N485" s="18">
        <v>-20500</v>
      </c>
    </row>
    <row r="486" spans="1:18">
      <c r="A486" s="4" t="s">
        <v>3182</v>
      </c>
      <c r="B486" s="5" t="s">
        <v>3190</v>
      </c>
      <c r="C486" s="6" t="s">
        <v>342</v>
      </c>
      <c r="D486" s="6" t="s">
        <v>343</v>
      </c>
      <c r="E486" s="6">
        <v>30590354798</v>
      </c>
      <c r="F486" s="18">
        <v>-16942.150000000001</v>
      </c>
      <c r="G486" s="18">
        <v>0</v>
      </c>
      <c r="H486" s="6">
        <v>0</v>
      </c>
      <c r="I486" s="6">
        <v>0</v>
      </c>
      <c r="J486" s="6">
        <v>0</v>
      </c>
      <c r="K486" s="6">
        <v>-3557.85</v>
      </c>
      <c r="L486" s="6">
        <v>0</v>
      </c>
      <c r="M486" s="18">
        <v>0</v>
      </c>
      <c r="N486" s="18">
        <v>-20500</v>
      </c>
    </row>
    <row r="487" spans="1:18">
      <c r="A487" s="4"/>
      <c r="B487" s="5"/>
      <c r="C487" s="6"/>
      <c r="D487" s="6"/>
      <c r="E487" s="6"/>
      <c r="F487" s="142">
        <f>SUM(F420:F486)</f>
        <v>16568625.470000008</v>
      </c>
      <c r="G487" s="142">
        <f t="shared" ref="G487:N487" si="3">SUM(G420:G486)</f>
        <v>92000</v>
      </c>
      <c r="H487" s="142">
        <f t="shared" si="3"/>
        <v>0</v>
      </c>
      <c r="I487" s="142">
        <f t="shared" si="3"/>
        <v>0</v>
      </c>
      <c r="J487" s="142">
        <f t="shared" si="3"/>
        <v>0</v>
      </c>
      <c r="K487" s="142">
        <f t="shared" si="3"/>
        <v>3479411.3500000006</v>
      </c>
      <c r="L487" s="142">
        <f t="shared" si="3"/>
        <v>0</v>
      </c>
      <c r="M487" s="142">
        <f t="shared" si="3"/>
        <v>0</v>
      </c>
      <c r="N487" s="142">
        <f t="shared" si="3"/>
        <v>20140036.82</v>
      </c>
      <c r="R487" s="169"/>
    </row>
    <row r="488" spans="1:18">
      <c r="A488" s="4"/>
      <c r="B488" s="5"/>
      <c r="C488" s="6"/>
      <c r="D488" s="6"/>
      <c r="E488" s="6"/>
      <c r="F488" s="18"/>
      <c r="G488" s="18"/>
      <c r="H488" s="6"/>
      <c r="I488" s="6"/>
      <c r="J488" s="6"/>
      <c r="K488" s="6"/>
      <c r="L488" s="6"/>
      <c r="M488" s="18"/>
      <c r="N488" s="18"/>
    </row>
    <row r="489" spans="1:18">
      <c r="A489" s="19" t="s">
        <v>778</v>
      </c>
      <c r="B489" s="19" t="s">
        <v>779</v>
      </c>
      <c r="C489" s="19" t="s">
        <v>780</v>
      </c>
      <c r="D489" s="19" t="s">
        <v>781</v>
      </c>
      <c r="E489" s="19" t="s">
        <v>782</v>
      </c>
      <c r="F489" s="131">
        <f t="shared" ref="F489:N489" si="4">F487+F418+F80+F25+F7</f>
        <v>75318974.929999992</v>
      </c>
      <c r="G489" s="131">
        <f t="shared" ca="1" si="4"/>
        <v>285292000</v>
      </c>
      <c r="H489" s="131">
        <f t="shared" ca="1" si="4"/>
        <v>0</v>
      </c>
      <c r="I489" s="131">
        <f t="shared" ca="1" si="4"/>
        <v>0</v>
      </c>
      <c r="J489" s="131">
        <f t="shared" ca="1" si="4"/>
        <v>0</v>
      </c>
      <c r="K489" s="131">
        <f t="shared" ca="1" si="4"/>
        <v>24057771823.947403</v>
      </c>
      <c r="L489" s="131">
        <f t="shared" ca="1" si="4"/>
        <v>0</v>
      </c>
      <c r="M489" s="131">
        <f t="shared" ca="1" si="4"/>
        <v>0</v>
      </c>
      <c r="N489" s="131">
        <f t="shared" ca="1" si="4"/>
        <v>138903872384.97696</v>
      </c>
    </row>
    <row r="490" spans="1:18" ht="15.75" thickBot="1"/>
    <row r="491" spans="1:18" ht="15.75" thickBot="1">
      <c r="D491" s="163" t="s">
        <v>1864</v>
      </c>
      <c r="E491" s="159" t="s">
        <v>460</v>
      </c>
      <c r="F491" s="160" t="s">
        <v>3241</v>
      </c>
      <c r="G491" s="160" t="s">
        <v>787</v>
      </c>
      <c r="H491" s="161"/>
      <c r="I491" s="161"/>
      <c r="J491" s="162" t="s">
        <v>459</v>
      </c>
    </row>
    <row r="492" spans="1:18">
      <c r="D492" s="157" t="s">
        <v>783</v>
      </c>
      <c r="E492" s="147">
        <f>F7+F25+F80</f>
        <v>52037911.700000003</v>
      </c>
      <c r="F492" s="144"/>
      <c r="G492" s="149">
        <f>E492*21/100</f>
        <v>10927961.457</v>
      </c>
      <c r="H492" s="143"/>
      <c r="I492" s="143"/>
      <c r="J492" s="150">
        <f>E492+G492</f>
        <v>62965873.157000005</v>
      </c>
    </row>
    <row r="493" spans="1:18" ht="15.75" thickBot="1">
      <c r="D493" s="158" t="s">
        <v>462</v>
      </c>
      <c r="E493" s="148">
        <f>F487+F418</f>
        <v>23281063.229999993</v>
      </c>
      <c r="F493" s="145">
        <v>92000</v>
      </c>
      <c r="G493" s="152">
        <f>E493*21/100</f>
        <v>4889023.2782999985</v>
      </c>
      <c r="J493" s="151">
        <f>E493+G493</f>
        <v>28170086.508299991</v>
      </c>
    </row>
    <row r="494" spans="1:18" ht="15.75" thickBot="1">
      <c r="D494" s="146" t="s">
        <v>459</v>
      </c>
      <c r="E494" s="153">
        <f>E493+E492</f>
        <v>75318974.929999992</v>
      </c>
      <c r="F494" s="156">
        <f>F493+F492</f>
        <v>92000</v>
      </c>
      <c r="G494" s="154">
        <f>G493+G492</f>
        <v>15816984.735299999</v>
      </c>
      <c r="H494" s="129"/>
      <c r="I494" s="129"/>
      <c r="J494" s="155">
        <f>J493+J492</f>
        <v>91135959.665299997</v>
      </c>
    </row>
  </sheetData>
  <autoFilter ref="A81:N487" xr:uid="{00000000-0001-0000-0700-000000000000}">
    <filterColumn colId="2">
      <filters blank="1">
        <filter val="AGOSTINO MIRIAM"/>
        <filter val="ALEJANDRA SIFFREDI TORRES SANMARCO"/>
        <filter val="Asociacion Civil Museo Historico Enrique Udaondo De Lujan"/>
        <filter val="Asociacion Mutual Sancor Salud"/>
        <filter val="BECERRA SANCHEZ  LISYENERY BEATRIZ"/>
        <filter val="BIANCHI TERESA GERMANA"/>
        <filter val="BUNCHICOFF, MARIA"/>
        <filter val="CALOMITI VIOLETA ADRIANA"/>
        <filter val="CORDOBA CLAUDIA"/>
        <filter val="CORIGLIANO, LORENA ELISA"/>
        <filter val="CRISTIAN GOLDENHORN"/>
        <filter val="CUDERO, SILVINA"/>
        <filter val="Desalvo Miguel Angel"/>
        <filter val="ESCALANTE ELSA LORENA"/>
        <filter val="FERNANDEZ, FACUNDO SANTIAGO"/>
        <filter val="FERRAZIN, CAROLINA ELEONORA INES"/>
        <filter val="GABRIELA VANINA GALLO"/>
        <filter val="Galeno A.R.T. S.A."/>
        <filter val="GARCIA FERNANDEZ, ARIEL"/>
        <filter val="GIGAGLIA, MARIA LUCILA"/>
        <filter val="GOMEZ MARIANO"/>
        <filter val="Herman Patricia"/>
        <filter val="IZZO, ADRIANA"/>
        <filter val="JUAN PABLO MINVIELLE"/>
        <filter val="JUSTO PALACIOS"/>
        <filter val="KARIVALI DESPINA"/>
        <filter val="KURTZ, ANA MARIA"/>
        <filter val="LOCOCO, CARMEN"/>
        <filter val="MALOMO, ENRIQUE DANIEL"/>
        <filter val="MATSUO, MARGARITA NOEMI"/>
        <filter val="MAZZOTTI, SANTINO LUCAS"/>
        <filter val="MIGUEL, EDUARDO ADRIAN"/>
        <filter val="MINERVINI, MARIA DEL CARMEN LILIANA"/>
        <filter val="MONTI, MARIA PAULA"/>
        <filter val="NORMA MABEL EVERSTZ"/>
        <filter val="Obra Social De Docentes Particulares"/>
        <filter val="Obra Social De Los Trabajadores De La Industria Del Gas"/>
        <filter val="Obra Social Del Personal De La Industria Del Plastico"/>
        <filter val="PALACIO ARTURO MARIO"/>
        <filter val="PALMIERI SANTIAGO TOMÁS"/>
        <filter val="PINO, ANA PAULA"/>
        <filter val="RAFAEL LA ROJA"/>
        <filter val="RAQUEL DURAÑONA"/>
        <filter val="ROBERTO, FIDALGO"/>
        <filter val="RUIZ LEONARDA"/>
        <filter val="SAENZ, MAGDALENA."/>
        <filter val="SALLES, ANA MARIA"/>
        <filter val="SALVATIERRA, LUCIANA"/>
        <filter val="SCHELGEL, LUIS ALBERTO"/>
        <filter val="SORIANO, EDGARDO TOMAS"/>
        <filter val="SURIAN ESTELA"/>
        <filter val="TRISTAN SARA ADELA"/>
        <filter val="VARELA ANDREA CECILIA"/>
        <filter val="VILLALÓN VICTOR DAVID"/>
      </filters>
    </filterColumn>
  </autoFilter>
  <sortState xmlns:xlrd2="http://schemas.microsoft.com/office/spreadsheetml/2017/richdata2" ref="A7:N476">
    <sortCondition ref="B7:B476"/>
  </sortState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N433"/>
  <sheetViews>
    <sheetView topLeftCell="A416" workbookViewId="0">
      <selection activeCell="A5" sqref="A5:F431"/>
    </sheetView>
  </sheetViews>
  <sheetFormatPr baseColWidth="10" defaultColWidth="11.5703125" defaultRowHeight="15"/>
  <cols>
    <col min="1" max="1" width="10.28515625" customWidth="1"/>
    <col min="2" max="2" width="18.42578125" bestFit="1" customWidth="1"/>
  </cols>
  <sheetData>
    <row r="1" spans="1:14" ht="18">
      <c r="A1" s="71" t="s">
        <v>3247</v>
      </c>
    </row>
    <row r="2" spans="1:14" ht="15.75">
      <c r="A2" s="72" t="s">
        <v>1</v>
      </c>
      <c r="L2" s="17"/>
    </row>
    <row r="4" spans="1:14">
      <c r="A4" s="73" t="s">
        <v>2</v>
      </c>
      <c r="B4" s="73" t="s">
        <v>3</v>
      </c>
      <c r="C4" s="73" t="s">
        <v>4</v>
      </c>
      <c r="D4" s="73" t="s">
        <v>5</v>
      </c>
      <c r="E4" s="73" t="s">
        <v>6</v>
      </c>
      <c r="F4" s="73" t="s">
        <v>7</v>
      </c>
      <c r="G4" s="73" t="s">
        <v>8</v>
      </c>
      <c r="H4" s="73" t="s">
        <v>9</v>
      </c>
      <c r="I4" s="73" t="s">
        <v>10</v>
      </c>
      <c r="J4" s="73" t="s">
        <v>11</v>
      </c>
      <c r="K4" s="73" t="s">
        <v>12</v>
      </c>
      <c r="L4" s="73" t="s">
        <v>13</v>
      </c>
      <c r="M4" s="73" t="s">
        <v>14</v>
      </c>
      <c r="N4" s="73" t="s">
        <v>15</v>
      </c>
    </row>
    <row r="5" spans="1:14">
      <c r="A5" s="74" t="s">
        <v>3406</v>
      </c>
      <c r="B5" s="75" t="s">
        <v>3408</v>
      </c>
      <c r="C5" s="76" t="s">
        <v>3409</v>
      </c>
      <c r="D5" s="76" t="s">
        <v>19</v>
      </c>
      <c r="E5" s="76">
        <v>30709645656</v>
      </c>
      <c r="F5" s="170">
        <v>33884.300000000003</v>
      </c>
      <c r="G5" s="170">
        <v>0</v>
      </c>
      <c r="H5" s="76">
        <v>0</v>
      </c>
      <c r="I5" s="76">
        <v>0</v>
      </c>
      <c r="J5" s="76">
        <v>0</v>
      </c>
      <c r="K5" s="76">
        <v>7115.7</v>
      </c>
      <c r="L5" s="76">
        <v>0</v>
      </c>
      <c r="M5" s="170">
        <v>0</v>
      </c>
      <c r="N5" s="170">
        <v>41000</v>
      </c>
    </row>
    <row r="6" spans="1:14">
      <c r="A6" s="74" t="s">
        <v>3248</v>
      </c>
      <c r="B6" s="75" t="s">
        <v>3273</v>
      </c>
      <c r="C6" s="76" t="s">
        <v>2634</v>
      </c>
      <c r="D6" s="76" t="s">
        <v>19</v>
      </c>
      <c r="E6" s="76">
        <v>30522428163</v>
      </c>
      <c r="F6" s="170">
        <v>1392413.41</v>
      </c>
      <c r="G6" s="170">
        <v>0</v>
      </c>
      <c r="H6" s="76">
        <v>0</v>
      </c>
      <c r="I6" s="76">
        <v>0</v>
      </c>
      <c r="J6" s="76">
        <v>0</v>
      </c>
      <c r="K6" s="76">
        <v>292406.82</v>
      </c>
      <c r="L6" s="76">
        <v>0</v>
      </c>
      <c r="M6" s="170">
        <v>0</v>
      </c>
      <c r="N6" s="170">
        <v>1684820.23</v>
      </c>
    </row>
    <row r="7" spans="1:14">
      <c r="A7" s="74" t="s">
        <v>3248</v>
      </c>
      <c r="B7" s="75" t="s">
        <v>3274</v>
      </c>
      <c r="C7" s="76" t="s">
        <v>2634</v>
      </c>
      <c r="D7" s="76" t="s">
        <v>19</v>
      </c>
      <c r="E7" s="76">
        <v>30522428163</v>
      </c>
      <c r="F7" s="170">
        <v>9369073.8200000003</v>
      </c>
      <c r="G7" s="170">
        <v>0</v>
      </c>
      <c r="H7" s="76">
        <v>0</v>
      </c>
      <c r="I7" s="76">
        <v>0</v>
      </c>
      <c r="J7" s="76">
        <v>0</v>
      </c>
      <c r="K7" s="76">
        <v>1967505.5</v>
      </c>
      <c r="L7" s="76">
        <v>0</v>
      </c>
      <c r="M7" s="170">
        <v>0</v>
      </c>
      <c r="N7" s="170">
        <v>11336579.32</v>
      </c>
    </row>
    <row r="8" spans="1:14">
      <c r="A8" s="74" t="s">
        <v>3280</v>
      </c>
      <c r="B8" s="75" t="s">
        <v>3304</v>
      </c>
      <c r="C8" s="76" t="s">
        <v>2634</v>
      </c>
      <c r="D8" s="76" t="s">
        <v>19</v>
      </c>
      <c r="E8" s="76">
        <v>30522428163</v>
      </c>
      <c r="F8" s="170">
        <v>1214425.5</v>
      </c>
      <c r="G8" s="170">
        <v>0</v>
      </c>
      <c r="H8" s="76">
        <v>0</v>
      </c>
      <c r="I8" s="76">
        <v>0</v>
      </c>
      <c r="J8" s="76">
        <v>0</v>
      </c>
      <c r="K8" s="76">
        <v>255029.36</v>
      </c>
      <c r="L8" s="76">
        <v>0</v>
      </c>
      <c r="M8" s="170">
        <v>0</v>
      </c>
      <c r="N8" s="170">
        <v>1469454.86</v>
      </c>
    </row>
    <row r="9" spans="1:14">
      <c r="A9" s="74" t="s">
        <v>3308</v>
      </c>
      <c r="B9" s="75" t="s">
        <v>3333</v>
      </c>
      <c r="C9" s="76" t="s">
        <v>36</v>
      </c>
      <c r="D9" s="76" t="s">
        <v>19</v>
      </c>
      <c r="E9" s="76">
        <v>30683032227</v>
      </c>
      <c r="F9" s="170">
        <v>3253703.02</v>
      </c>
      <c r="G9" s="170">
        <v>0</v>
      </c>
      <c r="H9" s="76">
        <v>0</v>
      </c>
      <c r="I9" s="76">
        <v>0</v>
      </c>
      <c r="J9" s="76">
        <v>0</v>
      </c>
      <c r="K9" s="76">
        <v>683277.63</v>
      </c>
      <c r="L9" s="76">
        <v>0</v>
      </c>
      <c r="M9" s="170">
        <v>0</v>
      </c>
      <c r="N9" s="170">
        <v>3936980.65</v>
      </c>
    </row>
    <row r="10" spans="1:14">
      <c r="A10" s="74" t="s">
        <v>3308</v>
      </c>
      <c r="B10" s="75" t="s">
        <v>3334</v>
      </c>
      <c r="C10" s="76" t="s">
        <v>36</v>
      </c>
      <c r="D10" s="76" t="s">
        <v>19</v>
      </c>
      <c r="E10" s="76">
        <v>30683032227</v>
      </c>
      <c r="F10" s="170">
        <v>1407176.55</v>
      </c>
      <c r="G10" s="170">
        <v>0</v>
      </c>
      <c r="H10" s="76">
        <v>0</v>
      </c>
      <c r="I10" s="76">
        <v>0</v>
      </c>
      <c r="J10" s="76">
        <v>0</v>
      </c>
      <c r="K10" s="76">
        <v>295507.08</v>
      </c>
      <c r="L10" s="76">
        <v>0</v>
      </c>
      <c r="M10" s="170">
        <v>0</v>
      </c>
      <c r="N10" s="170">
        <v>1702683.63</v>
      </c>
    </row>
    <row r="11" spans="1:14">
      <c r="A11" s="74" t="s">
        <v>3435</v>
      </c>
      <c r="B11" s="75" t="s">
        <v>3454</v>
      </c>
      <c r="C11" s="76" t="s">
        <v>36</v>
      </c>
      <c r="D11" s="76" t="s">
        <v>19</v>
      </c>
      <c r="E11" s="76">
        <v>30683032227</v>
      </c>
      <c r="F11" s="170">
        <v>6407000</v>
      </c>
      <c r="G11" s="170">
        <v>0</v>
      </c>
      <c r="H11" s="76">
        <v>0</v>
      </c>
      <c r="I11" s="76">
        <v>0</v>
      </c>
      <c r="J11" s="76">
        <v>0</v>
      </c>
      <c r="K11" s="76">
        <v>1345470</v>
      </c>
      <c r="L11" s="76">
        <v>0</v>
      </c>
      <c r="M11" s="170">
        <v>0</v>
      </c>
      <c r="N11" s="170">
        <v>7752470</v>
      </c>
    </row>
    <row r="12" spans="1:14">
      <c r="A12" s="74" t="s">
        <v>3435</v>
      </c>
      <c r="B12" s="75" t="s">
        <v>3455</v>
      </c>
      <c r="C12" s="76" t="s">
        <v>36</v>
      </c>
      <c r="D12" s="76" t="s">
        <v>19</v>
      </c>
      <c r="E12" s="76">
        <v>30683032227</v>
      </c>
      <c r="F12" s="170">
        <v>1524875.85</v>
      </c>
      <c r="G12" s="170">
        <v>0</v>
      </c>
      <c r="H12" s="76">
        <v>0</v>
      </c>
      <c r="I12" s="76">
        <v>0</v>
      </c>
      <c r="J12" s="76">
        <v>0</v>
      </c>
      <c r="K12" s="76">
        <v>320223.93</v>
      </c>
      <c r="L12" s="76">
        <v>0</v>
      </c>
      <c r="M12" s="170">
        <v>0</v>
      </c>
      <c r="N12" s="170">
        <v>1845099.78</v>
      </c>
    </row>
    <row r="13" spans="1:14">
      <c r="A13" s="74" t="s">
        <v>3470</v>
      </c>
      <c r="B13" s="75" t="s">
        <v>3486</v>
      </c>
      <c r="C13" s="76" t="s">
        <v>2634</v>
      </c>
      <c r="D13" s="76" t="s">
        <v>19</v>
      </c>
      <c r="E13" s="76">
        <v>30522428163</v>
      </c>
      <c r="F13" s="170">
        <v>1815702.48</v>
      </c>
      <c r="G13" s="170">
        <v>0</v>
      </c>
      <c r="H13" s="76">
        <v>0</v>
      </c>
      <c r="I13" s="76">
        <v>0</v>
      </c>
      <c r="J13" s="76">
        <v>0</v>
      </c>
      <c r="K13" s="76">
        <v>381297.51</v>
      </c>
      <c r="L13" s="76">
        <v>0</v>
      </c>
      <c r="M13" s="170">
        <v>0</v>
      </c>
      <c r="N13" s="170">
        <v>2196999.9900000002</v>
      </c>
    </row>
    <row r="14" spans="1:14">
      <c r="A14" s="74" t="s">
        <v>3493</v>
      </c>
      <c r="B14" s="75" t="s">
        <v>3504</v>
      </c>
      <c r="C14" s="76" t="s">
        <v>2634</v>
      </c>
      <c r="D14" s="76" t="s">
        <v>19</v>
      </c>
      <c r="E14" s="76">
        <v>30522428163</v>
      </c>
      <c r="F14" s="170">
        <v>3311157.02</v>
      </c>
      <c r="G14" s="170">
        <v>0</v>
      </c>
      <c r="H14" s="76">
        <v>0</v>
      </c>
      <c r="I14" s="76">
        <v>0</v>
      </c>
      <c r="J14" s="76">
        <v>0</v>
      </c>
      <c r="K14" s="76">
        <v>695342.98</v>
      </c>
      <c r="L14" s="76">
        <v>0</v>
      </c>
      <c r="M14" s="170">
        <v>0</v>
      </c>
      <c r="N14" s="170">
        <v>4006500</v>
      </c>
    </row>
    <row r="15" spans="1:14">
      <c r="A15" s="74" t="s">
        <v>3700</v>
      </c>
      <c r="B15" s="75" t="s">
        <v>3716</v>
      </c>
      <c r="C15" s="76" t="s">
        <v>2634</v>
      </c>
      <c r="D15" s="76" t="s">
        <v>19</v>
      </c>
      <c r="E15" s="76">
        <v>30522428163</v>
      </c>
      <c r="F15" s="170">
        <v>-97578.07</v>
      </c>
      <c r="G15" s="170">
        <v>0</v>
      </c>
      <c r="H15" s="76">
        <v>0</v>
      </c>
      <c r="I15" s="76">
        <v>0</v>
      </c>
      <c r="J15" s="76">
        <v>0</v>
      </c>
      <c r="K15" s="76">
        <v>-20491.39</v>
      </c>
      <c r="L15" s="76">
        <v>0</v>
      </c>
      <c r="M15" s="170">
        <v>0</v>
      </c>
      <c r="N15" s="170">
        <v>-118069.46</v>
      </c>
    </row>
    <row r="16" spans="1:14">
      <c r="A16" s="74" t="s">
        <v>3700</v>
      </c>
      <c r="B16" s="75" t="s">
        <v>3717</v>
      </c>
      <c r="C16" s="76" t="s">
        <v>2634</v>
      </c>
      <c r="D16" s="76" t="s">
        <v>19</v>
      </c>
      <c r="E16" s="76">
        <v>30522428163</v>
      </c>
      <c r="F16" s="170">
        <v>-2783.55</v>
      </c>
      <c r="G16" s="170">
        <v>0</v>
      </c>
      <c r="H16" s="76">
        <v>0</v>
      </c>
      <c r="I16" s="76">
        <v>0</v>
      </c>
      <c r="J16" s="76">
        <v>0</v>
      </c>
      <c r="K16" s="76">
        <v>-584.55000000000007</v>
      </c>
      <c r="L16" s="76">
        <v>0</v>
      </c>
      <c r="M16" s="170">
        <v>0</v>
      </c>
      <c r="N16" s="170">
        <v>-3368.1</v>
      </c>
    </row>
    <row r="17" spans="1:14">
      <c r="A17" s="74" t="s">
        <v>3700</v>
      </c>
      <c r="B17" s="75" t="s">
        <v>3718</v>
      </c>
      <c r="C17" s="76" t="s">
        <v>2634</v>
      </c>
      <c r="D17" s="76" t="s">
        <v>19</v>
      </c>
      <c r="E17" s="76">
        <v>30522428163</v>
      </c>
      <c r="F17" s="170">
        <v>-58635.15</v>
      </c>
      <c r="G17" s="170">
        <v>0</v>
      </c>
      <c r="H17" s="76">
        <v>0</v>
      </c>
      <c r="I17" s="76">
        <v>0</v>
      </c>
      <c r="J17" s="76">
        <v>0</v>
      </c>
      <c r="K17" s="76">
        <v>-12313.38</v>
      </c>
      <c r="L17" s="76">
        <v>0</v>
      </c>
      <c r="M17" s="170">
        <v>0</v>
      </c>
      <c r="N17" s="170">
        <v>-70948.53</v>
      </c>
    </row>
    <row r="18" spans="1:14">
      <c r="A18" s="74" t="s">
        <v>3700</v>
      </c>
      <c r="B18" s="75" t="s">
        <v>3719</v>
      </c>
      <c r="C18" s="76" t="s">
        <v>2634</v>
      </c>
      <c r="D18" s="76" t="s">
        <v>19</v>
      </c>
      <c r="E18" s="76">
        <v>30522428163</v>
      </c>
      <c r="F18" s="170">
        <v>-15873.53</v>
      </c>
      <c r="G18" s="170">
        <v>0</v>
      </c>
      <c r="H18" s="76">
        <v>0</v>
      </c>
      <c r="I18" s="76">
        <v>0</v>
      </c>
      <c r="J18" s="76">
        <v>0</v>
      </c>
      <c r="K18" s="76">
        <v>-3333.44</v>
      </c>
      <c r="L18" s="76">
        <v>0</v>
      </c>
      <c r="M18" s="170">
        <v>0</v>
      </c>
      <c r="N18" s="170">
        <v>-19206.97</v>
      </c>
    </row>
    <row r="19" spans="1:14">
      <c r="A19" s="74" t="s">
        <v>3700</v>
      </c>
      <c r="B19" s="75" t="s">
        <v>3720</v>
      </c>
      <c r="C19" s="76" t="s">
        <v>2634</v>
      </c>
      <c r="D19" s="76" t="s">
        <v>19</v>
      </c>
      <c r="E19" s="76">
        <v>30522428163</v>
      </c>
      <c r="F19" s="170">
        <v>-102275.32</v>
      </c>
      <c r="G19" s="170">
        <v>0</v>
      </c>
      <c r="H19" s="76">
        <v>0</v>
      </c>
      <c r="I19" s="76">
        <v>0</v>
      </c>
      <c r="J19" s="76">
        <v>0</v>
      </c>
      <c r="K19" s="76">
        <v>-21477.82</v>
      </c>
      <c r="L19" s="76">
        <v>0</v>
      </c>
      <c r="M19" s="170">
        <v>0</v>
      </c>
      <c r="N19" s="170">
        <v>-123753.14</v>
      </c>
    </row>
    <row r="20" spans="1:14">
      <c r="A20" s="74" t="s">
        <v>3248</v>
      </c>
      <c r="B20" s="75" t="s">
        <v>3275</v>
      </c>
      <c r="C20" s="76" t="s">
        <v>2634</v>
      </c>
      <c r="D20" s="76" t="s">
        <v>19</v>
      </c>
      <c r="E20" s="76">
        <v>30522428163</v>
      </c>
      <c r="F20" s="170">
        <v>326452.56</v>
      </c>
      <c r="G20" s="170">
        <v>0</v>
      </c>
      <c r="H20" s="76">
        <v>0</v>
      </c>
      <c r="I20" s="76">
        <v>0</v>
      </c>
      <c r="J20" s="76">
        <v>0</v>
      </c>
      <c r="K20" s="76">
        <v>68555.040000000008</v>
      </c>
      <c r="L20" s="76">
        <v>0</v>
      </c>
      <c r="M20" s="170">
        <v>0</v>
      </c>
      <c r="N20" s="170">
        <v>395007.6</v>
      </c>
    </row>
    <row r="21" spans="1:14">
      <c r="A21" s="74" t="s">
        <v>3248</v>
      </c>
      <c r="B21" s="75" t="s">
        <v>3276</v>
      </c>
      <c r="C21" s="76" t="s">
        <v>73</v>
      </c>
      <c r="D21" s="76" t="s">
        <v>19</v>
      </c>
      <c r="E21" s="76">
        <v>30715186655</v>
      </c>
      <c r="F21" s="170">
        <v>470719.01</v>
      </c>
      <c r="G21" s="170">
        <v>0</v>
      </c>
      <c r="H21" s="76">
        <v>0</v>
      </c>
      <c r="I21" s="76">
        <v>0</v>
      </c>
      <c r="J21" s="76">
        <v>0</v>
      </c>
      <c r="K21" s="76">
        <v>98850.99</v>
      </c>
      <c r="L21" s="76">
        <v>0</v>
      </c>
      <c r="M21" s="170">
        <v>0</v>
      </c>
      <c r="N21" s="170">
        <v>569570</v>
      </c>
    </row>
    <row r="22" spans="1:14">
      <c r="A22" s="74" t="s">
        <v>3248</v>
      </c>
      <c r="B22" s="75" t="s">
        <v>3277</v>
      </c>
      <c r="C22" s="76" t="s">
        <v>67</v>
      </c>
      <c r="D22" s="76" t="s">
        <v>19</v>
      </c>
      <c r="E22" s="76">
        <v>30710538014</v>
      </c>
      <c r="F22" s="170">
        <v>402297.52</v>
      </c>
      <c r="G22" s="170">
        <v>0</v>
      </c>
      <c r="H22" s="76">
        <v>0</v>
      </c>
      <c r="I22" s="76">
        <v>0</v>
      </c>
      <c r="J22" s="76">
        <v>0</v>
      </c>
      <c r="K22" s="76">
        <v>84482.48</v>
      </c>
      <c r="L22" s="76">
        <v>0</v>
      </c>
      <c r="M22" s="170">
        <v>0</v>
      </c>
      <c r="N22" s="170">
        <v>486780</v>
      </c>
    </row>
    <row r="23" spans="1:14">
      <c r="A23" s="74" t="s">
        <v>3280</v>
      </c>
      <c r="B23" s="75" t="s">
        <v>3305</v>
      </c>
      <c r="C23" s="76" t="s">
        <v>1216</v>
      </c>
      <c r="D23" s="76" t="s">
        <v>19</v>
      </c>
      <c r="E23" s="76">
        <v>30590412631</v>
      </c>
      <c r="F23" s="170">
        <v>452892.56</v>
      </c>
      <c r="G23" s="170">
        <v>0</v>
      </c>
      <c r="H23" s="76">
        <v>0</v>
      </c>
      <c r="I23" s="76">
        <v>0</v>
      </c>
      <c r="J23" s="76">
        <v>0</v>
      </c>
      <c r="K23" s="76">
        <v>95107.44</v>
      </c>
      <c r="L23" s="76">
        <v>0</v>
      </c>
      <c r="M23" s="170">
        <v>0</v>
      </c>
      <c r="N23" s="170">
        <v>548000</v>
      </c>
    </row>
    <row r="24" spans="1:14">
      <c r="A24" s="74" t="s">
        <v>3340</v>
      </c>
      <c r="B24" s="75" t="s">
        <v>3370</v>
      </c>
      <c r="C24" s="76" t="s">
        <v>3371</v>
      </c>
      <c r="D24" s="76" t="s">
        <v>19</v>
      </c>
      <c r="E24" s="76">
        <v>33715895639</v>
      </c>
      <c r="F24" s="170">
        <v>26446.28</v>
      </c>
      <c r="G24" s="170">
        <v>0</v>
      </c>
      <c r="H24" s="76">
        <v>0</v>
      </c>
      <c r="I24" s="76">
        <v>0</v>
      </c>
      <c r="J24" s="76">
        <v>0</v>
      </c>
      <c r="K24" s="76">
        <v>5553.72</v>
      </c>
      <c r="L24" s="76">
        <v>0</v>
      </c>
      <c r="M24" s="170">
        <v>0</v>
      </c>
      <c r="N24" s="170">
        <v>32000</v>
      </c>
    </row>
    <row r="25" spans="1:14">
      <c r="A25" s="74" t="s">
        <v>3340</v>
      </c>
      <c r="B25" s="75" t="s">
        <v>3372</v>
      </c>
      <c r="C25" s="76" t="s">
        <v>88</v>
      </c>
      <c r="D25" s="76" t="s">
        <v>19</v>
      </c>
      <c r="E25" s="76">
        <v>30711244383</v>
      </c>
      <c r="F25" s="170">
        <v>96431.74</v>
      </c>
      <c r="G25" s="170">
        <v>0</v>
      </c>
      <c r="H25" s="76">
        <v>0</v>
      </c>
      <c r="I25" s="76">
        <v>0</v>
      </c>
      <c r="J25" s="76">
        <v>0</v>
      </c>
      <c r="K25" s="76">
        <v>20250.670000000002</v>
      </c>
      <c r="L25" s="76">
        <v>0</v>
      </c>
      <c r="M25" s="170">
        <v>0</v>
      </c>
      <c r="N25" s="170">
        <v>116682.41</v>
      </c>
    </row>
    <row r="26" spans="1:14">
      <c r="A26" s="74" t="s">
        <v>3340</v>
      </c>
      <c r="B26" s="75" t="s">
        <v>3373</v>
      </c>
      <c r="C26" s="76" t="s">
        <v>3374</v>
      </c>
      <c r="D26" s="76" t="s">
        <v>19</v>
      </c>
      <c r="E26" s="76">
        <v>30645337979</v>
      </c>
      <c r="F26" s="170">
        <v>121245.78</v>
      </c>
      <c r="G26" s="170">
        <v>0</v>
      </c>
      <c r="H26" s="76">
        <v>0</v>
      </c>
      <c r="I26" s="76">
        <v>0</v>
      </c>
      <c r="J26" s="76">
        <v>0</v>
      </c>
      <c r="K26" s="76">
        <v>25461.61</v>
      </c>
      <c r="L26" s="76">
        <v>0</v>
      </c>
      <c r="M26" s="170">
        <v>0</v>
      </c>
      <c r="N26" s="170">
        <v>146707.39000000001</v>
      </c>
    </row>
    <row r="27" spans="1:14">
      <c r="A27" s="74" t="s">
        <v>3376</v>
      </c>
      <c r="B27" s="75" t="s">
        <v>3399</v>
      </c>
      <c r="C27" s="76" t="s">
        <v>120</v>
      </c>
      <c r="D27" s="76" t="s">
        <v>19</v>
      </c>
      <c r="E27" s="76">
        <v>27182477368</v>
      </c>
      <c r="F27" s="170">
        <v>19834.71</v>
      </c>
      <c r="G27" s="170">
        <v>0</v>
      </c>
      <c r="H27" s="76">
        <v>0</v>
      </c>
      <c r="I27" s="76">
        <v>0</v>
      </c>
      <c r="J27" s="76">
        <v>0</v>
      </c>
      <c r="K27" s="76">
        <v>4165.29</v>
      </c>
      <c r="L27" s="76">
        <v>0</v>
      </c>
      <c r="M27" s="170">
        <v>0</v>
      </c>
      <c r="N27" s="170">
        <v>24000</v>
      </c>
    </row>
    <row r="28" spans="1:14">
      <c r="A28" s="74" t="s">
        <v>3376</v>
      </c>
      <c r="B28" s="75" t="s">
        <v>3400</v>
      </c>
      <c r="C28" s="76" t="s">
        <v>1694</v>
      </c>
      <c r="D28" s="76" t="s">
        <v>19</v>
      </c>
      <c r="E28" s="76">
        <v>30604958640</v>
      </c>
      <c r="F28" s="170">
        <v>370734.07</v>
      </c>
      <c r="G28" s="170">
        <v>0</v>
      </c>
      <c r="H28" s="76">
        <v>0</v>
      </c>
      <c r="I28" s="76">
        <v>0</v>
      </c>
      <c r="J28" s="76">
        <v>0</v>
      </c>
      <c r="K28" s="76">
        <v>77854.150000000009</v>
      </c>
      <c r="L28" s="76">
        <v>0</v>
      </c>
      <c r="M28" s="170">
        <v>0</v>
      </c>
      <c r="N28" s="170">
        <v>448588.22</v>
      </c>
    </row>
    <row r="29" spans="1:14">
      <c r="A29" s="74" t="s">
        <v>3376</v>
      </c>
      <c r="B29" s="75" t="s">
        <v>3401</v>
      </c>
      <c r="C29" s="76" t="s">
        <v>1694</v>
      </c>
      <c r="D29" s="76" t="s">
        <v>19</v>
      </c>
      <c r="E29" s="76">
        <v>30604958640</v>
      </c>
      <c r="F29" s="170">
        <v>36072</v>
      </c>
      <c r="G29" s="170">
        <v>0</v>
      </c>
      <c r="H29" s="76">
        <v>0</v>
      </c>
      <c r="I29" s="76">
        <v>0</v>
      </c>
      <c r="J29" s="76">
        <v>0</v>
      </c>
      <c r="K29" s="76">
        <v>7575.12</v>
      </c>
      <c r="L29" s="76">
        <v>0</v>
      </c>
      <c r="M29" s="170">
        <v>0</v>
      </c>
      <c r="N29" s="170">
        <v>43647.12</v>
      </c>
    </row>
    <row r="30" spans="1:14">
      <c r="A30" s="74" t="s">
        <v>3376</v>
      </c>
      <c r="B30" s="75" t="s">
        <v>3402</v>
      </c>
      <c r="C30" s="76" t="s">
        <v>1694</v>
      </c>
      <c r="D30" s="76" t="s">
        <v>19</v>
      </c>
      <c r="E30" s="76">
        <v>30604958640</v>
      </c>
      <c r="F30" s="170">
        <v>370734.07</v>
      </c>
      <c r="G30" s="170">
        <v>0</v>
      </c>
      <c r="H30" s="76">
        <v>0</v>
      </c>
      <c r="I30" s="76">
        <v>0</v>
      </c>
      <c r="J30" s="76">
        <v>0</v>
      </c>
      <c r="K30" s="76">
        <v>77854.150000000009</v>
      </c>
      <c r="L30" s="76">
        <v>0</v>
      </c>
      <c r="M30" s="170">
        <v>0</v>
      </c>
      <c r="N30" s="170">
        <v>448588.22</v>
      </c>
    </row>
    <row r="31" spans="1:14">
      <c r="A31" s="74" t="s">
        <v>3376</v>
      </c>
      <c r="B31" s="75" t="s">
        <v>3403</v>
      </c>
      <c r="C31" s="76" t="s">
        <v>92</v>
      </c>
      <c r="D31" s="76" t="s">
        <v>19</v>
      </c>
      <c r="E31" s="76">
        <v>30709016012</v>
      </c>
      <c r="F31" s="170">
        <v>150420.39000000001</v>
      </c>
      <c r="G31" s="170">
        <v>0</v>
      </c>
      <c r="H31" s="76">
        <v>0</v>
      </c>
      <c r="I31" s="76">
        <v>0</v>
      </c>
      <c r="J31" s="76">
        <v>0</v>
      </c>
      <c r="K31" s="76">
        <v>31588.280000000002</v>
      </c>
      <c r="L31" s="76">
        <v>0</v>
      </c>
      <c r="M31" s="170">
        <v>0</v>
      </c>
      <c r="N31" s="170">
        <v>182008.67</v>
      </c>
    </row>
    <row r="32" spans="1:14">
      <c r="A32" s="74" t="s">
        <v>3376</v>
      </c>
      <c r="B32" s="75" t="s">
        <v>3404</v>
      </c>
      <c r="C32" s="76" t="s">
        <v>92</v>
      </c>
      <c r="D32" s="76" t="s">
        <v>19</v>
      </c>
      <c r="E32" s="76">
        <v>30709016012</v>
      </c>
      <c r="F32" s="170">
        <v>298958.71000000002</v>
      </c>
      <c r="G32" s="170">
        <v>0</v>
      </c>
      <c r="H32" s="76">
        <v>0</v>
      </c>
      <c r="I32" s="76">
        <v>0</v>
      </c>
      <c r="J32" s="76">
        <v>0</v>
      </c>
      <c r="K32" s="76">
        <v>62781.32</v>
      </c>
      <c r="L32" s="76">
        <v>0</v>
      </c>
      <c r="M32" s="170">
        <v>0</v>
      </c>
      <c r="N32" s="170">
        <v>361740.03</v>
      </c>
    </row>
    <row r="33" spans="1:14">
      <c r="A33" s="74" t="s">
        <v>3406</v>
      </c>
      <c r="B33" s="75" t="s">
        <v>3429</v>
      </c>
      <c r="C33" s="76" t="s">
        <v>45</v>
      </c>
      <c r="D33" s="76" t="s">
        <v>19</v>
      </c>
      <c r="E33" s="76">
        <v>30608716390</v>
      </c>
      <c r="F33" s="170">
        <v>14388.43</v>
      </c>
      <c r="G33" s="170">
        <v>0</v>
      </c>
      <c r="H33" s="76">
        <v>0</v>
      </c>
      <c r="I33" s="76">
        <v>0</v>
      </c>
      <c r="J33" s="76">
        <v>0</v>
      </c>
      <c r="K33" s="76">
        <v>3021.57</v>
      </c>
      <c r="L33" s="76">
        <v>0</v>
      </c>
      <c r="M33" s="170">
        <v>0</v>
      </c>
      <c r="N33" s="170">
        <v>17410</v>
      </c>
    </row>
    <row r="34" spans="1:14">
      <c r="A34" s="74" t="s">
        <v>3406</v>
      </c>
      <c r="B34" s="75" t="s">
        <v>3430</v>
      </c>
      <c r="C34" s="76" t="s">
        <v>45</v>
      </c>
      <c r="D34" s="76" t="s">
        <v>19</v>
      </c>
      <c r="E34" s="76">
        <v>30608716390</v>
      </c>
      <c r="F34" s="170">
        <v>35165.29</v>
      </c>
      <c r="G34" s="170">
        <v>0</v>
      </c>
      <c r="H34" s="76">
        <v>0</v>
      </c>
      <c r="I34" s="76">
        <v>0</v>
      </c>
      <c r="J34" s="76">
        <v>0</v>
      </c>
      <c r="K34" s="76">
        <v>7384.71</v>
      </c>
      <c r="L34" s="76">
        <v>0</v>
      </c>
      <c r="M34" s="170">
        <v>0</v>
      </c>
      <c r="N34" s="170">
        <v>42550</v>
      </c>
    </row>
    <row r="35" spans="1:14">
      <c r="A35" s="74" t="s">
        <v>3406</v>
      </c>
      <c r="B35" s="75" t="s">
        <v>3431</v>
      </c>
      <c r="C35" s="76" t="s">
        <v>45</v>
      </c>
      <c r="D35" s="76" t="s">
        <v>19</v>
      </c>
      <c r="E35" s="76">
        <v>30608716390</v>
      </c>
      <c r="F35" s="170">
        <v>48148.76</v>
      </c>
      <c r="G35" s="170">
        <v>0</v>
      </c>
      <c r="H35" s="76">
        <v>0</v>
      </c>
      <c r="I35" s="76">
        <v>0</v>
      </c>
      <c r="J35" s="76">
        <v>0</v>
      </c>
      <c r="K35" s="76">
        <v>10111.24</v>
      </c>
      <c r="L35" s="76">
        <v>0</v>
      </c>
      <c r="M35" s="170">
        <v>0</v>
      </c>
      <c r="N35" s="170">
        <v>58260</v>
      </c>
    </row>
    <row r="36" spans="1:14">
      <c r="A36" s="74" t="s">
        <v>3406</v>
      </c>
      <c r="B36" s="75" t="s">
        <v>3432</v>
      </c>
      <c r="C36" s="76" t="s">
        <v>45</v>
      </c>
      <c r="D36" s="76" t="s">
        <v>19</v>
      </c>
      <c r="E36" s="76">
        <v>30608716390</v>
      </c>
      <c r="F36" s="170">
        <v>14388.43</v>
      </c>
      <c r="G36" s="170">
        <v>0</v>
      </c>
      <c r="H36" s="76">
        <v>0</v>
      </c>
      <c r="I36" s="76">
        <v>0</v>
      </c>
      <c r="J36" s="76">
        <v>0</v>
      </c>
      <c r="K36" s="76">
        <v>3021.57</v>
      </c>
      <c r="L36" s="76">
        <v>0</v>
      </c>
      <c r="M36" s="170">
        <v>0</v>
      </c>
      <c r="N36" s="170">
        <v>17410</v>
      </c>
    </row>
    <row r="37" spans="1:14">
      <c r="A37" s="74" t="s">
        <v>3406</v>
      </c>
      <c r="B37" s="75" t="s">
        <v>3433</v>
      </c>
      <c r="C37" s="76" t="s">
        <v>45</v>
      </c>
      <c r="D37" s="76" t="s">
        <v>19</v>
      </c>
      <c r="E37" s="76">
        <v>30608716390</v>
      </c>
      <c r="F37" s="170">
        <v>17314.05</v>
      </c>
      <c r="G37" s="170">
        <v>0</v>
      </c>
      <c r="H37" s="76">
        <v>0</v>
      </c>
      <c r="I37" s="76">
        <v>0</v>
      </c>
      <c r="J37" s="76">
        <v>0</v>
      </c>
      <c r="K37" s="76">
        <v>3635.95</v>
      </c>
      <c r="L37" s="76">
        <v>0</v>
      </c>
      <c r="M37" s="170">
        <v>0</v>
      </c>
      <c r="N37" s="170">
        <v>20950</v>
      </c>
    </row>
    <row r="38" spans="1:14">
      <c r="A38" s="74" t="s">
        <v>3406</v>
      </c>
      <c r="B38" s="75" t="s">
        <v>3434</v>
      </c>
      <c r="C38" s="76" t="s">
        <v>45</v>
      </c>
      <c r="D38" s="76" t="s">
        <v>19</v>
      </c>
      <c r="E38" s="76">
        <v>30608716390</v>
      </c>
      <c r="F38" s="170">
        <v>47413.22</v>
      </c>
      <c r="G38" s="170">
        <v>0</v>
      </c>
      <c r="H38" s="76">
        <v>0</v>
      </c>
      <c r="I38" s="76">
        <v>0</v>
      </c>
      <c r="J38" s="76">
        <v>0</v>
      </c>
      <c r="K38" s="76">
        <v>9956.7800000000007</v>
      </c>
      <c r="L38" s="76">
        <v>0</v>
      </c>
      <c r="M38" s="170">
        <v>0</v>
      </c>
      <c r="N38" s="170">
        <v>57370</v>
      </c>
    </row>
    <row r="39" spans="1:14">
      <c r="A39" s="74" t="s">
        <v>3435</v>
      </c>
      <c r="B39" s="75" t="s">
        <v>3456</v>
      </c>
      <c r="C39" s="76" t="s">
        <v>45</v>
      </c>
      <c r="D39" s="76" t="s">
        <v>19</v>
      </c>
      <c r="E39" s="76">
        <v>30608716390</v>
      </c>
      <c r="F39" s="170">
        <v>12247.93</v>
      </c>
      <c r="G39" s="170">
        <v>0</v>
      </c>
      <c r="H39" s="76">
        <v>0</v>
      </c>
      <c r="I39" s="76">
        <v>0</v>
      </c>
      <c r="J39" s="76">
        <v>0</v>
      </c>
      <c r="K39" s="76">
        <v>2572.0700000000002</v>
      </c>
      <c r="L39" s="76">
        <v>0</v>
      </c>
      <c r="M39" s="170">
        <v>0</v>
      </c>
      <c r="N39" s="170">
        <v>14820</v>
      </c>
    </row>
    <row r="40" spans="1:14">
      <c r="A40" s="74" t="s">
        <v>3435</v>
      </c>
      <c r="B40" s="75" t="s">
        <v>3457</v>
      </c>
      <c r="C40" s="76" t="s">
        <v>45</v>
      </c>
      <c r="D40" s="76" t="s">
        <v>19</v>
      </c>
      <c r="E40" s="76">
        <v>30608716390</v>
      </c>
      <c r="F40" s="170">
        <v>14388.43</v>
      </c>
      <c r="G40" s="170">
        <v>0</v>
      </c>
      <c r="H40" s="76">
        <v>0</v>
      </c>
      <c r="I40" s="76">
        <v>0</v>
      </c>
      <c r="J40" s="76">
        <v>0</v>
      </c>
      <c r="K40" s="76">
        <v>3021.57</v>
      </c>
      <c r="L40" s="76">
        <v>0</v>
      </c>
      <c r="M40" s="170">
        <v>0</v>
      </c>
      <c r="N40" s="170">
        <v>17410</v>
      </c>
    </row>
    <row r="41" spans="1:14">
      <c r="A41" s="74" t="s">
        <v>3435</v>
      </c>
      <c r="B41" s="75" t="s">
        <v>3458</v>
      </c>
      <c r="C41" s="76" t="s">
        <v>45</v>
      </c>
      <c r="D41" s="76" t="s">
        <v>19</v>
      </c>
      <c r="E41" s="76">
        <v>30608716390</v>
      </c>
      <c r="F41" s="170">
        <v>14388.43</v>
      </c>
      <c r="G41" s="170">
        <v>0</v>
      </c>
      <c r="H41" s="76">
        <v>0</v>
      </c>
      <c r="I41" s="76">
        <v>0</v>
      </c>
      <c r="J41" s="76">
        <v>0</v>
      </c>
      <c r="K41" s="76">
        <v>3021.57</v>
      </c>
      <c r="L41" s="76">
        <v>0</v>
      </c>
      <c r="M41" s="170">
        <v>0</v>
      </c>
      <c r="N41" s="170">
        <v>17410</v>
      </c>
    </row>
    <row r="42" spans="1:14">
      <c r="A42" s="74" t="s">
        <v>3435</v>
      </c>
      <c r="B42" s="75" t="s">
        <v>3459</v>
      </c>
      <c r="C42" s="76" t="s">
        <v>45</v>
      </c>
      <c r="D42" s="76" t="s">
        <v>19</v>
      </c>
      <c r="E42" s="76">
        <v>30608716390</v>
      </c>
      <c r="F42" s="170">
        <v>14388.43</v>
      </c>
      <c r="G42" s="170">
        <v>0</v>
      </c>
      <c r="H42" s="76">
        <v>0</v>
      </c>
      <c r="I42" s="76">
        <v>0</v>
      </c>
      <c r="J42" s="76">
        <v>0</v>
      </c>
      <c r="K42" s="76">
        <v>3021.57</v>
      </c>
      <c r="L42" s="76">
        <v>0</v>
      </c>
      <c r="M42" s="170">
        <v>0</v>
      </c>
      <c r="N42" s="170">
        <v>17410</v>
      </c>
    </row>
    <row r="43" spans="1:14">
      <c r="A43" s="74" t="s">
        <v>3435</v>
      </c>
      <c r="B43" s="75" t="s">
        <v>3460</v>
      </c>
      <c r="C43" s="76" t="s">
        <v>45</v>
      </c>
      <c r="D43" s="76" t="s">
        <v>19</v>
      </c>
      <c r="E43" s="76">
        <v>30608716390</v>
      </c>
      <c r="F43" s="170">
        <v>20776.86</v>
      </c>
      <c r="G43" s="170">
        <v>0</v>
      </c>
      <c r="H43" s="76">
        <v>0</v>
      </c>
      <c r="I43" s="76">
        <v>0</v>
      </c>
      <c r="J43" s="76">
        <v>0</v>
      </c>
      <c r="K43" s="76">
        <v>4363.1400000000003</v>
      </c>
      <c r="L43" s="76">
        <v>0</v>
      </c>
      <c r="M43" s="170">
        <v>0</v>
      </c>
      <c r="N43" s="170">
        <v>25140</v>
      </c>
    </row>
    <row r="44" spans="1:14">
      <c r="A44" s="74" t="s">
        <v>3435</v>
      </c>
      <c r="B44" s="75" t="s">
        <v>3461</v>
      </c>
      <c r="C44" s="76" t="s">
        <v>45</v>
      </c>
      <c r="D44" s="76" t="s">
        <v>19</v>
      </c>
      <c r="E44" s="76">
        <v>30608716390</v>
      </c>
      <c r="F44" s="170">
        <v>7194.22</v>
      </c>
      <c r="G44" s="170">
        <v>0</v>
      </c>
      <c r="H44" s="76">
        <v>0</v>
      </c>
      <c r="I44" s="76">
        <v>0</v>
      </c>
      <c r="J44" s="76">
        <v>0</v>
      </c>
      <c r="K44" s="76">
        <v>1510.79</v>
      </c>
      <c r="L44" s="76">
        <v>0</v>
      </c>
      <c r="M44" s="170">
        <v>0</v>
      </c>
      <c r="N44" s="170">
        <v>8705.01</v>
      </c>
    </row>
    <row r="45" spans="1:14">
      <c r="A45" s="74" t="s">
        <v>3435</v>
      </c>
      <c r="B45" s="75" t="s">
        <v>3462</v>
      </c>
      <c r="C45" s="76" t="s">
        <v>84</v>
      </c>
      <c r="D45" s="76" t="s">
        <v>19</v>
      </c>
      <c r="E45" s="76">
        <v>30546771314</v>
      </c>
      <c r="F45" s="170">
        <v>186611.57</v>
      </c>
      <c r="G45" s="170">
        <v>0</v>
      </c>
      <c r="H45" s="76">
        <v>0</v>
      </c>
      <c r="I45" s="76">
        <v>0</v>
      </c>
      <c r="J45" s="76">
        <v>0</v>
      </c>
      <c r="K45" s="76">
        <v>39188.43</v>
      </c>
      <c r="L45" s="76">
        <v>0</v>
      </c>
      <c r="M45" s="170">
        <v>0</v>
      </c>
      <c r="N45" s="170">
        <v>225800</v>
      </c>
    </row>
    <row r="46" spans="1:14">
      <c r="A46" s="74" t="s">
        <v>3435</v>
      </c>
      <c r="B46" s="75" t="s">
        <v>3463</v>
      </c>
      <c r="C46" s="76" t="s">
        <v>1216</v>
      </c>
      <c r="D46" s="76" t="s">
        <v>19</v>
      </c>
      <c r="E46" s="76">
        <v>30590412631</v>
      </c>
      <c r="F46" s="170">
        <v>69834.710000000006</v>
      </c>
      <c r="G46" s="170">
        <v>0</v>
      </c>
      <c r="H46" s="76">
        <v>0</v>
      </c>
      <c r="I46" s="76">
        <v>0</v>
      </c>
      <c r="J46" s="76">
        <v>0</v>
      </c>
      <c r="K46" s="76">
        <v>14665.29</v>
      </c>
      <c r="L46" s="76">
        <v>0</v>
      </c>
      <c r="M46" s="170">
        <v>0</v>
      </c>
      <c r="N46" s="170">
        <v>84500</v>
      </c>
    </row>
    <row r="47" spans="1:14">
      <c r="A47" s="74" t="s">
        <v>3435</v>
      </c>
      <c r="B47" s="75" t="s">
        <v>3464</v>
      </c>
      <c r="C47" s="76" t="s">
        <v>1216</v>
      </c>
      <c r="D47" s="76" t="s">
        <v>19</v>
      </c>
      <c r="E47" s="76">
        <v>30590412631</v>
      </c>
      <c r="F47" s="170">
        <v>86776.86</v>
      </c>
      <c r="G47" s="170">
        <v>0</v>
      </c>
      <c r="H47" s="76">
        <v>0</v>
      </c>
      <c r="I47" s="76">
        <v>0</v>
      </c>
      <c r="J47" s="76">
        <v>0</v>
      </c>
      <c r="K47" s="76">
        <v>18223.14</v>
      </c>
      <c r="L47" s="76">
        <v>0</v>
      </c>
      <c r="M47" s="170">
        <v>0</v>
      </c>
      <c r="N47" s="170">
        <v>105000</v>
      </c>
    </row>
    <row r="48" spans="1:14">
      <c r="A48" s="74" t="s">
        <v>3470</v>
      </c>
      <c r="B48" s="75" t="s">
        <v>3487</v>
      </c>
      <c r="C48" s="76" t="s">
        <v>76</v>
      </c>
      <c r="D48" s="76" t="s">
        <v>19</v>
      </c>
      <c r="E48" s="76">
        <v>30606274161</v>
      </c>
      <c r="F48" s="170">
        <v>278123.97000000003</v>
      </c>
      <c r="G48" s="170">
        <v>0</v>
      </c>
      <c r="H48" s="76">
        <v>0</v>
      </c>
      <c r="I48" s="76">
        <v>0</v>
      </c>
      <c r="J48" s="76">
        <v>0</v>
      </c>
      <c r="K48" s="76">
        <v>58406.03</v>
      </c>
      <c r="L48" s="76">
        <v>0</v>
      </c>
      <c r="M48" s="170">
        <v>0</v>
      </c>
      <c r="N48" s="170">
        <v>336530</v>
      </c>
    </row>
    <row r="49" spans="1:14">
      <c r="A49" s="74" t="s">
        <v>3470</v>
      </c>
      <c r="B49" s="75" t="s">
        <v>3488</v>
      </c>
      <c r="C49" s="76" t="s">
        <v>78</v>
      </c>
      <c r="D49" s="76" t="s">
        <v>19</v>
      </c>
      <c r="E49" s="76">
        <v>30712529721</v>
      </c>
      <c r="F49" s="170">
        <v>44347.11</v>
      </c>
      <c r="G49" s="170">
        <v>0</v>
      </c>
      <c r="H49" s="76">
        <v>0</v>
      </c>
      <c r="I49" s="76">
        <v>0</v>
      </c>
      <c r="J49" s="76">
        <v>0</v>
      </c>
      <c r="K49" s="76">
        <v>9312.89</v>
      </c>
      <c r="L49" s="76">
        <v>0</v>
      </c>
      <c r="M49" s="170">
        <v>0</v>
      </c>
      <c r="N49" s="170">
        <v>53660</v>
      </c>
    </row>
    <row r="50" spans="1:14">
      <c r="A50" s="74" t="s">
        <v>3470</v>
      </c>
      <c r="B50" s="75" t="s">
        <v>3489</v>
      </c>
      <c r="C50" s="76" t="s">
        <v>1981</v>
      </c>
      <c r="D50" s="76" t="s">
        <v>19</v>
      </c>
      <c r="E50" s="76">
        <v>30712136754</v>
      </c>
      <c r="F50" s="170">
        <v>89509.64</v>
      </c>
      <c r="G50" s="170">
        <v>0</v>
      </c>
      <c r="H50" s="76">
        <v>0</v>
      </c>
      <c r="I50" s="76">
        <v>0</v>
      </c>
      <c r="J50" s="76">
        <v>0</v>
      </c>
      <c r="K50" s="76">
        <v>18797.02</v>
      </c>
      <c r="L50" s="76">
        <v>0</v>
      </c>
      <c r="M50" s="170">
        <v>0</v>
      </c>
      <c r="N50" s="170">
        <v>108306.66</v>
      </c>
    </row>
    <row r="51" spans="1:14">
      <c r="A51" s="74" t="s">
        <v>3493</v>
      </c>
      <c r="B51" s="75" t="s">
        <v>3505</v>
      </c>
      <c r="C51" s="76" t="s">
        <v>36</v>
      </c>
      <c r="D51" s="76" t="s">
        <v>19</v>
      </c>
      <c r="E51" s="76">
        <v>30683032227</v>
      </c>
      <c r="F51" s="170">
        <v>370247.93</v>
      </c>
      <c r="G51" s="170">
        <v>0</v>
      </c>
      <c r="H51" s="76">
        <v>0</v>
      </c>
      <c r="I51" s="76">
        <v>0</v>
      </c>
      <c r="J51" s="76">
        <v>0</v>
      </c>
      <c r="K51" s="76">
        <v>77752.070000000007</v>
      </c>
      <c r="L51" s="76">
        <v>0</v>
      </c>
      <c r="M51" s="170">
        <v>0</v>
      </c>
      <c r="N51" s="170">
        <v>448000</v>
      </c>
    </row>
    <row r="52" spans="1:14">
      <c r="A52" s="74" t="s">
        <v>3493</v>
      </c>
      <c r="B52" s="75" t="s">
        <v>3506</v>
      </c>
      <c r="C52" s="76" t="s">
        <v>84</v>
      </c>
      <c r="D52" s="76" t="s">
        <v>19</v>
      </c>
      <c r="E52" s="76">
        <v>30546771314</v>
      </c>
      <c r="F52" s="170">
        <v>51239.67</v>
      </c>
      <c r="G52" s="170">
        <v>0</v>
      </c>
      <c r="H52" s="76">
        <v>0</v>
      </c>
      <c r="I52" s="76">
        <v>0</v>
      </c>
      <c r="J52" s="76">
        <v>0</v>
      </c>
      <c r="K52" s="76">
        <v>10760.34</v>
      </c>
      <c r="L52" s="76">
        <v>0</v>
      </c>
      <c r="M52" s="170">
        <v>0</v>
      </c>
      <c r="N52" s="170">
        <v>62000.01</v>
      </c>
    </row>
    <row r="53" spans="1:14">
      <c r="A53" s="74" t="s">
        <v>3547</v>
      </c>
      <c r="B53" s="75" t="s">
        <v>3577</v>
      </c>
      <c r="C53" s="76" t="s">
        <v>45</v>
      </c>
      <c r="D53" s="76" t="s">
        <v>19</v>
      </c>
      <c r="E53" s="76">
        <v>30608716390</v>
      </c>
      <c r="F53" s="170">
        <v>7194.22</v>
      </c>
      <c r="G53" s="170">
        <v>0</v>
      </c>
      <c r="H53" s="76">
        <v>0</v>
      </c>
      <c r="I53" s="76">
        <v>0</v>
      </c>
      <c r="J53" s="76">
        <v>0</v>
      </c>
      <c r="K53" s="76">
        <v>1510.79</v>
      </c>
      <c r="L53" s="76">
        <v>0</v>
      </c>
      <c r="M53" s="170">
        <v>0</v>
      </c>
      <c r="N53" s="170">
        <v>8705.01</v>
      </c>
    </row>
    <row r="54" spans="1:14">
      <c r="A54" s="74" t="s">
        <v>3547</v>
      </c>
      <c r="B54" s="75" t="s">
        <v>3578</v>
      </c>
      <c r="C54" s="76" t="s">
        <v>45</v>
      </c>
      <c r="D54" s="76" t="s">
        <v>19</v>
      </c>
      <c r="E54" s="76">
        <v>30608716390</v>
      </c>
      <c r="F54" s="170">
        <v>6123.97</v>
      </c>
      <c r="G54" s="170">
        <v>0</v>
      </c>
      <c r="H54" s="76">
        <v>0</v>
      </c>
      <c r="I54" s="76">
        <v>0</v>
      </c>
      <c r="J54" s="76">
        <v>0</v>
      </c>
      <c r="K54" s="76">
        <v>1286.03</v>
      </c>
      <c r="L54" s="76">
        <v>0</v>
      </c>
      <c r="M54" s="170">
        <v>0</v>
      </c>
      <c r="N54" s="170">
        <v>7410</v>
      </c>
    </row>
    <row r="55" spans="1:14">
      <c r="A55" s="74" t="s">
        <v>3583</v>
      </c>
      <c r="B55" s="75" t="s">
        <v>3601</v>
      </c>
      <c r="C55" s="76" t="s">
        <v>80</v>
      </c>
      <c r="D55" s="76" t="s">
        <v>19</v>
      </c>
      <c r="E55" s="76">
        <v>30707612971</v>
      </c>
      <c r="F55" s="170">
        <v>49371.9</v>
      </c>
      <c r="G55" s="170">
        <v>0</v>
      </c>
      <c r="H55" s="76">
        <v>0</v>
      </c>
      <c r="I55" s="76">
        <v>0</v>
      </c>
      <c r="J55" s="76">
        <v>0</v>
      </c>
      <c r="K55" s="76">
        <v>10368.1</v>
      </c>
      <c r="L55" s="76">
        <v>0</v>
      </c>
      <c r="M55" s="170">
        <v>0</v>
      </c>
      <c r="N55" s="170">
        <v>59740</v>
      </c>
    </row>
    <row r="56" spans="1:14">
      <c r="A56" s="74" t="s">
        <v>3583</v>
      </c>
      <c r="B56" s="75" t="s">
        <v>3602</v>
      </c>
      <c r="C56" s="76" t="s">
        <v>2634</v>
      </c>
      <c r="D56" s="76" t="s">
        <v>19</v>
      </c>
      <c r="E56" s="76">
        <v>30522428163</v>
      </c>
      <c r="F56" s="170">
        <v>278512.39</v>
      </c>
      <c r="G56" s="170">
        <v>0</v>
      </c>
      <c r="H56" s="76">
        <v>0</v>
      </c>
      <c r="I56" s="76">
        <v>0</v>
      </c>
      <c r="J56" s="76">
        <v>0</v>
      </c>
      <c r="K56" s="76">
        <v>58487.61</v>
      </c>
      <c r="L56" s="76">
        <v>0</v>
      </c>
      <c r="M56" s="170">
        <v>0</v>
      </c>
      <c r="N56" s="170">
        <v>337000</v>
      </c>
    </row>
    <row r="57" spans="1:14">
      <c r="A57" s="74" t="s">
        <v>3376</v>
      </c>
      <c r="B57" s="75" t="s">
        <v>3398</v>
      </c>
      <c r="C57" s="76" t="s">
        <v>1694</v>
      </c>
      <c r="D57" s="76" t="s">
        <v>19</v>
      </c>
      <c r="E57" s="76">
        <v>30604958640</v>
      </c>
      <c r="F57" s="170">
        <v>-370734.07</v>
      </c>
      <c r="G57" s="170">
        <v>0</v>
      </c>
      <c r="H57" s="76">
        <v>0</v>
      </c>
      <c r="I57" s="76">
        <v>0</v>
      </c>
      <c r="J57" s="76">
        <v>0</v>
      </c>
      <c r="K57" s="76">
        <v>-77854.150000000009</v>
      </c>
      <c r="L57" s="76">
        <v>0</v>
      </c>
      <c r="M57" s="170">
        <v>0</v>
      </c>
      <c r="N57" s="170">
        <v>-448588.22</v>
      </c>
    </row>
    <row r="58" spans="1:14">
      <c r="A58" s="74" t="s">
        <v>3406</v>
      </c>
      <c r="B58" s="75" t="s">
        <v>3428</v>
      </c>
      <c r="C58" s="76" t="s">
        <v>45</v>
      </c>
      <c r="D58" s="76" t="s">
        <v>19</v>
      </c>
      <c r="E58" s="76">
        <v>30608716390</v>
      </c>
      <c r="F58" s="170">
        <v>-14388.43</v>
      </c>
      <c r="G58" s="170">
        <v>0</v>
      </c>
      <c r="H58" s="76">
        <v>0</v>
      </c>
      <c r="I58" s="76">
        <v>0</v>
      </c>
      <c r="J58" s="76">
        <v>0</v>
      </c>
      <c r="K58" s="76">
        <v>-3021.57</v>
      </c>
      <c r="L58" s="76">
        <v>0</v>
      </c>
      <c r="M58" s="170">
        <v>0</v>
      </c>
      <c r="N58" s="170">
        <v>-17410</v>
      </c>
    </row>
    <row r="59" spans="1:14">
      <c r="A59" s="74" t="s">
        <v>3700</v>
      </c>
      <c r="B59" s="75" t="s">
        <v>3721</v>
      </c>
      <c r="C59" s="76" t="s">
        <v>2634</v>
      </c>
      <c r="D59" s="76" t="s">
        <v>19</v>
      </c>
      <c r="E59" s="76">
        <v>30522428163</v>
      </c>
      <c r="F59" s="170">
        <v>-25404.87</v>
      </c>
      <c r="G59" s="170">
        <v>0</v>
      </c>
      <c r="H59" s="76">
        <v>0</v>
      </c>
      <c r="I59" s="76">
        <v>0</v>
      </c>
      <c r="J59" s="76">
        <v>0</v>
      </c>
      <c r="K59" s="76">
        <v>-5335.02</v>
      </c>
      <c r="L59" s="76">
        <v>0</v>
      </c>
      <c r="M59" s="170">
        <v>0</v>
      </c>
      <c r="N59" s="170">
        <v>-30739.89</v>
      </c>
    </row>
    <row r="60" spans="1:14" hidden="1">
      <c r="A60" s="74" t="s">
        <v>3248</v>
      </c>
      <c r="B60" s="75" t="s">
        <v>3249</v>
      </c>
      <c r="C60" s="76" t="s">
        <v>134</v>
      </c>
      <c r="D60" s="76" t="s">
        <v>135</v>
      </c>
      <c r="E60" s="76" t="s">
        <v>136</v>
      </c>
      <c r="F60" s="170">
        <v>8264.4600000000009</v>
      </c>
      <c r="G60" s="170">
        <v>0</v>
      </c>
      <c r="H60" s="76">
        <v>0</v>
      </c>
      <c r="I60" s="76">
        <v>0</v>
      </c>
      <c r="J60" s="76">
        <v>0</v>
      </c>
      <c r="K60" s="76">
        <v>1735.54</v>
      </c>
      <c r="L60" s="76">
        <v>0</v>
      </c>
      <c r="M60" s="170">
        <v>0</v>
      </c>
      <c r="N60" s="170">
        <v>10000</v>
      </c>
    </row>
    <row r="61" spans="1:14" hidden="1">
      <c r="A61" s="74" t="s">
        <v>3248</v>
      </c>
      <c r="B61" s="75" t="s">
        <v>3250</v>
      </c>
      <c r="C61" s="76" t="s">
        <v>134</v>
      </c>
      <c r="D61" s="76" t="s">
        <v>135</v>
      </c>
      <c r="E61" s="76" t="s">
        <v>136</v>
      </c>
      <c r="F61" s="170">
        <v>16363.640000000001</v>
      </c>
      <c r="G61" s="170">
        <v>0</v>
      </c>
      <c r="H61" s="76">
        <v>0</v>
      </c>
      <c r="I61" s="76">
        <v>0</v>
      </c>
      <c r="J61" s="76">
        <v>0</v>
      </c>
      <c r="K61" s="76">
        <v>3436.36</v>
      </c>
      <c r="L61" s="76">
        <v>0</v>
      </c>
      <c r="M61" s="170">
        <v>0</v>
      </c>
      <c r="N61" s="170">
        <v>19800</v>
      </c>
    </row>
    <row r="62" spans="1:14">
      <c r="A62" s="74" t="s">
        <v>3248</v>
      </c>
      <c r="B62" s="75" t="s">
        <v>3251</v>
      </c>
      <c r="C62" s="76" t="s">
        <v>3252</v>
      </c>
      <c r="D62" s="76" t="s">
        <v>135</v>
      </c>
      <c r="E62" s="76">
        <v>4299928</v>
      </c>
      <c r="F62" s="170">
        <v>41322.31</v>
      </c>
      <c r="G62" s="170">
        <v>0</v>
      </c>
      <c r="H62" s="76">
        <v>0</v>
      </c>
      <c r="I62" s="76">
        <v>0</v>
      </c>
      <c r="J62" s="76">
        <v>0</v>
      </c>
      <c r="K62" s="76">
        <v>8677.69</v>
      </c>
      <c r="L62" s="76">
        <v>0</v>
      </c>
      <c r="M62" s="170">
        <v>0</v>
      </c>
      <c r="N62" s="170">
        <v>50000</v>
      </c>
    </row>
    <row r="63" spans="1:14" hidden="1">
      <c r="A63" s="74" t="s">
        <v>3248</v>
      </c>
      <c r="B63" s="75" t="s">
        <v>3253</v>
      </c>
      <c r="C63" s="76" t="s">
        <v>134</v>
      </c>
      <c r="D63" s="76" t="s">
        <v>135</v>
      </c>
      <c r="E63" s="76" t="s">
        <v>136</v>
      </c>
      <c r="F63" s="170">
        <v>10743.8</v>
      </c>
      <c r="G63" s="170">
        <v>0</v>
      </c>
      <c r="H63" s="76">
        <v>0</v>
      </c>
      <c r="I63" s="76">
        <v>0</v>
      </c>
      <c r="J63" s="76">
        <v>0</v>
      </c>
      <c r="K63" s="76">
        <v>2256.2000000000003</v>
      </c>
      <c r="L63" s="76">
        <v>0</v>
      </c>
      <c r="M63" s="170">
        <v>0</v>
      </c>
      <c r="N63" s="170">
        <v>13000</v>
      </c>
    </row>
    <row r="64" spans="1:14" hidden="1">
      <c r="A64" s="74" t="s">
        <v>3248</v>
      </c>
      <c r="B64" s="75" t="s">
        <v>3254</v>
      </c>
      <c r="C64" s="76" t="s">
        <v>134</v>
      </c>
      <c r="D64" s="76" t="s">
        <v>135</v>
      </c>
      <c r="E64" s="76" t="s">
        <v>136</v>
      </c>
      <c r="F64" s="170">
        <v>29338.84</v>
      </c>
      <c r="G64" s="170">
        <v>0</v>
      </c>
      <c r="H64" s="76">
        <v>0</v>
      </c>
      <c r="I64" s="76">
        <v>0</v>
      </c>
      <c r="J64" s="76">
        <v>0</v>
      </c>
      <c r="K64" s="76">
        <v>6161.16</v>
      </c>
      <c r="L64" s="76">
        <v>0</v>
      </c>
      <c r="M64" s="170">
        <v>0</v>
      </c>
      <c r="N64" s="170">
        <v>35500</v>
      </c>
    </row>
    <row r="65" spans="1:14" hidden="1">
      <c r="A65" s="74" t="s">
        <v>3248</v>
      </c>
      <c r="B65" s="75" t="s">
        <v>3255</v>
      </c>
      <c r="C65" s="76" t="s">
        <v>134</v>
      </c>
      <c r="D65" s="76" t="s">
        <v>135</v>
      </c>
      <c r="E65" s="76" t="s">
        <v>136</v>
      </c>
      <c r="F65" s="170">
        <v>24380.17</v>
      </c>
      <c r="G65" s="170">
        <v>0</v>
      </c>
      <c r="H65" s="76">
        <v>0</v>
      </c>
      <c r="I65" s="76">
        <v>0</v>
      </c>
      <c r="J65" s="76">
        <v>0</v>
      </c>
      <c r="K65" s="76">
        <v>5119.83</v>
      </c>
      <c r="L65" s="76">
        <v>0</v>
      </c>
      <c r="M65" s="170">
        <v>0</v>
      </c>
      <c r="N65" s="170">
        <v>29500</v>
      </c>
    </row>
    <row r="66" spans="1:14">
      <c r="A66" s="74" t="s">
        <v>3248</v>
      </c>
      <c r="B66" s="75" t="s">
        <v>3256</v>
      </c>
      <c r="C66" s="76" t="s">
        <v>3257</v>
      </c>
      <c r="D66" s="76" t="s">
        <v>135</v>
      </c>
      <c r="E66" s="76">
        <v>10390061</v>
      </c>
      <c r="F66" s="170">
        <v>29752.07</v>
      </c>
      <c r="G66" s="170">
        <v>0</v>
      </c>
      <c r="H66" s="76">
        <v>0</v>
      </c>
      <c r="I66" s="76">
        <v>0</v>
      </c>
      <c r="J66" s="76">
        <v>0</v>
      </c>
      <c r="K66" s="76">
        <v>6247.93</v>
      </c>
      <c r="L66" s="76">
        <v>0</v>
      </c>
      <c r="M66" s="170">
        <v>0</v>
      </c>
      <c r="N66" s="170">
        <v>36000</v>
      </c>
    </row>
    <row r="67" spans="1:14" hidden="1">
      <c r="A67" s="74" t="s">
        <v>3248</v>
      </c>
      <c r="B67" s="75" t="s">
        <v>3258</v>
      </c>
      <c r="C67" s="76" t="s">
        <v>134</v>
      </c>
      <c r="D67" s="76" t="s">
        <v>135</v>
      </c>
      <c r="E67" s="76" t="s">
        <v>136</v>
      </c>
      <c r="F67" s="170">
        <v>13884.3</v>
      </c>
      <c r="G67" s="170">
        <v>0</v>
      </c>
      <c r="H67" s="76">
        <v>0</v>
      </c>
      <c r="I67" s="76">
        <v>0</v>
      </c>
      <c r="J67" s="76">
        <v>0</v>
      </c>
      <c r="K67" s="76">
        <v>2915.7</v>
      </c>
      <c r="L67" s="76">
        <v>0</v>
      </c>
      <c r="M67" s="170">
        <v>0</v>
      </c>
      <c r="N67" s="170">
        <v>16800</v>
      </c>
    </row>
    <row r="68" spans="1:14" hidden="1">
      <c r="A68" s="74" t="s">
        <v>3248</v>
      </c>
      <c r="B68" s="75" t="s">
        <v>3259</v>
      </c>
      <c r="C68" s="76" t="s">
        <v>134</v>
      </c>
      <c r="D68" s="76" t="s">
        <v>135</v>
      </c>
      <c r="E68" s="76" t="s">
        <v>136</v>
      </c>
      <c r="F68" s="170">
        <v>14669.42</v>
      </c>
      <c r="G68" s="170">
        <v>0</v>
      </c>
      <c r="H68" s="76">
        <v>0</v>
      </c>
      <c r="I68" s="76">
        <v>0</v>
      </c>
      <c r="J68" s="76">
        <v>0</v>
      </c>
      <c r="K68" s="76">
        <v>3080.58</v>
      </c>
      <c r="L68" s="76">
        <v>0</v>
      </c>
      <c r="M68" s="170">
        <v>0</v>
      </c>
      <c r="N68" s="170">
        <v>17750</v>
      </c>
    </row>
    <row r="69" spans="1:14" hidden="1">
      <c r="A69" s="74" t="s">
        <v>3248</v>
      </c>
      <c r="B69" s="75" t="s">
        <v>3260</v>
      </c>
      <c r="C69" s="76" t="s">
        <v>134</v>
      </c>
      <c r="D69" s="76" t="s">
        <v>135</v>
      </c>
      <c r="E69" s="76" t="s">
        <v>136</v>
      </c>
      <c r="F69" s="170">
        <v>29338.84</v>
      </c>
      <c r="G69" s="170">
        <v>0</v>
      </c>
      <c r="H69" s="76">
        <v>0</v>
      </c>
      <c r="I69" s="76">
        <v>0</v>
      </c>
      <c r="J69" s="76">
        <v>0</v>
      </c>
      <c r="K69" s="76">
        <v>6161.16</v>
      </c>
      <c r="L69" s="76">
        <v>0</v>
      </c>
      <c r="M69" s="170">
        <v>0</v>
      </c>
      <c r="N69" s="170">
        <v>35500</v>
      </c>
    </row>
    <row r="70" spans="1:14" hidden="1">
      <c r="A70" s="74" t="s">
        <v>3248</v>
      </c>
      <c r="B70" s="75" t="s">
        <v>3261</v>
      </c>
      <c r="C70" s="76" t="s">
        <v>134</v>
      </c>
      <c r="D70" s="76" t="s">
        <v>135</v>
      </c>
      <c r="E70" s="76" t="s">
        <v>136</v>
      </c>
      <c r="F70" s="170">
        <v>99173.55</v>
      </c>
      <c r="G70" s="170">
        <v>0</v>
      </c>
      <c r="H70" s="76">
        <v>0</v>
      </c>
      <c r="I70" s="76">
        <v>0</v>
      </c>
      <c r="J70" s="76">
        <v>0</v>
      </c>
      <c r="K70" s="76">
        <v>20826.45</v>
      </c>
      <c r="L70" s="76">
        <v>0</v>
      </c>
      <c r="M70" s="170">
        <v>0</v>
      </c>
      <c r="N70" s="170">
        <v>120000</v>
      </c>
    </row>
    <row r="71" spans="1:14" hidden="1">
      <c r="A71" s="74" t="s">
        <v>3248</v>
      </c>
      <c r="B71" s="75" t="s">
        <v>3262</v>
      </c>
      <c r="C71" s="76" t="s">
        <v>134</v>
      </c>
      <c r="D71" s="76" t="s">
        <v>135</v>
      </c>
      <c r="E71" s="76" t="s">
        <v>136</v>
      </c>
      <c r="F71" s="170">
        <v>10743.8</v>
      </c>
      <c r="G71" s="170">
        <v>0</v>
      </c>
      <c r="H71" s="76">
        <v>0</v>
      </c>
      <c r="I71" s="76">
        <v>0</v>
      </c>
      <c r="J71" s="76">
        <v>0</v>
      </c>
      <c r="K71" s="76">
        <v>2256.2000000000003</v>
      </c>
      <c r="L71" s="76">
        <v>0</v>
      </c>
      <c r="M71" s="170">
        <v>0</v>
      </c>
      <c r="N71" s="170">
        <v>13000</v>
      </c>
    </row>
    <row r="72" spans="1:14" hidden="1">
      <c r="A72" s="74" t="s">
        <v>3248</v>
      </c>
      <c r="B72" s="75" t="s">
        <v>3263</v>
      </c>
      <c r="C72" s="76" t="s">
        <v>134</v>
      </c>
      <c r="D72" s="76" t="s">
        <v>135</v>
      </c>
      <c r="E72" s="76" t="s">
        <v>136</v>
      </c>
      <c r="F72" s="170">
        <v>14669.42</v>
      </c>
      <c r="G72" s="170">
        <v>0</v>
      </c>
      <c r="H72" s="76">
        <v>0</v>
      </c>
      <c r="I72" s="76">
        <v>0</v>
      </c>
      <c r="J72" s="76">
        <v>0</v>
      </c>
      <c r="K72" s="76">
        <v>3080.58</v>
      </c>
      <c r="L72" s="76">
        <v>0</v>
      </c>
      <c r="M72" s="170">
        <v>0</v>
      </c>
      <c r="N72" s="170">
        <v>17750</v>
      </c>
    </row>
    <row r="73" spans="1:14" hidden="1">
      <c r="A73" s="74" t="s">
        <v>3248</v>
      </c>
      <c r="B73" s="75" t="s">
        <v>3264</v>
      </c>
      <c r="C73" s="76" t="s">
        <v>134</v>
      </c>
      <c r="D73" s="76" t="s">
        <v>135</v>
      </c>
      <c r="E73" s="76" t="s">
        <v>136</v>
      </c>
      <c r="F73" s="170">
        <v>9256.2000000000007</v>
      </c>
      <c r="G73" s="170">
        <v>0</v>
      </c>
      <c r="H73" s="76">
        <v>0</v>
      </c>
      <c r="I73" s="76">
        <v>0</v>
      </c>
      <c r="J73" s="76">
        <v>0</v>
      </c>
      <c r="K73" s="76">
        <v>1943.8</v>
      </c>
      <c r="L73" s="76">
        <v>0</v>
      </c>
      <c r="M73" s="170">
        <v>0</v>
      </c>
      <c r="N73" s="170">
        <v>11200</v>
      </c>
    </row>
    <row r="74" spans="1:14" hidden="1">
      <c r="A74" s="74" t="s">
        <v>3248</v>
      </c>
      <c r="B74" s="75" t="s">
        <v>3265</v>
      </c>
      <c r="C74" s="76" t="s">
        <v>134</v>
      </c>
      <c r="D74" s="76" t="s">
        <v>135</v>
      </c>
      <c r="E74" s="76" t="s">
        <v>136</v>
      </c>
      <c r="F74" s="170">
        <v>10661.16</v>
      </c>
      <c r="G74" s="170">
        <v>0</v>
      </c>
      <c r="H74" s="76">
        <v>0</v>
      </c>
      <c r="I74" s="76">
        <v>0</v>
      </c>
      <c r="J74" s="76">
        <v>0</v>
      </c>
      <c r="K74" s="76">
        <v>2238.84</v>
      </c>
      <c r="L74" s="76">
        <v>0</v>
      </c>
      <c r="M74" s="170">
        <v>0</v>
      </c>
      <c r="N74" s="170">
        <v>12900</v>
      </c>
    </row>
    <row r="75" spans="1:14" hidden="1">
      <c r="A75" s="74" t="s">
        <v>3248</v>
      </c>
      <c r="B75" s="75" t="s">
        <v>3266</v>
      </c>
      <c r="C75" s="76" t="s">
        <v>134</v>
      </c>
      <c r="D75" s="76" t="s">
        <v>135</v>
      </c>
      <c r="E75" s="76" t="s">
        <v>136</v>
      </c>
      <c r="F75" s="170">
        <v>10743.8</v>
      </c>
      <c r="G75" s="170">
        <v>0</v>
      </c>
      <c r="H75" s="76">
        <v>0</v>
      </c>
      <c r="I75" s="76">
        <v>0</v>
      </c>
      <c r="J75" s="76">
        <v>0</v>
      </c>
      <c r="K75" s="76">
        <v>2256.2000000000003</v>
      </c>
      <c r="L75" s="76">
        <v>0</v>
      </c>
      <c r="M75" s="170">
        <v>0</v>
      </c>
      <c r="N75" s="170">
        <v>13000</v>
      </c>
    </row>
    <row r="76" spans="1:14" hidden="1">
      <c r="A76" s="74" t="s">
        <v>3248</v>
      </c>
      <c r="B76" s="75" t="s">
        <v>3267</v>
      </c>
      <c r="C76" s="76" t="s">
        <v>134</v>
      </c>
      <c r="D76" s="76" t="s">
        <v>135</v>
      </c>
      <c r="E76" s="76" t="s">
        <v>136</v>
      </c>
      <c r="F76" s="170">
        <v>14876.03</v>
      </c>
      <c r="G76" s="170">
        <v>0</v>
      </c>
      <c r="H76" s="76">
        <v>0</v>
      </c>
      <c r="I76" s="76">
        <v>0</v>
      </c>
      <c r="J76" s="76">
        <v>0</v>
      </c>
      <c r="K76" s="76">
        <v>3123.97</v>
      </c>
      <c r="L76" s="76">
        <v>0</v>
      </c>
      <c r="M76" s="170">
        <v>0</v>
      </c>
      <c r="N76" s="170">
        <v>18000</v>
      </c>
    </row>
    <row r="77" spans="1:14" hidden="1">
      <c r="A77" s="74" t="s">
        <v>3248</v>
      </c>
      <c r="B77" s="75" t="s">
        <v>3268</v>
      </c>
      <c r="C77" s="76" t="s">
        <v>134</v>
      </c>
      <c r="D77" s="76" t="s">
        <v>135</v>
      </c>
      <c r="E77" s="76" t="s">
        <v>136</v>
      </c>
      <c r="F77" s="170">
        <v>14462.81</v>
      </c>
      <c r="G77" s="170">
        <v>0</v>
      </c>
      <c r="H77" s="76">
        <v>0</v>
      </c>
      <c r="I77" s="76">
        <v>0</v>
      </c>
      <c r="J77" s="76">
        <v>0</v>
      </c>
      <c r="K77" s="76">
        <v>3037.19</v>
      </c>
      <c r="L77" s="76">
        <v>0</v>
      </c>
      <c r="M77" s="170">
        <v>0</v>
      </c>
      <c r="N77" s="170">
        <v>17500</v>
      </c>
    </row>
    <row r="78" spans="1:14" hidden="1">
      <c r="A78" s="74" t="s">
        <v>3248</v>
      </c>
      <c r="B78" s="75" t="s">
        <v>3269</v>
      </c>
      <c r="C78" s="76" t="s">
        <v>134</v>
      </c>
      <c r="D78" s="76" t="s">
        <v>135</v>
      </c>
      <c r="E78" s="76" t="s">
        <v>136</v>
      </c>
      <c r="F78" s="170">
        <v>29338.84</v>
      </c>
      <c r="G78" s="170">
        <v>0</v>
      </c>
      <c r="H78" s="76">
        <v>0</v>
      </c>
      <c r="I78" s="76">
        <v>0</v>
      </c>
      <c r="J78" s="76">
        <v>0</v>
      </c>
      <c r="K78" s="76">
        <v>6161.16</v>
      </c>
      <c r="L78" s="76">
        <v>0</v>
      </c>
      <c r="M78" s="170">
        <v>0</v>
      </c>
      <c r="N78" s="170">
        <v>35500</v>
      </c>
    </row>
    <row r="79" spans="1:14" hidden="1">
      <c r="A79" s="74" t="s">
        <v>3248</v>
      </c>
      <c r="B79" s="75" t="s">
        <v>3270</v>
      </c>
      <c r="C79" s="76" t="s">
        <v>134</v>
      </c>
      <c r="D79" s="76" t="s">
        <v>135</v>
      </c>
      <c r="E79" s="76" t="s">
        <v>136</v>
      </c>
      <c r="F79" s="170">
        <v>30578.51</v>
      </c>
      <c r="G79" s="170">
        <v>0</v>
      </c>
      <c r="H79" s="76">
        <v>0</v>
      </c>
      <c r="I79" s="76">
        <v>0</v>
      </c>
      <c r="J79" s="76">
        <v>0</v>
      </c>
      <c r="K79" s="76">
        <v>6421.49</v>
      </c>
      <c r="L79" s="76">
        <v>0</v>
      </c>
      <c r="M79" s="170">
        <v>0</v>
      </c>
      <c r="N79" s="170">
        <v>37000</v>
      </c>
    </row>
    <row r="80" spans="1:14" hidden="1">
      <c r="A80" s="74" t="s">
        <v>3248</v>
      </c>
      <c r="B80" s="75" t="s">
        <v>3271</v>
      </c>
      <c r="C80" s="76" t="s">
        <v>134</v>
      </c>
      <c r="D80" s="76" t="s">
        <v>135</v>
      </c>
      <c r="E80" s="76" t="s">
        <v>136</v>
      </c>
      <c r="F80" s="170">
        <v>17355.37</v>
      </c>
      <c r="G80" s="170">
        <v>0</v>
      </c>
      <c r="H80" s="76">
        <v>0</v>
      </c>
      <c r="I80" s="76">
        <v>0</v>
      </c>
      <c r="J80" s="76">
        <v>0</v>
      </c>
      <c r="K80" s="76">
        <v>3644.63</v>
      </c>
      <c r="L80" s="76">
        <v>0</v>
      </c>
      <c r="M80" s="170">
        <v>0</v>
      </c>
      <c r="N80" s="170">
        <v>21000</v>
      </c>
    </row>
    <row r="81" spans="1:14" hidden="1">
      <c r="A81" s="74" t="s">
        <v>3248</v>
      </c>
      <c r="B81" s="75" t="s">
        <v>3272</v>
      </c>
      <c r="C81" s="76" t="s">
        <v>134</v>
      </c>
      <c r="D81" s="76" t="s">
        <v>135</v>
      </c>
      <c r="E81" s="76" t="s">
        <v>136</v>
      </c>
      <c r="F81" s="170">
        <v>33884.300000000003</v>
      </c>
      <c r="G81" s="170">
        <v>0</v>
      </c>
      <c r="H81" s="76">
        <v>0</v>
      </c>
      <c r="I81" s="76">
        <v>0</v>
      </c>
      <c r="J81" s="76">
        <v>0</v>
      </c>
      <c r="K81" s="76">
        <v>7115.7</v>
      </c>
      <c r="L81" s="76">
        <v>0</v>
      </c>
      <c r="M81" s="170">
        <v>0</v>
      </c>
      <c r="N81" s="170">
        <v>41000</v>
      </c>
    </row>
    <row r="82" spans="1:14" hidden="1">
      <c r="A82" s="74" t="s">
        <v>3280</v>
      </c>
      <c r="B82" s="75" t="s">
        <v>3281</v>
      </c>
      <c r="C82" s="76" t="s">
        <v>134</v>
      </c>
      <c r="D82" s="76" t="s">
        <v>135</v>
      </c>
      <c r="E82" s="76" t="s">
        <v>136</v>
      </c>
      <c r="F82" s="170">
        <v>21487.599999999999</v>
      </c>
      <c r="G82" s="170">
        <v>0</v>
      </c>
      <c r="H82" s="76">
        <v>0</v>
      </c>
      <c r="I82" s="76">
        <v>0</v>
      </c>
      <c r="J82" s="76">
        <v>0</v>
      </c>
      <c r="K82" s="76">
        <v>4512.4000000000005</v>
      </c>
      <c r="L82" s="76">
        <v>0</v>
      </c>
      <c r="M82" s="170">
        <v>0</v>
      </c>
      <c r="N82" s="170">
        <v>26000</v>
      </c>
    </row>
    <row r="83" spans="1:14" hidden="1">
      <c r="A83" s="74" t="s">
        <v>3280</v>
      </c>
      <c r="B83" s="75" t="s">
        <v>3282</v>
      </c>
      <c r="C83" s="76" t="s">
        <v>134</v>
      </c>
      <c r="D83" s="76" t="s">
        <v>135</v>
      </c>
      <c r="E83" s="76" t="s">
        <v>136</v>
      </c>
      <c r="F83" s="170">
        <v>10661.16</v>
      </c>
      <c r="G83" s="170">
        <v>0</v>
      </c>
      <c r="H83" s="76">
        <v>0</v>
      </c>
      <c r="I83" s="76">
        <v>0</v>
      </c>
      <c r="J83" s="76">
        <v>0</v>
      </c>
      <c r="K83" s="76">
        <v>2238.84</v>
      </c>
      <c r="L83" s="76">
        <v>0</v>
      </c>
      <c r="M83" s="170">
        <v>0</v>
      </c>
      <c r="N83" s="170">
        <v>12900</v>
      </c>
    </row>
    <row r="84" spans="1:14" hidden="1">
      <c r="A84" s="74" t="s">
        <v>3280</v>
      </c>
      <c r="B84" s="75" t="s">
        <v>3283</v>
      </c>
      <c r="C84" s="76" t="s">
        <v>134</v>
      </c>
      <c r="D84" s="76" t="s">
        <v>135</v>
      </c>
      <c r="E84" s="76" t="s">
        <v>136</v>
      </c>
      <c r="F84" s="170">
        <v>15909.09</v>
      </c>
      <c r="G84" s="170">
        <v>0</v>
      </c>
      <c r="H84" s="76">
        <v>0</v>
      </c>
      <c r="I84" s="76">
        <v>0</v>
      </c>
      <c r="J84" s="76">
        <v>0</v>
      </c>
      <c r="K84" s="76">
        <v>3340.91</v>
      </c>
      <c r="L84" s="76">
        <v>0</v>
      </c>
      <c r="M84" s="170">
        <v>0</v>
      </c>
      <c r="N84" s="170">
        <v>19250</v>
      </c>
    </row>
    <row r="85" spans="1:14" hidden="1">
      <c r="A85" s="74" t="s">
        <v>3280</v>
      </c>
      <c r="B85" s="75" t="s">
        <v>3284</v>
      </c>
      <c r="C85" s="76" t="s">
        <v>134</v>
      </c>
      <c r="D85" s="76" t="s">
        <v>135</v>
      </c>
      <c r="E85" s="76" t="s">
        <v>136</v>
      </c>
      <c r="F85" s="170">
        <v>14669.42</v>
      </c>
      <c r="G85" s="170">
        <v>0</v>
      </c>
      <c r="H85" s="76">
        <v>0</v>
      </c>
      <c r="I85" s="76">
        <v>0</v>
      </c>
      <c r="J85" s="76">
        <v>0</v>
      </c>
      <c r="K85" s="76">
        <v>3080.58</v>
      </c>
      <c r="L85" s="76">
        <v>0</v>
      </c>
      <c r="M85" s="170">
        <v>0</v>
      </c>
      <c r="N85" s="170">
        <v>17750</v>
      </c>
    </row>
    <row r="86" spans="1:14" hidden="1">
      <c r="A86" s="74" t="s">
        <v>3280</v>
      </c>
      <c r="B86" s="75" t="s">
        <v>3285</v>
      </c>
      <c r="C86" s="76" t="s">
        <v>134</v>
      </c>
      <c r="D86" s="76" t="s">
        <v>135</v>
      </c>
      <c r="E86" s="76" t="s">
        <v>136</v>
      </c>
      <c r="F86" s="170">
        <v>16115.7</v>
      </c>
      <c r="G86" s="170">
        <v>0</v>
      </c>
      <c r="H86" s="76">
        <v>0</v>
      </c>
      <c r="I86" s="76">
        <v>0</v>
      </c>
      <c r="J86" s="76">
        <v>0</v>
      </c>
      <c r="K86" s="76">
        <v>3384.3</v>
      </c>
      <c r="L86" s="76">
        <v>0</v>
      </c>
      <c r="M86" s="170">
        <v>0</v>
      </c>
      <c r="N86" s="170">
        <v>19500</v>
      </c>
    </row>
    <row r="87" spans="1:14" hidden="1">
      <c r="A87" s="74" t="s">
        <v>3280</v>
      </c>
      <c r="B87" s="75" t="s">
        <v>3286</v>
      </c>
      <c r="C87" s="76" t="s">
        <v>134</v>
      </c>
      <c r="D87" s="76" t="s">
        <v>135</v>
      </c>
      <c r="E87" s="76" t="s">
        <v>136</v>
      </c>
      <c r="F87" s="170">
        <v>29338.84</v>
      </c>
      <c r="G87" s="170">
        <v>0</v>
      </c>
      <c r="H87" s="76">
        <v>0</v>
      </c>
      <c r="I87" s="76">
        <v>0</v>
      </c>
      <c r="J87" s="76">
        <v>0</v>
      </c>
      <c r="K87" s="76">
        <v>6161.16</v>
      </c>
      <c r="L87" s="76">
        <v>0</v>
      </c>
      <c r="M87" s="170">
        <v>0</v>
      </c>
      <c r="N87" s="170">
        <v>35500</v>
      </c>
    </row>
    <row r="88" spans="1:14" hidden="1">
      <c r="A88" s="74" t="s">
        <v>3280</v>
      </c>
      <c r="B88" s="75" t="s">
        <v>3287</v>
      </c>
      <c r="C88" s="76" t="s">
        <v>134</v>
      </c>
      <c r="D88" s="76" t="s">
        <v>135</v>
      </c>
      <c r="E88" s="76" t="s">
        <v>136</v>
      </c>
      <c r="F88" s="170">
        <v>14876.03</v>
      </c>
      <c r="G88" s="170">
        <v>0</v>
      </c>
      <c r="H88" s="76">
        <v>0</v>
      </c>
      <c r="I88" s="76">
        <v>0</v>
      </c>
      <c r="J88" s="76">
        <v>0</v>
      </c>
      <c r="K88" s="76">
        <v>3123.97</v>
      </c>
      <c r="L88" s="76">
        <v>0</v>
      </c>
      <c r="M88" s="170">
        <v>0</v>
      </c>
      <c r="N88" s="170">
        <v>18000</v>
      </c>
    </row>
    <row r="89" spans="1:14" hidden="1">
      <c r="A89" s="74" t="s">
        <v>3280</v>
      </c>
      <c r="B89" s="75" t="s">
        <v>3288</v>
      </c>
      <c r="C89" s="76" t="s">
        <v>134</v>
      </c>
      <c r="D89" s="76" t="s">
        <v>135</v>
      </c>
      <c r="E89" s="76" t="s">
        <v>136</v>
      </c>
      <c r="F89" s="170">
        <v>21487.599999999999</v>
      </c>
      <c r="G89" s="170">
        <v>0</v>
      </c>
      <c r="H89" s="76">
        <v>0</v>
      </c>
      <c r="I89" s="76">
        <v>0</v>
      </c>
      <c r="J89" s="76">
        <v>0</v>
      </c>
      <c r="K89" s="76">
        <v>4512.4000000000005</v>
      </c>
      <c r="L89" s="76">
        <v>0</v>
      </c>
      <c r="M89" s="170">
        <v>0</v>
      </c>
      <c r="N89" s="170">
        <v>26000</v>
      </c>
    </row>
    <row r="90" spans="1:14" hidden="1">
      <c r="A90" s="74" t="s">
        <v>3280</v>
      </c>
      <c r="B90" s="75" t="s">
        <v>3289</v>
      </c>
      <c r="C90" s="76" t="s">
        <v>134</v>
      </c>
      <c r="D90" s="76" t="s">
        <v>135</v>
      </c>
      <c r="E90" s="76" t="s">
        <v>136</v>
      </c>
      <c r="F90" s="170">
        <v>18595.04</v>
      </c>
      <c r="G90" s="170">
        <v>0</v>
      </c>
      <c r="H90" s="76">
        <v>0</v>
      </c>
      <c r="I90" s="76">
        <v>0</v>
      </c>
      <c r="J90" s="76">
        <v>0</v>
      </c>
      <c r="K90" s="76">
        <v>3904.96</v>
      </c>
      <c r="L90" s="76">
        <v>0</v>
      </c>
      <c r="M90" s="170">
        <v>0</v>
      </c>
      <c r="N90" s="170">
        <v>22500</v>
      </c>
    </row>
    <row r="91" spans="1:14" hidden="1">
      <c r="A91" s="74" t="s">
        <v>3280</v>
      </c>
      <c r="B91" s="75" t="s">
        <v>3290</v>
      </c>
      <c r="C91" s="76" t="s">
        <v>134</v>
      </c>
      <c r="D91" s="76" t="s">
        <v>135</v>
      </c>
      <c r="E91" s="76" t="s">
        <v>136</v>
      </c>
      <c r="F91" s="170">
        <v>46280.99</v>
      </c>
      <c r="G91" s="170">
        <v>0</v>
      </c>
      <c r="H91" s="76">
        <v>0</v>
      </c>
      <c r="I91" s="76">
        <v>0</v>
      </c>
      <c r="J91" s="76">
        <v>0</v>
      </c>
      <c r="K91" s="76">
        <v>9719.01</v>
      </c>
      <c r="L91" s="76">
        <v>0</v>
      </c>
      <c r="M91" s="170">
        <v>0</v>
      </c>
      <c r="N91" s="170">
        <v>56000</v>
      </c>
    </row>
    <row r="92" spans="1:14" hidden="1">
      <c r="A92" s="74" t="s">
        <v>3280</v>
      </c>
      <c r="B92" s="75" t="s">
        <v>3291</v>
      </c>
      <c r="C92" s="76" t="s">
        <v>134</v>
      </c>
      <c r="D92" s="76" t="s">
        <v>135</v>
      </c>
      <c r="E92" s="76" t="s">
        <v>136</v>
      </c>
      <c r="F92" s="170">
        <v>21900.82</v>
      </c>
      <c r="G92" s="170">
        <v>0</v>
      </c>
      <c r="H92" s="76">
        <v>0</v>
      </c>
      <c r="I92" s="76">
        <v>0</v>
      </c>
      <c r="J92" s="76">
        <v>0</v>
      </c>
      <c r="K92" s="76">
        <v>4599.18</v>
      </c>
      <c r="L92" s="76">
        <v>0</v>
      </c>
      <c r="M92" s="170">
        <v>0</v>
      </c>
      <c r="N92" s="170">
        <v>26500</v>
      </c>
    </row>
    <row r="93" spans="1:14" hidden="1">
      <c r="A93" s="74" t="s">
        <v>3280</v>
      </c>
      <c r="B93" s="75" t="s">
        <v>3292</v>
      </c>
      <c r="C93" s="76" t="s">
        <v>134</v>
      </c>
      <c r="D93" s="76" t="s">
        <v>135</v>
      </c>
      <c r="E93" s="76" t="s">
        <v>136</v>
      </c>
      <c r="F93" s="170">
        <v>5702.48</v>
      </c>
      <c r="G93" s="170">
        <v>0</v>
      </c>
      <c r="H93" s="76">
        <v>0</v>
      </c>
      <c r="I93" s="76">
        <v>0</v>
      </c>
      <c r="J93" s="76">
        <v>0</v>
      </c>
      <c r="K93" s="76">
        <v>1197.52</v>
      </c>
      <c r="L93" s="76">
        <v>0</v>
      </c>
      <c r="M93" s="170">
        <v>0</v>
      </c>
      <c r="N93" s="170">
        <v>6900</v>
      </c>
    </row>
    <row r="94" spans="1:14" hidden="1">
      <c r="A94" s="74" t="s">
        <v>3280</v>
      </c>
      <c r="B94" s="75" t="s">
        <v>3293</v>
      </c>
      <c r="C94" s="76" t="s">
        <v>134</v>
      </c>
      <c r="D94" s="76" t="s">
        <v>135</v>
      </c>
      <c r="E94" s="76" t="s">
        <v>136</v>
      </c>
      <c r="F94" s="170">
        <v>31818.18</v>
      </c>
      <c r="G94" s="170">
        <v>0</v>
      </c>
      <c r="H94" s="76">
        <v>0</v>
      </c>
      <c r="I94" s="76">
        <v>0</v>
      </c>
      <c r="J94" s="76">
        <v>0</v>
      </c>
      <c r="K94" s="76">
        <v>6681.82</v>
      </c>
      <c r="L94" s="76">
        <v>0</v>
      </c>
      <c r="M94" s="170">
        <v>0</v>
      </c>
      <c r="N94" s="170">
        <v>38500</v>
      </c>
    </row>
    <row r="95" spans="1:14" hidden="1">
      <c r="A95" s="74" t="s">
        <v>3280</v>
      </c>
      <c r="B95" s="75" t="s">
        <v>3294</v>
      </c>
      <c r="C95" s="76" t="s">
        <v>134</v>
      </c>
      <c r="D95" s="76" t="s">
        <v>135</v>
      </c>
      <c r="E95" s="76" t="s">
        <v>136</v>
      </c>
      <c r="F95" s="170">
        <v>31818.18</v>
      </c>
      <c r="G95" s="170">
        <v>0</v>
      </c>
      <c r="H95" s="76">
        <v>0</v>
      </c>
      <c r="I95" s="76">
        <v>0</v>
      </c>
      <c r="J95" s="76">
        <v>0</v>
      </c>
      <c r="K95" s="76">
        <v>6681.82</v>
      </c>
      <c r="L95" s="76">
        <v>0</v>
      </c>
      <c r="M95" s="170">
        <v>0</v>
      </c>
      <c r="N95" s="170">
        <v>38500</v>
      </c>
    </row>
    <row r="96" spans="1:14" hidden="1">
      <c r="A96" s="74" t="s">
        <v>3280</v>
      </c>
      <c r="B96" s="75" t="s">
        <v>3295</v>
      </c>
      <c r="C96" s="76" t="s">
        <v>134</v>
      </c>
      <c r="D96" s="76" t="s">
        <v>135</v>
      </c>
      <c r="E96" s="76" t="s">
        <v>136</v>
      </c>
      <c r="F96" s="170">
        <v>31818.18</v>
      </c>
      <c r="G96" s="170">
        <v>0</v>
      </c>
      <c r="H96" s="76">
        <v>0</v>
      </c>
      <c r="I96" s="76">
        <v>0</v>
      </c>
      <c r="J96" s="76">
        <v>0</v>
      </c>
      <c r="K96" s="76">
        <v>6681.82</v>
      </c>
      <c r="L96" s="76">
        <v>0</v>
      </c>
      <c r="M96" s="170">
        <v>0</v>
      </c>
      <c r="N96" s="170">
        <v>38500</v>
      </c>
    </row>
    <row r="97" spans="1:14" hidden="1">
      <c r="A97" s="74" t="s">
        <v>3280</v>
      </c>
      <c r="B97" s="75" t="s">
        <v>3296</v>
      </c>
      <c r="C97" s="76" t="s">
        <v>134</v>
      </c>
      <c r="D97" s="76" t="s">
        <v>135</v>
      </c>
      <c r="E97" s="76" t="s">
        <v>136</v>
      </c>
      <c r="F97" s="170">
        <v>11735.54</v>
      </c>
      <c r="G97" s="170">
        <v>0</v>
      </c>
      <c r="H97" s="76">
        <v>0</v>
      </c>
      <c r="I97" s="76">
        <v>0</v>
      </c>
      <c r="J97" s="76">
        <v>0</v>
      </c>
      <c r="K97" s="76">
        <v>2464.46</v>
      </c>
      <c r="L97" s="76">
        <v>0</v>
      </c>
      <c r="M97" s="170">
        <v>0</v>
      </c>
      <c r="N97" s="170">
        <v>14200</v>
      </c>
    </row>
    <row r="98" spans="1:14" hidden="1">
      <c r="A98" s="74" t="s">
        <v>3280</v>
      </c>
      <c r="B98" s="75" t="s">
        <v>3297</v>
      </c>
      <c r="C98" s="76" t="s">
        <v>134</v>
      </c>
      <c r="D98" s="76" t="s">
        <v>135</v>
      </c>
      <c r="E98" s="76" t="s">
        <v>136</v>
      </c>
      <c r="F98" s="170">
        <v>19834.71</v>
      </c>
      <c r="G98" s="170">
        <v>0</v>
      </c>
      <c r="H98" s="76">
        <v>0</v>
      </c>
      <c r="I98" s="76">
        <v>0</v>
      </c>
      <c r="J98" s="76">
        <v>0</v>
      </c>
      <c r="K98" s="76">
        <v>4165.29</v>
      </c>
      <c r="L98" s="76">
        <v>0</v>
      </c>
      <c r="M98" s="170">
        <v>0</v>
      </c>
      <c r="N98" s="170">
        <v>24000</v>
      </c>
    </row>
    <row r="99" spans="1:14" hidden="1">
      <c r="A99" s="74" t="s">
        <v>3280</v>
      </c>
      <c r="B99" s="75" t="s">
        <v>3298</v>
      </c>
      <c r="C99" s="76" t="s">
        <v>134</v>
      </c>
      <c r="D99" s="76" t="s">
        <v>135</v>
      </c>
      <c r="E99" s="76" t="s">
        <v>136</v>
      </c>
      <c r="F99" s="170">
        <v>7644.63</v>
      </c>
      <c r="G99" s="170">
        <v>0</v>
      </c>
      <c r="H99" s="76">
        <v>0</v>
      </c>
      <c r="I99" s="76">
        <v>0</v>
      </c>
      <c r="J99" s="76">
        <v>0</v>
      </c>
      <c r="K99" s="76">
        <v>1605.37</v>
      </c>
      <c r="L99" s="76">
        <v>0</v>
      </c>
      <c r="M99" s="170">
        <v>0</v>
      </c>
      <c r="N99" s="170">
        <v>9250</v>
      </c>
    </row>
    <row r="100" spans="1:14" hidden="1">
      <c r="A100" s="74" t="s">
        <v>3280</v>
      </c>
      <c r="B100" s="75" t="s">
        <v>3299</v>
      </c>
      <c r="C100" s="76" t="s">
        <v>134</v>
      </c>
      <c r="D100" s="76" t="s">
        <v>135</v>
      </c>
      <c r="E100" s="76" t="s">
        <v>136</v>
      </c>
      <c r="F100" s="170">
        <v>26033.06</v>
      </c>
      <c r="G100" s="170">
        <v>0</v>
      </c>
      <c r="H100" s="76">
        <v>0</v>
      </c>
      <c r="I100" s="76">
        <v>0</v>
      </c>
      <c r="J100" s="76">
        <v>0</v>
      </c>
      <c r="K100" s="76">
        <v>5466.94</v>
      </c>
      <c r="L100" s="76">
        <v>0</v>
      </c>
      <c r="M100" s="170">
        <v>0</v>
      </c>
      <c r="N100" s="170">
        <v>31500</v>
      </c>
    </row>
    <row r="101" spans="1:14" hidden="1">
      <c r="A101" s="74" t="s">
        <v>3280</v>
      </c>
      <c r="B101" s="75" t="s">
        <v>3300</v>
      </c>
      <c r="C101" s="76" t="s">
        <v>134</v>
      </c>
      <c r="D101" s="76" t="s">
        <v>135</v>
      </c>
      <c r="E101" s="76" t="s">
        <v>136</v>
      </c>
      <c r="F101" s="170">
        <v>4628.1000000000004</v>
      </c>
      <c r="G101" s="170">
        <v>0</v>
      </c>
      <c r="H101" s="76">
        <v>0</v>
      </c>
      <c r="I101" s="76">
        <v>0</v>
      </c>
      <c r="J101" s="76">
        <v>0</v>
      </c>
      <c r="K101" s="76">
        <v>971.9</v>
      </c>
      <c r="L101" s="76">
        <v>0</v>
      </c>
      <c r="M101" s="170">
        <v>0</v>
      </c>
      <c r="N101" s="170">
        <v>5600</v>
      </c>
    </row>
    <row r="102" spans="1:14" hidden="1">
      <c r="A102" s="74" t="s">
        <v>3280</v>
      </c>
      <c r="B102" s="75" t="s">
        <v>3301</v>
      </c>
      <c r="C102" s="76" t="s">
        <v>134</v>
      </c>
      <c r="D102" s="76" t="s">
        <v>135</v>
      </c>
      <c r="E102" s="76" t="s">
        <v>136</v>
      </c>
      <c r="F102" s="170">
        <v>11487.6</v>
      </c>
      <c r="G102" s="170">
        <v>0</v>
      </c>
      <c r="H102" s="76">
        <v>0</v>
      </c>
      <c r="I102" s="76">
        <v>0</v>
      </c>
      <c r="J102" s="76">
        <v>0</v>
      </c>
      <c r="K102" s="76">
        <v>2412.4</v>
      </c>
      <c r="L102" s="76">
        <v>0</v>
      </c>
      <c r="M102" s="170">
        <v>0</v>
      </c>
      <c r="N102" s="170">
        <v>13900</v>
      </c>
    </row>
    <row r="103" spans="1:14" hidden="1">
      <c r="A103" s="74" t="s">
        <v>3280</v>
      </c>
      <c r="B103" s="75" t="s">
        <v>3302</v>
      </c>
      <c r="C103" s="76" t="s">
        <v>134</v>
      </c>
      <c r="D103" s="76" t="s">
        <v>135</v>
      </c>
      <c r="E103" s="76" t="s">
        <v>136</v>
      </c>
      <c r="F103" s="170">
        <v>30495.87</v>
      </c>
      <c r="G103" s="170">
        <v>0</v>
      </c>
      <c r="H103" s="76">
        <v>0</v>
      </c>
      <c r="I103" s="76">
        <v>0</v>
      </c>
      <c r="J103" s="76">
        <v>0</v>
      </c>
      <c r="K103" s="76">
        <v>6404.13</v>
      </c>
      <c r="L103" s="76">
        <v>0</v>
      </c>
      <c r="M103" s="170">
        <v>0</v>
      </c>
      <c r="N103" s="170">
        <v>36900</v>
      </c>
    </row>
    <row r="104" spans="1:14" hidden="1">
      <c r="A104" s="74" t="s">
        <v>3280</v>
      </c>
      <c r="B104" s="75" t="s">
        <v>3303</v>
      </c>
      <c r="C104" s="76" t="s">
        <v>134</v>
      </c>
      <c r="D104" s="76" t="s">
        <v>135</v>
      </c>
      <c r="E104" s="76" t="s">
        <v>136</v>
      </c>
      <c r="F104" s="170">
        <v>20661.16</v>
      </c>
      <c r="G104" s="170">
        <v>0</v>
      </c>
      <c r="H104" s="76">
        <v>0</v>
      </c>
      <c r="I104" s="76">
        <v>0</v>
      </c>
      <c r="J104" s="76">
        <v>0</v>
      </c>
      <c r="K104" s="76">
        <v>4338.84</v>
      </c>
      <c r="L104" s="76">
        <v>0</v>
      </c>
      <c r="M104" s="170">
        <v>0</v>
      </c>
      <c r="N104" s="170">
        <v>25000</v>
      </c>
    </row>
    <row r="105" spans="1:14" hidden="1">
      <c r="A105" s="74" t="s">
        <v>3308</v>
      </c>
      <c r="B105" s="75" t="s">
        <v>3309</v>
      </c>
      <c r="C105" s="76" t="s">
        <v>134</v>
      </c>
      <c r="D105" s="76" t="s">
        <v>135</v>
      </c>
      <c r="E105" s="76" t="s">
        <v>136</v>
      </c>
      <c r="F105" s="170">
        <v>10743.8</v>
      </c>
      <c r="G105" s="170">
        <v>0</v>
      </c>
      <c r="H105" s="76">
        <v>0</v>
      </c>
      <c r="I105" s="76">
        <v>0</v>
      </c>
      <c r="J105" s="76">
        <v>0</v>
      </c>
      <c r="K105" s="76">
        <v>2256.2000000000003</v>
      </c>
      <c r="L105" s="76">
        <v>0</v>
      </c>
      <c r="M105" s="170">
        <v>0</v>
      </c>
      <c r="N105" s="170">
        <v>13000</v>
      </c>
    </row>
    <row r="106" spans="1:14" hidden="1">
      <c r="A106" s="74" t="s">
        <v>3308</v>
      </c>
      <c r="B106" s="75" t="s">
        <v>3310</v>
      </c>
      <c r="C106" s="76" t="s">
        <v>134</v>
      </c>
      <c r="D106" s="76" t="s">
        <v>135</v>
      </c>
      <c r="E106" s="76" t="s">
        <v>136</v>
      </c>
      <c r="F106" s="170">
        <v>20661.16</v>
      </c>
      <c r="G106" s="170">
        <v>0</v>
      </c>
      <c r="H106" s="76">
        <v>0</v>
      </c>
      <c r="I106" s="76">
        <v>0</v>
      </c>
      <c r="J106" s="76">
        <v>0</v>
      </c>
      <c r="K106" s="76">
        <v>4338.84</v>
      </c>
      <c r="L106" s="76">
        <v>0</v>
      </c>
      <c r="M106" s="170">
        <v>0</v>
      </c>
      <c r="N106" s="170">
        <v>25000</v>
      </c>
    </row>
    <row r="107" spans="1:14" hidden="1">
      <c r="A107" s="74" t="s">
        <v>3308</v>
      </c>
      <c r="B107" s="75" t="s">
        <v>3311</v>
      </c>
      <c r="C107" s="76" t="s">
        <v>134</v>
      </c>
      <c r="D107" s="76" t="s">
        <v>135</v>
      </c>
      <c r="E107" s="76" t="s">
        <v>136</v>
      </c>
      <c r="F107" s="170">
        <v>11487.6</v>
      </c>
      <c r="G107" s="170">
        <v>0</v>
      </c>
      <c r="H107" s="76">
        <v>0</v>
      </c>
      <c r="I107" s="76">
        <v>0</v>
      </c>
      <c r="J107" s="76">
        <v>0</v>
      </c>
      <c r="K107" s="76">
        <v>2412.4</v>
      </c>
      <c r="L107" s="76">
        <v>0</v>
      </c>
      <c r="M107" s="170">
        <v>0</v>
      </c>
      <c r="N107" s="170">
        <v>13900</v>
      </c>
    </row>
    <row r="108" spans="1:14" hidden="1">
      <c r="A108" s="74" t="s">
        <v>3308</v>
      </c>
      <c r="B108" s="75" t="s">
        <v>3312</v>
      </c>
      <c r="C108" s="76" t="s">
        <v>134</v>
      </c>
      <c r="D108" s="76" t="s">
        <v>135</v>
      </c>
      <c r="E108" s="76" t="s">
        <v>136</v>
      </c>
      <c r="F108" s="170">
        <v>20247.93</v>
      </c>
      <c r="G108" s="170">
        <v>0</v>
      </c>
      <c r="H108" s="76">
        <v>0</v>
      </c>
      <c r="I108" s="76">
        <v>0</v>
      </c>
      <c r="J108" s="76">
        <v>0</v>
      </c>
      <c r="K108" s="76">
        <v>4252.07</v>
      </c>
      <c r="L108" s="76">
        <v>0</v>
      </c>
      <c r="M108" s="170">
        <v>0</v>
      </c>
      <c r="N108" s="170">
        <v>24500</v>
      </c>
    </row>
    <row r="109" spans="1:14" hidden="1">
      <c r="A109" s="74" t="s">
        <v>3308</v>
      </c>
      <c r="B109" s="75" t="s">
        <v>3313</v>
      </c>
      <c r="C109" s="76" t="s">
        <v>134</v>
      </c>
      <c r="D109" s="76" t="s">
        <v>135</v>
      </c>
      <c r="E109" s="76" t="s">
        <v>136</v>
      </c>
      <c r="F109" s="170">
        <v>11487.6</v>
      </c>
      <c r="G109" s="170">
        <v>0</v>
      </c>
      <c r="H109" s="76">
        <v>0</v>
      </c>
      <c r="I109" s="76">
        <v>0</v>
      </c>
      <c r="J109" s="76">
        <v>0</v>
      </c>
      <c r="K109" s="76">
        <v>2412.4</v>
      </c>
      <c r="L109" s="76">
        <v>0</v>
      </c>
      <c r="M109" s="170">
        <v>0</v>
      </c>
      <c r="N109" s="170">
        <v>13900</v>
      </c>
    </row>
    <row r="110" spans="1:14" hidden="1">
      <c r="A110" s="74" t="s">
        <v>3308</v>
      </c>
      <c r="B110" s="75" t="s">
        <v>3314</v>
      </c>
      <c r="C110" s="76" t="s">
        <v>134</v>
      </c>
      <c r="D110" s="76" t="s">
        <v>135</v>
      </c>
      <c r="E110" s="76" t="s">
        <v>136</v>
      </c>
      <c r="F110" s="170">
        <v>8595.0400000000009</v>
      </c>
      <c r="G110" s="170">
        <v>0</v>
      </c>
      <c r="H110" s="76">
        <v>0</v>
      </c>
      <c r="I110" s="76">
        <v>0</v>
      </c>
      <c r="J110" s="76">
        <v>0</v>
      </c>
      <c r="K110" s="76">
        <v>1804.96</v>
      </c>
      <c r="L110" s="76">
        <v>0</v>
      </c>
      <c r="M110" s="170">
        <v>0</v>
      </c>
      <c r="N110" s="170">
        <v>10400</v>
      </c>
    </row>
    <row r="111" spans="1:14" hidden="1">
      <c r="A111" s="74" t="s">
        <v>3308</v>
      </c>
      <c r="B111" s="75" t="s">
        <v>3315</v>
      </c>
      <c r="C111" s="76" t="s">
        <v>134</v>
      </c>
      <c r="D111" s="76" t="s">
        <v>135</v>
      </c>
      <c r="E111" s="76" t="s">
        <v>136</v>
      </c>
      <c r="F111" s="170">
        <v>12975.21</v>
      </c>
      <c r="G111" s="170">
        <v>0</v>
      </c>
      <c r="H111" s="76">
        <v>0</v>
      </c>
      <c r="I111" s="76">
        <v>0</v>
      </c>
      <c r="J111" s="76">
        <v>0</v>
      </c>
      <c r="K111" s="76">
        <v>2724.79</v>
      </c>
      <c r="L111" s="76">
        <v>0</v>
      </c>
      <c r="M111" s="170">
        <v>0</v>
      </c>
      <c r="N111" s="170">
        <v>15700</v>
      </c>
    </row>
    <row r="112" spans="1:14" hidden="1">
      <c r="A112" s="74" t="s">
        <v>3308</v>
      </c>
      <c r="B112" s="75" t="s">
        <v>3316</v>
      </c>
      <c r="C112" s="76" t="s">
        <v>134</v>
      </c>
      <c r="D112" s="76" t="s">
        <v>135</v>
      </c>
      <c r="E112" s="76" t="s">
        <v>136</v>
      </c>
      <c r="F112" s="170">
        <v>10743.8</v>
      </c>
      <c r="G112" s="170">
        <v>0</v>
      </c>
      <c r="H112" s="76">
        <v>0</v>
      </c>
      <c r="I112" s="76">
        <v>0</v>
      </c>
      <c r="J112" s="76">
        <v>0</v>
      </c>
      <c r="K112" s="76">
        <v>2256.2000000000003</v>
      </c>
      <c r="L112" s="76">
        <v>0</v>
      </c>
      <c r="M112" s="170">
        <v>0</v>
      </c>
      <c r="N112" s="170">
        <v>13000</v>
      </c>
    </row>
    <row r="113" spans="1:14" hidden="1">
      <c r="A113" s="74" t="s">
        <v>3308</v>
      </c>
      <c r="B113" s="75" t="s">
        <v>3317</v>
      </c>
      <c r="C113" s="76" t="s">
        <v>134</v>
      </c>
      <c r="D113" s="76" t="s">
        <v>135</v>
      </c>
      <c r="E113" s="76" t="s">
        <v>136</v>
      </c>
      <c r="F113" s="170">
        <v>13884.3</v>
      </c>
      <c r="G113" s="170">
        <v>0</v>
      </c>
      <c r="H113" s="76">
        <v>0</v>
      </c>
      <c r="I113" s="76">
        <v>0</v>
      </c>
      <c r="J113" s="76">
        <v>0</v>
      </c>
      <c r="K113" s="76">
        <v>2915.7</v>
      </c>
      <c r="L113" s="76">
        <v>0</v>
      </c>
      <c r="M113" s="170">
        <v>0</v>
      </c>
      <c r="N113" s="170">
        <v>16800</v>
      </c>
    </row>
    <row r="114" spans="1:14" hidden="1">
      <c r="A114" s="74" t="s">
        <v>3308</v>
      </c>
      <c r="B114" s="75" t="s">
        <v>3318</v>
      </c>
      <c r="C114" s="76" t="s">
        <v>134</v>
      </c>
      <c r="D114" s="76" t="s">
        <v>135</v>
      </c>
      <c r="E114" s="76" t="s">
        <v>136</v>
      </c>
      <c r="F114" s="170">
        <v>31239.67</v>
      </c>
      <c r="G114" s="170">
        <v>0</v>
      </c>
      <c r="H114" s="76">
        <v>0</v>
      </c>
      <c r="I114" s="76">
        <v>0</v>
      </c>
      <c r="J114" s="76">
        <v>0</v>
      </c>
      <c r="K114" s="76">
        <v>6560.33</v>
      </c>
      <c r="L114" s="76">
        <v>0</v>
      </c>
      <c r="M114" s="170">
        <v>0</v>
      </c>
      <c r="N114" s="170">
        <v>37800</v>
      </c>
    </row>
    <row r="115" spans="1:14" hidden="1">
      <c r="A115" s="74" t="s">
        <v>3308</v>
      </c>
      <c r="B115" s="75" t="s">
        <v>3319</v>
      </c>
      <c r="C115" s="76" t="s">
        <v>134</v>
      </c>
      <c r="D115" s="76" t="s">
        <v>135</v>
      </c>
      <c r="E115" s="76" t="s">
        <v>136</v>
      </c>
      <c r="F115" s="170">
        <v>12809.92</v>
      </c>
      <c r="G115" s="170">
        <v>0</v>
      </c>
      <c r="H115" s="76">
        <v>0</v>
      </c>
      <c r="I115" s="76">
        <v>0</v>
      </c>
      <c r="J115" s="76">
        <v>0</v>
      </c>
      <c r="K115" s="76">
        <v>2690.08</v>
      </c>
      <c r="L115" s="76">
        <v>0</v>
      </c>
      <c r="M115" s="170">
        <v>0</v>
      </c>
      <c r="N115" s="170">
        <v>15500</v>
      </c>
    </row>
    <row r="116" spans="1:14" hidden="1">
      <c r="A116" s="74" t="s">
        <v>3308</v>
      </c>
      <c r="B116" s="75" t="s">
        <v>3320</v>
      </c>
      <c r="C116" s="76" t="s">
        <v>134</v>
      </c>
      <c r="D116" s="76" t="s">
        <v>135</v>
      </c>
      <c r="E116" s="76" t="s">
        <v>136</v>
      </c>
      <c r="F116" s="170">
        <v>38512.400000000001</v>
      </c>
      <c r="G116" s="170">
        <v>0</v>
      </c>
      <c r="H116" s="76">
        <v>0</v>
      </c>
      <c r="I116" s="76">
        <v>0</v>
      </c>
      <c r="J116" s="76">
        <v>0</v>
      </c>
      <c r="K116" s="76">
        <v>8087.6</v>
      </c>
      <c r="L116" s="76">
        <v>0</v>
      </c>
      <c r="M116" s="170">
        <v>0</v>
      </c>
      <c r="N116" s="170">
        <v>46600</v>
      </c>
    </row>
    <row r="117" spans="1:14" hidden="1">
      <c r="A117" s="74" t="s">
        <v>3308</v>
      </c>
      <c r="B117" s="75" t="s">
        <v>3321</v>
      </c>
      <c r="C117" s="76" t="s">
        <v>134</v>
      </c>
      <c r="D117" s="76" t="s">
        <v>135</v>
      </c>
      <c r="E117" s="76" t="s">
        <v>136</v>
      </c>
      <c r="F117" s="170">
        <v>8595.0400000000009</v>
      </c>
      <c r="G117" s="170">
        <v>0</v>
      </c>
      <c r="H117" s="76">
        <v>0</v>
      </c>
      <c r="I117" s="76">
        <v>0</v>
      </c>
      <c r="J117" s="76">
        <v>0</v>
      </c>
      <c r="K117" s="76">
        <v>1804.96</v>
      </c>
      <c r="L117" s="76">
        <v>0</v>
      </c>
      <c r="M117" s="170">
        <v>0</v>
      </c>
      <c r="N117" s="170">
        <v>10400</v>
      </c>
    </row>
    <row r="118" spans="1:14" hidden="1">
      <c r="A118" s="74" t="s">
        <v>3308</v>
      </c>
      <c r="B118" s="75" t="s">
        <v>3322</v>
      </c>
      <c r="C118" s="76" t="s">
        <v>134</v>
      </c>
      <c r="D118" s="76" t="s">
        <v>135</v>
      </c>
      <c r="E118" s="76" t="s">
        <v>136</v>
      </c>
      <c r="F118" s="170">
        <v>14669.42</v>
      </c>
      <c r="G118" s="170">
        <v>0</v>
      </c>
      <c r="H118" s="76">
        <v>0</v>
      </c>
      <c r="I118" s="76">
        <v>0</v>
      </c>
      <c r="J118" s="76">
        <v>0</v>
      </c>
      <c r="K118" s="76">
        <v>3080.58</v>
      </c>
      <c r="L118" s="76">
        <v>0</v>
      </c>
      <c r="M118" s="170">
        <v>0</v>
      </c>
      <c r="N118" s="170">
        <v>17750</v>
      </c>
    </row>
    <row r="119" spans="1:14" hidden="1">
      <c r="A119" s="74" t="s">
        <v>3308</v>
      </c>
      <c r="B119" s="75" t="s">
        <v>3323</v>
      </c>
      <c r="C119" s="76" t="s">
        <v>134</v>
      </c>
      <c r="D119" s="76" t="s">
        <v>135</v>
      </c>
      <c r="E119" s="76" t="s">
        <v>136</v>
      </c>
      <c r="F119" s="170">
        <v>14669.42</v>
      </c>
      <c r="G119" s="170">
        <v>0</v>
      </c>
      <c r="H119" s="76">
        <v>0</v>
      </c>
      <c r="I119" s="76">
        <v>0</v>
      </c>
      <c r="J119" s="76">
        <v>0</v>
      </c>
      <c r="K119" s="76">
        <v>3080.58</v>
      </c>
      <c r="L119" s="76">
        <v>0</v>
      </c>
      <c r="M119" s="170">
        <v>0</v>
      </c>
      <c r="N119" s="170">
        <v>17750</v>
      </c>
    </row>
    <row r="120" spans="1:14" hidden="1">
      <c r="A120" s="74" t="s">
        <v>3308</v>
      </c>
      <c r="B120" s="75" t="s">
        <v>3324</v>
      </c>
      <c r="C120" s="76" t="s">
        <v>134</v>
      </c>
      <c r="D120" s="76" t="s">
        <v>135</v>
      </c>
      <c r="E120" s="76" t="s">
        <v>136</v>
      </c>
      <c r="F120" s="170">
        <v>10743.8</v>
      </c>
      <c r="G120" s="170">
        <v>0</v>
      </c>
      <c r="H120" s="76">
        <v>0</v>
      </c>
      <c r="I120" s="76">
        <v>0</v>
      </c>
      <c r="J120" s="76">
        <v>0</v>
      </c>
      <c r="K120" s="76">
        <v>2256.2000000000003</v>
      </c>
      <c r="L120" s="76">
        <v>0</v>
      </c>
      <c r="M120" s="170">
        <v>0</v>
      </c>
      <c r="N120" s="170">
        <v>13000</v>
      </c>
    </row>
    <row r="121" spans="1:14" hidden="1">
      <c r="A121" s="74" t="s">
        <v>3308</v>
      </c>
      <c r="B121" s="75" t="s">
        <v>3325</v>
      </c>
      <c r="C121" s="76" t="s">
        <v>134</v>
      </c>
      <c r="D121" s="76" t="s">
        <v>135</v>
      </c>
      <c r="E121" s="76" t="s">
        <v>136</v>
      </c>
      <c r="F121" s="170">
        <v>10743.8</v>
      </c>
      <c r="G121" s="170">
        <v>0</v>
      </c>
      <c r="H121" s="76">
        <v>0</v>
      </c>
      <c r="I121" s="76">
        <v>0</v>
      </c>
      <c r="J121" s="76">
        <v>0</v>
      </c>
      <c r="K121" s="76">
        <v>2256.2000000000003</v>
      </c>
      <c r="L121" s="76">
        <v>0</v>
      </c>
      <c r="M121" s="170">
        <v>0</v>
      </c>
      <c r="N121" s="170">
        <v>13000</v>
      </c>
    </row>
    <row r="122" spans="1:14" hidden="1">
      <c r="A122" s="74" t="s">
        <v>3308</v>
      </c>
      <c r="B122" s="75" t="s">
        <v>3326</v>
      </c>
      <c r="C122" s="76" t="s">
        <v>134</v>
      </c>
      <c r="D122" s="76" t="s">
        <v>135</v>
      </c>
      <c r="E122" s="76" t="s">
        <v>136</v>
      </c>
      <c r="F122" s="170">
        <v>21322.31</v>
      </c>
      <c r="G122" s="170">
        <v>0</v>
      </c>
      <c r="H122" s="76">
        <v>0</v>
      </c>
      <c r="I122" s="76">
        <v>0</v>
      </c>
      <c r="J122" s="76">
        <v>0</v>
      </c>
      <c r="K122" s="76">
        <v>4477.6900000000005</v>
      </c>
      <c r="L122" s="76">
        <v>0</v>
      </c>
      <c r="M122" s="170">
        <v>0</v>
      </c>
      <c r="N122" s="170">
        <v>25800</v>
      </c>
    </row>
    <row r="123" spans="1:14" hidden="1">
      <c r="A123" s="74" t="s">
        <v>3308</v>
      </c>
      <c r="B123" s="75" t="s">
        <v>3327</v>
      </c>
      <c r="C123" s="76" t="s">
        <v>134</v>
      </c>
      <c r="D123" s="76" t="s">
        <v>135</v>
      </c>
      <c r="E123" s="76" t="s">
        <v>136</v>
      </c>
      <c r="F123" s="170">
        <v>10743.8</v>
      </c>
      <c r="G123" s="170">
        <v>0</v>
      </c>
      <c r="H123" s="76">
        <v>0</v>
      </c>
      <c r="I123" s="76">
        <v>0</v>
      </c>
      <c r="J123" s="76">
        <v>0</v>
      </c>
      <c r="K123" s="76">
        <v>2256.2000000000003</v>
      </c>
      <c r="L123" s="76">
        <v>0</v>
      </c>
      <c r="M123" s="170">
        <v>0</v>
      </c>
      <c r="N123" s="170">
        <v>13000</v>
      </c>
    </row>
    <row r="124" spans="1:14">
      <c r="A124" s="74" t="s">
        <v>3308</v>
      </c>
      <c r="B124" s="75" t="s">
        <v>3328</v>
      </c>
      <c r="C124" s="76" t="s">
        <v>3329</v>
      </c>
      <c r="D124" s="76" t="s">
        <v>135</v>
      </c>
      <c r="E124" s="76">
        <v>16124654</v>
      </c>
      <c r="F124" s="170">
        <v>111570.25</v>
      </c>
      <c r="G124" s="170">
        <v>0</v>
      </c>
      <c r="H124" s="76">
        <v>0</v>
      </c>
      <c r="I124" s="76">
        <v>0</v>
      </c>
      <c r="J124" s="76">
        <v>0</v>
      </c>
      <c r="K124" s="76">
        <v>23429.75</v>
      </c>
      <c r="L124" s="76">
        <v>0</v>
      </c>
      <c r="M124" s="170">
        <v>0</v>
      </c>
      <c r="N124" s="170">
        <v>135000</v>
      </c>
    </row>
    <row r="125" spans="1:14" hidden="1">
      <c r="A125" s="74" t="s">
        <v>3308</v>
      </c>
      <c r="B125" s="75" t="s">
        <v>3330</v>
      </c>
      <c r="C125" s="76" t="s">
        <v>134</v>
      </c>
      <c r="D125" s="76" t="s">
        <v>135</v>
      </c>
      <c r="E125" s="76" t="s">
        <v>136</v>
      </c>
      <c r="F125" s="170">
        <v>9090.91</v>
      </c>
      <c r="G125" s="170">
        <v>0</v>
      </c>
      <c r="H125" s="76">
        <v>0</v>
      </c>
      <c r="I125" s="76">
        <v>0</v>
      </c>
      <c r="J125" s="76">
        <v>0</v>
      </c>
      <c r="K125" s="76">
        <v>1909.09</v>
      </c>
      <c r="L125" s="76">
        <v>0</v>
      </c>
      <c r="M125" s="170">
        <v>0</v>
      </c>
      <c r="N125" s="170">
        <v>11000</v>
      </c>
    </row>
    <row r="126" spans="1:14" hidden="1">
      <c r="A126" s="74" t="s">
        <v>3308</v>
      </c>
      <c r="B126" s="75" t="s">
        <v>3331</v>
      </c>
      <c r="C126" s="76" t="s">
        <v>134</v>
      </c>
      <c r="D126" s="76" t="s">
        <v>135</v>
      </c>
      <c r="E126" s="76" t="s">
        <v>136</v>
      </c>
      <c r="F126" s="170">
        <v>47107.44</v>
      </c>
      <c r="G126" s="170">
        <v>0</v>
      </c>
      <c r="H126" s="76">
        <v>0</v>
      </c>
      <c r="I126" s="76">
        <v>0</v>
      </c>
      <c r="J126" s="76">
        <v>0</v>
      </c>
      <c r="K126" s="76">
        <v>9892.56</v>
      </c>
      <c r="L126" s="76">
        <v>0</v>
      </c>
      <c r="M126" s="170">
        <v>0</v>
      </c>
      <c r="N126" s="170">
        <v>57000</v>
      </c>
    </row>
    <row r="127" spans="1:14" hidden="1">
      <c r="A127" s="74" t="s">
        <v>3308</v>
      </c>
      <c r="B127" s="75" t="s">
        <v>3332</v>
      </c>
      <c r="C127" s="76" t="s">
        <v>134</v>
      </c>
      <c r="D127" s="76" t="s">
        <v>135</v>
      </c>
      <c r="E127" s="76" t="s">
        <v>136</v>
      </c>
      <c r="F127" s="170">
        <v>15702.48</v>
      </c>
      <c r="G127" s="170">
        <v>0</v>
      </c>
      <c r="H127" s="76">
        <v>0</v>
      </c>
      <c r="I127" s="76">
        <v>0</v>
      </c>
      <c r="J127" s="76">
        <v>0</v>
      </c>
      <c r="K127" s="76">
        <v>3297.52</v>
      </c>
      <c r="L127" s="76">
        <v>0</v>
      </c>
      <c r="M127" s="170">
        <v>0</v>
      </c>
      <c r="N127" s="170">
        <v>19000</v>
      </c>
    </row>
    <row r="128" spans="1:14" hidden="1">
      <c r="A128" s="74" t="s">
        <v>3340</v>
      </c>
      <c r="B128" s="75" t="s">
        <v>3342</v>
      </c>
      <c r="C128" s="76" t="s">
        <v>134</v>
      </c>
      <c r="D128" s="76" t="s">
        <v>135</v>
      </c>
      <c r="E128" s="76" t="s">
        <v>136</v>
      </c>
      <c r="F128" s="170">
        <v>16528.93</v>
      </c>
      <c r="G128" s="170">
        <v>0</v>
      </c>
      <c r="H128" s="76">
        <v>0</v>
      </c>
      <c r="I128" s="76">
        <v>0</v>
      </c>
      <c r="J128" s="76">
        <v>0</v>
      </c>
      <c r="K128" s="76">
        <v>3471.07</v>
      </c>
      <c r="L128" s="76">
        <v>0</v>
      </c>
      <c r="M128" s="170">
        <v>0</v>
      </c>
      <c r="N128" s="170">
        <v>20000</v>
      </c>
    </row>
    <row r="129" spans="1:14" hidden="1">
      <c r="A129" s="74" t="s">
        <v>3340</v>
      </c>
      <c r="B129" s="75" t="s">
        <v>3343</v>
      </c>
      <c r="C129" s="76" t="s">
        <v>134</v>
      </c>
      <c r="D129" s="76" t="s">
        <v>135</v>
      </c>
      <c r="E129" s="76" t="s">
        <v>136</v>
      </c>
      <c r="F129" s="170">
        <v>16528.93</v>
      </c>
      <c r="G129" s="170">
        <v>0</v>
      </c>
      <c r="H129" s="76">
        <v>0</v>
      </c>
      <c r="I129" s="76">
        <v>0</v>
      </c>
      <c r="J129" s="76">
        <v>0</v>
      </c>
      <c r="K129" s="76">
        <v>3471.07</v>
      </c>
      <c r="L129" s="76">
        <v>0</v>
      </c>
      <c r="M129" s="170">
        <v>0</v>
      </c>
      <c r="N129" s="170">
        <v>20000</v>
      </c>
    </row>
    <row r="130" spans="1:14" hidden="1">
      <c r="A130" s="74" t="s">
        <v>3340</v>
      </c>
      <c r="B130" s="75" t="s">
        <v>3344</v>
      </c>
      <c r="C130" s="76" t="s">
        <v>134</v>
      </c>
      <c r="D130" s="76" t="s">
        <v>135</v>
      </c>
      <c r="E130" s="76" t="s">
        <v>136</v>
      </c>
      <c r="F130" s="170">
        <v>14049.59</v>
      </c>
      <c r="G130" s="170">
        <v>0</v>
      </c>
      <c r="H130" s="76">
        <v>0</v>
      </c>
      <c r="I130" s="76">
        <v>0</v>
      </c>
      <c r="J130" s="76">
        <v>0</v>
      </c>
      <c r="K130" s="76">
        <v>2950.41</v>
      </c>
      <c r="L130" s="76">
        <v>0</v>
      </c>
      <c r="M130" s="170">
        <v>0</v>
      </c>
      <c r="N130" s="170">
        <v>17000</v>
      </c>
    </row>
    <row r="131" spans="1:14">
      <c r="A131" s="74" t="s">
        <v>3340</v>
      </c>
      <c r="B131" s="75" t="s">
        <v>3345</v>
      </c>
      <c r="C131" s="76" t="s">
        <v>3346</v>
      </c>
      <c r="D131" s="76" t="s">
        <v>135</v>
      </c>
      <c r="E131" s="76">
        <v>14811561</v>
      </c>
      <c r="F131" s="170">
        <v>123966.94</v>
      </c>
      <c r="G131" s="170">
        <v>0</v>
      </c>
      <c r="H131" s="76">
        <v>0</v>
      </c>
      <c r="I131" s="76">
        <v>0</v>
      </c>
      <c r="J131" s="76">
        <v>0</v>
      </c>
      <c r="K131" s="76">
        <v>26033.06</v>
      </c>
      <c r="L131" s="76">
        <v>0</v>
      </c>
      <c r="M131" s="170">
        <v>0</v>
      </c>
      <c r="N131" s="170">
        <v>150000</v>
      </c>
    </row>
    <row r="132" spans="1:14" hidden="1">
      <c r="A132" s="74" t="s">
        <v>3340</v>
      </c>
      <c r="B132" s="75" t="s">
        <v>3347</v>
      </c>
      <c r="C132" s="76" t="s">
        <v>134</v>
      </c>
      <c r="D132" s="76" t="s">
        <v>135</v>
      </c>
      <c r="E132" s="76" t="s">
        <v>136</v>
      </c>
      <c r="F132" s="170">
        <v>4545.45</v>
      </c>
      <c r="G132" s="170">
        <v>0</v>
      </c>
      <c r="H132" s="76">
        <v>0</v>
      </c>
      <c r="I132" s="76">
        <v>0</v>
      </c>
      <c r="J132" s="76">
        <v>0</v>
      </c>
      <c r="K132" s="76">
        <v>954.55</v>
      </c>
      <c r="L132" s="76">
        <v>0</v>
      </c>
      <c r="M132" s="170">
        <v>0</v>
      </c>
      <c r="N132" s="170">
        <v>5500</v>
      </c>
    </row>
    <row r="133" spans="1:14" hidden="1">
      <c r="A133" s="74" t="s">
        <v>3340</v>
      </c>
      <c r="B133" s="75" t="s">
        <v>3348</v>
      </c>
      <c r="C133" s="76" t="s">
        <v>134</v>
      </c>
      <c r="D133" s="76" t="s">
        <v>135</v>
      </c>
      <c r="E133" s="76" t="s">
        <v>136</v>
      </c>
      <c r="F133" s="170">
        <v>19834.71</v>
      </c>
      <c r="G133" s="170">
        <v>0</v>
      </c>
      <c r="H133" s="76">
        <v>0</v>
      </c>
      <c r="I133" s="76">
        <v>0</v>
      </c>
      <c r="J133" s="76">
        <v>0</v>
      </c>
      <c r="K133" s="76">
        <v>4165.29</v>
      </c>
      <c r="L133" s="76">
        <v>0</v>
      </c>
      <c r="M133" s="170">
        <v>0</v>
      </c>
      <c r="N133" s="170">
        <v>24000</v>
      </c>
    </row>
    <row r="134" spans="1:14">
      <c r="A134" s="74" t="s">
        <v>3340</v>
      </c>
      <c r="B134" s="75" t="s">
        <v>3349</v>
      </c>
      <c r="C134" s="76" t="s">
        <v>3350</v>
      </c>
      <c r="D134" s="76" t="s">
        <v>135</v>
      </c>
      <c r="E134" s="76">
        <v>50511678</v>
      </c>
      <c r="F134" s="170">
        <v>34710.74</v>
      </c>
      <c r="G134" s="170">
        <v>0</v>
      </c>
      <c r="H134" s="76">
        <v>0</v>
      </c>
      <c r="I134" s="76">
        <v>0</v>
      </c>
      <c r="J134" s="76">
        <v>0</v>
      </c>
      <c r="K134" s="76">
        <v>7289.26</v>
      </c>
      <c r="L134" s="76">
        <v>0</v>
      </c>
      <c r="M134" s="170">
        <v>0</v>
      </c>
      <c r="N134" s="170">
        <v>42000</v>
      </c>
    </row>
    <row r="135" spans="1:14" hidden="1">
      <c r="A135" s="74" t="s">
        <v>3340</v>
      </c>
      <c r="B135" s="75" t="s">
        <v>3351</v>
      </c>
      <c r="C135" s="76" t="s">
        <v>134</v>
      </c>
      <c r="D135" s="76" t="s">
        <v>135</v>
      </c>
      <c r="E135" s="76" t="s">
        <v>136</v>
      </c>
      <c r="F135" s="170">
        <v>27520.66</v>
      </c>
      <c r="G135" s="170">
        <v>0</v>
      </c>
      <c r="H135" s="76">
        <v>0</v>
      </c>
      <c r="I135" s="76">
        <v>0</v>
      </c>
      <c r="J135" s="76">
        <v>0</v>
      </c>
      <c r="K135" s="76">
        <v>5779.34</v>
      </c>
      <c r="L135" s="76">
        <v>0</v>
      </c>
      <c r="M135" s="170">
        <v>0</v>
      </c>
      <c r="N135" s="170">
        <v>33300</v>
      </c>
    </row>
    <row r="136" spans="1:14" hidden="1">
      <c r="A136" s="74" t="s">
        <v>3340</v>
      </c>
      <c r="B136" s="75" t="s">
        <v>3352</v>
      </c>
      <c r="C136" s="76" t="s">
        <v>134</v>
      </c>
      <c r="D136" s="76" t="s">
        <v>135</v>
      </c>
      <c r="E136" s="76" t="s">
        <v>136</v>
      </c>
      <c r="F136" s="170">
        <v>13884.3</v>
      </c>
      <c r="G136" s="170">
        <v>0</v>
      </c>
      <c r="H136" s="76">
        <v>0</v>
      </c>
      <c r="I136" s="76">
        <v>0</v>
      </c>
      <c r="J136" s="76">
        <v>0</v>
      </c>
      <c r="K136" s="76">
        <v>2915.7</v>
      </c>
      <c r="L136" s="76">
        <v>0</v>
      </c>
      <c r="M136" s="170">
        <v>0</v>
      </c>
      <c r="N136" s="170">
        <v>16800</v>
      </c>
    </row>
    <row r="137" spans="1:14" hidden="1">
      <c r="A137" s="74" t="s">
        <v>3340</v>
      </c>
      <c r="B137" s="75" t="s">
        <v>3353</v>
      </c>
      <c r="C137" s="76" t="s">
        <v>134</v>
      </c>
      <c r="D137" s="76" t="s">
        <v>135</v>
      </c>
      <c r="E137" s="76" t="s">
        <v>136</v>
      </c>
      <c r="F137" s="170">
        <v>10000</v>
      </c>
      <c r="G137" s="170">
        <v>0</v>
      </c>
      <c r="H137" s="76">
        <v>0</v>
      </c>
      <c r="I137" s="76">
        <v>0</v>
      </c>
      <c r="J137" s="76">
        <v>0</v>
      </c>
      <c r="K137" s="76">
        <v>2100</v>
      </c>
      <c r="L137" s="76">
        <v>0</v>
      </c>
      <c r="M137" s="170">
        <v>0</v>
      </c>
      <c r="N137" s="170">
        <v>12100</v>
      </c>
    </row>
    <row r="138" spans="1:14">
      <c r="A138" s="74" t="s">
        <v>3340</v>
      </c>
      <c r="B138" s="75" t="s">
        <v>3354</v>
      </c>
      <c r="C138" s="76" t="s">
        <v>3355</v>
      </c>
      <c r="D138" s="76" t="s">
        <v>135</v>
      </c>
      <c r="E138" s="76">
        <v>30733555</v>
      </c>
      <c r="F138" s="170">
        <v>10000</v>
      </c>
      <c r="G138" s="170">
        <v>0</v>
      </c>
      <c r="H138" s="76">
        <v>0</v>
      </c>
      <c r="I138" s="76">
        <v>0</v>
      </c>
      <c r="J138" s="76">
        <v>0</v>
      </c>
      <c r="K138" s="76">
        <v>2100</v>
      </c>
      <c r="L138" s="76">
        <v>0</v>
      </c>
      <c r="M138" s="170">
        <v>0</v>
      </c>
      <c r="N138" s="170">
        <v>12100</v>
      </c>
    </row>
    <row r="139" spans="1:14" hidden="1">
      <c r="A139" s="74" t="s">
        <v>3340</v>
      </c>
      <c r="B139" s="75" t="s">
        <v>3356</v>
      </c>
      <c r="C139" s="76" t="s">
        <v>134</v>
      </c>
      <c r="D139" s="76" t="s">
        <v>135</v>
      </c>
      <c r="E139" s="76" t="s">
        <v>136</v>
      </c>
      <c r="F139" s="170">
        <v>5206.6099999999997</v>
      </c>
      <c r="G139" s="170">
        <v>0</v>
      </c>
      <c r="H139" s="76">
        <v>0</v>
      </c>
      <c r="I139" s="76">
        <v>0</v>
      </c>
      <c r="J139" s="76">
        <v>0</v>
      </c>
      <c r="K139" s="76">
        <v>1093.3900000000001</v>
      </c>
      <c r="L139" s="76">
        <v>0</v>
      </c>
      <c r="M139" s="170">
        <v>0</v>
      </c>
      <c r="N139" s="170">
        <v>6300</v>
      </c>
    </row>
    <row r="140" spans="1:14" hidden="1">
      <c r="A140" s="74" t="s">
        <v>3340</v>
      </c>
      <c r="B140" s="75" t="s">
        <v>3357</v>
      </c>
      <c r="C140" s="76" t="s">
        <v>134</v>
      </c>
      <c r="D140" s="76" t="s">
        <v>135</v>
      </c>
      <c r="E140" s="76" t="s">
        <v>136</v>
      </c>
      <c r="F140" s="170">
        <v>21487.599999999999</v>
      </c>
      <c r="G140" s="170">
        <v>0</v>
      </c>
      <c r="H140" s="76">
        <v>0</v>
      </c>
      <c r="I140" s="76">
        <v>0</v>
      </c>
      <c r="J140" s="76">
        <v>0</v>
      </c>
      <c r="K140" s="76">
        <v>4512.4000000000005</v>
      </c>
      <c r="L140" s="76">
        <v>0</v>
      </c>
      <c r="M140" s="170">
        <v>0</v>
      </c>
      <c r="N140" s="170">
        <v>26000</v>
      </c>
    </row>
    <row r="141" spans="1:14" hidden="1">
      <c r="A141" s="74" t="s">
        <v>3340</v>
      </c>
      <c r="B141" s="75" t="s">
        <v>3358</v>
      </c>
      <c r="C141" s="76" t="s">
        <v>134</v>
      </c>
      <c r="D141" s="76" t="s">
        <v>135</v>
      </c>
      <c r="E141" s="76" t="s">
        <v>136</v>
      </c>
      <c r="F141" s="170">
        <v>29338.84</v>
      </c>
      <c r="G141" s="170">
        <v>0</v>
      </c>
      <c r="H141" s="76">
        <v>0</v>
      </c>
      <c r="I141" s="76">
        <v>0</v>
      </c>
      <c r="J141" s="76">
        <v>0</v>
      </c>
      <c r="K141" s="76">
        <v>6161.16</v>
      </c>
      <c r="L141" s="76">
        <v>0</v>
      </c>
      <c r="M141" s="170">
        <v>0</v>
      </c>
      <c r="N141" s="170">
        <v>35500</v>
      </c>
    </row>
    <row r="142" spans="1:14" hidden="1">
      <c r="A142" s="74" t="s">
        <v>3340</v>
      </c>
      <c r="B142" s="75" t="s">
        <v>3359</v>
      </c>
      <c r="C142" s="76" t="s">
        <v>134</v>
      </c>
      <c r="D142" s="76" t="s">
        <v>135</v>
      </c>
      <c r="E142" s="76" t="s">
        <v>136</v>
      </c>
      <c r="F142" s="170">
        <v>10743.8</v>
      </c>
      <c r="G142" s="170">
        <v>0</v>
      </c>
      <c r="H142" s="76">
        <v>0</v>
      </c>
      <c r="I142" s="76">
        <v>0</v>
      </c>
      <c r="J142" s="76">
        <v>0</v>
      </c>
      <c r="K142" s="76">
        <v>2256.2000000000003</v>
      </c>
      <c r="L142" s="76">
        <v>0</v>
      </c>
      <c r="M142" s="170">
        <v>0</v>
      </c>
      <c r="N142" s="170">
        <v>13000</v>
      </c>
    </row>
    <row r="143" spans="1:14" hidden="1">
      <c r="A143" s="74" t="s">
        <v>3340</v>
      </c>
      <c r="B143" s="75" t="s">
        <v>3360</v>
      </c>
      <c r="C143" s="76" t="s">
        <v>134</v>
      </c>
      <c r="D143" s="76" t="s">
        <v>135</v>
      </c>
      <c r="E143" s="76" t="s">
        <v>136</v>
      </c>
      <c r="F143" s="170">
        <v>7603.31</v>
      </c>
      <c r="G143" s="170">
        <v>0</v>
      </c>
      <c r="H143" s="76">
        <v>0</v>
      </c>
      <c r="I143" s="76">
        <v>0</v>
      </c>
      <c r="J143" s="76">
        <v>0</v>
      </c>
      <c r="K143" s="76">
        <v>1596.69</v>
      </c>
      <c r="L143" s="76">
        <v>0</v>
      </c>
      <c r="M143" s="170">
        <v>0</v>
      </c>
      <c r="N143" s="170">
        <v>9200</v>
      </c>
    </row>
    <row r="144" spans="1:14" hidden="1">
      <c r="A144" s="74" t="s">
        <v>3340</v>
      </c>
      <c r="B144" s="75" t="s">
        <v>3361</v>
      </c>
      <c r="C144" s="76" t="s">
        <v>134</v>
      </c>
      <c r="D144" s="76" t="s">
        <v>135</v>
      </c>
      <c r="E144" s="76" t="s">
        <v>136</v>
      </c>
      <c r="F144" s="170">
        <v>16528.93</v>
      </c>
      <c r="G144" s="170">
        <v>0</v>
      </c>
      <c r="H144" s="76">
        <v>0</v>
      </c>
      <c r="I144" s="76">
        <v>0</v>
      </c>
      <c r="J144" s="76">
        <v>0</v>
      </c>
      <c r="K144" s="76">
        <v>3471.07</v>
      </c>
      <c r="L144" s="76">
        <v>0</v>
      </c>
      <c r="M144" s="170">
        <v>0</v>
      </c>
      <c r="N144" s="170">
        <v>20000</v>
      </c>
    </row>
    <row r="145" spans="1:14" hidden="1">
      <c r="A145" s="74" t="s">
        <v>3340</v>
      </c>
      <c r="B145" s="75" t="s">
        <v>3362</v>
      </c>
      <c r="C145" s="76" t="s">
        <v>134</v>
      </c>
      <c r="D145" s="76" t="s">
        <v>135</v>
      </c>
      <c r="E145" s="76" t="s">
        <v>136</v>
      </c>
      <c r="F145" s="170">
        <v>29752.07</v>
      </c>
      <c r="G145" s="170">
        <v>0</v>
      </c>
      <c r="H145" s="76">
        <v>0</v>
      </c>
      <c r="I145" s="76">
        <v>0</v>
      </c>
      <c r="J145" s="76">
        <v>0</v>
      </c>
      <c r="K145" s="76">
        <v>6247.93</v>
      </c>
      <c r="L145" s="76">
        <v>0</v>
      </c>
      <c r="M145" s="170">
        <v>0</v>
      </c>
      <c r="N145" s="170">
        <v>36000</v>
      </c>
    </row>
    <row r="146" spans="1:14" hidden="1">
      <c r="A146" s="74" t="s">
        <v>3340</v>
      </c>
      <c r="B146" s="75" t="s">
        <v>3363</v>
      </c>
      <c r="C146" s="76" t="s">
        <v>134</v>
      </c>
      <c r="D146" s="76" t="s">
        <v>135</v>
      </c>
      <c r="E146" s="76" t="s">
        <v>136</v>
      </c>
      <c r="F146" s="170">
        <v>14876.03</v>
      </c>
      <c r="G146" s="170">
        <v>0</v>
      </c>
      <c r="H146" s="76">
        <v>0</v>
      </c>
      <c r="I146" s="76">
        <v>0</v>
      </c>
      <c r="J146" s="76">
        <v>0</v>
      </c>
      <c r="K146" s="76">
        <v>3123.97</v>
      </c>
      <c r="L146" s="76">
        <v>0</v>
      </c>
      <c r="M146" s="170">
        <v>0</v>
      </c>
      <c r="N146" s="170">
        <v>18000</v>
      </c>
    </row>
    <row r="147" spans="1:14" hidden="1">
      <c r="A147" s="74" t="s">
        <v>3340</v>
      </c>
      <c r="B147" s="75" t="s">
        <v>3364</v>
      </c>
      <c r="C147" s="76" t="s">
        <v>134</v>
      </c>
      <c r="D147" s="76" t="s">
        <v>135</v>
      </c>
      <c r="E147" s="76" t="s">
        <v>136</v>
      </c>
      <c r="F147" s="170">
        <v>23471.07</v>
      </c>
      <c r="G147" s="170">
        <v>0</v>
      </c>
      <c r="H147" s="76">
        <v>0</v>
      </c>
      <c r="I147" s="76">
        <v>0</v>
      </c>
      <c r="J147" s="76">
        <v>0</v>
      </c>
      <c r="K147" s="76">
        <v>4928.93</v>
      </c>
      <c r="L147" s="76">
        <v>0</v>
      </c>
      <c r="M147" s="170">
        <v>0</v>
      </c>
      <c r="N147" s="170">
        <v>28400</v>
      </c>
    </row>
    <row r="148" spans="1:14" hidden="1">
      <c r="A148" s="74" t="s">
        <v>3340</v>
      </c>
      <c r="B148" s="75" t="s">
        <v>3365</v>
      </c>
      <c r="C148" s="76" t="s">
        <v>134</v>
      </c>
      <c r="D148" s="76" t="s">
        <v>135</v>
      </c>
      <c r="E148" s="76" t="s">
        <v>136</v>
      </c>
      <c r="F148" s="170">
        <v>21487.599999999999</v>
      </c>
      <c r="G148" s="170">
        <v>0</v>
      </c>
      <c r="H148" s="76">
        <v>0</v>
      </c>
      <c r="I148" s="76">
        <v>0</v>
      </c>
      <c r="J148" s="76">
        <v>0</v>
      </c>
      <c r="K148" s="76">
        <v>4512.4000000000005</v>
      </c>
      <c r="L148" s="76">
        <v>0</v>
      </c>
      <c r="M148" s="170">
        <v>0</v>
      </c>
      <c r="N148" s="170">
        <v>26000</v>
      </c>
    </row>
    <row r="149" spans="1:14" hidden="1">
      <c r="A149" s="74" t="s">
        <v>3340</v>
      </c>
      <c r="B149" s="75" t="s">
        <v>3366</v>
      </c>
      <c r="C149" s="76" t="s">
        <v>134</v>
      </c>
      <c r="D149" s="76" t="s">
        <v>135</v>
      </c>
      <c r="E149" s="76" t="s">
        <v>136</v>
      </c>
      <c r="F149" s="170">
        <v>5785.12</v>
      </c>
      <c r="G149" s="170">
        <v>0</v>
      </c>
      <c r="H149" s="76">
        <v>0</v>
      </c>
      <c r="I149" s="76">
        <v>0</v>
      </c>
      <c r="J149" s="76">
        <v>0</v>
      </c>
      <c r="K149" s="76">
        <v>1214.8800000000001</v>
      </c>
      <c r="L149" s="76">
        <v>0</v>
      </c>
      <c r="M149" s="170">
        <v>0</v>
      </c>
      <c r="N149" s="170">
        <v>7000</v>
      </c>
    </row>
    <row r="150" spans="1:14" hidden="1">
      <c r="A150" s="74" t="s">
        <v>3340</v>
      </c>
      <c r="B150" s="75" t="s">
        <v>3367</v>
      </c>
      <c r="C150" s="76" t="s">
        <v>134</v>
      </c>
      <c r="D150" s="76" t="s">
        <v>135</v>
      </c>
      <c r="E150" s="76" t="s">
        <v>136</v>
      </c>
      <c r="F150" s="170">
        <v>17355.37</v>
      </c>
      <c r="G150" s="170">
        <v>0</v>
      </c>
      <c r="H150" s="76">
        <v>0</v>
      </c>
      <c r="I150" s="76">
        <v>0</v>
      </c>
      <c r="J150" s="76">
        <v>0</v>
      </c>
      <c r="K150" s="76">
        <v>3644.63</v>
      </c>
      <c r="L150" s="76">
        <v>0</v>
      </c>
      <c r="M150" s="170">
        <v>0</v>
      </c>
      <c r="N150" s="170">
        <v>21000</v>
      </c>
    </row>
    <row r="151" spans="1:14" hidden="1">
      <c r="A151" s="74" t="s">
        <v>3340</v>
      </c>
      <c r="B151" s="75" t="s">
        <v>3368</v>
      </c>
      <c r="C151" s="76" t="s">
        <v>134</v>
      </c>
      <c r="D151" s="76" t="s">
        <v>135</v>
      </c>
      <c r="E151" s="76" t="s">
        <v>136</v>
      </c>
      <c r="F151" s="170">
        <v>11487.6</v>
      </c>
      <c r="G151" s="170">
        <v>0</v>
      </c>
      <c r="H151" s="76">
        <v>0</v>
      </c>
      <c r="I151" s="76">
        <v>0</v>
      </c>
      <c r="J151" s="76">
        <v>0</v>
      </c>
      <c r="K151" s="76">
        <v>2412.4</v>
      </c>
      <c r="L151" s="76">
        <v>0</v>
      </c>
      <c r="M151" s="170">
        <v>0</v>
      </c>
      <c r="N151" s="170">
        <v>13900</v>
      </c>
    </row>
    <row r="152" spans="1:14" hidden="1">
      <c r="A152" s="74" t="s">
        <v>3340</v>
      </c>
      <c r="B152" s="75" t="s">
        <v>3369</v>
      </c>
      <c r="C152" s="76" t="s">
        <v>134</v>
      </c>
      <c r="D152" s="76" t="s">
        <v>135</v>
      </c>
      <c r="E152" s="76" t="s">
        <v>136</v>
      </c>
      <c r="F152" s="170">
        <v>22975.21</v>
      </c>
      <c r="G152" s="170">
        <v>0</v>
      </c>
      <c r="H152" s="76">
        <v>0</v>
      </c>
      <c r="I152" s="76">
        <v>0</v>
      </c>
      <c r="J152" s="76">
        <v>0</v>
      </c>
      <c r="K152" s="76">
        <v>4824.79</v>
      </c>
      <c r="L152" s="76">
        <v>0</v>
      </c>
      <c r="M152" s="170">
        <v>0</v>
      </c>
      <c r="N152" s="170">
        <v>27800</v>
      </c>
    </row>
    <row r="153" spans="1:14" hidden="1">
      <c r="A153" s="74" t="s">
        <v>3376</v>
      </c>
      <c r="B153" s="75" t="s">
        <v>3377</v>
      </c>
      <c r="C153" s="76" t="s">
        <v>134</v>
      </c>
      <c r="D153" s="76" t="s">
        <v>135</v>
      </c>
      <c r="E153" s="76" t="s">
        <v>136</v>
      </c>
      <c r="F153" s="170">
        <v>31239.67</v>
      </c>
      <c r="G153" s="170">
        <v>0</v>
      </c>
      <c r="H153" s="76">
        <v>0</v>
      </c>
      <c r="I153" s="76">
        <v>0</v>
      </c>
      <c r="J153" s="76">
        <v>0</v>
      </c>
      <c r="K153" s="76">
        <v>6560.33</v>
      </c>
      <c r="L153" s="76">
        <v>0</v>
      </c>
      <c r="M153" s="170">
        <v>0</v>
      </c>
      <c r="N153" s="170">
        <v>37800</v>
      </c>
    </row>
    <row r="154" spans="1:14" hidden="1">
      <c r="A154" s="74" t="s">
        <v>3376</v>
      </c>
      <c r="B154" s="75" t="s">
        <v>3378</v>
      </c>
      <c r="C154" s="76" t="s">
        <v>134</v>
      </c>
      <c r="D154" s="76" t="s">
        <v>135</v>
      </c>
      <c r="E154" s="76" t="s">
        <v>136</v>
      </c>
      <c r="F154" s="170">
        <v>10743.8</v>
      </c>
      <c r="G154" s="170">
        <v>0</v>
      </c>
      <c r="H154" s="76">
        <v>0</v>
      </c>
      <c r="I154" s="76">
        <v>0</v>
      </c>
      <c r="J154" s="76">
        <v>0</v>
      </c>
      <c r="K154" s="76">
        <v>2256.2000000000003</v>
      </c>
      <c r="L154" s="76">
        <v>0</v>
      </c>
      <c r="M154" s="170">
        <v>0</v>
      </c>
      <c r="N154" s="170">
        <v>13000</v>
      </c>
    </row>
    <row r="155" spans="1:14" hidden="1">
      <c r="A155" s="74" t="s">
        <v>3376</v>
      </c>
      <c r="B155" s="75" t="s">
        <v>3379</v>
      </c>
      <c r="C155" s="76" t="s">
        <v>134</v>
      </c>
      <c r="D155" s="76" t="s">
        <v>135</v>
      </c>
      <c r="E155" s="76" t="s">
        <v>136</v>
      </c>
      <c r="F155" s="170">
        <v>14876.03</v>
      </c>
      <c r="G155" s="170">
        <v>0</v>
      </c>
      <c r="H155" s="76">
        <v>0</v>
      </c>
      <c r="I155" s="76">
        <v>0</v>
      </c>
      <c r="J155" s="76">
        <v>0</v>
      </c>
      <c r="K155" s="76">
        <v>3123.97</v>
      </c>
      <c r="L155" s="76">
        <v>0</v>
      </c>
      <c r="M155" s="170">
        <v>0</v>
      </c>
      <c r="N155" s="170">
        <v>18000</v>
      </c>
    </row>
    <row r="156" spans="1:14" hidden="1">
      <c r="A156" s="74" t="s">
        <v>3376</v>
      </c>
      <c r="B156" s="75" t="s">
        <v>3380</v>
      </c>
      <c r="C156" s="76" t="s">
        <v>134</v>
      </c>
      <c r="D156" s="76" t="s">
        <v>135</v>
      </c>
      <c r="E156" s="76" t="s">
        <v>136</v>
      </c>
      <c r="F156" s="170">
        <v>8264.4600000000009</v>
      </c>
      <c r="G156" s="170">
        <v>0</v>
      </c>
      <c r="H156" s="76">
        <v>0</v>
      </c>
      <c r="I156" s="76">
        <v>0</v>
      </c>
      <c r="J156" s="76">
        <v>0</v>
      </c>
      <c r="K156" s="76">
        <v>1735.54</v>
      </c>
      <c r="L156" s="76">
        <v>0</v>
      </c>
      <c r="M156" s="170">
        <v>0</v>
      </c>
      <c r="N156" s="170">
        <v>10000</v>
      </c>
    </row>
    <row r="157" spans="1:14" hidden="1">
      <c r="A157" s="74" t="s">
        <v>3376</v>
      </c>
      <c r="B157" s="75" t="s">
        <v>3381</v>
      </c>
      <c r="C157" s="76" t="s">
        <v>134</v>
      </c>
      <c r="D157" s="76" t="s">
        <v>135</v>
      </c>
      <c r="E157" s="76" t="s">
        <v>136</v>
      </c>
      <c r="F157" s="170">
        <v>14462.81</v>
      </c>
      <c r="G157" s="170">
        <v>0</v>
      </c>
      <c r="H157" s="76">
        <v>0</v>
      </c>
      <c r="I157" s="76">
        <v>0</v>
      </c>
      <c r="J157" s="76">
        <v>0</v>
      </c>
      <c r="K157" s="76">
        <v>3037.19</v>
      </c>
      <c r="L157" s="76">
        <v>0</v>
      </c>
      <c r="M157" s="170">
        <v>0</v>
      </c>
      <c r="N157" s="170">
        <v>17500</v>
      </c>
    </row>
    <row r="158" spans="1:14" hidden="1">
      <c r="A158" s="74" t="s">
        <v>3376</v>
      </c>
      <c r="B158" s="75" t="s">
        <v>3382</v>
      </c>
      <c r="C158" s="76" t="s">
        <v>134</v>
      </c>
      <c r="D158" s="76" t="s">
        <v>135</v>
      </c>
      <c r="E158" s="76" t="s">
        <v>136</v>
      </c>
      <c r="F158" s="170">
        <v>10743.8</v>
      </c>
      <c r="G158" s="170">
        <v>0</v>
      </c>
      <c r="H158" s="76">
        <v>0</v>
      </c>
      <c r="I158" s="76">
        <v>0</v>
      </c>
      <c r="J158" s="76">
        <v>0</v>
      </c>
      <c r="K158" s="76">
        <v>2256.2000000000003</v>
      </c>
      <c r="L158" s="76">
        <v>0</v>
      </c>
      <c r="M158" s="170">
        <v>0</v>
      </c>
      <c r="N158" s="170">
        <v>13000</v>
      </c>
    </row>
    <row r="159" spans="1:14" hidden="1">
      <c r="A159" s="74" t="s">
        <v>3376</v>
      </c>
      <c r="B159" s="75" t="s">
        <v>3383</v>
      </c>
      <c r="C159" s="76" t="s">
        <v>134</v>
      </c>
      <c r="D159" s="76" t="s">
        <v>135</v>
      </c>
      <c r="E159" s="76" t="s">
        <v>136</v>
      </c>
      <c r="F159" s="170">
        <v>11570.25</v>
      </c>
      <c r="G159" s="170">
        <v>0</v>
      </c>
      <c r="H159" s="76">
        <v>0</v>
      </c>
      <c r="I159" s="76">
        <v>0</v>
      </c>
      <c r="J159" s="76">
        <v>0</v>
      </c>
      <c r="K159" s="76">
        <v>2429.75</v>
      </c>
      <c r="L159" s="76">
        <v>0</v>
      </c>
      <c r="M159" s="170">
        <v>0</v>
      </c>
      <c r="N159" s="170">
        <v>14000</v>
      </c>
    </row>
    <row r="160" spans="1:14" hidden="1">
      <c r="A160" s="74" t="s">
        <v>3376</v>
      </c>
      <c r="B160" s="75" t="s">
        <v>3384</v>
      </c>
      <c r="C160" s="76" t="s">
        <v>134</v>
      </c>
      <c r="D160" s="76" t="s">
        <v>135</v>
      </c>
      <c r="E160" s="76" t="s">
        <v>136</v>
      </c>
      <c r="F160" s="170">
        <v>28925.62</v>
      </c>
      <c r="G160" s="170">
        <v>0</v>
      </c>
      <c r="H160" s="76">
        <v>0</v>
      </c>
      <c r="I160" s="76">
        <v>0</v>
      </c>
      <c r="J160" s="76">
        <v>0</v>
      </c>
      <c r="K160" s="76">
        <v>6074.38</v>
      </c>
      <c r="L160" s="76">
        <v>0</v>
      </c>
      <c r="M160" s="170">
        <v>0</v>
      </c>
      <c r="N160" s="170">
        <v>35000</v>
      </c>
    </row>
    <row r="161" spans="1:14" hidden="1">
      <c r="A161" s="74" t="s">
        <v>3376</v>
      </c>
      <c r="B161" s="75" t="s">
        <v>3385</v>
      </c>
      <c r="C161" s="76" t="s">
        <v>134</v>
      </c>
      <c r="D161" s="76" t="s">
        <v>135</v>
      </c>
      <c r="E161" s="76" t="s">
        <v>136</v>
      </c>
      <c r="F161" s="170">
        <v>14462.81</v>
      </c>
      <c r="G161" s="170">
        <v>0</v>
      </c>
      <c r="H161" s="76">
        <v>0</v>
      </c>
      <c r="I161" s="76">
        <v>0</v>
      </c>
      <c r="J161" s="76">
        <v>0</v>
      </c>
      <c r="K161" s="76">
        <v>3037.19</v>
      </c>
      <c r="L161" s="76">
        <v>0</v>
      </c>
      <c r="M161" s="170">
        <v>0</v>
      </c>
      <c r="N161" s="170">
        <v>17500</v>
      </c>
    </row>
    <row r="162" spans="1:14" hidden="1">
      <c r="A162" s="74" t="s">
        <v>3376</v>
      </c>
      <c r="B162" s="75" t="s">
        <v>3386</v>
      </c>
      <c r="C162" s="76" t="s">
        <v>134</v>
      </c>
      <c r="D162" s="76" t="s">
        <v>135</v>
      </c>
      <c r="E162" s="76" t="s">
        <v>136</v>
      </c>
      <c r="F162" s="170">
        <v>11239.67</v>
      </c>
      <c r="G162" s="170">
        <v>0</v>
      </c>
      <c r="H162" s="76">
        <v>0</v>
      </c>
      <c r="I162" s="76">
        <v>0</v>
      </c>
      <c r="J162" s="76">
        <v>0</v>
      </c>
      <c r="K162" s="76">
        <v>2360.33</v>
      </c>
      <c r="L162" s="76">
        <v>0</v>
      </c>
      <c r="M162" s="170">
        <v>0</v>
      </c>
      <c r="N162" s="170">
        <v>13600</v>
      </c>
    </row>
    <row r="163" spans="1:14" hidden="1">
      <c r="A163" s="74" t="s">
        <v>3376</v>
      </c>
      <c r="B163" s="75" t="s">
        <v>3387</v>
      </c>
      <c r="C163" s="76" t="s">
        <v>134</v>
      </c>
      <c r="D163" s="76" t="s">
        <v>135</v>
      </c>
      <c r="E163" s="76" t="s">
        <v>136</v>
      </c>
      <c r="F163" s="170">
        <v>39669.42</v>
      </c>
      <c r="G163" s="170">
        <v>0</v>
      </c>
      <c r="H163" s="76">
        <v>0</v>
      </c>
      <c r="I163" s="76">
        <v>0</v>
      </c>
      <c r="J163" s="76">
        <v>0</v>
      </c>
      <c r="K163" s="76">
        <v>8330.58</v>
      </c>
      <c r="L163" s="76">
        <v>0</v>
      </c>
      <c r="M163" s="170">
        <v>0</v>
      </c>
      <c r="N163" s="170">
        <v>48000</v>
      </c>
    </row>
    <row r="164" spans="1:14" hidden="1">
      <c r="A164" s="74" t="s">
        <v>3376</v>
      </c>
      <c r="B164" s="75" t="s">
        <v>3388</v>
      </c>
      <c r="C164" s="76" t="s">
        <v>134</v>
      </c>
      <c r="D164" s="76" t="s">
        <v>135</v>
      </c>
      <c r="E164" s="76" t="s">
        <v>136</v>
      </c>
      <c r="F164" s="170">
        <v>14669.42</v>
      </c>
      <c r="G164" s="170">
        <v>0</v>
      </c>
      <c r="H164" s="76">
        <v>0</v>
      </c>
      <c r="I164" s="76">
        <v>0</v>
      </c>
      <c r="J164" s="76">
        <v>0</v>
      </c>
      <c r="K164" s="76">
        <v>3080.58</v>
      </c>
      <c r="L164" s="76">
        <v>0</v>
      </c>
      <c r="M164" s="170">
        <v>0</v>
      </c>
      <c r="N164" s="170">
        <v>17750</v>
      </c>
    </row>
    <row r="165" spans="1:14">
      <c r="A165" s="74" t="s">
        <v>3376</v>
      </c>
      <c r="B165" s="75" t="s">
        <v>3389</v>
      </c>
      <c r="C165" s="76" t="s">
        <v>3390</v>
      </c>
      <c r="D165" s="76" t="s">
        <v>135</v>
      </c>
      <c r="E165" s="76">
        <v>32532336</v>
      </c>
      <c r="F165" s="170">
        <v>10330.58</v>
      </c>
      <c r="G165" s="170">
        <v>0</v>
      </c>
      <c r="H165" s="76">
        <v>0</v>
      </c>
      <c r="I165" s="76">
        <v>0</v>
      </c>
      <c r="J165" s="76">
        <v>0</v>
      </c>
      <c r="K165" s="76">
        <v>2169.42</v>
      </c>
      <c r="L165" s="76">
        <v>0</v>
      </c>
      <c r="M165" s="170">
        <v>0</v>
      </c>
      <c r="N165" s="170">
        <v>12500</v>
      </c>
    </row>
    <row r="166" spans="1:14" hidden="1">
      <c r="A166" s="74" t="s">
        <v>3376</v>
      </c>
      <c r="B166" s="75" t="s">
        <v>3391</v>
      </c>
      <c r="C166" s="76" t="s">
        <v>134</v>
      </c>
      <c r="D166" s="76" t="s">
        <v>135</v>
      </c>
      <c r="E166" s="76" t="s">
        <v>136</v>
      </c>
      <c r="F166" s="170">
        <v>10330.58</v>
      </c>
      <c r="G166" s="170">
        <v>0</v>
      </c>
      <c r="H166" s="76">
        <v>0</v>
      </c>
      <c r="I166" s="76">
        <v>0</v>
      </c>
      <c r="J166" s="76">
        <v>0</v>
      </c>
      <c r="K166" s="76">
        <v>2169.42</v>
      </c>
      <c r="L166" s="76">
        <v>0</v>
      </c>
      <c r="M166" s="170">
        <v>0</v>
      </c>
      <c r="N166" s="170">
        <v>12500</v>
      </c>
    </row>
    <row r="167" spans="1:14" hidden="1">
      <c r="A167" s="74" t="s">
        <v>3376</v>
      </c>
      <c r="B167" s="75" t="s">
        <v>3392</v>
      </c>
      <c r="C167" s="76" t="s">
        <v>134</v>
      </c>
      <c r="D167" s="76" t="s">
        <v>135</v>
      </c>
      <c r="E167" s="76" t="s">
        <v>136</v>
      </c>
      <c r="F167" s="170">
        <v>48925.62</v>
      </c>
      <c r="G167" s="170">
        <v>0</v>
      </c>
      <c r="H167" s="76">
        <v>0</v>
      </c>
      <c r="I167" s="76">
        <v>0</v>
      </c>
      <c r="J167" s="76">
        <v>0</v>
      </c>
      <c r="K167" s="76">
        <v>10274.380000000001</v>
      </c>
      <c r="L167" s="76">
        <v>0</v>
      </c>
      <c r="M167" s="170">
        <v>0</v>
      </c>
      <c r="N167" s="170">
        <v>59200</v>
      </c>
    </row>
    <row r="168" spans="1:14" hidden="1">
      <c r="A168" s="74" t="s">
        <v>3376</v>
      </c>
      <c r="B168" s="75" t="s">
        <v>3393</v>
      </c>
      <c r="C168" s="76" t="s">
        <v>134</v>
      </c>
      <c r="D168" s="76" t="s">
        <v>135</v>
      </c>
      <c r="E168" s="76" t="s">
        <v>136</v>
      </c>
      <c r="F168" s="170">
        <v>10743.8</v>
      </c>
      <c r="G168" s="170">
        <v>0</v>
      </c>
      <c r="H168" s="76">
        <v>0</v>
      </c>
      <c r="I168" s="76">
        <v>0</v>
      </c>
      <c r="J168" s="76">
        <v>0</v>
      </c>
      <c r="K168" s="76">
        <v>2256.2000000000003</v>
      </c>
      <c r="L168" s="76">
        <v>0</v>
      </c>
      <c r="M168" s="170">
        <v>0</v>
      </c>
      <c r="N168" s="170">
        <v>13000</v>
      </c>
    </row>
    <row r="169" spans="1:14" hidden="1">
      <c r="A169" s="74" t="s">
        <v>3376</v>
      </c>
      <c r="B169" s="75" t="s">
        <v>3394</v>
      </c>
      <c r="C169" s="76" t="s">
        <v>134</v>
      </c>
      <c r="D169" s="76" t="s">
        <v>135</v>
      </c>
      <c r="E169" s="76" t="s">
        <v>136</v>
      </c>
      <c r="F169" s="170">
        <v>10330.58</v>
      </c>
      <c r="G169" s="170">
        <v>0</v>
      </c>
      <c r="H169" s="76">
        <v>0</v>
      </c>
      <c r="I169" s="76">
        <v>0</v>
      </c>
      <c r="J169" s="76">
        <v>0</v>
      </c>
      <c r="K169" s="76">
        <v>2169.42</v>
      </c>
      <c r="L169" s="76">
        <v>0</v>
      </c>
      <c r="M169" s="170">
        <v>0</v>
      </c>
      <c r="N169" s="170">
        <v>12500</v>
      </c>
    </row>
    <row r="170" spans="1:14" hidden="1">
      <c r="A170" s="74" t="s">
        <v>3376</v>
      </c>
      <c r="B170" s="75" t="s">
        <v>3395</v>
      </c>
      <c r="C170" s="76" t="s">
        <v>134</v>
      </c>
      <c r="D170" s="76" t="s">
        <v>135</v>
      </c>
      <c r="E170" s="76" t="s">
        <v>136</v>
      </c>
      <c r="F170" s="170">
        <v>14669.42</v>
      </c>
      <c r="G170" s="170">
        <v>0</v>
      </c>
      <c r="H170" s="76">
        <v>0</v>
      </c>
      <c r="I170" s="76">
        <v>0</v>
      </c>
      <c r="J170" s="76">
        <v>0</v>
      </c>
      <c r="K170" s="76">
        <v>3080.58</v>
      </c>
      <c r="L170" s="76">
        <v>0</v>
      </c>
      <c r="M170" s="170">
        <v>0</v>
      </c>
      <c r="N170" s="170">
        <v>17750</v>
      </c>
    </row>
    <row r="171" spans="1:14" hidden="1">
      <c r="A171" s="74" t="s">
        <v>3376</v>
      </c>
      <c r="B171" s="75" t="s">
        <v>3396</v>
      </c>
      <c r="C171" s="76" t="s">
        <v>134</v>
      </c>
      <c r="D171" s="76" t="s">
        <v>135</v>
      </c>
      <c r="E171" s="76" t="s">
        <v>136</v>
      </c>
      <c r="F171" s="170">
        <v>12809.92</v>
      </c>
      <c r="G171" s="170">
        <v>0</v>
      </c>
      <c r="H171" s="76">
        <v>0</v>
      </c>
      <c r="I171" s="76">
        <v>0</v>
      </c>
      <c r="J171" s="76">
        <v>0</v>
      </c>
      <c r="K171" s="76">
        <v>2690.08</v>
      </c>
      <c r="L171" s="76">
        <v>0</v>
      </c>
      <c r="M171" s="170">
        <v>0</v>
      </c>
      <c r="N171" s="170">
        <v>15500</v>
      </c>
    </row>
    <row r="172" spans="1:14" hidden="1">
      <c r="A172" s="74" t="s">
        <v>3376</v>
      </c>
      <c r="B172" s="75" t="s">
        <v>3397</v>
      </c>
      <c r="C172" s="76" t="s">
        <v>134</v>
      </c>
      <c r="D172" s="76" t="s">
        <v>135</v>
      </c>
      <c r="E172" s="76" t="s">
        <v>136</v>
      </c>
      <c r="F172" s="170">
        <v>14669.42</v>
      </c>
      <c r="G172" s="170">
        <v>0</v>
      </c>
      <c r="H172" s="76">
        <v>0</v>
      </c>
      <c r="I172" s="76">
        <v>0</v>
      </c>
      <c r="J172" s="76">
        <v>0</v>
      </c>
      <c r="K172" s="76">
        <v>3080.58</v>
      </c>
      <c r="L172" s="76">
        <v>0</v>
      </c>
      <c r="M172" s="170">
        <v>0</v>
      </c>
      <c r="N172" s="170">
        <v>17750</v>
      </c>
    </row>
    <row r="173" spans="1:14" hidden="1">
      <c r="A173" s="74" t="s">
        <v>3406</v>
      </c>
      <c r="B173" s="75" t="s">
        <v>3410</v>
      </c>
      <c r="C173" s="76" t="s">
        <v>134</v>
      </c>
      <c r="D173" s="76" t="s">
        <v>135</v>
      </c>
      <c r="E173" s="76" t="s">
        <v>136</v>
      </c>
      <c r="F173" s="170">
        <v>25289.26</v>
      </c>
      <c r="G173" s="170">
        <v>0</v>
      </c>
      <c r="H173" s="76">
        <v>0</v>
      </c>
      <c r="I173" s="76">
        <v>0</v>
      </c>
      <c r="J173" s="76">
        <v>0</v>
      </c>
      <c r="K173" s="76">
        <v>5310.74</v>
      </c>
      <c r="L173" s="76">
        <v>0</v>
      </c>
      <c r="M173" s="170">
        <v>0</v>
      </c>
      <c r="N173" s="170">
        <v>30600</v>
      </c>
    </row>
    <row r="174" spans="1:14" hidden="1">
      <c r="A174" s="74" t="s">
        <v>3406</v>
      </c>
      <c r="B174" s="75" t="s">
        <v>3411</v>
      </c>
      <c r="C174" s="76" t="s">
        <v>134</v>
      </c>
      <c r="D174" s="76" t="s">
        <v>135</v>
      </c>
      <c r="E174" s="76" t="s">
        <v>136</v>
      </c>
      <c r="F174" s="170">
        <v>22148.76</v>
      </c>
      <c r="G174" s="170">
        <v>0</v>
      </c>
      <c r="H174" s="76">
        <v>0</v>
      </c>
      <c r="I174" s="76">
        <v>0</v>
      </c>
      <c r="J174" s="76">
        <v>0</v>
      </c>
      <c r="K174" s="76">
        <v>4651.24</v>
      </c>
      <c r="L174" s="76">
        <v>0</v>
      </c>
      <c r="M174" s="170">
        <v>0</v>
      </c>
      <c r="N174" s="170">
        <v>26800</v>
      </c>
    </row>
    <row r="175" spans="1:14">
      <c r="A175" s="74" t="s">
        <v>3406</v>
      </c>
      <c r="B175" s="75" t="s">
        <v>3412</v>
      </c>
      <c r="C175" s="76" t="s">
        <v>3413</v>
      </c>
      <c r="D175" s="76" t="s">
        <v>343</v>
      </c>
      <c r="E175" s="76">
        <v>20117948839</v>
      </c>
      <c r="F175" s="170">
        <v>416528.93</v>
      </c>
      <c r="G175" s="170">
        <v>0</v>
      </c>
      <c r="H175" s="76">
        <v>0</v>
      </c>
      <c r="I175" s="76">
        <v>0</v>
      </c>
      <c r="J175" s="76">
        <v>0</v>
      </c>
      <c r="K175" s="76">
        <v>87471.07</v>
      </c>
      <c r="L175" s="76">
        <v>0</v>
      </c>
      <c r="M175" s="170">
        <v>0</v>
      </c>
      <c r="N175" s="170">
        <v>504000</v>
      </c>
    </row>
    <row r="176" spans="1:14" hidden="1">
      <c r="A176" s="74" t="s">
        <v>3406</v>
      </c>
      <c r="B176" s="75" t="s">
        <v>3414</v>
      </c>
      <c r="C176" s="76" t="s">
        <v>134</v>
      </c>
      <c r="D176" s="76" t="s">
        <v>135</v>
      </c>
      <c r="E176" s="76" t="s">
        <v>136</v>
      </c>
      <c r="F176" s="170">
        <v>11487.6</v>
      </c>
      <c r="G176" s="170">
        <v>0</v>
      </c>
      <c r="H176" s="76">
        <v>0</v>
      </c>
      <c r="I176" s="76">
        <v>0</v>
      </c>
      <c r="J176" s="76">
        <v>0</v>
      </c>
      <c r="K176" s="76">
        <v>2412.4</v>
      </c>
      <c r="L176" s="76">
        <v>0</v>
      </c>
      <c r="M176" s="170">
        <v>0</v>
      </c>
      <c r="N176" s="170">
        <v>13900</v>
      </c>
    </row>
    <row r="177" spans="1:14" hidden="1">
      <c r="A177" s="74" t="s">
        <v>3406</v>
      </c>
      <c r="B177" s="75" t="s">
        <v>3415</v>
      </c>
      <c r="C177" s="76" t="s">
        <v>134</v>
      </c>
      <c r="D177" s="76" t="s">
        <v>135</v>
      </c>
      <c r="E177" s="76" t="s">
        <v>136</v>
      </c>
      <c r="F177" s="170">
        <v>10743.8</v>
      </c>
      <c r="G177" s="170">
        <v>0</v>
      </c>
      <c r="H177" s="76">
        <v>0</v>
      </c>
      <c r="I177" s="76">
        <v>0</v>
      </c>
      <c r="J177" s="76">
        <v>0</v>
      </c>
      <c r="K177" s="76">
        <v>2256.2000000000003</v>
      </c>
      <c r="L177" s="76">
        <v>0</v>
      </c>
      <c r="M177" s="170">
        <v>0</v>
      </c>
      <c r="N177" s="170">
        <v>13000</v>
      </c>
    </row>
    <row r="178" spans="1:14" hidden="1">
      <c r="A178" s="74" t="s">
        <v>3406</v>
      </c>
      <c r="B178" s="75" t="s">
        <v>3416</v>
      </c>
      <c r="C178" s="76" t="s">
        <v>134</v>
      </c>
      <c r="D178" s="76" t="s">
        <v>135</v>
      </c>
      <c r="E178" s="76" t="s">
        <v>136</v>
      </c>
      <c r="F178" s="170">
        <v>15371.9</v>
      </c>
      <c r="G178" s="170">
        <v>0</v>
      </c>
      <c r="H178" s="76">
        <v>0</v>
      </c>
      <c r="I178" s="76">
        <v>0</v>
      </c>
      <c r="J178" s="76">
        <v>0</v>
      </c>
      <c r="K178" s="76">
        <v>3228.1</v>
      </c>
      <c r="L178" s="76">
        <v>0</v>
      </c>
      <c r="M178" s="170">
        <v>0</v>
      </c>
      <c r="N178" s="170">
        <v>18600</v>
      </c>
    </row>
    <row r="179" spans="1:14" hidden="1">
      <c r="A179" s="74" t="s">
        <v>3406</v>
      </c>
      <c r="B179" s="75" t="s">
        <v>3417</v>
      </c>
      <c r="C179" s="76" t="s">
        <v>134</v>
      </c>
      <c r="D179" s="76" t="s">
        <v>135</v>
      </c>
      <c r="E179" s="76" t="s">
        <v>136</v>
      </c>
      <c r="F179" s="170">
        <v>42975.21</v>
      </c>
      <c r="G179" s="170">
        <v>0</v>
      </c>
      <c r="H179" s="76">
        <v>0</v>
      </c>
      <c r="I179" s="76">
        <v>0</v>
      </c>
      <c r="J179" s="76">
        <v>0</v>
      </c>
      <c r="K179" s="76">
        <v>9024.7900000000009</v>
      </c>
      <c r="L179" s="76">
        <v>0</v>
      </c>
      <c r="M179" s="170">
        <v>0</v>
      </c>
      <c r="N179" s="170">
        <v>52000</v>
      </c>
    </row>
    <row r="180" spans="1:14" hidden="1">
      <c r="A180" s="74" t="s">
        <v>3406</v>
      </c>
      <c r="B180" s="75" t="s">
        <v>3418</v>
      </c>
      <c r="C180" s="76" t="s">
        <v>134</v>
      </c>
      <c r="D180" s="76" t="s">
        <v>135</v>
      </c>
      <c r="E180" s="76" t="s">
        <v>136</v>
      </c>
      <c r="F180" s="170">
        <v>10743.8</v>
      </c>
      <c r="G180" s="170">
        <v>0</v>
      </c>
      <c r="H180" s="76">
        <v>0</v>
      </c>
      <c r="I180" s="76">
        <v>0</v>
      </c>
      <c r="J180" s="76">
        <v>0</v>
      </c>
      <c r="K180" s="76">
        <v>2256.2000000000003</v>
      </c>
      <c r="L180" s="76">
        <v>0</v>
      </c>
      <c r="M180" s="170">
        <v>0</v>
      </c>
      <c r="N180" s="170">
        <v>13000</v>
      </c>
    </row>
    <row r="181" spans="1:14" hidden="1">
      <c r="A181" s="74" t="s">
        <v>3406</v>
      </c>
      <c r="B181" s="75" t="s">
        <v>3419</v>
      </c>
      <c r="C181" s="76" t="s">
        <v>134</v>
      </c>
      <c r="D181" s="76" t="s">
        <v>135</v>
      </c>
      <c r="E181" s="76" t="s">
        <v>136</v>
      </c>
      <c r="F181" s="170">
        <v>15909.09</v>
      </c>
      <c r="G181" s="170">
        <v>0</v>
      </c>
      <c r="H181" s="76">
        <v>0</v>
      </c>
      <c r="I181" s="76">
        <v>0</v>
      </c>
      <c r="J181" s="76">
        <v>0</v>
      </c>
      <c r="K181" s="76">
        <v>3340.91</v>
      </c>
      <c r="L181" s="76">
        <v>0</v>
      </c>
      <c r="M181" s="170">
        <v>0</v>
      </c>
      <c r="N181" s="170">
        <v>19250</v>
      </c>
    </row>
    <row r="182" spans="1:14" hidden="1">
      <c r="A182" s="74" t="s">
        <v>3406</v>
      </c>
      <c r="B182" s="75" t="s">
        <v>3420</v>
      </c>
      <c r="C182" s="76" t="s">
        <v>134</v>
      </c>
      <c r="D182" s="76" t="s">
        <v>135</v>
      </c>
      <c r="E182" s="76" t="s">
        <v>136</v>
      </c>
      <c r="F182" s="170">
        <v>12809.92</v>
      </c>
      <c r="G182" s="170">
        <v>0</v>
      </c>
      <c r="H182" s="76">
        <v>0</v>
      </c>
      <c r="I182" s="76">
        <v>0</v>
      </c>
      <c r="J182" s="76">
        <v>0</v>
      </c>
      <c r="K182" s="76">
        <v>2690.08</v>
      </c>
      <c r="L182" s="76">
        <v>0</v>
      </c>
      <c r="M182" s="170">
        <v>0</v>
      </c>
      <c r="N182" s="170">
        <v>15500</v>
      </c>
    </row>
    <row r="183" spans="1:14" hidden="1">
      <c r="A183" s="74" t="s">
        <v>3406</v>
      </c>
      <c r="B183" s="75" t="s">
        <v>3421</v>
      </c>
      <c r="C183" s="76" t="s">
        <v>134</v>
      </c>
      <c r="D183" s="76" t="s">
        <v>135</v>
      </c>
      <c r="E183" s="76" t="s">
        <v>136</v>
      </c>
      <c r="F183" s="170">
        <v>11487.6</v>
      </c>
      <c r="G183" s="170">
        <v>0</v>
      </c>
      <c r="H183" s="76">
        <v>0</v>
      </c>
      <c r="I183" s="76">
        <v>0</v>
      </c>
      <c r="J183" s="76">
        <v>0</v>
      </c>
      <c r="K183" s="76">
        <v>2412.4</v>
      </c>
      <c r="L183" s="76">
        <v>0</v>
      </c>
      <c r="M183" s="170">
        <v>0</v>
      </c>
      <c r="N183" s="170">
        <v>13900</v>
      </c>
    </row>
    <row r="184" spans="1:14" hidden="1">
      <c r="A184" s="74" t="s">
        <v>3406</v>
      </c>
      <c r="B184" s="75" t="s">
        <v>3422</v>
      </c>
      <c r="C184" s="76" t="s">
        <v>134</v>
      </c>
      <c r="D184" s="76" t="s">
        <v>135</v>
      </c>
      <c r="E184" s="76" t="s">
        <v>136</v>
      </c>
      <c r="F184" s="170">
        <v>10743.8</v>
      </c>
      <c r="G184" s="170">
        <v>0</v>
      </c>
      <c r="H184" s="76">
        <v>0</v>
      </c>
      <c r="I184" s="76">
        <v>0</v>
      </c>
      <c r="J184" s="76">
        <v>0</v>
      </c>
      <c r="K184" s="76">
        <v>2256.2000000000003</v>
      </c>
      <c r="L184" s="76">
        <v>0</v>
      </c>
      <c r="M184" s="170">
        <v>0</v>
      </c>
      <c r="N184" s="170">
        <v>13000</v>
      </c>
    </row>
    <row r="185" spans="1:14" hidden="1">
      <c r="A185" s="74" t="s">
        <v>3406</v>
      </c>
      <c r="B185" s="75" t="s">
        <v>3423</v>
      </c>
      <c r="C185" s="76" t="s">
        <v>134</v>
      </c>
      <c r="D185" s="76" t="s">
        <v>135</v>
      </c>
      <c r="E185" s="76" t="s">
        <v>136</v>
      </c>
      <c r="F185" s="170">
        <v>19173.55</v>
      </c>
      <c r="G185" s="170">
        <v>0</v>
      </c>
      <c r="H185" s="76">
        <v>0</v>
      </c>
      <c r="I185" s="76">
        <v>0</v>
      </c>
      <c r="J185" s="76">
        <v>0</v>
      </c>
      <c r="K185" s="76">
        <v>4026.45</v>
      </c>
      <c r="L185" s="76">
        <v>0</v>
      </c>
      <c r="M185" s="170">
        <v>0</v>
      </c>
      <c r="N185" s="170">
        <v>23200</v>
      </c>
    </row>
    <row r="186" spans="1:14" hidden="1">
      <c r="A186" s="74" t="s">
        <v>3406</v>
      </c>
      <c r="B186" s="75" t="s">
        <v>3424</v>
      </c>
      <c r="C186" s="76" t="s">
        <v>134</v>
      </c>
      <c r="D186" s="76" t="s">
        <v>135</v>
      </c>
      <c r="E186" s="76" t="s">
        <v>136</v>
      </c>
      <c r="F186" s="170">
        <v>10743.8</v>
      </c>
      <c r="G186" s="170">
        <v>0</v>
      </c>
      <c r="H186" s="76">
        <v>0</v>
      </c>
      <c r="I186" s="76">
        <v>0</v>
      </c>
      <c r="J186" s="76">
        <v>0</v>
      </c>
      <c r="K186" s="76">
        <v>2256.2000000000003</v>
      </c>
      <c r="L186" s="76">
        <v>0</v>
      </c>
      <c r="M186" s="170">
        <v>0</v>
      </c>
      <c r="N186" s="170">
        <v>13000</v>
      </c>
    </row>
    <row r="187" spans="1:14" hidden="1">
      <c r="A187" s="74" t="s">
        <v>3406</v>
      </c>
      <c r="B187" s="75" t="s">
        <v>3425</v>
      </c>
      <c r="C187" s="76" t="s">
        <v>134</v>
      </c>
      <c r="D187" s="76" t="s">
        <v>135</v>
      </c>
      <c r="E187" s="76" t="s">
        <v>136</v>
      </c>
      <c r="F187" s="170">
        <v>12396.69</v>
      </c>
      <c r="G187" s="170">
        <v>0</v>
      </c>
      <c r="H187" s="76">
        <v>0</v>
      </c>
      <c r="I187" s="76">
        <v>0</v>
      </c>
      <c r="J187" s="76">
        <v>0</v>
      </c>
      <c r="K187" s="76">
        <v>2603.31</v>
      </c>
      <c r="L187" s="76">
        <v>0</v>
      </c>
      <c r="M187" s="170">
        <v>0</v>
      </c>
      <c r="N187" s="170">
        <v>15000</v>
      </c>
    </row>
    <row r="188" spans="1:14" hidden="1">
      <c r="A188" s="74" t="s">
        <v>3406</v>
      </c>
      <c r="B188" s="75" t="s">
        <v>3426</v>
      </c>
      <c r="C188" s="76" t="s">
        <v>134</v>
      </c>
      <c r="D188" s="76" t="s">
        <v>135</v>
      </c>
      <c r="E188" s="76" t="s">
        <v>136</v>
      </c>
      <c r="F188" s="170">
        <v>9256.2000000000007</v>
      </c>
      <c r="G188" s="170">
        <v>0</v>
      </c>
      <c r="H188" s="76">
        <v>0</v>
      </c>
      <c r="I188" s="76">
        <v>0</v>
      </c>
      <c r="J188" s="76">
        <v>0</v>
      </c>
      <c r="K188" s="76">
        <v>1943.8</v>
      </c>
      <c r="L188" s="76">
        <v>0</v>
      </c>
      <c r="M188" s="170">
        <v>0</v>
      </c>
      <c r="N188" s="170">
        <v>11200</v>
      </c>
    </row>
    <row r="189" spans="1:14" hidden="1">
      <c r="A189" s="74" t="s">
        <v>3406</v>
      </c>
      <c r="B189" s="75" t="s">
        <v>3427</v>
      </c>
      <c r="C189" s="76" t="s">
        <v>134</v>
      </c>
      <c r="D189" s="76" t="s">
        <v>135</v>
      </c>
      <c r="E189" s="76" t="s">
        <v>136</v>
      </c>
      <c r="F189" s="170">
        <v>14049.59</v>
      </c>
      <c r="G189" s="170">
        <v>0</v>
      </c>
      <c r="H189" s="76">
        <v>0</v>
      </c>
      <c r="I189" s="76">
        <v>0</v>
      </c>
      <c r="J189" s="76">
        <v>0</v>
      </c>
      <c r="K189" s="76">
        <v>2950.41</v>
      </c>
      <c r="L189" s="76">
        <v>0</v>
      </c>
      <c r="M189" s="170">
        <v>0</v>
      </c>
      <c r="N189" s="170">
        <v>17000</v>
      </c>
    </row>
    <row r="190" spans="1:14" hidden="1">
      <c r="A190" s="74" t="s">
        <v>3435</v>
      </c>
      <c r="B190" s="75" t="s">
        <v>3436</v>
      </c>
      <c r="C190" s="76" t="s">
        <v>134</v>
      </c>
      <c r="D190" s="76" t="s">
        <v>135</v>
      </c>
      <c r="E190" s="76" t="s">
        <v>136</v>
      </c>
      <c r="F190" s="170">
        <v>5206.6099999999997</v>
      </c>
      <c r="G190" s="170">
        <v>0</v>
      </c>
      <c r="H190" s="76">
        <v>0</v>
      </c>
      <c r="I190" s="76">
        <v>0</v>
      </c>
      <c r="J190" s="76">
        <v>0</v>
      </c>
      <c r="K190" s="76">
        <v>1093.3900000000001</v>
      </c>
      <c r="L190" s="76">
        <v>0</v>
      </c>
      <c r="M190" s="170">
        <v>0</v>
      </c>
      <c r="N190" s="170">
        <v>6300</v>
      </c>
    </row>
    <row r="191" spans="1:14" hidden="1">
      <c r="A191" s="74" t="s">
        <v>3435</v>
      </c>
      <c r="B191" s="75" t="s">
        <v>3437</v>
      </c>
      <c r="C191" s="76" t="s">
        <v>134</v>
      </c>
      <c r="D191" s="76" t="s">
        <v>135</v>
      </c>
      <c r="E191" s="76" t="s">
        <v>136</v>
      </c>
      <c r="F191" s="170">
        <v>30165.29</v>
      </c>
      <c r="G191" s="170">
        <v>0</v>
      </c>
      <c r="H191" s="76">
        <v>0</v>
      </c>
      <c r="I191" s="76">
        <v>0</v>
      </c>
      <c r="J191" s="76">
        <v>0</v>
      </c>
      <c r="K191" s="76">
        <v>6334.71</v>
      </c>
      <c r="L191" s="76">
        <v>0</v>
      </c>
      <c r="M191" s="170">
        <v>0</v>
      </c>
      <c r="N191" s="170">
        <v>36500</v>
      </c>
    </row>
    <row r="192" spans="1:14" hidden="1">
      <c r="A192" s="74" t="s">
        <v>3435</v>
      </c>
      <c r="B192" s="75" t="s">
        <v>3438</v>
      </c>
      <c r="C192" s="76" t="s">
        <v>134</v>
      </c>
      <c r="D192" s="76" t="s">
        <v>135</v>
      </c>
      <c r="E192" s="76" t="s">
        <v>136</v>
      </c>
      <c r="F192" s="170">
        <v>32066.12</v>
      </c>
      <c r="G192" s="170">
        <v>0</v>
      </c>
      <c r="H192" s="76">
        <v>0</v>
      </c>
      <c r="I192" s="76">
        <v>0</v>
      </c>
      <c r="J192" s="76">
        <v>0</v>
      </c>
      <c r="K192" s="76">
        <v>6733.88</v>
      </c>
      <c r="L192" s="76">
        <v>0</v>
      </c>
      <c r="M192" s="170">
        <v>0</v>
      </c>
      <c r="N192" s="170">
        <v>38800</v>
      </c>
    </row>
    <row r="193" spans="1:14" hidden="1">
      <c r="A193" s="74" t="s">
        <v>3435</v>
      </c>
      <c r="B193" s="75" t="s">
        <v>3439</v>
      </c>
      <c r="C193" s="76" t="s">
        <v>134</v>
      </c>
      <c r="D193" s="76" t="s">
        <v>135</v>
      </c>
      <c r="E193" s="76" t="s">
        <v>136</v>
      </c>
      <c r="F193" s="170">
        <v>4462.8100000000004</v>
      </c>
      <c r="G193" s="170">
        <v>0</v>
      </c>
      <c r="H193" s="76">
        <v>0</v>
      </c>
      <c r="I193" s="76">
        <v>0</v>
      </c>
      <c r="J193" s="76">
        <v>0</v>
      </c>
      <c r="K193" s="76">
        <v>937.19</v>
      </c>
      <c r="L193" s="76">
        <v>0</v>
      </c>
      <c r="M193" s="170">
        <v>0</v>
      </c>
      <c r="N193" s="170">
        <v>5400</v>
      </c>
    </row>
    <row r="194" spans="1:14" hidden="1">
      <c r="A194" s="74" t="s">
        <v>3435</v>
      </c>
      <c r="B194" s="75" t="s">
        <v>3440</v>
      </c>
      <c r="C194" s="76" t="s">
        <v>134</v>
      </c>
      <c r="D194" s="76" t="s">
        <v>135</v>
      </c>
      <c r="E194" s="76" t="s">
        <v>136</v>
      </c>
      <c r="F194" s="170">
        <v>21157.02</v>
      </c>
      <c r="G194" s="170">
        <v>0</v>
      </c>
      <c r="H194" s="76">
        <v>0</v>
      </c>
      <c r="I194" s="76">
        <v>0</v>
      </c>
      <c r="J194" s="76">
        <v>0</v>
      </c>
      <c r="K194" s="76">
        <v>4442.9800000000005</v>
      </c>
      <c r="L194" s="76">
        <v>0</v>
      </c>
      <c r="M194" s="170">
        <v>0</v>
      </c>
      <c r="N194" s="170">
        <v>25600</v>
      </c>
    </row>
    <row r="195" spans="1:14" hidden="1">
      <c r="A195" s="74" t="s">
        <v>3435</v>
      </c>
      <c r="B195" s="75" t="s">
        <v>3441</v>
      </c>
      <c r="C195" s="76" t="s">
        <v>134</v>
      </c>
      <c r="D195" s="76" t="s">
        <v>135</v>
      </c>
      <c r="E195" s="76" t="s">
        <v>136</v>
      </c>
      <c r="F195" s="170">
        <v>14669.42</v>
      </c>
      <c r="G195" s="170">
        <v>0</v>
      </c>
      <c r="H195" s="76">
        <v>0</v>
      </c>
      <c r="I195" s="76">
        <v>0</v>
      </c>
      <c r="J195" s="76">
        <v>0</v>
      </c>
      <c r="K195" s="76">
        <v>3080.58</v>
      </c>
      <c r="L195" s="76">
        <v>0</v>
      </c>
      <c r="M195" s="170">
        <v>0</v>
      </c>
      <c r="N195" s="170">
        <v>17750</v>
      </c>
    </row>
    <row r="196" spans="1:14" hidden="1">
      <c r="A196" s="74" t="s">
        <v>3435</v>
      </c>
      <c r="B196" s="75" t="s">
        <v>3442</v>
      </c>
      <c r="C196" s="76" t="s">
        <v>134</v>
      </c>
      <c r="D196" s="76" t="s">
        <v>135</v>
      </c>
      <c r="E196" s="76" t="s">
        <v>136</v>
      </c>
      <c r="F196" s="170">
        <v>13223.14</v>
      </c>
      <c r="G196" s="170">
        <v>0</v>
      </c>
      <c r="H196" s="76">
        <v>0</v>
      </c>
      <c r="I196" s="76">
        <v>0</v>
      </c>
      <c r="J196" s="76">
        <v>0</v>
      </c>
      <c r="K196" s="76">
        <v>2776.86</v>
      </c>
      <c r="L196" s="76">
        <v>0</v>
      </c>
      <c r="M196" s="170">
        <v>0</v>
      </c>
      <c r="N196" s="170">
        <v>16000</v>
      </c>
    </row>
    <row r="197" spans="1:14" hidden="1">
      <c r="A197" s="74" t="s">
        <v>3435</v>
      </c>
      <c r="B197" s="75" t="s">
        <v>3443</v>
      </c>
      <c r="C197" s="76" t="s">
        <v>134</v>
      </c>
      <c r="D197" s="76" t="s">
        <v>135</v>
      </c>
      <c r="E197" s="76" t="s">
        <v>136</v>
      </c>
      <c r="F197" s="170">
        <v>10330.58</v>
      </c>
      <c r="G197" s="170">
        <v>0</v>
      </c>
      <c r="H197" s="76">
        <v>0</v>
      </c>
      <c r="I197" s="76">
        <v>0</v>
      </c>
      <c r="J197" s="76">
        <v>0</v>
      </c>
      <c r="K197" s="76">
        <v>2169.42</v>
      </c>
      <c r="L197" s="76">
        <v>0</v>
      </c>
      <c r="M197" s="170">
        <v>0</v>
      </c>
      <c r="N197" s="170">
        <v>12500</v>
      </c>
    </row>
    <row r="198" spans="1:14" hidden="1">
      <c r="A198" s="74" t="s">
        <v>3435</v>
      </c>
      <c r="B198" s="75" t="s">
        <v>3444</v>
      </c>
      <c r="C198" s="76" t="s">
        <v>134</v>
      </c>
      <c r="D198" s="76" t="s">
        <v>135</v>
      </c>
      <c r="E198" s="76" t="s">
        <v>136</v>
      </c>
      <c r="F198" s="170">
        <v>29338.84</v>
      </c>
      <c r="G198" s="170">
        <v>0</v>
      </c>
      <c r="H198" s="76">
        <v>0</v>
      </c>
      <c r="I198" s="76">
        <v>0</v>
      </c>
      <c r="J198" s="76">
        <v>0</v>
      </c>
      <c r="K198" s="76">
        <v>6161.16</v>
      </c>
      <c r="L198" s="76">
        <v>0</v>
      </c>
      <c r="M198" s="170">
        <v>0</v>
      </c>
      <c r="N198" s="170">
        <v>35500</v>
      </c>
    </row>
    <row r="199" spans="1:14" hidden="1">
      <c r="A199" s="74" t="s">
        <v>3435</v>
      </c>
      <c r="B199" s="75" t="s">
        <v>3445</v>
      </c>
      <c r="C199" s="76" t="s">
        <v>134</v>
      </c>
      <c r="D199" s="76" t="s">
        <v>135</v>
      </c>
      <c r="E199" s="76" t="s">
        <v>136</v>
      </c>
      <c r="F199" s="170">
        <v>14669.42</v>
      </c>
      <c r="G199" s="170">
        <v>0</v>
      </c>
      <c r="H199" s="76">
        <v>0</v>
      </c>
      <c r="I199" s="76">
        <v>0</v>
      </c>
      <c r="J199" s="76">
        <v>0</v>
      </c>
      <c r="K199" s="76">
        <v>3080.58</v>
      </c>
      <c r="L199" s="76">
        <v>0</v>
      </c>
      <c r="M199" s="170">
        <v>0</v>
      </c>
      <c r="N199" s="170">
        <v>17750</v>
      </c>
    </row>
    <row r="200" spans="1:14" hidden="1">
      <c r="A200" s="74" t="s">
        <v>3435</v>
      </c>
      <c r="B200" s="75" t="s">
        <v>3446</v>
      </c>
      <c r="C200" s="76" t="s">
        <v>134</v>
      </c>
      <c r="D200" s="76" t="s">
        <v>135</v>
      </c>
      <c r="E200" s="76" t="s">
        <v>136</v>
      </c>
      <c r="F200" s="170">
        <v>24793.39</v>
      </c>
      <c r="G200" s="170">
        <v>0</v>
      </c>
      <c r="H200" s="76">
        <v>0</v>
      </c>
      <c r="I200" s="76">
        <v>0</v>
      </c>
      <c r="J200" s="76">
        <v>0</v>
      </c>
      <c r="K200" s="76">
        <v>5206.6099999999997</v>
      </c>
      <c r="L200" s="76">
        <v>0</v>
      </c>
      <c r="M200" s="170">
        <v>0</v>
      </c>
      <c r="N200" s="170">
        <v>30000</v>
      </c>
    </row>
    <row r="201" spans="1:14" hidden="1">
      <c r="A201" s="74" t="s">
        <v>3435</v>
      </c>
      <c r="B201" s="75" t="s">
        <v>3447</v>
      </c>
      <c r="C201" s="76" t="s">
        <v>134</v>
      </c>
      <c r="D201" s="76" t="s">
        <v>135</v>
      </c>
      <c r="E201" s="76" t="s">
        <v>136</v>
      </c>
      <c r="F201" s="170">
        <v>58677.68</v>
      </c>
      <c r="G201" s="170">
        <v>0</v>
      </c>
      <c r="H201" s="76">
        <v>0</v>
      </c>
      <c r="I201" s="76">
        <v>0</v>
      </c>
      <c r="J201" s="76">
        <v>0</v>
      </c>
      <c r="K201" s="76">
        <v>12322.32</v>
      </c>
      <c r="L201" s="76">
        <v>0</v>
      </c>
      <c r="M201" s="170">
        <v>0</v>
      </c>
      <c r="N201" s="170">
        <v>71000</v>
      </c>
    </row>
    <row r="202" spans="1:14" hidden="1">
      <c r="A202" s="74" t="s">
        <v>3435</v>
      </c>
      <c r="B202" s="75" t="s">
        <v>3448</v>
      </c>
      <c r="C202" s="76" t="s">
        <v>134</v>
      </c>
      <c r="D202" s="76" t="s">
        <v>135</v>
      </c>
      <c r="E202" s="76" t="s">
        <v>136</v>
      </c>
      <c r="F202" s="170">
        <v>11487.6</v>
      </c>
      <c r="G202" s="170">
        <v>0</v>
      </c>
      <c r="H202" s="76">
        <v>0</v>
      </c>
      <c r="I202" s="76">
        <v>0</v>
      </c>
      <c r="J202" s="76">
        <v>0</v>
      </c>
      <c r="K202" s="76">
        <v>2412.4</v>
      </c>
      <c r="L202" s="76">
        <v>0</v>
      </c>
      <c r="M202" s="170">
        <v>0</v>
      </c>
      <c r="N202" s="170">
        <v>13900</v>
      </c>
    </row>
    <row r="203" spans="1:14" hidden="1">
      <c r="A203" s="74" t="s">
        <v>3435</v>
      </c>
      <c r="B203" s="75" t="s">
        <v>3449</v>
      </c>
      <c r="C203" s="76" t="s">
        <v>134</v>
      </c>
      <c r="D203" s="76" t="s">
        <v>135</v>
      </c>
      <c r="E203" s="76" t="s">
        <v>136</v>
      </c>
      <c r="F203" s="170">
        <v>21487.599999999999</v>
      </c>
      <c r="G203" s="170">
        <v>0</v>
      </c>
      <c r="H203" s="76">
        <v>0</v>
      </c>
      <c r="I203" s="76">
        <v>0</v>
      </c>
      <c r="J203" s="76">
        <v>0</v>
      </c>
      <c r="K203" s="76">
        <v>4512.4000000000005</v>
      </c>
      <c r="L203" s="76">
        <v>0</v>
      </c>
      <c r="M203" s="170">
        <v>0</v>
      </c>
      <c r="N203" s="170">
        <v>26000</v>
      </c>
    </row>
    <row r="204" spans="1:14" hidden="1">
      <c r="A204" s="74" t="s">
        <v>3435</v>
      </c>
      <c r="B204" s="75" t="s">
        <v>3450</v>
      </c>
      <c r="C204" s="76" t="s">
        <v>134</v>
      </c>
      <c r="D204" s="76" t="s">
        <v>135</v>
      </c>
      <c r="E204" s="76" t="s">
        <v>136</v>
      </c>
      <c r="F204" s="170">
        <v>18181.82</v>
      </c>
      <c r="G204" s="170">
        <v>0</v>
      </c>
      <c r="H204" s="76">
        <v>0</v>
      </c>
      <c r="I204" s="76">
        <v>0</v>
      </c>
      <c r="J204" s="76">
        <v>0</v>
      </c>
      <c r="K204" s="76">
        <v>3818.18</v>
      </c>
      <c r="L204" s="76">
        <v>0</v>
      </c>
      <c r="M204" s="170">
        <v>0</v>
      </c>
      <c r="N204" s="170">
        <v>22000</v>
      </c>
    </row>
    <row r="205" spans="1:14" hidden="1">
      <c r="A205" s="74" t="s">
        <v>3435</v>
      </c>
      <c r="B205" s="75" t="s">
        <v>3451</v>
      </c>
      <c r="C205" s="76" t="s">
        <v>134</v>
      </c>
      <c r="D205" s="76" t="s">
        <v>135</v>
      </c>
      <c r="E205" s="76" t="s">
        <v>136</v>
      </c>
      <c r="F205" s="170">
        <v>36363.64</v>
      </c>
      <c r="G205" s="170">
        <v>0</v>
      </c>
      <c r="H205" s="76">
        <v>0</v>
      </c>
      <c r="I205" s="76">
        <v>0</v>
      </c>
      <c r="J205" s="76">
        <v>0</v>
      </c>
      <c r="K205" s="76">
        <v>7636.36</v>
      </c>
      <c r="L205" s="76">
        <v>0</v>
      </c>
      <c r="M205" s="170">
        <v>0</v>
      </c>
      <c r="N205" s="170">
        <v>44000</v>
      </c>
    </row>
    <row r="206" spans="1:14">
      <c r="A206" s="74" t="s">
        <v>3435</v>
      </c>
      <c r="B206" s="75" t="s">
        <v>3452</v>
      </c>
      <c r="C206" s="76" t="s">
        <v>3453</v>
      </c>
      <c r="D206" s="76" t="s">
        <v>135</v>
      </c>
      <c r="E206" s="76">
        <v>13805301</v>
      </c>
      <c r="F206" s="170">
        <v>114876.03</v>
      </c>
      <c r="G206" s="170">
        <v>0</v>
      </c>
      <c r="H206" s="76">
        <v>0</v>
      </c>
      <c r="I206" s="76">
        <v>0</v>
      </c>
      <c r="J206" s="76">
        <v>0</v>
      </c>
      <c r="K206" s="76">
        <v>24123.97</v>
      </c>
      <c r="L206" s="76">
        <v>0</v>
      </c>
      <c r="M206" s="170">
        <v>0</v>
      </c>
      <c r="N206" s="170">
        <v>139000</v>
      </c>
    </row>
    <row r="207" spans="1:14" hidden="1">
      <c r="A207" s="74" t="s">
        <v>3470</v>
      </c>
      <c r="B207" s="75" t="s">
        <v>3471</v>
      </c>
      <c r="C207" s="76" t="s">
        <v>134</v>
      </c>
      <c r="D207" s="76" t="s">
        <v>135</v>
      </c>
      <c r="E207" s="76" t="s">
        <v>136</v>
      </c>
      <c r="F207" s="170">
        <v>10743.8</v>
      </c>
      <c r="G207" s="170">
        <v>0</v>
      </c>
      <c r="H207" s="76">
        <v>0</v>
      </c>
      <c r="I207" s="76">
        <v>0</v>
      </c>
      <c r="J207" s="76">
        <v>0</v>
      </c>
      <c r="K207" s="76">
        <v>2256.2000000000003</v>
      </c>
      <c r="L207" s="76">
        <v>0</v>
      </c>
      <c r="M207" s="170">
        <v>0</v>
      </c>
      <c r="N207" s="170">
        <v>13000</v>
      </c>
    </row>
    <row r="208" spans="1:14" hidden="1">
      <c r="A208" s="74" t="s">
        <v>3470</v>
      </c>
      <c r="B208" s="75" t="s">
        <v>3472</v>
      </c>
      <c r="C208" s="76" t="s">
        <v>134</v>
      </c>
      <c r="D208" s="76" t="s">
        <v>135</v>
      </c>
      <c r="E208" s="76" t="s">
        <v>136</v>
      </c>
      <c r="F208" s="170">
        <v>13223.14</v>
      </c>
      <c r="G208" s="170">
        <v>0</v>
      </c>
      <c r="H208" s="76">
        <v>0</v>
      </c>
      <c r="I208" s="76">
        <v>0</v>
      </c>
      <c r="J208" s="76">
        <v>0</v>
      </c>
      <c r="K208" s="76">
        <v>2776.86</v>
      </c>
      <c r="L208" s="76">
        <v>0</v>
      </c>
      <c r="M208" s="170">
        <v>0</v>
      </c>
      <c r="N208" s="170">
        <v>16000</v>
      </c>
    </row>
    <row r="209" spans="1:14" hidden="1">
      <c r="A209" s="74" t="s">
        <v>3470</v>
      </c>
      <c r="B209" s="75" t="s">
        <v>3473</v>
      </c>
      <c r="C209" s="76" t="s">
        <v>134</v>
      </c>
      <c r="D209" s="76" t="s">
        <v>135</v>
      </c>
      <c r="E209" s="76" t="s">
        <v>136</v>
      </c>
      <c r="F209" s="170">
        <v>42975.21</v>
      </c>
      <c r="G209" s="170">
        <v>0</v>
      </c>
      <c r="H209" s="76">
        <v>0</v>
      </c>
      <c r="I209" s="76">
        <v>0</v>
      </c>
      <c r="J209" s="76">
        <v>0</v>
      </c>
      <c r="K209" s="76">
        <v>9024.7900000000009</v>
      </c>
      <c r="L209" s="76">
        <v>0</v>
      </c>
      <c r="M209" s="170">
        <v>0</v>
      </c>
      <c r="N209" s="170">
        <v>52000</v>
      </c>
    </row>
    <row r="210" spans="1:14" hidden="1">
      <c r="A210" s="74" t="s">
        <v>3470</v>
      </c>
      <c r="B210" s="75" t="s">
        <v>3474</v>
      </c>
      <c r="C210" s="76" t="s">
        <v>134</v>
      </c>
      <c r="D210" s="76" t="s">
        <v>135</v>
      </c>
      <c r="E210" s="76" t="s">
        <v>136</v>
      </c>
      <c r="F210" s="170">
        <v>10743.8</v>
      </c>
      <c r="G210" s="170">
        <v>0</v>
      </c>
      <c r="H210" s="76">
        <v>0</v>
      </c>
      <c r="I210" s="76">
        <v>0</v>
      </c>
      <c r="J210" s="76">
        <v>0</v>
      </c>
      <c r="K210" s="76">
        <v>2256.2000000000003</v>
      </c>
      <c r="L210" s="76">
        <v>0</v>
      </c>
      <c r="M210" s="170">
        <v>0</v>
      </c>
      <c r="N210" s="170">
        <v>13000</v>
      </c>
    </row>
    <row r="211" spans="1:14" hidden="1">
      <c r="A211" s="74" t="s">
        <v>3470</v>
      </c>
      <c r="B211" s="75" t="s">
        <v>3475</v>
      </c>
      <c r="C211" s="76" t="s">
        <v>134</v>
      </c>
      <c r="D211" s="76" t="s">
        <v>135</v>
      </c>
      <c r="E211" s="76" t="s">
        <v>136</v>
      </c>
      <c r="F211" s="170">
        <v>15619.83</v>
      </c>
      <c r="G211" s="170">
        <v>0</v>
      </c>
      <c r="H211" s="76">
        <v>0</v>
      </c>
      <c r="I211" s="76">
        <v>0</v>
      </c>
      <c r="J211" s="76">
        <v>0</v>
      </c>
      <c r="K211" s="76">
        <v>3280.17</v>
      </c>
      <c r="L211" s="76">
        <v>0</v>
      </c>
      <c r="M211" s="170">
        <v>0</v>
      </c>
      <c r="N211" s="170">
        <v>18900</v>
      </c>
    </row>
    <row r="212" spans="1:14">
      <c r="A212" s="74" t="s">
        <v>3470</v>
      </c>
      <c r="B212" s="75" t="s">
        <v>3476</v>
      </c>
      <c r="C212" s="76" t="s">
        <v>3477</v>
      </c>
      <c r="D212" s="76" t="s">
        <v>135</v>
      </c>
      <c r="E212" s="76">
        <v>40985936</v>
      </c>
      <c r="F212" s="170">
        <v>26033.06</v>
      </c>
      <c r="G212" s="170">
        <v>0</v>
      </c>
      <c r="H212" s="76">
        <v>0</v>
      </c>
      <c r="I212" s="76">
        <v>0</v>
      </c>
      <c r="J212" s="76">
        <v>0</v>
      </c>
      <c r="K212" s="76">
        <v>5466.94</v>
      </c>
      <c r="L212" s="76">
        <v>0</v>
      </c>
      <c r="M212" s="170">
        <v>0</v>
      </c>
      <c r="N212" s="170">
        <v>31500</v>
      </c>
    </row>
    <row r="213" spans="1:14" hidden="1">
      <c r="A213" s="74" t="s">
        <v>3470</v>
      </c>
      <c r="B213" s="75" t="s">
        <v>3478</v>
      </c>
      <c r="C213" s="76" t="s">
        <v>134</v>
      </c>
      <c r="D213" s="76" t="s">
        <v>135</v>
      </c>
      <c r="E213" s="76" t="s">
        <v>136</v>
      </c>
      <c r="F213" s="170">
        <v>10743.8</v>
      </c>
      <c r="G213" s="170">
        <v>0</v>
      </c>
      <c r="H213" s="76">
        <v>0</v>
      </c>
      <c r="I213" s="76">
        <v>0</v>
      </c>
      <c r="J213" s="76">
        <v>0</v>
      </c>
      <c r="K213" s="76">
        <v>2256.2000000000003</v>
      </c>
      <c r="L213" s="76">
        <v>0</v>
      </c>
      <c r="M213" s="170">
        <v>0</v>
      </c>
      <c r="N213" s="170">
        <v>13000</v>
      </c>
    </row>
    <row r="214" spans="1:14" hidden="1">
      <c r="A214" s="74" t="s">
        <v>3470</v>
      </c>
      <c r="B214" s="75" t="s">
        <v>3479</v>
      </c>
      <c r="C214" s="76" t="s">
        <v>134</v>
      </c>
      <c r="D214" s="76" t="s">
        <v>135</v>
      </c>
      <c r="E214" s="76" t="s">
        <v>136</v>
      </c>
      <c r="F214" s="170">
        <v>20661.16</v>
      </c>
      <c r="G214" s="170">
        <v>0</v>
      </c>
      <c r="H214" s="76">
        <v>0</v>
      </c>
      <c r="I214" s="76">
        <v>0</v>
      </c>
      <c r="J214" s="76">
        <v>0</v>
      </c>
      <c r="K214" s="76">
        <v>4338.84</v>
      </c>
      <c r="L214" s="76">
        <v>0</v>
      </c>
      <c r="M214" s="170">
        <v>0</v>
      </c>
      <c r="N214" s="170">
        <v>25000</v>
      </c>
    </row>
    <row r="215" spans="1:14" hidden="1">
      <c r="A215" s="74" t="s">
        <v>3470</v>
      </c>
      <c r="B215" s="75" t="s">
        <v>3480</v>
      </c>
      <c r="C215" s="76" t="s">
        <v>134</v>
      </c>
      <c r="D215" s="76" t="s">
        <v>135</v>
      </c>
      <c r="E215" s="76" t="s">
        <v>136</v>
      </c>
      <c r="F215" s="170">
        <v>21487.599999999999</v>
      </c>
      <c r="G215" s="170">
        <v>0</v>
      </c>
      <c r="H215" s="76">
        <v>0</v>
      </c>
      <c r="I215" s="76">
        <v>0</v>
      </c>
      <c r="J215" s="76">
        <v>0</v>
      </c>
      <c r="K215" s="76">
        <v>4512.4000000000005</v>
      </c>
      <c r="L215" s="76">
        <v>0</v>
      </c>
      <c r="M215" s="170">
        <v>0</v>
      </c>
      <c r="N215" s="170">
        <v>26000</v>
      </c>
    </row>
    <row r="216" spans="1:14" hidden="1">
      <c r="A216" s="74" t="s">
        <v>3470</v>
      </c>
      <c r="B216" s="75" t="s">
        <v>3481</v>
      </c>
      <c r="C216" s="76" t="s">
        <v>134</v>
      </c>
      <c r="D216" s="76" t="s">
        <v>135</v>
      </c>
      <c r="E216" s="76" t="s">
        <v>136</v>
      </c>
      <c r="F216" s="170">
        <v>58677.69</v>
      </c>
      <c r="G216" s="170">
        <v>0</v>
      </c>
      <c r="H216" s="76">
        <v>0</v>
      </c>
      <c r="I216" s="76">
        <v>0</v>
      </c>
      <c r="J216" s="76">
        <v>0</v>
      </c>
      <c r="K216" s="76">
        <v>12322.31</v>
      </c>
      <c r="L216" s="76">
        <v>0</v>
      </c>
      <c r="M216" s="170">
        <v>0</v>
      </c>
      <c r="N216" s="170">
        <v>71000</v>
      </c>
    </row>
    <row r="217" spans="1:14" hidden="1">
      <c r="A217" s="74" t="s">
        <v>3470</v>
      </c>
      <c r="B217" s="75" t="s">
        <v>3482</v>
      </c>
      <c r="C217" s="76" t="s">
        <v>134</v>
      </c>
      <c r="D217" s="76" t="s">
        <v>135</v>
      </c>
      <c r="E217" s="76" t="s">
        <v>136</v>
      </c>
      <c r="F217" s="170">
        <v>4958.68</v>
      </c>
      <c r="G217" s="170">
        <v>0</v>
      </c>
      <c r="H217" s="76">
        <v>0</v>
      </c>
      <c r="I217" s="76">
        <v>0</v>
      </c>
      <c r="J217" s="76">
        <v>0</v>
      </c>
      <c r="K217" s="76">
        <v>1041.32</v>
      </c>
      <c r="L217" s="76">
        <v>0</v>
      </c>
      <c r="M217" s="170">
        <v>0</v>
      </c>
      <c r="N217" s="170">
        <v>6000</v>
      </c>
    </row>
    <row r="218" spans="1:14" hidden="1">
      <c r="A218" s="74" t="s">
        <v>3470</v>
      </c>
      <c r="B218" s="75" t="s">
        <v>3483</v>
      </c>
      <c r="C218" s="76" t="s">
        <v>134</v>
      </c>
      <c r="D218" s="76" t="s">
        <v>135</v>
      </c>
      <c r="E218" s="76" t="s">
        <v>136</v>
      </c>
      <c r="F218" s="170">
        <v>14049.59</v>
      </c>
      <c r="G218" s="170">
        <v>0</v>
      </c>
      <c r="H218" s="76">
        <v>0</v>
      </c>
      <c r="I218" s="76">
        <v>0</v>
      </c>
      <c r="J218" s="76">
        <v>0</v>
      </c>
      <c r="K218" s="76">
        <v>2950.41</v>
      </c>
      <c r="L218" s="76">
        <v>0</v>
      </c>
      <c r="M218" s="170">
        <v>0</v>
      </c>
      <c r="N218" s="170">
        <v>17000</v>
      </c>
    </row>
    <row r="219" spans="1:14" hidden="1">
      <c r="A219" s="74" t="s">
        <v>3470</v>
      </c>
      <c r="B219" s="75" t="s">
        <v>3484</v>
      </c>
      <c r="C219" s="76" t="s">
        <v>134</v>
      </c>
      <c r="D219" s="76" t="s">
        <v>135</v>
      </c>
      <c r="E219" s="76" t="s">
        <v>136</v>
      </c>
      <c r="F219" s="170">
        <v>23471.07</v>
      </c>
      <c r="G219" s="170">
        <v>0</v>
      </c>
      <c r="H219" s="76">
        <v>0</v>
      </c>
      <c r="I219" s="76">
        <v>0</v>
      </c>
      <c r="J219" s="76">
        <v>0</v>
      </c>
      <c r="K219" s="76">
        <v>4928.93</v>
      </c>
      <c r="L219" s="76">
        <v>0</v>
      </c>
      <c r="M219" s="170">
        <v>0</v>
      </c>
      <c r="N219" s="170">
        <v>28400</v>
      </c>
    </row>
    <row r="220" spans="1:14" hidden="1">
      <c r="A220" s="74" t="s">
        <v>3470</v>
      </c>
      <c r="B220" s="75" t="s">
        <v>3485</v>
      </c>
      <c r="C220" s="76" t="s">
        <v>134</v>
      </c>
      <c r="D220" s="76" t="s">
        <v>135</v>
      </c>
      <c r="E220" s="76" t="s">
        <v>136</v>
      </c>
      <c r="F220" s="170">
        <v>28925.62</v>
      </c>
      <c r="G220" s="170">
        <v>0</v>
      </c>
      <c r="H220" s="76">
        <v>0</v>
      </c>
      <c r="I220" s="76">
        <v>0</v>
      </c>
      <c r="J220" s="76">
        <v>0</v>
      </c>
      <c r="K220" s="76">
        <v>6074.38</v>
      </c>
      <c r="L220" s="76">
        <v>0</v>
      </c>
      <c r="M220" s="170">
        <v>0</v>
      </c>
      <c r="N220" s="170">
        <v>35000</v>
      </c>
    </row>
    <row r="221" spans="1:14" hidden="1">
      <c r="A221" s="74" t="s">
        <v>3493</v>
      </c>
      <c r="B221" s="75" t="s">
        <v>3494</v>
      </c>
      <c r="C221" s="76" t="s">
        <v>134</v>
      </c>
      <c r="D221" s="76" t="s">
        <v>135</v>
      </c>
      <c r="E221" s="76" t="s">
        <v>136</v>
      </c>
      <c r="F221" s="170">
        <v>10743.8</v>
      </c>
      <c r="G221" s="170">
        <v>0</v>
      </c>
      <c r="H221" s="76">
        <v>0</v>
      </c>
      <c r="I221" s="76">
        <v>0</v>
      </c>
      <c r="J221" s="76">
        <v>0</v>
      </c>
      <c r="K221" s="76">
        <v>2256.2000000000003</v>
      </c>
      <c r="L221" s="76">
        <v>0</v>
      </c>
      <c r="M221" s="170">
        <v>0</v>
      </c>
      <c r="N221" s="170">
        <v>13000</v>
      </c>
    </row>
    <row r="222" spans="1:14">
      <c r="A222" s="74" t="s">
        <v>3493</v>
      </c>
      <c r="B222" s="75" t="s">
        <v>3495</v>
      </c>
      <c r="C222" s="76" t="s">
        <v>3496</v>
      </c>
      <c r="D222" s="76" t="s">
        <v>135</v>
      </c>
      <c r="E222" s="76">
        <v>19076433</v>
      </c>
      <c r="F222" s="170">
        <v>41322.31</v>
      </c>
      <c r="G222" s="170">
        <v>0</v>
      </c>
      <c r="H222" s="76">
        <v>0</v>
      </c>
      <c r="I222" s="76">
        <v>0</v>
      </c>
      <c r="J222" s="76">
        <v>0</v>
      </c>
      <c r="K222" s="76">
        <v>8677.69</v>
      </c>
      <c r="L222" s="76">
        <v>0</v>
      </c>
      <c r="M222" s="170">
        <v>0</v>
      </c>
      <c r="N222" s="170">
        <v>50000</v>
      </c>
    </row>
    <row r="223" spans="1:14" hidden="1">
      <c r="A223" s="74" t="s">
        <v>3493</v>
      </c>
      <c r="B223" s="75" t="s">
        <v>3497</v>
      </c>
      <c r="C223" s="76" t="s">
        <v>134</v>
      </c>
      <c r="D223" s="76" t="s">
        <v>135</v>
      </c>
      <c r="E223" s="76" t="s">
        <v>136</v>
      </c>
      <c r="F223" s="170">
        <v>10743.8</v>
      </c>
      <c r="G223" s="170">
        <v>0</v>
      </c>
      <c r="H223" s="76">
        <v>0</v>
      </c>
      <c r="I223" s="76">
        <v>0</v>
      </c>
      <c r="J223" s="76">
        <v>0</v>
      </c>
      <c r="K223" s="76">
        <v>2256.2000000000003</v>
      </c>
      <c r="L223" s="76">
        <v>0</v>
      </c>
      <c r="M223" s="170">
        <v>0</v>
      </c>
      <c r="N223" s="170">
        <v>13000</v>
      </c>
    </row>
    <row r="224" spans="1:14" hidden="1">
      <c r="A224" s="74" t="s">
        <v>3493</v>
      </c>
      <c r="B224" s="75" t="s">
        <v>3498</v>
      </c>
      <c r="C224" s="76" t="s">
        <v>134</v>
      </c>
      <c r="D224" s="76" t="s">
        <v>135</v>
      </c>
      <c r="E224" s="76" t="s">
        <v>136</v>
      </c>
      <c r="F224" s="170">
        <v>3471.07</v>
      </c>
      <c r="G224" s="170">
        <v>0</v>
      </c>
      <c r="H224" s="76">
        <v>0</v>
      </c>
      <c r="I224" s="76">
        <v>0</v>
      </c>
      <c r="J224" s="76">
        <v>0</v>
      </c>
      <c r="K224" s="76">
        <v>728.93</v>
      </c>
      <c r="L224" s="76">
        <v>0</v>
      </c>
      <c r="M224" s="170">
        <v>0</v>
      </c>
      <c r="N224" s="170">
        <v>4200</v>
      </c>
    </row>
    <row r="225" spans="1:14" hidden="1">
      <c r="A225" s="74" t="s">
        <v>3493</v>
      </c>
      <c r="B225" s="75" t="s">
        <v>3499</v>
      </c>
      <c r="C225" s="76" t="s">
        <v>134</v>
      </c>
      <c r="D225" s="76" t="s">
        <v>135</v>
      </c>
      <c r="E225" s="76" t="s">
        <v>136</v>
      </c>
      <c r="F225" s="170">
        <v>11487.6</v>
      </c>
      <c r="G225" s="170">
        <v>0</v>
      </c>
      <c r="H225" s="76">
        <v>0</v>
      </c>
      <c r="I225" s="76">
        <v>0</v>
      </c>
      <c r="J225" s="76">
        <v>0</v>
      </c>
      <c r="K225" s="76">
        <v>2412.4</v>
      </c>
      <c r="L225" s="76">
        <v>0</v>
      </c>
      <c r="M225" s="170">
        <v>0</v>
      </c>
      <c r="N225" s="170">
        <v>13900</v>
      </c>
    </row>
    <row r="226" spans="1:14" hidden="1">
      <c r="A226" s="74" t="s">
        <v>3493</v>
      </c>
      <c r="B226" s="75" t="s">
        <v>3500</v>
      </c>
      <c r="C226" s="76" t="s">
        <v>134</v>
      </c>
      <c r="D226" s="76" t="s">
        <v>135</v>
      </c>
      <c r="E226" s="76" t="s">
        <v>136</v>
      </c>
      <c r="F226" s="170">
        <v>17644.63</v>
      </c>
      <c r="G226" s="170">
        <v>0</v>
      </c>
      <c r="H226" s="76">
        <v>0</v>
      </c>
      <c r="I226" s="76">
        <v>0</v>
      </c>
      <c r="J226" s="76">
        <v>0</v>
      </c>
      <c r="K226" s="76">
        <v>3705.37</v>
      </c>
      <c r="L226" s="76">
        <v>0</v>
      </c>
      <c r="M226" s="170">
        <v>0</v>
      </c>
      <c r="N226" s="170">
        <v>21350</v>
      </c>
    </row>
    <row r="227" spans="1:14" hidden="1">
      <c r="A227" s="74" t="s">
        <v>3493</v>
      </c>
      <c r="B227" s="75" t="s">
        <v>3501</v>
      </c>
      <c r="C227" s="76" t="s">
        <v>134</v>
      </c>
      <c r="D227" s="76" t="s">
        <v>135</v>
      </c>
      <c r="E227" s="76" t="s">
        <v>136</v>
      </c>
      <c r="F227" s="170">
        <v>21487.599999999999</v>
      </c>
      <c r="G227" s="170">
        <v>0</v>
      </c>
      <c r="H227" s="76">
        <v>0</v>
      </c>
      <c r="I227" s="76">
        <v>0</v>
      </c>
      <c r="J227" s="76">
        <v>0</v>
      </c>
      <c r="K227" s="76">
        <v>4512.4000000000005</v>
      </c>
      <c r="L227" s="76">
        <v>0</v>
      </c>
      <c r="M227" s="170">
        <v>0</v>
      </c>
      <c r="N227" s="170">
        <v>26000</v>
      </c>
    </row>
    <row r="228" spans="1:14" hidden="1">
      <c r="A228" s="74" t="s">
        <v>3493</v>
      </c>
      <c r="B228" s="75" t="s">
        <v>3502</v>
      </c>
      <c r="C228" s="76" t="s">
        <v>134</v>
      </c>
      <c r="D228" s="76" t="s">
        <v>135</v>
      </c>
      <c r="E228" s="76" t="s">
        <v>136</v>
      </c>
      <c r="F228" s="170">
        <v>12396.69</v>
      </c>
      <c r="G228" s="170">
        <v>0</v>
      </c>
      <c r="H228" s="76">
        <v>0</v>
      </c>
      <c r="I228" s="76">
        <v>0</v>
      </c>
      <c r="J228" s="76">
        <v>0</v>
      </c>
      <c r="K228" s="76">
        <v>2603.31</v>
      </c>
      <c r="L228" s="76">
        <v>0</v>
      </c>
      <c r="M228" s="170">
        <v>0</v>
      </c>
      <c r="N228" s="170">
        <v>15000</v>
      </c>
    </row>
    <row r="229" spans="1:14" hidden="1">
      <c r="A229" s="74" t="s">
        <v>3493</v>
      </c>
      <c r="B229" s="75" t="s">
        <v>3503</v>
      </c>
      <c r="C229" s="76" t="s">
        <v>134</v>
      </c>
      <c r="D229" s="76" t="s">
        <v>135</v>
      </c>
      <c r="E229" s="76" t="s">
        <v>136</v>
      </c>
      <c r="F229" s="170">
        <v>19834.71</v>
      </c>
      <c r="G229" s="170">
        <v>0</v>
      </c>
      <c r="H229" s="76">
        <v>0</v>
      </c>
      <c r="I229" s="76">
        <v>0</v>
      </c>
      <c r="J229" s="76">
        <v>0</v>
      </c>
      <c r="K229" s="76">
        <v>4165.29</v>
      </c>
      <c r="L229" s="76">
        <v>0</v>
      </c>
      <c r="M229" s="170">
        <v>0</v>
      </c>
      <c r="N229" s="170">
        <v>24000</v>
      </c>
    </row>
    <row r="230" spans="1:14" hidden="1">
      <c r="A230" s="74" t="s">
        <v>3515</v>
      </c>
      <c r="B230" s="75" t="s">
        <v>3516</v>
      </c>
      <c r="C230" s="76" t="s">
        <v>134</v>
      </c>
      <c r="D230" s="76" t="s">
        <v>135</v>
      </c>
      <c r="E230" s="76" t="s">
        <v>136</v>
      </c>
      <c r="F230" s="170">
        <v>29338.84</v>
      </c>
      <c r="G230" s="170">
        <v>0</v>
      </c>
      <c r="H230" s="76">
        <v>0</v>
      </c>
      <c r="I230" s="76">
        <v>0</v>
      </c>
      <c r="J230" s="76">
        <v>0</v>
      </c>
      <c r="K230" s="76">
        <v>6161.16</v>
      </c>
      <c r="L230" s="76">
        <v>0</v>
      </c>
      <c r="M230" s="170">
        <v>0</v>
      </c>
      <c r="N230" s="170">
        <v>35500</v>
      </c>
    </row>
    <row r="231" spans="1:14" hidden="1">
      <c r="A231" s="74" t="s">
        <v>3515</v>
      </c>
      <c r="B231" s="75" t="s">
        <v>3517</v>
      </c>
      <c r="C231" s="76" t="s">
        <v>134</v>
      </c>
      <c r="D231" s="76" t="s">
        <v>135</v>
      </c>
      <c r="E231" s="76" t="s">
        <v>136</v>
      </c>
      <c r="F231" s="170">
        <v>29338.84</v>
      </c>
      <c r="G231" s="170">
        <v>0</v>
      </c>
      <c r="H231" s="76">
        <v>0</v>
      </c>
      <c r="I231" s="76">
        <v>0</v>
      </c>
      <c r="J231" s="76">
        <v>0</v>
      </c>
      <c r="K231" s="76">
        <v>6161.16</v>
      </c>
      <c r="L231" s="76">
        <v>0</v>
      </c>
      <c r="M231" s="170">
        <v>0</v>
      </c>
      <c r="N231" s="170">
        <v>35500</v>
      </c>
    </row>
    <row r="232" spans="1:14" hidden="1">
      <c r="A232" s="74" t="s">
        <v>3515</v>
      </c>
      <c r="B232" s="75" t="s">
        <v>3518</v>
      </c>
      <c r="C232" s="76" t="s">
        <v>134</v>
      </c>
      <c r="D232" s="76" t="s">
        <v>135</v>
      </c>
      <c r="E232" s="76" t="s">
        <v>136</v>
      </c>
      <c r="F232" s="170">
        <v>10743.8</v>
      </c>
      <c r="G232" s="170">
        <v>0</v>
      </c>
      <c r="H232" s="76">
        <v>0</v>
      </c>
      <c r="I232" s="76">
        <v>0</v>
      </c>
      <c r="J232" s="76">
        <v>0</v>
      </c>
      <c r="K232" s="76">
        <v>2256.2000000000003</v>
      </c>
      <c r="L232" s="76">
        <v>0</v>
      </c>
      <c r="M232" s="170">
        <v>0</v>
      </c>
      <c r="N232" s="170">
        <v>13000</v>
      </c>
    </row>
    <row r="233" spans="1:14" hidden="1">
      <c r="A233" s="74" t="s">
        <v>3515</v>
      </c>
      <c r="B233" s="75" t="s">
        <v>3519</v>
      </c>
      <c r="C233" s="76" t="s">
        <v>134</v>
      </c>
      <c r="D233" s="76" t="s">
        <v>135</v>
      </c>
      <c r="E233" s="76" t="s">
        <v>136</v>
      </c>
      <c r="F233" s="170">
        <v>18181.82</v>
      </c>
      <c r="G233" s="170">
        <v>0</v>
      </c>
      <c r="H233" s="76">
        <v>0</v>
      </c>
      <c r="I233" s="76">
        <v>0</v>
      </c>
      <c r="J233" s="76">
        <v>0</v>
      </c>
      <c r="K233" s="76">
        <v>3818.18</v>
      </c>
      <c r="L233" s="76">
        <v>0</v>
      </c>
      <c r="M233" s="170">
        <v>0</v>
      </c>
      <c r="N233" s="170">
        <v>22000</v>
      </c>
    </row>
    <row r="234" spans="1:14" hidden="1">
      <c r="A234" s="74" t="s">
        <v>3515</v>
      </c>
      <c r="B234" s="75" t="s">
        <v>3520</v>
      </c>
      <c r="C234" s="76" t="s">
        <v>134</v>
      </c>
      <c r="D234" s="76" t="s">
        <v>135</v>
      </c>
      <c r="E234" s="76" t="s">
        <v>136</v>
      </c>
      <c r="F234" s="170">
        <v>10330.58</v>
      </c>
      <c r="G234" s="170">
        <v>0</v>
      </c>
      <c r="H234" s="76">
        <v>0</v>
      </c>
      <c r="I234" s="76">
        <v>0</v>
      </c>
      <c r="J234" s="76">
        <v>0</v>
      </c>
      <c r="K234" s="76">
        <v>2169.42</v>
      </c>
      <c r="L234" s="76">
        <v>0</v>
      </c>
      <c r="M234" s="170">
        <v>0</v>
      </c>
      <c r="N234" s="170">
        <v>12500</v>
      </c>
    </row>
    <row r="235" spans="1:14" hidden="1">
      <c r="A235" s="74" t="s">
        <v>3515</v>
      </c>
      <c r="B235" s="75" t="s">
        <v>3521</v>
      </c>
      <c r="C235" s="76" t="s">
        <v>134</v>
      </c>
      <c r="D235" s="76" t="s">
        <v>135</v>
      </c>
      <c r="E235" s="76" t="s">
        <v>136</v>
      </c>
      <c r="F235" s="170">
        <v>6074.38</v>
      </c>
      <c r="G235" s="170">
        <v>0</v>
      </c>
      <c r="H235" s="76">
        <v>0</v>
      </c>
      <c r="I235" s="76">
        <v>0</v>
      </c>
      <c r="J235" s="76">
        <v>0</v>
      </c>
      <c r="K235" s="76">
        <v>1275.6200000000001</v>
      </c>
      <c r="L235" s="76">
        <v>0</v>
      </c>
      <c r="M235" s="170">
        <v>0</v>
      </c>
      <c r="N235" s="170">
        <v>7350</v>
      </c>
    </row>
    <row r="236" spans="1:14" hidden="1">
      <c r="A236" s="74" t="s">
        <v>3515</v>
      </c>
      <c r="B236" s="75" t="s">
        <v>3522</v>
      </c>
      <c r="C236" s="76" t="s">
        <v>134</v>
      </c>
      <c r="D236" s="76" t="s">
        <v>135</v>
      </c>
      <c r="E236" s="76" t="s">
        <v>136</v>
      </c>
      <c r="F236" s="170">
        <v>8264.4600000000009</v>
      </c>
      <c r="G236" s="170">
        <v>0</v>
      </c>
      <c r="H236" s="76">
        <v>0</v>
      </c>
      <c r="I236" s="76">
        <v>0</v>
      </c>
      <c r="J236" s="76">
        <v>0</v>
      </c>
      <c r="K236" s="76">
        <v>1735.54</v>
      </c>
      <c r="L236" s="76">
        <v>0</v>
      </c>
      <c r="M236" s="170">
        <v>0</v>
      </c>
      <c r="N236" s="170">
        <v>10000</v>
      </c>
    </row>
    <row r="237" spans="1:14" hidden="1">
      <c r="A237" s="74" t="s">
        <v>3515</v>
      </c>
      <c r="B237" s="75" t="s">
        <v>3523</v>
      </c>
      <c r="C237" s="76" t="s">
        <v>134</v>
      </c>
      <c r="D237" s="76" t="s">
        <v>135</v>
      </c>
      <c r="E237" s="76" t="s">
        <v>136</v>
      </c>
      <c r="F237" s="170">
        <v>8264.4600000000009</v>
      </c>
      <c r="G237" s="170">
        <v>0</v>
      </c>
      <c r="H237" s="76">
        <v>0</v>
      </c>
      <c r="I237" s="76">
        <v>0</v>
      </c>
      <c r="J237" s="76">
        <v>0</v>
      </c>
      <c r="K237" s="76">
        <v>1735.54</v>
      </c>
      <c r="L237" s="76">
        <v>0</v>
      </c>
      <c r="M237" s="170">
        <v>0</v>
      </c>
      <c r="N237" s="170">
        <v>10000</v>
      </c>
    </row>
    <row r="238" spans="1:14" hidden="1">
      <c r="A238" s="74" t="s">
        <v>3515</v>
      </c>
      <c r="B238" s="75" t="s">
        <v>3524</v>
      </c>
      <c r="C238" s="76" t="s">
        <v>134</v>
      </c>
      <c r="D238" s="76" t="s">
        <v>135</v>
      </c>
      <c r="E238" s="76" t="s">
        <v>136</v>
      </c>
      <c r="F238" s="170">
        <v>42975.21</v>
      </c>
      <c r="G238" s="170">
        <v>0</v>
      </c>
      <c r="H238" s="76">
        <v>0</v>
      </c>
      <c r="I238" s="76">
        <v>0</v>
      </c>
      <c r="J238" s="76">
        <v>0</v>
      </c>
      <c r="K238" s="76">
        <v>9024.7900000000009</v>
      </c>
      <c r="L238" s="76">
        <v>0</v>
      </c>
      <c r="M238" s="170">
        <v>0</v>
      </c>
      <c r="N238" s="170">
        <v>52000</v>
      </c>
    </row>
    <row r="239" spans="1:14" hidden="1">
      <c r="A239" s="74" t="s">
        <v>3530</v>
      </c>
      <c r="B239" s="75" t="s">
        <v>3531</v>
      </c>
      <c r="C239" s="76" t="s">
        <v>134</v>
      </c>
      <c r="D239" s="76" t="s">
        <v>135</v>
      </c>
      <c r="E239" s="76" t="s">
        <v>136</v>
      </c>
      <c r="F239" s="170">
        <v>11487.6</v>
      </c>
      <c r="G239" s="170">
        <v>0</v>
      </c>
      <c r="H239" s="76">
        <v>0</v>
      </c>
      <c r="I239" s="76">
        <v>0</v>
      </c>
      <c r="J239" s="76">
        <v>0</v>
      </c>
      <c r="K239" s="76">
        <v>2412.4</v>
      </c>
      <c r="L239" s="76">
        <v>0</v>
      </c>
      <c r="M239" s="170">
        <v>0</v>
      </c>
      <c r="N239" s="170">
        <v>13900</v>
      </c>
    </row>
    <row r="240" spans="1:14" hidden="1">
      <c r="A240" s="74" t="s">
        <v>3530</v>
      </c>
      <c r="B240" s="75" t="s">
        <v>3532</v>
      </c>
      <c r="C240" s="76" t="s">
        <v>134</v>
      </c>
      <c r="D240" s="76" t="s">
        <v>135</v>
      </c>
      <c r="E240" s="76" t="s">
        <v>136</v>
      </c>
      <c r="F240" s="170">
        <v>10743.8</v>
      </c>
      <c r="G240" s="170">
        <v>0</v>
      </c>
      <c r="H240" s="76">
        <v>0</v>
      </c>
      <c r="I240" s="76">
        <v>0</v>
      </c>
      <c r="J240" s="76">
        <v>0</v>
      </c>
      <c r="K240" s="76">
        <v>2256.2000000000003</v>
      </c>
      <c r="L240" s="76">
        <v>0</v>
      </c>
      <c r="M240" s="170">
        <v>0</v>
      </c>
      <c r="N240" s="170">
        <v>13000</v>
      </c>
    </row>
    <row r="241" spans="1:14" hidden="1">
      <c r="A241" s="74" t="s">
        <v>3530</v>
      </c>
      <c r="B241" s="75" t="s">
        <v>3533</v>
      </c>
      <c r="C241" s="76" t="s">
        <v>134</v>
      </c>
      <c r="D241" s="76" t="s">
        <v>135</v>
      </c>
      <c r="E241" s="76" t="s">
        <v>136</v>
      </c>
      <c r="F241" s="170">
        <v>28925.62</v>
      </c>
      <c r="G241" s="170">
        <v>0</v>
      </c>
      <c r="H241" s="76">
        <v>0</v>
      </c>
      <c r="I241" s="76">
        <v>0</v>
      </c>
      <c r="J241" s="76">
        <v>0</v>
      </c>
      <c r="K241" s="76">
        <v>6074.38</v>
      </c>
      <c r="L241" s="76">
        <v>0</v>
      </c>
      <c r="M241" s="170">
        <v>0</v>
      </c>
      <c r="N241" s="170">
        <v>35000</v>
      </c>
    </row>
    <row r="242" spans="1:14" hidden="1">
      <c r="A242" s="74" t="s">
        <v>3530</v>
      </c>
      <c r="B242" s="75" t="s">
        <v>3534</v>
      </c>
      <c r="C242" s="76" t="s">
        <v>134</v>
      </c>
      <c r="D242" s="76" t="s">
        <v>135</v>
      </c>
      <c r="E242" s="76" t="s">
        <v>136</v>
      </c>
      <c r="F242" s="170">
        <v>10247.93</v>
      </c>
      <c r="G242" s="170">
        <v>0</v>
      </c>
      <c r="H242" s="76">
        <v>0</v>
      </c>
      <c r="I242" s="76">
        <v>0</v>
      </c>
      <c r="J242" s="76">
        <v>0</v>
      </c>
      <c r="K242" s="76">
        <v>2152.0700000000002</v>
      </c>
      <c r="L242" s="76">
        <v>0</v>
      </c>
      <c r="M242" s="170">
        <v>0</v>
      </c>
      <c r="N242" s="170">
        <v>12400</v>
      </c>
    </row>
    <row r="243" spans="1:14" hidden="1">
      <c r="A243" s="74" t="s">
        <v>3530</v>
      </c>
      <c r="B243" s="75" t="s">
        <v>3535</v>
      </c>
      <c r="C243" s="76" t="s">
        <v>134</v>
      </c>
      <c r="D243" s="76" t="s">
        <v>135</v>
      </c>
      <c r="E243" s="76" t="s">
        <v>136</v>
      </c>
      <c r="F243" s="170">
        <v>1652.89</v>
      </c>
      <c r="G243" s="170">
        <v>0</v>
      </c>
      <c r="H243" s="76">
        <v>0</v>
      </c>
      <c r="I243" s="76">
        <v>0</v>
      </c>
      <c r="J243" s="76">
        <v>0</v>
      </c>
      <c r="K243" s="76">
        <v>347.11</v>
      </c>
      <c r="L243" s="76">
        <v>0</v>
      </c>
      <c r="M243" s="170">
        <v>0</v>
      </c>
      <c r="N243" s="170">
        <v>2000</v>
      </c>
    </row>
    <row r="244" spans="1:14" hidden="1">
      <c r="A244" s="74" t="s">
        <v>3530</v>
      </c>
      <c r="B244" s="75" t="s">
        <v>3536</v>
      </c>
      <c r="C244" s="76" t="s">
        <v>134</v>
      </c>
      <c r="D244" s="76" t="s">
        <v>135</v>
      </c>
      <c r="E244" s="76" t="s">
        <v>136</v>
      </c>
      <c r="F244" s="170">
        <v>10743.8</v>
      </c>
      <c r="G244" s="170">
        <v>0</v>
      </c>
      <c r="H244" s="76">
        <v>0</v>
      </c>
      <c r="I244" s="76">
        <v>0</v>
      </c>
      <c r="J244" s="76">
        <v>0</v>
      </c>
      <c r="K244" s="76">
        <v>2256.2000000000003</v>
      </c>
      <c r="L244" s="76">
        <v>0</v>
      </c>
      <c r="M244" s="170">
        <v>0</v>
      </c>
      <c r="N244" s="170">
        <v>13000</v>
      </c>
    </row>
    <row r="245" spans="1:14" hidden="1">
      <c r="A245" s="74" t="s">
        <v>3530</v>
      </c>
      <c r="B245" s="75" t="s">
        <v>3537</v>
      </c>
      <c r="C245" s="76" t="s">
        <v>134</v>
      </c>
      <c r="D245" s="76" t="s">
        <v>135</v>
      </c>
      <c r="E245" s="76" t="s">
        <v>136</v>
      </c>
      <c r="F245" s="170">
        <v>2231.4</v>
      </c>
      <c r="G245" s="170">
        <v>0</v>
      </c>
      <c r="H245" s="76">
        <v>0</v>
      </c>
      <c r="I245" s="76">
        <v>0</v>
      </c>
      <c r="J245" s="76">
        <v>0</v>
      </c>
      <c r="K245" s="76">
        <v>468.6</v>
      </c>
      <c r="L245" s="76">
        <v>0</v>
      </c>
      <c r="M245" s="170">
        <v>0</v>
      </c>
      <c r="N245" s="170">
        <v>2700</v>
      </c>
    </row>
    <row r="246" spans="1:14" hidden="1">
      <c r="A246" s="74" t="s">
        <v>3530</v>
      </c>
      <c r="B246" s="75" t="s">
        <v>3538</v>
      </c>
      <c r="C246" s="76" t="s">
        <v>134</v>
      </c>
      <c r="D246" s="76" t="s">
        <v>135</v>
      </c>
      <c r="E246" s="76" t="s">
        <v>136</v>
      </c>
      <c r="F246" s="170">
        <v>28925.62</v>
      </c>
      <c r="G246" s="170">
        <v>0</v>
      </c>
      <c r="H246" s="76">
        <v>0</v>
      </c>
      <c r="I246" s="76">
        <v>0</v>
      </c>
      <c r="J246" s="76">
        <v>0</v>
      </c>
      <c r="K246" s="76">
        <v>6074.38</v>
      </c>
      <c r="L246" s="76">
        <v>0</v>
      </c>
      <c r="M246" s="170">
        <v>0</v>
      </c>
      <c r="N246" s="170">
        <v>35000</v>
      </c>
    </row>
    <row r="247" spans="1:14" hidden="1">
      <c r="A247" s="74" t="s">
        <v>3530</v>
      </c>
      <c r="B247" s="75" t="s">
        <v>3539</v>
      </c>
      <c r="C247" s="76" t="s">
        <v>134</v>
      </c>
      <c r="D247" s="76" t="s">
        <v>135</v>
      </c>
      <c r="E247" s="76" t="s">
        <v>136</v>
      </c>
      <c r="F247" s="170">
        <v>12396.69</v>
      </c>
      <c r="G247" s="170">
        <v>0</v>
      </c>
      <c r="H247" s="76">
        <v>0</v>
      </c>
      <c r="I247" s="76">
        <v>0</v>
      </c>
      <c r="J247" s="76">
        <v>0</v>
      </c>
      <c r="K247" s="76">
        <v>2603.31</v>
      </c>
      <c r="L247" s="76">
        <v>0</v>
      </c>
      <c r="M247" s="170">
        <v>0</v>
      </c>
      <c r="N247" s="170">
        <v>15000</v>
      </c>
    </row>
    <row r="248" spans="1:14" hidden="1">
      <c r="A248" s="74" t="s">
        <v>3530</v>
      </c>
      <c r="B248" s="75" t="s">
        <v>3540</v>
      </c>
      <c r="C248" s="76" t="s">
        <v>134</v>
      </c>
      <c r="D248" s="76" t="s">
        <v>135</v>
      </c>
      <c r="E248" s="76" t="s">
        <v>136</v>
      </c>
      <c r="F248" s="170">
        <v>25206.61</v>
      </c>
      <c r="G248" s="170">
        <v>0</v>
      </c>
      <c r="H248" s="76">
        <v>0</v>
      </c>
      <c r="I248" s="76">
        <v>0</v>
      </c>
      <c r="J248" s="76">
        <v>0</v>
      </c>
      <c r="K248" s="76">
        <v>5293.39</v>
      </c>
      <c r="L248" s="76">
        <v>0</v>
      </c>
      <c r="M248" s="170">
        <v>0</v>
      </c>
      <c r="N248" s="170">
        <v>30500</v>
      </c>
    </row>
    <row r="249" spans="1:14" hidden="1">
      <c r="A249" s="74" t="s">
        <v>3530</v>
      </c>
      <c r="B249" s="75" t="s">
        <v>3541</v>
      </c>
      <c r="C249" s="76" t="s">
        <v>134</v>
      </c>
      <c r="D249" s="76" t="s">
        <v>135</v>
      </c>
      <c r="E249" s="76" t="s">
        <v>136</v>
      </c>
      <c r="F249" s="170">
        <v>10743.8</v>
      </c>
      <c r="G249" s="170">
        <v>0</v>
      </c>
      <c r="H249" s="76">
        <v>0</v>
      </c>
      <c r="I249" s="76">
        <v>0</v>
      </c>
      <c r="J249" s="76">
        <v>0</v>
      </c>
      <c r="K249" s="76">
        <v>2256.2000000000003</v>
      </c>
      <c r="L249" s="76">
        <v>0</v>
      </c>
      <c r="M249" s="170">
        <v>0</v>
      </c>
      <c r="N249" s="170">
        <v>13000</v>
      </c>
    </row>
    <row r="250" spans="1:14" hidden="1">
      <c r="A250" s="74" t="s">
        <v>3530</v>
      </c>
      <c r="B250" s="75" t="s">
        <v>3542</v>
      </c>
      <c r="C250" s="76" t="s">
        <v>134</v>
      </c>
      <c r="D250" s="76" t="s">
        <v>135</v>
      </c>
      <c r="E250" s="76" t="s">
        <v>136</v>
      </c>
      <c r="F250" s="170">
        <v>12396.69</v>
      </c>
      <c r="G250" s="170">
        <v>0</v>
      </c>
      <c r="H250" s="76">
        <v>0</v>
      </c>
      <c r="I250" s="76">
        <v>0</v>
      </c>
      <c r="J250" s="76">
        <v>0</v>
      </c>
      <c r="K250" s="76">
        <v>2603.31</v>
      </c>
      <c r="L250" s="76">
        <v>0</v>
      </c>
      <c r="M250" s="170">
        <v>0</v>
      </c>
      <c r="N250" s="170">
        <v>15000</v>
      </c>
    </row>
    <row r="251" spans="1:14" hidden="1">
      <c r="A251" s="74" t="s">
        <v>3530</v>
      </c>
      <c r="B251" s="75" t="s">
        <v>3543</v>
      </c>
      <c r="C251" s="76" t="s">
        <v>134</v>
      </c>
      <c r="D251" s="76" t="s">
        <v>135</v>
      </c>
      <c r="E251" s="76" t="s">
        <v>136</v>
      </c>
      <c r="F251" s="170">
        <v>10661.16</v>
      </c>
      <c r="G251" s="170">
        <v>0</v>
      </c>
      <c r="H251" s="76">
        <v>0</v>
      </c>
      <c r="I251" s="76">
        <v>0</v>
      </c>
      <c r="J251" s="76">
        <v>0</v>
      </c>
      <c r="K251" s="76">
        <v>2238.84</v>
      </c>
      <c r="L251" s="76">
        <v>0</v>
      </c>
      <c r="M251" s="170">
        <v>0</v>
      </c>
      <c r="N251" s="170">
        <v>12900</v>
      </c>
    </row>
    <row r="252" spans="1:14" hidden="1">
      <c r="A252" s="74" t="s">
        <v>3530</v>
      </c>
      <c r="B252" s="75" t="s">
        <v>3544</v>
      </c>
      <c r="C252" s="76" t="s">
        <v>134</v>
      </c>
      <c r="D252" s="76" t="s">
        <v>135</v>
      </c>
      <c r="E252" s="76" t="s">
        <v>136</v>
      </c>
      <c r="F252" s="170">
        <v>53719.01</v>
      </c>
      <c r="G252" s="170">
        <v>0</v>
      </c>
      <c r="H252" s="76">
        <v>0</v>
      </c>
      <c r="I252" s="76">
        <v>0</v>
      </c>
      <c r="J252" s="76">
        <v>0</v>
      </c>
      <c r="K252" s="76">
        <v>11280.99</v>
      </c>
      <c r="L252" s="76">
        <v>0</v>
      </c>
      <c r="M252" s="170">
        <v>0</v>
      </c>
      <c r="N252" s="170">
        <v>65000</v>
      </c>
    </row>
    <row r="253" spans="1:14" hidden="1">
      <c r="A253" s="74" t="s">
        <v>3530</v>
      </c>
      <c r="B253" s="75" t="s">
        <v>3545</v>
      </c>
      <c r="C253" s="76" t="s">
        <v>134</v>
      </c>
      <c r="D253" s="76" t="s">
        <v>135</v>
      </c>
      <c r="E253" s="76" t="s">
        <v>136</v>
      </c>
      <c r="F253" s="170">
        <v>14669.42</v>
      </c>
      <c r="G253" s="170">
        <v>0</v>
      </c>
      <c r="H253" s="76">
        <v>0</v>
      </c>
      <c r="I253" s="76">
        <v>0</v>
      </c>
      <c r="J253" s="76">
        <v>0</v>
      </c>
      <c r="K253" s="76">
        <v>3080.58</v>
      </c>
      <c r="L253" s="76">
        <v>0</v>
      </c>
      <c r="M253" s="170">
        <v>0</v>
      </c>
      <c r="N253" s="170">
        <v>17750</v>
      </c>
    </row>
    <row r="254" spans="1:14" hidden="1">
      <c r="A254" s="74" t="s">
        <v>3530</v>
      </c>
      <c r="B254" s="75" t="s">
        <v>3546</v>
      </c>
      <c r="C254" s="76" t="s">
        <v>134</v>
      </c>
      <c r="D254" s="76" t="s">
        <v>135</v>
      </c>
      <c r="E254" s="76" t="s">
        <v>136</v>
      </c>
      <c r="F254" s="170">
        <v>24793.39</v>
      </c>
      <c r="G254" s="170">
        <v>0</v>
      </c>
      <c r="H254" s="76">
        <v>0</v>
      </c>
      <c r="I254" s="76">
        <v>0</v>
      </c>
      <c r="J254" s="76">
        <v>0</v>
      </c>
      <c r="K254" s="76">
        <v>5206.6099999999997</v>
      </c>
      <c r="L254" s="76">
        <v>0</v>
      </c>
      <c r="M254" s="170">
        <v>0</v>
      </c>
      <c r="N254" s="170">
        <v>30000</v>
      </c>
    </row>
    <row r="255" spans="1:14" hidden="1">
      <c r="A255" s="74" t="s">
        <v>3547</v>
      </c>
      <c r="B255" s="75" t="s">
        <v>3548</v>
      </c>
      <c r="C255" s="76" t="s">
        <v>134</v>
      </c>
      <c r="D255" s="76" t="s">
        <v>135</v>
      </c>
      <c r="E255" s="76" t="s">
        <v>136</v>
      </c>
      <c r="F255" s="170">
        <v>15909.09</v>
      </c>
      <c r="G255" s="170">
        <v>0</v>
      </c>
      <c r="H255" s="76">
        <v>0</v>
      </c>
      <c r="I255" s="76">
        <v>0</v>
      </c>
      <c r="J255" s="76">
        <v>0</v>
      </c>
      <c r="K255" s="76">
        <v>3340.91</v>
      </c>
      <c r="L255" s="76">
        <v>0</v>
      </c>
      <c r="M255" s="170">
        <v>0</v>
      </c>
      <c r="N255" s="170">
        <v>19250</v>
      </c>
    </row>
    <row r="256" spans="1:14" hidden="1">
      <c r="A256" s="74" t="s">
        <v>3547</v>
      </c>
      <c r="B256" s="75" t="s">
        <v>3549</v>
      </c>
      <c r="C256" s="76" t="s">
        <v>134</v>
      </c>
      <c r="D256" s="76" t="s">
        <v>135</v>
      </c>
      <c r="E256" s="76" t="s">
        <v>136</v>
      </c>
      <c r="F256" s="170">
        <v>16528.93</v>
      </c>
      <c r="G256" s="170">
        <v>0</v>
      </c>
      <c r="H256" s="76">
        <v>0</v>
      </c>
      <c r="I256" s="76">
        <v>0</v>
      </c>
      <c r="J256" s="76">
        <v>0</v>
      </c>
      <c r="K256" s="76">
        <v>3471.07</v>
      </c>
      <c r="L256" s="76">
        <v>0</v>
      </c>
      <c r="M256" s="170">
        <v>0</v>
      </c>
      <c r="N256" s="170">
        <v>20000</v>
      </c>
    </row>
    <row r="257" spans="1:14" hidden="1">
      <c r="A257" s="74" t="s">
        <v>3547</v>
      </c>
      <c r="B257" s="75" t="s">
        <v>3550</v>
      </c>
      <c r="C257" s="76" t="s">
        <v>134</v>
      </c>
      <c r="D257" s="76" t="s">
        <v>135</v>
      </c>
      <c r="E257" s="76" t="s">
        <v>136</v>
      </c>
      <c r="F257" s="170">
        <v>29338.84</v>
      </c>
      <c r="G257" s="170">
        <v>0</v>
      </c>
      <c r="H257" s="76">
        <v>0</v>
      </c>
      <c r="I257" s="76">
        <v>0</v>
      </c>
      <c r="J257" s="76">
        <v>0</v>
      </c>
      <c r="K257" s="76">
        <v>6161.16</v>
      </c>
      <c r="L257" s="76">
        <v>0</v>
      </c>
      <c r="M257" s="170">
        <v>0</v>
      </c>
      <c r="N257" s="170">
        <v>35500</v>
      </c>
    </row>
    <row r="258" spans="1:14" hidden="1">
      <c r="A258" s="74" t="s">
        <v>3547</v>
      </c>
      <c r="B258" s="75" t="s">
        <v>3551</v>
      </c>
      <c r="C258" s="76" t="s">
        <v>134</v>
      </c>
      <c r="D258" s="76" t="s">
        <v>135</v>
      </c>
      <c r="E258" s="76" t="s">
        <v>136</v>
      </c>
      <c r="F258" s="170">
        <v>53719.01</v>
      </c>
      <c r="G258" s="170">
        <v>0</v>
      </c>
      <c r="H258" s="76">
        <v>0</v>
      </c>
      <c r="I258" s="76">
        <v>0</v>
      </c>
      <c r="J258" s="76">
        <v>0</v>
      </c>
      <c r="K258" s="76">
        <v>11280.99</v>
      </c>
      <c r="L258" s="76">
        <v>0</v>
      </c>
      <c r="M258" s="170">
        <v>0</v>
      </c>
      <c r="N258" s="170">
        <v>65000</v>
      </c>
    </row>
    <row r="259" spans="1:14" hidden="1">
      <c r="A259" s="74" t="s">
        <v>3547</v>
      </c>
      <c r="B259" s="75" t="s">
        <v>3552</v>
      </c>
      <c r="C259" s="76" t="s">
        <v>134</v>
      </c>
      <c r="D259" s="76" t="s">
        <v>135</v>
      </c>
      <c r="E259" s="76" t="s">
        <v>136</v>
      </c>
      <c r="F259" s="170">
        <v>12809.92</v>
      </c>
      <c r="G259" s="170">
        <v>0</v>
      </c>
      <c r="H259" s="76">
        <v>0</v>
      </c>
      <c r="I259" s="76">
        <v>0</v>
      </c>
      <c r="J259" s="76">
        <v>0</v>
      </c>
      <c r="K259" s="76">
        <v>2690.08</v>
      </c>
      <c r="L259" s="76">
        <v>0</v>
      </c>
      <c r="M259" s="170">
        <v>0</v>
      </c>
      <c r="N259" s="170">
        <v>15500</v>
      </c>
    </row>
    <row r="260" spans="1:14" hidden="1">
      <c r="A260" s="74" t="s">
        <v>3547</v>
      </c>
      <c r="B260" s="75" t="s">
        <v>3553</v>
      </c>
      <c r="C260" s="76" t="s">
        <v>134</v>
      </c>
      <c r="D260" s="76" t="s">
        <v>135</v>
      </c>
      <c r="E260" s="76" t="s">
        <v>136</v>
      </c>
      <c r="F260" s="170">
        <v>10743.8</v>
      </c>
      <c r="G260" s="170">
        <v>0</v>
      </c>
      <c r="H260" s="76">
        <v>0</v>
      </c>
      <c r="I260" s="76">
        <v>0</v>
      </c>
      <c r="J260" s="76">
        <v>0</v>
      </c>
      <c r="K260" s="76">
        <v>2256.2000000000003</v>
      </c>
      <c r="L260" s="76">
        <v>0</v>
      </c>
      <c r="M260" s="170">
        <v>0</v>
      </c>
      <c r="N260" s="170">
        <v>13000</v>
      </c>
    </row>
    <row r="261" spans="1:14" hidden="1">
      <c r="A261" s="74" t="s">
        <v>3547</v>
      </c>
      <c r="B261" s="75" t="s">
        <v>3554</v>
      </c>
      <c r="C261" s="76" t="s">
        <v>134</v>
      </c>
      <c r="D261" s="76" t="s">
        <v>135</v>
      </c>
      <c r="E261" s="76" t="s">
        <v>136</v>
      </c>
      <c r="F261" s="170">
        <v>10743.8</v>
      </c>
      <c r="G261" s="170">
        <v>0</v>
      </c>
      <c r="H261" s="76">
        <v>0</v>
      </c>
      <c r="I261" s="76">
        <v>0</v>
      </c>
      <c r="J261" s="76">
        <v>0</v>
      </c>
      <c r="K261" s="76">
        <v>2256.2000000000003</v>
      </c>
      <c r="L261" s="76">
        <v>0</v>
      </c>
      <c r="M261" s="170">
        <v>0</v>
      </c>
      <c r="N261" s="170">
        <v>13000</v>
      </c>
    </row>
    <row r="262" spans="1:14" hidden="1">
      <c r="A262" s="74" t="s">
        <v>3547</v>
      </c>
      <c r="B262" s="75" t="s">
        <v>3555</v>
      </c>
      <c r="C262" s="76" t="s">
        <v>134</v>
      </c>
      <c r="D262" s="76" t="s">
        <v>135</v>
      </c>
      <c r="E262" s="76" t="s">
        <v>136</v>
      </c>
      <c r="F262" s="170">
        <v>19834.71</v>
      </c>
      <c r="G262" s="170">
        <v>0</v>
      </c>
      <c r="H262" s="76">
        <v>0</v>
      </c>
      <c r="I262" s="76">
        <v>0</v>
      </c>
      <c r="J262" s="76">
        <v>0</v>
      </c>
      <c r="K262" s="76">
        <v>4165.29</v>
      </c>
      <c r="L262" s="76">
        <v>0</v>
      </c>
      <c r="M262" s="170">
        <v>0</v>
      </c>
      <c r="N262" s="170">
        <v>24000</v>
      </c>
    </row>
    <row r="263" spans="1:14" hidden="1">
      <c r="A263" s="74" t="s">
        <v>3547</v>
      </c>
      <c r="B263" s="75" t="s">
        <v>3556</v>
      </c>
      <c r="C263" s="76" t="s">
        <v>134</v>
      </c>
      <c r="D263" s="76" t="s">
        <v>135</v>
      </c>
      <c r="E263" s="76" t="s">
        <v>136</v>
      </c>
      <c r="F263" s="170">
        <v>20661.16</v>
      </c>
      <c r="G263" s="170">
        <v>0</v>
      </c>
      <c r="H263" s="76">
        <v>0</v>
      </c>
      <c r="I263" s="76">
        <v>0</v>
      </c>
      <c r="J263" s="76">
        <v>0</v>
      </c>
      <c r="K263" s="76">
        <v>4338.84</v>
      </c>
      <c r="L263" s="76">
        <v>0</v>
      </c>
      <c r="M263" s="170">
        <v>0</v>
      </c>
      <c r="N263" s="170">
        <v>25000</v>
      </c>
    </row>
    <row r="264" spans="1:14" hidden="1">
      <c r="A264" s="74" t="s">
        <v>3547</v>
      </c>
      <c r="B264" s="75" t="s">
        <v>3557</v>
      </c>
      <c r="C264" s="76" t="s">
        <v>134</v>
      </c>
      <c r="D264" s="76" t="s">
        <v>135</v>
      </c>
      <c r="E264" s="76" t="s">
        <v>136</v>
      </c>
      <c r="F264" s="170">
        <v>10743.8</v>
      </c>
      <c r="G264" s="170">
        <v>0</v>
      </c>
      <c r="H264" s="76">
        <v>0</v>
      </c>
      <c r="I264" s="76">
        <v>0</v>
      </c>
      <c r="J264" s="76">
        <v>0</v>
      </c>
      <c r="K264" s="76">
        <v>2256.2000000000003</v>
      </c>
      <c r="L264" s="76">
        <v>0</v>
      </c>
      <c r="M264" s="170">
        <v>0</v>
      </c>
      <c r="N264" s="170">
        <v>13000</v>
      </c>
    </row>
    <row r="265" spans="1:14" hidden="1">
      <c r="A265" s="74" t="s">
        <v>3547</v>
      </c>
      <c r="B265" s="75" t="s">
        <v>3558</v>
      </c>
      <c r="C265" s="76" t="s">
        <v>134</v>
      </c>
      <c r="D265" s="76" t="s">
        <v>135</v>
      </c>
      <c r="E265" s="76" t="s">
        <v>136</v>
      </c>
      <c r="F265" s="170">
        <v>78512.400000000009</v>
      </c>
      <c r="G265" s="170">
        <v>0</v>
      </c>
      <c r="H265" s="76">
        <v>0</v>
      </c>
      <c r="I265" s="76">
        <v>0</v>
      </c>
      <c r="J265" s="76">
        <v>0</v>
      </c>
      <c r="K265" s="76">
        <v>16487.599999999999</v>
      </c>
      <c r="L265" s="76">
        <v>0</v>
      </c>
      <c r="M265" s="170">
        <v>0</v>
      </c>
      <c r="N265" s="170">
        <v>95000</v>
      </c>
    </row>
    <row r="266" spans="1:14" hidden="1">
      <c r="A266" s="74" t="s">
        <v>3547</v>
      </c>
      <c r="B266" s="75" t="s">
        <v>3559</v>
      </c>
      <c r="C266" s="76" t="s">
        <v>134</v>
      </c>
      <c r="D266" s="76" t="s">
        <v>135</v>
      </c>
      <c r="E266" s="76" t="s">
        <v>136</v>
      </c>
      <c r="F266" s="170">
        <v>14669.42</v>
      </c>
      <c r="G266" s="170">
        <v>0</v>
      </c>
      <c r="H266" s="76">
        <v>0</v>
      </c>
      <c r="I266" s="76">
        <v>0</v>
      </c>
      <c r="J266" s="76">
        <v>0</v>
      </c>
      <c r="K266" s="76">
        <v>3080.58</v>
      </c>
      <c r="L266" s="76">
        <v>0</v>
      </c>
      <c r="M266" s="170">
        <v>0</v>
      </c>
      <c r="N266" s="170">
        <v>17750</v>
      </c>
    </row>
    <row r="267" spans="1:14" hidden="1">
      <c r="A267" s="74" t="s">
        <v>3547</v>
      </c>
      <c r="B267" s="75" t="s">
        <v>3560</v>
      </c>
      <c r="C267" s="76" t="s">
        <v>134</v>
      </c>
      <c r="D267" s="76" t="s">
        <v>135</v>
      </c>
      <c r="E267" s="76" t="s">
        <v>136</v>
      </c>
      <c r="F267" s="170">
        <v>12809.92</v>
      </c>
      <c r="G267" s="170">
        <v>0</v>
      </c>
      <c r="H267" s="76">
        <v>0</v>
      </c>
      <c r="I267" s="76">
        <v>0</v>
      </c>
      <c r="J267" s="76">
        <v>0</v>
      </c>
      <c r="K267" s="76">
        <v>2690.08</v>
      </c>
      <c r="L267" s="76">
        <v>0</v>
      </c>
      <c r="M267" s="170">
        <v>0</v>
      </c>
      <c r="N267" s="170">
        <v>15500</v>
      </c>
    </row>
    <row r="268" spans="1:14" hidden="1">
      <c r="A268" s="74" t="s">
        <v>3547</v>
      </c>
      <c r="B268" s="75" t="s">
        <v>3561</v>
      </c>
      <c r="C268" s="76" t="s">
        <v>134</v>
      </c>
      <c r="D268" s="76" t="s">
        <v>135</v>
      </c>
      <c r="E268" s="76" t="s">
        <v>136</v>
      </c>
      <c r="F268" s="170">
        <v>12396.69</v>
      </c>
      <c r="G268" s="170">
        <v>0</v>
      </c>
      <c r="H268" s="76">
        <v>0</v>
      </c>
      <c r="I268" s="76">
        <v>0</v>
      </c>
      <c r="J268" s="76">
        <v>0</v>
      </c>
      <c r="K268" s="76">
        <v>2603.31</v>
      </c>
      <c r="L268" s="76">
        <v>0</v>
      </c>
      <c r="M268" s="170">
        <v>0</v>
      </c>
      <c r="N268" s="170">
        <v>15000</v>
      </c>
    </row>
    <row r="269" spans="1:14" hidden="1">
      <c r="A269" s="74" t="s">
        <v>3547</v>
      </c>
      <c r="B269" s="75" t="s">
        <v>3562</v>
      </c>
      <c r="C269" s="76" t="s">
        <v>134</v>
      </c>
      <c r="D269" s="76" t="s">
        <v>135</v>
      </c>
      <c r="E269" s="76" t="s">
        <v>136</v>
      </c>
      <c r="F269" s="170">
        <v>33057.85</v>
      </c>
      <c r="G269" s="170">
        <v>0</v>
      </c>
      <c r="H269" s="76">
        <v>0</v>
      </c>
      <c r="I269" s="76">
        <v>0</v>
      </c>
      <c r="J269" s="76">
        <v>0</v>
      </c>
      <c r="K269" s="76">
        <v>6942.15</v>
      </c>
      <c r="L269" s="76">
        <v>0</v>
      </c>
      <c r="M269" s="170">
        <v>0</v>
      </c>
      <c r="N269" s="170">
        <v>40000</v>
      </c>
    </row>
    <row r="270" spans="1:14">
      <c r="A270" s="74" t="s">
        <v>3547</v>
      </c>
      <c r="B270" s="75" t="s">
        <v>3563</v>
      </c>
      <c r="C270" s="76" t="s">
        <v>3564</v>
      </c>
      <c r="D270" s="76" t="s">
        <v>135</v>
      </c>
      <c r="E270" s="76">
        <v>5817253</v>
      </c>
      <c r="F270" s="170">
        <v>33057.85</v>
      </c>
      <c r="G270" s="170">
        <v>0</v>
      </c>
      <c r="H270" s="76">
        <v>0</v>
      </c>
      <c r="I270" s="76">
        <v>0</v>
      </c>
      <c r="J270" s="76">
        <v>0</v>
      </c>
      <c r="K270" s="76">
        <v>6942.15</v>
      </c>
      <c r="L270" s="76">
        <v>0</v>
      </c>
      <c r="M270" s="170">
        <v>0</v>
      </c>
      <c r="N270" s="170">
        <v>40000</v>
      </c>
    </row>
    <row r="271" spans="1:14" hidden="1">
      <c r="A271" s="74" t="s">
        <v>3547</v>
      </c>
      <c r="B271" s="75" t="s">
        <v>3565</v>
      </c>
      <c r="C271" s="76" t="s">
        <v>134</v>
      </c>
      <c r="D271" s="76" t="s">
        <v>135</v>
      </c>
      <c r="E271" s="76" t="s">
        <v>136</v>
      </c>
      <c r="F271" s="170">
        <v>29338.84</v>
      </c>
      <c r="G271" s="170">
        <v>0</v>
      </c>
      <c r="H271" s="76">
        <v>0</v>
      </c>
      <c r="I271" s="76">
        <v>0</v>
      </c>
      <c r="J271" s="76">
        <v>0</v>
      </c>
      <c r="K271" s="76">
        <v>6161.16</v>
      </c>
      <c r="L271" s="76">
        <v>0</v>
      </c>
      <c r="M271" s="170">
        <v>0</v>
      </c>
      <c r="N271" s="170">
        <v>35500</v>
      </c>
    </row>
    <row r="272" spans="1:14" hidden="1">
      <c r="A272" s="74" t="s">
        <v>3547</v>
      </c>
      <c r="B272" s="75" t="s">
        <v>3566</v>
      </c>
      <c r="C272" s="76" t="s">
        <v>134</v>
      </c>
      <c r="D272" s="76" t="s">
        <v>135</v>
      </c>
      <c r="E272" s="76" t="s">
        <v>136</v>
      </c>
      <c r="F272" s="170">
        <v>14876.03</v>
      </c>
      <c r="G272" s="170">
        <v>0</v>
      </c>
      <c r="H272" s="76">
        <v>0</v>
      </c>
      <c r="I272" s="76">
        <v>0</v>
      </c>
      <c r="J272" s="76">
        <v>0</v>
      </c>
      <c r="K272" s="76">
        <v>3123.97</v>
      </c>
      <c r="L272" s="76">
        <v>0</v>
      </c>
      <c r="M272" s="170">
        <v>0</v>
      </c>
      <c r="N272" s="170">
        <v>18000</v>
      </c>
    </row>
    <row r="273" spans="1:14" hidden="1">
      <c r="A273" s="74" t="s">
        <v>3547</v>
      </c>
      <c r="B273" s="75" t="s">
        <v>3567</v>
      </c>
      <c r="C273" s="76" t="s">
        <v>134</v>
      </c>
      <c r="D273" s="76" t="s">
        <v>135</v>
      </c>
      <c r="E273" s="76" t="s">
        <v>136</v>
      </c>
      <c r="F273" s="170">
        <v>7107.44</v>
      </c>
      <c r="G273" s="170">
        <v>0</v>
      </c>
      <c r="H273" s="76">
        <v>0</v>
      </c>
      <c r="I273" s="76">
        <v>0</v>
      </c>
      <c r="J273" s="76">
        <v>0</v>
      </c>
      <c r="K273" s="76">
        <v>1492.56</v>
      </c>
      <c r="L273" s="76">
        <v>0</v>
      </c>
      <c r="M273" s="170">
        <v>0</v>
      </c>
      <c r="N273" s="170">
        <v>8600</v>
      </c>
    </row>
    <row r="274" spans="1:14">
      <c r="A274" s="74" t="s">
        <v>3547</v>
      </c>
      <c r="B274" s="75" t="s">
        <v>3568</v>
      </c>
      <c r="C274" s="76" t="s">
        <v>3569</v>
      </c>
      <c r="D274" s="76" t="s">
        <v>135</v>
      </c>
      <c r="E274" s="76">
        <v>10424548</v>
      </c>
      <c r="F274" s="170">
        <v>53719.01</v>
      </c>
      <c r="G274" s="170">
        <v>0</v>
      </c>
      <c r="H274" s="76">
        <v>0</v>
      </c>
      <c r="I274" s="76">
        <v>0</v>
      </c>
      <c r="J274" s="76">
        <v>0</v>
      </c>
      <c r="K274" s="76">
        <v>11280.99</v>
      </c>
      <c r="L274" s="76">
        <v>0</v>
      </c>
      <c r="M274" s="170">
        <v>0</v>
      </c>
      <c r="N274" s="170">
        <v>65000</v>
      </c>
    </row>
    <row r="275" spans="1:14" hidden="1">
      <c r="A275" s="74" t="s">
        <v>3547</v>
      </c>
      <c r="B275" s="75" t="s">
        <v>3570</v>
      </c>
      <c r="C275" s="76" t="s">
        <v>134</v>
      </c>
      <c r="D275" s="76" t="s">
        <v>135</v>
      </c>
      <c r="E275" s="76" t="s">
        <v>136</v>
      </c>
      <c r="F275" s="170">
        <v>21487.599999999999</v>
      </c>
      <c r="G275" s="170">
        <v>0</v>
      </c>
      <c r="H275" s="76">
        <v>0</v>
      </c>
      <c r="I275" s="76">
        <v>0</v>
      </c>
      <c r="J275" s="76">
        <v>0</v>
      </c>
      <c r="K275" s="76">
        <v>4512.4000000000005</v>
      </c>
      <c r="L275" s="76">
        <v>0</v>
      </c>
      <c r="M275" s="170">
        <v>0</v>
      </c>
      <c r="N275" s="170">
        <v>26000</v>
      </c>
    </row>
    <row r="276" spans="1:14" hidden="1">
      <c r="A276" s="74" t="s">
        <v>3547</v>
      </c>
      <c r="B276" s="75" t="s">
        <v>3571</v>
      </c>
      <c r="C276" s="76" t="s">
        <v>134</v>
      </c>
      <c r="D276" s="76" t="s">
        <v>135</v>
      </c>
      <c r="E276" s="76" t="s">
        <v>136</v>
      </c>
      <c r="F276" s="170">
        <v>10743.8</v>
      </c>
      <c r="G276" s="170">
        <v>0</v>
      </c>
      <c r="H276" s="76">
        <v>0</v>
      </c>
      <c r="I276" s="76">
        <v>0</v>
      </c>
      <c r="J276" s="76">
        <v>0</v>
      </c>
      <c r="K276" s="76">
        <v>2256.2000000000003</v>
      </c>
      <c r="L276" s="76">
        <v>0</v>
      </c>
      <c r="M276" s="170">
        <v>0</v>
      </c>
      <c r="N276" s="170">
        <v>13000</v>
      </c>
    </row>
    <row r="277" spans="1:14" hidden="1">
      <c r="A277" s="74" t="s">
        <v>3547</v>
      </c>
      <c r="B277" s="75" t="s">
        <v>3572</v>
      </c>
      <c r="C277" s="76" t="s">
        <v>134</v>
      </c>
      <c r="D277" s="76" t="s">
        <v>135</v>
      </c>
      <c r="E277" s="76" t="s">
        <v>136</v>
      </c>
      <c r="F277" s="170">
        <v>8595.0400000000009</v>
      </c>
      <c r="G277" s="170">
        <v>0</v>
      </c>
      <c r="H277" s="76">
        <v>0</v>
      </c>
      <c r="I277" s="76">
        <v>0</v>
      </c>
      <c r="J277" s="76">
        <v>0</v>
      </c>
      <c r="K277" s="76">
        <v>1804.96</v>
      </c>
      <c r="L277" s="76">
        <v>0</v>
      </c>
      <c r="M277" s="170">
        <v>0</v>
      </c>
      <c r="N277" s="170">
        <v>10400</v>
      </c>
    </row>
    <row r="278" spans="1:14">
      <c r="A278" s="74" t="s">
        <v>3547</v>
      </c>
      <c r="B278" s="75" t="s">
        <v>3573</v>
      </c>
      <c r="C278" s="76" t="s">
        <v>3574</v>
      </c>
      <c r="D278" s="76" t="s">
        <v>135</v>
      </c>
      <c r="E278" s="76" t="s">
        <v>3575</v>
      </c>
      <c r="F278" s="170">
        <v>26446.28</v>
      </c>
      <c r="G278" s="170">
        <v>0</v>
      </c>
      <c r="H278" s="76">
        <v>0</v>
      </c>
      <c r="I278" s="76">
        <v>0</v>
      </c>
      <c r="J278" s="76">
        <v>0</v>
      </c>
      <c r="K278" s="76">
        <v>5553.72</v>
      </c>
      <c r="L278" s="76">
        <v>0</v>
      </c>
      <c r="M278" s="170">
        <v>0</v>
      </c>
      <c r="N278" s="170">
        <v>32000</v>
      </c>
    </row>
    <row r="279" spans="1:14">
      <c r="A279" s="74" t="s">
        <v>3547</v>
      </c>
      <c r="B279" s="75" t="s">
        <v>3576</v>
      </c>
      <c r="C279" s="76" t="s">
        <v>3574</v>
      </c>
      <c r="D279" s="76" t="s">
        <v>135</v>
      </c>
      <c r="E279" s="76">
        <v>12888728</v>
      </c>
      <c r="F279" s="170">
        <v>26446.28</v>
      </c>
      <c r="G279" s="170">
        <v>0</v>
      </c>
      <c r="H279" s="76">
        <v>0</v>
      </c>
      <c r="I279" s="76">
        <v>0</v>
      </c>
      <c r="J279" s="76">
        <v>0</v>
      </c>
      <c r="K279" s="76">
        <v>5553.72</v>
      </c>
      <c r="L279" s="76">
        <v>0</v>
      </c>
      <c r="M279" s="170">
        <v>0</v>
      </c>
      <c r="N279" s="170">
        <v>32000</v>
      </c>
    </row>
    <row r="280" spans="1:14" hidden="1">
      <c r="A280" s="74" t="s">
        <v>3583</v>
      </c>
      <c r="B280" s="75" t="s">
        <v>3585</v>
      </c>
      <c r="C280" s="76" t="s">
        <v>134</v>
      </c>
      <c r="D280" s="76" t="s">
        <v>135</v>
      </c>
      <c r="E280" s="76" t="s">
        <v>136</v>
      </c>
      <c r="F280" s="170">
        <v>33884.300000000003</v>
      </c>
      <c r="G280" s="170">
        <v>0</v>
      </c>
      <c r="H280" s="76">
        <v>0</v>
      </c>
      <c r="I280" s="76">
        <v>0</v>
      </c>
      <c r="J280" s="76">
        <v>0</v>
      </c>
      <c r="K280" s="76">
        <v>7115.7</v>
      </c>
      <c r="L280" s="76">
        <v>0</v>
      </c>
      <c r="M280" s="170">
        <v>0</v>
      </c>
      <c r="N280" s="170">
        <v>41000</v>
      </c>
    </row>
    <row r="281" spans="1:14" hidden="1">
      <c r="A281" s="74" t="s">
        <v>3583</v>
      </c>
      <c r="B281" s="75" t="s">
        <v>3586</v>
      </c>
      <c r="C281" s="76" t="s">
        <v>134</v>
      </c>
      <c r="D281" s="76" t="s">
        <v>135</v>
      </c>
      <c r="E281" s="76" t="s">
        <v>136</v>
      </c>
      <c r="F281" s="170">
        <v>15909.09</v>
      </c>
      <c r="G281" s="170">
        <v>0</v>
      </c>
      <c r="H281" s="76">
        <v>0</v>
      </c>
      <c r="I281" s="76">
        <v>0</v>
      </c>
      <c r="J281" s="76">
        <v>0</v>
      </c>
      <c r="K281" s="76">
        <v>3340.91</v>
      </c>
      <c r="L281" s="76">
        <v>0</v>
      </c>
      <c r="M281" s="170">
        <v>0</v>
      </c>
      <c r="N281" s="170">
        <v>19250</v>
      </c>
    </row>
    <row r="282" spans="1:14" hidden="1">
      <c r="A282" s="74" t="s">
        <v>3583</v>
      </c>
      <c r="B282" s="75" t="s">
        <v>3587</v>
      </c>
      <c r="C282" s="76" t="s">
        <v>134</v>
      </c>
      <c r="D282" s="76" t="s">
        <v>135</v>
      </c>
      <c r="E282" s="76" t="s">
        <v>136</v>
      </c>
      <c r="F282" s="170">
        <v>20661.16</v>
      </c>
      <c r="G282" s="170">
        <v>0</v>
      </c>
      <c r="H282" s="76">
        <v>0</v>
      </c>
      <c r="I282" s="76">
        <v>0</v>
      </c>
      <c r="J282" s="76">
        <v>0</v>
      </c>
      <c r="K282" s="76">
        <v>4338.84</v>
      </c>
      <c r="L282" s="76">
        <v>0</v>
      </c>
      <c r="M282" s="170">
        <v>0</v>
      </c>
      <c r="N282" s="170">
        <v>25000</v>
      </c>
    </row>
    <row r="283" spans="1:14" hidden="1">
      <c r="A283" s="74" t="s">
        <v>3583</v>
      </c>
      <c r="B283" s="75" t="s">
        <v>3588</v>
      </c>
      <c r="C283" s="76" t="s">
        <v>134</v>
      </c>
      <c r="D283" s="76" t="s">
        <v>135</v>
      </c>
      <c r="E283" s="76" t="s">
        <v>136</v>
      </c>
      <c r="F283" s="170">
        <v>14669.42</v>
      </c>
      <c r="G283" s="170">
        <v>0</v>
      </c>
      <c r="H283" s="76">
        <v>0</v>
      </c>
      <c r="I283" s="76">
        <v>0</v>
      </c>
      <c r="J283" s="76">
        <v>0</v>
      </c>
      <c r="K283" s="76">
        <v>3080.58</v>
      </c>
      <c r="L283" s="76">
        <v>0</v>
      </c>
      <c r="M283" s="170">
        <v>0</v>
      </c>
      <c r="N283" s="170">
        <v>17750</v>
      </c>
    </row>
    <row r="284" spans="1:14" hidden="1">
      <c r="A284" s="74" t="s">
        <v>3583</v>
      </c>
      <c r="B284" s="75" t="s">
        <v>3589</v>
      </c>
      <c r="C284" s="76" t="s">
        <v>134</v>
      </c>
      <c r="D284" s="76" t="s">
        <v>135</v>
      </c>
      <c r="E284" s="76" t="s">
        <v>136</v>
      </c>
      <c r="F284" s="170">
        <v>14669.42</v>
      </c>
      <c r="G284" s="170">
        <v>0</v>
      </c>
      <c r="H284" s="76">
        <v>0</v>
      </c>
      <c r="I284" s="76">
        <v>0</v>
      </c>
      <c r="J284" s="76">
        <v>0</v>
      </c>
      <c r="K284" s="76">
        <v>3080.58</v>
      </c>
      <c r="L284" s="76">
        <v>0</v>
      </c>
      <c r="M284" s="170">
        <v>0</v>
      </c>
      <c r="N284" s="170">
        <v>17750</v>
      </c>
    </row>
    <row r="285" spans="1:14" hidden="1">
      <c r="A285" s="74" t="s">
        <v>3583</v>
      </c>
      <c r="B285" s="75" t="s">
        <v>3590</v>
      </c>
      <c r="C285" s="76" t="s">
        <v>134</v>
      </c>
      <c r="D285" s="76" t="s">
        <v>135</v>
      </c>
      <c r="E285" s="76" t="s">
        <v>136</v>
      </c>
      <c r="F285" s="170">
        <v>14669.42</v>
      </c>
      <c r="G285" s="170">
        <v>0</v>
      </c>
      <c r="H285" s="76">
        <v>0</v>
      </c>
      <c r="I285" s="76">
        <v>0</v>
      </c>
      <c r="J285" s="76">
        <v>0</v>
      </c>
      <c r="K285" s="76">
        <v>3080.58</v>
      </c>
      <c r="L285" s="76">
        <v>0</v>
      </c>
      <c r="M285" s="170">
        <v>0</v>
      </c>
      <c r="N285" s="170">
        <v>17750</v>
      </c>
    </row>
    <row r="286" spans="1:14" hidden="1">
      <c r="A286" s="74" t="s">
        <v>3583</v>
      </c>
      <c r="B286" s="75" t="s">
        <v>3591</v>
      </c>
      <c r="C286" s="76" t="s">
        <v>134</v>
      </c>
      <c r="D286" s="76" t="s">
        <v>135</v>
      </c>
      <c r="E286" s="76" t="s">
        <v>136</v>
      </c>
      <c r="F286" s="170">
        <v>15909.09</v>
      </c>
      <c r="G286" s="170">
        <v>0</v>
      </c>
      <c r="H286" s="76">
        <v>0</v>
      </c>
      <c r="I286" s="76">
        <v>0</v>
      </c>
      <c r="J286" s="76">
        <v>0</v>
      </c>
      <c r="K286" s="76">
        <v>3340.91</v>
      </c>
      <c r="L286" s="76">
        <v>0</v>
      </c>
      <c r="M286" s="170">
        <v>0</v>
      </c>
      <c r="N286" s="170">
        <v>19250</v>
      </c>
    </row>
    <row r="287" spans="1:14" hidden="1">
      <c r="A287" s="74" t="s">
        <v>3583</v>
      </c>
      <c r="B287" s="75" t="s">
        <v>3592</v>
      </c>
      <c r="C287" s="76" t="s">
        <v>134</v>
      </c>
      <c r="D287" s="76" t="s">
        <v>135</v>
      </c>
      <c r="E287" s="76" t="s">
        <v>136</v>
      </c>
      <c r="F287" s="170">
        <v>7024.79</v>
      </c>
      <c r="G287" s="170">
        <v>0</v>
      </c>
      <c r="H287" s="76">
        <v>0</v>
      </c>
      <c r="I287" s="76">
        <v>0</v>
      </c>
      <c r="J287" s="76">
        <v>0</v>
      </c>
      <c r="K287" s="76">
        <v>1475.21</v>
      </c>
      <c r="L287" s="76">
        <v>0</v>
      </c>
      <c r="M287" s="170">
        <v>0</v>
      </c>
      <c r="N287" s="170">
        <v>8500</v>
      </c>
    </row>
    <row r="288" spans="1:14" hidden="1">
      <c r="A288" s="74" t="s">
        <v>3583</v>
      </c>
      <c r="B288" s="75" t="s">
        <v>3593</v>
      </c>
      <c r="C288" s="76" t="s">
        <v>134</v>
      </c>
      <c r="D288" s="76" t="s">
        <v>135</v>
      </c>
      <c r="E288" s="76" t="s">
        <v>136</v>
      </c>
      <c r="F288" s="170">
        <v>33801.65</v>
      </c>
      <c r="G288" s="170">
        <v>0</v>
      </c>
      <c r="H288" s="76">
        <v>0</v>
      </c>
      <c r="I288" s="76">
        <v>0</v>
      </c>
      <c r="J288" s="76">
        <v>0</v>
      </c>
      <c r="K288" s="76">
        <v>7098.35</v>
      </c>
      <c r="L288" s="76">
        <v>0</v>
      </c>
      <c r="M288" s="170">
        <v>0</v>
      </c>
      <c r="N288" s="170">
        <v>40900</v>
      </c>
    </row>
    <row r="289" spans="1:14" hidden="1">
      <c r="A289" s="74" t="s">
        <v>3583</v>
      </c>
      <c r="B289" s="75" t="s">
        <v>3594</v>
      </c>
      <c r="C289" s="76" t="s">
        <v>134</v>
      </c>
      <c r="D289" s="76" t="s">
        <v>135</v>
      </c>
      <c r="E289" s="76" t="s">
        <v>136</v>
      </c>
      <c r="F289" s="170">
        <v>31239.67</v>
      </c>
      <c r="G289" s="170">
        <v>0</v>
      </c>
      <c r="H289" s="76">
        <v>0</v>
      </c>
      <c r="I289" s="76">
        <v>0</v>
      </c>
      <c r="J289" s="76">
        <v>0</v>
      </c>
      <c r="K289" s="76">
        <v>6560.33</v>
      </c>
      <c r="L289" s="76">
        <v>0</v>
      </c>
      <c r="M289" s="170">
        <v>0</v>
      </c>
      <c r="N289" s="170">
        <v>37800</v>
      </c>
    </row>
    <row r="290" spans="1:14" hidden="1">
      <c r="A290" s="74" t="s">
        <v>3583</v>
      </c>
      <c r="B290" s="75" t="s">
        <v>3595</v>
      </c>
      <c r="C290" s="76" t="s">
        <v>134</v>
      </c>
      <c r="D290" s="76" t="s">
        <v>135</v>
      </c>
      <c r="E290" s="76" t="s">
        <v>136</v>
      </c>
      <c r="F290" s="170">
        <v>10743.8</v>
      </c>
      <c r="G290" s="170">
        <v>0</v>
      </c>
      <c r="H290" s="76">
        <v>0</v>
      </c>
      <c r="I290" s="76">
        <v>0</v>
      </c>
      <c r="J290" s="76">
        <v>0</v>
      </c>
      <c r="K290" s="76">
        <v>2256.2000000000003</v>
      </c>
      <c r="L290" s="76">
        <v>0</v>
      </c>
      <c r="M290" s="170">
        <v>0</v>
      </c>
      <c r="N290" s="170">
        <v>13000</v>
      </c>
    </row>
    <row r="291" spans="1:14" hidden="1">
      <c r="A291" s="74" t="s">
        <v>3583</v>
      </c>
      <c r="B291" s="75" t="s">
        <v>3596</v>
      </c>
      <c r="C291" s="76" t="s">
        <v>134</v>
      </c>
      <c r="D291" s="76" t="s">
        <v>135</v>
      </c>
      <c r="E291" s="76" t="s">
        <v>136</v>
      </c>
      <c r="F291" s="170">
        <v>10743.8</v>
      </c>
      <c r="G291" s="170">
        <v>0</v>
      </c>
      <c r="H291" s="76">
        <v>0</v>
      </c>
      <c r="I291" s="76">
        <v>0</v>
      </c>
      <c r="J291" s="76">
        <v>0</v>
      </c>
      <c r="K291" s="76">
        <v>2256.2000000000003</v>
      </c>
      <c r="L291" s="76">
        <v>0</v>
      </c>
      <c r="M291" s="170">
        <v>0</v>
      </c>
      <c r="N291" s="170">
        <v>13000</v>
      </c>
    </row>
    <row r="292" spans="1:14" hidden="1">
      <c r="A292" s="74" t="s">
        <v>3583</v>
      </c>
      <c r="B292" s="75" t="s">
        <v>3597</v>
      </c>
      <c r="C292" s="76" t="s">
        <v>134</v>
      </c>
      <c r="D292" s="76" t="s">
        <v>135</v>
      </c>
      <c r="E292" s="76" t="s">
        <v>136</v>
      </c>
      <c r="F292" s="170">
        <v>16528.93</v>
      </c>
      <c r="G292" s="170">
        <v>0</v>
      </c>
      <c r="H292" s="76">
        <v>0</v>
      </c>
      <c r="I292" s="76">
        <v>0</v>
      </c>
      <c r="J292" s="76">
        <v>0</v>
      </c>
      <c r="K292" s="76">
        <v>3471.07</v>
      </c>
      <c r="L292" s="76">
        <v>0</v>
      </c>
      <c r="M292" s="170">
        <v>0</v>
      </c>
      <c r="N292" s="170">
        <v>20000</v>
      </c>
    </row>
    <row r="293" spans="1:14" hidden="1">
      <c r="A293" s="74" t="s">
        <v>3583</v>
      </c>
      <c r="B293" s="75" t="s">
        <v>3598</v>
      </c>
      <c r="C293" s="76" t="s">
        <v>134</v>
      </c>
      <c r="D293" s="76" t="s">
        <v>135</v>
      </c>
      <c r="E293" s="76" t="s">
        <v>136</v>
      </c>
      <c r="F293" s="170">
        <v>14669.42</v>
      </c>
      <c r="G293" s="170">
        <v>0</v>
      </c>
      <c r="H293" s="76">
        <v>0</v>
      </c>
      <c r="I293" s="76">
        <v>0</v>
      </c>
      <c r="J293" s="76">
        <v>0</v>
      </c>
      <c r="K293" s="76">
        <v>3080.58</v>
      </c>
      <c r="L293" s="76">
        <v>0</v>
      </c>
      <c r="M293" s="170">
        <v>0</v>
      </c>
      <c r="N293" s="170">
        <v>17750</v>
      </c>
    </row>
    <row r="294" spans="1:14" hidden="1">
      <c r="A294" s="74" t="s">
        <v>3583</v>
      </c>
      <c r="B294" s="75" t="s">
        <v>3599</v>
      </c>
      <c r="C294" s="76" t="s">
        <v>134</v>
      </c>
      <c r="D294" s="76" t="s">
        <v>135</v>
      </c>
      <c r="E294" s="76" t="s">
        <v>136</v>
      </c>
      <c r="F294" s="170">
        <v>3636.36</v>
      </c>
      <c r="G294" s="170">
        <v>0</v>
      </c>
      <c r="H294" s="76">
        <v>0</v>
      </c>
      <c r="I294" s="76">
        <v>0</v>
      </c>
      <c r="J294" s="76">
        <v>0</v>
      </c>
      <c r="K294" s="76">
        <v>763.64</v>
      </c>
      <c r="L294" s="76">
        <v>0</v>
      </c>
      <c r="M294" s="170">
        <v>0</v>
      </c>
      <c r="N294" s="170">
        <v>4400</v>
      </c>
    </row>
    <row r="295" spans="1:14" hidden="1">
      <c r="A295" s="74" t="s">
        <v>3583</v>
      </c>
      <c r="B295" s="75" t="s">
        <v>3600</v>
      </c>
      <c r="C295" s="76" t="s">
        <v>134</v>
      </c>
      <c r="D295" s="76" t="s">
        <v>135</v>
      </c>
      <c r="E295" s="76" t="s">
        <v>136</v>
      </c>
      <c r="F295" s="170">
        <v>28925.62</v>
      </c>
      <c r="G295" s="170">
        <v>0</v>
      </c>
      <c r="H295" s="76">
        <v>0</v>
      </c>
      <c r="I295" s="76">
        <v>0</v>
      </c>
      <c r="J295" s="76">
        <v>0</v>
      </c>
      <c r="K295" s="76">
        <v>6074.38</v>
      </c>
      <c r="L295" s="76">
        <v>0</v>
      </c>
      <c r="M295" s="170">
        <v>0</v>
      </c>
      <c r="N295" s="170">
        <v>35000</v>
      </c>
    </row>
    <row r="296" spans="1:14" hidden="1">
      <c r="A296" s="74" t="s">
        <v>3606</v>
      </c>
      <c r="B296" s="75" t="s">
        <v>3607</v>
      </c>
      <c r="C296" s="76" t="s">
        <v>134</v>
      </c>
      <c r="D296" s="76" t="s">
        <v>135</v>
      </c>
      <c r="E296" s="76" t="s">
        <v>136</v>
      </c>
      <c r="F296" s="170">
        <v>11487.6</v>
      </c>
      <c r="G296" s="170">
        <v>0</v>
      </c>
      <c r="H296" s="76">
        <v>0</v>
      </c>
      <c r="I296" s="76">
        <v>0</v>
      </c>
      <c r="J296" s="76">
        <v>0</v>
      </c>
      <c r="K296" s="76">
        <v>2412.4</v>
      </c>
      <c r="L296" s="76">
        <v>0</v>
      </c>
      <c r="M296" s="170">
        <v>0</v>
      </c>
      <c r="N296" s="170">
        <v>13900</v>
      </c>
    </row>
    <row r="297" spans="1:14">
      <c r="A297" s="74" t="s">
        <v>3606</v>
      </c>
      <c r="B297" s="75" t="s">
        <v>3608</v>
      </c>
      <c r="C297" s="76" t="s">
        <v>3609</v>
      </c>
      <c r="D297" s="76" t="s">
        <v>135</v>
      </c>
      <c r="E297" s="76">
        <v>16025135</v>
      </c>
      <c r="F297" s="170">
        <v>10330.58</v>
      </c>
      <c r="G297" s="170">
        <v>0</v>
      </c>
      <c r="H297" s="76">
        <v>0</v>
      </c>
      <c r="I297" s="76">
        <v>0</v>
      </c>
      <c r="J297" s="76">
        <v>0</v>
      </c>
      <c r="K297" s="76">
        <v>2169.42</v>
      </c>
      <c r="L297" s="76">
        <v>0</v>
      </c>
      <c r="M297" s="170">
        <v>0</v>
      </c>
      <c r="N297" s="170">
        <v>12500</v>
      </c>
    </row>
    <row r="298" spans="1:14" hidden="1">
      <c r="A298" s="74" t="s">
        <v>3606</v>
      </c>
      <c r="B298" s="75" t="s">
        <v>3610</v>
      </c>
      <c r="C298" s="76" t="s">
        <v>134</v>
      </c>
      <c r="D298" s="76" t="s">
        <v>135</v>
      </c>
      <c r="E298" s="76" t="s">
        <v>136</v>
      </c>
      <c r="F298" s="170">
        <v>14669.42</v>
      </c>
      <c r="G298" s="170">
        <v>0</v>
      </c>
      <c r="H298" s="76">
        <v>0</v>
      </c>
      <c r="I298" s="76">
        <v>0</v>
      </c>
      <c r="J298" s="76">
        <v>0</v>
      </c>
      <c r="K298" s="76">
        <v>3080.58</v>
      </c>
      <c r="L298" s="76">
        <v>0</v>
      </c>
      <c r="M298" s="170">
        <v>0</v>
      </c>
      <c r="N298" s="170">
        <v>17750</v>
      </c>
    </row>
    <row r="299" spans="1:14" hidden="1">
      <c r="A299" s="74" t="s">
        <v>3606</v>
      </c>
      <c r="B299" s="75" t="s">
        <v>3611</v>
      </c>
      <c r="C299" s="76" t="s">
        <v>134</v>
      </c>
      <c r="D299" s="76" t="s">
        <v>135</v>
      </c>
      <c r="E299" s="76" t="s">
        <v>136</v>
      </c>
      <c r="F299" s="170">
        <v>21487.599999999999</v>
      </c>
      <c r="G299" s="170">
        <v>0</v>
      </c>
      <c r="H299" s="76">
        <v>0</v>
      </c>
      <c r="I299" s="76">
        <v>0</v>
      </c>
      <c r="J299" s="76">
        <v>0</v>
      </c>
      <c r="K299" s="76">
        <v>4512.4000000000005</v>
      </c>
      <c r="L299" s="76">
        <v>0</v>
      </c>
      <c r="M299" s="170">
        <v>0</v>
      </c>
      <c r="N299" s="170">
        <v>26000</v>
      </c>
    </row>
    <row r="300" spans="1:14" hidden="1">
      <c r="A300" s="74" t="s">
        <v>3606</v>
      </c>
      <c r="B300" s="75" t="s">
        <v>3612</v>
      </c>
      <c r="C300" s="76" t="s">
        <v>134</v>
      </c>
      <c r="D300" s="76" t="s">
        <v>135</v>
      </c>
      <c r="E300" s="76" t="s">
        <v>136</v>
      </c>
      <c r="F300" s="170">
        <v>20661.16</v>
      </c>
      <c r="G300" s="170">
        <v>0</v>
      </c>
      <c r="H300" s="76">
        <v>0</v>
      </c>
      <c r="I300" s="76">
        <v>0</v>
      </c>
      <c r="J300" s="76">
        <v>0</v>
      </c>
      <c r="K300" s="76">
        <v>4338.84</v>
      </c>
      <c r="L300" s="76">
        <v>0</v>
      </c>
      <c r="M300" s="170">
        <v>0</v>
      </c>
      <c r="N300" s="170">
        <v>25000</v>
      </c>
    </row>
    <row r="301" spans="1:14" hidden="1">
      <c r="A301" s="74" t="s">
        <v>3606</v>
      </c>
      <c r="B301" s="75" t="s">
        <v>3613</v>
      </c>
      <c r="C301" s="76" t="s">
        <v>134</v>
      </c>
      <c r="D301" s="76" t="s">
        <v>135</v>
      </c>
      <c r="E301" s="76" t="s">
        <v>136</v>
      </c>
      <c r="F301" s="170">
        <v>11570.25</v>
      </c>
      <c r="G301" s="170">
        <v>0</v>
      </c>
      <c r="H301" s="76">
        <v>0</v>
      </c>
      <c r="I301" s="76">
        <v>0</v>
      </c>
      <c r="J301" s="76">
        <v>0</v>
      </c>
      <c r="K301" s="76">
        <v>2429.75</v>
      </c>
      <c r="L301" s="76">
        <v>0</v>
      </c>
      <c r="M301" s="170">
        <v>0</v>
      </c>
      <c r="N301" s="170">
        <v>14000</v>
      </c>
    </row>
    <row r="302" spans="1:14">
      <c r="A302" s="74" t="s">
        <v>3606</v>
      </c>
      <c r="B302" s="75" t="s">
        <v>3614</v>
      </c>
      <c r="C302" s="76" t="s">
        <v>3615</v>
      </c>
      <c r="D302" s="76" t="s">
        <v>135</v>
      </c>
      <c r="E302" s="76">
        <v>24638924</v>
      </c>
      <c r="F302" s="170">
        <v>29338.84</v>
      </c>
      <c r="G302" s="170">
        <v>0</v>
      </c>
      <c r="H302" s="76">
        <v>0</v>
      </c>
      <c r="I302" s="76">
        <v>0</v>
      </c>
      <c r="J302" s="76">
        <v>0</v>
      </c>
      <c r="K302" s="76">
        <v>6161.16</v>
      </c>
      <c r="L302" s="76">
        <v>0</v>
      </c>
      <c r="M302" s="170">
        <v>0</v>
      </c>
      <c r="N302" s="170">
        <v>35500</v>
      </c>
    </row>
    <row r="303" spans="1:14" hidden="1">
      <c r="A303" s="74" t="s">
        <v>3606</v>
      </c>
      <c r="B303" s="75" t="s">
        <v>3616</v>
      </c>
      <c r="C303" s="76" t="s">
        <v>134</v>
      </c>
      <c r="D303" s="76" t="s">
        <v>135</v>
      </c>
      <c r="E303" s="76" t="s">
        <v>136</v>
      </c>
      <c r="F303" s="170">
        <v>11983.47</v>
      </c>
      <c r="G303" s="170">
        <v>0</v>
      </c>
      <c r="H303" s="76">
        <v>0</v>
      </c>
      <c r="I303" s="76">
        <v>0</v>
      </c>
      <c r="J303" s="76">
        <v>0</v>
      </c>
      <c r="K303" s="76">
        <v>2516.5300000000002</v>
      </c>
      <c r="L303" s="76">
        <v>0</v>
      </c>
      <c r="M303" s="170">
        <v>0</v>
      </c>
      <c r="N303" s="170">
        <v>14500</v>
      </c>
    </row>
    <row r="304" spans="1:14" hidden="1">
      <c r="A304" s="74" t="s">
        <v>3606</v>
      </c>
      <c r="B304" s="75" t="s">
        <v>3617</v>
      </c>
      <c r="C304" s="76" t="s">
        <v>134</v>
      </c>
      <c r="D304" s="76" t="s">
        <v>135</v>
      </c>
      <c r="E304" s="76" t="s">
        <v>136</v>
      </c>
      <c r="F304" s="170">
        <v>14669.42</v>
      </c>
      <c r="G304" s="170">
        <v>0</v>
      </c>
      <c r="H304" s="76">
        <v>0</v>
      </c>
      <c r="I304" s="76">
        <v>0</v>
      </c>
      <c r="J304" s="76">
        <v>0</v>
      </c>
      <c r="K304" s="76">
        <v>3080.58</v>
      </c>
      <c r="L304" s="76">
        <v>0</v>
      </c>
      <c r="M304" s="170">
        <v>0</v>
      </c>
      <c r="N304" s="170">
        <v>17750</v>
      </c>
    </row>
    <row r="305" spans="1:14" hidden="1">
      <c r="A305" s="74" t="s">
        <v>3606</v>
      </c>
      <c r="B305" s="75" t="s">
        <v>3618</v>
      </c>
      <c r="C305" s="76" t="s">
        <v>134</v>
      </c>
      <c r="D305" s="76" t="s">
        <v>135</v>
      </c>
      <c r="E305" s="76" t="s">
        <v>136</v>
      </c>
      <c r="F305" s="170">
        <v>15289.26</v>
      </c>
      <c r="G305" s="170">
        <v>0</v>
      </c>
      <c r="H305" s="76">
        <v>0</v>
      </c>
      <c r="I305" s="76">
        <v>0</v>
      </c>
      <c r="J305" s="76">
        <v>0</v>
      </c>
      <c r="K305" s="76">
        <v>3210.74</v>
      </c>
      <c r="L305" s="76">
        <v>0</v>
      </c>
      <c r="M305" s="170">
        <v>0</v>
      </c>
      <c r="N305" s="170">
        <v>18500</v>
      </c>
    </row>
    <row r="306" spans="1:14" hidden="1">
      <c r="A306" s="74" t="s">
        <v>3606</v>
      </c>
      <c r="B306" s="75" t="s">
        <v>3619</v>
      </c>
      <c r="C306" s="76" t="s">
        <v>134</v>
      </c>
      <c r="D306" s="76" t="s">
        <v>135</v>
      </c>
      <c r="E306" s="76" t="s">
        <v>136</v>
      </c>
      <c r="F306" s="170">
        <v>21487.599999999999</v>
      </c>
      <c r="G306" s="170">
        <v>0</v>
      </c>
      <c r="H306" s="76">
        <v>0</v>
      </c>
      <c r="I306" s="76">
        <v>0</v>
      </c>
      <c r="J306" s="76">
        <v>0</v>
      </c>
      <c r="K306" s="76">
        <v>4512.4000000000005</v>
      </c>
      <c r="L306" s="76">
        <v>0</v>
      </c>
      <c r="M306" s="170">
        <v>0</v>
      </c>
      <c r="N306" s="170">
        <v>26000</v>
      </c>
    </row>
    <row r="307" spans="1:14" hidden="1">
      <c r="A307" s="74" t="s">
        <v>3606</v>
      </c>
      <c r="B307" s="75" t="s">
        <v>3620</v>
      </c>
      <c r="C307" s="76" t="s">
        <v>134</v>
      </c>
      <c r="D307" s="76" t="s">
        <v>135</v>
      </c>
      <c r="E307" s="76" t="s">
        <v>136</v>
      </c>
      <c r="F307" s="170">
        <v>33884.300000000003</v>
      </c>
      <c r="G307" s="170">
        <v>0</v>
      </c>
      <c r="H307" s="76">
        <v>0</v>
      </c>
      <c r="I307" s="76">
        <v>0</v>
      </c>
      <c r="J307" s="76">
        <v>0</v>
      </c>
      <c r="K307" s="76">
        <v>7115.7</v>
      </c>
      <c r="L307" s="76">
        <v>0</v>
      </c>
      <c r="M307" s="170">
        <v>0</v>
      </c>
      <c r="N307" s="170">
        <v>41000</v>
      </c>
    </row>
    <row r="308" spans="1:14" hidden="1">
      <c r="A308" s="74" t="s">
        <v>3622</v>
      </c>
      <c r="B308" s="75" t="s">
        <v>3623</v>
      </c>
      <c r="C308" s="76" t="s">
        <v>134</v>
      </c>
      <c r="D308" s="76" t="s">
        <v>135</v>
      </c>
      <c r="E308" s="76" t="s">
        <v>136</v>
      </c>
      <c r="F308" s="170">
        <v>14049.59</v>
      </c>
      <c r="G308" s="170">
        <v>0</v>
      </c>
      <c r="H308" s="76">
        <v>0</v>
      </c>
      <c r="I308" s="76">
        <v>0</v>
      </c>
      <c r="J308" s="76">
        <v>0</v>
      </c>
      <c r="K308" s="76">
        <v>2950.41</v>
      </c>
      <c r="L308" s="76">
        <v>0</v>
      </c>
      <c r="M308" s="170">
        <v>0</v>
      </c>
      <c r="N308" s="170">
        <v>17000</v>
      </c>
    </row>
    <row r="309" spans="1:14" hidden="1">
      <c r="A309" s="74" t="s">
        <v>3622</v>
      </c>
      <c r="B309" s="75" t="s">
        <v>3624</v>
      </c>
      <c r="C309" s="76" t="s">
        <v>134</v>
      </c>
      <c r="D309" s="76" t="s">
        <v>135</v>
      </c>
      <c r="E309" s="76" t="s">
        <v>136</v>
      </c>
      <c r="F309" s="170">
        <v>10743.8</v>
      </c>
      <c r="G309" s="170">
        <v>0</v>
      </c>
      <c r="H309" s="76">
        <v>0</v>
      </c>
      <c r="I309" s="76">
        <v>0</v>
      </c>
      <c r="J309" s="76">
        <v>0</v>
      </c>
      <c r="K309" s="76">
        <v>2256.2000000000003</v>
      </c>
      <c r="L309" s="76">
        <v>0</v>
      </c>
      <c r="M309" s="170">
        <v>0</v>
      </c>
      <c r="N309" s="170">
        <v>13000</v>
      </c>
    </row>
    <row r="310" spans="1:14" hidden="1">
      <c r="A310" s="74" t="s">
        <v>3622</v>
      </c>
      <c r="B310" s="75" t="s">
        <v>3625</v>
      </c>
      <c r="C310" s="76" t="s">
        <v>134</v>
      </c>
      <c r="D310" s="76" t="s">
        <v>135</v>
      </c>
      <c r="E310" s="76" t="s">
        <v>136</v>
      </c>
      <c r="F310" s="170">
        <v>41322.31</v>
      </c>
      <c r="G310" s="170">
        <v>0</v>
      </c>
      <c r="H310" s="76">
        <v>0</v>
      </c>
      <c r="I310" s="76">
        <v>0</v>
      </c>
      <c r="J310" s="76">
        <v>0</v>
      </c>
      <c r="K310" s="76">
        <v>8677.69</v>
      </c>
      <c r="L310" s="76">
        <v>0</v>
      </c>
      <c r="M310" s="170">
        <v>0</v>
      </c>
      <c r="N310" s="170">
        <v>50000</v>
      </c>
    </row>
    <row r="311" spans="1:14" hidden="1">
      <c r="A311" s="74" t="s">
        <v>3622</v>
      </c>
      <c r="B311" s="75" t="s">
        <v>3626</v>
      </c>
      <c r="C311" s="76" t="s">
        <v>134</v>
      </c>
      <c r="D311" s="76" t="s">
        <v>135</v>
      </c>
      <c r="E311" s="76" t="s">
        <v>136</v>
      </c>
      <c r="F311" s="170">
        <v>9917.36</v>
      </c>
      <c r="G311" s="170">
        <v>0</v>
      </c>
      <c r="H311" s="76">
        <v>0</v>
      </c>
      <c r="I311" s="76">
        <v>0</v>
      </c>
      <c r="J311" s="76">
        <v>0</v>
      </c>
      <c r="K311" s="76">
        <v>2082.64</v>
      </c>
      <c r="L311" s="76">
        <v>0</v>
      </c>
      <c r="M311" s="170">
        <v>0</v>
      </c>
      <c r="N311" s="170">
        <v>12000</v>
      </c>
    </row>
    <row r="312" spans="1:14" hidden="1">
      <c r="A312" s="74" t="s">
        <v>3622</v>
      </c>
      <c r="B312" s="75" t="s">
        <v>3627</v>
      </c>
      <c r="C312" s="76" t="s">
        <v>134</v>
      </c>
      <c r="D312" s="76" t="s">
        <v>135</v>
      </c>
      <c r="E312" s="76" t="s">
        <v>136</v>
      </c>
      <c r="F312" s="170">
        <v>11487.6</v>
      </c>
      <c r="G312" s="170">
        <v>0</v>
      </c>
      <c r="H312" s="76">
        <v>0</v>
      </c>
      <c r="I312" s="76">
        <v>0</v>
      </c>
      <c r="J312" s="76">
        <v>0</v>
      </c>
      <c r="K312" s="76">
        <v>2412.4</v>
      </c>
      <c r="L312" s="76">
        <v>0</v>
      </c>
      <c r="M312" s="170">
        <v>0</v>
      </c>
      <c r="N312" s="170">
        <v>13900</v>
      </c>
    </row>
    <row r="313" spans="1:14" hidden="1">
      <c r="A313" s="74" t="s">
        <v>3622</v>
      </c>
      <c r="B313" s="75" t="s">
        <v>3628</v>
      </c>
      <c r="C313" s="76" t="s">
        <v>134</v>
      </c>
      <c r="D313" s="76" t="s">
        <v>135</v>
      </c>
      <c r="E313" s="76" t="s">
        <v>136</v>
      </c>
      <c r="F313" s="170">
        <v>7438.02</v>
      </c>
      <c r="G313" s="170">
        <v>0</v>
      </c>
      <c r="H313" s="76">
        <v>0</v>
      </c>
      <c r="I313" s="76">
        <v>0</v>
      </c>
      <c r="J313" s="76">
        <v>0</v>
      </c>
      <c r="K313" s="76">
        <v>1561.98</v>
      </c>
      <c r="L313" s="76">
        <v>0</v>
      </c>
      <c r="M313" s="170">
        <v>0</v>
      </c>
      <c r="N313" s="170">
        <v>9000</v>
      </c>
    </row>
    <row r="314" spans="1:14" hidden="1">
      <c r="A314" s="74" t="s">
        <v>3622</v>
      </c>
      <c r="B314" s="75" t="s">
        <v>3629</v>
      </c>
      <c r="C314" s="76" t="s">
        <v>134</v>
      </c>
      <c r="D314" s="76" t="s">
        <v>135</v>
      </c>
      <c r="E314" s="76" t="s">
        <v>136</v>
      </c>
      <c r="F314" s="170">
        <v>70247.930000000008</v>
      </c>
      <c r="G314" s="170">
        <v>0</v>
      </c>
      <c r="H314" s="76">
        <v>0</v>
      </c>
      <c r="I314" s="76">
        <v>0</v>
      </c>
      <c r="J314" s="76">
        <v>0</v>
      </c>
      <c r="K314" s="76">
        <v>14752.07</v>
      </c>
      <c r="L314" s="76">
        <v>0</v>
      </c>
      <c r="M314" s="170">
        <v>0</v>
      </c>
      <c r="N314" s="170">
        <v>85000</v>
      </c>
    </row>
    <row r="315" spans="1:14" hidden="1">
      <c r="A315" s="74" t="s">
        <v>3622</v>
      </c>
      <c r="B315" s="75" t="s">
        <v>3630</v>
      </c>
      <c r="C315" s="76" t="s">
        <v>134</v>
      </c>
      <c r="D315" s="76" t="s">
        <v>135</v>
      </c>
      <c r="E315" s="76" t="s">
        <v>136</v>
      </c>
      <c r="F315" s="170">
        <v>21487.599999999999</v>
      </c>
      <c r="G315" s="170">
        <v>0</v>
      </c>
      <c r="H315" s="76">
        <v>0</v>
      </c>
      <c r="I315" s="76">
        <v>0</v>
      </c>
      <c r="J315" s="76">
        <v>0</v>
      </c>
      <c r="K315" s="76">
        <v>4512.4000000000005</v>
      </c>
      <c r="L315" s="76">
        <v>0</v>
      </c>
      <c r="M315" s="170">
        <v>0</v>
      </c>
      <c r="N315" s="170">
        <v>26000</v>
      </c>
    </row>
    <row r="316" spans="1:14" hidden="1">
      <c r="A316" s="74" t="s">
        <v>3622</v>
      </c>
      <c r="B316" s="75" t="s">
        <v>3631</v>
      </c>
      <c r="C316" s="76" t="s">
        <v>134</v>
      </c>
      <c r="D316" s="76" t="s">
        <v>135</v>
      </c>
      <c r="E316" s="76" t="s">
        <v>136</v>
      </c>
      <c r="F316" s="170">
        <v>19834.71</v>
      </c>
      <c r="G316" s="170">
        <v>0</v>
      </c>
      <c r="H316" s="76">
        <v>0</v>
      </c>
      <c r="I316" s="76">
        <v>0</v>
      </c>
      <c r="J316" s="76">
        <v>0</v>
      </c>
      <c r="K316" s="76">
        <v>4165.29</v>
      </c>
      <c r="L316" s="76">
        <v>0</v>
      </c>
      <c r="M316" s="170">
        <v>0</v>
      </c>
      <c r="N316" s="170">
        <v>24000</v>
      </c>
    </row>
    <row r="317" spans="1:14" hidden="1">
      <c r="A317" s="74" t="s">
        <v>3622</v>
      </c>
      <c r="B317" s="75" t="s">
        <v>3632</v>
      </c>
      <c r="C317" s="76" t="s">
        <v>134</v>
      </c>
      <c r="D317" s="76" t="s">
        <v>135</v>
      </c>
      <c r="E317" s="76" t="s">
        <v>136</v>
      </c>
      <c r="F317" s="170">
        <v>25619.83</v>
      </c>
      <c r="G317" s="170">
        <v>0</v>
      </c>
      <c r="H317" s="76">
        <v>0</v>
      </c>
      <c r="I317" s="76">
        <v>0</v>
      </c>
      <c r="J317" s="76">
        <v>0</v>
      </c>
      <c r="K317" s="76">
        <v>5380.17</v>
      </c>
      <c r="L317" s="76">
        <v>0</v>
      </c>
      <c r="M317" s="170">
        <v>0</v>
      </c>
      <c r="N317" s="170">
        <v>31000</v>
      </c>
    </row>
    <row r="318" spans="1:14" hidden="1">
      <c r="A318" s="74" t="s">
        <v>3622</v>
      </c>
      <c r="B318" s="75" t="s">
        <v>3633</v>
      </c>
      <c r="C318" s="76" t="s">
        <v>134</v>
      </c>
      <c r="D318" s="76" t="s">
        <v>135</v>
      </c>
      <c r="E318" s="76" t="s">
        <v>136</v>
      </c>
      <c r="F318" s="170">
        <v>10743.8</v>
      </c>
      <c r="G318" s="170">
        <v>0</v>
      </c>
      <c r="H318" s="76">
        <v>0</v>
      </c>
      <c r="I318" s="76">
        <v>0</v>
      </c>
      <c r="J318" s="76">
        <v>0</v>
      </c>
      <c r="K318" s="76">
        <v>2256.2000000000003</v>
      </c>
      <c r="L318" s="76">
        <v>0</v>
      </c>
      <c r="M318" s="170">
        <v>0</v>
      </c>
      <c r="N318" s="170">
        <v>13000</v>
      </c>
    </row>
    <row r="319" spans="1:14" hidden="1">
      <c r="A319" s="74" t="s">
        <v>3622</v>
      </c>
      <c r="B319" s="75" t="s">
        <v>3634</v>
      </c>
      <c r="C319" s="76" t="s">
        <v>134</v>
      </c>
      <c r="D319" s="76" t="s">
        <v>135</v>
      </c>
      <c r="E319" s="76" t="s">
        <v>136</v>
      </c>
      <c r="F319" s="170">
        <v>14669.42</v>
      </c>
      <c r="G319" s="170">
        <v>0</v>
      </c>
      <c r="H319" s="76">
        <v>0</v>
      </c>
      <c r="I319" s="76">
        <v>0</v>
      </c>
      <c r="J319" s="76">
        <v>0</v>
      </c>
      <c r="K319" s="76">
        <v>3080.58</v>
      </c>
      <c r="L319" s="76">
        <v>0</v>
      </c>
      <c r="M319" s="170">
        <v>0</v>
      </c>
      <c r="N319" s="170">
        <v>17750</v>
      </c>
    </row>
    <row r="320" spans="1:14" hidden="1">
      <c r="A320" s="74" t="s">
        <v>3622</v>
      </c>
      <c r="B320" s="75" t="s">
        <v>3635</v>
      </c>
      <c r="C320" s="76" t="s">
        <v>134</v>
      </c>
      <c r="D320" s="76" t="s">
        <v>135</v>
      </c>
      <c r="E320" s="76" t="s">
        <v>136</v>
      </c>
      <c r="F320" s="170">
        <v>21487.599999999999</v>
      </c>
      <c r="G320" s="170">
        <v>0</v>
      </c>
      <c r="H320" s="76">
        <v>0</v>
      </c>
      <c r="I320" s="76">
        <v>0</v>
      </c>
      <c r="J320" s="76">
        <v>0</v>
      </c>
      <c r="K320" s="76">
        <v>4512.4000000000005</v>
      </c>
      <c r="L320" s="76">
        <v>0</v>
      </c>
      <c r="M320" s="170">
        <v>0</v>
      </c>
      <c r="N320" s="170">
        <v>26000</v>
      </c>
    </row>
    <row r="321" spans="1:14" hidden="1">
      <c r="A321" s="74" t="s">
        <v>3622</v>
      </c>
      <c r="B321" s="75" t="s">
        <v>3636</v>
      </c>
      <c r="C321" s="76" t="s">
        <v>134</v>
      </c>
      <c r="D321" s="76" t="s">
        <v>135</v>
      </c>
      <c r="E321" s="76" t="s">
        <v>136</v>
      </c>
      <c r="F321" s="170">
        <v>19834.71</v>
      </c>
      <c r="G321" s="170">
        <v>0</v>
      </c>
      <c r="H321" s="76">
        <v>0</v>
      </c>
      <c r="I321" s="76">
        <v>0</v>
      </c>
      <c r="J321" s="76">
        <v>0</v>
      </c>
      <c r="K321" s="76">
        <v>4165.29</v>
      </c>
      <c r="L321" s="76">
        <v>0</v>
      </c>
      <c r="M321" s="170">
        <v>0</v>
      </c>
      <c r="N321" s="170">
        <v>24000</v>
      </c>
    </row>
    <row r="322" spans="1:14" hidden="1">
      <c r="A322" s="74" t="s">
        <v>3622</v>
      </c>
      <c r="B322" s="75" t="s">
        <v>3637</v>
      </c>
      <c r="C322" s="76" t="s">
        <v>134</v>
      </c>
      <c r="D322" s="76" t="s">
        <v>135</v>
      </c>
      <c r="E322" s="76" t="s">
        <v>136</v>
      </c>
      <c r="F322" s="170">
        <v>14669.42</v>
      </c>
      <c r="G322" s="170">
        <v>0</v>
      </c>
      <c r="H322" s="76">
        <v>0</v>
      </c>
      <c r="I322" s="76">
        <v>0</v>
      </c>
      <c r="J322" s="76">
        <v>0</v>
      </c>
      <c r="K322" s="76">
        <v>3080.58</v>
      </c>
      <c r="L322" s="76">
        <v>0</v>
      </c>
      <c r="M322" s="170">
        <v>0</v>
      </c>
      <c r="N322" s="170">
        <v>17750</v>
      </c>
    </row>
    <row r="323" spans="1:14" hidden="1">
      <c r="A323" s="74" t="s">
        <v>3622</v>
      </c>
      <c r="B323" s="75" t="s">
        <v>3638</v>
      </c>
      <c r="C323" s="76" t="s">
        <v>134</v>
      </c>
      <c r="D323" s="76" t="s">
        <v>135</v>
      </c>
      <c r="E323" s="76" t="s">
        <v>136</v>
      </c>
      <c r="F323" s="170">
        <v>10743.8</v>
      </c>
      <c r="G323" s="170">
        <v>0</v>
      </c>
      <c r="H323" s="76">
        <v>0</v>
      </c>
      <c r="I323" s="76">
        <v>0</v>
      </c>
      <c r="J323" s="76">
        <v>0</v>
      </c>
      <c r="K323" s="76">
        <v>2256.2000000000003</v>
      </c>
      <c r="L323" s="76">
        <v>0</v>
      </c>
      <c r="M323" s="170">
        <v>0</v>
      </c>
      <c r="N323" s="170">
        <v>13000</v>
      </c>
    </row>
    <row r="324" spans="1:14" hidden="1">
      <c r="A324" s="74" t="s">
        <v>3642</v>
      </c>
      <c r="B324" s="75" t="s">
        <v>3643</v>
      </c>
      <c r="C324" s="76" t="s">
        <v>134</v>
      </c>
      <c r="D324" s="76" t="s">
        <v>135</v>
      </c>
      <c r="E324" s="76" t="s">
        <v>136</v>
      </c>
      <c r="F324" s="170">
        <v>24628.1</v>
      </c>
      <c r="G324" s="170">
        <v>0</v>
      </c>
      <c r="H324" s="76">
        <v>0</v>
      </c>
      <c r="I324" s="76">
        <v>0</v>
      </c>
      <c r="J324" s="76">
        <v>0</v>
      </c>
      <c r="K324" s="76">
        <v>5171.9000000000005</v>
      </c>
      <c r="L324" s="76">
        <v>0</v>
      </c>
      <c r="M324" s="170">
        <v>0</v>
      </c>
      <c r="N324" s="170">
        <v>29800</v>
      </c>
    </row>
    <row r="325" spans="1:14" hidden="1">
      <c r="A325" s="74" t="s">
        <v>3642</v>
      </c>
      <c r="B325" s="75" t="s">
        <v>3644</v>
      </c>
      <c r="C325" s="76" t="s">
        <v>134</v>
      </c>
      <c r="D325" s="76" t="s">
        <v>135</v>
      </c>
      <c r="E325" s="76" t="s">
        <v>136</v>
      </c>
      <c r="F325" s="170">
        <v>5785.12</v>
      </c>
      <c r="G325" s="170">
        <v>0</v>
      </c>
      <c r="H325" s="76">
        <v>0</v>
      </c>
      <c r="I325" s="76">
        <v>0</v>
      </c>
      <c r="J325" s="76">
        <v>0</v>
      </c>
      <c r="K325" s="76">
        <v>1214.8800000000001</v>
      </c>
      <c r="L325" s="76">
        <v>0</v>
      </c>
      <c r="M325" s="170">
        <v>0</v>
      </c>
      <c r="N325" s="170">
        <v>7000</v>
      </c>
    </row>
    <row r="326" spans="1:14" hidden="1">
      <c r="A326" s="74" t="s">
        <v>3642</v>
      </c>
      <c r="B326" s="75" t="s">
        <v>3645</v>
      </c>
      <c r="C326" s="76" t="s">
        <v>134</v>
      </c>
      <c r="D326" s="76" t="s">
        <v>135</v>
      </c>
      <c r="E326" s="76" t="s">
        <v>136</v>
      </c>
      <c r="F326" s="170">
        <v>10743.8</v>
      </c>
      <c r="G326" s="170">
        <v>0</v>
      </c>
      <c r="H326" s="76">
        <v>0</v>
      </c>
      <c r="I326" s="76">
        <v>0</v>
      </c>
      <c r="J326" s="76">
        <v>0</v>
      </c>
      <c r="K326" s="76">
        <v>2256.2000000000003</v>
      </c>
      <c r="L326" s="76">
        <v>0</v>
      </c>
      <c r="M326" s="170">
        <v>0</v>
      </c>
      <c r="N326" s="170">
        <v>13000</v>
      </c>
    </row>
    <row r="327" spans="1:14" hidden="1">
      <c r="A327" s="74" t="s">
        <v>3642</v>
      </c>
      <c r="B327" s="75" t="s">
        <v>3646</v>
      </c>
      <c r="C327" s="76" t="s">
        <v>134</v>
      </c>
      <c r="D327" s="76" t="s">
        <v>135</v>
      </c>
      <c r="E327" s="76" t="s">
        <v>136</v>
      </c>
      <c r="F327" s="170">
        <v>10330.58</v>
      </c>
      <c r="G327" s="170">
        <v>0</v>
      </c>
      <c r="H327" s="76">
        <v>0</v>
      </c>
      <c r="I327" s="76">
        <v>0</v>
      </c>
      <c r="J327" s="76">
        <v>0</v>
      </c>
      <c r="K327" s="76">
        <v>2169.42</v>
      </c>
      <c r="L327" s="76">
        <v>0</v>
      </c>
      <c r="M327" s="170">
        <v>0</v>
      </c>
      <c r="N327" s="170">
        <v>12500</v>
      </c>
    </row>
    <row r="328" spans="1:14" hidden="1">
      <c r="A328" s="74" t="s">
        <v>3642</v>
      </c>
      <c r="B328" s="75" t="s">
        <v>3647</v>
      </c>
      <c r="C328" s="76" t="s">
        <v>134</v>
      </c>
      <c r="D328" s="76" t="s">
        <v>135</v>
      </c>
      <c r="E328" s="76" t="s">
        <v>136</v>
      </c>
      <c r="F328" s="170">
        <v>10743.8</v>
      </c>
      <c r="G328" s="170">
        <v>0</v>
      </c>
      <c r="H328" s="76">
        <v>0</v>
      </c>
      <c r="I328" s="76">
        <v>0</v>
      </c>
      <c r="J328" s="76">
        <v>0</v>
      </c>
      <c r="K328" s="76">
        <v>2256.2000000000003</v>
      </c>
      <c r="L328" s="76">
        <v>0</v>
      </c>
      <c r="M328" s="170">
        <v>0</v>
      </c>
      <c r="N328" s="170">
        <v>13000</v>
      </c>
    </row>
    <row r="329" spans="1:14" hidden="1">
      <c r="A329" s="74" t="s">
        <v>3642</v>
      </c>
      <c r="B329" s="75" t="s">
        <v>3648</v>
      </c>
      <c r="C329" s="76" t="s">
        <v>134</v>
      </c>
      <c r="D329" s="76" t="s">
        <v>135</v>
      </c>
      <c r="E329" s="76" t="s">
        <v>136</v>
      </c>
      <c r="F329" s="170">
        <v>14669.42</v>
      </c>
      <c r="G329" s="170">
        <v>0</v>
      </c>
      <c r="H329" s="76">
        <v>0</v>
      </c>
      <c r="I329" s="76">
        <v>0</v>
      </c>
      <c r="J329" s="76">
        <v>0</v>
      </c>
      <c r="K329" s="76">
        <v>3080.58</v>
      </c>
      <c r="L329" s="76">
        <v>0</v>
      </c>
      <c r="M329" s="170">
        <v>0</v>
      </c>
      <c r="N329" s="170">
        <v>17750</v>
      </c>
    </row>
    <row r="330" spans="1:14" hidden="1">
      <c r="A330" s="74" t="s">
        <v>3642</v>
      </c>
      <c r="B330" s="75" t="s">
        <v>3649</v>
      </c>
      <c r="C330" s="76" t="s">
        <v>134</v>
      </c>
      <c r="D330" s="76" t="s">
        <v>135</v>
      </c>
      <c r="E330" s="76" t="s">
        <v>136</v>
      </c>
      <c r="F330" s="170">
        <v>2892.56</v>
      </c>
      <c r="G330" s="170">
        <v>0</v>
      </c>
      <c r="H330" s="76">
        <v>0</v>
      </c>
      <c r="I330" s="76">
        <v>0</v>
      </c>
      <c r="J330" s="76">
        <v>0</v>
      </c>
      <c r="K330" s="76">
        <v>607.44000000000005</v>
      </c>
      <c r="L330" s="76">
        <v>0</v>
      </c>
      <c r="M330" s="170">
        <v>0</v>
      </c>
      <c r="N330" s="170">
        <v>3500</v>
      </c>
    </row>
    <row r="331" spans="1:14" hidden="1">
      <c r="A331" s="74" t="s">
        <v>3642</v>
      </c>
      <c r="B331" s="75" t="s">
        <v>3650</v>
      </c>
      <c r="C331" s="76" t="s">
        <v>134</v>
      </c>
      <c r="D331" s="76" t="s">
        <v>135</v>
      </c>
      <c r="E331" s="76" t="s">
        <v>136</v>
      </c>
      <c r="F331" s="170">
        <v>14669.42</v>
      </c>
      <c r="G331" s="170">
        <v>0</v>
      </c>
      <c r="H331" s="76">
        <v>0</v>
      </c>
      <c r="I331" s="76">
        <v>0</v>
      </c>
      <c r="J331" s="76">
        <v>0</v>
      </c>
      <c r="K331" s="76">
        <v>3080.58</v>
      </c>
      <c r="L331" s="76">
        <v>0</v>
      </c>
      <c r="M331" s="170">
        <v>0</v>
      </c>
      <c r="N331" s="170">
        <v>17750</v>
      </c>
    </row>
    <row r="332" spans="1:14" hidden="1">
      <c r="A332" s="74" t="s">
        <v>3642</v>
      </c>
      <c r="B332" s="75" t="s">
        <v>3651</v>
      </c>
      <c r="C332" s="76" t="s">
        <v>134</v>
      </c>
      <c r="D332" s="76" t="s">
        <v>135</v>
      </c>
      <c r="E332" s="76" t="s">
        <v>136</v>
      </c>
      <c r="F332" s="170">
        <v>10743.8</v>
      </c>
      <c r="G332" s="170">
        <v>0</v>
      </c>
      <c r="H332" s="76">
        <v>0</v>
      </c>
      <c r="I332" s="76">
        <v>0</v>
      </c>
      <c r="J332" s="76">
        <v>0</v>
      </c>
      <c r="K332" s="76">
        <v>2256.2000000000003</v>
      </c>
      <c r="L332" s="76">
        <v>0</v>
      </c>
      <c r="M332" s="170">
        <v>0</v>
      </c>
      <c r="N332" s="170">
        <v>13000</v>
      </c>
    </row>
    <row r="333" spans="1:14" hidden="1">
      <c r="A333" s="74" t="s">
        <v>3642</v>
      </c>
      <c r="B333" s="75" t="s">
        <v>3652</v>
      </c>
      <c r="C333" s="76" t="s">
        <v>134</v>
      </c>
      <c r="D333" s="76" t="s">
        <v>135</v>
      </c>
      <c r="E333" s="76" t="s">
        <v>136</v>
      </c>
      <c r="F333" s="170">
        <v>10743.8</v>
      </c>
      <c r="G333" s="170">
        <v>0</v>
      </c>
      <c r="H333" s="76">
        <v>0</v>
      </c>
      <c r="I333" s="76">
        <v>0</v>
      </c>
      <c r="J333" s="76">
        <v>0</v>
      </c>
      <c r="K333" s="76">
        <v>2256.2000000000003</v>
      </c>
      <c r="L333" s="76">
        <v>0</v>
      </c>
      <c r="M333" s="170">
        <v>0</v>
      </c>
      <c r="N333" s="170">
        <v>13000</v>
      </c>
    </row>
    <row r="334" spans="1:14" hidden="1">
      <c r="A334" s="74" t="s">
        <v>3642</v>
      </c>
      <c r="B334" s="75" t="s">
        <v>3653</v>
      </c>
      <c r="C334" s="76" t="s">
        <v>134</v>
      </c>
      <c r="D334" s="76" t="s">
        <v>135</v>
      </c>
      <c r="E334" s="76" t="s">
        <v>136</v>
      </c>
      <c r="F334" s="170">
        <v>22148.76</v>
      </c>
      <c r="G334" s="170">
        <v>0</v>
      </c>
      <c r="H334" s="76">
        <v>0</v>
      </c>
      <c r="I334" s="76">
        <v>0</v>
      </c>
      <c r="J334" s="76">
        <v>0</v>
      </c>
      <c r="K334" s="76">
        <v>4651.24</v>
      </c>
      <c r="L334" s="76">
        <v>0</v>
      </c>
      <c r="M334" s="170">
        <v>0</v>
      </c>
      <c r="N334" s="170">
        <v>26800</v>
      </c>
    </row>
    <row r="335" spans="1:14" hidden="1">
      <c r="A335" s="74" t="s">
        <v>3657</v>
      </c>
      <c r="B335" s="75" t="s">
        <v>3658</v>
      </c>
      <c r="C335" s="76" t="s">
        <v>134</v>
      </c>
      <c r="D335" s="76" t="s">
        <v>135</v>
      </c>
      <c r="E335" s="76" t="s">
        <v>136</v>
      </c>
      <c r="F335" s="170">
        <v>33884.300000000003</v>
      </c>
      <c r="G335" s="170">
        <v>0</v>
      </c>
      <c r="H335" s="76">
        <v>0</v>
      </c>
      <c r="I335" s="76">
        <v>0</v>
      </c>
      <c r="J335" s="76">
        <v>0</v>
      </c>
      <c r="K335" s="76">
        <v>7115.7</v>
      </c>
      <c r="L335" s="76">
        <v>0</v>
      </c>
      <c r="M335" s="170">
        <v>0</v>
      </c>
      <c r="N335" s="170">
        <v>41000</v>
      </c>
    </row>
    <row r="336" spans="1:14" hidden="1">
      <c r="A336" s="74" t="s">
        <v>3657</v>
      </c>
      <c r="B336" s="75" t="s">
        <v>3659</v>
      </c>
      <c r="C336" s="76" t="s">
        <v>134</v>
      </c>
      <c r="D336" s="76" t="s">
        <v>135</v>
      </c>
      <c r="E336" s="76" t="s">
        <v>136</v>
      </c>
      <c r="F336" s="170">
        <v>9917.36</v>
      </c>
      <c r="G336" s="170">
        <v>0</v>
      </c>
      <c r="H336" s="76">
        <v>0</v>
      </c>
      <c r="I336" s="76">
        <v>0</v>
      </c>
      <c r="J336" s="76">
        <v>0</v>
      </c>
      <c r="K336" s="76">
        <v>2082.64</v>
      </c>
      <c r="L336" s="76">
        <v>0</v>
      </c>
      <c r="M336" s="170">
        <v>0</v>
      </c>
      <c r="N336" s="170">
        <v>12000</v>
      </c>
    </row>
    <row r="337" spans="1:14" hidden="1">
      <c r="A337" s="74" t="s">
        <v>3657</v>
      </c>
      <c r="B337" s="75" t="s">
        <v>3660</v>
      </c>
      <c r="C337" s="76" t="s">
        <v>134</v>
      </c>
      <c r="D337" s="76" t="s">
        <v>135</v>
      </c>
      <c r="E337" s="76" t="s">
        <v>136</v>
      </c>
      <c r="F337" s="170">
        <v>34710.74</v>
      </c>
      <c r="G337" s="170">
        <v>0</v>
      </c>
      <c r="H337" s="76">
        <v>0</v>
      </c>
      <c r="I337" s="76">
        <v>0</v>
      </c>
      <c r="J337" s="76">
        <v>0</v>
      </c>
      <c r="K337" s="76">
        <v>7289.26</v>
      </c>
      <c r="L337" s="76">
        <v>0</v>
      </c>
      <c r="M337" s="170">
        <v>0</v>
      </c>
      <c r="N337" s="170">
        <v>42000</v>
      </c>
    </row>
    <row r="338" spans="1:14" hidden="1">
      <c r="A338" s="74" t="s">
        <v>3657</v>
      </c>
      <c r="B338" s="75" t="s">
        <v>3661</v>
      </c>
      <c r="C338" s="76" t="s">
        <v>134</v>
      </c>
      <c r="D338" s="76" t="s">
        <v>135</v>
      </c>
      <c r="E338" s="76" t="s">
        <v>136</v>
      </c>
      <c r="F338" s="170">
        <v>10743.8</v>
      </c>
      <c r="G338" s="170">
        <v>0</v>
      </c>
      <c r="H338" s="76">
        <v>0</v>
      </c>
      <c r="I338" s="76">
        <v>0</v>
      </c>
      <c r="J338" s="76">
        <v>0</v>
      </c>
      <c r="K338" s="76">
        <v>2256.2000000000003</v>
      </c>
      <c r="L338" s="76">
        <v>0</v>
      </c>
      <c r="M338" s="170">
        <v>0</v>
      </c>
      <c r="N338" s="170">
        <v>13000</v>
      </c>
    </row>
    <row r="339" spans="1:14" hidden="1">
      <c r="A339" s="74" t="s">
        <v>3657</v>
      </c>
      <c r="B339" s="75" t="s">
        <v>3662</v>
      </c>
      <c r="C339" s="76" t="s">
        <v>134</v>
      </c>
      <c r="D339" s="76" t="s">
        <v>135</v>
      </c>
      <c r="E339" s="76" t="s">
        <v>136</v>
      </c>
      <c r="F339" s="170">
        <v>29338.84</v>
      </c>
      <c r="G339" s="170">
        <v>0</v>
      </c>
      <c r="H339" s="76">
        <v>0</v>
      </c>
      <c r="I339" s="76">
        <v>0</v>
      </c>
      <c r="J339" s="76">
        <v>0</v>
      </c>
      <c r="K339" s="76">
        <v>6161.16</v>
      </c>
      <c r="L339" s="76">
        <v>0</v>
      </c>
      <c r="M339" s="170">
        <v>0</v>
      </c>
      <c r="N339" s="170">
        <v>35500</v>
      </c>
    </row>
    <row r="340" spans="1:14" hidden="1">
      <c r="A340" s="74" t="s">
        <v>3657</v>
      </c>
      <c r="B340" s="75" t="s">
        <v>3663</v>
      </c>
      <c r="C340" s="76" t="s">
        <v>134</v>
      </c>
      <c r="D340" s="76" t="s">
        <v>135</v>
      </c>
      <c r="E340" s="76" t="s">
        <v>136</v>
      </c>
      <c r="F340" s="170">
        <v>28925.62</v>
      </c>
      <c r="G340" s="170">
        <v>0</v>
      </c>
      <c r="H340" s="76">
        <v>0</v>
      </c>
      <c r="I340" s="76">
        <v>0</v>
      </c>
      <c r="J340" s="76">
        <v>0</v>
      </c>
      <c r="K340" s="76">
        <v>6074.38</v>
      </c>
      <c r="L340" s="76">
        <v>0</v>
      </c>
      <c r="M340" s="170">
        <v>0</v>
      </c>
      <c r="N340" s="170">
        <v>35000</v>
      </c>
    </row>
    <row r="341" spans="1:14">
      <c r="A341" s="74" t="s">
        <v>3657</v>
      </c>
      <c r="B341" s="75" t="s">
        <v>3664</v>
      </c>
      <c r="C341" s="76" t="s">
        <v>3665</v>
      </c>
      <c r="D341" s="76" t="s">
        <v>135</v>
      </c>
      <c r="E341" s="76">
        <v>92061622</v>
      </c>
      <c r="F341" s="170">
        <v>33636.36</v>
      </c>
      <c r="G341" s="170">
        <v>0</v>
      </c>
      <c r="H341" s="76">
        <v>0</v>
      </c>
      <c r="I341" s="76">
        <v>0</v>
      </c>
      <c r="J341" s="76">
        <v>0</v>
      </c>
      <c r="K341" s="76">
        <v>7063.64</v>
      </c>
      <c r="L341" s="76">
        <v>0</v>
      </c>
      <c r="M341" s="170">
        <v>0</v>
      </c>
      <c r="N341" s="170">
        <v>40700</v>
      </c>
    </row>
    <row r="342" spans="1:14" hidden="1">
      <c r="A342" s="74" t="s">
        <v>3657</v>
      </c>
      <c r="B342" s="75" t="s">
        <v>3666</v>
      </c>
      <c r="C342" s="76" t="s">
        <v>134</v>
      </c>
      <c r="D342" s="76" t="s">
        <v>135</v>
      </c>
      <c r="E342" s="76" t="s">
        <v>136</v>
      </c>
      <c r="F342" s="170">
        <v>12396.69</v>
      </c>
      <c r="G342" s="170">
        <v>0</v>
      </c>
      <c r="H342" s="76">
        <v>0</v>
      </c>
      <c r="I342" s="76">
        <v>0</v>
      </c>
      <c r="J342" s="76">
        <v>0</v>
      </c>
      <c r="K342" s="76">
        <v>2603.31</v>
      </c>
      <c r="L342" s="76">
        <v>0</v>
      </c>
      <c r="M342" s="170">
        <v>0</v>
      </c>
      <c r="N342" s="170">
        <v>15000</v>
      </c>
    </row>
    <row r="343" spans="1:14" hidden="1">
      <c r="A343" s="74" t="s">
        <v>3657</v>
      </c>
      <c r="B343" s="75" t="s">
        <v>3667</v>
      </c>
      <c r="C343" s="76" t="s">
        <v>134</v>
      </c>
      <c r="D343" s="76" t="s">
        <v>135</v>
      </c>
      <c r="E343" s="76" t="s">
        <v>136</v>
      </c>
      <c r="F343" s="170">
        <v>30661.16</v>
      </c>
      <c r="G343" s="170">
        <v>0</v>
      </c>
      <c r="H343" s="76">
        <v>0</v>
      </c>
      <c r="I343" s="76">
        <v>0</v>
      </c>
      <c r="J343" s="76">
        <v>0</v>
      </c>
      <c r="K343" s="76">
        <v>6438.84</v>
      </c>
      <c r="L343" s="76">
        <v>0</v>
      </c>
      <c r="M343" s="170">
        <v>0</v>
      </c>
      <c r="N343" s="170">
        <v>37100</v>
      </c>
    </row>
    <row r="344" spans="1:14" hidden="1">
      <c r="A344" s="74" t="s">
        <v>3657</v>
      </c>
      <c r="B344" s="75" t="s">
        <v>3668</v>
      </c>
      <c r="C344" s="76" t="s">
        <v>134</v>
      </c>
      <c r="D344" s="76" t="s">
        <v>135</v>
      </c>
      <c r="E344" s="76" t="s">
        <v>136</v>
      </c>
      <c r="F344" s="170">
        <v>25619.83</v>
      </c>
      <c r="G344" s="170">
        <v>0</v>
      </c>
      <c r="H344" s="76">
        <v>0</v>
      </c>
      <c r="I344" s="76">
        <v>0</v>
      </c>
      <c r="J344" s="76">
        <v>0</v>
      </c>
      <c r="K344" s="76">
        <v>5380.17</v>
      </c>
      <c r="L344" s="76">
        <v>0</v>
      </c>
      <c r="M344" s="170">
        <v>0</v>
      </c>
      <c r="N344" s="170">
        <v>31000</v>
      </c>
    </row>
    <row r="345" spans="1:14">
      <c r="A345" s="74" t="s">
        <v>3671</v>
      </c>
      <c r="B345" s="75" t="s">
        <v>3672</v>
      </c>
      <c r="C345" s="76" t="s">
        <v>3673</v>
      </c>
      <c r="D345" s="76" t="s">
        <v>135</v>
      </c>
      <c r="E345" s="76">
        <v>33207477</v>
      </c>
      <c r="F345" s="170">
        <v>39669.42</v>
      </c>
      <c r="G345" s="170">
        <v>0</v>
      </c>
      <c r="H345" s="76">
        <v>0</v>
      </c>
      <c r="I345" s="76">
        <v>0</v>
      </c>
      <c r="J345" s="76">
        <v>0</v>
      </c>
      <c r="K345" s="76">
        <v>8330.58</v>
      </c>
      <c r="L345" s="76">
        <v>0</v>
      </c>
      <c r="M345" s="170">
        <v>0</v>
      </c>
      <c r="N345" s="170">
        <v>48000</v>
      </c>
    </row>
    <row r="346" spans="1:14" hidden="1">
      <c r="A346" s="74" t="s">
        <v>3671</v>
      </c>
      <c r="B346" s="75" t="s">
        <v>3674</v>
      </c>
      <c r="C346" s="76" t="s">
        <v>134</v>
      </c>
      <c r="D346" s="76" t="s">
        <v>135</v>
      </c>
      <c r="E346" s="76" t="s">
        <v>136</v>
      </c>
      <c r="F346" s="170">
        <v>32231.4</v>
      </c>
      <c r="G346" s="170">
        <v>0</v>
      </c>
      <c r="H346" s="76">
        <v>0</v>
      </c>
      <c r="I346" s="76">
        <v>0</v>
      </c>
      <c r="J346" s="76">
        <v>0</v>
      </c>
      <c r="K346" s="76">
        <v>6768.6</v>
      </c>
      <c r="L346" s="76">
        <v>0</v>
      </c>
      <c r="M346" s="170">
        <v>0</v>
      </c>
      <c r="N346" s="170">
        <v>39000</v>
      </c>
    </row>
    <row r="347" spans="1:14">
      <c r="A347" s="74" t="s">
        <v>3671</v>
      </c>
      <c r="B347" s="75" t="s">
        <v>3675</v>
      </c>
      <c r="C347" s="76" t="s">
        <v>3676</v>
      </c>
      <c r="D347" s="76" t="s">
        <v>135</v>
      </c>
      <c r="E347" s="76">
        <v>27628739</v>
      </c>
      <c r="F347" s="170">
        <v>47933.88</v>
      </c>
      <c r="G347" s="170">
        <v>0</v>
      </c>
      <c r="H347" s="76">
        <v>0</v>
      </c>
      <c r="I347" s="76">
        <v>0</v>
      </c>
      <c r="J347" s="76">
        <v>0</v>
      </c>
      <c r="K347" s="76">
        <v>10066.120000000001</v>
      </c>
      <c r="L347" s="76">
        <v>0</v>
      </c>
      <c r="M347" s="170">
        <v>0</v>
      </c>
      <c r="N347" s="170">
        <v>58000</v>
      </c>
    </row>
    <row r="348" spans="1:14" hidden="1">
      <c r="A348" s="74" t="s">
        <v>3671</v>
      </c>
      <c r="B348" s="75" t="s">
        <v>3677</v>
      </c>
      <c r="C348" s="76" t="s">
        <v>134</v>
      </c>
      <c r="D348" s="76" t="s">
        <v>135</v>
      </c>
      <c r="E348" s="76" t="s">
        <v>136</v>
      </c>
      <c r="F348" s="170">
        <v>10743.8</v>
      </c>
      <c r="G348" s="170">
        <v>0</v>
      </c>
      <c r="H348" s="76">
        <v>0</v>
      </c>
      <c r="I348" s="76">
        <v>0</v>
      </c>
      <c r="J348" s="76">
        <v>0</v>
      </c>
      <c r="K348" s="76">
        <v>2256.2000000000003</v>
      </c>
      <c r="L348" s="76">
        <v>0</v>
      </c>
      <c r="M348" s="170">
        <v>0</v>
      </c>
      <c r="N348" s="170">
        <v>13000</v>
      </c>
    </row>
    <row r="349" spans="1:14" hidden="1">
      <c r="A349" s="74" t="s">
        <v>3671</v>
      </c>
      <c r="B349" s="75" t="s">
        <v>3678</v>
      </c>
      <c r="C349" s="76" t="s">
        <v>134</v>
      </c>
      <c r="D349" s="76" t="s">
        <v>135</v>
      </c>
      <c r="E349" s="76" t="s">
        <v>136</v>
      </c>
      <c r="F349" s="170">
        <v>10743.8</v>
      </c>
      <c r="G349" s="170">
        <v>0</v>
      </c>
      <c r="H349" s="76">
        <v>0</v>
      </c>
      <c r="I349" s="76">
        <v>0</v>
      </c>
      <c r="J349" s="76">
        <v>0</v>
      </c>
      <c r="K349" s="76">
        <v>2256.2000000000003</v>
      </c>
      <c r="L349" s="76">
        <v>0</v>
      </c>
      <c r="M349" s="170">
        <v>0</v>
      </c>
      <c r="N349" s="170">
        <v>13000</v>
      </c>
    </row>
    <row r="350" spans="1:14" hidden="1">
      <c r="A350" s="74" t="s">
        <v>3671</v>
      </c>
      <c r="B350" s="75" t="s">
        <v>3679</v>
      </c>
      <c r="C350" s="76" t="s">
        <v>134</v>
      </c>
      <c r="D350" s="76" t="s">
        <v>135</v>
      </c>
      <c r="E350" s="76" t="s">
        <v>136</v>
      </c>
      <c r="F350" s="170">
        <v>20661.16</v>
      </c>
      <c r="G350" s="170">
        <v>0</v>
      </c>
      <c r="H350" s="76">
        <v>0</v>
      </c>
      <c r="I350" s="76">
        <v>0</v>
      </c>
      <c r="J350" s="76">
        <v>0</v>
      </c>
      <c r="K350" s="76">
        <v>4338.84</v>
      </c>
      <c r="L350" s="76">
        <v>0</v>
      </c>
      <c r="M350" s="170">
        <v>0</v>
      </c>
      <c r="N350" s="170">
        <v>25000</v>
      </c>
    </row>
    <row r="351" spans="1:14" hidden="1">
      <c r="A351" s="74" t="s">
        <v>3671</v>
      </c>
      <c r="B351" s="75" t="s">
        <v>3680</v>
      </c>
      <c r="C351" s="76" t="s">
        <v>134</v>
      </c>
      <c r="D351" s="76" t="s">
        <v>135</v>
      </c>
      <c r="E351" s="76" t="s">
        <v>136</v>
      </c>
      <c r="F351" s="170">
        <v>11487.6</v>
      </c>
      <c r="G351" s="170">
        <v>0</v>
      </c>
      <c r="H351" s="76">
        <v>0</v>
      </c>
      <c r="I351" s="76">
        <v>0</v>
      </c>
      <c r="J351" s="76">
        <v>0</v>
      </c>
      <c r="K351" s="76">
        <v>2412.4</v>
      </c>
      <c r="L351" s="76">
        <v>0</v>
      </c>
      <c r="M351" s="170">
        <v>0</v>
      </c>
      <c r="N351" s="170">
        <v>13900</v>
      </c>
    </row>
    <row r="352" spans="1:14" hidden="1">
      <c r="A352" s="74" t="s">
        <v>3671</v>
      </c>
      <c r="B352" s="75" t="s">
        <v>3681</v>
      </c>
      <c r="C352" s="76" t="s">
        <v>134</v>
      </c>
      <c r="D352" s="76" t="s">
        <v>135</v>
      </c>
      <c r="E352" s="76" t="s">
        <v>136</v>
      </c>
      <c r="F352" s="170">
        <v>10743.8</v>
      </c>
      <c r="G352" s="170">
        <v>0</v>
      </c>
      <c r="H352" s="76">
        <v>0</v>
      </c>
      <c r="I352" s="76">
        <v>0</v>
      </c>
      <c r="J352" s="76">
        <v>0</v>
      </c>
      <c r="K352" s="76">
        <v>2256.2000000000003</v>
      </c>
      <c r="L352" s="76">
        <v>0</v>
      </c>
      <c r="M352" s="170">
        <v>0</v>
      </c>
      <c r="N352" s="170">
        <v>13000</v>
      </c>
    </row>
    <row r="353" spans="1:14" hidden="1">
      <c r="A353" s="74" t="s">
        <v>3671</v>
      </c>
      <c r="B353" s="75" t="s">
        <v>3682</v>
      </c>
      <c r="C353" s="76" t="s">
        <v>134</v>
      </c>
      <c r="D353" s="76" t="s">
        <v>135</v>
      </c>
      <c r="E353" s="76" t="s">
        <v>136</v>
      </c>
      <c r="F353" s="170">
        <v>74380.17</v>
      </c>
      <c r="G353" s="170">
        <v>0</v>
      </c>
      <c r="H353" s="76">
        <v>0</v>
      </c>
      <c r="I353" s="76">
        <v>0</v>
      </c>
      <c r="J353" s="76">
        <v>0</v>
      </c>
      <c r="K353" s="76">
        <v>15619.83</v>
      </c>
      <c r="L353" s="76">
        <v>0</v>
      </c>
      <c r="M353" s="170">
        <v>0</v>
      </c>
      <c r="N353" s="170">
        <v>90000</v>
      </c>
    </row>
    <row r="354" spans="1:14" hidden="1">
      <c r="A354" s="74" t="s">
        <v>3671</v>
      </c>
      <c r="B354" s="75" t="s">
        <v>3683</v>
      </c>
      <c r="C354" s="76" t="s">
        <v>134</v>
      </c>
      <c r="D354" s="76" t="s">
        <v>135</v>
      </c>
      <c r="E354" s="76" t="s">
        <v>136</v>
      </c>
      <c r="F354" s="170">
        <v>17685.95</v>
      </c>
      <c r="G354" s="170">
        <v>0</v>
      </c>
      <c r="H354" s="76">
        <v>0</v>
      </c>
      <c r="I354" s="76">
        <v>0</v>
      </c>
      <c r="J354" s="76">
        <v>0</v>
      </c>
      <c r="K354" s="76">
        <v>3714.05</v>
      </c>
      <c r="L354" s="76">
        <v>0</v>
      </c>
      <c r="M354" s="170">
        <v>0</v>
      </c>
      <c r="N354" s="170">
        <v>21400</v>
      </c>
    </row>
    <row r="355" spans="1:14" hidden="1">
      <c r="A355" s="74" t="s">
        <v>3671</v>
      </c>
      <c r="B355" s="75" t="s">
        <v>3684</v>
      </c>
      <c r="C355" s="76" t="s">
        <v>134</v>
      </c>
      <c r="D355" s="76" t="s">
        <v>135</v>
      </c>
      <c r="E355" s="76" t="s">
        <v>136</v>
      </c>
      <c r="F355" s="170">
        <v>28925.62</v>
      </c>
      <c r="G355" s="170">
        <v>0</v>
      </c>
      <c r="H355" s="76">
        <v>0</v>
      </c>
      <c r="I355" s="76">
        <v>0</v>
      </c>
      <c r="J355" s="76">
        <v>0</v>
      </c>
      <c r="K355" s="76">
        <v>6074.38</v>
      </c>
      <c r="L355" s="76">
        <v>0</v>
      </c>
      <c r="M355" s="170">
        <v>0</v>
      </c>
      <c r="N355" s="170">
        <v>35000</v>
      </c>
    </row>
    <row r="356" spans="1:14" hidden="1">
      <c r="A356" s="74" t="s">
        <v>3671</v>
      </c>
      <c r="B356" s="75" t="s">
        <v>3685</v>
      </c>
      <c r="C356" s="76" t="s">
        <v>134</v>
      </c>
      <c r="D356" s="76" t="s">
        <v>135</v>
      </c>
      <c r="E356" s="76" t="s">
        <v>136</v>
      </c>
      <c r="F356" s="170">
        <v>10743.8</v>
      </c>
      <c r="G356" s="170">
        <v>0</v>
      </c>
      <c r="H356" s="76">
        <v>0</v>
      </c>
      <c r="I356" s="76">
        <v>0</v>
      </c>
      <c r="J356" s="76">
        <v>0</v>
      </c>
      <c r="K356" s="76">
        <v>2256.2000000000003</v>
      </c>
      <c r="L356" s="76">
        <v>0</v>
      </c>
      <c r="M356" s="170">
        <v>0</v>
      </c>
      <c r="N356" s="170">
        <v>13000</v>
      </c>
    </row>
    <row r="357" spans="1:14" hidden="1">
      <c r="A357" s="74" t="s">
        <v>3671</v>
      </c>
      <c r="B357" s="75" t="s">
        <v>3686</v>
      </c>
      <c r="C357" s="76" t="s">
        <v>134</v>
      </c>
      <c r="D357" s="76" t="s">
        <v>135</v>
      </c>
      <c r="E357" s="76" t="s">
        <v>136</v>
      </c>
      <c r="F357" s="170">
        <v>32231.4</v>
      </c>
      <c r="G357" s="170">
        <v>0</v>
      </c>
      <c r="H357" s="76">
        <v>0</v>
      </c>
      <c r="I357" s="76">
        <v>0</v>
      </c>
      <c r="J357" s="76">
        <v>0</v>
      </c>
      <c r="K357" s="76">
        <v>6768.6</v>
      </c>
      <c r="L357" s="76">
        <v>0</v>
      </c>
      <c r="M357" s="170">
        <v>0</v>
      </c>
      <c r="N357" s="170">
        <v>39000</v>
      </c>
    </row>
    <row r="358" spans="1:14" hidden="1">
      <c r="A358" s="74" t="s">
        <v>3671</v>
      </c>
      <c r="B358" s="75" t="s">
        <v>3687</v>
      </c>
      <c r="C358" s="76" t="s">
        <v>134</v>
      </c>
      <c r="D358" s="76" t="s">
        <v>135</v>
      </c>
      <c r="E358" s="76" t="s">
        <v>136</v>
      </c>
      <c r="F358" s="170">
        <v>15702.48</v>
      </c>
      <c r="G358" s="170">
        <v>0</v>
      </c>
      <c r="H358" s="76">
        <v>0</v>
      </c>
      <c r="I358" s="76">
        <v>0</v>
      </c>
      <c r="J358" s="76">
        <v>0</v>
      </c>
      <c r="K358" s="76">
        <v>3297.52</v>
      </c>
      <c r="L358" s="76">
        <v>0</v>
      </c>
      <c r="M358" s="170">
        <v>0</v>
      </c>
      <c r="N358" s="170">
        <v>19000</v>
      </c>
    </row>
    <row r="359" spans="1:14" hidden="1">
      <c r="A359" s="74" t="s">
        <v>3671</v>
      </c>
      <c r="B359" s="75" t="s">
        <v>3688</v>
      </c>
      <c r="C359" s="76" t="s">
        <v>134</v>
      </c>
      <c r="D359" s="76" t="s">
        <v>135</v>
      </c>
      <c r="E359" s="76" t="s">
        <v>136</v>
      </c>
      <c r="F359" s="170">
        <v>28925.62</v>
      </c>
      <c r="G359" s="170">
        <v>0</v>
      </c>
      <c r="H359" s="76">
        <v>0</v>
      </c>
      <c r="I359" s="76">
        <v>0</v>
      </c>
      <c r="J359" s="76">
        <v>0</v>
      </c>
      <c r="K359" s="76">
        <v>6074.38</v>
      </c>
      <c r="L359" s="76">
        <v>0</v>
      </c>
      <c r="M359" s="170">
        <v>0</v>
      </c>
      <c r="N359" s="170">
        <v>35000</v>
      </c>
    </row>
    <row r="360" spans="1:14">
      <c r="A360" s="74" t="s">
        <v>3671</v>
      </c>
      <c r="B360" s="75" t="s">
        <v>3689</v>
      </c>
      <c r="C360" s="76" t="s">
        <v>3690</v>
      </c>
      <c r="D360" s="76" t="s">
        <v>135</v>
      </c>
      <c r="E360" s="76">
        <v>35958893</v>
      </c>
      <c r="F360" s="170">
        <v>41322.31</v>
      </c>
      <c r="G360" s="170">
        <v>0</v>
      </c>
      <c r="H360" s="76">
        <v>0</v>
      </c>
      <c r="I360" s="76">
        <v>0</v>
      </c>
      <c r="J360" s="76">
        <v>0</v>
      </c>
      <c r="K360" s="76">
        <v>8677.69</v>
      </c>
      <c r="L360" s="76">
        <v>0</v>
      </c>
      <c r="M360" s="170">
        <v>0</v>
      </c>
      <c r="N360" s="170">
        <v>50000</v>
      </c>
    </row>
    <row r="361" spans="1:14" hidden="1">
      <c r="A361" s="74" t="s">
        <v>3700</v>
      </c>
      <c r="B361" s="75" t="s">
        <v>3701</v>
      </c>
      <c r="C361" s="76" t="s">
        <v>134</v>
      </c>
      <c r="D361" s="76" t="s">
        <v>135</v>
      </c>
      <c r="E361" s="76" t="s">
        <v>136</v>
      </c>
      <c r="F361" s="170">
        <v>21487.599999999999</v>
      </c>
      <c r="G361" s="170">
        <v>0</v>
      </c>
      <c r="H361" s="76">
        <v>0</v>
      </c>
      <c r="I361" s="76">
        <v>0</v>
      </c>
      <c r="J361" s="76">
        <v>0</v>
      </c>
      <c r="K361" s="76">
        <v>4512.4000000000005</v>
      </c>
      <c r="L361" s="76">
        <v>0</v>
      </c>
      <c r="M361" s="170">
        <v>0</v>
      </c>
      <c r="N361" s="170">
        <v>26000</v>
      </c>
    </row>
    <row r="362" spans="1:14" hidden="1">
      <c r="A362" s="74" t="s">
        <v>3700</v>
      </c>
      <c r="B362" s="75" t="s">
        <v>3702</v>
      </c>
      <c r="C362" s="76" t="s">
        <v>134</v>
      </c>
      <c r="D362" s="76" t="s">
        <v>135</v>
      </c>
      <c r="E362" s="76" t="s">
        <v>136</v>
      </c>
      <c r="F362" s="170">
        <v>10330.58</v>
      </c>
      <c r="G362" s="170">
        <v>0</v>
      </c>
      <c r="H362" s="76">
        <v>0</v>
      </c>
      <c r="I362" s="76">
        <v>0</v>
      </c>
      <c r="J362" s="76">
        <v>0</v>
      </c>
      <c r="K362" s="76">
        <v>2169.42</v>
      </c>
      <c r="L362" s="76">
        <v>0</v>
      </c>
      <c r="M362" s="170">
        <v>0</v>
      </c>
      <c r="N362" s="170">
        <v>12500</v>
      </c>
    </row>
    <row r="363" spans="1:14" hidden="1">
      <c r="A363" s="74" t="s">
        <v>3700</v>
      </c>
      <c r="B363" s="75" t="s">
        <v>3703</v>
      </c>
      <c r="C363" s="76" t="s">
        <v>134</v>
      </c>
      <c r="D363" s="76" t="s">
        <v>135</v>
      </c>
      <c r="E363" s="76" t="s">
        <v>136</v>
      </c>
      <c r="F363" s="170">
        <v>21487.599999999999</v>
      </c>
      <c r="G363" s="170">
        <v>0</v>
      </c>
      <c r="H363" s="76">
        <v>0</v>
      </c>
      <c r="I363" s="76">
        <v>0</v>
      </c>
      <c r="J363" s="76">
        <v>0</v>
      </c>
      <c r="K363" s="76">
        <v>4512.4000000000005</v>
      </c>
      <c r="L363" s="76">
        <v>0</v>
      </c>
      <c r="M363" s="170">
        <v>0</v>
      </c>
      <c r="N363" s="170">
        <v>26000</v>
      </c>
    </row>
    <row r="364" spans="1:14" hidden="1">
      <c r="A364" s="74" t="s">
        <v>3700</v>
      </c>
      <c r="B364" s="75" t="s">
        <v>3704</v>
      </c>
      <c r="C364" s="76" t="s">
        <v>134</v>
      </c>
      <c r="D364" s="76" t="s">
        <v>135</v>
      </c>
      <c r="E364" s="76" t="s">
        <v>136</v>
      </c>
      <c r="F364" s="170">
        <v>10330.58</v>
      </c>
      <c r="G364" s="170">
        <v>0</v>
      </c>
      <c r="H364" s="76">
        <v>0</v>
      </c>
      <c r="I364" s="76">
        <v>0</v>
      </c>
      <c r="J364" s="76">
        <v>0</v>
      </c>
      <c r="K364" s="76">
        <v>2169.42</v>
      </c>
      <c r="L364" s="76">
        <v>0</v>
      </c>
      <c r="M364" s="170">
        <v>0</v>
      </c>
      <c r="N364" s="170">
        <v>12500</v>
      </c>
    </row>
    <row r="365" spans="1:14" hidden="1">
      <c r="A365" s="74" t="s">
        <v>3700</v>
      </c>
      <c r="B365" s="75" t="s">
        <v>3705</v>
      </c>
      <c r="C365" s="76" t="s">
        <v>134</v>
      </c>
      <c r="D365" s="76" t="s">
        <v>135</v>
      </c>
      <c r="E365" s="76" t="s">
        <v>136</v>
      </c>
      <c r="F365" s="170">
        <v>10743.8</v>
      </c>
      <c r="G365" s="170">
        <v>0</v>
      </c>
      <c r="H365" s="76">
        <v>0</v>
      </c>
      <c r="I365" s="76">
        <v>0</v>
      </c>
      <c r="J365" s="76">
        <v>0</v>
      </c>
      <c r="K365" s="76">
        <v>2256.2000000000003</v>
      </c>
      <c r="L365" s="76">
        <v>0</v>
      </c>
      <c r="M365" s="170">
        <v>0</v>
      </c>
      <c r="N365" s="170">
        <v>13000</v>
      </c>
    </row>
    <row r="366" spans="1:14" hidden="1">
      <c r="A366" s="74" t="s">
        <v>3700</v>
      </c>
      <c r="B366" s="75" t="s">
        <v>3706</v>
      </c>
      <c r="C366" s="76" t="s">
        <v>134</v>
      </c>
      <c r="D366" s="76" t="s">
        <v>135</v>
      </c>
      <c r="E366" s="76" t="s">
        <v>136</v>
      </c>
      <c r="F366" s="170">
        <v>19834.71</v>
      </c>
      <c r="G366" s="170">
        <v>0</v>
      </c>
      <c r="H366" s="76">
        <v>0</v>
      </c>
      <c r="I366" s="76">
        <v>0</v>
      </c>
      <c r="J366" s="76">
        <v>0</v>
      </c>
      <c r="K366" s="76">
        <v>4165.29</v>
      </c>
      <c r="L366" s="76">
        <v>0</v>
      </c>
      <c r="M366" s="170">
        <v>0</v>
      </c>
      <c r="N366" s="170">
        <v>24000</v>
      </c>
    </row>
    <row r="367" spans="1:14" hidden="1">
      <c r="A367" s="74" t="s">
        <v>3700</v>
      </c>
      <c r="B367" s="75" t="s">
        <v>3707</v>
      </c>
      <c r="C367" s="76" t="s">
        <v>134</v>
      </c>
      <c r="D367" s="76" t="s">
        <v>135</v>
      </c>
      <c r="E367" s="76" t="s">
        <v>136</v>
      </c>
      <c r="F367" s="170">
        <v>16528.93</v>
      </c>
      <c r="G367" s="170">
        <v>0</v>
      </c>
      <c r="H367" s="76">
        <v>0</v>
      </c>
      <c r="I367" s="76">
        <v>0</v>
      </c>
      <c r="J367" s="76">
        <v>0</v>
      </c>
      <c r="K367" s="76">
        <v>3471.07</v>
      </c>
      <c r="L367" s="76">
        <v>0</v>
      </c>
      <c r="M367" s="170">
        <v>0</v>
      </c>
      <c r="N367" s="170">
        <v>20000</v>
      </c>
    </row>
    <row r="368" spans="1:14" hidden="1">
      <c r="A368" s="74" t="s">
        <v>3700</v>
      </c>
      <c r="B368" s="75" t="s">
        <v>3708</v>
      </c>
      <c r="C368" s="76" t="s">
        <v>134</v>
      </c>
      <c r="D368" s="76" t="s">
        <v>135</v>
      </c>
      <c r="E368" s="76" t="s">
        <v>136</v>
      </c>
      <c r="F368" s="170">
        <v>4132.2300000000005</v>
      </c>
      <c r="G368" s="170">
        <v>0</v>
      </c>
      <c r="H368" s="76">
        <v>0</v>
      </c>
      <c r="I368" s="76">
        <v>0</v>
      </c>
      <c r="J368" s="76">
        <v>0</v>
      </c>
      <c r="K368" s="76">
        <v>867.77</v>
      </c>
      <c r="L368" s="76">
        <v>0</v>
      </c>
      <c r="M368" s="170">
        <v>0</v>
      </c>
      <c r="N368" s="170">
        <v>5000</v>
      </c>
    </row>
    <row r="369" spans="1:14" hidden="1">
      <c r="A369" s="74" t="s">
        <v>3700</v>
      </c>
      <c r="B369" s="75" t="s">
        <v>3709</v>
      </c>
      <c r="C369" s="76" t="s">
        <v>134</v>
      </c>
      <c r="D369" s="76" t="s">
        <v>135</v>
      </c>
      <c r="E369" s="76" t="s">
        <v>136</v>
      </c>
      <c r="F369" s="170">
        <v>14049.59</v>
      </c>
      <c r="G369" s="170">
        <v>0</v>
      </c>
      <c r="H369" s="76">
        <v>0</v>
      </c>
      <c r="I369" s="76">
        <v>0</v>
      </c>
      <c r="J369" s="76">
        <v>0</v>
      </c>
      <c r="K369" s="76">
        <v>2950.41</v>
      </c>
      <c r="L369" s="76">
        <v>0</v>
      </c>
      <c r="M369" s="170">
        <v>0</v>
      </c>
      <c r="N369" s="170">
        <v>17000</v>
      </c>
    </row>
    <row r="370" spans="1:14" hidden="1">
      <c r="A370" s="74" t="s">
        <v>3700</v>
      </c>
      <c r="B370" s="75" t="s">
        <v>3710</v>
      </c>
      <c r="C370" s="76" t="s">
        <v>134</v>
      </c>
      <c r="D370" s="76" t="s">
        <v>135</v>
      </c>
      <c r="E370" s="76" t="s">
        <v>136</v>
      </c>
      <c r="F370" s="170">
        <v>18595.04</v>
      </c>
      <c r="G370" s="170">
        <v>0</v>
      </c>
      <c r="H370" s="76">
        <v>0</v>
      </c>
      <c r="I370" s="76">
        <v>0</v>
      </c>
      <c r="J370" s="76">
        <v>0</v>
      </c>
      <c r="K370" s="76">
        <v>3904.96</v>
      </c>
      <c r="L370" s="76">
        <v>0</v>
      </c>
      <c r="M370" s="170">
        <v>0</v>
      </c>
      <c r="N370" s="170">
        <v>22500</v>
      </c>
    </row>
    <row r="371" spans="1:14" hidden="1">
      <c r="A371" s="74" t="s">
        <v>3700</v>
      </c>
      <c r="B371" s="75" t="s">
        <v>3711</v>
      </c>
      <c r="C371" s="76" t="s">
        <v>134</v>
      </c>
      <c r="D371" s="76" t="s">
        <v>135</v>
      </c>
      <c r="E371" s="76" t="s">
        <v>136</v>
      </c>
      <c r="F371" s="170">
        <v>9917.36</v>
      </c>
      <c r="G371" s="170">
        <v>0</v>
      </c>
      <c r="H371" s="76">
        <v>0</v>
      </c>
      <c r="I371" s="76">
        <v>0</v>
      </c>
      <c r="J371" s="76">
        <v>0</v>
      </c>
      <c r="K371" s="76">
        <v>2082.64</v>
      </c>
      <c r="L371" s="76">
        <v>0</v>
      </c>
      <c r="M371" s="170">
        <v>0</v>
      </c>
      <c r="N371" s="170">
        <v>12000</v>
      </c>
    </row>
    <row r="372" spans="1:14" hidden="1">
      <c r="A372" s="74" t="s">
        <v>3700</v>
      </c>
      <c r="B372" s="75" t="s">
        <v>3712</v>
      </c>
      <c r="C372" s="76" t="s">
        <v>134</v>
      </c>
      <c r="D372" s="76" t="s">
        <v>135</v>
      </c>
      <c r="E372" s="76" t="s">
        <v>136</v>
      </c>
      <c r="F372" s="170">
        <v>33884.300000000003</v>
      </c>
      <c r="G372" s="170">
        <v>0</v>
      </c>
      <c r="H372" s="76">
        <v>0</v>
      </c>
      <c r="I372" s="76">
        <v>0</v>
      </c>
      <c r="J372" s="76">
        <v>0</v>
      </c>
      <c r="K372" s="76">
        <v>7115.7</v>
      </c>
      <c r="L372" s="76">
        <v>0</v>
      </c>
      <c r="M372" s="170">
        <v>0</v>
      </c>
      <c r="N372" s="170">
        <v>41000</v>
      </c>
    </row>
    <row r="373" spans="1:14" hidden="1">
      <c r="A373" s="74" t="s">
        <v>3700</v>
      </c>
      <c r="B373" s="75" t="s">
        <v>3713</v>
      </c>
      <c r="C373" s="76" t="s">
        <v>134</v>
      </c>
      <c r="D373" s="76" t="s">
        <v>135</v>
      </c>
      <c r="E373" s="76" t="s">
        <v>136</v>
      </c>
      <c r="F373" s="170">
        <v>30495.87</v>
      </c>
      <c r="G373" s="170">
        <v>0</v>
      </c>
      <c r="H373" s="76">
        <v>0</v>
      </c>
      <c r="I373" s="76">
        <v>0</v>
      </c>
      <c r="J373" s="76">
        <v>0</v>
      </c>
      <c r="K373" s="76">
        <v>6404.13</v>
      </c>
      <c r="L373" s="76">
        <v>0</v>
      </c>
      <c r="M373" s="170">
        <v>0</v>
      </c>
      <c r="N373" s="170">
        <v>36900</v>
      </c>
    </row>
    <row r="374" spans="1:14">
      <c r="A374" s="74" t="s">
        <v>3700</v>
      </c>
      <c r="B374" s="75" t="s">
        <v>3714</v>
      </c>
      <c r="C374" s="76" t="s">
        <v>3715</v>
      </c>
      <c r="D374" s="76" t="s">
        <v>135</v>
      </c>
      <c r="E374" s="76">
        <v>22965862</v>
      </c>
      <c r="F374" s="170">
        <v>41322.31</v>
      </c>
      <c r="G374" s="170">
        <v>0</v>
      </c>
      <c r="H374" s="76">
        <v>0</v>
      </c>
      <c r="I374" s="76">
        <v>0</v>
      </c>
      <c r="J374" s="76">
        <v>0</v>
      </c>
      <c r="K374" s="76">
        <v>8677.69</v>
      </c>
      <c r="L374" s="76">
        <v>0</v>
      </c>
      <c r="M374" s="170">
        <v>0</v>
      </c>
      <c r="N374" s="170">
        <v>50000</v>
      </c>
    </row>
    <row r="375" spans="1:14" hidden="1">
      <c r="A375" s="74" t="s">
        <v>3340</v>
      </c>
      <c r="B375" s="75" t="s">
        <v>3341</v>
      </c>
      <c r="C375" s="76" t="s">
        <v>134</v>
      </c>
      <c r="D375" s="76" t="s">
        <v>135</v>
      </c>
      <c r="E375" s="76" t="s">
        <v>136</v>
      </c>
      <c r="F375" s="170">
        <v>-10000</v>
      </c>
      <c r="G375" s="170">
        <v>0</v>
      </c>
      <c r="H375" s="76">
        <v>0</v>
      </c>
      <c r="I375" s="76">
        <v>0</v>
      </c>
      <c r="J375" s="76">
        <v>0</v>
      </c>
      <c r="K375" s="76">
        <v>-2100</v>
      </c>
      <c r="L375" s="76">
        <v>0</v>
      </c>
      <c r="M375" s="170">
        <v>0</v>
      </c>
      <c r="N375" s="170">
        <v>-12100</v>
      </c>
    </row>
    <row r="376" spans="1:14" hidden="1">
      <c r="A376" s="74" t="s">
        <v>3406</v>
      </c>
      <c r="B376" s="75" t="s">
        <v>3407</v>
      </c>
      <c r="C376" s="76" t="s">
        <v>134</v>
      </c>
      <c r="D376" s="76" t="s">
        <v>135</v>
      </c>
      <c r="E376" s="76" t="s">
        <v>136</v>
      </c>
      <c r="F376" s="170">
        <v>-25289.26</v>
      </c>
      <c r="G376" s="170">
        <v>0</v>
      </c>
      <c r="H376" s="76">
        <v>0</v>
      </c>
      <c r="I376" s="76">
        <v>0</v>
      </c>
      <c r="J376" s="76">
        <v>0</v>
      </c>
      <c r="K376" s="76">
        <v>-5310.74</v>
      </c>
      <c r="L376" s="76">
        <v>0</v>
      </c>
      <c r="M376" s="170">
        <v>0</v>
      </c>
      <c r="N376" s="170">
        <v>-30600</v>
      </c>
    </row>
    <row r="377" spans="1:14" hidden="1">
      <c r="A377" s="74" t="s">
        <v>3583</v>
      </c>
      <c r="B377" s="75" t="s">
        <v>3584</v>
      </c>
      <c r="C377" s="76" t="s">
        <v>134</v>
      </c>
      <c r="D377" s="76" t="s">
        <v>135</v>
      </c>
      <c r="E377" s="76" t="s">
        <v>136</v>
      </c>
      <c r="F377" s="170">
        <v>-16528.93</v>
      </c>
      <c r="G377" s="170">
        <v>0</v>
      </c>
      <c r="H377" s="76">
        <v>0</v>
      </c>
      <c r="I377" s="76">
        <v>0</v>
      </c>
      <c r="J377" s="76">
        <v>0</v>
      </c>
      <c r="K377" s="76">
        <v>-3471.07</v>
      </c>
      <c r="L377" s="76">
        <v>0</v>
      </c>
      <c r="M377" s="170">
        <v>0</v>
      </c>
      <c r="N377" s="170">
        <v>-20000</v>
      </c>
    </row>
    <row r="378" spans="1:14">
      <c r="A378" s="74" t="s">
        <v>3248</v>
      </c>
      <c r="B378" s="75" t="s">
        <v>3278</v>
      </c>
      <c r="C378" s="76" t="s">
        <v>342</v>
      </c>
      <c r="D378" s="76" t="s">
        <v>343</v>
      </c>
      <c r="E378" s="76">
        <v>30590354798</v>
      </c>
      <c r="F378" s="170">
        <v>1693902.27</v>
      </c>
      <c r="G378" s="170">
        <v>0</v>
      </c>
      <c r="H378" s="76">
        <v>0</v>
      </c>
      <c r="I378" s="76">
        <v>0</v>
      </c>
      <c r="J378" s="76">
        <v>0</v>
      </c>
      <c r="K378" s="76">
        <v>355719.48</v>
      </c>
      <c r="L378" s="76">
        <v>0</v>
      </c>
      <c r="M378" s="170">
        <v>0</v>
      </c>
      <c r="N378" s="170">
        <v>2049621.75</v>
      </c>
    </row>
    <row r="379" spans="1:14">
      <c r="A379" s="74" t="s">
        <v>3248</v>
      </c>
      <c r="B379" s="75" t="s">
        <v>3279</v>
      </c>
      <c r="C379" s="76" t="s">
        <v>347</v>
      </c>
      <c r="D379" s="76" t="s">
        <v>343</v>
      </c>
      <c r="E379" s="76">
        <v>30571766287</v>
      </c>
      <c r="F379" s="170">
        <v>154553.72</v>
      </c>
      <c r="G379" s="170">
        <v>0</v>
      </c>
      <c r="H379" s="76">
        <v>0</v>
      </c>
      <c r="I379" s="76">
        <v>0</v>
      </c>
      <c r="J379" s="76">
        <v>0</v>
      </c>
      <c r="K379" s="76">
        <v>32456.280000000002</v>
      </c>
      <c r="L379" s="76">
        <v>0</v>
      </c>
      <c r="M379" s="170">
        <v>0</v>
      </c>
      <c r="N379" s="170">
        <v>187010</v>
      </c>
    </row>
    <row r="380" spans="1:14">
      <c r="A380" s="74" t="s">
        <v>3280</v>
      </c>
      <c r="B380" s="75" t="s">
        <v>3306</v>
      </c>
      <c r="C380" s="76" t="s">
        <v>1586</v>
      </c>
      <c r="D380" s="76" t="s">
        <v>135</v>
      </c>
      <c r="E380" s="76">
        <v>17399042</v>
      </c>
      <c r="F380" s="170">
        <v>26859.5</v>
      </c>
      <c r="G380" s="170">
        <v>0</v>
      </c>
      <c r="H380" s="76">
        <v>0</v>
      </c>
      <c r="I380" s="76">
        <v>0</v>
      </c>
      <c r="J380" s="76">
        <v>0</v>
      </c>
      <c r="K380" s="76">
        <v>5640.5</v>
      </c>
      <c r="L380" s="76">
        <v>0</v>
      </c>
      <c r="M380" s="170">
        <v>0</v>
      </c>
      <c r="N380" s="170">
        <v>32500</v>
      </c>
    </row>
    <row r="381" spans="1:14">
      <c r="A381" s="74" t="s">
        <v>3280</v>
      </c>
      <c r="B381" s="75" t="s">
        <v>3307</v>
      </c>
      <c r="C381" s="76" t="s">
        <v>498</v>
      </c>
      <c r="D381" s="76" t="s">
        <v>135</v>
      </c>
      <c r="E381" s="76">
        <v>17198648</v>
      </c>
      <c r="F381" s="170">
        <v>19834.71</v>
      </c>
      <c r="G381" s="170">
        <v>0</v>
      </c>
      <c r="H381" s="76">
        <v>0</v>
      </c>
      <c r="I381" s="76">
        <v>0</v>
      </c>
      <c r="J381" s="76">
        <v>0</v>
      </c>
      <c r="K381" s="76">
        <v>4165.29</v>
      </c>
      <c r="L381" s="76">
        <v>0</v>
      </c>
      <c r="M381" s="170">
        <v>0</v>
      </c>
      <c r="N381" s="170">
        <v>24000</v>
      </c>
    </row>
    <row r="382" spans="1:14">
      <c r="A382" s="74" t="s">
        <v>3308</v>
      </c>
      <c r="B382" s="75" t="s">
        <v>3335</v>
      </c>
      <c r="C382" s="76" t="s">
        <v>384</v>
      </c>
      <c r="D382" s="76" t="s">
        <v>135</v>
      </c>
      <c r="E382" s="76">
        <v>8557300</v>
      </c>
      <c r="F382" s="170">
        <v>49586.78</v>
      </c>
      <c r="G382" s="170">
        <v>0</v>
      </c>
      <c r="H382" s="76">
        <v>0</v>
      </c>
      <c r="I382" s="76">
        <v>0</v>
      </c>
      <c r="J382" s="76">
        <v>0</v>
      </c>
      <c r="K382" s="76">
        <v>10413.219999999999</v>
      </c>
      <c r="L382" s="76">
        <v>0</v>
      </c>
      <c r="M382" s="170">
        <v>0</v>
      </c>
      <c r="N382" s="170">
        <v>60000</v>
      </c>
    </row>
    <row r="383" spans="1:14">
      <c r="A383" s="74" t="s">
        <v>3308</v>
      </c>
      <c r="B383" s="75" t="s">
        <v>3336</v>
      </c>
      <c r="C383" s="76" t="s">
        <v>356</v>
      </c>
      <c r="D383" s="76" t="s">
        <v>135</v>
      </c>
      <c r="E383" s="76">
        <v>21645724</v>
      </c>
      <c r="F383" s="170">
        <v>28925.62</v>
      </c>
      <c r="G383" s="170">
        <v>0</v>
      </c>
      <c r="H383" s="76">
        <v>0</v>
      </c>
      <c r="I383" s="76">
        <v>0</v>
      </c>
      <c r="J383" s="76">
        <v>0</v>
      </c>
      <c r="K383" s="76">
        <v>6074.38</v>
      </c>
      <c r="L383" s="76">
        <v>0</v>
      </c>
      <c r="M383" s="170">
        <v>0</v>
      </c>
      <c r="N383" s="170">
        <v>35000</v>
      </c>
    </row>
    <row r="384" spans="1:14">
      <c r="A384" s="74" t="s">
        <v>3308</v>
      </c>
      <c r="B384" s="75" t="s">
        <v>3337</v>
      </c>
      <c r="C384" s="76" t="s">
        <v>354</v>
      </c>
      <c r="D384" s="76" t="s">
        <v>135</v>
      </c>
      <c r="E384" s="76">
        <v>4648296</v>
      </c>
      <c r="F384" s="170">
        <v>20661.16</v>
      </c>
      <c r="G384" s="170">
        <v>0</v>
      </c>
      <c r="H384" s="76">
        <v>0</v>
      </c>
      <c r="I384" s="76">
        <v>0</v>
      </c>
      <c r="J384" s="76">
        <v>0</v>
      </c>
      <c r="K384" s="76">
        <v>4338.84</v>
      </c>
      <c r="L384" s="76">
        <v>0</v>
      </c>
      <c r="M384" s="170">
        <v>0</v>
      </c>
      <c r="N384" s="170">
        <v>25000</v>
      </c>
    </row>
    <row r="385" spans="1:14">
      <c r="A385" s="74" t="s">
        <v>3308</v>
      </c>
      <c r="B385" s="75" t="s">
        <v>3338</v>
      </c>
      <c r="C385" s="76" t="s">
        <v>386</v>
      </c>
      <c r="D385" s="76" t="s">
        <v>343</v>
      </c>
      <c r="E385" s="76">
        <v>30685228501</v>
      </c>
      <c r="F385" s="170">
        <v>70413.23</v>
      </c>
      <c r="G385" s="170">
        <v>0</v>
      </c>
      <c r="H385" s="76">
        <v>0</v>
      </c>
      <c r="I385" s="76">
        <v>0</v>
      </c>
      <c r="J385" s="76">
        <v>0</v>
      </c>
      <c r="K385" s="76">
        <v>14786.77</v>
      </c>
      <c r="L385" s="76">
        <v>0</v>
      </c>
      <c r="M385" s="170">
        <v>0</v>
      </c>
      <c r="N385" s="170">
        <v>85200</v>
      </c>
    </row>
    <row r="386" spans="1:14">
      <c r="A386" s="74" t="s">
        <v>3308</v>
      </c>
      <c r="B386" s="75" t="s">
        <v>3339</v>
      </c>
      <c r="C386" s="76" t="s">
        <v>345</v>
      </c>
      <c r="D386" s="76" t="s">
        <v>343</v>
      </c>
      <c r="E386" s="76">
        <v>30658137642</v>
      </c>
      <c r="F386" s="170">
        <v>471760.33</v>
      </c>
      <c r="G386" s="170">
        <v>0</v>
      </c>
      <c r="H386" s="76">
        <v>0</v>
      </c>
      <c r="I386" s="76">
        <v>0</v>
      </c>
      <c r="J386" s="76">
        <v>0</v>
      </c>
      <c r="K386" s="76">
        <v>99069.67</v>
      </c>
      <c r="L386" s="76">
        <v>0</v>
      </c>
      <c r="M386" s="170">
        <v>0</v>
      </c>
      <c r="N386" s="170">
        <v>570830</v>
      </c>
    </row>
    <row r="387" spans="1:14">
      <c r="A387" s="74" t="s">
        <v>3340</v>
      </c>
      <c r="B387" s="75" t="s">
        <v>3375</v>
      </c>
      <c r="C387" s="76" t="s">
        <v>1050</v>
      </c>
      <c r="D387" s="76" t="s">
        <v>135</v>
      </c>
      <c r="E387" s="76">
        <v>22001100</v>
      </c>
      <c r="F387" s="170">
        <v>44628.1</v>
      </c>
      <c r="G387" s="170">
        <v>0</v>
      </c>
      <c r="H387" s="76">
        <v>0</v>
      </c>
      <c r="I387" s="76">
        <v>0</v>
      </c>
      <c r="J387" s="76">
        <v>0</v>
      </c>
      <c r="K387" s="76">
        <v>9371.9</v>
      </c>
      <c r="L387" s="76">
        <v>0</v>
      </c>
      <c r="M387" s="170">
        <v>0</v>
      </c>
      <c r="N387" s="170">
        <v>54000</v>
      </c>
    </row>
    <row r="388" spans="1:14">
      <c r="A388" s="74" t="s">
        <v>3376</v>
      </c>
      <c r="B388" s="75" t="s">
        <v>3405</v>
      </c>
      <c r="C388" s="76" t="s">
        <v>3201</v>
      </c>
      <c r="D388" s="76" t="s">
        <v>135</v>
      </c>
      <c r="E388" s="76">
        <v>25315045</v>
      </c>
      <c r="F388" s="170">
        <v>10661.16</v>
      </c>
      <c r="G388" s="170">
        <v>0</v>
      </c>
      <c r="H388" s="76">
        <v>0</v>
      </c>
      <c r="I388" s="76">
        <v>0</v>
      </c>
      <c r="J388" s="76">
        <v>0</v>
      </c>
      <c r="K388" s="76">
        <v>2238.84</v>
      </c>
      <c r="L388" s="76">
        <v>0</v>
      </c>
      <c r="M388" s="170">
        <v>0</v>
      </c>
      <c r="N388" s="170">
        <v>12900</v>
      </c>
    </row>
    <row r="389" spans="1:14">
      <c r="A389" s="74" t="s">
        <v>3435</v>
      </c>
      <c r="B389" s="75" t="s">
        <v>3465</v>
      </c>
      <c r="C389" s="76" t="s">
        <v>386</v>
      </c>
      <c r="D389" s="76" t="s">
        <v>343</v>
      </c>
      <c r="E389" s="76">
        <v>30685228501</v>
      </c>
      <c r="F389" s="170">
        <v>13057.85</v>
      </c>
      <c r="G389" s="170">
        <v>0</v>
      </c>
      <c r="H389" s="76">
        <v>0</v>
      </c>
      <c r="I389" s="76">
        <v>0</v>
      </c>
      <c r="J389" s="76">
        <v>0</v>
      </c>
      <c r="K389" s="76">
        <v>2742.15</v>
      </c>
      <c r="L389" s="76">
        <v>0</v>
      </c>
      <c r="M389" s="170">
        <v>0</v>
      </c>
      <c r="N389" s="170">
        <v>15800</v>
      </c>
    </row>
    <row r="390" spans="1:14">
      <c r="A390" s="74" t="s">
        <v>3435</v>
      </c>
      <c r="B390" s="75" t="s">
        <v>3466</v>
      </c>
      <c r="C390" s="76" t="s">
        <v>342</v>
      </c>
      <c r="D390" s="76" t="s">
        <v>343</v>
      </c>
      <c r="E390" s="76">
        <v>30590354798</v>
      </c>
      <c r="F390" s="170">
        <v>384297.52</v>
      </c>
      <c r="G390" s="170">
        <v>0</v>
      </c>
      <c r="H390" s="76">
        <v>0</v>
      </c>
      <c r="I390" s="76">
        <v>0</v>
      </c>
      <c r="J390" s="76">
        <v>0</v>
      </c>
      <c r="K390" s="76">
        <v>80702.48</v>
      </c>
      <c r="L390" s="76">
        <v>0</v>
      </c>
      <c r="M390" s="170">
        <v>0</v>
      </c>
      <c r="N390" s="170">
        <v>465000</v>
      </c>
    </row>
    <row r="391" spans="1:14">
      <c r="A391" s="74" t="s">
        <v>3435</v>
      </c>
      <c r="B391" s="75" t="s">
        <v>3467</v>
      </c>
      <c r="C391" s="76" t="s">
        <v>342</v>
      </c>
      <c r="D391" s="76" t="s">
        <v>343</v>
      </c>
      <c r="E391" s="76">
        <v>30590354798</v>
      </c>
      <c r="F391" s="170">
        <v>249586.78</v>
      </c>
      <c r="G391" s="170">
        <v>0</v>
      </c>
      <c r="H391" s="76">
        <v>0</v>
      </c>
      <c r="I391" s="76">
        <v>0</v>
      </c>
      <c r="J391" s="76">
        <v>0</v>
      </c>
      <c r="K391" s="76">
        <v>52413.22</v>
      </c>
      <c r="L391" s="76">
        <v>0</v>
      </c>
      <c r="M391" s="170">
        <v>0</v>
      </c>
      <c r="N391" s="170">
        <v>302000</v>
      </c>
    </row>
    <row r="392" spans="1:14">
      <c r="A392" s="74" t="s">
        <v>3435</v>
      </c>
      <c r="B392" s="75" t="s">
        <v>3468</v>
      </c>
      <c r="C392" s="76" t="s">
        <v>342</v>
      </c>
      <c r="D392" s="76" t="s">
        <v>343</v>
      </c>
      <c r="E392" s="76">
        <v>30590354798</v>
      </c>
      <c r="F392" s="170">
        <v>76099.17</v>
      </c>
      <c r="G392" s="170">
        <v>0</v>
      </c>
      <c r="H392" s="76">
        <v>0</v>
      </c>
      <c r="I392" s="76">
        <v>0</v>
      </c>
      <c r="J392" s="76">
        <v>0</v>
      </c>
      <c r="K392" s="76">
        <v>15980.83</v>
      </c>
      <c r="L392" s="76">
        <v>0</v>
      </c>
      <c r="M392" s="170">
        <v>0</v>
      </c>
      <c r="N392" s="170">
        <v>92080</v>
      </c>
    </row>
    <row r="393" spans="1:14">
      <c r="A393" s="74" t="s">
        <v>3435</v>
      </c>
      <c r="B393" s="75" t="s">
        <v>3469</v>
      </c>
      <c r="C393" s="76" t="s">
        <v>342</v>
      </c>
      <c r="D393" s="76" t="s">
        <v>343</v>
      </c>
      <c r="E393" s="76">
        <v>30590354798</v>
      </c>
      <c r="F393" s="170">
        <v>23471.07</v>
      </c>
      <c r="G393" s="170">
        <v>0</v>
      </c>
      <c r="H393" s="76">
        <v>0</v>
      </c>
      <c r="I393" s="76">
        <v>0</v>
      </c>
      <c r="J393" s="76">
        <v>0</v>
      </c>
      <c r="K393" s="76">
        <v>4928.93</v>
      </c>
      <c r="L393" s="76">
        <v>0</v>
      </c>
      <c r="M393" s="170">
        <v>0</v>
      </c>
      <c r="N393" s="170">
        <v>28400</v>
      </c>
    </row>
    <row r="394" spans="1:14">
      <c r="A394" s="74" t="s">
        <v>3470</v>
      </c>
      <c r="B394" s="75" t="s">
        <v>3490</v>
      </c>
      <c r="C394" s="76" t="s">
        <v>371</v>
      </c>
      <c r="D394" s="76" t="s">
        <v>135</v>
      </c>
      <c r="E394" s="76">
        <v>705467</v>
      </c>
      <c r="F394" s="170">
        <v>15289.26</v>
      </c>
      <c r="G394" s="170">
        <v>0</v>
      </c>
      <c r="H394" s="76">
        <v>0</v>
      </c>
      <c r="I394" s="76">
        <v>0</v>
      </c>
      <c r="J394" s="76">
        <v>0</v>
      </c>
      <c r="K394" s="76">
        <v>3210.74</v>
      </c>
      <c r="L394" s="76">
        <v>0</v>
      </c>
      <c r="M394" s="170">
        <v>0</v>
      </c>
      <c r="N394" s="170">
        <v>18500</v>
      </c>
    </row>
    <row r="395" spans="1:14">
      <c r="A395" s="74" t="s">
        <v>3470</v>
      </c>
      <c r="B395" s="75" t="s">
        <v>3491</v>
      </c>
      <c r="C395" s="76" t="s">
        <v>362</v>
      </c>
      <c r="D395" s="76" t="s">
        <v>135</v>
      </c>
      <c r="E395" s="76">
        <v>21363216</v>
      </c>
      <c r="F395" s="170">
        <v>37190.080000000002</v>
      </c>
      <c r="G395" s="170">
        <v>0</v>
      </c>
      <c r="H395" s="76">
        <v>0</v>
      </c>
      <c r="I395" s="76">
        <v>0</v>
      </c>
      <c r="J395" s="76">
        <v>0</v>
      </c>
      <c r="K395" s="76">
        <v>7809.92</v>
      </c>
      <c r="L395" s="76">
        <v>0</v>
      </c>
      <c r="M395" s="170">
        <v>0</v>
      </c>
      <c r="N395" s="170">
        <v>45000</v>
      </c>
    </row>
    <row r="396" spans="1:14">
      <c r="A396" s="74" t="s">
        <v>3470</v>
      </c>
      <c r="B396" s="75" t="s">
        <v>3492</v>
      </c>
      <c r="C396" s="76" t="s">
        <v>381</v>
      </c>
      <c r="D396" s="76" t="s">
        <v>135</v>
      </c>
      <c r="E396" s="76">
        <v>12791306</v>
      </c>
      <c r="F396" s="170">
        <v>19834.71</v>
      </c>
      <c r="G396" s="170">
        <v>0</v>
      </c>
      <c r="H396" s="76">
        <v>0</v>
      </c>
      <c r="I396" s="76">
        <v>0</v>
      </c>
      <c r="J396" s="76">
        <v>0</v>
      </c>
      <c r="K396" s="76">
        <v>4165.29</v>
      </c>
      <c r="L396" s="76">
        <v>0</v>
      </c>
      <c r="M396" s="170">
        <v>0</v>
      </c>
      <c r="N396" s="170">
        <v>24000</v>
      </c>
    </row>
    <row r="397" spans="1:14">
      <c r="A397" s="74" t="s">
        <v>3493</v>
      </c>
      <c r="B397" s="75" t="s">
        <v>3507</v>
      </c>
      <c r="C397" s="76" t="s">
        <v>396</v>
      </c>
      <c r="D397" s="76" t="s">
        <v>135</v>
      </c>
      <c r="E397" s="76">
        <v>17275405</v>
      </c>
      <c r="F397" s="170">
        <v>28925.62</v>
      </c>
      <c r="G397" s="170">
        <v>0</v>
      </c>
      <c r="H397" s="76">
        <v>0</v>
      </c>
      <c r="I397" s="76">
        <v>0</v>
      </c>
      <c r="J397" s="76">
        <v>0</v>
      </c>
      <c r="K397" s="76">
        <v>6074.38</v>
      </c>
      <c r="L397" s="76">
        <v>0</v>
      </c>
      <c r="M397" s="170">
        <v>0</v>
      </c>
      <c r="N397" s="170">
        <v>35000</v>
      </c>
    </row>
    <row r="398" spans="1:14">
      <c r="A398" s="74" t="s">
        <v>3493</v>
      </c>
      <c r="B398" s="75" t="s">
        <v>3508</v>
      </c>
      <c r="C398" s="76" t="s">
        <v>417</v>
      </c>
      <c r="D398" s="76" t="s">
        <v>135</v>
      </c>
      <c r="E398" s="76">
        <v>20008996</v>
      </c>
      <c r="F398" s="170">
        <v>19834.71</v>
      </c>
      <c r="G398" s="170">
        <v>0</v>
      </c>
      <c r="H398" s="76">
        <v>0</v>
      </c>
      <c r="I398" s="76">
        <v>0</v>
      </c>
      <c r="J398" s="76">
        <v>0</v>
      </c>
      <c r="K398" s="76">
        <v>4165.29</v>
      </c>
      <c r="L398" s="76">
        <v>0</v>
      </c>
      <c r="M398" s="170">
        <v>0</v>
      </c>
      <c r="N398" s="170">
        <v>24000</v>
      </c>
    </row>
    <row r="399" spans="1:14">
      <c r="A399" s="74" t="s">
        <v>3493</v>
      </c>
      <c r="B399" s="75" t="s">
        <v>3509</v>
      </c>
      <c r="C399" s="76" t="s">
        <v>415</v>
      </c>
      <c r="D399" s="76" t="s">
        <v>135</v>
      </c>
      <c r="E399" s="76">
        <v>3292785</v>
      </c>
      <c r="F399" s="170">
        <v>6123.97</v>
      </c>
      <c r="G399" s="170">
        <v>0</v>
      </c>
      <c r="H399" s="76">
        <v>0</v>
      </c>
      <c r="I399" s="76">
        <v>0</v>
      </c>
      <c r="J399" s="76">
        <v>0</v>
      </c>
      <c r="K399" s="76">
        <v>1286.03</v>
      </c>
      <c r="L399" s="76">
        <v>0</v>
      </c>
      <c r="M399" s="170">
        <v>0</v>
      </c>
      <c r="N399" s="170">
        <v>7410</v>
      </c>
    </row>
    <row r="400" spans="1:14">
      <c r="A400" s="74" t="s">
        <v>3493</v>
      </c>
      <c r="B400" s="75" t="s">
        <v>3510</v>
      </c>
      <c r="C400" s="76" t="s">
        <v>2862</v>
      </c>
      <c r="D400" s="76" t="s">
        <v>135</v>
      </c>
      <c r="E400" s="76">
        <v>12928506</v>
      </c>
      <c r="F400" s="170">
        <v>17355.37</v>
      </c>
      <c r="G400" s="170">
        <v>0</v>
      </c>
      <c r="H400" s="76">
        <v>0</v>
      </c>
      <c r="I400" s="76">
        <v>0</v>
      </c>
      <c r="J400" s="76">
        <v>0</v>
      </c>
      <c r="K400" s="76">
        <v>3644.63</v>
      </c>
      <c r="L400" s="76">
        <v>0</v>
      </c>
      <c r="M400" s="170">
        <v>0</v>
      </c>
      <c r="N400" s="170">
        <v>21000</v>
      </c>
    </row>
    <row r="401" spans="1:14">
      <c r="A401" s="74" t="s">
        <v>3493</v>
      </c>
      <c r="B401" s="75" t="s">
        <v>3511</v>
      </c>
      <c r="C401" s="76" t="s">
        <v>342</v>
      </c>
      <c r="D401" s="76" t="s">
        <v>343</v>
      </c>
      <c r="E401" s="76">
        <v>30590354798</v>
      </c>
      <c r="F401" s="170">
        <v>15537.19</v>
      </c>
      <c r="G401" s="170">
        <v>0</v>
      </c>
      <c r="H401" s="76">
        <v>0</v>
      </c>
      <c r="I401" s="76">
        <v>0</v>
      </c>
      <c r="J401" s="76">
        <v>0</v>
      </c>
      <c r="K401" s="76">
        <v>3262.81</v>
      </c>
      <c r="L401" s="76">
        <v>0</v>
      </c>
      <c r="M401" s="170">
        <v>0</v>
      </c>
      <c r="N401" s="170">
        <v>18800</v>
      </c>
    </row>
    <row r="402" spans="1:14">
      <c r="A402" s="74" t="s">
        <v>3493</v>
      </c>
      <c r="B402" s="75" t="s">
        <v>3512</v>
      </c>
      <c r="C402" s="76" t="s">
        <v>386</v>
      </c>
      <c r="D402" s="76" t="s">
        <v>343</v>
      </c>
      <c r="E402" s="76">
        <v>30685228501</v>
      </c>
      <c r="F402" s="170">
        <v>19008.260000000002</v>
      </c>
      <c r="G402" s="170">
        <v>0</v>
      </c>
      <c r="H402" s="76">
        <v>0</v>
      </c>
      <c r="I402" s="76">
        <v>0</v>
      </c>
      <c r="J402" s="76">
        <v>0</v>
      </c>
      <c r="K402" s="76">
        <v>3991.74</v>
      </c>
      <c r="L402" s="76">
        <v>0</v>
      </c>
      <c r="M402" s="170">
        <v>0</v>
      </c>
      <c r="N402" s="170">
        <v>23000</v>
      </c>
    </row>
    <row r="403" spans="1:14">
      <c r="A403" s="74" t="s">
        <v>3493</v>
      </c>
      <c r="B403" s="75" t="s">
        <v>3513</v>
      </c>
      <c r="C403" s="76" t="s">
        <v>3514</v>
      </c>
      <c r="D403" s="76" t="s">
        <v>135</v>
      </c>
      <c r="E403" s="76">
        <v>13531426</v>
      </c>
      <c r="F403" s="170">
        <v>6611.57</v>
      </c>
      <c r="G403" s="170">
        <v>0</v>
      </c>
      <c r="H403" s="76">
        <v>0</v>
      </c>
      <c r="I403" s="76">
        <v>0</v>
      </c>
      <c r="J403" s="76">
        <v>0</v>
      </c>
      <c r="K403" s="76">
        <v>1388.43</v>
      </c>
      <c r="L403" s="76">
        <v>0</v>
      </c>
      <c r="M403" s="170">
        <v>0</v>
      </c>
      <c r="N403" s="170">
        <v>8000</v>
      </c>
    </row>
    <row r="404" spans="1:14">
      <c r="A404" s="74" t="s">
        <v>3515</v>
      </c>
      <c r="B404" s="75" t="s">
        <v>3525</v>
      </c>
      <c r="C404" s="76" t="s">
        <v>388</v>
      </c>
      <c r="D404" s="76" t="s">
        <v>135</v>
      </c>
      <c r="E404" s="76">
        <v>14123802</v>
      </c>
      <c r="F404" s="170">
        <v>35041.32</v>
      </c>
      <c r="G404" s="170">
        <v>0</v>
      </c>
      <c r="H404" s="76">
        <v>0</v>
      </c>
      <c r="I404" s="76">
        <v>0</v>
      </c>
      <c r="J404" s="76">
        <v>0</v>
      </c>
      <c r="K404" s="76">
        <v>7358.68</v>
      </c>
      <c r="L404" s="76">
        <v>0</v>
      </c>
      <c r="M404" s="170">
        <v>0</v>
      </c>
      <c r="N404" s="170">
        <v>42400</v>
      </c>
    </row>
    <row r="405" spans="1:14">
      <c r="A405" s="74" t="s">
        <v>3515</v>
      </c>
      <c r="B405" s="75" t="s">
        <v>3526</v>
      </c>
      <c r="C405" s="76" t="s">
        <v>365</v>
      </c>
      <c r="D405" s="76" t="s">
        <v>135</v>
      </c>
      <c r="E405" s="76">
        <v>14547747</v>
      </c>
      <c r="F405" s="170">
        <v>16528.93</v>
      </c>
      <c r="G405" s="170">
        <v>0</v>
      </c>
      <c r="H405" s="76">
        <v>0</v>
      </c>
      <c r="I405" s="76">
        <v>0</v>
      </c>
      <c r="J405" s="76">
        <v>0</v>
      </c>
      <c r="K405" s="76">
        <v>3471.07</v>
      </c>
      <c r="L405" s="76">
        <v>0</v>
      </c>
      <c r="M405" s="170">
        <v>0</v>
      </c>
      <c r="N405" s="170">
        <v>20000</v>
      </c>
    </row>
    <row r="406" spans="1:14">
      <c r="A406" s="74" t="s">
        <v>3515</v>
      </c>
      <c r="B406" s="75" t="s">
        <v>3527</v>
      </c>
      <c r="C406" s="76" t="s">
        <v>377</v>
      </c>
      <c r="D406" s="76" t="s">
        <v>135</v>
      </c>
      <c r="E406" s="76">
        <v>10138957</v>
      </c>
      <c r="F406" s="170">
        <v>15289.26</v>
      </c>
      <c r="G406" s="170">
        <v>0</v>
      </c>
      <c r="H406" s="76">
        <v>0</v>
      </c>
      <c r="I406" s="76">
        <v>0</v>
      </c>
      <c r="J406" s="76">
        <v>0</v>
      </c>
      <c r="K406" s="76">
        <v>3210.74</v>
      </c>
      <c r="L406" s="76">
        <v>0</v>
      </c>
      <c r="M406" s="170">
        <v>0</v>
      </c>
      <c r="N406" s="170">
        <v>18500</v>
      </c>
    </row>
    <row r="407" spans="1:14">
      <c r="A407" s="74" t="s">
        <v>3515</v>
      </c>
      <c r="B407" s="75" t="s">
        <v>3528</v>
      </c>
      <c r="C407" s="76" t="s">
        <v>426</v>
      </c>
      <c r="D407" s="76" t="s">
        <v>135</v>
      </c>
      <c r="E407" s="76">
        <v>24699538</v>
      </c>
      <c r="F407" s="170">
        <v>19834.71</v>
      </c>
      <c r="G407" s="170">
        <v>0</v>
      </c>
      <c r="H407" s="76">
        <v>0</v>
      </c>
      <c r="I407" s="76">
        <v>0</v>
      </c>
      <c r="J407" s="76">
        <v>0</v>
      </c>
      <c r="K407" s="76">
        <v>4165.29</v>
      </c>
      <c r="L407" s="76">
        <v>0</v>
      </c>
      <c r="M407" s="170">
        <v>0</v>
      </c>
      <c r="N407" s="170">
        <v>24000</v>
      </c>
    </row>
    <row r="408" spans="1:14">
      <c r="A408" s="74" t="s">
        <v>3515</v>
      </c>
      <c r="B408" s="75" t="s">
        <v>3529</v>
      </c>
      <c r="C408" s="76" t="s">
        <v>390</v>
      </c>
      <c r="D408" s="76" t="s">
        <v>135</v>
      </c>
      <c r="E408" s="76">
        <v>29654556</v>
      </c>
      <c r="F408" s="170">
        <v>71074.38</v>
      </c>
      <c r="G408" s="170">
        <v>0</v>
      </c>
      <c r="H408" s="76">
        <v>0</v>
      </c>
      <c r="I408" s="76">
        <v>0</v>
      </c>
      <c r="J408" s="76">
        <v>0</v>
      </c>
      <c r="K408" s="76">
        <v>14925.62</v>
      </c>
      <c r="L408" s="76">
        <v>0</v>
      </c>
      <c r="M408" s="170">
        <v>0</v>
      </c>
      <c r="N408" s="170">
        <v>86000</v>
      </c>
    </row>
    <row r="409" spans="1:14">
      <c r="A409" s="74" t="s">
        <v>3547</v>
      </c>
      <c r="B409" s="75" t="s">
        <v>3579</v>
      </c>
      <c r="C409" s="76" t="s">
        <v>424</v>
      </c>
      <c r="D409" s="76" t="s">
        <v>135</v>
      </c>
      <c r="E409" s="76">
        <v>12394145</v>
      </c>
      <c r="F409" s="170">
        <v>14876.03</v>
      </c>
      <c r="G409" s="170">
        <v>0</v>
      </c>
      <c r="H409" s="76">
        <v>0</v>
      </c>
      <c r="I409" s="76">
        <v>0</v>
      </c>
      <c r="J409" s="76">
        <v>0</v>
      </c>
      <c r="K409" s="76">
        <v>3123.97</v>
      </c>
      <c r="L409" s="76">
        <v>0</v>
      </c>
      <c r="M409" s="170">
        <v>0</v>
      </c>
      <c r="N409" s="170">
        <v>18000</v>
      </c>
    </row>
    <row r="410" spans="1:14">
      <c r="A410" s="74" t="s">
        <v>3547</v>
      </c>
      <c r="B410" s="75" t="s">
        <v>3580</v>
      </c>
      <c r="C410" s="76" t="s">
        <v>434</v>
      </c>
      <c r="D410" s="76" t="s">
        <v>135</v>
      </c>
      <c r="E410" s="76">
        <v>902191</v>
      </c>
      <c r="F410" s="170">
        <v>15289.26</v>
      </c>
      <c r="G410" s="170">
        <v>0</v>
      </c>
      <c r="H410" s="76">
        <v>0</v>
      </c>
      <c r="I410" s="76">
        <v>0</v>
      </c>
      <c r="J410" s="76">
        <v>0</v>
      </c>
      <c r="K410" s="76">
        <v>3210.74</v>
      </c>
      <c r="L410" s="76">
        <v>0</v>
      </c>
      <c r="M410" s="170">
        <v>0</v>
      </c>
      <c r="N410" s="170">
        <v>18500</v>
      </c>
    </row>
    <row r="411" spans="1:14">
      <c r="A411" s="74" t="s">
        <v>3547</v>
      </c>
      <c r="B411" s="75" t="s">
        <v>3581</v>
      </c>
      <c r="C411" s="76" t="s">
        <v>3582</v>
      </c>
      <c r="D411" s="76" t="s">
        <v>135</v>
      </c>
      <c r="E411" s="76">
        <v>31877525</v>
      </c>
      <c r="F411" s="170">
        <v>14669.42</v>
      </c>
      <c r="G411" s="170">
        <v>0</v>
      </c>
      <c r="H411" s="76">
        <v>0</v>
      </c>
      <c r="I411" s="76">
        <v>0</v>
      </c>
      <c r="J411" s="76">
        <v>0</v>
      </c>
      <c r="K411" s="76">
        <v>3080.58</v>
      </c>
      <c r="L411" s="76">
        <v>0</v>
      </c>
      <c r="M411" s="170">
        <v>0</v>
      </c>
      <c r="N411" s="170">
        <v>17750</v>
      </c>
    </row>
    <row r="412" spans="1:14">
      <c r="A412" s="74" t="s">
        <v>3583</v>
      </c>
      <c r="B412" s="75" t="s">
        <v>3603</v>
      </c>
      <c r="C412" s="76" t="s">
        <v>384</v>
      </c>
      <c r="D412" s="76" t="s">
        <v>135</v>
      </c>
      <c r="E412" s="76">
        <v>8557300</v>
      </c>
      <c r="F412" s="170">
        <v>47107.44</v>
      </c>
      <c r="G412" s="170">
        <v>0</v>
      </c>
      <c r="H412" s="76">
        <v>0</v>
      </c>
      <c r="I412" s="76">
        <v>0</v>
      </c>
      <c r="J412" s="76">
        <v>0</v>
      </c>
      <c r="K412" s="76">
        <v>9892.56</v>
      </c>
      <c r="L412" s="76">
        <v>0</v>
      </c>
      <c r="M412" s="170">
        <v>0</v>
      </c>
      <c r="N412" s="170">
        <v>57000</v>
      </c>
    </row>
    <row r="413" spans="1:14">
      <c r="A413" s="74" t="s">
        <v>3583</v>
      </c>
      <c r="B413" s="75" t="s">
        <v>3604</v>
      </c>
      <c r="C413" s="76" t="s">
        <v>3605</v>
      </c>
      <c r="D413" s="76" t="s">
        <v>135</v>
      </c>
      <c r="E413" s="76">
        <v>13236284</v>
      </c>
      <c r="F413" s="170">
        <v>19834.71</v>
      </c>
      <c r="G413" s="170">
        <v>0</v>
      </c>
      <c r="H413" s="76">
        <v>0</v>
      </c>
      <c r="I413" s="76">
        <v>0</v>
      </c>
      <c r="J413" s="76">
        <v>0</v>
      </c>
      <c r="K413" s="76">
        <v>4165.29</v>
      </c>
      <c r="L413" s="76">
        <v>0</v>
      </c>
      <c r="M413" s="170">
        <v>0</v>
      </c>
      <c r="N413" s="170">
        <v>24000</v>
      </c>
    </row>
    <row r="414" spans="1:14">
      <c r="A414" s="74" t="s">
        <v>3606</v>
      </c>
      <c r="B414" s="75" t="s">
        <v>3621</v>
      </c>
      <c r="C414" s="76" t="s">
        <v>1751</v>
      </c>
      <c r="D414" s="76" t="s">
        <v>135</v>
      </c>
      <c r="E414" s="76">
        <v>25795206</v>
      </c>
      <c r="F414" s="170">
        <v>22314.05</v>
      </c>
      <c r="G414" s="170">
        <v>0</v>
      </c>
      <c r="H414" s="76">
        <v>0</v>
      </c>
      <c r="I414" s="76">
        <v>0</v>
      </c>
      <c r="J414" s="76">
        <v>0</v>
      </c>
      <c r="K414" s="76">
        <v>4685.95</v>
      </c>
      <c r="L414" s="76">
        <v>0</v>
      </c>
      <c r="M414" s="170">
        <v>0</v>
      </c>
      <c r="N414" s="170">
        <v>27000</v>
      </c>
    </row>
    <row r="415" spans="1:14">
      <c r="A415" s="74" t="s">
        <v>3622</v>
      </c>
      <c r="B415" s="75" t="s">
        <v>3639</v>
      </c>
      <c r="C415" s="76" t="s">
        <v>445</v>
      </c>
      <c r="D415" s="76" t="s">
        <v>135</v>
      </c>
      <c r="E415" s="76">
        <v>25864351</v>
      </c>
      <c r="F415" s="170">
        <v>19834.71</v>
      </c>
      <c r="G415" s="170">
        <v>0</v>
      </c>
      <c r="H415" s="76">
        <v>0</v>
      </c>
      <c r="I415" s="76">
        <v>0</v>
      </c>
      <c r="J415" s="76">
        <v>0</v>
      </c>
      <c r="K415" s="76">
        <v>4165.29</v>
      </c>
      <c r="L415" s="76">
        <v>0</v>
      </c>
      <c r="M415" s="170">
        <v>0</v>
      </c>
      <c r="N415" s="170">
        <v>24000</v>
      </c>
    </row>
    <row r="416" spans="1:14">
      <c r="A416" s="74" t="s">
        <v>3622</v>
      </c>
      <c r="B416" s="75" t="s">
        <v>3640</v>
      </c>
      <c r="C416" s="76" t="s">
        <v>1107</v>
      </c>
      <c r="D416" s="76" t="s">
        <v>135</v>
      </c>
      <c r="E416" s="76">
        <v>22040665</v>
      </c>
      <c r="F416" s="170">
        <v>44628.1</v>
      </c>
      <c r="G416" s="170">
        <v>0</v>
      </c>
      <c r="H416" s="76">
        <v>0</v>
      </c>
      <c r="I416" s="76">
        <v>0</v>
      </c>
      <c r="J416" s="76">
        <v>0</v>
      </c>
      <c r="K416" s="76">
        <v>9371.9</v>
      </c>
      <c r="L416" s="76">
        <v>0</v>
      </c>
      <c r="M416" s="170">
        <v>0</v>
      </c>
      <c r="N416" s="170">
        <v>54000</v>
      </c>
    </row>
    <row r="417" spans="1:14">
      <c r="A417" s="74" t="s">
        <v>3622</v>
      </c>
      <c r="B417" s="75" t="s">
        <v>3641</v>
      </c>
      <c r="C417" s="76" t="s">
        <v>777</v>
      </c>
      <c r="D417" s="76" t="s">
        <v>135</v>
      </c>
      <c r="E417" s="76">
        <v>16994318</v>
      </c>
      <c r="F417" s="170">
        <v>14876.03</v>
      </c>
      <c r="G417" s="170">
        <v>0</v>
      </c>
      <c r="H417" s="76">
        <v>0</v>
      </c>
      <c r="I417" s="76">
        <v>0</v>
      </c>
      <c r="J417" s="76">
        <v>0</v>
      </c>
      <c r="K417" s="76">
        <v>3123.97</v>
      </c>
      <c r="L417" s="76">
        <v>0</v>
      </c>
      <c r="M417" s="170">
        <v>0</v>
      </c>
      <c r="N417" s="170">
        <v>18000</v>
      </c>
    </row>
    <row r="418" spans="1:14">
      <c r="A418" s="74" t="s">
        <v>3642</v>
      </c>
      <c r="B418" s="75" t="s">
        <v>3654</v>
      </c>
      <c r="C418" s="76" t="s">
        <v>1586</v>
      </c>
      <c r="D418" s="76" t="s">
        <v>135</v>
      </c>
      <c r="E418" s="76">
        <v>17399042</v>
      </c>
      <c r="F418" s="170">
        <v>13429.75</v>
      </c>
      <c r="G418" s="170">
        <v>0</v>
      </c>
      <c r="H418" s="76">
        <v>0</v>
      </c>
      <c r="I418" s="76">
        <v>0</v>
      </c>
      <c r="J418" s="76">
        <v>0</v>
      </c>
      <c r="K418" s="76">
        <v>2820.25</v>
      </c>
      <c r="L418" s="76">
        <v>0</v>
      </c>
      <c r="M418" s="170">
        <v>0</v>
      </c>
      <c r="N418" s="170">
        <v>16250</v>
      </c>
    </row>
    <row r="419" spans="1:14">
      <c r="A419" s="74" t="s">
        <v>3642</v>
      </c>
      <c r="B419" s="75" t="s">
        <v>3655</v>
      </c>
      <c r="C419" s="76" t="s">
        <v>1586</v>
      </c>
      <c r="D419" s="76" t="s">
        <v>135</v>
      </c>
      <c r="E419" s="76">
        <v>17399042</v>
      </c>
      <c r="F419" s="170">
        <v>33057.85</v>
      </c>
      <c r="G419" s="170">
        <v>0</v>
      </c>
      <c r="H419" s="76">
        <v>0</v>
      </c>
      <c r="I419" s="76">
        <v>0</v>
      </c>
      <c r="J419" s="76">
        <v>0</v>
      </c>
      <c r="K419" s="76">
        <v>6942.15</v>
      </c>
      <c r="L419" s="76">
        <v>0</v>
      </c>
      <c r="M419" s="170">
        <v>0</v>
      </c>
      <c r="N419" s="170">
        <v>40000</v>
      </c>
    </row>
    <row r="420" spans="1:14">
      <c r="A420" s="74" t="s">
        <v>3642</v>
      </c>
      <c r="B420" s="75" t="s">
        <v>3656</v>
      </c>
      <c r="C420" s="76" t="s">
        <v>342</v>
      </c>
      <c r="D420" s="76" t="s">
        <v>343</v>
      </c>
      <c r="E420" s="76">
        <v>30590354798</v>
      </c>
      <c r="F420" s="170">
        <v>534710.74</v>
      </c>
      <c r="G420" s="170">
        <v>0</v>
      </c>
      <c r="H420" s="76">
        <v>0</v>
      </c>
      <c r="I420" s="76">
        <v>0</v>
      </c>
      <c r="J420" s="76">
        <v>0</v>
      </c>
      <c r="K420" s="76">
        <v>112289.26</v>
      </c>
      <c r="L420" s="76">
        <v>0</v>
      </c>
      <c r="M420" s="170">
        <v>0</v>
      </c>
      <c r="N420" s="170">
        <v>647000</v>
      </c>
    </row>
    <row r="421" spans="1:14" hidden="1">
      <c r="A421" s="74" t="s">
        <v>3657</v>
      </c>
      <c r="B421" s="75" t="s">
        <v>3670</v>
      </c>
      <c r="C421" s="76" t="s">
        <v>134</v>
      </c>
      <c r="D421" s="76" t="s">
        <v>135</v>
      </c>
      <c r="E421" s="76" t="s">
        <v>136</v>
      </c>
      <c r="F421" s="170">
        <v>7851.24</v>
      </c>
      <c r="G421" s="170">
        <v>0</v>
      </c>
      <c r="H421" s="76">
        <v>0</v>
      </c>
      <c r="I421" s="76">
        <v>0</v>
      </c>
      <c r="J421" s="76">
        <v>0</v>
      </c>
      <c r="K421" s="76">
        <v>1648.76</v>
      </c>
      <c r="L421" s="76">
        <v>0</v>
      </c>
      <c r="M421" s="170">
        <v>0</v>
      </c>
      <c r="N421" s="170">
        <v>9500</v>
      </c>
    </row>
    <row r="422" spans="1:14">
      <c r="A422" s="74" t="s">
        <v>3671</v>
      </c>
      <c r="B422" s="75" t="s">
        <v>3691</v>
      </c>
      <c r="C422" s="76" t="s">
        <v>455</v>
      </c>
      <c r="D422" s="76" t="s">
        <v>135</v>
      </c>
      <c r="E422" s="76">
        <v>17814995</v>
      </c>
      <c r="F422" s="170">
        <v>17355.37</v>
      </c>
      <c r="G422" s="170">
        <v>0</v>
      </c>
      <c r="H422" s="76">
        <v>0</v>
      </c>
      <c r="I422" s="76">
        <v>0</v>
      </c>
      <c r="J422" s="76">
        <v>0</v>
      </c>
      <c r="K422" s="76">
        <v>3644.63</v>
      </c>
      <c r="L422" s="76">
        <v>0</v>
      </c>
      <c r="M422" s="170">
        <v>0</v>
      </c>
      <c r="N422" s="170">
        <v>21000</v>
      </c>
    </row>
    <row r="423" spans="1:14">
      <c r="A423" s="74" t="s">
        <v>3671</v>
      </c>
      <c r="B423" s="75" t="s">
        <v>3692</v>
      </c>
      <c r="C423" s="76" t="s">
        <v>451</v>
      </c>
      <c r="D423" s="76" t="s">
        <v>135</v>
      </c>
      <c r="E423" s="76">
        <v>26542077</v>
      </c>
      <c r="F423" s="170">
        <v>71074.38</v>
      </c>
      <c r="G423" s="170">
        <v>0</v>
      </c>
      <c r="H423" s="76">
        <v>0</v>
      </c>
      <c r="I423" s="76">
        <v>0</v>
      </c>
      <c r="J423" s="76">
        <v>0</v>
      </c>
      <c r="K423" s="76">
        <v>14925.62</v>
      </c>
      <c r="L423" s="76">
        <v>0</v>
      </c>
      <c r="M423" s="170">
        <v>0</v>
      </c>
      <c r="N423" s="170">
        <v>86000</v>
      </c>
    </row>
    <row r="424" spans="1:14">
      <c r="A424" s="74" t="s">
        <v>3671</v>
      </c>
      <c r="B424" s="75" t="s">
        <v>3693</v>
      </c>
      <c r="C424" s="76" t="s">
        <v>388</v>
      </c>
      <c r="D424" s="76" t="s">
        <v>135</v>
      </c>
      <c r="E424" s="76">
        <v>14123802</v>
      </c>
      <c r="F424" s="170">
        <v>20661.150000000001</v>
      </c>
      <c r="G424" s="170">
        <v>0</v>
      </c>
      <c r="H424" s="76">
        <v>0</v>
      </c>
      <c r="I424" s="76">
        <v>0</v>
      </c>
      <c r="J424" s="76">
        <v>0</v>
      </c>
      <c r="K424" s="76">
        <v>4338.8500000000004</v>
      </c>
      <c r="L424" s="76">
        <v>0</v>
      </c>
      <c r="M424" s="170">
        <v>0</v>
      </c>
      <c r="N424" s="170">
        <v>25000</v>
      </c>
    </row>
    <row r="425" spans="1:14">
      <c r="A425" s="74" t="s">
        <v>3671</v>
      </c>
      <c r="B425" s="75" t="s">
        <v>3694</v>
      </c>
      <c r="C425" s="76" t="s">
        <v>408</v>
      </c>
      <c r="D425" s="76" t="s">
        <v>135</v>
      </c>
      <c r="E425" s="76">
        <v>2719694</v>
      </c>
      <c r="F425" s="170">
        <v>7194.22</v>
      </c>
      <c r="G425" s="170">
        <v>0</v>
      </c>
      <c r="H425" s="76">
        <v>0</v>
      </c>
      <c r="I425" s="76">
        <v>0</v>
      </c>
      <c r="J425" s="76">
        <v>0</v>
      </c>
      <c r="K425" s="76">
        <v>1510.78</v>
      </c>
      <c r="L425" s="76">
        <v>0</v>
      </c>
      <c r="M425" s="170">
        <v>0</v>
      </c>
      <c r="N425" s="170">
        <v>8705</v>
      </c>
    </row>
    <row r="426" spans="1:14">
      <c r="A426" s="74" t="s">
        <v>3671</v>
      </c>
      <c r="B426" s="75" t="s">
        <v>3695</v>
      </c>
      <c r="C426" s="76" t="s">
        <v>447</v>
      </c>
      <c r="D426" s="76" t="s">
        <v>135</v>
      </c>
      <c r="E426" s="76">
        <v>5607654</v>
      </c>
      <c r="F426" s="170">
        <v>19834.71</v>
      </c>
      <c r="G426" s="170">
        <v>0</v>
      </c>
      <c r="H426" s="76">
        <v>0</v>
      </c>
      <c r="I426" s="76">
        <v>0</v>
      </c>
      <c r="J426" s="76">
        <v>0</v>
      </c>
      <c r="K426" s="76">
        <v>4165.29</v>
      </c>
      <c r="L426" s="76">
        <v>0</v>
      </c>
      <c r="M426" s="170">
        <v>0</v>
      </c>
      <c r="N426" s="170">
        <v>24000</v>
      </c>
    </row>
    <row r="427" spans="1:14">
      <c r="A427" s="74" t="s">
        <v>3671</v>
      </c>
      <c r="B427" s="75" t="s">
        <v>3696</v>
      </c>
      <c r="C427" s="76" t="s">
        <v>413</v>
      </c>
      <c r="D427" s="76" t="s">
        <v>135</v>
      </c>
      <c r="E427" s="76">
        <v>11172213</v>
      </c>
      <c r="F427" s="170">
        <v>19834.71</v>
      </c>
      <c r="G427" s="170">
        <v>0</v>
      </c>
      <c r="H427" s="76">
        <v>0</v>
      </c>
      <c r="I427" s="76">
        <v>0</v>
      </c>
      <c r="J427" s="76">
        <v>0</v>
      </c>
      <c r="K427" s="76">
        <v>4165.29</v>
      </c>
      <c r="L427" s="76">
        <v>0</v>
      </c>
      <c r="M427" s="170">
        <v>0</v>
      </c>
      <c r="N427" s="170">
        <v>24000</v>
      </c>
    </row>
    <row r="428" spans="1:14">
      <c r="A428" s="74" t="s">
        <v>3671</v>
      </c>
      <c r="B428" s="75" t="s">
        <v>3697</v>
      </c>
      <c r="C428" s="76" t="s">
        <v>3197</v>
      </c>
      <c r="D428" s="76" t="s">
        <v>135</v>
      </c>
      <c r="E428" s="76">
        <v>28233990</v>
      </c>
      <c r="F428" s="170">
        <v>19834.71</v>
      </c>
      <c r="G428" s="170">
        <v>0</v>
      </c>
      <c r="H428" s="76">
        <v>0</v>
      </c>
      <c r="I428" s="76">
        <v>0</v>
      </c>
      <c r="J428" s="76">
        <v>0</v>
      </c>
      <c r="K428" s="76">
        <v>4165.29</v>
      </c>
      <c r="L428" s="76">
        <v>0</v>
      </c>
      <c r="M428" s="170">
        <v>0</v>
      </c>
      <c r="N428" s="170">
        <v>24000</v>
      </c>
    </row>
    <row r="429" spans="1:14">
      <c r="A429" s="74" t="s">
        <v>3671</v>
      </c>
      <c r="B429" s="75" t="s">
        <v>3698</v>
      </c>
      <c r="C429" s="76" t="s">
        <v>3699</v>
      </c>
      <c r="D429" s="76" t="s">
        <v>135</v>
      </c>
      <c r="E429" s="76">
        <v>5216802</v>
      </c>
      <c r="F429" s="170">
        <v>7500</v>
      </c>
      <c r="G429" s="170">
        <v>0</v>
      </c>
      <c r="H429" s="76">
        <v>0</v>
      </c>
      <c r="I429" s="76">
        <v>0</v>
      </c>
      <c r="J429" s="76">
        <v>0</v>
      </c>
      <c r="K429" s="76">
        <v>1575</v>
      </c>
      <c r="L429" s="76">
        <v>0</v>
      </c>
      <c r="M429" s="170">
        <v>0</v>
      </c>
      <c r="N429" s="170">
        <v>9075</v>
      </c>
    </row>
    <row r="430" spans="1:14">
      <c r="A430" s="74" t="s">
        <v>3700</v>
      </c>
      <c r="B430" s="75" t="s">
        <v>3722</v>
      </c>
      <c r="C430" s="76" t="s">
        <v>735</v>
      </c>
      <c r="D430" s="76" t="s">
        <v>135</v>
      </c>
      <c r="E430" s="76" t="s">
        <v>136</v>
      </c>
      <c r="F430" s="170">
        <v>17355.37</v>
      </c>
      <c r="G430" s="170">
        <v>0</v>
      </c>
      <c r="H430" s="76">
        <v>0</v>
      </c>
      <c r="I430" s="76">
        <v>0</v>
      </c>
      <c r="J430" s="76">
        <v>0</v>
      </c>
      <c r="K430" s="76">
        <v>3644.63</v>
      </c>
      <c r="L430" s="76">
        <v>0</v>
      </c>
      <c r="M430" s="170">
        <v>0</v>
      </c>
      <c r="N430" s="170">
        <v>21000</v>
      </c>
    </row>
    <row r="431" spans="1:14">
      <c r="A431" s="74" t="s">
        <v>3657</v>
      </c>
      <c r="B431" s="75" t="s">
        <v>3669</v>
      </c>
      <c r="C431" s="76" t="s">
        <v>342</v>
      </c>
      <c r="D431" s="76" t="s">
        <v>343</v>
      </c>
      <c r="E431" s="76">
        <v>30590354798</v>
      </c>
      <c r="F431" s="170">
        <v>-13926.27</v>
      </c>
      <c r="G431" s="170">
        <v>0</v>
      </c>
      <c r="H431" s="76">
        <v>0</v>
      </c>
      <c r="I431" s="76">
        <v>0</v>
      </c>
      <c r="J431" s="76">
        <v>0</v>
      </c>
      <c r="K431" s="76">
        <v>-2924.52</v>
      </c>
      <c r="L431" s="76">
        <v>0</v>
      </c>
      <c r="M431" s="170">
        <v>0</v>
      </c>
      <c r="N431" s="170">
        <v>-16850.79</v>
      </c>
    </row>
    <row r="432" spans="1:14">
      <c r="A432" s="171" t="s">
        <v>778</v>
      </c>
      <c r="B432" s="171" t="s">
        <v>779</v>
      </c>
      <c r="C432" s="171" t="s">
        <v>780</v>
      </c>
      <c r="D432" s="171" t="s">
        <v>781</v>
      </c>
      <c r="E432" s="171" t="s">
        <v>782</v>
      </c>
      <c r="F432" s="172">
        <f>SUM(F5:F431)</f>
        <v>45428595.999999925</v>
      </c>
      <c r="G432" s="172">
        <f t="shared" ref="G432" si="0">SUM(G5:G431)</f>
        <v>0</v>
      </c>
      <c r="H432" s="172">
        <f t="shared" ref="H432" si="1">SUM(H5:H431)</f>
        <v>0</v>
      </c>
      <c r="I432" s="172">
        <f t="shared" ref="I432" si="2">SUM(I5:I431)</f>
        <v>0</v>
      </c>
      <c r="J432" s="172">
        <f t="shared" ref="J432" si="3">SUM(J5:J431)</f>
        <v>0</v>
      </c>
      <c r="K432" s="172">
        <f>SUM(K5:K431)</f>
        <v>9540005.4600000195</v>
      </c>
      <c r="L432" s="172">
        <f t="shared" ref="L432:N432" si="4">SUM(L5:L431)</f>
        <v>0</v>
      </c>
      <c r="M432" s="172">
        <f t="shared" si="4"/>
        <v>0</v>
      </c>
      <c r="N432" s="172">
        <f t="shared" si="4"/>
        <v>54968601.459999986</v>
      </c>
    </row>
    <row r="433" spans="6:6">
      <c r="F433" t="s">
        <v>3723</v>
      </c>
    </row>
  </sheetData>
  <autoFilter ref="A4:N433" xr:uid="{00000000-0001-0000-0800-000000000000}">
    <filterColumn colId="2">
      <filters blank="1">
        <filter val="Aca Salud Cooperativa De Prestacion De Servicios Medico Asistenciales Limitada"/>
        <filter val="ADRIANA SAN PEDRO"/>
        <filter val="AGOSTINO MIRIAM"/>
        <filter val="Alexander Fleming S. A."/>
        <filter val="Amparo Salud S.R.L."/>
        <filter val="ARANA, MARCELLA OFELIA"/>
        <filter val="ARAOZ MARÍA ANGÉLICA"/>
        <filter val="Asociacion Mutual Sancor Salud"/>
        <filter val="BIANCHI TERESA GERMANA"/>
        <filter val="BRANDONI LUDMILA"/>
        <filter val="BUNCHICOFF, MARIA"/>
        <filter val="c"/>
        <filter val="CANCHI HECTOR HUGO"/>
        <filter val="CARINGI, ROSA MARIA"/>
        <filter val="Casa De Musicos S.A.S."/>
        <filter val="CASTRO ROSA ANGELA MARIA"/>
        <filter val="Centro Medico Amenabar Srl"/>
        <filter val="CORIGLIANO, LORENA ELISA"/>
        <filter val="CRISTIAN GOLDENHORN"/>
        <filter val="CRUZ CLAUDIA"/>
        <filter val="CUMAN MARIA LUISA"/>
        <filter val="DANIEL VACA"/>
        <filter val="EGESAC S.A."/>
        <filter val="fraser roberto fernando"/>
        <filter val="FREDES RAUL"/>
        <filter val="GABRIELA VANINA GALLO"/>
        <filter val="Galeno A.R.T. S.A."/>
        <filter val="Galeno Argentina SA"/>
        <filter val="GARCIA FERNANDEZ, ARIEL"/>
        <filter val="GARIBALDI MARIO"/>
        <filter val="GIGAGLIA, MARIA LUCILA"/>
        <filter val="GIMENEZ RAUL ALFREDO"/>
        <filter val="GOMEZ VENTURA ESTEBAN"/>
        <filter val="Hc Homecare Internacion Domiciliaria S.A."/>
        <filter val="Herman Patricia"/>
        <filter val="IZZO, ADRIANA"/>
        <filter val="LAVASELLI LETICIA MARIA"/>
        <filter val="LAYA, ROSA M. TINCOPA DE"/>
        <filter val="LAZARO CYNTHIA"/>
        <filter val="LOCOCO, CARMEN"/>
        <filter val="Login Door S.A"/>
        <filter val="MARGARITA FERRO"/>
        <filter val="MARIA ISABEL CALDERER"/>
        <filter val="MARTIN, RODOLFO ALBERTO"/>
        <filter val="MATSUO, MARGARITA NOEMI"/>
        <filter val="Medicus Sociedad Anonima De Asistencia Medica Y Cientifica"/>
        <filter val="Méndez María Agustina"/>
        <filter val="MGR IMPLANTES SA"/>
        <filter val="MIGUEL, EDUARDO ADRIAN"/>
        <filter val="MINERVINI, MARIA DEL CARMEN LILIANA"/>
        <filter val="MODOLO, CRISTIAN ARIEL"/>
        <filter val="MONTI, MARIA PAULA"/>
        <filter val="Najus Anibal Ruben"/>
        <filter val="NUÑEZ LETICIA"/>
        <filter val="Obra Social De Los Trabajadores De La Industria Del Gas"/>
        <filter val="Obra Social Del Personal De La Industria Del Plastico"/>
        <filter val="Obra Social Del Personal De Las Telecomunicaciones De La Republica Argentina"/>
        <filter val="Obra Social Del Sindicato De Mecanicos Y Afines Del Transporte Automotor"/>
        <filter val="Obra Social Union Personal De La Union  Del Personal Civil De La Nacion"/>
        <filter val="PEDROZO, PAULA GABRIELA"/>
        <filter val="Piaggio, Paula Andrea"/>
        <filter val="Picolemar Sa"/>
        <filter val="PINO, ANA PAULA"/>
        <filter val="RAQUEL DURAÑONA"/>
        <filter val="ROBERTO, FIDALGO"/>
        <filter val="RSC S.A."/>
        <filter val="SALLES, ANA MARIA"/>
        <filter val="SALVATIERRA, LUCIANA"/>
        <filter val="SARA STRASBERG"/>
        <filter val="Sc Pilar S.A."/>
        <filter val="SCHELGEL, LUIS ALBERTO"/>
        <filter val="SERRANO, CARLOS ARMANDO"/>
        <filter val="SILVANA ARAYA"/>
        <filter val="SORIANO, EDGARDO TOMAS"/>
        <filter val="TRISTAN SARA ADELA"/>
        <filter val="VALIENTE AGUSTINA MARIBEL"/>
        <filter val="VERON JESUS"/>
        <filter val="VETERE RICARDO"/>
        <filter val="VOLPI, ALBERTO JAVIER"/>
        <filter val="YANNADUONI, GRACIELA LIDIA"/>
      </filters>
    </filterColumn>
  </autoFilter>
  <sortState xmlns:xlrd2="http://schemas.microsoft.com/office/spreadsheetml/2017/richdata2" ref="A5:N431">
    <sortCondition ref="B5:B431"/>
  </sortState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N449"/>
  <sheetViews>
    <sheetView topLeftCell="A431" workbookViewId="0">
      <selection activeCell="A387" sqref="A387:F440"/>
    </sheetView>
  </sheetViews>
  <sheetFormatPr baseColWidth="10" defaultColWidth="11.5703125" defaultRowHeight="15"/>
  <cols>
    <col min="1" max="1" width="10.28515625" customWidth="1"/>
    <col min="2" max="2" width="18.42578125" customWidth="1"/>
    <col min="3" max="3" width="30" customWidth="1"/>
    <col min="4" max="4" width="17.85546875" customWidth="1"/>
    <col min="5" max="5" width="16.42578125" customWidth="1"/>
    <col min="6" max="6" width="19" customWidth="1"/>
    <col min="7" max="7" width="17.7109375" customWidth="1"/>
    <col min="10" max="10" width="17" customWidth="1"/>
    <col min="11" max="11" width="11.7109375" bestFit="1" customWidth="1"/>
    <col min="14" max="14" width="14.42578125" customWidth="1"/>
  </cols>
  <sheetData>
    <row r="1" spans="1:14" ht="18">
      <c r="A1" s="71" t="s">
        <v>3247</v>
      </c>
    </row>
    <row r="2" spans="1:14" ht="15.75">
      <c r="A2" s="72" t="s">
        <v>1</v>
      </c>
      <c r="L2" s="17"/>
    </row>
    <row r="4" spans="1:14" ht="15.75" thickBot="1">
      <c r="A4" s="116" t="s">
        <v>2</v>
      </c>
      <c r="B4" s="116" t="s">
        <v>3</v>
      </c>
      <c r="C4" s="116" t="s">
        <v>4</v>
      </c>
      <c r="D4" s="116" t="s">
        <v>5</v>
      </c>
      <c r="E4" s="116" t="s">
        <v>6</v>
      </c>
      <c r="F4" s="116" t="s">
        <v>7</v>
      </c>
      <c r="G4" s="116" t="s">
        <v>8</v>
      </c>
      <c r="H4" s="116" t="s">
        <v>9</v>
      </c>
      <c r="I4" s="116" t="s">
        <v>10</v>
      </c>
      <c r="J4" s="116" t="s">
        <v>11</v>
      </c>
      <c r="K4" s="116" t="s">
        <v>12</v>
      </c>
      <c r="L4" s="116" t="s">
        <v>13</v>
      </c>
      <c r="M4" s="116" t="s">
        <v>14</v>
      </c>
      <c r="N4" s="116" t="s">
        <v>15</v>
      </c>
    </row>
    <row r="5" spans="1:14" ht="15.75" thickBot="1">
      <c r="A5" s="167" t="s">
        <v>3243</v>
      </c>
      <c r="B5" s="168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</row>
    <row r="6" spans="1:14">
      <c r="A6" s="74" t="s">
        <v>3406</v>
      </c>
      <c r="B6" s="75" t="s">
        <v>3408</v>
      </c>
      <c r="C6" s="76" t="s">
        <v>3409</v>
      </c>
      <c r="D6" s="76" t="s">
        <v>19</v>
      </c>
      <c r="E6" s="76">
        <v>30709645656</v>
      </c>
      <c r="F6" s="173">
        <v>33884.300000000003</v>
      </c>
      <c r="G6" s="170">
        <v>0</v>
      </c>
      <c r="H6" s="76">
        <v>0</v>
      </c>
      <c r="I6" s="76">
        <v>0</v>
      </c>
      <c r="J6" s="76">
        <v>0</v>
      </c>
      <c r="K6" s="174">
        <v>7115.7</v>
      </c>
      <c r="L6" s="76">
        <v>0</v>
      </c>
      <c r="M6" s="170">
        <v>0</v>
      </c>
      <c r="N6" s="173">
        <v>41000</v>
      </c>
    </row>
    <row r="7" spans="1:14" ht="15.75" thickBot="1">
      <c r="A7" s="4"/>
      <c r="B7" s="5"/>
      <c r="C7" s="6"/>
      <c r="D7" s="6"/>
      <c r="E7" s="6"/>
      <c r="F7" s="18"/>
      <c r="G7" s="18"/>
      <c r="H7" s="6"/>
      <c r="I7" s="6"/>
      <c r="J7" s="6"/>
      <c r="K7" s="6"/>
      <c r="L7" s="6"/>
      <c r="M7" s="18"/>
      <c r="N7" s="18"/>
    </row>
    <row r="8" spans="1:14" ht="15.75" thickBot="1">
      <c r="A8" s="167" t="s">
        <v>3244</v>
      </c>
      <c r="B8" s="168"/>
      <c r="C8" s="6"/>
      <c r="D8" s="6"/>
      <c r="E8" s="6"/>
      <c r="F8" s="18"/>
      <c r="G8" s="18"/>
      <c r="H8" s="6"/>
      <c r="I8" s="6"/>
      <c r="J8" s="6"/>
      <c r="K8" s="6"/>
      <c r="L8" s="6"/>
      <c r="M8" s="18"/>
      <c r="N8" s="18"/>
    </row>
    <row r="9" spans="1:14">
      <c r="A9" s="74" t="s">
        <v>3248</v>
      </c>
      <c r="B9" s="75" t="s">
        <v>3273</v>
      </c>
      <c r="C9" s="76" t="s">
        <v>2634</v>
      </c>
      <c r="D9" s="76" t="s">
        <v>19</v>
      </c>
      <c r="E9" s="76">
        <v>30522428163</v>
      </c>
      <c r="F9" s="170">
        <v>1392413.41</v>
      </c>
      <c r="G9" s="170">
        <v>0</v>
      </c>
      <c r="H9" s="76">
        <v>0</v>
      </c>
      <c r="I9" s="76">
        <v>0</v>
      </c>
      <c r="J9" s="76">
        <v>0</v>
      </c>
      <c r="K9" s="76">
        <v>292406.82</v>
      </c>
      <c r="L9" s="76">
        <v>0</v>
      </c>
      <c r="M9" s="170">
        <v>0</v>
      </c>
      <c r="N9" s="170">
        <v>1684820.23</v>
      </c>
    </row>
    <row r="10" spans="1:14">
      <c r="A10" s="74" t="s">
        <v>3248</v>
      </c>
      <c r="B10" s="75" t="s">
        <v>3274</v>
      </c>
      <c r="C10" s="76" t="s">
        <v>2634</v>
      </c>
      <c r="D10" s="76" t="s">
        <v>19</v>
      </c>
      <c r="E10" s="76">
        <v>30522428163</v>
      </c>
      <c r="F10" s="170">
        <v>9369073.8200000003</v>
      </c>
      <c r="G10" s="170">
        <v>0</v>
      </c>
      <c r="H10" s="76">
        <v>0</v>
      </c>
      <c r="I10" s="76">
        <v>0</v>
      </c>
      <c r="J10" s="76">
        <v>0</v>
      </c>
      <c r="K10" s="76">
        <v>1967505.5</v>
      </c>
      <c r="L10" s="76">
        <v>0</v>
      </c>
      <c r="M10" s="170">
        <v>0</v>
      </c>
      <c r="N10" s="170">
        <v>11336579.32</v>
      </c>
    </row>
    <row r="11" spans="1:14">
      <c r="A11" s="74" t="s">
        <v>3280</v>
      </c>
      <c r="B11" s="75" t="s">
        <v>3304</v>
      </c>
      <c r="C11" s="76" t="s">
        <v>2634</v>
      </c>
      <c r="D11" s="76" t="s">
        <v>19</v>
      </c>
      <c r="E11" s="76">
        <v>30522428163</v>
      </c>
      <c r="F11" s="170">
        <v>1214425.5</v>
      </c>
      <c r="G11" s="170">
        <v>0</v>
      </c>
      <c r="H11" s="76">
        <v>0</v>
      </c>
      <c r="I11" s="76">
        <v>0</v>
      </c>
      <c r="J11" s="76">
        <v>0</v>
      </c>
      <c r="K11" s="76">
        <v>255029.36</v>
      </c>
      <c r="L11" s="76">
        <v>0</v>
      </c>
      <c r="M11" s="170">
        <v>0</v>
      </c>
      <c r="N11" s="170">
        <v>1469454.86</v>
      </c>
    </row>
    <row r="12" spans="1:14">
      <c r="A12" s="74" t="s">
        <v>3308</v>
      </c>
      <c r="B12" s="75" t="s">
        <v>3333</v>
      </c>
      <c r="C12" s="76" t="s">
        <v>36</v>
      </c>
      <c r="D12" s="76" t="s">
        <v>19</v>
      </c>
      <c r="E12" s="76">
        <v>30683032227</v>
      </c>
      <c r="F12" s="170">
        <v>3253703.02</v>
      </c>
      <c r="G12" s="170">
        <v>0</v>
      </c>
      <c r="H12" s="76">
        <v>0</v>
      </c>
      <c r="I12" s="76">
        <v>0</v>
      </c>
      <c r="J12" s="76">
        <v>0</v>
      </c>
      <c r="K12" s="76">
        <v>683277.63</v>
      </c>
      <c r="L12" s="76">
        <v>0</v>
      </c>
      <c r="M12" s="170">
        <v>0</v>
      </c>
      <c r="N12" s="170">
        <v>3936980.65</v>
      </c>
    </row>
    <row r="13" spans="1:14">
      <c r="A13" s="74" t="s">
        <v>3308</v>
      </c>
      <c r="B13" s="75" t="s">
        <v>3334</v>
      </c>
      <c r="C13" s="76" t="s">
        <v>36</v>
      </c>
      <c r="D13" s="76" t="s">
        <v>19</v>
      </c>
      <c r="E13" s="76">
        <v>30683032227</v>
      </c>
      <c r="F13" s="170">
        <v>1407176.55</v>
      </c>
      <c r="G13" s="170">
        <v>0</v>
      </c>
      <c r="H13" s="76">
        <v>0</v>
      </c>
      <c r="I13" s="76">
        <v>0</v>
      </c>
      <c r="J13" s="76">
        <v>0</v>
      </c>
      <c r="K13" s="76">
        <v>295507.08</v>
      </c>
      <c r="L13" s="76">
        <v>0</v>
      </c>
      <c r="M13" s="170">
        <v>0</v>
      </c>
      <c r="N13" s="170">
        <v>1702683.63</v>
      </c>
    </row>
    <row r="14" spans="1:14">
      <c r="A14" s="74" t="s">
        <v>3435</v>
      </c>
      <c r="B14" s="75" t="s">
        <v>3454</v>
      </c>
      <c r="C14" s="76" t="s">
        <v>36</v>
      </c>
      <c r="D14" s="76" t="s">
        <v>19</v>
      </c>
      <c r="E14" s="76">
        <v>30683032227</v>
      </c>
      <c r="F14" s="170">
        <v>6407000</v>
      </c>
      <c r="G14" s="170">
        <v>0</v>
      </c>
      <c r="H14" s="76">
        <v>0</v>
      </c>
      <c r="I14" s="76">
        <v>0</v>
      </c>
      <c r="J14" s="76">
        <v>0</v>
      </c>
      <c r="K14" s="76">
        <v>1345470</v>
      </c>
      <c r="L14" s="76">
        <v>0</v>
      </c>
      <c r="M14" s="170">
        <v>0</v>
      </c>
      <c r="N14" s="170">
        <v>7752470</v>
      </c>
    </row>
    <row r="15" spans="1:14">
      <c r="A15" s="74" t="s">
        <v>3435</v>
      </c>
      <c r="B15" s="75" t="s">
        <v>3455</v>
      </c>
      <c r="C15" s="76" t="s">
        <v>36</v>
      </c>
      <c r="D15" s="76" t="s">
        <v>19</v>
      </c>
      <c r="E15" s="76">
        <v>30683032227</v>
      </c>
      <c r="F15" s="170">
        <v>1524875.85</v>
      </c>
      <c r="G15" s="170">
        <v>0</v>
      </c>
      <c r="H15" s="76">
        <v>0</v>
      </c>
      <c r="I15" s="76">
        <v>0</v>
      </c>
      <c r="J15" s="76">
        <v>0</v>
      </c>
      <c r="K15" s="76">
        <v>320223.93</v>
      </c>
      <c r="L15" s="76">
        <v>0</v>
      </c>
      <c r="M15" s="170">
        <v>0</v>
      </c>
      <c r="N15" s="170">
        <v>1845099.78</v>
      </c>
    </row>
    <row r="16" spans="1:14">
      <c r="A16" s="74" t="s">
        <v>3470</v>
      </c>
      <c r="B16" s="75" t="s">
        <v>3486</v>
      </c>
      <c r="C16" s="76" t="s">
        <v>2634</v>
      </c>
      <c r="D16" s="76" t="s">
        <v>19</v>
      </c>
      <c r="E16" s="76">
        <v>30522428163</v>
      </c>
      <c r="F16" s="170">
        <v>1815702.48</v>
      </c>
      <c r="G16" s="170">
        <v>0</v>
      </c>
      <c r="H16" s="76">
        <v>0</v>
      </c>
      <c r="I16" s="76">
        <v>0</v>
      </c>
      <c r="J16" s="76">
        <v>0</v>
      </c>
      <c r="K16" s="76">
        <v>381297.51</v>
      </c>
      <c r="L16" s="76">
        <v>0</v>
      </c>
      <c r="M16" s="170">
        <v>0</v>
      </c>
      <c r="N16" s="170">
        <v>2196999.9900000002</v>
      </c>
    </row>
    <row r="17" spans="1:14">
      <c r="A17" s="74" t="s">
        <v>3493</v>
      </c>
      <c r="B17" s="75" t="s">
        <v>3504</v>
      </c>
      <c r="C17" s="76" t="s">
        <v>2634</v>
      </c>
      <c r="D17" s="76" t="s">
        <v>19</v>
      </c>
      <c r="E17" s="76">
        <v>30522428163</v>
      </c>
      <c r="F17" s="170">
        <v>3311157.02</v>
      </c>
      <c r="G17" s="170">
        <v>0</v>
      </c>
      <c r="H17" s="76">
        <v>0</v>
      </c>
      <c r="I17" s="76">
        <v>0</v>
      </c>
      <c r="J17" s="76">
        <v>0</v>
      </c>
      <c r="K17" s="76">
        <v>695342.98</v>
      </c>
      <c r="L17" s="76">
        <v>0</v>
      </c>
      <c r="M17" s="170">
        <v>0</v>
      </c>
      <c r="N17" s="170">
        <v>4006500</v>
      </c>
    </row>
    <row r="18" spans="1:14">
      <c r="A18" s="74" t="s">
        <v>3700</v>
      </c>
      <c r="B18" s="75" t="s">
        <v>3716</v>
      </c>
      <c r="C18" s="76" t="s">
        <v>2634</v>
      </c>
      <c r="D18" s="76" t="s">
        <v>19</v>
      </c>
      <c r="E18" s="76">
        <v>30522428163</v>
      </c>
      <c r="F18" s="170">
        <v>-97578.07</v>
      </c>
      <c r="G18" s="170">
        <v>0</v>
      </c>
      <c r="H18" s="76">
        <v>0</v>
      </c>
      <c r="I18" s="76">
        <v>0</v>
      </c>
      <c r="J18" s="76">
        <v>0</v>
      </c>
      <c r="K18" s="76">
        <v>-20491.39</v>
      </c>
      <c r="L18" s="76">
        <v>0</v>
      </c>
      <c r="M18" s="170">
        <v>0</v>
      </c>
      <c r="N18" s="170">
        <v>-118069.46</v>
      </c>
    </row>
    <row r="19" spans="1:14">
      <c r="A19" s="74" t="s">
        <v>3700</v>
      </c>
      <c r="B19" s="75" t="s">
        <v>3717</v>
      </c>
      <c r="C19" s="76" t="s">
        <v>2634</v>
      </c>
      <c r="D19" s="76" t="s">
        <v>19</v>
      </c>
      <c r="E19" s="76">
        <v>30522428163</v>
      </c>
      <c r="F19" s="170">
        <v>-2783.55</v>
      </c>
      <c r="G19" s="170">
        <v>0</v>
      </c>
      <c r="H19" s="76">
        <v>0</v>
      </c>
      <c r="I19" s="76">
        <v>0</v>
      </c>
      <c r="J19" s="76">
        <v>0</v>
      </c>
      <c r="K19" s="76">
        <v>-584.55000000000007</v>
      </c>
      <c r="L19" s="76">
        <v>0</v>
      </c>
      <c r="M19" s="170">
        <v>0</v>
      </c>
      <c r="N19" s="170">
        <v>-3368.1</v>
      </c>
    </row>
    <row r="20" spans="1:14">
      <c r="A20" s="74" t="s">
        <v>3700</v>
      </c>
      <c r="B20" s="75" t="s">
        <v>3718</v>
      </c>
      <c r="C20" s="76" t="s">
        <v>2634</v>
      </c>
      <c r="D20" s="76" t="s">
        <v>19</v>
      </c>
      <c r="E20" s="76">
        <v>30522428163</v>
      </c>
      <c r="F20" s="170">
        <v>-58635.15</v>
      </c>
      <c r="G20" s="170">
        <v>0</v>
      </c>
      <c r="H20" s="76">
        <v>0</v>
      </c>
      <c r="I20" s="76">
        <v>0</v>
      </c>
      <c r="J20" s="76">
        <v>0</v>
      </c>
      <c r="K20" s="76">
        <v>-12313.38</v>
      </c>
      <c r="L20" s="76">
        <v>0</v>
      </c>
      <c r="M20" s="170">
        <v>0</v>
      </c>
      <c r="N20" s="170">
        <v>-70948.53</v>
      </c>
    </row>
    <row r="21" spans="1:14">
      <c r="A21" s="74" t="s">
        <v>3700</v>
      </c>
      <c r="B21" s="75" t="s">
        <v>3719</v>
      </c>
      <c r="C21" s="76" t="s">
        <v>2634</v>
      </c>
      <c r="D21" s="76" t="s">
        <v>19</v>
      </c>
      <c r="E21" s="76">
        <v>30522428163</v>
      </c>
      <c r="F21" s="170">
        <v>-15873.53</v>
      </c>
      <c r="G21" s="170">
        <v>0</v>
      </c>
      <c r="H21" s="76">
        <v>0</v>
      </c>
      <c r="I21" s="76">
        <v>0</v>
      </c>
      <c r="J21" s="76">
        <v>0</v>
      </c>
      <c r="K21" s="76">
        <v>-3333.44</v>
      </c>
      <c r="L21" s="76">
        <v>0</v>
      </c>
      <c r="M21" s="170">
        <v>0</v>
      </c>
      <c r="N21" s="170">
        <v>-19206.97</v>
      </c>
    </row>
    <row r="22" spans="1:14">
      <c r="A22" s="74" t="s">
        <v>3700</v>
      </c>
      <c r="B22" s="75" t="s">
        <v>3720</v>
      </c>
      <c r="C22" s="76" t="s">
        <v>2634</v>
      </c>
      <c r="D22" s="76" t="s">
        <v>19</v>
      </c>
      <c r="E22" s="76">
        <v>30522428163</v>
      </c>
      <c r="F22" s="170">
        <v>-102275.32</v>
      </c>
      <c r="G22" s="170">
        <v>0</v>
      </c>
      <c r="H22" s="76">
        <v>0</v>
      </c>
      <c r="I22" s="76">
        <v>0</v>
      </c>
      <c r="J22" s="76">
        <v>0</v>
      </c>
      <c r="K22" s="76">
        <v>-21477.82</v>
      </c>
      <c r="L22" s="76">
        <v>0</v>
      </c>
      <c r="M22" s="170">
        <v>0</v>
      </c>
      <c r="N22" s="170">
        <v>-123753.14</v>
      </c>
    </row>
    <row r="23" spans="1:14" ht="15.75" thickBot="1">
      <c r="A23" s="74"/>
      <c r="B23" s="75"/>
      <c r="C23" s="76"/>
      <c r="D23" s="76"/>
      <c r="E23" s="76"/>
      <c r="F23" s="173">
        <f>SUM(F9:F22)</f>
        <v>29418382.030000001</v>
      </c>
      <c r="G23" s="170"/>
      <c r="H23" s="76"/>
      <c r="I23" s="76"/>
      <c r="J23" s="76"/>
      <c r="K23" s="174">
        <f>SUM(K9:K22)</f>
        <v>6177860.2299999986</v>
      </c>
      <c r="L23" s="76"/>
      <c r="M23" s="170"/>
      <c r="N23" s="173">
        <f>SUM(N9:N22)</f>
        <v>35596242.259999998</v>
      </c>
    </row>
    <row r="24" spans="1:14" ht="15.75" thickBot="1">
      <c r="A24" s="167" t="s">
        <v>3242</v>
      </c>
      <c r="B24" s="168"/>
      <c r="C24" s="164"/>
      <c r="D24" s="6"/>
      <c r="E24" s="6"/>
      <c r="F24" s="18"/>
      <c r="G24" s="18"/>
      <c r="H24" s="6"/>
      <c r="I24" s="6"/>
      <c r="J24" s="6"/>
      <c r="K24" s="6"/>
      <c r="L24" s="6"/>
      <c r="M24" s="18"/>
      <c r="N24" s="18"/>
    </row>
    <row r="25" spans="1:14">
      <c r="A25" s="74" t="s">
        <v>3248</v>
      </c>
      <c r="B25" s="75" t="s">
        <v>3275</v>
      </c>
      <c r="C25" s="76" t="s">
        <v>2634</v>
      </c>
      <c r="D25" s="76" t="s">
        <v>19</v>
      </c>
      <c r="E25" s="76">
        <v>30522428163</v>
      </c>
      <c r="F25" s="170">
        <v>326452.56</v>
      </c>
      <c r="G25" s="170">
        <v>0</v>
      </c>
      <c r="H25" s="76">
        <v>0</v>
      </c>
      <c r="I25" s="76">
        <v>0</v>
      </c>
      <c r="J25" s="76">
        <v>0</v>
      </c>
      <c r="K25" s="76">
        <v>68555.040000000008</v>
      </c>
      <c r="L25" s="76">
        <v>0</v>
      </c>
      <c r="M25" s="170">
        <v>0</v>
      </c>
      <c r="N25" s="170">
        <v>395007.6</v>
      </c>
    </row>
    <row r="26" spans="1:14">
      <c r="A26" s="74" t="s">
        <v>3248</v>
      </c>
      <c r="B26" s="75" t="s">
        <v>3276</v>
      </c>
      <c r="C26" s="76" t="s">
        <v>73</v>
      </c>
      <c r="D26" s="76" t="s">
        <v>19</v>
      </c>
      <c r="E26" s="76">
        <v>30715186655</v>
      </c>
      <c r="F26" s="170">
        <v>470719.01</v>
      </c>
      <c r="G26" s="170">
        <v>0</v>
      </c>
      <c r="H26" s="76">
        <v>0</v>
      </c>
      <c r="I26" s="76">
        <v>0</v>
      </c>
      <c r="J26" s="76">
        <v>0</v>
      </c>
      <c r="K26" s="76">
        <v>98850.99</v>
      </c>
      <c r="L26" s="76">
        <v>0</v>
      </c>
      <c r="M26" s="170">
        <v>0</v>
      </c>
      <c r="N26" s="170">
        <v>569570</v>
      </c>
    </row>
    <row r="27" spans="1:14">
      <c r="A27" s="74" t="s">
        <v>3248</v>
      </c>
      <c r="B27" s="75" t="s">
        <v>3277</v>
      </c>
      <c r="C27" s="76" t="s">
        <v>67</v>
      </c>
      <c r="D27" s="76" t="s">
        <v>19</v>
      </c>
      <c r="E27" s="76">
        <v>30710538014</v>
      </c>
      <c r="F27" s="170">
        <v>402297.52</v>
      </c>
      <c r="G27" s="170">
        <v>0</v>
      </c>
      <c r="H27" s="76">
        <v>0</v>
      </c>
      <c r="I27" s="76">
        <v>0</v>
      </c>
      <c r="J27" s="76">
        <v>0</v>
      </c>
      <c r="K27" s="76">
        <v>84482.48</v>
      </c>
      <c r="L27" s="76">
        <v>0</v>
      </c>
      <c r="M27" s="170">
        <v>0</v>
      </c>
      <c r="N27" s="170">
        <v>486780</v>
      </c>
    </row>
    <row r="28" spans="1:14">
      <c r="A28" s="74" t="s">
        <v>3280</v>
      </c>
      <c r="B28" s="75" t="s">
        <v>3305</v>
      </c>
      <c r="C28" s="76" t="s">
        <v>1216</v>
      </c>
      <c r="D28" s="76" t="s">
        <v>19</v>
      </c>
      <c r="E28" s="76">
        <v>30590412631</v>
      </c>
      <c r="F28" s="170">
        <v>452892.56</v>
      </c>
      <c r="G28" s="170">
        <v>0</v>
      </c>
      <c r="H28" s="76">
        <v>0</v>
      </c>
      <c r="I28" s="76">
        <v>0</v>
      </c>
      <c r="J28" s="76">
        <v>0</v>
      </c>
      <c r="K28" s="76">
        <v>95107.44</v>
      </c>
      <c r="L28" s="76">
        <v>0</v>
      </c>
      <c r="M28" s="170">
        <v>0</v>
      </c>
      <c r="N28" s="170">
        <v>548000</v>
      </c>
    </row>
    <row r="29" spans="1:14">
      <c r="A29" s="74" t="s">
        <v>3340</v>
      </c>
      <c r="B29" s="75" t="s">
        <v>3370</v>
      </c>
      <c r="C29" s="76" t="s">
        <v>3371</v>
      </c>
      <c r="D29" s="76" t="s">
        <v>19</v>
      </c>
      <c r="E29" s="76">
        <v>33715895639</v>
      </c>
      <c r="F29" s="170">
        <v>26446.28</v>
      </c>
      <c r="G29" s="170">
        <v>0</v>
      </c>
      <c r="H29" s="76">
        <v>0</v>
      </c>
      <c r="I29" s="76">
        <v>0</v>
      </c>
      <c r="J29" s="76">
        <v>0</v>
      </c>
      <c r="K29" s="76">
        <v>5553.72</v>
      </c>
      <c r="L29" s="76">
        <v>0</v>
      </c>
      <c r="M29" s="170">
        <v>0</v>
      </c>
      <c r="N29" s="170">
        <v>32000</v>
      </c>
    </row>
    <row r="30" spans="1:14">
      <c r="A30" s="74" t="s">
        <v>3340</v>
      </c>
      <c r="B30" s="75" t="s">
        <v>3372</v>
      </c>
      <c r="C30" s="76" t="s">
        <v>88</v>
      </c>
      <c r="D30" s="76" t="s">
        <v>19</v>
      </c>
      <c r="E30" s="76">
        <v>30711244383</v>
      </c>
      <c r="F30" s="170">
        <v>96431.74</v>
      </c>
      <c r="G30" s="170">
        <v>0</v>
      </c>
      <c r="H30" s="76">
        <v>0</v>
      </c>
      <c r="I30" s="76">
        <v>0</v>
      </c>
      <c r="J30" s="76">
        <v>0</v>
      </c>
      <c r="K30" s="76">
        <v>20250.670000000002</v>
      </c>
      <c r="L30" s="76">
        <v>0</v>
      </c>
      <c r="M30" s="170">
        <v>0</v>
      </c>
      <c r="N30" s="170">
        <v>116682.41</v>
      </c>
    </row>
    <row r="31" spans="1:14">
      <c r="A31" s="74" t="s">
        <v>3340</v>
      </c>
      <c r="B31" s="75" t="s">
        <v>3373</v>
      </c>
      <c r="C31" s="76" t="s">
        <v>3374</v>
      </c>
      <c r="D31" s="76" t="s">
        <v>19</v>
      </c>
      <c r="E31" s="76">
        <v>30645337979</v>
      </c>
      <c r="F31" s="170">
        <v>121245.78</v>
      </c>
      <c r="G31" s="170">
        <v>0</v>
      </c>
      <c r="H31" s="76">
        <v>0</v>
      </c>
      <c r="I31" s="76">
        <v>0</v>
      </c>
      <c r="J31" s="76">
        <v>0</v>
      </c>
      <c r="K31" s="76">
        <v>25461.61</v>
      </c>
      <c r="L31" s="76">
        <v>0</v>
      </c>
      <c r="M31" s="170">
        <v>0</v>
      </c>
      <c r="N31" s="170">
        <v>146707.39000000001</v>
      </c>
    </row>
    <row r="32" spans="1:14">
      <c r="A32" s="74" t="s">
        <v>3376</v>
      </c>
      <c r="B32" s="75" t="s">
        <v>3399</v>
      </c>
      <c r="C32" s="76" t="s">
        <v>120</v>
      </c>
      <c r="D32" s="76" t="s">
        <v>19</v>
      </c>
      <c r="E32" s="76">
        <v>27182477368</v>
      </c>
      <c r="F32" s="170">
        <v>19834.71</v>
      </c>
      <c r="G32" s="170">
        <v>0</v>
      </c>
      <c r="H32" s="76">
        <v>0</v>
      </c>
      <c r="I32" s="76">
        <v>0</v>
      </c>
      <c r="J32" s="76">
        <v>0</v>
      </c>
      <c r="K32" s="76">
        <v>4165.29</v>
      </c>
      <c r="L32" s="76">
        <v>0</v>
      </c>
      <c r="M32" s="170">
        <v>0</v>
      </c>
      <c r="N32" s="170">
        <v>24000</v>
      </c>
    </row>
    <row r="33" spans="1:14">
      <c r="A33" s="74" t="s">
        <v>3376</v>
      </c>
      <c r="B33" s="75" t="s">
        <v>3400</v>
      </c>
      <c r="C33" s="76" t="s">
        <v>1694</v>
      </c>
      <c r="D33" s="76" t="s">
        <v>19</v>
      </c>
      <c r="E33" s="76">
        <v>30604958640</v>
      </c>
      <c r="F33" s="170">
        <v>370734.07</v>
      </c>
      <c r="G33" s="170">
        <v>0</v>
      </c>
      <c r="H33" s="76">
        <v>0</v>
      </c>
      <c r="I33" s="76">
        <v>0</v>
      </c>
      <c r="J33" s="76">
        <v>0</v>
      </c>
      <c r="K33" s="76">
        <v>77854.150000000009</v>
      </c>
      <c r="L33" s="76">
        <v>0</v>
      </c>
      <c r="M33" s="170">
        <v>0</v>
      </c>
      <c r="N33" s="170">
        <v>448588.22</v>
      </c>
    </row>
    <row r="34" spans="1:14">
      <c r="A34" s="74" t="s">
        <v>3376</v>
      </c>
      <c r="B34" s="75" t="s">
        <v>3401</v>
      </c>
      <c r="C34" s="76" t="s">
        <v>1694</v>
      </c>
      <c r="D34" s="76" t="s">
        <v>19</v>
      </c>
      <c r="E34" s="76">
        <v>30604958640</v>
      </c>
      <c r="F34" s="170">
        <v>36072</v>
      </c>
      <c r="G34" s="170">
        <v>0</v>
      </c>
      <c r="H34" s="76">
        <v>0</v>
      </c>
      <c r="I34" s="76">
        <v>0</v>
      </c>
      <c r="J34" s="76">
        <v>0</v>
      </c>
      <c r="K34" s="76">
        <v>7575.12</v>
      </c>
      <c r="L34" s="76">
        <v>0</v>
      </c>
      <c r="M34" s="170">
        <v>0</v>
      </c>
      <c r="N34" s="170">
        <v>43647.12</v>
      </c>
    </row>
    <row r="35" spans="1:14">
      <c r="A35" s="74" t="s">
        <v>3376</v>
      </c>
      <c r="B35" s="75" t="s">
        <v>3402</v>
      </c>
      <c r="C35" s="76" t="s">
        <v>1694</v>
      </c>
      <c r="D35" s="76" t="s">
        <v>19</v>
      </c>
      <c r="E35" s="76">
        <v>30604958640</v>
      </c>
      <c r="F35" s="170">
        <v>370734.07</v>
      </c>
      <c r="G35" s="170">
        <v>0</v>
      </c>
      <c r="H35" s="76">
        <v>0</v>
      </c>
      <c r="I35" s="76">
        <v>0</v>
      </c>
      <c r="J35" s="76">
        <v>0</v>
      </c>
      <c r="K35" s="76">
        <v>77854.150000000009</v>
      </c>
      <c r="L35" s="76">
        <v>0</v>
      </c>
      <c r="M35" s="170">
        <v>0</v>
      </c>
      <c r="N35" s="170">
        <v>448588.22</v>
      </c>
    </row>
    <row r="36" spans="1:14">
      <c r="A36" s="74" t="s">
        <v>3376</v>
      </c>
      <c r="B36" s="75" t="s">
        <v>3403</v>
      </c>
      <c r="C36" s="76" t="s">
        <v>92</v>
      </c>
      <c r="D36" s="76" t="s">
        <v>19</v>
      </c>
      <c r="E36" s="76">
        <v>30709016012</v>
      </c>
      <c r="F36" s="170">
        <v>150420.39000000001</v>
      </c>
      <c r="G36" s="170">
        <v>0</v>
      </c>
      <c r="H36" s="76">
        <v>0</v>
      </c>
      <c r="I36" s="76">
        <v>0</v>
      </c>
      <c r="J36" s="76">
        <v>0</v>
      </c>
      <c r="K36" s="76">
        <v>31588.280000000002</v>
      </c>
      <c r="L36" s="76">
        <v>0</v>
      </c>
      <c r="M36" s="170">
        <v>0</v>
      </c>
      <c r="N36" s="170">
        <v>182008.67</v>
      </c>
    </row>
    <row r="37" spans="1:14">
      <c r="A37" s="74" t="s">
        <v>3376</v>
      </c>
      <c r="B37" s="75" t="s">
        <v>3404</v>
      </c>
      <c r="C37" s="76" t="s">
        <v>92</v>
      </c>
      <c r="D37" s="76" t="s">
        <v>19</v>
      </c>
      <c r="E37" s="76">
        <v>30709016012</v>
      </c>
      <c r="F37" s="170">
        <v>298958.71000000002</v>
      </c>
      <c r="G37" s="170">
        <v>0</v>
      </c>
      <c r="H37" s="76">
        <v>0</v>
      </c>
      <c r="I37" s="76">
        <v>0</v>
      </c>
      <c r="J37" s="76">
        <v>0</v>
      </c>
      <c r="K37" s="76">
        <v>62781.32</v>
      </c>
      <c r="L37" s="76">
        <v>0</v>
      </c>
      <c r="M37" s="170">
        <v>0</v>
      </c>
      <c r="N37" s="170">
        <v>361740.03</v>
      </c>
    </row>
    <row r="38" spans="1:14">
      <c r="A38" s="74" t="s">
        <v>3406</v>
      </c>
      <c r="B38" s="75" t="s">
        <v>3429</v>
      </c>
      <c r="C38" s="76" t="s">
        <v>45</v>
      </c>
      <c r="D38" s="76" t="s">
        <v>19</v>
      </c>
      <c r="E38" s="76">
        <v>30608716390</v>
      </c>
      <c r="F38" s="170">
        <v>14388.43</v>
      </c>
      <c r="G38" s="170">
        <v>0</v>
      </c>
      <c r="H38" s="76">
        <v>0</v>
      </c>
      <c r="I38" s="76">
        <v>0</v>
      </c>
      <c r="J38" s="76">
        <v>0</v>
      </c>
      <c r="K38" s="76">
        <v>3021.57</v>
      </c>
      <c r="L38" s="76">
        <v>0</v>
      </c>
      <c r="M38" s="170">
        <v>0</v>
      </c>
      <c r="N38" s="170">
        <v>17410</v>
      </c>
    </row>
    <row r="39" spans="1:14">
      <c r="A39" s="74" t="s">
        <v>3406</v>
      </c>
      <c r="B39" s="75" t="s">
        <v>3430</v>
      </c>
      <c r="C39" s="76" t="s">
        <v>45</v>
      </c>
      <c r="D39" s="76" t="s">
        <v>19</v>
      </c>
      <c r="E39" s="76">
        <v>30608716390</v>
      </c>
      <c r="F39" s="170">
        <v>35165.29</v>
      </c>
      <c r="G39" s="170">
        <v>0</v>
      </c>
      <c r="H39" s="76">
        <v>0</v>
      </c>
      <c r="I39" s="76">
        <v>0</v>
      </c>
      <c r="J39" s="76">
        <v>0</v>
      </c>
      <c r="K39" s="76">
        <v>7384.71</v>
      </c>
      <c r="L39" s="76">
        <v>0</v>
      </c>
      <c r="M39" s="170">
        <v>0</v>
      </c>
      <c r="N39" s="170">
        <v>42550</v>
      </c>
    </row>
    <row r="40" spans="1:14">
      <c r="A40" s="74" t="s">
        <v>3406</v>
      </c>
      <c r="B40" s="75" t="s">
        <v>3431</v>
      </c>
      <c r="C40" s="76" t="s">
        <v>45</v>
      </c>
      <c r="D40" s="76" t="s">
        <v>19</v>
      </c>
      <c r="E40" s="76">
        <v>30608716390</v>
      </c>
      <c r="F40" s="170">
        <v>48148.76</v>
      </c>
      <c r="G40" s="170">
        <v>0</v>
      </c>
      <c r="H40" s="76">
        <v>0</v>
      </c>
      <c r="I40" s="76">
        <v>0</v>
      </c>
      <c r="J40" s="76">
        <v>0</v>
      </c>
      <c r="K40" s="76">
        <v>10111.24</v>
      </c>
      <c r="L40" s="76">
        <v>0</v>
      </c>
      <c r="M40" s="170">
        <v>0</v>
      </c>
      <c r="N40" s="170">
        <v>58260</v>
      </c>
    </row>
    <row r="41" spans="1:14">
      <c r="A41" s="74" t="s">
        <v>3406</v>
      </c>
      <c r="B41" s="75" t="s">
        <v>3432</v>
      </c>
      <c r="C41" s="76" t="s">
        <v>45</v>
      </c>
      <c r="D41" s="76" t="s">
        <v>19</v>
      </c>
      <c r="E41" s="76">
        <v>30608716390</v>
      </c>
      <c r="F41" s="170">
        <v>14388.43</v>
      </c>
      <c r="G41" s="170">
        <v>0</v>
      </c>
      <c r="H41" s="76">
        <v>0</v>
      </c>
      <c r="I41" s="76">
        <v>0</v>
      </c>
      <c r="J41" s="76">
        <v>0</v>
      </c>
      <c r="K41" s="76">
        <v>3021.57</v>
      </c>
      <c r="L41" s="76">
        <v>0</v>
      </c>
      <c r="M41" s="170">
        <v>0</v>
      </c>
      <c r="N41" s="170">
        <v>17410</v>
      </c>
    </row>
    <row r="42" spans="1:14">
      <c r="A42" s="74" t="s">
        <v>3406</v>
      </c>
      <c r="B42" s="75" t="s">
        <v>3433</v>
      </c>
      <c r="C42" s="76" t="s">
        <v>45</v>
      </c>
      <c r="D42" s="76" t="s">
        <v>19</v>
      </c>
      <c r="E42" s="76">
        <v>30608716390</v>
      </c>
      <c r="F42" s="170">
        <v>17314.05</v>
      </c>
      <c r="G42" s="170">
        <v>0</v>
      </c>
      <c r="H42" s="76">
        <v>0</v>
      </c>
      <c r="I42" s="76">
        <v>0</v>
      </c>
      <c r="J42" s="76">
        <v>0</v>
      </c>
      <c r="K42" s="76">
        <v>3635.95</v>
      </c>
      <c r="L42" s="76">
        <v>0</v>
      </c>
      <c r="M42" s="170">
        <v>0</v>
      </c>
      <c r="N42" s="170">
        <v>20950</v>
      </c>
    </row>
    <row r="43" spans="1:14">
      <c r="A43" s="74" t="s">
        <v>3406</v>
      </c>
      <c r="B43" s="75" t="s">
        <v>3434</v>
      </c>
      <c r="C43" s="76" t="s">
        <v>45</v>
      </c>
      <c r="D43" s="76" t="s">
        <v>19</v>
      </c>
      <c r="E43" s="76">
        <v>30608716390</v>
      </c>
      <c r="F43" s="170">
        <v>47413.22</v>
      </c>
      <c r="G43" s="170">
        <v>0</v>
      </c>
      <c r="H43" s="76">
        <v>0</v>
      </c>
      <c r="I43" s="76">
        <v>0</v>
      </c>
      <c r="J43" s="76">
        <v>0</v>
      </c>
      <c r="K43" s="76">
        <v>9956.7800000000007</v>
      </c>
      <c r="L43" s="76">
        <v>0</v>
      </c>
      <c r="M43" s="170">
        <v>0</v>
      </c>
      <c r="N43" s="170">
        <v>57370</v>
      </c>
    </row>
    <row r="44" spans="1:14">
      <c r="A44" s="74" t="s">
        <v>3435</v>
      </c>
      <c r="B44" s="75" t="s">
        <v>3456</v>
      </c>
      <c r="C44" s="76" t="s">
        <v>45</v>
      </c>
      <c r="D44" s="76" t="s">
        <v>19</v>
      </c>
      <c r="E44" s="76">
        <v>30608716390</v>
      </c>
      <c r="F44" s="170">
        <v>12247.93</v>
      </c>
      <c r="G44" s="170">
        <v>0</v>
      </c>
      <c r="H44" s="76">
        <v>0</v>
      </c>
      <c r="I44" s="76">
        <v>0</v>
      </c>
      <c r="J44" s="76">
        <v>0</v>
      </c>
      <c r="K44" s="76">
        <v>2572.0700000000002</v>
      </c>
      <c r="L44" s="76">
        <v>0</v>
      </c>
      <c r="M44" s="170">
        <v>0</v>
      </c>
      <c r="N44" s="170">
        <v>14820</v>
      </c>
    </row>
    <row r="45" spans="1:14">
      <c r="A45" s="74" t="s">
        <v>3435</v>
      </c>
      <c r="B45" s="75" t="s">
        <v>3457</v>
      </c>
      <c r="C45" s="76" t="s">
        <v>45</v>
      </c>
      <c r="D45" s="76" t="s">
        <v>19</v>
      </c>
      <c r="E45" s="76">
        <v>30608716390</v>
      </c>
      <c r="F45" s="170">
        <v>14388.43</v>
      </c>
      <c r="G45" s="170">
        <v>0</v>
      </c>
      <c r="H45" s="76">
        <v>0</v>
      </c>
      <c r="I45" s="76">
        <v>0</v>
      </c>
      <c r="J45" s="76">
        <v>0</v>
      </c>
      <c r="K45" s="76">
        <v>3021.57</v>
      </c>
      <c r="L45" s="76">
        <v>0</v>
      </c>
      <c r="M45" s="170">
        <v>0</v>
      </c>
      <c r="N45" s="170">
        <v>17410</v>
      </c>
    </row>
    <row r="46" spans="1:14">
      <c r="A46" s="74" t="s">
        <v>3435</v>
      </c>
      <c r="B46" s="75" t="s">
        <v>3458</v>
      </c>
      <c r="C46" s="76" t="s">
        <v>45</v>
      </c>
      <c r="D46" s="76" t="s">
        <v>19</v>
      </c>
      <c r="E46" s="76">
        <v>30608716390</v>
      </c>
      <c r="F46" s="170">
        <v>14388.43</v>
      </c>
      <c r="G46" s="170">
        <v>0</v>
      </c>
      <c r="H46" s="76">
        <v>0</v>
      </c>
      <c r="I46" s="76">
        <v>0</v>
      </c>
      <c r="J46" s="76">
        <v>0</v>
      </c>
      <c r="K46" s="76">
        <v>3021.57</v>
      </c>
      <c r="L46" s="76">
        <v>0</v>
      </c>
      <c r="M46" s="170">
        <v>0</v>
      </c>
      <c r="N46" s="170">
        <v>17410</v>
      </c>
    </row>
    <row r="47" spans="1:14">
      <c r="A47" s="74" t="s">
        <v>3435</v>
      </c>
      <c r="B47" s="75" t="s">
        <v>3459</v>
      </c>
      <c r="C47" s="76" t="s">
        <v>45</v>
      </c>
      <c r="D47" s="76" t="s">
        <v>19</v>
      </c>
      <c r="E47" s="76">
        <v>30608716390</v>
      </c>
      <c r="F47" s="170">
        <v>14388.43</v>
      </c>
      <c r="G47" s="170">
        <v>0</v>
      </c>
      <c r="H47" s="76">
        <v>0</v>
      </c>
      <c r="I47" s="76">
        <v>0</v>
      </c>
      <c r="J47" s="76">
        <v>0</v>
      </c>
      <c r="K47" s="76">
        <v>3021.57</v>
      </c>
      <c r="L47" s="76">
        <v>0</v>
      </c>
      <c r="M47" s="170">
        <v>0</v>
      </c>
      <c r="N47" s="170">
        <v>17410</v>
      </c>
    </row>
    <row r="48" spans="1:14">
      <c r="A48" s="74" t="s">
        <v>3435</v>
      </c>
      <c r="B48" s="75" t="s">
        <v>3460</v>
      </c>
      <c r="C48" s="76" t="s">
        <v>45</v>
      </c>
      <c r="D48" s="76" t="s">
        <v>19</v>
      </c>
      <c r="E48" s="76">
        <v>30608716390</v>
      </c>
      <c r="F48" s="170">
        <v>20776.86</v>
      </c>
      <c r="G48" s="170">
        <v>0</v>
      </c>
      <c r="H48" s="76">
        <v>0</v>
      </c>
      <c r="I48" s="76">
        <v>0</v>
      </c>
      <c r="J48" s="76">
        <v>0</v>
      </c>
      <c r="K48" s="76">
        <v>4363.1400000000003</v>
      </c>
      <c r="L48" s="76">
        <v>0</v>
      </c>
      <c r="M48" s="170">
        <v>0</v>
      </c>
      <c r="N48" s="170">
        <v>25140</v>
      </c>
    </row>
    <row r="49" spans="1:14">
      <c r="A49" s="74" t="s">
        <v>3435</v>
      </c>
      <c r="B49" s="75" t="s">
        <v>3461</v>
      </c>
      <c r="C49" s="76" t="s">
        <v>45</v>
      </c>
      <c r="D49" s="76" t="s">
        <v>19</v>
      </c>
      <c r="E49" s="76">
        <v>30608716390</v>
      </c>
      <c r="F49" s="170">
        <v>7194.22</v>
      </c>
      <c r="G49" s="170">
        <v>0</v>
      </c>
      <c r="H49" s="76">
        <v>0</v>
      </c>
      <c r="I49" s="76">
        <v>0</v>
      </c>
      <c r="J49" s="76">
        <v>0</v>
      </c>
      <c r="K49" s="76">
        <v>1510.79</v>
      </c>
      <c r="L49" s="76">
        <v>0</v>
      </c>
      <c r="M49" s="170">
        <v>0</v>
      </c>
      <c r="N49" s="170">
        <v>8705.01</v>
      </c>
    </row>
    <row r="50" spans="1:14">
      <c r="A50" s="74" t="s">
        <v>3435</v>
      </c>
      <c r="B50" s="75" t="s">
        <v>3462</v>
      </c>
      <c r="C50" s="76" t="s">
        <v>84</v>
      </c>
      <c r="D50" s="76" t="s">
        <v>19</v>
      </c>
      <c r="E50" s="76">
        <v>30546771314</v>
      </c>
      <c r="F50" s="170">
        <v>186611.57</v>
      </c>
      <c r="G50" s="170">
        <v>0</v>
      </c>
      <c r="H50" s="76">
        <v>0</v>
      </c>
      <c r="I50" s="76">
        <v>0</v>
      </c>
      <c r="J50" s="76">
        <v>0</v>
      </c>
      <c r="K50" s="76">
        <v>39188.43</v>
      </c>
      <c r="L50" s="76">
        <v>0</v>
      </c>
      <c r="M50" s="170">
        <v>0</v>
      </c>
      <c r="N50" s="170">
        <v>225800</v>
      </c>
    </row>
    <row r="51" spans="1:14">
      <c r="A51" s="74" t="s">
        <v>3435</v>
      </c>
      <c r="B51" s="75" t="s">
        <v>3463</v>
      </c>
      <c r="C51" s="76" t="s">
        <v>1216</v>
      </c>
      <c r="D51" s="76" t="s">
        <v>19</v>
      </c>
      <c r="E51" s="76">
        <v>30590412631</v>
      </c>
      <c r="F51" s="170">
        <v>69834.710000000006</v>
      </c>
      <c r="G51" s="170">
        <v>0</v>
      </c>
      <c r="H51" s="76">
        <v>0</v>
      </c>
      <c r="I51" s="76">
        <v>0</v>
      </c>
      <c r="J51" s="76">
        <v>0</v>
      </c>
      <c r="K51" s="76">
        <v>14665.29</v>
      </c>
      <c r="L51" s="76">
        <v>0</v>
      </c>
      <c r="M51" s="170">
        <v>0</v>
      </c>
      <c r="N51" s="170">
        <v>84500</v>
      </c>
    </row>
    <row r="52" spans="1:14">
      <c r="A52" s="74" t="s">
        <v>3435</v>
      </c>
      <c r="B52" s="75" t="s">
        <v>3464</v>
      </c>
      <c r="C52" s="76" t="s">
        <v>1216</v>
      </c>
      <c r="D52" s="76" t="s">
        <v>19</v>
      </c>
      <c r="E52" s="76">
        <v>30590412631</v>
      </c>
      <c r="F52" s="170">
        <v>86776.86</v>
      </c>
      <c r="G52" s="170">
        <v>0</v>
      </c>
      <c r="H52" s="76">
        <v>0</v>
      </c>
      <c r="I52" s="76">
        <v>0</v>
      </c>
      <c r="J52" s="76">
        <v>0</v>
      </c>
      <c r="K52" s="76">
        <v>18223.14</v>
      </c>
      <c r="L52" s="76">
        <v>0</v>
      </c>
      <c r="M52" s="170">
        <v>0</v>
      </c>
      <c r="N52" s="170">
        <v>105000</v>
      </c>
    </row>
    <row r="53" spans="1:14">
      <c r="A53" s="74" t="s">
        <v>3470</v>
      </c>
      <c r="B53" s="75" t="s">
        <v>3487</v>
      </c>
      <c r="C53" s="76" t="s">
        <v>76</v>
      </c>
      <c r="D53" s="76" t="s">
        <v>19</v>
      </c>
      <c r="E53" s="76">
        <v>30606274161</v>
      </c>
      <c r="F53" s="170">
        <v>278123.97000000003</v>
      </c>
      <c r="G53" s="170">
        <v>0</v>
      </c>
      <c r="H53" s="76">
        <v>0</v>
      </c>
      <c r="I53" s="76">
        <v>0</v>
      </c>
      <c r="J53" s="76">
        <v>0</v>
      </c>
      <c r="K53" s="76">
        <v>58406.03</v>
      </c>
      <c r="L53" s="76">
        <v>0</v>
      </c>
      <c r="M53" s="170">
        <v>0</v>
      </c>
      <c r="N53" s="170">
        <v>336530</v>
      </c>
    </row>
    <row r="54" spans="1:14">
      <c r="A54" s="74" t="s">
        <v>3470</v>
      </c>
      <c r="B54" s="75" t="s">
        <v>3488</v>
      </c>
      <c r="C54" s="76" t="s">
        <v>78</v>
      </c>
      <c r="D54" s="76" t="s">
        <v>19</v>
      </c>
      <c r="E54" s="76">
        <v>30712529721</v>
      </c>
      <c r="F54" s="170">
        <v>44347.11</v>
      </c>
      <c r="G54" s="170">
        <v>0</v>
      </c>
      <c r="H54" s="76">
        <v>0</v>
      </c>
      <c r="I54" s="76">
        <v>0</v>
      </c>
      <c r="J54" s="76">
        <v>0</v>
      </c>
      <c r="K54" s="76">
        <v>9312.89</v>
      </c>
      <c r="L54" s="76">
        <v>0</v>
      </c>
      <c r="M54" s="170">
        <v>0</v>
      </c>
      <c r="N54" s="170">
        <v>53660</v>
      </c>
    </row>
    <row r="55" spans="1:14">
      <c r="A55" s="74" t="s">
        <v>3470</v>
      </c>
      <c r="B55" s="75" t="s">
        <v>3489</v>
      </c>
      <c r="C55" s="76" t="s">
        <v>1981</v>
      </c>
      <c r="D55" s="76" t="s">
        <v>19</v>
      </c>
      <c r="E55" s="76">
        <v>30712136754</v>
      </c>
      <c r="F55" s="170">
        <v>89509.64</v>
      </c>
      <c r="G55" s="170">
        <v>0</v>
      </c>
      <c r="H55" s="76">
        <v>0</v>
      </c>
      <c r="I55" s="76">
        <v>0</v>
      </c>
      <c r="J55" s="76">
        <v>0</v>
      </c>
      <c r="K55" s="76">
        <v>18797.02</v>
      </c>
      <c r="L55" s="76">
        <v>0</v>
      </c>
      <c r="M55" s="170">
        <v>0</v>
      </c>
      <c r="N55" s="170">
        <v>108306.66</v>
      </c>
    </row>
    <row r="56" spans="1:14">
      <c r="A56" s="74" t="s">
        <v>3493</v>
      </c>
      <c r="B56" s="75" t="s">
        <v>3505</v>
      </c>
      <c r="C56" s="76" t="s">
        <v>36</v>
      </c>
      <c r="D56" s="76" t="s">
        <v>19</v>
      </c>
      <c r="E56" s="76">
        <v>30683032227</v>
      </c>
      <c r="F56" s="170">
        <v>370247.93</v>
      </c>
      <c r="G56" s="170">
        <v>0</v>
      </c>
      <c r="H56" s="76">
        <v>0</v>
      </c>
      <c r="I56" s="76">
        <v>0</v>
      </c>
      <c r="J56" s="76">
        <v>0</v>
      </c>
      <c r="K56" s="76">
        <v>77752.070000000007</v>
      </c>
      <c r="L56" s="76">
        <v>0</v>
      </c>
      <c r="M56" s="170">
        <v>0</v>
      </c>
      <c r="N56" s="170">
        <v>448000</v>
      </c>
    </row>
    <row r="57" spans="1:14">
      <c r="A57" s="74" t="s">
        <v>3493</v>
      </c>
      <c r="B57" s="75" t="s">
        <v>3506</v>
      </c>
      <c r="C57" s="76" t="s">
        <v>84</v>
      </c>
      <c r="D57" s="76" t="s">
        <v>19</v>
      </c>
      <c r="E57" s="76">
        <v>30546771314</v>
      </c>
      <c r="F57" s="170">
        <v>51239.67</v>
      </c>
      <c r="G57" s="170">
        <v>0</v>
      </c>
      <c r="H57" s="76">
        <v>0</v>
      </c>
      <c r="I57" s="76">
        <v>0</v>
      </c>
      <c r="J57" s="76">
        <v>0</v>
      </c>
      <c r="K57" s="76">
        <v>10760.34</v>
      </c>
      <c r="L57" s="76">
        <v>0</v>
      </c>
      <c r="M57" s="170">
        <v>0</v>
      </c>
      <c r="N57" s="170">
        <v>62000.01</v>
      </c>
    </row>
    <row r="58" spans="1:14">
      <c r="A58" s="74" t="s">
        <v>3547</v>
      </c>
      <c r="B58" s="75" t="s">
        <v>3577</v>
      </c>
      <c r="C58" s="76" t="s">
        <v>45</v>
      </c>
      <c r="D58" s="76" t="s">
        <v>19</v>
      </c>
      <c r="E58" s="76">
        <v>30608716390</v>
      </c>
      <c r="F58" s="170">
        <v>7194.22</v>
      </c>
      <c r="G58" s="170">
        <v>0</v>
      </c>
      <c r="H58" s="76">
        <v>0</v>
      </c>
      <c r="I58" s="76">
        <v>0</v>
      </c>
      <c r="J58" s="76">
        <v>0</v>
      </c>
      <c r="K58" s="76">
        <v>1510.79</v>
      </c>
      <c r="L58" s="76">
        <v>0</v>
      </c>
      <c r="M58" s="170">
        <v>0</v>
      </c>
      <c r="N58" s="170">
        <v>8705.01</v>
      </c>
    </row>
    <row r="59" spans="1:14">
      <c r="A59" s="74" t="s">
        <v>3547</v>
      </c>
      <c r="B59" s="75" t="s">
        <v>3578</v>
      </c>
      <c r="C59" s="76" t="s">
        <v>45</v>
      </c>
      <c r="D59" s="76" t="s">
        <v>19</v>
      </c>
      <c r="E59" s="76">
        <v>30608716390</v>
      </c>
      <c r="F59" s="170">
        <v>6123.97</v>
      </c>
      <c r="G59" s="170">
        <v>0</v>
      </c>
      <c r="H59" s="76">
        <v>0</v>
      </c>
      <c r="I59" s="76">
        <v>0</v>
      </c>
      <c r="J59" s="76">
        <v>0</v>
      </c>
      <c r="K59" s="76">
        <v>1286.03</v>
      </c>
      <c r="L59" s="76">
        <v>0</v>
      </c>
      <c r="M59" s="170">
        <v>0</v>
      </c>
      <c r="N59" s="170">
        <v>7410</v>
      </c>
    </row>
    <row r="60" spans="1:14">
      <c r="A60" s="74" t="s">
        <v>3583</v>
      </c>
      <c r="B60" s="75" t="s">
        <v>3601</v>
      </c>
      <c r="C60" s="76" t="s">
        <v>80</v>
      </c>
      <c r="D60" s="76" t="s">
        <v>19</v>
      </c>
      <c r="E60" s="76">
        <v>30707612971</v>
      </c>
      <c r="F60" s="170">
        <v>49371.9</v>
      </c>
      <c r="G60" s="170">
        <v>0</v>
      </c>
      <c r="H60" s="76">
        <v>0</v>
      </c>
      <c r="I60" s="76">
        <v>0</v>
      </c>
      <c r="J60" s="76">
        <v>0</v>
      </c>
      <c r="K60" s="76">
        <v>10368.1</v>
      </c>
      <c r="L60" s="76">
        <v>0</v>
      </c>
      <c r="M60" s="170">
        <v>0</v>
      </c>
      <c r="N60" s="170">
        <v>59740</v>
      </c>
    </row>
    <row r="61" spans="1:14">
      <c r="A61" s="74" t="s">
        <v>3583</v>
      </c>
      <c r="B61" s="75" t="s">
        <v>3602</v>
      </c>
      <c r="C61" s="76" t="s">
        <v>2634</v>
      </c>
      <c r="D61" s="76" t="s">
        <v>19</v>
      </c>
      <c r="E61" s="76">
        <v>30522428163</v>
      </c>
      <c r="F61" s="170">
        <v>278512.39</v>
      </c>
      <c r="G61" s="170">
        <v>0</v>
      </c>
      <c r="H61" s="76">
        <v>0</v>
      </c>
      <c r="I61" s="76">
        <v>0</v>
      </c>
      <c r="J61" s="76">
        <v>0</v>
      </c>
      <c r="K61" s="76">
        <v>58487.61</v>
      </c>
      <c r="L61" s="76">
        <v>0</v>
      </c>
      <c r="M61" s="170">
        <v>0</v>
      </c>
      <c r="N61" s="170">
        <v>337000</v>
      </c>
    </row>
    <row r="62" spans="1:14">
      <c r="A62" s="74" t="s">
        <v>3376</v>
      </c>
      <c r="B62" s="75" t="s">
        <v>3398</v>
      </c>
      <c r="C62" s="76" t="s">
        <v>1694</v>
      </c>
      <c r="D62" s="76" t="s">
        <v>19</v>
      </c>
      <c r="E62" s="76">
        <v>30604958640</v>
      </c>
      <c r="F62" s="170">
        <v>-370734.07</v>
      </c>
      <c r="G62" s="170">
        <v>0</v>
      </c>
      <c r="H62" s="76">
        <v>0</v>
      </c>
      <c r="I62" s="76">
        <v>0</v>
      </c>
      <c r="J62" s="76">
        <v>0</v>
      </c>
      <c r="K62" s="76">
        <v>-77854.150000000009</v>
      </c>
      <c r="L62" s="76">
        <v>0</v>
      </c>
      <c r="M62" s="170">
        <v>0</v>
      </c>
      <c r="N62" s="170">
        <v>-448588.22</v>
      </c>
    </row>
    <row r="63" spans="1:14">
      <c r="A63" s="74" t="s">
        <v>3406</v>
      </c>
      <c r="B63" s="75" t="s">
        <v>3428</v>
      </c>
      <c r="C63" s="76" t="s">
        <v>45</v>
      </c>
      <c r="D63" s="76" t="s">
        <v>19</v>
      </c>
      <c r="E63" s="76">
        <v>30608716390</v>
      </c>
      <c r="F63" s="170">
        <v>-14388.43</v>
      </c>
      <c r="G63" s="170">
        <v>0</v>
      </c>
      <c r="H63" s="76">
        <v>0</v>
      </c>
      <c r="I63" s="76">
        <v>0</v>
      </c>
      <c r="J63" s="76">
        <v>0</v>
      </c>
      <c r="K63" s="76">
        <v>-3021.57</v>
      </c>
      <c r="L63" s="76">
        <v>0</v>
      </c>
      <c r="M63" s="170">
        <v>0</v>
      </c>
      <c r="N63" s="170">
        <v>-17410</v>
      </c>
    </row>
    <row r="64" spans="1:14">
      <c r="A64" s="74" t="s">
        <v>3700</v>
      </c>
      <c r="B64" s="75" t="s">
        <v>3721</v>
      </c>
      <c r="C64" s="76" t="s">
        <v>2634</v>
      </c>
      <c r="D64" s="76" t="s">
        <v>19</v>
      </c>
      <c r="E64" s="76">
        <v>30522428163</v>
      </c>
      <c r="F64" s="170">
        <v>-25404.87</v>
      </c>
      <c r="G64" s="170">
        <v>0</v>
      </c>
      <c r="H64" s="76">
        <v>0</v>
      </c>
      <c r="I64" s="76">
        <v>0</v>
      </c>
      <c r="J64" s="76">
        <v>0</v>
      </c>
      <c r="K64" s="76">
        <v>-5335.02</v>
      </c>
      <c r="L64" s="76">
        <v>0</v>
      </c>
      <c r="M64" s="170">
        <v>0</v>
      </c>
      <c r="N64" s="170">
        <v>-30739.89</v>
      </c>
    </row>
    <row r="65" spans="1:14" ht="15.75" thickBot="1">
      <c r="A65" s="74"/>
      <c r="B65" s="75"/>
      <c r="C65" s="76"/>
      <c r="D65" s="76"/>
      <c r="E65" s="76"/>
      <c r="F65" s="173">
        <f>SUM(F25:F64)</f>
        <v>4510808.45</v>
      </c>
      <c r="G65" s="170"/>
      <c r="H65" s="76"/>
      <c r="I65" s="76"/>
      <c r="J65" s="76"/>
      <c r="K65" s="174">
        <f>SUM(K25:K64)</f>
        <v>947269.78999999969</v>
      </c>
      <c r="L65" s="76"/>
      <c r="M65" s="170"/>
      <c r="N65" s="173">
        <f>SUM(N25:N64)</f>
        <v>5458078.2400000002</v>
      </c>
    </row>
    <row r="66" spans="1:14" ht="15.75" thickBot="1">
      <c r="A66" s="167" t="s">
        <v>3245</v>
      </c>
      <c r="B66" s="168"/>
      <c r="C66" s="6"/>
      <c r="D66" s="6"/>
      <c r="E66" s="6"/>
      <c r="F66" s="18"/>
      <c r="G66" s="18"/>
      <c r="H66" s="6"/>
      <c r="I66" s="6"/>
      <c r="J66" s="6"/>
      <c r="K66" s="6"/>
      <c r="L66" s="6"/>
      <c r="M66" s="18"/>
      <c r="N66" s="18"/>
    </row>
    <row r="67" spans="1:14" hidden="1">
      <c r="A67" s="74" t="s">
        <v>3248</v>
      </c>
      <c r="B67" s="75" t="s">
        <v>3249</v>
      </c>
      <c r="C67" s="76" t="s">
        <v>134</v>
      </c>
      <c r="D67" s="76" t="s">
        <v>135</v>
      </c>
      <c r="E67" s="76" t="s">
        <v>136</v>
      </c>
      <c r="F67" s="170">
        <v>8264.4600000000009</v>
      </c>
      <c r="G67" s="170">
        <v>0</v>
      </c>
      <c r="H67" s="76">
        <v>0</v>
      </c>
      <c r="I67" s="76">
        <v>0</v>
      </c>
      <c r="J67" s="76">
        <v>0</v>
      </c>
      <c r="K67" s="76">
        <v>1735.54</v>
      </c>
      <c r="L67" s="76">
        <v>0</v>
      </c>
      <c r="M67" s="170">
        <v>0</v>
      </c>
      <c r="N67" s="170">
        <v>10000</v>
      </c>
    </row>
    <row r="68" spans="1:14" hidden="1">
      <c r="A68" s="74" t="s">
        <v>3248</v>
      </c>
      <c r="B68" s="75" t="s">
        <v>3250</v>
      </c>
      <c r="C68" s="76" t="s">
        <v>134</v>
      </c>
      <c r="D68" s="76" t="s">
        <v>135</v>
      </c>
      <c r="E68" s="76" t="s">
        <v>136</v>
      </c>
      <c r="F68" s="170">
        <v>16363.640000000001</v>
      </c>
      <c r="G68" s="170">
        <v>0</v>
      </c>
      <c r="H68" s="76">
        <v>0</v>
      </c>
      <c r="I68" s="76">
        <v>0</v>
      </c>
      <c r="J68" s="76">
        <v>0</v>
      </c>
      <c r="K68" s="76">
        <v>3436.36</v>
      </c>
      <c r="L68" s="76">
        <v>0</v>
      </c>
      <c r="M68" s="170">
        <v>0</v>
      </c>
      <c r="N68" s="170">
        <v>19800</v>
      </c>
    </row>
    <row r="69" spans="1:14">
      <c r="A69" s="74" t="s">
        <v>3248</v>
      </c>
      <c r="B69" s="75" t="s">
        <v>3251</v>
      </c>
      <c r="C69" s="76" t="s">
        <v>3252</v>
      </c>
      <c r="D69" s="76" t="s">
        <v>135</v>
      </c>
      <c r="E69" s="76">
        <v>4299928</v>
      </c>
      <c r="F69" s="170">
        <v>41322.31</v>
      </c>
      <c r="G69" s="170">
        <v>0</v>
      </c>
      <c r="H69" s="76">
        <v>0</v>
      </c>
      <c r="I69" s="76">
        <v>0</v>
      </c>
      <c r="J69" s="76">
        <v>0</v>
      </c>
      <c r="K69" s="76">
        <v>8677.69</v>
      </c>
      <c r="L69" s="76">
        <v>0</v>
      </c>
      <c r="M69" s="170">
        <v>0</v>
      </c>
      <c r="N69" s="170">
        <v>50000</v>
      </c>
    </row>
    <row r="70" spans="1:14" hidden="1">
      <c r="A70" s="74" t="s">
        <v>3248</v>
      </c>
      <c r="B70" s="75" t="s">
        <v>3253</v>
      </c>
      <c r="C70" s="76" t="s">
        <v>134</v>
      </c>
      <c r="D70" s="76" t="s">
        <v>135</v>
      </c>
      <c r="E70" s="76" t="s">
        <v>136</v>
      </c>
      <c r="F70" s="170">
        <v>10743.8</v>
      </c>
      <c r="G70" s="170">
        <v>0</v>
      </c>
      <c r="H70" s="76">
        <v>0</v>
      </c>
      <c r="I70" s="76">
        <v>0</v>
      </c>
      <c r="J70" s="76">
        <v>0</v>
      </c>
      <c r="K70" s="76">
        <v>2256.2000000000003</v>
      </c>
      <c r="L70" s="76">
        <v>0</v>
      </c>
      <c r="M70" s="170">
        <v>0</v>
      </c>
      <c r="N70" s="170">
        <v>13000</v>
      </c>
    </row>
    <row r="71" spans="1:14" hidden="1">
      <c r="A71" s="74" t="s">
        <v>3248</v>
      </c>
      <c r="B71" s="75" t="s">
        <v>3254</v>
      </c>
      <c r="C71" s="76" t="s">
        <v>134</v>
      </c>
      <c r="D71" s="76" t="s">
        <v>135</v>
      </c>
      <c r="E71" s="76" t="s">
        <v>136</v>
      </c>
      <c r="F71" s="170">
        <v>29338.84</v>
      </c>
      <c r="G71" s="170">
        <v>0</v>
      </c>
      <c r="H71" s="76">
        <v>0</v>
      </c>
      <c r="I71" s="76">
        <v>0</v>
      </c>
      <c r="J71" s="76">
        <v>0</v>
      </c>
      <c r="K71" s="76">
        <v>6161.16</v>
      </c>
      <c r="L71" s="76">
        <v>0</v>
      </c>
      <c r="M71" s="170">
        <v>0</v>
      </c>
      <c r="N71" s="170">
        <v>35500</v>
      </c>
    </row>
    <row r="72" spans="1:14" hidden="1">
      <c r="A72" s="74" t="s">
        <v>3248</v>
      </c>
      <c r="B72" s="75" t="s">
        <v>3255</v>
      </c>
      <c r="C72" s="76" t="s">
        <v>134</v>
      </c>
      <c r="D72" s="76" t="s">
        <v>135</v>
      </c>
      <c r="E72" s="76" t="s">
        <v>136</v>
      </c>
      <c r="F72" s="170">
        <v>24380.17</v>
      </c>
      <c r="G72" s="170">
        <v>0</v>
      </c>
      <c r="H72" s="76">
        <v>0</v>
      </c>
      <c r="I72" s="76">
        <v>0</v>
      </c>
      <c r="J72" s="76">
        <v>0</v>
      </c>
      <c r="K72" s="76">
        <v>5119.83</v>
      </c>
      <c r="L72" s="76">
        <v>0</v>
      </c>
      <c r="M72" s="170">
        <v>0</v>
      </c>
      <c r="N72" s="170">
        <v>29500</v>
      </c>
    </row>
    <row r="73" spans="1:14">
      <c r="A73" s="74" t="s">
        <v>3248</v>
      </c>
      <c r="B73" s="75" t="s">
        <v>3256</v>
      </c>
      <c r="C73" s="76" t="s">
        <v>3257</v>
      </c>
      <c r="D73" s="76" t="s">
        <v>135</v>
      </c>
      <c r="E73" s="76">
        <v>10390061</v>
      </c>
      <c r="F73" s="170">
        <v>29752.07</v>
      </c>
      <c r="G73" s="170">
        <v>0</v>
      </c>
      <c r="H73" s="76">
        <v>0</v>
      </c>
      <c r="I73" s="76">
        <v>0</v>
      </c>
      <c r="J73" s="76">
        <v>0</v>
      </c>
      <c r="K73" s="76">
        <v>6247.93</v>
      </c>
      <c r="L73" s="76">
        <v>0</v>
      </c>
      <c r="M73" s="170">
        <v>0</v>
      </c>
      <c r="N73" s="170">
        <v>36000</v>
      </c>
    </row>
    <row r="74" spans="1:14" hidden="1">
      <c r="A74" s="74" t="s">
        <v>3248</v>
      </c>
      <c r="B74" s="75" t="s">
        <v>3258</v>
      </c>
      <c r="C74" s="76" t="s">
        <v>134</v>
      </c>
      <c r="D74" s="76" t="s">
        <v>135</v>
      </c>
      <c r="E74" s="76" t="s">
        <v>136</v>
      </c>
      <c r="F74" s="170">
        <v>13884.3</v>
      </c>
      <c r="G74" s="170">
        <v>0</v>
      </c>
      <c r="H74" s="76">
        <v>0</v>
      </c>
      <c r="I74" s="76">
        <v>0</v>
      </c>
      <c r="J74" s="76">
        <v>0</v>
      </c>
      <c r="K74" s="76">
        <v>2915.7</v>
      </c>
      <c r="L74" s="76">
        <v>0</v>
      </c>
      <c r="M74" s="170">
        <v>0</v>
      </c>
      <c r="N74" s="170">
        <v>16800</v>
      </c>
    </row>
    <row r="75" spans="1:14" hidden="1">
      <c r="A75" s="74" t="s">
        <v>3248</v>
      </c>
      <c r="B75" s="75" t="s">
        <v>3259</v>
      </c>
      <c r="C75" s="76" t="s">
        <v>134</v>
      </c>
      <c r="D75" s="76" t="s">
        <v>135</v>
      </c>
      <c r="E75" s="76" t="s">
        <v>136</v>
      </c>
      <c r="F75" s="170">
        <v>14669.42</v>
      </c>
      <c r="G75" s="170">
        <v>0</v>
      </c>
      <c r="H75" s="76">
        <v>0</v>
      </c>
      <c r="I75" s="76">
        <v>0</v>
      </c>
      <c r="J75" s="76">
        <v>0</v>
      </c>
      <c r="K75" s="76">
        <v>3080.58</v>
      </c>
      <c r="L75" s="76">
        <v>0</v>
      </c>
      <c r="M75" s="170">
        <v>0</v>
      </c>
      <c r="N75" s="170">
        <v>17750</v>
      </c>
    </row>
    <row r="76" spans="1:14" hidden="1">
      <c r="A76" s="74" t="s">
        <v>3248</v>
      </c>
      <c r="B76" s="75" t="s">
        <v>3260</v>
      </c>
      <c r="C76" s="76" t="s">
        <v>134</v>
      </c>
      <c r="D76" s="76" t="s">
        <v>135</v>
      </c>
      <c r="E76" s="76" t="s">
        <v>136</v>
      </c>
      <c r="F76" s="170">
        <v>29338.84</v>
      </c>
      <c r="G76" s="170">
        <v>0</v>
      </c>
      <c r="H76" s="76">
        <v>0</v>
      </c>
      <c r="I76" s="76">
        <v>0</v>
      </c>
      <c r="J76" s="76">
        <v>0</v>
      </c>
      <c r="K76" s="76">
        <v>6161.16</v>
      </c>
      <c r="L76" s="76">
        <v>0</v>
      </c>
      <c r="M76" s="170">
        <v>0</v>
      </c>
      <c r="N76" s="170">
        <v>35500</v>
      </c>
    </row>
    <row r="77" spans="1:14" hidden="1">
      <c r="A77" s="74" t="s">
        <v>3248</v>
      </c>
      <c r="B77" s="75" t="s">
        <v>3261</v>
      </c>
      <c r="C77" s="76" t="s">
        <v>134</v>
      </c>
      <c r="D77" s="76" t="s">
        <v>135</v>
      </c>
      <c r="E77" s="76" t="s">
        <v>136</v>
      </c>
      <c r="F77" s="170">
        <v>99173.55</v>
      </c>
      <c r="G77" s="170">
        <v>0</v>
      </c>
      <c r="H77" s="76">
        <v>0</v>
      </c>
      <c r="I77" s="76">
        <v>0</v>
      </c>
      <c r="J77" s="76">
        <v>0</v>
      </c>
      <c r="K77" s="76">
        <v>20826.45</v>
      </c>
      <c r="L77" s="76">
        <v>0</v>
      </c>
      <c r="M77" s="170">
        <v>0</v>
      </c>
      <c r="N77" s="170">
        <v>120000</v>
      </c>
    </row>
    <row r="78" spans="1:14" hidden="1">
      <c r="A78" s="74" t="s">
        <v>3248</v>
      </c>
      <c r="B78" s="75" t="s">
        <v>3262</v>
      </c>
      <c r="C78" s="76" t="s">
        <v>134</v>
      </c>
      <c r="D78" s="76" t="s">
        <v>135</v>
      </c>
      <c r="E78" s="76" t="s">
        <v>136</v>
      </c>
      <c r="F78" s="170">
        <v>10743.8</v>
      </c>
      <c r="G78" s="170">
        <v>0</v>
      </c>
      <c r="H78" s="76">
        <v>0</v>
      </c>
      <c r="I78" s="76">
        <v>0</v>
      </c>
      <c r="J78" s="76">
        <v>0</v>
      </c>
      <c r="K78" s="76">
        <v>2256.2000000000003</v>
      </c>
      <c r="L78" s="76">
        <v>0</v>
      </c>
      <c r="M78" s="170">
        <v>0</v>
      </c>
      <c r="N78" s="170">
        <v>13000</v>
      </c>
    </row>
    <row r="79" spans="1:14" hidden="1">
      <c r="A79" s="74" t="s">
        <v>3248</v>
      </c>
      <c r="B79" s="75" t="s">
        <v>3263</v>
      </c>
      <c r="C79" s="76" t="s">
        <v>134</v>
      </c>
      <c r="D79" s="76" t="s">
        <v>135</v>
      </c>
      <c r="E79" s="76" t="s">
        <v>136</v>
      </c>
      <c r="F79" s="170">
        <v>14669.42</v>
      </c>
      <c r="G79" s="170">
        <v>0</v>
      </c>
      <c r="H79" s="76">
        <v>0</v>
      </c>
      <c r="I79" s="76">
        <v>0</v>
      </c>
      <c r="J79" s="76">
        <v>0</v>
      </c>
      <c r="K79" s="76">
        <v>3080.58</v>
      </c>
      <c r="L79" s="76">
        <v>0</v>
      </c>
      <c r="M79" s="170">
        <v>0</v>
      </c>
      <c r="N79" s="170">
        <v>17750</v>
      </c>
    </row>
    <row r="80" spans="1:14" hidden="1">
      <c r="A80" s="74" t="s">
        <v>3248</v>
      </c>
      <c r="B80" s="75" t="s">
        <v>3264</v>
      </c>
      <c r="C80" s="76" t="s">
        <v>134</v>
      </c>
      <c r="D80" s="76" t="s">
        <v>135</v>
      </c>
      <c r="E80" s="76" t="s">
        <v>136</v>
      </c>
      <c r="F80" s="170">
        <v>9256.2000000000007</v>
      </c>
      <c r="G80" s="170">
        <v>0</v>
      </c>
      <c r="H80" s="76">
        <v>0</v>
      </c>
      <c r="I80" s="76">
        <v>0</v>
      </c>
      <c r="J80" s="76">
        <v>0</v>
      </c>
      <c r="K80" s="76">
        <v>1943.8</v>
      </c>
      <c r="L80" s="76">
        <v>0</v>
      </c>
      <c r="M80" s="170">
        <v>0</v>
      </c>
      <c r="N80" s="170">
        <v>11200</v>
      </c>
    </row>
    <row r="81" spans="1:14" hidden="1">
      <c r="A81" s="74" t="s">
        <v>3248</v>
      </c>
      <c r="B81" s="75" t="s">
        <v>3265</v>
      </c>
      <c r="C81" s="76" t="s">
        <v>134</v>
      </c>
      <c r="D81" s="76" t="s">
        <v>135</v>
      </c>
      <c r="E81" s="76" t="s">
        <v>136</v>
      </c>
      <c r="F81" s="170">
        <v>10661.16</v>
      </c>
      <c r="G81" s="170">
        <v>0</v>
      </c>
      <c r="H81" s="76">
        <v>0</v>
      </c>
      <c r="I81" s="76">
        <v>0</v>
      </c>
      <c r="J81" s="76">
        <v>0</v>
      </c>
      <c r="K81" s="76">
        <v>2238.84</v>
      </c>
      <c r="L81" s="76">
        <v>0</v>
      </c>
      <c r="M81" s="170">
        <v>0</v>
      </c>
      <c r="N81" s="170">
        <v>12900</v>
      </c>
    </row>
    <row r="82" spans="1:14" hidden="1">
      <c r="A82" s="74" t="s">
        <v>3248</v>
      </c>
      <c r="B82" s="75" t="s">
        <v>3266</v>
      </c>
      <c r="C82" s="76" t="s">
        <v>134</v>
      </c>
      <c r="D82" s="76" t="s">
        <v>135</v>
      </c>
      <c r="E82" s="76" t="s">
        <v>136</v>
      </c>
      <c r="F82" s="170">
        <v>10743.8</v>
      </c>
      <c r="G82" s="170">
        <v>0</v>
      </c>
      <c r="H82" s="76">
        <v>0</v>
      </c>
      <c r="I82" s="76">
        <v>0</v>
      </c>
      <c r="J82" s="76">
        <v>0</v>
      </c>
      <c r="K82" s="76">
        <v>2256.2000000000003</v>
      </c>
      <c r="L82" s="76">
        <v>0</v>
      </c>
      <c r="M82" s="170">
        <v>0</v>
      </c>
      <c r="N82" s="170">
        <v>13000</v>
      </c>
    </row>
    <row r="83" spans="1:14" hidden="1">
      <c r="A83" s="74" t="s">
        <v>3248</v>
      </c>
      <c r="B83" s="75" t="s">
        <v>3267</v>
      </c>
      <c r="C83" s="76" t="s">
        <v>134</v>
      </c>
      <c r="D83" s="76" t="s">
        <v>135</v>
      </c>
      <c r="E83" s="76" t="s">
        <v>136</v>
      </c>
      <c r="F83" s="170">
        <v>14876.03</v>
      </c>
      <c r="G83" s="170">
        <v>0</v>
      </c>
      <c r="H83" s="76">
        <v>0</v>
      </c>
      <c r="I83" s="76">
        <v>0</v>
      </c>
      <c r="J83" s="76">
        <v>0</v>
      </c>
      <c r="K83" s="76">
        <v>3123.97</v>
      </c>
      <c r="L83" s="76">
        <v>0</v>
      </c>
      <c r="M83" s="170">
        <v>0</v>
      </c>
      <c r="N83" s="170">
        <v>18000</v>
      </c>
    </row>
    <row r="84" spans="1:14" hidden="1">
      <c r="A84" s="74" t="s">
        <v>3248</v>
      </c>
      <c r="B84" s="75" t="s">
        <v>3268</v>
      </c>
      <c r="C84" s="76" t="s">
        <v>134</v>
      </c>
      <c r="D84" s="76" t="s">
        <v>135</v>
      </c>
      <c r="E84" s="76" t="s">
        <v>136</v>
      </c>
      <c r="F84" s="170">
        <v>14462.81</v>
      </c>
      <c r="G84" s="170">
        <v>0</v>
      </c>
      <c r="H84" s="76">
        <v>0</v>
      </c>
      <c r="I84" s="76">
        <v>0</v>
      </c>
      <c r="J84" s="76">
        <v>0</v>
      </c>
      <c r="K84" s="76">
        <v>3037.19</v>
      </c>
      <c r="L84" s="76">
        <v>0</v>
      </c>
      <c r="M84" s="170">
        <v>0</v>
      </c>
      <c r="N84" s="170">
        <v>17500</v>
      </c>
    </row>
    <row r="85" spans="1:14" hidden="1">
      <c r="A85" s="74" t="s">
        <v>3248</v>
      </c>
      <c r="B85" s="75" t="s">
        <v>3269</v>
      </c>
      <c r="C85" s="76" t="s">
        <v>134</v>
      </c>
      <c r="D85" s="76" t="s">
        <v>135</v>
      </c>
      <c r="E85" s="76" t="s">
        <v>136</v>
      </c>
      <c r="F85" s="170">
        <v>29338.84</v>
      </c>
      <c r="G85" s="170">
        <v>0</v>
      </c>
      <c r="H85" s="76">
        <v>0</v>
      </c>
      <c r="I85" s="76">
        <v>0</v>
      </c>
      <c r="J85" s="76">
        <v>0</v>
      </c>
      <c r="K85" s="76">
        <v>6161.16</v>
      </c>
      <c r="L85" s="76">
        <v>0</v>
      </c>
      <c r="M85" s="170">
        <v>0</v>
      </c>
      <c r="N85" s="170">
        <v>35500</v>
      </c>
    </row>
    <row r="86" spans="1:14" hidden="1">
      <c r="A86" s="74" t="s">
        <v>3248</v>
      </c>
      <c r="B86" s="75" t="s">
        <v>3270</v>
      </c>
      <c r="C86" s="76" t="s">
        <v>134</v>
      </c>
      <c r="D86" s="76" t="s">
        <v>135</v>
      </c>
      <c r="E86" s="76" t="s">
        <v>136</v>
      </c>
      <c r="F86" s="170">
        <v>30578.51</v>
      </c>
      <c r="G86" s="170">
        <v>0</v>
      </c>
      <c r="H86" s="76">
        <v>0</v>
      </c>
      <c r="I86" s="76">
        <v>0</v>
      </c>
      <c r="J86" s="76">
        <v>0</v>
      </c>
      <c r="K86" s="76">
        <v>6421.49</v>
      </c>
      <c r="L86" s="76">
        <v>0</v>
      </c>
      <c r="M86" s="170">
        <v>0</v>
      </c>
      <c r="N86" s="170">
        <v>37000</v>
      </c>
    </row>
    <row r="87" spans="1:14" hidden="1">
      <c r="A87" s="74" t="s">
        <v>3248</v>
      </c>
      <c r="B87" s="75" t="s">
        <v>3271</v>
      </c>
      <c r="C87" s="76" t="s">
        <v>134</v>
      </c>
      <c r="D87" s="76" t="s">
        <v>135</v>
      </c>
      <c r="E87" s="76" t="s">
        <v>136</v>
      </c>
      <c r="F87" s="170">
        <v>17355.37</v>
      </c>
      <c r="G87" s="170">
        <v>0</v>
      </c>
      <c r="H87" s="76">
        <v>0</v>
      </c>
      <c r="I87" s="76">
        <v>0</v>
      </c>
      <c r="J87" s="76">
        <v>0</v>
      </c>
      <c r="K87" s="76">
        <v>3644.63</v>
      </c>
      <c r="L87" s="76">
        <v>0</v>
      </c>
      <c r="M87" s="170">
        <v>0</v>
      </c>
      <c r="N87" s="170">
        <v>21000</v>
      </c>
    </row>
    <row r="88" spans="1:14" hidden="1">
      <c r="A88" s="74" t="s">
        <v>3248</v>
      </c>
      <c r="B88" s="75" t="s">
        <v>3272</v>
      </c>
      <c r="C88" s="76" t="s">
        <v>134</v>
      </c>
      <c r="D88" s="76" t="s">
        <v>135</v>
      </c>
      <c r="E88" s="76" t="s">
        <v>136</v>
      </c>
      <c r="F88" s="170">
        <v>33884.300000000003</v>
      </c>
      <c r="G88" s="170">
        <v>0</v>
      </c>
      <c r="H88" s="76">
        <v>0</v>
      </c>
      <c r="I88" s="76">
        <v>0</v>
      </c>
      <c r="J88" s="76">
        <v>0</v>
      </c>
      <c r="K88" s="76">
        <v>7115.7</v>
      </c>
      <c r="L88" s="76">
        <v>0</v>
      </c>
      <c r="M88" s="170">
        <v>0</v>
      </c>
      <c r="N88" s="170">
        <v>41000</v>
      </c>
    </row>
    <row r="89" spans="1:14" hidden="1">
      <c r="A89" s="74" t="s">
        <v>3280</v>
      </c>
      <c r="B89" s="75" t="s">
        <v>3281</v>
      </c>
      <c r="C89" s="76" t="s">
        <v>134</v>
      </c>
      <c r="D89" s="76" t="s">
        <v>135</v>
      </c>
      <c r="E89" s="76" t="s">
        <v>136</v>
      </c>
      <c r="F89" s="170">
        <v>21487.599999999999</v>
      </c>
      <c r="G89" s="170">
        <v>0</v>
      </c>
      <c r="H89" s="76">
        <v>0</v>
      </c>
      <c r="I89" s="76">
        <v>0</v>
      </c>
      <c r="J89" s="76">
        <v>0</v>
      </c>
      <c r="K89" s="76">
        <v>4512.4000000000005</v>
      </c>
      <c r="L89" s="76">
        <v>0</v>
      </c>
      <c r="M89" s="170">
        <v>0</v>
      </c>
      <c r="N89" s="170">
        <v>26000</v>
      </c>
    </row>
    <row r="90" spans="1:14" hidden="1">
      <c r="A90" s="74" t="s">
        <v>3280</v>
      </c>
      <c r="B90" s="75" t="s">
        <v>3282</v>
      </c>
      <c r="C90" s="76" t="s">
        <v>134</v>
      </c>
      <c r="D90" s="76" t="s">
        <v>135</v>
      </c>
      <c r="E90" s="76" t="s">
        <v>136</v>
      </c>
      <c r="F90" s="170">
        <v>10661.16</v>
      </c>
      <c r="G90" s="170">
        <v>0</v>
      </c>
      <c r="H90" s="76">
        <v>0</v>
      </c>
      <c r="I90" s="76">
        <v>0</v>
      </c>
      <c r="J90" s="76">
        <v>0</v>
      </c>
      <c r="K90" s="76">
        <v>2238.84</v>
      </c>
      <c r="L90" s="76">
        <v>0</v>
      </c>
      <c r="M90" s="170">
        <v>0</v>
      </c>
      <c r="N90" s="170">
        <v>12900</v>
      </c>
    </row>
    <row r="91" spans="1:14" hidden="1">
      <c r="A91" s="74" t="s">
        <v>3280</v>
      </c>
      <c r="B91" s="75" t="s">
        <v>3283</v>
      </c>
      <c r="C91" s="76" t="s">
        <v>134</v>
      </c>
      <c r="D91" s="76" t="s">
        <v>135</v>
      </c>
      <c r="E91" s="76" t="s">
        <v>136</v>
      </c>
      <c r="F91" s="170">
        <v>15909.09</v>
      </c>
      <c r="G91" s="170">
        <v>0</v>
      </c>
      <c r="H91" s="76">
        <v>0</v>
      </c>
      <c r="I91" s="76">
        <v>0</v>
      </c>
      <c r="J91" s="76">
        <v>0</v>
      </c>
      <c r="K91" s="76">
        <v>3340.91</v>
      </c>
      <c r="L91" s="76">
        <v>0</v>
      </c>
      <c r="M91" s="170">
        <v>0</v>
      </c>
      <c r="N91" s="170">
        <v>19250</v>
      </c>
    </row>
    <row r="92" spans="1:14" hidden="1">
      <c r="A92" s="74" t="s">
        <v>3280</v>
      </c>
      <c r="B92" s="75" t="s">
        <v>3284</v>
      </c>
      <c r="C92" s="76" t="s">
        <v>134</v>
      </c>
      <c r="D92" s="76" t="s">
        <v>135</v>
      </c>
      <c r="E92" s="76" t="s">
        <v>136</v>
      </c>
      <c r="F92" s="170">
        <v>14669.42</v>
      </c>
      <c r="G92" s="170">
        <v>0</v>
      </c>
      <c r="H92" s="76">
        <v>0</v>
      </c>
      <c r="I92" s="76">
        <v>0</v>
      </c>
      <c r="J92" s="76">
        <v>0</v>
      </c>
      <c r="K92" s="76">
        <v>3080.58</v>
      </c>
      <c r="L92" s="76">
        <v>0</v>
      </c>
      <c r="M92" s="170">
        <v>0</v>
      </c>
      <c r="N92" s="170">
        <v>17750</v>
      </c>
    </row>
    <row r="93" spans="1:14" hidden="1">
      <c r="A93" s="74" t="s">
        <v>3280</v>
      </c>
      <c r="B93" s="75" t="s">
        <v>3285</v>
      </c>
      <c r="C93" s="76" t="s">
        <v>134</v>
      </c>
      <c r="D93" s="76" t="s">
        <v>135</v>
      </c>
      <c r="E93" s="76" t="s">
        <v>136</v>
      </c>
      <c r="F93" s="170">
        <v>16115.7</v>
      </c>
      <c r="G93" s="170">
        <v>0</v>
      </c>
      <c r="H93" s="76">
        <v>0</v>
      </c>
      <c r="I93" s="76">
        <v>0</v>
      </c>
      <c r="J93" s="76">
        <v>0</v>
      </c>
      <c r="K93" s="76">
        <v>3384.3</v>
      </c>
      <c r="L93" s="76">
        <v>0</v>
      </c>
      <c r="M93" s="170">
        <v>0</v>
      </c>
      <c r="N93" s="170">
        <v>19500</v>
      </c>
    </row>
    <row r="94" spans="1:14" hidden="1">
      <c r="A94" s="74" t="s">
        <v>3280</v>
      </c>
      <c r="B94" s="75" t="s">
        <v>3286</v>
      </c>
      <c r="C94" s="76" t="s">
        <v>134</v>
      </c>
      <c r="D94" s="76" t="s">
        <v>135</v>
      </c>
      <c r="E94" s="76" t="s">
        <v>136</v>
      </c>
      <c r="F94" s="170">
        <v>29338.84</v>
      </c>
      <c r="G94" s="170">
        <v>0</v>
      </c>
      <c r="H94" s="76">
        <v>0</v>
      </c>
      <c r="I94" s="76">
        <v>0</v>
      </c>
      <c r="J94" s="76">
        <v>0</v>
      </c>
      <c r="K94" s="76">
        <v>6161.16</v>
      </c>
      <c r="L94" s="76">
        <v>0</v>
      </c>
      <c r="M94" s="170">
        <v>0</v>
      </c>
      <c r="N94" s="170">
        <v>35500</v>
      </c>
    </row>
    <row r="95" spans="1:14" hidden="1">
      <c r="A95" s="74" t="s">
        <v>3280</v>
      </c>
      <c r="B95" s="75" t="s">
        <v>3287</v>
      </c>
      <c r="C95" s="76" t="s">
        <v>134</v>
      </c>
      <c r="D95" s="76" t="s">
        <v>135</v>
      </c>
      <c r="E95" s="76" t="s">
        <v>136</v>
      </c>
      <c r="F95" s="170">
        <v>14876.03</v>
      </c>
      <c r="G95" s="170">
        <v>0</v>
      </c>
      <c r="H95" s="76">
        <v>0</v>
      </c>
      <c r="I95" s="76">
        <v>0</v>
      </c>
      <c r="J95" s="76">
        <v>0</v>
      </c>
      <c r="K95" s="76">
        <v>3123.97</v>
      </c>
      <c r="L95" s="76">
        <v>0</v>
      </c>
      <c r="M95" s="170">
        <v>0</v>
      </c>
      <c r="N95" s="170">
        <v>18000</v>
      </c>
    </row>
    <row r="96" spans="1:14" hidden="1">
      <c r="A96" s="74" t="s">
        <v>3280</v>
      </c>
      <c r="B96" s="75" t="s">
        <v>3288</v>
      </c>
      <c r="C96" s="76" t="s">
        <v>134</v>
      </c>
      <c r="D96" s="76" t="s">
        <v>135</v>
      </c>
      <c r="E96" s="76" t="s">
        <v>136</v>
      </c>
      <c r="F96" s="170">
        <v>21487.599999999999</v>
      </c>
      <c r="G96" s="170">
        <v>0</v>
      </c>
      <c r="H96" s="76">
        <v>0</v>
      </c>
      <c r="I96" s="76">
        <v>0</v>
      </c>
      <c r="J96" s="76">
        <v>0</v>
      </c>
      <c r="K96" s="76">
        <v>4512.4000000000005</v>
      </c>
      <c r="L96" s="76">
        <v>0</v>
      </c>
      <c r="M96" s="170">
        <v>0</v>
      </c>
      <c r="N96" s="170">
        <v>26000</v>
      </c>
    </row>
    <row r="97" spans="1:14" hidden="1">
      <c r="A97" s="74" t="s">
        <v>3280</v>
      </c>
      <c r="B97" s="75" t="s">
        <v>3289</v>
      </c>
      <c r="C97" s="76" t="s">
        <v>134</v>
      </c>
      <c r="D97" s="76" t="s">
        <v>135</v>
      </c>
      <c r="E97" s="76" t="s">
        <v>136</v>
      </c>
      <c r="F97" s="170">
        <v>18595.04</v>
      </c>
      <c r="G97" s="170">
        <v>0</v>
      </c>
      <c r="H97" s="76">
        <v>0</v>
      </c>
      <c r="I97" s="76">
        <v>0</v>
      </c>
      <c r="J97" s="76">
        <v>0</v>
      </c>
      <c r="K97" s="76">
        <v>3904.96</v>
      </c>
      <c r="L97" s="76">
        <v>0</v>
      </c>
      <c r="M97" s="170">
        <v>0</v>
      </c>
      <c r="N97" s="170">
        <v>22500</v>
      </c>
    </row>
    <row r="98" spans="1:14" hidden="1">
      <c r="A98" s="74" t="s">
        <v>3280</v>
      </c>
      <c r="B98" s="75" t="s">
        <v>3290</v>
      </c>
      <c r="C98" s="76" t="s">
        <v>134</v>
      </c>
      <c r="D98" s="76" t="s">
        <v>135</v>
      </c>
      <c r="E98" s="76" t="s">
        <v>136</v>
      </c>
      <c r="F98" s="170">
        <v>46280.99</v>
      </c>
      <c r="G98" s="170">
        <v>0</v>
      </c>
      <c r="H98" s="76">
        <v>0</v>
      </c>
      <c r="I98" s="76">
        <v>0</v>
      </c>
      <c r="J98" s="76">
        <v>0</v>
      </c>
      <c r="K98" s="76">
        <v>9719.01</v>
      </c>
      <c r="L98" s="76">
        <v>0</v>
      </c>
      <c r="M98" s="170">
        <v>0</v>
      </c>
      <c r="N98" s="170">
        <v>56000</v>
      </c>
    </row>
    <row r="99" spans="1:14" hidden="1">
      <c r="A99" s="74" t="s">
        <v>3280</v>
      </c>
      <c r="B99" s="75" t="s">
        <v>3291</v>
      </c>
      <c r="C99" s="76" t="s">
        <v>134</v>
      </c>
      <c r="D99" s="76" t="s">
        <v>135</v>
      </c>
      <c r="E99" s="76" t="s">
        <v>136</v>
      </c>
      <c r="F99" s="170">
        <v>21900.82</v>
      </c>
      <c r="G99" s="170">
        <v>0</v>
      </c>
      <c r="H99" s="76">
        <v>0</v>
      </c>
      <c r="I99" s="76">
        <v>0</v>
      </c>
      <c r="J99" s="76">
        <v>0</v>
      </c>
      <c r="K99" s="76">
        <v>4599.18</v>
      </c>
      <c r="L99" s="76">
        <v>0</v>
      </c>
      <c r="M99" s="170">
        <v>0</v>
      </c>
      <c r="N99" s="170">
        <v>26500</v>
      </c>
    </row>
    <row r="100" spans="1:14" hidden="1">
      <c r="A100" s="74" t="s">
        <v>3280</v>
      </c>
      <c r="B100" s="75" t="s">
        <v>3292</v>
      </c>
      <c r="C100" s="76" t="s">
        <v>134</v>
      </c>
      <c r="D100" s="76" t="s">
        <v>135</v>
      </c>
      <c r="E100" s="76" t="s">
        <v>136</v>
      </c>
      <c r="F100" s="170">
        <v>5702.48</v>
      </c>
      <c r="G100" s="170">
        <v>0</v>
      </c>
      <c r="H100" s="76">
        <v>0</v>
      </c>
      <c r="I100" s="76">
        <v>0</v>
      </c>
      <c r="J100" s="76">
        <v>0</v>
      </c>
      <c r="K100" s="76">
        <v>1197.52</v>
      </c>
      <c r="L100" s="76">
        <v>0</v>
      </c>
      <c r="M100" s="170">
        <v>0</v>
      </c>
      <c r="N100" s="170">
        <v>6900</v>
      </c>
    </row>
    <row r="101" spans="1:14" hidden="1">
      <c r="A101" s="74" t="s">
        <v>3280</v>
      </c>
      <c r="B101" s="75" t="s">
        <v>3293</v>
      </c>
      <c r="C101" s="76" t="s">
        <v>134</v>
      </c>
      <c r="D101" s="76" t="s">
        <v>135</v>
      </c>
      <c r="E101" s="76" t="s">
        <v>136</v>
      </c>
      <c r="F101" s="170">
        <v>31818.18</v>
      </c>
      <c r="G101" s="170">
        <v>0</v>
      </c>
      <c r="H101" s="76">
        <v>0</v>
      </c>
      <c r="I101" s="76">
        <v>0</v>
      </c>
      <c r="J101" s="76">
        <v>0</v>
      </c>
      <c r="K101" s="76">
        <v>6681.82</v>
      </c>
      <c r="L101" s="76">
        <v>0</v>
      </c>
      <c r="M101" s="170">
        <v>0</v>
      </c>
      <c r="N101" s="170">
        <v>38500</v>
      </c>
    </row>
    <row r="102" spans="1:14" hidden="1">
      <c r="A102" s="74" t="s">
        <v>3280</v>
      </c>
      <c r="B102" s="75" t="s">
        <v>3294</v>
      </c>
      <c r="C102" s="76" t="s">
        <v>134</v>
      </c>
      <c r="D102" s="76" t="s">
        <v>135</v>
      </c>
      <c r="E102" s="76" t="s">
        <v>136</v>
      </c>
      <c r="F102" s="170">
        <v>31818.18</v>
      </c>
      <c r="G102" s="170">
        <v>0</v>
      </c>
      <c r="H102" s="76">
        <v>0</v>
      </c>
      <c r="I102" s="76">
        <v>0</v>
      </c>
      <c r="J102" s="76">
        <v>0</v>
      </c>
      <c r="K102" s="76">
        <v>6681.82</v>
      </c>
      <c r="L102" s="76">
        <v>0</v>
      </c>
      <c r="M102" s="170">
        <v>0</v>
      </c>
      <c r="N102" s="170">
        <v>38500</v>
      </c>
    </row>
    <row r="103" spans="1:14" hidden="1">
      <c r="A103" s="74" t="s">
        <v>3280</v>
      </c>
      <c r="B103" s="75" t="s">
        <v>3295</v>
      </c>
      <c r="C103" s="76" t="s">
        <v>134</v>
      </c>
      <c r="D103" s="76" t="s">
        <v>135</v>
      </c>
      <c r="E103" s="76" t="s">
        <v>136</v>
      </c>
      <c r="F103" s="170">
        <v>31818.18</v>
      </c>
      <c r="G103" s="170">
        <v>0</v>
      </c>
      <c r="H103" s="76">
        <v>0</v>
      </c>
      <c r="I103" s="76">
        <v>0</v>
      </c>
      <c r="J103" s="76">
        <v>0</v>
      </c>
      <c r="K103" s="76">
        <v>6681.82</v>
      </c>
      <c r="L103" s="76">
        <v>0</v>
      </c>
      <c r="M103" s="170">
        <v>0</v>
      </c>
      <c r="N103" s="170">
        <v>38500</v>
      </c>
    </row>
    <row r="104" spans="1:14" hidden="1">
      <c r="A104" s="74" t="s">
        <v>3280</v>
      </c>
      <c r="B104" s="75" t="s">
        <v>3296</v>
      </c>
      <c r="C104" s="76" t="s">
        <v>134</v>
      </c>
      <c r="D104" s="76" t="s">
        <v>135</v>
      </c>
      <c r="E104" s="76" t="s">
        <v>136</v>
      </c>
      <c r="F104" s="170">
        <v>11735.54</v>
      </c>
      <c r="G104" s="170">
        <v>0</v>
      </c>
      <c r="H104" s="76">
        <v>0</v>
      </c>
      <c r="I104" s="76">
        <v>0</v>
      </c>
      <c r="J104" s="76">
        <v>0</v>
      </c>
      <c r="K104" s="76">
        <v>2464.46</v>
      </c>
      <c r="L104" s="76">
        <v>0</v>
      </c>
      <c r="M104" s="170">
        <v>0</v>
      </c>
      <c r="N104" s="170">
        <v>14200</v>
      </c>
    </row>
    <row r="105" spans="1:14" hidden="1">
      <c r="A105" s="74" t="s">
        <v>3280</v>
      </c>
      <c r="B105" s="75" t="s">
        <v>3297</v>
      </c>
      <c r="C105" s="76" t="s">
        <v>134</v>
      </c>
      <c r="D105" s="76" t="s">
        <v>135</v>
      </c>
      <c r="E105" s="76" t="s">
        <v>136</v>
      </c>
      <c r="F105" s="170">
        <v>19834.71</v>
      </c>
      <c r="G105" s="170">
        <v>0</v>
      </c>
      <c r="H105" s="76">
        <v>0</v>
      </c>
      <c r="I105" s="76">
        <v>0</v>
      </c>
      <c r="J105" s="76">
        <v>0</v>
      </c>
      <c r="K105" s="76">
        <v>4165.29</v>
      </c>
      <c r="L105" s="76">
        <v>0</v>
      </c>
      <c r="M105" s="170">
        <v>0</v>
      </c>
      <c r="N105" s="170">
        <v>24000</v>
      </c>
    </row>
    <row r="106" spans="1:14" hidden="1">
      <c r="A106" s="74" t="s">
        <v>3280</v>
      </c>
      <c r="B106" s="75" t="s">
        <v>3298</v>
      </c>
      <c r="C106" s="76" t="s">
        <v>134</v>
      </c>
      <c r="D106" s="76" t="s">
        <v>135</v>
      </c>
      <c r="E106" s="76" t="s">
        <v>136</v>
      </c>
      <c r="F106" s="170">
        <v>7644.63</v>
      </c>
      <c r="G106" s="170">
        <v>0</v>
      </c>
      <c r="H106" s="76">
        <v>0</v>
      </c>
      <c r="I106" s="76">
        <v>0</v>
      </c>
      <c r="J106" s="76">
        <v>0</v>
      </c>
      <c r="K106" s="76">
        <v>1605.37</v>
      </c>
      <c r="L106" s="76">
        <v>0</v>
      </c>
      <c r="M106" s="170">
        <v>0</v>
      </c>
      <c r="N106" s="170">
        <v>9250</v>
      </c>
    </row>
    <row r="107" spans="1:14" hidden="1">
      <c r="A107" s="74" t="s">
        <v>3280</v>
      </c>
      <c r="B107" s="75" t="s">
        <v>3299</v>
      </c>
      <c r="C107" s="76" t="s">
        <v>134</v>
      </c>
      <c r="D107" s="76" t="s">
        <v>135</v>
      </c>
      <c r="E107" s="76" t="s">
        <v>136</v>
      </c>
      <c r="F107" s="170">
        <v>26033.06</v>
      </c>
      <c r="G107" s="170">
        <v>0</v>
      </c>
      <c r="H107" s="76">
        <v>0</v>
      </c>
      <c r="I107" s="76">
        <v>0</v>
      </c>
      <c r="J107" s="76">
        <v>0</v>
      </c>
      <c r="K107" s="76">
        <v>5466.94</v>
      </c>
      <c r="L107" s="76">
        <v>0</v>
      </c>
      <c r="M107" s="170">
        <v>0</v>
      </c>
      <c r="N107" s="170">
        <v>31500</v>
      </c>
    </row>
    <row r="108" spans="1:14" hidden="1">
      <c r="A108" s="74" t="s">
        <v>3280</v>
      </c>
      <c r="B108" s="75" t="s">
        <v>3300</v>
      </c>
      <c r="C108" s="76" t="s">
        <v>134</v>
      </c>
      <c r="D108" s="76" t="s">
        <v>135</v>
      </c>
      <c r="E108" s="76" t="s">
        <v>136</v>
      </c>
      <c r="F108" s="170">
        <v>4628.1000000000004</v>
      </c>
      <c r="G108" s="170">
        <v>0</v>
      </c>
      <c r="H108" s="76">
        <v>0</v>
      </c>
      <c r="I108" s="76">
        <v>0</v>
      </c>
      <c r="J108" s="76">
        <v>0</v>
      </c>
      <c r="K108" s="76">
        <v>971.9</v>
      </c>
      <c r="L108" s="76">
        <v>0</v>
      </c>
      <c r="M108" s="170">
        <v>0</v>
      </c>
      <c r="N108" s="170">
        <v>5600</v>
      </c>
    </row>
    <row r="109" spans="1:14" hidden="1">
      <c r="A109" s="74" t="s">
        <v>3280</v>
      </c>
      <c r="B109" s="75" t="s">
        <v>3301</v>
      </c>
      <c r="C109" s="76" t="s">
        <v>134</v>
      </c>
      <c r="D109" s="76" t="s">
        <v>135</v>
      </c>
      <c r="E109" s="76" t="s">
        <v>136</v>
      </c>
      <c r="F109" s="170">
        <v>11487.6</v>
      </c>
      <c r="G109" s="170">
        <v>0</v>
      </c>
      <c r="H109" s="76">
        <v>0</v>
      </c>
      <c r="I109" s="76">
        <v>0</v>
      </c>
      <c r="J109" s="76">
        <v>0</v>
      </c>
      <c r="K109" s="76">
        <v>2412.4</v>
      </c>
      <c r="L109" s="76">
        <v>0</v>
      </c>
      <c r="M109" s="170">
        <v>0</v>
      </c>
      <c r="N109" s="170">
        <v>13900</v>
      </c>
    </row>
    <row r="110" spans="1:14" hidden="1">
      <c r="A110" s="74" t="s">
        <v>3280</v>
      </c>
      <c r="B110" s="75" t="s">
        <v>3302</v>
      </c>
      <c r="C110" s="76" t="s">
        <v>134</v>
      </c>
      <c r="D110" s="76" t="s">
        <v>135</v>
      </c>
      <c r="E110" s="76" t="s">
        <v>136</v>
      </c>
      <c r="F110" s="170">
        <v>30495.87</v>
      </c>
      <c r="G110" s="170">
        <v>0</v>
      </c>
      <c r="H110" s="76">
        <v>0</v>
      </c>
      <c r="I110" s="76">
        <v>0</v>
      </c>
      <c r="J110" s="76">
        <v>0</v>
      </c>
      <c r="K110" s="76">
        <v>6404.13</v>
      </c>
      <c r="L110" s="76">
        <v>0</v>
      </c>
      <c r="M110" s="170">
        <v>0</v>
      </c>
      <c r="N110" s="170">
        <v>36900</v>
      </c>
    </row>
    <row r="111" spans="1:14" hidden="1">
      <c r="A111" s="74" t="s">
        <v>3280</v>
      </c>
      <c r="B111" s="75" t="s">
        <v>3303</v>
      </c>
      <c r="C111" s="76" t="s">
        <v>134</v>
      </c>
      <c r="D111" s="76" t="s">
        <v>135</v>
      </c>
      <c r="E111" s="76" t="s">
        <v>136</v>
      </c>
      <c r="F111" s="170">
        <v>20661.16</v>
      </c>
      <c r="G111" s="170">
        <v>0</v>
      </c>
      <c r="H111" s="76">
        <v>0</v>
      </c>
      <c r="I111" s="76">
        <v>0</v>
      </c>
      <c r="J111" s="76">
        <v>0</v>
      </c>
      <c r="K111" s="76">
        <v>4338.84</v>
      </c>
      <c r="L111" s="76">
        <v>0</v>
      </c>
      <c r="M111" s="170">
        <v>0</v>
      </c>
      <c r="N111" s="170">
        <v>25000</v>
      </c>
    </row>
    <row r="112" spans="1:14" hidden="1">
      <c r="A112" s="74" t="s">
        <v>3308</v>
      </c>
      <c r="B112" s="75" t="s">
        <v>3309</v>
      </c>
      <c r="C112" s="76" t="s">
        <v>134</v>
      </c>
      <c r="D112" s="76" t="s">
        <v>135</v>
      </c>
      <c r="E112" s="76" t="s">
        <v>136</v>
      </c>
      <c r="F112" s="170">
        <v>10743.8</v>
      </c>
      <c r="G112" s="170">
        <v>0</v>
      </c>
      <c r="H112" s="76">
        <v>0</v>
      </c>
      <c r="I112" s="76">
        <v>0</v>
      </c>
      <c r="J112" s="76">
        <v>0</v>
      </c>
      <c r="K112" s="76">
        <v>2256.2000000000003</v>
      </c>
      <c r="L112" s="76">
        <v>0</v>
      </c>
      <c r="M112" s="170">
        <v>0</v>
      </c>
      <c r="N112" s="170">
        <v>13000</v>
      </c>
    </row>
    <row r="113" spans="1:14" hidden="1">
      <c r="A113" s="74" t="s">
        <v>3308</v>
      </c>
      <c r="B113" s="75" t="s">
        <v>3310</v>
      </c>
      <c r="C113" s="76" t="s">
        <v>134</v>
      </c>
      <c r="D113" s="76" t="s">
        <v>135</v>
      </c>
      <c r="E113" s="76" t="s">
        <v>136</v>
      </c>
      <c r="F113" s="170">
        <v>20661.16</v>
      </c>
      <c r="G113" s="170">
        <v>0</v>
      </c>
      <c r="H113" s="76">
        <v>0</v>
      </c>
      <c r="I113" s="76">
        <v>0</v>
      </c>
      <c r="J113" s="76">
        <v>0</v>
      </c>
      <c r="K113" s="76">
        <v>4338.84</v>
      </c>
      <c r="L113" s="76">
        <v>0</v>
      </c>
      <c r="M113" s="170">
        <v>0</v>
      </c>
      <c r="N113" s="170">
        <v>25000</v>
      </c>
    </row>
    <row r="114" spans="1:14" hidden="1">
      <c r="A114" s="74" t="s">
        <v>3308</v>
      </c>
      <c r="B114" s="75" t="s">
        <v>3311</v>
      </c>
      <c r="C114" s="76" t="s">
        <v>134</v>
      </c>
      <c r="D114" s="76" t="s">
        <v>135</v>
      </c>
      <c r="E114" s="76" t="s">
        <v>136</v>
      </c>
      <c r="F114" s="170">
        <v>11487.6</v>
      </c>
      <c r="G114" s="170">
        <v>0</v>
      </c>
      <c r="H114" s="76">
        <v>0</v>
      </c>
      <c r="I114" s="76">
        <v>0</v>
      </c>
      <c r="J114" s="76">
        <v>0</v>
      </c>
      <c r="K114" s="76">
        <v>2412.4</v>
      </c>
      <c r="L114" s="76">
        <v>0</v>
      </c>
      <c r="M114" s="170">
        <v>0</v>
      </c>
      <c r="N114" s="170">
        <v>13900</v>
      </c>
    </row>
    <row r="115" spans="1:14" hidden="1">
      <c r="A115" s="74" t="s">
        <v>3308</v>
      </c>
      <c r="B115" s="75" t="s">
        <v>3312</v>
      </c>
      <c r="C115" s="76" t="s">
        <v>134</v>
      </c>
      <c r="D115" s="76" t="s">
        <v>135</v>
      </c>
      <c r="E115" s="76" t="s">
        <v>136</v>
      </c>
      <c r="F115" s="170">
        <v>20247.93</v>
      </c>
      <c r="G115" s="170">
        <v>0</v>
      </c>
      <c r="H115" s="76">
        <v>0</v>
      </c>
      <c r="I115" s="76">
        <v>0</v>
      </c>
      <c r="J115" s="76">
        <v>0</v>
      </c>
      <c r="K115" s="76">
        <v>4252.07</v>
      </c>
      <c r="L115" s="76">
        <v>0</v>
      </c>
      <c r="M115" s="170">
        <v>0</v>
      </c>
      <c r="N115" s="170">
        <v>24500</v>
      </c>
    </row>
    <row r="116" spans="1:14" hidden="1">
      <c r="A116" s="74" t="s">
        <v>3308</v>
      </c>
      <c r="B116" s="75" t="s">
        <v>3313</v>
      </c>
      <c r="C116" s="76" t="s">
        <v>134</v>
      </c>
      <c r="D116" s="76" t="s">
        <v>135</v>
      </c>
      <c r="E116" s="76" t="s">
        <v>136</v>
      </c>
      <c r="F116" s="170">
        <v>11487.6</v>
      </c>
      <c r="G116" s="170">
        <v>0</v>
      </c>
      <c r="H116" s="76">
        <v>0</v>
      </c>
      <c r="I116" s="76">
        <v>0</v>
      </c>
      <c r="J116" s="76">
        <v>0</v>
      </c>
      <c r="K116" s="76">
        <v>2412.4</v>
      </c>
      <c r="L116" s="76">
        <v>0</v>
      </c>
      <c r="M116" s="170">
        <v>0</v>
      </c>
      <c r="N116" s="170">
        <v>13900</v>
      </c>
    </row>
    <row r="117" spans="1:14" hidden="1">
      <c r="A117" s="74" t="s">
        <v>3308</v>
      </c>
      <c r="B117" s="75" t="s">
        <v>3314</v>
      </c>
      <c r="C117" s="76" t="s">
        <v>134</v>
      </c>
      <c r="D117" s="76" t="s">
        <v>135</v>
      </c>
      <c r="E117" s="76" t="s">
        <v>136</v>
      </c>
      <c r="F117" s="170">
        <v>8595.0400000000009</v>
      </c>
      <c r="G117" s="170">
        <v>0</v>
      </c>
      <c r="H117" s="76">
        <v>0</v>
      </c>
      <c r="I117" s="76">
        <v>0</v>
      </c>
      <c r="J117" s="76">
        <v>0</v>
      </c>
      <c r="K117" s="76">
        <v>1804.96</v>
      </c>
      <c r="L117" s="76">
        <v>0</v>
      </c>
      <c r="M117" s="170">
        <v>0</v>
      </c>
      <c r="N117" s="170">
        <v>10400</v>
      </c>
    </row>
    <row r="118" spans="1:14" hidden="1">
      <c r="A118" s="74" t="s">
        <v>3308</v>
      </c>
      <c r="B118" s="75" t="s">
        <v>3315</v>
      </c>
      <c r="C118" s="76" t="s">
        <v>134</v>
      </c>
      <c r="D118" s="76" t="s">
        <v>135</v>
      </c>
      <c r="E118" s="76" t="s">
        <v>136</v>
      </c>
      <c r="F118" s="170">
        <v>12975.21</v>
      </c>
      <c r="G118" s="170">
        <v>0</v>
      </c>
      <c r="H118" s="76">
        <v>0</v>
      </c>
      <c r="I118" s="76">
        <v>0</v>
      </c>
      <c r="J118" s="76">
        <v>0</v>
      </c>
      <c r="K118" s="76">
        <v>2724.79</v>
      </c>
      <c r="L118" s="76">
        <v>0</v>
      </c>
      <c r="M118" s="170">
        <v>0</v>
      </c>
      <c r="N118" s="170">
        <v>15700</v>
      </c>
    </row>
    <row r="119" spans="1:14" hidden="1">
      <c r="A119" s="74" t="s">
        <v>3308</v>
      </c>
      <c r="B119" s="75" t="s">
        <v>3316</v>
      </c>
      <c r="C119" s="76" t="s">
        <v>134</v>
      </c>
      <c r="D119" s="76" t="s">
        <v>135</v>
      </c>
      <c r="E119" s="76" t="s">
        <v>136</v>
      </c>
      <c r="F119" s="170">
        <v>10743.8</v>
      </c>
      <c r="G119" s="170">
        <v>0</v>
      </c>
      <c r="H119" s="76">
        <v>0</v>
      </c>
      <c r="I119" s="76">
        <v>0</v>
      </c>
      <c r="J119" s="76">
        <v>0</v>
      </c>
      <c r="K119" s="76">
        <v>2256.2000000000003</v>
      </c>
      <c r="L119" s="76">
        <v>0</v>
      </c>
      <c r="M119" s="170">
        <v>0</v>
      </c>
      <c r="N119" s="170">
        <v>13000</v>
      </c>
    </row>
    <row r="120" spans="1:14" hidden="1">
      <c r="A120" s="74" t="s">
        <v>3308</v>
      </c>
      <c r="B120" s="75" t="s">
        <v>3317</v>
      </c>
      <c r="C120" s="76" t="s">
        <v>134</v>
      </c>
      <c r="D120" s="76" t="s">
        <v>135</v>
      </c>
      <c r="E120" s="76" t="s">
        <v>136</v>
      </c>
      <c r="F120" s="170">
        <v>13884.3</v>
      </c>
      <c r="G120" s="170">
        <v>0</v>
      </c>
      <c r="H120" s="76">
        <v>0</v>
      </c>
      <c r="I120" s="76">
        <v>0</v>
      </c>
      <c r="J120" s="76">
        <v>0</v>
      </c>
      <c r="K120" s="76">
        <v>2915.7</v>
      </c>
      <c r="L120" s="76">
        <v>0</v>
      </c>
      <c r="M120" s="170">
        <v>0</v>
      </c>
      <c r="N120" s="170">
        <v>16800</v>
      </c>
    </row>
    <row r="121" spans="1:14" hidden="1">
      <c r="A121" s="74" t="s">
        <v>3308</v>
      </c>
      <c r="B121" s="75" t="s">
        <v>3318</v>
      </c>
      <c r="C121" s="76" t="s">
        <v>134</v>
      </c>
      <c r="D121" s="76" t="s">
        <v>135</v>
      </c>
      <c r="E121" s="76" t="s">
        <v>136</v>
      </c>
      <c r="F121" s="170">
        <v>31239.67</v>
      </c>
      <c r="G121" s="170">
        <v>0</v>
      </c>
      <c r="H121" s="76">
        <v>0</v>
      </c>
      <c r="I121" s="76">
        <v>0</v>
      </c>
      <c r="J121" s="76">
        <v>0</v>
      </c>
      <c r="K121" s="76">
        <v>6560.33</v>
      </c>
      <c r="L121" s="76">
        <v>0</v>
      </c>
      <c r="M121" s="170">
        <v>0</v>
      </c>
      <c r="N121" s="170">
        <v>37800</v>
      </c>
    </row>
    <row r="122" spans="1:14" hidden="1">
      <c r="A122" s="74" t="s">
        <v>3308</v>
      </c>
      <c r="B122" s="75" t="s">
        <v>3319</v>
      </c>
      <c r="C122" s="76" t="s">
        <v>134</v>
      </c>
      <c r="D122" s="76" t="s">
        <v>135</v>
      </c>
      <c r="E122" s="76" t="s">
        <v>136</v>
      </c>
      <c r="F122" s="170">
        <v>12809.92</v>
      </c>
      <c r="G122" s="170">
        <v>0</v>
      </c>
      <c r="H122" s="76">
        <v>0</v>
      </c>
      <c r="I122" s="76">
        <v>0</v>
      </c>
      <c r="J122" s="76">
        <v>0</v>
      </c>
      <c r="K122" s="76">
        <v>2690.08</v>
      </c>
      <c r="L122" s="76">
        <v>0</v>
      </c>
      <c r="M122" s="170">
        <v>0</v>
      </c>
      <c r="N122" s="170">
        <v>15500</v>
      </c>
    </row>
    <row r="123" spans="1:14" hidden="1">
      <c r="A123" s="74" t="s">
        <v>3308</v>
      </c>
      <c r="B123" s="75" t="s">
        <v>3320</v>
      </c>
      <c r="C123" s="76" t="s">
        <v>134</v>
      </c>
      <c r="D123" s="76" t="s">
        <v>135</v>
      </c>
      <c r="E123" s="76" t="s">
        <v>136</v>
      </c>
      <c r="F123" s="170">
        <v>38512.400000000001</v>
      </c>
      <c r="G123" s="170">
        <v>0</v>
      </c>
      <c r="H123" s="76">
        <v>0</v>
      </c>
      <c r="I123" s="76">
        <v>0</v>
      </c>
      <c r="J123" s="76">
        <v>0</v>
      </c>
      <c r="K123" s="76">
        <v>8087.6</v>
      </c>
      <c r="L123" s="76">
        <v>0</v>
      </c>
      <c r="M123" s="170">
        <v>0</v>
      </c>
      <c r="N123" s="170">
        <v>46600</v>
      </c>
    </row>
    <row r="124" spans="1:14" hidden="1">
      <c r="A124" s="74" t="s">
        <v>3308</v>
      </c>
      <c r="B124" s="75" t="s">
        <v>3321</v>
      </c>
      <c r="C124" s="76" t="s">
        <v>134</v>
      </c>
      <c r="D124" s="76" t="s">
        <v>135</v>
      </c>
      <c r="E124" s="76" t="s">
        <v>136</v>
      </c>
      <c r="F124" s="170">
        <v>8595.0400000000009</v>
      </c>
      <c r="G124" s="170">
        <v>0</v>
      </c>
      <c r="H124" s="76">
        <v>0</v>
      </c>
      <c r="I124" s="76">
        <v>0</v>
      </c>
      <c r="J124" s="76">
        <v>0</v>
      </c>
      <c r="K124" s="76">
        <v>1804.96</v>
      </c>
      <c r="L124" s="76">
        <v>0</v>
      </c>
      <c r="M124" s="170">
        <v>0</v>
      </c>
      <c r="N124" s="170">
        <v>10400</v>
      </c>
    </row>
    <row r="125" spans="1:14" hidden="1">
      <c r="A125" s="74" t="s">
        <v>3308</v>
      </c>
      <c r="B125" s="75" t="s">
        <v>3322</v>
      </c>
      <c r="C125" s="76" t="s">
        <v>134</v>
      </c>
      <c r="D125" s="76" t="s">
        <v>135</v>
      </c>
      <c r="E125" s="76" t="s">
        <v>136</v>
      </c>
      <c r="F125" s="170">
        <v>14669.42</v>
      </c>
      <c r="G125" s="170">
        <v>0</v>
      </c>
      <c r="H125" s="76">
        <v>0</v>
      </c>
      <c r="I125" s="76">
        <v>0</v>
      </c>
      <c r="J125" s="76">
        <v>0</v>
      </c>
      <c r="K125" s="76">
        <v>3080.58</v>
      </c>
      <c r="L125" s="76">
        <v>0</v>
      </c>
      <c r="M125" s="170">
        <v>0</v>
      </c>
      <c r="N125" s="170">
        <v>17750</v>
      </c>
    </row>
    <row r="126" spans="1:14" hidden="1">
      <c r="A126" s="74" t="s">
        <v>3308</v>
      </c>
      <c r="B126" s="75" t="s">
        <v>3323</v>
      </c>
      <c r="C126" s="76" t="s">
        <v>134</v>
      </c>
      <c r="D126" s="76" t="s">
        <v>135</v>
      </c>
      <c r="E126" s="76" t="s">
        <v>136</v>
      </c>
      <c r="F126" s="170">
        <v>14669.42</v>
      </c>
      <c r="G126" s="170">
        <v>0</v>
      </c>
      <c r="H126" s="76">
        <v>0</v>
      </c>
      <c r="I126" s="76">
        <v>0</v>
      </c>
      <c r="J126" s="76">
        <v>0</v>
      </c>
      <c r="K126" s="76">
        <v>3080.58</v>
      </c>
      <c r="L126" s="76">
        <v>0</v>
      </c>
      <c r="M126" s="170">
        <v>0</v>
      </c>
      <c r="N126" s="170">
        <v>17750</v>
      </c>
    </row>
    <row r="127" spans="1:14" hidden="1">
      <c r="A127" s="74" t="s">
        <v>3308</v>
      </c>
      <c r="B127" s="75" t="s">
        <v>3324</v>
      </c>
      <c r="C127" s="76" t="s">
        <v>134</v>
      </c>
      <c r="D127" s="76" t="s">
        <v>135</v>
      </c>
      <c r="E127" s="76" t="s">
        <v>136</v>
      </c>
      <c r="F127" s="170">
        <v>10743.8</v>
      </c>
      <c r="G127" s="170">
        <v>0</v>
      </c>
      <c r="H127" s="76">
        <v>0</v>
      </c>
      <c r="I127" s="76">
        <v>0</v>
      </c>
      <c r="J127" s="76">
        <v>0</v>
      </c>
      <c r="K127" s="76">
        <v>2256.2000000000003</v>
      </c>
      <c r="L127" s="76">
        <v>0</v>
      </c>
      <c r="M127" s="170">
        <v>0</v>
      </c>
      <c r="N127" s="170">
        <v>13000</v>
      </c>
    </row>
    <row r="128" spans="1:14" hidden="1">
      <c r="A128" s="74" t="s">
        <v>3308</v>
      </c>
      <c r="B128" s="75" t="s">
        <v>3325</v>
      </c>
      <c r="C128" s="76" t="s">
        <v>134</v>
      </c>
      <c r="D128" s="76" t="s">
        <v>135</v>
      </c>
      <c r="E128" s="76" t="s">
        <v>136</v>
      </c>
      <c r="F128" s="170">
        <v>10743.8</v>
      </c>
      <c r="G128" s="170">
        <v>0</v>
      </c>
      <c r="H128" s="76">
        <v>0</v>
      </c>
      <c r="I128" s="76">
        <v>0</v>
      </c>
      <c r="J128" s="76">
        <v>0</v>
      </c>
      <c r="K128" s="76">
        <v>2256.2000000000003</v>
      </c>
      <c r="L128" s="76">
        <v>0</v>
      </c>
      <c r="M128" s="170">
        <v>0</v>
      </c>
      <c r="N128" s="170">
        <v>13000</v>
      </c>
    </row>
    <row r="129" spans="1:14" hidden="1">
      <c r="A129" s="74" t="s">
        <v>3308</v>
      </c>
      <c r="B129" s="75" t="s">
        <v>3326</v>
      </c>
      <c r="C129" s="76" t="s">
        <v>134</v>
      </c>
      <c r="D129" s="76" t="s">
        <v>135</v>
      </c>
      <c r="E129" s="76" t="s">
        <v>136</v>
      </c>
      <c r="F129" s="170">
        <v>21322.31</v>
      </c>
      <c r="G129" s="170">
        <v>0</v>
      </c>
      <c r="H129" s="76">
        <v>0</v>
      </c>
      <c r="I129" s="76">
        <v>0</v>
      </c>
      <c r="J129" s="76">
        <v>0</v>
      </c>
      <c r="K129" s="76">
        <v>4477.6900000000005</v>
      </c>
      <c r="L129" s="76">
        <v>0</v>
      </c>
      <c r="M129" s="170">
        <v>0</v>
      </c>
      <c r="N129" s="170">
        <v>25800</v>
      </c>
    </row>
    <row r="130" spans="1:14" hidden="1">
      <c r="A130" s="74" t="s">
        <v>3308</v>
      </c>
      <c r="B130" s="75" t="s">
        <v>3327</v>
      </c>
      <c r="C130" s="76" t="s">
        <v>134</v>
      </c>
      <c r="D130" s="76" t="s">
        <v>135</v>
      </c>
      <c r="E130" s="76" t="s">
        <v>136</v>
      </c>
      <c r="F130" s="170">
        <v>10743.8</v>
      </c>
      <c r="G130" s="170">
        <v>0</v>
      </c>
      <c r="H130" s="76">
        <v>0</v>
      </c>
      <c r="I130" s="76">
        <v>0</v>
      </c>
      <c r="J130" s="76">
        <v>0</v>
      </c>
      <c r="K130" s="76">
        <v>2256.2000000000003</v>
      </c>
      <c r="L130" s="76">
        <v>0</v>
      </c>
      <c r="M130" s="170">
        <v>0</v>
      </c>
      <c r="N130" s="170">
        <v>13000</v>
      </c>
    </row>
    <row r="131" spans="1:14">
      <c r="A131" s="74" t="s">
        <v>3308</v>
      </c>
      <c r="B131" s="75" t="s">
        <v>3328</v>
      </c>
      <c r="C131" s="76" t="s">
        <v>3329</v>
      </c>
      <c r="D131" s="76" t="s">
        <v>135</v>
      </c>
      <c r="E131" s="76">
        <v>16124654</v>
      </c>
      <c r="F131" s="170">
        <v>111570.25</v>
      </c>
      <c r="G131" s="170">
        <v>0</v>
      </c>
      <c r="H131" s="76">
        <v>0</v>
      </c>
      <c r="I131" s="76">
        <v>0</v>
      </c>
      <c r="J131" s="76">
        <v>0</v>
      </c>
      <c r="K131" s="76">
        <v>23429.75</v>
      </c>
      <c r="L131" s="76">
        <v>0</v>
      </c>
      <c r="M131" s="170">
        <v>0</v>
      </c>
      <c r="N131" s="170">
        <v>135000</v>
      </c>
    </row>
    <row r="132" spans="1:14" hidden="1">
      <c r="A132" s="74" t="s">
        <v>3308</v>
      </c>
      <c r="B132" s="75" t="s">
        <v>3330</v>
      </c>
      <c r="C132" s="76" t="s">
        <v>134</v>
      </c>
      <c r="D132" s="76" t="s">
        <v>135</v>
      </c>
      <c r="E132" s="76" t="s">
        <v>136</v>
      </c>
      <c r="F132" s="170">
        <v>9090.91</v>
      </c>
      <c r="G132" s="170">
        <v>0</v>
      </c>
      <c r="H132" s="76">
        <v>0</v>
      </c>
      <c r="I132" s="76">
        <v>0</v>
      </c>
      <c r="J132" s="76">
        <v>0</v>
      </c>
      <c r="K132" s="76">
        <v>1909.09</v>
      </c>
      <c r="L132" s="76">
        <v>0</v>
      </c>
      <c r="M132" s="170">
        <v>0</v>
      </c>
      <c r="N132" s="170">
        <v>11000</v>
      </c>
    </row>
    <row r="133" spans="1:14" hidden="1">
      <c r="A133" s="74" t="s">
        <v>3308</v>
      </c>
      <c r="B133" s="75" t="s">
        <v>3331</v>
      </c>
      <c r="C133" s="76" t="s">
        <v>134</v>
      </c>
      <c r="D133" s="76" t="s">
        <v>135</v>
      </c>
      <c r="E133" s="76" t="s">
        <v>136</v>
      </c>
      <c r="F133" s="170">
        <v>47107.44</v>
      </c>
      <c r="G133" s="170">
        <v>0</v>
      </c>
      <c r="H133" s="76">
        <v>0</v>
      </c>
      <c r="I133" s="76">
        <v>0</v>
      </c>
      <c r="J133" s="76">
        <v>0</v>
      </c>
      <c r="K133" s="76">
        <v>9892.56</v>
      </c>
      <c r="L133" s="76">
        <v>0</v>
      </c>
      <c r="M133" s="170">
        <v>0</v>
      </c>
      <c r="N133" s="170">
        <v>57000</v>
      </c>
    </row>
    <row r="134" spans="1:14" hidden="1">
      <c r="A134" s="74" t="s">
        <v>3308</v>
      </c>
      <c r="B134" s="75" t="s">
        <v>3332</v>
      </c>
      <c r="C134" s="76" t="s">
        <v>134</v>
      </c>
      <c r="D134" s="76" t="s">
        <v>135</v>
      </c>
      <c r="E134" s="76" t="s">
        <v>136</v>
      </c>
      <c r="F134" s="170">
        <v>15702.48</v>
      </c>
      <c r="G134" s="170">
        <v>0</v>
      </c>
      <c r="H134" s="76">
        <v>0</v>
      </c>
      <c r="I134" s="76">
        <v>0</v>
      </c>
      <c r="J134" s="76">
        <v>0</v>
      </c>
      <c r="K134" s="76">
        <v>3297.52</v>
      </c>
      <c r="L134" s="76">
        <v>0</v>
      </c>
      <c r="M134" s="170">
        <v>0</v>
      </c>
      <c r="N134" s="170">
        <v>19000</v>
      </c>
    </row>
    <row r="135" spans="1:14" hidden="1">
      <c r="A135" s="74" t="s">
        <v>3340</v>
      </c>
      <c r="B135" s="75" t="s">
        <v>3342</v>
      </c>
      <c r="C135" s="76" t="s">
        <v>134</v>
      </c>
      <c r="D135" s="76" t="s">
        <v>135</v>
      </c>
      <c r="E135" s="76" t="s">
        <v>136</v>
      </c>
      <c r="F135" s="170">
        <v>16528.93</v>
      </c>
      <c r="G135" s="170">
        <v>0</v>
      </c>
      <c r="H135" s="76">
        <v>0</v>
      </c>
      <c r="I135" s="76">
        <v>0</v>
      </c>
      <c r="J135" s="76">
        <v>0</v>
      </c>
      <c r="K135" s="76">
        <v>3471.07</v>
      </c>
      <c r="L135" s="76">
        <v>0</v>
      </c>
      <c r="M135" s="170">
        <v>0</v>
      </c>
      <c r="N135" s="170">
        <v>20000</v>
      </c>
    </row>
    <row r="136" spans="1:14" hidden="1">
      <c r="A136" s="74" t="s">
        <v>3340</v>
      </c>
      <c r="B136" s="75" t="s">
        <v>3343</v>
      </c>
      <c r="C136" s="76" t="s">
        <v>134</v>
      </c>
      <c r="D136" s="76" t="s">
        <v>135</v>
      </c>
      <c r="E136" s="76" t="s">
        <v>136</v>
      </c>
      <c r="F136" s="170">
        <v>16528.93</v>
      </c>
      <c r="G136" s="170">
        <v>0</v>
      </c>
      <c r="H136" s="76">
        <v>0</v>
      </c>
      <c r="I136" s="76">
        <v>0</v>
      </c>
      <c r="J136" s="76">
        <v>0</v>
      </c>
      <c r="K136" s="76">
        <v>3471.07</v>
      </c>
      <c r="L136" s="76">
        <v>0</v>
      </c>
      <c r="M136" s="170">
        <v>0</v>
      </c>
      <c r="N136" s="170">
        <v>20000</v>
      </c>
    </row>
    <row r="137" spans="1:14" hidden="1">
      <c r="A137" s="74" t="s">
        <v>3340</v>
      </c>
      <c r="B137" s="75" t="s">
        <v>3344</v>
      </c>
      <c r="C137" s="76" t="s">
        <v>134</v>
      </c>
      <c r="D137" s="76" t="s">
        <v>135</v>
      </c>
      <c r="E137" s="76" t="s">
        <v>136</v>
      </c>
      <c r="F137" s="170">
        <v>14049.59</v>
      </c>
      <c r="G137" s="170">
        <v>0</v>
      </c>
      <c r="H137" s="76">
        <v>0</v>
      </c>
      <c r="I137" s="76">
        <v>0</v>
      </c>
      <c r="J137" s="76">
        <v>0</v>
      </c>
      <c r="K137" s="76">
        <v>2950.41</v>
      </c>
      <c r="L137" s="76">
        <v>0</v>
      </c>
      <c r="M137" s="170">
        <v>0</v>
      </c>
      <c r="N137" s="170">
        <v>17000</v>
      </c>
    </row>
    <row r="138" spans="1:14">
      <c r="A138" s="74" t="s">
        <v>3340</v>
      </c>
      <c r="B138" s="75" t="s">
        <v>3345</v>
      </c>
      <c r="C138" s="76" t="s">
        <v>3346</v>
      </c>
      <c r="D138" s="76" t="s">
        <v>135</v>
      </c>
      <c r="E138" s="76">
        <v>14811561</v>
      </c>
      <c r="F138" s="170">
        <v>123966.94</v>
      </c>
      <c r="G138" s="170">
        <v>0</v>
      </c>
      <c r="H138" s="76">
        <v>0</v>
      </c>
      <c r="I138" s="76">
        <v>0</v>
      </c>
      <c r="J138" s="76">
        <v>0</v>
      </c>
      <c r="K138" s="76">
        <v>26033.06</v>
      </c>
      <c r="L138" s="76">
        <v>0</v>
      </c>
      <c r="M138" s="170">
        <v>0</v>
      </c>
      <c r="N138" s="170">
        <v>150000</v>
      </c>
    </row>
    <row r="139" spans="1:14" hidden="1">
      <c r="A139" s="74" t="s">
        <v>3340</v>
      </c>
      <c r="B139" s="75" t="s">
        <v>3347</v>
      </c>
      <c r="C139" s="76" t="s">
        <v>134</v>
      </c>
      <c r="D139" s="76" t="s">
        <v>135</v>
      </c>
      <c r="E139" s="76" t="s">
        <v>136</v>
      </c>
      <c r="F139" s="170">
        <v>4545.45</v>
      </c>
      <c r="G139" s="170">
        <v>0</v>
      </c>
      <c r="H139" s="76">
        <v>0</v>
      </c>
      <c r="I139" s="76">
        <v>0</v>
      </c>
      <c r="J139" s="76">
        <v>0</v>
      </c>
      <c r="K139" s="76">
        <v>954.55</v>
      </c>
      <c r="L139" s="76">
        <v>0</v>
      </c>
      <c r="M139" s="170">
        <v>0</v>
      </c>
      <c r="N139" s="170">
        <v>5500</v>
      </c>
    </row>
    <row r="140" spans="1:14" hidden="1">
      <c r="A140" s="74" t="s">
        <v>3340</v>
      </c>
      <c r="B140" s="75" t="s">
        <v>3348</v>
      </c>
      <c r="C140" s="76" t="s">
        <v>134</v>
      </c>
      <c r="D140" s="76" t="s">
        <v>135</v>
      </c>
      <c r="E140" s="76" t="s">
        <v>136</v>
      </c>
      <c r="F140" s="170">
        <v>19834.71</v>
      </c>
      <c r="G140" s="170">
        <v>0</v>
      </c>
      <c r="H140" s="76">
        <v>0</v>
      </c>
      <c r="I140" s="76">
        <v>0</v>
      </c>
      <c r="J140" s="76">
        <v>0</v>
      </c>
      <c r="K140" s="76">
        <v>4165.29</v>
      </c>
      <c r="L140" s="76">
        <v>0</v>
      </c>
      <c r="M140" s="170">
        <v>0</v>
      </c>
      <c r="N140" s="170">
        <v>24000</v>
      </c>
    </row>
    <row r="141" spans="1:14">
      <c r="A141" s="74" t="s">
        <v>3340</v>
      </c>
      <c r="B141" s="75" t="s">
        <v>3349</v>
      </c>
      <c r="C141" s="76" t="s">
        <v>3350</v>
      </c>
      <c r="D141" s="76" t="s">
        <v>135</v>
      </c>
      <c r="E141" s="76">
        <v>50511678</v>
      </c>
      <c r="F141" s="170">
        <v>34710.74</v>
      </c>
      <c r="G141" s="170">
        <v>0</v>
      </c>
      <c r="H141" s="76">
        <v>0</v>
      </c>
      <c r="I141" s="76">
        <v>0</v>
      </c>
      <c r="J141" s="76">
        <v>0</v>
      </c>
      <c r="K141" s="76">
        <v>7289.26</v>
      </c>
      <c r="L141" s="76">
        <v>0</v>
      </c>
      <c r="M141" s="170">
        <v>0</v>
      </c>
      <c r="N141" s="170">
        <v>42000</v>
      </c>
    </row>
    <row r="142" spans="1:14" hidden="1">
      <c r="A142" s="74" t="s">
        <v>3340</v>
      </c>
      <c r="B142" s="75" t="s">
        <v>3351</v>
      </c>
      <c r="C142" s="76" t="s">
        <v>134</v>
      </c>
      <c r="D142" s="76" t="s">
        <v>135</v>
      </c>
      <c r="E142" s="76" t="s">
        <v>136</v>
      </c>
      <c r="F142" s="170">
        <v>27520.66</v>
      </c>
      <c r="G142" s="170">
        <v>0</v>
      </c>
      <c r="H142" s="76">
        <v>0</v>
      </c>
      <c r="I142" s="76">
        <v>0</v>
      </c>
      <c r="J142" s="76">
        <v>0</v>
      </c>
      <c r="K142" s="76">
        <v>5779.34</v>
      </c>
      <c r="L142" s="76">
        <v>0</v>
      </c>
      <c r="M142" s="170">
        <v>0</v>
      </c>
      <c r="N142" s="170">
        <v>33300</v>
      </c>
    </row>
    <row r="143" spans="1:14" hidden="1">
      <c r="A143" s="74" t="s">
        <v>3340</v>
      </c>
      <c r="B143" s="75" t="s">
        <v>3352</v>
      </c>
      <c r="C143" s="76" t="s">
        <v>134</v>
      </c>
      <c r="D143" s="76" t="s">
        <v>135</v>
      </c>
      <c r="E143" s="76" t="s">
        <v>136</v>
      </c>
      <c r="F143" s="170">
        <v>13884.3</v>
      </c>
      <c r="G143" s="170">
        <v>0</v>
      </c>
      <c r="H143" s="76">
        <v>0</v>
      </c>
      <c r="I143" s="76">
        <v>0</v>
      </c>
      <c r="J143" s="76">
        <v>0</v>
      </c>
      <c r="K143" s="76">
        <v>2915.7</v>
      </c>
      <c r="L143" s="76">
        <v>0</v>
      </c>
      <c r="M143" s="170">
        <v>0</v>
      </c>
      <c r="N143" s="170">
        <v>16800</v>
      </c>
    </row>
    <row r="144" spans="1:14" hidden="1">
      <c r="A144" s="74" t="s">
        <v>3340</v>
      </c>
      <c r="B144" s="75" t="s">
        <v>3353</v>
      </c>
      <c r="C144" s="76" t="s">
        <v>134</v>
      </c>
      <c r="D144" s="76" t="s">
        <v>135</v>
      </c>
      <c r="E144" s="76" t="s">
        <v>136</v>
      </c>
      <c r="F144" s="170">
        <v>10000</v>
      </c>
      <c r="G144" s="170">
        <v>0</v>
      </c>
      <c r="H144" s="76">
        <v>0</v>
      </c>
      <c r="I144" s="76">
        <v>0</v>
      </c>
      <c r="J144" s="76">
        <v>0</v>
      </c>
      <c r="K144" s="76">
        <v>2100</v>
      </c>
      <c r="L144" s="76">
        <v>0</v>
      </c>
      <c r="M144" s="170">
        <v>0</v>
      </c>
      <c r="N144" s="170">
        <v>12100</v>
      </c>
    </row>
    <row r="145" spans="1:14">
      <c r="A145" s="74" t="s">
        <v>3340</v>
      </c>
      <c r="B145" s="75" t="s">
        <v>3354</v>
      </c>
      <c r="C145" s="76" t="s">
        <v>3355</v>
      </c>
      <c r="D145" s="76" t="s">
        <v>135</v>
      </c>
      <c r="E145" s="76">
        <v>30733555</v>
      </c>
      <c r="F145" s="170">
        <v>10000</v>
      </c>
      <c r="G145" s="170">
        <v>0</v>
      </c>
      <c r="H145" s="76">
        <v>0</v>
      </c>
      <c r="I145" s="76">
        <v>0</v>
      </c>
      <c r="J145" s="76">
        <v>0</v>
      </c>
      <c r="K145" s="76">
        <v>2100</v>
      </c>
      <c r="L145" s="76">
        <v>0</v>
      </c>
      <c r="M145" s="170">
        <v>0</v>
      </c>
      <c r="N145" s="170">
        <v>12100</v>
      </c>
    </row>
    <row r="146" spans="1:14" hidden="1">
      <c r="A146" s="74" t="s">
        <v>3340</v>
      </c>
      <c r="B146" s="75" t="s">
        <v>3356</v>
      </c>
      <c r="C146" s="76" t="s">
        <v>134</v>
      </c>
      <c r="D146" s="76" t="s">
        <v>135</v>
      </c>
      <c r="E146" s="76" t="s">
        <v>136</v>
      </c>
      <c r="F146" s="170">
        <v>5206.6099999999997</v>
      </c>
      <c r="G146" s="170">
        <v>0</v>
      </c>
      <c r="H146" s="76">
        <v>0</v>
      </c>
      <c r="I146" s="76">
        <v>0</v>
      </c>
      <c r="J146" s="76">
        <v>0</v>
      </c>
      <c r="K146" s="76">
        <v>1093.3900000000001</v>
      </c>
      <c r="L146" s="76">
        <v>0</v>
      </c>
      <c r="M146" s="170">
        <v>0</v>
      </c>
      <c r="N146" s="170">
        <v>6300</v>
      </c>
    </row>
    <row r="147" spans="1:14" hidden="1">
      <c r="A147" s="74" t="s">
        <v>3340</v>
      </c>
      <c r="B147" s="75" t="s">
        <v>3357</v>
      </c>
      <c r="C147" s="76" t="s">
        <v>134</v>
      </c>
      <c r="D147" s="76" t="s">
        <v>135</v>
      </c>
      <c r="E147" s="76" t="s">
        <v>136</v>
      </c>
      <c r="F147" s="170">
        <v>21487.599999999999</v>
      </c>
      <c r="G147" s="170">
        <v>0</v>
      </c>
      <c r="H147" s="76">
        <v>0</v>
      </c>
      <c r="I147" s="76">
        <v>0</v>
      </c>
      <c r="J147" s="76">
        <v>0</v>
      </c>
      <c r="K147" s="76">
        <v>4512.4000000000005</v>
      </c>
      <c r="L147" s="76">
        <v>0</v>
      </c>
      <c r="M147" s="170">
        <v>0</v>
      </c>
      <c r="N147" s="170">
        <v>26000</v>
      </c>
    </row>
    <row r="148" spans="1:14" hidden="1">
      <c r="A148" s="74" t="s">
        <v>3340</v>
      </c>
      <c r="B148" s="75" t="s">
        <v>3358</v>
      </c>
      <c r="C148" s="76" t="s">
        <v>134</v>
      </c>
      <c r="D148" s="76" t="s">
        <v>135</v>
      </c>
      <c r="E148" s="76" t="s">
        <v>136</v>
      </c>
      <c r="F148" s="170">
        <v>29338.84</v>
      </c>
      <c r="G148" s="170">
        <v>0</v>
      </c>
      <c r="H148" s="76">
        <v>0</v>
      </c>
      <c r="I148" s="76">
        <v>0</v>
      </c>
      <c r="J148" s="76">
        <v>0</v>
      </c>
      <c r="K148" s="76">
        <v>6161.16</v>
      </c>
      <c r="L148" s="76">
        <v>0</v>
      </c>
      <c r="M148" s="170">
        <v>0</v>
      </c>
      <c r="N148" s="170">
        <v>35500</v>
      </c>
    </row>
    <row r="149" spans="1:14" hidden="1">
      <c r="A149" s="74" t="s">
        <v>3340</v>
      </c>
      <c r="B149" s="75" t="s">
        <v>3359</v>
      </c>
      <c r="C149" s="76" t="s">
        <v>134</v>
      </c>
      <c r="D149" s="76" t="s">
        <v>135</v>
      </c>
      <c r="E149" s="76" t="s">
        <v>136</v>
      </c>
      <c r="F149" s="170">
        <v>10743.8</v>
      </c>
      <c r="G149" s="170">
        <v>0</v>
      </c>
      <c r="H149" s="76">
        <v>0</v>
      </c>
      <c r="I149" s="76">
        <v>0</v>
      </c>
      <c r="J149" s="76">
        <v>0</v>
      </c>
      <c r="K149" s="76">
        <v>2256.2000000000003</v>
      </c>
      <c r="L149" s="76">
        <v>0</v>
      </c>
      <c r="M149" s="170">
        <v>0</v>
      </c>
      <c r="N149" s="170">
        <v>13000</v>
      </c>
    </row>
    <row r="150" spans="1:14" hidden="1">
      <c r="A150" s="74" t="s">
        <v>3340</v>
      </c>
      <c r="B150" s="75" t="s">
        <v>3360</v>
      </c>
      <c r="C150" s="76" t="s">
        <v>134</v>
      </c>
      <c r="D150" s="76" t="s">
        <v>135</v>
      </c>
      <c r="E150" s="76" t="s">
        <v>136</v>
      </c>
      <c r="F150" s="170">
        <v>7603.31</v>
      </c>
      <c r="G150" s="170">
        <v>0</v>
      </c>
      <c r="H150" s="76">
        <v>0</v>
      </c>
      <c r="I150" s="76">
        <v>0</v>
      </c>
      <c r="J150" s="76">
        <v>0</v>
      </c>
      <c r="K150" s="76">
        <v>1596.69</v>
      </c>
      <c r="L150" s="76">
        <v>0</v>
      </c>
      <c r="M150" s="170">
        <v>0</v>
      </c>
      <c r="N150" s="170">
        <v>9200</v>
      </c>
    </row>
    <row r="151" spans="1:14" hidden="1">
      <c r="A151" s="74" t="s">
        <v>3340</v>
      </c>
      <c r="B151" s="75" t="s">
        <v>3361</v>
      </c>
      <c r="C151" s="76" t="s">
        <v>134</v>
      </c>
      <c r="D151" s="76" t="s">
        <v>135</v>
      </c>
      <c r="E151" s="76" t="s">
        <v>136</v>
      </c>
      <c r="F151" s="170">
        <v>16528.93</v>
      </c>
      <c r="G151" s="170">
        <v>0</v>
      </c>
      <c r="H151" s="76">
        <v>0</v>
      </c>
      <c r="I151" s="76">
        <v>0</v>
      </c>
      <c r="J151" s="76">
        <v>0</v>
      </c>
      <c r="K151" s="76">
        <v>3471.07</v>
      </c>
      <c r="L151" s="76">
        <v>0</v>
      </c>
      <c r="M151" s="170">
        <v>0</v>
      </c>
      <c r="N151" s="170">
        <v>20000</v>
      </c>
    </row>
    <row r="152" spans="1:14" hidden="1">
      <c r="A152" s="74" t="s">
        <v>3340</v>
      </c>
      <c r="B152" s="75" t="s">
        <v>3362</v>
      </c>
      <c r="C152" s="76" t="s">
        <v>134</v>
      </c>
      <c r="D152" s="76" t="s">
        <v>135</v>
      </c>
      <c r="E152" s="76" t="s">
        <v>136</v>
      </c>
      <c r="F152" s="170">
        <v>29752.07</v>
      </c>
      <c r="G152" s="170">
        <v>0</v>
      </c>
      <c r="H152" s="76">
        <v>0</v>
      </c>
      <c r="I152" s="76">
        <v>0</v>
      </c>
      <c r="J152" s="76">
        <v>0</v>
      </c>
      <c r="K152" s="76">
        <v>6247.93</v>
      </c>
      <c r="L152" s="76">
        <v>0</v>
      </c>
      <c r="M152" s="170">
        <v>0</v>
      </c>
      <c r="N152" s="170">
        <v>36000</v>
      </c>
    </row>
    <row r="153" spans="1:14" hidden="1">
      <c r="A153" s="74" t="s">
        <v>3340</v>
      </c>
      <c r="B153" s="75" t="s">
        <v>3363</v>
      </c>
      <c r="C153" s="76" t="s">
        <v>134</v>
      </c>
      <c r="D153" s="76" t="s">
        <v>135</v>
      </c>
      <c r="E153" s="76" t="s">
        <v>136</v>
      </c>
      <c r="F153" s="170">
        <v>14876.03</v>
      </c>
      <c r="G153" s="170">
        <v>0</v>
      </c>
      <c r="H153" s="76">
        <v>0</v>
      </c>
      <c r="I153" s="76">
        <v>0</v>
      </c>
      <c r="J153" s="76">
        <v>0</v>
      </c>
      <c r="K153" s="76">
        <v>3123.97</v>
      </c>
      <c r="L153" s="76">
        <v>0</v>
      </c>
      <c r="M153" s="170">
        <v>0</v>
      </c>
      <c r="N153" s="170">
        <v>18000</v>
      </c>
    </row>
    <row r="154" spans="1:14" hidden="1">
      <c r="A154" s="74" t="s">
        <v>3340</v>
      </c>
      <c r="B154" s="75" t="s">
        <v>3364</v>
      </c>
      <c r="C154" s="76" t="s">
        <v>134</v>
      </c>
      <c r="D154" s="76" t="s">
        <v>135</v>
      </c>
      <c r="E154" s="76" t="s">
        <v>136</v>
      </c>
      <c r="F154" s="170">
        <v>23471.07</v>
      </c>
      <c r="G154" s="170">
        <v>0</v>
      </c>
      <c r="H154" s="76">
        <v>0</v>
      </c>
      <c r="I154" s="76">
        <v>0</v>
      </c>
      <c r="J154" s="76">
        <v>0</v>
      </c>
      <c r="K154" s="76">
        <v>4928.93</v>
      </c>
      <c r="L154" s="76">
        <v>0</v>
      </c>
      <c r="M154" s="170">
        <v>0</v>
      </c>
      <c r="N154" s="170">
        <v>28400</v>
      </c>
    </row>
    <row r="155" spans="1:14" hidden="1">
      <c r="A155" s="74" t="s">
        <v>3340</v>
      </c>
      <c r="B155" s="75" t="s">
        <v>3365</v>
      </c>
      <c r="C155" s="76" t="s">
        <v>134</v>
      </c>
      <c r="D155" s="76" t="s">
        <v>135</v>
      </c>
      <c r="E155" s="76" t="s">
        <v>136</v>
      </c>
      <c r="F155" s="170">
        <v>21487.599999999999</v>
      </c>
      <c r="G155" s="170">
        <v>0</v>
      </c>
      <c r="H155" s="76">
        <v>0</v>
      </c>
      <c r="I155" s="76">
        <v>0</v>
      </c>
      <c r="J155" s="76">
        <v>0</v>
      </c>
      <c r="K155" s="76">
        <v>4512.4000000000005</v>
      </c>
      <c r="L155" s="76">
        <v>0</v>
      </c>
      <c r="M155" s="170">
        <v>0</v>
      </c>
      <c r="N155" s="170">
        <v>26000</v>
      </c>
    </row>
    <row r="156" spans="1:14" hidden="1">
      <c r="A156" s="74" t="s">
        <v>3340</v>
      </c>
      <c r="B156" s="75" t="s">
        <v>3366</v>
      </c>
      <c r="C156" s="76" t="s">
        <v>134</v>
      </c>
      <c r="D156" s="76" t="s">
        <v>135</v>
      </c>
      <c r="E156" s="76" t="s">
        <v>136</v>
      </c>
      <c r="F156" s="170">
        <v>5785.12</v>
      </c>
      <c r="G156" s="170">
        <v>0</v>
      </c>
      <c r="H156" s="76">
        <v>0</v>
      </c>
      <c r="I156" s="76">
        <v>0</v>
      </c>
      <c r="J156" s="76">
        <v>0</v>
      </c>
      <c r="K156" s="76">
        <v>1214.8800000000001</v>
      </c>
      <c r="L156" s="76">
        <v>0</v>
      </c>
      <c r="M156" s="170">
        <v>0</v>
      </c>
      <c r="N156" s="170">
        <v>7000</v>
      </c>
    </row>
    <row r="157" spans="1:14" hidden="1">
      <c r="A157" s="74" t="s">
        <v>3340</v>
      </c>
      <c r="B157" s="75" t="s">
        <v>3367</v>
      </c>
      <c r="C157" s="76" t="s">
        <v>134</v>
      </c>
      <c r="D157" s="76" t="s">
        <v>135</v>
      </c>
      <c r="E157" s="76" t="s">
        <v>136</v>
      </c>
      <c r="F157" s="170">
        <v>17355.37</v>
      </c>
      <c r="G157" s="170">
        <v>0</v>
      </c>
      <c r="H157" s="76">
        <v>0</v>
      </c>
      <c r="I157" s="76">
        <v>0</v>
      </c>
      <c r="J157" s="76">
        <v>0</v>
      </c>
      <c r="K157" s="76">
        <v>3644.63</v>
      </c>
      <c r="L157" s="76">
        <v>0</v>
      </c>
      <c r="M157" s="170">
        <v>0</v>
      </c>
      <c r="N157" s="170">
        <v>21000</v>
      </c>
    </row>
    <row r="158" spans="1:14" hidden="1">
      <c r="A158" s="74" t="s">
        <v>3340</v>
      </c>
      <c r="B158" s="75" t="s">
        <v>3368</v>
      </c>
      <c r="C158" s="76" t="s">
        <v>134</v>
      </c>
      <c r="D158" s="76" t="s">
        <v>135</v>
      </c>
      <c r="E158" s="76" t="s">
        <v>136</v>
      </c>
      <c r="F158" s="170">
        <v>11487.6</v>
      </c>
      <c r="G158" s="170">
        <v>0</v>
      </c>
      <c r="H158" s="76">
        <v>0</v>
      </c>
      <c r="I158" s="76">
        <v>0</v>
      </c>
      <c r="J158" s="76">
        <v>0</v>
      </c>
      <c r="K158" s="76">
        <v>2412.4</v>
      </c>
      <c r="L158" s="76">
        <v>0</v>
      </c>
      <c r="M158" s="170">
        <v>0</v>
      </c>
      <c r="N158" s="170">
        <v>13900</v>
      </c>
    </row>
    <row r="159" spans="1:14" hidden="1">
      <c r="A159" s="74" t="s">
        <v>3340</v>
      </c>
      <c r="B159" s="75" t="s">
        <v>3369</v>
      </c>
      <c r="C159" s="76" t="s">
        <v>134</v>
      </c>
      <c r="D159" s="76" t="s">
        <v>135</v>
      </c>
      <c r="E159" s="76" t="s">
        <v>136</v>
      </c>
      <c r="F159" s="170">
        <v>22975.21</v>
      </c>
      <c r="G159" s="170">
        <v>0</v>
      </c>
      <c r="H159" s="76">
        <v>0</v>
      </c>
      <c r="I159" s="76">
        <v>0</v>
      </c>
      <c r="J159" s="76">
        <v>0</v>
      </c>
      <c r="K159" s="76">
        <v>4824.79</v>
      </c>
      <c r="L159" s="76">
        <v>0</v>
      </c>
      <c r="M159" s="170">
        <v>0</v>
      </c>
      <c r="N159" s="170">
        <v>27800</v>
      </c>
    </row>
    <row r="160" spans="1:14" hidden="1">
      <c r="A160" s="74" t="s">
        <v>3376</v>
      </c>
      <c r="B160" s="75" t="s">
        <v>3377</v>
      </c>
      <c r="C160" s="76" t="s">
        <v>134</v>
      </c>
      <c r="D160" s="76" t="s">
        <v>135</v>
      </c>
      <c r="E160" s="76" t="s">
        <v>136</v>
      </c>
      <c r="F160" s="170">
        <v>31239.67</v>
      </c>
      <c r="G160" s="170">
        <v>0</v>
      </c>
      <c r="H160" s="76">
        <v>0</v>
      </c>
      <c r="I160" s="76">
        <v>0</v>
      </c>
      <c r="J160" s="76">
        <v>0</v>
      </c>
      <c r="K160" s="76">
        <v>6560.33</v>
      </c>
      <c r="L160" s="76">
        <v>0</v>
      </c>
      <c r="M160" s="170">
        <v>0</v>
      </c>
      <c r="N160" s="170">
        <v>37800</v>
      </c>
    </row>
    <row r="161" spans="1:14" hidden="1">
      <c r="A161" s="74" t="s">
        <v>3376</v>
      </c>
      <c r="B161" s="75" t="s">
        <v>3378</v>
      </c>
      <c r="C161" s="76" t="s">
        <v>134</v>
      </c>
      <c r="D161" s="76" t="s">
        <v>135</v>
      </c>
      <c r="E161" s="76" t="s">
        <v>136</v>
      </c>
      <c r="F161" s="170">
        <v>10743.8</v>
      </c>
      <c r="G161" s="170">
        <v>0</v>
      </c>
      <c r="H161" s="76">
        <v>0</v>
      </c>
      <c r="I161" s="76">
        <v>0</v>
      </c>
      <c r="J161" s="76">
        <v>0</v>
      </c>
      <c r="K161" s="76">
        <v>2256.2000000000003</v>
      </c>
      <c r="L161" s="76">
        <v>0</v>
      </c>
      <c r="M161" s="170">
        <v>0</v>
      </c>
      <c r="N161" s="170">
        <v>13000</v>
      </c>
    </row>
    <row r="162" spans="1:14" hidden="1">
      <c r="A162" s="74" t="s">
        <v>3376</v>
      </c>
      <c r="B162" s="75" t="s">
        <v>3379</v>
      </c>
      <c r="C162" s="76" t="s">
        <v>134</v>
      </c>
      <c r="D162" s="76" t="s">
        <v>135</v>
      </c>
      <c r="E162" s="76" t="s">
        <v>136</v>
      </c>
      <c r="F162" s="170">
        <v>14876.03</v>
      </c>
      <c r="G162" s="170">
        <v>0</v>
      </c>
      <c r="H162" s="76">
        <v>0</v>
      </c>
      <c r="I162" s="76">
        <v>0</v>
      </c>
      <c r="J162" s="76">
        <v>0</v>
      </c>
      <c r="K162" s="76">
        <v>3123.97</v>
      </c>
      <c r="L162" s="76">
        <v>0</v>
      </c>
      <c r="M162" s="170">
        <v>0</v>
      </c>
      <c r="N162" s="170">
        <v>18000</v>
      </c>
    </row>
    <row r="163" spans="1:14" hidden="1">
      <c r="A163" s="74" t="s">
        <v>3376</v>
      </c>
      <c r="B163" s="75" t="s">
        <v>3380</v>
      </c>
      <c r="C163" s="76" t="s">
        <v>134</v>
      </c>
      <c r="D163" s="76" t="s">
        <v>135</v>
      </c>
      <c r="E163" s="76" t="s">
        <v>136</v>
      </c>
      <c r="F163" s="170">
        <v>8264.4600000000009</v>
      </c>
      <c r="G163" s="170">
        <v>0</v>
      </c>
      <c r="H163" s="76">
        <v>0</v>
      </c>
      <c r="I163" s="76">
        <v>0</v>
      </c>
      <c r="J163" s="76">
        <v>0</v>
      </c>
      <c r="K163" s="76">
        <v>1735.54</v>
      </c>
      <c r="L163" s="76">
        <v>0</v>
      </c>
      <c r="M163" s="170">
        <v>0</v>
      </c>
      <c r="N163" s="170">
        <v>10000</v>
      </c>
    </row>
    <row r="164" spans="1:14" hidden="1">
      <c r="A164" s="74" t="s">
        <v>3376</v>
      </c>
      <c r="B164" s="75" t="s">
        <v>3381</v>
      </c>
      <c r="C164" s="76" t="s">
        <v>134</v>
      </c>
      <c r="D164" s="76" t="s">
        <v>135</v>
      </c>
      <c r="E164" s="76" t="s">
        <v>136</v>
      </c>
      <c r="F164" s="170">
        <v>14462.81</v>
      </c>
      <c r="G164" s="170">
        <v>0</v>
      </c>
      <c r="H164" s="76">
        <v>0</v>
      </c>
      <c r="I164" s="76">
        <v>0</v>
      </c>
      <c r="J164" s="76">
        <v>0</v>
      </c>
      <c r="K164" s="76">
        <v>3037.19</v>
      </c>
      <c r="L164" s="76">
        <v>0</v>
      </c>
      <c r="M164" s="170">
        <v>0</v>
      </c>
      <c r="N164" s="170">
        <v>17500</v>
      </c>
    </row>
    <row r="165" spans="1:14" hidden="1">
      <c r="A165" s="74" t="s">
        <v>3376</v>
      </c>
      <c r="B165" s="75" t="s">
        <v>3382</v>
      </c>
      <c r="C165" s="76" t="s">
        <v>134</v>
      </c>
      <c r="D165" s="76" t="s">
        <v>135</v>
      </c>
      <c r="E165" s="76" t="s">
        <v>136</v>
      </c>
      <c r="F165" s="170">
        <v>10743.8</v>
      </c>
      <c r="G165" s="170">
        <v>0</v>
      </c>
      <c r="H165" s="76">
        <v>0</v>
      </c>
      <c r="I165" s="76">
        <v>0</v>
      </c>
      <c r="J165" s="76">
        <v>0</v>
      </c>
      <c r="K165" s="76">
        <v>2256.2000000000003</v>
      </c>
      <c r="L165" s="76">
        <v>0</v>
      </c>
      <c r="M165" s="170">
        <v>0</v>
      </c>
      <c r="N165" s="170">
        <v>13000</v>
      </c>
    </row>
    <row r="166" spans="1:14" hidden="1">
      <c r="A166" s="74" t="s">
        <v>3376</v>
      </c>
      <c r="B166" s="75" t="s">
        <v>3383</v>
      </c>
      <c r="C166" s="76" t="s">
        <v>134</v>
      </c>
      <c r="D166" s="76" t="s">
        <v>135</v>
      </c>
      <c r="E166" s="76" t="s">
        <v>136</v>
      </c>
      <c r="F166" s="170">
        <v>11570.25</v>
      </c>
      <c r="G166" s="170">
        <v>0</v>
      </c>
      <c r="H166" s="76">
        <v>0</v>
      </c>
      <c r="I166" s="76">
        <v>0</v>
      </c>
      <c r="J166" s="76">
        <v>0</v>
      </c>
      <c r="K166" s="76">
        <v>2429.75</v>
      </c>
      <c r="L166" s="76">
        <v>0</v>
      </c>
      <c r="M166" s="170">
        <v>0</v>
      </c>
      <c r="N166" s="170">
        <v>14000</v>
      </c>
    </row>
    <row r="167" spans="1:14" hidden="1">
      <c r="A167" s="74" t="s">
        <v>3376</v>
      </c>
      <c r="B167" s="75" t="s">
        <v>3384</v>
      </c>
      <c r="C167" s="76" t="s">
        <v>134</v>
      </c>
      <c r="D167" s="76" t="s">
        <v>135</v>
      </c>
      <c r="E167" s="76" t="s">
        <v>136</v>
      </c>
      <c r="F167" s="170">
        <v>28925.62</v>
      </c>
      <c r="G167" s="170">
        <v>0</v>
      </c>
      <c r="H167" s="76">
        <v>0</v>
      </c>
      <c r="I167" s="76">
        <v>0</v>
      </c>
      <c r="J167" s="76">
        <v>0</v>
      </c>
      <c r="K167" s="76">
        <v>6074.38</v>
      </c>
      <c r="L167" s="76">
        <v>0</v>
      </c>
      <c r="M167" s="170">
        <v>0</v>
      </c>
      <c r="N167" s="170">
        <v>35000</v>
      </c>
    </row>
    <row r="168" spans="1:14" hidden="1">
      <c r="A168" s="74" t="s">
        <v>3376</v>
      </c>
      <c r="B168" s="75" t="s">
        <v>3385</v>
      </c>
      <c r="C168" s="76" t="s">
        <v>134</v>
      </c>
      <c r="D168" s="76" t="s">
        <v>135</v>
      </c>
      <c r="E168" s="76" t="s">
        <v>136</v>
      </c>
      <c r="F168" s="170">
        <v>14462.81</v>
      </c>
      <c r="G168" s="170">
        <v>0</v>
      </c>
      <c r="H168" s="76">
        <v>0</v>
      </c>
      <c r="I168" s="76">
        <v>0</v>
      </c>
      <c r="J168" s="76">
        <v>0</v>
      </c>
      <c r="K168" s="76">
        <v>3037.19</v>
      </c>
      <c r="L168" s="76">
        <v>0</v>
      </c>
      <c r="M168" s="170">
        <v>0</v>
      </c>
      <c r="N168" s="170">
        <v>17500</v>
      </c>
    </row>
    <row r="169" spans="1:14" hidden="1">
      <c r="A169" s="74" t="s">
        <v>3376</v>
      </c>
      <c r="B169" s="75" t="s">
        <v>3386</v>
      </c>
      <c r="C169" s="76" t="s">
        <v>134</v>
      </c>
      <c r="D169" s="76" t="s">
        <v>135</v>
      </c>
      <c r="E169" s="76" t="s">
        <v>136</v>
      </c>
      <c r="F169" s="170">
        <v>11239.67</v>
      </c>
      <c r="G169" s="170">
        <v>0</v>
      </c>
      <c r="H169" s="76">
        <v>0</v>
      </c>
      <c r="I169" s="76">
        <v>0</v>
      </c>
      <c r="J169" s="76">
        <v>0</v>
      </c>
      <c r="K169" s="76">
        <v>2360.33</v>
      </c>
      <c r="L169" s="76">
        <v>0</v>
      </c>
      <c r="M169" s="170">
        <v>0</v>
      </c>
      <c r="N169" s="170">
        <v>13600</v>
      </c>
    </row>
    <row r="170" spans="1:14" hidden="1">
      <c r="A170" s="74" t="s">
        <v>3376</v>
      </c>
      <c r="B170" s="75" t="s">
        <v>3387</v>
      </c>
      <c r="C170" s="76" t="s">
        <v>134</v>
      </c>
      <c r="D170" s="76" t="s">
        <v>135</v>
      </c>
      <c r="E170" s="76" t="s">
        <v>136</v>
      </c>
      <c r="F170" s="170">
        <v>39669.42</v>
      </c>
      <c r="G170" s="170">
        <v>0</v>
      </c>
      <c r="H170" s="76">
        <v>0</v>
      </c>
      <c r="I170" s="76">
        <v>0</v>
      </c>
      <c r="J170" s="76">
        <v>0</v>
      </c>
      <c r="K170" s="76">
        <v>8330.58</v>
      </c>
      <c r="L170" s="76">
        <v>0</v>
      </c>
      <c r="M170" s="170">
        <v>0</v>
      </c>
      <c r="N170" s="170">
        <v>48000</v>
      </c>
    </row>
    <row r="171" spans="1:14" hidden="1">
      <c r="A171" s="74" t="s">
        <v>3376</v>
      </c>
      <c r="B171" s="75" t="s">
        <v>3388</v>
      </c>
      <c r="C171" s="76" t="s">
        <v>134</v>
      </c>
      <c r="D171" s="76" t="s">
        <v>135</v>
      </c>
      <c r="E171" s="76" t="s">
        <v>136</v>
      </c>
      <c r="F171" s="170">
        <v>14669.42</v>
      </c>
      <c r="G171" s="170">
        <v>0</v>
      </c>
      <c r="H171" s="76">
        <v>0</v>
      </c>
      <c r="I171" s="76">
        <v>0</v>
      </c>
      <c r="J171" s="76">
        <v>0</v>
      </c>
      <c r="K171" s="76">
        <v>3080.58</v>
      </c>
      <c r="L171" s="76">
        <v>0</v>
      </c>
      <c r="M171" s="170">
        <v>0</v>
      </c>
      <c r="N171" s="170">
        <v>17750</v>
      </c>
    </row>
    <row r="172" spans="1:14">
      <c r="A172" s="74" t="s">
        <v>3376</v>
      </c>
      <c r="B172" s="75" t="s">
        <v>3389</v>
      </c>
      <c r="C172" s="76" t="s">
        <v>3390</v>
      </c>
      <c r="D172" s="76" t="s">
        <v>135</v>
      </c>
      <c r="E172" s="76">
        <v>32532336</v>
      </c>
      <c r="F172" s="170">
        <v>10330.58</v>
      </c>
      <c r="G172" s="170">
        <v>0</v>
      </c>
      <c r="H172" s="76">
        <v>0</v>
      </c>
      <c r="I172" s="76">
        <v>0</v>
      </c>
      <c r="J172" s="76">
        <v>0</v>
      </c>
      <c r="K172" s="76">
        <v>2169.42</v>
      </c>
      <c r="L172" s="76">
        <v>0</v>
      </c>
      <c r="M172" s="170">
        <v>0</v>
      </c>
      <c r="N172" s="170">
        <v>12500</v>
      </c>
    </row>
    <row r="173" spans="1:14" hidden="1">
      <c r="A173" s="74" t="s">
        <v>3376</v>
      </c>
      <c r="B173" s="75" t="s">
        <v>3391</v>
      </c>
      <c r="C173" s="76" t="s">
        <v>134</v>
      </c>
      <c r="D173" s="76" t="s">
        <v>135</v>
      </c>
      <c r="E173" s="76" t="s">
        <v>136</v>
      </c>
      <c r="F173" s="170">
        <v>10330.58</v>
      </c>
      <c r="G173" s="170">
        <v>0</v>
      </c>
      <c r="H173" s="76">
        <v>0</v>
      </c>
      <c r="I173" s="76">
        <v>0</v>
      </c>
      <c r="J173" s="76">
        <v>0</v>
      </c>
      <c r="K173" s="76">
        <v>2169.42</v>
      </c>
      <c r="L173" s="76">
        <v>0</v>
      </c>
      <c r="M173" s="170">
        <v>0</v>
      </c>
      <c r="N173" s="170">
        <v>12500</v>
      </c>
    </row>
    <row r="174" spans="1:14" hidden="1">
      <c r="A174" s="74" t="s">
        <v>3376</v>
      </c>
      <c r="B174" s="75" t="s">
        <v>3392</v>
      </c>
      <c r="C174" s="76" t="s">
        <v>134</v>
      </c>
      <c r="D174" s="76" t="s">
        <v>135</v>
      </c>
      <c r="E174" s="76" t="s">
        <v>136</v>
      </c>
      <c r="F174" s="170">
        <v>48925.62</v>
      </c>
      <c r="G174" s="170">
        <v>0</v>
      </c>
      <c r="H174" s="76">
        <v>0</v>
      </c>
      <c r="I174" s="76">
        <v>0</v>
      </c>
      <c r="J174" s="76">
        <v>0</v>
      </c>
      <c r="K174" s="76">
        <v>10274.380000000001</v>
      </c>
      <c r="L174" s="76">
        <v>0</v>
      </c>
      <c r="M174" s="170">
        <v>0</v>
      </c>
      <c r="N174" s="170">
        <v>59200</v>
      </c>
    </row>
    <row r="175" spans="1:14" hidden="1">
      <c r="A175" s="74" t="s">
        <v>3376</v>
      </c>
      <c r="B175" s="75" t="s">
        <v>3393</v>
      </c>
      <c r="C175" s="76" t="s">
        <v>134</v>
      </c>
      <c r="D175" s="76" t="s">
        <v>135</v>
      </c>
      <c r="E175" s="76" t="s">
        <v>136</v>
      </c>
      <c r="F175" s="170">
        <v>10743.8</v>
      </c>
      <c r="G175" s="170">
        <v>0</v>
      </c>
      <c r="H175" s="76">
        <v>0</v>
      </c>
      <c r="I175" s="76">
        <v>0</v>
      </c>
      <c r="J175" s="76">
        <v>0</v>
      </c>
      <c r="K175" s="76">
        <v>2256.2000000000003</v>
      </c>
      <c r="L175" s="76">
        <v>0</v>
      </c>
      <c r="M175" s="170">
        <v>0</v>
      </c>
      <c r="N175" s="170">
        <v>13000</v>
      </c>
    </row>
    <row r="176" spans="1:14" hidden="1">
      <c r="A176" s="74" t="s">
        <v>3376</v>
      </c>
      <c r="B176" s="75" t="s">
        <v>3394</v>
      </c>
      <c r="C176" s="76" t="s">
        <v>134</v>
      </c>
      <c r="D176" s="76" t="s">
        <v>135</v>
      </c>
      <c r="E176" s="76" t="s">
        <v>136</v>
      </c>
      <c r="F176" s="170">
        <v>10330.58</v>
      </c>
      <c r="G176" s="170">
        <v>0</v>
      </c>
      <c r="H176" s="76">
        <v>0</v>
      </c>
      <c r="I176" s="76">
        <v>0</v>
      </c>
      <c r="J176" s="76">
        <v>0</v>
      </c>
      <c r="K176" s="76">
        <v>2169.42</v>
      </c>
      <c r="L176" s="76">
        <v>0</v>
      </c>
      <c r="M176" s="170">
        <v>0</v>
      </c>
      <c r="N176" s="170">
        <v>12500</v>
      </c>
    </row>
    <row r="177" spans="1:14" hidden="1">
      <c r="A177" s="74" t="s">
        <v>3376</v>
      </c>
      <c r="B177" s="75" t="s">
        <v>3395</v>
      </c>
      <c r="C177" s="76" t="s">
        <v>134</v>
      </c>
      <c r="D177" s="76" t="s">
        <v>135</v>
      </c>
      <c r="E177" s="76" t="s">
        <v>136</v>
      </c>
      <c r="F177" s="170">
        <v>14669.42</v>
      </c>
      <c r="G177" s="170">
        <v>0</v>
      </c>
      <c r="H177" s="76">
        <v>0</v>
      </c>
      <c r="I177" s="76">
        <v>0</v>
      </c>
      <c r="J177" s="76">
        <v>0</v>
      </c>
      <c r="K177" s="76">
        <v>3080.58</v>
      </c>
      <c r="L177" s="76">
        <v>0</v>
      </c>
      <c r="M177" s="170">
        <v>0</v>
      </c>
      <c r="N177" s="170">
        <v>17750</v>
      </c>
    </row>
    <row r="178" spans="1:14" hidden="1">
      <c r="A178" s="74" t="s">
        <v>3376</v>
      </c>
      <c r="B178" s="75" t="s">
        <v>3396</v>
      </c>
      <c r="C178" s="76" t="s">
        <v>134</v>
      </c>
      <c r="D178" s="76" t="s">
        <v>135</v>
      </c>
      <c r="E178" s="76" t="s">
        <v>136</v>
      </c>
      <c r="F178" s="170">
        <v>12809.92</v>
      </c>
      <c r="G178" s="170">
        <v>0</v>
      </c>
      <c r="H178" s="76">
        <v>0</v>
      </c>
      <c r="I178" s="76">
        <v>0</v>
      </c>
      <c r="J178" s="76">
        <v>0</v>
      </c>
      <c r="K178" s="76">
        <v>2690.08</v>
      </c>
      <c r="L178" s="76">
        <v>0</v>
      </c>
      <c r="M178" s="170">
        <v>0</v>
      </c>
      <c r="N178" s="170">
        <v>15500</v>
      </c>
    </row>
    <row r="179" spans="1:14" hidden="1">
      <c r="A179" s="74" t="s">
        <v>3376</v>
      </c>
      <c r="B179" s="75" t="s">
        <v>3397</v>
      </c>
      <c r="C179" s="76" t="s">
        <v>134</v>
      </c>
      <c r="D179" s="76" t="s">
        <v>135</v>
      </c>
      <c r="E179" s="76" t="s">
        <v>136</v>
      </c>
      <c r="F179" s="170">
        <v>14669.42</v>
      </c>
      <c r="G179" s="170">
        <v>0</v>
      </c>
      <c r="H179" s="76">
        <v>0</v>
      </c>
      <c r="I179" s="76">
        <v>0</v>
      </c>
      <c r="J179" s="76">
        <v>0</v>
      </c>
      <c r="K179" s="76">
        <v>3080.58</v>
      </c>
      <c r="L179" s="76">
        <v>0</v>
      </c>
      <c r="M179" s="170">
        <v>0</v>
      </c>
      <c r="N179" s="170">
        <v>17750</v>
      </c>
    </row>
    <row r="180" spans="1:14" hidden="1">
      <c r="A180" s="74" t="s">
        <v>3406</v>
      </c>
      <c r="B180" s="75" t="s">
        <v>3410</v>
      </c>
      <c r="C180" s="76" t="s">
        <v>134</v>
      </c>
      <c r="D180" s="76" t="s">
        <v>135</v>
      </c>
      <c r="E180" s="76" t="s">
        <v>136</v>
      </c>
      <c r="F180" s="170">
        <v>25289.26</v>
      </c>
      <c r="G180" s="170">
        <v>0</v>
      </c>
      <c r="H180" s="76">
        <v>0</v>
      </c>
      <c r="I180" s="76">
        <v>0</v>
      </c>
      <c r="J180" s="76">
        <v>0</v>
      </c>
      <c r="K180" s="76">
        <v>5310.74</v>
      </c>
      <c r="L180" s="76">
        <v>0</v>
      </c>
      <c r="M180" s="170">
        <v>0</v>
      </c>
      <c r="N180" s="170">
        <v>30600</v>
      </c>
    </row>
    <row r="181" spans="1:14" hidden="1">
      <c r="A181" s="74" t="s">
        <v>3406</v>
      </c>
      <c r="B181" s="75" t="s">
        <v>3411</v>
      </c>
      <c r="C181" s="76" t="s">
        <v>134</v>
      </c>
      <c r="D181" s="76" t="s">
        <v>135</v>
      </c>
      <c r="E181" s="76" t="s">
        <v>136</v>
      </c>
      <c r="F181" s="170">
        <v>22148.76</v>
      </c>
      <c r="G181" s="170">
        <v>0</v>
      </c>
      <c r="H181" s="76">
        <v>0</v>
      </c>
      <c r="I181" s="76">
        <v>0</v>
      </c>
      <c r="J181" s="76">
        <v>0</v>
      </c>
      <c r="K181" s="76">
        <v>4651.24</v>
      </c>
      <c r="L181" s="76">
        <v>0</v>
      </c>
      <c r="M181" s="170">
        <v>0</v>
      </c>
      <c r="N181" s="170">
        <v>26800</v>
      </c>
    </row>
    <row r="182" spans="1:14">
      <c r="A182" s="74" t="s">
        <v>3406</v>
      </c>
      <c r="B182" s="75" t="s">
        <v>3412</v>
      </c>
      <c r="C182" s="76" t="s">
        <v>3413</v>
      </c>
      <c r="D182" s="76" t="s">
        <v>343</v>
      </c>
      <c r="E182" s="76">
        <v>20117948839</v>
      </c>
      <c r="F182" s="170">
        <v>416528.93</v>
      </c>
      <c r="G182" s="170">
        <v>0</v>
      </c>
      <c r="H182" s="76">
        <v>0</v>
      </c>
      <c r="I182" s="76">
        <v>0</v>
      </c>
      <c r="J182" s="76">
        <v>0</v>
      </c>
      <c r="K182" s="76">
        <v>87471.07</v>
      </c>
      <c r="L182" s="76">
        <v>0</v>
      </c>
      <c r="M182" s="170">
        <v>0</v>
      </c>
      <c r="N182" s="170">
        <v>504000</v>
      </c>
    </row>
    <row r="183" spans="1:14" hidden="1">
      <c r="A183" s="74" t="s">
        <v>3406</v>
      </c>
      <c r="B183" s="75" t="s">
        <v>3414</v>
      </c>
      <c r="C183" s="76" t="s">
        <v>134</v>
      </c>
      <c r="D183" s="76" t="s">
        <v>135</v>
      </c>
      <c r="E183" s="76" t="s">
        <v>136</v>
      </c>
      <c r="F183" s="170">
        <v>11487.6</v>
      </c>
      <c r="G183" s="170">
        <v>0</v>
      </c>
      <c r="H183" s="76">
        <v>0</v>
      </c>
      <c r="I183" s="76">
        <v>0</v>
      </c>
      <c r="J183" s="76">
        <v>0</v>
      </c>
      <c r="K183" s="76">
        <v>2412.4</v>
      </c>
      <c r="L183" s="76">
        <v>0</v>
      </c>
      <c r="M183" s="170">
        <v>0</v>
      </c>
      <c r="N183" s="170">
        <v>13900</v>
      </c>
    </row>
    <row r="184" spans="1:14" hidden="1">
      <c r="A184" s="74" t="s">
        <v>3406</v>
      </c>
      <c r="B184" s="75" t="s">
        <v>3415</v>
      </c>
      <c r="C184" s="76" t="s">
        <v>134</v>
      </c>
      <c r="D184" s="76" t="s">
        <v>135</v>
      </c>
      <c r="E184" s="76" t="s">
        <v>136</v>
      </c>
      <c r="F184" s="170">
        <v>10743.8</v>
      </c>
      <c r="G184" s="170">
        <v>0</v>
      </c>
      <c r="H184" s="76">
        <v>0</v>
      </c>
      <c r="I184" s="76">
        <v>0</v>
      </c>
      <c r="J184" s="76">
        <v>0</v>
      </c>
      <c r="K184" s="76">
        <v>2256.2000000000003</v>
      </c>
      <c r="L184" s="76">
        <v>0</v>
      </c>
      <c r="M184" s="170">
        <v>0</v>
      </c>
      <c r="N184" s="170">
        <v>13000</v>
      </c>
    </row>
    <row r="185" spans="1:14" hidden="1">
      <c r="A185" s="74" t="s">
        <v>3406</v>
      </c>
      <c r="B185" s="75" t="s">
        <v>3416</v>
      </c>
      <c r="C185" s="76" t="s">
        <v>134</v>
      </c>
      <c r="D185" s="76" t="s">
        <v>135</v>
      </c>
      <c r="E185" s="76" t="s">
        <v>136</v>
      </c>
      <c r="F185" s="170">
        <v>15371.9</v>
      </c>
      <c r="G185" s="170">
        <v>0</v>
      </c>
      <c r="H185" s="76">
        <v>0</v>
      </c>
      <c r="I185" s="76">
        <v>0</v>
      </c>
      <c r="J185" s="76">
        <v>0</v>
      </c>
      <c r="K185" s="76">
        <v>3228.1</v>
      </c>
      <c r="L185" s="76">
        <v>0</v>
      </c>
      <c r="M185" s="170">
        <v>0</v>
      </c>
      <c r="N185" s="170">
        <v>18600</v>
      </c>
    </row>
    <row r="186" spans="1:14" hidden="1">
      <c r="A186" s="74" t="s">
        <v>3406</v>
      </c>
      <c r="B186" s="75" t="s">
        <v>3417</v>
      </c>
      <c r="C186" s="76" t="s">
        <v>134</v>
      </c>
      <c r="D186" s="76" t="s">
        <v>135</v>
      </c>
      <c r="E186" s="76" t="s">
        <v>136</v>
      </c>
      <c r="F186" s="170">
        <v>42975.21</v>
      </c>
      <c r="G186" s="170">
        <v>0</v>
      </c>
      <c r="H186" s="76">
        <v>0</v>
      </c>
      <c r="I186" s="76">
        <v>0</v>
      </c>
      <c r="J186" s="76">
        <v>0</v>
      </c>
      <c r="K186" s="76">
        <v>9024.7900000000009</v>
      </c>
      <c r="L186" s="76">
        <v>0</v>
      </c>
      <c r="M186" s="170">
        <v>0</v>
      </c>
      <c r="N186" s="170">
        <v>52000</v>
      </c>
    </row>
    <row r="187" spans="1:14" hidden="1">
      <c r="A187" s="74" t="s">
        <v>3406</v>
      </c>
      <c r="B187" s="75" t="s">
        <v>3418</v>
      </c>
      <c r="C187" s="76" t="s">
        <v>134</v>
      </c>
      <c r="D187" s="76" t="s">
        <v>135</v>
      </c>
      <c r="E187" s="76" t="s">
        <v>136</v>
      </c>
      <c r="F187" s="170">
        <v>10743.8</v>
      </c>
      <c r="G187" s="170">
        <v>0</v>
      </c>
      <c r="H187" s="76">
        <v>0</v>
      </c>
      <c r="I187" s="76">
        <v>0</v>
      </c>
      <c r="J187" s="76">
        <v>0</v>
      </c>
      <c r="K187" s="76">
        <v>2256.2000000000003</v>
      </c>
      <c r="L187" s="76">
        <v>0</v>
      </c>
      <c r="M187" s="170">
        <v>0</v>
      </c>
      <c r="N187" s="170">
        <v>13000</v>
      </c>
    </row>
    <row r="188" spans="1:14" hidden="1">
      <c r="A188" s="74" t="s">
        <v>3406</v>
      </c>
      <c r="B188" s="75" t="s">
        <v>3419</v>
      </c>
      <c r="C188" s="76" t="s">
        <v>134</v>
      </c>
      <c r="D188" s="76" t="s">
        <v>135</v>
      </c>
      <c r="E188" s="76" t="s">
        <v>136</v>
      </c>
      <c r="F188" s="170">
        <v>15909.09</v>
      </c>
      <c r="G188" s="170">
        <v>0</v>
      </c>
      <c r="H188" s="76">
        <v>0</v>
      </c>
      <c r="I188" s="76">
        <v>0</v>
      </c>
      <c r="J188" s="76">
        <v>0</v>
      </c>
      <c r="K188" s="76">
        <v>3340.91</v>
      </c>
      <c r="L188" s="76">
        <v>0</v>
      </c>
      <c r="M188" s="170">
        <v>0</v>
      </c>
      <c r="N188" s="170">
        <v>19250</v>
      </c>
    </row>
    <row r="189" spans="1:14" hidden="1">
      <c r="A189" s="74" t="s">
        <v>3406</v>
      </c>
      <c r="B189" s="75" t="s">
        <v>3420</v>
      </c>
      <c r="C189" s="76" t="s">
        <v>134</v>
      </c>
      <c r="D189" s="76" t="s">
        <v>135</v>
      </c>
      <c r="E189" s="76" t="s">
        <v>136</v>
      </c>
      <c r="F189" s="170">
        <v>12809.92</v>
      </c>
      <c r="G189" s="170">
        <v>0</v>
      </c>
      <c r="H189" s="76">
        <v>0</v>
      </c>
      <c r="I189" s="76">
        <v>0</v>
      </c>
      <c r="J189" s="76">
        <v>0</v>
      </c>
      <c r="K189" s="76">
        <v>2690.08</v>
      </c>
      <c r="L189" s="76">
        <v>0</v>
      </c>
      <c r="M189" s="170">
        <v>0</v>
      </c>
      <c r="N189" s="170">
        <v>15500</v>
      </c>
    </row>
    <row r="190" spans="1:14" hidden="1">
      <c r="A190" s="74" t="s">
        <v>3406</v>
      </c>
      <c r="B190" s="75" t="s">
        <v>3421</v>
      </c>
      <c r="C190" s="76" t="s">
        <v>134</v>
      </c>
      <c r="D190" s="76" t="s">
        <v>135</v>
      </c>
      <c r="E190" s="76" t="s">
        <v>136</v>
      </c>
      <c r="F190" s="170">
        <v>11487.6</v>
      </c>
      <c r="G190" s="170">
        <v>0</v>
      </c>
      <c r="H190" s="76">
        <v>0</v>
      </c>
      <c r="I190" s="76">
        <v>0</v>
      </c>
      <c r="J190" s="76">
        <v>0</v>
      </c>
      <c r="K190" s="76">
        <v>2412.4</v>
      </c>
      <c r="L190" s="76">
        <v>0</v>
      </c>
      <c r="M190" s="170">
        <v>0</v>
      </c>
      <c r="N190" s="170">
        <v>13900</v>
      </c>
    </row>
    <row r="191" spans="1:14" hidden="1">
      <c r="A191" s="74" t="s">
        <v>3406</v>
      </c>
      <c r="B191" s="75" t="s">
        <v>3422</v>
      </c>
      <c r="C191" s="76" t="s">
        <v>134</v>
      </c>
      <c r="D191" s="76" t="s">
        <v>135</v>
      </c>
      <c r="E191" s="76" t="s">
        <v>136</v>
      </c>
      <c r="F191" s="170">
        <v>10743.8</v>
      </c>
      <c r="G191" s="170">
        <v>0</v>
      </c>
      <c r="H191" s="76">
        <v>0</v>
      </c>
      <c r="I191" s="76">
        <v>0</v>
      </c>
      <c r="J191" s="76">
        <v>0</v>
      </c>
      <c r="K191" s="76">
        <v>2256.2000000000003</v>
      </c>
      <c r="L191" s="76">
        <v>0</v>
      </c>
      <c r="M191" s="170">
        <v>0</v>
      </c>
      <c r="N191" s="170">
        <v>13000</v>
      </c>
    </row>
    <row r="192" spans="1:14" hidden="1">
      <c r="A192" s="74" t="s">
        <v>3406</v>
      </c>
      <c r="B192" s="75" t="s">
        <v>3423</v>
      </c>
      <c r="C192" s="76" t="s">
        <v>134</v>
      </c>
      <c r="D192" s="76" t="s">
        <v>135</v>
      </c>
      <c r="E192" s="76" t="s">
        <v>136</v>
      </c>
      <c r="F192" s="170">
        <v>19173.55</v>
      </c>
      <c r="G192" s="170">
        <v>0</v>
      </c>
      <c r="H192" s="76">
        <v>0</v>
      </c>
      <c r="I192" s="76">
        <v>0</v>
      </c>
      <c r="J192" s="76">
        <v>0</v>
      </c>
      <c r="K192" s="76">
        <v>4026.45</v>
      </c>
      <c r="L192" s="76">
        <v>0</v>
      </c>
      <c r="M192" s="170">
        <v>0</v>
      </c>
      <c r="N192" s="170">
        <v>23200</v>
      </c>
    </row>
    <row r="193" spans="1:14" hidden="1">
      <c r="A193" s="74" t="s">
        <v>3406</v>
      </c>
      <c r="B193" s="75" t="s">
        <v>3424</v>
      </c>
      <c r="C193" s="76" t="s">
        <v>134</v>
      </c>
      <c r="D193" s="76" t="s">
        <v>135</v>
      </c>
      <c r="E193" s="76" t="s">
        <v>136</v>
      </c>
      <c r="F193" s="170">
        <v>10743.8</v>
      </c>
      <c r="G193" s="170">
        <v>0</v>
      </c>
      <c r="H193" s="76">
        <v>0</v>
      </c>
      <c r="I193" s="76">
        <v>0</v>
      </c>
      <c r="J193" s="76">
        <v>0</v>
      </c>
      <c r="K193" s="76">
        <v>2256.2000000000003</v>
      </c>
      <c r="L193" s="76">
        <v>0</v>
      </c>
      <c r="M193" s="170">
        <v>0</v>
      </c>
      <c r="N193" s="170">
        <v>13000</v>
      </c>
    </row>
    <row r="194" spans="1:14" hidden="1">
      <c r="A194" s="74" t="s">
        <v>3406</v>
      </c>
      <c r="B194" s="75" t="s">
        <v>3425</v>
      </c>
      <c r="C194" s="76" t="s">
        <v>134</v>
      </c>
      <c r="D194" s="76" t="s">
        <v>135</v>
      </c>
      <c r="E194" s="76" t="s">
        <v>136</v>
      </c>
      <c r="F194" s="170">
        <v>12396.69</v>
      </c>
      <c r="G194" s="170">
        <v>0</v>
      </c>
      <c r="H194" s="76">
        <v>0</v>
      </c>
      <c r="I194" s="76">
        <v>0</v>
      </c>
      <c r="J194" s="76">
        <v>0</v>
      </c>
      <c r="K194" s="76">
        <v>2603.31</v>
      </c>
      <c r="L194" s="76">
        <v>0</v>
      </c>
      <c r="M194" s="170">
        <v>0</v>
      </c>
      <c r="N194" s="170">
        <v>15000</v>
      </c>
    </row>
    <row r="195" spans="1:14" hidden="1">
      <c r="A195" s="74" t="s">
        <v>3406</v>
      </c>
      <c r="B195" s="75" t="s">
        <v>3426</v>
      </c>
      <c r="C195" s="76" t="s">
        <v>134</v>
      </c>
      <c r="D195" s="76" t="s">
        <v>135</v>
      </c>
      <c r="E195" s="76" t="s">
        <v>136</v>
      </c>
      <c r="F195" s="170">
        <v>9256.2000000000007</v>
      </c>
      <c r="G195" s="170">
        <v>0</v>
      </c>
      <c r="H195" s="76">
        <v>0</v>
      </c>
      <c r="I195" s="76">
        <v>0</v>
      </c>
      <c r="J195" s="76">
        <v>0</v>
      </c>
      <c r="K195" s="76">
        <v>1943.8</v>
      </c>
      <c r="L195" s="76">
        <v>0</v>
      </c>
      <c r="M195" s="170">
        <v>0</v>
      </c>
      <c r="N195" s="170">
        <v>11200</v>
      </c>
    </row>
    <row r="196" spans="1:14" hidden="1">
      <c r="A196" s="74" t="s">
        <v>3406</v>
      </c>
      <c r="B196" s="75" t="s">
        <v>3427</v>
      </c>
      <c r="C196" s="76" t="s">
        <v>134</v>
      </c>
      <c r="D196" s="76" t="s">
        <v>135</v>
      </c>
      <c r="E196" s="76" t="s">
        <v>136</v>
      </c>
      <c r="F196" s="170">
        <v>14049.59</v>
      </c>
      <c r="G196" s="170">
        <v>0</v>
      </c>
      <c r="H196" s="76">
        <v>0</v>
      </c>
      <c r="I196" s="76">
        <v>0</v>
      </c>
      <c r="J196" s="76">
        <v>0</v>
      </c>
      <c r="K196" s="76">
        <v>2950.41</v>
      </c>
      <c r="L196" s="76">
        <v>0</v>
      </c>
      <c r="M196" s="170">
        <v>0</v>
      </c>
      <c r="N196" s="170">
        <v>17000</v>
      </c>
    </row>
    <row r="197" spans="1:14" hidden="1">
      <c r="A197" s="74" t="s">
        <v>3435</v>
      </c>
      <c r="B197" s="75" t="s">
        <v>3436</v>
      </c>
      <c r="C197" s="76" t="s">
        <v>134</v>
      </c>
      <c r="D197" s="76" t="s">
        <v>135</v>
      </c>
      <c r="E197" s="76" t="s">
        <v>136</v>
      </c>
      <c r="F197" s="170">
        <v>5206.6099999999997</v>
      </c>
      <c r="G197" s="170">
        <v>0</v>
      </c>
      <c r="H197" s="76">
        <v>0</v>
      </c>
      <c r="I197" s="76">
        <v>0</v>
      </c>
      <c r="J197" s="76">
        <v>0</v>
      </c>
      <c r="K197" s="76">
        <v>1093.3900000000001</v>
      </c>
      <c r="L197" s="76">
        <v>0</v>
      </c>
      <c r="M197" s="170">
        <v>0</v>
      </c>
      <c r="N197" s="170">
        <v>6300</v>
      </c>
    </row>
    <row r="198" spans="1:14" hidden="1">
      <c r="A198" s="74" t="s">
        <v>3435</v>
      </c>
      <c r="B198" s="75" t="s">
        <v>3437</v>
      </c>
      <c r="C198" s="76" t="s">
        <v>134</v>
      </c>
      <c r="D198" s="76" t="s">
        <v>135</v>
      </c>
      <c r="E198" s="76" t="s">
        <v>136</v>
      </c>
      <c r="F198" s="170">
        <v>30165.29</v>
      </c>
      <c r="G198" s="170">
        <v>0</v>
      </c>
      <c r="H198" s="76">
        <v>0</v>
      </c>
      <c r="I198" s="76">
        <v>0</v>
      </c>
      <c r="J198" s="76">
        <v>0</v>
      </c>
      <c r="K198" s="76">
        <v>6334.71</v>
      </c>
      <c r="L198" s="76">
        <v>0</v>
      </c>
      <c r="M198" s="170">
        <v>0</v>
      </c>
      <c r="N198" s="170">
        <v>36500</v>
      </c>
    </row>
    <row r="199" spans="1:14" hidden="1">
      <c r="A199" s="74" t="s">
        <v>3435</v>
      </c>
      <c r="B199" s="75" t="s">
        <v>3438</v>
      </c>
      <c r="C199" s="76" t="s">
        <v>134</v>
      </c>
      <c r="D199" s="76" t="s">
        <v>135</v>
      </c>
      <c r="E199" s="76" t="s">
        <v>136</v>
      </c>
      <c r="F199" s="170">
        <v>32066.12</v>
      </c>
      <c r="G199" s="170">
        <v>0</v>
      </c>
      <c r="H199" s="76">
        <v>0</v>
      </c>
      <c r="I199" s="76">
        <v>0</v>
      </c>
      <c r="J199" s="76">
        <v>0</v>
      </c>
      <c r="K199" s="76">
        <v>6733.88</v>
      </c>
      <c r="L199" s="76">
        <v>0</v>
      </c>
      <c r="M199" s="170">
        <v>0</v>
      </c>
      <c r="N199" s="170">
        <v>38800</v>
      </c>
    </row>
    <row r="200" spans="1:14" hidden="1">
      <c r="A200" s="74" t="s">
        <v>3435</v>
      </c>
      <c r="B200" s="75" t="s">
        <v>3439</v>
      </c>
      <c r="C200" s="76" t="s">
        <v>134</v>
      </c>
      <c r="D200" s="76" t="s">
        <v>135</v>
      </c>
      <c r="E200" s="76" t="s">
        <v>136</v>
      </c>
      <c r="F200" s="170">
        <v>4462.8100000000004</v>
      </c>
      <c r="G200" s="170">
        <v>0</v>
      </c>
      <c r="H200" s="76">
        <v>0</v>
      </c>
      <c r="I200" s="76">
        <v>0</v>
      </c>
      <c r="J200" s="76">
        <v>0</v>
      </c>
      <c r="K200" s="76">
        <v>937.19</v>
      </c>
      <c r="L200" s="76">
        <v>0</v>
      </c>
      <c r="M200" s="170">
        <v>0</v>
      </c>
      <c r="N200" s="170">
        <v>5400</v>
      </c>
    </row>
    <row r="201" spans="1:14" hidden="1">
      <c r="A201" s="74" t="s">
        <v>3435</v>
      </c>
      <c r="B201" s="75" t="s">
        <v>3440</v>
      </c>
      <c r="C201" s="76" t="s">
        <v>134</v>
      </c>
      <c r="D201" s="76" t="s">
        <v>135</v>
      </c>
      <c r="E201" s="76" t="s">
        <v>136</v>
      </c>
      <c r="F201" s="170">
        <v>21157.02</v>
      </c>
      <c r="G201" s="170">
        <v>0</v>
      </c>
      <c r="H201" s="76">
        <v>0</v>
      </c>
      <c r="I201" s="76">
        <v>0</v>
      </c>
      <c r="J201" s="76">
        <v>0</v>
      </c>
      <c r="K201" s="76">
        <v>4442.9800000000005</v>
      </c>
      <c r="L201" s="76">
        <v>0</v>
      </c>
      <c r="M201" s="170">
        <v>0</v>
      </c>
      <c r="N201" s="170">
        <v>25600</v>
      </c>
    </row>
    <row r="202" spans="1:14" hidden="1">
      <c r="A202" s="74" t="s">
        <v>3435</v>
      </c>
      <c r="B202" s="75" t="s">
        <v>3441</v>
      </c>
      <c r="C202" s="76" t="s">
        <v>134</v>
      </c>
      <c r="D202" s="76" t="s">
        <v>135</v>
      </c>
      <c r="E202" s="76" t="s">
        <v>136</v>
      </c>
      <c r="F202" s="170">
        <v>14669.42</v>
      </c>
      <c r="G202" s="170">
        <v>0</v>
      </c>
      <c r="H202" s="76">
        <v>0</v>
      </c>
      <c r="I202" s="76">
        <v>0</v>
      </c>
      <c r="J202" s="76">
        <v>0</v>
      </c>
      <c r="K202" s="76">
        <v>3080.58</v>
      </c>
      <c r="L202" s="76">
        <v>0</v>
      </c>
      <c r="M202" s="170">
        <v>0</v>
      </c>
      <c r="N202" s="170">
        <v>17750</v>
      </c>
    </row>
    <row r="203" spans="1:14" hidden="1">
      <c r="A203" s="74" t="s">
        <v>3435</v>
      </c>
      <c r="B203" s="75" t="s">
        <v>3442</v>
      </c>
      <c r="C203" s="76" t="s">
        <v>134</v>
      </c>
      <c r="D203" s="76" t="s">
        <v>135</v>
      </c>
      <c r="E203" s="76" t="s">
        <v>136</v>
      </c>
      <c r="F203" s="170">
        <v>13223.14</v>
      </c>
      <c r="G203" s="170">
        <v>0</v>
      </c>
      <c r="H203" s="76">
        <v>0</v>
      </c>
      <c r="I203" s="76">
        <v>0</v>
      </c>
      <c r="J203" s="76">
        <v>0</v>
      </c>
      <c r="K203" s="76">
        <v>2776.86</v>
      </c>
      <c r="L203" s="76">
        <v>0</v>
      </c>
      <c r="M203" s="170">
        <v>0</v>
      </c>
      <c r="N203" s="170">
        <v>16000</v>
      </c>
    </row>
    <row r="204" spans="1:14" hidden="1">
      <c r="A204" s="74" t="s">
        <v>3435</v>
      </c>
      <c r="B204" s="75" t="s">
        <v>3443</v>
      </c>
      <c r="C204" s="76" t="s">
        <v>134</v>
      </c>
      <c r="D204" s="76" t="s">
        <v>135</v>
      </c>
      <c r="E204" s="76" t="s">
        <v>136</v>
      </c>
      <c r="F204" s="170">
        <v>10330.58</v>
      </c>
      <c r="G204" s="170">
        <v>0</v>
      </c>
      <c r="H204" s="76">
        <v>0</v>
      </c>
      <c r="I204" s="76">
        <v>0</v>
      </c>
      <c r="J204" s="76">
        <v>0</v>
      </c>
      <c r="K204" s="76">
        <v>2169.42</v>
      </c>
      <c r="L204" s="76">
        <v>0</v>
      </c>
      <c r="M204" s="170">
        <v>0</v>
      </c>
      <c r="N204" s="170">
        <v>12500</v>
      </c>
    </row>
    <row r="205" spans="1:14" hidden="1">
      <c r="A205" s="74" t="s">
        <v>3435</v>
      </c>
      <c r="B205" s="75" t="s">
        <v>3444</v>
      </c>
      <c r="C205" s="76" t="s">
        <v>134</v>
      </c>
      <c r="D205" s="76" t="s">
        <v>135</v>
      </c>
      <c r="E205" s="76" t="s">
        <v>136</v>
      </c>
      <c r="F205" s="170">
        <v>29338.84</v>
      </c>
      <c r="G205" s="170">
        <v>0</v>
      </c>
      <c r="H205" s="76">
        <v>0</v>
      </c>
      <c r="I205" s="76">
        <v>0</v>
      </c>
      <c r="J205" s="76">
        <v>0</v>
      </c>
      <c r="K205" s="76">
        <v>6161.16</v>
      </c>
      <c r="L205" s="76">
        <v>0</v>
      </c>
      <c r="M205" s="170">
        <v>0</v>
      </c>
      <c r="N205" s="170">
        <v>35500</v>
      </c>
    </row>
    <row r="206" spans="1:14" hidden="1">
      <c r="A206" s="74" t="s">
        <v>3435</v>
      </c>
      <c r="B206" s="75" t="s">
        <v>3445</v>
      </c>
      <c r="C206" s="76" t="s">
        <v>134</v>
      </c>
      <c r="D206" s="76" t="s">
        <v>135</v>
      </c>
      <c r="E206" s="76" t="s">
        <v>136</v>
      </c>
      <c r="F206" s="170">
        <v>14669.42</v>
      </c>
      <c r="G206" s="170">
        <v>0</v>
      </c>
      <c r="H206" s="76">
        <v>0</v>
      </c>
      <c r="I206" s="76">
        <v>0</v>
      </c>
      <c r="J206" s="76">
        <v>0</v>
      </c>
      <c r="K206" s="76">
        <v>3080.58</v>
      </c>
      <c r="L206" s="76">
        <v>0</v>
      </c>
      <c r="M206" s="170">
        <v>0</v>
      </c>
      <c r="N206" s="170">
        <v>17750</v>
      </c>
    </row>
    <row r="207" spans="1:14" hidden="1">
      <c r="A207" s="74" t="s">
        <v>3435</v>
      </c>
      <c r="B207" s="75" t="s">
        <v>3446</v>
      </c>
      <c r="C207" s="76" t="s">
        <v>134</v>
      </c>
      <c r="D207" s="76" t="s">
        <v>135</v>
      </c>
      <c r="E207" s="76" t="s">
        <v>136</v>
      </c>
      <c r="F207" s="170">
        <v>24793.39</v>
      </c>
      <c r="G207" s="170">
        <v>0</v>
      </c>
      <c r="H207" s="76">
        <v>0</v>
      </c>
      <c r="I207" s="76">
        <v>0</v>
      </c>
      <c r="J207" s="76">
        <v>0</v>
      </c>
      <c r="K207" s="76">
        <v>5206.6099999999997</v>
      </c>
      <c r="L207" s="76">
        <v>0</v>
      </c>
      <c r="M207" s="170">
        <v>0</v>
      </c>
      <c r="N207" s="170">
        <v>30000</v>
      </c>
    </row>
    <row r="208" spans="1:14" hidden="1">
      <c r="A208" s="74" t="s">
        <v>3435</v>
      </c>
      <c r="B208" s="75" t="s">
        <v>3447</v>
      </c>
      <c r="C208" s="76" t="s">
        <v>134</v>
      </c>
      <c r="D208" s="76" t="s">
        <v>135</v>
      </c>
      <c r="E208" s="76" t="s">
        <v>136</v>
      </c>
      <c r="F208" s="170">
        <v>58677.68</v>
      </c>
      <c r="G208" s="170">
        <v>0</v>
      </c>
      <c r="H208" s="76">
        <v>0</v>
      </c>
      <c r="I208" s="76">
        <v>0</v>
      </c>
      <c r="J208" s="76">
        <v>0</v>
      </c>
      <c r="K208" s="76">
        <v>12322.32</v>
      </c>
      <c r="L208" s="76">
        <v>0</v>
      </c>
      <c r="M208" s="170">
        <v>0</v>
      </c>
      <c r="N208" s="170">
        <v>71000</v>
      </c>
    </row>
    <row r="209" spans="1:14" hidden="1">
      <c r="A209" s="74" t="s">
        <v>3435</v>
      </c>
      <c r="B209" s="75" t="s">
        <v>3448</v>
      </c>
      <c r="C209" s="76" t="s">
        <v>134</v>
      </c>
      <c r="D209" s="76" t="s">
        <v>135</v>
      </c>
      <c r="E209" s="76" t="s">
        <v>136</v>
      </c>
      <c r="F209" s="170">
        <v>11487.6</v>
      </c>
      <c r="G209" s="170">
        <v>0</v>
      </c>
      <c r="H209" s="76">
        <v>0</v>
      </c>
      <c r="I209" s="76">
        <v>0</v>
      </c>
      <c r="J209" s="76">
        <v>0</v>
      </c>
      <c r="K209" s="76">
        <v>2412.4</v>
      </c>
      <c r="L209" s="76">
        <v>0</v>
      </c>
      <c r="M209" s="170">
        <v>0</v>
      </c>
      <c r="N209" s="170">
        <v>13900</v>
      </c>
    </row>
    <row r="210" spans="1:14" hidden="1">
      <c r="A210" s="74" t="s">
        <v>3435</v>
      </c>
      <c r="B210" s="75" t="s">
        <v>3449</v>
      </c>
      <c r="C210" s="76" t="s">
        <v>134</v>
      </c>
      <c r="D210" s="76" t="s">
        <v>135</v>
      </c>
      <c r="E210" s="76" t="s">
        <v>136</v>
      </c>
      <c r="F210" s="170">
        <v>21487.599999999999</v>
      </c>
      <c r="G210" s="170">
        <v>0</v>
      </c>
      <c r="H210" s="76">
        <v>0</v>
      </c>
      <c r="I210" s="76">
        <v>0</v>
      </c>
      <c r="J210" s="76">
        <v>0</v>
      </c>
      <c r="K210" s="76">
        <v>4512.4000000000005</v>
      </c>
      <c r="L210" s="76">
        <v>0</v>
      </c>
      <c r="M210" s="170">
        <v>0</v>
      </c>
      <c r="N210" s="170">
        <v>26000</v>
      </c>
    </row>
    <row r="211" spans="1:14" hidden="1">
      <c r="A211" s="74" t="s">
        <v>3435</v>
      </c>
      <c r="B211" s="75" t="s">
        <v>3450</v>
      </c>
      <c r="C211" s="76" t="s">
        <v>134</v>
      </c>
      <c r="D211" s="76" t="s">
        <v>135</v>
      </c>
      <c r="E211" s="76" t="s">
        <v>136</v>
      </c>
      <c r="F211" s="170">
        <v>18181.82</v>
      </c>
      <c r="G211" s="170">
        <v>0</v>
      </c>
      <c r="H211" s="76">
        <v>0</v>
      </c>
      <c r="I211" s="76">
        <v>0</v>
      </c>
      <c r="J211" s="76">
        <v>0</v>
      </c>
      <c r="K211" s="76">
        <v>3818.18</v>
      </c>
      <c r="L211" s="76">
        <v>0</v>
      </c>
      <c r="M211" s="170">
        <v>0</v>
      </c>
      <c r="N211" s="170">
        <v>22000</v>
      </c>
    </row>
    <row r="212" spans="1:14" hidden="1">
      <c r="A212" s="74" t="s">
        <v>3435</v>
      </c>
      <c r="B212" s="75" t="s">
        <v>3451</v>
      </c>
      <c r="C212" s="76" t="s">
        <v>134</v>
      </c>
      <c r="D212" s="76" t="s">
        <v>135</v>
      </c>
      <c r="E212" s="76" t="s">
        <v>136</v>
      </c>
      <c r="F212" s="170">
        <v>36363.64</v>
      </c>
      <c r="G212" s="170">
        <v>0</v>
      </c>
      <c r="H212" s="76">
        <v>0</v>
      </c>
      <c r="I212" s="76">
        <v>0</v>
      </c>
      <c r="J212" s="76">
        <v>0</v>
      </c>
      <c r="K212" s="76">
        <v>7636.36</v>
      </c>
      <c r="L212" s="76">
        <v>0</v>
      </c>
      <c r="M212" s="170">
        <v>0</v>
      </c>
      <c r="N212" s="170">
        <v>44000</v>
      </c>
    </row>
    <row r="213" spans="1:14">
      <c r="A213" s="74" t="s">
        <v>3435</v>
      </c>
      <c r="B213" s="75" t="s">
        <v>3452</v>
      </c>
      <c r="C213" s="76" t="s">
        <v>3453</v>
      </c>
      <c r="D213" s="76" t="s">
        <v>135</v>
      </c>
      <c r="E213" s="76">
        <v>13805301</v>
      </c>
      <c r="F213" s="170">
        <v>114876.03</v>
      </c>
      <c r="G213" s="170">
        <v>0</v>
      </c>
      <c r="H213" s="76">
        <v>0</v>
      </c>
      <c r="I213" s="76">
        <v>0</v>
      </c>
      <c r="J213" s="76">
        <v>0</v>
      </c>
      <c r="K213" s="76">
        <v>24123.97</v>
      </c>
      <c r="L213" s="76">
        <v>0</v>
      </c>
      <c r="M213" s="170">
        <v>0</v>
      </c>
      <c r="N213" s="170">
        <v>139000</v>
      </c>
    </row>
    <row r="214" spans="1:14" hidden="1">
      <c r="A214" s="74" t="s">
        <v>3470</v>
      </c>
      <c r="B214" s="75" t="s">
        <v>3471</v>
      </c>
      <c r="C214" s="76" t="s">
        <v>134</v>
      </c>
      <c r="D214" s="76" t="s">
        <v>135</v>
      </c>
      <c r="E214" s="76" t="s">
        <v>136</v>
      </c>
      <c r="F214" s="170">
        <v>10743.8</v>
      </c>
      <c r="G214" s="170">
        <v>0</v>
      </c>
      <c r="H214" s="76">
        <v>0</v>
      </c>
      <c r="I214" s="76">
        <v>0</v>
      </c>
      <c r="J214" s="76">
        <v>0</v>
      </c>
      <c r="K214" s="76">
        <v>2256.2000000000003</v>
      </c>
      <c r="L214" s="76">
        <v>0</v>
      </c>
      <c r="M214" s="170">
        <v>0</v>
      </c>
      <c r="N214" s="170">
        <v>13000</v>
      </c>
    </row>
    <row r="215" spans="1:14" hidden="1">
      <c r="A215" s="74" t="s">
        <v>3470</v>
      </c>
      <c r="B215" s="75" t="s">
        <v>3472</v>
      </c>
      <c r="C215" s="76" t="s">
        <v>134</v>
      </c>
      <c r="D215" s="76" t="s">
        <v>135</v>
      </c>
      <c r="E215" s="76" t="s">
        <v>136</v>
      </c>
      <c r="F215" s="170">
        <v>13223.14</v>
      </c>
      <c r="G215" s="170">
        <v>0</v>
      </c>
      <c r="H215" s="76">
        <v>0</v>
      </c>
      <c r="I215" s="76">
        <v>0</v>
      </c>
      <c r="J215" s="76">
        <v>0</v>
      </c>
      <c r="K215" s="76">
        <v>2776.86</v>
      </c>
      <c r="L215" s="76">
        <v>0</v>
      </c>
      <c r="M215" s="170">
        <v>0</v>
      </c>
      <c r="N215" s="170">
        <v>16000</v>
      </c>
    </row>
    <row r="216" spans="1:14" hidden="1">
      <c r="A216" s="74" t="s">
        <v>3470</v>
      </c>
      <c r="B216" s="75" t="s">
        <v>3473</v>
      </c>
      <c r="C216" s="76" t="s">
        <v>134</v>
      </c>
      <c r="D216" s="76" t="s">
        <v>135</v>
      </c>
      <c r="E216" s="76" t="s">
        <v>136</v>
      </c>
      <c r="F216" s="170">
        <v>42975.21</v>
      </c>
      <c r="G216" s="170">
        <v>0</v>
      </c>
      <c r="H216" s="76">
        <v>0</v>
      </c>
      <c r="I216" s="76">
        <v>0</v>
      </c>
      <c r="J216" s="76">
        <v>0</v>
      </c>
      <c r="K216" s="76">
        <v>9024.7900000000009</v>
      </c>
      <c r="L216" s="76">
        <v>0</v>
      </c>
      <c r="M216" s="170">
        <v>0</v>
      </c>
      <c r="N216" s="170">
        <v>52000</v>
      </c>
    </row>
    <row r="217" spans="1:14" hidden="1">
      <c r="A217" s="74" t="s">
        <v>3470</v>
      </c>
      <c r="B217" s="75" t="s">
        <v>3474</v>
      </c>
      <c r="C217" s="76" t="s">
        <v>134</v>
      </c>
      <c r="D217" s="76" t="s">
        <v>135</v>
      </c>
      <c r="E217" s="76" t="s">
        <v>136</v>
      </c>
      <c r="F217" s="170">
        <v>10743.8</v>
      </c>
      <c r="G217" s="170">
        <v>0</v>
      </c>
      <c r="H217" s="76">
        <v>0</v>
      </c>
      <c r="I217" s="76">
        <v>0</v>
      </c>
      <c r="J217" s="76">
        <v>0</v>
      </c>
      <c r="K217" s="76">
        <v>2256.2000000000003</v>
      </c>
      <c r="L217" s="76">
        <v>0</v>
      </c>
      <c r="M217" s="170">
        <v>0</v>
      </c>
      <c r="N217" s="170">
        <v>13000</v>
      </c>
    </row>
    <row r="218" spans="1:14" hidden="1">
      <c r="A218" s="74" t="s">
        <v>3470</v>
      </c>
      <c r="B218" s="75" t="s">
        <v>3475</v>
      </c>
      <c r="C218" s="76" t="s">
        <v>134</v>
      </c>
      <c r="D218" s="76" t="s">
        <v>135</v>
      </c>
      <c r="E218" s="76" t="s">
        <v>136</v>
      </c>
      <c r="F218" s="170">
        <v>15619.83</v>
      </c>
      <c r="G218" s="170">
        <v>0</v>
      </c>
      <c r="H218" s="76">
        <v>0</v>
      </c>
      <c r="I218" s="76">
        <v>0</v>
      </c>
      <c r="J218" s="76">
        <v>0</v>
      </c>
      <c r="K218" s="76">
        <v>3280.17</v>
      </c>
      <c r="L218" s="76">
        <v>0</v>
      </c>
      <c r="M218" s="170">
        <v>0</v>
      </c>
      <c r="N218" s="170">
        <v>18900</v>
      </c>
    </row>
    <row r="219" spans="1:14">
      <c r="A219" s="74" t="s">
        <v>3470</v>
      </c>
      <c r="B219" s="75" t="s">
        <v>3476</v>
      </c>
      <c r="C219" s="76" t="s">
        <v>3477</v>
      </c>
      <c r="D219" s="76" t="s">
        <v>135</v>
      </c>
      <c r="E219" s="76">
        <v>40985936</v>
      </c>
      <c r="F219" s="170">
        <v>26033.06</v>
      </c>
      <c r="G219" s="170">
        <v>0</v>
      </c>
      <c r="H219" s="76">
        <v>0</v>
      </c>
      <c r="I219" s="76">
        <v>0</v>
      </c>
      <c r="J219" s="76">
        <v>0</v>
      </c>
      <c r="K219" s="76">
        <v>5466.94</v>
      </c>
      <c r="L219" s="76">
        <v>0</v>
      </c>
      <c r="M219" s="170">
        <v>0</v>
      </c>
      <c r="N219" s="170">
        <v>31500</v>
      </c>
    </row>
    <row r="220" spans="1:14" hidden="1">
      <c r="A220" s="74" t="s">
        <v>3470</v>
      </c>
      <c r="B220" s="75" t="s">
        <v>3478</v>
      </c>
      <c r="C220" s="76" t="s">
        <v>134</v>
      </c>
      <c r="D220" s="76" t="s">
        <v>135</v>
      </c>
      <c r="E220" s="76" t="s">
        <v>136</v>
      </c>
      <c r="F220" s="170">
        <v>10743.8</v>
      </c>
      <c r="G220" s="170">
        <v>0</v>
      </c>
      <c r="H220" s="76">
        <v>0</v>
      </c>
      <c r="I220" s="76">
        <v>0</v>
      </c>
      <c r="J220" s="76">
        <v>0</v>
      </c>
      <c r="K220" s="76">
        <v>2256.2000000000003</v>
      </c>
      <c r="L220" s="76">
        <v>0</v>
      </c>
      <c r="M220" s="170">
        <v>0</v>
      </c>
      <c r="N220" s="170">
        <v>13000</v>
      </c>
    </row>
    <row r="221" spans="1:14" hidden="1">
      <c r="A221" s="74" t="s">
        <v>3470</v>
      </c>
      <c r="B221" s="75" t="s">
        <v>3479</v>
      </c>
      <c r="C221" s="76" t="s">
        <v>134</v>
      </c>
      <c r="D221" s="76" t="s">
        <v>135</v>
      </c>
      <c r="E221" s="76" t="s">
        <v>136</v>
      </c>
      <c r="F221" s="170">
        <v>20661.16</v>
      </c>
      <c r="G221" s="170">
        <v>0</v>
      </c>
      <c r="H221" s="76">
        <v>0</v>
      </c>
      <c r="I221" s="76">
        <v>0</v>
      </c>
      <c r="J221" s="76">
        <v>0</v>
      </c>
      <c r="K221" s="76">
        <v>4338.84</v>
      </c>
      <c r="L221" s="76">
        <v>0</v>
      </c>
      <c r="M221" s="170">
        <v>0</v>
      </c>
      <c r="N221" s="170">
        <v>25000</v>
      </c>
    </row>
    <row r="222" spans="1:14" hidden="1">
      <c r="A222" s="74" t="s">
        <v>3470</v>
      </c>
      <c r="B222" s="75" t="s">
        <v>3480</v>
      </c>
      <c r="C222" s="76" t="s">
        <v>134</v>
      </c>
      <c r="D222" s="76" t="s">
        <v>135</v>
      </c>
      <c r="E222" s="76" t="s">
        <v>136</v>
      </c>
      <c r="F222" s="170">
        <v>21487.599999999999</v>
      </c>
      <c r="G222" s="170">
        <v>0</v>
      </c>
      <c r="H222" s="76">
        <v>0</v>
      </c>
      <c r="I222" s="76">
        <v>0</v>
      </c>
      <c r="J222" s="76">
        <v>0</v>
      </c>
      <c r="K222" s="76">
        <v>4512.4000000000005</v>
      </c>
      <c r="L222" s="76">
        <v>0</v>
      </c>
      <c r="M222" s="170">
        <v>0</v>
      </c>
      <c r="N222" s="170">
        <v>26000</v>
      </c>
    </row>
    <row r="223" spans="1:14" hidden="1">
      <c r="A223" s="74" t="s">
        <v>3470</v>
      </c>
      <c r="B223" s="75" t="s">
        <v>3481</v>
      </c>
      <c r="C223" s="76" t="s">
        <v>134</v>
      </c>
      <c r="D223" s="76" t="s">
        <v>135</v>
      </c>
      <c r="E223" s="76" t="s">
        <v>136</v>
      </c>
      <c r="F223" s="170">
        <v>58677.69</v>
      </c>
      <c r="G223" s="170">
        <v>0</v>
      </c>
      <c r="H223" s="76">
        <v>0</v>
      </c>
      <c r="I223" s="76">
        <v>0</v>
      </c>
      <c r="J223" s="76">
        <v>0</v>
      </c>
      <c r="K223" s="76">
        <v>12322.31</v>
      </c>
      <c r="L223" s="76">
        <v>0</v>
      </c>
      <c r="M223" s="170">
        <v>0</v>
      </c>
      <c r="N223" s="170">
        <v>71000</v>
      </c>
    </row>
    <row r="224" spans="1:14" hidden="1">
      <c r="A224" s="74" t="s">
        <v>3470</v>
      </c>
      <c r="B224" s="75" t="s">
        <v>3482</v>
      </c>
      <c r="C224" s="76" t="s">
        <v>134</v>
      </c>
      <c r="D224" s="76" t="s">
        <v>135</v>
      </c>
      <c r="E224" s="76" t="s">
        <v>136</v>
      </c>
      <c r="F224" s="170">
        <v>4958.68</v>
      </c>
      <c r="G224" s="170">
        <v>0</v>
      </c>
      <c r="H224" s="76">
        <v>0</v>
      </c>
      <c r="I224" s="76">
        <v>0</v>
      </c>
      <c r="J224" s="76">
        <v>0</v>
      </c>
      <c r="K224" s="76">
        <v>1041.32</v>
      </c>
      <c r="L224" s="76">
        <v>0</v>
      </c>
      <c r="M224" s="170">
        <v>0</v>
      </c>
      <c r="N224" s="170">
        <v>6000</v>
      </c>
    </row>
    <row r="225" spans="1:14" hidden="1">
      <c r="A225" s="74" t="s">
        <v>3470</v>
      </c>
      <c r="B225" s="75" t="s">
        <v>3483</v>
      </c>
      <c r="C225" s="76" t="s">
        <v>134</v>
      </c>
      <c r="D225" s="76" t="s">
        <v>135</v>
      </c>
      <c r="E225" s="76" t="s">
        <v>136</v>
      </c>
      <c r="F225" s="170">
        <v>14049.59</v>
      </c>
      <c r="G225" s="170">
        <v>0</v>
      </c>
      <c r="H225" s="76">
        <v>0</v>
      </c>
      <c r="I225" s="76">
        <v>0</v>
      </c>
      <c r="J225" s="76">
        <v>0</v>
      </c>
      <c r="K225" s="76">
        <v>2950.41</v>
      </c>
      <c r="L225" s="76">
        <v>0</v>
      </c>
      <c r="M225" s="170">
        <v>0</v>
      </c>
      <c r="N225" s="170">
        <v>17000</v>
      </c>
    </row>
    <row r="226" spans="1:14" hidden="1">
      <c r="A226" s="74" t="s">
        <v>3470</v>
      </c>
      <c r="B226" s="75" t="s">
        <v>3484</v>
      </c>
      <c r="C226" s="76" t="s">
        <v>134</v>
      </c>
      <c r="D226" s="76" t="s">
        <v>135</v>
      </c>
      <c r="E226" s="76" t="s">
        <v>136</v>
      </c>
      <c r="F226" s="170">
        <v>23471.07</v>
      </c>
      <c r="G226" s="170">
        <v>0</v>
      </c>
      <c r="H226" s="76">
        <v>0</v>
      </c>
      <c r="I226" s="76">
        <v>0</v>
      </c>
      <c r="J226" s="76">
        <v>0</v>
      </c>
      <c r="K226" s="76">
        <v>4928.93</v>
      </c>
      <c r="L226" s="76">
        <v>0</v>
      </c>
      <c r="M226" s="170">
        <v>0</v>
      </c>
      <c r="N226" s="170">
        <v>28400</v>
      </c>
    </row>
    <row r="227" spans="1:14" hidden="1">
      <c r="A227" s="74" t="s">
        <v>3470</v>
      </c>
      <c r="B227" s="75" t="s">
        <v>3485</v>
      </c>
      <c r="C227" s="76" t="s">
        <v>134</v>
      </c>
      <c r="D227" s="76" t="s">
        <v>135</v>
      </c>
      <c r="E227" s="76" t="s">
        <v>136</v>
      </c>
      <c r="F227" s="170">
        <v>28925.62</v>
      </c>
      <c r="G227" s="170">
        <v>0</v>
      </c>
      <c r="H227" s="76">
        <v>0</v>
      </c>
      <c r="I227" s="76">
        <v>0</v>
      </c>
      <c r="J227" s="76">
        <v>0</v>
      </c>
      <c r="K227" s="76">
        <v>6074.38</v>
      </c>
      <c r="L227" s="76">
        <v>0</v>
      </c>
      <c r="M227" s="170">
        <v>0</v>
      </c>
      <c r="N227" s="170">
        <v>35000</v>
      </c>
    </row>
    <row r="228" spans="1:14" hidden="1">
      <c r="A228" s="74" t="s">
        <v>3493</v>
      </c>
      <c r="B228" s="75" t="s">
        <v>3494</v>
      </c>
      <c r="C228" s="76" t="s">
        <v>134</v>
      </c>
      <c r="D228" s="76" t="s">
        <v>135</v>
      </c>
      <c r="E228" s="76" t="s">
        <v>136</v>
      </c>
      <c r="F228" s="170">
        <v>10743.8</v>
      </c>
      <c r="G228" s="170">
        <v>0</v>
      </c>
      <c r="H228" s="76">
        <v>0</v>
      </c>
      <c r="I228" s="76">
        <v>0</v>
      </c>
      <c r="J228" s="76">
        <v>0</v>
      </c>
      <c r="K228" s="76">
        <v>2256.2000000000003</v>
      </c>
      <c r="L228" s="76">
        <v>0</v>
      </c>
      <c r="M228" s="170">
        <v>0</v>
      </c>
      <c r="N228" s="170">
        <v>13000</v>
      </c>
    </row>
    <row r="229" spans="1:14">
      <c r="A229" s="74" t="s">
        <v>3493</v>
      </c>
      <c r="B229" s="75" t="s">
        <v>3495</v>
      </c>
      <c r="C229" s="76" t="s">
        <v>3496</v>
      </c>
      <c r="D229" s="76" t="s">
        <v>135</v>
      </c>
      <c r="E229" s="76">
        <v>19076433</v>
      </c>
      <c r="F229" s="170">
        <v>41322.31</v>
      </c>
      <c r="G229" s="170">
        <v>0</v>
      </c>
      <c r="H229" s="76">
        <v>0</v>
      </c>
      <c r="I229" s="76">
        <v>0</v>
      </c>
      <c r="J229" s="76">
        <v>0</v>
      </c>
      <c r="K229" s="76">
        <v>8677.69</v>
      </c>
      <c r="L229" s="76">
        <v>0</v>
      </c>
      <c r="M229" s="170">
        <v>0</v>
      </c>
      <c r="N229" s="170">
        <v>50000</v>
      </c>
    </row>
    <row r="230" spans="1:14" hidden="1">
      <c r="A230" s="74" t="s">
        <v>3493</v>
      </c>
      <c r="B230" s="75" t="s">
        <v>3497</v>
      </c>
      <c r="C230" s="76" t="s">
        <v>134</v>
      </c>
      <c r="D230" s="76" t="s">
        <v>135</v>
      </c>
      <c r="E230" s="76" t="s">
        <v>136</v>
      </c>
      <c r="F230" s="170">
        <v>10743.8</v>
      </c>
      <c r="G230" s="170">
        <v>0</v>
      </c>
      <c r="H230" s="76">
        <v>0</v>
      </c>
      <c r="I230" s="76">
        <v>0</v>
      </c>
      <c r="J230" s="76">
        <v>0</v>
      </c>
      <c r="K230" s="76">
        <v>2256.2000000000003</v>
      </c>
      <c r="L230" s="76">
        <v>0</v>
      </c>
      <c r="M230" s="170">
        <v>0</v>
      </c>
      <c r="N230" s="170">
        <v>13000</v>
      </c>
    </row>
    <row r="231" spans="1:14" hidden="1">
      <c r="A231" s="74" t="s">
        <v>3493</v>
      </c>
      <c r="B231" s="75" t="s">
        <v>3498</v>
      </c>
      <c r="C231" s="76" t="s">
        <v>134</v>
      </c>
      <c r="D231" s="76" t="s">
        <v>135</v>
      </c>
      <c r="E231" s="76" t="s">
        <v>136</v>
      </c>
      <c r="F231" s="170">
        <v>3471.07</v>
      </c>
      <c r="G231" s="170">
        <v>0</v>
      </c>
      <c r="H231" s="76">
        <v>0</v>
      </c>
      <c r="I231" s="76">
        <v>0</v>
      </c>
      <c r="J231" s="76">
        <v>0</v>
      </c>
      <c r="K231" s="76">
        <v>728.93</v>
      </c>
      <c r="L231" s="76">
        <v>0</v>
      </c>
      <c r="M231" s="170">
        <v>0</v>
      </c>
      <c r="N231" s="170">
        <v>4200</v>
      </c>
    </row>
    <row r="232" spans="1:14" hidden="1">
      <c r="A232" s="74" t="s">
        <v>3493</v>
      </c>
      <c r="B232" s="75" t="s">
        <v>3499</v>
      </c>
      <c r="C232" s="76" t="s">
        <v>134</v>
      </c>
      <c r="D232" s="76" t="s">
        <v>135</v>
      </c>
      <c r="E232" s="76" t="s">
        <v>136</v>
      </c>
      <c r="F232" s="170">
        <v>11487.6</v>
      </c>
      <c r="G232" s="170">
        <v>0</v>
      </c>
      <c r="H232" s="76">
        <v>0</v>
      </c>
      <c r="I232" s="76">
        <v>0</v>
      </c>
      <c r="J232" s="76">
        <v>0</v>
      </c>
      <c r="K232" s="76">
        <v>2412.4</v>
      </c>
      <c r="L232" s="76">
        <v>0</v>
      </c>
      <c r="M232" s="170">
        <v>0</v>
      </c>
      <c r="N232" s="170">
        <v>13900</v>
      </c>
    </row>
    <row r="233" spans="1:14" hidden="1">
      <c r="A233" s="74" t="s">
        <v>3493</v>
      </c>
      <c r="B233" s="75" t="s">
        <v>3500</v>
      </c>
      <c r="C233" s="76" t="s">
        <v>134</v>
      </c>
      <c r="D233" s="76" t="s">
        <v>135</v>
      </c>
      <c r="E233" s="76" t="s">
        <v>136</v>
      </c>
      <c r="F233" s="170">
        <v>17644.63</v>
      </c>
      <c r="G233" s="170">
        <v>0</v>
      </c>
      <c r="H233" s="76">
        <v>0</v>
      </c>
      <c r="I233" s="76">
        <v>0</v>
      </c>
      <c r="J233" s="76">
        <v>0</v>
      </c>
      <c r="K233" s="76">
        <v>3705.37</v>
      </c>
      <c r="L233" s="76">
        <v>0</v>
      </c>
      <c r="M233" s="170">
        <v>0</v>
      </c>
      <c r="N233" s="170">
        <v>21350</v>
      </c>
    </row>
    <row r="234" spans="1:14" hidden="1">
      <c r="A234" s="74" t="s">
        <v>3493</v>
      </c>
      <c r="B234" s="75" t="s">
        <v>3501</v>
      </c>
      <c r="C234" s="76" t="s">
        <v>134</v>
      </c>
      <c r="D234" s="76" t="s">
        <v>135</v>
      </c>
      <c r="E234" s="76" t="s">
        <v>136</v>
      </c>
      <c r="F234" s="170">
        <v>21487.599999999999</v>
      </c>
      <c r="G234" s="170">
        <v>0</v>
      </c>
      <c r="H234" s="76">
        <v>0</v>
      </c>
      <c r="I234" s="76">
        <v>0</v>
      </c>
      <c r="J234" s="76">
        <v>0</v>
      </c>
      <c r="K234" s="76">
        <v>4512.4000000000005</v>
      </c>
      <c r="L234" s="76">
        <v>0</v>
      </c>
      <c r="M234" s="170">
        <v>0</v>
      </c>
      <c r="N234" s="170">
        <v>26000</v>
      </c>
    </row>
    <row r="235" spans="1:14" hidden="1">
      <c r="A235" s="74" t="s">
        <v>3493</v>
      </c>
      <c r="B235" s="75" t="s">
        <v>3502</v>
      </c>
      <c r="C235" s="76" t="s">
        <v>134</v>
      </c>
      <c r="D235" s="76" t="s">
        <v>135</v>
      </c>
      <c r="E235" s="76" t="s">
        <v>136</v>
      </c>
      <c r="F235" s="170">
        <v>12396.69</v>
      </c>
      <c r="G235" s="170">
        <v>0</v>
      </c>
      <c r="H235" s="76">
        <v>0</v>
      </c>
      <c r="I235" s="76">
        <v>0</v>
      </c>
      <c r="J235" s="76">
        <v>0</v>
      </c>
      <c r="K235" s="76">
        <v>2603.31</v>
      </c>
      <c r="L235" s="76">
        <v>0</v>
      </c>
      <c r="M235" s="170">
        <v>0</v>
      </c>
      <c r="N235" s="170">
        <v>15000</v>
      </c>
    </row>
    <row r="236" spans="1:14" hidden="1">
      <c r="A236" s="74" t="s">
        <v>3493</v>
      </c>
      <c r="B236" s="75" t="s">
        <v>3503</v>
      </c>
      <c r="C236" s="76" t="s">
        <v>134</v>
      </c>
      <c r="D236" s="76" t="s">
        <v>135</v>
      </c>
      <c r="E236" s="76" t="s">
        <v>136</v>
      </c>
      <c r="F236" s="170">
        <v>19834.71</v>
      </c>
      <c r="G236" s="170">
        <v>0</v>
      </c>
      <c r="H236" s="76">
        <v>0</v>
      </c>
      <c r="I236" s="76">
        <v>0</v>
      </c>
      <c r="J236" s="76">
        <v>0</v>
      </c>
      <c r="K236" s="76">
        <v>4165.29</v>
      </c>
      <c r="L236" s="76">
        <v>0</v>
      </c>
      <c r="M236" s="170">
        <v>0</v>
      </c>
      <c r="N236" s="170">
        <v>24000</v>
      </c>
    </row>
    <row r="237" spans="1:14" hidden="1">
      <c r="A237" s="74" t="s">
        <v>3515</v>
      </c>
      <c r="B237" s="75" t="s">
        <v>3516</v>
      </c>
      <c r="C237" s="76" t="s">
        <v>134</v>
      </c>
      <c r="D237" s="76" t="s">
        <v>135</v>
      </c>
      <c r="E237" s="76" t="s">
        <v>136</v>
      </c>
      <c r="F237" s="170">
        <v>29338.84</v>
      </c>
      <c r="G237" s="170">
        <v>0</v>
      </c>
      <c r="H237" s="76">
        <v>0</v>
      </c>
      <c r="I237" s="76">
        <v>0</v>
      </c>
      <c r="J237" s="76">
        <v>0</v>
      </c>
      <c r="K237" s="76">
        <v>6161.16</v>
      </c>
      <c r="L237" s="76">
        <v>0</v>
      </c>
      <c r="M237" s="170">
        <v>0</v>
      </c>
      <c r="N237" s="170">
        <v>35500</v>
      </c>
    </row>
    <row r="238" spans="1:14" hidden="1">
      <c r="A238" s="74" t="s">
        <v>3515</v>
      </c>
      <c r="B238" s="75" t="s">
        <v>3517</v>
      </c>
      <c r="C238" s="76" t="s">
        <v>134</v>
      </c>
      <c r="D238" s="76" t="s">
        <v>135</v>
      </c>
      <c r="E238" s="76" t="s">
        <v>136</v>
      </c>
      <c r="F238" s="170">
        <v>29338.84</v>
      </c>
      <c r="G238" s="170">
        <v>0</v>
      </c>
      <c r="H238" s="76">
        <v>0</v>
      </c>
      <c r="I238" s="76">
        <v>0</v>
      </c>
      <c r="J238" s="76">
        <v>0</v>
      </c>
      <c r="K238" s="76">
        <v>6161.16</v>
      </c>
      <c r="L238" s="76">
        <v>0</v>
      </c>
      <c r="M238" s="170">
        <v>0</v>
      </c>
      <c r="N238" s="170">
        <v>35500</v>
      </c>
    </row>
    <row r="239" spans="1:14" hidden="1">
      <c r="A239" s="74" t="s">
        <v>3515</v>
      </c>
      <c r="B239" s="75" t="s">
        <v>3518</v>
      </c>
      <c r="C239" s="76" t="s">
        <v>134</v>
      </c>
      <c r="D239" s="76" t="s">
        <v>135</v>
      </c>
      <c r="E239" s="76" t="s">
        <v>136</v>
      </c>
      <c r="F239" s="170">
        <v>10743.8</v>
      </c>
      <c r="G239" s="170">
        <v>0</v>
      </c>
      <c r="H239" s="76">
        <v>0</v>
      </c>
      <c r="I239" s="76">
        <v>0</v>
      </c>
      <c r="J239" s="76">
        <v>0</v>
      </c>
      <c r="K239" s="76">
        <v>2256.2000000000003</v>
      </c>
      <c r="L239" s="76">
        <v>0</v>
      </c>
      <c r="M239" s="170">
        <v>0</v>
      </c>
      <c r="N239" s="170">
        <v>13000</v>
      </c>
    </row>
    <row r="240" spans="1:14" hidden="1">
      <c r="A240" s="74" t="s">
        <v>3515</v>
      </c>
      <c r="B240" s="75" t="s">
        <v>3519</v>
      </c>
      <c r="C240" s="76" t="s">
        <v>134</v>
      </c>
      <c r="D240" s="76" t="s">
        <v>135</v>
      </c>
      <c r="E240" s="76" t="s">
        <v>136</v>
      </c>
      <c r="F240" s="170">
        <v>18181.82</v>
      </c>
      <c r="G240" s="170">
        <v>0</v>
      </c>
      <c r="H240" s="76">
        <v>0</v>
      </c>
      <c r="I240" s="76">
        <v>0</v>
      </c>
      <c r="J240" s="76">
        <v>0</v>
      </c>
      <c r="K240" s="76">
        <v>3818.18</v>
      </c>
      <c r="L240" s="76">
        <v>0</v>
      </c>
      <c r="M240" s="170">
        <v>0</v>
      </c>
      <c r="N240" s="170">
        <v>22000</v>
      </c>
    </row>
    <row r="241" spans="1:14" hidden="1">
      <c r="A241" s="74" t="s">
        <v>3515</v>
      </c>
      <c r="B241" s="75" t="s">
        <v>3520</v>
      </c>
      <c r="C241" s="76" t="s">
        <v>134</v>
      </c>
      <c r="D241" s="76" t="s">
        <v>135</v>
      </c>
      <c r="E241" s="76" t="s">
        <v>136</v>
      </c>
      <c r="F241" s="170">
        <v>10330.58</v>
      </c>
      <c r="G241" s="170">
        <v>0</v>
      </c>
      <c r="H241" s="76">
        <v>0</v>
      </c>
      <c r="I241" s="76">
        <v>0</v>
      </c>
      <c r="J241" s="76">
        <v>0</v>
      </c>
      <c r="K241" s="76">
        <v>2169.42</v>
      </c>
      <c r="L241" s="76">
        <v>0</v>
      </c>
      <c r="M241" s="170">
        <v>0</v>
      </c>
      <c r="N241" s="170">
        <v>12500</v>
      </c>
    </row>
    <row r="242" spans="1:14" hidden="1">
      <c r="A242" s="74" t="s">
        <v>3515</v>
      </c>
      <c r="B242" s="75" t="s">
        <v>3521</v>
      </c>
      <c r="C242" s="76" t="s">
        <v>134</v>
      </c>
      <c r="D242" s="76" t="s">
        <v>135</v>
      </c>
      <c r="E242" s="76" t="s">
        <v>136</v>
      </c>
      <c r="F242" s="170">
        <v>6074.38</v>
      </c>
      <c r="G242" s="170">
        <v>0</v>
      </c>
      <c r="H242" s="76">
        <v>0</v>
      </c>
      <c r="I242" s="76">
        <v>0</v>
      </c>
      <c r="J242" s="76">
        <v>0</v>
      </c>
      <c r="K242" s="76">
        <v>1275.6200000000001</v>
      </c>
      <c r="L242" s="76">
        <v>0</v>
      </c>
      <c r="M242" s="170">
        <v>0</v>
      </c>
      <c r="N242" s="170">
        <v>7350</v>
      </c>
    </row>
    <row r="243" spans="1:14" hidden="1">
      <c r="A243" s="74" t="s">
        <v>3515</v>
      </c>
      <c r="B243" s="75" t="s">
        <v>3522</v>
      </c>
      <c r="C243" s="76" t="s">
        <v>134</v>
      </c>
      <c r="D243" s="76" t="s">
        <v>135</v>
      </c>
      <c r="E243" s="76" t="s">
        <v>136</v>
      </c>
      <c r="F243" s="170">
        <v>8264.4600000000009</v>
      </c>
      <c r="G243" s="170">
        <v>0</v>
      </c>
      <c r="H243" s="76">
        <v>0</v>
      </c>
      <c r="I243" s="76">
        <v>0</v>
      </c>
      <c r="J243" s="76">
        <v>0</v>
      </c>
      <c r="K243" s="76">
        <v>1735.54</v>
      </c>
      <c r="L243" s="76">
        <v>0</v>
      </c>
      <c r="M243" s="170">
        <v>0</v>
      </c>
      <c r="N243" s="170">
        <v>10000</v>
      </c>
    </row>
    <row r="244" spans="1:14" hidden="1">
      <c r="A244" s="74" t="s">
        <v>3515</v>
      </c>
      <c r="B244" s="75" t="s">
        <v>3523</v>
      </c>
      <c r="C244" s="76" t="s">
        <v>134</v>
      </c>
      <c r="D244" s="76" t="s">
        <v>135</v>
      </c>
      <c r="E244" s="76" t="s">
        <v>136</v>
      </c>
      <c r="F244" s="170">
        <v>8264.4600000000009</v>
      </c>
      <c r="G244" s="170">
        <v>0</v>
      </c>
      <c r="H244" s="76">
        <v>0</v>
      </c>
      <c r="I244" s="76">
        <v>0</v>
      </c>
      <c r="J244" s="76">
        <v>0</v>
      </c>
      <c r="K244" s="76">
        <v>1735.54</v>
      </c>
      <c r="L244" s="76">
        <v>0</v>
      </c>
      <c r="M244" s="170">
        <v>0</v>
      </c>
      <c r="N244" s="170">
        <v>10000</v>
      </c>
    </row>
    <row r="245" spans="1:14" hidden="1">
      <c r="A245" s="74" t="s">
        <v>3515</v>
      </c>
      <c r="B245" s="75" t="s">
        <v>3524</v>
      </c>
      <c r="C245" s="76" t="s">
        <v>134</v>
      </c>
      <c r="D245" s="76" t="s">
        <v>135</v>
      </c>
      <c r="E245" s="76" t="s">
        <v>136</v>
      </c>
      <c r="F245" s="170">
        <v>42975.21</v>
      </c>
      <c r="G245" s="170">
        <v>0</v>
      </c>
      <c r="H245" s="76">
        <v>0</v>
      </c>
      <c r="I245" s="76">
        <v>0</v>
      </c>
      <c r="J245" s="76">
        <v>0</v>
      </c>
      <c r="K245" s="76">
        <v>9024.7900000000009</v>
      </c>
      <c r="L245" s="76">
        <v>0</v>
      </c>
      <c r="M245" s="170">
        <v>0</v>
      </c>
      <c r="N245" s="170">
        <v>52000</v>
      </c>
    </row>
    <row r="246" spans="1:14" hidden="1">
      <c r="A246" s="74" t="s">
        <v>3530</v>
      </c>
      <c r="B246" s="75" t="s">
        <v>3531</v>
      </c>
      <c r="C246" s="76" t="s">
        <v>134</v>
      </c>
      <c r="D246" s="76" t="s">
        <v>135</v>
      </c>
      <c r="E246" s="76" t="s">
        <v>136</v>
      </c>
      <c r="F246" s="170">
        <v>11487.6</v>
      </c>
      <c r="G246" s="170">
        <v>0</v>
      </c>
      <c r="H246" s="76">
        <v>0</v>
      </c>
      <c r="I246" s="76">
        <v>0</v>
      </c>
      <c r="J246" s="76">
        <v>0</v>
      </c>
      <c r="K246" s="76">
        <v>2412.4</v>
      </c>
      <c r="L246" s="76">
        <v>0</v>
      </c>
      <c r="M246" s="170">
        <v>0</v>
      </c>
      <c r="N246" s="170">
        <v>13900</v>
      </c>
    </row>
    <row r="247" spans="1:14" hidden="1">
      <c r="A247" s="74" t="s">
        <v>3530</v>
      </c>
      <c r="B247" s="75" t="s">
        <v>3532</v>
      </c>
      <c r="C247" s="76" t="s">
        <v>134</v>
      </c>
      <c r="D247" s="76" t="s">
        <v>135</v>
      </c>
      <c r="E247" s="76" t="s">
        <v>136</v>
      </c>
      <c r="F247" s="170">
        <v>10743.8</v>
      </c>
      <c r="G247" s="170">
        <v>0</v>
      </c>
      <c r="H247" s="76">
        <v>0</v>
      </c>
      <c r="I247" s="76">
        <v>0</v>
      </c>
      <c r="J247" s="76">
        <v>0</v>
      </c>
      <c r="K247" s="76">
        <v>2256.2000000000003</v>
      </c>
      <c r="L247" s="76">
        <v>0</v>
      </c>
      <c r="M247" s="170">
        <v>0</v>
      </c>
      <c r="N247" s="170">
        <v>13000</v>
      </c>
    </row>
    <row r="248" spans="1:14" hidden="1">
      <c r="A248" s="74" t="s">
        <v>3530</v>
      </c>
      <c r="B248" s="75" t="s">
        <v>3533</v>
      </c>
      <c r="C248" s="76" t="s">
        <v>134</v>
      </c>
      <c r="D248" s="76" t="s">
        <v>135</v>
      </c>
      <c r="E248" s="76" t="s">
        <v>136</v>
      </c>
      <c r="F248" s="170">
        <v>28925.62</v>
      </c>
      <c r="G248" s="170">
        <v>0</v>
      </c>
      <c r="H248" s="76">
        <v>0</v>
      </c>
      <c r="I248" s="76">
        <v>0</v>
      </c>
      <c r="J248" s="76">
        <v>0</v>
      </c>
      <c r="K248" s="76">
        <v>6074.38</v>
      </c>
      <c r="L248" s="76">
        <v>0</v>
      </c>
      <c r="M248" s="170">
        <v>0</v>
      </c>
      <c r="N248" s="170">
        <v>35000</v>
      </c>
    </row>
    <row r="249" spans="1:14" hidden="1">
      <c r="A249" s="74" t="s">
        <v>3530</v>
      </c>
      <c r="B249" s="75" t="s">
        <v>3534</v>
      </c>
      <c r="C249" s="76" t="s">
        <v>134</v>
      </c>
      <c r="D249" s="76" t="s">
        <v>135</v>
      </c>
      <c r="E249" s="76" t="s">
        <v>136</v>
      </c>
      <c r="F249" s="170">
        <v>10247.93</v>
      </c>
      <c r="G249" s="170">
        <v>0</v>
      </c>
      <c r="H249" s="76">
        <v>0</v>
      </c>
      <c r="I249" s="76">
        <v>0</v>
      </c>
      <c r="J249" s="76">
        <v>0</v>
      </c>
      <c r="K249" s="76">
        <v>2152.0700000000002</v>
      </c>
      <c r="L249" s="76">
        <v>0</v>
      </c>
      <c r="M249" s="170">
        <v>0</v>
      </c>
      <c r="N249" s="170">
        <v>12400</v>
      </c>
    </row>
    <row r="250" spans="1:14" hidden="1">
      <c r="A250" s="74" t="s">
        <v>3530</v>
      </c>
      <c r="B250" s="75" t="s">
        <v>3535</v>
      </c>
      <c r="C250" s="76" t="s">
        <v>134</v>
      </c>
      <c r="D250" s="76" t="s">
        <v>135</v>
      </c>
      <c r="E250" s="76" t="s">
        <v>136</v>
      </c>
      <c r="F250" s="170">
        <v>1652.89</v>
      </c>
      <c r="G250" s="170">
        <v>0</v>
      </c>
      <c r="H250" s="76">
        <v>0</v>
      </c>
      <c r="I250" s="76">
        <v>0</v>
      </c>
      <c r="J250" s="76">
        <v>0</v>
      </c>
      <c r="K250" s="76">
        <v>347.11</v>
      </c>
      <c r="L250" s="76">
        <v>0</v>
      </c>
      <c r="M250" s="170">
        <v>0</v>
      </c>
      <c r="N250" s="170">
        <v>2000</v>
      </c>
    </row>
    <row r="251" spans="1:14" hidden="1">
      <c r="A251" s="74" t="s">
        <v>3530</v>
      </c>
      <c r="B251" s="75" t="s">
        <v>3536</v>
      </c>
      <c r="C251" s="76" t="s">
        <v>134</v>
      </c>
      <c r="D251" s="76" t="s">
        <v>135</v>
      </c>
      <c r="E251" s="76" t="s">
        <v>136</v>
      </c>
      <c r="F251" s="170">
        <v>10743.8</v>
      </c>
      <c r="G251" s="170">
        <v>0</v>
      </c>
      <c r="H251" s="76">
        <v>0</v>
      </c>
      <c r="I251" s="76">
        <v>0</v>
      </c>
      <c r="J251" s="76">
        <v>0</v>
      </c>
      <c r="K251" s="76">
        <v>2256.2000000000003</v>
      </c>
      <c r="L251" s="76">
        <v>0</v>
      </c>
      <c r="M251" s="170">
        <v>0</v>
      </c>
      <c r="N251" s="170">
        <v>13000</v>
      </c>
    </row>
    <row r="252" spans="1:14" hidden="1">
      <c r="A252" s="74" t="s">
        <v>3530</v>
      </c>
      <c r="B252" s="75" t="s">
        <v>3537</v>
      </c>
      <c r="C252" s="76" t="s">
        <v>134</v>
      </c>
      <c r="D252" s="76" t="s">
        <v>135</v>
      </c>
      <c r="E252" s="76" t="s">
        <v>136</v>
      </c>
      <c r="F252" s="170">
        <v>2231.4</v>
      </c>
      <c r="G252" s="170">
        <v>0</v>
      </c>
      <c r="H252" s="76">
        <v>0</v>
      </c>
      <c r="I252" s="76">
        <v>0</v>
      </c>
      <c r="J252" s="76">
        <v>0</v>
      </c>
      <c r="K252" s="76">
        <v>468.6</v>
      </c>
      <c r="L252" s="76">
        <v>0</v>
      </c>
      <c r="M252" s="170">
        <v>0</v>
      </c>
      <c r="N252" s="170">
        <v>2700</v>
      </c>
    </row>
    <row r="253" spans="1:14" hidden="1">
      <c r="A253" s="74" t="s">
        <v>3530</v>
      </c>
      <c r="B253" s="75" t="s">
        <v>3538</v>
      </c>
      <c r="C253" s="76" t="s">
        <v>134</v>
      </c>
      <c r="D253" s="76" t="s">
        <v>135</v>
      </c>
      <c r="E253" s="76" t="s">
        <v>136</v>
      </c>
      <c r="F253" s="170">
        <v>28925.62</v>
      </c>
      <c r="G253" s="170">
        <v>0</v>
      </c>
      <c r="H253" s="76">
        <v>0</v>
      </c>
      <c r="I253" s="76">
        <v>0</v>
      </c>
      <c r="J253" s="76">
        <v>0</v>
      </c>
      <c r="K253" s="76">
        <v>6074.38</v>
      </c>
      <c r="L253" s="76">
        <v>0</v>
      </c>
      <c r="M253" s="170">
        <v>0</v>
      </c>
      <c r="N253" s="170">
        <v>35000</v>
      </c>
    </row>
    <row r="254" spans="1:14" hidden="1">
      <c r="A254" s="74" t="s">
        <v>3530</v>
      </c>
      <c r="B254" s="75" t="s">
        <v>3539</v>
      </c>
      <c r="C254" s="76" t="s">
        <v>134</v>
      </c>
      <c r="D254" s="76" t="s">
        <v>135</v>
      </c>
      <c r="E254" s="76" t="s">
        <v>136</v>
      </c>
      <c r="F254" s="170">
        <v>12396.69</v>
      </c>
      <c r="G254" s="170">
        <v>0</v>
      </c>
      <c r="H254" s="76">
        <v>0</v>
      </c>
      <c r="I254" s="76">
        <v>0</v>
      </c>
      <c r="J254" s="76">
        <v>0</v>
      </c>
      <c r="K254" s="76">
        <v>2603.31</v>
      </c>
      <c r="L254" s="76">
        <v>0</v>
      </c>
      <c r="M254" s="170">
        <v>0</v>
      </c>
      <c r="N254" s="170">
        <v>15000</v>
      </c>
    </row>
    <row r="255" spans="1:14" hidden="1">
      <c r="A255" s="74" t="s">
        <v>3530</v>
      </c>
      <c r="B255" s="75" t="s">
        <v>3540</v>
      </c>
      <c r="C255" s="76" t="s">
        <v>134</v>
      </c>
      <c r="D255" s="76" t="s">
        <v>135</v>
      </c>
      <c r="E255" s="76" t="s">
        <v>136</v>
      </c>
      <c r="F255" s="170">
        <v>25206.61</v>
      </c>
      <c r="G255" s="170">
        <v>0</v>
      </c>
      <c r="H255" s="76">
        <v>0</v>
      </c>
      <c r="I255" s="76">
        <v>0</v>
      </c>
      <c r="J255" s="76">
        <v>0</v>
      </c>
      <c r="K255" s="76">
        <v>5293.39</v>
      </c>
      <c r="L255" s="76">
        <v>0</v>
      </c>
      <c r="M255" s="170">
        <v>0</v>
      </c>
      <c r="N255" s="170">
        <v>30500</v>
      </c>
    </row>
    <row r="256" spans="1:14" hidden="1">
      <c r="A256" s="74" t="s">
        <v>3530</v>
      </c>
      <c r="B256" s="75" t="s">
        <v>3541</v>
      </c>
      <c r="C256" s="76" t="s">
        <v>134</v>
      </c>
      <c r="D256" s="76" t="s">
        <v>135</v>
      </c>
      <c r="E256" s="76" t="s">
        <v>136</v>
      </c>
      <c r="F256" s="170">
        <v>10743.8</v>
      </c>
      <c r="G256" s="170">
        <v>0</v>
      </c>
      <c r="H256" s="76">
        <v>0</v>
      </c>
      <c r="I256" s="76">
        <v>0</v>
      </c>
      <c r="J256" s="76">
        <v>0</v>
      </c>
      <c r="K256" s="76">
        <v>2256.2000000000003</v>
      </c>
      <c r="L256" s="76">
        <v>0</v>
      </c>
      <c r="M256" s="170">
        <v>0</v>
      </c>
      <c r="N256" s="170">
        <v>13000</v>
      </c>
    </row>
    <row r="257" spans="1:14" hidden="1">
      <c r="A257" s="74" t="s">
        <v>3530</v>
      </c>
      <c r="B257" s="75" t="s">
        <v>3542</v>
      </c>
      <c r="C257" s="76" t="s">
        <v>134</v>
      </c>
      <c r="D257" s="76" t="s">
        <v>135</v>
      </c>
      <c r="E257" s="76" t="s">
        <v>136</v>
      </c>
      <c r="F257" s="170">
        <v>12396.69</v>
      </c>
      <c r="G257" s="170">
        <v>0</v>
      </c>
      <c r="H257" s="76">
        <v>0</v>
      </c>
      <c r="I257" s="76">
        <v>0</v>
      </c>
      <c r="J257" s="76">
        <v>0</v>
      </c>
      <c r="K257" s="76">
        <v>2603.31</v>
      </c>
      <c r="L257" s="76">
        <v>0</v>
      </c>
      <c r="M257" s="170">
        <v>0</v>
      </c>
      <c r="N257" s="170">
        <v>15000</v>
      </c>
    </row>
    <row r="258" spans="1:14" hidden="1">
      <c r="A258" s="74" t="s">
        <v>3530</v>
      </c>
      <c r="B258" s="75" t="s">
        <v>3543</v>
      </c>
      <c r="C258" s="76" t="s">
        <v>134</v>
      </c>
      <c r="D258" s="76" t="s">
        <v>135</v>
      </c>
      <c r="E258" s="76" t="s">
        <v>136</v>
      </c>
      <c r="F258" s="170">
        <v>10661.16</v>
      </c>
      <c r="G258" s="170">
        <v>0</v>
      </c>
      <c r="H258" s="76">
        <v>0</v>
      </c>
      <c r="I258" s="76">
        <v>0</v>
      </c>
      <c r="J258" s="76">
        <v>0</v>
      </c>
      <c r="K258" s="76">
        <v>2238.84</v>
      </c>
      <c r="L258" s="76">
        <v>0</v>
      </c>
      <c r="M258" s="170">
        <v>0</v>
      </c>
      <c r="N258" s="170">
        <v>12900</v>
      </c>
    </row>
    <row r="259" spans="1:14" hidden="1">
      <c r="A259" s="74" t="s">
        <v>3530</v>
      </c>
      <c r="B259" s="75" t="s">
        <v>3544</v>
      </c>
      <c r="C259" s="76" t="s">
        <v>134</v>
      </c>
      <c r="D259" s="76" t="s">
        <v>135</v>
      </c>
      <c r="E259" s="76" t="s">
        <v>136</v>
      </c>
      <c r="F259" s="170">
        <v>53719.01</v>
      </c>
      <c r="G259" s="170">
        <v>0</v>
      </c>
      <c r="H259" s="76">
        <v>0</v>
      </c>
      <c r="I259" s="76">
        <v>0</v>
      </c>
      <c r="J259" s="76">
        <v>0</v>
      </c>
      <c r="K259" s="76">
        <v>11280.99</v>
      </c>
      <c r="L259" s="76">
        <v>0</v>
      </c>
      <c r="M259" s="170">
        <v>0</v>
      </c>
      <c r="N259" s="170">
        <v>65000</v>
      </c>
    </row>
    <row r="260" spans="1:14" hidden="1">
      <c r="A260" s="74" t="s">
        <v>3530</v>
      </c>
      <c r="B260" s="75" t="s">
        <v>3545</v>
      </c>
      <c r="C260" s="76" t="s">
        <v>134</v>
      </c>
      <c r="D260" s="76" t="s">
        <v>135</v>
      </c>
      <c r="E260" s="76" t="s">
        <v>136</v>
      </c>
      <c r="F260" s="170">
        <v>14669.42</v>
      </c>
      <c r="G260" s="170">
        <v>0</v>
      </c>
      <c r="H260" s="76">
        <v>0</v>
      </c>
      <c r="I260" s="76">
        <v>0</v>
      </c>
      <c r="J260" s="76">
        <v>0</v>
      </c>
      <c r="K260" s="76">
        <v>3080.58</v>
      </c>
      <c r="L260" s="76">
        <v>0</v>
      </c>
      <c r="M260" s="170">
        <v>0</v>
      </c>
      <c r="N260" s="170">
        <v>17750</v>
      </c>
    </row>
    <row r="261" spans="1:14" hidden="1">
      <c r="A261" s="74" t="s">
        <v>3530</v>
      </c>
      <c r="B261" s="75" t="s">
        <v>3546</v>
      </c>
      <c r="C261" s="76" t="s">
        <v>134</v>
      </c>
      <c r="D261" s="76" t="s">
        <v>135</v>
      </c>
      <c r="E261" s="76" t="s">
        <v>136</v>
      </c>
      <c r="F261" s="170">
        <v>24793.39</v>
      </c>
      <c r="G261" s="170">
        <v>0</v>
      </c>
      <c r="H261" s="76">
        <v>0</v>
      </c>
      <c r="I261" s="76">
        <v>0</v>
      </c>
      <c r="J261" s="76">
        <v>0</v>
      </c>
      <c r="K261" s="76">
        <v>5206.6099999999997</v>
      </c>
      <c r="L261" s="76">
        <v>0</v>
      </c>
      <c r="M261" s="170">
        <v>0</v>
      </c>
      <c r="N261" s="170">
        <v>30000</v>
      </c>
    </row>
    <row r="262" spans="1:14" hidden="1">
      <c r="A262" s="74" t="s">
        <v>3547</v>
      </c>
      <c r="B262" s="75" t="s">
        <v>3548</v>
      </c>
      <c r="C262" s="76" t="s">
        <v>134</v>
      </c>
      <c r="D262" s="76" t="s">
        <v>135</v>
      </c>
      <c r="E262" s="76" t="s">
        <v>136</v>
      </c>
      <c r="F262" s="170">
        <v>15909.09</v>
      </c>
      <c r="G262" s="170">
        <v>0</v>
      </c>
      <c r="H262" s="76">
        <v>0</v>
      </c>
      <c r="I262" s="76">
        <v>0</v>
      </c>
      <c r="J262" s="76">
        <v>0</v>
      </c>
      <c r="K262" s="76">
        <v>3340.91</v>
      </c>
      <c r="L262" s="76">
        <v>0</v>
      </c>
      <c r="M262" s="170">
        <v>0</v>
      </c>
      <c r="N262" s="170">
        <v>19250</v>
      </c>
    </row>
    <row r="263" spans="1:14" hidden="1">
      <c r="A263" s="74" t="s">
        <v>3547</v>
      </c>
      <c r="B263" s="75" t="s">
        <v>3549</v>
      </c>
      <c r="C263" s="76" t="s">
        <v>134</v>
      </c>
      <c r="D263" s="76" t="s">
        <v>135</v>
      </c>
      <c r="E263" s="76" t="s">
        <v>136</v>
      </c>
      <c r="F263" s="170">
        <v>16528.93</v>
      </c>
      <c r="G263" s="170">
        <v>0</v>
      </c>
      <c r="H263" s="76">
        <v>0</v>
      </c>
      <c r="I263" s="76">
        <v>0</v>
      </c>
      <c r="J263" s="76">
        <v>0</v>
      </c>
      <c r="K263" s="76">
        <v>3471.07</v>
      </c>
      <c r="L263" s="76">
        <v>0</v>
      </c>
      <c r="M263" s="170">
        <v>0</v>
      </c>
      <c r="N263" s="170">
        <v>20000</v>
      </c>
    </row>
    <row r="264" spans="1:14" hidden="1">
      <c r="A264" s="74" t="s">
        <v>3547</v>
      </c>
      <c r="B264" s="75" t="s">
        <v>3550</v>
      </c>
      <c r="C264" s="76" t="s">
        <v>134</v>
      </c>
      <c r="D264" s="76" t="s">
        <v>135</v>
      </c>
      <c r="E264" s="76" t="s">
        <v>136</v>
      </c>
      <c r="F264" s="170">
        <v>29338.84</v>
      </c>
      <c r="G264" s="170">
        <v>0</v>
      </c>
      <c r="H264" s="76">
        <v>0</v>
      </c>
      <c r="I264" s="76">
        <v>0</v>
      </c>
      <c r="J264" s="76">
        <v>0</v>
      </c>
      <c r="K264" s="76">
        <v>6161.16</v>
      </c>
      <c r="L264" s="76">
        <v>0</v>
      </c>
      <c r="M264" s="170">
        <v>0</v>
      </c>
      <c r="N264" s="170">
        <v>35500</v>
      </c>
    </row>
    <row r="265" spans="1:14" hidden="1">
      <c r="A265" s="74" t="s">
        <v>3547</v>
      </c>
      <c r="B265" s="75" t="s">
        <v>3551</v>
      </c>
      <c r="C265" s="76" t="s">
        <v>134</v>
      </c>
      <c r="D265" s="76" t="s">
        <v>135</v>
      </c>
      <c r="E265" s="76" t="s">
        <v>136</v>
      </c>
      <c r="F265" s="170">
        <v>53719.01</v>
      </c>
      <c r="G265" s="170">
        <v>0</v>
      </c>
      <c r="H265" s="76">
        <v>0</v>
      </c>
      <c r="I265" s="76">
        <v>0</v>
      </c>
      <c r="J265" s="76">
        <v>0</v>
      </c>
      <c r="K265" s="76">
        <v>11280.99</v>
      </c>
      <c r="L265" s="76">
        <v>0</v>
      </c>
      <c r="M265" s="170">
        <v>0</v>
      </c>
      <c r="N265" s="170">
        <v>65000</v>
      </c>
    </row>
    <row r="266" spans="1:14" hidden="1">
      <c r="A266" s="74" t="s">
        <v>3547</v>
      </c>
      <c r="B266" s="75" t="s">
        <v>3552</v>
      </c>
      <c r="C266" s="76" t="s">
        <v>134</v>
      </c>
      <c r="D266" s="76" t="s">
        <v>135</v>
      </c>
      <c r="E266" s="76" t="s">
        <v>136</v>
      </c>
      <c r="F266" s="170">
        <v>12809.92</v>
      </c>
      <c r="G266" s="170">
        <v>0</v>
      </c>
      <c r="H266" s="76">
        <v>0</v>
      </c>
      <c r="I266" s="76">
        <v>0</v>
      </c>
      <c r="J266" s="76">
        <v>0</v>
      </c>
      <c r="K266" s="76">
        <v>2690.08</v>
      </c>
      <c r="L266" s="76">
        <v>0</v>
      </c>
      <c r="M266" s="170">
        <v>0</v>
      </c>
      <c r="N266" s="170">
        <v>15500</v>
      </c>
    </row>
    <row r="267" spans="1:14" hidden="1">
      <c r="A267" s="74" t="s">
        <v>3547</v>
      </c>
      <c r="B267" s="75" t="s">
        <v>3553</v>
      </c>
      <c r="C267" s="76" t="s">
        <v>134</v>
      </c>
      <c r="D267" s="76" t="s">
        <v>135</v>
      </c>
      <c r="E267" s="76" t="s">
        <v>136</v>
      </c>
      <c r="F267" s="170">
        <v>10743.8</v>
      </c>
      <c r="G267" s="170">
        <v>0</v>
      </c>
      <c r="H267" s="76">
        <v>0</v>
      </c>
      <c r="I267" s="76">
        <v>0</v>
      </c>
      <c r="J267" s="76">
        <v>0</v>
      </c>
      <c r="K267" s="76">
        <v>2256.2000000000003</v>
      </c>
      <c r="L267" s="76">
        <v>0</v>
      </c>
      <c r="M267" s="170">
        <v>0</v>
      </c>
      <c r="N267" s="170">
        <v>13000</v>
      </c>
    </row>
    <row r="268" spans="1:14" hidden="1">
      <c r="A268" s="74" t="s">
        <v>3547</v>
      </c>
      <c r="B268" s="75" t="s">
        <v>3554</v>
      </c>
      <c r="C268" s="76" t="s">
        <v>134</v>
      </c>
      <c r="D268" s="76" t="s">
        <v>135</v>
      </c>
      <c r="E268" s="76" t="s">
        <v>136</v>
      </c>
      <c r="F268" s="170">
        <v>10743.8</v>
      </c>
      <c r="G268" s="170">
        <v>0</v>
      </c>
      <c r="H268" s="76">
        <v>0</v>
      </c>
      <c r="I268" s="76">
        <v>0</v>
      </c>
      <c r="J268" s="76">
        <v>0</v>
      </c>
      <c r="K268" s="76">
        <v>2256.2000000000003</v>
      </c>
      <c r="L268" s="76">
        <v>0</v>
      </c>
      <c r="M268" s="170">
        <v>0</v>
      </c>
      <c r="N268" s="170">
        <v>13000</v>
      </c>
    </row>
    <row r="269" spans="1:14" hidden="1">
      <c r="A269" s="74" t="s">
        <v>3547</v>
      </c>
      <c r="B269" s="75" t="s">
        <v>3555</v>
      </c>
      <c r="C269" s="76" t="s">
        <v>134</v>
      </c>
      <c r="D269" s="76" t="s">
        <v>135</v>
      </c>
      <c r="E269" s="76" t="s">
        <v>136</v>
      </c>
      <c r="F269" s="170">
        <v>19834.71</v>
      </c>
      <c r="G269" s="170">
        <v>0</v>
      </c>
      <c r="H269" s="76">
        <v>0</v>
      </c>
      <c r="I269" s="76">
        <v>0</v>
      </c>
      <c r="J269" s="76">
        <v>0</v>
      </c>
      <c r="K269" s="76">
        <v>4165.29</v>
      </c>
      <c r="L269" s="76">
        <v>0</v>
      </c>
      <c r="M269" s="170">
        <v>0</v>
      </c>
      <c r="N269" s="170">
        <v>24000</v>
      </c>
    </row>
    <row r="270" spans="1:14" hidden="1">
      <c r="A270" s="74" t="s">
        <v>3547</v>
      </c>
      <c r="B270" s="75" t="s">
        <v>3556</v>
      </c>
      <c r="C270" s="76" t="s">
        <v>134</v>
      </c>
      <c r="D270" s="76" t="s">
        <v>135</v>
      </c>
      <c r="E270" s="76" t="s">
        <v>136</v>
      </c>
      <c r="F270" s="170">
        <v>20661.16</v>
      </c>
      <c r="G270" s="170">
        <v>0</v>
      </c>
      <c r="H270" s="76">
        <v>0</v>
      </c>
      <c r="I270" s="76">
        <v>0</v>
      </c>
      <c r="J270" s="76">
        <v>0</v>
      </c>
      <c r="K270" s="76">
        <v>4338.84</v>
      </c>
      <c r="L270" s="76">
        <v>0</v>
      </c>
      <c r="M270" s="170">
        <v>0</v>
      </c>
      <c r="N270" s="170">
        <v>25000</v>
      </c>
    </row>
    <row r="271" spans="1:14" hidden="1">
      <c r="A271" s="74" t="s">
        <v>3547</v>
      </c>
      <c r="B271" s="75" t="s">
        <v>3557</v>
      </c>
      <c r="C271" s="76" t="s">
        <v>134</v>
      </c>
      <c r="D271" s="76" t="s">
        <v>135</v>
      </c>
      <c r="E271" s="76" t="s">
        <v>136</v>
      </c>
      <c r="F271" s="170">
        <v>10743.8</v>
      </c>
      <c r="G271" s="170">
        <v>0</v>
      </c>
      <c r="H271" s="76">
        <v>0</v>
      </c>
      <c r="I271" s="76">
        <v>0</v>
      </c>
      <c r="J271" s="76">
        <v>0</v>
      </c>
      <c r="K271" s="76">
        <v>2256.2000000000003</v>
      </c>
      <c r="L271" s="76">
        <v>0</v>
      </c>
      <c r="M271" s="170">
        <v>0</v>
      </c>
      <c r="N271" s="170">
        <v>13000</v>
      </c>
    </row>
    <row r="272" spans="1:14" hidden="1">
      <c r="A272" s="74" t="s">
        <v>3547</v>
      </c>
      <c r="B272" s="75" t="s">
        <v>3558</v>
      </c>
      <c r="C272" s="76" t="s">
        <v>134</v>
      </c>
      <c r="D272" s="76" t="s">
        <v>135</v>
      </c>
      <c r="E272" s="76" t="s">
        <v>136</v>
      </c>
      <c r="F272" s="170">
        <v>78512.400000000009</v>
      </c>
      <c r="G272" s="170">
        <v>0</v>
      </c>
      <c r="H272" s="76">
        <v>0</v>
      </c>
      <c r="I272" s="76">
        <v>0</v>
      </c>
      <c r="J272" s="76">
        <v>0</v>
      </c>
      <c r="K272" s="76">
        <v>16487.599999999999</v>
      </c>
      <c r="L272" s="76">
        <v>0</v>
      </c>
      <c r="M272" s="170">
        <v>0</v>
      </c>
      <c r="N272" s="170">
        <v>95000</v>
      </c>
    </row>
    <row r="273" spans="1:14" hidden="1">
      <c r="A273" s="74" t="s">
        <v>3547</v>
      </c>
      <c r="B273" s="75" t="s">
        <v>3559</v>
      </c>
      <c r="C273" s="76" t="s">
        <v>134</v>
      </c>
      <c r="D273" s="76" t="s">
        <v>135</v>
      </c>
      <c r="E273" s="76" t="s">
        <v>136</v>
      </c>
      <c r="F273" s="170">
        <v>14669.42</v>
      </c>
      <c r="G273" s="170">
        <v>0</v>
      </c>
      <c r="H273" s="76">
        <v>0</v>
      </c>
      <c r="I273" s="76">
        <v>0</v>
      </c>
      <c r="J273" s="76">
        <v>0</v>
      </c>
      <c r="K273" s="76">
        <v>3080.58</v>
      </c>
      <c r="L273" s="76">
        <v>0</v>
      </c>
      <c r="M273" s="170">
        <v>0</v>
      </c>
      <c r="N273" s="170">
        <v>17750</v>
      </c>
    </row>
    <row r="274" spans="1:14" hidden="1">
      <c r="A274" s="74" t="s">
        <v>3547</v>
      </c>
      <c r="B274" s="75" t="s">
        <v>3560</v>
      </c>
      <c r="C274" s="76" t="s">
        <v>134</v>
      </c>
      <c r="D274" s="76" t="s">
        <v>135</v>
      </c>
      <c r="E274" s="76" t="s">
        <v>136</v>
      </c>
      <c r="F274" s="170">
        <v>12809.92</v>
      </c>
      <c r="G274" s="170">
        <v>0</v>
      </c>
      <c r="H274" s="76">
        <v>0</v>
      </c>
      <c r="I274" s="76">
        <v>0</v>
      </c>
      <c r="J274" s="76">
        <v>0</v>
      </c>
      <c r="K274" s="76">
        <v>2690.08</v>
      </c>
      <c r="L274" s="76">
        <v>0</v>
      </c>
      <c r="M274" s="170">
        <v>0</v>
      </c>
      <c r="N274" s="170">
        <v>15500</v>
      </c>
    </row>
    <row r="275" spans="1:14" hidden="1">
      <c r="A275" s="74" t="s">
        <v>3547</v>
      </c>
      <c r="B275" s="75" t="s">
        <v>3561</v>
      </c>
      <c r="C275" s="76" t="s">
        <v>134</v>
      </c>
      <c r="D275" s="76" t="s">
        <v>135</v>
      </c>
      <c r="E275" s="76" t="s">
        <v>136</v>
      </c>
      <c r="F275" s="170">
        <v>12396.69</v>
      </c>
      <c r="G275" s="170">
        <v>0</v>
      </c>
      <c r="H275" s="76">
        <v>0</v>
      </c>
      <c r="I275" s="76">
        <v>0</v>
      </c>
      <c r="J275" s="76">
        <v>0</v>
      </c>
      <c r="K275" s="76">
        <v>2603.31</v>
      </c>
      <c r="L275" s="76">
        <v>0</v>
      </c>
      <c r="M275" s="170">
        <v>0</v>
      </c>
      <c r="N275" s="170">
        <v>15000</v>
      </c>
    </row>
    <row r="276" spans="1:14" hidden="1">
      <c r="A276" s="74" t="s">
        <v>3547</v>
      </c>
      <c r="B276" s="75" t="s">
        <v>3562</v>
      </c>
      <c r="C276" s="76" t="s">
        <v>134</v>
      </c>
      <c r="D276" s="76" t="s">
        <v>135</v>
      </c>
      <c r="E276" s="76" t="s">
        <v>136</v>
      </c>
      <c r="F276" s="170">
        <v>33057.85</v>
      </c>
      <c r="G276" s="170">
        <v>0</v>
      </c>
      <c r="H276" s="76">
        <v>0</v>
      </c>
      <c r="I276" s="76">
        <v>0</v>
      </c>
      <c r="J276" s="76">
        <v>0</v>
      </c>
      <c r="K276" s="76">
        <v>6942.15</v>
      </c>
      <c r="L276" s="76">
        <v>0</v>
      </c>
      <c r="M276" s="170">
        <v>0</v>
      </c>
      <c r="N276" s="170">
        <v>40000</v>
      </c>
    </row>
    <row r="277" spans="1:14">
      <c r="A277" s="74" t="s">
        <v>3547</v>
      </c>
      <c r="B277" s="75" t="s">
        <v>3563</v>
      </c>
      <c r="C277" s="76" t="s">
        <v>3564</v>
      </c>
      <c r="D277" s="76" t="s">
        <v>135</v>
      </c>
      <c r="E277" s="76">
        <v>5817253</v>
      </c>
      <c r="F277" s="170">
        <v>33057.85</v>
      </c>
      <c r="G277" s="170">
        <v>0</v>
      </c>
      <c r="H277" s="76">
        <v>0</v>
      </c>
      <c r="I277" s="76">
        <v>0</v>
      </c>
      <c r="J277" s="76">
        <v>0</v>
      </c>
      <c r="K277" s="76">
        <v>6942.15</v>
      </c>
      <c r="L277" s="76">
        <v>0</v>
      </c>
      <c r="M277" s="170">
        <v>0</v>
      </c>
      <c r="N277" s="170">
        <v>40000</v>
      </c>
    </row>
    <row r="278" spans="1:14" hidden="1">
      <c r="A278" s="74" t="s">
        <v>3547</v>
      </c>
      <c r="B278" s="75" t="s">
        <v>3565</v>
      </c>
      <c r="C278" s="76" t="s">
        <v>134</v>
      </c>
      <c r="D278" s="76" t="s">
        <v>135</v>
      </c>
      <c r="E278" s="76" t="s">
        <v>136</v>
      </c>
      <c r="F278" s="170">
        <v>29338.84</v>
      </c>
      <c r="G278" s="170">
        <v>0</v>
      </c>
      <c r="H278" s="76">
        <v>0</v>
      </c>
      <c r="I278" s="76">
        <v>0</v>
      </c>
      <c r="J278" s="76">
        <v>0</v>
      </c>
      <c r="K278" s="76">
        <v>6161.16</v>
      </c>
      <c r="L278" s="76">
        <v>0</v>
      </c>
      <c r="M278" s="170">
        <v>0</v>
      </c>
      <c r="N278" s="170">
        <v>35500</v>
      </c>
    </row>
    <row r="279" spans="1:14" hidden="1">
      <c r="A279" s="74" t="s">
        <v>3547</v>
      </c>
      <c r="B279" s="75" t="s">
        <v>3566</v>
      </c>
      <c r="C279" s="76" t="s">
        <v>134</v>
      </c>
      <c r="D279" s="76" t="s">
        <v>135</v>
      </c>
      <c r="E279" s="76" t="s">
        <v>136</v>
      </c>
      <c r="F279" s="170">
        <v>14876.03</v>
      </c>
      <c r="G279" s="170">
        <v>0</v>
      </c>
      <c r="H279" s="76">
        <v>0</v>
      </c>
      <c r="I279" s="76">
        <v>0</v>
      </c>
      <c r="J279" s="76">
        <v>0</v>
      </c>
      <c r="K279" s="76">
        <v>3123.97</v>
      </c>
      <c r="L279" s="76">
        <v>0</v>
      </c>
      <c r="M279" s="170">
        <v>0</v>
      </c>
      <c r="N279" s="170">
        <v>18000</v>
      </c>
    </row>
    <row r="280" spans="1:14" hidden="1">
      <c r="A280" s="74" t="s">
        <v>3547</v>
      </c>
      <c r="B280" s="75" t="s">
        <v>3567</v>
      </c>
      <c r="C280" s="76" t="s">
        <v>134</v>
      </c>
      <c r="D280" s="76" t="s">
        <v>135</v>
      </c>
      <c r="E280" s="76" t="s">
        <v>136</v>
      </c>
      <c r="F280" s="170">
        <v>7107.44</v>
      </c>
      <c r="G280" s="170">
        <v>0</v>
      </c>
      <c r="H280" s="76">
        <v>0</v>
      </c>
      <c r="I280" s="76">
        <v>0</v>
      </c>
      <c r="J280" s="76">
        <v>0</v>
      </c>
      <c r="K280" s="76">
        <v>1492.56</v>
      </c>
      <c r="L280" s="76">
        <v>0</v>
      </c>
      <c r="M280" s="170">
        <v>0</v>
      </c>
      <c r="N280" s="170">
        <v>8600</v>
      </c>
    </row>
    <row r="281" spans="1:14">
      <c r="A281" s="74" t="s">
        <v>3547</v>
      </c>
      <c r="B281" s="75" t="s">
        <v>3568</v>
      </c>
      <c r="C281" s="76" t="s">
        <v>3569</v>
      </c>
      <c r="D281" s="76" t="s">
        <v>135</v>
      </c>
      <c r="E281" s="76">
        <v>10424548</v>
      </c>
      <c r="F281" s="170">
        <v>53719.01</v>
      </c>
      <c r="G281" s="170">
        <v>0</v>
      </c>
      <c r="H281" s="76">
        <v>0</v>
      </c>
      <c r="I281" s="76">
        <v>0</v>
      </c>
      <c r="J281" s="76">
        <v>0</v>
      </c>
      <c r="K281" s="76">
        <v>11280.99</v>
      </c>
      <c r="L281" s="76">
        <v>0</v>
      </c>
      <c r="M281" s="170">
        <v>0</v>
      </c>
      <c r="N281" s="170">
        <v>65000</v>
      </c>
    </row>
    <row r="282" spans="1:14" hidden="1">
      <c r="A282" s="74" t="s">
        <v>3547</v>
      </c>
      <c r="B282" s="75" t="s">
        <v>3570</v>
      </c>
      <c r="C282" s="76" t="s">
        <v>134</v>
      </c>
      <c r="D282" s="76" t="s">
        <v>135</v>
      </c>
      <c r="E282" s="76" t="s">
        <v>136</v>
      </c>
      <c r="F282" s="170">
        <v>21487.599999999999</v>
      </c>
      <c r="G282" s="170">
        <v>0</v>
      </c>
      <c r="H282" s="76">
        <v>0</v>
      </c>
      <c r="I282" s="76">
        <v>0</v>
      </c>
      <c r="J282" s="76">
        <v>0</v>
      </c>
      <c r="K282" s="76">
        <v>4512.4000000000005</v>
      </c>
      <c r="L282" s="76">
        <v>0</v>
      </c>
      <c r="M282" s="170">
        <v>0</v>
      </c>
      <c r="N282" s="170">
        <v>26000</v>
      </c>
    </row>
    <row r="283" spans="1:14" hidden="1">
      <c r="A283" s="74" t="s">
        <v>3547</v>
      </c>
      <c r="B283" s="75" t="s">
        <v>3571</v>
      </c>
      <c r="C283" s="76" t="s">
        <v>134</v>
      </c>
      <c r="D283" s="76" t="s">
        <v>135</v>
      </c>
      <c r="E283" s="76" t="s">
        <v>136</v>
      </c>
      <c r="F283" s="170">
        <v>10743.8</v>
      </c>
      <c r="G283" s="170">
        <v>0</v>
      </c>
      <c r="H283" s="76">
        <v>0</v>
      </c>
      <c r="I283" s="76">
        <v>0</v>
      </c>
      <c r="J283" s="76">
        <v>0</v>
      </c>
      <c r="K283" s="76">
        <v>2256.2000000000003</v>
      </c>
      <c r="L283" s="76">
        <v>0</v>
      </c>
      <c r="M283" s="170">
        <v>0</v>
      </c>
      <c r="N283" s="170">
        <v>13000</v>
      </c>
    </row>
    <row r="284" spans="1:14" hidden="1">
      <c r="A284" s="74" t="s">
        <v>3547</v>
      </c>
      <c r="B284" s="75" t="s">
        <v>3572</v>
      </c>
      <c r="C284" s="76" t="s">
        <v>134</v>
      </c>
      <c r="D284" s="76" t="s">
        <v>135</v>
      </c>
      <c r="E284" s="76" t="s">
        <v>136</v>
      </c>
      <c r="F284" s="170">
        <v>8595.0400000000009</v>
      </c>
      <c r="G284" s="170">
        <v>0</v>
      </c>
      <c r="H284" s="76">
        <v>0</v>
      </c>
      <c r="I284" s="76">
        <v>0</v>
      </c>
      <c r="J284" s="76">
        <v>0</v>
      </c>
      <c r="K284" s="76">
        <v>1804.96</v>
      </c>
      <c r="L284" s="76">
        <v>0</v>
      </c>
      <c r="M284" s="170">
        <v>0</v>
      </c>
      <c r="N284" s="170">
        <v>10400</v>
      </c>
    </row>
    <row r="285" spans="1:14">
      <c r="A285" s="74" t="s">
        <v>3547</v>
      </c>
      <c r="B285" s="75" t="s">
        <v>3573</v>
      </c>
      <c r="C285" s="76" t="s">
        <v>3574</v>
      </c>
      <c r="D285" s="76" t="s">
        <v>135</v>
      </c>
      <c r="E285" s="76" t="s">
        <v>3575</v>
      </c>
      <c r="F285" s="170">
        <v>26446.28</v>
      </c>
      <c r="G285" s="170">
        <v>0</v>
      </c>
      <c r="H285" s="76">
        <v>0</v>
      </c>
      <c r="I285" s="76">
        <v>0</v>
      </c>
      <c r="J285" s="76">
        <v>0</v>
      </c>
      <c r="K285" s="76">
        <v>5553.72</v>
      </c>
      <c r="L285" s="76">
        <v>0</v>
      </c>
      <c r="M285" s="170">
        <v>0</v>
      </c>
      <c r="N285" s="170">
        <v>32000</v>
      </c>
    </row>
    <row r="286" spans="1:14">
      <c r="A286" s="74" t="s">
        <v>3547</v>
      </c>
      <c r="B286" s="75" t="s">
        <v>3576</v>
      </c>
      <c r="C286" s="76" t="s">
        <v>3574</v>
      </c>
      <c r="D286" s="76" t="s">
        <v>135</v>
      </c>
      <c r="E286" s="76">
        <v>12888728</v>
      </c>
      <c r="F286" s="170">
        <v>26446.28</v>
      </c>
      <c r="G286" s="170">
        <v>0</v>
      </c>
      <c r="H286" s="76">
        <v>0</v>
      </c>
      <c r="I286" s="76">
        <v>0</v>
      </c>
      <c r="J286" s="76">
        <v>0</v>
      </c>
      <c r="K286" s="76">
        <v>5553.72</v>
      </c>
      <c r="L286" s="76">
        <v>0</v>
      </c>
      <c r="M286" s="170">
        <v>0</v>
      </c>
      <c r="N286" s="170">
        <v>32000</v>
      </c>
    </row>
    <row r="287" spans="1:14" hidden="1">
      <c r="A287" s="74" t="s">
        <v>3583</v>
      </c>
      <c r="B287" s="75" t="s">
        <v>3585</v>
      </c>
      <c r="C287" s="76" t="s">
        <v>134</v>
      </c>
      <c r="D287" s="76" t="s">
        <v>135</v>
      </c>
      <c r="E287" s="76" t="s">
        <v>136</v>
      </c>
      <c r="F287" s="170">
        <v>33884.300000000003</v>
      </c>
      <c r="G287" s="170">
        <v>0</v>
      </c>
      <c r="H287" s="76">
        <v>0</v>
      </c>
      <c r="I287" s="76">
        <v>0</v>
      </c>
      <c r="J287" s="76">
        <v>0</v>
      </c>
      <c r="K287" s="76">
        <v>7115.7</v>
      </c>
      <c r="L287" s="76">
        <v>0</v>
      </c>
      <c r="M287" s="170">
        <v>0</v>
      </c>
      <c r="N287" s="170">
        <v>41000</v>
      </c>
    </row>
    <row r="288" spans="1:14" hidden="1">
      <c r="A288" s="74" t="s">
        <v>3583</v>
      </c>
      <c r="B288" s="75" t="s">
        <v>3586</v>
      </c>
      <c r="C288" s="76" t="s">
        <v>134</v>
      </c>
      <c r="D288" s="76" t="s">
        <v>135</v>
      </c>
      <c r="E288" s="76" t="s">
        <v>136</v>
      </c>
      <c r="F288" s="170">
        <v>15909.09</v>
      </c>
      <c r="G288" s="170">
        <v>0</v>
      </c>
      <c r="H288" s="76">
        <v>0</v>
      </c>
      <c r="I288" s="76">
        <v>0</v>
      </c>
      <c r="J288" s="76">
        <v>0</v>
      </c>
      <c r="K288" s="76">
        <v>3340.91</v>
      </c>
      <c r="L288" s="76">
        <v>0</v>
      </c>
      <c r="M288" s="170">
        <v>0</v>
      </c>
      <c r="N288" s="170">
        <v>19250</v>
      </c>
    </row>
    <row r="289" spans="1:14" hidden="1">
      <c r="A289" s="74" t="s">
        <v>3583</v>
      </c>
      <c r="B289" s="75" t="s">
        <v>3587</v>
      </c>
      <c r="C289" s="76" t="s">
        <v>134</v>
      </c>
      <c r="D289" s="76" t="s">
        <v>135</v>
      </c>
      <c r="E289" s="76" t="s">
        <v>136</v>
      </c>
      <c r="F289" s="170">
        <v>20661.16</v>
      </c>
      <c r="G289" s="170">
        <v>0</v>
      </c>
      <c r="H289" s="76">
        <v>0</v>
      </c>
      <c r="I289" s="76">
        <v>0</v>
      </c>
      <c r="J289" s="76">
        <v>0</v>
      </c>
      <c r="K289" s="76">
        <v>4338.84</v>
      </c>
      <c r="L289" s="76">
        <v>0</v>
      </c>
      <c r="M289" s="170">
        <v>0</v>
      </c>
      <c r="N289" s="170">
        <v>25000</v>
      </c>
    </row>
    <row r="290" spans="1:14" hidden="1">
      <c r="A290" s="74" t="s">
        <v>3583</v>
      </c>
      <c r="B290" s="75" t="s">
        <v>3588</v>
      </c>
      <c r="C290" s="76" t="s">
        <v>134</v>
      </c>
      <c r="D290" s="76" t="s">
        <v>135</v>
      </c>
      <c r="E290" s="76" t="s">
        <v>136</v>
      </c>
      <c r="F290" s="170">
        <v>14669.42</v>
      </c>
      <c r="G290" s="170">
        <v>0</v>
      </c>
      <c r="H290" s="76">
        <v>0</v>
      </c>
      <c r="I290" s="76">
        <v>0</v>
      </c>
      <c r="J290" s="76">
        <v>0</v>
      </c>
      <c r="K290" s="76">
        <v>3080.58</v>
      </c>
      <c r="L290" s="76">
        <v>0</v>
      </c>
      <c r="M290" s="170">
        <v>0</v>
      </c>
      <c r="N290" s="170">
        <v>17750</v>
      </c>
    </row>
    <row r="291" spans="1:14" hidden="1">
      <c r="A291" s="74" t="s">
        <v>3583</v>
      </c>
      <c r="B291" s="75" t="s">
        <v>3589</v>
      </c>
      <c r="C291" s="76" t="s">
        <v>134</v>
      </c>
      <c r="D291" s="76" t="s">
        <v>135</v>
      </c>
      <c r="E291" s="76" t="s">
        <v>136</v>
      </c>
      <c r="F291" s="170">
        <v>14669.42</v>
      </c>
      <c r="G291" s="170">
        <v>0</v>
      </c>
      <c r="H291" s="76">
        <v>0</v>
      </c>
      <c r="I291" s="76">
        <v>0</v>
      </c>
      <c r="J291" s="76">
        <v>0</v>
      </c>
      <c r="K291" s="76">
        <v>3080.58</v>
      </c>
      <c r="L291" s="76">
        <v>0</v>
      </c>
      <c r="M291" s="170">
        <v>0</v>
      </c>
      <c r="N291" s="170">
        <v>17750</v>
      </c>
    </row>
    <row r="292" spans="1:14" hidden="1">
      <c r="A292" s="74" t="s">
        <v>3583</v>
      </c>
      <c r="B292" s="75" t="s">
        <v>3590</v>
      </c>
      <c r="C292" s="76" t="s">
        <v>134</v>
      </c>
      <c r="D292" s="76" t="s">
        <v>135</v>
      </c>
      <c r="E292" s="76" t="s">
        <v>136</v>
      </c>
      <c r="F292" s="170">
        <v>14669.42</v>
      </c>
      <c r="G292" s="170">
        <v>0</v>
      </c>
      <c r="H292" s="76">
        <v>0</v>
      </c>
      <c r="I292" s="76">
        <v>0</v>
      </c>
      <c r="J292" s="76">
        <v>0</v>
      </c>
      <c r="K292" s="76">
        <v>3080.58</v>
      </c>
      <c r="L292" s="76">
        <v>0</v>
      </c>
      <c r="M292" s="170">
        <v>0</v>
      </c>
      <c r="N292" s="170">
        <v>17750</v>
      </c>
    </row>
    <row r="293" spans="1:14" hidden="1">
      <c r="A293" s="74" t="s">
        <v>3583</v>
      </c>
      <c r="B293" s="75" t="s">
        <v>3591</v>
      </c>
      <c r="C293" s="76" t="s">
        <v>134</v>
      </c>
      <c r="D293" s="76" t="s">
        <v>135</v>
      </c>
      <c r="E293" s="76" t="s">
        <v>136</v>
      </c>
      <c r="F293" s="170">
        <v>15909.09</v>
      </c>
      <c r="G293" s="170">
        <v>0</v>
      </c>
      <c r="H293" s="76">
        <v>0</v>
      </c>
      <c r="I293" s="76">
        <v>0</v>
      </c>
      <c r="J293" s="76">
        <v>0</v>
      </c>
      <c r="K293" s="76">
        <v>3340.91</v>
      </c>
      <c r="L293" s="76">
        <v>0</v>
      </c>
      <c r="M293" s="170">
        <v>0</v>
      </c>
      <c r="N293" s="170">
        <v>19250</v>
      </c>
    </row>
    <row r="294" spans="1:14" hidden="1">
      <c r="A294" s="74" t="s">
        <v>3583</v>
      </c>
      <c r="B294" s="75" t="s">
        <v>3592</v>
      </c>
      <c r="C294" s="76" t="s">
        <v>134</v>
      </c>
      <c r="D294" s="76" t="s">
        <v>135</v>
      </c>
      <c r="E294" s="76" t="s">
        <v>136</v>
      </c>
      <c r="F294" s="170">
        <v>7024.79</v>
      </c>
      <c r="G294" s="170">
        <v>0</v>
      </c>
      <c r="H294" s="76">
        <v>0</v>
      </c>
      <c r="I294" s="76">
        <v>0</v>
      </c>
      <c r="J294" s="76">
        <v>0</v>
      </c>
      <c r="K294" s="76">
        <v>1475.21</v>
      </c>
      <c r="L294" s="76">
        <v>0</v>
      </c>
      <c r="M294" s="170">
        <v>0</v>
      </c>
      <c r="N294" s="170">
        <v>8500</v>
      </c>
    </row>
    <row r="295" spans="1:14" hidden="1">
      <c r="A295" s="74" t="s">
        <v>3583</v>
      </c>
      <c r="B295" s="75" t="s">
        <v>3593</v>
      </c>
      <c r="C295" s="76" t="s">
        <v>134</v>
      </c>
      <c r="D295" s="76" t="s">
        <v>135</v>
      </c>
      <c r="E295" s="76" t="s">
        <v>136</v>
      </c>
      <c r="F295" s="170">
        <v>33801.65</v>
      </c>
      <c r="G295" s="170">
        <v>0</v>
      </c>
      <c r="H295" s="76">
        <v>0</v>
      </c>
      <c r="I295" s="76">
        <v>0</v>
      </c>
      <c r="J295" s="76">
        <v>0</v>
      </c>
      <c r="K295" s="76">
        <v>7098.35</v>
      </c>
      <c r="L295" s="76">
        <v>0</v>
      </c>
      <c r="M295" s="170">
        <v>0</v>
      </c>
      <c r="N295" s="170">
        <v>40900</v>
      </c>
    </row>
    <row r="296" spans="1:14" hidden="1">
      <c r="A296" s="74" t="s">
        <v>3583</v>
      </c>
      <c r="B296" s="75" t="s">
        <v>3594</v>
      </c>
      <c r="C296" s="76" t="s">
        <v>134</v>
      </c>
      <c r="D296" s="76" t="s">
        <v>135</v>
      </c>
      <c r="E296" s="76" t="s">
        <v>136</v>
      </c>
      <c r="F296" s="170">
        <v>31239.67</v>
      </c>
      <c r="G296" s="170">
        <v>0</v>
      </c>
      <c r="H296" s="76">
        <v>0</v>
      </c>
      <c r="I296" s="76">
        <v>0</v>
      </c>
      <c r="J296" s="76">
        <v>0</v>
      </c>
      <c r="K296" s="76">
        <v>6560.33</v>
      </c>
      <c r="L296" s="76">
        <v>0</v>
      </c>
      <c r="M296" s="170">
        <v>0</v>
      </c>
      <c r="N296" s="170">
        <v>37800</v>
      </c>
    </row>
    <row r="297" spans="1:14" hidden="1">
      <c r="A297" s="74" t="s">
        <v>3583</v>
      </c>
      <c r="B297" s="75" t="s">
        <v>3595</v>
      </c>
      <c r="C297" s="76" t="s">
        <v>134</v>
      </c>
      <c r="D297" s="76" t="s">
        <v>135</v>
      </c>
      <c r="E297" s="76" t="s">
        <v>136</v>
      </c>
      <c r="F297" s="170">
        <v>10743.8</v>
      </c>
      <c r="G297" s="170">
        <v>0</v>
      </c>
      <c r="H297" s="76">
        <v>0</v>
      </c>
      <c r="I297" s="76">
        <v>0</v>
      </c>
      <c r="J297" s="76">
        <v>0</v>
      </c>
      <c r="K297" s="76">
        <v>2256.2000000000003</v>
      </c>
      <c r="L297" s="76">
        <v>0</v>
      </c>
      <c r="M297" s="170">
        <v>0</v>
      </c>
      <c r="N297" s="170">
        <v>13000</v>
      </c>
    </row>
    <row r="298" spans="1:14" hidden="1">
      <c r="A298" s="74" t="s">
        <v>3583</v>
      </c>
      <c r="B298" s="75" t="s">
        <v>3596</v>
      </c>
      <c r="C298" s="76" t="s">
        <v>134</v>
      </c>
      <c r="D298" s="76" t="s">
        <v>135</v>
      </c>
      <c r="E298" s="76" t="s">
        <v>136</v>
      </c>
      <c r="F298" s="170">
        <v>10743.8</v>
      </c>
      <c r="G298" s="170">
        <v>0</v>
      </c>
      <c r="H298" s="76">
        <v>0</v>
      </c>
      <c r="I298" s="76">
        <v>0</v>
      </c>
      <c r="J298" s="76">
        <v>0</v>
      </c>
      <c r="K298" s="76">
        <v>2256.2000000000003</v>
      </c>
      <c r="L298" s="76">
        <v>0</v>
      </c>
      <c r="M298" s="170">
        <v>0</v>
      </c>
      <c r="N298" s="170">
        <v>13000</v>
      </c>
    </row>
    <row r="299" spans="1:14" hidden="1">
      <c r="A299" s="74" t="s">
        <v>3583</v>
      </c>
      <c r="B299" s="75" t="s">
        <v>3597</v>
      </c>
      <c r="C299" s="76" t="s">
        <v>134</v>
      </c>
      <c r="D299" s="76" t="s">
        <v>135</v>
      </c>
      <c r="E299" s="76" t="s">
        <v>136</v>
      </c>
      <c r="F299" s="170">
        <v>16528.93</v>
      </c>
      <c r="G299" s="170">
        <v>0</v>
      </c>
      <c r="H299" s="76">
        <v>0</v>
      </c>
      <c r="I299" s="76">
        <v>0</v>
      </c>
      <c r="J299" s="76">
        <v>0</v>
      </c>
      <c r="K299" s="76">
        <v>3471.07</v>
      </c>
      <c r="L299" s="76">
        <v>0</v>
      </c>
      <c r="M299" s="170">
        <v>0</v>
      </c>
      <c r="N299" s="170">
        <v>20000</v>
      </c>
    </row>
    <row r="300" spans="1:14" hidden="1">
      <c r="A300" s="74" t="s">
        <v>3583</v>
      </c>
      <c r="B300" s="75" t="s">
        <v>3598</v>
      </c>
      <c r="C300" s="76" t="s">
        <v>134</v>
      </c>
      <c r="D300" s="76" t="s">
        <v>135</v>
      </c>
      <c r="E300" s="76" t="s">
        <v>136</v>
      </c>
      <c r="F300" s="170">
        <v>14669.42</v>
      </c>
      <c r="G300" s="170">
        <v>0</v>
      </c>
      <c r="H300" s="76">
        <v>0</v>
      </c>
      <c r="I300" s="76">
        <v>0</v>
      </c>
      <c r="J300" s="76">
        <v>0</v>
      </c>
      <c r="K300" s="76">
        <v>3080.58</v>
      </c>
      <c r="L300" s="76">
        <v>0</v>
      </c>
      <c r="M300" s="170">
        <v>0</v>
      </c>
      <c r="N300" s="170">
        <v>17750</v>
      </c>
    </row>
    <row r="301" spans="1:14" hidden="1">
      <c r="A301" s="74" t="s">
        <v>3583</v>
      </c>
      <c r="B301" s="75" t="s">
        <v>3599</v>
      </c>
      <c r="C301" s="76" t="s">
        <v>134</v>
      </c>
      <c r="D301" s="76" t="s">
        <v>135</v>
      </c>
      <c r="E301" s="76" t="s">
        <v>136</v>
      </c>
      <c r="F301" s="170">
        <v>3636.36</v>
      </c>
      <c r="G301" s="170">
        <v>0</v>
      </c>
      <c r="H301" s="76">
        <v>0</v>
      </c>
      <c r="I301" s="76">
        <v>0</v>
      </c>
      <c r="J301" s="76">
        <v>0</v>
      </c>
      <c r="K301" s="76">
        <v>763.64</v>
      </c>
      <c r="L301" s="76">
        <v>0</v>
      </c>
      <c r="M301" s="170">
        <v>0</v>
      </c>
      <c r="N301" s="170">
        <v>4400</v>
      </c>
    </row>
    <row r="302" spans="1:14" hidden="1">
      <c r="A302" s="74" t="s">
        <v>3583</v>
      </c>
      <c r="B302" s="75" t="s">
        <v>3600</v>
      </c>
      <c r="C302" s="76" t="s">
        <v>134</v>
      </c>
      <c r="D302" s="76" t="s">
        <v>135</v>
      </c>
      <c r="E302" s="76" t="s">
        <v>136</v>
      </c>
      <c r="F302" s="170">
        <v>28925.62</v>
      </c>
      <c r="G302" s="170">
        <v>0</v>
      </c>
      <c r="H302" s="76">
        <v>0</v>
      </c>
      <c r="I302" s="76">
        <v>0</v>
      </c>
      <c r="J302" s="76">
        <v>0</v>
      </c>
      <c r="K302" s="76">
        <v>6074.38</v>
      </c>
      <c r="L302" s="76">
        <v>0</v>
      </c>
      <c r="M302" s="170">
        <v>0</v>
      </c>
      <c r="N302" s="170">
        <v>35000</v>
      </c>
    </row>
    <row r="303" spans="1:14" hidden="1">
      <c r="A303" s="74" t="s">
        <v>3606</v>
      </c>
      <c r="B303" s="75" t="s">
        <v>3607</v>
      </c>
      <c r="C303" s="76" t="s">
        <v>134</v>
      </c>
      <c r="D303" s="76" t="s">
        <v>135</v>
      </c>
      <c r="E303" s="76" t="s">
        <v>136</v>
      </c>
      <c r="F303" s="170">
        <v>11487.6</v>
      </c>
      <c r="G303" s="170">
        <v>0</v>
      </c>
      <c r="H303" s="76">
        <v>0</v>
      </c>
      <c r="I303" s="76">
        <v>0</v>
      </c>
      <c r="J303" s="76">
        <v>0</v>
      </c>
      <c r="K303" s="76">
        <v>2412.4</v>
      </c>
      <c r="L303" s="76">
        <v>0</v>
      </c>
      <c r="M303" s="170">
        <v>0</v>
      </c>
      <c r="N303" s="170">
        <v>13900</v>
      </c>
    </row>
    <row r="304" spans="1:14">
      <c r="A304" s="74" t="s">
        <v>3606</v>
      </c>
      <c r="B304" s="75" t="s">
        <v>3608</v>
      </c>
      <c r="C304" s="76" t="s">
        <v>3609</v>
      </c>
      <c r="D304" s="76" t="s">
        <v>135</v>
      </c>
      <c r="E304" s="76">
        <v>16025135</v>
      </c>
      <c r="F304" s="170">
        <v>10330.58</v>
      </c>
      <c r="G304" s="170">
        <v>0</v>
      </c>
      <c r="H304" s="76">
        <v>0</v>
      </c>
      <c r="I304" s="76">
        <v>0</v>
      </c>
      <c r="J304" s="76">
        <v>0</v>
      </c>
      <c r="K304" s="76">
        <v>2169.42</v>
      </c>
      <c r="L304" s="76">
        <v>0</v>
      </c>
      <c r="M304" s="170">
        <v>0</v>
      </c>
      <c r="N304" s="170">
        <v>12500</v>
      </c>
    </row>
    <row r="305" spans="1:14" hidden="1">
      <c r="A305" s="74" t="s">
        <v>3606</v>
      </c>
      <c r="B305" s="75" t="s">
        <v>3610</v>
      </c>
      <c r="C305" s="76" t="s">
        <v>134</v>
      </c>
      <c r="D305" s="76" t="s">
        <v>135</v>
      </c>
      <c r="E305" s="76" t="s">
        <v>136</v>
      </c>
      <c r="F305" s="170">
        <v>14669.42</v>
      </c>
      <c r="G305" s="170">
        <v>0</v>
      </c>
      <c r="H305" s="76">
        <v>0</v>
      </c>
      <c r="I305" s="76">
        <v>0</v>
      </c>
      <c r="J305" s="76">
        <v>0</v>
      </c>
      <c r="K305" s="76">
        <v>3080.58</v>
      </c>
      <c r="L305" s="76">
        <v>0</v>
      </c>
      <c r="M305" s="170">
        <v>0</v>
      </c>
      <c r="N305" s="170">
        <v>17750</v>
      </c>
    </row>
    <row r="306" spans="1:14" hidden="1">
      <c r="A306" s="74" t="s">
        <v>3606</v>
      </c>
      <c r="B306" s="75" t="s">
        <v>3611</v>
      </c>
      <c r="C306" s="76" t="s">
        <v>134</v>
      </c>
      <c r="D306" s="76" t="s">
        <v>135</v>
      </c>
      <c r="E306" s="76" t="s">
        <v>136</v>
      </c>
      <c r="F306" s="170">
        <v>21487.599999999999</v>
      </c>
      <c r="G306" s="170">
        <v>0</v>
      </c>
      <c r="H306" s="76">
        <v>0</v>
      </c>
      <c r="I306" s="76">
        <v>0</v>
      </c>
      <c r="J306" s="76">
        <v>0</v>
      </c>
      <c r="K306" s="76">
        <v>4512.4000000000005</v>
      </c>
      <c r="L306" s="76">
        <v>0</v>
      </c>
      <c r="M306" s="170">
        <v>0</v>
      </c>
      <c r="N306" s="170">
        <v>26000</v>
      </c>
    </row>
    <row r="307" spans="1:14" hidden="1">
      <c r="A307" s="74" t="s">
        <v>3606</v>
      </c>
      <c r="B307" s="75" t="s">
        <v>3612</v>
      </c>
      <c r="C307" s="76" t="s">
        <v>134</v>
      </c>
      <c r="D307" s="76" t="s">
        <v>135</v>
      </c>
      <c r="E307" s="76" t="s">
        <v>136</v>
      </c>
      <c r="F307" s="170">
        <v>20661.16</v>
      </c>
      <c r="G307" s="170">
        <v>0</v>
      </c>
      <c r="H307" s="76">
        <v>0</v>
      </c>
      <c r="I307" s="76">
        <v>0</v>
      </c>
      <c r="J307" s="76">
        <v>0</v>
      </c>
      <c r="K307" s="76">
        <v>4338.84</v>
      </c>
      <c r="L307" s="76">
        <v>0</v>
      </c>
      <c r="M307" s="170">
        <v>0</v>
      </c>
      <c r="N307" s="170">
        <v>25000</v>
      </c>
    </row>
    <row r="308" spans="1:14" hidden="1">
      <c r="A308" s="74" t="s">
        <v>3606</v>
      </c>
      <c r="B308" s="75" t="s">
        <v>3613</v>
      </c>
      <c r="C308" s="76" t="s">
        <v>134</v>
      </c>
      <c r="D308" s="76" t="s">
        <v>135</v>
      </c>
      <c r="E308" s="76" t="s">
        <v>136</v>
      </c>
      <c r="F308" s="170">
        <v>11570.25</v>
      </c>
      <c r="G308" s="170">
        <v>0</v>
      </c>
      <c r="H308" s="76">
        <v>0</v>
      </c>
      <c r="I308" s="76">
        <v>0</v>
      </c>
      <c r="J308" s="76">
        <v>0</v>
      </c>
      <c r="K308" s="76">
        <v>2429.75</v>
      </c>
      <c r="L308" s="76">
        <v>0</v>
      </c>
      <c r="M308" s="170">
        <v>0</v>
      </c>
      <c r="N308" s="170">
        <v>14000</v>
      </c>
    </row>
    <row r="309" spans="1:14">
      <c r="A309" s="74" t="s">
        <v>3606</v>
      </c>
      <c r="B309" s="75" t="s">
        <v>3614</v>
      </c>
      <c r="C309" s="76" t="s">
        <v>3615</v>
      </c>
      <c r="D309" s="76" t="s">
        <v>135</v>
      </c>
      <c r="E309" s="76">
        <v>24638924</v>
      </c>
      <c r="F309" s="170">
        <v>29338.84</v>
      </c>
      <c r="G309" s="170">
        <v>0</v>
      </c>
      <c r="H309" s="76">
        <v>0</v>
      </c>
      <c r="I309" s="76">
        <v>0</v>
      </c>
      <c r="J309" s="76">
        <v>0</v>
      </c>
      <c r="K309" s="76">
        <v>6161.16</v>
      </c>
      <c r="L309" s="76">
        <v>0</v>
      </c>
      <c r="M309" s="170">
        <v>0</v>
      </c>
      <c r="N309" s="170">
        <v>35500</v>
      </c>
    </row>
    <row r="310" spans="1:14" hidden="1">
      <c r="A310" s="74" t="s">
        <v>3606</v>
      </c>
      <c r="B310" s="75" t="s">
        <v>3616</v>
      </c>
      <c r="C310" s="76" t="s">
        <v>134</v>
      </c>
      <c r="D310" s="76" t="s">
        <v>135</v>
      </c>
      <c r="E310" s="76" t="s">
        <v>136</v>
      </c>
      <c r="F310" s="170">
        <v>11983.47</v>
      </c>
      <c r="G310" s="170">
        <v>0</v>
      </c>
      <c r="H310" s="76">
        <v>0</v>
      </c>
      <c r="I310" s="76">
        <v>0</v>
      </c>
      <c r="J310" s="76">
        <v>0</v>
      </c>
      <c r="K310" s="76">
        <v>2516.5300000000002</v>
      </c>
      <c r="L310" s="76">
        <v>0</v>
      </c>
      <c r="M310" s="170">
        <v>0</v>
      </c>
      <c r="N310" s="170">
        <v>14500</v>
      </c>
    </row>
    <row r="311" spans="1:14" hidden="1">
      <c r="A311" s="74" t="s">
        <v>3606</v>
      </c>
      <c r="B311" s="75" t="s">
        <v>3617</v>
      </c>
      <c r="C311" s="76" t="s">
        <v>134</v>
      </c>
      <c r="D311" s="76" t="s">
        <v>135</v>
      </c>
      <c r="E311" s="76" t="s">
        <v>136</v>
      </c>
      <c r="F311" s="170">
        <v>14669.42</v>
      </c>
      <c r="G311" s="170">
        <v>0</v>
      </c>
      <c r="H311" s="76">
        <v>0</v>
      </c>
      <c r="I311" s="76">
        <v>0</v>
      </c>
      <c r="J311" s="76">
        <v>0</v>
      </c>
      <c r="K311" s="76">
        <v>3080.58</v>
      </c>
      <c r="L311" s="76">
        <v>0</v>
      </c>
      <c r="M311" s="170">
        <v>0</v>
      </c>
      <c r="N311" s="170">
        <v>17750</v>
      </c>
    </row>
    <row r="312" spans="1:14" hidden="1">
      <c r="A312" s="74" t="s">
        <v>3606</v>
      </c>
      <c r="B312" s="75" t="s">
        <v>3618</v>
      </c>
      <c r="C312" s="76" t="s">
        <v>134</v>
      </c>
      <c r="D312" s="76" t="s">
        <v>135</v>
      </c>
      <c r="E312" s="76" t="s">
        <v>136</v>
      </c>
      <c r="F312" s="170">
        <v>15289.26</v>
      </c>
      <c r="G312" s="170">
        <v>0</v>
      </c>
      <c r="H312" s="76">
        <v>0</v>
      </c>
      <c r="I312" s="76">
        <v>0</v>
      </c>
      <c r="J312" s="76">
        <v>0</v>
      </c>
      <c r="K312" s="76">
        <v>3210.74</v>
      </c>
      <c r="L312" s="76">
        <v>0</v>
      </c>
      <c r="M312" s="170">
        <v>0</v>
      </c>
      <c r="N312" s="170">
        <v>18500</v>
      </c>
    </row>
    <row r="313" spans="1:14" hidden="1">
      <c r="A313" s="74" t="s">
        <v>3606</v>
      </c>
      <c r="B313" s="75" t="s">
        <v>3619</v>
      </c>
      <c r="C313" s="76" t="s">
        <v>134</v>
      </c>
      <c r="D313" s="76" t="s">
        <v>135</v>
      </c>
      <c r="E313" s="76" t="s">
        <v>136</v>
      </c>
      <c r="F313" s="170">
        <v>21487.599999999999</v>
      </c>
      <c r="G313" s="170">
        <v>0</v>
      </c>
      <c r="H313" s="76">
        <v>0</v>
      </c>
      <c r="I313" s="76">
        <v>0</v>
      </c>
      <c r="J313" s="76">
        <v>0</v>
      </c>
      <c r="K313" s="76">
        <v>4512.4000000000005</v>
      </c>
      <c r="L313" s="76">
        <v>0</v>
      </c>
      <c r="M313" s="170">
        <v>0</v>
      </c>
      <c r="N313" s="170">
        <v>26000</v>
      </c>
    </row>
    <row r="314" spans="1:14" hidden="1">
      <c r="A314" s="74" t="s">
        <v>3606</v>
      </c>
      <c r="B314" s="75" t="s">
        <v>3620</v>
      </c>
      <c r="C314" s="76" t="s">
        <v>134</v>
      </c>
      <c r="D314" s="76" t="s">
        <v>135</v>
      </c>
      <c r="E314" s="76" t="s">
        <v>136</v>
      </c>
      <c r="F314" s="170">
        <v>33884.300000000003</v>
      </c>
      <c r="G314" s="170">
        <v>0</v>
      </c>
      <c r="H314" s="76">
        <v>0</v>
      </c>
      <c r="I314" s="76">
        <v>0</v>
      </c>
      <c r="J314" s="76">
        <v>0</v>
      </c>
      <c r="K314" s="76">
        <v>7115.7</v>
      </c>
      <c r="L314" s="76">
        <v>0</v>
      </c>
      <c r="M314" s="170">
        <v>0</v>
      </c>
      <c r="N314" s="170">
        <v>41000</v>
      </c>
    </row>
    <row r="315" spans="1:14" hidden="1">
      <c r="A315" s="74" t="s">
        <v>3622</v>
      </c>
      <c r="B315" s="75" t="s">
        <v>3623</v>
      </c>
      <c r="C315" s="76" t="s">
        <v>134</v>
      </c>
      <c r="D315" s="76" t="s">
        <v>135</v>
      </c>
      <c r="E315" s="76" t="s">
        <v>136</v>
      </c>
      <c r="F315" s="170">
        <v>14049.59</v>
      </c>
      <c r="G315" s="170">
        <v>0</v>
      </c>
      <c r="H315" s="76">
        <v>0</v>
      </c>
      <c r="I315" s="76">
        <v>0</v>
      </c>
      <c r="J315" s="76">
        <v>0</v>
      </c>
      <c r="K315" s="76">
        <v>2950.41</v>
      </c>
      <c r="L315" s="76">
        <v>0</v>
      </c>
      <c r="M315" s="170">
        <v>0</v>
      </c>
      <c r="N315" s="170">
        <v>17000</v>
      </c>
    </row>
    <row r="316" spans="1:14" hidden="1">
      <c r="A316" s="74" t="s">
        <v>3622</v>
      </c>
      <c r="B316" s="75" t="s">
        <v>3624</v>
      </c>
      <c r="C316" s="76" t="s">
        <v>134</v>
      </c>
      <c r="D316" s="76" t="s">
        <v>135</v>
      </c>
      <c r="E316" s="76" t="s">
        <v>136</v>
      </c>
      <c r="F316" s="170">
        <v>10743.8</v>
      </c>
      <c r="G316" s="170">
        <v>0</v>
      </c>
      <c r="H316" s="76">
        <v>0</v>
      </c>
      <c r="I316" s="76">
        <v>0</v>
      </c>
      <c r="J316" s="76">
        <v>0</v>
      </c>
      <c r="K316" s="76">
        <v>2256.2000000000003</v>
      </c>
      <c r="L316" s="76">
        <v>0</v>
      </c>
      <c r="M316" s="170">
        <v>0</v>
      </c>
      <c r="N316" s="170">
        <v>13000</v>
      </c>
    </row>
    <row r="317" spans="1:14" hidden="1">
      <c r="A317" s="74" t="s">
        <v>3622</v>
      </c>
      <c r="B317" s="75" t="s">
        <v>3625</v>
      </c>
      <c r="C317" s="76" t="s">
        <v>134</v>
      </c>
      <c r="D317" s="76" t="s">
        <v>135</v>
      </c>
      <c r="E317" s="76" t="s">
        <v>136</v>
      </c>
      <c r="F317" s="170">
        <v>41322.31</v>
      </c>
      <c r="G317" s="170">
        <v>0</v>
      </c>
      <c r="H317" s="76">
        <v>0</v>
      </c>
      <c r="I317" s="76">
        <v>0</v>
      </c>
      <c r="J317" s="76">
        <v>0</v>
      </c>
      <c r="K317" s="76">
        <v>8677.69</v>
      </c>
      <c r="L317" s="76">
        <v>0</v>
      </c>
      <c r="M317" s="170">
        <v>0</v>
      </c>
      <c r="N317" s="170">
        <v>50000</v>
      </c>
    </row>
    <row r="318" spans="1:14" hidden="1">
      <c r="A318" s="74" t="s">
        <v>3622</v>
      </c>
      <c r="B318" s="75" t="s">
        <v>3626</v>
      </c>
      <c r="C318" s="76" t="s">
        <v>134</v>
      </c>
      <c r="D318" s="76" t="s">
        <v>135</v>
      </c>
      <c r="E318" s="76" t="s">
        <v>136</v>
      </c>
      <c r="F318" s="170">
        <v>9917.36</v>
      </c>
      <c r="G318" s="170">
        <v>0</v>
      </c>
      <c r="H318" s="76">
        <v>0</v>
      </c>
      <c r="I318" s="76">
        <v>0</v>
      </c>
      <c r="J318" s="76">
        <v>0</v>
      </c>
      <c r="K318" s="76">
        <v>2082.64</v>
      </c>
      <c r="L318" s="76">
        <v>0</v>
      </c>
      <c r="M318" s="170">
        <v>0</v>
      </c>
      <c r="N318" s="170">
        <v>12000</v>
      </c>
    </row>
    <row r="319" spans="1:14" hidden="1">
      <c r="A319" s="74" t="s">
        <v>3622</v>
      </c>
      <c r="B319" s="75" t="s">
        <v>3627</v>
      </c>
      <c r="C319" s="76" t="s">
        <v>134</v>
      </c>
      <c r="D319" s="76" t="s">
        <v>135</v>
      </c>
      <c r="E319" s="76" t="s">
        <v>136</v>
      </c>
      <c r="F319" s="170">
        <v>11487.6</v>
      </c>
      <c r="G319" s="170">
        <v>0</v>
      </c>
      <c r="H319" s="76">
        <v>0</v>
      </c>
      <c r="I319" s="76">
        <v>0</v>
      </c>
      <c r="J319" s="76">
        <v>0</v>
      </c>
      <c r="K319" s="76">
        <v>2412.4</v>
      </c>
      <c r="L319" s="76">
        <v>0</v>
      </c>
      <c r="M319" s="170">
        <v>0</v>
      </c>
      <c r="N319" s="170">
        <v>13900</v>
      </c>
    </row>
    <row r="320" spans="1:14" hidden="1">
      <c r="A320" s="74" t="s">
        <v>3622</v>
      </c>
      <c r="B320" s="75" t="s">
        <v>3628</v>
      </c>
      <c r="C320" s="76" t="s">
        <v>134</v>
      </c>
      <c r="D320" s="76" t="s">
        <v>135</v>
      </c>
      <c r="E320" s="76" t="s">
        <v>136</v>
      </c>
      <c r="F320" s="170">
        <v>7438.02</v>
      </c>
      <c r="G320" s="170">
        <v>0</v>
      </c>
      <c r="H320" s="76">
        <v>0</v>
      </c>
      <c r="I320" s="76">
        <v>0</v>
      </c>
      <c r="J320" s="76">
        <v>0</v>
      </c>
      <c r="K320" s="76">
        <v>1561.98</v>
      </c>
      <c r="L320" s="76">
        <v>0</v>
      </c>
      <c r="M320" s="170">
        <v>0</v>
      </c>
      <c r="N320" s="170">
        <v>9000</v>
      </c>
    </row>
    <row r="321" spans="1:14" hidden="1">
      <c r="A321" s="74" t="s">
        <v>3622</v>
      </c>
      <c r="B321" s="75" t="s">
        <v>3629</v>
      </c>
      <c r="C321" s="76" t="s">
        <v>134</v>
      </c>
      <c r="D321" s="76" t="s">
        <v>135</v>
      </c>
      <c r="E321" s="76" t="s">
        <v>136</v>
      </c>
      <c r="F321" s="170">
        <v>70247.930000000008</v>
      </c>
      <c r="G321" s="170">
        <v>0</v>
      </c>
      <c r="H321" s="76">
        <v>0</v>
      </c>
      <c r="I321" s="76">
        <v>0</v>
      </c>
      <c r="J321" s="76">
        <v>0</v>
      </c>
      <c r="K321" s="76">
        <v>14752.07</v>
      </c>
      <c r="L321" s="76">
        <v>0</v>
      </c>
      <c r="M321" s="170">
        <v>0</v>
      </c>
      <c r="N321" s="170">
        <v>85000</v>
      </c>
    </row>
    <row r="322" spans="1:14" hidden="1">
      <c r="A322" s="74" t="s">
        <v>3622</v>
      </c>
      <c r="B322" s="75" t="s">
        <v>3630</v>
      </c>
      <c r="C322" s="76" t="s">
        <v>134</v>
      </c>
      <c r="D322" s="76" t="s">
        <v>135</v>
      </c>
      <c r="E322" s="76" t="s">
        <v>136</v>
      </c>
      <c r="F322" s="170">
        <v>21487.599999999999</v>
      </c>
      <c r="G322" s="170">
        <v>0</v>
      </c>
      <c r="H322" s="76">
        <v>0</v>
      </c>
      <c r="I322" s="76">
        <v>0</v>
      </c>
      <c r="J322" s="76">
        <v>0</v>
      </c>
      <c r="K322" s="76">
        <v>4512.4000000000005</v>
      </c>
      <c r="L322" s="76">
        <v>0</v>
      </c>
      <c r="M322" s="170">
        <v>0</v>
      </c>
      <c r="N322" s="170">
        <v>26000</v>
      </c>
    </row>
    <row r="323" spans="1:14" hidden="1">
      <c r="A323" s="74" t="s">
        <v>3622</v>
      </c>
      <c r="B323" s="75" t="s">
        <v>3631</v>
      </c>
      <c r="C323" s="76" t="s">
        <v>134</v>
      </c>
      <c r="D323" s="76" t="s">
        <v>135</v>
      </c>
      <c r="E323" s="76" t="s">
        <v>136</v>
      </c>
      <c r="F323" s="170">
        <v>19834.71</v>
      </c>
      <c r="G323" s="170">
        <v>0</v>
      </c>
      <c r="H323" s="76">
        <v>0</v>
      </c>
      <c r="I323" s="76">
        <v>0</v>
      </c>
      <c r="J323" s="76">
        <v>0</v>
      </c>
      <c r="K323" s="76">
        <v>4165.29</v>
      </c>
      <c r="L323" s="76">
        <v>0</v>
      </c>
      <c r="M323" s="170">
        <v>0</v>
      </c>
      <c r="N323" s="170">
        <v>24000</v>
      </c>
    </row>
    <row r="324" spans="1:14" hidden="1">
      <c r="A324" s="74" t="s">
        <v>3622</v>
      </c>
      <c r="B324" s="75" t="s">
        <v>3632</v>
      </c>
      <c r="C324" s="76" t="s">
        <v>134</v>
      </c>
      <c r="D324" s="76" t="s">
        <v>135</v>
      </c>
      <c r="E324" s="76" t="s">
        <v>136</v>
      </c>
      <c r="F324" s="170">
        <v>25619.83</v>
      </c>
      <c r="G324" s="170">
        <v>0</v>
      </c>
      <c r="H324" s="76">
        <v>0</v>
      </c>
      <c r="I324" s="76">
        <v>0</v>
      </c>
      <c r="J324" s="76">
        <v>0</v>
      </c>
      <c r="K324" s="76">
        <v>5380.17</v>
      </c>
      <c r="L324" s="76">
        <v>0</v>
      </c>
      <c r="M324" s="170">
        <v>0</v>
      </c>
      <c r="N324" s="170">
        <v>31000</v>
      </c>
    </row>
    <row r="325" spans="1:14" hidden="1">
      <c r="A325" s="74" t="s">
        <v>3622</v>
      </c>
      <c r="B325" s="75" t="s">
        <v>3633</v>
      </c>
      <c r="C325" s="76" t="s">
        <v>134</v>
      </c>
      <c r="D325" s="76" t="s">
        <v>135</v>
      </c>
      <c r="E325" s="76" t="s">
        <v>136</v>
      </c>
      <c r="F325" s="170">
        <v>10743.8</v>
      </c>
      <c r="G325" s="170">
        <v>0</v>
      </c>
      <c r="H325" s="76">
        <v>0</v>
      </c>
      <c r="I325" s="76">
        <v>0</v>
      </c>
      <c r="J325" s="76">
        <v>0</v>
      </c>
      <c r="K325" s="76">
        <v>2256.2000000000003</v>
      </c>
      <c r="L325" s="76">
        <v>0</v>
      </c>
      <c r="M325" s="170">
        <v>0</v>
      </c>
      <c r="N325" s="170">
        <v>13000</v>
      </c>
    </row>
    <row r="326" spans="1:14" hidden="1">
      <c r="A326" s="74" t="s">
        <v>3622</v>
      </c>
      <c r="B326" s="75" t="s">
        <v>3634</v>
      </c>
      <c r="C326" s="76" t="s">
        <v>134</v>
      </c>
      <c r="D326" s="76" t="s">
        <v>135</v>
      </c>
      <c r="E326" s="76" t="s">
        <v>136</v>
      </c>
      <c r="F326" s="170">
        <v>14669.42</v>
      </c>
      <c r="G326" s="170">
        <v>0</v>
      </c>
      <c r="H326" s="76">
        <v>0</v>
      </c>
      <c r="I326" s="76">
        <v>0</v>
      </c>
      <c r="J326" s="76">
        <v>0</v>
      </c>
      <c r="K326" s="76">
        <v>3080.58</v>
      </c>
      <c r="L326" s="76">
        <v>0</v>
      </c>
      <c r="M326" s="170">
        <v>0</v>
      </c>
      <c r="N326" s="170">
        <v>17750</v>
      </c>
    </row>
    <row r="327" spans="1:14" hidden="1">
      <c r="A327" s="74" t="s">
        <v>3622</v>
      </c>
      <c r="B327" s="75" t="s">
        <v>3635</v>
      </c>
      <c r="C327" s="76" t="s">
        <v>134</v>
      </c>
      <c r="D327" s="76" t="s">
        <v>135</v>
      </c>
      <c r="E327" s="76" t="s">
        <v>136</v>
      </c>
      <c r="F327" s="170">
        <v>21487.599999999999</v>
      </c>
      <c r="G327" s="170">
        <v>0</v>
      </c>
      <c r="H327" s="76">
        <v>0</v>
      </c>
      <c r="I327" s="76">
        <v>0</v>
      </c>
      <c r="J327" s="76">
        <v>0</v>
      </c>
      <c r="K327" s="76">
        <v>4512.4000000000005</v>
      </c>
      <c r="L327" s="76">
        <v>0</v>
      </c>
      <c r="M327" s="170">
        <v>0</v>
      </c>
      <c r="N327" s="170">
        <v>26000</v>
      </c>
    </row>
    <row r="328" spans="1:14" hidden="1">
      <c r="A328" s="74" t="s">
        <v>3622</v>
      </c>
      <c r="B328" s="75" t="s">
        <v>3636</v>
      </c>
      <c r="C328" s="76" t="s">
        <v>134</v>
      </c>
      <c r="D328" s="76" t="s">
        <v>135</v>
      </c>
      <c r="E328" s="76" t="s">
        <v>136</v>
      </c>
      <c r="F328" s="170">
        <v>19834.71</v>
      </c>
      <c r="G328" s="170">
        <v>0</v>
      </c>
      <c r="H328" s="76">
        <v>0</v>
      </c>
      <c r="I328" s="76">
        <v>0</v>
      </c>
      <c r="J328" s="76">
        <v>0</v>
      </c>
      <c r="K328" s="76">
        <v>4165.29</v>
      </c>
      <c r="L328" s="76">
        <v>0</v>
      </c>
      <c r="M328" s="170">
        <v>0</v>
      </c>
      <c r="N328" s="170">
        <v>24000</v>
      </c>
    </row>
    <row r="329" spans="1:14" hidden="1">
      <c r="A329" s="74" t="s">
        <v>3622</v>
      </c>
      <c r="B329" s="75" t="s">
        <v>3637</v>
      </c>
      <c r="C329" s="76" t="s">
        <v>134</v>
      </c>
      <c r="D329" s="76" t="s">
        <v>135</v>
      </c>
      <c r="E329" s="76" t="s">
        <v>136</v>
      </c>
      <c r="F329" s="170">
        <v>14669.42</v>
      </c>
      <c r="G329" s="170">
        <v>0</v>
      </c>
      <c r="H329" s="76">
        <v>0</v>
      </c>
      <c r="I329" s="76">
        <v>0</v>
      </c>
      <c r="J329" s="76">
        <v>0</v>
      </c>
      <c r="K329" s="76">
        <v>3080.58</v>
      </c>
      <c r="L329" s="76">
        <v>0</v>
      </c>
      <c r="M329" s="170">
        <v>0</v>
      </c>
      <c r="N329" s="170">
        <v>17750</v>
      </c>
    </row>
    <row r="330" spans="1:14" hidden="1">
      <c r="A330" s="74" t="s">
        <v>3622</v>
      </c>
      <c r="B330" s="75" t="s">
        <v>3638</v>
      </c>
      <c r="C330" s="76" t="s">
        <v>134</v>
      </c>
      <c r="D330" s="76" t="s">
        <v>135</v>
      </c>
      <c r="E330" s="76" t="s">
        <v>136</v>
      </c>
      <c r="F330" s="170">
        <v>10743.8</v>
      </c>
      <c r="G330" s="170">
        <v>0</v>
      </c>
      <c r="H330" s="76">
        <v>0</v>
      </c>
      <c r="I330" s="76">
        <v>0</v>
      </c>
      <c r="J330" s="76">
        <v>0</v>
      </c>
      <c r="K330" s="76">
        <v>2256.2000000000003</v>
      </c>
      <c r="L330" s="76">
        <v>0</v>
      </c>
      <c r="M330" s="170">
        <v>0</v>
      </c>
      <c r="N330" s="170">
        <v>13000</v>
      </c>
    </row>
    <row r="331" spans="1:14" hidden="1">
      <c r="A331" s="74" t="s">
        <v>3642</v>
      </c>
      <c r="B331" s="75" t="s">
        <v>3643</v>
      </c>
      <c r="C331" s="76" t="s">
        <v>134</v>
      </c>
      <c r="D331" s="76" t="s">
        <v>135</v>
      </c>
      <c r="E331" s="76" t="s">
        <v>136</v>
      </c>
      <c r="F331" s="170">
        <v>24628.1</v>
      </c>
      <c r="G331" s="170">
        <v>0</v>
      </c>
      <c r="H331" s="76">
        <v>0</v>
      </c>
      <c r="I331" s="76">
        <v>0</v>
      </c>
      <c r="J331" s="76">
        <v>0</v>
      </c>
      <c r="K331" s="76">
        <v>5171.9000000000005</v>
      </c>
      <c r="L331" s="76">
        <v>0</v>
      </c>
      <c r="M331" s="170">
        <v>0</v>
      </c>
      <c r="N331" s="170">
        <v>29800</v>
      </c>
    </row>
    <row r="332" spans="1:14" hidden="1">
      <c r="A332" s="74" t="s">
        <v>3642</v>
      </c>
      <c r="B332" s="75" t="s">
        <v>3644</v>
      </c>
      <c r="C332" s="76" t="s">
        <v>134</v>
      </c>
      <c r="D332" s="76" t="s">
        <v>135</v>
      </c>
      <c r="E332" s="76" t="s">
        <v>136</v>
      </c>
      <c r="F332" s="170">
        <v>5785.12</v>
      </c>
      <c r="G332" s="170">
        <v>0</v>
      </c>
      <c r="H332" s="76">
        <v>0</v>
      </c>
      <c r="I332" s="76">
        <v>0</v>
      </c>
      <c r="J332" s="76">
        <v>0</v>
      </c>
      <c r="K332" s="76">
        <v>1214.8800000000001</v>
      </c>
      <c r="L332" s="76">
        <v>0</v>
      </c>
      <c r="M332" s="170">
        <v>0</v>
      </c>
      <c r="N332" s="170">
        <v>7000</v>
      </c>
    </row>
    <row r="333" spans="1:14" hidden="1">
      <c r="A333" s="74" t="s">
        <v>3642</v>
      </c>
      <c r="B333" s="75" t="s">
        <v>3645</v>
      </c>
      <c r="C333" s="76" t="s">
        <v>134</v>
      </c>
      <c r="D333" s="76" t="s">
        <v>135</v>
      </c>
      <c r="E333" s="76" t="s">
        <v>136</v>
      </c>
      <c r="F333" s="170">
        <v>10743.8</v>
      </c>
      <c r="G333" s="170">
        <v>0</v>
      </c>
      <c r="H333" s="76">
        <v>0</v>
      </c>
      <c r="I333" s="76">
        <v>0</v>
      </c>
      <c r="J333" s="76">
        <v>0</v>
      </c>
      <c r="K333" s="76">
        <v>2256.2000000000003</v>
      </c>
      <c r="L333" s="76">
        <v>0</v>
      </c>
      <c r="M333" s="170">
        <v>0</v>
      </c>
      <c r="N333" s="170">
        <v>13000</v>
      </c>
    </row>
    <row r="334" spans="1:14" hidden="1">
      <c r="A334" s="74" t="s">
        <v>3642</v>
      </c>
      <c r="B334" s="75" t="s">
        <v>3646</v>
      </c>
      <c r="C334" s="76" t="s">
        <v>134</v>
      </c>
      <c r="D334" s="76" t="s">
        <v>135</v>
      </c>
      <c r="E334" s="76" t="s">
        <v>136</v>
      </c>
      <c r="F334" s="170">
        <v>10330.58</v>
      </c>
      <c r="G334" s="170">
        <v>0</v>
      </c>
      <c r="H334" s="76">
        <v>0</v>
      </c>
      <c r="I334" s="76">
        <v>0</v>
      </c>
      <c r="J334" s="76">
        <v>0</v>
      </c>
      <c r="K334" s="76">
        <v>2169.42</v>
      </c>
      <c r="L334" s="76">
        <v>0</v>
      </c>
      <c r="M334" s="170">
        <v>0</v>
      </c>
      <c r="N334" s="170">
        <v>12500</v>
      </c>
    </row>
    <row r="335" spans="1:14" hidden="1">
      <c r="A335" s="74" t="s">
        <v>3642</v>
      </c>
      <c r="B335" s="75" t="s">
        <v>3647</v>
      </c>
      <c r="C335" s="76" t="s">
        <v>134</v>
      </c>
      <c r="D335" s="76" t="s">
        <v>135</v>
      </c>
      <c r="E335" s="76" t="s">
        <v>136</v>
      </c>
      <c r="F335" s="170">
        <v>10743.8</v>
      </c>
      <c r="G335" s="170">
        <v>0</v>
      </c>
      <c r="H335" s="76">
        <v>0</v>
      </c>
      <c r="I335" s="76">
        <v>0</v>
      </c>
      <c r="J335" s="76">
        <v>0</v>
      </c>
      <c r="K335" s="76">
        <v>2256.2000000000003</v>
      </c>
      <c r="L335" s="76">
        <v>0</v>
      </c>
      <c r="M335" s="170">
        <v>0</v>
      </c>
      <c r="N335" s="170">
        <v>13000</v>
      </c>
    </row>
    <row r="336" spans="1:14" hidden="1">
      <c r="A336" s="74" t="s">
        <v>3642</v>
      </c>
      <c r="B336" s="75" t="s">
        <v>3648</v>
      </c>
      <c r="C336" s="76" t="s">
        <v>134</v>
      </c>
      <c r="D336" s="76" t="s">
        <v>135</v>
      </c>
      <c r="E336" s="76" t="s">
        <v>136</v>
      </c>
      <c r="F336" s="170">
        <v>14669.42</v>
      </c>
      <c r="G336" s="170">
        <v>0</v>
      </c>
      <c r="H336" s="76">
        <v>0</v>
      </c>
      <c r="I336" s="76">
        <v>0</v>
      </c>
      <c r="J336" s="76">
        <v>0</v>
      </c>
      <c r="K336" s="76">
        <v>3080.58</v>
      </c>
      <c r="L336" s="76">
        <v>0</v>
      </c>
      <c r="M336" s="170">
        <v>0</v>
      </c>
      <c r="N336" s="170">
        <v>17750</v>
      </c>
    </row>
    <row r="337" spans="1:14" hidden="1">
      <c r="A337" s="74" t="s">
        <v>3642</v>
      </c>
      <c r="B337" s="75" t="s">
        <v>3649</v>
      </c>
      <c r="C337" s="76" t="s">
        <v>134</v>
      </c>
      <c r="D337" s="76" t="s">
        <v>135</v>
      </c>
      <c r="E337" s="76" t="s">
        <v>136</v>
      </c>
      <c r="F337" s="170">
        <v>2892.56</v>
      </c>
      <c r="G337" s="170">
        <v>0</v>
      </c>
      <c r="H337" s="76">
        <v>0</v>
      </c>
      <c r="I337" s="76">
        <v>0</v>
      </c>
      <c r="J337" s="76">
        <v>0</v>
      </c>
      <c r="K337" s="76">
        <v>607.44000000000005</v>
      </c>
      <c r="L337" s="76">
        <v>0</v>
      </c>
      <c r="M337" s="170">
        <v>0</v>
      </c>
      <c r="N337" s="170">
        <v>3500</v>
      </c>
    </row>
    <row r="338" spans="1:14" hidden="1">
      <c r="A338" s="74" t="s">
        <v>3642</v>
      </c>
      <c r="B338" s="75" t="s">
        <v>3650</v>
      </c>
      <c r="C338" s="76" t="s">
        <v>134</v>
      </c>
      <c r="D338" s="76" t="s">
        <v>135</v>
      </c>
      <c r="E338" s="76" t="s">
        <v>136</v>
      </c>
      <c r="F338" s="170">
        <v>14669.42</v>
      </c>
      <c r="G338" s="170">
        <v>0</v>
      </c>
      <c r="H338" s="76">
        <v>0</v>
      </c>
      <c r="I338" s="76">
        <v>0</v>
      </c>
      <c r="J338" s="76">
        <v>0</v>
      </c>
      <c r="K338" s="76">
        <v>3080.58</v>
      </c>
      <c r="L338" s="76">
        <v>0</v>
      </c>
      <c r="M338" s="170">
        <v>0</v>
      </c>
      <c r="N338" s="170">
        <v>17750</v>
      </c>
    </row>
    <row r="339" spans="1:14" hidden="1">
      <c r="A339" s="74" t="s">
        <v>3642</v>
      </c>
      <c r="B339" s="75" t="s">
        <v>3651</v>
      </c>
      <c r="C339" s="76" t="s">
        <v>134</v>
      </c>
      <c r="D339" s="76" t="s">
        <v>135</v>
      </c>
      <c r="E339" s="76" t="s">
        <v>136</v>
      </c>
      <c r="F339" s="170">
        <v>10743.8</v>
      </c>
      <c r="G339" s="170">
        <v>0</v>
      </c>
      <c r="H339" s="76">
        <v>0</v>
      </c>
      <c r="I339" s="76">
        <v>0</v>
      </c>
      <c r="J339" s="76">
        <v>0</v>
      </c>
      <c r="K339" s="76">
        <v>2256.2000000000003</v>
      </c>
      <c r="L339" s="76">
        <v>0</v>
      </c>
      <c r="M339" s="170">
        <v>0</v>
      </c>
      <c r="N339" s="170">
        <v>13000</v>
      </c>
    </row>
    <row r="340" spans="1:14" hidden="1">
      <c r="A340" s="74" t="s">
        <v>3642</v>
      </c>
      <c r="B340" s="75" t="s">
        <v>3652</v>
      </c>
      <c r="C340" s="76" t="s">
        <v>134</v>
      </c>
      <c r="D340" s="76" t="s">
        <v>135</v>
      </c>
      <c r="E340" s="76" t="s">
        <v>136</v>
      </c>
      <c r="F340" s="170">
        <v>10743.8</v>
      </c>
      <c r="G340" s="170">
        <v>0</v>
      </c>
      <c r="H340" s="76">
        <v>0</v>
      </c>
      <c r="I340" s="76">
        <v>0</v>
      </c>
      <c r="J340" s="76">
        <v>0</v>
      </c>
      <c r="K340" s="76">
        <v>2256.2000000000003</v>
      </c>
      <c r="L340" s="76">
        <v>0</v>
      </c>
      <c r="M340" s="170">
        <v>0</v>
      </c>
      <c r="N340" s="170">
        <v>13000</v>
      </c>
    </row>
    <row r="341" spans="1:14" hidden="1">
      <c r="A341" s="74" t="s">
        <v>3642</v>
      </c>
      <c r="B341" s="75" t="s">
        <v>3653</v>
      </c>
      <c r="C341" s="76" t="s">
        <v>134</v>
      </c>
      <c r="D341" s="76" t="s">
        <v>135</v>
      </c>
      <c r="E341" s="76" t="s">
        <v>136</v>
      </c>
      <c r="F341" s="170">
        <v>22148.76</v>
      </c>
      <c r="G341" s="170">
        <v>0</v>
      </c>
      <c r="H341" s="76">
        <v>0</v>
      </c>
      <c r="I341" s="76">
        <v>0</v>
      </c>
      <c r="J341" s="76">
        <v>0</v>
      </c>
      <c r="K341" s="76">
        <v>4651.24</v>
      </c>
      <c r="L341" s="76">
        <v>0</v>
      </c>
      <c r="M341" s="170">
        <v>0</v>
      </c>
      <c r="N341" s="170">
        <v>26800</v>
      </c>
    </row>
    <row r="342" spans="1:14" hidden="1">
      <c r="A342" s="74" t="s">
        <v>3657</v>
      </c>
      <c r="B342" s="75" t="s">
        <v>3658</v>
      </c>
      <c r="C342" s="76" t="s">
        <v>134</v>
      </c>
      <c r="D342" s="76" t="s">
        <v>135</v>
      </c>
      <c r="E342" s="76" t="s">
        <v>136</v>
      </c>
      <c r="F342" s="170">
        <v>33884.300000000003</v>
      </c>
      <c r="G342" s="170">
        <v>0</v>
      </c>
      <c r="H342" s="76">
        <v>0</v>
      </c>
      <c r="I342" s="76">
        <v>0</v>
      </c>
      <c r="J342" s="76">
        <v>0</v>
      </c>
      <c r="K342" s="76">
        <v>7115.7</v>
      </c>
      <c r="L342" s="76">
        <v>0</v>
      </c>
      <c r="M342" s="170">
        <v>0</v>
      </c>
      <c r="N342" s="170">
        <v>41000</v>
      </c>
    </row>
    <row r="343" spans="1:14" hidden="1">
      <c r="A343" s="74" t="s">
        <v>3657</v>
      </c>
      <c r="B343" s="75" t="s">
        <v>3659</v>
      </c>
      <c r="C343" s="76" t="s">
        <v>134</v>
      </c>
      <c r="D343" s="76" t="s">
        <v>135</v>
      </c>
      <c r="E343" s="76" t="s">
        <v>136</v>
      </c>
      <c r="F343" s="170">
        <v>9917.36</v>
      </c>
      <c r="G343" s="170">
        <v>0</v>
      </c>
      <c r="H343" s="76">
        <v>0</v>
      </c>
      <c r="I343" s="76">
        <v>0</v>
      </c>
      <c r="J343" s="76">
        <v>0</v>
      </c>
      <c r="K343" s="76">
        <v>2082.64</v>
      </c>
      <c r="L343" s="76">
        <v>0</v>
      </c>
      <c r="M343" s="170">
        <v>0</v>
      </c>
      <c r="N343" s="170">
        <v>12000</v>
      </c>
    </row>
    <row r="344" spans="1:14" hidden="1">
      <c r="A344" s="74" t="s">
        <v>3657</v>
      </c>
      <c r="B344" s="75" t="s">
        <v>3660</v>
      </c>
      <c r="C344" s="76" t="s">
        <v>134</v>
      </c>
      <c r="D344" s="76" t="s">
        <v>135</v>
      </c>
      <c r="E344" s="76" t="s">
        <v>136</v>
      </c>
      <c r="F344" s="170">
        <v>34710.74</v>
      </c>
      <c r="G344" s="170">
        <v>0</v>
      </c>
      <c r="H344" s="76">
        <v>0</v>
      </c>
      <c r="I344" s="76">
        <v>0</v>
      </c>
      <c r="J344" s="76">
        <v>0</v>
      </c>
      <c r="K344" s="76">
        <v>7289.26</v>
      </c>
      <c r="L344" s="76">
        <v>0</v>
      </c>
      <c r="M344" s="170">
        <v>0</v>
      </c>
      <c r="N344" s="170">
        <v>42000</v>
      </c>
    </row>
    <row r="345" spans="1:14" hidden="1">
      <c r="A345" s="74" t="s">
        <v>3657</v>
      </c>
      <c r="B345" s="75" t="s">
        <v>3661</v>
      </c>
      <c r="C345" s="76" t="s">
        <v>134</v>
      </c>
      <c r="D345" s="76" t="s">
        <v>135</v>
      </c>
      <c r="E345" s="76" t="s">
        <v>136</v>
      </c>
      <c r="F345" s="170">
        <v>10743.8</v>
      </c>
      <c r="G345" s="170">
        <v>0</v>
      </c>
      <c r="H345" s="76">
        <v>0</v>
      </c>
      <c r="I345" s="76">
        <v>0</v>
      </c>
      <c r="J345" s="76">
        <v>0</v>
      </c>
      <c r="K345" s="76">
        <v>2256.2000000000003</v>
      </c>
      <c r="L345" s="76">
        <v>0</v>
      </c>
      <c r="M345" s="170">
        <v>0</v>
      </c>
      <c r="N345" s="170">
        <v>13000</v>
      </c>
    </row>
    <row r="346" spans="1:14" hidden="1">
      <c r="A346" s="74" t="s">
        <v>3657</v>
      </c>
      <c r="B346" s="75" t="s">
        <v>3662</v>
      </c>
      <c r="C346" s="76" t="s">
        <v>134</v>
      </c>
      <c r="D346" s="76" t="s">
        <v>135</v>
      </c>
      <c r="E346" s="76" t="s">
        <v>136</v>
      </c>
      <c r="F346" s="170">
        <v>29338.84</v>
      </c>
      <c r="G346" s="170">
        <v>0</v>
      </c>
      <c r="H346" s="76">
        <v>0</v>
      </c>
      <c r="I346" s="76">
        <v>0</v>
      </c>
      <c r="J346" s="76">
        <v>0</v>
      </c>
      <c r="K346" s="76">
        <v>6161.16</v>
      </c>
      <c r="L346" s="76">
        <v>0</v>
      </c>
      <c r="M346" s="170">
        <v>0</v>
      </c>
      <c r="N346" s="170">
        <v>35500</v>
      </c>
    </row>
    <row r="347" spans="1:14" hidden="1">
      <c r="A347" s="74" t="s">
        <v>3657</v>
      </c>
      <c r="B347" s="75" t="s">
        <v>3663</v>
      </c>
      <c r="C347" s="76" t="s">
        <v>134</v>
      </c>
      <c r="D347" s="76" t="s">
        <v>135</v>
      </c>
      <c r="E347" s="76" t="s">
        <v>136</v>
      </c>
      <c r="F347" s="170">
        <v>28925.62</v>
      </c>
      <c r="G347" s="170">
        <v>0</v>
      </c>
      <c r="H347" s="76">
        <v>0</v>
      </c>
      <c r="I347" s="76">
        <v>0</v>
      </c>
      <c r="J347" s="76">
        <v>0</v>
      </c>
      <c r="K347" s="76">
        <v>6074.38</v>
      </c>
      <c r="L347" s="76">
        <v>0</v>
      </c>
      <c r="M347" s="170">
        <v>0</v>
      </c>
      <c r="N347" s="170">
        <v>35000</v>
      </c>
    </row>
    <row r="348" spans="1:14">
      <c r="A348" s="74" t="s">
        <v>3657</v>
      </c>
      <c r="B348" s="75" t="s">
        <v>3664</v>
      </c>
      <c r="C348" s="76" t="s">
        <v>3665</v>
      </c>
      <c r="D348" s="76" t="s">
        <v>135</v>
      </c>
      <c r="E348" s="76">
        <v>92061622</v>
      </c>
      <c r="F348" s="170">
        <v>33636.36</v>
      </c>
      <c r="G348" s="170">
        <v>0</v>
      </c>
      <c r="H348" s="76">
        <v>0</v>
      </c>
      <c r="I348" s="76">
        <v>0</v>
      </c>
      <c r="J348" s="76">
        <v>0</v>
      </c>
      <c r="K348" s="76">
        <v>7063.64</v>
      </c>
      <c r="L348" s="76">
        <v>0</v>
      </c>
      <c r="M348" s="170">
        <v>0</v>
      </c>
      <c r="N348" s="170">
        <v>40700</v>
      </c>
    </row>
    <row r="349" spans="1:14" hidden="1">
      <c r="A349" s="74" t="s">
        <v>3657</v>
      </c>
      <c r="B349" s="75" t="s">
        <v>3666</v>
      </c>
      <c r="C349" s="76" t="s">
        <v>134</v>
      </c>
      <c r="D349" s="76" t="s">
        <v>135</v>
      </c>
      <c r="E349" s="76" t="s">
        <v>136</v>
      </c>
      <c r="F349" s="170">
        <v>12396.69</v>
      </c>
      <c r="G349" s="170">
        <v>0</v>
      </c>
      <c r="H349" s="76">
        <v>0</v>
      </c>
      <c r="I349" s="76">
        <v>0</v>
      </c>
      <c r="J349" s="76">
        <v>0</v>
      </c>
      <c r="K349" s="76">
        <v>2603.31</v>
      </c>
      <c r="L349" s="76">
        <v>0</v>
      </c>
      <c r="M349" s="170">
        <v>0</v>
      </c>
      <c r="N349" s="170">
        <v>15000</v>
      </c>
    </row>
    <row r="350" spans="1:14" hidden="1">
      <c r="A350" s="74" t="s">
        <v>3657</v>
      </c>
      <c r="B350" s="75" t="s">
        <v>3667</v>
      </c>
      <c r="C350" s="76" t="s">
        <v>134</v>
      </c>
      <c r="D350" s="76" t="s">
        <v>135</v>
      </c>
      <c r="E350" s="76" t="s">
        <v>136</v>
      </c>
      <c r="F350" s="170">
        <v>30661.16</v>
      </c>
      <c r="G350" s="170">
        <v>0</v>
      </c>
      <c r="H350" s="76">
        <v>0</v>
      </c>
      <c r="I350" s="76">
        <v>0</v>
      </c>
      <c r="J350" s="76">
        <v>0</v>
      </c>
      <c r="K350" s="76">
        <v>6438.84</v>
      </c>
      <c r="L350" s="76">
        <v>0</v>
      </c>
      <c r="M350" s="170">
        <v>0</v>
      </c>
      <c r="N350" s="170">
        <v>37100</v>
      </c>
    </row>
    <row r="351" spans="1:14" hidden="1">
      <c r="A351" s="74" t="s">
        <v>3657</v>
      </c>
      <c r="B351" s="75" t="s">
        <v>3668</v>
      </c>
      <c r="C351" s="76" t="s">
        <v>134</v>
      </c>
      <c r="D351" s="76" t="s">
        <v>135</v>
      </c>
      <c r="E351" s="76" t="s">
        <v>136</v>
      </c>
      <c r="F351" s="170">
        <v>25619.83</v>
      </c>
      <c r="G351" s="170">
        <v>0</v>
      </c>
      <c r="H351" s="76">
        <v>0</v>
      </c>
      <c r="I351" s="76">
        <v>0</v>
      </c>
      <c r="J351" s="76">
        <v>0</v>
      </c>
      <c r="K351" s="76">
        <v>5380.17</v>
      </c>
      <c r="L351" s="76">
        <v>0</v>
      </c>
      <c r="M351" s="170">
        <v>0</v>
      </c>
      <c r="N351" s="170">
        <v>31000</v>
      </c>
    </row>
    <row r="352" spans="1:14">
      <c r="A352" s="74" t="s">
        <v>3671</v>
      </c>
      <c r="B352" s="75" t="s">
        <v>3672</v>
      </c>
      <c r="C352" s="76" t="s">
        <v>3673</v>
      </c>
      <c r="D352" s="76" t="s">
        <v>135</v>
      </c>
      <c r="E352" s="76">
        <v>33207477</v>
      </c>
      <c r="F352" s="170">
        <v>39669.42</v>
      </c>
      <c r="G352" s="170">
        <v>0</v>
      </c>
      <c r="H352" s="76">
        <v>0</v>
      </c>
      <c r="I352" s="76">
        <v>0</v>
      </c>
      <c r="J352" s="76">
        <v>0</v>
      </c>
      <c r="K352" s="76">
        <v>8330.58</v>
      </c>
      <c r="L352" s="76">
        <v>0</v>
      </c>
      <c r="M352" s="170">
        <v>0</v>
      </c>
      <c r="N352" s="170">
        <v>48000</v>
      </c>
    </row>
    <row r="353" spans="1:14" hidden="1">
      <c r="A353" s="74" t="s">
        <v>3671</v>
      </c>
      <c r="B353" s="75" t="s">
        <v>3674</v>
      </c>
      <c r="C353" s="76" t="s">
        <v>134</v>
      </c>
      <c r="D353" s="76" t="s">
        <v>135</v>
      </c>
      <c r="E353" s="76" t="s">
        <v>136</v>
      </c>
      <c r="F353" s="170">
        <v>32231.4</v>
      </c>
      <c r="G353" s="170">
        <v>0</v>
      </c>
      <c r="H353" s="76">
        <v>0</v>
      </c>
      <c r="I353" s="76">
        <v>0</v>
      </c>
      <c r="J353" s="76">
        <v>0</v>
      </c>
      <c r="K353" s="76">
        <v>6768.6</v>
      </c>
      <c r="L353" s="76">
        <v>0</v>
      </c>
      <c r="M353" s="170">
        <v>0</v>
      </c>
      <c r="N353" s="170">
        <v>39000</v>
      </c>
    </row>
    <row r="354" spans="1:14">
      <c r="A354" s="74" t="s">
        <v>3671</v>
      </c>
      <c r="B354" s="75" t="s">
        <v>3675</v>
      </c>
      <c r="C354" s="76" t="s">
        <v>3676</v>
      </c>
      <c r="D354" s="76" t="s">
        <v>135</v>
      </c>
      <c r="E354" s="76">
        <v>27628739</v>
      </c>
      <c r="F354" s="170">
        <v>47933.88</v>
      </c>
      <c r="G354" s="170">
        <v>0</v>
      </c>
      <c r="H354" s="76">
        <v>0</v>
      </c>
      <c r="I354" s="76">
        <v>0</v>
      </c>
      <c r="J354" s="76">
        <v>0</v>
      </c>
      <c r="K354" s="76">
        <v>10066.120000000001</v>
      </c>
      <c r="L354" s="76">
        <v>0</v>
      </c>
      <c r="M354" s="170">
        <v>0</v>
      </c>
      <c r="N354" s="170">
        <v>58000</v>
      </c>
    </row>
    <row r="355" spans="1:14" hidden="1">
      <c r="A355" s="74" t="s">
        <v>3671</v>
      </c>
      <c r="B355" s="75" t="s">
        <v>3677</v>
      </c>
      <c r="C355" s="76" t="s">
        <v>134</v>
      </c>
      <c r="D355" s="76" t="s">
        <v>135</v>
      </c>
      <c r="E355" s="76" t="s">
        <v>136</v>
      </c>
      <c r="F355" s="170">
        <v>10743.8</v>
      </c>
      <c r="G355" s="170">
        <v>0</v>
      </c>
      <c r="H355" s="76">
        <v>0</v>
      </c>
      <c r="I355" s="76">
        <v>0</v>
      </c>
      <c r="J355" s="76">
        <v>0</v>
      </c>
      <c r="K355" s="76">
        <v>2256.2000000000003</v>
      </c>
      <c r="L355" s="76">
        <v>0</v>
      </c>
      <c r="M355" s="170">
        <v>0</v>
      </c>
      <c r="N355" s="170">
        <v>13000</v>
      </c>
    </row>
    <row r="356" spans="1:14" hidden="1">
      <c r="A356" s="74" t="s">
        <v>3671</v>
      </c>
      <c r="B356" s="75" t="s">
        <v>3678</v>
      </c>
      <c r="C356" s="76" t="s">
        <v>134</v>
      </c>
      <c r="D356" s="76" t="s">
        <v>135</v>
      </c>
      <c r="E356" s="76" t="s">
        <v>136</v>
      </c>
      <c r="F356" s="170">
        <v>10743.8</v>
      </c>
      <c r="G356" s="170">
        <v>0</v>
      </c>
      <c r="H356" s="76">
        <v>0</v>
      </c>
      <c r="I356" s="76">
        <v>0</v>
      </c>
      <c r="J356" s="76">
        <v>0</v>
      </c>
      <c r="K356" s="76">
        <v>2256.2000000000003</v>
      </c>
      <c r="L356" s="76">
        <v>0</v>
      </c>
      <c r="M356" s="170">
        <v>0</v>
      </c>
      <c r="N356" s="170">
        <v>13000</v>
      </c>
    </row>
    <row r="357" spans="1:14" hidden="1">
      <c r="A357" s="74" t="s">
        <v>3671</v>
      </c>
      <c r="B357" s="75" t="s">
        <v>3679</v>
      </c>
      <c r="C357" s="76" t="s">
        <v>134</v>
      </c>
      <c r="D357" s="76" t="s">
        <v>135</v>
      </c>
      <c r="E357" s="76" t="s">
        <v>136</v>
      </c>
      <c r="F357" s="170">
        <v>20661.16</v>
      </c>
      <c r="G357" s="170">
        <v>0</v>
      </c>
      <c r="H357" s="76">
        <v>0</v>
      </c>
      <c r="I357" s="76">
        <v>0</v>
      </c>
      <c r="J357" s="76">
        <v>0</v>
      </c>
      <c r="K357" s="76">
        <v>4338.84</v>
      </c>
      <c r="L357" s="76">
        <v>0</v>
      </c>
      <c r="M357" s="170">
        <v>0</v>
      </c>
      <c r="N357" s="170">
        <v>25000</v>
      </c>
    </row>
    <row r="358" spans="1:14" hidden="1">
      <c r="A358" s="74" t="s">
        <v>3671</v>
      </c>
      <c r="B358" s="75" t="s">
        <v>3680</v>
      </c>
      <c r="C358" s="76" t="s">
        <v>134</v>
      </c>
      <c r="D358" s="76" t="s">
        <v>135</v>
      </c>
      <c r="E358" s="76" t="s">
        <v>136</v>
      </c>
      <c r="F358" s="170">
        <v>11487.6</v>
      </c>
      <c r="G358" s="170">
        <v>0</v>
      </c>
      <c r="H358" s="76">
        <v>0</v>
      </c>
      <c r="I358" s="76">
        <v>0</v>
      </c>
      <c r="J358" s="76">
        <v>0</v>
      </c>
      <c r="K358" s="76">
        <v>2412.4</v>
      </c>
      <c r="L358" s="76">
        <v>0</v>
      </c>
      <c r="M358" s="170">
        <v>0</v>
      </c>
      <c r="N358" s="170">
        <v>13900</v>
      </c>
    </row>
    <row r="359" spans="1:14" hidden="1">
      <c r="A359" s="74" t="s">
        <v>3671</v>
      </c>
      <c r="B359" s="75" t="s">
        <v>3681</v>
      </c>
      <c r="C359" s="76" t="s">
        <v>134</v>
      </c>
      <c r="D359" s="76" t="s">
        <v>135</v>
      </c>
      <c r="E359" s="76" t="s">
        <v>136</v>
      </c>
      <c r="F359" s="170">
        <v>10743.8</v>
      </c>
      <c r="G359" s="170">
        <v>0</v>
      </c>
      <c r="H359" s="76">
        <v>0</v>
      </c>
      <c r="I359" s="76">
        <v>0</v>
      </c>
      <c r="J359" s="76">
        <v>0</v>
      </c>
      <c r="K359" s="76">
        <v>2256.2000000000003</v>
      </c>
      <c r="L359" s="76">
        <v>0</v>
      </c>
      <c r="M359" s="170">
        <v>0</v>
      </c>
      <c r="N359" s="170">
        <v>13000</v>
      </c>
    </row>
    <row r="360" spans="1:14" hidden="1">
      <c r="A360" s="74" t="s">
        <v>3671</v>
      </c>
      <c r="B360" s="75" t="s">
        <v>3682</v>
      </c>
      <c r="C360" s="76" t="s">
        <v>134</v>
      </c>
      <c r="D360" s="76" t="s">
        <v>135</v>
      </c>
      <c r="E360" s="76" t="s">
        <v>136</v>
      </c>
      <c r="F360" s="170">
        <v>74380.17</v>
      </c>
      <c r="G360" s="170">
        <v>0</v>
      </c>
      <c r="H360" s="76">
        <v>0</v>
      </c>
      <c r="I360" s="76">
        <v>0</v>
      </c>
      <c r="J360" s="76">
        <v>0</v>
      </c>
      <c r="K360" s="76">
        <v>15619.83</v>
      </c>
      <c r="L360" s="76">
        <v>0</v>
      </c>
      <c r="M360" s="170">
        <v>0</v>
      </c>
      <c r="N360" s="170">
        <v>90000</v>
      </c>
    </row>
    <row r="361" spans="1:14" hidden="1">
      <c r="A361" s="74" t="s">
        <v>3671</v>
      </c>
      <c r="B361" s="75" t="s">
        <v>3683</v>
      </c>
      <c r="C361" s="76" t="s">
        <v>134</v>
      </c>
      <c r="D361" s="76" t="s">
        <v>135</v>
      </c>
      <c r="E361" s="76" t="s">
        <v>136</v>
      </c>
      <c r="F361" s="170">
        <v>17685.95</v>
      </c>
      <c r="G361" s="170">
        <v>0</v>
      </c>
      <c r="H361" s="76">
        <v>0</v>
      </c>
      <c r="I361" s="76">
        <v>0</v>
      </c>
      <c r="J361" s="76">
        <v>0</v>
      </c>
      <c r="K361" s="76">
        <v>3714.05</v>
      </c>
      <c r="L361" s="76">
        <v>0</v>
      </c>
      <c r="M361" s="170">
        <v>0</v>
      </c>
      <c r="N361" s="170">
        <v>21400</v>
      </c>
    </row>
    <row r="362" spans="1:14" hidden="1">
      <c r="A362" s="74" t="s">
        <v>3671</v>
      </c>
      <c r="B362" s="75" t="s">
        <v>3684</v>
      </c>
      <c r="C362" s="76" t="s">
        <v>134</v>
      </c>
      <c r="D362" s="76" t="s">
        <v>135</v>
      </c>
      <c r="E362" s="76" t="s">
        <v>136</v>
      </c>
      <c r="F362" s="170">
        <v>28925.62</v>
      </c>
      <c r="G362" s="170">
        <v>0</v>
      </c>
      <c r="H362" s="76">
        <v>0</v>
      </c>
      <c r="I362" s="76">
        <v>0</v>
      </c>
      <c r="J362" s="76">
        <v>0</v>
      </c>
      <c r="K362" s="76">
        <v>6074.38</v>
      </c>
      <c r="L362" s="76">
        <v>0</v>
      </c>
      <c r="M362" s="170">
        <v>0</v>
      </c>
      <c r="N362" s="170">
        <v>35000</v>
      </c>
    </row>
    <row r="363" spans="1:14" hidden="1">
      <c r="A363" s="74" t="s">
        <v>3671</v>
      </c>
      <c r="B363" s="75" t="s">
        <v>3685</v>
      </c>
      <c r="C363" s="76" t="s">
        <v>134</v>
      </c>
      <c r="D363" s="76" t="s">
        <v>135</v>
      </c>
      <c r="E363" s="76" t="s">
        <v>136</v>
      </c>
      <c r="F363" s="170">
        <v>10743.8</v>
      </c>
      <c r="G363" s="170">
        <v>0</v>
      </c>
      <c r="H363" s="76">
        <v>0</v>
      </c>
      <c r="I363" s="76">
        <v>0</v>
      </c>
      <c r="J363" s="76">
        <v>0</v>
      </c>
      <c r="K363" s="76">
        <v>2256.2000000000003</v>
      </c>
      <c r="L363" s="76">
        <v>0</v>
      </c>
      <c r="M363" s="170">
        <v>0</v>
      </c>
      <c r="N363" s="170">
        <v>13000</v>
      </c>
    </row>
    <row r="364" spans="1:14" hidden="1">
      <c r="A364" s="74" t="s">
        <v>3671</v>
      </c>
      <c r="B364" s="75" t="s">
        <v>3686</v>
      </c>
      <c r="C364" s="76" t="s">
        <v>134</v>
      </c>
      <c r="D364" s="76" t="s">
        <v>135</v>
      </c>
      <c r="E364" s="76" t="s">
        <v>136</v>
      </c>
      <c r="F364" s="170">
        <v>32231.4</v>
      </c>
      <c r="G364" s="170">
        <v>0</v>
      </c>
      <c r="H364" s="76">
        <v>0</v>
      </c>
      <c r="I364" s="76">
        <v>0</v>
      </c>
      <c r="J364" s="76">
        <v>0</v>
      </c>
      <c r="K364" s="76">
        <v>6768.6</v>
      </c>
      <c r="L364" s="76">
        <v>0</v>
      </c>
      <c r="M364" s="170">
        <v>0</v>
      </c>
      <c r="N364" s="170">
        <v>39000</v>
      </c>
    </row>
    <row r="365" spans="1:14" hidden="1">
      <c r="A365" s="74" t="s">
        <v>3671</v>
      </c>
      <c r="B365" s="75" t="s">
        <v>3687</v>
      </c>
      <c r="C365" s="76" t="s">
        <v>134</v>
      </c>
      <c r="D365" s="76" t="s">
        <v>135</v>
      </c>
      <c r="E365" s="76" t="s">
        <v>136</v>
      </c>
      <c r="F365" s="170">
        <v>15702.48</v>
      </c>
      <c r="G365" s="170">
        <v>0</v>
      </c>
      <c r="H365" s="76">
        <v>0</v>
      </c>
      <c r="I365" s="76">
        <v>0</v>
      </c>
      <c r="J365" s="76">
        <v>0</v>
      </c>
      <c r="K365" s="76">
        <v>3297.52</v>
      </c>
      <c r="L365" s="76">
        <v>0</v>
      </c>
      <c r="M365" s="170">
        <v>0</v>
      </c>
      <c r="N365" s="170">
        <v>19000</v>
      </c>
    </row>
    <row r="366" spans="1:14" hidden="1">
      <c r="A366" s="74" t="s">
        <v>3671</v>
      </c>
      <c r="B366" s="75" t="s">
        <v>3688</v>
      </c>
      <c r="C366" s="76" t="s">
        <v>134</v>
      </c>
      <c r="D366" s="76" t="s">
        <v>135</v>
      </c>
      <c r="E366" s="76" t="s">
        <v>136</v>
      </c>
      <c r="F366" s="170">
        <v>28925.62</v>
      </c>
      <c r="G366" s="170">
        <v>0</v>
      </c>
      <c r="H366" s="76">
        <v>0</v>
      </c>
      <c r="I366" s="76">
        <v>0</v>
      </c>
      <c r="J366" s="76">
        <v>0</v>
      </c>
      <c r="K366" s="76">
        <v>6074.38</v>
      </c>
      <c r="L366" s="76">
        <v>0</v>
      </c>
      <c r="M366" s="170">
        <v>0</v>
      </c>
      <c r="N366" s="170">
        <v>35000</v>
      </c>
    </row>
    <row r="367" spans="1:14">
      <c r="A367" s="74" t="s">
        <v>3671</v>
      </c>
      <c r="B367" s="75" t="s">
        <v>3689</v>
      </c>
      <c r="C367" s="76" t="s">
        <v>3690</v>
      </c>
      <c r="D367" s="76" t="s">
        <v>135</v>
      </c>
      <c r="E367" s="76">
        <v>35958893</v>
      </c>
      <c r="F367" s="170">
        <v>41322.31</v>
      </c>
      <c r="G367" s="170">
        <v>0</v>
      </c>
      <c r="H367" s="76">
        <v>0</v>
      </c>
      <c r="I367" s="76">
        <v>0</v>
      </c>
      <c r="J367" s="76">
        <v>0</v>
      </c>
      <c r="K367" s="76">
        <v>8677.69</v>
      </c>
      <c r="L367" s="76">
        <v>0</v>
      </c>
      <c r="M367" s="170">
        <v>0</v>
      </c>
      <c r="N367" s="170">
        <v>50000</v>
      </c>
    </row>
    <row r="368" spans="1:14" hidden="1">
      <c r="A368" s="74" t="s">
        <v>3700</v>
      </c>
      <c r="B368" s="75" t="s">
        <v>3701</v>
      </c>
      <c r="C368" s="76" t="s">
        <v>134</v>
      </c>
      <c r="D368" s="76" t="s">
        <v>135</v>
      </c>
      <c r="E368" s="76" t="s">
        <v>136</v>
      </c>
      <c r="F368" s="170">
        <v>21487.599999999999</v>
      </c>
      <c r="G368" s="170">
        <v>0</v>
      </c>
      <c r="H368" s="76">
        <v>0</v>
      </c>
      <c r="I368" s="76">
        <v>0</v>
      </c>
      <c r="J368" s="76">
        <v>0</v>
      </c>
      <c r="K368" s="76">
        <v>4512.4000000000005</v>
      </c>
      <c r="L368" s="76">
        <v>0</v>
      </c>
      <c r="M368" s="170">
        <v>0</v>
      </c>
      <c r="N368" s="170">
        <v>26000</v>
      </c>
    </row>
    <row r="369" spans="1:14" hidden="1">
      <c r="A369" s="74" t="s">
        <v>3700</v>
      </c>
      <c r="B369" s="75" t="s">
        <v>3702</v>
      </c>
      <c r="C369" s="76" t="s">
        <v>134</v>
      </c>
      <c r="D369" s="76" t="s">
        <v>135</v>
      </c>
      <c r="E369" s="76" t="s">
        <v>136</v>
      </c>
      <c r="F369" s="170">
        <v>10330.58</v>
      </c>
      <c r="G369" s="170">
        <v>0</v>
      </c>
      <c r="H369" s="76">
        <v>0</v>
      </c>
      <c r="I369" s="76">
        <v>0</v>
      </c>
      <c r="J369" s="76">
        <v>0</v>
      </c>
      <c r="K369" s="76">
        <v>2169.42</v>
      </c>
      <c r="L369" s="76">
        <v>0</v>
      </c>
      <c r="M369" s="170">
        <v>0</v>
      </c>
      <c r="N369" s="170">
        <v>12500</v>
      </c>
    </row>
    <row r="370" spans="1:14" hidden="1">
      <c r="A370" s="74" t="s">
        <v>3700</v>
      </c>
      <c r="B370" s="75" t="s">
        <v>3703</v>
      </c>
      <c r="C370" s="76" t="s">
        <v>134</v>
      </c>
      <c r="D370" s="76" t="s">
        <v>135</v>
      </c>
      <c r="E370" s="76" t="s">
        <v>136</v>
      </c>
      <c r="F370" s="170">
        <v>21487.599999999999</v>
      </c>
      <c r="G370" s="170">
        <v>0</v>
      </c>
      <c r="H370" s="76">
        <v>0</v>
      </c>
      <c r="I370" s="76">
        <v>0</v>
      </c>
      <c r="J370" s="76">
        <v>0</v>
      </c>
      <c r="K370" s="76">
        <v>4512.4000000000005</v>
      </c>
      <c r="L370" s="76">
        <v>0</v>
      </c>
      <c r="M370" s="170">
        <v>0</v>
      </c>
      <c r="N370" s="170">
        <v>26000</v>
      </c>
    </row>
    <row r="371" spans="1:14" hidden="1">
      <c r="A371" s="74" t="s">
        <v>3700</v>
      </c>
      <c r="B371" s="75" t="s">
        <v>3704</v>
      </c>
      <c r="C371" s="76" t="s">
        <v>134</v>
      </c>
      <c r="D371" s="76" t="s">
        <v>135</v>
      </c>
      <c r="E371" s="76" t="s">
        <v>136</v>
      </c>
      <c r="F371" s="170">
        <v>10330.58</v>
      </c>
      <c r="G371" s="170">
        <v>0</v>
      </c>
      <c r="H371" s="76">
        <v>0</v>
      </c>
      <c r="I371" s="76">
        <v>0</v>
      </c>
      <c r="J371" s="76">
        <v>0</v>
      </c>
      <c r="K371" s="76">
        <v>2169.42</v>
      </c>
      <c r="L371" s="76">
        <v>0</v>
      </c>
      <c r="M371" s="170">
        <v>0</v>
      </c>
      <c r="N371" s="170">
        <v>12500</v>
      </c>
    </row>
    <row r="372" spans="1:14" hidden="1">
      <c r="A372" s="74" t="s">
        <v>3700</v>
      </c>
      <c r="B372" s="75" t="s">
        <v>3705</v>
      </c>
      <c r="C372" s="76" t="s">
        <v>134</v>
      </c>
      <c r="D372" s="76" t="s">
        <v>135</v>
      </c>
      <c r="E372" s="76" t="s">
        <v>136</v>
      </c>
      <c r="F372" s="170">
        <v>10743.8</v>
      </c>
      <c r="G372" s="170">
        <v>0</v>
      </c>
      <c r="H372" s="76">
        <v>0</v>
      </c>
      <c r="I372" s="76">
        <v>0</v>
      </c>
      <c r="J372" s="76">
        <v>0</v>
      </c>
      <c r="K372" s="76">
        <v>2256.2000000000003</v>
      </c>
      <c r="L372" s="76">
        <v>0</v>
      </c>
      <c r="M372" s="170">
        <v>0</v>
      </c>
      <c r="N372" s="170">
        <v>13000</v>
      </c>
    </row>
    <row r="373" spans="1:14" hidden="1">
      <c r="A373" s="74" t="s">
        <v>3700</v>
      </c>
      <c r="B373" s="75" t="s">
        <v>3706</v>
      </c>
      <c r="C373" s="76" t="s">
        <v>134</v>
      </c>
      <c r="D373" s="76" t="s">
        <v>135</v>
      </c>
      <c r="E373" s="76" t="s">
        <v>136</v>
      </c>
      <c r="F373" s="170">
        <v>19834.71</v>
      </c>
      <c r="G373" s="170">
        <v>0</v>
      </c>
      <c r="H373" s="76">
        <v>0</v>
      </c>
      <c r="I373" s="76">
        <v>0</v>
      </c>
      <c r="J373" s="76">
        <v>0</v>
      </c>
      <c r="K373" s="76">
        <v>4165.29</v>
      </c>
      <c r="L373" s="76">
        <v>0</v>
      </c>
      <c r="M373" s="170">
        <v>0</v>
      </c>
      <c r="N373" s="170">
        <v>24000</v>
      </c>
    </row>
    <row r="374" spans="1:14" hidden="1">
      <c r="A374" s="74" t="s">
        <v>3700</v>
      </c>
      <c r="B374" s="75" t="s">
        <v>3707</v>
      </c>
      <c r="C374" s="76" t="s">
        <v>134</v>
      </c>
      <c r="D374" s="76" t="s">
        <v>135</v>
      </c>
      <c r="E374" s="76" t="s">
        <v>136</v>
      </c>
      <c r="F374" s="170">
        <v>16528.93</v>
      </c>
      <c r="G374" s="170">
        <v>0</v>
      </c>
      <c r="H374" s="76">
        <v>0</v>
      </c>
      <c r="I374" s="76">
        <v>0</v>
      </c>
      <c r="J374" s="76">
        <v>0</v>
      </c>
      <c r="K374" s="76">
        <v>3471.07</v>
      </c>
      <c r="L374" s="76">
        <v>0</v>
      </c>
      <c r="M374" s="170">
        <v>0</v>
      </c>
      <c r="N374" s="170">
        <v>20000</v>
      </c>
    </row>
    <row r="375" spans="1:14" hidden="1">
      <c r="A375" s="74" t="s">
        <v>3700</v>
      </c>
      <c r="B375" s="75" t="s">
        <v>3708</v>
      </c>
      <c r="C375" s="76" t="s">
        <v>134</v>
      </c>
      <c r="D375" s="76" t="s">
        <v>135</v>
      </c>
      <c r="E375" s="76" t="s">
        <v>136</v>
      </c>
      <c r="F375" s="170">
        <v>4132.2300000000005</v>
      </c>
      <c r="G375" s="170">
        <v>0</v>
      </c>
      <c r="H375" s="76">
        <v>0</v>
      </c>
      <c r="I375" s="76">
        <v>0</v>
      </c>
      <c r="J375" s="76">
        <v>0</v>
      </c>
      <c r="K375" s="76">
        <v>867.77</v>
      </c>
      <c r="L375" s="76">
        <v>0</v>
      </c>
      <c r="M375" s="170">
        <v>0</v>
      </c>
      <c r="N375" s="170">
        <v>5000</v>
      </c>
    </row>
    <row r="376" spans="1:14" hidden="1">
      <c r="A376" s="74" t="s">
        <v>3700</v>
      </c>
      <c r="B376" s="75" t="s">
        <v>3709</v>
      </c>
      <c r="C376" s="76" t="s">
        <v>134</v>
      </c>
      <c r="D376" s="76" t="s">
        <v>135</v>
      </c>
      <c r="E376" s="76" t="s">
        <v>136</v>
      </c>
      <c r="F376" s="170">
        <v>14049.59</v>
      </c>
      <c r="G376" s="170">
        <v>0</v>
      </c>
      <c r="H376" s="76">
        <v>0</v>
      </c>
      <c r="I376" s="76">
        <v>0</v>
      </c>
      <c r="J376" s="76">
        <v>0</v>
      </c>
      <c r="K376" s="76">
        <v>2950.41</v>
      </c>
      <c r="L376" s="76">
        <v>0</v>
      </c>
      <c r="M376" s="170">
        <v>0</v>
      </c>
      <c r="N376" s="170">
        <v>17000</v>
      </c>
    </row>
    <row r="377" spans="1:14" hidden="1">
      <c r="A377" s="74" t="s">
        <v>3700</v>
      </c>
      <c r="B377" s="75" t="s">
        <v>3710</v>
      </c>
      <c r="C377" s="76" t="s">
        <v>134</v>
      </c>
      <c r="D377" s="76" t="s">
        <v>135</v>
      </c>
      <c r="E377" s="76" t="s">
        <v>136</v>
      </c>
      <c r="F377" s="170">
        <v>18595.04</v>
      </c>
      <c r="G377" s="170">
        <v>0</v>
      </c>
      <c r="H377" s="76">
        <v>0</v>
      </c>
      <c r="I377" s="76">
        <v>0</v>
      </c>
      <c r="J377" s="76">
        <v>0</v>
      </c>
      <c r="K377" s="76">
        <v>3904.96</v>
      </c>
      <c r="L377" s="76">
        <v>0</v>
      </c>
      <c r="M377" s="170">
        <v>0</v>
      </c>
      <c r="N377" s="170">
        <v>22500</v>
      </c>
    </row>
    <row r="378" spans="1:14" hidden="1">
      <c r="A378" s="74" t="s">
        <v>3700</v>
      </c>
      <c r="B378" s="75" t="s">
        <v>3711</v>
      </c>
      <c r="C378" s="76" t="s">
        <v>134</v>
      </c>
      <c r="D378" s="76" t="s">
        <v>135</v>
      </c>
      <c r="E378" s="76" t="s">
        <v>136</v>
      </c>
      <c r="F378" s="170">
        <v>9917.36</v>
      </c>
      <c r="G378" s="170">
        <v>0</v>
      </c>
      <c r="H378" s="76">
        <v>0</v>
      </c>
      <c r="I378" s="76">
        <v>0</v>
      </c>
      <c r="J378" s="76">
        <v>0</v>
      </c>
      <c r="K378" s="76">
        <v>2082.64</v>
      </c>
      <c r="L378" s="76">
        <v>0</v>
      </c>
      <c r="M378" s="170">
        <v>0</v>
      </c>
      <c r="N378" s="170">
        <v>12000</v>
      </c>
    </row>
    <row r="379" spans="1:14" hidden="1">
      <c r="A379" s="74" t="s">
        <v>3700</v>
      </c>
      <c r="B379" s="75" t="s">
        <v>3712</v>
      </c>
      <c r="C379" s="76" t="s">
        <v>134</v>
      </c>
      <c r="D379" s="76" t="s">
        <v>135</v>
      </c>
      <c r="E379" s="76" t="s">
        <v>136</v>
      </c>
      <c r="F379" s="170">
        <v>33884.300000000003</v>
      </c>
      <c r="G379" s="170">
        <v>0</v>
      </c>
      <c r="H379" s="76">
        <v>0</v>
      </c>
      <c r="I379" s="76">
        <v>0</v>
      </c>
      <c r="J379" s="76">
        <v>0</v>
      </c>
      <c r="K379" s="76">
        <v>7115.7</v>
      </c>
      <c r="L379" s="76">
        <v>0</v>
      </c>
      <c r="M379" s="170">
        <v>0</v>
      </c>
      <c r="N379" s="170">
        <v>41000</v>
      </c>
    </row>
    <row r="380" spans="1:14" hidden="1">
      <c r="A380" s="74" t="s">
        <v>3700</v>
      </c>
      <c r="B380" s="75" t="s">
        <v>3713</v>
      </c>
      <c r="C380" s="76" t="s">
        <v>134</v>
      </c>
      <c r="D380" s="76" t="s">
        <v>135</v>
      </c>
      <c r="E380" s="76" t="s">
        <v>136</v>
      </c>
      <c r="F380" s="170">
        <v>30495.87</v>
      </c>
      <c r="G380" s="170">
        <v>0</v>
      </c>
      <c r="H380" s="76">
        <v>0</v>
      </c>
      <c r="I380" s="76">
        <v>0</v>
      </c>
      <c r="J380" s="76">
        <v>0</v>
      </c>
      <c r="K380" s="76">
        <v>6404.13</v>
      </c>
      <c r="L380" s="76">
        <v>0</v>
      </c>
      <c r="M380" s="170">
        <v>0</v>
      </c>
      <c r="N380" s="170">
        <v>36900</v>
      </c>
    </row>
    <row r="381" spans="1:14">
      <c r="A381" s="74" t="s">
        <v>3700</v>
      </c>
      <c r="B381" s="75" t="s">
        <v>3714</v>
      </c>
      <c r="C381" s="76" t="s">
        <v>3715</v>
      </c>
      <c r="D381" s="76" t="s">
        <v>135</v>
      </c>
      <c r="E381" s="76">
        <v>22965862</v>
      </c>
      <c r="F381" s="170">
        <v>41322.31</v>
      </c>
      <c r="G381" s="170">
        <v>0</v>
      </c>
      <c r="H381" s="76">
        <v>0</v>
      </c>
      <c r="I381" s="76">
        <v>0</v>
      </c>
      <c r="J381" s="76">
        <v>0</v>
      </c>
      <c r="K381" s="76">
        <v>8677.69</v>
      </c>
      <c r="L381" s="76">
        <v>0</v>
      </c>
      <c r="M381" s="170">
        <v>0</v>
      </c>
      <c r="N381" s="170">
        <v>50000</v>
      </c>
    </row>
    <row r="382" spans="1:14" hidden="1">
      <c r="A382" s="74" t="s">
        <v>3340</v>
      </c>
      <c r="B382" s="75" t="s">
        <v>3341</v>
      </c>
      <c r="C382" s="76" t="s">
        <v>134</v>
      </c>
      <c r="D382" s="76" t="s">
        <v>135</v>
      </c>
      <c r="E382" s="76" t="s">
        <v>136</v>
      </c>
      <c r="F382" s="170">
        <v>-10000</v>
      </c>
      <c r="G382" s="170">
        <v>0</v>
      </c>
      <c r="H382" s="76">
        <v>0</v>
      </c>
      <c r="I382" s="76">
        <v>0</v>
      </c>
      <c r="J382" s="76">
        <v>0</v>
      </c>
      <c r="K382" s="76">
        <v>-2100</v>
      </c>
      <c r="L382" s="76">
        <v>0</v>
      </c>
      <c r="M382" s="170">
        <v>0</v>
      </c>
      <c r="N382" s="170">
        <v>-12100</v>
      </c>
    </row>
    <row r="383" spans="1:14" hidden="1">
      <c r="A383" s="74" t="s">
        <v>3406</v>
      </c>
      <c r="B383" s="75" t="s">
        <v>3407</v>
      </c>
      <c r="C383" s="76" t="s">
        <v>134</v>
      </c>
      <c r="D383" s="76" t="s">
        <v>135</v>
      </c>
      <c r="E383" s="76" t="s">
        <v>136</v>
      </c>
      <c r="F383" s="170">
        <v>-25289.26</v>
      </c>
      <c r="G383" s="170">
        <v>0</v>
      </c>
      <c r="H383" s="76">
        <v>0</v>
      </c>
      <c r="I383" s="76">
        <v>0</v>
      </c>
      <c r="J383" s="76">
        <v>0</v>
      </c>
      <c r="K383" s="76">
        <v>-5310.74</v>
      </c>
      <c r="L383" s="76">
        <v>0</v>
      </c>
      <c r="M383" s="170">
        <v>0</v>
      </c>
      <c r="N383" s="170">
        <v>-30600</v>
      </c>
    </row>
    <row r="384" spans="1:14" hidden="1">
      <c r="A384" s="74" t="s">
        <v>3583</v>
      </c>
      <c r="B384" s="75" t="s">
        <v>3584</v>
      </c>
      <c r="C384" s="76" t="s">
        <v>134</v>
      </c>
      <c r="D384" s="76" t="s">
        <v>135</v>
      </c>
      <c r="E384" s="76" t="s">
        <v>136</v>
      </c>
      <c r="F384" s="170">
        <v>-16528.93</v>
      </c>
      <c r="G384" s="170">
        <v>0</v>
      </c>
      <c r="H384" s="76">
        <v>0</v>
      </c>
      <c r="I384" s="76">
        <v>0</v>
      </c>
      <c r="J384" s="76">
        <v>0</v>
      </c>
      <c r="K384" s="76">
        <v>-3471.07</v>
      </c>
      <c r="L384" s="76">
        <v>0</v>
      </c>
      <c r="M384" s="170">
        <v>0</v>
      </c>
      <c r="N384" s="170">
        <v>-20000</v>
      </c>
    </row>
    <row r="385" spans="1:14" ht="15.75" thickBot="1">
      <c r="A385" s="74"/>
      <c r="B385" s="75"/>
      <c r="C385" s="76"/>
      <c r="D385" s="76"/>
      <c r="E385" s="76"/>
      <c r="F385" s="173">
        <f>SUM(F67:F384)</f>
        <v>6794545.2299999911</v>
      </c>
      <c r="G385" s="170"/>
      <c r="H385" s="76"/>
      <c r="I385" s="76"/>
      <c r="J385" s="76"/>
      <c r="K385" s="174">
        <f>SUM(K67:K384)</f>
        <v>1426854.7699999977</v>
      </c>
      <c r="L385" s="76"/>
      <c r="M385" s="170"/>
      <c r="N385" s="173">
        <f>SUM(N67:N384)</f>
        <v>8221400</v>
      </c>
    </row>
    <row r="386" spans="1:14" ht="15.75" thickBot="1">
      <c r="A386" s="167" t="s">
        <v>3246</v>
      </c>
      <c r="B386" s="168"/>
      <c r="C386" s="6"/>
      <c r="D386" s="6"/>
      <c r="E386" s="6"/>
      <c r="F386" s="18"/>
      <c r="G386" s="18"/>
      <c r="H386" s="6"/>
      <c r="I386" s="6"/>
      <c r="J386" s="6"/>
      <c r="K386" s="6"/>
      <c r="L386" s="6"/>
      <c r="M386" s="18"/>
      <c r="N386" s="18"/>
    </row>
    <row r="387" spans="1:14">
      <c r="A387" s="74" t="s">
        <v>3248</v>
      </c>
      <c r="B387" s="75" t="s">
        <v>3278</v>
      </c>
      <c r="C387" s="76" t="s">
        <v>342</v>
      </c>
      <c r="D387" s="76" t="s">
        <v>343</v>
      </c>
      <c r="E387" s="76">
        <v>30590354798</v>
      </c>
      <c r="F387" s="170">
        <v>1693902.27</v>
      </c>
      <c r="G387" s="170">
        <v>0</v>
      </c>
      <c r="H387" s="76">
        <v>0</v>
      </c>
      <c r="I387" s="76">
        <v>0</v>
      </c>
      <c r="J387" s="76">
        <v>0</v>
      </c>
      <c r="K387" s="76">
        <v>355719.48</v>
      </c>
      <c r="L387" s="76">
        <v>0</v>
      </c>
      <c r="M387" s="170">
        <v>0</v>
      </c>
      <c r="N387" s="170">
        <v>2049621.75</v>
      </c>
    </row>
    <row r="388" spans="1:14">
      <c r="A388" s="74" t="s">
        <v>3248</v>
      </c>
      <c r="B388" s="75" t="s">
        <v>3279</v>
      </c>
      <c r="C388" s="76" t="s">
        <v>347</v>
      </c>
      <c r="D388" s="76" t="s">
        <v>343</v>
      </c>
      <c r="E388" s="76">
        <v>30571766287</v>
      </c>
      <c r="F388" s="170">
        <v>154553.72</v>
      </c>
      <c r="G388" s="170">
        <v>0</v>
      </c>
      <c r="H388" s="76">
        <v>0</v>
      </c>
      <c r="I388" s="76">
        <v>0</v>
      </c>
      <c r="J388" s="76">
        <v>0</v>
      </c>
      <c r="K388" s="76">
        <v>32456.280000000002</v>
      </c>
      <c r="L388" s="76">
        <v>0</v>
      </c>
      <c r="M388" s="170">
        <v>0</v>
      </c>
      <c r="N388" s="170">
        <v>187010</v>
      </c>
    </row>
    <row r="389" spans="1:14">
      <c r="A389" s="74" t="s">
        <v>3280</v>
      </c>
      <c r="B389" s="75" t="s">
        <v>3306</v>
      </c>
      <c r="C389" s="76" t="s">
        <v>1586</v>
      </c>
      <c r="D389" s="76" t="s">
        <v>135</v>
      </c>
      <c r="E389" s="76">
        <v>17399042</v>
      </c>
      <c r="F389" s="170">
        <v>26859.5</v>
      </c>
      <c r="G389" s="170">
        <v>0</v>
      </c>
      <c r="H389" s="76">
        <v>0</v>
      </c>
      <c r="I389" s="76">
        <v>0</v>
      </c>
      <c r="J389" s="76">
        <v>0</v>
      </c>
      <c r="K389" s="76">
        <v>5640.5</v>
      </c>
      <c r="L389" s="76">
        <v>0</v>
      </c>
      <c r="M389" s="170">
        <v>0</v>
      </c>
      <c r="N389" s="170">
        <v>32500</v>
      </c>
    </row>
    <row r="390" spans="1:14">
      <c r="A390" s="74" t="s">
        <v>3280</v>
      </c>
      <c r="B390" s="75" t="s">
        <v>3307</v>
      </c>
      <c r="C390" s="76" t="s">
        <v>498</v>
      </c>
      <c r="D390" s="76" t="s">
        <v>135</v>
      </c>
      <c r="E390" s="76">
        <v>17198648</v>
      </c>
      <c r="F390" s="170">
        <v>19834.71</v>
      </c>
      <c r="G390" s="170">
        <v>0</v>
      </c>
      <c r="H390" s="76">
        <v>0</v>
      </c>
      <c r="I390" s="76">
        <v>0</v>
      </c>
      <c r="J390" s="76">
        <v>0</v>
      </c>
      <c r="K390" s="76">
        <v>4165.29</v>
      </c>
      <c r="L390" s="76">
        <v>0</v>
      </c>
      <c r="M390" s="170">
        <v>0</v>
      </c>
      <c r="N390" s="170">
        <v>24000</v>
      </c>
    </row>
    <row r="391" spans="1:14">
      <c r="A391" s="74" t="s">
        <v>3308</v>
      </c>
      <c r="B391" s="75" t="s">
        <v>3335</v>
      </c>
      <c r="C391" s="76" t="s">
        <v>384</v>
      </c>
      <c r="D391" s="76" t="s">
        <v>135</v>
      </c>
      <c r="E391" s="76">
        <v>8557300</v>
      </c>
      <c r="F391" s="170">
        <v>49586.78</v>
      </c>
      <c r="G391" s="170">
        <v>0</v>
      </c>
      <c r="H391" s="76">
        <v>0</v>
      </c>
      <c r="I391" s="76">
        <v>0</v>
      </c>
      <c r="J391" s="76">
        <v>0</v>
      </c>
      <c r="K391" s="76">
        <v>10413.219999999999</v>
      </c>
      <c r="L391" s="76">
        <v>0</v>
      </c>
      <c r="M391" s="170">
        <v>0</v>
      </c>
      <c r="N391" s="170">
        <v>60000</v>
      </c>
    </row>
    <row r="392" spans="1:14">
      <c r="A392" s="74" t="s">
        <v>3308</v>
      </c>
      <c r="B392" s="75" t="s">
        <v>3336</v>
      </c>
      <c r="C392" s="76" t="s">
        <v>356</v>
      </c>
      <c r="D392" s="76" t="s">
        <v>135</v>
      </c>
      <c r="E392" s="76">
        <v>21645724</v>
      </c>
      <c r="F392" s="170">
        <v>28925.62</v>
      </c>
      <c r="G392" s="170">
        <v>0</v>
      </c>
      <c r="H392" s="76">
        <v>0</v>
      </c>
      <c r="I392" s="76">
        <v>0</v>
      </c>
      <c r="J392" s="76">
        <v>0</v>
      </c>
      <c r="K392" s="76">
        <v>6074.38</v>
      </c>
      <c r="L392" s="76">
        <v>0</v>
      </c>
      <c r="M392" s="170">
        <v>0</v>
      </c>
      <c r="N392" s="170">
        <v>35000</v>
      </c>
    </row>
    <row r="393" spans="1:14">
      <c r="A393" s="74" t="s">
        <v>3308</v>
      </c>
      <c r="B393" s="75" t="s">
        <v>3337</v>
      </c>
      <c r="C393" s="76" t="s">
        <v>354</v>
      </c>
      <c r="D393" s="76" t="s">
        <v>135</v>
      </c>
      <c r="E393" s="76">
        <v>4648296</v>
      </c>
      <c r="F393" s="170">
        <v>20661.16</v>
      </c>
      <c r="G393" s="170">
        <v>0</v>
      </c>
      <c r="H393" s="76">
        <v>0</v>
      </c>
      <c r="I393" s="76">
        <v>0</v>
      </c>
      <c r="J393" s="76">
        <v>0</v>
      </c>
      <c r="K393" s="76">
        <v>4338.84</v>
      </c>
      <c r="L393" s="76">
        <v>0</v>
      </c>
      <c r="M393" s="170">
        <v>0</v>
      </c>
      <c r="N393" s="170">
        <v>25000</v>
      </c>
    </row>
    <row r="394" spans="1:14">
      <c r="A394" s="74" t="s">
        <v>3308</v>
      </c>
      <c r="B394" s="75" t="s">
        <v>3338</v>
      </c>
      <c r="C394" s="76" t="s">
        <v>386</v>
      </c>
      <c r="D394" s="76" t="s">
        <v>343</v>
      </c>
      <c r="E394" s="76">
        <v>30685228501</v>
      </c>
      <c r="F394" s="170">
        <v>70413.23</v>
      </c>
      <c r="G394" s="170">
        <v>0</v>
      </c>
      <c r="H394" s="76">
        <v>0</v>
      </c>
      <c r="I394" s="76">
        <v>0</v>
      </c>
      <c r="J394" s="76">
        <v>0</v>
      </c>
      <c r="K394" s="76">
        <v>14786.77</v>
      </c>
      <c r="L394" s="76">
        <v>0</v>
      </c>
      <c r="M394" s="170">
        <v>0</v>
      </c>
      <c r="N394" s="170">
        <v>85200</v>
      </c>
    </row>
    <row r="395" spans="1:14">
      <c r="A395" s="74" t="s">
        <v>3308</v>
      </c>
      <c r="B395" s="75" t="s">
        <v>3339</v>
      </c>
      <c r="C395" s="76" t="s">
        <v>345</v>
      </c>
      <c r="D395" s="76" t="s">
        <v>343</v>
      </c>
      <c r="E395" s="76">
        <v>30658137642</v>
      </c>
      <c r="F395" s="170">
        <v>471760.33</v>
      </c>
      <c r="G395" s="170">
        <v>0</v>
      </c>
      <c r="H395" s="76">
        <v>0</v>
      </c>
      <c r="I395" s="76">
        <v>0</v>
      </c>
      <c r="J395" s="76">
        <v>0</v>
      </c>
      <c r="K395" s="76">
        <v>99069.67</v>
      </c>
      <c r="L395" s="76">
        <v>0</v>
      </c>
      <c r="M395" s="170">
        <v>0</v>
      </c>
      <c r="N395" s="170">
        <v>570830</v>
      </c>
    </row>
    <row r="396" spans="1:14">
      <c r="A396" s="74" t="s">
        <v>3340</v>
      </c>
      <c r="B396" s="75" t="s">
        <v>3375</v>
      </c>
      <c r="C396" s="76" t="s">
        <v>1050</v>
      </c>
      <c r="D396" s="76" t="s">
        <v>135</v>
      </c>
      <c r="E396" s="76">
        <v>22001100</v>
      </c>
      <c r="F396" s="170">
        <v>44628.1</v>
      </c>
      <c r="G396" s="170">
        <v>0</v>
      </c>
      <c r="H396" s="76">
        <v>0</v>
      </c>
      <c r="I396" s="76">
        <v>0</v>
      </c>
      <c r="J396" s="76">
        <v>0</v>
      </c>
      <c r="K396" s="76">
        <v>9371.9</v>
      </c>
      <c r="L396" s="76">
        <v>0</v>
      </c>
      <c r="M396" s="170">
        <v>0</v>
      </c>
      <c r="N396" s="170">
        <v>54000</v>
      </c>
    </row>
    <row r="397" spans="1:14">
      <c r="A397" s="74" t="s">
        <v>3376</v>
      </c>
      <c r="B397" s="75" t="s">
        <v>3405</v>
      </c>
      <c r="C397" s="76" t="s">
        <v>3201</v>
      </c>
      <c r="D397" s="76" t="s">
        <v>135</v>
      </c>
      <c r="E397" s="76">
        <v>25315045</v>
      </c>
      <c r="F397" s="170">
        <v>10661.16</v>
      </c>
      <c r="G397" s="170">
        <v>0</v>
      </c>
      <c r="H397" s="76">
        <v>0</v>
      </c>
      <c r="I397" s="76">
        <v>0</v>
      </c>
      <c r="J397" s="76">
        <v>0</v>
      </c>
      <c r="K397" s="76">
        <v>2238.84</v>
      </c>
      <c r="L397" s="76">
        <v>0</v>
      </c>
      <c r="M397" s="170">
        <v>0</v>
      </c>
      <c r="N397" s="170">
        <v>12900</v>
      </c>
    </row>
    <row r="398" spans="1:14">
      <c r="A398" s="74" t="s">
        <v>3435</v>
      </c>
      <c r="B398" s="75" t="s">
        <v>3465</v>
      </c>
      <c r="C398" s="76" t="s">
        <v>386</v>
      </c>
      <c r="D398" s="76" t="s">
        <v>343</v>
      </c>
      <c r="E398" s="76">
        <v>30685228501</v>
      </c>
      <c r="F398" s="170">
        <v>13057.85</v>
      </c>
      <c r="G398" s="170">
        <v>0</v>
      </c>
      <c r="H398" s="76">
        <v>0</v>
      </c>
      <c r="I398" s="76">
        <v>0</v>
      </c>
      <c r="J398" s="76">
        <v>0</v>
      </c>
      <c r="K398" s="76">
        <v>2742.15</v>
      </c>
      <c r="L398" s="76">
        <v>0</v>
      </c>
      <c r="M398" s="170">
        <v>0</v>
      </c>
      <c r="N398" s="170">
        <v>15800</v>
      </c>
    </row>
    <row r="399" spans="1:14">
      <c r="A399" s="74" t="s">
        <v>3435</v>
      </c>
      <c r="B399" s="75" t="s">
        <v>3466</v>
      </c>
      <c r="C399" s="76" t="s">
        <v>342</v>
      </c>
      <c r="D399" s="76" t="s">
        <v>343</v>
      </c>
      <c r="E399" s="76">
        <v>30590354798</v>
      </c>
      <c r="F399" s="170">
        <v>384297.52</v>
      </c>
      <c r="G399" s="170">
        <v>0</v>
      </c>
      <c r="H399" s="76">
        <v>0</v>
      </c>
      <c r="I399" s="76">
        <v>0</v>
      </c>
      <c r="J399" s="76">
        <v>0</v>
      </c>
      <c r="K399" s="76">
        <v>80702.48</v>
      </c>
      <c r="L399" s="76">
        <v>0</v>
      </c>
      <c r="M399" s="170">
        <v>0</v>
      </c>
      <c r="N399" s="170">
        <v>465000</v>
      </c>
    </row>
    <row r="400" spans="1:14">
      <c r="A400" s="74" t="s">
        <v>3435</v>
      </c>
      <c r="B400" s="75" t="s">
        <v>3467</v>
      </c>
      <c r="C400" s="76" t="s">
        <v>342</v>
      </c>
      <c r="D400" s="76" t="s">
        <v>343</v>
      </c>
      <c r="E400" s="76">
        <v>30590354798</v>
      </c>
      <c r="F400" s="170">
        <v>249586.78</v>
      </c>
      <c r="G400" s="170">
        <v>0</v>
      </c>
      <c r="H400" s="76">
        <v>0</v>
      </c>
      <c r="I400" s="76">
        <v>0</v>
      </c>
      <c r="J400" s="76">
        <v>0</v>
      </c>
      <c r="K400" s="76">
        <v>52413.22</v>
      </c>
      <c r="L400" s="76">
        <v>0</v>
      </c>
      <c r="M400" s="170">
        <v>0</v>
      </c>
      <c r="N400" s="170">
        <v>302000</v>
      </c>
    </row>
    <row r="401" spans="1:14">
      <c r="A401" s="74" t="s">
        <v>3435</v>
      </c>
      <c r="B401" s="75" t="s">
        <v>3468</v>
      </c>
      <c r="C401" s="76" t="s">
        <v>342</v>
      </c>
      <c r="D401" s="76" t="s">
        <v>343</v>
      </c>
      <c r="E401" s="76">
        <v>30590354798</v>
      </c>
      <c r="F401" s="170">
        <v>76099.17</v>
      </c>
      <c r="G401" s="170">
        <v>0</v>
      </c>
      <c r="H401" s="76">
        <v>0</v>
      </c>
      <c r="I401" s="76">
        <v>0</v>
      </c>
      <c r="J401" s="76">
        <v>0</v>
      </c>
      <c r="K401" s="76">
        <v>15980.83</v>
      </c>
      <c r="L401" s="76">
        <v>0</v>
      </c>
      <c r="M401" s="170">
        <v>0</v>
      </c>
      <c r="N401" s="170">
        <v>92080</v>
      </c>
    </row>
    <row r="402" spans="1:14">
      <c r="A402" s="74" t="s">
        <v>3435</v>
      </c>
      <c r="B402" s="75" t="s">
        <v>3469</v>
      </c>
      <c r="C402" s="76" t="s">
        <v>342</v>
      </c>
      <c r="D402" s="76" t="s">
        <v>343</v>
      </c>
      <c r="E402" s="76">
        <v>30590354798</v>
      </c>
      <c r="F402" s="170">
        <v>23471.07</v>
      </c>
      <c r="G402" s="170">
        <v>0</v>
      </c>
      <c r="H402" s="76">
        <v>0</v>
      </c>
      <c r="I402" s="76">
        <v>0</v>
      </c>
      <c r="J402" s="76">
        <v>0</v>
      </c>
      <c r="K402" s="76">
        <v>4928.93</v>
      </c>
      <c r="L402" s="76">
        <v>0</v>
      </c>
      <c r="M402" s="170">
        <v>0</v>
      </c>
      <c r="N402" s="170">
        <v>28400</v>
      </c>
    </row>
    <row r="403" spans="1:14">
      <c r="A403" s="74" t="s">
        <v>3470</v>
      </c>
      <c r="B403" s="75" t="s">
        <v>3490</v>
      </c>
      <c r="C403" s="76" t="s">
        <v>371</v>
      </c>
      <c r="D403" s="76" t="s">
        <v>135</v>
      </c>
      <c r="E403" s="76">
        <v>705467</v>
      </c>
      <c r="F403" s="170">
        <v>15289.26</v>
      </c>
      <c r="G403" s="170">
        <v>0</v>
      </c>
      <c r="H403" s="76">
        <v>0</v>
      </c>
      <c r="I403" s="76">
        <v>0</v>
      </c>
      <c r="J403" s="76">
        <v>0</v>
      </c>
      <c r="K403" s="76">
        <v>3210.74</v>
      </c>
      <c r="L403" s="76">
        <v>0</v>
      </c>
      <c r="M403" s="170">
        <v>0</v>
      </c>
      <c r="N403" s="170">
        <v>18500</v>
      </c>
    </row>
    <row r="404" spans="1:14">
      <c r="A404" s="74" t="s">
        <v>3470</v>
      </c>
      <c r="B404" s="75" t="s">
        <v>3491</v>
      </c>
      <c r="C404" s="76" t="s">
        <v>362</v>
      </c>
      <c r="D404" s="76" t="s">
        <v>135</v>
      </c>
      <c r="E404" s="76">
        <v>21363216</v>
      </c>
      <c r="F404" s="170">
        <v>37190.080000000002</v>
      </c>
      <c r="G404" s="170">
        <v>0</v>
      </c>
      <c r="H404" s="76">
        <v>0</v>
      </c>
      <c r="I404" s="76">
        <v>0</v>
      </c>
      <c r="J404" s="76">
        <v>0</v>
      </c>
      <c r="K404" s="76">
        <v>7809.92</v>
      </c>
      <c r="L404" s="76">
        <v>0</v>
      </c>
      <c r="M404" s="170">
        <v>0</v>
      </c>
      <c r="N404" s="170">
        <v>45000</v>
      </c>
    </row>
    <row r="405" spans="1:14">
      <c r="A405" s="74" t="s">
        <v>3470</v>
      </c>
      <c r="B405" s="75" t="s">
        <v>3492</v>
      </c>
      <c r="C405" s="76" t="s">
        <v>381</v>
      </c>
      <c r="D405" s="76" t="s">
        <v>135</v>
      </c>
      <c r="E405" s="76">
        <v>12791306</v>
      </c>
      <c r="F405" s="170">
        <v>19834.71</v>
      </c>
      <c r="G405" s="170">
        <v>0</v>
      </c>
      <c r="H405" s="76">
        <v>0</v>
      </c>
      <c r="I405" s="76">
        <v>0</v>
      </c>
      <c r="J405" s="76">
        <v>0</v>
      </c>
      <c r="K405" s="76">
        <v>4165.29</v>
      </c>
      <c r="L405" s="76">
        <v>0</v>
      </c>
      <c r="M405" s="170">
        <v>0</v>
      </c>
      <c r="N405" s="170">
        <v>24000</v>
      </c>
    </row>
    <row r="406" spans="1:14">
      <c r="A406" s="74" t="s">
        <v>3493</v>
      </c>
      <c r="B406" s="75" t="s">
        <v>3507</v>
      </c>
      <c r="C406" s="76" t="s">
        <v>396</v>
      </c>
      <c r="D406" s="76" t="s">
        <v>135</v>
      </c>
      <c r="E406" s="76">
        <v>17275405</v>
      </c>
      <c r="F406" s="170">
        <v>28925.62</v>
      </c>
      <c r="G406" s="170">
        <v>0</v>
      </c>
      <c r="H406" s="76">
        <v>0</v>
      </c>
      <c r="I406" s="76">
        <v>0</v>
      </c>
      <c r="J406" s="76">
        <v>0</v>
      </c>
      <c r="K406" s="76">
        <v>6074.38</v>
      </c>
      <c r="L406" s="76">
        <v>0</v>
      </c>
      <c r="M406" s="170">
        <v>0</v>
      </c>
      <c r="N406" s="170">
        <v>35000</v>
      </c>
    </row>
    <row r="407" spans="1:14">
      <c r="A407" s="74" t="s">
        <v>3493</v>
      </c>
      <c r="B407" s="75" t="s">
        <v>3508</v>
      </c>
      <c r="C407" s="76" t="s">
        <v>417</v>
      </c>
      <c r="D407" s="76" t="s">
        <v>135</v>
      </c>
      <c r="E407" s="76">
        <v>20008996</v>
      </c>
      <c r="F407" s="170">
        <v>19834.71</v>
      </c>
      <c r="G407" s="170">
        <v>0</v>
      </c>
      <c r="H407" s="76">
        <v>0</v>
      </c>
      <c r="I407" s="76">
        <v>0</v>
      </c>
      <c r="J407" s="76">
        <v>0</v>
      </c>
      <c r="K407" s="76">
        <v>4165.29</v>
      </c>
      <c r="L407" s="76">
        <v>0</v>
      </c>
      <c r="M407" s="170">
        <v>0</v>
      </c>
      <c r="N407" s="170">
        <v>24000</v>
      </c>
    </row>
    <row r="408" spans="1:14">
      <c r="A408" s="74" t="s">
        <v>3493</v>
      </c>
      <c r="B408" s="75" t="s">
        <v>3509</v>
      </c>
      <c r="C408" s="76" t="s">
        <v>415</v>
      </c>
      <c r="D408" s="76" t="s">
        <v>135</v>
      </c>
      <c r="E408" s="76">
        <v>3292785</v>
      </c>
      <c r="F408" s="170">
        <v>6123.97</v>
      </c>
      <c r="G408" s="170">
        <v>0</v>
      </c>
      <c r="H408" s="76">
        <v>0</v>
      </c>
      <c r="I408" s="76">
        <v>0</v>
      </c>
      <c r="J408" s="76">
        <v>0</v>
      </c>
      <c r="K408" s="76">
        <v>1286.03</v>
      </c>
      <c r="L408" s="76">
        <v>0</v>
      </c>
      <c r="M408" s="170">
        <v>0</v>
      </c>
      <c r="N408" s="170">
        <v>7410</v>
      </c>
    </row>
    <row r="409" spans="1:14">
      <c r="A409" s="74" t="s">
        <v>3493</v>
      </c>
      <c r="B409" s="75" t="s">
        <v>3510</v>
      </c>
      <c r="C409" s="76" t="s">
        <v>2862</v>
      </c>
      <c r="D409" s="76" t="s">
        <v>135</v>
      </c>
      <c r="E409" s="76">
        <v>12928506</v>
      </c>
      <c r="F409" s="170">
        <v>17355.37</v>
      </c>
      <c r="G409" s="170">
        <v>0</v>
      </c>
      <c r="H409" s="76">
        <v>0</v>
      </c>
      <c r="I409" s="76">
        <v>0</v>
      </c>
      <c r="J409" s="76">
        <v>0</v>
      </c>
      <c r="K409" s="76">
        <v>3644.63</v>
      </c>
      <c r="L409" s="76">
        <v>0</v>
      </c>
      <c r="M409" s="170">
        <v>0</v>
      </c>
      <c r="N409" s="170">
        <v>21000</v>
      </c>
    </row>
    <row r="410" spans="1:14">
      <c r="A410" s="74" t="s">
        <v>3493</v>
      </c>
      <c r="B410" s="75" t="s">
        <v>3511</v>
      </c>
      <c r="C410" s="76" t="s">
        <v>342</v>
      </c>
      <c r="D410" s="76" t="s">
        <v>343</v>
      </c>
      <c r="E410" s="76">
        <v>30590354798</v>
      </c>
      <c r="F410" s="170">
        <v>15537.19</v>
      </c>
      <c r="G410" s="170">
        <v>0</v>
      </c>
      <c r="H410" s="76">
        <v>0</v>
      </c>
      <c r="I410" s="76">
        <v>0</v>
      </c>
      <c r="J410" s="76">
        <v>0</v>
      </c>
      <c r="K410" s="76">
        <v>3262.81</v>
      </c>
      <c r="L410" s="76">
        <v>0</v>
      </c>
      <c r="M410" s="170">
        <v>0</v>
      </c>
      <c r="N410" s="170">
        <v>18800</v>
      </c>
    </row>
    <row r="411" spans="1:14">
      <c r="A411" s="74" t="s">
        <v>3493</v>
      </c>
      <c r="B411" s="75" t="s">
        <v>3512</v>
      </c>
      <c r="C411" s="76" t="s">
        <v>386</v>
      </c>
      <c r="D411" s="76" t="s">
        <v>343</v>
      </c>
      <c r="E411" s="76">
        <v>30685228501</v>
      </c>
      <c r="F411" s="170">
        <v>19008.260000000002</v>
      </c>
      <c r="G411" s="170">
        <v>0</v>
      </c>
      <c r="H411" s="76">
        <v>0</v>
      </c>
      <c r="I411" s="76">
        <v>0</v>
      </c>
      <c r="J411" s="76">
        <v>0</v>
      </c>
      <c r="K411" s="76">
        <v>3991.74</v>
      </c>
      <c r="L411" s="76">
        <v>0</v>
      </c>
      <c r="M411" s="170">
        <v>0</v>
      </c>
      <c r="N411" s="170">
        <v>23000</v>
      </c>
    </row>
    <row r="412" spans="1:14">
      <c r="A412" s="74" t="s">
        <v>3493</v>
      </c>
      <c r="B412" s="75" t="s">
        <v>3513</v>
      </c>
      <c r="C412" s="76" t="s">
        <v>3514</v>
      </c>
      <c r="D412" s="76" t="s">
        <v>135</v>
      </c>
      <c r="E412" s="76">
        <v>13531426</v>
      </c>
      <c r="F412" s="170">
        <v>6611.57</v>
      </c>
      <c r="G412" s="170">
        <v>0</v>
      </c>
      <c r="H412" s="76">
        <v>0</v>
      </c>
      <c r="I412" s="76">
        <v>0</v>
      </c>
      <c r="J412" s="76">
        <v>0</v>
      </c>
      <c r="K412" s="76">
        <v>1388.43</v>
      </c>
      <c r="L412" s="76">
        <v>0</v>
      </c>
      <c r="M412" s="170">
        <v>0</v>
      </c>
      <c r="N412" s="170">
        <v>8000</v>
      </c>
    </row>
    <row r="413" spans="1:14">
      <c r="A413" s="74" t="s">
        <v>3515</v>
      </c>
      <c r="B413" s="75" t="s">
        <v>3525</v>
      </c>
      <c r="C413" s="76" t="s">
        <v>388</v>
      </c>
      <c r="D413" s="76" t="s">
        <v>135</v>
      </c>
      <c r="E413" s="76">
        <v>14123802</v>
      </c>
      <c r="F413" s="170">
        <v>35041.32</v>
      </c>
      <c r="G413" s="170">
        <v>0</v>
      </c>
      <c r="H413" s="76">
        <v>0</v>
      </c>
      <c r="I413" s="76">
        <v>0</v>
      </c>
      <c r="J413" s="76">
        <v>0</v>
      </c>
      <c r="K413" s="76">
        <v>7358.68</v>
      </c>
      <c r="L413" s="76">
        <v>0</v>
      </c>
      <c r="M413" s="170">
        <v>0</v>
      </c>
      <c r="N413" s="170">
        <v>42400</v>
      </c>
    </row>
    <row r="414" spans="1:14">
      <c r="A414" s="74" t="s">
        <v>3515</v>
      </c>
      <c r="B414" s="75" t="s">
        <v>3526</v>
      </c>
      <c r="C414" s="76" t="s">
        <v>365</v>
      </c>
      <c r="D414" s="76" t="s">
        <v>135</v>
      </c>
      <c r="E414" s="76">
        <v>14547747</v>
      </c>
      <c r="F414" s="170">
        <v>16528.93</v>
      </c>
      <c r="G414" s="170">
        <v>0</v>
      </c>
      <c r="H414" s="76">
        <v>0</v>
      </c>
      <c r="I414" s="76">
        <v>0</v>
      </c>
      <c r="J414" s="76">
        <v>0</v>
      </c>
      <c r="K414" s="76">
        <v>3471.07</v>
      </c>
      <c r="L414" s="76">
        <v>0</v>
      </c>
      <c r="M414" s="170">
        <v>0</v>
      </c>
      <c r="N414" s="170">
        <v>20000</v>
      </c>
    </row>
    <row r="415" spans="1:14">
      <c r="A415" s="74" t="s">
        <v>3515</v>
      </c>
      <c r="B415" s="75" t="s">
        <v>3527</v>
      </c>
      <c r="C415" s="76" t="s">
        <v>377</v>
      </c>
      <c r="D415" s="76" t="s">
        <v>135</v>
      </c>
      <c r="E415" s="76">
        <v>10138957</v>
      </c>
      <c r="F415" s="170">
        <v>15289.26</v>
      </c>
      <c r="G415" s="170">
        <v>0</v>
      </c>
      <c r="H415" s="76">
        <v>0</v>
      </c>
      <c r="I415" s="76">
        <v>0</v>
      </c>
      <c r="J415" s="76">
        <v>0</v>
      </c>
      <c r="K415" s="76">
        <v>3210.74</v>
      </c>
      <c r="L415" s="76">
        <v>0</v>
      </c>
      <c r="M415" s="170">
        <v>0</v>
      </c>
      <c r="N415" s="170">
        <v>18500</v>
      </c>
    </row>
    <row r="416" spans="1:14">
      <c r="A416" s="74" t="s">
        <v>3515</v>
      </c>
      <c r="B416" s="75" t="s">
        <v>3528</v>
      </c>
      <c r="C416" s="76" t="s">
        <v>426</v>
      </c>
      <c r="D416" s="76" t="s">
        <v>135</v>
      </c>
      <c r="E416" s="76">
        <v>24699538</v>
      </c>
      <c r="F416" s="170">
        <v>19834.71</v>
      </c>
      <c r="G416" s="170">
        <v>0</v>
      </c>
      <c r="H416" s="76">
        <v>0</v>
      </c>
      <c r="I416" s="76">
        <v>0</v>
      </c>
      <c r="J416" s="76">
        <v>0</v>
      </c>
      <c r="K416" s="76">
        <v>4165.29</v>
      </c>
      <c r="L416" s="76">
        <v>0</v>
      </c>
      <c r="M416" s="170">
        <v>0</v>
      </c>
      <c r="N416" s="170">
        <v>24000</v>
      </c>
    </row>
    <row r="417" spans="1:14">
      <c r="A417" s="74" t="s">
        <v>3515</v>
      </c>
      <c r="B417" s="75" t="s">
        <v>3529</v>
      </c>
      <c r="C417" s="76" t="s">
        <v>390</v>
      </c>
      <c r="D417" s="76" t="s">
        <v>135</v>
      </c>
      <c r="E417" s="76">
        <v>29654556</v>
      </c>
      <c r="F417" s="170">
        <v>71074.38</v>
      </c>
      <c r="G417" s="170">
        <v>0</v>
      </c>
      <c r="H417" s="76">
        <v>0</v>
      </c>
      <c r="I417" s="76">
        <v>0</v>
      </c>
      <c r="J417" s="76">
        <v>0</v>
      </c>
      <c r="K417" s="76">
        <v>14925.62</v>
      </c>
      <c r="L417" s="76">
        <v>0</v>
      </c>
      <c r="M417" s="170">
        <v>0</v>
      </c>
      <c r="N417" s="170">
        <v>86000</v>
      </c>
    </row>
    <row r="418" spans="1:14">
      <c r="A418" s="74" t="s">
        <v>3547</v>
      </c>
      <c r="B418" s="75" t="s">
        <v>3579</v>
      </c>
      <c r="C418" s="76" t="s">
        <v>424</v>
      </c>
      <c r="D418" s="76" t="s">
        <v>135</v>
      </c>
      <c r="E418" s="76">
        <v>12394145</v>
      </c>
      <c r="F418" s="170">
        <v>14876.03</v>
      </c>
      <c r="G418" s="170">
        <v>0</v>
      </c>
      <c r="H418" s="76">
        <v>0</v>
      </c>
      <c r="I418" s="76">
        <v>0</v>
      </c>
      <c r="J418" s="76">
        <v>0</v>
      </c>
      <c r="K418" s="76">
        <v>3123.97</v>
      </c>
      <c r="L418" s="76">
        <v>0</v>
      </c>
      <c r="M418" s="170">
        <v>0</v>
      </c>
      <c r="N418" s="170">
        <v>18000</v>
      </c>
    </row>
    <row r="419" spans="1:14">
      <c r="A419" s="74" t="s">
        <v>3547</v>
      </c>
      <c r="B419" s="75" t="s">
        <v>3580</v>
      </c>
      <c r="C419" s="76" t="s">
        <v>434</v>
      </c>
      <c r="D419" s="76" t="s">
        <v>135</v>
      </c>
      <c r="E419" s="76">
        <v>902191</v>
      </c>
      <c r="F419" s="170">
        <v>15289.26</v>
      </c>
      <c r="G419" s="170">
        <v>0</v>
      </c>
      <c r="H419" s="76">
        <v>0</v>
      </c>
      <c r="I419" s="76">
        <v>0</v>
      </c>
      <c r="J419" s="76">
        <v>0</v>
      </c>
      <c r="K419" s="76">
        <v>3210.74</v>
      </c>
      <c r="L419" s="76">
        <v>0</v>
      </c>
      <c r="M419" s="170">
        <v>0</v>
      </c>
      <c r="N419" s="170">
        <v>18500</v>
      </c>
    </row>
    <row r="420" spans="1:14">
      <c r="A420" s="74" t="s">
        <v>3547</v>
      </c>
      <c r="B420" s="75" t="s">
        <v>3581</v>
      </c>
      <c r="C420" s="76" t="s">
        <v>3582</v>
      </c>
      <c r="D420" s="76" t="s">
        <v>135</v>
      </c>
      <c r="E420" s="76">
        <v>31877525</v>
      </c>
      <c r="F420" s="170">
        <v>14669.42</v>
      </c>
      <c r="G420" s="170">
        <v>0</v>
      </c>
      <c r="H420" s="76">
        <v>0</v>
      </c>
      <c r="I420" s="76">
        <v>0</v>
      </c>
      <c r="J420" s="76">
        <v>0</v>
      </c>
      <c r="K420" s="76">
        <v>3080.58</v>
      </c>
      <c r="L420" s="76">
        <v>0</v>
      </c>
      <c r="M420" s="170">
        <v>0</v>
      </c>
      <c r="N420" s="170">
        <v>17750</v>
      </c>
    </row>
    <row r="421" spans="1:14">
      <c r="A421" s="74" t="s">
        <v>3583</v>
      </c>
      <c r="B421" s="75" t="s">
        <v>3603</v>
      </c>
      <c r="C421" s="76" t="s">
        <v>384</v>
      </c>
      <c r="D421" s="76" t="s">
        <v>135</v>
      </c>
      <c r="E421" s="76">
        <v>8557300</v>
      </c>
      <c r="F421" s="170">
        <v>47107.44</v>
      </c>
      <c r="G421" s="170">
        <v>0</v>
      </c>
      <c r="H421" s="76">
        <v>0</v>
      </c>
      <c r="I421" s="76">
        <v>0</v>
      </c>
      <c r="J421" s="76">
        <v>0</v>
      </c>
      <c r="K421" s="76">
        <v>9892.56</v>
      </c>
      <c r="L421" s="76">
        <v>0</v>
      </c>
      <c r="M421" s="170">
        <v>0</v>
      </c>
      <c r="N421" s="170">
        <v>57000</v>
      </c>
    </row>
    <row r="422" spans="1:14">
      <c r="A422" s="74" t="s">
        <v>3583</v>
      </c>
      <c r="B422" s="75" t="s">
        <v>3604</v>
      </c>
      <c r="C422" s="76" t="s">
        <v>3605</v>
      </c>
      <c r="D422" s="76" t="s">
        <v>135</v>
      </c>
      <c r="E422" s="76">
        <v>13236284</v>
      </c>
      <c r="F422" s="170">
        <v>19834.71</v>
      </c>
      <c r="G422" s="170">
        <v>0</v>
      </c>
      <c r="H422" s="76">
        <v>0</v>
      </c>
      <c r="I422" s="76">
        <v>0</v>
      </c>
      <c r="J422" s="76">
        <v>0</v>
      </c>
      <c r="K422" s="76">
        <v>4165.29</v>
      </c>
      <c r="L422" s="76">
        <v>0</v>
      </c>
      <c r="M422" s="170">
        <v>0</v>
      </c>
      <c r="N422" s="170">
        <v>24000</v>
      </c>
    </row>
    <row r="423" spans="1:14">
      <c r="A423" s="74" t="s">
        <v>3606</v>
      </c>
      <c r="B423" s="75" t="s">
        <v>3621</v>
      </c>
      <c r="C423" s="76" t="s">
        <v>1751</v>
      </c>
      <c r="D423" s="76" t="s">
        <v>135</v>
      </c>
      <c r="E423" s="76">
        <v>25795206</v>
      </c>
      <c r="F423" s="170">
        <v>22314.05</v>
      </c>
      <c r="G423" s="170">
        <v>0</v>
      </c>
      <c r="H423" s="76">
        <v>0</v>
      </c>
      <c r="I423" s="76">
        <v>0</v>
      </c>
      <c r="J423" s="76">
        <v>0</v>
      </c>
      <c r="K423" s="76">
        <v>4685.95</v>
      </c>
      <c r="L423" s="76">
        <v>0</v>
      </c>
      <c r="M423" s="170">
        <v>0</v>
      </c>
      <c r="N423" s="170">
        <v>27000</v>
      </c>
    </row>
    <row r="424" spans="1:14">
      <c r="A424" s="74" t="s">
        <v>3622</v>
      </c>
      <c r="B424" s="75" t="s">
        <v>3639</v>
      </c>
      <c r="C424" s="76" t="s">
        <v>445</v>
      </c>
      <c r="D424" s="76" t="s">
        <v>135</v>
      </c>
      <c r="E424" s="76">
        <v>25864351</v>
      </c>
      <c r="F424" s="170">
        <v>19834.71</v>
      </c>
      <c r="G424" s="170">
        <v>0</v>
      </c>
      <c r="H424" s="76">
        <v>0</v>
      </c>
      <c r="I424" s="76">
        <v>0</v>
      </c>
      <c r="J424" s="76">
        <v>0</v>
      </c>
      <c r="K424" s="76">
        <v>4165.29</v>
      </c>
      <c r="L424" s="76">
        <v>0</v>
      </c>
      <c r="M424" s="170">
        <v>0</v>
      </c>
      <c r="N424" s="170">
        <v>24000</v>
      </c>
    </row>
    <row r="425" spans="1:14">
      <c r="A425" s="74" t="s">
        <v>3622</v>
      </c>
      <c r="B425" s="75" t="s">
        <v>3640</v>
      </c>
      <c r="C425" s="76" t="s">
        <v>1107</v>
      </c>
      <c r="D425" s="76" t="s">
        <v>135</v>
      </c>
      <c r="E425" s="76">
        <v>22040665</v>
      </c>
      <c r="F425" s="170">
        <v>44628.1</v>
      </c>
      <c r="G425" s="170">
        <v>0</v>
      </c>
      <c r="H425" s="76">
        <v>0</v>
      </c>
      <c r="I425" s="76">
        <v>0</v>
      </c>
      <c r="J425" s="76">
        <v>0</v>
      </c>
      <c r="K425" s="76">
        <v>9371.9</v>
      </c>
      <c r="L425" s="76">
        <v>0</v>
      </c>
      <c r="M425" s="170">
        <v>0</v>
      </c>
      <c r="N425" s="170">
        <v>54000</v>
      </c>
    </row>
    <row r="426" spans="1:14">
      <c r="A426" s="74" t="s">
        <v>3622</v>
      </c>
      <c r="B426" s="75" t="s">
        <v>3641</v>
      </c>
      <c r="C426" s="76" t="s">
        <v>777</v>
      </c>
      <c r="D426" s="76" t="s">
        <v>135</v>
      </c>
      <c r="E426" s="76">
        <v>16994318</v>
      </c>
      <c r="F426" s="170">
        <v>14876.03</v>
      </c>
      <c r="G426" s="170">
        <v>0</v>
      </c>
      <c r="H426" s="76">
        <v>0</v>
      </c>
      <c r="I426" s="76">
        <v>0</v>
      </c>
      <c r="J426" s="76">
        <v>0</v>
      </c>
      <c r="K426" s="76">
        <v>3123.97</v>
      </c>
      <c r="L426" s="76">
        <v>0</v>
      </c>
      <c r="M426" s="170">
        <v>0</v>
      </c>
      <c r="N426" s="170">
        <v>18000</v>
      </c>
    </row>
    <row r="427" spans="1:14">
      <c r="A427" s="74" t="s">
        <v>3642</v>
      </c>
      <c r="B427" s="75" t="s">
        <v>3654</v>
      </c>
      <c r="C427" s="76" t="s">
        <v>1586</v>
      </c>
      <c r="D427" s="76" t="s">
        <v>135</v>
      </c>
      <c r="E427" s="76">
        <v>17399042</v>
      </c>
      <c r="F427" s="170">
        <v>13429.75</v>
      </c>
      <c r="G427" s="170">
        <v>0</v>
      </c>
      <c r="H427" s="76">
        <v>0</v>
      </c>
      <c r="I427" s="76">
        <v>0</v>
      </c>
      <c r="J427" s="76">
        <v>0</v>
      </c>
      <c r="K427" s="76">
        <v>2820.25</v>
      </c>
      <c r="L427" s="76">
        <v>0</v>
      </c>
      <c r="M427" s="170">
        <v>0</v>
      </c>
      <c r="N427" s="170">
        <v>16250</v>
      </c>
    </row>
    <row r="428" spans="1:14">
      <c r="A428" s="74" t="s">
        <v>3642</v>
      </c>
      <c r="B428" s="75" t="s">
        <v>3655</v>
      </c>
      <c r="C428" s="76" t="s">
        <v>1586</v>
      </c>
      <c r="D428" s="76" t="s">
        <v>135</v>
      </c>
      <c r="E428" s="76">
        <v>17399042</v>
      </c>
      <c r="F428" s="170">
        <v>33057.85</v>
      </c>
      <c r="G428" s="170">
        <v>0</v>
      </c>
      <c r="H428" s="76">
        <v>0</v>
      </c>
      <c r="I428" s="76">
        <v>0</v>
      </c>
      <c r="J428" s="76">
        <v>0</v>
      </c>
      <c r="K428" s="76">
        <v>6942.15</v>
      </c>
      <c r="L428" s="76">
        <v>0</v>
      </c>
      <c r="M428" s="170">
        <v>0</v>
      </c>
      <c r="N428" s="170">
        <v>40000</v>
      </c>
    </row>
    <row r="429" spans="1:14">
      <c r="A429" s="74" t="s">
        <v>3642</v>
      </c>
      <c r="B429" s="75" t="s">
        <v>3656</v>
      </c>
      <c r="C429" s="76" t="s">
        <v>342</v>
      </c>
      <c r="D429" s="76" t="s">
        <v>343</v>
      </c>
      <c r="E429" s="76">
        <v>30590354798</v>
      </c>
      <c r="F429" s="170">
        <v>534710.74</v>
      </c>
      <c r="G429" s="170">
        <v>0</v>
      </c>
      <c r="H429" s="76">
        <v>0</v>
      </c>
      <c r="I429" s="76">
        <v>0</v>
      </c>
      <c r="J429" s="76">
        <v>0</v>
      </c>
      <c r="K429" s="76">
        <v>112289.26</v>
      </c>
      <c r="L429" s="76">
        <v>0</v>
      </c>
      <c r="M429" s="170">
        <v>0</v>
      </c>
      <c r="N429" s="170">
        <v>647000</v>
      </c>
    </row>
    <row r="430" spans="1:14" hidden="1">
      <c r="A430" s="74" t="s">
        <v>3657</v>
      </c>
      <c r="B430" s="75" t="s">
        <v>3670</v>
      </c>
      <c r="C430" s="76" t="s">
        <v>134</v>
      </c>
      <c r="D430" s="76" t="s">
        <v>135</v>
      </c>
      <c r="E430" s="76" t="s">
        <v>136</v>
      </c>
      <c r="F430" s="170">
        <v>7851.24</v>
      </c>
      <c r="G430" s="170">
        <v>0</v>
      </c>
      <c r="H430" s="76">
        <v>0</v>
      </c>
      <c r="I430" s="76">
        <v>0</v>
      </c>
      <c r="J430" s="76">
        <v>0</v>
      </c>
      <c r="K430" s="76">
        <v>1648.76</v>
      </c>
      <c r="L430" s="76">
        <v>0</v>
      </c>
      <c r="M430" s="170">
        <v>0</v>
      </c>
      <c r="N430" s="170">
        <v>9500</v>
      </c>
    </row>
    <row r="431" spans="1:14">
      <c r="A431" s="74" t="s">
        <v>3671</v>
      </c>
      <c r="B431" s="75" t="s">
        <v>3691</v>
      </c>
      <c r="C431" s="76" t="s">
        <v>455</v>
      </c>
      <c r="D431" s="76" t="s">
        <v>135</v>
      </c>
      <c r="E431" s="76">
        <v>17814995</v>
      </c>
      <c r="F431" s="170">
        <v>17355.37</v>
      </c>
      <c r="G431" s="170">
        <v>0</v>
      </c>
      <c r="H431" s="76">
        <v>0</v>
      </c>
      <c r="I431" s="76">
        <v>0</v>
      </c>
      <c r="J431" s="76">
        <v>0</v>
      </c>
      <c r="K431" s="76">
        <v>3644.63</v>
      </c>
      <c r="L431" s="76">
        <v>0</v>
      </c>
      <c r="M431" s="170">
        <v>0</v>
      </c>
      <c r="N431" s="170">
        <v>21000</v>
      </c>
    </row>
    <row r="432" spans="1:14">
      <c r="A432" s="74" t="s">
        <v>3671</v>
      </c>
      <c r="B432" s="75" t="s">
        <v>3692</v>
      </c>
      <c r="C432" s="76" t="s">
        <v>451</v>
      </c>
      <c r="D432" s="76" t="s">
        <v>135</v>
      </c>
      <c r="E432" s="76">
        <v>26542077</v>
      </c>
      <c r="F432" s="170">
        <v>71074.38</v>
      </c>
      <c r="G432" s="170">
        <v>0</v>
      </c>
      <c r="H432" s="76">
        <v>0</v>
      </c>
      <c r="I432" s="76">
        <v>0</v>
      </c>
      <c r="J432" s="76">
        <v>0</v>
      </c>
      <c r="K432" s="76">
        <v>14925.62</v>
      </c>
      <c r="L432" s="76">
        <v>0</v>
      </c>
      <c r="M432" s="170">
        <v>0</v>
      </c>
      <c r="N432" s="170">
        <v>86000</v>
      </c>
    </row>
    <row r="433" spans="1:14">
      <c r="A433" s="74" t="s">
        <v>3671</v>
      </c>
      <c r="B433" s="75" t="s">
        <v>3693</v>
      </c>
      <c r="C433" s="76" t="s">
        <v>388</v>
      </c>
      <c r="D433" s="76" t="s">
        <v>135</v>
      </c>
      <c r="E433" s="76">
        <v>14123802</v>
      </c>
      <c r="F433" s="170">
        <v>20661.150000000001</v>
      </c>
      <c r="G433" s="170">
        <v>0</v>
      </c>
      <c r="H433" s="76">
        <v>0</v>
      </c>
      <c r="I433" s="76">
        <v>0</v>
      </c>
      <c r="J433" s="76">
        <v>0</v>
      </c>
      <c r="K433" s="76">
        <v>4338.8500000000004</v>
      </c>
      <c r="L433" s="76">
        <v>0</v>
      </c>
      <c r="M433" s="170">
        <v>0</v>
      </c>
      <c r="N433" s="170">
        <v>25000</v>
      </c>
    </row>
    <row r="434" spans="1:14">
      <c r="A434" s="74" t="s">
        <v>3671</v>
      </c>
      <c r="B434" s="75" t="s">
        <v>3694</v>
      </c>
      <c r="C434" s="76" t="s">
        <v>408</v>
      </c>
      <c r="D434" s="76" t="s">
        <v>135</v>
      </c>
      <c r="E434" s="76">
        <v>2719694</v>
      </c>
      <c r="F434" s="170">
        <v>7194.22</v>
      </c>
      <c r="G434" s="170">
        <v>0</v>
      </c>
      <c r="H434" s="76">
        <v>0</v>
      </c>
      <c r="I434" s="76">
        <v>0</v>
      </c>
      <c r="J434" s="76">
        <v>0</v>
      </c>
      <c r="K434" s="76">
        <v>1510.78</v>
      </c>
      <c r="L434" s="76">
        <v>0</v>
      </c>
      <c r="M434" s="170">
        <v>0</v>
      </c>
      <c r="N434" s="170">
        <v>8705</v>
      </c>
    </row>
    <row r="435" spans="1:14">
      <c r="A435" s="74" t="s">
        <v>3671</v>
      </c>
      <c r="B435" s="75" t="s">
        <v>3695</v>
      </c>
      <c r="C435" s="76" t="s">
        <v>447</v>
      </c>
      <c r="D435" s="76" t="s">
        <v>135</v>
      </c>
      <c r="E435" s="76">
        <v>5607654</v>
      </c>
      <c r="F435" s="170">
        <v>19834.71</v>
      </c>
      <c r="G435" s="170">
        <v>0</v>
      </c>
      <c r="H435" s="76">
        <v>0</v>
      </c>
      <c r="I435" s="76">
        <v>0</v>
      </c>
      <c r="J435" s="76">
        <v>0</v>
      </c>
      <c r="K435" s="76">
        <v>4165.29</v>
      </c>
      <c r="L435" s="76">
        <v>0</v>
      </c>
      <c r="M435" s="170">
        <v>0</v>
      </c>
      <c r="N435" s="170">
        <v>24000</v>
      </c>
    </row>
    <row r="436" spans="1:14">
      <c r="A436" s="74" t="s">
        <v>3671</v>
      </c>
      <c r="B436" s="75" t="s">
        <v>3696</v>
      </c>
      <c r="C436" s="76" t="s">
        <v>413</v>
      </c>
      <c r="D436" s="76" t="s">
        <v>135</v>
      </c>
      <c r="E436" s="76">
        <v>11172213</v>
      </c>
      <c r="F436" s="170">
        <v>19834.71</v>
      </c>
      <c r="G436" s="170">
        <v>0</v>
      </c>
      <c r="H436" s="76">
        <v>0</v>
      </c>
      <c r="I436" s="76">
        <v>0</v>
      </c>
      <c r="J436" s="76">
        <v>0</v>
      </c>
      <c r="K436" s="76">
        <v>4165.29</v>
      </c>
      <c r="L436" s="76">
        <v>0</v>
      </c>
      <c r="M436" s="170">
        <v>0</v>
      </c>
      <c r="N436" s="170">
        <v>24000</v>
      </c>
    </row>
    <row r="437" spans="1:14">
      <c r="A437" s="74" t="s">
        <v>3671</v>
      </c>
      <c r="B437" s="75" t="s">
        <v>3697</v>
      </c>
      <c r="C437" s="76" t="s">
        <v>3197</v>
      </c>
      <c r="D437" s="76" t="s">
        <v>135</v>
      </c>
      <c r="E437" s="76">
        <v>28233990</v>
      </c>
      <c r="F437" s="170">
        <v>19834.71</v>
      </c>
      <c r="G437" s="170">
        <v>0</v>
      </c>
      <c r="H437" s="76">
        <v>0</v>
      </c>
      <c r="I437" s="76">
        <v>0</v>
      </c>
      <c r="J437" s="76">
        <v>0</v>
      </c>
      <c r="K437" s="76">
        <v>4165.29</v>
      </c>
      <c r="L437" s="76">
        <v>0</v>
      </c>
      <c r="M437" s="170">
        <v>0</v>
      </c>
      <c r="N437" s="170">
        <v>24000</v>
      </c>
    </row>
    <row r="438" spans="1:14">
      <c r="A438" s="74" t="s">
        <v>3671</v>
      </c>
      <c r="B438" s="75" t="s">
        <v>3698</v>
      </c>
      <c r="C438" s="76" t="s">
        <v>3699</v>
      </c>
      <c r="D438" s="76" t="s">
        <v>135</v>
      </c>
      <c r="E438" s="76">
        <v>5216802</v>
      </c>
      <c r="F438" s="170">
        <v>7500</v>
      </c>
      <c r="G438" s="170">
        <v>0</v>
      </c>
      <c r="H438" s="76">
        <v>0</v>
      </c>
      <c r="I438" s="76">
        <v>0</v>
      </c>
      <c r="J438" s="76">
        <v>0</v>
      </c>
      <c r="K438" s="76">
        <v>1575</v>
      </c>
      <c r="L438" s="76">
        <v>0</v>
      </c>
      <c r="M438" s="170">
        <v>0</v>
      </c>
      <c r="N438" s="170">
        <v>9075</v>
      </c>
    </row>
    <row r="439" spans="1:14">
      <c r="A439" s="74" t="s">
        <v>3700</v>
      </c>
      <c r="B439" s="75" t="s">
        <v>3722</v>
      </c>
      <c r="C439" s="76" t="s">
        <v>735</v>
      </c>
      <c r="D439" s="76" t="s">
        <v>135</v>
      </c>
      <c r="E439" s="76" t="s">
        <v>136</v>
      </c>
      <c r="F439" s="170">
        <v>17355.37</v>
      </c>
      <c r="G439" s="170">
        <v>0</v>
      </c>
      <c r="H439" s="76">
        <v>0</v>
      </c>
      <c r="I439" s="76">
        <v>0</v>
      </c>
      <c r="J439" s="76">
        <v>0</v>
      </c>
      <c r="K439" s="76">
        <v>3644.63</v>
      </c>
      <c r="L439" s="76">
        <v>0</v>
      </c>
      <c r="M439" s="170">
        <v>0</v>
      </c>
      <c r="N439" s="170">
        <v>21000</v>
      </c>
    </row>
    <row r="440" spans="1:14">
      <c r="A440" s="74" t="s">
        <v>3657</v>
      </c>
      <c r="B440" s="75" t="s">
        <v>3669</v>
      </c>
      <c r="C440" s="76" t="s">
        <v>342</v>
      </c>
      <c r="D440" s="76" t="s">
        <v>343</v>
      </c>
      <c r="E440" s="76">
        <v>30590354798</v>
      </c>
      <c r="F440" s="170">
        <v>-13926.27</v>
      </c>
      <c r="G440" s="170">
        <v>0</v>
      </c>
      <c r="H440" s="76">
        <v>0</v>
      </c>
      <c r="I440" s="76">
        <v>0</v>
      </c>
      <c r="J440" s="76">
        <v>0</v>
      </c>
      <c r="K440" s="76">
        <v>-2924.52</v>
      </c>
      <c r="L440" s="76">
        <v>0</v>
      </c>
      <c r="M440" s="170">
        <v>0</v>
      </c>
      <c r="N440" s="170">
        <v>-16850.79</v>
      </c>
    </row>
    <row r="441" spans="1:14">
      <c r="A441" s="171" t="s">
        <v>778</v>
      </c>
      <c r="B441" s="171" t="s">
        <v>779</v>
      </c>
      <c r="C441" s="171" t="s">
        <v>780</v>
      </c>
      <c r="D441" s="171" t="s">
        <v>781</v>
      </c>
      <c r="E441" s="171" t="s">
        <v>782</v>
      </c>
      <c r="F441" s="172">
        <f>SUM(F387:F440)</f>
        <v>4670975.9899999993</v>
      </c>
      <c r="G441" s="172">
        <f t="shared" ref="G441:N441" si="0">SUM(G387:G440)</f>
        <v>0</v>
      </c>
      <c r="H441" s="172">
        <f t="shared" si="0"/>
        <v>0</v>
      </c>
      <c r="I441" s="172">
        <f t="shared" si="0"/>
        <v>0</v>
      </c>
      <c r="J441" s="172">
        <f t="shared" si="0"/>
        <v>0</v>
      </c>
      <c r="K441" s="172">
        <f t="shared" si="0"/>
        <v>980904.97000000044</v>
      </c>
      <c r="L441" s="172">
        <f t="shared" si="0"/>
        <v>0</v>
      </c>
      <c r="M441" s="172">
        <f t="shared" si="0"/>
        <v>0</v>
      </c>
      <c r="N441" s="172">
        <f t="shared" si="0"/>
        <v>5651880.96</v>
      </c>
    </row>
    <row r="442" spans="1:14">
      <c r="A442" s="4"/>
      <c r="B442" s="5"/>
      <c r="C442" s="6"/>
      <c r="D442" s="6"/>
      <c r="E442" s="6"/>
      <c r="F442" s="18"/>
      <c r="G442" s="18"/>
      <c r="H442" s="6"/>
      <c r="I442" s="6"/>
      <c r="J442" s="6"/>
      <c r="K442" s="6"/>
      <c r="L442" s="6"/>
      <c r="M442" s="18"/>
      <c r="N442" s="18"/>
    </row>
    <row r="443" spans="1:14">
      <c r="A443" s="19" t="s">
        <v>778</v>
      </c>
      <c r="B443" s="19" t="s">
        <v>779</v>
      </c>
      <c r="C443" s="19" t="s">
        <v>780</v>
      </c>
      <c r="D443" s="19" t="s">
        <v>781</v>
      </c>
      <c r="E443" s="19" t="s">
        <v>782</v>
      </c>
      <c r="F443" s="131">
        <f>F441+F385+F65+F23+F6</f>
        <v>45428595.999999985</v>
      </c>
      <c r="G443" s="131">
        <f t="shared" ref="G443:N443" si="1">G441+G385+G65+G23+G6</f>
        <v>0</v>
      </c>
      <c r="H443" s="131">
        <f t="shared" si="1"/>
        <v>0</v>
      </c>
      <c r="I443" s="131">
        <f t="shared" si="1"/>
        <v>0</v>
      </c>
      <c r="J443" s="131">
        <f t="shared" si="1"/>
        <v>0</v>
      </c>
      <c r="K443" s="131">
        <f t="shared" si="1"/>
        <v>9540005.4599999953</v>
      </c>
      <c r="L443" s="131">
        <f t="shared" si="1"/>
        <v>0</v>
      </c>
      <c r="M443" s="131">
        <f t="shared" si="1"/>
        <v>0</v>
      </c>
      <c r="N443" s="131">
        <f t="shared" si="1"/>
        <v>54968601.460000001</v>
      </c>
    </row>
    <row r="445" spans="1:14" ht="15.75" thickBot="1"/>
    <row r="446" spans="1:14" ht="15.75" thickBot="1">
      <c r="D446" s="163" t="s">
        <v>1864</v>
      </c>
      <c r="E446" s="159" t="s">
        <v>460</v>
      </c>
      <c r="F446" s="160" t="s">
        <v>3241</v>
      </c>
      <c r="G446" s="160" t="s">
        <v>787</v>
      </c>
      <c r="H446" s="161"/>
      <c r="I446" s="161"/>
      <c r="J446" s="162" t="s">
        <v>459</v>
      </c>
    </row>
    <row r="447" spans="1:14">
      <c r="D447" s="157" t="s">
        <v>783</v>
      </c>
      <c r="E447" s="147">
        <f>F6+F23+F65</f>
        <v>33963074.780000001</v>
      </c>
      <c r="F447" s="144"/>
      <c r="G447" s="149">
        <f>E447*21/100</f>
        <v>7132245.7038000003</v>
      </c>
      <c r="H447" s="143"/>
      <c r="I447" s="143"/>
      <c r="J447" s="150">
        <f>E447+G447</f>
        <v>41095320.483800001</v>
      </c>
    </row>
    <row r="448" spans="1:14" ht="15.75" thickBot="1">
      <c r="D448" s="158" t="s">
        <v>462</v>
      </c>
      <c r="E448" s="148">
        <f>F441+F385</f>
        <v>11465521.219999991</v>
      </c>
      <c r="F448" s="145"/>
      <c r="G448" s="152">
        <f>E448*21/100</f>
        <v>2407759.456199998</v>
      </c>
      <c r="J448" s="151">
        <f>E448+G448</f>
        <v>13873280.676199989</v>
      </c>
    </row>
    <row r="449" spans="4:10" ht="15.75" thickBot="1">
      <c r="D449" s="146" t="s">
        <v>459</v>
      </c>
      <c r="E449" s="153">
        <f>E448+E447</f>
        <v>45428595.999999993</v>
      </c>
      <c r="F449" s="156">
        <f>F448+F447</f>
        <v>0</v>
      </c>
      <c r="G449" s="154">
        <f>G448+G447</f>
        <v>9540005.1599999983</v>
      </c>
      <c r="H449" s="129"/>
      <c r="I449" s="129"/>
      <c r="J449" s="155">
        <f>J448+J447</f>
        <v>54968601.159999989</v>
      </c>
    </row>
  </sheetData>
  <autoFilter ref="A66:N441" xr:uid="{00000000-0001-0000-0900-000000000000}">
    <filterColumn colId="2">
      <filters blank="1">
        <filter val="ADRIANA SAN PEDRO"/>
        <filter val="AGOSTINO MIRIAM"/>
        <filter val="ARANA, MARCELLA OFELIA"/>
        <filter val="ARAOZ MARÍA ANGÉLICA"/>
        <filter val="Asociacion Mutual Sancor Salud"/>
        <filter val="BIANCHI TERESA GERMANA"/>
        <filter val="BRANDONI LUDMILA"/>
        <filter val="BUNCHICOFF, MARIA"/>
        <filter val="c"/>
        <filter val="CANCHI HECTOR HUGO"/>
        <filter val="CARINGI, ROSA MARIA"/>
        <filter val="CASTRO ROSA ANGELA MARIA"/>
        <filter val="CORIGLIANO, LORENA ELISA"/>
        <filter val="CRISTIAN GOLDENHORN"/>
        <filter val="CRUZ CLAUDIA"/>
        <filter val="CUMAN MARIA LUISA"/>
        <filter val="DANIEL VACA"/>
        <filter val="fraser roberto fernando"/>
        <filter val="FREDES RAUL"/>
        <filter val="GABRIELA VANINA GALLO"/>
        <filter val="Galeno A.R.T. S.A."/>
        <filter val="GARCIA FERNANDEZ, ARIEL"/>
        <filter val="GARIBALDI MARIO"/>
        <filter val="GIGAGLIA, MARIA LUCILA"/>
        <filter val="GIMENEZ RAUL ALFREDO"/>
        <filter val="GOMEZ VENTURA ESTEBAN"/>
        <filter val="Herman Patricia"/>
        <filter val="IZZO, ADRIANA"/>
        <filter val="LAVASELLI LETICIA MARIA"/>
        <filter val="LAYA, ROSA M. TINCOPA DE"/>
        <filter val="LAZARO CYNTHIA"/>
        <filter val="LOCOCO, CARMEN"/>
        <filter val="MARGARITA FERRO"/>
        <filter val="MARIA ISABEL CALDERER"/>
        <filter val="MARTIN, RODOLFO ALBERTO"/>
        <filter val="MATSUO, MARGARITA NOEMI"/>
        <filter val="Méndez María Agustina"/>
        <filter val="MIGUEL, EDUARDO ADRIAN"/>
        <filter val="MINERVINI, MARIA DEL CARMEN LILIANA"/>
        <filter val="MODOLO, CRISTIAN ARIEL"/>
        <filter val="MONTI, MARIA PAULA"/>
        <filter val="Najus Anibal Ruben"/>
        <filter val="NUÑEZ LETICIA"/>
        <filter val="Obra Social De Los Trabajadores De La Industria Del Gas"/>
        <filter val="Obra Social Del Personal De La Industria Del Plastico"/>
        <filter val="PEDROZO, PAULA GABRIELA"/>
        <filter val="PINO, ANA PAULA"/>
        <filter val="RAQUEL DURAÑONA"/>
        <filter val="ROBERTO, FIDALGO"/>
        <filter val="SALLES, ANA MARIA"/>
        <filter val="SALVATIERRA, LUCIANA"/>
        <filter val="SARA STRASBERG"/>
        <filter val="SCHELGEL, LUIS ALBERTO"/>
        <filter val="SERRANO, CARLOS ARMANDO"/>
        <filter val="SILVANA ARAYA"/>
        <filter val="SORIANO, EDGARDO TOMAS"/>
        <filter val="TRISTAN SARA ADELA"/>
        <filter val="VALIENTE AGUSTINA MARIBEL"/>
        <filter val="VERON JESUS"/>
        <filter val="VETERE RICARDO"/>
        <filter val="VOLPI, ALBERTO JAVIER"/>
        <filter val="YANNADUONI, GRACIELA LIDI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Q511"/>
  <sheetViews>
    <sheetView topLeftCell="A203" zoomScale="90" zoomScaleNormal="90" workbookViewId="0">
      <selection activeCell="H123" sqref="H123:H507"/>
    </sheetView>
  </sheetViews>
  <sheetFormatPr baseColWidth="10" defaultColWidth="11.5703125" defaultRowHeight="15"/>
  <cols>
    <col min="1" max="1" width="12" customWidth="1"/>
    <col min="2" max="2" width="19.42578125" customWidth="1"/>
    <col min="3" max="3" width="4.42578125" customWidth="1"/>
    <col min="4" max="4" width="7.5703125" customWidth="1"/>
    <col min="5" max="5" width="16.42578125" hidden="1" customWidth="1"/>
    <col min="6" max="6" width="19" customWidth="1"/>
    <col min="7" max="7" width="6.28515625" customWidth="1"/>
    <col min="8" max="8" width="17.140625" customWidth="1"/>
    <col min="10" max="10" width="12" customWidth="1"/>
    <col min="11" max="11" width="8.42578125" customWidth="1"/>
    <col min="12" max="12" width="15.42578125" customWidth="1"/>
    <col min="13" max="13" width="11.5703125" bestFit="1" customWidth="1"/>
    <col min="14" max="14" width="14.42578125" customWidth="1"/>
    <col min="15" max="15" width="11.5703125" bestFit="1" customWidth="1"/>
    <col min="16" max="16" width="14.28515625" customWidth="1"/>
    <col min="17" max="17" width="20.42578125" customWidth="1"/>
  </cols>
  <sheetData>
    <row r="1" spans="1:17" ht="18">
      <c r="A1" s="71" t="s">
        <v>3854</v>
      </c>
    </row>
    <row r="2" spans="1:17" ht="15.75">
      <c r="A2" s="72" t="s">
        <v>1</v>
      </c>
    </row>
    <row r="5" spans="1:17">
      <c r="A5" s="116" t="s">
        <v>2</v>
      </c>
      <c r="B5" s="116" t="s">
        <v>3724</v>
      </c>
      <c r="C5" s="116" t="s">
        <v>3725</v>
      </c>
      <c r="D5" s="116" t="s">
        <v>3726</v>
      </c>
      <c r="E5" s="116" t="s">
        <v>3727</v>
      </c>
      <c r="F5" s="116" t="s">
        <v>3728</v>
      </c>
      <c r="G5" s="116" t="s">
        <v>3729</v>
      </c>
      <c r="H5" s="116" t="s">
        <v>3730</v>
      </c>
      <c r="I5" s="116" t="s">
        <v>3731</v>
      </c>
      <c r="J5" s="116" t="s">
        <v>3732</v>
      </c>
      <c r="K5" s="116" t="s">
        <v>3733</v>
      </c>
      <c r="L5" s="116" t="s">
        <v>3734</v>
      </c>
      <c r="M5" s="116" t="s">
        <v>3735</v>
      </c>
      <c r="N5" s="116" t="s">
        <v>3736</v>
      </c>
      <c r="O5" s="116" t="s">
        <v>3737</v>
      </c>
      <c r="P5" s="116" t="s">
        <v>787</v>
      </c>
      <c r="Q5" s="116" t="s">
        <v>3738</v>
      </c>
    </row>
    <row r="6" spans="1:17">
      <c r="A6" s="175" t="s">
        <v>3739</v>
      </c>
      <c r="B6" s="175" t="s">
        <v>3740</v>
      </c>
      <c r="C6" s="176">
        <v>3</v>
      </c>
      <c r="D6" s="176">
        <v>2122</v>
      </c>
      <c r="E6" s="175"/>
      <c r="F6" s="176">
        <v>74408937567460</v>
      </c>
      <c r="G6" s="175" t="s">
        <v>3741</v>
      </c>
      <c r="H6" s="176">
        <v>30522428163</v>
      </c>
      <c r="I6" s="175" t="s">
        <v>2712</v>
      </c>
      <c r="J6" s="176">
        <v>1</v>
      </c>
      <c r="K6" s="175" t="s">
        <v>3742</v>
      </c>
      <c r="L6" s="181">
        <v>166023.57</v>
      </c>
      <c r="M6" s="176">
        <v>0</v>
      </c>
      <c r="N6" s="176">
        <v>0</v>
      </c>
      <c r="O6" s="176">
        <v>0</v>
      </c>
      <c r="P6" s="181">
        <v>34864.949999999997</v>
      </c>
      <c r="Q6" s="181">
        <v>200888.54</v>
      </c>
    </row>
    <row r="7" spans="1:17">
      <c r="A7" s="175" t="s">
        <v>3739</v>
      </c>
      <c r="B7" s="175" t="s">
        <v>3740</v>
      </c>
      <c r="C7" s="176">
        <v>3</v>
      </c>
      <c r="D7" s="176">
        <v>2123</v>
      </c>
      <c r="E7" s="175"/>
      <c r="F7" s="176">
        <v>74408946814467</v>
      </c>
      <c r="G7" s="175" t="s">
        <v>3741</v>
      </c>
      <c r="H7" s="176">
        <v>30522428163</v>
      </c>
      <c r="I7" s="175" t="s">
        <v>2712</v>
      </c>
      <c r="J7" s="176">
        <v>1</v>
      </c>
      <c r="K7" s="175" t="s">
        <v>3742</v>
      </c>
      <c r="L7" s="181">
        <v>122793.38</v>
      </c>
      <c r="M7" s="176">
        <v>0</v>
      </c>
      <c r="N7" s="176">
        <v>0</v>
      </c>
      <c r="O7" s="176">
        <v>0</v>
      </c>
      <c r="P7" s="181">
        <v>25786.61</v>
      </c>
      <c r="Q7" s="180">
        <v>148580</v>
      </c>
    </row>
    <row r="8" spans="1:17">
      <c r="A8" s="175" t="s">
        <v>3753</v>
      </c>
      <c r="B8" s="175" t="s">
        <v>3740</v>
      </c>
      <c r="C8" s="176">
        <v>3</v>
      </c>
      <c r="D8" s="176">
        <v>2124</v>
      </c>
      <c r="E8" s="175"/>
      <c r="F8" s="176">
        <v>74408327628289</v>
      </c>
      <c r="G8" s="175" t="s">
        <v>3741</v>
      </c>
      <c r="H8" s="176">
        <v>27301150801</v>
      </c>
      <c r="I8" s="175" t="s">
        <v>3758</v>
      </c>
      <c r="J8" s="176">
        <v>1</v>
      </c>
      <c r="K8" s="175" t="s">
        <v>3742</v>
      </c>
      <c r="L8" s="181">
        <v>21487.62</v>
      </c>
      <c r="M8" s="176">
        <v>0</v>
      </c>
      <c r="N8" s="176">
        <v>0</v>
      </c>
      <c r="O8" s="176">
        <v>0</v>
      </c>
      <c r="P8" s="179">
        <v>4512.3999999999996</v>
      </c>
      <c r="Q8" s="180">
        <v>26000</v>
      </c>
    </row>
    <row r="9" spans="1:17">
      <c r="A9" s="175" t="s">
        <v>3751</v>
      </c>
      <c r="B9" s="175" t="s">
        <v>3740</v>
      </c>
      <c r="C9" s="176">
        <v>3</v>
      </c>
      <c r="D9" s="176">
        <v>2125</v>
      </c>
      <c r="E9" s="175"/>
      <c r="F9" s="176">
        <v>74418934048533</v>
      </c>
      <c r="G9" s="175" t="s">
        <v>3741</v>
      </c>
      <c r="H9" s="176">
        <v>30717908232</v>
      </c>
      <c r="I9" s="175" t="s">
        <v>3767</v>
      </c>
      <c r="J9" s="176">
        <v>1</v>
      </c>
      <c r="K9" s="175" t="s">
        <v>3742</v>
      </c>
      <c r="L9" s="181">
        <v>78305.759999999995</v>
      </c>
      <c r="M9" s="176">
        <v>0</v>
      </c>
      <c r="N9" s="176">
        <v>0</v>
      </c>
      <c r="O9" s="176">
        <v>0</v>
      </c>
      <c r="P9" s="181">
        <v>16444.21</v>
      </c>
      <c r="Q9" s="181">
        <v>94749.99</v>
      </c>
    </row>
    <row r="10" spans="1:17">
      <c r="A10" s="175" t="s">
        <v>3751</v>
      </c>
      <c r="B10" s="175" t="s">
        <v>3740</v>
      </c>
      <c r="C10" s="176">
        <v>3</v>
      </c>
      <c r="D10" s="176">
        <v>2126</v>
      </c>
      <c r="E10" s="175"/>
      <c r="F10" s="176">
        <v>74418934840311</v>
      </c>
      <c r="G10" s="175" t="s">
        <v>3741</v>
      </c>
      <c r="H10" s="176">
        <v>30717908232</v>
      </c>
      <c r="I10" s="175" t="s">
        <v>3767</v>
      </c>
      <c r="J10" s="176">
        <v>1</v>
      </c>
      <c r="K10" s="175" t="s">
        <v>3742</v>
      </c>
      <c r="L10" s="181">
        <v>12396.71</v>
      </c>
      <c r="M10" s="176">
        <v>0</v>
      </c>
      <c r="N10" s="176">
        <v>0</v>
      </c>
      <c r="O10" s="176">
        <v>0</v>
      </c>
      <c r="P10" s="181">
        <v>2603.31</v>
      </c>
      <c r="Q10" s="181">
        <v>15000.01</v>
      </c>
    </row>
    <row r="11" spans="1:17">
      <c r="A11" s="175" t="s">
        <v>3751</v>
      </c>
      <c r="B11" s="175" t="s">
        <v>3740</v>
      </c>
      <c r="C11" s="176">
        <v>3</v>
      </c>
      <c r="D11" s="176">
        <v>2127</v>
      </c>
      <c r="E11" s="175"/>
      <c r="F11" s="176">
        <v>74418935359026</v>
      </c>
      <c r="G11" s="175" t="s">
        <v>3741</v>
      </c>
      <c r="H11" s="176">
        <v>30717908232</v>
      </c>
      <c r="I11" s="175" t="s">
        <v>3767</v>
      </c>
      <c r="J11" s="176">
        <v>1</v>
      </c>
      <c r="K11" s="175" t="s">
        <v>3742</v>
      </c>
      <c r="L11" s="181">
        <v>78305.759999999995</v>
      </c>
      <c r="M11" s="176">
        <v>0</v>
      </c>
      <c r="N11" s="176">
        <v>0</v>
      </c>
      <c r="O11" s="176">
        <v>0</v>
      </c>
      <c r="P11" s="181">
        <v>16444.21</v>
      </c>
      <c r="Q11" s="181">
        <v>94749.99</v>
      </c>
    </row>
    <row r="12" spans="1:17">
      <c r="A12" s="175" t="s">
        <v>3764</v>
      </c>
      <c r="B12" s="175" t="s">
        <v>3740</v>
      </c>
      <c r="C12" s="176">
        <v>3</v>
      </c>
      <c r="D12" s="176">
        <v>2128</v>
      </c>
      <c r="E12" s="175"/>
      <c r="F12" s="176">
        <v>74428589321410</v>
      </c>
      <c r="G12" s="175" t="s">
        <v>3741</v>
      </c>
      <c r="H12" s="176">
        <v>30717908232</v>
      </c>
      <c r="I12" s="175" t="s">
        <v>3767</v>
      </c>
      <c r="J12" s="176">
        <v>1</v>
      </c>
      <c r="K12" s="175" t="s">
        <v>3742</v>
      </c>
      <c r="L12" s="181">
        <v>26446.29</v>
      </c>
      <c r="M12" s="176">
        <v>0</v>
      </c>
      <c r="N12" s="176">
        <v>0</v>
      </c>
      <c r="O12" s="176">
        <v>0</v>
      </c>
      <c r="P12" s="181">
        <v>5553.72</v>
      </c>
      <c r="Q12" s="180">
        <v>32000</v>
      </c>
    </row>
    <row r="13" spans="1:17">
      <c r="A13" s="175" t="s">
        <v>3764</v>
      </c>
      <c r="B13" s="175" t="s">
        <v>3740</v>
      </c>
      <c r="C13" s="176">
        <v>3</v>
      </c>
      <c r="D13" s="176">
        <v>2129</v>
      </c>
      <c r="E13" s="175"/>
      <c r="F13" s="176">
        <v>74428589542571</v>
      </c>
      <c r="G13" s="175" t="s">
        <v>3741</v>
      </c>
      <c r="H13" s="176">
        <v>30717908232</v>
      </c>
      <c r="I13" s="175" t="s">
        <v>3767</v>
      </c>
      <c r="J13" s="176">
        <v>1</v>
      </c>
      <c r="K13" s="175" t="s">
        <v>3742</v>
      </c>
      <c r="L13" s="181">
        <v>20661.14</v>
      </c>
      <c r="M13" s="176">
        <v>0</v>
      </c>
      <c r="N13" s="176">
        <v>0</v>
      </c>
      <c r="O13" s="176">
        <v>0</v>
      </c>
      <c r="P13" s="181">
        <v>4338.84</v>
      </c>
      <c r="Q13" s="180">
        <v>25000</v>
      </c>
    </row>
    <row r="14" spans="1:17">
      <c r="A14" s="175" t="s">
        <v>3766</v>
      </c>
      <c r="B14" s="175" t="s">
        <v>3740</v>
      </c>
      <c r="C14" s="176">
        <v>3</v>
      </c>
      <c r="D14" s="176">
        <v>2130</v>
      </c>
      <c r="E14" s="175"/>
      <c r="F14" s="176">
        <v>74428687340551</v>
      </c>
      <c r="G14" s="175" t="s">
        <v>3741</v>
      </c>
      <c r="H14" s="176">
        <v>33715156909</v>
      </c>
      <c r="I14" s="175" t="s">
        <v>3776</v>
      </c>
      <c r="J14" s="176">
        <v>1</v>
      </c>
      <c r="K14" s="175" t="s">
        <v>3742</v>
      </c>
      <c r="L14" s="181">
        <v>11157.05</v>
      </c>
      <c r="M14" s="176">
        <v>0</v>
      </c>
      <c r="N14" s="176">
        <v>0</v>
      </c>
      <c r="O14" s="176">
        <v>0</v>
      </c>
      <c r="P14" s="181">
        <v>2342.98</v>
      </c>
      <c r="Q14" s="181">
        <v>13500.01</v>
      </c>
    </row>
    <row r="15" spans="1:17">
      <c r="A15" s="175" t="s">
        <v>3766</v>
      </c>
      <c r="B15" s="175" t="s">
        <v>3740</v>
      </c>
      <c r="C15" s="176">
        <v>3</v>
      </c>
      <c r="D15" s="176">
        <v>2131</v>
      </c>
      <c r="E15" s="175"/>
      <c r="F15" s="176">
        <v>74428687626316</v>
      </c>
      <c r="G15" s="175" t="s">
        <v>3741</v>
      </c>
      <c r="H15" s="176">
        <v>33715156909</v>
      </c>
      <c r="I15" s="175" t="s">
        <v>3776</v>
      </c>
      <c r="J15" s="176">
        <v>1</v>
      </c>
      <c r="K15" s="175" t="s">
        <v>3742</v>
      </c>
      <c r="L15" s="181">
        <v>15289.24</v>
      </c>
      <c r="M15" s="176">
        <v>0</v>
      </c>
      <c r="N15" s="176">
        <v>0</v>
      </c>
      <c r="O15" s="176">
        <v>0</v>
      </c>
      <c r="P15" s="181">
        <v>3210.74</v>
      </c>
      <c r="Q15" s="180">
        <v>18500</v>
      </c>
    </row>
    <row r="16" spans="1:17">
      <c r="A16" s="175" t="s">
        <v>3769</v>
      </c>
      <c r="B16" s="175" t="s">
        <v>3740</v>
      </c>
      <c r="C16" s="176">
        <v>3</v>
      </c>
      <c r="D16" s="176">
        <v>2132</v>
      </c>
      <c r="E16" s="175"/>
      <c r="F16" s="176">
        <v>74428947746426</v>
      </c>
      <c r="G16" s="175" t="s">
        <v>3741</v>
      </c>
      <c r="H16" s="176">
        <v>30715803093</v>
      </c>
      <c r="I16" s="175" t="s">
        <v>3780</v>
      </c>
      <c r="J16" s="176">
        <v>1</v>
      </c>
      <c r="K16" s="175" t="s">
        <v>3742</v>
      </c>
      <c r="L16" s="180">
        <v>26281</v>
      </c>
      <c r="M16" s="176">
        <v>0</v>
      </c>
      <c r="N16" s="176">
        <v>0</v>
      </c>
      <c r="O16" s="176">
        <v>0</v>
      </c>
      <c r="P16" s="181">
        <v>5519.01</v>
      </c>
      <c r="Q16" s="180">
        <v>31800</v>
      </c>
    </row>
    <row r="17" spans="1:17">
      <c r="A17" s="175" t="s">
        <v>3777</v>
      </c>
      <c r="B17" s="175" t="s">
        <v>3740</v>
      </c>
      <c r="C17" s="176">
        <v>3</v>
      </c>
      <c r="D17" s="176">
        <v>2133</v>
      </c>
      <c r="E17" s="175"/>
      <c r="F17" s="176">
        <v>74448029521347</v>
      </c>
      <c r="G17" s="175" t="s">
        <v>3741</v>
      </c>
      <c r="H17" s="176">
        <v>30712045562</v>
      </c>
      <c r="I17" s="175" t="s">
        <v>3811</v>
      </c>
      <c r="J17" s="176">
        <v>1</v>
      </c>
      <c r="K17" s="175" t="s">
        <v>3742</v>
      </c>
      <c r="L17" s="181">
        <v>165289.24</v>
      </c>
      <c r="M17" s="176">
        <v>0</v>
      </c>
      <c r="N17" s="176">
        <v>0</v>
      </c>
      <c r="O17" s="176">
        <v>0</v>
      </c>
      <c r="P17" s="181">
        <v>34710.74</v>
      </c>
      <c r="Q17" s="180">
        <v>200000</v>
      </c>
    </row>
    <row r="18" spans="1:17">
      <c r="A18" s="175" t="s">
        <v>3779</v>
      </c>
      <c r="B18" s="175" t="s">
        <v>3740</v>
      </c>
      <c r="C18" s="176">
        <v>3</v>
      </c>
      <c r="D18" s="176">
        <v>2134</v>
      </c>
      <c r="E18" s="175"/>
      <c r="F18" s="176">
        <v>74448142920993</v>
      </c>
      <c r="G18" s="175" t="s">
        <v>3741</v>
      </c>
      <c r="H18" s="176">
        <v>30709645656</v>
      </c>
      <c r="I18" s="175" t="s">
        <v>3837</v>
      </c>
      <c r="J18" s="176">
        <v>1</v>
      </c>
      <c r="K18" s="175" t="s">
        <v>3742</v>
      </c>
      <c r="L18" s="181">
        <v>27086.76</v>
      </c>
      <c r="M18" s="176">
        <v>0</v>
      </c>
      <c r="N18" s="176">
        <v>0</v>
      </c>
      <c r="O18" s="176">
        <v>0</v>
      </c>
      <c r="P18" s="181">
        <v>5688.22</v>
      </c>
      <c r="Q18" s="180">
        <v>32775</v>
      </c>
    </row>
    <row r="19" spans="1:17">
      <c r="A19" s="175" t="s">
        <v>3779</v>
      </c>
      <c r="B19" s="175" t="s">
        <v>3740</v>
      </c>
      <c r="C19" s="176">
        <v>3</v>
      </c>
      <c r="D19" s="176">
        <v>2135</v>
      </c>
      <c r="E19" s="175"/>
      <c r="F19" s="176">
        <v>74448162421826</v>
      </c>
      <c r="G19" s="175" t="s">
        <v>3741</v>
      </c>
      <c r="H19" s="176">
        <v>30525274450</v>
      </c>
      <c r="I19" s="175" t="s">
        <v>3838</v>
      </c>
      <c r="J19" s="176">
        <v>1</v>
      </c>
      <c r="K19" s="175" t="s">
        <v>3742</v>
      </c>
      <c r="L19" s="179">
        <v>1652.9</v>
      </c>
      <c r="M19" s="176">
        <v>0</v>
      </c>
      <c r="N19" s="176">
        <v>0</v>
      </c>
      <c r="O19" s="176">
        <v>0</v>
      </c>
      <c r="P19" s="181">
        <v>347.11</v>
      </c>
      <c r="Q19" s="181">
        <v>2000.01</v>
      </c>
    </row>
    <row r="20" spans="1:17">
      <c r="A20" s="175" t="s">
        <v>3739</v>
      </c>
      <c r="B20" s="175" t="s">
        <v>3743</v>
      </c>
      <c r="C20" s="176">
        <v>3</v>
      </c>
      <c r="D20" s="176">
        <v>20</v>
      </c>
      <c r="E20" s="175"/>
      <c r="F20" s="176">
        <v>74408946246916</v>
      </c>
      <c r="G20" s="175" t="s">
        <v>3741</v>
      </c>
      <c r="H20" s="176">
        <v>30522428163</v>
      </c>
      <c r="I20" s="175" t="s">
        <v>2712</v>
      </c>
      <c r="J20" s="176">
        <v>1</v>
      </c>
      <c r="K20" s="175" t="s">
        <v>3742</v>
      </c>
      <c r="L20" s="181">
        <v>1159994.76</v>
      </c>
      <c r="M20" s="176">
        <v>0</v>
      </c>
      <c r="N20" s="176">
        <v>0</v>
      </c>
      <c r="O20" s="176">
        <v>0</v>
      </c>
      <c r="P20" s="179">
        <v>243598.9</v>
      </c>
      <c r="Q20" s="181">
        <v>1403593.65</v>
      </c>
    </row>
    <row r="21" spans="1:17">
      <c r="A21" s="175" t="s">
        <v>3739</v>
      </c>
      <c r="B21" s="175" t="s">
        <v>3743</v>
      </c>
      <c r="C21" s="176">
        <v>3</v>
      </c>
      <c r="D21" s="176">
        <v>17</v>
      </c>
      <c r="E21" s="175"/>
      <c r="F21" s="176">
        <v>74408933316107</v>
      </c>
      <c r="G21" s="175" t="s">
        <v>3741</v>
      </c>
      <c r="H21" s="176">
        <v>30522428163</v>
      </c>
      <c r="I21" s="175" t="s">
        <v>2712</v>
      </c>
      <c r="J21" s="176">
        <v>1</v>
      </c>
      <c r="K21" s="175" t="s">
        <v>3742</v>
      </c>
      <c r="L21" s="181">
        <v>9940284.6699999999</v>
      </c>
      <c r="M21" s="176">
        <v>0</v>
      </c>
      <c r="N21" s="176">
        <v>0</v>
      </c>
      <c r="O21" s="176">
        <v>0</v>
      </c>
      <c r="P21" s="181">
        <v>2087459.78</v>
      </c>
      <c r="Q21" s="181">
        <v>12027744.449999999</v>
      </c>
    </row>
    <row r="22" spans="1:17">
      <c r="A22" s="175" t="s">
        <v>3739</v>
      </c>
      <c r="B22" s="175" t="s">
        <v>3743</v>
      </c>
      <c r="C22" s="176">
        <v>3</v>
      </c>
      <c r="D22" s="176">
        <v>18</v>
      </c>
      <c r="E22" s="175"/>
      <c r="F22" s="176">
        <v>74408933881734</v>
      </c>
      <c r="G22" s="175" t="s">
        <v>3741</v>
      </c>
      <c r="H22" s="176">
        <v>30522428163</v>
      </c>
      <c r="I22" s="175" t="s">
        <v>2712</v>
      </c>
      <c r="J22" s="176">
        <v>1</v>
      </c>
      <c r="K22" s="175" t="s">
        <v>3742</v>
      </c>
      <c r="L22" s="181">
        <v>1605012.14</v>
      </c>
      <c r="M22" s="176">
        <v>0</v>
      </c>
      <c r="N22" s="176">
        <v>0</v>
      </c>
      <c r="O22" s="176">
        <v>0</v>
      </c>
      <c r="P22" s="181">
        <v>337052.55</v>
      </c>
      <c r="Q22" s="181">
        <v>1942064.69</v>
      </c>
    </row>
    <row r="23" spans="1:17">
      <c r="A23" s="175" t="s">
        <v>3739</v>
      </c>
      <c r="B23" s="175" t="s">
        <v>3743</v>
      </c>
      <c r="C23" s="176">
        <v>3</v>
      </c>
      <c r="D23" s="176">
        <v>19</v>
      </c>
      <c r="E23" s="175"/>
      <c r="F23" s="176">
        <v>74408938388545</v>
      </c>
      <c r="G23" s="175" t="s">
        <v>3741</v>
      </c>
      <c r="H23" s="176">
        <v>30522428163</v>
      </c>
      <c r="I23" s="175" t="s">
        <v>2712</v>
      </c>
      <c r="J23" s="176">
        <v>1</v>
      </c>
      <c r="K23" s="175" t="s">
        <v>3742</v>
      </c>
      <c r="L23" s="181">
        <v>1420287.38</v>
      </c>
      <c r="M23" s="176">
        <v>0</v>
      </c>
      <c r="N23" s="176">
        <v>0</v>
      </c>
      <c r="O23" s="176">
        <v>0</v>
      </c>
      <c r="P23" s="181">
        <v>298260.34999999998</v>
      </c>
      <c r="Q23" s="181">
        <v>1718547.74</v>
      </c>
    </row>
    <row r="24" spans="1:17">
      <c r="A24" s="175" t="s">
        <v>3753</v>
      </c>
      <c r="B24" s="175" t="s">
        <v>3743</v>
      </c>
      <c r="C24" s="176">
        <v>6</v>
      </c>
      <c r="D24" s="176">
        <v>537</v>
      </c>
      <c r="E24" s="175"/>
      <c r="F24" s="176">
        <v>74408336991539</v>
      </c>
      <c r="G24" s="175" t="s">
        <v>3741</v>
      </c>
      <c r="H24" s="176">
        <v>30683032227</v>
      </c>
      <c r="I24" s="175" t="s">
        <v>3759</v>
      </c>
      <c r="J24" s="176">
        <v>1</v>
      </c>
      <c r="K24" s="175" t="s">
        <v>3742</v>
      </c>
      <c r="L24" s="181">
        <v>3717071.02</v>
      </c>
      <c r="M24" s="176">
        <v>0</v>
      </c>
      <c r="N24" s="176">
        <v>0</v>
      </c>
      <c r="O24" s="176">
        <v>0</v>
      </c>
      <c r="P24" s="181">
        <v>780584.92</v>
      </c>
      <c r="Q24" s="181">
        <v>4497655.9400000004</v>
      </c>
    </row>
    <row r="25" spans="1:17">
      <c r="A25" s="175" t="s">
        <v>3747</v>
      </c>
      <c r="B25" s="175" t="s">
        <v>3743</v>
      </c>
      <c r="C25" s="176">
        <v>6</v>
      </c>
      <c r="D25" s="176">
        <v>538</v>
      </c>
      <c r="E25" s="175"/>
      <c r="F25" s="176">
        <v>74418628285020</v>
      </c>
      <c r="G25" s="175" t="s">
        <v>3741</v>
      </c>
      <c r="H25" s="176">
        <v>30683032227</v>
      </c>
      <c r="I25" s="175" t="s">
        <v>3759</v>
      </c>
      <c r="J25" s="176">
        <v>1</v>
      </c>
      <c r="K25" s="175" t="s">
        <v>3742</v>
      </c>
      <c r="L25" s="181">
        <v>1474238.32</v>
      </c>
      <c r="M25" s="176">
        <v>0</v>
      </c>
      <c r="N25" s="176">
        <v>0</v>
      </c>
      <c r="O25" s="176">
        <v>0</v>
      </c>
      <c r="P25" s="181">
        <v>309590.05</v>
      </c>
      <c r="Q25" s="181">
        <v>1783828.37</v>
      </c>
    </row>
    <row r="26" spans="1:17">
      <c r="A26" s="175" t="s">
        <v>3751</v>
      </c>
      <c r="B26" s="175" t="s">
        <v>3743</v>
      </c>
      <c r="C26" s="176">
        <v>6</v>
      </c>
      <c r="D26" s="176">
        <v>539</v>
      </c>
      <c r="E26" s="175"/>
      <c r="F26" s="176">
        <v>74418947858394</v>
      </c>
      <c r="G26" s="175" t="s">
        <v>3741</v>
      </c>
      <c r="H26" s="176">
        <v>30683032227</v>
      </c>
      <c r="I26" s="175" t="s">
        <v>3759</v>
      </c>
      <c r="J26" s="176">
        <v>1</v>
      </c>
      <c r="K26" s="175" t="s">
        <v>3742</v>
      </c>
      <c r="L26" s="180">
        <v>1860500</v>
      </c>
      <c r="M26" s="176">
        <v>0</v>
      </c>
      <c r="N26" s="176">
        <v>0</v>
      </c>
      <c r="O26" s="176">
        <v>0</v>
      </c>
      <c r="P26" s="180">
        <v>390705</v>
      </c>
      <c r="Q26" s="180">
        <v>2251205</v>
      </c>
    </row>
    <row r="27" spans="1:17">
      <c r="A27" s="175" t="s">
        <v>3752</v>
      </c>
      <c r="B27" s="175" t="s">
        <v>3743</v>
      </c>
      <c r="C27" s="176">
        <v>6</v>
      </c>
      <c r="D27" s="176">
        <v>540</v>
      </c>
      <c r="E27" s="175"/>
      <c r="F27" s="176">
        <v>74418045262207</v>
      </c>
      <c r="G27" s="175" t="s">
        <v>3741</v>
      </c>
      <c r="H27" s="176">
        <v>30522428163</v>
      </c>
      <c r="I27" s="175" t="s">
        <v>2712</v>
      </c>
      <c r="J27" s="176">
        <v>1</v>
      </c>
      <c r="K27" s="175" t="s">
        <v>3742</v>
      </c>
      <c r="L27" s="181">
        <v>1790082.64</v>
      </c>
      <c r="M27" s="176">
        <v>0</v>
      </c>
      <c r="N27" s="176">
        <v>0</v>
      </c>
      <c r="O27" s="176">
        <v>0</v>
      </c>
      <c r="P27" s="181">
        <v>375917.36</v>
      </c>
      <c r="Q27" s="180">
        <v>2166000</v>
      </c>
    </row>
    <row r="28" spans="1:17">
      <c r="A28" s="175" t="s">
        <v>3752</v>
      </c>
      <c r="B28" s="175" t="s">
        <v>3743</v>
      </c>
      <c r="C28" s="176">
        <v>6</v>
      </c>
      <c r="D28" s="176">
        <v>541</v>
      </c>
      <c r="E28" s="175"/>
      <c r="F28" s="176">
        <v>74418078594443</v>
      </c>
      <c r="G28" s="175" t="s">
        <v>3741</v>
      </c>
      <c r="H28" s="176">
        <v>30546771314</v>
      </c>
      <c r="I28" s="175" t="s">
        <v>3762</v>
      </c>
      <c r="J28" s="176">
        <v>1</v>
      </c>
      <c r="K28" s="175" t="s">
        <v>3742</v>
      </c>
      <c r="L28" s="179">
        <v>1223140.5</v>
      </c>
      <c r="M28" s="176">
        <v>0</v>
      </c>
      <c r="N28" s="176">
        <v>0</v>
      </c>
      <c r="O28" s="176">
        <v>0</v>
      </c>
      <c r="P28" s="179">
        <v>256859.5</v>
      </c>
      <c r="Q28" s="180">
        <v>1480000</v>
      </c>
    </row>
    <row r="29" spans="1:17">
      <c r="A29" s="175" t="s">
        <v>3746</v>
      </c>
      <c r="B29" s="175" t="s">
        <v>3740</v>
      </c>
      <c r="C29" s="176">
        <v>7</v>
      </c>
      <c r="D29" s="176">
        <v>2167</v>
      </c>
      <c r="E29" s="175"/>
      <c r="F29" s="176">
        <v>74408103654758</v>
      </c>
      <c r="G29" s="175" t="s">
        <v>3741</v>
      </c>
      <c r="H29" s="176">
        <v>30522428163</v>
      </c>
      <c r="I29" s="175" t="s">
        <v>2712</v>
      </c>
      <c r="J29" s="176">
        <v>1</v>
      </c>
      <c r="K29" s="175" t="s">
        <v>3742</v>
      </c>
      <c r="L29" s="181">
        <v>94164.44</v>
      </c>
      <c r="M29" s="176">
        <v>0</v>
      </c>
      <c r="N29" s="176">
        <v>0</v>
      </c>
      <c r="O29" s="176">
        <v>0</v>
      </c>
      <c r="P29" s="181">
        <v>19774.53</v>
      </c>
      <c r="Q29" s="181">
        <v>113938.97</v>
      </c>
    </row>
    <row r="30" spans="1:17">
      <c r="A30" s="175" t="s">
        <v>3753</v>
      </c>
      <c r="B30" s="175" t="s">
        <v>3740</v>
      </c>
      <c r="C30" s="176">
        <v>7</v>
      </c>
      <c r="D30" s="176">
        <v>2168</v>
      </c>
      <c r="E30" s="175"/>
      <c r="F30" s="176">
        <v>74408316978690</v>
      </c>
      <c r="G30" s="175" t="s">
        <v>3741</v>
      </c>
      <c r="H30" s="176">
        <v>30715186655</v>
      </c>
      <c r="I30" s="175" t="s">
        <v>3754</v>
      </c>
      <c r="J30" s="176">
        <v>1</v>
      </c>
      <c r="K30" s="175" t="s">
        <v>3742</v>
      </c>
      <c r="L30" s="181">
        <v>474097.79</v>
      </c>
      <c r="M30" s="176">
        <v>0</v>
      </c>
      <c r="N30" s="176">
        <v>0</v>
      </c>
      <c r="O30" s="176">
        <v>0</v>
      </c>
      <c r="P30" s="181">
        <v>99560.54</v>
      </c>
      <c r="Q30" s="181">
        <v>573658.32999999996</v>
      </c>
    </row>
    <row r="31" spans="1:17">
      <c r="A31" s="175" t="s">
        <v>3753</v>
      </c>
      <c r="B31" s="175" t="s">
        <v>3740</v>
      </c>
      <c r="C31" s="176">
        <v>7</v>
      </c>
      <c r="D31" s="176">
        <v>2169</v>
      </c>
      <c r="E31" s="175"/>
      <c r="F31" s="176">
        <v>74408319440955</v>
      </c>
      <c r="G31" s="175" t="s">
        <v>3741</v>
      </c>
      <c r="H31" s="176">
        <v>30590412631</v>
      </c>
      <c r="I31" s="175" t="s">
        <v>3755</v>
      </c>
      <c r="J31" s="176">
        <v>1</v>
      </c>
      <c r="K31" s="175" t="s">
        <v>3742</v>
      </c>
      <c r="L31" s="181">
        <v>411570.25</v>
      </c>
      <c r="M31" s="176">
        <v>0</v>
      </c>
      <c r="N31" s="176">
        <v>0</v>
      </c>
      <c r="O31" s="176">
        <v>0</v>
      </c>
      <c r="P31" s="181">
        <v>86429.75</v>
      </c>
      <c r="Q31" s="180">
        <v>498000</v>
      </c>
    </row>
    <row r="32" spans="1:17">
      <c r="A32" s="175" t="s">
        <v>3753</v>
      </c>
      <c r="B32" s="175" t="s">
        <v>3740</v>
      </c>
      <c r="C32" s="176">
        <v>7</v>
      </c>
      <c r="D32" s="176">
        <v>2170</v>
      </c>
      <c r="E32" s="175"/>
      <c r="F32" s="176">
        <v>74408321803168</v>
      </c>
      <c r="G32" s="175" t="s">
        <v>3741</v>
      </c>
      <c r="H32" s="176">
        <v>30500053522</v>
      </c>
      <c r="I32" s="175" t="s">
        <v>3756</v>
      </c>
      <c r="J32" s="176">
        <v>1</v>
      </c>
      <c r="K32" s="175" t="s">
        <v>3742</v>
      </c>
      <c r="L32" s="181">
        <v>65950.41</v>
      </c>
      <c r="M32" s="176">
        <v>0</v>
      </c>
      <c r="N32" s="176">
        <v>0</v>
      </c>
      <c r="O32" s="176">
        <v>0</v>
      </c>
      <c r="P32" s="181">
        <v>13849.59</v>
      </c>
      <c r="Q32" s="180">
        <v>79800</v>
      </c>
    </row>
    <row r="33" spans="1:17">
      <c r="A33" s="175" t="s">
        <v>3753</v>
      </c>
      <c r="B33" s="175" t="s">
        <v>3740</v>
      </c>
      <c r="C33" s="176">
        <v>7</v>
      </c>
      <c r="D33" s="176">
        <v>2171</v>
      </c>
      <c r="E33" s="175"/>
      <c r="F33" s="176">
        <v>74408366361334</v>
      </c>
      <c r="G33" s="175" t="s">
        <v>3741</v>
      </c>
      <c r="H33" s="176">
        <v>30710538014</v>
      </c>
      <c r="I33" s="175" t="s">
        <v>3757</v>
      </c>
      <c r="J33" s="176">
        <v>1</v>
      </c>
      <c r="K33" s="175" t="s">
        <v>3742</v>
      </c>
      <c r="L33" s="181">
        <v>418429.75</v>
      </c>
      <c r="M33" s="176">
        <v>0</v>
      </c>
      <c r="N33" s="176">
        <v>0</v>
      </c>
      <c r="O33" s="176">
        <v>0</v>
      </c>
      <c r="P33" s="181">
        <v>87870.25</v>
      </c>
      <c r="Q33" s="180">
        <v>506300</v>
      </c>
    </row>
    <row r="34" spans="1:17">
      <c r="A34" s="175" t="s">
        <v>3747</v>
      </c>
      <c r="B34" s="175" t="s">
        <v>3740</v>
      </c>
      <c r="C34" s="176">
        <v>7</v>
      </c>
      <c r="D34" s="176">
        <v>2172</v>
      </c>
      <c r="E34" s="175"/>
      <c r="F34" s="176">
        <v>74418647857079</v>
      </c>
      <c r="G34" s="175" t="s">
        <v>3741</v>
      </c>
      <c r="H34" s="176">
        <v>30608716390</v>
      </c>
      <c r="I34" s="175" t="s">
        <v>3761</v>
      </c>
      <c r="J34" s="176">
        <v>1</v>
      </c>
      <c r="K34" s="175" t="s">
        <v>3742</v>
      </c>
      <c r="L34" s="181">
        <v>165289.25</v>
      </c>
      <c r="M34" s="176">
        <v>0</v>
      </c>
      <c r="N34" s="176">
        <v>0</v>
      </c>
      <c r="O34" s="176">
        <v>0</v>
      </c>
      <c r="P34" s="181">
        <v>34710.75</v>
      </c>
      <c r="Q34" s="180">
        <v>200000</v>
      </c>
    </row>
    <row r="35" spans="1:17">
      <c r="A35" s="175" t="s">
        <v>3747</v>
      </c>
      <c r="B35" s="175" t="s">
        <v>3740</v>
      </c>
      <c r="C35" s="176">
        <v>7</v>
      </c>
      <c r="D35" s="176">
        <v>2173</v>
      </c>
      <c r="E35" s="175"/>
      <c r="F35" s="176">
        <v>74418654117062</v>
      </c>
      <c r="G35" s="175" t="s">
        <v>3741</v>
      </c>
      <c r="H35" s="176">
        <v>30546771314</v>
      </c>
      <c r="I35" s="175" t="s">
        <v>3762</v>
      </c>
      <c r="J35" s="176">
        <v>1</v>
      </c>
      <c r="K35" s="175" t="s">
        <v>3742</v>
      </c>
      <c r="L35" s="181">
        <v>47933.88</v>
      </c>
      <c r="M35" s="176">
        <v>0</v>
      </c>
      <c r="N35" s="176">
        <v>0</v>
      </c>
      <c r="O35" s="176">
        <v>0</v>
      </c>
      <c r="P35" s="181">
        <v>10066.120000000001</v>
      </c>
      <c r="Q35" s="180">
        <v>58000</v>
      </c>
    </row>
    <row r="36" spans="1:17">
      <c r="A36" s="175" t="s">
        <v>3747</v>
      </c>
      <c r="B36" s="175" t="s">
        <v>3740</v>
      </c>
      <c r="C36" s="176">
        <v>7</v>
      </c>
      <c r="D36" s="176">
        <v>2174</v>
      </c>
      <c r="E36" s="175"/>
      <c r="F36" s="176">
        <v>74418669430169</v>
      </c>
      <c r="G36" s="175" t="s">
        <v>3741</v>
      </c>
      <c r="H36" s="176">
        <v>30546771314</v>
      </c>
      <c r="I36" s="175" t="s">
        <v>3762</v>
      </c>
      <c r="J36" s="176">
        <v>1</v>
      </c>
      <c r="K36" s="175" t="s">
        <v>3742</v>
      </c>
      <c r="L36" s="181">
        <v>400826.45</v>
      </c>
      <c r="M36" s="176">
        <v>0</v>
      </c>
      <c r="N36" s="176">
        <v>0</v>
      </c>
      <c r="O36" s="176">
        <v>0</v>
      </c>
      <c r="P36" s="181">
        <v>84173.55</v>
      </c>
      <c r="Q36" s="180">
        <v>485000</v>
      </c>
    </row>
    <row r="37" spans="1:17">
      <c r="A37" s="175" t="s">
        <v>3747</v>
      </c>
      <c r="B37" s="175" t="s">
        <v>3740</v>
      </c>
      <c r="C37" s="176">
        <v>7</v>
      </c>
      <c r="D37" s="176">
        <v>2175</v>
      </c>
      <c r="E37" s="175"/>
      <c r="F37" s="176">
        <v>74418675357446</v>
      </c>
      <c r="G37" s="175" t="s">
        <v>3741</v>
      </c>
      <c r="H37" s="176">
        <v>30608716390</v>
      </c>
      <c r="I37" s="175" t="s">
        <v>3761</v>
      </c>
      <c r="J37" s="176">
        <v>1</v>
      </c>
      <c r="K37" s="175" t="s">
        <v>3742</v>
      </c>
      <c r="L37" s="181">
        <v>7913.63</v>
      </c>
      <c r="M37" s="176">
        <v>0</v>
      </c>
      <c r="N37" s="176">
        <v>0</v>
      </c>
      <c r="O37" s="176">
        <v>0</v>
      </c>
      <c r="P37" s="181">
        <v>1661.87</v>
      </c>
      <c r="Q37" s="179">
        <v>9575.5</v>
      </c>
    </row>
    <row r="38" spans="1:17">
      <c r="A38" s="175" t="s">
        <v>3747</v>
      </c>
      <c r="B38" s="175" t="s">
        <v>3740</v>
      </c>
      <c r="C38" s="176">
        <v>7</v>
      </c>
      <c r="D38" s="176">
        <v>2176</v>
      </c>
      <c r="E38" s="175"/>
      <c r="F38" s="176">
        <v>74418689647082</v>
      </c>
      <c r="G38" s="175" t="s">
        <v>3741</v>
      </c>
      <c r="H38" s="176">
        <v>30608716390</v>
      </c>
      <c r="I38" s="175" t="s">
        <v>3761</v>
      </c>
      <c r="J38" s="176">
        <v>1</v>
      </c>
      <c r="K38" s="175" t="s">
        <v>3742</v>
      </c>
      <c r="L38" s="180">
        <v>15000</v>
      </c>
      <c r="M38" s="176">
        <v>0</v>
      </c>
      <c r="N38" s="176">
        <v>0</v>
      </c>
      <c r="O38" s="176">
        <v>0</v>
      </c>
      <c r="P38" s="180">
        <v>3150</v>
      </c>
      <c r="Q38" s="180">
        <v>18150</v>
      </c>
    </row>
    <row r="39" spans="1:17">
      <c r="A39" s="175" t="s">
        <v>3747</v>
      </c>
      <c r="B39" s="175" t="s">
        <v>3740</v>
      </c>
      <c r="C39" s="176">
        <v>7</v>
      </c>
      <c r="D39" s="176">
        <v>2177</v>
      </c>
      <c r="E39" s="175"/>
      <c r="F39" s="176">
        <v>74418691849336</v>
      </c>
      <c r="G39" s="175" t="s">
        <v>3741</v>
      </c>
      <c r="H39" s="176">
        <v>30608716390</v>
      </c>
      <c r="I39" s="175" t="s">
        <v>3761</v>
      </c>
      <c r="J39" s="176">
        <v>1</v>
      </c>
      <c r="K39" s="175" t="s">
        <v>3742</v>
      </c>
      <c r="L39" s="181">
        <v>48801.65</v>
      </c>
      <c r="M39" s="176">
        <v>0</v>
      </c>
      <c r="N39" s="176">
        <v>0</v>
      </c>
      <c r="O39" s="176">
        <v>0</v>
      </c>
      <c r="P39" s="181">
        <v>10248.35</v>
      </c>
      <c r="Q39" s="180">
        <v>59050</v>
      </c>
    </row>
    <row r="40" spans="1:17">
      <c r="A40" s="175" t="s">
        <v>3750</v>
      </c>
      <c r="B40" s="175" t="s">
        <v>3740</v>
      </c>
      <c r="C40" s="176">
        <v>7</v>
      </c>
      <c r="D40" s="176">
        <v>2178</v>
      </c>
      <c r="E40" s="175"/>
      <c r="F40" s="176">
        <v>74418832797315</v>
      </c>
      <c r="G40" s="175" t="s">
        <v>3741</v>
      </c>
      <c r="H40" s="176">
        <v>30709016012</v>
      </c>
      <c r="I40" s="175" t="s">
        <v>3765</v>
      </c>
      <c r="J40" s="176">
        <v>1</v>
      </c>
      <c r="K40" s="175" t="s">
        <v>3742</v>
      </c>
      <c r="L40" s="181">
        <v>174660.33</v>
      </c>
      <c r="M40" s="176">
        <v>0</v>
      </c>
      <c r="N40" s="176">
        <v>0</v>
      </c>
      <c r="O40" s="176">
        <v>0</v>
      </c>
      <c r="P40" s="181">
        <v>36678.67</v>
      </c>
      <c r="Q40" s="180">
        <v>211339</v>
      </c>
    </row>
    <row r="41" spans="1:17">
      <c r="A41" s="175" t="s">
        <v>3751</v>
      </c>
      <c r="B41" s="175" t="s">
        <v>3740</v>
      </c>
      <c r="C41" s="176">
        <v>7</v>
      </c>
      <c r="D41" s="176">
        <v>2179</v>
      </c>
      <c r="E41" s="175"/>
      <c r="F41" s="176">
        <v>74418894340309</v>
      </c>
      <c r="G41" s="175" t="s">
        <v>3741</v>
      </c>
      <c r="H41" s="176">
        <v>30709016012</v>
      </c>
      <c r="I41" s="175" t="s">
        <v>3765</v>
      </c>
      <c r="J41" s="176">
        <v>1</v>
      </c>
      <c r="K41" s="175" t="s">
        <v>3742</v>
      </c>
      <c r="L41" s="181">
        <v>550413.22</v>
      </c>
      <c r="M41" s="176">
        <v>0</v>
      </c>
      <c r="N41" s="176">
        <v>0</v>
      </c>
      <c r="O41" s="176">
        <v>0</v>
      </c>
      <c r="P41" s="181">
        <v>115586.78</v>
      </c>
      <c r="Q41" s="180">
        <v>666000</v>
      </c>
    </row>
    <row r="42" spans="1:17">
      <c r="A42" s="175" t="s">
        <v>3751</v>
      </c>
      <c r="B42" s="175" t="s">
        <v>3740</v>
      </c>
      <c r="C42" s="176">
        <v>7</v>
      </c>
      <c r="D42" s="176">
        <v>2180</v>
      </c>
      <c r="E42" s="175"/>
      <c r="F42" s="176">
        <v>74418927703083</v>
      </c>
      <c r="G42" s="175" t="s">
        <v>3741</v>
      </c>
      <c r="H42" s="176">
        <v>30546771314</v>
      </c>
      <c r="I42" s="175" t="s">
        <v>3762</v>
      </c>
      <c r="J42" s="176">
        <v>1</v>
      </c>
      <c r="K42" s="175" t="s">
        <v>3742</v>
      </c>
      <c r="L42" s="181">
        <v>55900.83</v>
      </c>
      <c r="M42" s="176">
        <v>0</v>
      </c>
      <c r="N42" s="176">
        <v>0</v>
      </c>
      <c r="O42" s="176">
        <v>0</v>
      </c>
      <c r="P42" s="181">
        <v>11739.17</v>
      </c>
      <c r="Q42" s="180">
        <v>67640</v>
      </c>
    </row>
    <row r="43" spans="1:17">
      <c r="A43" s="175" t="s">
        <v>3751</v>
      </c>
      <c r="B43" s="175" t="s">
        <v>3740</v>
      </c>
      <c r="C43" s="176">
        <v>7</v>
      </c>
      <c r="D43" s="176">
        <v>2181</v>
      </c>
      <c r="E43" s="175"/>
      <c r="F43" s="176">
        <v>74418934233149</v>
      </c>
      <c r="G43" s="175" t="s">
        <v>3741</v>
      </c>
      <c r="H43" s="176">
        <v>30608716390</v>
      </c>
      <c r="I43" s="175" t="s">
        <v>3761</v>
      </c>
      <c r="J43" s="176">
        <v>1</v>
      </c>
      <c r="K43" s="175" t="s">
        <v>3742</v>
      </c>
      <c r="L43" s="180">
        <v>7500</v>
      </c>
      <c r="M43" s="176">
        <v>0</v>
      </c>
      <c r="N43" s="176">
        <v>0</v>
      </c>
      <c r="O43" s="176">
        <v>0</v>
      </c>
      <c r="P43" s="180">
        <v>1575</v>
      </c>
      <c r="Q43" s="180">
        <v>9075</v>
      </c>
    </row>
    <row r="44" spans="1:17">
      <c r="A44" s="175" t="s">
        <v>3751</v>
      </c>
      <c r="B44" s="175" t="s">
        <v>3740</v>
      </c>
      <c r="C44" s="176">
        <v>7</v>
      </c>
      <c r="D44" s="176">
        <v>2182</v>
      </c>
      <c r="E44" s="175"/>
      <c r="F44" s="176">
        <v>74418935073436</v>
      </c>
      <c r="G44" s="175" t="s">
        <v>3741</v>
      </c>
      <c r="H44" s="176">
        <v>30608716390</v>
      </c>
      <c r="I44" s="175" t="s">
        <v>3761</v>
      </c>
      <c r="J44" s="176">
        <v>1</v>
      </c>
      <c r="K44" s="175" t="s">
        <v>3742</v>
      </c>
      <c r="L44" s="180">
        <v>7500</v>
      </c>
      <c r="M44" s="176">
        <v>0</v>
      </c>
      <c r="N44" s="176">
        <v>0</v>
      </c>
      <c r="O44" s="176">
        <v>0</v>
      </c>
      <c r="P44" s="180">
        <v>1575</v>
      </c>
      <c r="Q44" s="180">
        <v>9075</v>
      </c>
    </row>
    <row r="45" spans="1:17">
      <c r="A45" s="175" t="s">
        <v>3751</v>
      </c>
      <c r="B45" s="175" t="s">
        <v>3740</v>
      </c>
      <c r="C45" s="176">
        <v>7</v>
      </c>
      <c r="D45" s="176">
        <v>2183</v>
      </c>
      <c r="E45" s="175"/>
      <c r="F45" s="176">
        <v>74418938153273</v>
      </c>
      <c r="G45" s="175" t="s">
        <v>3741</v>
      </c>
      <c r="H45" s="176">
        <v>30608716390</v>
      </c>
      <c r="I45" s="175" t="s">
        <v>3761</v>
      </c>
      <c r="J45" s="176">
        <v>1</v>
      </c>
      <c r="K45" s="175" t="s">
        <v>3742</v>
      </c>
      <c r="L45" s="179">
        <v>6384.3</v>
      </c>
      <c r="M45" s="176">
        <v>0</v>
      </c>
      <c r="N45" s="176">
        <v>0</v>
      </c>
      <c r="O45" s="176">
        <v>0</v>
      </c>
      <c r="P45" s="179">
        <v>1340.7</v>
      </c>
      <c r="Q45" s="180">
        <v>7725</v>
      </c>
    </row>
    <row r="46" spans="1:17">
      <c r="A46" s="175" t="s">
        <v>3751</v>
      </c>
      <c r="B46" s="175" t="s">
        <v>3740</v>
      </c>
      <c r="C46" s="176">
        <v>7</v>
      </c>
      <c r="D46" s="176">
        <v>2184</v>
      </c>
      <c r="E46" s="175"/>
      <c r="F46" s="176">
        <v>74418952953435</v>
      </c>
      <c r="G46" s="175" t="s">
        <v>3741</v>
      </c>
      <c r="H46" s="176">
        <v>30608716390</v>
      </c>
      <c r="I46" s="175" t="s">
        <v>3761</v>
      </c>
      <c r="J46" s="176">
        <v>1</v>
      </c>
      <c r="K46" s="175" t="s">
        <v>3742</v>
      </c>
      <c r="L46" s="180">
        <v>15000</v>
      </c>
      <c r="M46" s="176">
        <v>0</v>
      </c>
      <c r="N46" s="176">
        <v>0</v>
      </c>
      <c r="O46" s="176">
        <v>0</v>
      </c>
      <c r="P46" s="180">
        <v>3150</v>
      </c>
      <c r="Q46" s="180">
        <v>18150</v>
      </c>
    </row>
    <row r="47" spans="1:17">
      <c r="A47" s="175" t="s">
        <v>3751</v>
      </c>
      <c r="B47" s="175" t="s">
        <v>3740</v>
      </c>
      <c r="C47" s="176">
        <v>7</v>
      </c>
      <c r="D47" s="176">
        <v>2185</v>
      </c>
      <c r="E47" s="175"/>
      <c r="F47" s="176">
        <v>74418953720163</v>
      </c>
      <c r="G47" s="175" t="s">
        <v>3741</v>
      </c>
      <c r="H47" s="176">
        <v>30608716390</v>
      </c>
      <c r="I47" s="175" t="s">
        <v>3761</v>
      </c>
      <c r="J47" s="176">
        <v>1</v>
      </c>
      <c r="K47" s="175" t="s">
        <v>3742</v>
      </c>
      <c r="L47" s="180">
        <v>15000</v>
      </c>
      <c r="M47" s="176">
        <v>0</v>
      </c>
      <c r="N47" s="176">
        <v>0</v>
      </c>
      <c r="O47" s="176">
        <v>0</v>
      </c>
      <c r="P47" s="180">
        <v>3150</v>
      </c>
      <c r="Q47" s="180">
        <v>18150</v>
      </c>
    </row>
    <row r="48" spans="1:17">
      <c r="A48" s="175" t="s">
        <v>3751</v>
      </c>
      <c r="B48" s="175" t="s">
        <v>3740</v>
      </c>
      <c r="C48" s="176">
        <v>7</v>
      </c>
      <c r="D48" s="176">
        <v>2186</v>
      </c>
      <c r="E48" s="175"/>
      <c r="F48" s="176">
        <v>74418954104801</v>
      </c>
      <c r="G48" s="175" t="s">
        <v>3741</v>
      </c>
      <c r="H48" s="176">
        <v>30608716390</v>
      </c>
      <c r="I48" s="175" t="s">
        <v>3761</v>
      </c>
      <c r="J48" s="176">
        <v>1</v>
      </c>
      <c r="K48" s="175" t="s">
        <v>3742</v>
      </c>
      <c r="L48" s="181">
        <v>36652.89</v>
      </c>
      <c r="M48" s="176">
        <v>0</v>
      </c>
      <c r="N48" s="176">
        <v>0</v>
      </c>
      <c r="O48" s="176">
        <v>0</v>
      </c>
      <c r="P48" s="181">
        <v>7697.11</v>
      </c>
      <c r="Q48" s="180">
        <v>44350</v>
      </c>
    </row>
    <row r="49" spans="1:17">
      <c r="A49" s="175" t="s">
        <v>3751</v>
      </c>
      <c r="B49" s="175" t="s">
        <v>3740</v>
      </c>
      <c r="C49" s="176">
        <v>7</v>
      </c>
      <c r="D49" s="176">
        <v>2187</v>
      </c>
      <c r="E49" s="175"/>
      <c r="F49" s="176">
        <v>74418955236088</v>
      </c>
      <c r="G49" s="175" t="s">
        <v>3741</v>
      </c>
      <c r="H49" s="176">
        <v>30608716390</v>
      </c>
      <c r="I49" s="175" t="s">
        <v>3761</v>
      </c>
      <c r="J49" s="176">
        <v>1</v>
      </c>
      <c r="K49" s="175" t="s">
        <v>3742</v>
      </c>
      <c r="L49" s="181">
        <v>50173.55</v>
      </c>
      <c r="M49" s="176">
        <v>0</v>
      </c>
      <c r="N49" s="176">
        <v>0</v>
      </c>
      <c r="O49" s="176">
        <v>0</v>
      </c>
      <c r="P49" s="181">
        <v>10536.45</v>
      </c>
      <c r="Q49" s="180">
        <v>60710</v>
      </c>
    </row>
    <row r="50" spans="1:17">
      <c r="A50" s="175" t="s">
        <v>3751</v>
      </c>
      <c r="B50" s="175" t="s">
        <v>3740</v>
      </c>
      <c r="C50" s="176">
        <v>7</v>
      </c>
      <c r="D50" s="176">
        <v>2188</v>
      </c>
      <c r="E50" s="175"/>
      <c r="F50" s="176">
        <v>74418955641152</v>
      </c>
      <c r="G50" s="175" t="s">
        <v>3741</v>
      </c>
      <c r="H50" s="176">
        <v>30608716390</v>
      </c>
      <c r="I50" s="175" t="s">
        <v>3761</v>
      </c>
      <c r="J50" s="176">
        <v>1</v>
      </c>
      <c r="K50" s="175" t="s">
        <v>3742</v>
      </c>
      <c r="L50" s="181">
        <v>18041.32</v>
      </c>
      <c r="M50" s="176">
        <v>0</v>
      </c>
      <c r="N50" s="176">
        <v>0</v>
      </c>
      <c r="O50" s="176">
        <v>0</v>
      </c>
      <c r="P50" s="181">
        <v>3788.68</v>
      </c>
      <c r="Q50" s="180">
        <v>21830</v>
      </c>
    </row>
    <row r="51" spans="1:17">
      <c r="A51" s="175" t="s">
        <v>3751</v>
      </c>
      <c r="B51" s="175" t="s">
        <v>3740</v>
      </c>
      <c r="C51" s="176">
        <v>7</v>
      </c>
      <c r="D51" s="176">
        <v>2189</v>
      </c>
      <c r="E51" s="175"/>
      <c r="F51" s="176">
        <v>74418956428820</v>
      </c>
      <c r="G51" s="175" t="s">
        <v>3741</v>
      </c>
      <c r="H51" s="176">
        <v>30608716390</v>
      </c>
      <c r="I51" s="175" t="s">
        <v>3761</v>
      </c>
      <c r="J51" s="176">
        <v>1</v>
      </c>
      <c r="K51" s="175" t="s">
        <v>3742</v>
      </c>
      <c r="L51" s="181">
        <v>34421.49</v>
      </c>
      <c r="M51" s="176">
        <v>0</v>
      </c>
      <c r="N51" s="176">
        <v>0</v>
      </c>
      <c r="O51" s="176">
        <v>0</v>
      </c>
      <c r="P51" s="181">
        <v>7228.51</v>
      </c>
      <c r="Q51" s="180">
        <v>41650</v>
      </c>
    </row>
    <row r="52" spans="1:17">
      <c r="A52" s="175" t="s">
        <v>3751</v>
      </c>
      <c r="B52" s="175" t="s">
        <v>3740</v>
      </c>
      <c r="C52" s="176">
        <v>7</v>
      </c>
      <c r="D52" s="176">
        <v>2190</v>
      </c>
      <c r="E52" s="175"/>
      <c r="F52" s="176">
        <v>74418957932912</v>
      </c>
      <c r="G52" s="175" t="s">
        <v>3741</v>
      </c>
      <c r="H52" s="176">
        <v>30608716390</v>
      </c>
      <c r="I52" s="175" t="s">
        <v>3761</v>
      </c>
      <c r="J52" s="176">
        <v>1</v>
      </c>
      <c r="K52" s="175" t="s">
        <v>3742</v>
      </c>
      <c r="L52" s="179">
        <v>12768.6</v>
      </c>
      <c r="M52" s="176">
        <v>0</v>
      </c>
      <c r="N52" s="176">
        <v>0</v>
      </c>
      <c r="O52" s="176">
        <v>0</v>
      </c>
      <c r="P52" s="179">
        <v>2681.4</v>
      </c>
      <c r="Q52" s="180">
        <v>15450</v>
      </c>
    </row>
    <row r="53" spans="1:17">
      <c r="A53" s="175" t="s">
        <v>3751</v>
      </c>
      <c r="B53" s="175" t="s">
        <v>3740</v>
      </c>
      <c r="C53" s="176">
        <v>7</v>
      </c>
      <c r="D53" s="176">
        <v>2191</v>
      </c>
      <c r="E53" s="175"/>
      <c r="F53" s="176">
        <v>74418958364323</v>
      </c>
      <c r="G53" s="175" t="s">
        <v>3741</v>
      </c>
      <c r="H53" s="176">
        <v>30608716390</v>
      </c>
      <c r="I53" s="175" t="s">
        <v>3761</v>
      </c>
      <c r="J53" s="176">
        <v>1</v>
      </c>
      <c r="K53" s="175" t="s">
        <v>3742</v>
      </c>
      <c r="L53" s="180">
        <v>15000</v>
      </c>
      <c r="M53" s="176">
        <v>0</v>
      </c>
      <c r="N53" s="176">
        <v>0</v>
      </c>
      <c r="O53" s="176">
        <v>0</v>
      </c>
      <c r="P53" s="180">
        <v>3150</v>
      </c>
      <c r="Q53" s="180">
        <v>18150</v>
      </c>
    </row>
    <row r="54" spans="1:17">
      <c r="A54" s="175" t="s">
        <v>3751</v>
      </c>
      <c r="B54" s="175" t="s">
        <v>3740</v>
      </c>
      <c r="C54" s="176">
        <v>7</v>
      </c>
      <c r="D54" s="176">
        <v>2192</v>
      </c>
      <c r="E54" s="175"/>
      <c r="F54" s="176">
        <v>74418959797206</v>
      </c>
      <c r="G54" s="175" t="s">
        <v>3741</v>
      </c>
      <c r="H54" s="176">
        <v>30608716390</v>
      </c>
      <c r="I54" s="175" t="s">
        <v>3761</v>
      </c>
      <c r="J54" s="176">
        <v>1</v>
      </c>
      <c r="K54" s="175" t="s">
        <v>3742</v>
      </c>
      <c r="L54" s="180">
        <v>15000</v>
      </c>
      <c r="M54" s="176">
        <v>0</v>
      </c>
      <c r="N54" s="176">
        <v>0</v>
      </c>
      <c r="O54" s="176">
        <v>0</v>
      </c>
      <c r="P54" s="180">
        <v>3150</v>
      </c>
      <c r="Q54" s="180">
        <v>18150</v>
      </c>
    </row>
    <row r="55" spans="1:17">
      <c r="A55" s="175" t="s">
        <v>3751</v>
      </c>
      <c r="B55" s="175" t="s">
        <v>3740</v>
      </c>
      <c r="C55" s="176">
        <v>7</v>
      </c>
      <c r="D55" s="176">
        <v>2193</v>
      </c>
      <c r="E55" s="175"/>
      <c r="F55" s="176">
        <v>74418960103330</v>
      </c>
      <c r="G55" s="175" t="s">
        <v>3741</v>
      </c>
      <c r="H55" s="176">
        <v>30608716390</v>
      </c>
      <c r="I55" s="175" t="s">
        <v>3761</v>
      </c>
      <c r="J55" s="176">
        <v>1</v>
      </c>
      <c r="K55" s="175" t="s">
        <v>3742</v>
      </c>
      <c r="L55" s="180">
        <v>15000</v>
      </c>
      <c r="M55" s="176">
        <v>0</v>
      </c>
      <c r="N55" s="176">
        <v>0</v>
      </c>
      <c r="O55" s="176">
        <v>0</v>
      </c>
      <c r="P55" s="180">
        <v>3150</v>
      </c>
      <c r="Q55" s="180">
        <v>18150</v>
      </c>
    </row>
    <row r="56" spans="1:17">
      <c r="A56" s="175" t="s">
        <v>3751</v>
      </c>
      <c r="B56" s="175" t="s">
        <v>3740</v>
      </c>
      <c r="C56" s="176">
        <v>7</v>
      </c>
      <c r="D56" s="176">
        <v>2194</v>
      </c>
      <c r="E56" s="175"/>
      <c r="F56" s="176">
        <v>74418960506768</v>
      </c>
      <c r="G56" s="175" t="s">
        <v>3741</v>
      </c>
      <c r="H56" s="176">
        <v>30608716390</v>
      </c>
      <c r="I56" s="175" t="s">
        <v>3761</v>
      </c>
      <c r="J56" s="176">
        <v>1</v>
      </c>
      <c r="K56" s="175" t="s">
        <v>3742</v>
      </c>
      <c r="L56" s="181">
        <v>21652.89</v>
      </c>
      <c r="M56" s="176">
        <v>0</v>
      </c>
      <c r="N56" s="176">
        <v>0</v>
      </c>
      <c r="O56" s="176">
        <v>0</v>
      </c>
      <c r="P56" s="181">
        <v>4547.1099999999997</v>
      </c>
      <c r="Q56" s="180">
        <v>26200</v>
      </c>
    </row>
    <row r="57" spans="1:17">
      <c r="A57" s="175" t="s">
        <v>3752</v>
      </c>
      <c r="B57" s="175" t="s">
        <v>3740</v>
      </c>
      <c r="C57" s="176">
        <v>7</v>
      </c>
      <c r="D57" s="176">
        <v>2195</v>
      </c>
      <c r="E57" s="175"/>
      <c r="F57" s="176">
        <v>74418048408249</v>
      </c>
      <c r="G57" s="175" t="s">
        <v>3741</v>
      </c>
      <c r="H57" s="176">
        <v>30608716390</v>
      </c>
      <c r="I57" s="175" t="s">
        <v>3761</v>
      </c>
      <c r="J57" s="176">
        <v>1</v>
      </c>
      <c r="K57" s="175" t="s">
        <v>3742</v>
      </c>
      <c r="L57" s="181">
        <v>319008.26</v>
      </c>
      <c r="M57" s="176">
        <v>0</v>
      </c>
      <c r="N57" s="176">
        <v>0</v>
      </c>
      <c r="O57" s="176">
        <v>0</v>
      </c>
      <c r="P57" s="181">
        <v>66991.740000000005</v>
      </c>
      <c r="Q57" s="180">
        <v>386000</v>
      </c>
    </row>
    <row r="58" spans="1:17">
      <c r="A58" s="175" t="s">
        <v>3752</v>
      </c>
      <c r="B58" s="175" t="s">
        <v>3740</v>
      </c>
      <c r="C58" s="176">
        <v>7</v>
      </c>
      <c r="D58" s="176">
        <v>2196</v>
      </c>
      <c r="E58" s="175"/>
      <c r="F58" s="176">
        <v>74418087166222</v>
      </c>
      <c r="G58" s="175" t="s">
        <v>3741</v>
      </c>
      <c r="H58" s="176">
        <v>30500053522</v>
      </c>
      <c r="I58" s="175" t="s">
        <v>3756</v>
      </c>
      <c r="J58" s="176">
        <v>1</v>
      </c>
      <c r="K58" s="175" t="s">
        <v>3742</v>
      </c>
      <c r="L58" s="181">
        <v>20661.16</v>
      </c>
      <c r="M58" s="176">
        <v>0</v>
      </c>
      <c r="N58" s="176">
        <v>0</v>
      </c>
      <c r="O58" s="176">
        <v>0</v>
      </c>
      <c r="P58" s="181">
        <v>4338.84</v>
      </c>
      <c r="Q58" s="180">
        <v>25000</v>
      </c>
    </row>
    <row r="59" spans="1:17">
      <c r="A59" s="175" t="s">
        <v>3752</v>
      </c>
      <c r="B59" s="175" t="s">
        <v>3740</v>
      </c>
      <c r="C59" s="176">
        <v>7</v>
      </c>
      <c r="D59" s="176">
        <v>2197</v>
      </c>
      <c r="E59" s="175"/>
      <c r="F59" s="176">
        <v>74418087526113</v>
      </c>
      <c r="G59" s="175" t="s">
        <v>3741</v>
      </c>
      <c r="H59" s="176">
        <v>30500053522</v>
      </c>
      <c r="I59" s="175" t="s">
        <v>3756</v>
      </c>
      <c r="J59" s="176">
        <v>1</v>
      </c>
      <c r="K59" s="175" t="s">
        <v>3742</v>
      </c>
      <c r="L59" s="181">
        <v>41033.06</v>
      </c>
      <c r="M59" s="176">
        <v>0</v>
      </c>
      <c r="N59" s="176">
        <v>0</v>
      </c>
      <c r="O59" s="176">
        <v>0</v>
      </c>
      <c r="P59" s="181">
        <v>8616.94</v>
      </c>
      <c r="Q59" s="180">
        <v>49650</v>
      </c>
    </row>
    <row r="60" spans="1:17">
      <c r="A60" s="175" t="s">
        <v>3752</v>
      </c>
      <c r="B60" s="175" t="s">
        <v>3740</v>
      </c>
      <c r="C60" s="176">
        <v>7</v>
      </c>
      <c r="D60" s="176">
        <v>2198</v>
      </c>
      <c r="E60" s="175"/>
      <c r="F60" s="176">
        <v>74418090286333</v>
      </c>
      <c r="G60" s="175" t="s">
        <v>3741</v>
      </c>
      <c r="H60" s="176">
        <v>30608716390</v>
      </c>
      <c r="I60" s="175" t="s">
        <v>3761</v>
      </c>
      <c r="J60" s="176">
        <v>1</v>
      </c>
      <c r="K60" s="175" t="s">
        <v>3742</v>
      </c>
      <c r="L60" s="181">
        <v>36652.89</v>
      </c>
      <c r="M60" s="176">
        <v>0</v>
      </c>
      <c r="N60" s="176">
        <v>0</v>
      </c>
      <c r="O60" s="176">
        <v>0</v>
      </c>
      <c r="P60" s="181">
        <v>7697.11</v>
      </c>
      <c r="Q60" s="180">
        <v>44350</v>
      </c>
    </row>
    <row r="61" spans="1:17">
      <c r="A61" s="175" t="s">
        <v>3760</v>
      </c>
      <c r="B61" s="175" t="s">
        <v>3740</v>
      </c>
      <c r="C61" s="176">
        <v>7</v>
      </c>
      <c r="D61" s="176">
        <v>2199</v>
      </c>
      <c r="E61" s="175"/>
      <c r="F61" s="176">
        <v>74428444221464</v>
      </c>
      <c r="G61" s="175" t="s">
        <v>3741</v>
      </c>
      <c r="H61" s="176">
        <v>30707612971</v>
      </c>
      <c r="I61" s="175" t="s">
        <v>3771</v>
      </c>
      <c r="J61" s="176">
        <v>1</v>
      </c>
      <c r="K61" s="175" t="s">
        <v>3742</v>
      </c>
      <c r="L61" s="181">
        <v>51347.11</v>
      </c>
      <c r="M61" s="176">
        <v>0</v>
      </c>
      <c r="N61" s="176">
        <v>0</v>
      </c>
      <c r="O61" s="176">
        <v>0</v>
      </c>
      <c r="P61" s="181">
        <v>10782.89</v>
      </c>
      <c r="Q61" s="180">
        <v>62130</v>
      </c>
    </row>
    <row r="62" spans="1:17">
      <c r="A62" s="175" t="s">
        <v>3764</v>
      </c>
      <c r="B62" s="175" t="s">
        <v>3740</v>
      </c>
      <c r="C62" s="176">
        <v>7</v>
      </c>
      <c r="D62" s="176">
        <v>2200</v>
      </c>
      <c r="E62" s="175"/>
      <c r="F62" s="176">
        <v>74428550867367</v>
      </c>
      <c r="G62" s="175" t="s">
        <v>3741</v>
      </c>
      <c r="H62" s="176">
        <v>30608716390</v>
      </c>
      <c r="I62" s="175" t="s">
        <v>3761</v>
      </c>
      <c r="J62" s="176">
        <v>1</v>
      </c>
      <c r="K62" s="175" t="s">
        <v>3742</v>
      </c>
      <c r="L62" s="180">
        <v>15000</v>
      </c>
      <c r="M62" s="176">
        <v>0</v>
      </c>
      <c r="N62" s="176">
        <v>0</v>
      </c>
      <c r="O62" s="176">
        <v>0</v>
      </c>
      <c r="P62" s="180">
        <v>3150</v>
      </c>
      <c r="Q62" s="180">
        <v>18150</v>
      </c>
    </row>
    <row r="63" spans="1:17">
      <c r="A63" s="175" t="s">
        <v>3766</v>
      </c>
      <c r="B63" s="175" t="s">
        <v>3740</v>
      </c>
      <c r="C63" s="176">
        <v>7</v>
      </c>
      <c r="D63" s="176">
        <v>2201</v>
      </c>
      <c r="E63" s="175"/>
      <c r="F63" s="176">
        <v>74428700004449</v>
      </c>
      <c r="G63" s="175" t="s">
        <v>3741</v>
      </c>
      <c r="H63" s="176">
        <v>30711244383</v>
      </c>
      <c r="I63" s="175" t="s">
        <v>3775</v>
      </c>
      <c r="J63" s="176">
        <v>1</v>
      </c>
      <c r="K63" s="175" t="s">
        <v>3742</v>
      </c>
      <c r="L63" s="181">
        <v>58291.24</v>
      </c>
      <c r="M63" s="176">
        <v>0</v>
      </c>
      <c r="N63" s="176">
        <v>0</v>
      </c>
      <c r="O63" s="176">
        <v>0</v>
      </c>
      <c r="P63" s="181">
        <v>12241.16</v>
      </c>
      <c r="Q63" s="179">
        <v>70532.399999999994</v>
      </c>
    </row>
    <row r="64" spans="1:17">
      <c r="A64" s="175" t="s">
        <v>3766</v>
      </c>
      <c r="B64" s="175" t="s">
        <v>3740</v>
      </c>
      <c r="C64" s="176">
        <v>7</v>
      </c>
      <c r="D64" s="176">
        <v>2202</v>
      </c>
      <c r="E64" s="175"/>
      <c r="F64" s="176">
        <v>74428731422442</v>
      </c>
      <c r="G64" s="175" t="s">
        <v>3741</v>
      </c>
      <c r="H64" s="176">
        <v>30500053522</v>
      </c>
      <c r="I64" s="175" t="s">
        <v>3756</v>
      </c>
      <c r="J64" s="176">
        <v>1</v>
      </c>
      <c r="K64" s="175" t="s">
        <v>3742</v>
      </c>
      <c r="L64" s="181">
        <v>330578.51</v>
      </c>
      <c r="M64" s="176">
        <v>0</v>
      </c>
      <c r="N64" s="176">
        <v>0</v>
      </c>
      <c r="O64" s="176">
        <v>0</v>
      </c>
      <c r="P64" s="181">
        <v>69421.490000000005</v>
      </c>
      <c r="Q64" s="180">
        <v>400000</v>
      </c>
    </row>
    <row r="65" spans="1:17">
      <c r="A65" s="175" t="s">
        <v>3766</v>
      </c>
      <c r="B65" s="175" t="s">
        <v>3740</v>
      </c>
      <c r="C65" s="176">
        <v>7</v>
      </c>
      <c r="D65" s="176">
        <v>2203</v>
      </c>
      <c r="E65" s="175"/>
      <c r="F65" s="176">
        <v>74428740724295</v>
      </c>
      <c r="G65" s="175" t="s">
        <v>3741</v>
      </c>
      <c r="H65" s="176">
        <v>30712136754</v>
      </c>
      <c r="I65" s="175" t="s">
        <v>1981</v>
      </c>
      <c r="J65" s="176">
        <v>1</v>
      </c>
      <c r="K65" s="175" t="s">
        <v>3742</v>
      </c>
      <c r="L65" s="181">
        <v>51347.11</v>
      </c>
      <c r="M65" s="176">
        <v>0</v>
      </c>
      <c r="N65" s="176">
        <v>0</v>
      </c>
      <c r="O65" s="176">
        <v>0</v>
      </c>
      <c r="P65" s="181">
        <v>10782.89</v>
      </c>
      <c r="Q65" s="180">
        <v>62130</v>
      </c>
    </row>
    <row r="66" spans="1:17">
      <c r="A66" s="175" t="s">
        <v>3768</v>
      </c>
      <c r="B66" s="175" t="s">
        <v>3740</v>
      </c>
      <c r="C66" s="176">
        <v>7</v>
      </c>
      <c r="D66" s="176">
        <v>2204</v>
      </c>
      <c r="E66" s="175"/>
      <c r="F66" s="176">
        <v>74428807112671</v>
      </c>
      <c r="G66" s="175" t="s">
        <v>3741</v>
      </c>
      <c r="H66" s="176">
        <v>30604958640</v>
      </c>
      <c r="I66" s="175" t="s">
        <v>3778</v>
      </c>
      <c r="J66" s="176">
        <v>1</v>
      </c>
      <c r="K66" s="175" t="s">
        <v>3742</v>
      </c>
      <c r="L66" s="180">
        <v>376686</v>
      </c>
      <c r="M66" s="176">
        <v>0</v>
      </c>
      <c r="N66" s="176">
        <v>0</v>
      </c>
      <c r="O66" s="176">
        <v>0</v>
      </c>
      <c r="P66" s="181">
        <v>79104.06</v>
      </c>
      <c r="Q66" s="181">
        <v>455790.06</v>
      </c>
    </row>
    <row r="67" spans="1:17">
      <c r="A67" s="175" t="s">
        <v>3768</v>
      </c>
      <c r="B67" s="175" t="s">
        <v>3740</v>
      </c>
      <c r="C67" s="176">
        <v>7</v>
      </c>
      <c r="D67" s="176">
        <v>2205</v>
      </c>
      <c r="E67" s="175"/>
      <c r="F67" s="176">
        <v>74428815077167</v>
      </c>
      <c r="G67" s="175" t="s">
        <v>3741</v>
      </c>
      <c r="H67" s="176">
        <v>30590412631</v>
      </c>
      <c r="I67" s="175" t="s">
        <v>3755</v>
      </c>
      <c r="J67" s="176">
        <v>1</v>
      </c>
      <c r="K67" s="175" t="s">
        <v>3742</v>
      </c>
      <c r="L67" s="181">
        <v>26446.28</v>
      </c>
      <c r="M67" s="176">
        <v>0</v>
      </c>
      <c r="N67" s="176">
        <v>0</v>
      </c>
      <c r="O67" s="176">
        <v>0</v>
      </c>
      <c r="P67" s="181">
        <v>5553.72</v>
      </c>
      <c r="Q67" s="180">
        <v>32000</v>
      </c>
    </row>
    <row r="68" spans="1:17">
      <c r="A68" s="175" t="s">
        <v>3768</v>
      </c>
      <c r="B68" s="175" t="s">
        <v>3740</v>
      </c>
      <c r="C68" s="176">
        <v>7</v>
      </c>
      <c r="D68" s="176">
        <v>2206</v>
      </c>
      <c r="E68" s="175"/>
      <c r="F68" s="176">
        <v>74428826520284</v>
      </c>
      <c r="G68" s="175" t="s">
        <v>3741</v>
      </c>
      <c r="H68" s="176">
        <v>30522428163</v>
      </c>
      <c r="I68" s="175" t="s">
        <v>2712</v>
      </c>
      <c r="J68" s="176">
        <v>1</v>
      </c>
      <c r="K68" s="175" t="s">
        <v>3742</v>
      </c>
      <c r="L68" s="181">
        <v>888760.31999999995</v>
      </c>
      <c r="M68" s="176">
        <v>0</v>
      </c>
      <c r="N68" s="176">
        <v>0</v>
      </c>
      <c r="O68" s="176">
        <v>0</v>
      </c>
      <c r="P68" s="181">
        <v>186639.68</v>
      </c>
      <c r="Q68" s="180">
        <v>1075400</v>
      </c>
    </row>
    <row r="69" spans="1:17">
      <c r="A69" s="175" t="s">
        <v>3768</v>
      </c>
      <c r="B69" s="175" t="s">
        <v>3740</v>
      </c>
      <c r="C69" s="176">
        <v>7</v>
      </c>
      <c r="D69" s="176">
        <v>2207</v>
      </c>
      <c r="E69" s="175"/>
      <c r="F69" s="176">
        <v>74428834641765</v>
      </c>
      <c r="G69" s="175" t="s">
        <v>3741</v>
      </c>
      <c r="H69" s="176">
        <v>30604958640</v>
      </c>
      <c r="I69" s="175" t="s">
        <v>3778</v>
      </c>
      <c r="J69" s="176">
        <v>1</v>
      </c>
      <c r="K69" s="175" t="s">
        <v>3742</v>
      </c>
      <c r="L69" s="181">
        <v>1239.67</v>
      </c>
      <c r="M69" s="176">
        <v>0</v>
      </c>
      <c r="N69" s="176">
        <v>0</v>
      </c>
      <c r="O69" s="176">
        <v>0</v>
      </c>
      <c r="P69" s="181">
        <v>260.33</v>
      </c>
      <c r="Q69" s="180">
        <v>1500</v>
      </c>
    </row>
    <row r="70" spans="1:17">
      <c r="A70" s="175" t="s">
        <v>3768</v>
      </c>
      <c r="B70" s="175" t="s">
        <v>3740</v>
      </c>
      <c r="C70" s="176">
        <v>7</v>
      </c>
      <c r="D70" s="176">
        <v>2208</v>
      </c>
      <c r="E70" s="175"/>
      <c r="F70" s="176">
        <v>74428836056679</v>
      </c>
      <c r="G70" s="175" t="s">
        <v>3741</v>
      </c>
      <c r="H70" s="176">
        <v>30604958640</v>
      </c>
      <c r="I70" s="175" t="s">
        <v>3778</v>
      </c>
      <c r="J70" s="176">
        <v>1</v>
      </c>
      <c r="K70" s="175" t="s">
        <v>3742</v>
      </c>
      <c r="L70" s="180">
        <v>376686</v>
      </c>
      <c r="M70" s="176">
        <v>0</v>
      </c>
      <c r="N70" s="176">
        <v>0</v>
      </c>
      <c r="O70" s="176">
        <v>0</v>
      </c>
      <c r="P70" s="181">
        <v>79104.06</v>
      </c>
      <c r="Q70" s="181">
        <v>455790.06</v>
      </c>
    </row>
    <row r="71" spans="1:17">
      <c r="A71" s="175" t="s">
        <v>3768</v>
      </c>
      <c r="B71" s="175" t="s">
        <v>3740</v>
      </c>
      <c r="C71" s="176">
        <v>7</v>
      </c>
      <c r="D71" s="176">
        <v>2209</v>
      </c>
      <c r="E71" s="175"/>
      <c r="F71" s="176">
        <v>74428836400655</v>
      </c>
      <c r="G71" s="175" t="s">
        <v>3741</v>
      </c>
      <c r="H71" s="176">
        <v>30604958640</v>
      </c>
      <c r="I71" s="175" t="s">
        <v>3778</v>
      </c>
      <c r="J71" s="176">
        <v>1</v>
      </c>
      <c r="K71" s="175" t="s">
        <v>3742</v>
      </c>
      <c r="L71" s="180">
        <v>18000</v>
      </c>
      <c r="M71" s="176">
        <v>0</v>
      </c>
      <c r="N71" s="176">
        <v>0</v>
      </c>
      <c r="O71" s="176">
        <v>0</v>
      </c>
      <c r="P71" s="180">
        <v>3780</v>
      </c>
      <c r="Q71" s="180">
        <v>21780</v>
      </c>
    </row>
    <row r="72" spans="1:17">
      <c r="A72" s="175" t="s">
        <v>3770</v>
      </c>
      <c r="B72" s="175" t="s">
        <v>3740</v>
      </c>
      <c r="C72" s="176">
        <v>7</v>
      </c>
      <c r="D72" s="176">
        <v>2210</v>
      </c>
      <c r="E72" s="175"/>
      <c r="F72" s="176">
        <v>74438283458670</v>
      </c>
      <c r="G72" s="175" t="s">
        <v>3741</v>
      </c>
      <c r="H72" s="176">
        <v>30683032227</v>
      </c>
      <c r="I72" s="175" t="s">
        <v>3759</v>
      </c>
      <c r="J72" s="176">
        <v>1</v>
      </c>
      <c r="K72" s="175" t="s">
        <v>3742</v>
      </c>
      <c r="L72" s="181">
        <v>59504.13</v>
      </c>
      <c r="M72" s="176">
        <v>0</v>
      </c>
      <c r="N72" s="176">
        <v>0</v>
      </c>
      <c r="O72" s="176">
        <v>0</v>
      </c>
      <c r="P72" s="181">
        <v>12495.87</v>
      </c>
      <c r="Q72" s="180">
        <v>72000</v>
      </c>
    </row>
    <row r="73" spans="1:17">
      <c r="A73" s="175" t="s">
        <v>3772</v>
      </c>
      <c r="B73" s="175" t="s">
        <v>3740</v>
      </c>
      <c r="C73" s="176">
        <v>7</v>
      </c>
      <c r="D73" s="176">
        <v>2211</v>
      </c>
      <c r="E73" s="175"/>
      <c r="F73" s="176">
        <v>74438381450027</v>
      </c>
      <c r="G73" s="175" t="s">
        <v>3741</v>
      </c>
      <c r="H73" s="176">
        <v>30712136754</v>
      </c>
      <c r="I73" s="175" t="s">
        <v>1981</v>
      </c>
      <c r="J73" s="176">
        <v>1</v>
      </c>
      <c r="K73" s="175" t="s">
        <v>3742</v>
      </c>
      <c r="L73" s="179">
        <v>50115.7</v>
      </c>
      <c r="M73" s="176">
        <v>0</v>
      </c>
      <c r="N73" s="176">
        <v>0</v>
      </c>
      <c r="O73" s="176">
        <v>0</v>
      </c>
      <c r="P73" s="179">
        <v>10524.3</v>
      </c>
      <c r="Q73" s="180">
        <v>60640</v>
      </c>
    </row>
    <row r="74" spans="1:17">
      <c r="A74" s="175" t="s">
        <v>3772</v>
      </c>
      <c r="B74" s="175" t="s">
        <v>3740</v>
      </c>
      <c r="C74" s="176">
        <v>7</v>
      </c>
      <c r="D74" s="176">
        <v>2212</v>
      </c>
      <c r="E74" s="175"/>
      <c r="F74" s="176">
        <v>74438383810614</v>
      </c>
      <c r="G74" s="175" t="s">
        <v>3741</v>
      </c>
      <c r="H74" s="176">
        <v>30608716390</v>
      </c>
      <c r="I74" s="175" t="s">
        <v>3761</v>
      </c>
      <c r="J74" s="176">
        <v>1</v>
      </c>
      <c r="K74" s="175" t="s">
        <v>3742</v>
      </c>
      <c r="L74" s="181">
        <v>8181.82</v>
      </c>
      <c r="M74" s="176">
        <v>0</v>
      </c>
      <c r="N74" s="176">
        <v>0</v>
      </c>
      <c r="O74" s="176">
        <v>0</v>
      </c>
      <c r="P74" s="181">
        <v>1718.18</v>
      </c>
      <c r="Q74" s="180">
        <v>9900</v>
      </c>
    </row>
    <row r="75" spans="1:17">
      <c r="A75" s="175" t="s">
        <v>3748</v>
      </c>
      <c r="B75" s="175" t="s">
        <v>3740</v>
      </c>
      <c r="C75" s="176">
        <v>7</v>
      </c>
      <c r="D75" s="176">
        <v>2213</v>
      </c>
      <c r="E75" s="175"/>
      <c r="F75" s="176">
        <v>74438665957478</v>
      </c>
      <c r="G75" s="175" t="s">
        <v>3741</v>
      </c>
      <c r="H75" s="176">
        <v>30522428163</v>
      </c>
      <c r="I75" s="175" t="s">
        <v>2712</v>
      </c>
      <c r="J75" s="176">
        <v>1</v>
      </c>
      <c r="K75" s="175" t="s">
        <v>3742</v>
      </c>
      <c r="L75" s="181">
        <v>887603.31</v>
      </c>
      <c r="M75" s="176">
        <v>0</v>
      </c>
      <c r="N75" s="176">
        <v>0</v>
      </c>
      <c r="O75" s="176">
        <v>0</v>
      </c>
      <c r="P75" s="181">
        <v>186396.69</v>
      </c>
      <c r="Q75" s="180">
        <v>1074000</v>
      </c>
    </row>
    <row r="76" spans="1:17">
      <c r="A76" s="175" t="s">
        <v>3774</v>
      </c>
      <c r="B76" s="175" t="s">
        <v>3740</v>
      </c>
      <c r="C76" s="176">
        <v>7</v>
      </c>
      <c r="D76" s="176">
        <v>2214</v>
      </c>
      <c r="E76" s="175"/>
      <c r="F76" s="176">
        <v>74438753302067</v>
      </c>
      <c r="G76" s="175" t="s">
        <v>3741</v>
      </c>
      <c r="H76" s="176">
        <v>30683032227</v>
      </c>
      <c r="I76" s="175" t="s">
        <v>3759</v>
      </c>
      <c r="J76" s="176">
        <v>1</v>
      </c>
      <c r="K76" s="175" t="s">
        <v>3742</v>
      </c>
      <c r="L76" s="181">
        <v>319008.26</v>
      </c>
      <c r="M76" s="176">
        <v>0</v>
      </c>
      <c r="N76" s="176">
        <v>0</v>
      </c>
      <c r="O76" s="176">
        <v>0</v>
      </c>
      <c r="P76" s="181">
        <v>66991.740000000005</v>
      </c>
      <c r="Q76" s="180">
        <v>386000</v>
      </c>
    </row>
    <row r="77" spans="1:17">
      <c r="A77" s="175" t="s">
        <v>3774</v>
      </c>
      <c r="B77" s="175" t="s">
        <v>3740</v>
      </c>
      <c r="C77" s="176">
        <v>7</v>
      </c>
      <c r="D77" s="176">
        <v>2215</v>
      </c>
      <c r="E77" s="175"/>
      <c r="F77" s="176">
        <v>74438755278682</v>
      </c>
      <c r="G77" s="175" t="s">
        <v>3741</v>
      </c>
      <c r="H77" s="176">
        <v>30683032227</v>
      </c>
      <c r="I77" s="175" t="s">
        <v>3759</v>
      </c>
      <c r="J77" s="176">
        <v>1</v>
      </c>
      <c r="K77" s="175" t="s">
        <v>3742</v>
      </c>
      <c r="L77" s="181">
        <v>972429.75</v>
      </c>
      <c r="M77" s="176">
        <v>0</v>
      </c>
      <c r="N77" s="176">
        <v>0</v>
      </c>
      <c r="O77" s="176">
        <v>0</v>
      </c>
      <c r="P77" s="181">
        <v>204210.25</v>
      </c>
      <c r="Q77" s="180">
        <v>1176640</v>
      </c>
    </row>
    <row r="78" spans="1:17">
      <c r="A78" s="175" t="s">
        <v>3774</v>
      </c>
      <c r="B78" s="175" t="s">
        <v>3740</v>
      </c>
      <c r="C78" s="176">
        <v>7</v>
      </c>
      <c r="D78" s="176">
        <v>2216</v>
      </c>
      <c r="E78" s="175"/>
      <c r="F78" s="176">
        <v>74438765694909</v>
      </c>
      <c r="G78" s="175" t="s">
        <v>3741</v>
      </c>
      <c r="H78" s="176">
        <v>30683032227</v>
      </c>
      <c r="I78" s="175" t="s">
        <v>3759</v>
      </c>
      <c r="J78" s="176">
        <v>1</v>
      </c>
      <c r="K78" s="175" t="s">
        <v>3742</v>
      </c>
      <c r="L78" s="180">
        <v>230280</v>
      </c>
      <c r="M78" s="176">
        <v>0</v>
      </c>
      <c r="N78" s="176">
        <v>0</v>
      </c>
      <c r="O78" s="176">
        <v>0</v>
      </c>
      <c r="P78" s="179">
        <v>48358.8</v>
      </c>
      <c r="Q78" s="179">
        <v>278638.8</v>
      </c>
    </row>
    <row r="79" spans="1:17">
      <c r="A79" s="175" t="s">
        <v>3774</v>
      </c>
      <c r="B79" s="175" t="s">
        <v>3740</v>
      </c>
      <c r="C79" s="176">
        <v>7</v>
      </c>
      <c r="D79" s="176">
        <v>2217</v>
      </c>
      <c r="E79" s="175"/>
      <c r="F79" s="176">
        <v>74438767079199</v>
      </c>
      <c r="G79" s="175" t="s">
        <v>3741</v>
      </c>
      <c r="H79" s="176">
        <v>30608716390</v>
      </c>
      <c r="I79" s="175" t="s">
        <v>3761</v>
      </c>
      <c r="J79" s="176">
        <v>1</v>
      </c>
      <c r="K79" s="175" t="s">
        <v>3742</v>
      </c>
      <c r="L79" s="181">
        <v>9020.66</v>
      </c>
      <c r="M79" s="176">
        <v>0</v>
      </c>
      <c r="N79" s="176">
        <v>0</v>
      </c>
      <c r="O79" s="176">
        <v>0</v>
      </c>
      <c r="P79" s="181">
        <v>1894.34</v>
      </c>
      <c r="Q79" s="180">
        <v>10915</v>
      </c>
    </row>
    <row r="80" spans="1:17">
      <c r="A80" s="175" t="s">
        <v>3774</v>
      </c>
      <c r="B80" s="175" t="s">
        <v>3740</v>
      </c>
      <c r="C80" s="176">
        <v>7</v>
      </c>
      <c r="D80" s="176">
        <v>2218</v>
      </c>
      <c r="E80" s="175"/>
      <c r="F80" s="176">
        <v>74438768847831</v>
      </c>
      <c r="G80" s="175" t="s">
        <v>3741</v>
      </c>
      <c r="H80" s="176">
        <v>30546771314</v>
      </c>
      <c r="I80" s="175" t="s">
        <v>3762</v>
      </c>
      <c r="J80" s="176">
        <v>1</v>
      </c>
      <c r="K80" s="175" t="s">
        <v>3742</v>
      </c>
      <c r="L80" s="181">
        <v>35123.97</v>
      </c>
      <c r="M80" s="176">
        <v>0</v>
      </c>
      <c r="N80" s="176">
        <v>0</v>
      </c>
      <c r="O80" s="176">
        <v>0</v>
      </c>
      <c r="P80" s="181">
        <v>7376.03</v>
      </c>
      <c r="Q80" s="180">
        <v>42500</v>
      </c>
    </row>
    <row r="81" spans="1:17">
      <c r="A81" s="175" t="s">
        <v>3777</v>
      </c>
      <c r="B81" s="175" t="s">
        <v>3740</v>
      </c>
      <c r="C81" s="176">
        <v>7</v>
      </c>
      <c r="D81" s="176">
        <v>2219</v>
      </c>
      <c r="E81" s="175"/>
      <c r="F81" s="176">
        <v>74448046552755</v>
      </c>
      <c r="G81" s="175" t="s">
        <v>3741</v>
      </c>
      <c r="H81" s="176">
        <v>20184052858</v>
      </c>
      <c r="I81" s="175" t="s">
        <v>3810</v>
      </c>
      <c r="J81" s="176">
        <v>1</v>
      </c>
      <c r="K81" s="175" t="s">
        <v>3742</v>
      </c>
      <c r="L81" s="181">
        <v>13933.49</v>
      </c>
      <c r="M81" s="176">
        <v>0</v>
      </c>
      <c r="N81" s="176">
        <v>0</v>
      </c>
      <c r="O81" s="176">
        <v>0</v>
      </c>
      <c r="P81" s="181">
        <v>2926.03</v>
      </c>
      <c r="Q81" s="181">
        <v>16859.52</v>
      </c>
    </row>
    <row r="82" spans="1:17">
      <c r="A82" s="175" t="s">
        <v>3777</v>
      </c>
      <c r="B82" s="175" t="s">
        <v>3740</v>
      </c>
      <c r="C82" s="176">
        <v>7</v>
      </c>
      <c r="D82" s="176">
        <v>2220</v>
      </c>
      <c r="E82" s="175"/>
      <c r="F82" s="176">
        <v>74448058601685</v>
      </c>
      <c r="G82" s="175" t="s">
        <v>3741</v>
      </c>
      <c r="H82" s="176">
        <v>30608716390</v>
      </c>
      <c r="I82" s="175" t="s">
        <v>3761</v>
      </c>
      <c r="J82" s="176">
        <v>1</v>
      </c>
      <c r="K82" s="175" t="s">
        <v>3742</v>
      </c>
      <c r="L82" s="181">
        <v>8514.4599999999991</v>
      </c>
      <c r="M82" s="176">
        <v>0</v>
      </c>
      <c r="N82" s="176">
        <v>0</v>
      </c>
      <c r="O82" s="176">
        <v>0</v>
      </c>
      <c r="P82" s="181">
        <v>1788.04</v>
      </c>
      <c r="Q82" s="179">
        <v>10302.5</v>
      </c>
    </row>
    <row r="83" spans="1:17">
      <c r="A83" s="175" t="s">
        <v>3781</v>
      </c>
      <c r="B83" s="175" t="s">
        <v>3740</v>
      </c>
      <c r="C83" s="176">
        <v>7</v>
      </c>
      <c r="D83" s="176">
        <v>2221</v>
      </c>
      <c r="E83" s="175"/>
      <c r="F83" s="176">
        <v>74448279743368</v>
      </c>
      <c r="G83" s="175" t="s">
        <v>3741</v>
      </c>
      <c r="H83" s="176">
        <v>30522428163</v>
      </c>
      <c r="I83" s="175" t="s">
        <v>2712</v>
      </c>
      <c r="J83" s="176">
        <v>1</v>
      </c>
      <c r="K83" s="175" t="s">
        <v>3742</v>
      </c>
      <c r="L83" s="179">
        <v>55764.5</v>
      </c>
      <c r="M83" s="176">
        <v>0</v>
      </c>
      <c r="N83" s="176">
        <v>0</v>
      </c>
      <c r="O83" s="176">
        <v>0</v>
      </c>
      <c r="P83" s="181">
        <v>11710.54</v>
      </c>
      <c r="Q83" s="181">
        <v>67475.039999999994</v>
      </c>
    </row>
    <row r="84" spans="1:17">
      <c r="A84" s="175" t="s">
        <v>3781</v>
      </c>
      <c r="B84" s="175" t="s">
        <v>3740</v>
      </c>
      <c r="C84" s="176">
        <v>7</v>
      </c>
      <c r="D84" s="176">
        <v>2222</v>
      </c>
      <c r="E84" s="175"/>
      <c r="F84" s="176">
        <v>74448305683460</v>
      </c>
      <c r="G84" s="175" t="s">
        <v>3741</v>
      </c>
      <c r="H84" s="176">
        <v>30500053522</v>
      </c>
      <c r="I84" s="175" t="s">
        <v>3756</v>
      </c>
      <c r="J84" s="176">
        <v>1</v>
      </c>
      <c r="K84" s="175" t="s">
        <v>3742</v>
      </c>
      <c r="L84" s="181">
        <v>180239.67</v>
      </c>
      <c r="M84" s="176">
        <v>0</v>
      </c>
      <c r="N84" s="176">
        <v>0</v>
      </c>
      <c r="O84" s="176">
        <v>0</v>
      </c>
      <c r="P84" s="181">
        <v>37850.33</v>
      </c>
      <c r="Q84" s="180">
        <v>218090</v>
      </c>
    </row>
    <row r="85" spans="1:17">
      <c r="A85" s="175" t="s">
        <v>3781</v>
      </c>
      <c r="B85" s="175" t="s">
        <v>3740</v>
      </c>
      <c r="C85" s="176">
        <v>7</v>
      </c>
      <c r="D85" s="176">
        <v>2223</v>
      </c>
      <c r="E85" s="175"/>
      <c r="F85" s="176">
        <v>74448318129319</v>
      </c>
      <c r="G85" s="175" t="s">
        <v>3741</v>
      </c>
      <c r="H85" s="176">
        <v>30683032227</v>
      </c>
      <c r="I85" s="175" t="s">
        <v>3759</v>
      </c>
      <c r="J85" s="176">
        <v>1</v>
      </c>
      <c r="K85" s="175" t="s">
        <v>3742</v>
      </c>
      <c r="L85" s="181">
        <v>84710.74</v>
      </c>
      <c r="M85" s="176">
        <v>0</v>
      </c>
      <c r="N85" s="176">
        <v>0</v>
      </c>
      <c r="O85" s="176">
        <v>0</v>
      </c>
      <c r="P85" s="181">
        <v>17789.259999999998</v>
      </c>
      <c r="Q85" s="180">
        <v>102500</v>
      </c>
    </row>
    <row r="86" spans="1:17">
      <c r="A86" s="175" t="s">
        <v>3781</v>
      </c>
      <c r="B86" s="175" t="s">
        <v>3740</v>
      </c>
      <c r="C86" s="176">
        <v>7</v>
      </c>
      <c r="D86" s="176">
        <v>2224</v>
      </c>
      <c r="E86" s="175"/>
      <c r="F86" s="176">
        <v>74448327313596</v>
      </c>
      <c r="G86" s="175" t="s">
        <v>3741</v>
      </c>
      <c r="H86" s="176">
        <v>30522428163</v>
      </c>
      <c r="I86" s="175" t="s">
        <v>2712</v>
      </c>
      <c r="J86" s="176">
        <v>1</v>
      </c>
      <c r="K86" s="175" t="s">
        <v>3742</v>
      </c>
      <c r="L86" s="181">
        <v>280796.69</v>
      </c>
      <c r="M86" s="176">
        <v>0</v>
      </c>
      <c r="N86" s="176">
        <v>0</v>
      </c>
      <c r="O86" s="176">
        <v>0</v>
      </c>
      <c r="P86" s="181">
        <v>58967.31</v>
      </c>
      <c r="Q86" s="180">
        <v>339764</v>
      </c>
    </row>
    <row r="87" spans="1:17">
      <c r="A87" s="175" t="s">
        <v>3782</v>
      </c>
      <c r="B87" s="175" t="s">
        <v>3740</v>
      </c>
      <c r="C87" s="176">
        <v>7</v>
      </c>
      <c r="D87" s="176">
        <v>2225</v>
      </c>
      <c r="E87" s="175"/>
      <c r="F87" s="176">
        <v>74448430151722</v>
      </c>
      <c r="G87" s="175" t="s">
        <v>3741</v>
      </c>
      <c r="H87" s="176">
        <v>30522428163</v>
      </c>
      <c r="I87" s="175" t="s">
        <v>2712</v>
      </c>
      <c r="J87" s="176">
        <v>1</v>
      </c>
      <c r="K87" s="175" t="s">
        <v>3742</v>
      </c>
      <c r="L87" s="181">
        <v>17642.939999999999</v>
      </c>
      <c r="M87" s="176">
        <v>0</v>
      </c>
      <c r="N87" s="176">
        <v>0</v>
      </c>
      <c r="O87" s="176">
        <v>0</v>
      </c>
      <c r="P87" s="181">
        <v>3705.02</v>
      </c>
      <c r="Q87" s="181">
        <v>21347.96</v>
      </c>
    </row>
    <row r="88" spans="1:17">
      <c r="A88" s="175" t="s">
        <v>3747</v>
      </c>
      <c r="B88" s="178" t="s">
        <v>3763</v>
      </c>
      <c r="C88" s="176">
        <v>7</v>
      </c>
      <c r="D88" s="176">
        <v>158</v>
      </c>
      <c r="E88" s="175"/>
      <c r="F88" s="176">
        <v>74418694995280</v>
      </c>
      <c r="G88" s="175" t="s">
        <v>3741</v>
      </c>
      <c r="H88" s="176">
        <v>30608716390</v>
      </c>
      <c r="I88" s="175" t="s">
        <v>3761</v>
      </c>
      <c r="J88" s="176">
        <v>1</v>
      </c>
      <c r="K88" s="175" t="s">
        <v>3742</v>
      </c>
      <c r="L88" s="181">
        <v>-1286.03</v>
      </c>
      <c r="M88" s="176">
        <v>0</v>
      </c>
      <c r="N88" s="176">
        <v>0</v>
      </c>
      <c r="O88" s="176">
        <v>0</v>
      </c>
      <c r="P88" s="180">
        <v>-270.06630000000001</v>
      </c>
      <c r="Q88" s="180">
        <v>-1556.0962999999999</v>
      </c>
    </row>
    <row r="89" spans="1:17">
      <c r="A89" s="175" t="s">
        <v>3750</v>
      </c>
      <c r="B89" s="178" t="s">
        <v>3763</v>
      </c>
      <c r="C89" s="176">
        <v>7</v>
      </c>
      <c r="D89" s="176">
        <v>159</v>
      </c>
      <c r="E89" s="175"/>
      <c r="F89" s="176">
        <v>74418816093167</v>
      </c>
      <c r="G89" s="175" t="s">
        <v>3741</v>
      </c>
      <c r="H89" s="176">
        <v>30522428163</v>
      </c>
      <c r="I89" s="175" t="s">
        <v>2712</v>
      </c>
      <c r="J89" s="176">
        <v>1</v>
      </c>
      <c r="K89" s="175" t="s">
        <v>3742</v>
      </c>
      <c r="L89" s="179">
        <v>-8000.5</v>
      </c>
      <c r="M89" s="176">
        <v>0</v>
      </c>
      <c r="N89" s="176">
        <v>0</v>
      </c>
      <c r="O89" s="176">
        <v>0</v>
      </c>
      <c r="P89" s="180">
        <v>-1680.105</v>
      </c>
      <c r="Q89" s="180">
        <v>-9680.6049999999996</v>
      </c>
    </row>
    <row r="90" spans="1:17">
      <c r="A90" s="175" t="s">
        <v>3750</v>
      </c>
      <c r="B90" s="178" t="s">
        <v>3763</v>
      </c>
      <c r="C90" s="176">
        <v>7</v>
      </c>
      <c r="D90" s="176">
        <v>160</v>
      </c>
      <c r="E90" s="175"/>
      <c r="F90" s="176">
        <v>74418816402502</v>
      </c>
      <c r="G90" s="175" t="s">
        <v>3741</v>
      </c>
      <c r="H90" s="176">
        <v>30522428163</v>
      </c>
      <c r="I90" s="175" t="s">
        <v>2712</v>
      </c>
      <c r="J90" s="176">
        <v>1</v>
      </c>
      <c r="K90" s="175" t="s">
        <v>3742</v>
      </c>
      <c r="L90" s="181">
        <v>-23853.58</v>
      </c>
      <c r="M90" s="176">
        <v>0</v>
      </c>
      <c r="N90" s="176">
        <v>0</v>
      </c>
      <c r="O90" s="176">
        <v>0</v>
      </c>
      <c r="P90" s="180">
        <v>-5009.2518</v>
      </c>
      <c r="Q90" s="180">
        <v>-28862.8318</v>
      </c>
    </row>
    <row r="91" spans="1:17">
      <c r="A91" s="175" t="s">
        <v>3750</v>
      </c>
      <c r="B91" s="178" t="s">
        <v>3763</v>
      </c>
      <c r="C91" s="176">
        <v>7</v>
      </c>
      <c r="D91" s="176">
        <v>161</v>
      </c>
      <c r="E91" s="175"/>
      <c r="F91" s="176">
        <v>74418816611485</v>
      </c>
      <c r="G91" s="175" t="s">
        <v>3741</v>
      </c>
      <c r="H91" s="176">
        <v>30522428163</v>
      </c>
      <c r="I91" s="175" t="s">
        <v>2712</v>
      </c>
      <c r="J91" s="176">
        <v>1</v>
      </c>
      <c r="K91" s="175" t="s">
        <v>3742</v>
      </c>
      <c r="L91" s="181">
        <v>-9917.36</v>
      </c>
      <c r="M91" s="176">
        <v>0</v>
      </c>
      <c r="N91" s="176">
        <v>0</v>
      </c>
      <c r="O91" s="176">
        <v>0</v>
      </c>
      <c r="P91" s="180">
        <v>-2082.6455999999998</v>
      </c>
      <c r="Q91" s="180">
        <v>-12000.0056</v>
      </c>
    </row>
    <row r="92" spans="1:17">
      <c r="A92" s="175" t="s">
        <v>3750</v>
      </c>
      <c r="B92" s="178" t="s">
        <v>3763</v>
      </c>
      <c r="C92" s="176">
        <v>7</v>
      </c>
      <c r="D92" s="176">
        <v>162</v>
      </c>
      <c r="E92" s="175"/>
      <c r="F92" s="176">
        <v>74418816792521</v>
      </c>
      <c r="G92" s="175" t="s">
        <v>3741</v>
      </c>
      <c r="H92" s="176">
        <v>30522428163</v>
      </c>
      <c r="I92" s="175" t="s">
        <v>2712</v>
      </c>
      <c r="J92" s="176">
        <v>1</v>
      </c>
      <c r="K92" s="175" t="s">
        <v>3742</v>
      </c>
      <c r="L92" s="179">
        <v>-12179.5</v>
      </c>
      <c r="M92" s="176">
        <v>0</v>
      </c>
      <c r="N92" s="176">
        <v>0</v>
      </c>
      <c r="O92" s="176">
        <v>0</v>
      </c>
      <c r="P92" s="180">
        <v>-2557.6949999999997</v>
      </c>
      <c r="Q92" s="180">
        <v>-14737.195</v>
      </c>
    </row>
    <row r="93" spans="1:17">
      <c r="A93" s="175" t="s">
        <v>3750</v>
      </c>
      <c r="B93" s="178" t="s">
        <v>3763</v>
      </c>
      <c r="C93" s="176">
        <v>7</v>
      </c>
      <c r="D93" s="176">
        <v>163</v>
      </c>
      <c r="E93" s="175"/>
      <c r="F93" s="176">
        <v>74418817040408</v>
      </c>
      <c r="G93" s="175" t="s">
        <v>3741</v>
      </c>
      <c r="H93" s="176">
        <v>30522428163</v>
      </c>
      <c r="I93" s="175" t="s">
        <v>2712</v>
      </c>
      <c r="J93" s="176">
        <v>1</v>
      </c>
      <c r="K93" s="175" t="s">
        <v>3742</v>
      </c>
      <c r="L93" s="181">
        <v>-14893.82</v>
      </c>
      <c r="M93" s="176">
        <v>0</v>
      </c>
      <c r="N93" s="176">
        <v>0</v>
      </c>
      <c r="O93" s="176">
        <v>0</v>
      </c>
      <c r="P93" s="180">
        <v>-3127.7021999999997</v>
      </c>
      <c r="Q93" s="180">
        <v>-18021.522199999999</v>
      </c>
    </row>
    <row r="94" spans="1:17">
      <c r="A94" s="175" t="s">
        <v>3750</v>
      </c>
      <c r="B94" s="178" t="s">
        <v>3763</v>
      </c>
      <c r="C94" s="176">
        <v>7</v>
      </c>
      <c r="D94" s="176">
        <v>164</v>
      </c>
      <c r="E94" s="175"/>
      <c r="F94" s="176">
        <v>74418817280255</v>
      </c>
      <c r="G94" s="175" t="s">
        <v>3741</v>
      </c>
      <c r="H94" s="176">
        <v>30522428163</v>
      </c>
      <c r="I94" s="175" t="s">
        <v>2712</v>
      </c>
      <c r="J94" s="176">
        <v>1</v>
      </c>
      <c r="K94" s="175" t="s">
        <v>3742</v>
      </c>
      <c r="L94" s="181">
        <v>-16863.25</v>
      </c>
      <c r="M94" s="176">
        <v>0</v>
      </c>
      <c r="N94" s="176">
        <v>0</v>
      </c>
      <c r="O94" s="176">
        <v>0</v>
      </c>
      <c r="P94" s="180">
        <v>-3541.2824999999998</v>
      </c>
      <c r="Q94" s="180">
        <v>-20404.532500000001</v>
      </c>
    </row>
    <row r="95" spans="1:17">
      <c r="A95" s="175" t="s">
        <v>3751</v>
      </c>
      <c r="B95" s="178" t="s">
        <v>3763</v>
      </c>
      <c r="C95" s="176">
        <v>7</v>
      </c>
      <c r="D95" s="176">
        <v>165</v>
      </c>
      <c r="E95" s="175"/>
      <c r="F95" s="176">
        <v>74418956898120</v>
      </c>
      <c r="G95" s="175" t="s">
        <v>3741</v>
      </c>
      <c r="H95" s="176">
        <v>30608716390</v>
      </c>
      <c r="I95" s="175" t="s">
        <v>3761</v>
      </c>
      <c r="J95" s="176">
        <v>1</v>
      </c>
      <c r="K95" s="175" t="s">
        <v>3742</v>
      </c>
      <c r="L95" s="181">
        <v>-34421.49</v>
      </c>
      <c r="M95" s="176">
        <v>0</v>
      </c>
      <c r="N95" s="176">
        <v>0</v>
      </c>
      <c r="O95" s="176">
        <v>0</v>
      </c>
      <c r="P95" s="180">
        <v>-7228.5128999999997</v>
      </c>
      <c r="Q95" s="180">
        <v>-41650.002899999999</v>
      </c>
    </row>
    <row r="96" spans="1:17">
      <c r="A96" s="175" t="s">
        <v>3768</v>
      </c>
      <c r="B96" s="178" t="s">
        <v>3763</v>
      </c>
      <c r="C96" s="176">
        <v>7</v>
      </c>
      <c r="D96" s="176">
        <v>166</v>
      </c>
      <c r="E96" s="175"/>
      <c r="F96" s="176">
        <v>74428834830595</v>
      </c>
      <c r="G96" s="175" t="s">
        <v>3741</v>
      </c>
      <c r="H96" s="176">
        <v>30604958640</v>
      </c>
      <c r="I96" s="175" t="s">
        <v>3778</v>
      </c>
      <c r="J96" s="176">
        <v>1</v>
      </c>
      <c r="K96" s="175" t="s">
        <v>3742</v>
      </c>
      <c r="L96" s="181">
        <v>-1239.67</v>
      </c>
      <c r="M96" s="176">
        <v>0</v>
      </c>
      <c r="N96" s="176">
        <v>0</v>
      </c>
      <c r="O96" s="176">
        <v>0</v>
      </c>
      <c r="P96" s="180">
        <v>-260.33069999999998</v>
      </c>
      <c r="Q96" s="180">
        <v>-1500.0007000000001</v>
      </c>
    </row>
    <row r="97" spans="1:17">
      <c r="A97" s="175" t="s">
        <v>3768</v>
      </c>
      <c r="B97" s="178" t="s">
        <v>3763</v>
      </c>
      <c r="C97" s="176">
        <v>7</v>
      </c>
      <c r="D97" s="176">
        <v>167</v>
      </c>
      <c r="E97" s="175"/>
      <c r="F97" s="176">
        <v>74428835248126</v>
      </c>
      <c r="G97" s="175" t="s">
        <v>3741</v>
      </c>
      <c r="H97" s="176">
        <v>30604958640</v>
      </c>
      <c r="I97" s="175" t="s">
        <v>3778</v>
      </c>
      <c r="J97" s="176">
        <v>1</v>
      </c>
      <c r="K97" s="175" t="s">
        <v>3742</v>
      </c>
      <c r="L97" s="180">
        <v>-376686</v>
      </c>
      <c r="M97" s="176">
        <v>0</v>
      </c>
      <c r="N97" s="176">
        <v>0</v>
      </c>
      <c r="O97" s="176">
        <v>0</v>
      </c>
      <c r="P97" s="180">
        <v>-79104.06</v>
      </c>
      <c r="Q97" s="180">
        <v>-455790.06</v>
      </c>
    </row>
    <row r="98" spans="1:17" ht="15.75" thickBot="1">
      <c r="A98" s="175" t="s">
        <v>3777</v>
      </c>
      <c r="B98" s="178" t="s">
        <v>3763</v>
      </c>
      <c r="C98" s="176">
        <v>7</v>
      </c>
      <c r="D98" s="176">
        <v>168</v>
      </c>
      <c r="E98" s="175"/>
      <c r="F98" s="176">
        <v>74448049365572</v>
      </c>
      <c r="G98" s="175" t="s">
        <v>3741</v>
      </c>
      <c r="H98" s="176">
        <v>20184052858</v>
      </c>
      <c r="I98" s="175" t="s">
        <v>3810</v>
      </c>
      <c r="J98" s="183">
        <v>1</v>
      </c>
      <c r="K98" s="145" t="s">
        <v>3742</v>
      </c>
      <c r="L98" s="184">
        <v>-13933.49</v>
      </c>
      <c r="M98" s="183">
        <v>0</v>
      </c>
      <c r="N98" s="183">
        <v>0</v>
      </c>
      <c r="O98" s="183">
        <v>0</v>
      </c>
      <c r="P98" s="185">
        <v>-2926.0328999999997</v>
      </c>
      <c r="Q98" s="185">
        <v>-16859.5229</v>
      </c>
    </row>
    <row r="99" spans="1:17" ht="15.75" thickBot="1">
      <c r="A99" s="175"/>
      <c r="B99" s="178"/>
      <c r="C99" s="176"/>
      <c r="D99" s="176"/>
      <c r="E99" s="175"/>
      <c r="F99" s="176"/>
      <c r="G99" s="175"/>
      <c r="H99" s="176"/>
      <c r="I99" s="182"/>
      <c r="J99" s="225" t="s">
        <v>783</v>
      </c>
      <c r="K99" s="226"/>
      <c r="L99" s="190">
        <f>SUM(L6:L98)</f>
        <v>33476167.77999999</v>
      </c>
      <c r="M99" s="191">
        <f t="shared" ref="M99:Q99" si="0">SUM(M6:M98)</f>
        <v>0</v>
      </c>
      <c r="N99" s="191">
        <f t="shared" si="0"/>
        <v>0</v>
      </c>
      <c r="O99" s="191">
        <f t="shared" si="0"/>
        <v>0</v>
      </c>
      <c r="P99" s="191">
        <f t="shared" si="0"/>
        <v>7029995.2950999988</v>
      </c>
      <c r="Q99" s="192">
        <f t="shared" si="0"/>
        <v>40506163.15510001</v>
      </c>
    </row>
    <row r="100" spans="1:17">
      <c r="A100" s="175"/>
      <c r="B100" s="178"/>
      <c r="C100" s="176"/>
      <c r="D100" s="176"/>
      <c r="E100" s="175"/>
      <c r="F100" s="176"/>
      <c r="G100" s="175"/>
      <c r="H100" s="176"/>
      <c r="I100" s="175"/>
      <c r="J100" s="186"/>
      <c r="K100" s="187"/>
      <c r="L100" s="188"/>
      <c r="M100" s="186"/>
      <c r="N100" s="186"/>
      <c r="O100" s="186"/>
      <c r="P100" s="189"/>
      <c r="Q100" s="189"/>
    </row>
    <row r="101" spans="1:17" hidden="1">
      <c r="A101" s="175" t="s">
        <v>3739</v>
      </c>
      <c r="B101" s="175" t="s">
        <v>3744</v>
      </c>
      <c r="C101" s="176">
        <v>3</v>
      </c>
      <c r="D101" s="176">
        <v>2759</v>
      </c>
      <c r="E101" s="175"/>
      <c r="F101" s="176">
        <v>74408875674500</v>
      </c>
      <c r="G101" s="175"/>
      <c r="H101" s="175"/>
      <c r="I101" s="175"/>
      <c r="J101" s="176">
        <v>1</v>
      </c>
      <c r="K101" s="175" t="s">
        <v>3742</v>
      </c>
      <c r="L101" s="181">
        <v>21487.62</v>
      </c>
      <c r="M101" s="176">
        <v>0</v>
      </c>
      <c r="N101" s="176">
        <v>0</v>
      </c>
      <c r="O101" s="176">
        <v>0</v>
      </c>
      <c r="P101" s="179">
        <v>4512.3999999999996</v>
      </c>
      <c r="Q101" s="180">
        <v>26000</v>
      </c>
    </row>
    <row r="102" spans="1:17" hidden="1">
      <c r="A102" s="175" t="s">
        <v>3739</v>
      </c>
      <c r="B102" s="175" t="s">
        <v>3744</v>
      </c>
      <c r="C102" s="176">
        <v>3</v>
      </c>
      <c r="D102" s="176">
        <v>2760</v>
      </c>
      <c r="E102" s="175"/>
      <c r="F102" s="176">
        <v>74408876395586</v>
      </c>
      <c r="G102" s="175"/>
      <c r="H102" s="175"/>
      <c r="I102" s="175"/>
      <c r="J102" s="176">
        <v>1</v>
      </c>
      <c r="K102" s="175" t="s">
        <v>3742</v>
      </c>
      <c r="L102" s="181">
        <v>4958.67</v>
      </c>
      <c r="M102" s="176">
        <v>0</v>
      </c>
      <c r="N102" s="176">
        <v>0</v>
      </c>
      <c r="O102" s="176">
        <v>0</v>
      </c>
      <c r="P102" s="181">
        <v>1041.32</v>
      </c>
      <c r="Q102" s="180">
        <v>6000</v>
      </c>
    </row>
    <row r="103" spans="1:17" hidden="1">
      <c r="A103" s="175" t="s">
        <v>3739</v>
      </c>
      <c r="B103" s="175" t="s">
        <v>3744</v>
      </c>
      <c r="C103" s="176">
        <v>3</v>
      </c>
      <c r="D103" s="176">
        <v>2761</v>
      </c>
      <c r="E103" s="175"/>
      <c r="F103" s="176">
        <v>74408876708970</v>
      </c>
      <c r="G103" s="175"/>
      <c r="H103" s="175"/>
      <c r="I103" s="175"/>
      <c r="J103" s="176">
        <v>1</v>
      </c>
      <c r="K103" s="175" t="s">
        <v>3742</v>
      </c>
      <c r="L103" s="181">
        <v>21487.62</v>
      </c>
      <c r="M103" s="176">
        <v>0</v>
      </c>
      <c r="N103" s="176">
        <v>0</v>
      </c>
      <c r="O103" s="176">
        <v>0</v>
      </c>
      <c r="P103" s="179">
        <v>4512.3999999999996</v>
      </c>
      <c r="Q103" s="180">
        <v>26000</v>
      </c>
    </row>
    <row r="104" spans="1:17" hidden="1">
      <c r="A104" s="175" t="s">
        <v>3739</v>
      </c>
      <c r="B104" s="175" t="s">
        <v>3744</v>
      </c>
      <c r="C104" s="176">
        <v>3</v>
      </c>
      <c r="D104" s="176">
        <v>2762</v>
      </c>
      <c r="E104" s="175"/>
      <c r="F104" s="176">
        <v>74408877044873</v>
      </c>
      <c r="G104" s="175"/>
      <c r="H104" s="175"/>
      <c r="I104" s="175"/>
      <c r="J104" s="176">
        <v>1</v>
      </c>
      <c r="K104" s="175" t="s">
        <v>3742</v>
      </c>
      <c r="L104" s="181">
        <v>10743.81</v>
      </c>
      <c r="M104" s="176">
        <v>0</v>
      </c>
      <c r="N104" s="176">
        <v>0</v>
      </c>
      <c r="O104" s="176">
        <v>0</v>
      </c>
      <c r="P104" s="179">
        <v>2256.1999999999998</v>
      </c>
      <c r="Q104" s="180">
        <v>13000</v>
      </c>
    </row>
    <row r="105" spans="1:17" hidden="1">
      <c r="A105" s="175" t="s">
        <v>3739</v>
      </c>
      <c r="B105" s="175" t="s">
        <v>3744</v>
      </c>
      <c r="C105" s="176">
        <v>3</v>
      </c>
      <c r="D105" s="176">
        <v>2763</v>
      </c>
      <c r="E105" s="175"/>
      <c r="F105" s="176">
        <v>74408877407678</v>
      </c>
      <c r="G105" s="175"/>
      <c r="H105" s="175"/>
      <c r="I105" s="175"/>
      <c r="J105" s="176">
        <v>1</v>
      </c>
      <c r="K105" s="175" t="s">
        <v>3742</v>
      </c>
      <c r="L105" s="181">
        <v>18181.810000000001</v>
      </c>
      <c r="M105" s="176">
        <v>0</v>
      </c>
      <c r="N105" s="176">
        <v>0</v>
      </c>
      <c r="O105" s="176">
        <v>0</v>
      </c>
      <c r="P105" s="181">
        <v>3818.18</v>
      </c>
      <c r="Q105" s="180">
        <v>22000</v>
      </c>
    </row>
    <row r="106" spans="1:17" hidden="1">
      <c r="A106" s="175" t="s">
        <v>3739</v>
      </c>
      <c r="B106" s="175" t="s">
        <v>3744</v>
      </c>
      <c r="C106" s="176">
        <v>3</v>
      </c>
      <c r="D106" s="176">
        <v>2764</v>
      </c>
      <c r="E106" s="175"/>
      <c r="F106" s="176">
        <v>74408877677843</v>
      </c>
      <c r="G106" s="175"/>
      <c r="H106" s="175"/>
      <c r="I106" s="175"/>
      <c r="J106" s="176">
        <v>1</v>
      </c>
      <c r="K106" s="175" t="s">
        <v>3742</v>
      </c>
      <c r="L106" s="181">
        <v>2231.4299999999998</v>
      </c>
      <c r="M106" s="176">
        <v>0</v>
      </c>
      <c r="N106" s="176">
        <v>0</v>
      </c>
      <c r="O106" s="176">
        <v>0</v>
      </c>
      <c r="P106" s="179">
        <v>468.6</v>
      </c>
      <c r="Q106" s="180">
        <v>2700</v>
      </c>
    </row>
    <row r="107" spans="1:17" hidden="1">
      <c r="A107" s="175" t="s">
        <v>3739</v>
      </c>
      <c r="B107" s="175" t="s">
        <v>3744</v>
      </c>
      <c r="C107" s="176">
        <v>3</v>
      </c>
      <c r="D107" s="176">
        <v>2765</v>
      </c>
      <c r="E107" s="175"/>
      <c r="F107" s="176">
        <v>74408877949431</v>
      </c>
      <c r="G107" s="175"/>
      <c r="H107" s="175"/>
      <c r="I107" s="175"/>
      <c r="J107" s="176">
        <v>1</v>
      </c>
      <c r="K107" s="175" t="s">
        <v>3742</v>
      </c>
      <c r="L107" s="181">
        <v>6611.57</v>
      </c>
      <c r="M107" s="176">
        <v>0</v>
      </c>
      <c r="N107" s="176">
        <v>0</v>
      </c>
      <c r="O107" s="176">
        <v>0</v>
      </c>
      <c r="P107" s="181">
        <v>1388.43</v>
      </c>
      <c r="Q107" s="180">
        <v>8000</v>
      </c>
    </row>
    <row r="108" spans="1:17" hidden="1">
      <c r="A108" s="175" t="s">
        <v>3739</v>
      </c>
      <c r="B108" s="175" t="s">
        <v>3744</v>
      </c>
      <c r="C108" s="176">
        <v>3</v>
      </c>
      <c r="D108" s="176">
        <v>2766</v>
      </c>
      <c r="E108" s="175"/>
      <c r="F108" s="176">
        <v>74408878384534</v>
      </c>
      <c r="G108" s="175"/>
      <c r="H108" s="175"/>
      <c r="I108" s="175"/>
      <c r="J108" s="176">
        <v>1</v>
      </c>
      <c r="K108" s="175" t="s">
        <v>3742</v>
      </c>
      <c r="L108" s="179">
        <v>4214.8999999999996</v>
      </c>
      <c r="M108" s="176">
        <v>0</v>
      </c>
      <c r="N108" s="176">
        <v>0</v>
      </c>
      <c r="O108" s="176">
        <v>0</v>
      </c>
      <c r="P108" s="181">
        <v>885.13</v>
      </c>
      <c r="Q108" s="180">
        <v>5100</v>
      </c>
    </row>
    <row r="109" spans="1:17" hidden="1">
      <c r="A109" s="175" t="s">
        <v>3739</v>
      </c>
      <c r="B109" s="175" t="s">
        <v>3744</v>
      </c>
      <c r="C109" s="176">
        <v>3</v>
      </c>
      <c r="D109" s="176">
        <v>2767</v>
      </c>
      <c r="E109" s="175"/>
      <c r="F109" s="176">
        <v>74408878804417</v>
      </c>
      <c r="G109" s="175"/>
      <c r="H109" s="175"/>
      <c r="I109" s="175"/>
      <c r="J109" s="176">
        <v>1</v>
      </c>
      <c r="K109" s="175" t="s">
        <v>3742</v>
      </c>
      <c r="L109" s="181">
        <v>24793.38</v>
      </c>
      <c r="M109" s="176">
        <v>0</v>
      </c>
      <c r="N109" s="176">
        <v>0</v>
      </c>
      <c r="O109" s="176">
        <v>0</v>
      </c>
      <c r="P109" s="181">
        <v>5206.6099999999997</v>
      </c>
      <c r="Q109" s="180">
        <v>30000</v>
      </c>
    </row>
    <row r="110" spans="1:17" hidden="1">
      <c r="A110" s="175" t="s">
        <v>3739</v>
      </c>
      <c r="B110" s="175" t="s">
        <v>3744</v>
      </c>
      <c r="C110" s="176">
        <v>3</v>
      </c>
      <c r="D110" s="176">
        <v>2768</v>
      </c>
      <c r="E110" s="175"/>
      <c r="F110" s="176">
        <v>74408879288391</v>
      </c>
      <c r="G110" s="175"/>
      <c r="H110" s="175"/>
      <c r="I110" s="175"/>
      <c r="J110" s="176">
        <v>1</v>
      </c>
      <c r="K110" s="175" t="s">
        <v>3742</v>
      </c>
      <c r="L110" s="181">
        <v>19834.71</v>
      </c>
      <c r="M110" s="176">
        <v>0</v>
      </c>
      <c r="N110" s="176">
        <v>0</v>
      </c>
      <c r="O110" s="176">
        <v>0</v>
      </c>
      <c r="P110" s="181">
        <v>4165.29</v>
      </c>
      <c r="Q110" s="180">
        <v>24000</v>
      </c>
    </row>
    <row r="111" spans="1:17" hidden="1">
      <c r="A111" s="175" t="s">
        <v>3739</v>
      </c>
      <c r="B111" s="175" t="s">
        <v>3744</v>
      </c>
      <c r="C111" s="176">
        <v>3</v>
      </c>
      <c r="D111" s="176">
        <v>2769</v>
      </c>
      <c r="E111" s="175"/>
      <c r="F111" s="176">
        <v>74408880163661</v>
      </c>
      <c r="G111" s="175"/>
      <c r="H111" s="175"/>
      <c r="I111" s="175"/>
      <c r="J111" s="176">
        <v>1</v>
      </c>
      <c r="K111" s="175" t="s">
        <v>3742</v>
      </c>
      <c r="L111" s="181">
        <v>8429.76</v>
      </c>
      <c r="M111" s="176">
        <v>0</v>
      </c>
      <c r="N111" s="176">
        <v>0</v>
      </c>
      <c r="O111" s="176">
        <v>0</v>
      </c>
      <c r="P111" s="181">
        <v>1770.25</v>
      </c>
      <c r="Q111" s="180">
        <v>10200</v>
      </c>
    </row>
    <row r="112" spans="1:17" hidden="1">
      <c r="A112" s="175" t="s">
        <v>3739</v>
      </c>
      <c r="B112" s="175" t="s">
        <v>3744</v>
      </c>
      <c r="C112" s="176">
        <v>3</v>
      </c>
      <c r="D112" s="176">
        <v>2770</v>
      </c>
      <c r="E112" s="175"/>
      <c r="F112" s="176">
        <v>74408880649666</v>
      </c>
      <c r="G112" s="175"/>
      <c r="H112" s="175"/>
      <c r="I112" s="175"/>
      <c r="J112" s="176">
        <v>1</v>
      </c>
      <c r="K112" s="175" t="s">
        <v>3742</v>
      </c>
      <c r="L112" s="181">
        <v>15619.86</v>
      </c>
      <c r="M112" s="176">
        <v>0</v>
      </c>
      <c r="N112" s="176">
        <v>0</v>
      </c>
      <c r="O112" s="176">
        <v>0</v>
      </c>
      <c r="P112" s="181">
        <v>3280.17</v>
      </c>
      <c r="Q112" s="180">
        <v>18900</v>
      </c>
    </row>
    <row r="113" spans="1:17" hidden="1">
      <c r="A113" s="175" t="s">
        <v>3739</v>
      </c>
      <c r="B113" s="175" t="s">
        <v>3744</v>
      </c>
      <c r="C113" s="176">
        <v>3</v>
      </c>
      <c r="D113" s="176">
        <v>2771</v>
      </c>
      <c r="E113" s="175"/>
      <c r="F113" s="176">
        <v>74408881014543</v>
      </c>
      <c r="G113" s="175"/>
      <c r="H113" s="175"/>
      <c r="I113" s="175"/>
      <c r="J113" s="176">
        <v>1</v>
      </c>
      <c r="K113" s="175" t="s">
        <v>3742</v>
      </c>
      <c r="L113" s="181">
        <v>33884.29</v>
      </c>
      <c r="M113" s="176">
        <v>0</v>
      </c>
      <c r="N113" s="176">
        <v>0</v>
      </c>
      <c r="O113" s="176">
        <v>0</v>
      </c>
      <c r="P113" s="179">
        <v>7115.7</v>
      </c>
      <c r="Q113" s="180">
        <v>41000</v>
      </c>
    </row>
    <row r="114" spans="1:17" hidden="1">
      <c r="A114" s="175" t="s">
        <v>3739</v>
      </c>
      <c r="B114" s="175" t="s">
        <v>3744</v>
      </c>
      <c r="C114" s="176">
        <v>3</v>
      </c>
      <c r="D114" s="176">
        <v>2772</v>
      </c>
      <c r="E114" s="175"/>
      <c r="F114" s="176">
        <v>74408881354151</v>
      </c>
      <c r="G114" s="175"/>
      <c r="H114" s="175"/>
      <c r="I114" s="175"/>
      <c r="J114" s="176">
        <v>1</v>
      </c>
      <c r="K114" s="175" t="s">
        <v>3742</v>
      </c>
      <c r="L114" s="181">
        <v>21487.62</v>
      </c>
      <c r="M114" s="176">
        <v>0</v>
      </c>
      <c r="N114" s="176">
        <v>0</v>
      </c>
      <c r="O114" s="176">
        <v>0</v>
      </c>
      <c r="P114" s="179">
        <v>4512.3999999999996</v>
      </c>
      <c r="Q114" s="180">
        <v>26000</v>
      </c>
    </row>
    <row r="115" spans="1:17" hidden="1">
      <c r="A115" s="175" t="s">
        <v>3739</v>
      </c>
      <c r="B115" s="175" t="s">
        <v>3744</v>
      </c>
      <c r="C115" s="176">
        <v>3</v>
      </c>
      <c r="D115" s="176">
        <v>2773</v>
      </c>
      <c r="E115" s="175"/>
      <c r="F115" s="176">
        <v>74408881689486</v>
      </c>
      <c r="G115" s="175"/>
      <c r="H115" s="175"/>
      <c r="I115" s="175"/>
      <c r="J115" s="176">
        <v>1</v>
      </c>
      <c r="K115" s="175" t="s">
        <v>3742</v>
      </c>
      <c r="L115" s="181">
        <v>29338.86</v>
      </c>
      <c r="M115" s="176">
        <v>0</v>
      </c>
      <c r="N115" s="176">
        <v>0</v>
      </c>
      <c r="O115" s="176">
        <v>0</v>
      </c>
      <c r="P115" s="181">
        <v>6161.16</v>
      </c>
      <c r="Q115" s="180">
        <v>35500</v>
      </c>
    </row>
    <row r="116" spans="1:17" hidden="1">
      <c r="A116" s="175" t="s">
        <v>3739</v>
      </c>
      <c r="B116" s="175" t="s">
        <v>3744</v>
      </c>
      <c r="C116" s="176">
        <v>3</v>
      </c>
      <c r="D116" s="176">
        <v>2774</v>
      </c>
      <c r="E116" s="175"/>
      <c r="F116" s="176">
        <v>74408882132511</v>
      </c>
      <c r="G116" s="175"/>
      <c r="H116" s="175"/>
      <c r="I116" s="175"/>
      <c r="J116" s="176">
        <v>1</v>
      </c>
      <c r="K116" s="175" t="s">
        <v>3742</v>
      </c>
      <c r="L116" s="181">
        <v>17355.38</v>
      </c>
      <c r="M116" s="176">
        <v>0</v>
      </c>
      <c r="N116" s="176">
        <v>0</v>
      </c>
      <c r="O116" s="176">
        <v>0</v>
      </c>
      <c r="P116" s="181">
        <v>3644.63</v>
      </c>
      <c r="Q116" s="180">
        <v>21000</v>
      </c>
    </row>
    <row r="117" spans="1:17" hidden="1">
      <c r="A117" s="175" t="s">
        <v>3739</v>
      </c>
      <c r="B117" s="175" t="s">
        <v>3744</v>
      </c>
      <c r="C117" s="176">
        <v>3</v>
      </c>
      <c r="D117" s="176">
        <v>2775</v>
      </c>
      <c r="E117" s="175"/>
      <c r="F117" s="176">
        <v>74408882468478</v>
      </c>
      <c r="G117" s="175"/>
      <c r="H117" s="175"/>
      <c r="I117" s="175"/>
      <c r="J117" s="176">
        <v>1</v>
      </c>
      <c r="K117" s="175" t="s">
        <v>3742</v>
      </c>
      <c r="L117" s="181">
        <v>30165.29</v>
      </c>
      <c r="M117" s="176">
        <v>0</v>
      </c>
      <c r="N117" s="176">
        <v>0</v>
      </c>
      <c r="O117" s="176">
        <v>0</v>
      </c>
      <c r="P117" s="181">
        <v>6334.71</v>
      </c>
      <c r="Q117" s="180">
        <v>36500</v>
      </c>
    </row>
    <row r="118" spans="1:17" hidden="1">
      <c r="A118" s="175" t="s">
        <v>3739</v>
      </c>
      <c r="B118" s="175" t="s">
        <v>3744</v>
      </c>
      <c r="C118" s="176">
        <v>3</v>
      </c>
      <c r="D118" s="176">
        <v>2776</v>
      </c>
      <c r="E118" s="175"/>
      <c r="F118" s="176">
        <v>74408882952453</v>
      </c>
      <c r="G118" s="175"/>
      <c r="H118" s="175"/>
      <c r="I118" s="175"/>
      <c r="J118" s="176">
        <v>1</v>
      </c>
      <c r="K118" s="175" t="s">
        <v>3742</v>
      </c>
      <c r="L118" s="181">
        <v>31818.19</v>
      </c>
      <c r="M118" s="176">
        <v>0</v>
      </c>
      <c r="N118" s="176">
        <v>0</v>
      </c>
      <c r="O118" s="176">
        <v>0</v>
      </c>
      <c r="P118" s="181">
        <v>6681.82</v>
      </c>
      <c r="Q118" s="180">
        <v>38500</v>
      </c>
    </row>
    <row r="119" spans="1:17" hidden="1">
      <c r="A119" s="175" t="s">
        <v>3739</v>
      </c>
      <c r="B119" s="175" t="s">
        <v>3744</v>
      </c>
      <c r="C119" s="176">
        <v>3</v>
      </c>
      <c r="D119" s="176">
        <v>2777</v>
      </c>
      <c r="E119" s="175"/>
      <c r="F119" s="176">
        <v>74408883242703</v>
      </c>
      <c r="G119" s="175"/>
      <c r="H119" s="175"/>
      <c r="I119" s="175"/>
      <c r="J119" s="176">
        <v>1</v>
      </c>
      <c r="K119" s="175" t="s">
        <v>3742</v>
      </c>
      <c r="L119" s="181">
        <v>10330.57</v>
      </c>
      <c r="M119" s="176">
        <v>0</v>
      </c>
      <c r="N119" s="176">
        <v>0</v>
      </c>
      <c r="O119" s="176">
        <v>0</v>
      </c>
      <c r="P119" s="181">
        <v>2169.42</v>
      </c>
      <c r="Q119" s="180">
        <v>12500</v>
      </c>
    </row>
    <row r="120" spans="1:17" hidden="1">
      <c r="A120" s="175" t="s">
        <v>3739</v>
      </c>
      <c r="B120" s="175" t="s">
        <v>3744</v>
      </c>
      <c r="C120" s="176">
        <v>3</v>
      </c>
      <c r="D120" s="176">
        <v>2778</v>
      </c>
      <c r="E120" s="175"/>
      <c r="F120" s="176">
        <v>74408883952873</v>
      </c>
      <c r="G120" s="175"/>
      <c r="H120" s="175"/>
      <c r="I120" s="175"/>
      <c r="J120" s="176">
        <v>1</v>
      </c>
      <c r="K120" s="175" t="s">
        <v>3742</v>
      </c>
      <c r="L120" s="181">
        <v>14049.57</v>
      </c>
      <c r="M120" s="176">
        <v>0</v>
      </c>
      <c r="N120" s="176">
        <v>0</v>
      </c>
      <c r="O120" s="176">
        <v>0</v>
      </c>
      <c r="P120" s="181">
        <v>2950.41</v>
      </c>
      <c r="Q120" s="180">
        <v>17000</v>
      </c>
    </row>
    <row r="121" spans="1:17" hidden="1">
      <c r="A121" s="175" t="s">
        <v>3739</v>
      </c>
      <c r="B121" s="175" t="s">
        <v>3744</v>
      </c>
      <c r="C121" s="176">
        <v>3</v>
      </c>
      <c r="D121" s="176">
        <v>2779</v>
      </c>
      <c r="E121" s="175"/>
      <c r="F121" s="176">
        <v>74408884333547</v>
      </c>
      <c r="G121" s="175"/>
      <c r="H121" s="175"/>
      <c r="I121" s="175"/>
      <c r="J121" s="176">
        <v>1</v>
      </c>
      <c r="K121" s="175" t="s">
        <v>3742</v>
      </c>
      <c r="L121" s="181">
        <v>8264.48</v>
      </c>
      <c r="M121" s="176">
        <v>0</v>
      </c>
      <c r="N121" s="176">
        <v>0</v>
      </c>
      <c r="O121" s="176">
        <v>0</v>
      </c>
      <c r="P121" s="181">
        <v>1735.54</v>
      </c>
      <c r="Q121" s="180">
        <v>10000</v>
      </c>
    </row>
    <row r="122" spans="1:17" hidden="1">
      <c r="A122" s="175" t="s">
        <v>3739</v>
      </c>
      <c r="B122" s="175" t="s">
        <v>3744</v>
      </c>
      <c r="C122" s="176">
        <v>3</v>
      </c>
      <c r="D122" s="176">
        <v>2780</v>
      </c>
      <c r="E122" s="175"/>
      <c r="F122" s="176">
        <v>74408885540042</v>
      </c>
      <c r="G122" s="175"/>
      <c r="H122" s="175"/>
      <c r="I122" s="175"/>
      <c r="J122" s="176">
        <v>1</v>
      </c>
      <c r="K122" s="175" t="s">
        <v>3742</v>
      </c>
      <c r="L122" s="181">
        <v>8264.48</v>
      </c>
      <c r="M122" s="176">
        <v>0</v>
      </c>
      <c r="N122" s="176">
        <v>0</v>
      </c>
      <c r="O122" s="176">
        <v>0</v>
      </c>
      <c r="P122" s="181">
        <v>1735.54</v>
      </c>
      <c r="Q122" s="180">
        <v>10000</v>
      </c>
    </row>
    <row r="123" spans="1:17">
      <c r="A123" s="175" t="s">
        <v>3739</v>
      </c>
      <c r="B123" s="175" t="s">
        <v>3744</v>
      </c>
      <c r="C123" s="176">
        <v>3</v>
      </c>
      <c r="D123" s="176">
        <v>2781</v>
      </c>
      <c r="E123" s="175"/>
      <c r="F123" s="176">
        <v>74408886428496</v>
      </c>
      <c r="G123" s="175"/>
      <c r="H123" s="175"/>
      <c r="I123" s="175" t="s">
        <v>3784</v>
      </c>
      <c r="J123" s="176">
        <v>1</v>
      </c>
      <c r="K123" s="175" t="s">
        <v>3742</v>
      </c>
      <c r="L123" s="179">
        <v>37190.1</v>
      </c>
      <c r="M123" s="176">
        <v>0</v>
      </c>
      <c r="N123" s="176">
        <v>0</v>
      </c>
      <c r="O123" s="176">
        <v>0</v>
      </c>
      <c r="P123" s="181">
        <v>7809.92</v>
      </c>
      <c r="Q123" s="180">
        <v>45000</v>
      </c>
    </row>
    <row r="124" spans="1:17" hidden="1">
      <c r="A124" s="175" t="s">
        <v>3739</v>
      </c>
      <c r="B124" s="175" t="s">
        <v>3744</v>
      </c>
      <c r="C124" s="176">
        <v>3</v>
      </c>
      <c r="D124" s="176">
        <v>2782</v>
      </c>
      <c r="E124" s="175"/>
      <c r="F124" s="176">
        <v>74408886749305</v>
      </c>
      <c r="G124" s="175"/>
      <c r="H124" s="175"/>
      <c r="I124" s="175"/>
      <c r="J124" s="176">
        <v>1</v>
      </c>
      <c r="K124" s="175" t="s">
        <v>3742</v>
      </c>
      <c r="L124" s="181">
        <v>22314.05</v>
      </c>
      <c r="M124" s="176">
        <v>0</v>
      </c>
      <c r="N124" s="176">
        <v>0</v>
      </c>
      <c r="O124" s="176">
        <v>0</v>
      </c>
      <c r="P124" s="181">
        <v>4685.95</v>
      </c>
      <c r="Q124" s="180">
        <v>27000</v>
      </c>
    </row>
    <row r="125" spans="1:17" hidden="1">
      <c r="A125" s="175" t="s">
        <v>3739</v>
      </c>
      <c r="B125" s="175" t="s">
        <v>3744</v>
      </c>
      <c r="C125" s="176">
        <v>3</v>
      </c>
      <c r="D125" s="176">
        <v>2783</v>
      </c>
      <c r="E125" s="175"/>
      <c r="F125" s="176">
        <v>74408887341130</v>
      </c>
      <c r="G125" s="175"/>
      <c r="H125" s="175"/>
      <c r="I125" s="175"/>
      <c r="J125" s="176">
        <v>1</v>
      </c>
      <c r="K125" s="175" t="s">
        <v>3742</v>
      </c>
      <c r="L125" s="181">
        <v>14669.43</v>
      </c>
      <c r="M125" s="176">
        <v>0</v>
      </c>
      <c r="N125" s="176">
        <v>0</v>
      </c>
      <c r="O125" s="176">
        <v>0</v>
      </c>
      <c r="P125" s="181">
        <v>3080.58</v>
      </c>
      <c r="Q125" s="180">
        <v>17750</v>
      </c>
    </row>
    <row r="126" spans="1:17" hidden="1">
      <c r="A126" s="175" t="s">
        <v>3739</v>
      </c>
      <c r="B126" s="175" t="s">
        <v>3744</v>
      </c>
      <c r="C126" s="176">
        <v>3</v>
      </c>
      <c r="D126" s="176">
        <v>2784</v>
      </c>
      <c r="E126" s="175"/>
      <c r="F126" s="176">
        <v>74408887671902</v>
      </c>
      <c r="G126" s="175"/>
      <c r="H126" s="175"/>
      <c r="I126" s="175"/>
      <c r="J126" s="176">
        <v>1</v>
      </c>
      <c r="K126" s="175" t="s">
        <v>3742</v>
      </c>
      <c r="L126" s="181">
        <v>14669.43</v>
      </c>
      <c r="M126" s="176">
        <v>0</v>
      </c>
      <c r="N126" s="176">
        <v>0</v>
      </c>
      <c r="O126" s="176">
        <v>0</v>
      </c>
      <c r="P126" s="181">
        <v>3080.58</v>
      </c>
      <c r="Q126" s="180">
        <v>17750</v>
      </c>
    </row>
    <row r="127" spans="1:17" hidden="1">
      <c r="A127" s="175" t="s">
        <v>3739</v>
      </c>
      <c r="B127" s="175" t="s">
        <v>3744</v>
      </c>
      <c r="C127" s="176">
        <v>3</v>
      </c>
      <c r="D127" s="176">
        <v>2785</v>
      </c>
      <c r="E127" s="175"/>
      <c r="F127" s="176">
        <v>74408888028047</v>
      </c>
      <c r="G127" s="175"/>
      <c r="H127" s="175"/>
      <c r="I127" s="175"/>
      <c r="J127" s="176">
        <v>1</v>
      </c>
      <c r="K127" s="175" t="s">
        <v>3742</v>
      </c>
      <c r="L127" s="181">
        <v>16942.14</v>
      </c>
      <c r="M127" s="176">
        <v>0</v>
      </c>
      <c r="N127" s="176">
        <v>0</v>
      </c>
      <c r="O127" s="176">
        <v>0</v>
      </c>
      <c r="P127" s="181">
        <v>3557.85</v>
      </c>
      <c r="Q127" s="180">
        <v>20500</v>
      </c>
    </row>
    <row r="128" spans="1:17" hidden="1">
      <c r="A128" s="175" t="s">
        <v>3739</v>
      </c>
      <c r="B128" s="175" t="s">
        <v>3744</v>
      </c>
      <c r="C128" s="176">
        <v>3</v>
      </c>
      <c r="D128" s="176">
        <v>2786</v>
      </c>
      <c r="E128" s="175"/>
      <c r="F128" s="176">
        <v>74408888336882</v>
      </c>
      <c r="G128" s="175"/>
      <c r="H128" s="175"/>
      <c r="I128" s="175"/>
      <c r="J128" s="176">
        <v>1</v>
      </c>
      <c r="K128" s="175" t="s">
        <v>3742</v>
      </c>
      <c r="L128" s="181">
        <v>29338.86</v>
      </c>
      <c r="M128" s="176">
        <v>0</v>
      </c>
      <c r="N128" s="176">
        <v>0</v>
      </c>
      <c r="O128" s="176">
        <v>0</v>
      </c>
      <c r="P128" s="181">
        <v>6161.16</v>
      </c>
      <c r="Q128" s="180">
        <v>35500</v>
      </c>
    </row>
    <row r="129" spans="1:17" hidden="1">
      <c r="A129" s="175" t="s">
        <v>3739</v>
      </c>
      <c r="B129" s="175" t="s">
        <v>3744</v>
      </c>
      <c r="C129" s="176">
        <v>3</v>
      </c>
      <c r="D129" s="176">
        <v>2787</v>
      </c>
      <c r="E129" s="175"/>
      <c r="F129" s="176">
        <v>74408888662134</v>
      </c>
      <c r="G129" s="175"/>
      <c r="H129" s="175"/>
      <c r="I129" s="175"/>
      <c r="J129" s="176">
        <v>1</v>
      </c>
      <c r="K129" s="175" t="s">
        <v>3742</v>
      </c>
      <c r="L129" s="179">
        <v>12809.9</v>
      </c>
      <c r="M129" s="176">
        <v>0</v>
      </c>
      <c r="N129" s="176">
        <v>0</v>
      </c>
      <c r="O129" s="176">
        <v>0</v>
      </c>
      <c r="P129" s="181">
        <v>2690.08</v>
      </c>
      <c r="Q129" s="180">
        <v>15500</v>
      </c>
    </row>
    <row r="130" spans="1:17" hidden="1">
      <c r="A130" s="175" t="s">
        <v>3739</v>
      </c>
      <c r="B130" s="175" t="s">
        <v>3744</v>
      </c>
      <c r="C130" s="176">
        <v>3</v>
      </c>
      <c r="D130" s="176">
        <v>2788</v>
      </c>
      <c r="E130" s="175"/>
      <c r="F130" s="176">
        <v>74408888856498</v>
      </c>
      <c r="G130" s="175"/>
      <c r="H130" s="175"/>
      <c r="I130" s="175"/>
      <c r="J130" s="176">
        <v>1</v>
      </c>
      <c r="K130" s="175" t="s">
        <v>3742</v>
      </c>
      <c r="L130" s="179">
        <v>4628.1000000000004</v>
      </c>
      <c r="M130" s="176">
        <v>0</v>
      </c>
      <c r="N130" s="176">
        <v>0</v>
      </c>
      <c r="O130" s="176">
        <v>0</v>
      </c>
      <c r="P130" s="179">
        <v>971.9</v>
      </c>
      <c r="Q130" s="180">
        <v>5600</v>
      </c>
    </row>
    <row r="131" spans="1:17" hidden="1">
      <c r="A131" s="175" t="s">
        <v>3739</v>
      </c>
      <c r="B131" s="175" t="s">
        <v>3744</v>
      </c>
      <c r="C131" s="176">
        <v>3</v>
      </c>
      <c r="D131" s="176">
        <v>2789</v>
      </c>
      <c r="E131" s="175"/>
      <c r="F131" s="176">
        <v>74408889095591</v>
      </c>
      <c r="G131" s="175"/>
      <c r="H131" s="175"/>
      <c r="I131" s="175"/>
      <c r="J131" s="176">
        <v>1</v>
      </c>
      <c r="K131" s="175" t="s">
        <v>3742</v>
      </c>
      <c r="L131" s="181">
        <v>14669.43</v>
      </c>
      <c r="M131" s="176">
        <v>0</v>
      </c>
      <c r="N131" s="176">
        <v>0</v>
      </c>
      <c r="O131" s="176">
        <v>0</v>
      </c>
      <c r="P131" s="181">
        <v>3080.58</v>
      </c>
      <c r="Q131" s="180">
        <v>17750</v>
      </c>
    </row>
    <row r="132" spans="1:17" hidden="1">
      <c r="A132" s="175" t="s">
        <v>3739</v>
      </c>
      <c r="B132" s="175" t="s">
        <v>3744</v>
      </c>
      <c r="C132" s="176">
        <v>3</v>
      </c>
      <c r="D132" s="176">
        <v>2790</v>
      </c>
      <c r="E132" s="175"/>
      <c r="F132" s="176">
        <v>74408889445659</v>
      </c>
      <c r="G132" s="175"/>
      <c r="H132" s="175"/>
      <c r="I132" s="175"/>
      <c r="J132" s="176">
        <v>1</v>
      </c>
      <c r="K132" s="175" t="s">
        <v>3742</v>
      </c>
      <c r="L132" s="179">
        <v>90909.1</v>
      </c>
      <c r="M132" s="176">
        <v>0</v>
      </c>
      <c r="N132" s="176">
        <v>0</v>
      </c>
      <c r="O132" s="176">
        <v>0</v>
      </c>
      <c r="P132" s="181">
        <v>19090.91</v>
      </c>
      <c r="Q132" s="180">
        <v>110000</v>
      </c>
    </row>
    <row r="133" spans="1:17">
      <c r="A133" s="175" t="s">
        <v>3739</v>
      </c>
      <c r="B133" s="175" t="s">
        <v>3744</v>
      </c>
      <c r="C133" s="176">
        <v>3</v>
      </c>
      <c r="D133" s="176">
        <v>2791</v>
      </c>
      <c r="E133" s="175"/>
      <c r="F133" s="176">
        <v>74408922508311</v>
      </c>
      <c r="G133" s="175" t="s">
        <v>3785</v>
      </c>
      <c r="H133" s="176">
        <v>22049243</v>
      </c>
      <c r="I133" s="175" t="s">
        <v>3786</v>
      </c>
      <c r="J133" s="176">
        <v>1</v>
      </c>
      <c r="K133" s="175" t="s">
        <v>3742</v>
      </c>
      <c r="L133" s="181">
        <v>33801.67</v>
      </c>
      <c r="M133" s="176">
        <v>0</v>
      </c>
      <c r="N133" s="176">
        <v>0</v>
      </c>
      <c r="O133" s="176">
        <v>0</v>
      </c>
      <c r="P133" s="181">
        <v>7098.35</v>
      </c>
      <c r="Q133" s="180">
        <v>40900</v>
      </c>
    </row>
    <row r="134" spans="1:17" hidden="1">
      <c r="A134" s="175" t="s">
        <v>3739</v>
      </c>
      <c r="B134" s="175" t="s">
        <v>3744</v>
      </c>
      <c r="C134" s="176">
        <v>3</v>
      </c>
      <c r="D134" s="176">
        <v>2792</v>
      </c>
      <c r="E134" s="175"/>
      <c r="F134" s="176">
        <v>74408937516338</v>
      </c>
      <c r="G134" s="175"/>
      <c r="H134" s="175"/>
      <c r="I134" s="175"/>
      <c r="J134" s="176">
        <v>1</v>
      </c>
      <c r="K134" s="175" t="s">
        <v>3742</v>
      </c>
      <c r="L134" s="181">
        <v>31818.19</v>
      </c>
      <c r="M134" s="176">
        <v>0</v>
      </c>
      <c r="N134" s="176">
        <v>0</v>
      </c>
      <c r="O134" s="176">
        <v>0</v>
      </c>
      <c r="P134" s="181">
        <v>6681.82</v>
      </c>
      <c r="Q134" s="180">
        <v>38500</v>
      </c>
    </row>
    <row r="135" spans="1:17">
      <c r="A135" s="175" t="s">
        <v>3739</v>
      </c>
      <c r="B135" s="175" t="s">
        <v>3744</v>
      </c>
      <c r="C135" s="176">
        <v>3</v>
      </c>
      <c r="D135" s="176">
        <v>2793</v>
      </c>
      <c r="E135" s="175"/>
      <c r="F135" s="176">
        <v>74408942327090</v>
      </c>
      <c r="G135" s="175" t="s">
        <v>3741</v>
      </c>
      <c r="H135" s="176">
        <v>30590354798</v>
      </c>
      <c r="I135" s="175" t="s">
        <v>3783</v>
      </c>
      <c r="J135" s="176">
        <v>1</v>
      </c>
      <c r="K135" s="175" t="s">
        <v>3742</v>
      </c>
      <c r="L135" s="181">
        <v>3835586.81</v>
      </c>
      <c r="M135" s="176">
        <v>0</v>
      </c>
      <c r="N135" s="176">
        <v>0</v>
      </c>
      <c r="O135" s="176">
        <v>0</v>
      </c>
      <c r="P135" s="181">
        <v>805473.23</v>
      </c>
      <c r="Q135" s="180">
        <v>4641060</v>
      </c>
    </row>
    <row r="136" spans="1:17">
      <c r="A136" s="175" t="s">
        <v>3746</v>
      </c>
      <c r="B136" s="175" t="s">
        <v>3744</v>
      </c>
      <c r="C136" s="176">
        <v>3</v>
      </c>
      <c r="D136" s="176">
        <v>2794</v>
      </c>
      <c r="E136" s="175"/>
      <c r="F136" s="176">
        <v>74408061704539</v>
      </c>
      <c r="G136" s="175" t="s">
        <v>3741</v>
      </c>
      <c r="H136" s="176">
        <v>27137980008</v>
      </c>
      <c r="I136" s="175" t="s">
        <v>3787</v>
      </c>
      <c r="J136" s="176">
        <v>1</v>
      </c>
      <c r="K136" s="175" t="s">
        <v>3742</v>
      </c>
      <c r="L136" s="181">
        <v>22314.05</v>
      </c>
      <c r="M136" s="176">
        <v>0</v>
      </c>
      <c r="N136" s="176">
        <v>0</v>
      </c>
      <c r="O136" s="176">
        <v>0</v>
      </c>
      <c r="P136" s="181">
        <v>4685.95</v>
      </c>
      <c r="Q136" s="180">
        <v>27000</v>
      </c>
    </row>
    <row r="137" spans="1:17">
      <c r="A137" s="175" t="s">
        <v>3745</v>
      </c>
      <c r="B137" s="175" t="s">
        <v>3744</v>
      </c>
      <c r="C137" s="176">
        <v>3</v>
      </c>
      <c r="D137" s="176">
        <v>2795</v>
      </c>
      <c r="E137" s="175"/>
      <c r="F137" s="176">
        <v>74408207162493</v>
      </c>
      <c r="G137" s="175" t="s">
        <v>3785</v>
      </c>
      <c r="H137" s="176">
        <v>10240946</v>
      </c>
      <c r="I137" s="175" t="s">
        <v>3788</v>
      </c>
      <c r="J137" s="176">
        <v>1</v>
      </c>
      <c r="K137" s="175" t="s">
        <v>3742</v>
      </c>
      <c r="L137" s="181">
        <v>12314.05</v>
      </c>
      <c r="M137" s="176">
        <v>0</v>
      </c>
      <c r="N137" s="176">
        <v>0</v>
      </c>
      <c r="O137" s="176">
        <v>0</v>
      </c>
      <c r="P137" s="181">
        <v>2585.9499999999998</v>
      </c>
      <c r="Q137" s="180">
        <v>14900</v>
      </c>
    </row>
    <row r="138" spans="1:17">
      <c r="A138" s="175" t="s">
        <v>3751</v>
      </c>
      <c r="B138" s="175" t="s">
        <v>3744</v>
      </c>
      <c r="C138" s="176">
        <v>3</v>
      </c>
      <c r="D138" s="176">
        <v>2796</v>
      </c>
      <c r="E138" s="175"/>
      <c r="F138" s="176">
        <v>74418893341715</v>
      </c>
      <c r="G138" s="175" t="s">
        <v>3785</v>
      </c>
      <c r="H138" s="176">
        <v>28370794</v>
      </c>
      <c r="I138" s="175" t="s">
        <v>3789</v>
      </c>
      <c r="J138" s="176">
        <v>1</v>
      </c>
      <c r="K138" s="175" t="s">
        <v>3742</v>
      </c>
      <c r="L138" s="181">
        <v>10743.81</v>
      </c>
      <c r="M138" s="176">
        <v>0</v>
      </c>
      <c r="N138" s="176">
        <v>0</v>
      </c>
      <c r="O138" s="176">
        <v>0</v>
      </c>
      <c r="P138" s="179">
        <v>2256.1999999999998</v>
      </c>
      <c r="Q138" s="180">
        <v>13000</v>
      </c>
    </row>
    <row r="139" spans="1:17">
      <c r="A139" s="175" t="s">
        <v>3751</v>
      </c>
      <c r="B139" s="175" t="s">
        <v>3744</v>
      </c>
      <c r="C139" s="176">
        <v>3</v>
      </c>
      <c r="D139" s="176">
        <v>2797</v>
      </c>
      <c r="E139" s="175"/>
      <c r="F139" s="176">
        <v>74418926948237</v>
      </c>
      <c r="G139" s="175" t="s">
        <v>3785</v>
      </c>
      <c r="H139" s="176">
        <v>93102721</v>
      </c>
      <c r="I139" s="175" t="s">
        <v>3790</v>
      </c>
      <c r="J139" s="176">
        <v>1</v>
      </c>
      <c r="K139" s="175" t="s">
        <v>3742</v>
      </c>
      <c r="L139" s="181">
        <v>12396.71</v>
      </c>
      <c r="M139" s="176">
        <v>0</v>
      </c>
      <c r="N139" s="176">
        <v>0</v>
      </c>
      <c r="O139" s="176">
        <v>0</v>
      </c>
      <c r="P139" s="181">
        <v>2603.31</v>
      </c>
      <c r="Q139" s="180">
        <v>15000</v>
      </c>
    </row>
    <row r="140" spans="1:17">
      <c r="A140" s="175" t="s">
        <v>3751</v>
      </c>
      <c r="B140" s="175" t="s">
        <v>3744</v>
      </c>
      <c r="C140" s="176">
        <v>3</v>
      </c>
      <c r="D140" s="176">
        <v>2798</v>
      </c>
      <c r="E140" s="175"/>
      <c r="F140" s="176">
        <v>74418936661612</v>
      </c>
      <c r="G140" s="175" t="s">
        <v>3785</v>
      </c>
      <c r="H140" s="176">
        <v>4404079</v>
      </c>
      <c r="I140" s="175" t="s">
        <v>3791</v>
      </c>
      <c r="J140" s="176">
        <v>1</v>
      </c>
      <c r="K140" s="175" t="s">
        <v>3742</v>
      </c>
      <c r="L140" s="181">
        <v>26446.29</v>
      </c>
      <c r="M140" s="176">
        <v>0</v>
      </c>
      <c r="N140" s="176">
        <v>0</v>
      </c>
      <c r="O140" s="176">
        <v>0</v>
      </c>
      <c r="P140" s="181">
        <v>5553.72</v>
      </c>
      <c r="Q140" s="180">
        <v>32000</v>
      </c>
    </row>
    <row r="141" spans="1:17">
      <c r="A141" s="175" t="s">
        <v>3751</v>
      </c>
      <c r="B141" s="175" t="s">
        <v>3744</v>
      </c>
      <c r="C141" s="176">
        <v>3</v>
      </c>
      <c r="D141" s="176">
        <v>2799</v>
      </c>
      <c r="E141" s="175"/>
      <c r="F141" s="176">
        <v>74418937266893</v>
      </c>
      <c r="G141" s="175" t="s">
        <v>3785</v>
      </c>
      <c r="H141" s="176">
        <v>46027091</v>
      </c>
      <c r="I141" s="175" t="s">
        <v>3792</v>
      </c>
      <c r="J141" s="176">
        <v>1</v>
      </c>
      <c r="K141" s="175" t="s">
        <v>3742</v>
      </c>
      <c r="L141" s="181">
        <v>15619.86</v>
      </c>
      <c r="M141" s="176">
        <v>0</v>
      </c>
      <c r="N141" s="176">
        <v>0</v>
      </c>
      <c r="O141" s="176">
        <v>0</v>
      </c>
      <c r="P141" s="181">
        <v>3280.17</v>
      </c>
      <c r="Q141" s="180">
        <v>18900</v>
      </c>
    </row>
    <row r="142" spans="1:17">
      <c r="A142" s="175" t="s">
        <v>3751</v>
      </c>
      <c r="B142" s="175" t="s">
        <v>3744</v>
      </c>
      <c r="C142" s="176">
        <v>3</v>
      </c>
      <c r="D142" s="176">
        <v>2800</v>
      </c>
      <c r="E142" s="175"/>
      <c r="F142" s="176">
        <v>74418937918569</v>
      </c>
      <c r="G142" s="175" t="s">
        <v>3785</v>
      </c>
      <c r="H142" s="176">
        <v>3868027</v>
      </c>
      <c r="I142" s="175" t="s">
        <v>3793</v>
      </c>
      <c r="J142" s="176">
        <v>1</v>
      </c>
      <c r="K142" s="175" t="s">
        <v>3742</v>
      </c>
      <c r="L142" s="181">
        <v>17768.57</v>
      </c>
      <c r="M142" s="176">
        <v>0</v>
      </c>
      <c r="N142" s="176">
        <v>0</v>
      </c>
      <c r="O142" s="176">
        <v>0</v>
      </c>
      <c r="P142" s="179">
        <v>3731.4</v>
      </c>
      <c r="Q142" s="180">
        <v>21500</v>
      </c>
    </row>
    <row r="143" spans="1:17">
      <c r="A143" s="175" t="s">
        <v>3751</v>
      </c>
      <c r="B143" s="175" t="s">
        <v>3744</v>
      </c>
      <c r="C143" s="176">
        <v>3</v>
      </c>
      <c r="D143" s="176">
        <v>2801</v>
      </c>
      <c r="E143" s="175"/>
      <c r="F143" s="176">
        <v>74418938484300</v>
      </c>
      <c r="G143" s="175" t="s">
        <v>3785</v>
      </c>
      <c r="H143" s="176">
        <v>18220005</v>
      </c>
      <c r="I143" s="175" t="s">
        <v>3794</v>
      </c>
      <c r="J143" s="176">
        <v>1</v>
      </c>
      <c r="K143" s="175" t="s">
        <v>3742</v>
      </c>
      <c r="L143" s="181">
        <v>10330.57</v>
      </c>
      <c r="M143" s="176">
        <v>0</v>
      </c>
      <c r="N143" s="176">
        <v>0</v>
      </c>
      <c r="O143" s="176">
        <v>0</v>
      </c>
      <c r="P143" s="181">
        <v>2169.42</v>
      </c>
      <c r="Q143" s="180">
        <v>12500</v>
      </c>
    </row>
    <row r="144" spans="1:17">
      <c r="A144" s="175" t="s">
        <v>3751</v>
      </c>
      <c r="B144" s="175" t="s">
        <v>3744</v>
      </c>
      <c r="C144" s="176">
        <v>3</v>
      </c>
      <c r="D144" s="176">
        <v>2802</v>
      </c>
      <c r="E144" s="175"/>
      <c r="F144" s="176">
        <v>74418939158185</v>
      </c>
      <c r="G144" s="175" t="s">
        <v>3785</v>
      </c>
      <c r="H144" s="176">
        <v>30371510</v>
      </c>
      <c r="I144" s="175" t="s">
        <v>3795</v>
      </c>
      <c r="J144" s="176">
        <v>1</v>
      </c>
      <c r="K144" s="175" t="s">
        <v>3742</v>
      </c>
      <c r="L144" s="181">
        <v>21900.81</v>
      </c>
      <c r="M144" s="176">
        <v>0</v>
      </c>
      <c r="N144" s="176">
        <v>0</v>
      </c>
      <c r="O144" s="176">
        <v>0</v>
      </c>
      <c r="P144" s="181">
        <v>4599.17</v>
      </c>
      <c r="Q144" s="180">
        <v>26500</v>
      </c>
    </row>
    <row r="145" spans="1:17">
      <c r="A145" s="175" t="s">
        <v>3751</v>
      </c>
      <c r="B145" s="175" t="s">
        <v>3744</v>
      </c>
      <c r="C145" s="176">
        <v>3</v>
      </c>
      <c r="D145" s="176">
        <v>2803</v>
      </c>
      <c r="E145" s="175"/>
      <c r="F145" s="176">
        <v>74418940253426</v>
      </c>
      <c r="G145" s="175" t="s">
        <v>3785</v>
      </c>
      <c r="H145" s="176">
        <v>17795042</v>
      </c>
      <c r="I145" s="175" t="s">
        <v>3796</v>
      </c>
      <c r="J145" s="176">
        <v>1</v>
      </c>
      <c r="K145" s="175" t="s">
        <v>3742</v>
      </c>
      <c r="L145" s="181">
        <v>35041.33</v>
      </c>
      <c r="M145" s="176">
        <v>0</v>
      </c>
      <c r="N145" s="176">
        <v>0</v>
      </c>
      <c r="O145" s="176">
        <v>0</v>
      </c>
      <c r="P145" s="181">
        <v>7358.68</v>
      </c>
      <c r="Q145" s="180">
        <v>42400</v>
      </c>
    </row>
    <row r="146" spans="1:17">
      <c r="A146" s="175" t="s">
        <v>3751</v>
      </c>
      <c r="B146" s="175" t="s">
        <v>3744</v>
      </c>
      <c r="C146" s="176">
        <v>3</v>
      </c>
      <c r="D146" s="176">
        <v>2804</v>
      </c>
      <c r="E146" s="175"/>
      <c r="F146" s="176">
        <v>74418940801939</v>
      </c>
      <c r="G146" s="175" t="s">
        <v>3741</v>
      </c>
      <c r="H146" s="176">
        <v>27137980008</v>
      </c>
      <c r="I146" s="175" t="s">
        <v>3787</v>
      </c>
      <c r="J146" s="176">
        <v>1</v>
      </c>
      <c r="K146" s="175" t="s">
        <v>3742</v>
      </c>
      <c r="L146" s="181">
        <v>22314.05</v>
      </c>
      <c r="M146" s="176">
        <v>0</v>
      </c>
      <c r="N146" s="176">
        <v>0</v>
      </c>
      <c r="O146" s="176">
        <v>0</v>
      </c>
      <c r="P146" s="181">
        <v>4685.95</v>
      </c>
      <c r="Q146" s="180">
        <v>27000</v>
      </c>
    </row>
    <row r="147" spans="1:17">
      <c r="A147" s="175" t="s">
        <v>3751</v>
      </c>
      <c r="B147" s="175" t="s">
        <v>3744</v>
      </c>
      <c r="C147" s="176">
        <v>3</v>
      </c>
      <c r="D147" s="176">
        <v>2805</v>
      </c>
      <c r="E147" s="175"/>
      <c r="F147" s="176">
        <v>74418941201399</v>
      </c>
      <c r="G147" s="175" t="s">
        <v>3785</v>
      </c>
      <c r="H147" s="176">
        <v>35112162</v>
      </c>
      <c r="I147" s="175" t="s">
        <v>3797</v>
      </c>
      <c r="J147" s="176">
        <v>1</v>
      </c>
      <c r="K147" s="175" t="s">
        <v>3742</v>
      </c>
      <c r="L147" s="181">
        <v>12396.71</v>
      </c>
      <c r="M147" s="176">
        <v>0</v>
      </c>
      <c r="N147" s="176">
        <v>0</v>
      </c>
      <c r="O147" s="176">
        <v>0</v>
      </c>
      <c r="P147" s="181">
        <v>2603.31</v>
      </c>
      <c r="Q147" s="180">
        <v>15000</v>
      </c>
    </row>
    <row r="148" spans="1:17">
      <c r="A148" s="175" t="s">
        <v>3751</v>
      </c>
      <c r="B148" s="175" t="s">
        <v>3744</v>
      </c>
      <c r="C148" s="176">
        <v>3</v>
      </c>
      <c r="D148" s="176">
        <v>2806</v>
      </c>
      <c r="E148" s="175"/>
      <c r="F148" s="176">
        <v>74418954921486</v>
      </c>
      <c r="G148" s="175" t="s">
        <v>3785</v>
      </c>
      <c r="H148" s="176">
        <v>14981797</v>
      </c>
      <c r="I148" s="175" t="s">
        <v>3798</v>
      </c>
      <c r="J148" s="176">
        <v>1</v>
      </c>
      <c r="K148" s="175" t="s">
        <v>3742</v>
      </c>
      <c r="L148" s="181">
        <v>28512.38</v>
      </c>
      <c r="M148" s="176">
        <v>0</v>
      </c>
      <c r="N148" s="176">
        <v>0</v>
      </c>
      <c r="O148" s="176">
        <v>0</v>
      </c>
      <c r="P148" s="179">
        <v>5987.6</v>
      </c>
      <c r="Q148" s="180">
        <v>34500</v>
      </c>
    </row>
    <row r="149" spans="1:17">
      <c r="A149" s="175" t="s">
        <v>3752</v>
      </c>
      <c r="B149" s="175" t="s">
        <v>3744</v>
      </c>
      <c r="C149" s="176">
        <v>3</v>
      </c>
      <c r="D149" s="176">
        <v>2807</v>
      </c>
      <c r="E149" s="175"/>
      <c r="F149" s="176">
        <v>74418029742933</v>
      </c>
      <c r="G149" s="175" t="s">
        <v>3785</v>
      </c>
      <c r="H149" s="176">
        <v>22493216</v>
      </c>
      <c r="I149" s="175" t="s">
        <v>3799</v>
      </c>
      <c r="J149" s="176">
        <v>1</v>
      </c>
      <c r="K149" s="175" t="s">
        <v>3742</v>
      </c>
      <c r="L149" s="181">
        <v>14752.05</v>
      </c>
      <c r="M149" s="176">
        <v>0</v>
      </c>
      <c r="N149" s="176">
        <v>0</v>
      </c>
      <c r="O149" s="176">
        <v>0</v>
      </c>
      <c r="P149" s="181">
        <v>3097.93</v>
      </c>
      <c r="Q149" s="180">
        <v>17850</v>
      </c>
    </row>
    <row r="150" spans="1:17">
      <c r="A150" s="175" t="s">
        <v>3752</v>
      </c>
      <c r="B150" s="175" t="s">
        <v>3744</v>
      </c>
      <c r="C150" s="176">
        <v>3</v>
      </c>
      <c r="D150" s="176">
        <v>2808</v>
      </c>
      <c r="E150" s="175"/>
      <c r="F150" s="176">
        <v>74418031478688</v>
      </c>
      <c r="G150" s="175" t="s">
        <v>3785</v>
      </c>
      <c r="H150" s="176">
        <v>4160867</v>
      </c>
      <c r="I150" s="175" t="s">
        <v>3800</v>
      </c>
      <c r="J150" s="176">
        <v>1</v>
      </c>
      <c r="K150" s="175" t="s">
        <v>3742</v>
      </c>
      <c r="L150" s="181">
        <v>14876.05</v>
      </c>
      <c r="M150" s="176">
        <v>0</v>
      </c>
      <c r="N150" s="176">
        <v>0</v>
      </c>
      <c r="O150" s="176">
        <v>0</v>
      </c>
      <c r="P150" s="181">
        <v>3123.97</v>
      </c>
      <c r="Q150" s="180">
        <v>18000</v>
      </c>
    </row>
    <row r="151" spans="1:17">
      <c r="A151" s="175" t="s">
        <v>3752</v>
      </c>
      <c r="B151" s="175" t="s">
        <v>3744</v>
      </c>
      <c r="C151" s="176">
        <v>3</v>
      </c>
      <c r="D151" s="176">
        <v>2809</v>
      </c>
      <c r="E151" s="175"/>
      <c r="F151" s="176">
        <v>74418032273907</v>
      </c>
      <c r="G151" s="175" t="s">
        <v>3785</v>
      </c>
      <c r="H151" s="176">
        <v>24268487</v>
      </c>
      <c r="I151" s="175" t="s">
        <v>3801</v>
      </c>
      <c r="J151" s="176">
        <v>1</v>
      </c>
      <c r="K151" s="175" t="s">
        <v>3742</v>
      </c>
      <c r="L151" s="181">
        <v>14876.05</v>
      </c>
      <c r="M151" s="176">
        <v>0</v>
      </c>
      <c r="N151" s="176">
        <v>0</v>
      </c>
      <c r="O151" s="176">
        <v>0</v>
      </c>
      <c r="P151" s="181">
        <v>3123.97</v>
      </c>
      <c r="Q151" s="180">
        <v>18000</v>
      </c>
    </row>
    <row r="152" spans="1:17">
      <c r="A152" s="175" t="s">
        <v>3752</v>
      </c>
      <c r="B152" s="175" t="s">
        <v>3744</v>
      </c>
      <c r="C152" s="176">
        <v>3</v>
      </c>
      <c r="D152" s="176">
        <v>2810</v>
      </c>
      <c r="E152" s="175"/>
      <c r="F152" s="176">
        <v>74418048607742</v>
      </c>
      <c r="G152" s="175" t="s">
        <v>3785</v>
      </c>
      <c r="H152" s="176">
        <v>46873125</v>
      </c>
      <c r="I152" s="175" t="s">
        <v>3802</v>
      </c>
      <c r="J152" s="176">
        <v>1</v>
      </c>
      <c r="K152" s="175" t="s">
        <v>3742</v>
      </c>
      <c r="L152" s="181">
        <v>41322.33</v>
      </c>
      <c r="M152" s="176">
        <v>0</v>
      </c>
      <c r="N152" s="176">
        <v>0</v>
      </c>
      <c r="O152" s="176">
        <v>0</v>
      </c>
      <c r="P152" s="181">
        <v>8677.69</v>
      </c>
      <c r="Q152" s="180">
        <v>50000</v>
      </c>
    </row>
    <row r="153" spans="1:17">
      <c r="A153" s="175" t="s">
        <v>3752</v>
      </c>
      <c r="B153" s="175" t="s">
        <v>3744</v>
      </c>
      <c r="C153" s="176">
        <v>3</v>
      </c>
      <c r="D153" s="176">
        <v>2811</v>
      </c>
      <c r="E153" s="175"/>
      <c r="F153" s="176">
        <v>74418075328630</v>
      </c>
      <c r="G153" s="175" t="s">
        <v>3785</v>
      </c>
      <c r="H153" s="176">
        <v>35958893</v>
      </c>
      <c r="I153" s="175" t="s">
        <v>3803</v>
      </c>
      <c r="J153" s="176">
        <v>1</v>
      </c>
      <c r="K153" s="175" t="s">
        <v>3742</v>
      </c>
      <c r="L153" s="181">
        <v>41322.33</v>
      </c>
      <c r="M153" s="176">
        <v>0</v>
      </c>
      <c r="N153" s="176">
        <v>0</v>
      </c>
      <c r="O153" s="176">
        <v>0</v>
      </c>
      <c r="P153" s="181">
        <v>8677.69</v>
      </c>
      <c r="Q153" s="180">
        <v>50000</v>
      </c>
    </row>
    <row r="154" spans="1:17">
      <c r="A154" s="175" t="s">
        <v>3760</v>
      </c>
      <c r="B154" s="175" t="s">
        <v>3744</v>
      </c>
      <c r="C154" s="176">
        <v>3</v>
      </c>
      <c r="D154" s="176">
        <v>2812</v>
      </c>
      <c r="E154" s="175"/>
      <c r="F154" s="176">
        <v>74428416496835</v>
      </c>
      <c r="G154" s="175" t="s">
        <v>3785</v>
      </c>
      <c r="H154" s="176">
        <v>18560116</v>
      </c>
      <c r="I154" s="175" t="s">
        <v>3804</v>
      </c>
      <c r="J154" s="176">
        <v>1</v>
      </c>
      <c r="K154" s="175" t="s">
        <v>3742</v>
      </c>
      <c r="L154" s="181">
        <v>12727.29</v>
      </c>
      <c r="M154" s="176">
        <v>0</v>
      </c>
      <c r="N154" s="176">
        <v>0</v>
      </c>
      <c r="O154" s="176">
        <v>0</v>
      </c>
      <c r="P154" s="181">
        <v>2672.73</v>
      </c>
      <c r="Q154" s="180">
        <v>15400</v>
      </c>
    </row>
    <row r="155" spans="1:17">
      <c r="A155" s="175" t="s">
        <v>3760</v>
      </c>
      <c r="B155" s="175" t="s">
        <v>3744</v>
      </c>
      <c r="C155" s="176">
        <v>3</v>
      </c>
      <c r="D155" s="176">
        <v>2813</v>
      </c>
      <c r="E155" s="175"/>
      <c r="F155" s="176">
        <v>74428427133567</v>
      </c>
      <c r="G155" s="175" t="s">
        <v>3785</v>
      </c>
      <c r="H155" s="176">
        <v>95936668</v>
      </c>
      <c r="I155" s="175" t="s">
        <v>3805</v>
      </c>
      <c r="J155" s="176">
        <v>1</v>
      </c>
      <c r="K155" s="175" t="s">
        <v>3742</v>
      </c>
      <c r="L155" s="181">
        <v>12727.29</v>
      </c>
      <c r="M155" s="176">
        <v>0</v>
      </c>
      <c r="N155" s="176">
        <v>0</v>
      </c>
      <c r="O155" s="176">
        <v>0</v>
      </c>
      <c r="P155" s="181">
        <v>2672.73</v>
      </c>
      <c r="Q155" s="180">
        <v>15400</v>
      </c>
    </row>
    <row r="156" spans="1:17">
      <c r="A156" s="175" t="s">
        <v>3760</v>
      </c>
      <c r="B156" s="175" t="s">
        <v>3744</v>
      </c>
      <c r="C156" s="176">
        <v>3</v>
      </c>
      <c r="D156" s="176">
        <v>2814</v>
      </c>
      <c r="E156" s="175"/>
      <c r="F156" s="176">
        <v>74428444793190</v>
      </c>
      <c r="G156" s="175" t="s">
        <v>3785</v>
      </c>
      <c r="H156" s="176">
        <v>16473359</v>
      </c>
      <c r="I156" s="175" t="s">
        <v>3806</v>
      </c>
      <c r="J156" s="176">
        <v>1</v>
      </c>
      <c r="K156" s="175" t="s">
        <v>3742</v>
      </c>
      <c r="L156" s="181">
        <v>22314.05</v>
      </c>
      <c r="M156" s="176">
        <v>0</v>
      </c>
      <c r="N156" s="176">
        <v>0</v>
      </c>
      <c r="O156" s="176">
        <v>0</v>
      </c>
      <c r="P156" s="181">
        <v>4685.95</v>
      </c>
      <c r="Q156" s="180">
        <v>27000</v>
      </c>
    </row>
    <row r="157" spans="1:17">
      <c r="A157" s="175" t="s">
        <v>3760</v>
      </c>
      <c r="B157" s="175" t="s">
        <v>3744</v>
      </c>
      <c r="C157" s="176">
        <v>3</v>
      </c>
      <c r="D157" s="176">
        <v>2815</v>
      </c>
      <c r="E157" s="175"/>
      <c r="F157" s="176">
        <v>74428447263071</v>
      </c>
      <c r="G157" s="175" t="s">
        <v>3807</v>
      </c>
      <c r="H157" s="176">
        <v>20041399636</v>
      </c>
      <c r="I157" s="175" t="s">
        <v>3808</v>
      </c>
      <c r="J157" s="176">
        <v>1</v>
      </c>
      <c r="K157" s="175" t="s">
        <v>3742</v>
      </c>
      <c r="L157" s="181">
        <v>44214.86</v>
      </c>
      <c r="M157" s="176">
        <v>0</v>
      </c>
      <c r="N157" s="176">
        <v>0</v>
      </c>
      <c r="O157" s="176">
        <v>0</v>
      </c>
      <c r="P157" s="181">
        <v>9285.1200000000008</v>
      </c>
      <c r="Q157" s="180">
        <v>53500</v>
      </c>
    </row>
    <row r="158" spans="1:17" hidden="1">
      <c r="A158" s="175" t="s">
        <v>3760</v>
      </c>
      <c r="B158" s="175" t="s">
        <v>3744</v>
      </c>
      <c r="C158" s="176">
        <v>3</v>
      </c>
      <c r="D158" s="176">
        <v>2816</v>
      </c>
      <c r="E158" s="175"/>
      <c r="F158" s="176">
        <v>74428449200289</v>
      </c>
      <c r="G158" s="175"/>
      <c r="H158" s="175"/>
      <c r="I158" s="175"/>
      <c r="J158" s="176">
        <v>1</v>
      </c>
      <c r="K158" s="175" t="s">
        <v>3742</v>
      </c>
      <c r="L158" s="181">
        <v>12396.71</v>
      </c>
      <c r="M158" s="176">
        <v>0</v>
      </c>
      <c r="N158" s="176">
        <v>0</v>
      </c>
      <c r="O158" s="176">
        <v>0</v>
      </c>
      <c r="P158" s="181">
        <v>2603.31</v>
      </c>
      <c r="Q158" s="180">
        <v>15000</v>
      </c>
    </row>
    <row r="159" spans="1:17">
      <c r="A159" s="175" t="s">
        <v>3764</v>
      </c>
      <c r="B159" s="175" t="s">
        <v>3744</v>
      </c>
      <c r="C159" s="176">
        <v>3</v>
      </c>
      <c r="D159" s="176">
        <v>2817</v>
      </c>
      <c r="E159" s="175"/>
      <c r="F159" s="176">
        <v>74428563591485</v>
      </c>
      <c r="G159" s="175" t="s">
        <v>3785</v>
      </c>
      <c r="H159" s="176">
        <v>29891642</v>
      </c>
      <c r="I159" s="175" t="s">
        <v>3809</v>
      </c>
      <c r="J159" s="176">
        <v>1</v>
      </c>
      <c r="K159" s="175" t="s">
        <v>3742</v>
      </c>
      <c r="L159" s="181">
        <v>13636.38</v>
      </c>
      <c r="M159" s="176">
        <v>0</v>
      </c>
      <c r="N159" s="176">
        <v>0</v>
      </c>
      <c r="O159" s="176">
        <v>0</v>
      </c>
      <c r="P159" s="181">
        <v>2863.64</v>
      </c>
      <c r="Q159" s="180">
        <v>16500</v>
      </c>
    </row>
    <row r="160" spans="1:17">
      <c r="A160" s="175" t="s">
        <v>3764</v>
      </c>
      <c r="B160" s="175" t="s">
        <v>3744</v>
      </c>
      <c r="C160" s="176">
        <v>3</v>
      </c>
      <c r="D160" s="176">
        <v>2818</v>
      </c>
      <c r="E160" s="175"/>
      <c r="F160" s="176">
        <v>74428583967794</v>
      </c>
      <c r="G160" s="175" t="s">
        <v>3785</v>
      </c>
      <c r="H160" s="176">
        <v>30371510</v>
      </c>
      <c r="I160" s="175" t="s">
        <v>3795</v>
      </c>
      <c r="J160" s="176">
        <v>1</v>
      </c>
      <c r="K160" s="175" t="s">
        <v>3742</v>
      </c>
      <c r="L160" s="181">
        <v>21900.81</v>
      </c>
      <c r="M160" s="176">
        <v>0</v>
      </c>
      <c r="N160" s="176">
        <v>0</v>
      </c>
      <c r="O160" s="176">
        <v>0</v>
      </c>
      <c r="P160" s="181">
        <v>4599.17</v>
      </c>
      <c r="Q160" s="180">
        <v>26500</v>
      </c>
    </row>
    <row r="161" spans="1:17">
      <c r="A161" s="175" t="s">
        <v>3764</v>
      </c>
      <c r="B161" s="175" t="s">
        <v>3744</v>
      </c>
      <c r="C161" s="176">
        <v>3</v>
      </c>
      <c r="D161" s="176">
        <v>2819</v>
      </c>
      <c r="E161" s="175"/>
      <c r="F161" s="176">
        <v>74428599247949</v>
      </c>
      <c r="G161" s="175" t="s">
        <v>3785</v>
      </c>
      <c r="H161" s="176">
        <v>18560116</v>
      </c>
      <c r="I161" s="175" t="s">
        <v>3804</v>
      </c>
      <c r="J161" s="176">
        <v>1</v>
      </c>
      <c r="K161" s="175" t="s">
        <v>3742</v>
      </c>
      <c r="L161" s="181">
        <v>22314.05</v>
      </c>
      <c r="M161" s="176">
        <v>0</v>
      </c>
      <c r="N161" s="176">
        <v>0</v>
      </c>
      <c r="O161" s="176">
        <v>0</v>
      </c>
      <c r="P161" s="181">
        <v>4685.95</v>
      </c>
      <c r="Q161" s="180">
        <v>27000</v>
      </c>
    </row>
    <row r="162" spans="1:17">
      <c r="A162" s="175" t="s">
        <v>3764</v>
      </c>
      <c r="B162" s="175" t="s">
        <v>3744</v>
      </c>
      <c r="C162" s="176">
        <v>3</v>
      </c>
      <c r="D162" s="176">
        <v>2820</v>
      </c>
      <c r="E162" s="175"/>
      <c r="F162" s="176">
        <v>74428600323409</v>
      </c>
      <c r="G162" s="175" t="s">
        <v>3785</v>
      </c>
      <c r="H162" s="176">
        <v>14015413</v>
      </c>
      <c r="I162" s="175" t="s">
        <v>3812</v>
      </c>
      <c r="J162" s="176">
        <v>1</v>
      </c>
      <c r="K162" s="175" t="s">
        <v>3742</v>
      </c>
      <c r="L162" s="181">
        <v>14876.05</v>
      </c>
      <c r="M162" s="176">
        <v>0</v>
      </c>
      <c r="N162" s="176">
        <v>0</v>
      </c>
      <c r="O162" s="176">
        <v>0</v>
      </c>
      <c r="P162" s="181">
        <v>3123.97</v>
      </c>
      <c r="Q162" s="180">
        <v>18000</v>
      </c>
    </row>
    <row r="163" spans="1:17">
      <c r="A163" s="175" t="s">
        <v>3764</v>
      </c>
      <c r="B163" s="175" t="s">
        <v>3744</v>
      </c>
      <c r="C163" s="176">
        <v>3</v>
      </c>
      <c r="D163" s="176">
        <v>2821</v>
      </c>
      <c r="E163" s="175"/>
      <c r="F163" s="176">
        <v>74428605694261</v>
      </c>
      <c r="G163" s="175" t="s">
        <v>3785</v>
      </c>
      <c r="H163" s="176">
        <v>21565835</v>
      </c>
      <c r="I163" s="175" t="s">
        <v>3813</v>
      </c>
      <c r="J163" s="176">
        <v>1</v>
      </c>
      <c r="K163" s="175" t="s">
        <v>3742</v>
      </c>
      <c r="L163" s="181">
        <v>13636.38</v>
      </c>
      <c r="M163" s="176">
        <v>0</v>
      </c>
      <c r="N163" s="176">
        <v>0</v>
      </c>
      <c r="O163" s="176">
        <v>0</v>
      </c>
      <c r="P163" s="181">
        <v>2863.64</v>
      </c>
      <c r="Q163" s="180">
        <v>16500</v>
      </c>
    </row>
    <row r="164" spans="1:17">
      <c r="A164" s="175" t="s">
        <v>3764</v>
      </c>
      <c r="B164" s="175" t="s">
        <v>3744</v>
      </c>
      <c r="C164" s="176">
        <v>3</v>
      </c>
      <c r="D164" s="176">
        <v>2822</v>
      </c>
      <c r="E164" s="175"/>
      <c r="F164" s="176">
        <v>74428611948194</v>
      </c>
      <c r="G164" s="175" t="s">
        <v>3785</v>
      </c>
      <c r="H164" s="176">
        <v>48508099</v>
      </c>
      <c r="I164" s="175" t="s">
        <v>3814</v>
      </c>
      <c r="J164" s="176">
        <v>1</v>
      </c>
      <c r="K164" s="175" t="s">
        <v>3742</v>
      </c>
      <c r="L164" s="181">
        <v>12727.29</v>
      </c>
      <c r="M164" s="176">
        <v>0</v>
      </c>
      <c r="N164" s="176">
        <v>0</v>
      </c>
      <c r="O164" s="176">
        <v>0</v>
      </c>
      <c r="P164" s="181">
        <v>2672.73</v>
      </c>
      <c r="Q164" s="180">
        <v>15400</v>
      </c>
    </row>
    <row r="165" spans="1:17">
      <c r="A165" s="175" t="s">
        <v>3766</v>
      </c>
      <c r="B165" s="175" t="s">
        <v>3744</v>
      </c>
      <c r="C165" s="176">
        <v>3</v>
      </c>
      <c r="D165" s="176">
        <v>2823</v>
      </c>
      <c r="E165" s="175"/>
      <c r="F165" s="176">
        <v>74428682479988</v>
      </c>
      <c r="G165" s="175" t="s">
        <v>3785</v>
      </c>
      <c r="H165" s="176">
        <v>21130283</v>
      </c>
      <c r="I165" s="175" t="s">
        <v>3815</v>
      </c>
      <c r="J165" s="176">
        <v>1</v>
      </c>
      <c r="K165" s="175" t="s">
        <v>3742</v>
      </c>
      <c r="L165" s="181">
        <v>17355.38</v>
      </c>
      <c r="M165" s="176">
        <v>0</v>
      </c>
      <c r="N165" s="176">
        <v>0</v>
      </c>
      <c r="O165" s="176">
        <v>0</v>
      </c>
      <c r="P165" s="181">
        <v>3644.63</v>
      </c>
      <c r="Q165" s="180">
        <v>21000</v>
      </c>
    </row>
    <row r="166" spans="1:17">
      <c r="A166" s="175" t="s">
        <v>3766</v>
      </c>
      <c r="B166" s="175" t="s">
        <v>3744</v>
      </c>
      <c r="C166" s="176">
        <v>3</v>
      </c>
      <c r="D166" s="176">
        <v>2824</v>
      </c>
      <c r="E166" s="175"/>
      <c r="F166" s="176">
        <v>74428707388042</v>
      </c>
      <c r="G166" s="175" t="s">
        <v>3785</v>
      </c>
      <c r="H166" s="176">
        <v>18898122</v>
      </c>
      <c r="I166" s="175" t="s">
        <v>3816</v>
      </c>
      <c r="J166" s="176">
        <v>1</v>
      </c>
      <c r="K166" s="175" t="s">
        <v>3742</v>
      </c>
      <c r="L166" s="181">
        <v>17355.38</v>
      </c>
      <c r="M166" s="176">
        <v>0</v>
      </c>
      <c r="N166" s="176">
        <v>0</v>
      </c>
      <c r="O166" s="176">
        <v>0</v>
      </c>
      <c r="P166" s="181">
        <v>3644.63</v>
      </c>
      <c r="Q166" s="180">
        <v>21000</v>
      </c>
    </row>
    <row r="167" spans="1:17">
      <c r="A167" s="175" t="s">
        <v>3766</v>
      </c>
      <c r="B167" s="175" t="s">
        <v>3744</v>
      </c>
      <c r="C167" s="176">
        <v>3</v>
      </c>
      <c r="D167" s="176">
        <v>2825</v>
      </c>
      <c r="E167" s="175"/>
      <c r="F167" s="176">
        <v>74428725276425</v>
      </c>
      <c r="G167" s="175" t="s">
        <v>3741</v>
      </c>
      <c r="H167" s="176">
        <v>27054207668</v>
      </c>
      <c r="I167" s="175" t="s">
        <v>3817</v>
      </c>
      <c r="J167" s="176">
        <v>1</v>
      </c>
      <c r="K167" s="175" t="s">
        <v>3742</v>
      </c>
      <c r="L167" s="181">
        <v>29338.86</v>
      </c>
      <c r="M167" s="176">
        <v>0</v>
      </c>
      <c r="N167" s="176">
        <v>0</v>
      </c>
      <c r="O167" s="176">
        <v>0</v>
      </c>
      <c r="P167" s="181">
        <v>6161.16</v>
      </c>
      <c r="Q167" s="180">
        <v>35500</v>
      </c>
    </row>
    <row r="168" spans="1:17">
      <c r="A168" s="175" t="s">
        <v>3766</v>
      </c>
      <c r="B168" s="175" t="s">
        <v>3744</v>
      </c>
      <c r="C168" s="176">
        <v>3</v>
      </c>
      <c r="D168" s="176">
        <v>2826</v>
      </c>
      <c r="E168" s="175"/>
      <c r="F168" s="176">
        <v>74428740730875</v>
      </c>
      <c r="G168" s="175" t="s">
        <v>3807</v>
      </c>
      <c r="H168" s="176">
        <v>27216457248</v>
      </c>
      <c r="I168" s="175" t="s">
        <v>3818</v>
      </c>
      <c r="J168" s="176">
        <v>1</v>
      </c>
      <c r="K168" s="175" t="s">
        <v>3742</v>
      </c>
      <c r="L168" s="181">
        <v>28925.62</v>
      </c>
      <c r="M168" s="176">
        <v>0</v>
      </c>
      <c r="N168" s="176">
        <v>0</v>
      </c>
      <c r="O168" s="176">
        <v>0</v>
      </c>
      <c r="P168" s="181">
        <v>6074.38</v>
      </c>
      <c r="Q168" s="180">
        <v>35000</v>
      </c>
    </row>
    <row r="169" spans="1:17">
      <c r="A169" s="175" t="s">
        <v>3766</v>
      </c>
      <c r="B169" s="175" t="s">
        <v>3744</v>
      </c>
      <c r="C169" s="176">
        <v>3</v>
      </c>
      <c r="D169" s="176">
        <v>2827</v>
      </c>
      <c r="E169" s="175"/>
      <c r="F169" s="176">
        <v>74428741326237</v>
      </c>
      <c r="G169" s="175" t="s">
        <v>3807</v>
      </c>
      <c r="H169" s="176">
        <v>27216457248</v>
      </c>
      <c r="I169" s="175" t="s">
        <v>3818</v>
      </c>
      <c r="J169" s="176">
        <v>1</v>
      </c>
      <c r="K169" s="175" t="s">
        <v>3742</v>
      </c>
      <c r="L169" s="181">
        <v>28925.62</v>
      </c>
      <c r="M169" s="176">
        <v>0</v>
      </c>
      <c r="N169" s="176">
        <v>0</v>
      </c>
      <c r="O169" s="176">
        <v>0</v>
      </c>
      <c r="P169" s="181">
        <v>6074.38</v>
      </c>
      <c r="Q169" s="180">
        <v>35000</v>
      </c>
    </row>
    <row r="170" spans="1:17">
      <c r="A170" s="175" t="s">
        <v>3769</v>
      </c>
      <c r="B170" s="175" t="s">
        <v>3744</v>
      </c>
      <c r="C170" s="176">
        <v>3</v>
      </c>
      <c r="D170" s="176">
        <v>2828</v>
      </c>
      <c r="E170" s="175"/>
      <c r="F170" s="176">
        <v>74428929297259</v>
      </c>
      <c r="G170" s="175" t="s">
        <v>3785</v>
      </c>
      <c r="H170" s="176">
        <v>46027091</v>
      </c>
      <c r="I170" s="175" t="s">
        <v>3792</v>
      </c>
      <c r="J170" s="176">
        <v>1</v>
      </c>
      <c r="K170" s="175" t="s">
        <v>3742</v>
      </c>
      <c r="L170" s="181">
        <v>14876.05</v>
      </c>
      <c r="M170" s="176">
        <v>0</v>
      </c>
      <c r="N170" s="176">
        <v>0</v>
      </c>
      <c r="O170" s="176">
        <v>0</v>
      </c>
      <c r="P170" s="181">
        <v>3123.97</v>
      </c>
      <c r="Q170" s="180">
        <v>18000</v>
      </c>
    </row>
    <row r="171" spans="1:17">
      <c r="A171" s="175" t="s">
        <v>3769</v>
      </c>
      <c r="B171" s="175" t="s">
        <v>3744</v>
      </c>
      <c r="C171" s="176">
        <v>3</v>
      </c>
      <c r="D171" s="176">
        <v>2829</v>
      </c>
      <c r="E171" s="175"/>
      <c r="F171" s="176">
        <v>74428979215465</v>
      </c>
      <c r="G171" s="175" t="s">
        <v>3785</v>
      </c>
      <c r="H171" s="176">
        <v>30655546</v>
      </c>
      <c r="I171" s="175" t="s">
        <v>3819</v>
      </c>
      <c r="J171" s="176">
        <v>1</v>
      </c>
      <c r="K171" s="175" t="s">
        <v>3742</v>
      </c>
      <c r="L171" s="181">
        <v>17355.38</v>
      </c>
      <c r="M171" s="176">
        <v>0</v>
      </c>
      <c r="N171" s="176">
        <v>0</v>
      </c>
      <c r="O171" s="176">
        <v>0</v>
      </c>
      <c r="P171" s="181">
        <v>3644.63</v>
      </c>
      <c r="Q171" s="180">
        <v>21000</v>
      </c>
    </row>
    <row r="172" spans="1:17">
      <c r="A172" s="175" t="s">
        <v>3770</v>
      </c>
      <c r="B172" s="175" t="s">
        <v>3744</v>
      </c>
      <c r="C172" s="176">
        <v>3</v>
      </c>
      <c r="D172" s="176">
        <v>2830</v>
      </c>
      <c r="E172" s="175"/>
      <c r="F172" s="176">
        <v>74438251335648</v>
      </c>
      <c r="G172" s="175" t="s">
        <v>3785</v>
      </c>
      <c r="H172" s="176">
        <v>45013081</v>
      </c>
      <c r="I172" s="175" t="s">
        <v>3820</v>
      </c>
      <c r="J172" s="176">
        <v>1</v>
      </c>
      <c r="K172" s="175" t="s">
        <v>3742</v>
      </c>
      <c r="L172" s="181">
        <v>13636.38</v>
      </c>
      <c r="M172" s="176">
        <v>0</v>
      </c>
      <c r="N172" s="176">
        <v>0</v>
      </c>
      <c r="O172" s="176">
        <v>0</v>
      </c>
      <c r="P172" s="181">
        <v>2863.64</v>
      </c>
      <c r="Q172" s="180">
        <v>16500</v>
      </c>
    </row>
    <row r="173" spans="1:17">
      <c r="A173" s="175" t="s">
        <v>3770</v>
      </c>
      <c r="B173" s="175" t="s">
        <v>3744</v>
      </c>
      <c r="C173" s="176">
        <v>3</v>
      </c>
      <c r="D173" s="176">
        <v>2831</v>
      </c>
      <c r="E173" s="175"/>
      <c r="F173" s="176">
        <v>74438254053814</v>
      </c>
      <c r="G173" s="175" t="s">
        <v>3785</v>
      </c>
      <c r="H173" s="176">
        <v>50540313</v>
      </c>
      <c r="I173" s="175" t="s">
        <v>3821</v>
      </c>
      <c r="J173" s="176">
        <v>1</v>
      </c>
      <c r="K173" s="175" t="s">
        <v>3742</v>
      </c>
      <c r="L173" s="181">
        <v>29338.86</v>
      </c>
      <c r="M173" s="176">
        <v>0</v>
      </c>
      <c r="N173" s="176">
        <v>0</v>
      </c>
      <c r="O173" s="176">
        <v>0</v>
      </c>
      <c r="P173" s="181">
        <v>6161.16</v>
      </c>
      <c r="Q173" s="180">
        <v>35500</v>
      </c>
    </row>
    <row r="174" spans="1:17">
      <c r="A174" s="175" t="s">
        <v>3770</v>
      </c>
      <c r="B174" s="175" t="s">
        <v>3744</v>
      </c>
      <c r="C174" s="176">
        <v>3</v>
      </c>
      <c r="D174" s="176">
        <v>2832</v>
      </c>
      <c r="E174" s="175"/>
      <c r="F174" s="176">
        <v>74438264797301</v>
      </c>
      <c r="G174" s="175" t="s">
        <v>3785</v>
      </c>
      <c r="H174" s="176">
        <v>14364433</v>
      </c>
      <c r="I174" s="175" t="s">
        <v>3822</v>
      </c>
      <c r="J174" s="176">
        <v>1</v>
      </c>
      <c r="K174" s="175" t="s">
        <v>3742</v>
      </c>
      <c r="L174" s="181">
        <v>26033.05</v>
      </c>
      <c r="M174" s="176">
        <v>0</v>
      </c>
      <c r="N174" s="176">
        <v>0</v>
      </c>
      <c r="O174" s="176">
        <v>0</v>
      </c>
      <c r="P174" s="181">
        <v>5466.94</v>
      </c>
      <c r="Q174" s="180">
        <v>31500</v>
      </c>
    </row>
    <row r="175" spans="1:17">
      <c r="A175" s="175" t="s">
        <v>3770</v>
      </c>
      <c r="B175" s="175" t="s">
        <v>3744</v>
      </c>
      <c r="C175" s="176">
        <v>3</v>
      </c>
      <c r="D175" s="176">
        <v>2833</v>
      </c>
      <c r="E175" s="175"/>
      <c r="F175" s="176">
        <v>74438273831609</v>
      </c>
      <c r="G175" s="175" t="s">
        <v>3785</v>
      </c>
      <c r="H175" s="176">
        <v>41388237</v>
      </c>
      <c r="I175" s="175" t="s">
        <v>3823</v>
      </c>
      <c r="J175" s="176">
        <v>1</v>
      </c>
      <c r="K175" s="175" t="s">
        <v>3742</v>
      </c>
      <c r="L175" s="181">
        <v>13636.38</v>
      </c>
      <c r="M175" s="176">
        <v>0</v>
      </c>
      <c r="N175" s="176">
        <v>0</v>
      </c>
      <c r="O175" s="176">
        <v>0</v>
      </c>
      <c r="P175" s="181">
        <v>2863.64</v>
      </c>
      <c r="Q175" s="180">
        <v>16500</v>
      </c>
    </row>
    <row r="176" spans="1:17" hidden="1">
      <c r="A176" s="175" t="s">
        <v>3770</v>
      </c>
      <c r="B176" s="175" t="s">
        <v>3744</v>
      </c>
      <c r="C176" s="176">
        <v>3</v>
      </c>
      <c r="D176" s="176">
        <v>2834</v>
      </c>
      <c r="E176" s="175"/>
      <c r="F176" s="176">
        <v>74438283904299</v>
      </c>
      <c r="G176" s="175"/>
      <c r="H176" s="175"/>
      <c r="I176" s="175"/>
      <c r="J176" s="176">
        <v>1</v>
      </c>
      <c r="K176" s="175" t="s">
        <v>3742</v>
      </c>
      <c r="L176" s="181">
        <v>13223.14</v>
      </c>
      <c r="M176" s="176">
        <v>0</v>
      </c>
      <c r="N176" s="176">
        <v>0</v>
      </c>
      <c r="O176" s="176">
        <v>0</v>
      </c>
      <c r="P176" s="181">
        <v>2776.86</v>
      </c>
      <c r="Q176" s="180">
        <v>16000</v>
      </c>
    </row>
    <row r="177" spans="1:17">
      <c r="A177" s="175" t="s">
        <v>3772</v>
      </c>
      <c r="B177" s="175" t="s">
        <v>3744</v>
      </c>
      <c r="C177" s="176">
        <v>3</v>
      </c>
      <c r="D177" s="176">
        <v>2835</v>
      </c>
      <c r="E177" s="175"/>
      <c r="F177" s="176">
        <v>74438355648431</v>
      </c>
      <c r="G177" s="175" t="s">
        <v>3785</v>
      </c>
      <c r="H177" s="176">
        <v>3945501</v>
      </c>
      <c r="I177" s="175" t="s">
        <v>3824</v>
      </c>
      <c r="J177" s="176">
        <v>1</v>
      </c>
      <c r="K177" s="175" t="s">
        <v>3742</v>
      </c>
      <c r="L177" s="179">
        <v>40909.1</v>
      </c>
      <c r="M177" s="176">
        <v>0</v>
      </c>
      <c r="N177" s="176">
        <v>0</v>
      </c>
      <c r="O177" s="176">
        <v>0</v>
      </c>
      <c r="P177" s="181">
        <v>8590.91</v>
      </c>
      <c r="Q177" s="180">
        <v>49500</v>
      </c>
    </row>
    <row r="178" spans="1:17">
      <c r="A178" s="175" t="s">
        <v>3772</v>
      </c>
      <c r="B178" s="175" t="s">
        <v>3744</v>
      </c>
      <c r="C178" s="176">
        <v>3</v>
      </c>
      <c r="D178" s="176">
        <v>2836</v>
      </c>
      <c r="E178" s="175"/>
      <c r="F178" s="176">
        <v>74438383845817</v>
      </c>
      <c r="G178" s="175" t="s">
        <v>3785</v>
      </c>
      <c r="H178" s="176">
        <v>39828016</v>
      </c>
      <c r="I178" s="175" t="s">
        <v>3825</v>
      </c>
      <c r="J178" s="176">
        <v>1</v>
      </c>
      <c r="K178" s="175" t="s">
        <v>3742</v>
      </c>
      <c r="L178" s="181">
        <v>13636.38</v>
      </c>
      <c r="M178" s="176">
        <v>0</v>
      </c>
      <c r="N178" s="176">
        <v>0</v>
      </c>
      <c r="O178" s="176">
        <v>0</v>
      </c>
      <c r="P178" s="181">
        <v>2863.64</v>
      </c>
      <c r="Q178" s="180">
        <v>16500</v>
      </c>
    </row>
    <row r="179" spans="1:17">
      <c r="A179" s="175" t="s">
        <v>3772</v>
      </c>
      <c r="B179" s="175" t="s">
        <v>3744</v>
      </c>
      <c r="C179" s="176">
        <v>3</v>
      </c>
      <c r="D179" s="176">
        <v>2837</v>
      </c>
      <c r="E179" s="175"/>
      <c r="F179" s="176">
        <v>74438389238861</v>
      </c>
      <c r="G179" s="175" t="s">
        <v>3785</v>
      </c>
      <c r="H179" s="176">
        <v>16944295</v>
      </c>
      <c r="I179" s="175" t="s">
        <v>3826</v>
      </c>
      <c r="J179" s="176">
        <v>1</v>
      </c>
      <c r="K179" s="175" t="s">
        <v>3742</v>
      </c>
      <c r="L179" s="179">
        <v>15371.9</v>
      </c>
      <c r="M179" s="176">
        <v>0</v>
      </c>
      <c r="N179" s="176">
        <v>0</v>
      </c>
      <c r="O179" s="176">
        <v>0</v>
      </c>
      <c r="P179" s="179">
        <v>3228.1</v>
      </c>
      <c r="Q179" s="180">
        <v>18600</v>
      </c>
    </row>
    <row r="180" spans="1:17">
      <c r="A180" s="175" t="s">
        <v>3773</v>
      </c>
      <c r="B180" s="175" t="s">
        <v>3744</v>
      </c>
      <c r="C180" s="176">
        <v>3</v>
      </c>
      <c r="D180" s="176">
        <v>2838</v>
      </c>
      <c r="E180" s="175"/>
      <c r="F180" s="176">
        <v>74438475517019</v>
      </c>
      <c r="G180" s="175" t="s">
        <v>3785</v>
      </c>
      <c r="H180" s="176">
        <v>13669404</v>
      </c>
      <c r="I180" s="175" t="s">
        <v>3827</v>
      </c>
      <c r="J180" s="176">
        <v>1</v>
      </c>
      <c r="K180" s="175" t="s">
        <v>3742</v>
      </c>
      <c r="L180" s="179">
        <v>12809.9</v>
      </c>
      <c r="M180" s="176">
        <v>0</v>
      </c>
      <c r="N180" s="176">
        <v>0</v>
      </c>
      <c r="O180" s="176">
        <v>0</v>
      </c>
      <c r="P180" s="181">
        <v>2690.08</v>
      </c>
      <c r="Q180" s="180">
        <v>15500</v>
      </c>
    </row>
    <row r="181" spans="1:17">
      <c r="A181" s="175" t="s">
        <v>3773</v>
      </c>
      <c r="B181" s="175" t="s">
        <v>3744</v>
      </c>
      <c r="C181" s="176">
        <v>3</v>
      </c>
      <c r="D181" s="176">
        <v>2839</v>
      </c>
      <c r="E181" s="175"/>
      <c r="F181" s="176">
        <v>74438476399091</v>
      </c>
      <c r="G181" s="175" t="s">
        <v>3785</v>
      </c>
      <c r="H181" s="176">
        <v>10088080</v>
      </c>
      <c r="I181" s="175" t="s">
        <v>3828</v>
      </c>
      <c r="J181" s="176">
        <v>1</v>
      </c>
      <c r="K181" s="175" t="s">
        <v>3742</v>
      </c>
      <c r="L181" s="181">
        <v>17768.57</v>
      </c>
      <c r="M181" s="176">
        <v>0</v>
      </c>
      <c r="N181" s="176">
        <v>0</v>
      </c>
      <c r="O181" s="176">
        <v>0</v>
      </c>
      <c r="P181" s="179">
        <v>3731.4</v>
      </c>
      <c r="Q181" s="180">
        <v>21500</v>
      </c>
    </row>
    <row r="182" spans="1:17">
      <c r="A182" s="175" t="s">
        <v>3773</v>
      </c>
      <c r="B182" s="175" t="s">
        <v>3744</v>
      </c>
      <c r="C182" s="176">
        <v>3</v>
      </c>
      <c r="D182" s="176">
        <v>2840</v>
      </c>
      <c r="E182" s="175"/>
      <c r="F182" s="176">
        <v>74438477725008</v>
      </c>
      <c r="G182" s="175" t="s">
        <v>3785</v>
      </c>
      <c r="H182" s="176">
        <v>18041408</v>
      </c>
      <c r="I182" s="175" t="s">
        <v>3829</v>
      </c>
      <c r="J182" s="176">
        <v>1</v>
      </c>
      <c r="K182" s="175" t="s">
        <v>3742</v>
      </c>
      <c r="L182" s="181">
        <v>17355.38</v>
      </c>
      <c r="M182" s="176">
        <v>0</v>
      </c>
      <c r="N182" s="176">
        <v>0</v>
      </c>
      <c r="O182" s="176">
        <v>0</v>
      </c>
      <c r="P182" s="181">
        <v>3644.63</v>
      </c>
      <c r="Q182" s="180">
        <v>21000</v>
      </c>
    </row>
    <row r="183" spans="1:17">
      <c r="A183" s="175" t="s">
        <v>3773</v>
      </c>
      <c r="B183" s="175" t="s">
        <v>3744</v>
      </c>
      <c r="C183" s="176">
        <v>3</v>
      </c>
      <c r="D183" s="176">
        <v>2841</v>
      </c>
      <c r="E183" s="175"/>
      <c r="F183" s="176">
        <v>74438501472489</v>
      </c>
      <c r="G183" s="175" t="s">
        <v>3785</v>
      </c>
      <c r="H183" s="176">
        <v>47826204</v>
      </c>
      <c r="I183" s="175" t="s">
        <v>3830</v>
      </c>
      <c r="J183" s="176">
        <v>1</v>
      </c>
      <c r="K183" s="175" t="s">
        <v>3742</v>
      </c>
      <c r="L183" s="181">
        <v>312396.71000000002</v>
      </c>
      <c r="M183" s="176">
        <v>0</v>
      </c>
      <c r="N183" s="176">
        <v>0</v>
      </c>
      <c r="O183" s="176">
        <v>0</v>
      </c>
      <c r="P183" s="181">
        <v>65603.31</v>
      </c>
      <c r="Q183" s="180">
        <v>378000</v>
      </c>
    </row>
    <row r="184" spans="1:17">
      <c r="A184" s="175" t="s">
        <v>3773</v>
      </c>
      <c r="B184" s="175" t="s">
        <v>3744</v>
      </c>
      <c r="C184" s="176">
        <v>3</v>
      </c>
      <c r="D184" s="176">
        <v>2842</v>
      </c>
      <c r="E184" s="175"/>
      <c r="F184" s="176">
        <v>74438511517682</v>
      </c>
      <c r="G184" s="175" t="s">
        <v>3785</v>
      </c>
      <c r="H184" s="176">
        <v>43055420</v>
      </c>
      <c r="I184" s="175" t="s">
        <v>3831</v>
      </c>
      <c r="J184" s="176">
        <v>1</v>
      </c>
      <c r="K184" s="175" t="s">
        <v>3742</v>
      </c>
      <c r="L184" s="181">
        <v>41322.33</v>
      </c>
      <c r="M184" s="176">
        <v>0</v>
      </c>
      <c r="N184" s="176">
        <v>0</v>
      </c>
      <c r="O184" s="176">
        <v>0</v>
      </c>
      <c r="P184" s="181">
        <v>8677.69</v>
      </c>
      <c r="Q184" s="180">
        <v>50000</v>
      </c>
    </row>
    <row r="185" spans="1:17">
      <c r="A185" s="175" t="s">
        <v>3748</v>
      </c>
      <c r="B185" s="175" t="s">
        <v>3744</v>
      </c>
      <c r="C185" s="176">
        <v>3</v>
      </c>
      <c r="D185" s="176">
        <v>2843</v>
      </c>
      <c r="E185" s="175"/>
      <c r="F185" s="176">
        <v>74438663180493</v>
      </c>
      <c r="G185" s="175" t="s">
        <v>3785</v>
      </c>
      <c r="H185" s="176">
        <v>21847444</v>
      </c>
      <c r="I185" s="175" t="s">
        <v>3832</v>
      </c>
      <c r="J185" s="176">
        <v>1</v>
      </c>
      <c r="K185" s="175" t="s">
        <v>3742</v>
      </c>
      <c r="L185" s="181">
        <v>12727.29</v>
      </c>
      <c r="M185" s="176">
        <v>0</v>
      </c>
      <c r="N185" s="176">
        <v>0</v>
      </c>
      <c r="O185" s="176">
        <v>0</v>
      </c>
      <c r="P185" s="181">
        <v>2672.73</v>
      </c>
      <c r="Q185" s="180">
        <v>15400</v>
      </c>
    </row>
    <row r="186" spans="1:17">
      <c r="A186" s="175" t="s">
        <v>3748</v>
      </c>
      <c r="B186" s="175" t="s">
        <v>3744</v>
      </c>
      <c r="C186" s="176">
        <v>3</v>
      </c>
      <c r="D186" s="176">
        <v>2844</v>
      </c>
      <c r="E186" s="175"/>
      <c r="F186" s="176">
        <v>74438664307412</v>
      </c>
      <c r="G186" s="175" t="s">
        <v>3785</v>
      </c>
      <c r="H186" s="176">
        <v>21847444</v>
      </c>
      <c r="I186" s="175" t="s">
        <v>3832</v>
      </c>
      <c r="J186" s="176">
        <v>1</v>
      </c>
      <c r="K186" s="175" t="s">
        <v>3742</v>
      </c>
      <c r="L186" s="181">
        <v>20661.14</v>
      </c>
      <c r="M186" s="176">
        <v>0</v>
      </c>
      <c r="N186" s="176">
        <v>0</v>
      </c>
      <c r="O186" s="176">
        <v>0</v>
      </c>
      <c r="P186" s="181">
        <v>4338.84</v>
      </c>
      <c r="Q186" s="180">
        <v>25000</v>
      </c>
    </row>
    <row r="187" spans="1:17">
      <c r="A187" s="175" t="s">
        <v>3774</v>
      </c>
      <c r="B187" s="175" t="s">
        <v>3744</v>
      </c>
      <c r="C187" s="176">
        <v>3</v>
      </c>
      <c r="D187" s="176">
        <v>2845</v>
      </c>
      <c r="E187" s="175"/>
      <c r="F187" s="176">
        <v>74438740360439</v>
      </c>
      <c r="G187" s="175" t="s">
        <v>3785</v>
      </c>
      <c r="H187" s="176">
        <v>14816580</v>
      </c>
      <c r="I187" s="175" t="s">
        <v>3833</v>
      </c>
      <c r="J187" s="176">
        <v>1</v>
      </c>
      <c r="K187" s="175" t="s">
        <v>3742</v>
      </c>
      <c r="L187" s="181">
        <v>13223.14</v>
      </c>
      <c r="M187" s="176">
        <v>0</v>
      </c>
      <c r="N187" s="176">
        <v>0</v>
      </c>
      <c r="O187" s="176">
        <v>0</v>
      </c>
      <c r="P187" s="181">
        <v>2776.86</v>
      </c>
      <c r="Q187" s="180">
        <v>16000</v>
      </c>
    </row>
    <row r="188" spans="1:17">
      <c r="A188" s="175" t="s">
        <v>3774</v>
      </c>
      <c r="B188" s="175" t="s">
        <v>3744</v>
      </c>
      <c r="C188" s="176">
        <v>3</v>
      </c>
      <c r="D188" s="176">
        <v>2846</v>
      </c>
      <c r="E188" s="175"/>
      <c r="F188" s="176">
        <v>74438757868188</v>
      </c>
      <c r="G188" s="175" t="s">
        <v>3785</v>
      </c>
      <c r="H188" s="176">
        <v>4541565</v>
      </c>
      <c r="I188" s="175" t="s">
        <v>3834</v>
      </c>
      <c r="J188" s="176">
        <v>1</v>
      </c>
      <c r="K188" s="175" t="s">
        <v>3742</v>
      </c>
      <c r="L188" s="181">
        <v>14876.05</v>
      </c>
      <c r="M188" s="176">
        <v>0</v>
      </c>
      <c r="N188" s="176">
        <v>0</v>
      </c>
      <c r="O188" s="176">
        <v>0</v>
      </c>
      <c r="P188" s="181">
        <v>3123.97</v>
      </c>
      <c r="Q188" s="180">
        <v>18000</v>
      </c>
    </row>
    <row r="189" spans="1:17">
      <c r="A189" s="175" t="s">
        <v>3777</v>
      </c>
      <c r="B189" s="175" t="s">
        <v>3744</v>
      </c>
      <c r="C189" s="176">
        <v>3</v>
      </c>
      <c r="D189" s="176">
        <v>2847</v>
      </c>
      <c r="E189" s="175"/>
      <c r="F189" s="176">
        <v>74448033336950</v>
      </c>
      <c r="G189" s="175" t="s">
        <v>3785</v>
      </c>
      <c r="H189" s="176">
        <v>18220005</v>
      </c>
      <c r="I189" s="175" t="s">
        <v>3794</v>
      </c>
      <c r="J189" s="176">
        <v>1</v>
      </c>
      <c r="K189" s="175" t="s">
        <v>3742</v>
      </c>
      <c r="L189" s="181">
        <v>10330.57</v>
      </c>
      <c r="M189" s="176">
        <v>0</v>
      </c>
      <c r="N189" s="176">
        <v>0</v>
      </c>
      <c r="O189" s="176">
        <v>0</v>
      </c>
      <c r="P189" s="181">
        <v>2169.42</v>
      </c>
      <c r="Q189" s="180">
        <v>12500</v>
      </c>
    </row>
    <row r="190" spans="1:17">
      <c r="A190" s="175" t="s">
        <v>3777</v>
      </c>
      <c r="B190" s="175" t="s">
        <v>3744</v>
      </c>
      <c r="C190" s="176">
        <v>3</v>
      </c>
      <c r="D190" s="176">
        <v>2848</v>
      </c>
      <c r="E190" s="175"/>
      <c r="F190" s="176">
        <v>74448039607027</v>
      </c>
      <c r="G190" s="175" t="s">
        <v>3785</v>
      </c>
      <c r="H190" s="176">
        <v>6532128</v>
      </c>
      <c r="I190" s="175" t="s">
        <v>3835</v>
      </c>
      <c r="J190" s="176">
        <v>1</v>
      </c>
      <c r="K190" s="175" t="s">
        <v>3742</v>
      </c>
      <c r="L190" s="181">
        <v>17355.38</v>
      </c>
      <c r="M190" s="176">
        <v>0</v>
      </c>
      <c r="N190" s="176">
        <v>0</v>
      </c>
      <c r="O190" s="176">
        <v>0</v>
      </c>
      <c r="P190" s="181">
        <v>3644.63</v>
      </c>
      <c r="Q190" s="180">
        <v>21000</v>
      </c>
    </row>
    <row r="191" spans="1:17">
      <c r="A191" s="175" t="s">
        <v>3777</v>
      </c>
      <c r="B191" s="175" t="s">
        <v>3744</v>
      </c>
      <c r="C191" s="176">
        <v>3</v>
      </c>
      <c r="D191" s="176">
        <v>2849</v>
      </c>
      <c r="E191" s="175"/>
      <c r="F191" s="176">
        <v>74448040159729</v>
      </c>
      <c r="G191" s="175" t="s">
        <v>3785</v>
      </c>
      <c r="H191" s="176">
        <v>11383812</v>
      </c>
      <c r="I191" s="175" t="s">
        <v>3839</v>
      </c>
      <c r="J191" s="176">
        <v>1</v>
      </c>
      <c r="K191" s="175" t="s">
        <v>3742</v>
      </c>
      <c r="L191" s="181">
        <v>10661.14</v>
      </c>
      <c r="M191" s="176">
        <v>0</v>
      </c>
      <c r="N191" s="176">
        <v>0</v>
      </c>
      <c r="O191" s="176">
        <v>0</v>
      </c>
      <c r="P191" s="181">
        <v>2238.84</v>
      </c>
      <c r="Q191" s="180">
        <v>12900</v>
      </c>
    </row>
    <row r="192" spans="1:17" hidden="1">
      <c r="A192" s="175" t="s">
        <v>3777</v>
      </c>
      <c r="B192" s="175" t="s">
        <v>3744</v>
      </c>
      <c r="C192" s="176">
        <v>3</v>
      </c>
      <c r="D192" s="176">
        <v>2850</v>
      </c>
      <c r="E192" s="175"/>
      <c r="F192" s="176">
        <v>74448050843261</v>
      </c>
      <c r="G192" s="175"/>
      <c r="H192" s="175"/>
      <c r="I192" s="175"/>
      <c r="J192" s="176">
        <v>1</v>
      </c>
      <c r="K192" s="175" t="s">
        <v>3742</v>
      </c>
      <c r="L192" s="179">
        <v>16528.900000000001</v>
      </c>
      <c r="M192" s="176">
        <v>0</v>
      </c>
      <c r="N192" s="176">
        <v>0</v>
      </c>
      <c r="O192" s="176">
        <v>0</v>
      </c>
      <c r="P192" s="181">
        <v>3471.07</v>
      </c>
      <c r="Q192" s="180">
        <v>20000</v>
      </c>
    </row>
    <row r="193" spans="1:17">
      <c r="A193" s="175" t="s">
        <v>3777</v>
      </c>
      <c r="B193" s="175" t="s">
        <v>3744</v>
      </c>
      <c r="C193" s="176">
        <v>3</v>
      </c>
      <c r="D193" s="176">
        <v>2851</v>
      </c>
      <c r="E193" s="175"/>
      <c r="F193" s="176">
        <v>74448057042559</v>
      </c>
      <c r="G193" s="175" t="s">
        <v>3807</v>
      </c>
      <c r="H193" s="176">
        <v>27251248554</v>
      </c>
      <c r="I193" s="175" t="s">
        <v>3840</v>
      </c>
      <c r="J193" s="176">
        <v>1</v>
      </c>
      <c r="K193" s="175" t="s">
        <v>3742</v>
      </c>
      <c r="L193" s="181">
        <v>21900.81</v>
      </c>
      <c r="M193" s="176">
        <v>0</v>
      </c>
      <c r="N193" s="176">
        <v>0</v>
      </c>
      <c r="O193" s="176">
        <v>0</v>
      </c>
      <c r="P193" s="181">
        <v>4599.17</v>
      </c>
      <c r="Q193" s="180">
        <v>26500</v>
      </c>
    </row>
    <row r="194" spans="1:17">
      <c r="A194" s="175" t="s">
        <v>3777</v>
      </c>
      <c r="B194" s="175" t="s">
        <v>3744</v>
      </c>
      <c r="C194" s="176">
        <v>3</v>
      </c>
      <c r="D194" s="176">
        <v>2852</v>
      </c>
      <c r="E194" s="175"/>
      <c r="F194" s="176">
        <v>74448059265923</v>
      </c>
      <c r="G194" s="175" t="s">
        <v>3785</v>
      </c>
      <c r="H194" s="176">
        <v>29396691</v>
      </c>
      <c r="I194" s="175" t="s">
        <v>3841</v>
      </c>
      <c r="J194" s="176">
        <v>1</v>
      </c>
      <c r="K194" s="175" t="s">
        <v>3742</v>
      </c>
      <c r="L194" s="181">
        <v>33884.29</v>
      </c>
      <c r="M194" s="176">
        <v>0</v>
      </c>
      <c r="N194" s="176">
        <v>0</v>
      </c>
      <c r="O194" s="176">
        <v>0</v>
      </c>
      <c r="P194" s="179">
        <v>7115.7</v>
      </c>
      <c r="Q194" s="180">
        <v>41000</v>
      </c>
    </row>
    <row r="195" spans="1:17">
      <c r="A195" s="175" t="s">
        <v>3777</v>
      </c>
      <c r="B195" s="175" t="s">
        <v>3744</v>
      </c>
      <c r="C195" s="176">
        <v>3</v>
      </c>
      <c r="D195" s="176">
        <v>2853</v>
      </c>
      <c r="E195" s="175"/>
      <c r="F195" s="176">
        <v>74448060397587</v>
      </c>
      <c r="G195" s="175" t="s">
        <v>3785</v>
      </c>
      <c r="H195" s="176">
        <v>92903310</v>
      </c>
      <c r="I195" s="175" t="s">
        <v>3842</v>
      </c>
      <c r="J195" s="176">
        <v>1</v>
      </c>
      <c r="K195" s="175" t="s">
        <v>3742</v>
      </c>
      <c r="L195" s="181">
        <v>12727.29</v>
      </c>
      <c r="M195" s="176">
        <v>0</v>
      </c>
      <c r="N195" s="176">
        <v>0</v>
      </c>
      <c r="O195" s="176">
        <v>0</v>
      </c>
      <c r="P195" s="181">
        <v>2672.73</v>
      </c>
      <c r="Q195" s="180">
        <v>15400</v>
      </c>
    </row>
    <row r="196" spans="1:17">
      <c r="A196" s="175" t="s">
        <v>3779</v>
      </c>
      <c r="B196" s="175" t="s">
        <v>3744</v>
      </c>
      <c r="C196" s="176">
        <v>3</v>
      </c>
      <c r="D196" s="176">
        <v>2854</v>
      </c>
      <c r="E196" s="175"/>
      <c r="F196" s="176">
        <v>74448125989443</v>
      </c>
      <c r="G196" s="175" t="s">
        <v>3785</v>
      </c>
      <c r="H196" s="176">
        <v>4582167</v>
      </c>
      <c r="I196" s="175" t="s">
        <v>3843</v>
      </c>
      <c r="J196" s="176">
        <v>1</v>
      </c>
      <c r="K196" s="175" t="s">
        <v>3742</v>
      </c>
      <c r="L196" s="181">
        <v>21487.62</v>
      </c>
      <c r="M196" s="176">
        <v>0</v>
      </c>
      <c r="N196" s="176">
        <v>0</v>
      </c>
      <c r="O196" s="176">
        <v>0</v>
      </c>
      <c r="P196" s="179">
        <v>4512.3999999999996</v>
      </c>
      <c r="Q196" s="180">
        <v>26000</v>
      </c>
    </row>
    <row r="197" spans="1:17">
      <c r="A197" s="175" t="s">
        <v>3779</v>
      </c>
      <c r="B197" s="175" t="s">
        <v>3744</v>
      </c>
      <c r="C197" s="176">
        <v>3</v>
      </c>
      <c r="D197" s="176">
        <v>2855</v>
      </c>
      <c r="E197" s="175"/>
      <c r="F197" s="176">
        <v>74448126713825</v>
      </c>
      <c r="G197" s="175" t="s">
        <v>3785</v>
      </c>
      <c r="H197" s="176">
        <v>35274647</v>
      </c>
      <c r="I197" s="175" t="s">
        <v>3844</v>
      </c>
      <c r="J197" s="176">
        <v>1</v>
      </c>
      <c r="K197" s="175" t="s">
        <v>3742</v>
      </c>
      <c r="L197" s="181">
        <v>17355.38</v>
      </c>
      <c r="M197" s="176">
        <v>0</v>
      </c>
      <c r="N197" s="176">
        <v>0</v>
      </c>
      <c r="O197" s="176">
        <v>0</v>
      </c>
      <c r="P197" s="181">
        <v>3644.63</v>
      </c>
      <c r="Q197" s="180">
        <v>21000</v>
      </c>
    </row>
    <row r="198" spans="1:17">
      <c r="A198" s="175" t="s">
        <v>3779</v>
      </c>
      <c r="B198" s="175" t="s">
        <v>3744</v>
      </c>
      <c r="C198" s="176">
        <v>3</v>
      </c>
      <c r="D198" s="176">
        <v>2856</v>
      </c>
      <c r="E198" s="175"/>
      <c r="F198" s="176">
        <v>74448137001990</v>
      </c>
      <c r="G198" s="175" t="s">
        <v>3785</v>
      </c>
      <c r="H198" s="176">
        <v>24882196</v>
      </c>
      <c r="I198" s="175" t="s">
        <v>3845</v>
      </c>
      <c r="J198" s="176">
        <v>1</v>
      </c>
      <c r="K198" s="175" t="s">
        <v>3742</v>
      </c>
      <c r="L198" s="181">
        <v>17355.38</v>
      </c>
      <c r="M198" s="176">
        <v>0</v>
      </c>
      <c r="N198" s="176">
        <v>0</v>
      </c>
      <c r="O198" s="176">
        <v>0</v>
      </c>
      <c r="P198" s="181">
        <v>3644.63</v>
      </c>
      <c r="Q198" s="180">
        <v>21000</v>
      </c>
    </row>
    <row r="199" spans="1:17">
      <c r="A199" s="175" t="s">
        <v>3779</v>
      </c>
      <c r="B199" s="175" t="s">
        <v>3744</v>
      </c>
      <c r="C199" s="176">
        <v>3</v>
      </c>
      <c r="D199" s="176">
        <v>2857</v>
      </c>
      <c r="E199" s="175"/>
      <c r="F199" s="176">
        <v>74448138083667</v>
      </c>
      <c r="G199" s="175" t="s">
        <v>3785</v>
      </c>
      <c r="H199" s="176">
        <v>14563128</v>
      </c>
      <c r="I199" s="175" t="s">
        <v>3846</v>
      </c>
      <c r="J199" s="176">
        <v>1</v>
      </c>
      <c r="K199" s="175" t="s">
        <v>3742</v>
      </c>
      <c r="L199" s="181">
        <v>49586.76</v>
      </c>
      <c r="M199" s="176">
        <v>0</v>
      </c>
      <c r="N199" s="176">
        <v>0</v>
      </c>
      <c r="O199" s="176">
        <v>0</v>
      </c>
      <c r="P199" s="181">
        <v>10413.219999999999</v>
      </c>
      <c r="Q199" s="180">
        <v>60000</v>
      </c>
    </row>
    <row r="200" spans="1:17">
      <c r="A200" s="175" t="s">
        <v>3779</v>
      </c>
      <c r="B200" s="175" t="s">
        <v>3744</v>
      </c>
      <c r="C200" s="176">
        <v>3</v>
      </c>
      <c r="D200" s="176">
        <v>2858</v>
      </c>
      <c r="E200" s="175"/>
      <c r="F200" s="176">
        <v>74448138752543</v>
      </c>
      <c r="G200" s="175" t="s">
        <v>3785</v>
      </c>
      <c r="H200" s="176">
        <v>20987237</v>
      </c>
      <c r="I200" s="175" t="s">
        <v>3847</v>
      </c>
      <c r="J200" s="176">
        <v>1</v>
      </c>
      <c r="K200" s="175" t="s">
        <v>3742</v>
      </c>
      <c r="L200" s="181">
        <v>12396.71</v>
      </c>
      <c r="M200" s="176">
        <v>0</v>
      </c>
      <c r="N200" s="176">
        <v>0</v>
      </c>
      <c r="O200" s="176">
        <v>0</v>
      </c>
      <c r="P200" s="181">
        <v>2603.31</v>
      </c>
      <c r="Q200" s="180">
        <v>15000</v>
      </c>
    </row>
    <row r="201" spans="1:17">
      <c r="A201" s="175" t="s">
        <v>3779</v>
      </c>
      <c r="B201" s="175" t="s">
        <v>3744</v>
      </c>
      <c r="C201" s="176">
        <v>3</v>
      </c>
      <c r="D201" s="176">
        <v>2859</v>
      </c>
      <c r="E201" s="175"/>
      <c r="F201" s="176">
        <v>74448144589350</v>
      </c>
      <c r="G201" s="175" t="s">
        <v>3785</v>
      </c>
      <c r="H201" s="176">
        <v>18811819</v>
      </c>
      <c r="I201" s="175" t="s">
        <v>3848</v>
      </c>
      <c r="J201" s="176">
        <v>1</v>
      </c>
      <c r="K201" s="175" t="s">
        <v>3742</v>
      </c>
      <c r="L201" s="181">
        <v>12396.71</v>
      </c>
      <c r="M201" s="176">
        <v>0</v>
      </c>
      <c r="N201" s="176">
        <v>0</v>
      </c>
      <c r="O201" s="176">
        <v>0</v>
      </c>
      <c r="P201" s="181">
        <v>2603.31</v>
      </c>
      <c r="Q201" s="180">
        <v>15000</v>
      </c>
    </row>
    <row r="202" spans="1:17">
      <c r="A202" s="175" t="s">
        <v>3779</v>
      </c>
      <c r="B202" s="175" t="s">
        <v>3744</v>
      </c>
      <c r="C202" s="176">
        <v>3</v>
      </c>
      <c r="D202" s="176">
        <v>2860</v>
      </c>
      <c r="E202" s="175"/>
      <c r="F202" s="176">
        <v>74448160410105</v>
      </c>
      <c r="G202" s="175" t="s">
        <v>3785</v>
      </c>
      <c r="H202" s="176">
        <v>3868027</v>
      </c>
      <c r="I202" s="175" t="s">
        <v>3793</v>
      </c>
      <c r="J202" s="176">
        <v>1</v>
      </c>
      <c r="K202" s="175" t="s">
        <v>3742</v>
      </c>
      <c r="L202" s="181">
        <v>17768.57</v>
      </c>
      <c r="M202" s="176">
        <v>0</v>
      </c>
      <c r="N202" s="176">
        <v>0</v>
      </c>
      <c r="O202" s="176">
        <v>0</v>
      </c>
      <c r="P202" s="179">
        <v>3731.4</v>
      </c>
      <c r="Q202" s="180">
        <v>21500</v>
      </c>
    </row>
    <row r="203" spans="1:17">
      <c r="A203" s="175" t="s">
        <v>3782</v>
      </c>
      <c r="B203" s="175" t="s">
        <v>3744</v>
      </c>
      <c r="C203" s="176">
        <v>3</v>
      </c>
      <c r="D203" s="176">
        <v>2861</v>
      </c>
      <c r="E203" s="175"/>
      <c r="F203" s="176">
        <v>74448438556003</v>
      </c>
      <c r="G203" s="175" t="s">
        <v>3785</v>
      </c>
      <c r="H203" s="176">
        <v>18286305</v>
      </c>
      <c r="I203" s="175" t="s">
        <v>3849</v>
      </c>
      <c r="J203" s="176">
        <v>1</v>
      </c>
      <c r="K203" s="175" t="s">
        <v>3742</v>
      </c>
      <c r="L203" s="181">
        <v>12396.71</v>
      </c>
      <c r="M203" s="176">
        <v>0</v>
      </c>
      <c r="N203" s="176">
        <v>0</v>
      </c>
      <c r="O203" s="176">
        <v>0</v>
      </c>
      <c r="P203" s="181">
        <v>2603.31</v>
      </c>
      <c r="Q203" s="180">
        <v>15000</v>
      </c>
    </row>
    <row r="204" spans="1:17" hidden="1">
      <c r="A204" s="175" t="s">
        <v>3739</v>
      </c>
      <c r="B204" s="175" t="s">
        <v>3744</v>
      </c>
      <c r="C204" s="176">
        <v>7</v>
      </c>
      <c r="D204" s="176">
        <v>5383</v>
      </c>
      <c r="E204" s="175"/>
      <c r="F204" s="176">
        <v>74408958819370</v>
      </c>
      <c r="G204" s="176">
        <v>99</v>
      </c>
      <c r="H204" s="176">
        <v>0</v>
      </c>
      <c r="I204" s="175"/>
      <c r="J204" s="176">
        <v>1</v>
      </c>
      <c r="K204" s="175" t="s">
        <v>3742</v>
      </c>
      <c r="L204" s="180">
        <v>1</v>
      </c>
      <c r="M204" s="176">
        <v>0</v>
      </c>
      <c r="N204" s="176">
        <v>0</v>
      </c>
      <c r="O204" s="176">
        <v>0</v>
      </c>
      <c r="P204" s="180">
        <v>0</v>
      </c>
      <c r="Q204" s="180">
        <v>1</v>
      </c>
    </row>
    <row r="205" spans="1:17">
      <c r="A205" s="175" t="s">
        <v>3746</v>
      </c>
      <c r="B205" s="175" t="s">
        <v>3744</v>
      </c>
      <c r="C205" s="176">
        <v>7</v>
      </c>
      <c r="D205" s="176">
        <v>5384</v>
      </c>
      <c r="E205" s="175"/>
      <c r="F205" s="176">
        <v>74408087698932</v>
      </c>
      <c r="G205" s="175" t="s">
        <v>3741</v>
      </c>
      <c r="H205" s="176">
        <v>30590354798</v>
      </c>
      <c r="I205" s="175" t="s">
        <v>3783</v>
      </c>
      <c r="J205" s="176">
        <v>1</v>
      </c>
      <c r="K205" s="175" t="s">
        <v>3742</v>
      </c>
      <c r="L205" s="181">
        <v>984314.05</v>
      </c>
      <c r="M205" s="176">
        <v>0</v>
      </c>
      <c r="N205" s="176">
        <v>0</v>
      </c>
      <c r="O205" s="176">
        <v>0</v>
      </c>
      <c r="P205" s="181">
        <v>206705.95</v>
      </c>
      <c r="Q205" s="180">
        <v>1191020</v>
      </c>
    </row>
    <row r="206" spans="1:17" hidden="1">
      <c r="A206" s="175" t="s">
        <v>3753</v>
      </c>
      <c r="B206" s="175" t="s">
        <v>3744</v>
      </c>
      <c r="C206" s="176">
        <v>7</v>
      </c>
      <c r="D206" s="176">
        <v>5385</v>
      </c>
      <c r="E206" s="175"/>
      <c r="F206" s="176">
        <v>74408310206993</v>
      </c>
      <c r="G206" s="176">
        <v>99</v>
      </c>
      <c r="H206" s="176">
        <v>0</v>
      </c>
      <c r="I206" s="175"/>
      <c r="J206" s="176">
        <v>1</v>
      </c>
      <c r="K206" s="175" t="s">
        <v>3742</v>
      </c>
      <c r="L206" s="181">
        <v>19132.23</v>
      </c>
      <c r="M206" s="176">
        <v>0</v>
      </c>
      <c r="N206" s="176">
        <v>0</v>
      </c>
      <c r="O206" s="176">
        <v>0</v>
      </c>
      <c r="P206" s="181">
        <v>4017.77</v>
      </c>
      <c r="Q206" s="180">
        <v>23150</v>
      </c>
    </row>
    <row r="207" spans="1:17" hidden="1">
      <c r="A207" s="175" t="s">
        <v>3753</v>
      </c>
      <c r="B207" s="175" t="s">
        <v>3744</v>
      </c>
      <c r="C207" s="176">
        <v>7</v>
      </c>
      <c r="D207" s="176">
        <v>5386</v>
      </c>
      <c r="E207" s="175"/>
      <c r="F207" s="176">
        <v>74408311985577</v>
      </c>
      <c r="G207" s="176">
        <v>99</v>
      </c>
      <c r="H207" s="176">
        <v>0</v>
      </c>
      <c r="I207" s="175"/>
      <c r="J207" s="176">
        <v>1</v>
      </c>
      <c r="K207" s="175" t="s">
        <v>3742</v>
      </c>
      <c r="L207" s="179">
        <v>10743.8</v>
      </c>
      <c r="M207" s="176">
        <v>0</v>
      </c>
      <c r="N207" s="176">
        <v>0</v>
      </c>
      <c r="O207" s="176">
        <v>0</v>
      </c>
      <c r="P207" s="179">
        <v>2256.1999999999998</v>
      </c>
      <c r="Q207" s="180">
        <v>13000</v>
      </c>
    </row>
    <row r="208" spans="1:17">
      <c r="A208" s="175" t="s">
        <v>3753</v>
      </c>
      <c r="B208" s="175" t="s">
        <v>3744</v>
      </c>
      <c r="C208" s="176">
        <v>7</v>
      </c>
      <c r="D208" s="176">
        <v>5387</v>
      </c>
      <c r="E208" s="175"/>
      <c r="F208" s="176">
        <v>74408312307600</v>
      </c>
      <c r="G208" s="175" t="s">
        <v>3741</v>
      </c>
      <c r="H208" s="176">
        <v>30590354798</v>
      </c>
      <c r="I208" s="175" t="s">
        <v>3783</v>
      </c>
      <c r="J208" s="176">
        <v>1</v>
      </c>
      <c r="K208" s="175" t="s">
        <v>3742</v>
      </c>
      <c r="L208" s="181">
        <v>1841672.68</v>
      </c>
      <c r="M208" s="176">
        <v>0</v>
      </c>
      <c r="N208" s="176">
        <v>0</v>
      </c>
      <c r="O208" s="176">
        <v>0</v>
      </c>
      <c r="P208" s="181">
        <v>386751.26</v>
      </c>
      <c r="Q208" s="181">
        <v>2228423.94</v>
      </c>
    </row>
    <row r="209" spans="1:17" hidden="1">
      <c r="A209" s="175" t="s">
        <v>3753</v>
      </c>
      <c r="B209" s="175" t="s">
        <v>3744</v>
      </c>
      <c r="C209" s="176">
        <v>7</v>
      </c>
      <c r="D209" s="176">
        <v>5388</v>
      </c>
      <c r="E209" s="175"/>
      <c r="F209" s="176">
        <v>74408313049947</v>
      </c>
      <c r="G209" s="176">
        <v>99</v>
      </c>
      <c r="H209" s="176">
        <v>0</v>
      </c>
      <c r="I209" s="175"/>
      <c r="J209" s="176">
        <v>1</v>
      </c>
      <c r="K209" s="175" t="s">
        <v>3742</v>
      </c>
      <c r="L209" s="181">
        <v>24793.39</v>
      </c>
      <c r="M209" s="176">
        <v>0</v>
      </c>
      <c r="N209" s="176">
        <v>0</v>
      </c>
      <c r="O209" s="176">
        <v>0</v>
      </c>
      <c r="P209" s="181">
        <v>5206.6099999999997</v>
      </c>
      <c r="Q209" s="180">
        <v>30000</v>
      </c>
    </row>
    <row r="210" spans="1:17">
      <c r="A210" s="175" t="s">
        <v>3753</v>
      </c>
      <c r="B210" s="175" t="s">
        <v>3744</v>
      </c>
      <c r="C210" s="176">
        <v>7</v>
      </c>
      <c r="D210" s="176">
        <v>5389</v>
      </c>
      <c r="E210" s="175"/>
      <c r="F210" s="176">
        <v>74408323247868</v>
      </c>
      <c r="G210" s="175" t="s">
        <v>3741</v>
      </c>
      <c r="H210" s="176">
        <v>30590354798</v>
      </c>
      <c r="I210" s="175" t="s">
        <v>3783</v>
      </c>
      <c r="J210" s="176">
        <v>1</v>
      </c>
      <c r="K210" s="175" t="s">
        <v>3742</v>
      </c>
      <c r="L210" s="179">
        <v>89256.2</v>
      </c>
      <c r="M210" s="176">
        <v>0</v>
      </c>
      <c r="N210" s="176">
        <v>0</v>
      </c>
      <c r="O210" s="176">
        <v>0</v>
      </c>
      <c r="P210" s="179">
        <v>18743.8</v>
      </c>
      <c r="Q210" s="180">
        <v>108000</v>
      </c>
    </row>
    <row r="211" spans="1:17" hidden="1">
      <c r="A211" s="175" t="s">
        <v>3753</v>
      </c>
      <c r="B211" s="175" t="s">
        <v>3744</v>
      </c>
      <c r="C211" s="176">
        <v>7</v>
      </c>
      <c r="D211" s="176">
        <v>5390</v>
      </c>
      <c r="E211" s="175"/>
      <c r="F211" s="176">
        <v>74408332838079</v>
      </c>
      <c r="G211" s="176">
        <v>99</v>
      </c>
      <c r="H211" s="176">
        <v>0</v>
      </c>
      <c r="I211" s="175"/>
      <c r="J211" s="176">
        <v>1</v>
      </c>
      <c r="K211" s="175" t="s">
        <v>3742</v>
      </c>
      <c r="L211" s="179">
        <v>11487.6</v>
      </c>
      <c r="M211" s="176">
        <v>0</v>
      </c>
      <c r="N211" s="176">
        <v>0</v>
      </c>
      <c r="O211" s="176">
        <v>0</v>
      </c>
      <c r="P211" s="179">
        <v>2412.4</v>
      </c>
      <c r="Q211" s="180">
        <v>13900</v>
      </c>
    </row>
    <row r="212" spans="1:17" hidden="1">
      <c r="A212" s="175" t="s">
        <v>3753</v>
      </c>
      <c r="B212" s="175" t="s">
        <v>3744</v>
      </c>
      <c r="C212" s="176">
        <v>7</v>
      </c>
      <c r="D212" s="176">
        <v>5391</v>
      </c>
      <c r="E212" s="175"/>
      <c r="F212" s="176">
        <v>74408345140413</v>
      </c>
      <c r="G212" s="176">
        <v>99</v>
      </c>
      <c r="H212" s="176">
        <v>0</v>
      </c>
      <c r="I212" s="175"/>
      <c r="J212" s="176">
        <v>1</v>
      </c>
      <c r="K212" s="175" t="s">
        <v>3742</v>
      </c>
      <c r="L212" s="181">
        <v>20661.16</v>
      </c>
      <c r="M212" s="176">
        <v>0</v>
      </c>
      <c r="N212" s="176">
        <v>0</v>
      </c>
      <c r="O212" s="176">
        <v>0</v>
      </c>
      <c r="P212" s="181">
        <v>4338.84</v>
      </c>
      <c r="Q212" s="180">
        <v>25000</v>
      </c>
    </row>
    <row r="213" spans="1:17" hidden="1">
      <c r="A213" s="175" t="s">
        <v>3753</v>
      </c>
      <c r="B213" s="175" t="s">
        <v>3744</v>
      </c>
      <c r="C213" s="176">
        <v>7</v>
      </c>
      <c r="D213" s="176">
        <v>5392</v>
      </c>
      <c r="E213" s="175"/>
      <c r="F213" s="176">
        <v>74408346507823</v>
      </c>
      <c r="G213" s="176">
        <v>99</v>
      </c>
      <c r="H213" s="176">
        <v>0</v>
      </c>
      <c r="I213" s="175"/>
      <c r="J213" s="176">
        <v>1</v>
      </c>
      <c r="K213" s="175" t="s">
        <v>3742</v>
      </c>
      <c r="L213" s="179">
        <v>21487.599999999999</v>
      </c>
      <c r="M213" s="176">
        <v>0</v>
      </c>
      <c r="N213" s="176">
        <v>0</v>
      </c>
      <c r="O213" s="176">
        <v>0</v>
      </c>
      <c r="P213" s="179">
        <v>4512.3999999999996</v>
      </c>
      <c r="Q213" s="180">
        <v>26000</v>
      </c>
    </row>
    <row r="214" spans="1:17" hidden="1">
      <c r="A214" s="175" t="s">
        <v>3753</v>
      </c>
      <c r="B214" s="175" t="s">
        <v>3744</v>
      </c>
      <c r="C214" s="176">
        <v>7</v>
      </c>
      <c r="D214" s="176">
        <v>5393</v>
      </c>
      <c r="E214" s="175"/>
      <c r="F214" s="176">
        <v>74408351149997</v>
      </c>
      <c r="G214" s="176">
        <v>99</v>
      </c>
      <c r="H214" s="176">
        <v>0</v>
      </c>
      <c r="I214" s="175"/>
      <c r="J214" s="176">
        <v>1</v>
      </c>
      <c r="K214" s="175" t="s">
        <v>3742</v>
      </c>
      <c r="L214" s="179">
        <v>10743.8</v>
      </c>
      <c r="M214" s="176">
        <v>0</v>
      </c>
      <c r="N214" s="176">
        <v>0</v>
      </c>
      <c r="O214" s="176">
        <v>0</v>
      </c>
      <c r="P214" s="179">
        <v>2256.1999999999998</v>
      </c>
      <c r="Q214" s="180">
        <v>13000</v>
      </c>
    </row>
    <row r="215" spans="1:17" hidden="1">
      <c r="A215" s="175" t="s">
        <v>3753</v>
      </c>
      <c r="B215" s="175" t="s">
        <v>3744</v>
      </c>
      <c r="C215" s="176">
        <v>7</v>
      </c>
      <c r="D215" s="176">
        <v>5394</v>
      </c>
      <c r="E215" s="175"/>
      <c r="F215" s="176">
        <v>74408352453852</v>
      </c>
      <c r="G215" s="176">
        <v>99</v>
      </c>
      <c r="H215" s="176">
        <v>0</v>
      </c>
      <c r="I215" s="175"/>
      <c r="J215" s="176">
        <v>1</v>
      </c>
      <c r="K215" s="175" t="s">
        <v>3742</v>
      </c>
      <c r="L215" s="181">
        <v>123966.94</v>
      </c>
      <c r="M215" s="176">
        <v>0</v>
      </c>
      <c r="N215" s="176">
        <v>0</v>
      </c>
      <c r="O215" s="176">
        <v>0</v>
      </c>
      <c r="P215" s="181">
        <v>26033.06</v>
      </c>
      <c r="Q215" s="180">
        <v>150000</v>
      </c>
    </row>
    <row r="216" spans="1:17" hidden="1">
      <c r="A216" s="175" t="s">
        <v>3753</v>
      </c>
      <c r="B216" s="175" t="s">
        <v>3744</v>
      </c>
      <c r="C216" s="176">
        <v>7</v>
      </c>
      <c r="D216" s="176">
        <v>5395</v>
      </c>
      <c r="E216" s="175"/>
      <c r="F216" s="176">
        <v>74408353014582</v>
      </c>
      <c r="G216" s="176">
        <v>99</v>
      </c>
      <c r="H216" s="176">
        <v>0</v>
      </c>
      <c r="I216" s="175"/>
      <c r="J216" s="176">
        <v>1</v>
      </c>
      <c r="K216" s="175" t="s">
        <v>3742</v>
      </c>
      <c r="L216" s="181">
        <v>12396.69</v>
      </c>
      <c r="M216" s="176">
        <v>0</v>
      </c>
      <c r="N216" s="176">
        <v>0</v>
      </c>
      <c r="O216" s="176">
        <v>0</v>
      </c>
      <c r="P216" s="181">
        <v>2603.31</v>
      </c>
      <c r="Q216" s="180">
        <v>15000</v>
      </c>
    </row>
    <row r="217" spans="1:17" hidden="1">
      <c r="A217" s="175" t="s">
        <v>3753</v>
      </c>
      <c r="B217" s="175" t="s">
        <v>3744</v>
      </c>
      <c r="C217" s="176">
        <v>7</v>
      </c>
      <c r="D217" s="176">
        <v>5396</v>
      </c>
      <c r="E217" s="175"/>
      <c r="F217" s="176">
        <v>74408355647978</v>
      </c>
      <c r="G217" s="176">
        <v>99</v>
      </c>
      <c r="H217" s="176">
        <v>0</v>
      </c>
      <c r="I217" s="175"/>
      <c r="J217" s="176">
        <v>1</v>
      </c>
      <c r="K217" s="175" t="s">
        <v>3742</v>
      </c>
      <c r="L217" s="179">
        <v>11487.6</v>
      </c>
      <c r="M217" s="176">
        <v>0</v>
      </c>
      <c r="N217" s="176">
        <v>0</v>
      </c>
      <c r="O217" s="176">
        <v>0</v>
      </c>
      <c r="P217" s="179">
        <v>2412.4</v>
      </c>
      <c r="Q217" s="180">
        <v>13900</v>
      </c>
    </row>
    <row r="218" spans="1:17" hidden="1">
      <c r="A218" s="175" t="s">
        <v>3753</v>
      </c>
      <c r="B218" s="175" t="s">
        <v>3744</v>
      </c>
      <c r="C218" s="176">
        <v>7</v>
      </c>
      <c r="D218" s="176">
        <v>5397</v>
      </c>
      <c r="E218" s="175"/>
      <c r="F218" s="176">
        <v>74408358790845</v>
      </c>
      <c r="G218" s="176">
        <v>99</v>
      </c>
      <c r="H218" s="176">
        <v>0</v>
      </c>
      <c r="I218" s="175"/>
      <c r="J218" s="176">
        <v>1</v>
      </c>
      <c r="K218" s="175" t="s">
        <v>3742</v>
      </c>
      <c r="L218" s="181">
        <v>17768.59</v>
      </c>
      <c r="M218" s="176">
        <v>0</v>
      </c>
      <c r="N218" s="176">
        <v>0</v>
      </c>
      <c r="O218" s="176">
        <v>0</v>
      </c>
      <c r="P218" s="181">
        <v>3731.41</v>
      </c>
      <c r="Q218" s="180">
        <v>21500</v>
      </c>
    </row>
    <row r="219" spans="1:17" hidden="1">
      <c r="A219" s="175" t="s">
        <v>3753</v>
      </c>
      <c r="B219" s="175" t="s">
        <v>3744</v>
      </c>
      <c r="C219" s="176">
        <v>7</v>
      </c>
      <c r="D219" s="176">
        <v>5398</v>
      </c>
      <c r="E219" s="175"/>
      <c r="F219" s="176">
        <v>74408360515967</v>
      </c>
      <c r="G219" s="176">
        <v>99</v>
      </c>
      <c r="H219" s="176">
        <v>0</v>
      </c>
      <c r="I219" s="175"/>
      <c r="J219" s="176">
        <v>1</v>
      </c>
      <c r="K219" s="175" t="s">
        <v>3742</v>
      </c>
      <c r="L219" s="181">
        <v>27272.73</v>
      </c>
      <c r="M219" s="176">
        <v>0</v>
      </c>
      <c r="N219" s="176">
        <v>0</v>
      </c>
      <c r="O219" s="176">
        <v>0</v>
      </c>
      <c r="P219" s="181">
        <v>5727.27</v>
      </c>
      <c r="Q219" s="180">
        <v>33000</v>
      </c>
    </row>
    <row r="220" spans="1:17" hidden="1">
      <c r="A220" s="175" t="s">
        <v>3753</v>
      </c>
      <c r="B220" s="175" t="s">
        <v>3744</v>
      </c>
      <c r="C220" s="176">
        <v>7</v>
      </c>
      <c r="D220" s="176">
        <v>5399</v>
      </c>
      <c r="E220" s="175"/>
      <c r="F220" s="176">
        <v>74408366135461</v>
      </c>
      <c r="G220" s="176">
        <v>99</v>
      </c>
      <c r="H220" s="176">
        <v>0</v>
      </c>
      <c r="I220" s="175"/>
      <c r="J220" s="176">
        <v>1</v>
      </c>
      <c r="K220" s="175" t="s">
        <v>3742</v>
      </c>
      <c r="L220" s="179">
        <v>4628.1000000000004</v>
      </c>
      <c r="M220" s="176">
        <v>0</v>
      </c>
      <c r="N220" s="176">
        <v>0</v>
      </c>
      <c r="O220" s="176">
        <v>0</v>
      </c>
      <c r="P220" s="179">
        <v>971.9</v>
      </c>
      <c r="Q220" s="180">
        <v>5600</v>
      </c>
    </row>
    <row r="221" spans="1:17" hidden="1">
      <c r="A221" s="175" t="s">
        <v>3753</v>
      </c>
      <c r="B221" s="175" t="s">
        <v>3744</v>
      </c>
      <c r="C221" s="176">
        <v>7</v>
      </c>
      <c r="D221" s="176">
        <v>5400</v>
      </c>
      <c r="E221" s="175"/>
      <c r="F221" s="176">
        <v>74408366607493</v>
      </c>
      <c r="G221" s="176">
        <v>99</v>
      </c>
      <c r="H221" s="176">
        <v>0</v>
      </c>
      <c r="I221" s="175"/>
      <c r="J221" s="176">
        <v>1</v>
      </c>
      <c r="K221" s="175" t="s">
        <v>3742</v>
      </c>
      <c r="L221" s="181">
        <v>28925.62</v>
      </c>
      <c r="M221" s="176">
        <v>0</v>
      </c>
      <c r="N221" s="176">
        <v>0</v>
      </c>
      <c r="O221" s="176">
        <v>0</v>
      </c>
      <c r="P221" s="181">
        <v>6074.38</v>
      </c>
      <c r="Q221" s="180">
        <v>35000</v>
      </c>
    </row>
    <row r="222" spans="1:17" hidden="1">
      <c r="A222" s="175" t="s">
        <v>3753</v>
      </c>
      <c r="B222" s="175" t="s">
        <v>3744</v>
      </c>
      <c r="C222" s="176">
        <v>7</v>
      </c>
      <c r="D222" s="176">
        <v>5401</v>
      </c>
      <c r="E222" s="175"/>
      <c r="F222" s="176">
        <v>74408369185781</v>
      </c>
      <c r="G222" s="176">
        <v>99</v>
      </c>
      <c r="H222" s="176">
        <v>0</v>
      </c>
      <c r="I222" s="175"/>
      <c r="J222" s="176">
        <v>1</v>
      </c>
      <c r="K222" s="175" t="s">
        <v>3742</v>
      </c>
      <c r="L222" s="181">
        <v>53719.01</v>
      </c>
      <c r="M222" s="176">
        <v>0</v>
      </c>
      <c r="N222" s="176">
        <v>0</v>
      </c>
      <c r="O222" s="176">
        <v>0</v>
      </c>
      <c r="P222" s="181">
        <v>11280.99</v>
      </c>
      <c r="Q222" s="180">
        <v>65000</v>
      </c>
    </row>
    <row r="223" spans="1:17" hidden="1">
      <c r="A223" s="175" t="s">
        <v>3747</v>
      </c>
      <c r="B223" s="175" t="s">
        <v>3744</v>
      </c>
      <c r="C223" s="176">
        <v>7</v>
      </c>
      <c r="D223" s="176">
        <v>5402</v>
      </c>
      <c r="E223" s="175"/>
      <c r="F223" s="176">
        <v>74418637590861</v>
      </c>
      <c r="G223" s="176">
        <v>99</v>
      </c>
      <c r="H223" s="176">
        <v>0</v>
      </c>
      <c r="I223" s="175"/>
      <c r="J223" s="176">
        <v>1</v>
      </c>
      <c r="K223" s="175" t="s">
        <v>3742</v>
      </c>
      <c r="L223" s="181">
        <v>14876.03</v>
      </c>
      <c r="M223" s="176">
        <v>0</v>
      </c>
      <c r="N223" s="176">
        <v>0</v>
      </c>
      <c r="O223" s="176">
        <v>0</v>
      </c>
      <c r="P223" s="181">
        <v>3123.97</v>
      </c>
      <c r="Q223" s="180">
        <v>18000</v>
      </c>
    </row>
    <row r="224" spans="1:17" hidden="1">
      <c r="A224" s="175" t="s">
        <v>3747</v>
      </c>
      <c r="B224" s="175" t="s">
        <v>3744</v>
      </c>
      <c r="C224" s="176">
        <v>7</v>
      </c>
      <c r="D224" s="176">
        <v>5403</v>
      </c>
      <c r="E224" s="175"/>
      <c r="F224" s="176">
        <v>74418646815040</v>
      </c>
      <c r="G224" s="176">
        <v>99</v>
      </c>
      <c r="H224" s="176">
        <v>0</v>
      </c>
      <c r="I224" s="175"/>
      <c r="J224" s="176">
        <v>1</v>
      </c>
      <c r="K224" s="175" t="s">
        <v>3742</v>
      </c>
      <c r="L224" s="179">
        <v>10743.8</v>
      </c>
      <c r="M224" s="176">
        <v>0</v>
      </c>
      <c r="N224" s="176">
        <v>0</v>
      </c>
      <c r="O224" s="176">
        <v>0</v>
      </c>
      <c r="P224" s="179">
        <v>2256.1999999999998</v>
      </c>
      <c r="Q224" s="180">
        <v>13000</v>
      </c>
    </row>
    <row r="225" spans="1:17" hidden="1">
      <c r="A225" s="175" t="s">
        <v>3747</v>
      </c>
      <c r="B225" s="175" t="s">
        <v>3744</v>
      </c>
      <c r="C225" s="176">
        <v>7</v>
      </c>
      <c r="D225" s="176">
        <v>5404</v>
      </c>
      <c r="E225" s="175"/>
      <c r="F225" s="176">
        <v>74418653049489</v>
      </c>
      <c r="G225" s="176">
        <v>99</v>
      </c>
      <c r="H225" s="176">
        <v>0</v>
      </c>
      <c r="I225" s="175"/>
      <c r="J225" s="176">
        <v>1</v>
      </c>
      <c r="K225" s="175" t="s">
        <v>3742</v>
      </c>
      <c r="L225" s="181">
        <v>21404.959999999999</v>
      </c>
      <c r="M225" s="176">
        <v>0</v>
      </c>
      <c r="N225" s="176">
        <v>0</v>
      </c>
      <c r="O225" s="176">
        <v>0</v>
      </c>
      <c r="P225" s="181">
        <v>4495.04</v>
      </c>
      <c r="Q225" s="180">
        <v>25900</v>
      </c>
    </row>
    <row r="226" spans="1:17" hidden="1">
      <c r="A226" s="175" t="s">
        <v>3747</v>
      </c>
      <c r="B226" s="175" t="s">
        <v>3744</v>
      </c>
      <c r="C226" s="176">
        <v>7</v>
      </c>
      <c r="D226" s="176">
        <v>5405</v>
      </c>
      <c r="E226" s="175"/>
      <c r="F226" s="176">
        <v>74418655013541</v>
      </c>
      <c r="G226" s="176">
        <v>99</v>
      </c>
      <c r="H226" s="176">
        <v>0</v>
      </c>
      <c r="I226" s="175"/>
      <c r="J226" s="176">
        <v>1</v>
      </c>
      <c r="K226" s="175" t="s">
        <v>3742</v>
      </c>
      <c r="L226" s="181">
        <v>12809.92</v>
      </c>
      <c r="M226" s="176">
        <v>0</v>
      </c>
      <c r="N226" s="176">
        <v>0</v>
      </c>
      <c r="O226" s="176">
        <v>0</v>
      </c>
      <c r="P226" s="181">
        <v>2690.08</v>
      </c>
      <c r="Q226" s="180">
        <v>15500</v>
      </c>
    </row>
    <row r="227" spans="1:17" hidden="1">
      <c r="A227" s="175" t="s">
        <v>3747</v>
      </c>
      <c r="B227" s="175" t="s">
        <v>3744</v>
      </c>
      <c r="C227" s="176">
        <v>7</v>
      </c>
      <c r="D227" s="176">
        <v>5406</v>
      </c>
      <c r="E227" s="175"/>
      <c r="F227" s="176">
        <v>74418658933640</v>
      </c>
      <c r="G227" s="176">
        <v>99</v>
      </c>
      <c r="H227" s="176">
        <v>0</v>
      </c>
      <c r="I227" s="175"/>
      <c r="J227" s="176">
        <v>1</v>
      </c>
      <c r="K227" s="175" t="s">
        <v>3742</v>
      </c>
      <c r="L227" s="181">
        <v>29338.84</v>
      </c>
      <c r="M227" s="176">
        <v>0</v>
      </c>
      <c r="N227" s="176">
        <v>0</v>
      </c>
      <c r="O227" s="176">
        <v>0</v>
      </c>
      <c r="P227" s="181">
        <v>6161.16</v>
      </c>
      <c r="Q227" s="180">
        <v>35500</v>
      </c>
    </row>
    <row r="228" spans="1:17">
      <c r="A228" s="175" t="s">
        <v>3747</v>
      </c>
      <c r="B228" s="175" t="s">
        <v>3744</v>
      </c>
      <c r="C228" s="176">
        <v>7</v>
      </c>
      <c r="D228" s="176">
        <v>5407</v>
      </c>
      <c r="E228" s="175"/>
      <c r="F228" s="176">
        <v>74418659320318</v>
      </c>
      <c r="G228" s="175" t="s">
        <v>3741</v>
      </c>
      <c r="H228" s="176">
        <v>30658137642</v>
      </c>
      <c r="I228" s="175" t="s">
        <v>3850</v>
      </c>
      <c r="J228" s="176">
        <v>1</v>
      </c>
      <c r="K228" s="175" t="s">
        <v>3742</v>
      </c>
      <c r="L228" s="181">
        <v>494833.06</v>
      </c>
      <c r="M228" s="176">
        <v>0</v>
      </c>
      <c r="N228" s="176">
        <v>0</v>
      </c>
      <c r="O228" s="176">
        <v>0</v>
      </c>
      <c r="P228" s="181">
        <v>103914.94</v>
      </c>
      <c r="Q228" s="180">
        <v>598748</v>
      </c>
    </row>
    <row r="229" spans="1:17">
      <c r="A229" s="175" t="s">
        <v>3751</v>
      </c>
      <c r="B229" s="175" t="s">
        <v>3744</v>
      </c>
      <c r="C229" s="176">
        <v>7</v>
      </c>
      <c r="D229" s="176">
        <v>5408</v>
      </c>
      <c r="E229" s="175"/>
      <c r="F229" s="176">
        <v>74418929791556</v>
      </c>
      <c r="G229" s="175" t="s">
        <v>3785</v>
      </c>
      <c r="H229" s="176">
        <v>17198648</v>
      </c>
      <c r="I229" s="175" t="s">
        <v>3851</v>
      </c>
      <c r="J229" s="176">
        <v>1</v>
      </c>
      <c r="K229" s="175" t="s">
        <v>3742</v>
      </c>
      <c r="L229" s="181">
        <v>19834.71</v>
      </c>
      <c r="M229" s="176">
        <v>0</v>
      </c>
      <c r="N229" s="176">
        <v>0</v>
      </c>
      <c r="O229" s="176">
        <v>0</v>
      </c>
      <c r="P229" s="181">
        <v>4165.29</v>
      </c>
      <c r="Q229" s="180">
        <v>24000</v>
      </c>
    </row>
    <row r="230" spans="1:17">
      <c r="A230" s="175" t="s">
        <v>3752</v>
      </c>
      <c r="B230" s="175" t="s">
        <v>3744</v>
      </c>
      <c r="C230" s="176">
        <v>7</v>
      </c>
      <c r="D230" s="176">
        <v>5409</v>
      </c>
      <c r="E230" s="175"/>
      <c r="F230" s="176">
        <v>74418075740725</v>
      </c>
      <c r="G230" s="175" t="s">
        <v>3741</v>
      </c>
      <c r="H230" s="176">
        <v>30590354798</v>
      </c>
      <c r="I230" s="175" t="s">
        <v>3783</v>
      </c>
      <c r="J230" s="176">
        <v>1</v>
      </c>
      <c r="K230" s="175" t="s">
        <v>3742</v>
      </c>
      <c r="L230" s="181">
        <v>651239.67000000004</v>
      </c>
      <c r="M230" s="176">
        <v>0</v>
      </c>
      <c r="N230" s="176">
        <v>0</v>
      </c>
      <c r="O230" s="176">
        <v>0</v>
      </c>
      <c r="P230" s="181">
        <v>136760.32999999999</v>
      </c>
      <c r="Q230" s="180">
        <v>788000</v>
      </c>
    </row>
    <row r="231" spans="1:17">
      <c r="A231" s="175" t="s">
        <v>3752</v>
      </c>
      <c r="B231" s="175" t="s">
        <v>3744</v>
      </c>
      <c r="C231" s="176">
        <v>7</v>
      </c>
      <c r="D231" s="176">
        <v>5410</v>
      </c>
      <c r="E231" s="175"/>
      <c r="F231" s="176">
        <v>74418103348751</v>
      </c>
      <c r="G231" s="175" t="s">
        <v>3741</v>
      </c>
      <c r="H231" s="176">
        <v>30685228501</v>
      </c>
      <c r="I231" s="175" t="s">
        <v>3852</v>
      </c>
      <c r="J231" s="176">
        <v>1</v>
      </c>
      <c r="K231" s="175" t="s">
        <v>3742</v>
      </c>
      <c r="L231" s="181">
        <v>337190.08</v>
      </c>
      <c r="M231" s="176">
        <v>0</v>
      </c>
      <c r="N231" s="176">
        <v>0</v>
      </c>
      <c r="O231" s="176">
        <v>0</v>
      </c>
      <c r="P231" s="181">
        <v>70809.919999999998</v>
      </c>
      <c r="Q231" s="180">
        <v>408000</v>
      </c>
    </row>
    <row r="232" spans="1:17">
      <c r="A232" s="175" t="s">
        <v>3764</v>
      </c>
      <c r="B232" s="175" t="s">
        <v>3744</v>
      </c>
      <c r="C232" s="176">
        <v>7</v>
      </c>
      <c r="D232" s="176">
        <v>5411</v>
      </c>
      <c r="E232" s="175"/>
      <c r="F232" s="176">
        <v>74428554384665</v>
      </c>
      <c r="G232" s="175" t="s">
        <v>3741</v>
      </c>
      <c r="H232" s="176">
        <v>30590354798</v>
      </c>
      <c r="I232" s="175" t="s">
        <v>3783</v>
      </c>
      <c r="J232" s="176">
        <v>1</v>
      </c>
      <c r="K232" s="175" t="s">
        <v>3742</v>
      </c>
      <c r="L232" s="181">
        <v>463636.36</v>
      </c>
      <c r="M232" s="176">
        <v>0</v>
      </c>
      <c r="N232" s="176">
        <v>0</v>
      </c>
      <c r="O232" s="176">
        <v>0</v>
      </c>
      <c r="P232" s="181">
        <v>97363.64</v>
      </c>
      <c r="Q232" s="180">
        <v>561000</v>
      </c>
    </row>
    <row r="233" spans="1:17">
      <c r="A233" s="175" t="s">
        <v>3764</v>
      </c>
      <c r="B233" s="175" t="s">
        <v>3744</v>
      </c>
      <c r="C233" s="176">
        <v>7</v>
      </c>
      <c r="D233" s="176">
        <v>5412</v>
      </c>
      <c r="E233" s="175"/>
      <c r="F233" s="176">
        <v>74428573957288</v>
      </c>
      <c r="G233" s="175" t="s">
        <v>3741</v>
      </c>
      <c r="H233" s="176">
        <v>30571766287</v>
      </c>
      <c r="I233" s="175" t="s">
        <v>3853</v>
      </c>
      <c r="J233" s="176">
        <v>1</v>
      </c>
      <c r="K233" s="175" t="s">
        <v>3742</v>
      </c>
      <c r="L233" s="181">
        <v>160776.85999999999</v>
      </c>
      <c r="M233" s="176">
        <v>0</v>
      </c>
      <c r="N233" s="176">
        <v>0</v>
      </c>
      <c r="O233" s="176">
        <v>0</v>
      </c>
      <c r="P233" s="181">
        <v>33763.14</v>
      </c>
      <c r="Q233" s="180">
        <v>194540</v>
      </c>
    </row>
    <row r="234" spans="1:17">
      <c r="A234" s="175" t="s">
        <v>3769</v>
      </c>
      <c r="B234" s="175" t="s">
        <v>3744</v>
      </c>
      <c r="C234" s="176">
        <v>7</v>
      </c>
      <c r="D234" s="176">
        <v>5413</v>
      </c>
      <c r="E234" s="175"/>
      <c r="F234" s="176">
        <v>74428000820847</v>
      </c>
      <c r="G234" s="175" t="s">
        <v>3741</v>
      </c>
      <c r="H234" s="176">
        <v>30590354798</v>
      </c>
      <c r="I234" s="175" t="s">
        <v>3783</v>
      </c>
      <c r="J234" s="176">
        <v>1</v>
      </c>
      <c r="K234" s="175" t="s">
        <v>3742</v>
      </c>
      <c r="L234" s="179">
        <v>1221487.6000000001</v>
      </c>
      <c r="M234" s="176">
        <v>0</v>
      </c>
      <c r="N234" s="176">
        <v>0</v>
      </c>
      <c r="O234" s="176">
        <v>0</v>
      </c>
      <c r="P234" s="179">
        <v>256512.4</v>
      </c>
      <c r="Q234" s="180">
        <v>1478000</v>
      </c>
    </row>
    <row r="235" spans="1:17">
      <c r="A235" s="175" t="s">
        <v>3769</v>
      </c>
      <c r="B235" s="175" t="s">
        <v>3744</v>
      </c>
      <c r="C235" s="176">
        <v>7</v>
      </c>
      <c r="D235" s="176">
        <v>5414</v>
      </c>
      <c r="E235" s="175"/>
      <c r="F235" s="176">
        <v>74428001464309</v>
      </c>
      <c r="G235" s="175" t="s">
        <v>3741</v>
      </c>
      <c r="H235" s="176">
        <v>30590354798</v>
      </c>
      <c r="I235" s="175" t="s">
        <v>3783</v>
      </c>
      <c r="J235" s="176">
        <v>1</v>
      </c>
      <c r="K235" s="175" t="s">
        <v>3742</v>
      </c>
      <c r="L235" s="181">
        <v>2407676.0299999998</v>
      </c>
      <c r="M235" s="176">
        <v>0</v>
      </c>
      <c r="N235" s="176">
        <v>0</v>
      </c>
      <c r="O235" s="176">
        <v>0</v>
      </c>
      <c r="P235" s="181">
        <v>505611.97</v>
      </c>
      <c r="Q235" s="180">
        <v>2913288</v>
      </c>
    </row>
    <row r="236" spans="1:17">
      <c r="A236" s="175" t="s">
        <v>3770</v>
      </c>
      <c r="B236" s="175" t="s">
        <v>3744</v>
      </c>
      <c r="C236" s="176">
        <v>7</v>
      </c>
      <c r="D236" s="176">
        <v>5415</v>
      </c>
      <c r="E236" s="175"/>
      <c r="F236" s="176">
        <v>74438273455376</v>
      </c>
      <c r="G236" s="175" t="s">
        <v>3741</v>
      </c>
      <c r="H236" s="176">
        <v>30590354798</v>
      </c>
      <c r="I236" s="175" t="s">
        <v>3783</v>
      </c>
      <c r="J236" s="176">
        <v>1</v>
      </c>
      <c r="K236" s="175" t="s">
        <v>3742</v>
      </c>
      <c r="L236" s="181">
        <v>11983.47</v>
      </c>
      <c r="M236" s="176">
        <v>0</v>
      </c>
      <c r="N236" s="176">
        <v>0</v>
      </c>
      <c r="O236" s="176">
        <v>0</v>
      </c>
      <c r="P236" s="181">
        <v>2516.5300000000002</v>
      </c>
      <c r="Q236" s="180">
        <v>14500</v>
      </c>
    </row>
    <row r="237" spans="1:17">
      <c r="A237" s="175" t="s">
        <v>3777</v>
      </c>
      <c r="B237" s="175" t="s">
        <v>3744</v>
      </c>
      <c r="C237" s="176">
        <v>7</v>
      </c>
      <c r="D237" s="176">
        <v>5416</v>
      </c>
      <c r="E237" s="175"/>
      <c r="F237" s="176">
        <v>74448010668713</v>
      </c>
      <c r="G237" s="175" t="s">
        <v>3807</v>
      </c>
      <c r="H237" s="176">
        <v>27281788766</v>
      </c>
      <c r="I237" s="175" t="s">
        <v>3836</v>
      </c>
      <c r="J237" s="176">
        <v>1</v>
      </c>
      <c r="K237" s="175" t="s">
        <v>3742</v>
      </c>
      <c r="L237" s="181">
        <v>190082.64</v>
      </c>
      <c r="M237" s="176">
        <v>0</v>
      </c>
      <c r="N237" s="176">
        <v>0</v>
      </c>
      <c r="O237" s="176">
        <v>0</v>
      </c>
      <c r="P237" s="181">
        <v>39917.360000000001</v>
      </c>
      <c r="Q237" s="180">
        <v>230000</v>
      </c>
    </row>
    <row r="238" spans="1:17">
      <c r="A238" s="175" t="s">
        <v>3777</v>
      </c>
      <c r="B238" s="175" t="s">
        <v>3744</v>
      </c>
      <c r="C238" s="176">
        <v>7</v>
      </c>
      <c r="D238" s="176">
        <v>5417</v>
      </c>
      <c r="E238" s="175"/>
      <c r="F238" s="176">
        <v>74448011088564</v>
      </c>
      <c r="G238" s="175" t="s">
        <v>3807</v>
      </c>
      <c r="H238" s="176">
        <v>27281788766</v>
      </c>
      <c r="I238" s="175" t="s">
        <v>3836</v>
      </c>
      <c r="J238" s="176">
        <v>1</v>
      </c>
      <c r="K238" s="175" t="s">
        <v>3742</v>
      </c>
      <c r="L238" s="181">
        <v>190082.64</v>
      </c>
      <c r="M238" s="176">
        <v>0</v>
      </c>
      <c r="N238" s="176">
        <v>0</v>
      </c>
      <c r="O238" s="176">
        <v>0</v>
      </c>
      <c r="P238" s="181">
        <v>39917.360000000001</v>
      </c>
      <c r="Q238" s="180">
        <v>230000</v>
      </c>
    </row>
    <row r="239" spans="1:17" hidden="1">
      <c r="A239" s="175" t="s">
        <v>3777</v>
      </c>
      <c r="B239" s="175" t="s">
        <v>3744</v>
      </c>
      <c r="C239" s="176">
        <v>7</v>
      </c>
      <c r="D239" s="176">
        <v>5418</v>
      </c>
      <c r="E239" s="175"/>
      <c r="F239" s="176">
        <v>74448064075862</v>
      </c>
      <c r="G239" s="175" t="s">
        <v>3785</v>
      </c>
      <c r="H239" s="176">
        <v>1886726</v>
      </c>
      <c r="I239" s="175"/>
      <c r="J239" s="176">
        <v>1</v>
      </c>
      <c r="K239" s="175" t="s">
        <v>3742</v>
      </c>
      <c r="L239" s="181">
        <v>17355.37</v>
      </c>
      <c r="M239" s="176">
        <v>0</v>
      </c>
      <c r="N239" s="176">
        <v>0</v>
      </c>
      <c r="O239" s="176">
        <v>0</v>
      </c>
      <c r="P239" s="181">
        <v>3644.63</v>
      </c>
      <c r="Q239" s="180">
        <v>21000</v>
      </c>
    </row>
    <row r="240" spans="1:17" hidden="1">
      <c r="A240" s="175" t="s">
        <v>3777</v>
      </c>
      <c r="B240" s="175" t="s">
        <v>3744</v>
      </c>
      <c r="C240" s="176">
        <v>7</v>
      </c>
      <c r="D240" s="176">
        <v>5419</v>
      </c>
      <c r="E240" s="175"/>
      <c r="F240" s="176">
        <v>74448064217802</v>
      </c>
      <c r="G240" s="175" t="s">
        <v>3785</v>
      </c>
      <c r="H240" s="176">
        <v>1886726</v>
      </c>
      <c r="I240" s="175"/>
      <c r="J240" s="176">
        <v>1</v>
      </c>
      <c r="K240" s="175" t="s">
        <v>3742</v>
      </c>
      <c r="L240" s="181">
        <v>17355.37</v>
      </c>
      <c r="M240" s="176">
        <v>0</v>
      </c>
      <c r="N240" s="176">
        <v>0</v>
      </c>
      <c r="O240" s="176">
        <v>0</v>
      </c>
      <c r="P240" s="181">
        <v>3644.63</v>
      </c>
      <c r="Q240" s="180">
        <v>21000</v>
      </c>
    </row>
    <row r="241" spans="1:17">
      <c r="A241" s="175" t="s">
        <v>3779</v>
      </c>
      <c r="B241" s="175" t="s">
        <v>3744</v>
      </c>
      <c r="C241" s="176">
        <v>7</v>
      </c>
      <c r="D241" s="176">
        <v>5420</v>
      </c>
      <c r="E241" s="175"/>
      <c r="F241" s="176">
        <v>74448133064780</v>
      </c>
      <c r="G241" s="175" t="s">
        <v>3741</v>
      </c>
      <c r="H241" s="176">
        <v>30590354798</v>
      </c>
      <c r="I241" s="175" t="s">
        <v>3783</v>
      </c>
      <c r="J241" s="176">
        <v>1</v>
      </c>
      <c r="K241" s="175" t="s">
        <v>3742</v>
      </c>
      <c r="L241" s="181">
        <v>1789369.42</v>
      </c>
      <c r="M241" s="176">
        <v>0</v>
      </c>
      <c r="N241" s="176">
        <v>0</v>
      </c>
      <c r="O241" s="176">
        <v>0</v>
      </c>
      <c r="P241" s="181">
        <v>375767.58</v>
      </c>
      <c r="Q241" s="180">
        <v>2165137</v>
      </c>
    </row>
    <row r="242" spans="1:17" hidden="1">
      <c r="A242" s="175" t="s">
        <v>3779</v>
      </c>
      <c r="B242" s="175" t="s">
        <v>3744</v>
      </c>
      <c r="C242" s="176">
        <v>7</v>
      </c>
      <c r="D242" s="176">
        <v>5421</v>
      </c>
      <c r="E242" s="175"/>
      <c r="F242" s="176">
        <v>74448170888275</v>
      </c>
      <c r="G242" s="176">
        <v>99</v>
      </c>
      <c r="H242" s="176">
        <v>0</v>
      </c>
      <c r="I242" s="175"/>
      <c r="J242" s="176">
        <v>1</v>
      </c>
      <c r="K242" s="175" t="s">
        <v>3742</v>
      </c>
      <c r="L242" s="181">
        <v>17355.37</v>
      </c>
      <c r="M242" s="176">
        <v>0</v>
      </c>
      <c r="N242" s="176">
        <v>0</v>
      </c>
      <c r="O242" s="176">
        <v>0</v>
      </c>
      <c r="P242" s="181">
        <v>3644.63</v>
      </c>
      <c r="Q242" s="180">
        <v>21000</v>
      </c>
    </row>
    <row r="243" spans="1:17">
      <c r="A243" s="175" t="s">
        <v>3781</v>
      </c>
      <c r="B243" s="175" t="s">
        <v>3744</v>
      </c>
      <c r="C243" s="176">
        <v>7</v>
      </c>
      <c r="D243" s="176">
        <v>5422</v>
      </c>
      <c r="E243" s="175"/>
      <c r="F243" s="176">
        <v>74448312059789</v>
      </c>
      <c r="G243" s="175" t="s">
        <v>3741</v>
      </c>
      <c r="H243" s="176">
        <v>30685228501</v>
      </c>
      <c r="I243" s="175" t="s">
        <v>3852</v>
      </c>
      <c r="J243" s="176">
        <v>1</v>
      </c>
      <c r="K243" s="175" t="s">
        <v>3742</v>
      </c>
      <c r="L243" s="181">
        <v>13223.14</v>
      </c>
      <c r="M243" s="176">
        <v>0</v>
      </c>
      <c r="N243" s="176">
        <v>0</v>
      </c>
      <c r="O243" s="176">
        <v>0</v>
      </c>
      <c r="P243" s="181">
        <v>2776.86</v>
      </c>
      <c r="Q243" s="180">
        <v>16000</v>
      </c>
    </row>
    <row r="244" spans="1:17">
      <c r="A244" s="175" t="s">
        <v>3781</v>
      </c>
      <c r="B244" s="175" t="s">
        <v>3744</v>
      </c>
      <c r="C244" s="176">
        <v>7</v>
      </c>
      <c r="D244" s="176">
        <v>5423</v>
      </c>
      <c r="E244" s="175"/>
      <c r="F244" s="176">
        <v>74448315023509</v>
      </c>
      <c r="G244" s="175" t="s">
        <v>3741</v>
      </c>
      <c r="H244" s="176">
        <v>30590354798</v>
      </c>
      <c r="I244" s="175" t="s">
        <v>3783</v>
      </c>
      <c r="J244" s="176">
        <v>1</v>
      </c>
      <c r="K244" s="175" t="s">
        <v>3742</v>
      </c>
      <c r="L244" s="179">
        <v>421487.6</v>
      </c>
      <c r="M244" s="176">
        <v>0</v>
      </c>
      <c r="N244" s="176">
        <v>0</v>
      </c>
      <c r="O244" s="176">
        <v>0</v>
      </c>
      <c r="P244" s="179">
        <v>88512.4</v>
      </c>
      <c r="Q244" s="180">
        <v>510000</v>
      </c>
    </row>
    <row r="245" spans="1:17" hidden="1">
      <c r="A245" s="175" t="s">
        <v>3782</v>
      </c>
      <c r="B245" s="175" t="s">
        <v>3744</v>
      </c>
      <c r="C245" s="176">
        <v>7</v>
      </c>
      <c r="D245" s="176">
        <v>5424</v>
      </c>
      <c r="E245" s="175"/>
      <c r="F245" s="176">
        <v>74448390760670</v>
      </c>
      <c r="G245" s="176">
        <v>99</v>
      </c>
      <c r="H245" s="176">
        <v>0</v>
      </c>
      <c r="I245" s="175"/>
      <c r="J245" s="176">
        <v>1</v>
      </c>
      <c r="K245" s="175" t="s">
        <v>3742</v>
      </c>
      <c r="L245" s="181">
        <v>28925.62</v>
      </c>
      <c r="M245" s="176">
        <v>0</v>
      </c>
      <c r="N245" s="176">
        <v>0</v>
      </c>
      <c r="O245" s="176">
        <v>0</v>
      </c>
      <c r="P245" s="181">
        <v>6074.38</v>
      </c>
      <c r="Q245" s="180">
        <v>35000</v>
      </c>
    </row>
    <row r="246" spans="1:17">
      <c r="A246" s="175" t="s">
        <v>3782</v>
      </c>
      <c r="B246" s="175" t="s">
        <v>3744</v>
      </c>
      <c r="C246" s="176">
        <v>7</v>
      </c>
      <c r="D246" s="176">
        <v>5425</v>
      </c>
      <c r="E246" s="175"/>
      <c r="F246" s="176">
        <v>74448403951569</v>
      </c>
      <c r="G246" s="175" t="s">
        <v>3741</v>
      </c>
      <c r="H246" s="176">
        <v>30590354798</v>
      </c>
      <c r="I246" s="175" t="s">
        <v>3783</v>
      </c>
      <c r="J246" s="176">
        <v>1</v>
      </c>
      <c r="K246" s="175" t="s">
        <v>3742</v>
      </c>
      <c r="L246" s="180">
        <v>1000000</v>
      </c>
      <c r="M246" s="176">
        <v>0</v>
      </c>
      <c r="N246" s="176">
        <v>0</v>
      </c>
      <c r="O246" s="176">
        <v>0</v>
      </c>
      <c r="P246" s="180">
        <v>210000</v>
      </c>
      <c r="Q246" s="180">
        <v>1210000</v>
      </c>
    </row>
    <row r="247" spans="1:17" hidden="1">
      <c r="A247" s="175" t="s">
        <v>3745</v>
      </c>
      <c r="B247" s="175" t="s">
        <v>3744</v>
      </c>
      <c r="C247" s="176">
        <v>8</v>
      </c>
      <c r="D247" s="176">
        <v>1</v>
      </c>
      <c r="E247" s="175"/>
      <c r="F247" s="176">
        <v>74408170661661</v>
      </c>
      <c r="G247" s="176">
        <v>99</v>
      </c>
      <c r="H247" s="176">
        <v>0</v>
      </c>
      <c r="I247" s="175"/>
      <c r="J247" s="176">
        <v>1</v>
      </c>
      <c r="K247" s="175" t="s">
        <v>3742</v>
      </c>
      <c r="L247" s="181">
        <v>8264.4599999999991</v>
      </c>
      <c r="M247" s="176">
        <v>0</v>
      </c>
      <c r="N247" s="176">
        <v>0</v>
      </c>
      <c r="O247" s="176">
        <v>0</v>
      </c>
      <c r="P247" s="181">
        <v>1735.54</v>
      </c>
      <c r="Q247" s="180">
        <v>10000</v>
      </c>
    </row>
    <row r="248" spans="1:17" hidden="1">
      <c r="A248" s="175" t="s">
        <v>3745</v>
      </c>
      <c r="B248" s="175" t="s">
        <v>3744</v>
      </c>
      <c r="C248" s="176">
        <v>8</v>
      </c>
      <c r="D248" s="176">
        <v>2</v>
      </c>
      <c r="E248" s="175"/>
      <c r="F248" s="176">
        <v>74408171180167</v>
      </c>
      <c r="G248" s="176">
        <v>99</v>
      </c>
      <c r="H248" s="176">
        <v>0</v>
      </c>
      <c r="I248" s="175"/>
      <c r="J248" s="176">
        <v>1</v>
      </c>
      <c r="K248" s="175" t="s">
        <v>3742</v>
      </c>
      <c r="L248" s="181">
        <v>6198.35</v>
      </c>
      <c r="M248" s="176">
        <v>0</v>
      </c>
      <c r="N248" s="176">
        <v>0</v>
      </c>
      <c r="O248" s="176">
        <v>0</v>
      </c>
      <c r="P248" s="181">
        <v>1301.6500000000001</v>
      </c>
      <c r="Q248" s="180">
        <v>7500</v>
      </c>
    </row>
    <row r="249" spans="1:17" hidden="1">
      <c r="A249" s="175" t="s">
        <v>3745</v>
      </c>
      <c r="B249" s="175" t="s">
        <v>3744</v>
      </c>
      <c r="C249" s="176">
        <v>8</v>
      </c>
      <c r="D249" s="176">
        <v>3</v>
      </c>
      <c r="E249" s="175"/>
      <c r="F249" s="176">
        <v>74408175059410</v>
      </c>
      <c r="G249" s="176">
        <v>99</v>
      </c>
      <c r="H249" s="176">
        <v>0</v>
      </c>
      <c r="I249" s="175"/>
      <c r="J249" s="176">
        <v>1</v>
      </c>
      <c r="K249" s="175" t="s">
        <v>3742</v>
      </c>
      <c r="L249" s="179">
        <v>21487.599999999999</v>
      </c>
      <c r="M249" s="176">
        <v>0</v>
      </c>
      <c r="N249" s="176">
        <v>0</v>
      </c>
      <c r="O249" s="176">
        <v>0</v>
      </c>
      <c r="P249" s="179">
        <v>4512.3999999999996</v>
      </c>
      <c r="Q249" s="180">
        <v>26000</v>
      </c>
    </row>
    <row r="250" spans="1:17" hidden="1">
      <c r="A250" s="175" t="s">
        <v>3745</v>
      </c>
      <c r="B250" s="175" t="s">
        <v>3744</v>
      </c>
      <c r="C250" s="176">
        <v>8</v>
      </c>
      <c r="D250" s="176">
        <v>4</v>
      </c>
      <c r="E250" s="175"/>
      <c r="F250" s="176">
        <v>74408178473241</v>
      </c>
      <c r="G250" s="176">
        <v>99</v>
      </c>
      <c r="H250" s="176">
        <v>0</v>
      </c>
      <c r="I250" s="175"/>
      <c r="J250" s="176">
        <v>1</v>
      </c>
      <c r="K250" s="175" t="s">
        <v>3742</v>
      </c>
      <c r="L250" s="181">
        <v>20661.16</v>
      </c>
      <c r="M250" s="176">
        <v>0</v>
      </c>
      <c r="N250" s="176">
        <v>0</v>
      </c>
      <c r="O250" s="176">
        <v>0</v>
      </c>
      <c r="P250" s="181">
        <v>4338.84</v>
      </c>
      <c r="Q250" s="180">
        <v>25000</v>
      </c>
    </row>
    <row r="251" spans="1:17" hidden="1">
      <c r="A251" s="175" t="s">
        <v>3745</v>
      </c>
      <c r="B251" s="175" t="s">
        <v>3744</v>
      </c>
      <c r="C251" s="176">
        <v>8</v>
      </c>
      <c r="D251" s="176">
        <v>5</v>
      </c>
      <c r="E251" s="175"/>
      <c r="F251" s="176">
        <v>74408179334943</v>
      </c>
      <c r="G251" s="176">
        <v>99</v>
      </c>
      <c r="H251" s="176">
        <v>0</v>
      </c>
      <c r="I251" s="175"/>
      <c r="J251" s="176">
        <v>1</v>
      </c>
      <c r="K251" s="175" t="s">
        <v>3742</v>
      </c>
      <c r="L251" s="181">
        <v>4462.8100000000004</v>
      </c>
      <c r="M251" s="176">
        <v>0</v>
      </c>
      <c r="N251" s="176">
        <v>0</v>
      </c>
      <c r="O251" s="176">
        <v>0</v>
      </c>
      <c r="P251" s="181">
        <v>937.19</v>
      </c>
      <c r="Q251" s="180">
        <v>5400</v>
      </c>
    </row>
    <row r="252" spans="1:17" hidden="1">
      <c r="A252" s="175" t="s">
        <v>3745</v>
      </c>
      <c r="B252" s="175" t="s">
        <v>3744</v>
      </c>
      <c r="C252" s="176">
        <v>8</v>
      </c>
      <c r="D252" s="176">
        <v>6</v>
      </c>
      <c r="E252" s="175"/>
      <c r="F252" s="176">
        <v>74408181398159</v>
      </c>
      <c r="G252" s="176">
        <v>99</v>
      </c>
      <c r="H252" s="176">
        <v>0</v>
      </c>
      <c r="I252" s="175"/>
      <c r="J252" s="176">
        <v>1</v>
      </c>
      <c r="K252" s="175" t="s">
        <v>3742</v>
      </c>
      <c r="L252" s="179">
        <v>21487.599999999999</v>
      </c>
      <c r="M252" s="176">
        <v>0</v>
      </c>
      <c r="N252" s="176">
        <v>0</v>
      </c>
      <c r="O252" s="176">
        <v>0</v>
      </c>
      <c r="P252" s="179">
        <v>4512.3999999999996</v>
      </c>
      <c r="Q252" s="180">
        <v>26000</v>
      </c>
    </row>
    <row r="253" spans="1:17" hidden="1">
      <c r="A253" s="175" t="s">
        <v>3745</v>
      </c>
      <c r="B253" s="175" t="s">
        <v>3744</v>
      </c>
      <c r="C253" s="176">
        <v>8</v>
      </c>
      <c r="D253" s="176">
        <v>7</v>
      </c>
      <c r="E253" s="175"/>
      <c r="F253" s="176">
        <v>74408184669859</v>
      </c>
      <c r="G253" s="176">
        <v>99</v>
      </c>
      <c r="H253" s="176">
        <v>0</v>
      </c>
      <c r="I253" s="175"/>
      <c r="J253" s="176">
        <v>1</v>
      </c>
      <c r="K253" s="175" t="s">
        <v>3742</v>
      </c>
      <c r="L253" s="181">
        <v>8264.4599999999991</v>
      </c>
      <c r="M253" s="176">
        <v>0</v>
      </c>
      <c r="N253" s="176">
        <v>0</v>
      </c>
      <c r="O253" s="176">
        <v>0</v>
      </c>
      <c r="P253" s="181">
        <v>1735.54</v>
      </c>
      <c r="Q253" s="180">
        <v>10000</v>
      </c>
    </row>
    <row r="254" spans="1:17" hidden="1">
      <c r="A254" s="175" t="s">
        <v>3745</v>
      </c>
      <c r="B254" s="175" t="s">
        <v>3744</v>
      </c>
      <c r="C254" s="176">
        <v>8</v>
      </c>
      <c r="D254" s="176">
        <v>8</v>
      </c>
      <c r="E254" s="175"/>
      <c r="F254" s="176">
        <v>74408185870905</v>
      </c>
      <c r="G254" s="176">
        <v>99</v>
      </c>
      <c r="H254" s="176">
        <v>0</v>
      </c>
      <c r="I254" s="175"/>
      <c r="J254" s="176">
        <v>1</v>
      </c>
      <c r="K254" s="175" t="s">
        <v>3742</v>
      </c>
      <c r="L254" s="179">
        <v>10743.8</v>
      </c>
      <c r="M254" s="176">
        <v>0</v>
      </c>
      <c r="N254" s="176">
        <v>0</v>
      </c>
      <c r="O254" s="176">
        <v>0</v>
      </c>
      <c r="P254" s="179">
        <v>2256.1999999999998</v>
      </c>
      <c r="Q254" s="180">
        <v>13000</v>
      </c>
    </row>
    <row r="255" spans="1:17" hidden="1">
      <c r="A255" s="175" t="s">
        <v>3745</v>
      </c>
      <c r="B255" s="175" t="s">
        <v>3744</v>
      </c>
      <c r="C255" s="176">
        <v>8</v>
      </c>
      <c r="D255" s="176">
        <v>9</v>
      </c>
      <c r="E255" s="175"/>
      <c r="F255" s="176">
        <v>74408188678423</v>
      </c>
      <c r="G255" s="176">
        <v>99</v>
      </c>
      <c r="H255" s="176">
        <v>0</v>
      </c>
      <c r="I255" s="175"/>
      <c r="J255" s="176">
        <v>1</v>
      </c>
      <c r="K255" s="175" t="s">
        <v>3742</v>
      </c>
      <c r="L255" s="181">
        <v>8264.4599999999991</v>
      </c>
      <c r="M255" s="176">
        <v>0</v>
      </c>
      <c r="N255" s="176">
        <v>0</v>
      </c>
      <c r="O255" s="176">
        <v>0</v>
      </c>
      <c r="P255" s="181">
        <v>1735.54</v>
      </c>
      <c r="Q255" s="180">
        <v>10000</v>
      </c>
    </row>
    <row r="256" spans="1:17" hidden="1">
      <c r="A256" s="175" t="s">
        <v>3745</v>
      </c>
      <c r="B256" s="175" t="s">
        <v>3744</v>
      </c>
      <c r="C256" s="176">
        <v>8</v>
      </c>
      <c r="D256" s="176">
        <v>10</v>
      </c>
      <c r="E256" s="175"/>
      <c r="F256" s="176">
        <v>74408190640944</v>
      </c>
      <c r="G256" s="176">
        <v>99</v>
      </c>
      <c r="H256" s="176">
        <v>0</v>
      </c>
      <c r="I256" s="175"/>
      <c r="J256" s="176">
        <v>1</v>
      </c>
      <c r="K256" s="175" t="s">
        <v>3742</v>
      </c>
      <c r="L256" s="181">
        <v>14876.03</v>
      </c>
      <c r="M256" s="176">
        <v>0</v>
      </c>
      <c r="N256" s="176">
        <v>0</v>
      </c>
      <c r="O256" s="176">
        <v>0</v>
      </c>
      <c r="P256" s="181">
        <v>3123.97</v>
      </c>
      <c r="Q256" s="180">
        <v>18000</v>
      </c>
    </row>
    <row r="257" spans="1:17" hidden="1">
      <c r="A257" s="175" t="s">
        <v>3745</v>
      </c>
      <c r="B257" s="175" t="s">
        <v>3744</v>
      </c>
      <c r="C257" s="176">
        <v>8</v>
      </c>
      <c r="D257" s="176">
        <v>11</v>
      </c>
      <c r="E257" s="175"/>
      <c r="F257" s="176">
        <v>74408192264702</v>
      </c>
      <c r="G257" s="176">
        <v>99</v>
      </c>
      <c r="H257" s="176">
        <v>0</v>
      </c>
      <c r="I257" s="175"/>
      <c r="J257" s="176">
        <v>1</v>
      </c>
      <c r="K257" s="175" t="s">
        <v>3742</v>
      </c>
      <c r="L257" s="181">
        <v>20661.16</v>
      </c>
      <c r="M257" s="176">
        <v>0</v>
      </c>
      <c r="N257" s="176">
        <v>0</v>
      </c>
      <c r="O257" s="176">
        <v>0</v>
      </c>
      <c r="P257" s="181">
        <v>4338.84</v>
      </c>
      <c r="Q257" s="180">
        <v>25000</v>
      </c>
    </row>
    <row r="258" spans="1:17" hidden="1">
      <c r="A258" s="175" t="s">
        <v>3745</v>
      </c>
      <c r="B258" s="175" t="s">
        <v>3744</v>
      </c>
      <c r="C258" s="176">
        <v>8</v>
      </c>
      <c r="D258" s="176">
        <v>12</v>
      </c>
      <c r="E258" s="175"/>
      <c r="F258" s="176">
        <v>74408193828935</v>
      </c>
      <c r="G258" s="176">
        <v>99</v>
      </c>
      <c r="H258" s="176">
        <v>0</v>
      </c>
      <c r="I258" s="175"/>
      <c r="J258" s="176">
        <v>1</v>
      </c>
      <c r="K258" s="175" t="s">
        <v>3742</v>
      </c>
      <c r="L258" s="181">
        <v>20661.16</v>
      </c>
      <c r="M258" s="176">
        <v>0</v>
      </c>
      <c r="N258" s="176">
        <v>0</v>
      </c>
      <c r="O258" s="176">
        <v>0</v>
      </c>
      <c r="P258" s="181">
        <v>4338.84</v>
      </c>
      <c r="Q258" s="180">
        <v>25000</v>
      </c>
    </row>
    <row r="259" spans="1:17" hidden="1">
      <c r="A259" s="175" t="s">
        <v>3745</v>
      </c>
      <c r="B259" s="175" t="s">
        <v>3744</v>
      </c>
      <c r="C259" s="176">
        <v>8</v>
      </c>
      <c r="D259" s="176">
        <v>13</v>
      </c>
      <c r="E259" s="175"/>
      <c r="F259" s="176">
        <v>74408204945867</v>
      </c>
      <c r="G259" s="176">
        <v>99</v>
      </c>
      <c r="H259" s="176">
        <v>0</v>
      </c>
      <c r="I259" s="175"/>
      <c r="J259" s="176">
        <v>1</v>
      </c>
      <c r="K259" s="175" t="s">
        <v>3742</v>
      </c>
      <c r="L259" s="179">
        <v>10743.8</v>
      </c>
      <c r="M259" s="176">
        <v>0</v>
      </c>
      <c r="N259" s="176">
        <v>0</v>
      </c>
      <c r="O259" s="176">
        <v>0</v>
      </c>
      <c r="P259" s="179">
        <v>2256.1999999999998</v>
      </c>
      <c r="Q259" s="180">
        <v>13000</v>
      </c>
    </row>
    <row r="260" spans="1:17" hidden="1">
      <c r="A260" s="175" t="s">
        <v>3745</v>
      </c>
      <c r="B260" s="175" t="s">
        <v>3744</v>
      </c>
      <c r="C260" s="176">
        <v>8</v>
      </c>
      <c r="D260" s="176">
        <v>14</v>
      </c>
      <c r="E260" s="175"/>
      <c r="F260" s="176">
        <v>74408209685177</v>
      </c>
      <c r="G260" s="176">
        <v>99</v>
      </c>
      <c r="H260" s="176">
        <v>0</v>
      </c>
      <c r="I260" s="175"/>
      <c r="J260" s="176">
        <v>1</v>
      </c>
      <c r="K260" s="175" t="s">
        <v>3742</v>
      </c>
      <c r="L260" s="179">
        <v>33884.300000000003</v>
      </c>
      <c r="M260" s="176">
        <v>0</v>
      </c>
      <c r="N260" s="176">
        <v>0</v>
      </c>
      <c r="O260" s="176">
        <v>0</v>
      </c>
      <c r="P260" s="179">
        <v>7115.7</v>
      </c>
      <c r="Q260" s="180">
        <v>41000</v>
      </c>
    </row>
    <row r="261" spans="1:17" hidden="1">
      <c r="A261" s="175" t="s">
        <v>3745</v>
      </c>
      <c r="B261" s="175" t="s">
        <v>3744</v>
      </c>
      <c r="C261" s="176">
        <v>8</v>
      </c>
      <c r="D261" s="176">
        <v>15</v>
      </c>
      <c r="E261" s="175"/>
      <c r="F261" s="176">
        <v>74408216038222</v>
      </c>
      <c r="G261" s="176">
        <v>99</v>
      </c>
      <c r="H261" s="176">
        <v>0</v>
      </c>
      <c r="I261" s="175"/>
      <c r="J261" s="176">
        <v>1</v>
      </c>
      <c r="K261" s="175" t="s">
        <v>3742</v>
      </c>
      <c r="L261" s="179">
        <v>21487.599999999999</v>
      </c>
      <c r="M261" s="176">
        <v>0</v>
      </c>
      <c r="N261" s="176">
        <v>0</v>
      </c>
      <c r="O261" s="176">
        <v>0</v>
      </c>
      <c r="P261" s="179">
        <v>4512.3999999999996</v>
      </c>
      <c r="Q261" s="180">
        <v>26000</v>
      </c>
    </row>
    <row r="262" spans="1:17" hidden="1">
      <c r="A262" s="175" t="s">
        <v>3745</v>
      </c>
      <c r="B262" s="175" t="s">
        <v>3744</v>
      </c>
      <c r="C262" s="176">
        <v>8</v>
      </c>
      <c r="D262" s="176">
        <v>16</v>
      </c>
      <c r="E262" s="175"/>
      <c r="F262" s="176">
        <v>74408216871516</v>
      </c>
      <c r="G262" s="176">
        <v>99</v>
      </c>
      <c r="H262" s="176">
        <v>0</v>
      </c>
      <c r="I262" s="175"/>
      <c r="J262" s="176">
        <v>1</v>
      </c>
      <c r="K262" s="175" t="s">
        <v>3742</v>
      </c>
      <c r="L262" s="179">
        <v>10743.8</v>
      </c>
      <c r="M262" s="176">
        <v>0</v>
      </c>
      <c r="N262" s="176">
        <v>0</v>
      </c>
      <c r="O262" s="176">
        <v>0</v>
      </c>
      <c r="P262" s="179">
        <v>2256.1999999999998</v>
      </c>
      <c r="Q262" s="180">
        <v>13000</v>
      </c>
    </row>
    <row r="263" spans="1:17" hidden="1">
      <c r="A263" s="175" t="s">
        <v>3745</v>
      </c>
      <c r="B263" s="175" t="s">
        <v>3744</v>
      </c>
      <c r="C263" s="176">
        <v>8</v>
      </c>
      <c r="D263" s="176">
        <v>17</v>
      </c>
      <c r="E263" s="175"/>
      <c r="F263" s="176">
        <v>74408220662810</v>
      </c>
      <c r="G263" s="176">
        <v>99</v>
      </c>
      <c r="H263" s="176">
        <v>0</v>
      </c>
      <c r="I263" s="175"/>
      <c r="J263" s="176">
        <v>1</v>
      </c>
      <c r="K263" s="175" t="s">
        <v>3742</v>
      </c>
      <c r="L263" s="181">
        <v>8264.4599999999991</v>
      </c>
      <c r="M263" s="176">
        <v>0</v>
      </c>
      <c r="N263" s="176">
        <v>0</v>
      </c>
      <c r="O263" s="176">
        <v>0</v>
      </c>
      <c r="P263" s="181">
        <v>1735.54</v>
      </c>
      <c r="Q263" s="180">
        <v>10000</v>
      </c>
    </row>
    <row r="264" spans="1:17" hidden="1">
      <c r="A264" s="175" t="s">
        <v>3745</v>
      </c>
      <c r="B264" s="175" t="s">
        <v>3744</v>
      </c>
      <c r="C264" s="176">
        <v>8</v>
      </c>
      <c r="D264" s="176">
        <v>18</v>
      </c>
      <c r="E264" s="175"/>
      <c r="F264" s="176">
        <v>74408228054454</v>
      </c>
      <c r="G264" s="176">
        <v>99</v>
      </c>
      <c r="H264" s="176">
        <v>0</v>
      </c>
      <c r="I264" s="175"/>
      <c r="J264" s="176">
        <v>1</v>
      </c>
      <c r="K264" s="175" t="s">
        <v>3742</v>
      </c>
      <c r="L264" s="181">
        <v>3305.79</v>
      </c>
      <c r="M264" s="176">
        <v>0</v>
      </c>
      <c r="N264" s="176">
        <v>0</v>
      </c>
      <c r="O264" s="176">
        <v>0</v>
      </c>
      <c r="P264" s="181">
        <v>694.21</v>
      </c>
      <c r="Q264" s="180">
        <v>4000</v>
      </c>
    </row>
    <row r="265" spans="1:17" hidden="1">
      <c r="A265" s="175" t="s">
        <v>3748</v>
      </c>
      <c r="B265" s="175" t="s">
        <v>3744</v>
      </c>
      <c r="C265" s="176">
        <v>8</v>
      </c>
      <c r="D265" s="176">
        <v>19</v>
      </c>
      <c r="E265" s="175"/>
      <c r="F265" s="176">
        <v>74438605807968</v>
      </c>
      <c r="G265" s="176">
        <v>99</v>
      </c>
      <c r="H265" s="176">
        <v>0</v>
      </c>
      <c r="I265" s="175"/>
      <c r="J265" s="176">
        <v>1</v>
      </c>
      <c r="K265" s="175" t="s">
        <v>3742</v>
      </c>
      <c r="L265" s="179">
        <v>21487.599999999999</v>
      </c>
      <c r="M265" s="176">
        <v>0</v>
      </c>
      <c r="N265" s="176">
        <v>0</v>
      </c>
      <c r="O265" s="176">
        <v>0</v>
      </c>
      <c r="P265" s="179">
        <v>4512.3999999999996</v>
      </c>
      <c r="Q265" s="180">
        <v>26000</v>
      </c>
    </row>
    <row r="266" spans="1:17" hidden="1">
      <c r="A266" s="175" t="s">
        <v>3748</v>
      </c>
      <c r="B266" s="175" t="s">
        <v>3744</v>
      </c>
      <c r="C266" s="176">
        <v>8</v>
      </c>
      <c r="D266" s="176">
        <v>20</v>
      </c>
      <c r="E266" s="175"/>
      <c r="F266" s="176">
        <v>74438607760579</v>
      </c>
      <c r="G266" s="176">
        <v>99</v>
      </c>
      <c r="H266" s="176">
        <v>0</v>
      </c>
      <c r="I266" s="175"/>
      <c r="J266" s="176">
        <v>1</v>
      </c>
      <c r="K266" s="175" t="s">
        <v>3742</v>
      </c>
      <c r="L266" s="181">
        <v>29338.84</v>
      </c>
      <c r="M266" s="176">
        <v>0</v>
      </c>
      <c r="N266" s="176">
        <v>0</v>
      </c>
      <c r="O266" s="176">
        <v>0</v>
      </c>
      <c r="P266" s="181">
        <v>6161.16</v>
      </c>
      <c r="Q266" s="180">
        <v>35500</v>
      </c>
    </row>
    <row r="267" spans="1:17" hidden="1">
      <c r="A267" s="175" t="s">
        <v>3748</v>
      </c>
      <c r="B267" s="175" t="s">
        <v>3744</v>
      </c>
      <c r="C267" s="176">
        <v>8</v>
      </c>
      <c r="D267" s="176">
        <v>21</v>
      </c>
      <c r="E267" s="175"/>
      <c r="F267" s="176">
        <v>74438612802737</v>
      </c>
      <c r="G267" s="176">
        <v>99</v>
      </c>
      <c r="H267" s="176">
        <v>0</v>
      </c>
      <c r="I267" s="175"/>
      <c r="J267" s="176">
        <v>1</v>
      </c>
      <c r="K267" s="175" t="s">
        <v>3742</v>
      </c>
      <c r="L267" s="179">
        <v>10743.8</v>
      </c>
      <c r="M267" s="176">
        <v>0</v>
      </c>
      <c r="N267" s="176">
        <v>0</v>
      </c>
      <c r="O267" s="176">
        <v>0</v>
      </c>
      <c r="P267" s="179">
        <v>2256.1999999999998</v>
      </c>
      <c r="Q267" s="180">
        <v>13000</v>
      </c>
    </row>
    <row r="268" spans="1:17" hidden="1">
      <c r="A268" s="175" t="s">
        <v>3748</v>
      </c>
      <c r="B268" s="175" t="s">
        <v>3744</v>
      </c>
      <c r="C268" s="176">
        <v>8</v>
      </c>
      <c r="D268" s="176">
        <v>22</v>
      </c>
      <c r="E268" s="175"/>
      <c r="F268" s="176">
        <v>74438617156130</v>
      </c>
      <c r="G268" s="176">
        <v>99</v>
      </c>
      <c r="H268" s="176">
        <v>0</v>
      </c>
      <c r="I268" s="175"/>
      <c r="J268" s="176">
        <v>1</v>
      </c>
      <c r="K268" s="175" t="s">
        <v>3742</v>
      </c>
      <c r="L268" s="179">
        <v>11487.6</v>
      </c>
      <c r="M268" s="176">
        <v>0</v>
      </c>
      <c r="N268" s="176">
        <v>0</v>
      </c>
      <c r="O268" s="176">
        <v>0</v>
      </c>
      <c r="P268" s="179">
        <v>2412.4</v>
      </c>
      <c r="Q268" s="180">
        <v>13900</v>
      </c>
    </row>
    <row r="269" spans="1:17" hidden="1">
      <c r="A269" s="175" t="s">
        <v>3748</v>
      </c>
      <c r="B269" s="175" t="s">
        <v>3744</v>
      </c>
      <c r="C269" s="176">
        <v>8</v>
      </c>
      <c r="D269" s="176">
        <v>23</v>
      </c>
      <c r="E269" s="175"/>
      <c r="F269" s="176">
        <v>74438639281565</v>
      </c>
      <c r="G269" s="176">
        <v>99</v>
      </c>
      <c r="H269" s="176">
        <v>0</v>
      </c>
      <c r="I269" s="175"/>
      <c r="J269" s="176">
        <v>1</v>
      </c>
      <c r="K269" s="175" t="s">
        <v>3742</v>
      </c>
      <c r="L269" s="181">
        <v>4958.68</v>
      </c>
      <c r="M269" s="176">
        <v>0</v>
      </c>
      <c r="N269" s="176">
        <v>0</v>
      </c>
      <c r="O269" s="176">
        <v>0</v>
      </c>
      <c r="P269" s="181">
        <v>1041.32</v>
      </c>
      <c r="Q269" s="180">
        <v>6000</v>
      </c>
    </row>
    <row r="270" spans="1:17" hidden="1">
      <c r="A270" s="175" t="s">
        <v>3748</v>
      </c>
      <c r="B270" s="175" t="s">
        <v>3744</v>
      </c>
      <c r="C270" s="176">
        <v>8</v>
      </c>
      <c r="D270" s="176">
        <v>24</v>
      </c>
      <c r="E270" s="175"/>
      <c r="F270" s="176">
        <v>74438643080056</v>
      </c>
      <c r="G270" s="176">
        <v>99</v>
      </c>
      <c r="H270" s="176">
        <v>0</v>
      </c>
      <c r="I270" s="175"/>
      <c r="J270" s="176">
        <v>1</v>
      </c>
      <c r="K270" s="175" t="s">
        <v>3742</v>
      </c>
      <c r="L270" s="181">
        <v>8264.4599999999991</v>
      </c>
      <c r="M270" s="176">
        <v>0</v>
      </c>
      <c r="N270" s="176">
        <v>0</v>
      </c>
      <c r="O270" s="176">
        <v>0</v>
      </c>
      <c r="P270" s="181">
        <v>1735.54</v>
      </c>
      <c r="Q270" s="180">
        <v>10000</v>
      </c>
    </row>
    <row r="271" spans="1:17" hidden="1">
      <c r="A271" s="175" t="s">
        <v>3748</v>
      </c>
      <c r="B271" s="175" t="s">
        <v>3744</v>
      </c>
      <c r="C271" s="176">
        <v>8</v>
      </c>
      <c r="D271" s="176">
        <v>25</v>
      </c>
      <c r="E271" s="175"/>
      <c r="F271" s="176">
        <v>74438648684078</v>
      </c>
      <c r="G271" s="176">
        <v>99</v>
      </c>
      <c r="H271" s="176">
        <v>0</v>
      </c>
      <c r="I271" s="175"/>
      <c r="J271" s="176">
        <v>1</v>
      </c>
      <c r="K271" s="175" t="s">
        <v>3742</v>
      </c>
      <c r="L271" s="179">
        <v>21487.599999999999</v>
      </c>
      <c r="M271" s="176">
        <v>0</v>
      </c>
      <c r="N271" s="176">
        <v>0</v>
      </c>
      <c r="O271" s="176">
        <v>0</v>
      </c>
      <c r="P271" s="179">
        <v>4512.3999999999996</v>
      </c>
      <c r="Q271" s="180">
        <v>26000</v>
      </c>
    </row>
    <row r="272" spans="1:17" hidden="1">
      <c r="A272" s="175" t="s">
        <v>3748</v>
      </c>
      <c r="B272" s="175" t="s">
        <v>3744</v>
      </c>
      <c r="C272" s="176">
        <v>8</v>
      </c>
      <c r="D272" s="176">
        <v>26</v>
      </c>
      <c r="E272" s="175"/>
      <c r="F272" s="176">
        <v>74438654923335</v>
      </c>
      <c r="G272" s="176">
        <v>99</v>
      </c>
      <c r="H272" s="176">
        <v>0</v>
      </c>
      <c r="I272" s="175"/>
      <c r="J272" s="176">
        <v>1</v>
      </c>
      <c r="K272" s="175" t="s">
        <v>3742</v>
      </c>
      <c r="L272" s="179">
        <v>21487.599999999999</v>
      </c>
      <c r="M272" s="176">
        <v>0</v>
      </c>
      <c r="N272" s="176">
        <v>0</v>
      </c>
      <c r="O272" s="176">
        <v>0</v>
      </c>
      <c r="P272" s="179">
        <v>4512.3999999999996</v>
      </c>
      <c r="Q272" s="180">
        <v>26000</v>
      </c>
    </row>
    <row r="273" spans="1:17" hidden="1">
      <c r="A273" s="175" t="s">
        <v>3739</v>
      </c>
      <c r="B273" s="175" t="s">
        <v>3744</v>
      </c>
      <c r="C273" s="176">
        <v>9</v>
      </c>
      <c r="D273" s="176">
        <v>1</v>
      </c>
      <c r="E273" s="175"/>
      <c r="F273" s="176">
        <v>74408943763770</v>
      </c>
      <c r="G273" s="176">
        <v>99</v>
      </c>
      <c r="H273" s="176">
        <v>0</v>
      </c>
      <c r="I273" s="175"/>
      <c r="J273" s="176">
        <v>1</v>
      </c>
      <c r="K273" s="175" t="s">
        <v>3742</v>
      </c>
      <c r="L273" s="180">
        <v>1</v>
      </c>
      <c r="M273" s="176">
        <v>0</v>
      </c>
      <c r="N273" s="176">
        <v>0</v>
      </c>
      <c r="O273" s="176">
        <v>0</v>
      </c>
      <c r="P273" s="181">
        <v>0.21</v>
      </c>
      <c r="Q273" s="181">
        <v>1.21</v>
      </c>
    </row>
    <row r="274" spans="1:17" hidden="1">
      <c r="A274" s="175" t="s">
        <v>3739</v>
      </c>
      <c r="B274" s="175" t="s">
        <v>3744</v>
      </c>
      <c r="C274" s="176">
        <v>9</v>
      </c>
      <c r="D274" s="176">
        <v>2</v>
      </c>
      <c r="E274" s="175"/>
      <c r="F274" s="176">
        <v>74408957430844</v>
      </c>
      <c r="G274" s="176">
        <v>99</v>
      </c>
      <c r="H274" s="176">
        <v>0</v>
      </c>
      <c r="I274" s="175"/>
      <c r="J274" s="176">
        <v>1</v>
      </c>
      <c r="K274" s="175" t="s">
        <v>3742</v>
      </c>
      <c r="L274" s="181">
        <v>20661.16</v>
      </c>
      <c r="M274" s="176">
        <v>0</v>
      </c>
      <c r="N274" s="176">
        <v>0</v>
      </c>
      <c r="O274" s="176">
        <v>0</v>
      </c>
      <c r="P274" s="181">
        <v>4338.84</v>
      </c>
      <c r="Q274" s="180">
        <v>25000</v>
      </c>
    </row>
    <row r="275" spans="1:17" hidden="1">
      <c r="A275" s="175" t="s">
        <v>3746</v>
      </c>
      <c r="B275" s="175" t="s">
        <v>3744</v>
      </c>
      <c r="C275" s="176">
        <v>9</v>
      </c>
      <c r="D275" s="176">
        <v>3</v>
      </c>
      <c r="E275" s="175"/>
      <c r="F275" s="176">
        <v>74408038377697</v>
      </c>
      <c r="G275" s="176">
        <v>99</v>
      </c>
      <c r="H275" s="176">
        <v>0</v>
      </c>
      <c r="I275" s="175"/>
      <c r="J275" s="176">
        <v>1</v>
      </c>
      <c r="K275" s="175" t="s">
        <v>3742</v>
      </c>
      <c r="L275" s="179">
        <v>11487.6</v>
      </c>
      <c r="M275" s="176">
        <v>0</v>
      </c>
      <c r="N275" s="176">
        <v>0</v>
      </c>
      <c r="O275" s="176">
        <v>0</v>
      </c>
      <c r="P275" s="179">
        <v>2412.4</v>
      </c>
      <c r="Q275" s="180">
        <v>13900</v>
      </c>
    </row>
    <row r="276" spans="1:17" hidden="1">
      <c r="A276" s="175" t="s">
        <v>3746</v>
      </c>
      <c r="B276" s="175" t="s">
        <v>3744</v>
      </c>
      <c r="C276" s="176">
        <v>9</v>
      </c>
      <c r="D276" s="176">
        <v>4</v>
      </c>
      <c r="E276" s="175"/>
      <c r="F276" s="176">
        <v>74408040307745</v>
      </c>
      <c r="G276" s="176">
        <v>99</v>
      </c>
      <c r="H276" s="176">
        <v>0</v>
      </c>
      <c r="I276" s="175"/>
      <c r="J276" s="176">
        <v>1</v>
      </c>
      <c r="K276" s="175" t="s">
        <v>3742</v>
      </c>
      <c r="L276" s="181">
        <v>23471.07</v>
      </c>
      <c r="M276" s="176">
        <v>0</v>
      </c>
      <c r="N276" s="176">
        <v>0</v>
      </c>
      <c r="O276" s="176">
        <v>0</v>
      </c>
      <c r="P276" s="181">
        <v>4928.93</v>
      </c>
      <c r="Q276" s="180">
        <v>28400</v>
      </c>
    </row>
    <row r="277" spans="1:17" hidden="1">
      <c r="A277" s="175" t="s">
        <v>3746</v>
      </c>
      <c r="B277" s="175" t="s">
        <v>3744</v>
      </c>
      <c r="C277" s="176">
        <v>9</v>
      </c>
      <c r="D277" s="176">
        <v>5</v>
      </c>
      <c r="E277" s="175"/>
      <c r="F277" s="176">
        <v>74408041595038</v>
      </c>
      <c r="G277" s="176">
        <v>99</v>
      </c>
      <c r="H277" s="176">
        <v>0</v>
      </c>
      <c r="I277" s="175"/>
      <c r="J277" s="176">
        <v>1</v>
      </c>
      <c r="K277" s="175" t="s">
        <v>3742</v>
      </c>
      <c r="L277" s="181">
        <v>23966.94</v>
      </c>
      <c r="M277" s="176">
        <v>0</v>
      </c>
      <c r="N277" s="176">
        <v>0</v>
      </c>
      <c r="O277" s="176">
        <v>0</v>
      </c>
      <c r="P277" s="181">
        <v>5033.0600000000004</v>
      </c>
      <c r="Q277" s="180">
        <v>29000</v>
      </c>
    </row>
    <row r="278" spans="1:17" hidden="1">
      <c r="A278" s="175" t="s">
        <v>3746</v>
      </c>
      <c r="B278" s="175" t="s">
        <v>3744</v>
      </c>
      <c r="C278" s="176">
        <v>9</v>
      </c>
      <c r="D278" s="176">
        <v>6</v>
      </c>
      <c r="E278" s="175"/>
      <c r="F278" s="176">
        <v>74408042545709</v>
      </c>
      <c r="G278" s="176">
        <v>99</v>
      </c>
      <c r="H278" s="176">
        <v>0</v>
      </c>
      <c r="I278" s="175"/>
      <c r="J278" s="176">
        <v>1</v>
      </c>
      <c r="K278" s="175" t="s">
        <v>3742</v>
      </c>
      <c r="L278" s="181">
        <v>26446.28</v>
      </c>
      <c r="M278" s="176">
        <v>0</v>
      </c>
      <c r="N278" s="176">
        <v>0</v>
      </c>
      <c r="O278" s="176">
        <v>0</v>
      </c>
      <c r="P278" s="181">
        <v>5553.72</v>
      </c>
      <c r="Q278" s="180">
        <v>32000</v>
      </c>
    </row>
    <row r="279" spans="1:17" hidden="1">
      <c r="A279" s="175" t="s">
        <v>3746</v>
      </c>
      <c r="B279" s="175" t="s">
        <v>3744</v>
      </c>
      <c r="C279" s="176">
        <v>9</v>
      </c>
      <c r="D279" s="176">
        <v>7</v>
      </c>
      <c r="E279" s="175"/>
      <c r="F279" s="176">
        <v>74408053151515</v>
      </c>
      <c r="G279" s="176">
        <v>99</v>
      </c>
      <c r="H279" s="176">
        <v>0</v>
      </c>
      <c r="I279" s="175"/>
      <c r="J279" s="176">
        <v>1</v>
      </c>
      <c r="K279" s="175" t="s">
        <v>3742</v>
      </c>
      <c r="L279" s="181">
        <v>37190.080000000002</v>
      </c>
      <c r="M279" s="176">
        <v>0</v>
      </c>
      <c r="N279" s="176">
        <v>0</v>
      </c>
      <c r="O279" s="176">
        <v>0</v>
      </c>
      <c r="P279" s="181">
        <v>7809.92</v>
      </c>
      <c r="Q279" s="180">
        <v>45000</v>
      </c>
    </row>
    <row r="280" spans="1:17" hidden="1">
      <c r="A280" s="175" t="s">
        <v>3746</v>
      </c>
      <c r="B280" s="175" t="s">
        <v>3744</v>
      </c>
      <c r="C280" s="176">
        <v>9</v>
      </c>
      <c r="D280" s="176">
        <v>8</v>
      </c>
      <c r="E280" s="175"/>
      <c r="F280" s="176">
        <v>74408060707065</v>
      </c>
      <c r="G280" s="176">
        <v>99</v>
      </c>
      <c r="H280" s="176">
        <v>0</v>
      </c>
      <c r="I280" s="175"/>
      <c r="J280" s="176">
        <v>1</v>
      </c>
      <c r="K280" s="175" t="s">
        <v>3742</v>
      </c>
      <c r="L280" s="181">
        <v>111570.25</v>
      </c>
      <c r="M280" s="176">
        <v>0</v>
      </c>
      <c r="N280" s="176">
        <v>0</v>
      </c>
      <c r="O280" s="176">
        <v>0</v>
      </c>
      <c r="P280" s="181">
        <v>23429.75</v>
      </c>
      <c r="Q280" s="180">
        <v>135000</v>
      </c>
    </row>
    <row r="281" spans="1:17" hidden="1">
      <c r="A281" s="175" t="s">
        <v>3746</v>
      </c>
      <c r="B281" s="175" t="s">
        <v>3744</v>
      </c>
      <c r="C281" s="176">
        <v>9</v>
      </c>
      <c r="D281" s="176">
        <v>9</v>
      </c>
      <c r="E281" s="175"/>
      <c r="F281" s="176">
        <v>74408068320140</v>
      </c>
      <c r="G281" s="176">
        <v>99</v>
      </c>
      <c r="H281" s="176">
        <v>0</v>
      </c>
      <c r="I281" s="175"/>
      <c r="J281" s="176">
        <v>1</v>
      </c>
      <c r="K281" s="175" t="s">
        <v>3742</v>
      </c>
      <c r="L281" s="181">
        <v>8595.0400000000009</v>
      </c>
      <c r="M281" s="176">
        <v>0</v>
      </c>
      <c r="N281" s="176">
        <v>0</v>
      </c>
      <c r="O281" s="176">
        <v>0</v>
      </c>
      <c r="P281" s="181">
        <v>1804.96</v>
      </c>
      <c r="Q281" s="180">
        <v>10400</v>
      </c>
    </row>
    <row r="282" spans="1:17" hidden="1">
      <c r="A282" s="175" t="s">
        <v>3746</v>
      </c>
      <c r="B282" s="175" t="s">
        <v>3744</v>
      </c>
      <c r="C282" s="176">
        <v>9</v>
      </c>
      <c r="D282" s="176">
        <v>10</v>
      </c>
      <c r="E282" s="175"/>
      <c r="F282" s="176">
        <v>74408069094218</v>
      </c>
      <c r="G282" s="176">
        <v>99</v>
      </c>
      <c r="H282" s="176">
        <v>0</v>
      </c>
      <c r="I282" s="175"/>
      <c r="J282" s="176">
        <v>1</v>
      </c>
      <c r="K282" s="175" t="s">
        <v>3742</v>
      </c>
      <c r="L282" s="181">
        <v>14669.42</v>
      </c>
      <c r="M282" s="176">
        <v>0</v>
      </c>
      <c r="N282" s="176">
        <v>0</v>
      </c>
      <c r="O282" s="176">
        <v>0</v>
      </c>
      <c r="P282" s="181">
        <v>3080.58</v>
      </c>
      <c r="Q282" s="180">
        <v>17750</v>
      </c>
    </row>
    <row r="283" spans="1:17" hidden="1">
      <c r="A283" s="175" t="s">
        <v>3746</v>
      </c>
      <c r="B283" s="175" t="s">
        <v>3744</v>
      </c>
      <c r="C283" s="176">
        <v>9</v>
      </c>
      <c r="D283" s="176">
        <v>11</v>
      </c>
      <c r="E283" s="175"/>
      <c r="F283" s="176">
        <v>74408072251765</v>
      </c>
      <c r="G283" s="176">
        <v>99</v>
      </c>
      <c r="H283" s="176">
        <v>0</v>
      </c>
      <c r="I283" s="175"/>
      <c r="J283" s="176">
        <v>1</v>
      </c>
      <c r="K283" s="175" t="s">
        <v>3742</v>
      </c>
      <c r="L283" s="181">
        <v>14462.81</v>
      </c>
      <c r="M283" s="176">
        <v>0</v>
      </c>
      <c r="N283" s="176">
        <v>0</v>
      </c>
      <c r="O283" s="176">
        <v>0</v>
      </c>
      <c r="P283" s="181">
        <v>3037.19</v>
      </c>
      <c r="Q283" s="180">
        <v>17500</v>
      </c>
    </row>
    <row r="284" spans="1:17" hidden="1">
      <c r="A284" s="175" t="s">
        <v>3746</v>
      </c>
      <c r="B284" s="175" t="s">
        <v>3744</v>
      </c>
      <c r="C284" s="176">
        <v>9</v>
      </c>
      <c r="D284" s="176">
        <v>12</v>
      </c>
      <c r="E284" s="175"/>
      <c r="F284" s="176">
        <v>74408076346878</v>
      </c>
      <c r="G284" s="176">
        <v>99</v>
      </c>
      <c r="H284" s="176">
        <v>0</v>
      </c>
      <c r="I284" s="175"/>
      <c r="J284" s="176">
        <v>1</v>
      </c>
      <c r="K284" s="175" t="s">
        <v>3742</v>
      </c>
      <c r="L284" s="181">
        <v>14669.42</v>
      </c>
      <c r="M284" s="176">
        <v>0</v>
      </c>
      <c r="N284" s="176">
        <v>0</v>
      </c>
      <c r="O284" s="176">
        <v>0</v>
      </c>
      <c r="P284" s="181">
        <v>3080.58</v>
      </c>
      <c r="Q284" s="180">
        <v>17750</v>
      </c>
    </row>
    <row r="285" spans="1:17" hidden="1">
      <c r="A285" s="175" t="s">
        <v>3746</v>
      </c>
      <c r="B285" s="175" t="s">
        <v>3744</v>
      </c>
      <c r="C285" s="176">
        <v>9</v>
      </c>
      <c r="D285" s="176">
        <v>13</v>
      </c>
      <c r="E285" s="175"/>
      <c r="F285" s="176">
        <v>74408078648420</v>
      </c>
      <c r="G285" s="176">
        <v>99</v>
      </c>
      <c r="H285" s="176">
        <v>0</v>
      </c>
      <c r="I285" s="175"/>
      <c r="J285" s="176">
        <v>1</v>
      </c>
      <c r="K285" s="175" t="s">
        <v>3742</v>
      </c>
      <c r="L285" s="181">
        <v>16570.25</v>
      </c>
      <c r="M285" s="176">
        <v>0</v>
      </c>
      <c r="N285" s="176">
        <v>0</v>
      </c>
      <c r="O285" s="176">
        <v>0</v>
      </c>
      <c r="P285" s="181">
        <v>3479.75</v>
      </c>
      <c r="Q285" s="180">
        <v>20050</v>
      </c>
    </row>
    <row r="286" spans="1:17" hidden="1">
      <c r="A286" s="175" t="s">
        <v>3746</v>
      </c>
      <c r="B286" s="175" t="s">
        <v>3744</v>
      </c>
      <c r="C286" s="176">
        <v>9</v>
      </c>
      <c r="D286" s="176">
        <v>14</v>
      </c>
      <c r="E286" s="175"/>
      <c r="F286" s="176">
        <v>74408081173503</v>
      </c>
      <c r="G286" s="176">
        <v>99</v>
      </c>
      <c r="H286" s="176">
        <v>0</v>
      </c>
      <c r="I286" s="175"/>
      <c r="J286" s="176">
        <v>1</v>
      </c>
      <c r="K286" s="175" t="s">
        <v>3742</v>
      </c>
      <c r="L286" s="181">
        <v>13471.07</v>
      </c>
      <c r="M286" s="176">
        <v>0</v>
      </c>
      <c r="N286" s="176">
        <v>0</v>
      </c>
      <c r="O286" s="176">
        <v>0</v>
      </c>
      <c r="P286" s="181">
        <v>2828.93</v>
      </c>
      <c r="Q286" s="180">
        <v>16300</v>
      </c>
    </row>
    <row r="287" spans="1:17" hidden="1">
      <c r="A287" s="175" t="s">
        <v>3746</v>
      </c>
      <c r="B287" s="175" t="s">
        <v>3744</v>
      </c>
      <c r="C287" s="176">
        <v>9</v>
      </c>
      <c r="D287" s="176">
        <v>15</v>
      </c>
      <c r="E287" s="175"/>
      <c r="F287" s="176">
        <v>74408084034870</v>
      </c>
      <c r="G287" s="176">
        <v>99</v>
      </c>
      <c r="H287" s="176">
        <v>0</v>
      </c>
      <c r="I287" s="175"/>
      <c r="J287" s="176">
        <v>1</v>
      </c>
      <c r="K287" s="175" t="s">
        <v>3742</v>
      </c>
      <c r="L287" s="179">
        <v>10743.8</v>
      </c>
      <c r="M287" s="176">
        <v>0</v>
      </c>
      <c r="N287" s="176">
        <v>0</v>
      </c>
      <c r="O287" s="176">
        <v>0</v>
      </c>
      <c r="P287" s="179">
        <v>2256.1999999999998</v>
      </c>
      <c r="Q287" s="180">
        <v>13000</v>
      </c>
    </row>
    <row r="288" spans="1:17" hidden="1">
      <c r="A288" s="175" t="s">
        <v>3746</v>
      </c>
      <c r="B288" s="175" t="s">
        <v>3744</v>
      </c>
      <c r="C288" s="176">
        <v>9</v>
      </c>
      <c r="D288" s="176">
        <v>16</v>
      </c>
      <c r="E288" s="175"/>
      <c r="F288" s="176">
        <v>74408097286379</v>
      </c>
      <c r="G288" s="176">
        <v>99</v>
      </c>
      <c r="H288" s="176">
        <v>0</v>
      </c>
      <c r="I288" s="175"/>
      <c r="J288" s="176">
        <v>1</v>
      </c>
      <c r="K288" s="175" t="s">
        <v>3742</v>
      </c>
      <c r="L288" s="181">
        <v>23966.94</v>
      </c>
      <c r="M288" s="176">
        <v>0</v>
      </c>
      <c r="N288" s="176">
        <v>0</v>
      </c>
      <c r="O288" s="176">
        <v>0</v>
      </c>
      <c r="P288" s="181">
        <v>5033.0600000000004</v>
      </c>
      <c r="Q288" s="180">
        <v>29000</v>
      </c>
    </row>
    <row r="289" spans="1:17" hidden="1">
      <c r="A289" s="175" t="s">
        <v>3746</v>
      </c>
      <c r="B289" s="175" t="s">
        <v>3744</v>
      </c>
      <c r="C289" s="176">
        <v>9</v>
      </c>
      <c r="D289" s="176">
        <v>17</v>
      </c>
      <c r="E289" s="175"/>
      <c r="F289" s="176">
        <v>74408098195626</v>
      </c>
      <c r="G289" s="176">
        <v>99</v>
      </c>
      <c r="H289" s="176">
        <v>0</v>
      </c>
      <c r="I289" s="175"/>
      <c r="J289" s="176">
        <v>1</v>
      </c>
      <c r="K289" s="175" t="s">
        <v>3742</v>
      </c>
      <c r="L289" s="181">
        <v>14669.42</v>
      </c>
      <c r="M289" s="176">
        <v>0</v>
      </c>
      <c r="N289" s="176">
        <v>0</v>
      </c>
      <c r="O289" s="176">
        <v>0</v>
      </c>
      <c r="P289" s="181">
        <v>3080.58</v>
      </c>
      <c r="Q289" s="180">
        <v>17750</v>
      </c>
    </row>
    <row r="290" spans="1:17" hidden="1">
      <c r="A290" s="175" t="s">
        <v>3747</v>
      </c>
      <c r="B290" s="175" t="s">
        <v>3744</v>
      </c>
      <c r="C290" s="176">
        <v>9</v>
      </c>
      <c r="D290" s="176">
        <v>18</v>
      </c>
      <c r="E290" s="175"/>
      <c r="F290" s="176">
        <v>74418679178147</v>
      </c>
      <c r="G290" s="176">
        <v>99</v>
      </c>
      <c r="H290" s="176">
        <v>0</v>
      </c>
      <c r="I290" s="175"/>
      <c r="J290" s="176">
        <v>1</v>
      </c>
      <c r="K290" s="175" t="s">
        <v>3742</v>
      </c>
      <c r="L290" s="181">
        <v>99173.55</v>
      </c>
      <c r="M290" s="176">
        <v>0</v>
      </c>
      <c r="N290" s="176">
        <v>0</v>
      </c>
      <c r="O290" s="176">
        <v>0</v>
      </c>
      <c r="P290" s="181">
        <v>20826.45</v>
      </c>
      <c r="Q290" s="180">
        <v>120000</v>
      </c>
    </row>
    <row r="291" spans="1:17" hidden="1">
      <c r="A291" s="175" t="s">
        <v>3747</v>
      </c>
      <c r="B291" s="175" t="s">
        <v>3744</v>
      </c>
      <c r="C291" s="176">
        <v>9</v>
      </c>
      <c r="D291" s="176">
        <v>19</v>
      </c>
      <c r="E291" s="175"/>
      <c r="F291" s="176">
        <v>74418690579066</v>
      </c>
      <c r="G291" s="176">
        <v>99</v>
      </c>
      <c r="H291" s="176">
        <v>0</v>
      </c>
      <c r="I291" s="175"/>
      <c r="J291" s="176">
        <v>1</v>
      </c>
      <c r="K291" s="175" t="s">
        <v>3742</v>
      </c>
      <c r="L291" s="181">
        <v>15289.26</v>
      </c>
      <c r="M291" s="176">
        <v>0</v>
      </c>
      <c r="N291" s="176">
        <v>0</v>
      </c>
      <c r="O291" s="176">
        <v>0</v>
      </c>
      <c r="P291" s="181">
        <v>3210.74</v>
      </c>
      <c r="Q291" s="180">
        <v>18500</v>
      </c>
    </row>
    <row r="292" spans="1:17" hidden="1">
      <c r="A292" s="175" t="s">
        <v>3747</v>
      </c>
      <c r="B292" s="175" t="s">
        <v>3744</v>
      </c>
      <c r="C292" s="176">
        <v>9</v>
      </c>
      <c r="D292" s="176">
        <v>20</v>
      </c>
      <c r="E292" s="175"/>
      <c r="F292" s="176">
        <v>74418695581613</v>
      </c>
      <c r="G292" s="176">
        <v>99</v>
      </c>
      <c r="H292" s="176">
        <v>0</v>
      </c>
      <c r="I292" s="175"/>
      <c r="J292" s="176">
        <v>1</v>
      </c>
      <c r="K292" s="175" t="s">
        <v>3742</v>
      </c>
      <c r="L292" s="181">
        <v>7024.79</v>
      </c>
      <c r="M292" s="176">
        <v>0</v>
      </c>
      <c r="N292" s="176">
        <v>0</v>
      </c>
      <c r="O292" s="176">
        <v>0</v>
      </c>
      <c r="P292" s="181">
        <v>1475.21</v>
      </c>
      <c r="Q292" s="180">
        <v>8500</v>
      </c>
    </row>
    <row r="293" spans="1:17" hidden="1">
      <c r="A293" s="175" t="s">
        <v>3747</v>
      </c>
      <c r="B293" s="175" t="s">
        <v>3744</v>
      </c>
      <c r="C293" s="176">
        <v>9</v>
      </c>
      <c r="D293" s="176">
        <v>21</v>
      </c>
      <c r="E293" s="175"/>
      <c r="F293" s="176">
        <v>74418696494142</v>
      </c>
      <c r="G293" s="176">
        <v>99</v>
      </c>
      <c r="H293" s="176">
        <v>0</v>
      </c>
      <c r="I293" s="175"/>
      <c r="J293" s="176">
        <v>1</v>
      </c>
      <c r="K293" s="175" t="s">
        <v>3742</v>
      </c>
      <c r="L293" s="181">
        <v>28099.17</v>
      </c>
      <c r="M293" s="176">
        <v>0</v>
      </c>
      <c r="N293" s="176">
        <v>0</v>
      </c>
      <c r="O293" s="176">
        <v>0</v>
      </c>
      <c r="P293" s="181">
        <v>5900.83</v>
      </c>
      <c r="Q293" s="180">
        <v>34000</v>
      </c>
    </row>
    <row r="294" spans="1:17" hidden="1">
      <c r="A294" s="175" t="s">
        <v>3750</v>
      </c>
      <c r="B294" s="175" t="s">
        <v>3744</v>
      </c>
      <c r="C294" s="176">
        <v>9</v>
      </c>
      <c r="D294" s="176">
        <v>22</v>
      </c>
      <c r="E294" s="175"/>
      <c r="F294" s="176">
        <v>74418764489879</v>
      </c>
      <c r="G294" s="176">
        <v>99</v>
      </c>
      <c r="H294" s="176">
        <v>0</v>
      </c>
      <c r="I294" s="175"/>
      <c r="J294" s="176">
        <v>1</v>
      </c>
      <c r="K294" s="175" t="s">
        <v>3742</v>
      </c>
      <c r="L294" s="181">
        <v>8595.0400000000009</v>
      </c>
      <c r="M294" s="176">
        <v>0</v>
      </c>
      <c r="N294" s="176">
        <v>0</v>
      </c>
      <c r="O294" s="176">
        <v>0</v>
      </c>
      <c r="P294" s="181">
        <v>1804.96</v>
      </c>
      <c r="Q294" s="180">
        <v>10400</v>
      </c>
    </row>
    <row r="295" spans="1:17" hidden="1">
      <c r="A295" s="175" t="s">
        <v>3750</v>
      </c>
      <c r="B295" s="175" t="s">
        <v>3744</v>
      </c>
      <c r="C295" s="176">
        <v>9</v>
      </c>
      <c r="D295" s="176">
        <v>23</v>
      </c>
      <c r="E295" s="175"/>
      <c r="F295" s="176">
        <v>74418769740159</v>
      </c>
      <c r="G295" s="176">
        <v>99</v>
      </c>
      <c r="H295" s="176">
        <v>0</v>
      </c>
      <c r="I295" s="175"/>
      <c r="J295" s="176">
        <v>1</v>
      </c>
      <c r="K295" s="175" t="s">
        <v>3742</v>
      </c>
      <c r="L295" s="179">
        <v>10743.8</v>
      </c>
      <c r="M295" s="176">
        <v>0</v>
      </c>
      <c r="N295" s="176">
        <v>0</v>
      </c>
      <c r="O295" s="176">
        <v>0</v>
      </c>
      <c r="P295" s="179">
        <v>2256.1999999999998</v>
      </c>
      <c r="Q295" s="180">
        <v>13000</v>
      </c>
    </row>
    <row r="296" spans="1:17" hidden="1">
      <c r="A296" s="175" t="s">
        <v>3750</v>
      </c>
      <c r="B296" s="175" t="s">
        <v>3744</v>
      </c>
      <c r="C296" s="176">
        <v>9</v>
      </c>
      <c r="D296" s="176">
        <v>24</v>
      </c>
      <c r="E296" s="175"/>
      <c r="F296" s="176">
        <v>74418771754336</v>
      </c>
      <c r="G296" s="176">
        <v>99</v>
      </c>
      <c r="H296" s="176">
        <v>0</v>
      </c>
      <c r="I296" s="175"/>
      <c r="J296" s="176">
        <v>1</v>
      </c>
      <c r="K296" s="175" t="s">
        <v>3742</v>
      </c>
      <c r="L296" s="179">
        <v>44628.1</v>
      </c>
      <c r="M296" s="176">
        <v>0</v>
      </c>
      <c r="N296" s="176">
        <v>0</v>
      </c>
      <c r="O296" s="176">
        <v>0</v>
      </c>
      <c r="P296" s="179">
        <v>9371.9</v>
      </c>
      <c r="Q296" s="180">
        <v>54000</v>
      </c>
    </row>
    <row r="297" spans="1:17" hidden="1">
      <c r="A297" s="175" t="s">
        <v>3750</v>
      </c>
      <c r="B297" s="175" t="s">
        <v>3744</v>
      </c>
      <c r="C297" s="176">
        <v>9</v>
      </c>
      <c r="D297" s="176">
        <v>25</v>
      </c>
      <c r="E297" s="175"/>
      <c r="F297" s="176">
        <v>74418773946085</v>
      </c>
      <c r="G297" s="176">
        <v>99</v>
      </c>
      <c r="H297" s="176">
        <v>0</v>
      </c>
      <c r="I297" s="175"/>
      <c r="J297" s="176">
        <v>1</v>
      </c>
      <c r="K297" s="175" t="s">
        <v>3742</v>
      </c>
      <c r="L297" s="181">
        <v>8595.0400000000009</v>
      </c>
      <c r="M297" s="176">
        <v>0</v>
      </c>
      <c r="N297" s="176">
        <v>0</v>
      </c>
      <c r="O297" s="176">
        <v>0</v>
      </c>
      <c r="P297" s="181">
        <v>1804.96</v>
      </c>
      <c r="Q297" s="180">
        <v>10400</v>
      </c>
    </row>
    <row r="298" spans="1:17" hidden="1">
      <c r="A298" s="175" t="s">
        <v>3750</v>
      </c>
      <c r="B298" s="175" t="s">
        <v>3744</v>
      </c>
      <c r="C298" s="176">
        <v>9</v>
      </c>
      <c r="D298" s="176">
        <v>26</v>
      </c>
      <c r="E298" s="175"/>
      <c r="F298" s="176">
        <v>74418784244161</v>
      </c>
      <c r="G298" s="176">
        <v>99</v>
      </c>
      <c r="H298" s="176">
        <v>0</v>
      </c>
      <c r="I298" s="175"/>
      <c r="J298" s="176">
        <v>1</v>
      </c>
      <c r="K298" s="175" t="s">
        <v>3742</v>
      </c>
      <c r="L298" s="181">
        <v>14669.42</v>
      </c>
      <c r="M298" s="176">
        <v>0</v>
      </c>
      <c r="N298" s="176">
        <v>0</v>
      </c>
      <c r="O298" s="176">
        <v>0</v>
      </c>
      <c r="P298" s="181">
        <v>3080.58</v>
      </c>
      <c r="Q298" s="180">
        <v>17750</v>
      </c>
    </row>
    <row r="299" spans="1:17" hidden="1">
      <c r="A299" s="175" t="s">
        <v>3750</v>
      </c>
      <c r="B299" s="175" t="s">
        <v>3744</v>
      </c>
      <c r="C299" s="176">
        <v>9</v>
      </c>
      <c r="D299" s="176">
        <v>27</v>
      </c>
      <c r="E299" s="175"/>
      <c r="F299" s="176">
        <v>74418790977697</v>
      </c>
      <c r="G299" s="176">
        <v>99</v>
      </c>
      <c r="H299" s="176">
        <v>0</v>
      </c>
      <c r="I299" s="175"/>
      <c r="J299" s="176">
        <v>1</v>
      </c>
      <c r="K299" s="175" t="s">
        <v>3742</v>
      </c>
      <c r="L299" s="181">
        <v>57272.73</v>
      </c>
      <c r="M299" s="176">
        <v>0</v>
      </c>
      <c r="N299" s="176">
        <v>0</v>
      </c>
      <c r="O299" s="176">
        <v>0</v>
      </c>
      <c r="P299" s="181">
        <v>12027.27</v>
      </c>
      <c r="Q299" s="180">
        <v>69300</v>
      </c>
    </row>
    <row r="300" spans="1:17" hidden="1">
      <c r="A300" s="175" t="s">
        <v>3750</v>
      </c>
      <c r="B300" s="175" t="s">
        <v>3744</v>
      </c>
      <c r="C300" s="176">
        <v>9</v>
      </c>
      <c r="D300" s="176">
        <v>28</v>
      </c>
      <c r="E300" s="175"/>
      <c r="F300" s="176">
        <v>74418808998751</v>
      </c>
      <c r="G300" s="176">
        <v>99</v>
      </c>
      <c r="H300" s="176">
        <v>0</v>
      </c>
      <c r="I300" s="175"/>
      <c r="J300" s="176">
        <v>1</v>
      </c>
      <c r="K300" s="175" t="s">
        <v>3742</v>
      </c>
      <c r="L300" s="179">
        <v>10743.8</v>
      </c>
      <c r="M300" s="176">
        <v>0</v>
      </c>
      <c r="N300" s="176">
        <v>0</v>
      </c>
      <c r="O300" s="176">
        <v>0</v>
      </c>
      <c r="P300" s="179">
        <v>2256.1999999999998</v>
      </c>
      <c r="Q300" s="180">
        <v>13000</v>
      </c>
    </row>
    <row r="301" spans="1:17" hidden="1">
      <c r="A301" s="175" t="s">
        <v>3750</v>
      </c>
      <c r="B301" s="175" t="s">
        <v>3744</v>
      </c>
      <c r="C301" s="176">
        <v>9</v>
      </c>
      <c r="D301" s="176">
        <v>29</v>
      </c>
      <c r="E301" s="175"/>
      <c r="F301" s="176">
        <v>74418809564120</v>
      </c>
      <c r="G301" s="176">
        <v>99</v>
      </c>
      <c r="H301" s="176">
        <v>0</v>
      </c>
      <c r="I301" s="175"/>
      <c r="J301" s="176">
        <v>1</v>
      </c>
      <c r="K301" s="175" t="s">
        <v>3742</v>
      </c>
      <c r="L301" s="181">
        <v>15702.48</v>
      </c>
      <c r="M301" s="176">
        <v>0</v>
      </c>
      <c r="N301" s="176">
        <v>0</v>
      </c>
      <c r="O301" s="176">
        <v>0</v>
      </c>
      <c r="P301" s="181">
        <v>3297.52</v>
      </c>
      <c r="Q301" s="180">
        <v>19000</v>
      </c>
    </row>
    <row r="302" spans="1:17" hidden="1">
      <c r="A302" s="175" t="s">
        <v>3750</v>
      </c>
      <c r="B302" s="175" t="s">
        <v>3744</v>
      </c>
      <c r="C302" s="176">
        <v>9</v>
      </c>
      <c r="D302" s="176">
        <v>30</v>
      </c>
      <c r="E302" s="175"/>
      <c r="F302" s="176">
        <v>74418813287321</v>
      </c>
      <c r="G302" s="176">
        <v>99</v>
      </c>
      <c r="H302" s="176">
        <v>0</v>
      </c>
      <c r="I302" s="175"/>
      <c r="J302" s="176">
        <v>1</v>
      </c>
      <c r="K302" s="175" t="s">
        <v>3742</v>
      </c>
      <c r="L302" s="179">
        <v>10743.8</v>
      </c>
      <c r="M302" s="176">
        <v>0</v>
      </c>
      <c r="N302" s="176">
        <v>0</v>
      </c>
      <c r="O302" s="176">
        <v>0</v>
      </c>
      <c r="P302" s="179">
        <v>2256.1999999999998</v>
      </c>
      <c r="Q302" s="180">
        <v>13000</v>
      </c>
    </row>
    <row r="303" spans="1:17" hidden="1">
      <c r="A303" s="175" t="s">
        <v>3750</v>
      </c>
      <c r="B303" s="175" t="s">
        <v>3744</v>
      </c>
      <c r="C303" s="176">
        <v>9</v>
      </c>
      <c r="D303" s="176">
        <v>31</v>
      </c>
      <c r="E303" s="175"/>
      <c r="F303" s="176">
        <v>74418819896648</v>
      </c>
      <c r="G303" s="176">
        <v>99</v>
      </c>
      <c r="H303" s="176">
        <v>0</v>
      </c>
      <c r="I303" s="175"/>
      <c r="J303" s="176">
        <v>1</v>
      </c>
      <c r="K303" s="175" t="s">
        <v>3742</v>
      </c>
      <c r="L303" s="179">
        <v>10743.8</v>
      </c>
      <c r="M303" s="176">
        <v>0</v>
      </c>
      <c r="N303" s="176">
        <v>0</v>
      </c>
      <c r="O303" s="176">
        <v>0</v>
      </c>
      <c r="P303" s="179">
        <v>2256.1999999999998</v>
      </c>
      <c r="Q303" s="180">
        <v>13000</v>
      </c>
    </row>
    <row r="304" spans="1:17" hidden="1">
      <c r="A304" s="175" t="s">
        <v>3750</v>
      </c>
      <c r="B304" s="175" t="s">
        <v>3744</v>
      </c>
      <c r="C304" s="176">
        <v>9</v>
      </c>
      <c r="D304" s="176">
        <v>32</v>
      </c>
      <c r="E304" s="175"/>
      <c r="F304" s="176">
        <v>74418827085293</v>
      </c>
      <c r="G304" s="176">
        <v>99</v>
      </c>
      <c r="H304" s="176">
        <v>0</v>
      </c>
      <c r="I304" s="175"/>
      <c r="J304" s="176">
        <v>1</v>
      </c>
      <c r="K304" s="175" t="s">
        <v>3742</v>
      </c>
      <c r="L304" s="179">
        <v>10743.8</v>
      </c>
      <c r="M304" s="176">
        <v>0</v>
      </c>
      <c r="N304" s="176">
        <v>0</v>
      </c>
      <c r="O304" s="176">
        <v>0</v>
      </c>
      <c r="P304" s="179">
        <v>2256.1999999999998</v>
      </c>
      <c r="Q304" s="180">
        <v>13000</v>
      </c>
    </row>
    <row r="305" spans="1:17" hidden="1">
      <c r="A305" s="175" t="s">
        <v>3751</v>
      </c>
      <c r="B305" s="175" t="s">
        <v>3744</v>
      </c>
      <c r="C305" s="176">
        <v>9</v>
      </c>
      <c r="D305" s="176">
        <v>33</v>
      </c>
      <c r="E305" s="175"/>
      <c r="F305" s="176">
        <v>74418889669737</v>
      </c>
      <c r="G305" s="176">
        <v>99</v>
      </c>
      <c r="H305" s="176">
        <v>0</v>
      </c>
      <c r="I305" s="175"/>
      <c r="J305" s="176">
        <v>1</v>
      </c>
      <c r="K305" s="175" t="s">
        <v>3742</v>
      </c>
      <c r="L305" s="181">
        <v>37190.080000000002</v>
      </c>
      <c r="M305" s="176">
        <v>0</v>
      </c>
      <c r="N305" s="176">
        <v>0</v>
      </c>
      <c r="O305" s="176">
        <v>0</v>
      </c>
      <c r="P305" s="181">
        <v>7809.92</v>
      </c>
      <c r="Q305" s="180">
        <v>45000</v>
      </c>
    </row>
    <row r="306" spans="1:17" hidden="1">
      <c r="A306" s="175" t="s">
        <v>3751</v>
      </c>
      <c r="B306" s="175" t="s">
        <v>3744</v>
      </c>
      <c r="C306" s="176">
        <v>9</v>
      </c>
      <c r="D306" s="176">
        <v>34</v>
      </c>
      <c r="E306" s="175"/>
      <c r="F306" s="176">
        <v>74418891916376</v>
      </c>
      <c r="G306" s="176">
        <v>99</v>
      </c>
      <c r="H306" s="176">
        <v>0</v>
      </c>
      <c r="I306" s="175"/>
      <c r="J306" s="176">
        <v>1</v>
      </c>
      <c r="K306" s="175" t="s">
        <v>3742</v>
      </c>
      <c r="L306" s="181">
        <v>29338.84</v>
      </c>
      <c r="M306" s="176">
        <v>0</v>
      </c>
      <c r="N306" s="176">
        <v>0</v>
      </c>
      <c r="O306" s="176">
        <v>0</v>
      </c>
      <c r="P306" s="181">
        <v>6161.16</v>
      </c>
      <c r="Q306" s="180">
        <v>35500</v>
      </c>
    </row>
    <row r="307" spans="1:17" hidden="1">
      <c r="A307" s="175" t="s">
        <v>3751</v>
      </c>
      <c r="B307" s="175" t="s">
        <v>3744</v>
      </c>
      <c r="C307" s="176">
        <v>9</v>
      </c>
      <c r="D307" s="176">
        <v>35</v>
      </c>
      <c r="E307" s="175"/>
      <c r="F307" s="176">
        <v>74418895122250</v>
      </c>
      <c r="G307" s="176">
        <v>99</v>
      </c>
      <c r="H307" s="176">
        <v>0</v>
      </c>
      <c r="I307" s="175"/>
      <c r="J307" s="176">
        <v>1</v>
      </c>
      <c r="K307" s="175" t="s">
        <v>3742</v>
      </c>
      <c r="L307" s="181">
        <v>11735.54</v>
      </c>
      <c r="M307" s="176">
        <v>0</v>
      </c>
      <c r="N307" s="176">
        <v>0</v>
      </c>
      <c r="O307" s="176">
        <v>0</v>
      </c>
      <c r="P307" s="181">
        <v>2464.46</v>
      </c>
      <c r="Q307" s="180">
        <v>14200</v>
      </c>
    </row>
    <row r="308" spans="1:17" hidden="1">
      <c r="A308" s="175" t="s">
        <v>3751</v>
      </c>
      <c r="B308" s="175" t="s">
        <v>3744</v>
      </c>
      <c r="C308" s="176">
        <v>9</v>
      </c>
      <c r="D308" s="176">
        <v>36</v>
      </c>
      <c r="E308" s="175"/>
      <c r="F308" s="176">
        <v>74418897566552</v>
      </c>
      <c r="G308" s="176">
        <v>99</v>
      </c>
      <c r="H308" s="176">
        <v>0</v>
      </c>
      <c r="I308" s="175"/>
      <c r="J308" s="176">
        <v>1</v>
      </c>
      <c r="K308" s="175" t="s">
        <v>3742</v>
      </c>
      <c r="L308" s="181">
        <v>13966.94</v>
      </c>
      <c r="M308" s="176">
        <v>0</v>
      </c>
      <c r="N308" s="176">
        <v>0</v>
      </c>
      <c r="O308" s="176">
        <v>0</v>
      </c>
      <c r="P308" s="181">
        <v>2933.06</v>
      </c>
      <c r="Q308" s="180">
        <v>16900</v>
      </c>
    </row>
    <row r="309" spans="1:17" hidden="1">
      <c r="A309" s="175" t="s">
        <v>3751</v>
      </c>
      <c r="B309" s="175" t="s">
        <v>3744</v>
      </c>
      <c r="C309" s="176">
        <v>9</v>
      </c>
      <c r="D309" s="176">
        <v>37</v>
      </c>
      <c r="E309" s="175"/>
      <c r="F309" s="176">
        <v>74418916640733</v>
      </c>
      <c r="G309" s="176">
        <v>99</v>
      </c>
      <c r="H309" s="176">
        <v>0</v>
      </c>
      <c r="I309" s="175"/>
      <c r="J309" s="176">
        <v>1</v>
      </c>
      <c r="K309" s="175" t="s">
        <v>3742</v>
      </c>
      <c r="L309" s="179">
        <v>10743.8</v>
      </c>
      <c r="M309" s="176">
        <v>0</v>
      </c>
      <c r="N309" s="176">
        <v>0</v>
      </c>
      <c r="O309" s="176">
        <v>0</v>
      </c>
      <c r="P309" s="179">
        <v>2256.1999999999998</v>
      </c>
      <c r="Q309" s="180">
        <v>13000</v>
      </c>
    </row>
    <row r="310" spans="1:17" hidden="1">
      <c r="A310" s="175" t="s">
        <v>3751</v>
      </c>
      <c r="B310" s="175" t="s">
        <v>3744</v>
      </c>
      <c r="C310" s="176">
        <v>9</v>
      </c>
      <c r="D310" s="176">
        <v>38</v>
      </c>
      <c r="E310" s="175"/>
      <c r="F310" s="176">
        <v>74418917458919</v>
      </c>
      <c r="G310" s="176">
        <v>99</v>
      </c>
      <c r="H310" s="176">
        <v>0</v>
      </c>
      <c r="I310" s="175"/>
      <c r="J310" s="176">
        <v>1</v>
      </c>
      <c r="K310" s="175" t="s">
        <v>3742</v>
      </c>
      <c r="L310" s="181">
        <v>14669.42</v>
      </c>
      <c r="M310" s="176">
        <v>0</v>
      </c>
      <c r="N310" s="176">
        <v>0</v>
      </c>
      <c r="O310" s="176">
        <v>0</v>
      </c>
      <c r="P310" s="181">
        <v>3080.58</v>
      </c>
      <c r="Q310" s="180">
        <v>17750</v>
      </c>
    </row>
    <row r="311" spans="1:17" hidden="1">
      <c r="A311" s="175" t="s">
        <v>3751</v>
      </c>
      <c r="B311" s="175" t="s">
        <v>3744</v>
      </c>
      <c r="C311" s="176">
        <v>9</v>
      </c>
      <c r="D311" s="176">
        <v>39</v>
      </c>
      <c r="E311" s="175"/>
      <c r="F311" s="176">
        <v>74418923621939</v>
      </c>
      <c r="G311" s="176">
        <v>99</v>
      </c>
      <c r="H311" s="176">
        <v>0</v>
      </c>
      <c r="I311" s="175"/>
      <c r="J311" s="176">
        <v>1</v>
      </c>
      <c r="K311" s="175" t="s">
        <v>3742</v>
      </c>
      <c r="L311" s="181">
        <v>28925.62</v>
      </c>
      <c r="M311" s="176">
        <v>0</v>
      </c>
      <c r="N311" s="176">
        <v>0</v>
      </c>
      <c r="O311" s="176">
        <v>0</v>
      </c>
      <c r="P311" s="181">
        <v>6074.38</v>
      </c>
      <c r="Q311" s="180">
        <v>35000</v>
      </c>
    </row>
    <row r="312" spans="1:17" hidden="1">
      <c r="A312" s="175" t="s">
        <v>3751</v>
      </c>
      <c r="B312" s="175" t="s">
        <v>3744</v>
      </c>
      <c r="C312" s="176">
        <v>9</v>
      </c>
      <c r="D312" s="176">
        <v>40</v>
      </c>
      <c r="E312" s="175"/>
      <c r="F312" s="176">
        <v>74418932404826</v>
      </c>
      <c r="G312" s="176">
        <v>99</v>
      </c>
      <c r="H312" s="176">
        <v>0</v>
      </c>
      <c r="I312" s="175"/>
      <c r="J312" s="176">
        <v>1</v>
      </c>
      <c r="K312" s="175" t="s">
        <v>3742</v>
      </c>
      <c r="L312" s="179">
        <v>21487.599999999999</v>
      </c>
      <c r="M312" s="176">
        <v>0</v>
      </c>
      <c r="N312" s="176">
        <v>0</v>
      </c>
      <c r="O312" s="176">
        <v>0</v>
      </c>
      <c r="P312" s="179">
        <v>4512.3999999999996</v>
      </c>
      <c r="Q312" s="180">
        <v>26000</v>
      </c>
    </row>
    <row r="313" spans="1:17" hidden="1">
      <c r="A313" s="175" t="s">
        <v>3751</v>
      </c>
      <c r="B313" s="175" t="s">
        <v>3744</v>
      </c>
      <c r="C313" s="176">
        <v>9</v>
      </c>
      <c r="D313" s="176">
        <v>41</v>
      </c>
      <c r="E313" s="175"/>
      <c r="F313" s="176">
        <v>74418939873423</v>
      </c>
      <c r="G313" s="176">
        <v>99</v>
      </c>
      <c r="H313" s="176">
        <v>0</v>
      </c>
      <c r="I313" s="175"/>
      <c r="J313" s="176">
        <v>1</v>
      </c>
      <c r="K313" s="175" t="s">
        <v>3742</v>
      </c>
      <c r="L313" s="179">
        <v>10743.8</v>
      </c>
      <c r="M313" s="176">
        <v>0</v>
      </c>
      <c r="N313" s="176">
        <v>0</v>
      </c>
      <c r="O313" s="176">
        <v>0</v>
      </c>
      <c r="P313" s="179">
        <v>2256.1999999999998</v>
      </c>
      <c r="Q313" s="180">
        <v>13000</v>
      </c>
    </row>
    <row r="314" spans="1:17" hidden="1">
      <c r="A314" s="175" t="s">
        <v>3751</v>
      </c>
      <c r="B314" s="175" t="s">
        <v>3744</v>
      </c>
      <c r="C314" s="176">
        <v>9</v>
      </c>
      <c r="D314" s="176">
        <v>42</v>
      </c>
      <c r="E314" s="175"/>
      <c r="F314" s="176">
        <v>74418943624267</v>
      </c>
      <c r="G314" s="176">
        <v>99</v>
      </c>
      <c r="H314" s="176">
        <v>0</v>
      </c>
      <c r="I314" s="175"/>
      <c r="J314" s="176">
        <v>1</v>
      </c>
      <c r="K314" s="175" t="s">
        <v>3742</v>
      </c>
      <c r="L314" s="181">
        <v>29338.84</v>
      </c>
      <c r="M314" s="176">
        <v>0</v>
      </c>
      <c r="N314" s="176">
        <v>0</v>
      </c>
      <c r="O314" s="176">
        <v>0</v>
      </c>
      <c r="P314" s="181">
        <v>6161.16</v>
      </c>
      <c r="Q314" s="180">
        <v>35500</v>
      </c>
    </row>
    <row r="315" spans="1:17" hidden="1">
      <c r="A315" s="175" t="s">
        <v>3751</v>
      </c>
      <c r="B315" s="175" t="s">
        <v>3744</v>
      </c>
      <c r="C315" s="176">
        <v>9</v>
      </c>
      <c r="D315" s="176">
        <v>43</v>
      </c>
      <c r="E315" s="175"/>
      <c r="F315" s="176">
        <v>74418948732728</v>
      </c>
      <c r="G315" s="176">
        <v>99</v>
      </c>
      <c r="H315" s="176">
        <v>0</v>
      </c>
      <c r="I315" s="175"/>
      <c r="J315" s="176">
        <v>1</v>
      </c>
      <c r="K315" s="175" t="s">
        <v>3742</v>
      </c>
      <c r="L315" s="181">
        <v>13966.94</v>
      </c>
      <c r="M315" s="176">
        <v>0</v>
      </c>
      <c r="N315" s="176">
        <v>0</v>
      </c>
      <c r="O315" s="176">
        <v>0</v>
      </c>
      <c r="P315" s="181">
        <v>2933.06</v>
      </c>
      <c r="Q315" s="180">
        <v>16900</v>
      </c>
    </row>
    <row r="316" spans="1:17" hidden="1">
      <c r="A316" s="175" t="s">
        <v>3751</v>
      </c>
      <c r="B316" s="175" t="s">
        <v>3744</v>
      </c>
      <c r="C316" s="176">
        <v>9</v>
      </c>
      <c r="D316" s="176">
        <v>44</v>
      </c>
      <c r="E316" s="175"/>
      <c r="F316" s="176">
        <v>74418949479366</v>
      </c>
      <c r="G316" s="176">
        <v>99</v>
      </c>
      <c r="H316" s="176">
        <v>0</v>
      </c>
      <c r="I316" s="175"/>
      <c r="J316" s="176">
        <v>1</v>
      </c>
      <c r="K316" s="175" t="s">
        <v>3742</v>
      </c>
      <c r="L316" s="181">
        <v>19834.71</v>
      </c>
      <c r="M316" s="176">
        <v>0</v>
      </c>
      <c r="N316" s="176">
        <v>0</v>
      </c>
      <c r="O316" s="176">
        <v>0</v>
      </c>
      <c r="P316" s="181">
        <v>4165.29</v>
      </c>
      <c r="Q316" s="180">
        <v>24000</v>
      </c>
    </row>
    <row r="317" spans="1:17" hidden="1">
      <c r="A317" s="175" t="s">
        <v>3751</v>
      </c>
      <c r="B317" s="175" t="s">
        <v>3744</v>
      </c>
      <c r="C317" s="176">
        <v>9</v>
      </c>
      <c r="D317" s="176">
        <v>45</v>
      </c>
      <c r="E317" s="175"/>
      <c r="F317" s="176">
        <v>74418950603801</v>
      </c>
      <c r="G317" s="176">
        <v>99</v>
      </c>
      <c r="H317" s="176">
        <v>0</v>
      </c>
      <c r="I317" s="175"/>
      <c r="J317" s="176">
        <v>1</v>
      </c>
      <c r="K317" s="175" t="s">
        <v>3742</v>
      </c>
      <c r="L317" s="181">
        <v>20661.16</v>
      </c>
      <c r="M317" s="176">
        <v>0</v>
      </c>
      <c r="N317" s="176">
        <v>0</v>
      </c>
      <c r="O317" s="176">
        <v>0</v>
      </c>
      <c r="P317" s="181">
        <v>4338.84</v>
      </c>
      <c r="Q317" s="180">
        <v>25000</v>
      </c>
    </row>
    <row r="318" spans="1:17" hidden="1">
      <c r="A318" s="175" t="s">
        <v>3752</v>
      </c>
      <c r="B318" s="175" t="s">
        <v>3744</v>
      </c>
      <c r="C318" s="176">
        <v>9</v>
      </c>
      <c r="D318" s="176">
        <v>46</v>
      </c>
      <c r="E318" s="175"/>
      <c r="F318" s="176">
        <v>74418028989896</v>
      </c>
      <c r="G318" s="176">
        <v>99</v>
      </c>
      <c r="H318" s="176">
        <v>0</v>
      </c>
      <c r="I318" s="175"/>
      <c r="J318" s="176">
        <v>1</v>
      </c>
      <c r="K318" s="175" t="s">
        <v>3742</v>
      </c>
      <c r="L318" s="179">
        <v>41487.599999999999</v>
      </c>
      <c r="M318" s="176">
        <v>0</v>
      </c>
      <c r="N318" s="176">
        <v>0</v>
      </c>
      <c r="O318" s="176">
        <v>0</v>
      </c>
      <c r="P318" s="179">
        <v>8712.4</v>
      </c>
      <c r="Q318" s="180">
        <v>50200</v>
      </c>
    </row>
    <row r="319" spans="1:17" hidden="1">
      <c r="A319" s="175" t="s">
        <v>3752</v>
      </c>
      <c r="B319" s="175" t="s">
        <v>3744</v>
      </c>
      <c r="C319" s="176">
        <v>9</v>
      </c>
      <c r="D319" s="176">
        <v>47</v>
      </c>
      <c r="E319" s="175"/>
      <c r="F319" s="176">
        <v>74418034934630</v>
      </c>
      <c r="G319" s="176">
        <v>99</v>
      </c>
      <c r="H319" s="176">
        <v>0</v>
      </c>
      <c r="I319" s="175"/>
      <c r="J319" s="176">
        <v>1</v>
      </c>
      <c r="K319" s="175" t="s">
        <v>3742</v>
      </c>
      <c r="L319" s="181">
        <v>36363.629999999997</v>
      </c>
      <c r="M319" s="176">
        <v>0</v>
      </c>
      <c r="N319" s="176">
        <v>0</v>
      </c>
      <c r="O319" s="176">
        <v>0</v>
      </c>
      <c r="P319" s="181">
        <v>7636.37</v>
      </c>
      <c r="Q319" s="180">
        <v>44000</v>
      </c>
    </row>
    <row r="320" spans="1:17" hidden="1">
      <c r="A320" s="175" t="s">
        <v>3752</v>
      </c>
      <c r="B320" s="175" t="s">
        <v>3744</v>
      </c>
      <c r="C320" s="176">
        <v>9</v>
      </c>
      <c r="D320" s="176">
        <v>48</v>
      </c>
      <c r="E320" s="175"/>
      <c r="F320" s="176">
        <v>74418040577125</v>
      </c>
      <c r="G320" s="176">
        <v>99</v>
      </c>
      <c r="H320" s="176">
        <v>0</v>
      </c>
      <c r="I320" s="175"/>
      <c r="J320" s="176">
        <v>1</v>
      </c>
      <c r="K320" s="175" t="s">
        <v>3742</v>
      </c>
      <c r="L320" s="179">
        <v>10743.8</v>
      </c>
      <c r="M320" s="176">
        <v>0</v>
      </c>
      <c r="N320" s="176">
        <v>0</v>
      </c>
      <c r="O320" s="176">
        <v>0</v>
      </c>
      <c r="P320" s="179">
        <v>2256.1999999999998</v>
      </c>
      <c r="Q320" s="180">
        <v>13000</v>
      </c>
    </row>
    <row r="321" spans="1:17" hidden="1">
      <c r="A321" s="175" t="s">
        <v>3752</v>
      </c>
      <c r="B321" s="175" t="s">
        <v>3744</v>
      </c>
      <c r="C321" s="176">
        <v>9</v>
      </c>
      <c r="D321" s="176">
        <v>49</v>
      </c>
      <c r="E321" s="175"/>
      <c r="F321" s="176">
        <v>74418041440212</v>
      </c>
      <c r="G321" s="176">
        <v>99</v>
      </c>
      <c r="H321" s="176">
        <v>0</v>
      </c>
      <c r="I321" s="175"/>
      <c r="J321" s="176">
        <v>1</v>
      </c>
      <c r="K321" s="175" t="s">
        <v>3742</v>
      </c>
      <c r="L321" s="179">
        <v>10743.8</v>
      </c>
      <c r="M321" s="176">
        <v>0</v>
      </c>
      <c r="N321" s="176">
        <v>0</v>
      </c>
      <c r="O321" s="176">
        <v>0</v>
      </c>
      <c r="P321" s="179">
        <v>2256.1999999999998</v>
      </c>
      <c r="Q321" s="180">
        <v>13000</v>
      </c>
    </row>
    <row r="322" spans="1:17" hidden="1">
      <c r="A322" s="175" t="s">
        <v>3752</v>
      </c>
      <c r="B322" s="175" t="s">
        <v>3744</v>
      </c>
      <c r="C322" s="176">
        <v>9</v>
      </c>
      <c r="D322" s="176">
        <v>50</v>
      </c>
      <c r="E322" s="175"/>
      <c r="F322" s="176">
        <v>74418046197129</v>
      </c>
      <c r="G322" s="176">
        <v>99</v>
      </c>
      <c r="H322" s="176">
        <v>0</v>
      </c>
      <c r="I322" s="175"/>
      <c r="J322" s="176">
        <v>1</v>
      </c>
      <c r="K322" s="175" t="s">
        <v>3742</v>
      </c>
      <c r="L322" s="181">
        <v>51239.67</v>
      </c>
      <c r="M322" s="176">
        <v>0</v>
      </c>
      <c r="N322" s="176">
        <v>0</v>
      </c>
      <c r="O322" s="176">
        <v>0</v>
      </c>
      <c r="P322" s="181">
        <v>10760.33</v>
      </c>
      <c r="Q322" s="180">
        <v>62000</v>
      </c>
    </row>
    <row r="323" spans="1:17" hidden="1">
      <c r="A323" s="175" t="s">
        <v>3752</v>
      </c>
      <c r="B323" s="175" t="s">
        <v>3744</v>
      </c>
      <c r="C323" s="176">
        <v>9</v>
      </c>
      <c r="D323" s="176">
        <v>51</v>
      </c>
      <c r="E323" s="175"/>
      <c r="F323" s="176">
        <v>74418062659277</v>
      </c>
      <c r="G323" s="176">
        <v>99</v>
      </c>
      <c r="H323" s="176">
        <v>0</v>
      </c>
      <c r="I323" s="175"/>
      <c r="J323" s="176">
        <v>1</v>
      </c>
      <c r="K323" s="175" t="s">
        <v>3742</v>
      </c>
      <c r="L323" s="181">
        <v>12396.69</v>
      </c>
      <c r="M323" s="176">
        <v>0</v>
      </c>
      <c r="N323" s="176">
        <v>0</v>
      </c>
      <c r="O323" s="176">
        <v>0</v>
      </c>
      <c r="P323" s="181">
        <v>2603.31</v>
      </c>
      <c r="Q323" s="180">
        <v>15000</v>
      </c>
    </row>
    <row r="324" spans="1:17" hidden="1">
      <c r="A324" s="175" t="s">
        <v>3752</v>
      </c>
      <c r="B324" s="175" t="s">
        <v>3744</v>
      </c>
      <c r="C324" s="176">
        <v>9</v>
      </c>
      <c r="D324" s="176">
        <v>52</v>
      </c>
      <c r="E324" s="175"/>
      <c r="F324" s="176">
        <v>74418064811168</v>
      </c>
      <c r="G324" s="176">
        <v>99</v>
      </c>
      <c r="H324" s="176">
        <v>0</v>
      </c>
      <c r="I324" s="175"/>
      <c r="J324" s="176">
        <v>1</v>
      </c>
      <c r="K324" s="175" t="s">
        <v>3742</v>
      </c>
      <c r="L324" s="181">
        <v>14669.42</v>
      </c>
      <c r="M324" s="176">
        <v>0</v>
      </c>
      <c r="N324" s="176">
        <v>0</v>
      </c>
      <c r="O324" s="176">
        <v>0</v>
      </c>
      <c r="P324" s="181">
        <v>3080.58</v>
      </c>
      <c r="Q324" s="180">
        <v>17750</v>
      </c>
    </row>
    <row r="325" spans="1:17" hidden="1">
      <c r="A325" s="175" t="s">
        <v>3752</v>
      </c>
      <c r="B325" s="175" t="s">
        <v>3744</v>
      </c>
      <c r="C325" s="176">
        <v>9</v>
      </c>
      <c r="D325" s="176">
        <v>53</v>
      </c>
      <c r="E325" s="175"/>
      <c r="F325" s="176">
        <v>74418070705317</v>
      </c>
      <c r="G325" s="176">
        <v>99</v>
      </c>
      <c r="H325" s="176">
        <v>0</v>
      </c>
      <c r="I325" s="175"/>
      <c r="J325" s="176">
        <v>1</v>
      </c>
      <c r="K325" s="175" t="s">
        <v>3742</v>
      </c>
      <c r="L325" s="181">
        <v>14669.42</v>
      </c>
      <c r="M325" s="176">
        <v>0</v>
      </c>
      <c r="N325" s="176">
        <v>0</v>
      </c>
      <c r="O325" s="176">
        <v>0</v>
      </c>
      <c r="P325" s="181">
        <v>3080.58</v>
      </c>
      <c r="Q325" s="180">
        <v>17750</v>
      </c>
    </row>
    <row r="326" spans="1:17" hidden="1">
      <c r="A326" s="175" t="s">
        <v>3752</v>
      </c>
      <c r="B326" s="175" t="s">
        <v>3744</v>
      </c>
      <c r="C326" s="176">
        <v>9</v>
      </c>
      <c r="D326" s="176">
        <v>54</v>
      </c>
      <c r="E326" s="175"/>
      <c r="F326" s="176">
        <v>74418078402646</v>
      </c>
      <c r="G326" s="176">
        <v>99</v>
      </c>
      <c r="H326" s="176">
        <v>0</v>
      </c>
      <c r="I326" s="175"/>
      <c r="J326" s="176">
        <v>1</v>
      </c>
      <c r="K326" s="175" t="s">
        <v>3742</v>
      </c>
      <c r="L326" s="181">
        <v>28925.62</v>
      </c>
      <c r="M326" s="176">
        <v>0</v>
      </c>
      <c r="N326" s="176">
        <v>0</v>
      </c>
      <c r="O326" s="176">
        <v>0</v>
      </c>
      <c r="P326" s="181">
        <v>6074.38</v>
      </c>
      <c r="Q326" s="180">
        <v>35000</v>
      </c>
    </row>
    <row r="327" spans="1:17" hidden="1">
      <c r="A327" s="175" t="s">
        <v>3752</v>
      </c>
      <c r="B327" s="175" t="s">
        <v>3744</v>
      </c>
      <c r="C327" s="176">
        <v>9</v>
      </c>
      <c r="D327" s="176">
        <v>55</v>
      </c>
      <c r="E327" s="175"/>
      <c r="F327" s="176">
        <v>74418079997217</v>
      </c>
      <c r="G327" s="176">
        <v>99</v>
      </c>
      <c r="H327" s="176">
        <v>0</v>
      </c>
      <c r="I327" s="175"/>
      <c r="J327" s="176">
        <v>1</v>
      </c>
      <c r="K327" s="175" t="s">
        <v>3742</v>
      </c>
      <c r="L327" s="181">
        <v>41322.31</v>
      </c>
      <c r="M327" s="176">
        <v>0</v>
      </c>
      <c r="N327" s="176">
        <v>0</v>
      </c>
      <c r="O327" s="176">
        <v>0</v>
      </c>
      <c r="P327" s="181">
        <v>8677.69</v>
      </c>
      <c r="Q327" s="180">
        <v>50000</v>
      </c>
    </row>
    <row r="328" spans="1:17" hidden="1">
      <c r="A328" s="175" t="s">
        <v>3752</v>
      </c>
      <c r="B328" s="175" t="s">
        <v>3744</v>
      </c>
      <c r="C328" s="176">
        <v>9</v>
      </c>
      <c r="D328" s="176">
        <v>56</v>
      </c>
      <c r="E328" s="175"/>
      <c r="F328" s="176">
        <v>74418081432889</v>
      </c>
      <c r="G328" s="176">
        <v>99</v>
      </c>
      <c r="H328" s="176">
        <v>0</v>
      </c>
      <c r="I328" s="175"/>
      <c r="J328" s="176">
        <v>1</v>
      </c>
      <c r="K328" s="175" t="s">
        <v>3742</v>
      </c>
      <c r="L328" s="181">
        <v>16528.93</v>
      </c>
      <c r="M328" s="176">
        <v>0</v>
      </c>
      <c r="N328" s="176">
        <v>0</v>
      </c>
      <c r="O328" s="176">
        <v>0</v>
      </c>
      <c r="P328" s="181">
        <v>3471.07</v>
      </c>
      <c r="Q328" s="180">
        <v>20000</v>
      </c>
    </row>
    <row r="329" spans="1:17" hidden="1">
      <c r="A329" s="175" t="s">
        <v>3752</v>
      </c>
      <c r="B329" s="175" t="s">
        <v>3744</v>
      </c>
      <c r="C329" s="176">
        <v>9</v>
      </c>
      <c r="D329" s="176">
        <v>57</v>
      </c>
      <c r="E329" s="175"/>
      <c r="F329" s="176">
        <v>74418083374260</v>
      </c>
      <c r="G329" s="176">
        <v>99</v>
      </c>
      <c r="H329" s="176">
        <v>0</v>
      </c>
      <c r="I329" s="175"/>
      <c r="J329" s="176">
        <v>1</v>
      </c>
      <c r="K329" s="175" t="s">
        <v>3742</v>
      </c>
      <c r="L329" s="181">
        <v>28099.17</v>
      </c>
      <c r="M329" s="176">
        <v>0</v>
      </c>
      <c r="N329" s="176">
        <v>0</v>
      </c>
      <c r="O329" s="176">
        <v>0</v>
      </c>
      <c r="P329" s="181">
        <v>5900.83</v>
      </c>
      <c r="Q329" s="180">
        <v>34000</v>
      </c>
    </row>
    <row r="330" spans="1:17" hidden="1">
      <c r="A330" s="175" t="s">
        <v>3752</v>
      </c>
      <c r="B330" s="175" t="s">
        <v>3744</v>
      </c>
      <c r="C330" s="176">
        <v>9</v>
      </c>
      <c r="D330" s="176">
        <v>58</v>
      </c>
      <c r="E330" s="175"/>
      <c r="F330" s="176">
        <v>74418085503450</v>
      </c>
      <c r="G330" s="176">
        <v>99</v>
      </c>
      <c r="H330" s="176">
        <v>0</v>
      </c>
      <c r="I330" s="175"/>
      <c r="J330" s="176">
        <v>1</v>
      </c>
      <c r="K330" s="175" t="s">
        <v>3742</v>
      </c>
      <c r="L330" s="181">
        <v>21900.83</v>
      </c>
      <c r="M330" s="176">
        <v>0</v>
      </c>
      <c r="N330" s="176">
        <v>0</v>
      </c>
      <c r="O330" s="176">
        <v>0</v>
      </c>
      <c r="P330" s="181">
        <v>4599.17</v>
      </c>
      <c r="Q330" s="180">
        <v>26500</v>
      </c>
    </row>
    <row r="331" spans="1:17" hidden="1">
      <c r="A331" s="175" t="s">
        <v>3752</v>
      </c>
      <c r="B331" s="175" t="s">
        <v>3744</v>
      </c>
      <c r="C331" s="176">
        <v>9</v>
      </c>
      <c r="D331" s="176">
        <v>59</v>
      </c>
      <c r="E331" s="175"/>
      <c r="F331" s="176">
        <v>74418088847324</v>
      </c>
      <c r="G331" s="176">
        <v>99</v>
      </c>
      <c r="H331" s="176">
        <v>0</v>
      </c>
      <c r="I331" s="175"/>
      <c r="J331" s="176">
        <v>1</v>
      </c>
      <c r="K331" s="175" t="s">
        <v>3742</v>
      </c>
      <c r="L331" s="181">
        <v>29338.84</v>
      </c>
      <c r="M331" s="176">
        <v>0</v>
      </c>
      <c r="N331" s="176">
        <v>0</v>
      </c>
      <c r="O331" s="176">
        <v>0</v>
      </c>
      <c r="P331" s="181">
        <v>6161.16</v>
      </c>
      <c r="Q331" s="180">
        <v>35500</v>
      </c>
    </row>
    <row r="332" spans="1:17" hidden="1">
      <c r="A332" s="175" t="s">
        <v>3760</v>
      </c>
      <c r="B332" s="175" t="s">
        <v>3744</v>
      </c>
      <c r="C332" s="176">
        <v>9</v>
      </c>
      <c r="D332" s="176">
        <v>60</v>
      </c>
      <c r="E332" s="175"/>
      <c r="F332" s="176">
        <v>74428430670640</v>
      </c>
      <c r="G332" s="176">
        <v>99</v>
      </c>
      <c r="H332" s="176">
        <v>0</v>
      </c>
      <c r="I332" s="175"/>
      <c r="J332" s="176">
        <v>1</v>
      </c>
      <c r="K332" s="175" t="s">
        <v>3742</v>
      </c>
      <c r="L332" s="181">
        <v>8264.4599999999991</v>
      </c>
      <c r="M332" s="176">
        <v>0</v>
      </c>
      <c r="N332" s="176">
        <v>0</v>
      </c>
      <c r="O332" s="176">
        <v>0</v>
      </c>
      <c r="P332" s="181">
        <v>1735.54</v>
      </c>
      <c r="Q332" s="180">
        <v>10000</v>
      </c>
    </row>
    <row r="333" spans="1:17" hidden="1">
      <c r="A333" s="175" t="s">
        <v>3760</v>
      </c>
      <c r="B333" s="175" t="s">
        <v>3744</v>
      </c>
      <c r="C333" s="176">
        <v>9</v>
      </c>
      <c r="D333" s="176">
        <v>61</v>
      </c>
      <c r="E333" s="175"/>
      <c r="F333" s="176">
        <v>74428432548398</v>
      </c>
      <c r="G333" s="176">
        <v>99</v>
      </c>
      <c r="H333" s="176">
        <v>0</v>
      </c>
      <c r="I333" s="175"/>
      <c r="J333" s="176">
        <v>1</v>
      </c>
      <c r="K333" s="175" t="s">
        <v>3742</v>
      </c>
      <c r="L333" s="181">
        <v>20661.16</v>
      </c>
      <c r="M333" s="176">
        <v>0</v>
      </c>
      <c r="N333" s="176">
        <v>0</v>
      </c>
      <c r="O333" s="176">
        <v>0</v>
      </c>
      <c r="P333" s="181">
        <v>4338.84</v>
      </c>
      <c r="Q333" s="180">
        <v>25000</v>
      </c>
    </row>
    <row r="334" spans="1:17" hidden="1">
      <c r="A334" s="175" t="s">
        <v>3760</v>
      </c>
      <c r="B334" s="175" t="s">
        <v>3744</v>
      </c>
      <c r="C334" s="176">
        <v>9</v>
      </c>
      <c r="D334" s="176">
        <v>62</v>
      </c>
      <c r="E334" s="175"/>
      <c r="F334" s="176">
        <v>74428435261323</v>
      </c>
      <c r="G334" s="176">
        <v>99</v>
      </c>
      <c r="H334" s="176">
        <v>0</v>
      </c>
      <c r="I334" s="175"/>
      <c r="J334" s="176">
        <v>1</v>
      </c>
      <c r="K334" s="175" t="s">
        <v>3742</v>
      </c>
      <c r="L334" s="181">
        <v>25413.22</v>
      </c>
      <c r="M334" s="176">
        <v>0</v>
      </c>
      <c r="N334" s="176">
        <v>0</v>
      </c>
      <c r="O334" s="176">
        <v>0</v>
      </c>
      <c r="P334" s="181">
        <v>5336.78</v>
      </c>
      <c r="Q334" s="180">
        <v>30750</v>
      </c>
    </row>
    <row r="335" spans="1:17" hidden="1">
      <c r="A335" s="175" t="s">
        <v>3760</v>
      </c>
      <c r="B335" s="175" t="s">
        <v>3744</v>
      </c>
      <c r="C335" s="176">
        <v>9</v>
      </c>
      <c r="D335" s="176">
        <v>63</v>
      </c>
      <c r="E335" s="175"/>
      <c r="F335" s="176">
        <v>74428450085565</v>
      </c>
      <c r="G335" s="176">
        <v>99</v>
      </c>
      <c r="H335" s="176">
        <v>0</v>
      </c>
      <c r="I335" s="175"/>
      <c r="J335" s="176">
        <v>1</v>
      </c>
      <c r="K335" s="175" t="s">
        <v>3742</v>
      </c>
      <c r="L335" s="181">
        <v>29338.84</v>
      </c>
      <c r="M335" s="176">
        <v>0</v>
      </c>
      <c r="N335" s="176">
        <v>0</v>
      </c>
      <c r="O335" s="176">
        <v>0</v>
      </c>
      <c r="P335" s="181">
        <v>6161.16</v>
      </c>
      <c r="Q335" s="180">
        <v>35500</v>
      </c>
    </row>
    <row r="336" spans="1:17" hidden="1">
      <c r="A336" s="175" t="s">
        <v>3760</v>
      </c>
      <c r="B336" s="175" t="s">
        <v>3744</v>
      </c>
      <c r="C336" s="176">
        <v>9</v>
      </c>
      <c r="D336" s="176">
        <v>64</v>
      </c>
      <c r="E336" s="175"/>
      <c r="F336" s="176">
        <v>74428451162543</v>
      </c>
      <c r="G336" s="176">
        <v>99</v>
      </c>
      <c r="H336" s="176">
        <v>0</v>
      </c>
      <c r="I336" s="175"/>
      <c r="J336" s="176">
        <v>1</v>
      </c>
      <c r="K336" s="175" t="s">
        <v>3742</v>
      </c>
      <c r="L336" s="179">
        <v>11487.6</v>
      </c>
      <c r="M336" s="176">
        <v>0</v>
      </c>
      <c r="N336" s="176">
        <v>0</v>
      </c>
      <c r="O336" s="176">
        <v>0</v>
      </c>
      <c r="P336" s="179">
        <v>2412.4</v>
      </c>
      <c r="Q336" s="180">
        <v>13900</v>
      </c>
    </row>
    <row r="337" spans="1:17" hidden="1">
      <c r="A337" s="175" t="s">
        <v>3760</v>
      </c>
      <c r="B337" s="175" t="s">
        <v>3744</v>
      </c>
      <c r="C337" s="176">
        <v>9</v>
      </c>
      <c r="D337" s="176">
        <v>65</v>
      </c>
      <c r="E337" s="175"/>
      <c r="F337" s="176">
        <v>74428454886464</v>
      </c>
      <c r="G337" s="176">
        <v>99</v>
      </c>
      <c r="H337" s="176">
        <v>0</v>
      </c>
      <c r="I337" s="175"/>
      <c r="J337" s="176">
        <v>1</v>
      </c>
      <c r="K337" s="175" t="s">
        <v>3742</v>
      </c>
      <c r="L337" s="181">
        <v>22314.05</v>
      </c>
      <c r="M337" s="176">
        <v>0</v>
      </c>
      <c r="N337" s="176">
        <v>0</v>
      </c>
      <c r="O337" s="176">
        <v>0</v>
      </c>
      <c r="P337" s="181">
        <v>4685.95</v>
      </c>
      <c r="Q337" s="180">
        <v>27000</v>
      </c>
    </row>
    <row r="338" spans="1:17" hidden="1">
      <c r="A338" s="175" t="s">
        <v>3760</v>
      </c>
      <c r="B338" s="175" t="s">
        <v>3744</v>
      </c>
      <c r="C338" s="176">
        <v>9</v>
      </c>
      <c r="D338" s="176">
        <v>66</v>
      </c>
      <c r="E338" s="175"/>
      <c r="F338" s="176">
        <v>74428458573628</v>
      </c>
      <c r="G338" s="176">
        <v>99</v>
      </c>
      <c r="H338" s="176">
        <v>0</v>
      </c>
      <c r="I338" s="175"/>
      <c r="J338" s="176">
        <v>1</v>
      </c>
      <c r="K338" s="175" t="s">
        <v>3742</v>
      </c>
      <c r="L338" s="179">
        <v>10743.8</v>
      </c>
      <c r="M338" s="176">
        <v>0</v>
      </c>
      <c r="N338" s="176">
        <v>0</v>
      </c>
      <c r="O338" s="176">
        <v>0</v>
      </c>
      <c r="P338" s="179">
        <v>2256.1999999999998</v>
      </c>
      <c r="Q338" s="180">
        <v>13000</v>
      </c>
    </row>
    <row r="339" spans="1:17" hidden="1">
      <c r="A339" s="175" t="s">
        <v>3760</v>
      </c>
      <c r="B339" s="175" t="s">
        <v>3744</v>
      </c>
      <c r="C339" s="176">
        <v>9</v>
      </c>
      <c r="D339" s="176">
        <v>67</v>
      </c>
      <c r="E339" s="175"/>
      <c r="F339" s="176">
        <v>74428467881828</v>
      </c>
      <c r="G339" s="176">
        <v>99</v>
      </c>
      <c r="H339" s="176">
        <v>0</v>
      </c>
      <c r="I339" s="175"/>
      <c r="J339" s="176">
        <v>1</v>
      </c>
      <c r="K339" s="175" t="s">
        <v>3742</v>
      </c>
      <c r="L339" s="179">
        <v>10743.8</v>
      </c>
      <c r="M339" s="176">
        <v>0</v>
      </c>
      <c r="N339" s="176">
        <v>0</v>
      </c>
      <c r="O339" s="176">
        <v>0</v>
      </c>
      <c r="P339" s="179">
        <v>2256.1999999999998</v>
      </c>
      <c r="Q339" s="180">
        <v>13000</v>
      </c>
    </row>
    <row r="340" spans="1:17" hidden="1">
      <c r="A340" s="175" t="s">
        <v>3760</v>
      </c>
      <c r="B340" s="175" t="s">
        <v>3744</v>
      </c>
      <c r="C340" s="176">
        <v>9</v>
      </c>
      <c r="D340" s="176">
        <v>68</v>
      </c>
      <c r="E340" s="175"/>
      <c r="F340" s="176">
        <v>74428473743686</v>
      </c>
      <c r="G340" s="176">
        <v>99</v>
      </c>
      <c r="H340" s="176">
        <v>0</v>
      </c>
      <c r="I340" s="175"/>
      <c r="J340" s="176">
        <v>1</v>
      </c>
      <c r="K340" s="175" t="s">
        <v>3742</v>
      </c>
      <c r="L340" s="181">
        <v>25289.26</v>
      </c>
      <c r="M340" s="176">
        <v>0</v>
      </c>
      <c r="N340" s="176">
        <v>0</v>
      </c>
      <c r="O340" s="176">
        <v>0</v>
      </c>
      <c r="P340" s="181">
        <v>5310.74</v>
      </c>
      <c r="Q340" s="180">
        <v>30600</v>
      </c>
    </row>
    <row r="341" spans="1:17" hidden="1">
      <c r="A341" s="175" t="s">
        <v>3760</v>
      </c>
      <c r="B341" s="175" t="s">
        <v>3744</v>
      </c>
      <c r="C341" s="176">
        <v>9</v>
      </c>
      <c r="D341" s="176">
        <v>69</v>
      </c>
      <c r="E341" s="175"/>
      <c r="F341" s="176">
        <v>74428487910166</v>
      </c>
      <c r="G341" s="176">
        <v>99</v>
      </c>
      <c r="H341" s="176">
        <v>0</v>
      </c>
      <c r="I341" s="175"/>
      <c r="J341" s="176">
        <v>1</v>
      </c>
      <c r="K341" s="175" t="s">
        <v>3742</v>
      </c>
      <c r="L341" s="181">
        <v>16694.21</v>
      </c>
      <c r="M341" s="176">
        <v>0</v>
      </c>
      <c r="N341" s="176">
        <v>0</v>
      </c>
      <c r="O341" s="176">
        <v>0</v>
      </c>
      <c r="P341" s="181">
        <v>3505.79</v>
      </c>
      <c r="Q341" s="180">
        <v>20200</v>
      </c>
    </row>
    <row r="342" spans="1:17" hidden="1">
      <c r="A342" s="175" t="s">
        <v>3760</v>
      </c>
      <c r="B342" s="175" t="s">
        <v>3744</v>
      </c>
      <c r="C342" s="176">
        <v>9</v>
      </c>
      <c r="D342" s="176">
        <v>70</v>
      </c>
      <c r="E342" s="175"/>
      <c r="F342" s="176">
        <v>74428489095486</v>
      </c>
      <c r="G342" s="176">
        <v>99</v>
      </c>
      <c r="H342" s="176">
        <v>0</v>
      </c>
      <c r="I342" s="175"/>
      <c r="J342" s="176">
        <v>1</v>
      </c>
      <c r="K342" s="175" t="s">
        <v>3742</v>
      </c>
      <c r="L342" s="181">
        <v>13223.14</v>
      </c>
      <c r="M342" s="176">
        <v>0</v>
      </c>
      <c r="N342" s="176">
        <v>0</v>
      </c>
      <c r="O342" s="176">
        <v>0</v>
      </c>
      <c r="P342" s="181">
        <v>2776.86</v>
      </c>
      <c r="Q342" s="180">
        <v>16000</v>
      </c>
    </row>
    <row r="343" spans="1:17" hidden="1">
      <c r="A343" s="175" t="s">
        <v>3760</v>
      </c>
      <c r="B343" s="175" t="s">
        <v>3744</v>
      </c>
      <c r="C343" s="176">
        <v>9</v>
      </c>
      <c r="D343" s="176">
        <v>71</v>
      </c>
      <c r="E343" s="175"/>
      <c r="F343" s="176">
        <v>74428490731366</v>
      </c>
      <c r="G343" s="176">
        <v>99</v>
      </c>
      <c r="H343" s="176">
        <v>0</v>
      </c>
      <c r="I343" s="175"/>
      <c r="J343" s="176">
        <v>1</v>
      </c>
      <c r="K343" s="175" t="s">
        <v>3742</v>
      </c>
      <c r="L343" s="179">
        <v>33884.300000000003</v>
      </c>
      <c r="M343" s="176">
        <v>0</v>
      </c>
      <c r="N343" s="176">
        <v>0</v>
      </c>
      <c r="O343" s="176">
        <v>0</v>
      </c>
      <c r="P343" s="179">
        <v>7115.7</v>
      </c>
      <c r="Q343" s="180">
        <v>41000</v>
      </c>
    </row>
    <row r="344" spans="1:17" hidden="1">
      <c r="A344" s="175" t="s">
        <v>3760</v>
      </c>
      <c r="B344" s="175" t="s">
        <v>3744</v>
      </c>
      <c r="C344" s="176">
        <v>9</v>
      </c>
      <c r="D344" s="176">
        <v>72</v>
      </c>
      <c r="E344" s="175"/>
      <c r="F344" s="176">
        <v>74428491088784</v>
      </c>
      <c r="G344" s="176">
        <v>99</v>
      </c>
      <c r="H344" s="176">
        <v>0</v>
      </c>
      <c r="I344" s="175"/>
      <c r="J344" s="176">
        <v>1</v>
      </c>
      <c r="K344" s="175" t="s">
        <v>3742</v>
      </c>
      <c r="L344" s="181">
        <v>11570.25</v>
      </c>
      <c r="M344" s="176">
        <v>0</v>
      </c>
      <c r="N344" s="176">
        <v>0</v>
      </c>
      <c r="O344" s="176">
        <v>0</v>
      </c>
      <c r="P344" s="181">
        <v>2429.75</v>
      </c>
      <c r="Q344" s="180">
        <v>14000</v>
      </c>
    </row>
    <row r="345" spans="1:17" hidden="1">
      <c r="A345" s="175" t="s">
        <v>3764</v>
      </c>
      <c r="B345" s="175" t="s">
        <v>3744</v>
      </c>
      <c r="C345" s="176">
        <v>9</v>
      </c>
      <c r="D345" s="176">
        <v>73</v>
      </c>
      <c r="E345" s="175"/>
      <c r="F345" s="176">
        <v>74428548042101</v>
      </c>
      <c r="G345" s="176">
        <v>99</v>
      </c>
      <c r="H345" s="176">
        <v>0</v>
      </c>
      <c r="I345" s="175"/>
      <c r="J345" s="176">
        <v>1</v>
      </c>
      <c r="K345" s="175" t="s">
        <v>3742</v>
      </c>
      <c r="L345" s="181">
        <v>28925.62</v>
      </c>
      <c r="M345" s="176">
        <v>0</v>
      </c>
      <c r="N345" s="176">
        <v>0</v>
      </c>
      <c r="O345" s="176">
        <v>0</v>
      </c>
      <c r="P345" s="181">
        <v>6074.38</v>
      </c>
      <c r="Q345" s="180">
        <v>35000</v>
      </c>
    </row>
    <row r="346" spans="1:17" hidden="1">
      <c r="A346" s="175" t="s">
        <v>3764</v>
      </c>
      <c r="B346" s="175" t="s">
        <v>3744</v>
      </c>
      <c r="C346" s="176">
        <v>9</v>
      </c>
      <c r="D346" s="176">
        <v>74</v>
      </c>
      <c r="E346" s="175"/>
      <c r="F346" s="176">
        <v>74428548507772</v>
      </c>
      <c r="G346" s="176">
        <v>99</v>
      </c>
      <c r="H346" s="176">
        <v>0</v>
      </c>
      <c r="I346" s="175"/>
      <c r="J346" s="176">
        <v>1</v>
      </c>
      <c r="K346" s="175" t="s">
        <v>3742</v>
      </c>
      <c r="L346" s="179">
        <v>10743.8</v>
      </c>
      <c r="M346" s="176">
        <v>0</v>
      </c>
      <c r="N346" s="176">
        <v>0</v>
      </c>
      <c r="O346" s="176">
        <v>0</v>
      </c>
      <c r="P346" s="179">
        <v>2256.1999999999998</v>
      </c>
      <c r="Q346" s="180">
        <v>13000</v>
      </c>
    </row>
    <row r="347" spans="1:17" hidden="1">
      <c r="A347" s="175" t="s">
        <v>3764</v>
      </c>
      <c r="B347" s="175" t="s">
        <v>3744</v>
      </c>
      <c r="C347" s="176">
        <v>9</v>
      </c>
      <c r="D347" s="176">
        <v>75</v>
      </c>
      <c r="E347" s="175"/>
      <c r="F347" s="176">
        <v>74428554734956</v>
      </c>
      <c r="G347" s="176">
        <v>99</v>
      </c>
      <c r="H347" s="176">
        <v>0</v>
      </c>
      <c r="I347" s="175"/>
      <c r="J347" s="176">
        <v>1</v>
      </c>
      <c r="K347" s="175" t="s">
        <v>3742</v>
      </c>
      <c r="L347" s="179">
        <v>21487.599999999999</v>
      </c>
      <c r="M347" s="176">
        <v>0</v>
      </c>
      <c r="N347" s="176">
        <v>0</v>
      </c>
      <c r="O347" s="176">
        <v>0</v>
      </c>
      <c r="P347" s="179">
        <v>4512.3999999999996</v>
      </c>
      <c r="Q347" s="180">
        <v>26000</v>
      </c>
    </row>
    <row r="348" spans="1:17" hidden="1">
      <c r="A348" s="175" t="s">
        <v>3764</v>
      </c>
      <c r="B348" s="175" t="s">
        <v>3744</v>
      </c>
      <c r="C348" s="176">
        <v>9</v>
      </c>
      <c r="D348" s="176">
        <v>76</v>
      </c>
      <c r="E348" s="175"/>
      <c r="F348" s="176">
        <v>74428555873303</v>
      </c>
      <c r="G348" s="176">
        <v>99</v>
      </c>
      <c r="H348" s="176">
        <v>0</v>
      </c>
      <c r="I348" s="175"/>
      <c r="J348" s="176">
        <v>1</v>
      </c>
      <c r="K348" s="175" t="s">
        <v>3742</v>
      </c>
      <c r="L348" s="181">
        <v>14876.03</v>
      </c>
      <c r="M348" s="176">
        <v>0</v>
      </c>
      <c r="N348" s="176">
        <v>0</v>
      </c>
      <c r="O348" s="176">
        <v>0</v>
      </c>
      <c r="P348" s="181">
        <v>3123.97</v>
      </c>
      <c r="Q348" s="180">
        <v>18000</v>
      </c>
    </row>
    <row r="349" spans="1:17" hidden="1">
      <c r="A349" s="175" t="s">
        <v>3764</v>
      </c>
      <c r="B349" s="175" t="s">
        <v>3744</v>
      </c>
      <c r="C349" s="176">
        <v>9</v>
      </c>
      <c r="D349" s="176">
        <v>77</v>
      </c>
      <c r="E349" s="175"/>
      <c r="F349" s="176">
        <v>74428556796814</v>
      </c>
      <c r="G349" s="176">
        <v>99</v>
      </c>
      <c r="H349" s="176">
        <v>0</v>
      </c>
      <c r="I349" s="175"/>
      <c r="J349" s="176">
        <v>1</v>
      </c>
      <c r="K349" s="175" t="s">
        <v>3742</v>
      </c>
      <c r="L349" s="181">
        <v>30495.87</v>
      </c>
      <c r="M349" s="176">
        <v>0</v>
      </c>
      <c r="N349" s="176">
        <v>0</v>
      </c>
      <c r="O349" s="176">
        <v>0</v>
      </c>
      <c r="P349" s="181">
        <v>6404.13</v>
      </c>
      <c r="Q349" s="180">
        <v>36900</v>
      </c>
    </row>
    <row r="350" spans="1:17" hidden="1">
      <c r="A350" s="175" t="s">
        <v>3764</v>
      </c>
      <c r="B350" s="175" t="s">
        <v>3744</v>
      </c>
      <c r="C350" s="176">
        <v>9</v>
      </c>
      <c r="D350" s="176">
        <v>78</v>
      </c>
      <c r="E350" s="175"/>
      <c r="F350" s="176">
        <v>74428578832060</v>
      </c>
      <c r="G350" s="176">
        <v>99</v>
      </c>
      <c r="H350" s="176">
        <v>0</v>
      </c>
      <c r="I350" s="175"/>
      <c r="J350" s="176">
        <v>1</v>
      </c>
      <c r="K350" s="175" t="s">
        <v>3742</v>
      </c>
      <c r="L350" s="181">
        <v>14669.42</v>
      </c>
      <c r="M350" s="176">
        <v>0</v>
      </c>
      <c r="N350" s="176">
        <v>0</v>
      </c>
      <c r="O350" s="176">
        <v>0</v>
      </c>
      <c r="P350" s="181">
        <v>3080.58</v>
      </c>
      <c r="Q350" s="180">
        <v>17750</v>
      </c>
    </row>
    <row r="351" spans="1:17" hidden="1">
      <c r="A351" s="175" t="s">
        <v>3764</v>
      </c>
      <c r="B351" s="175" t="s">
        <v>3744</v>
      </c>
      <c r="C351" s="176">
        <v>9</v>
      </c>
      <c r="D351" s="176">
        <v>79</v>
      </c>
      <c r="E351" s="175"/>
      <c r="F351" s="176">
        <v>74428588600696</v>
      </c>
      <c r="G351" s="176">
        <v>99</v>
      </c>
      <c r="H351" s="176">
        <v>0</v>
      </c>
      <c r="I351" s="175"/>
      <c r="J351" s="176">
        <v>1</v>
      </c>
      <c r="K351" s="175" t="s">
        <v>3742</v>
      </c>
      <c r="L351" s="181">
        <v>18181.82</v>
      </c>
      <c r="M351" s="176">
        <v>0</v>
      </c>
      <c r="N351" s="176">
        <v>0</v>
      </c>
      <c r="O351" s="176">
        <v>0</v>
      </c>
      <c r="P351" s="181">
        <v>3818.18</v>
      </c>
      <c r="Q351" s="180">
        <v>22000</v>
      </c>
    </row>
    <row r="352" spans="1:17" hidden="1">
      <c r="A352" s="175" t="s">
        <v>3764</v>
      </c>
      <c r="B352" s="175" t="s">
        <v>3744</v>
      </c>
      <c r="C352" s="176">
        <v>9</v>
      </c>
      <c r="D352" s="176">
        <v>80</v>
      </c>
      <c r="E352" s="175"/>
      <c r="F352" s="176">
        <v>74428591462137</v>
      </c>
      <c r="G352" s="176">
        <v>99</v>
      </c>
      <c r="H352" s="176">
        <v>0</v>
      </c>
      <c r="I352" s="175"/>
      <c r="J352" s="176">
        <v>1</v>
      </c>
      <c r="K352" s="175" t="s">
        <v>3742</v>
      </c>
      <c r="L352" s="179">
        <v>21487.599999999999</v>
      </c>
      <c r="M352" s="176">
        <v>0</v>
      </c>
      <c r="N352" s="176">
        <v>0</v>
      </c>
      <c r="O352" s="176">
        <v>0</v>
      </c>
      <c r="P352" s="179">
        <v>4512.3999999999996</v>
      </c>
      <c r="Q352" s="180">
        <v>26000</v>
      </c>
    </row>
    <row r="353" spans="1:17" hidden="1">
      <c r="A353" s="175" t="s">
        <v>3764</v>
      </c>
      <c r="B353" s="175" t="s">
        <v>3744</v>
      </c>
      <c r="C353" s="176">
        <v>9</v>
      </c>
      <c r="D353" s="176">
        <v>81</v>
      </c>
      <c r="E353" s="175"/>
      <c r="F353" s="176">
        <v>74428595702930</v>
      </c>
      <c r="G353" s="176">
        <v>99</v>
      </c>
      <c r="H353" s="176">
        <v>0</v>
      </c>
      <c r="I353" s="175"/>
      <c r="J353" s="176">
        <v>1</v>
      </c>
      <c r="K353" s="175" t="s">
        <v>3742</v>
      </c>
      <c r="L353" s="181">
        <v>16528.93</v>
      </c>
      <c r="M353" s="176">
        <v>0</v>
      </c>
      <c r="N353" s="176">
        <v>0</v>
      </c>
      <c r="O353" s="176">
        <v>0</v>
      </c>
      <c r="P353" s="181">
        <v>3471.07</v>
      </c>
      <c r="Q353" s="180">
        <v>20000</v>
      </c>
    </row>
    <row r="354" spans="1:17" hidden="1">
      <c r="A354" s="175" t="s">
        <v>3764</v>
      </c>
      <c r="B354" s="175" t="s">
        <v>3744</v>
      </c>
      <c r="C354" s="176">
        <v>9</v>
      </c>
      <c r="D354" s="176">
        <v>82</v>
      </c>
      <c r="E354" s="175"/>
      <c r="F354" s="176">
        <v>74428597920689</v>
      </c>
      <c r="G354" s="176">
        <v>99</v>
      </c>
      <c r="H354" s="176">
        <v>0</v>
      </c>
      <c r="I354" s="175"/>
      <c r="J354" s="176">
        <v>1</v>
      </c>
      <c r="K354" s="175" t="s">
        <v>3742</v>
      </c>
      <c r="L354" s="181">
        <v>12396.69</v>
      </c>
      <c r="M354" s="176">
        <v>0</v>
      </c>
      <c r="N354" s="176">
        <v>0</v>
      </c>
      <c r="O354" s="176">
        <v>0</v>
      </c>
      <c r="P354" s="181">
        <v>2603.31</v>
      </c>
      <c r="Q354" s="180">
        <v>15000</v>
      </c>
    </row>
    <row r="355" spans="1:17" hidden="1">
      <c r="A355" s="175" t="s">
        <v>3766</v>
      </c>
      <c r="B355" s="175" t="s">
        <v>3744</v>
      </c>
      <c r="C355" s="176">
        <v>9</v>
      </c>
      <c r="D355" s="176">
        <v>83</v>
      </c>
      <c r="E355" s="175"/>
      <c r="F355" s="176">
        <v>74428675466257</v>
      </c>
      <c r="G355" s="176">
        <v>99</v>
      </c>
      <c r="H355" s="176">
        <v>0</v>
      </c>
      <c r="I355" s="175"/>
      <c r="J355" s="176">
        <v>1</v>
      </c>
      <c r="K355" s="175" t="s">
        <v>3742</v>
      </c>
      <c r="L355" s="181">
        <v>15702.48</v>
      </c>
      <c r="M355" s="176">
        <v>0</v>
      </c>
      <c r="N355" s="176">
        <v>0</v>
      </c>
      <c r="O355" s="176">
        <v>0</v>
      </c>
      <c r="P355" s="181">
        <v>3297.52</v>
      </c>
      <c r="Q355" s="180">
        <v>19000</v>
      </c>
    </row>
    <row r="356" spans="1:17" hidden="1">
      <c r="A356" s="175" t="s">
        <v>3766</v>
      </c>
      <c r="B356" s="175" t="s">
        <v>3744</v>
      </c>
      <c r="C356" s="176">
        <v>9</v>
      </c>
      <c r="D356" s="176">
        <v>84</v>
      </c>
      <c r="E356" s="175"/>
      <c r="F356" s="176">
        <v>74428683364455</v>
      </c>
      <c r="G356" s="176">
        <v>99</v>
      </c>
      <c r="H356" s="176">
        <v>0</v>
      </c>
      <c r="I356" s="175"/>
      <c r="J356" s="176">
        <v>1</v>
      </c>
      <c r="K356" s="175" t="s">
        <v>3742</v>
      </c>
      <c r="L356" s="181">
        <v>13223.14</v>
      </c>
      <c r="M356" s="176">
        <v>0</v>
      </c>
      <c r="N356" s="176">
        <v>0</v>
      </c>
      <c r="O356" s="176">
        <v>0</v>
      </c>
      <c r="P356" s="181">
        <v>2776.86</v>
      </c>
      <c r="Q356" s="180">
        <v>16000</v>
      </c>
    </row>
    <row r="357" spans="1:17" hidden="1">
      <c r="A357" s="175" t="s">
        <v>3766</v>
      </c>
      <c r="B357" s="175" t="s">
        <v>3744</v>
      </c>
      <c r="C357" s="176">
        <v>9</v>
      </c>
      <c r="D357" s="176">
        <v>85</v>
      </c>
      <c r="E357" s="175"/>
      <c r="F357" s="176">
        <v>74428690814622</v>
      </c>
      <c r="G357" s="176">
        <v>99</v>
      </c>
      <c r="H357" s="176">
        <v>0</v>
      </c>
      <c r="I357" s="175"/>
      <c r="J357" s="176">
        <v>1</v>
      </c>
      <c r="K357" s="175" t="s">
        <v>3742</v>
      </c>
      <c r="L357" s="181">
        <v>20661.16</v>
      </c>
      <c r="M357" s="176">
        <v>0</v>
      </c>
      <c r="N357" s="176">
        <v>0</v>
      </c>
      <c r="O357" s="176">
        <v>0</v>
      </c>
      <c r="P357" s="181">
        <v>4338.84</v>
      </c>
      <c r="Q357" s="180">
        <v>25000</v>
      </c>
    </row>
    <row r="358" spans="1:17" hidden="1">
      <c r="A358" s="175" t="s">
        <v>3766</v>
      </c>
      <c r="B358" s="175" t="s">
        <v>3744</v>
      </c>
      <c r="C358" s="176">
        <v>9</v>
      </c>
      <c r="D358" s="176">
        <v>86</v>
      </c>
      <c r="E358" s="175"/>
      <c r="F358" s="176">
        <v>74428705965823</v>
      </c>
      <c r="G358" s="176">
        <v>99</v>
      </c>
      <c r="H358" s="176">
        <v>0</v>
      </c>
      <c r="I358" s="175"/>
      <c r="J358" s="176">
        <v>1</v>
      </c>
      <c r="K358" s="175" t="s">
        <v>3742</v>
      </c>
      <c r="L358" s="179">
        <v>58512.4</v>
      </c>
      <c r="M358" s="176">
        <v>0</v>
      </c>
      <c r="N358" s="176">
        <v>0</v>
      </c>
      <c r="O358" s="176">
        <v>0</v>
      </c>
      <c r="P358" s="179">
        <v>12287.6</v>
      </c>
      <c r="Q358" s="180">
        <v>70800</v>
      </c>
    </row>
    <row r="359" spans="1:17" hidden="1">
      <c r="A359" s="175" t="s">
        <v>3766</v>
      </c>
      <c r="B359" s="175" t="s">
        <v>3744</v>
      </c>
      <c r="C359" s="176">
        <v>9</v>
      </c>
      <c r="D359" s="176">
        <v>87</v>
      </c>
      <c r="E359" s="175"/>
      <c r="F359" s="176">
        <v>74428717410406</v>
      </c>
      <c r="G359" s="176">
        <v>99</v>
      </c>
      <c r="H359" s="176">
        <v>0</v>
      </c>
      <c r="I359" s="175"/>
      <c r="J359" s="176">
        <v>1</v>
      </c>
      <c r="K359" s="175" t="s">
        <v>3742</v>
      </c>
      <c r="L359" s="181">
        <v>8595.0400000000009</v>
      </c>
      <c r="M359" s="176">
        <v>0</v>
      </c>
      <c r="N359" s="176">
        <v>0</v>
      </c>
      <c r="O359" s="176">
        <v>0</v>
      </c>
      <c r="P359" s="181">
        <v>1804.96</v>
      </c>
      <c r="Q359" s="180">
        <v>10400</v>
      </c>
    </row>
    <row r="360" spans="1:17" hidden="1">
      <c r="A360" s="175" t="s">
        <v>3766</v>
      </c>
      <c r="B360" s="175" t="s">
        <v>3744</v>
      </c>
      <c r="C360" s="176">
        <v>9</v>
      </c>
      <c r="D360" s="176">
        <v>88</v>
      </c>
      <c r="E360" s="175"/>
      <c r="F360" s="176">
        <v>74428722856818</v>
      </c>
      <c r="G360" s="176">
        <v>99</v>
      </c>
      <c r="H360" s="176">
        <v>0</v>
      </c>
      <c r="I360" s="175"/>
      <c r="J360" s="176">
        <v>1</v>
      </c>
      <c r="K360" s="175" t="s">
        <v>3742</v>
      </c>
      <c r="L360" s="181">
        <v>14669.42</v>
      </c>
      <c r="M360" s="176">
        <v>0</v>
      </c>
      <c r="N360" s="176">
        <v>0</v>
      </c>
      <c r="O360" s="176">
        <v>0</v>
      </c>
      <c r="P360" s="181">
        <v>3080.58</v>
      </c>
      <c r="Q360" s="180">
        <v>17750</v>
      </c>
    </row>
    <row r="361" spans="1:17" hidden="1">
      <c r="A361" s="175" t="s">
        <v>3766</v>
      </c>
      <c r="B361" s="175" t="s">
        <v>3744</v>
      </c>
      <c r="C361" s="176">
        <v>9</v>
      </c>
      <c r="D361" s="176">
        <v>89</v>
      </c>
      <c r="E361" s="175"/>
      <c r="F361" s="176">
        <v>74428731953968</v>
      </c>
      <c r="G361" s="176">
        <v>99</v>
      </c>
      <c r="H361" s="176">
        <v>0</v>
      </c>
      <c r="I361" s="175"/>
      <c r="J361" s="176">
        <v>1</v>
      </c>
      <c r="K361" s="175" t="s">
        <v>3742</v>
      </c>
      <c r="L361" s="181">
        <v>20661.16</v>
      </c>
      <c r="M361" s="176">
        <v>0</v>
      </c>
      <c r="N361" s="176">
        <v>0</v>
      </c>
      <c r="O361" s="176">
        <v>0</v>
      </c>
      <c r="P361" s="181">
        <v>4338.84</v>
      </c>
      <c r="Q361" s="180">
        <v>25000</v>
      </c>
    </row>
    <row r="362" spans="1:17" hidden="1">
      <c r="A362" s="175" t="s">
        <v>3766</v>
      </c>
      <c r="B362" s="175" t="s">
        <v>3744</v>
      </c>
      <c r="C362" s="176">
        <v>9</v>
      </c>
      <c r="D362" s="176">
        <v>90</v>
      </c>
      <c r="E362" s="175"/>
      <c r="F362" s="176">
        <v>74428736004102</v>
      </c>
      <c r="G362" s="176">
        <v>99</v>
      </c>
      <c r="H362" s="176">
        <v>0</v>
      </c>
      <c r="I362" s="175"/>
      <c r="J362" s="176">
        <v>1</v>
      </c>
      <c r="K362" s="175" t="s">
        <v>3742</v>
      </c>
      <c r="L362" s="179">
        <v>21487.599999999999</v>
      </c>
      <c r="M362" s="176">
        <v>0</v>
      </c>
      <c r="N362" s="176">
        <v>0</v>
      </c>
      <c r="O362" s="176">
        <v>0</v>
      </c>
      <c r="P362" s="179">
        <v>4512.3999999999996</v>
      </c>
      <c r="Q362" s="180">
        <v>26000</v>
      </c>
    </row>
    <row r="363" spans="1:17" hidden="1">
      <c r="A363" s="175" t="s">
        <v>3766</v>
      </c>
      <c r="B363" s="175" t="s">
        <v>3744</v>
      </c>
      <c r="C363" s="176">
        <v>9</v>
      </c>
      <c r="D363" s="176">
        <v>91</v>
      </c>
      <c r="E363" s="175"/>
      <c r="F363" s="176">
        <v>74428736498208</v>
      </c>
      <c r="G363" s="176">
        <v>99</v>
      </c>
      <c r="H363" s="176">
        <v>0</v>
      </c>
      <c r="I363" s="175"/>
      <c r="J363" s="176">
        <v>1</v>
      </c>
      <c r="K363" s="175" t="s">
        <v>3742</v>
      </c>
      <c r="L363" s="181">
        <v>29338.84</v>
      </c>
      <c r="M363" s="176">
        <v>0</v>
      </c>
      <c r="N363" s="176">
        <v>0</v>
      </c>
      <c r="O363" s="176">
        <v>0</v>
      </c>
      <c r="P363" s="181">
        <v>6161.16</v>
      </c>
      <c r="Q363" s="180">
        <v>35500</v>
      </c>
    </row>
    <row r="364" spans="1:17" hidden="1">
      <c r="A364" s="175" t="s">
        <v>3766</v>
      </c>
      <c r="B364" s="175" t="s">
        <v>3744</v>
      </c>
      <c r="C364" s="176">
        <v>9</v>
      </c>
      <c r="D364" s="176">
        <v>92</v>
      </c>
      <c r="E364" s="175"/>
      <c r="F364" s="176">
        <v>74428740975038</v>
      </c>
      <c r="G364" s="176">
        <v>99</v>
      </c>
      <c r="H364" s="176">
        <v>0</v>
      </c>
      <c r="I364" s="175"/>
      <c r="J364" s="176">
        <v>1</v>
      </c>
      <c r="K364" s="175" t="s">
        <v>3742</v>
      </c>
      <c r="L364" s="181">
        <v>11735.54</v>
      </c>
      <c r="M364" s="176">
        <v>0</v>
      </c>
      <c r="N364" s="176">
        <v>0</v>
      </c>
      <c r="O364" s="176">
        <v>0</v>
      </c>
      <c r="P364" s="181">
        <v>2464.46</v>
      </c>
      <c r="Q364" s="180">
        <v>14200</v>
      </c>
    </row>
    <row r="365" spans="1:17" hidden="1">
      <c r="A365" s="175" t="s">
        <v>3766</v>
      </c>
      <c r="B365" s="175" t="s">
        <v>3744</v>
      </c>
      <c r="C365" s="176">
        <v>9</v>
      </c>
      <c r="D365" s="176">
        <v>93</v>
      </c>
      <c r="E365" s="175"/>
      <c r="F365" s="176">
        <v>74428745551381</v>
      </c>
      <c r="G365" s="176">
        <v>99</v>
      </c>
      <c r="H365" s="176">
        <v>0</v>
      </c>
      <c r="I365" s="175"/>
      <c r="J365" s="176">
        <v>1</v>
      </c>
      <c r="K365" s="175" t="s">
        <v>3742</v>
      </c>
      <c r="L365" s="181">
        <v>1735.54</v>
      </c>
      <c r="M365" s="176">
        <v>0</v>
      </c>
      <c r="N365" s="176">
        <v>0</v>
      </c>
      <c r="O365" s="176">
        <v>0</v>
      </c>
      <c r="P365" s="181">
        <v>364.46</v>
      </c>
      <c r="Q365" s="180">
        <v>2100</v>
      </c>
    </row>
    <row r="366" spans="1:17" hidden="1">
      <c r="A366" s="175" t="s">
        <v>3768</v>
      </c>
      <c r="B366" s="175" t="s">
        <v>3744</v>
      </c>
      <c r="C366" s="176">
        <v>9</v>
      </c>
      <c r="D366" s="176">
        <v>94</v>
      </c>
      <c r="E366" s="175"/>
      <c r="F366" s="176">
        <v>74428816383579</v>
      </c>
      <c r="G366" s="176">
        <v>99</v>
      </c>
      <c r="H366" s="176">
        <v>0</v>
      </c>
      <c r="I366" s="175"/>
      <c r="J366" s="176">
        <v>1</v>
      </c>
      <c r="K366" s="175" t="s">
        <v>3742</v>
      </c>
      <c r="L366" s="181">
        <v>13223.14</v>
      </c>
      <c r="M366" s="176">
        <v>0</v>
      </c>
      <c r="N366" s="176">
        <v>0</v>
      </c>
      <c r="O366" s="176">
        <v>0</v>
      </c>
      <c r="P366" s="181">
        <v>2776.86</v>
      </c>
      <c r="Q366" s="180">
        <v>16000</v>
      </c>
    </row>
    <row r="367" spans="1:17" hidden="1">
      <c r="A367" s="175" t="s">
        <v>3768</v>
      </c>
      <c r="B367" s="175" t="s">
        <v>3744</v>
      </c>
      <c r="C367" s="176">
        <v>9</v>
      </c>
      <c r="D367" s="176">
        <v>95</v>
      </c>
      <c r="E367" s="175"/>
      <c r="F367" s="176">
        <v>74428818600473</v>
      </c>
      <c r="G367" s="176">
        <v>99</v>
      </c>
      <c r="H367" s="176">
        <v>0</v>
      </c>
      <c r="I367" s="175"/>
      <c r="J367" s="176">
        <v>1</v>
      </c>
      <c r="K367" s="175" t="s">
        <v>3742</v>
      </c>
      <c r="L367" s="181">
        <v>22314.05</v>
      </c>
      <c r="M367" s="176">
        <v>0</v>
      </c>
      <c r="N367" s="176">
        <v>0</v>
      </c>
      <c r="O367" s="176">
        <v>0</v>
      </c>
      <c r="P367" s="181">
        <v>4685.95</v>
      </c>
      <c r="Q367" s="180">
        <v>27000</v>
      </c>
    </row>
    <row r="368" spans="1:17" hidden="1">
      <c r="A368" s="175" t="s">
        <v>3768</v>
      </c>
      <c r="B368" s="175" t="s">
        <v>3744</v>
      </c>
      <c r="C368" s="176">
        <v>9</v>
      </c>
      <c r="D368" s="176">
        <v>96</v>
      </c>
      <c r="E368" s="175"/>
      <c r="F368" s="176">
        <v>74428830502014</v>
      </c>
      <c r="G368" s="176">
        <v>99</v>
      </c>
      <c r="H368" s="176">
        <v>0</v>
      </c>
      <c r="I368" s="175"/>
      <c r="J368" s="176">
        <v>1</v>
      </c>
      <c r="K368" s="175" t="s">
        <v>3742</v>
      </c>
      <c r="L368" s="179">
        <v>21487.599999999999</v>
      </c>
      <c r="M368" s="176">
        <v>0</v>
      </c>
      <c r="N368" s="176">
        <v>0</v>
      </c>
      <c r="O368" s="176">
        <v>0</v>
      </c>
      <c r="P368" s="179">
        <v>4512.3999999999996</v>
      </c>
      <c r="Q368" s="180">
        <v>26000</v>
      </c>
    </row>
    <row r="369" spans="1:17" hidden="1">
      <c r="A369" s="175" t="s">
        <v>3768</v>
      </c>
      <c r="B369" s="175" t="s">
        <v>3744</v>
      </c>
      <c r="C369" s="176">
        <v>9</v>
      </c>
      <c r="D369" s="176">
        <v>97</v>
      </c>
      <c r="E369" s="175"/>
      <c r="F369" s="176">
        <v>74428833181520</v>
      </c>
      <c r="G369" s="176">
        <v>99</v>
      </c>
      <c r="H369" s="176">
        <v>0</v>
      </c>
      <c r="I369" s="175"/>
      <c r="J369" s="176">
        <v>1</v>
      </c>
      <c r="K369" s="175" t="s">
        <v>3742</v>
      </c>
      <c r="L369" s="179">
        <v>10743.8</v>
      </c>
      <c r="M369" s="176">
        <v>0</v>
      </c>
      <c r="N369" s="176">
        <v>0</v>
      </c>
      <c r="O369" s="176">
        <v>0</v>
      </c>
      <c r="P369" s="179">
        <v>2256.1999999999998</v>
      </c>
      <c r="Q369" s="180">
        <v>13000</v>
      </c>
    </row>
    <row r="370" spans="1:17" hidden="1">
      <c r="A370" s="175" t="s">
        <v>3768</v>
      </c>
      <c r="B370" s="175" t="s">
        <v>3744</v>
      </c>
      <c r="C370" s="176">
        <v>9</v>
      </c>
      <c r="D370" s="176">
        <v>98</v>
      </c>
      <c r="E370" s="175"/>
      <c r="F370" s="176">
        <v>74428837333651</v>
      </c>
      <c r="G370" s="176">
        <v>99</v>
      </c>
      <c r="H370" s="176">
        <v>0</v>
      </c>
      <c r="I370" s="175"/>
      <c r="J370" s="176">
        <v>1</v>
      </c>
      <c r="K370" s="175" t="s">
        <v>3742</v>
      </c>
      <c r="L370" s="181">
        <v>12396.69</v>
      </c>
      <c r="M370" s="176">
        <v>0</v>
      </c>
      <c r="N370" s="176">
        <v>0</v>
      </c>
      <c r="O370" s="176">
        <v>0</v>
      </c>
      <c r="P370" s="181">
        <v>2603.31</v>
      </c>
      <c r="Q370" s="180">
        <v>15000</v>
      </c>
    </row>
    <row r="371" spans="1:17" hidden="1">
      <c r="A371" s="175" t="s">
        <v>3768</v>
      </c>
      <c r="B371" s="175" t="s">
        <v>3744</v>
      </c>
      <c r="C371" s="176">
        <v>9</v>
      </c>
      <c r="D371" s="176">
        <v>99</v>
      </c>
      <c r="E371" s="175"/>
      <c r="F371" s="176">
        <v>74428838359002</v>
      </c>
      <c r="G371" s="176">
        <v>99</v>
      </c>
      <c r="H371" s="176">
        <v>0</v>
      </c>
      <c r="I371" s="175"/>
      <c r="J371" s="176">
        <v>1</v>
      </c>
      <c r="K371" s="175" t="s">
        <v>3742</v>
      </c>
      <c r="L371" s="181">
        <v>14876.03</v>
      </c>
      <c r="M371" s="176">
        <v>0</v>
      </c>
      <c r="N371" s="176">
        <v>0</v>
      </c>
      <c r="O371" s="176">
        <v>0</v>
      </c>
      <c r="P371" s="181">
        <v>3123.97</v>
      </c>
      <c r="Q371" s="180">
        <v>18000</v>
      </c>
    </row>
    <row r="372" spans="1:17" hidden="1">
      <c r="A372" s="175" t="s">
        <v>3768</v>
      </c>
      <c r="B372" s="175" t="s">
        <v>3744</v>
      </c>
      <c r="C372" s="176">
        <v>9</v>
      </c>
      <c r="D372" s="176">
        <v>100</v>
      </c>
      <c r="E372" s="175"/>
      <c r="F372" s="176">
        <v>74428843654618</v>
      </c>
      <c r="G372" s="176">
        <v>99</v>
      </c>
      <c r="H372" s="176">
        <v>0</v>
      </c>
      <c r="I372" s="175"/>
      <c r="J372" s="176">
        <v>1</v>
      </c>
      <c r="K372" s="175" t="s">
        <v>3742</v>
      </c>
      <c r="L372" s="179">
        <v>23140.5</v>
      </c>
      <c r="M372" s="176">
        <v>0</v>
      </c>
      <c r="N372" s="176">
        <v>0</v>
      </c>
      <c r="O372" s="176">
        <v>0</v>
      </c>
      <c r="P372" s="179">
        <v>4859.5</v>
      </c>
      <c r="Q372" s="180">
        <v>28000</v>
      </c>
    </row>
    <row r="373" spans="1:17" hidden="1">
      <c r="A373" s="175" t="s">
        <v>3768</v>
      </c>
      <c r="B373" s="175" t="s">
        <v>3744</v>
      </c>
      <c r="C373" s="176">
        <v>9</v>
      </c>
      <c r="D373" s="176">
        <v>101</v>
      </c>
      <c r="E373" s="175"/>
      <c r="F373" s="176">
        <v>74428844217251</v>
      </c>
      <c r="G373" s="176">
        <v>99</v>
      </c>
      <c r="H373" s="176">
        <v>0</v>
      </c>
      <c r="I373" s="175"/>
      <c r="J373" s="176">
        <v>1</v>
      </c>
      <c r="K373" s="175" t="s">
        <v>3742</v>
      </c>
      <c r="L373" s="181">
        <v>14876.03</v>
      </c>
      <c r="M373" s="176">
        <v>0</v>
      </c>
      <c r="N373" s="176">
        <v>0</v>
      </c>
      <c r="O373" s="176">
        <v>0</v>
      </c>
      <c r="P373" s="181">
        <v>3123.97</v>
      </c>
      <c r="Q373" s="180">
        <v>18000</v>
      </c>
    </row>
    <row r="374" spans="1:17" hidden="1">
      <c r="A374" s="175" t="s">
        <v>3768</v>
      </c>
      <c r="B374" s="175" t="s">
        <v>3744</v>
      </c>
      <c r="C374" s="176">
        <v>9</v>
      </c>
      <c r="D374" s="176">
        <v>102</v>
      </c>
      <c r="E374" s="175"/>
      <c r="F374" s="176">
        <v>74428844784364</v>
      </c>
      <c r="G374" s="176">
        <v>99</v>
      </c>
      <c r="H374" s="176">
        <v>0</v>
      </c>
      <c r="I374" s="175"/>
      <c r="J374" s="176">
        <v>1</v>
      </c>
      <c r="K374" s="175" t="s">
        <v>3742</v>
      </c>
      <c r="L374" s="181">
        <v>25619.83</v>
      </c>
      <c r="M374" s="176">
        <v>0</v>
      </c>
      <c r="N374" s="176">
        <v>0</v>
      </c>
      <c r="O374" s="176">
        <v>0</v>
      </c>
      <c r="P374" s="181">
        <v>5380.17</v>
      </c>
      <c r="Q374" s="180">
        <v>31000</v>
      </c>
    </row>
    <row r="375" spans="1:17" hidden="1">
      <c r="A375" s="175" t="s">
        <v>3768</v>
      </c>
      <c r="B375" s="175" t="s">
        <v>3744</v>
      </c>
      <c r="C375" s="176">
        <v>9</v>
      </c>
      <c r="D375" s="176">
        <v>103</v>
      </c>
      <c r="E375" s="175"/>
      <c r="F375" s="176">
        <v>74428846784675</v>
      </c>
      <c r="G375" s="176">
        <v>99</v>
      </c>
      <c r="H375" s="176">
        <v>0</v>
      </c>
      <c r="I375" s="175"/>
      <c r="J375" s="176">
        <v>1</v>
      </c>
      <c r="K375" s="175" t="s">
        <v>3742</v>
      </c>
      <c r="L375" s="179">
        <v>21487.599999999999</v>
      </c>
      <c r="M375" s="176">
        <v>0</v>
      </c>
      <c r="N375" s="176">
        <v>0</v>
      </c>
      <c r="O375" s="176">
        <v>0</v>
      </c>
      <c r="P375" s="179">
        <v>4512.3999999999996</v>
      </c>
      <c r="Q375" s="180">
        <v>26000</v>
      </c>
    </row>
    <row r="376" spans="1:17" hidden="1">
      <c r="A376" s="175" t="s">
        <v>3768</v>
      </c>
      <c r="B376" s="175" t="s">
        <v>3744</v>
      </c>
      <c r="C376" s="176">
        <v>9</v>
      </c>
      <c r="D376" s="176">
        <v>104</v>
      </c>
      <c r="E376" s="175"/>
      <c r="F376" s="176">
        <v>74428847093535</v>
      </c>
      <c r="G376" s="176">
        <v>99</v>
      </c>
      <c r="H376" s="176">
        <v>0</v>
      </c>
      <c r="I376" s="175"/>
      <c r="J376" s="176">
        <v>1</v>
      </c>
      <c r="K376" s="175" t="s">
        <v>3742</v>
      </c>
      <c r="L376" s="181">
        <v>3471.07</v>
      </c>
      <c r="M376" s="176">
        <v>0</v>
      </c>
      <c r="N376" s="176">
        <v>0</v>
      </c>
      <c r="O376" s="176">
        <v>0</v>
      </c>
      <c r="P376" s="181">
        <v>728.93</v>
      </c>
      <c r="Q376" s="180">
        <v>4200</v>
      </c>
    </row>
    <row r="377" spans="1:17" hidden="1">
      <c r="A377" s="175" t="s">
        <v>3768</v>
      </c>
      <c r="B377" s="175" t="s">
        <v>3744</v>
      </c>
      <c r="C377" s="176">
        <v>9</v>
      </c>
      <c r="D377" s="176">
        <v>105</v>
      </c>
      <c r="E377" s="175"/>
      <c r="F377" s="176">
        <v>74428847806223</v>
      </c>
      <c r="G377" s="176">
        <v>99</v>
      </c>
      <c r="H377" s="176">
        <v>0</v>
      </c>
      <c r="I377" s="175"/>
      <c r="J377" s="176">
        <v>1</v>
      </c>
      <c r="K377" s="175" t="s">
        <v>3742</v>
      </c>
      <c r="L377" s="181">
        <v>36363.629999999997</v>
      </c>
      <c r="M377" s="176">
        <v>0</v>
      </c>
      <c r="N377" s="176">
        <v>0</v>
      </c>
      <c r="O377" s="176">
        <v>0</v>
      </c>
      <c r="P377" s="181">
        <v>7636.37</v>
      </c>
      <c r="Q377" s="180">
        <v>44000</v>
      </c>
    </row>
    <row r="378" spans="1:17" hidden="1">
      <c r="A378" s="175" t="s">
        <v>3768</v>
      </c>
      <c r="B378" s="175" t="s">
        <v>3744</v>
      </c>
      <c r="C378" s="176">
        <v>9</v>
      </c>
      <c r="D378" s="176">
        <v>106</v>
      </c>
      <c r="E378" s="175"/>
      <c r="F378" s="176">
        <v>74428849779641</v>
      </c>
      <c r="G378" s="176">
        <v>99</v>
      </c>
      <c r="H378" s="176">
        <v>0</v>
      </c>
      <c r="I378" s="175"/>
      <c r="J378" s="176">
        <v>1</v>
      </c>
      <c r="K378" s="175" t="s">
        <v>3742</v>
      </c>
      <c r="L378" s="181">
        <v>26033.06</v>
      </c>
      <c r="M378" s="176">
        <v>0</v>
      </c>
      <c r="N378" s="176">
        <v>0</v>
      </c>
      <c r="O378" s="176">
        <v>0</v>
      </c>
      <c r="P378" s="181">
        <v>5466.94</v>
      </c>
      <c r="Q378" s="180">
        <v>31500</v>
      </c>
    </row>
    <row r="379" spans="1:17" hidden="1">
      <c r="A379" s="175" t="s">
        <v>3768</v>
      </c>
      <c r="B379" s="175" t="s">
        <v>3744</v>
      </c>
      <c r="C379" s="176">
        <v>9</v>
      </c>
      <c r="D379" s="176">
        <v>107</v>
      </c>
      <c r="E379" s="175"/>
      <c r="F379" s="176">
        <v>74428851844104</v>
      </c>
      <c r="G379" s="176">
        <v>99</v>
      </c>
      <c r="H379" s="176">
        <v>0</v>
      </c>
      <c r="I379" s="175"/>
      <c r="J379" s="176">
        <v>1</v>
      </c>
      <c r="K379" s="175" t="s">
        <v>3742</v>
      </c>
      <c r="L379" s="179">
        <v>21487.599999999999</v>
      </c>
      <c r="M379" s="176">
        <v>0</v>
      </c>
      <c r="N379" s="176">
        <v>0</v>
      </c>
      <c r="O379" s="176">
        <v>0</v>
      </c>
      <c r="P379" s="179">
        <v>4512.3999999999996</v>
      </c>
      <c r="Q379" s="180">
        <v>26000</v>
      </c>
    </row>
    <row r="380" spans="1:17" hidden="1">
      <c r="A380" s="175" t="s">
        <v>3769</v>
      </c>
      <c r="B380" s="175" t="s">
        <v>3744</v>
      </c>
      <c r="C380" s="176">
        <v>9</v>
      </c>
      <c r="D380" s="176">
        <v>108</v>
      </c>
      <c r="E380" s="175"/>
      <c r="F380" s="176">
        <v>74428935507262</v>
      </c>
      <c r="G380" s="176">
        <v>99</v>
      </c>
      <c r="H380" s="176">
        <v>0</v>
      </c>
      <c r="I380" s="175"/>
      <c r="J380" s="176">
        <v>1</v>
      </c>
      <c r="K380" s="175" t="s">
        <v>3742</v>
      </c>
      <c r="L380" s="181">
        <v>15702.48</v>
      </c>
      <c r="M380" s="176">
        <v>0</v>
      </c>
      <c r="N380" s="176">
        <v>0</v>
      </c>
      <c r="O380" s="176">
        <v>0</v>
      </c>
      <c r="P380" s="181">
        <v>3297.52</v>
      </c>
      <c r="Q380" s="180">
        <v>19000</v>
      </c>
    </row>
    <row r="381" spans="1:17" hidden="1">
      <c r="A381" s="175" t="s">
        <v>3769</v>
      </c>
      <c r="B381" s="175" t="s">
        <v>3744</v>
      </c>
      <c r="C381" s="176">
        <v>9</v>
      </c>
      <c r="D381" s="176">
        <v>109</v>
      </c>
      <c r="E381" s="175"/>
      <c r="F381" s="176">
        <v>74428942998202</v>
      </c>
      <c r="G381" s="176">
        <v>99</v>
      </c>
      <c r="H381" s="176">
        <v>0</v>
      </c>
      <c r="I381" s="175"/>
      <c r="J381" s="176">
        <v>1</v>
      </c>
      <c r="K381" s="175" t="s">
        <v>3742</v>
      </c>
      <c r="L381" s="181">
        <v>29338.84</v>
      </c>
      <c r="M381" s="176">
        <v>0</v>
      </c>
      <c r="N381" s="176">
        <v>0</v>
      </c>
      <c r="O381" s="176">
        <v>0</v>
      </c>
      <c r="P381" s="181">
        <v>6161.16</v>
      </c>
      <c r="Q381" s="180">
        <v>35500</v>
      </c>
    </row>
    <row r="382" spans="1:17" hidden="1">
      <c r="A382" s="175" t="s">
        <v>3769</v>
      </c>
      <c r="B382" s="175" t="s">
        <v>3744</v>
      </c>
      <c r="C382" s="176">
        <v>9</v>
      </c>
      <c r="D382" s="176">
        <v>110</v>
      </c>
      <c r="E382" s="175"/>
      <c r="F382" s="176">
        <v>74428944110528</v>
      </c>
      <c r="G382" s="176">
        <v>99</v>
      </c>
      <c r="H382" s="176">
        <v>0</v>
      </c>
      <c r="I382" s="175"/>
      <c r="J382" s="176">
        <v>1</v>
      </c>
      <c r="K382" s="175" t="s">
        <v>3742</v>
      </c>
      <c r="L382" s="181">
        <v>25867.77</v>
      </c>
      <c r="M382" s="176">
        <v>0</v>
      </c>
      <c r="N382" s="176">
        <v>0</v>
      </c>
      <c r="O382" s="176">
        <v>0</v>
      </c>
      <c r="P382" s="181">
        <v>5432.23</v>
      </c>
      <c r="Q382" s="180">
        <v>31300</v>
      </c>
    </row>
    <row r="383" spans="1:17" hidden="1">
      <c r="A383" s="175" t="s">
        <v>3769</v>
      </c>
      <c r="B383" s="175" t="s">
        <v>3744</v>
      </c>
      <c r="C383" s="176">
        <v>9</v>
      </c>
      <c r="D383" s="176">
        <v>111</v>
      </c>
      <c r="E383" s="175"/>
      <c r="F383" s="176">
        <v>74428948496243</v>
      </c>
      <c r="G383" s="176">
        <v>99</v>
      </c>
      <c r="H383" s="176">
        <v>0</v>
      </c>
      <c r="I383" s="175"/>
      <c r="J383" s="176">
        <v>1</v>
      </c>
      <c r="K383" s="175" t="s">
        <v>3742</v>
      </c>
      <c r="L383" s="179">
        <v>21487.599999999999</v>
      </c>
      <c r="M383" s="176">
        <v>0</v>
      </c>
      <c r="N383" s="176">
        <v>0</v>
      </c>
      <c r="O383" s="176">
        <v>0</v>
      </c>
      <c r="P383" s="179">
        <v>4512.3999999999996</v>
      </c>
      <c r="Q383" s="180">
        <v>26000</v>
      </c>
    </row>
    <row r="384" spans="1:17" hidden="1">
      <c r="A384" s="175" t="s">
        <v>3769</v>
      </c>
      <c r="B384" s="175" t="s">
        <v>3744</v>
      </c>
      <c r="C384" s="176">
        <v>9</v>
      </c>
      <c r="D384" s="176">
        <v>112</v>
      </c>
      <c r="E384" s="175"/>
      <c r="F384" s="176">
        <v>74428948782035</v>
      </c>
      <c r="G384" s="176">
        <v>99</v>
      </c>
      <c r="H384" s="176">
        <v>0</v>
      </c>
      <c r="I384" s="175"/>
      <c r="J384" s="176">
        <v>1</v>
      </c>
      <c r="K384" s="175" t="s">
        <v>3742</v>
      </c>
      <c r="L384" s="181">
        <v>21157.02</v>
      </c>
      <c r="M384" s="176">
        <v>0</v>
      </c>
      <c r="N384" s="176">
        <v>0</v>
      </c>
      <c r="O384" s="176">
        <v>0</v>
      </c>
      <c r="P384" s="181">
        <v>4442.9799999999996</v>
      </c>
      <c r="Q384" s="180">
        <v>25600</v>
      </c>
    </row>
    <row r="385" spans="1:17" hidden="1">
      <c r="A385" s="175" t="s">
        <v>3769</v>
      </c>
      <c r="B385" s="175" t="s">
        <v>3744</v>
      </c>
      <c r="C385" s="176">
        <v>9</v>
      </c>
      <c r="D385" s="176">
        <v>113</v>
      </c>
      <c r="E385" s="175"/>
      <c r="F385" s="176">
        <v>74428950770472</v>
      </c>
      <c r="G385" s="176">
        <v>99</v>
      </c>
      <c r="H385" s="176">
        <v>0</v>
      </c>
      <c r="I385" s="175"/>
      <c r="J385" s="176">
        <v>1</v>
      </c>
      <c r="K385" s="175" t="s">
        <v>3742</v>
      </c>
      <c r="L385" s="181">
        <v>29338.84</v>
      </c>
      <c r="M385" s="176">
        <v>0</v>
      </c>
      <c r="N385" s="176">
        <v>0</v>
      </c>
      <c r="O385" s="176">
        <v>0</v>
      </c>
      <c r="P385" s="181">
        <v>6161.16</v>
      </c>
      <c r="Q385" s="180">
        <v>35500</v>
      </c>
    </row>
    <row r="386" spans="1:17" hidden="1">
      <c r="A386" s="175" t="s">
        <v>3769</v>
      </c>
      <c r="B386" s="175" t="s">
        <v>3744</v>
      </c>
      <c r="C386" s="176">
        <v>9</v>
      </c>
      <c r="D386" s="176">
        <v>114</v>
      </c>
      <c r="E386" s="175"/>
      <c r="F386" s="176">
        <v>74428954902183</v>
      </c>
      <c r="G386" s="176">
        <v>99</v>
      </c>
      <c r="H386" s="176">
        <v>0</v>
      </c>
      <c r="I386" s="175"/>
      <c r="J386" s="176">
        <v>1</v>
      </c>
      <c r="K386" s="175" t="s">
        <v>3742</v>
      </c>
      <c r="L386" s="179">
        <v>11487.6</v>
      </c>
      <c r="M386" s="176">
        <v>0</v>
      </c>
      <c r="N386" s="176">
        <v>0</v>
      </c>
      <c r="O386" s="176">
        <v>0</v>
      </c>
      <c r="P386" s="179">
        <v>2412.4</v>
      </c>
      <c r="Q386" s="180">
        <v>13900</v>
      </c>
    </row>
    <row r="387" spans="1:17" hidden="1">
      <c r="A387" s="175" t="s">
        <v>3769</v>
      </c>
      <c r="B387" s="175" t="s">
        <v>3744</v>
      </c>
      <c r="C387" s="176">
        <v>9</v>
      </c>
      <c r="D387" s="176">
        <v>115</v>
      </c>
      <c r="E387" s="175"/>
      <c r="F387" s="176">
        <v>74428961954611</v>
      </c>
      <c r="G387" s="176">
        <v>99</v>
      </c>
      <c r="H387" s="176">
        <v>0</v>
      </c>
      <c r="I387" s="175"/>
      <c r="J387" s="176">
        <v>1</v>
      </c>
      <c r="K387" s="175" t="s">
        <v>3742</v>
      </c>
      <c r="L387" s="181">
        <v>19834.71</v>
      </c>
      <c r="M387" s="176">
        <v>0</v>
      </c>
      <c r="N387" s="176">
        <v>0</v>
      </c>
      <c r="O387" s="176">
        <v>0</v>
      </c>
      <c r="P387" s="181">
        <v>4165.29</v>
      </c>
      <c r="Q387" s="180">
        <v>24000</v>
      </c>
    </row>
    <row r="388" spans="1:17" hidden="1">
      <c r="A388" s="175" t="s">
        <v>3769</v>
      </c>
      <c r="B388" s="175" t="s">
        <v>3744</v>
      </c>
      <c r="C388" s="176">
        <v>9</v>
      </c>
      <c r="D388" s="176">
        <v>116</v>
      </c>
      <c r="E388" s="175"/>
      <c r="F388" s="176">
        <v>74428977118469</v>
      </c>
      <c r="G388" s="176">
        <v>99</v>
      </c>
      <c r="H388" s="176">
        <v>0</v>
      </c>
      <c r="I388" s="175"/>
      <c r="J388" s="176">
        <v>1</v>
      </c>
      <c r="K388" s="175" t="s">
        <v>3742</v>
      </c>
      <c r="L388" s="181">
        <v>36363.629999999997</v>
      </c>
      <c r="M388" s="176">
        <v>0</v>
      </c>
      <c r="N388" s="176">
        <v>0</v>
      </c>
      <c r="O388" s="176">
        <v>0</v>
      </c>
      <c r="P388" s="181">
        <v>7636.37</v>
      </c>
      <c r="Q388" s="180">
        <v>44000</v>
      </c>
    </row>
    <row r="389" spans="1:17" hidden="1">
      <c r="A389" s="175" t="s">
        <v>3769</v>
      </c>
      <c r="B389" s="175" t="s">
        <v>3744</v>
      </c>
      <c r="C389" s="176">
        <v>9</v>
      </c>
      <c r="D389" s="176">
        <v>117</v>
      </c>
      <c r="E389" s="175"/>
      <c r="F389" s="176">
        <v>74428980179432</v>
      </c>
      <c r="G389" s="176">
        <v>99</v>
      </c>
      <c r="H389" s="176">
        <v>0</v>
      </c>
      <c r="I389" s="175"/>
      <c r="J389" s="176">
        <v>1</v>
      </c>
      <c r="K389" s="175" t="s">
        <v>3742</v>
      </c>
      <c r="L389" s="179">
        <v>10743.8</v>
      </c>
      <c r="M389" s="176">
        <v>0</v>
      </c>
      <c r="N389" s="176">
        <v>0</v>
      </c>
      <c r="O389" s="176">
        <v>0</v>
      </c>
      <c r="P389" s="179">
        <v>2256.1999999999998</v>
      </c>
      <c r="Q389" s="180">
        <v>13000</v>
      </c>
    </row>
    <row r="390" spans="1:17" hidden="1">
      <c r="A390" s="175" t="s">
        <v>3769</v>
      </c>
      <c r="B390" s="175" t="s">
        <v>3744</v>
      </c>
      <c r="C390" s="176">
        <v>9</v>
      </c>
      <c r="D390" s="176">
        <v>118</v>
      </c>
      <c r="E390" s="175"/>
      <c r="F390" s="176">
        <v>74428986703585</v>
      </c>
      <c r="G390" s="176">
        <v>99</v>
      </c>
      <c r="H390" s="176">
        <v>0</v>
      </c>
      <c r="I390" s="175"/>
      <c r="J390" s="176">
        <v>1</v>
      </c>
      <c r="K390" s="175" t="s">
        <v>3742</v>
      </c>
      <c r="L390" s="181">
        <v>44214.87</v>
      </c>
      <c r="M390" s="176">
        <v>0</v>
      </c>
      <c r="N390" s="176">
        <v>0</v>
      </c>
      <c r="O390" s="176">
        <v>0</v>
      </c>
      <c r="P390" s="181">
        <v>9285.1299999999992</v>
      </c>
      <c r="Q390" s="180">
        <v>53500</v>
      </c>
    </row>
    <row r="391" spans="1:17" hidden="1">
      <c r="A391" s="175" t="s">
        <v>3769</v>
      </c>
      <c r="B391" s="175" t="s">
        <v>3744</v>
      </c>
      <c r="C391" s="176">
        <v>9</v>
      </c>
      <c r="D391" s="176">
        <v>119</v>
      </c>
      <c r="E391" s="175"/>
      <c r="F391" s="176">
        <v>74428988763572</v>
      </c>
      <c r="G391" s="176">
        <v>99</v>
      </c>
      <c r="H391" s="176">
        <v>0</v>
      </c>
      <c r="I391" s="175"/>
      <c r="J391" s="176">
        <v>1</v>
      </c>
      <c r="K391" s="175" t="s">
        <v>3742</v>
      </c>
      <c r="L391" s="179">
        <v>33884.300000000003</v>
      </c>
      <c r="M391" s="176">
        <v>0</v>
      </c>
      <c r="N391" s="176">
        <v>0</v>
      </c>
      <c r="O391" s="176">
        <v>0</v>
      </c>
      <c r="P391" s="179">
        <v>7115.7</v>
      </c>
      <c r="Q391" s="180">
        <v>41000</v>
      </c>
    </row>
    <row r="392" spans="1:17" hidden="1">
      <c r="A392" s="175" t="s">
        <v>3769</v>
      </c>
      <c r="B392" s="175" t="s">
        <v>3744</v>
      </c>
      <c r="C392" s="176">
        <v>9</v>
      </c>
      <c r="D392" s="176">
        <v>120</v>
      </c>
      <c r="E392" s="175"/>
      <c r="F392" s="176">
        <v>74428994624431</v>
      </c>
      <c r="G392" s="176">
        <v>99</v>
      </c>
      <c r="H392" s="176">
        <v>0</v>
      </c>
      <c r="I392" s="175"/>
      <c r="J392" s="176">
        <v>1</v>
      </c>
      <c r="K392" s="175" t="s">
        <v>3742</v>
      </c>
      <c r="L392" s="181">
        <v>53636.36</v>
      </c>
      <c r="M392" s="176">
        <v>0</v>
      </c>
      <c r="N392" s="176">
        <v>0</v>
      </c>
      <c r="O392" s="176">
        <v>0</v>
      </c>
      <c r="P392" s="181">
        <v>11263.64</v>
      </c>
      <c r="Q392" s="180">
        <v>64900</v>
      </c>
    </row>
    <row r="393" spans="1:17" hidden="1">
      <c r="A393" s="175" t="s">
        <v>3769</v>
      </c>
      <c r="B393" s="175" t="s">
        <v>3744</v>
      </c>
      <c r="C393" s="176">
        <v>9</v>
      </c>
      <c r="D393" s="176">
        <v>121</v>
      </c>
      <c r="E393" s="175"/>
      <c r="F393" s="176">
        <v>74428995983922</v>
      </c>
      <c r="G393" s="176">
        <v>99</v>
      </c>
      <c r="H393" s="176">
        <v>0</v>
      </c>
      <c r="I393" s="175"/>
      <c r="J393" s="176">
        <v>1</v>
      </c>
      <c r="K393" s="175" t="s">
        <v>3742</v>
      </c>
      <c r="L393" s="181">
        <v>16528.93</v>
      </c>
      <c r="M393" s="176">
        <v>0</v>
      </c>
      <c r="N393" s="176">
        <v>0</v>
      </c>
      <c r="O393" s="176">
        <v>0</v>
      </c>
      <c r="P393" s="181">
        <v>3471.07</v>
      </c>
      <c r="Q393" s="180">
        <v>20000</v>
      </c>
    </row>
    <row r="394" spans="1:17" hidden="1">
      <c r="A394" s="175" t="s">
        <v>3769</v>
      </c>
      <c r="B394" s="175" t="s">
        <v>3744</v>
      </c>
      <c r="C394" s="176">
        <v>9</v>
      </c>
      <c r="D394" s="176">
        <v>122</v>
      </c>
      <c r="E394" s="175"/>
      <c r="F394" s="176">
        <v>74428997058451</v>
      </c>
      <c r="G394" s="176">
        <v>99</v>
      </c>
      <c r="H394" s="176">
        <v>0</v>
      </c>
      <c r="I394" s="175"/>
      <c r="J394" s="176">
        <v>1</v>
      </c>
      <c r="K394" s="175" t="s">
        <v>3742</v>
      </c>
      <c r="L394" s="181">
        <v>20661.16</v>
      </c>
      <c r="M394" s="176">
        <v>0</v>
      </c>
      <c r="N394" s="176">
        <v>0</v>
      </c>
      <c r="O394" s="176">
        <v>0</v>
      </c>
      <c r="P394" s="181">
        <v>4338.84</v>
      </c>
      <c r="Q394" s="180">
        <v>25000</v>
      </c>
    </row>
    <row r="395" spans="1:17" hidden="1">
      <c r="A395" s="175" t="s">
        <v>3769</v>
      </c>
      <c r="B395" s="175" t="s">
        <v>3744</v>
      </c>
      <c r="C395" s="176">
        <v>9</v>
      </c>
      <c r="D395" s="176">
        <v>123</v>
      </c>
      <c r="E395" s="175"/>
      <c r="F395" s="176">
        <v>74428998381324</v>
      </c>
      <c r="G395" s="176">
        <v>99</v>
      </c>
      <c r="H395" s="176">
        <v>0</v>
      </c>
      <c r="I395" s="175"/>
      <c r="J395" s="176">
        <v>1</v>
      </c>
      <c r="K395" s="175" t="s">
        <v>3742</v>
      </c>
      <c r="L395" s="181">
        <v>85123.97</v>
      </c>
      <c r="M395" s="176">
        <v>0</v>
      </c>
      <c r="N395" s="176">
        <v>0</v>
      </c>
      <c r="O395" s="176">
        <v>0</v>
      </c>
      <c r="P395" s="181">
        <v>17876.03</v>
      </c>
      <c r="Q395" s="180">
        <v>103000</v>
      </c>
    </row>
    <row r="396" spans="1:17" hidden="1">
      <c r="A396" s="175" t="s">
        <v>3770</v>
      </c>
      <c r="B396" s="175" t="s">
        <v>3744</v>
      </c>
      <c r="C396" s="176">
        <v>9</v>
      </c>
      <c r="D396" s="176">
        <v>124</v>
      </c>
      <c r="E396" s="175"/>
      <c r="F396" s="176">
        <v>74438239246999</v>
      </c>
      <c r="G396" s="176">
        <v>99</v>
      </c>
      <c r="H396" s="176">
        <v>0</v>
      </c>
      <c r="I396" s="175"/>
      <c r="J396" s="176">
        <v>1</v>
      </c>
      <c r="K396" s="175" t="s">
        <v>3742</v>
      </c>
      <c r="L396" s="181">
        <v>56859.51</v>
      </c>
      <c r="M396" s="176">
        <v>0</v>
      </c>
      <c r="N396" s="176">
        <v>0</v>
      </c>
      <c r="O396" s="176">
        <v>0</v>
      </c>
      <c r="P396" s="181">
        <v>11940.49</v>
      </c>
      <c r="Q396" s="180">
        <v>68800</v>
      </c>
    </row>
    <row r="397" spans="1:17" hidden="1">
      <c r="A397" s="175" t="s">
        <v>3770</v>
      </c>
      <c r="B397" s="175" t="s">
        <v>3744</v>
      </c>
      <c r="C397" s="176">
        <v>9</v>
      </c>
      <c r="D397" s="176">
        <v>125</v>
      </c>
      <c r="E397" s="175"/>
      <c r="F397" s="176">
        <v>74438254577199</v>
      </c>
      <c r="G397" s="176">
        <v>99</v>
      </c>
      <c r="H397" s="176">
        <v>0</v>
      </c>
      <c r="I397" s="175"/>
      <c r="J397" s="176">
        <v>1</v>
      </c>
      <c r="K397" s="175" t="s">
        <v>3742</v>
      </c>
      <c r="L397" s="179">
        <v>10743.8</v>
      </c>
      <c r="M397" s="176">
        <v>0</v>
      </c>
      <c r="N397" s="176">
        <v>0</v>
      </c>
      <c r="O397" s="176">
        <v>0</v>
      </c>
      <c r="P397" s="179">
        <v>2256.1999999999998</v>
      </c>
      <c r="Q397" s="180">
        <v>13000</v>
      </c>
    </row>
    <row r="398" spans="1:17" hidden="1">
      <c r="A398" s="175" t="s">
        <v>3770</v>
      </c>
      <c r="B398" s="175" t="s">
        <v>3744</v>
      </c>
      <c r="C398" s="176">
        <v>9</v>
      </c>
      <c r="D398" s="176">
        <v>126</v>
      </c>
      <c r="E398" s="175"/>
      <c r="F398" s="176">
        <v>74438255742409</v>
      </c>
      <c r="G398" s="176">
        <v>99</v>
      </c>
      <c r="H398" s="176">
        <v>0</v>
      </c>
      <c r="I398" s="175"/>
      <c r="J398" s="176">
        <v>1</v>
      </c>
      <c r="K398" s="175" t="s">
        <v>3742</v>
      </c>
      <c r="L398" s="179">
        <v>21487.599999999999</v>
      </c>
      <c r="M398" s="176">
        <v>0</v>
      </c>
      <c r="N398" s="176">
        <v>0</v>
      </c>
      <c r="O398" s="176">
        <v>0</v>
      </c>
      <c r="P398" s="179">
        <v>4512.3999999999996</v>
      </c>
      <c r="Q398" s="180">
        <v>26000</v>
      </c>
    </row>
    <row r="399" spans="1:17" hidden="1">
      <c r="A399" s="175" t="s">
        <v>3770</v>
      </c>
      <c r="B399" s="175" t="s">
        <v>3744</v>
      </c>
      <c r="C399" s="176">
        <v>9</v>
      </c>
      <c r="D399" s="176">
        <v>127</v>
      </c>
      <c r="E399" s="175"/>
      <c r="F399" s="176">
        <v>74438257203921</v>
      </c>
      <c r="G399" s="176">
        <v>99</v>
      </c>
      <c r="H399" s="176">
        <v>0</v>
      </c>
      <c r="I399" s="175"/>
      <c r="J399" s="176">
        <v>1</v>
      </c>
      <c r="K399" s="175" t="s">
        <v>3742</v>
      </c>
      <c r="L399" s="181">
        <v>5785.12</v>
      </c>
      <c r="M399" s="176">
        <v>0</v>
      </c>
      <c r="N399" s="176">
        <v>0</v>
      </c>
      <c r="O399" s="176">
        <v>0</v>
      </c>
      <c r="P399" s="181">
        <v>1214.8800000000001</v>
      </c>
      <c r="Q399" s="180">
        <v>7000</v>
      </c>
    </row>
    <row r="400" spans="1:17" hidden="1">
      <c r="A400" s="175" t="s">
        <v>3770</v>
      </c>
      <c r="B400" s="175" t="s">
        <v>3744</v>
      </c>
      <c r="C400" s="176">
        <v>9</v>
      </c>
      <c r="D400" s="176">
        <v>128</v>
      </c>
      <c r="E400" s="175"/>
      <c r="F400" s="176">
        <v>74438259422273</v>
      </c>
      <c r="G400" s="176">
        <v>99</v>
      </c>
      <c r="H400" s="176">
        <v>0</v>
      </c>
      <c r="I400" s="175"/>
      <c r="J400" s="176">
        <v>1</v>
      </c>
      <c r="K400" s="175" t="s">
        <v>3742</v>
      </c>
      <c r="L400" s="181">
        <v>12396.69</v>
      </c>
      <c r="M400" s="176">
        <v>0</v>
      </c>
      <c r="N400" s="176">
        <v>0</v>
      </c>
      <c r="O400" s="176">
        <v>0</v>
      </c>
      <c r="P400" s="181">
        <v>2603.31</v>
      </c>
      <c r="Q400" s="180">
        <v>15000</v>
      </c>
    </row>
    <row r="401" spans="1:17" hidden="1">
      <c r="A401" s="175" t="s">
        <v>3770</v>
      </c>
      <c r="B401" s="175" t="s">
        <v>3744</v>
      </c>
      <c r="C401" s="176">
        <v>9</v>
      </c>
      <c r="D401" s="176">
        <v>129</v>
      </c>
      <c r="E401" s="175"/>
      <c r="F401" s="176">
        <v>74438259582532</v>
      </c>
      <c r="G401" s="176">
        <v>99</v>
      </c>
      <c r="H401" s="176">
        <v>0</v>
      </c>
      <c r="I401" s="175"/>
      <c r="J401" s="176">
        <v>1</v>
      </c>
      <c r="K401" s="175" t="s">
        <v>3742</v>
      </c>
      <c r="L401" s="181">
        <v>5950.41</v>
      </c>
      <c r="M401" s="176">
        <v>0</v>
      </c>
      <c r="N401" s="176">
        <v>0</v>
      </c>
      <c r="O401" s="176">
        <v>0</v>
      </c>
      <c r="P401" s="181">
        <v>1249.5899999999999</v>
      </c>
      <c r="Q401" s="180">
        <v>7200</v>
      </c>
    </row>
    <row r="402" spans="1:17" hidden="1">
      <c r="A402" s="175" t="s">
        <v>3770</v>
      </c>
      <c r="B402" s="175" t="s">
        <v>3744</v>
      </c>
      <c r="C402" s="176">
        <v>9</v>
      </c>
      <c r="D402" s="176">
        <v>130</v>
      </c>
      <c r="E402" s="175"/>
      <c r="F402" s="176">
        <v>74438259843163</v>
      </c>
      <c r="G402" s="176">
        <v>99</v>
      </c>
      <c r="H402" s="176">
        <v>0</v>
      </c>
      <c r="I402" s="175"/>
      <c r="J402" s="176">
        <v>1</v>
      </c>
      <c r="K402" s="175" t="s">
        <v>3742</v>
      </c>
      <c r="L402" s="181">
        <v>16528.93</v>
      </c>
      <c r="M402" s="176">
        <v>0</v>
      </c>
      <c r="N402" s="176">
        <v>0</v>
      </c>
      <c r="O402" s="176">
        <v>0</v>
      </c>
      <c r="P402" s="181">
        <v>3471.07</v>
      </c>
      <c r="Q402" s="180">
        <v>20000</v>
      </c>
    </row>
    <row r="403" spans="1:17" hidden="1">
      <c r="A403" s="175" t="s">
        <v>3770</v>
      </c>
      <c r="B403" s="175" t="s">
        <v>3744</v>
      </c>
      <c r="C403" s="176">
        <v>9</v>
      </c>
      <c r="D403" s="176">
        <v>131</v>
      </c>
      <c r="E403" s="175"/>
      <c r="F403" s="176">
        <v>74438261279613</v>
      </c>
      <c r="G403" s="176">
        <v>99</v>
      </c>
      <c r="H403" s="176">
        <v>0</v>
      </c>
      <c r="I403" s="175"/>
      <c r="J403" s="176">
        <v>1</v>
      </c>
      <c r="K403" s="175" t="s">
        <v>3742</v>
      </c>
      <c r="L403" s="181">
        <v>14669.42</v>
      </c>
      <c r="M403" s="176">
        <v>0</v>
      </c>
      <c r="N403" s="176">
        <v>0</v>
      </c>
      <c r="O403" s="176">
        <v>0</v>
      </c>
      <c r="P403" s="181">
        <v>3080.58</v>
      </c>
      <c r="Q403" s="180">
        <v>17750</v>
      </c>
    </row>
    <row r="404" spans="1:17" hidden="1">
      <c r="A404" s="175" t="s">
        <v>3770</v>
      </c>
      <c r="B404" s="175" t="s">
        <v>3744</v>
      </c>
      <c r="C404" s="176">
        <v>9</v>
      </c>
      <c r="D404" s="176">
        <v>132</v>
      </c>
      <c r="E404" s="175"/>
      <c r="F404" s="176">
        <v>74438261728895</v>
      </c>
      <c r="G404" s="176">
        <v>99</v>
      </c>
      <c r="H404" s="176">
        <v>0</v>
      </c>
      <c r="I404" s="175"/>
      <c r="J404" s="176">
        <v>1</v>
      </c>
      <c r="K404" s="175" t="s">
        <v>3742</v>
      </c>
      <c r="L404" s="181">
        <v>5785.12</v>
      </c>
      <c r="M404" s="176">
        <v>0</v>
      </c>
      <c r="N404" s="176">
        <v>0</v>
      </c>
      <c r="O404" s="176">
        <v>0</v>
      </c>
      <c r="P404" s="181">
        <v>1214.8800000000001</v>
      </c>
      <c r="Q404" s="180">
        <v>7000</v>
      </c>
    </row>
    <row r="405" spans="1:17" hidden="1">
      <c r="A405" s="175" t="s">
        <v>3770</v>
      </c>
      <c r="B405" s="175" t="s">
        <v>3744</v>
      </c>
      <c r="C405" s="176">
        <v>9</v>
      </c>
      <c r="D405" s="176">
        <v>133</v>
      </c>
      <c r="E405" s="175"/>
      <c r="F405" s="176">
        <v>74438263828250</v>
      </c>
      <c r="G405" s="176">
        <v>99</v>
      </c>
      <c r="H405" s="176">
        <v>0</v>
      </c>
      <c r="I405" s="175"/>
      <c r="J405" s="176">
        <v>1</v>
      </c>
      <c r="K405" s="175" t="s">
        <v>3742</v>
      </c>
      <c r="L405" s="179">
        <v>10743.8</v>
      </c>
      <c r="M405" s="176">
        <v>0</v>
      </c>
      <c r="N405" s="176">
        <v>0</v>
      </c>
      <c r="O405" s="176">
        <v>0</v>
      </c>
      <c r="P405" s="179">
        <v>2256.1999999999998</v>
      </c>
      <c r="Q405" s="180">
        <v>13000</v>
      </c>
    </row>
    <row r="406" spans="1:17" hidden="1">
      <c r="A406" s="175" t="s">
        <v>3770</v>
      </c>
      <c r="B406" s="175" t="s">
        <v>3744</v>
      </c>
      <c r="C406" s="176">
        <v>9</v>
      </c>
      <c r="D406" s="176">
        <v>134</v>
      </c>
      <c r="E406" s="175"/>
      <c r="F406" s="176">
        <v>74438269526711</v>
      </c>
      <c r="G406" s="176">
        <v>99</v>
      </c>
      <c r="H406" s="176">
        <v>0</v>
      </c>
      <c r="I406" s="175"/>
      <c r="J406" s="176">
        <v>1</v>
      </c>
      <c r="K406" s="175" t="s">
        <v>3742</v>
      </c>
      <c r="L406" s="181">
        <v>115289.26</v>
      </c>
      <c r="M406" s="176">
        <v>0</v>
      </c>
      <c r="N406" s="176">
        <v>0</v>
      </c>
      <c r="O406" s="176">
        <v>0</v>
      </c>
      <c r="P406" s="181">
        <v>24210.74</v>
      </c>
      <c r="Q406" s="180">
        <v>139500</v>
      </c>
    </row>
    <row r="407" spans="1:17" hidden="1">
      <c r="A407" s="175" t="s">
        <v>3770</v>
      </c>
      <c r="B407" s="175" t="s">
        <v>3744</v>
      </c>
      <c r="C407" s="176">
        <v>9</v>
      </c>
      <c r="D407" s="176">
        <v>135</v>
      </c>
      <c r="E407" s="175"/>
      <c r="F407" s="176">
        <v>74438272291785</v>
      </c>
      <c r="G407" s="176">
        <v>99</v>
      </c>
      <c r="H407" s="176">
        <v>0</v>
      </c>
      <c r="I407" s="175"/>
      <c r="J407" s="176">
        <v>1</v>
      </c>
      <c r="K407" s="175" t="s">
        <v>3742</v>
      </c>
      <c r="L407" s="181">
        <v>23966.94</v>
      </c>
      <c r="M407" s="176">
        <v>0</v>
      </c>
      <c r="N407" s="176">
        <v>0</v>
      </c>
      <c r="O407" s="176">
        <v>0</v>
      </c>
      <c r="P407" s="181">
        <v>5033.0600000000004</v>
      </c>
      <c r="Q407" s="180">
        <v>29000</v>
      </c>
    </row>
    <row r="408" spans="1:17" hidden="1">
      <c r="A408" s="175" t="s">
        <v>3770</v>
      </c>
      <c r="B408" s="175" t="s">
        <v>3744</v>
      </c>
      <c r="C408" s="176">
        <v>9</v>
      </c>
      <c r="D408" s="176">
        <v>136</v>
      </c>
      <c r="E408" s="175"/>
      <c r="F408" s="176">
        <v>74438272575271</v>
      </c>
      <c r="G408" s="176">
        <v>99</v>
      </c>
      <c r="H408" s="176">
        <v>0</v>
      </c>
      <c r="I408" s="175"/>
      <c r="J408" s="176">
        <v>1</v>
      </c>
      <c r="K408" s="175" t="s">
        <v>3742</v>
      </c>
      <c r="L408" s="181">
        <v>15702.48</v>
      </c>
      <c r="M408" s="176">
        <v>0</v>
      </c>
      <c r="N408" s="176">
        <v>0</v>
      </c>
      <c r="O408" s="176">
        <v>0</v>
      </c>
      <c r="P408" s="181">
        <v>3297.52</v>
      </c>
      <c r="Q408" s="180">
        <v>19000</v>
      </c>
    </row>
    <row r="409" spans="1:17" hidden="1">
      <c r="A409" s="175" t="s">
        <v>3772</v>
      </c>
      <c r="B409" s="175" t="s">
        <v>3744</v>
      </c>
      <c r="C409" s="176">
        <v>9</v>
      </c>
      <c r="D409" s="176">
        <v>137</v>
      </c>
      <c r="E409" s="175"/>
      <c r="F409" s="176">
        <v>74438347808985</v>
      </c>
      <c r="G409" s="176">
        <v>99</v>
      </c>
      <c r="H409" s="176">
        <v>0</v>
      </c>
      <c r="I409" s="175"/>
      <c r="J409" s="176">
        <v>1</v>
      </c>
      <c r="K409" s="175" t="s">
        <v>3742</v>
      </c>
      <c r="L409" s="181">
        <v>14669.42</v>
      </c>
      <c r="M409" s="176">
        <v>0</v>
      </c>
      <c r="N409" s="176">
        <v>0</v>
      </c>
      <c r="O409" s="176">
        <v>0</v>
      </c>
      <c r="P409" s="181">
        <v>3080.58</v>
      </c>
      <c r="Q409" s="180">
        <v>17750</v>
      </c>
    </row>
    <row r="410" spans="1:17" hidden="1">
      <c r="A410" s="175" t="s">
        <v>3772</v>
      </c>
      <c r="B410" s="175" t="s">
        <v>3744</v>
      </c>
      <c r="C410" s="176">
        <v>9</v>
      </c>
      <c r="D410" s="176">
        <v>138</v>
      </c>
      <c r="E410" s="175"/>
      <c r="F410" s="176">
        <v>74438356678842</v>
      </c>
      <c r="G410" s="176">
        <v>99</v>
      </c>
      <c r="H410" s="176">
        <v>0</v>
      </c>
      <c r="I410" s="175"/>
      <c r="J410" s="176">
        <v>1</v>
      </c>
      <c r="K410" s="175" t="s">
        <v>3742</v>
      </c>
      <c r="L410" s="181">
        <v>23966.94</v>
      </c>
      <c r="M410" s="176">
        <v>0</v>
      </c>
      <c r="N410" s="176">
        <v>0</v>
      </c>
      <c r="O410" s="176">
        <v>0</v>
      </c>
      <c r="P410" s="181">
        <v>5033.0600000000004</v>
      </c>
      <c r="Q410" s="180">
        <v>29000</v>
      </c>
    </row>
    <row r="411" spans="1:17" hidden="1">
      <c r="A411" s="175" t="s">
        <v>3772</v>
      </c>
      <c r="B411" s="175" t="s">
        <v>3744</v>
      </c>
      <c r="C411" s="176">
        <v>9</v>
      </c>
      <c r="D411" s="176">
        <v>139</v>
      </c>
      <c r="E411" s="175"/>
      <c r="F411" s="176">
        <v>74438367248841</v>
      </c>
      <c r="G411" s="176">
        <v>99</v>
      </c>
      <c r="H411" s="176">
        <v>0</v>
      </c>
      <c r="I411" s="175"/>
      <c r="J411" s="176">
        <v>1</v>
      </c>
      <c r="K411" s="175" t="s">
        <v>3742</v>
      </c>
      <c r="L411" s="179">
        <v>21487.599999999999</v>
      </c>
      <c r="M411" s="176">
        <v>0</v>
      </c>
      <c r="N411" s="176">
        <v>0</v>
      </c>
      <c r="O411" s="176">
        <v>0</v>
      </c>
      <c r="P411" s="179">
        <v>4512.3999999999996</v>
      </c>
      <c r="Q411" s="180">
        <v>26000</v>
      </c>
    </row>
    <row r="412" spans="1:17" hidden="1">
      <c r="A412" s="175" t="s">
        <v>3772</v>
      </c>
      <c r="B412" s="175" t="s">
        <v>3744</v>
      </c>
      <c r="C412" s="176">
        <v>9</v>
      </c>
      <c r="D412" s="176">
        <v>140</v>
      </c>
      <c r="E412" s="175"/>
      <c r="F412" s="176">
        <v>74438370031950</v>
      </c>
      <c r="G412" s="176">
        <v>99</v>
      </c>
      <c r="H412" s="176">
        <v>0</v>
      </c>
      <c r="I412" s="175"/>
      <c r="J412" s="176">
        <v>1</v>
      </c>
      <c r="K412" s="175" t="s">
        <v>3742</v>
      </c>
      <c r="L412" s="179">
        <v>10743.8</v>
      </c>
      <c r="M412" s="176">
        <v>0</v>
      </c>
      <c r="N412" s="176">
        <v>0</v>
      </c>
      <c r="O412" s="176">
        <v>0</v>
      </c>
      <c r="P412" s="179">
        <v>2256.1999999999998</v>
      </c>
      <c r="Q412" s="180">
        <v>13000</v>
      </c>
    </row>
    <row r="413" spans="1:17" hidden="1">
      <c r="A413" s="175" t="s">
        <v>3772</v>
      </c>
      <c r="B413" s="175" t="s">
        <v>3744</v>
      </c>
      <c r="C413" s="176">
        <v>9</v>
      </c>
      <c r="D413" s="176">
        <v>141</v>
      </c>
      <c r="E413" s="175"/>
      <c r="F413" s="176">
        <v>74438374437974</v>
      </c>
      <c r="G413" s="176">
        <v>99</v>
      </c>
      <c r="H413" s="176">
        <v>0</v>
      </c>
      <c r="I413" s="175"/>
      <c r="J413" s="176">
        <v>1</v>
      </c>
      <c r="K413" s="175" t="s">
        <v>3742</v>
      </c>
      <c r="L413" s="181">
        <v>11570.25</v>
      </c>
      <c r="M413" s="176">
        <v>0</v>
      </c>
      <c r="N413" s="176">
        <v>0</v>
      </c>
      <c r="O413" s="176">
        <v>0</v>
      </c>
      <c r="P413" s="181">
        <v>2429.75</v>
      </c>
      <c r="Q413" s="180">
        <v>14000</v>
      </c>
    </row>
    <row r="414" spans="1:17" hidden="1">
      <c r="A414" s="175" t="s">
        <v>3772</v>
      </c>
      <c r="B414" s="175" t="s">
        <v>3744</v>
      </c>
      <c r="C414" s="176">
        <v>9</v>
      </c>
      <c r="D414" s="176">
        <v>142</v>
      </c>
      <c r="E414" s="175"/>
      <c r="F414" s="176">
        <v>74438380244230</v>
      </c>
      <c r="G414" s="176">
        <v>99</v>
      </c>
      <c r="H414" s="176">
        <v>0</v>
      </c>
      <c r="I414" s="175"/>
      <c r="J414" s="176">
        <v>1</v>
      </c>
      <c r="K414" s="175" t="s">
        <v>3742</v>
      </c>
      <c r="L414" s="181">
        <v>30495.87</v>
      </c>
      <c r="M414" s="176">
        <v>0</v>
      </c>
      <c r="N414" s="176">
        <v>0</v>
      </c>
      <c r="O414" s="176">
        <v>0</v>
      </c>
      <c r="P414" s="181">
        <v>6404.13</v>
      </c>
      <c r="Q414" s="180">
        <v>36900</v>
      </c>
    </row>
    <row r="415" spans="1:17" hidden="1">
      <c r="A415" s="175" t="s">
        <v>3772</v>
      </c>
      <c r="B415" s="175" t="s">
        <v>3744</v>
      </c>
      <c r="C415" s="176">
        <v>9</v>
      </c>
      <c r="D415" s="176">
        <v>143</v>
      </c>
      <c r="E415" s="175"/>
      <c r="F415" s="176">
        <v>74438389914975</v>
      </c>
      <c r="G415" s="176">
        <v>99</v>
      </c>
      <c r="H415" s="176">
        <v>0</v>
      </c>
      <c r="I415" s="175"/>
      <c r="J415" s="176">
        <v>1</v>
      </c>
      <c r="K415" s="175" t="s">
        <v>3742</v>
      </c>
      <c r="L415" s="181">
        <v>29752.07</v>
      </c>
      <c r="M415" s="176">
        <v>0</v>
      </c>
      <c r="N415" s="176">
        <v>0</v>
      </c>
      <c r="O415" s="176">
        <v>0</v>
      </c>
      <c r="P415" s="181">
        <v>6247.93</v>
      </c>
      <c r="Q415" s="180">
        <v>36000</v>
      </c>
    </row>
    <row r="416" spans="1:17" hidden="1">
      <c r="A416" s="175" t="s">
        <v>3772</v>
      </c>
      <c r="B416" s="175" t="s">
        <v>3744</v>
      </c>
      <c r="C416" s="176">
        <v>9</v>
      </c>
      <c r="D416" s="176">
        <v>144</v>
      </c>
      <c r="E416" s="175"/>
      <c r="F416" s="176">
        <v>74438392369031</v>
      </c>
      <c r="G416" s="176">
        <v>99</v>
      </c>
      <c r="H416" s="176">
        <v>0</v>
      </c>
      <c r="I416" s="175"/>
      <c r="J416" s="176">
        <v>1</v>
      </c>
      <c r="K416" s="175" t="s">
        <v>3742</v>
      </c>
      <c r="L416" s="179">
        <v>21487.599999999999</v>
      </c>
      <c r="M416" s="176">
        <v>0</v>
      </c>
      <c r="N416" s="176">
        <v>0</v>
      </c>
      <c r="O416" s="176">
        <v>0</v>
      </c>
      <c r="P416" s="179">
        <v>4512.3999999999996</v>
      </c>
      <c r="Q416" s="180">
        <v>26000</v>
      </c>
    </row>
    <row r="417" spans="1:17" hidden="1">
      <c r="A417" s="175" t="s">
        <v>3772</v>
      </c>
      <c r="B417" s="175" t="s">
        <v>3744</v>
      </c>
      <c r="C417" s="176">
        <v>9</v>
      </c>
      <c r="D417" s="176">
        <v>145</v>
      </c>
      <c r="E417" s="175"/>
      <c r="F417" s="176">
        <v>74438393479545</v>
      </c>
      <c r="G417" s="176">
        <v>99</v>
      </c>
      <c r="H417" s="176">
        <v>0</v>
      </c>
      <c r="I417" s="175"/>
      <c r="J417" s="176">
        <v>1</v>
      </c>
      <c r="K417" s="175" t="s">
        <v>3742</v>
      </c>
      <c r="L417" s="179">
        <v>10743.8</v>
      </c>
      <c r="M417" s="176">
        <v>0</v>
      </c>
      <c r="N417" s="176">
        <v>0</v>
      </c>
      <c r="O417" s="176">
        <v>0</v>
      </c>
      <c r="P417" s="179">
        <v>2256.1999999999998</v>
      </c>
      <c r="Q417" s="180">
        <v>13000</v>
      </c>
    </row>
    <row r="418" spans="1:17" hidden="1">
      <c r="A418" s="175" t="s">
        <v>3772</v>
      </c>
      <c r="B418" s="175" t="s">
        <v>3744</v>
      </c>
      <c r="C418" s="176">
        <v>9</v>
      </c>
      <c r="D418" s="176">
        <v>146</v>
      </c>
      <c r="E418" s="175"/>
      <c r="F418" s="176">
        <v>74438393606388</v>
      </c>
      <c r="G418" s="176">
        <v>99</v>
      </c>
      <c r="H418" s="176">
        <v>0</v>
      </c>
      <c r="I418" s="175"/>
      <c r="J418" s="176">
        <v>1</v>
      </c>
      <c r="K418" s="175" t="s">
        <v>3742</v>
      </c>
      <c r="L418" s="179">
        <v>21487.599999999999</v>
      </c>
      <c r="M418" s="176">
        <v>0</v>
      </c>
      <c r="N418" s="176">
        <v>0</v>
      </c>
      <c r="O418" s="176">
        <v>0</v>
      </c>
      <c r="P418" s="179">
        <v>4512.3999999999996</v>
      </c>
      <c r="Q418" s="180">
        <v>26000</v>
      </c>
    </row>
    <row r="419" spans="1:17" hidden="1">
      <c r="A419" s="175" t="s">
        <v>3772</v>
      </c>
      <c r="B419" s="175" t="s">
        <v>3744</v>
      </c>
      <c r="C419" s="176">
        <v>9</v>
      </c>
      <c r="D419" s="176">
        <v>147</v>
      </c>
      <c r="E419" s="175"/>
      <c r="F419" s="176">
        <v>74438398279627</v>
      </c>
      <c r="G419" s="176">
        <v>99</v>
      </c>
      <c r="H419" s="176">
        <v>0</v>
      </c>
      <c r="I419" s="175"/>
      <c r="J419" s="176">
        <v>1</v>
      </c>
      <c r="K419" s="175" t="s">
        <v>3742</v>
      </c>
      <c r="L419" s="179">
        <v>10743.8</v>
      </c>
      <c r="M419" s="176">
        <v>0</v>
      </c>
      <c r="N419" s="176">
        <v>0</v>
      </c>
      <c r="O419" s="176">
        <v>0</v>
      </c>
      <c r="P419" s="179">
        <v>2256.1999999999998</v>
      </c>
      <c r="Q419" s="180">
        <v>13000</v>
      </c>
    </row>
    <row r="420" spans="1:17" hidden="1">
      <c r="A420" s="175" t="s">
        <v>3772</v>
      </c>
      <c r="B420" s="175" t="s">
        <v>3744</v>
      </c>
      <c r="C420" s="176">
        <v>9</v>
      </c>
      <c r="D420" s="176">
        <v>148</v>
      </c>
      <c r="E420" s="175"/>
      <c r="F420" s="176">
        <v>74438405014605</v>
      </c>
      <c r="G420" s="176">
        <v>99</v>
      </c>
      <c r="H420" s="176">
        <v>0</v>
      </c>
      <c r="I420" s="175"/>
      <c r="J420" s="176">
        <v>1</v>
      </c>
      <c r="K420" s="175" t="s">
        <v>3742</v>
      </c>
      <c r="L420" s="181">
        <v>14669.42</v>
      </c>
      <c r="M420" s="176">
        <v>0</v>
      </c>
      <c r="N420" s="176">
        <v>0</v>
      </c>
      <c r="O420" s="176">
        <v>0</v>
      </c>
      <c r="P420" s="181">
        <v>3080.58</v>
      </c>
      <c r="Q420" s="180">
        <v>17750</v>
      </c>
    </row>
    <row r="421" spans="1:17" hidden="1">
      <c r="A421" s="175" t="s">
        <v>3772</v>
      </c>
      <c r="B421" s="175" t="s">
        <v>3744</v>
      </c>
      <c r="C421" s="176">
        <v>9</v>
      </c>
      <c r="D421" s="176">
        <v>149</v>
      </c>
      <c r="E421" s="175"/>
      <c r="F421" s="176">
        <v>74438405815102</v>
      </c>
      <c r="G421" s="176">
        <v>99</v>
      </c>
      <c r="H421" s="176">
        <v>0</v>
      </c>
      <c r="I421" s="175"/>
      <c r="J421" s="176">
        <v>1</v>
      </c>
      <c r="K421" s="175" t="s">
        <v>3742</v>
      </c>
      <c r="L421" s="179">
        <v>10743.8</v>
      </c>
      <c r="M421" s="176">
        <v>0</v>
      </c>
      <c r="N421" s="176">
        <v>0</v>
      </c>
      <c r="O421" s="176">
        <v>0</v>
      </c>
      <c r="P421" s="179">
        <v>2256.1999999999998</v>
      </c>
      <c r="Q421" s="180">
        <v>13000</v>
      </c>
    </row>
    <row r="422" spans="1:17" hidden="1">
      <c r="A422" s="175" t="s">
        <v>3772</v>
      </c>
      <c r="B422" s="175" t="s">
        <v>3744</v>
      </c>
      <c r="C422" s="176">
        <v>9</v>
      </c>
      <c r="D422" s="176">
        <v>150</v>
      </c>
      <c r="E422" s="175"/>
      <c r="F422" s="176">
        <v>74438406904562</v>
      </c>
      <c r="G422" s="176">
        <v>99</v>
      </c>
      <c r="H422" s="176">
        <v>0</v>
      </c>
      <c r="I422" s="175"/>
      <c r="J422" s="176">
        <v>1</v>
      </c>
      <c r="K422" s="175" t="s">
        <v>3742</v>
      </c>
      <c r="L422" s="181">
        <v>8595.0400000000009</v>
      </c>
      <c r="M422" s="176">
        <v>0</v>
      </c>
      <c r="N422" s="176">
        <v>0</v>
      </c>
      <c r="O422" s="176">
        <v>0</v>
      </c>
      <c r="P422" s="181">
        <v>1804.96</v>
      </c>
      <c r="Q422" s="180">
        <v>10400</v>
      </c>
    </row>
    <row r="423" spans="1:17" hidden="1">
      <c r="A423" s="175" t="s">
        <v>3772</v>
      </c>
      <c r="B423" s="175" t="s">
        <v>3744</v>
      </c>
      <c r="C423" s="176">
        <v>9</v>
      </c>
      <c r="D423" s="176">
        <v>151</v>
      </c>
      <c r="E423" s="175"/>
      <c r="F423" s="176">
        <v>74438407930835</v>
      </c>
      <c r="G423" s="176">
        <v>99</v>
      </c>
      <c r="H423" s="176">
        <v>0</v>
      </c>
      <c r="I423" s="175"/>
      <c r="J423" s="176">
        <v>1</v>
      </c>
      <c r="K423" s="175" t="s">
        <v>3742</v>
      </c>
      <c r="L423" s="181">
        <v>15702.48</v>
      </c>
      <c r="M423" s="176">
        <v>0</v>
      </c>
      <c r="N423" s="176">
        <v>0</v>
      </c>
      <c r="O423" s="176">
        <v>0</v>
      </c>
      <c r="P423" s="181">
        <v>3297.52</v>
      </c>
      <c r="Q423" s="180">
        <v>19000</v>
      </c>
    </row>
    <row r="424" spans="1:17" hidden="1">
      <c r="A424" s="175" t="s">
        <v>3772</v>
      </c>
      <c r="B424" s="175" t="s">
        <v>3744</v>
      </c>
      <c r="C424" s="176">
        <v>9</v>
      </c>
      <c r="D424" s="176">
        <v>152</v>
      </c>
      <c r="E424" s="175"/>
      <c r="F424" s="176">
        <v>74438412298599</v>
      </c>
      <c r="G424" s="176">
        <v>99</v>
      </c>
      <c r="H424" s="176">
        <v>0</v>
      </c>
      <c r="I424" s="175"/>
      <c r="J424" s="176">
        <v>1</v>
      </c>
      <c r="K424" s="175" t="s">
        <v>3742</v>
      </c>
      <c r="L424" s="179">
        <v>10743.8</v>
      </c>
      <c r="M424" s="176">
        <v>0</v>
      </c>
      <c r="N424" s="176">
        <v>0</v>
      </c>
      <c r="O424" s="176">
        <v>0</v>
      </c>
      <c r="P424" s="179">
        <v>2256.1999999999998</v>
      </c>
      <c r="Q424" s="180">
        <v>13000</v>
      </c>
    </row>
    <row r="425" spans="1:17" hidden="1">
      <c r="A425" s="175" t="s">
        <v>3773</v>
      </c>
      <c r="B425" s="175" t="s">
        <v>3744</v>
      </c>
      <c r="C425" s="176">
        <v>9</v>
      </c>
      <c r="D425" s="176">
        <v>153</v>
      </c>
      <c r="E425" s="175"/>
      <c r="F425" s="176">
        <v>74438508198539</v>
      </c>
      <c r="G425" s="176">
        <v>99</v>
      </c>
      <c r="H425" s="176">
        <v>0</v>
      </c>
      <c r="I425" s="175"/>
      <c r="J425" s="176">
        <v>1</v>
      </c>
      <c r="K425" s="175" t="s">
        <v>3742</v>
      </c>
      <c r="L425" s="181">
        <v>20661.16</v>
      </c>
      <c r="M425" s="176">
        <v>0</v>
      </c>
      <c r="N425" s="176">
        <v>0</v>
      </c>
      <c r="O425" s="176">
        <v>0</v>
      </c>
      <c r="P425" s="181">
        <v>4338.84</v>
      </c>
      <c r="Q425" s="180">
        <v>25000</v>
      </c>
    </row>
    <row r="426" spans="1:17" hidden="1">
      <c r="A426" s="175" t="s">
        <v>3773</v>
      </c>
      <c r="B426" s="175" t="s">
        <v>3744</v>
      </c>
      <c r="C426" s="176">
        <v>9</v>
      </c>
      <c r="D426" s="176">
        <v>154</v>
      </c>
      <c r="E426" s="175"/>
      <c r="F426" s="176">
        <v>74438528043257</v>
      </c>
      <c r="G426" s="176">
        <v>99</v>
      </c>
      <c r="H426" s="176">
        <v>0</v>
      </c>
      <c r="I426" s="175"/>
      <c r="J426" s="176">
        <v>1</v>
      </c>
      <c r="K426" s="175" t="s">
        <v>3742</v>
      </c>
      <c r="L426" s="181">
        <v>16528.93</v>
      </c>
      <c r="M426" s="176">
        <v>0</v>
      </c>
      <c r="N426" s="176">
        <v>0</v>
      </c>
      <c r="O426" s="176">
        <v>0</v>
      </c>
      <c r="P426" s="181">
        <v>3471.07</v>
      </c>
      <c r="Q426" s="180">
        <v>20000</v>
      </c>
    </row>
    <row r="427" spans="1:17" hidden="1">
      <c r="A427" s="175" t="s">
        <v>3773</v>
      </c>
      <c r="B427" s="175" t="s">
        <v>3744</v>
      </c>
      <c r="C427" s="176">
        <v>9</v>
      </c>
      <c r="D427" s="176">
        <v>155</v>
      </c>
      <c r="E427" s="175"/>
      <c r="F427" s="176">
        <v>74438529234556</v>
      </c>
      <c r="G427" s="176">
        <v>99</v>
      </c>
      <c r="H427" s="176">
        <v>0</v>
      </c>
      <c r="I427" s="175"/>
      <c r="J427" s="176">
        <v>1</v>
      </c>
      <c r="K427" s="175" t="s">
        <v>3742</v>
      </c>
      <c r="L427" s="179">
        <v>18512.400000000001</v>
      </c>
      <c r="M427" s="176">
        <v>0</v>
      </c>
      <c r="N427" s="176">
        <v>0</v>
      </c>
      <c r="O427" s="176">
        <v>0</v>
      </c>
      <c r="P427" s="179">
        <v>3887.6</v>
      </c>
      <c r="Q427" s="180">
        <v>22400</v>
      </c>
    </row>
    <row r="428" spans="1:17" hidden="1">
      <c r="A428" s="175" t="s">
        <v>3773</v>
      </c>
      <c r="B428" s="175" t="s">
        <v>3744</v>
      </c>
      <c r="C428" s="176">
        <v>9</v>
      </c>
      <c r="D428" s="176">
        <v>156</v>
      </c>
      <c r="E428" s="175"/>
      <c r="F428" s="176">
        <v>74438531153080</v>
      </c>
      <c r="G428" s="176">
        <v>99</v>
      </c>
      <c r="H428" s="176">
        <v>0</v>
      </c>
      <c r="I428" s="175"/>
      <c r="J428" s="176">
        <v>1</v>
      </c>
      <c r="K428" s="175" t="s">
        <v>3742</v>
      </c>
      <c r="L428" s="181">
        <v>11570.25</v>
      </c>
      <c r="M428" s="176">
        <v>0</v>
      </c>
      <c r="N428" s="176">
        <v>0</v>
      </c>
      <c r="O428" s="176">
        <v>0</v>
      </c>
      <c r="P428" s="181">
        <v>2429.75</v>
      </c>
      <c r="Q428" s="180">
        <v>14000</v>
      </c>
    </row>
    <row r="429" spans="1:17" hidden="1">
      <c r="A429" s="175" t="s">
        <v>3773</v>
      </c>
      <c r="B429" s="175" t="s">
        <v>3744</v>
      </c>
      <c r="C429" s="176">
        <v>9</v>
      </c>
      <c r="D429" s="176">
        <v>157</v>
      </c>
      <c r="E429" s="175"/>
      <c r="F429" s="176">
        <v>74438605517596</v>
      </c>
      <c r="G429" s="176">
        <v>99</v>
      </c>
      <c r="H429" s="176">
        <v>0</v>
      </c>
      <c r="I429" s="175"/>
      <c r="J429" s="176">
        <v>1</v>
      </c>
      <c r="K429" s="175" t="s">
        <v>3742</v>
      </c>
      <c r="L429" s="181">
        <v>20661.16</v>
      </c>
      <c r="M429" s="176">
        <v>0</v>
      </c>
      <c r="N429" s="176">
        <v>0</v>
      </c>
      <c r="O429" s="176">
        <v>0</v>
      </c>
      <c r="P429" s="181">
        <v>4338.84</v>
      </c>
      <c r="Q429" s="180">
        <v>25000</v>
      </c>
    </row>
    <row r="430" spans="1:17" hidden="1">
      <c r="A430" s="175" t="s">
        <v>3774</v>
      </c>
      <c r="B430" s="175" t="s">
        <v>3744</v>
      </c>
      <c r="C430" s="176">
        <v>9</v>
      </c>
      <c r="D430" s="176">
        <v>158</v>
      </c>
      <c r="E430" s="175"/>
      <c r="F430" s="176">
        <v>74438717051849</v>
      </c>
      <c r="G430" s="176">
        <v>99</v>
      </c>
      <c r="H430" s="176">
        <v>0</v>
      </c>
      <c r="I430" s="175"/>
      <c r="J430" s="176">
        <v>1</v>
      </c>
      <c r="K430" s="175" t="s">
        <v>3742</v>
      </c>
      <c r="L430" s="181">
        <v>29338.84</v>
      </c>
      <c r="M430" s="176">
        <v>0</v>
      </c>
      <c r="N430" s="176">
        <v>0</v>
      </c>
      <c r="O430" s="176">
        <v>0</v>
      </c>
      <c r="P430" s="181">
        <v>6161.16</v>
      </c>
      <c r="Q430" s="180">
        <v>35500</v>
      </c>
    </row>
    <row r="431" spans="1:17" hidden="1">
      <c r="A431" s="175" t="s">
        <v>3774</v>
      </c>
      <c r="B431" s="175" t="s">
        <v>3744</v>
      </c>
      <c r="C431" s="176">
        <v>9</v>
      </c>
      <c r="D431" s="176">
        <v>159</v>
      </c>
      <c r="E431" s="175"/>
      <c r="F431" s="176">
        <v>74438721427584</v>
      </c>
      <c r="G431" s="176">
        <v>99</v>
      </c>
      <c r="H431" s="176">
        <v>0</v>
      </c>
      <c r="I431" s="175"/>
      <c r="J431" s="176">
        <v>1</v>
      </c>
      <c r="K431" s="175" t="s">
        <v>3742</v>
      </c>
      <c r="L431" s="181">
        <v>12396.69</v>
      </c>
      <c r="M431" s="176">
        <v>0</v>
      </c>
      <c r="N431" s="176">
        <v>0</v>
      </c>
      <c r="O431" s="176">
        <v>0</v>
      </c>
      <c r="P431" s="181">
        <v>2603.31</v>
      </c>
      <c r="Q431" s="180">
        <v>15000</v>
      </c>
    </row>
    <row r="432" spans="1:17" hidden="1">
      <c r="A432" s="175" t="s">
        <v>3774</v>
      </c>
      <c r="B432" s="175" t="s">
        <v>3744</v>
      </c>
      <c r="C432" s="176">
        <v>9</v>
      </c>
      <c r="D432" s="176">
        <v>160</v>
      </c>
      <c r="E432" s="175"/>
      <c r="F432" s="176">
        <v>74438722410056</v>
      </c>
      <c r="G432" s="176">
        <v>99</v>
      </c>
      <c r="H432" s="176">
        <v>0</v>
      </c>
      <c r="I432" s="175"/>
      <c r="J432" s="176">
        <v>1</v>
      </c>
      <c r="K432" s="175" t="s">
        <v>3742</v>
      </c>
      <c r="L432" s="181">
        <v>13223.14</v>
      </c>
      <c r="M432" s="176">
        <v>0</v>
      </c>
      <c r="N432" s="176">
        <v>0</v>
      </c>
      <c r="O432" s="176">
        <v>0</v>
      </c>
      <c r="P432" s="181">
        <v>2776.86</v>
      </c>
      <c r="Q432" s="180">
        <v>16000</v>
      </c>
    </row>
    <row r="433" spans="1:17" hidden="1">
      <c r="A433" s="175" t="s">
        <v>3774</v>
      </c>
      <c r="B433" s="175" t="s">
        <v>3744</v>
      </c>
      <c r="C433" s="176">
        <v>9</v>
      </c>
      <c r="D433" s="176">
        <v>161</v>
      </c>
      <c r="E433" s="175"/>
      <c r="F433" s="176">
        <v>74438725814970</v>
      </c>
      <c r="G433" s="176">
        <v>99</v>
      </c>
      <c r="H433" s="176">
        <v>0</v>
      </c>
      <c r="I433" s="175"/>
      <c r="J433" s="176">
        <v>1</v>
      </c>
      <c r="K433" s="175" t="s">
        <v>3742</v>
      </c>
      <c r="L433" s="181">
        <v>41322.31</v>
      </c>
      <c r="M433" s="176">
        <v>0</v>
      </c>
      <c r="N433" s="176">
        <v>0</v>
      </c>
      <c r="O433" s="176">
        <v>0</v>
      </c>
      <c r="P433" s="181">
        <v>8677.69</v>
      </c>
      <c r="Q433" s="180">
        <v>50000</v>
      </c>
    </row>
    <row r="434" spans="1:17" hidden="1">
      <c r="A434" s="175" t="s">
        <v>3774</v>
      </c>
      <c r="B434" s="175" t="s">
        <v>3744</v>
      </c>
      <c r="C434" s="176">
        <v>9</v>
      </c>
      <c r="D434" s="176">
        <v>162</v>
      </c>
      <c r="E434" s="175"/>
      <c r="F434" s="176">
        <v>74438727049975</v>
      </c>
      <c r="G434" s="176">
        <v>99</v>
      </c>
      <c r="H434" s="176">
        <v>0</v>
      </c>
      <c r="I434" s="175"/>
      <c r="J434" s="176">
        <v>1</v>
      </c>
      <c r="K434" s="175" t="s">
        <v>3742</v>
      </c>
      <c r="L434" s="179">
        <v>21487.599999999999</v>
      </c>
      <c r="M434" s="176">
        <v>0</v>
      </c>
      <c r="N434" s="176">
        <v>0</v>
      </c>
      <c r="O434" s="176">
        <v>0</v>
      </c>
      <c r="P434" s="179">
        <v>4512.3999999999996</v>
      </c>
      <c r="Q434" s="180">
        <v>26000</v>
      </c>
    </row>
    <row r="435" spans="1:17" hidden="1">
      <c r="A435" s="175" t="s">
        <v>3774</v>
      </c>
      <c r="B435" s="175" t="s">
        <v>3744</v>
      </c>
      <c r="C435" s="176">
        <v>9</v>
      </c>
      <c r="D435" s="176">
        <v>163</v>
      </c>
      <c r="E435" s="175"/>
      <c r="F435" s="176">
        <v>74438736641818</v>
      </c>
      <c r="G435" s="176">
        <v>99</v>
      </c>
      <c r="H435" s="176">
        <v>0</v>
      </c>
      <c r="I435" s="175"/>
      <c r="J435" s="176">
        <v>1</v>
      </c>
      <c r="K435" s="175" t="s">
        <v>3742</v>
      </c>
      <c r="L435" s="181">
        <v>25619.83</v>
      </c>
      <c r="M435" s="176">
        <v>0</v>
      </c>
      <c r="N435" s="176">
        <v>0</v>
      </c>
      <c r="O435" s="176">
        <v>0</v>
      </c>
      <c r="P435" s="181">
        <v>5380.17</v>
      </c>
      <c r="Q435" s="180">
        <v>31000</v>
      </c>
    </row>
    <row r="436" spans="1:17" hidden="1">
      <c r="A436" s="175" t="s">
        <v>3774</v>
      </c>
      <c r="B436" s="175" t="s">
        <v>3744</v>
      </c>
      <c r="C436" s="176">
        <v>9</v>
      </c>
      <c r="D436" s="176">
        <v>164</v>
      </c>
      <c r="E436" s="175"/>
      <c r="F436" s="176">
        <v>74438739438853</v>
      </c>
      <c r="G436" s="176">
        <v>99</v>
      </c>
      <c r="H436" s="176">
        <v>0</v>
      </c>
      <c r="I436" s="175"/>
      <c r="J436" s="176">
        <v>1</v>
      </c>
      <c r="K436" s="175" t="s">
        <v>3742</v>
      </c>
      <c r="L436" s="179">
        <v>10743.8</v>
      </c>
      <c r="M436" s="176">
        <v>0</v>
      </c>
      <c r="N436" s="176">
        <v>0</v>
      </c>
      <c r="O436" s="176">
        <v>0</v>
      </c>
      <c r="P436" s="179">
        <v>2256.1999999999998</v>
      </c>
      <c r="Q436" s="180">
        <v>13000</v>
      </c>
    </row>
    <row r="437" spans="1:17" hidden="1">
      <c r="A437" s="175" t="s">
        <v>3774</v>
      </c>
      <c r="B437" s="175" t="s">
        <v>3744</v>
      </c>
      <c r="C437" s="176">
        <v>9</v>
      </c>
      <c r="D437" s="176">
        <v>165</v>
      </c>
      <c r="E437" s="175"/>
      <c r="F437" s="176">
        <v>74438762531916</v>
      </c>
      <c r="G437" s="176">
        <v>99</v>
      </c>
      <c r="H437" s="176">
        <v>0</v>
      </c>
      <c r="I437" s="175"/>
      <c r="J437" s="176">
        <v>1</v>
      </c>
      <c r="K437" s="175" t="s">
        <v>3742</v>
      </c>
      <c r="L437" s="179">
        <v>10743.8</v>
      </c>
      <c r="M437" s="176">
        <v>0</v>
      </c>
      <c r="N437" s="176">
        <v>0</v>
      </c>
      <c r="O437" s="176">
        <v>0</v>
      </c>
      <c r="P437" s="179">
        <v>2256.1999999999998</v>
      </c>
      <c r="Q437" s="180">
        <v>13000</v>
      </c>
    </row>
    <row r="438" spans="1:17" hidden="1">
      <c r="A438" s="175" t="s">
        <v>3774</v>
      </c>
      <c r="B438" s="175" t="s">
        <v>3744</v>
      </c>
      <c r="C438" s="176">
        <v>9</v>
      </c>
      <c r="D438" s="176">
        <v>166</v>
      </c>
      <c r="E438" s="175"/>
      <c r="F438" s="176">
        <v>74438764749507</v>
      </c>
      <c r="G438" s="176">
        <v>99</v>
      </c>
      <c r="H438" s="176">
        <v>0</v>
      </c>
      <c r="I438" s="175"/>
      <c r="J438" s="176">
        <v>1</v>
      </c>
      <c r="K438" s="175" t="s">
        <v>3742</v>
      </c>
      <c r="L438" s="181">
        <v>22314.05</v>
      </c>
      <c r="M438" s="176">
        <v>0</v>
      </c>
      <c r="N438" s="176">
        <v>0</v>
      </c>
      <c r="O438" s="176">
        <v>0</v>
      </c>
      <c r="P438" s="181">
        <v>4685.95</v>
      </c>
      <c r="Q438" s="180">
        <v>27000</v>
      </c>
    </row>
    <row r="439" spans="1:17" hidden="1">
      <c r="A439" s="175" t="s">
        <v>3774</v>
      </c>
      <c r="B439" s="175" t="s">
        <v>3744</v>
      </c>
      <c r="C439" s="176">
        <v>9</v>
      </c>
      <c r="D439" s="176">
        <v>167</v>
      </c>
      <c r="E439" s="175"/>
      <c r="F439" s="176">
        <v>74438766727792</v>
      </c>
      <c r="G439" s="176">
        <v>99</v>
      </c>
      <c r="H439" s="176">
        <v>0</v>
      </c>
      <c r="I439" s="175"/>
      <c r="J439" s="176">
        <v>1</v>
      </c>
      <c r="K439" s="175" t="s">
        <v>3742</v>
      </c>
      <c r="L439" s="181">
        <v>11735.54</v>
      </c>
      <c r="M439" s="176">
        <v>0</v>
      </c>
      <c r="N439" s="176">
        <v>0</v>
      </c>
      <c r="O439" s="176">
        <v>0</v>
      </c>
      <c r="P439" s="181">
        <v>2464.46</v>
      </c>
      <c r="Q439" s="180">
        <v>14200</v>
      </c>
    </row>
    <row r="440" spans="1:17" hidden="1">
      <c r="A440" s="175" t="s">
        <v>3774</v>
      </c>
      <c r="B440" s="175" t="s">
        <v>3744</v>
      </c>
      <c r="C440" s="176">
        <v>9</v>
      </c>
      <c r="D440" s="176">
        <v>168</v>
      </c>
      <c r="E440" s="175"/>
      <c r="F440" s="176">
        <v>74438769324922</v>
      </c>
      <c r="G440" s="176">
        <v>99</v>
      </c>
      <c r="H440" s="176">
        <v>0</v>
      </c>
      <c r="I440" s="175"/>
      <c r="J440" s="176">
        <v>1</v>
      </c>
      <c r="K440" s="175" t="s">
        <v>3742</v>
      </c>
      <c r="L440" s="181">
        <v>4132.2299999999996</v>
      </c>
      <c r="M440" s="176">
        <v>0</v>
      </c>
      <c r="N440" s="176">
        <v>0</v>
      </c>
      <c r="O440" s="176">
        <v>0</v>
      </c>
      <c r="P440" s="181">
        <v>867.77</v>
      </c>
      <c r="Q440" s="180">
        <v>5000</v>
      </c>
    </row>
    <row r="441" spans="1:17" hidden="1">
      <c r="A441" s="175" t="s">
        <v>3774</v>
      </c>
      <c r="B441" s="175" t="s">
        <v>3744</v>
      </c>
      <c r="C441" s="176">
        <v>9</v>
      </c>
      <c r="D441" s="176">
        <v>169</v>
      </c>
      <c r="E441" s="175"/>
      <c r="F441" s="176">
        <v>74438773366823</v>
      </c>
      <c r="G441" s="176">
        <v>99</v>
      </c>
      <c r="H441" s="176">
        <v>0</v>
      </c>
      <c r="I441" s="175"/>
      <c r="J441" s="176">
        <v>1</v>
      </c>
      <c r="K441" s="175" t="s">
        <v>3742</v>
      </c>
      <c r="L441" s="181">
        <v>14876.03</v>
      </c>
      <c r="M441" s="176">
        <v>0</v>
      </c>
      <c r="N441" s="176">
        <v>0</v>
      </c>
      <c r="O441" s="176">
        <v>0</v>
      </c>
      <c r="P441" s="181">
        <v>3123.97</v>
      </c>
      <c r="Q441" s="180">
        <v>18000</v>
      </c>
    </row>
    <row r="442" spans="1:17" hidden="1">
      <c r="A442" s="175" t="s">
        <v>3774</v>
      </c>
      <c r="B442" s="175" t="s">
        <v>3744</v>
      </c>
      <c r="C442" s="176">
        <v>9</v>
      </c>
      <c r="D442" s="176">
        <v>170</v>
      </c>
      <c r="E442" s="175"/>
      <c r="F442" s="176">
        <v>74438775760814</v>
      </c>
      <c r="G442" s="176">
        <v>99</v>
      </c>
      <c r="H442" s="176">
        <v>0</v>
      </c>
      <c r="I442" s="175"/>
      <c r="J442" s="176">
        <v>1</v>
      </c>
      <c r="K442" s="175" t="s">
        <v>3742</v>
      </c>
      <c r="L442" s="181">
        <v>18595.04</v>
      </c>
      <c r="M442" s="176">
        <v>0</v>
      </c>
      <c r="N442" s="176">
        <v>0</v>
      </c>
      <c r="O442" s="176">
        <v>0</v>
      </c>
      <c r="P442" s="181">
        <v>3904.96</v>
      </c>
      <c r="Q442" s="180">
        <v>22500</v>
      </c>
    </row>
    <row r="443" spans="1:17" hidden="1">
      <c r="A443" s="175" t="s">
        <v>3774</v>
      </c>
      <c r="B443" s="175" t="s">
        <v>3744</v>
      </c>
      <c r="C443" s="176">
        <v>9</v>
      </c>
      <c r="D443" s="176">
        <v>171</v>
      </c>
      <c r="E443" s="175"/>
      <c r="F443" s="176">
        <v>74438779671454</v>
      </c>
      <c r="G443" s="176">
        <v>99</v>
      </c>
      <c r="H443" s="176">
        <v>0</v>
      </c>
      <c r="I443" s="175"/>
      <c r="J443" s="176">
        <v>1</v>
      </c>
      <c r="K443" s="175" t="s">
        <v>3742</v>
      </c>
      <c r="L443" s="181">
        <v>16528.93</v>
      </c>
      <c r="M443" s="176">
        <v>0</v>
      </c>
      <c r="N443" s="176">
        <v>0</v>
      </c>
      <c r="O443" s="176">
        <v>0</v>
      </c>
      <c r="P443" s="181">
        <v>3471.07</v>
      </c>
      <c r="Q443" s="180">
        <v>20000</v>
      </c>
    </row>
    <row r="444" spans="1:17" hidden="1">
      <c r="A444" s="175" t="s">
        <v>3777</v>
      </c>
      <c r="B444" s="175" t="s">
        <v>3744</v>
      </c>
      <c r="C444" s="176">
        <v>9</v>
      </c>
      <c r="D444" s="176">
        <v>172</v>
      </c>
      <c r="E444" s="175"/>
      <c r="F444" s="176">
        <v>74448002677775</v>
      </c>
      <c r="G444" s="176">
        <v>99</v>
      </c>
      <c r="H444" s="176">
        <v>0</v>
      </c>
      <c r="I444" s="175"/>
      <c r="J444" s="176">
        <v>1</v>
      </c>
      <c r="K444" s="175" t="s">
        <v>3742</v>
      </c>
      <c r="L444" s="181">
        <v>4132.2299999999996</v>
      </c>
      <c r="M444" s="176">
        <v>0</v>
      </c>
      <c r="N444" s="176">
        <v>0</v>
      </c>
      <c r="O444" s="176">
        <v>0</v>
      </c>
      <c r="P444" s="181">
        <v>867.77</v>
      </c>
      <c r="Q444" s="180">
        <v>5000</v>
      </c>
    </row>
    <row r="445" spans="1:17" hidden="1">
      <c r="A445" s="175" t="s">
        <v>3777</v>
      </c>
      <c r="B445" s="175" t="s">
        <v>3744</v>
      </c>
      <c r="C445" s="176">
        <v>9</v>
      </c>
      <c r="D445" s="176">
        <v>173</v>
      </c>
      <c r="E445" s="175"/>
      <c r="F445" s="176">
        <v>74448015260822</v>
      </c>
      <c r="G445" s="176">
        <v>99</v>
      </c>
      <c r="H445" s="176">
        <v>0</v>
      </c>
      <c r="I445" s="175"/>
      <c r="J445" s="176">
        <v>1</v>
      </c>
      <c r="K445" s="175" t="s">
        <v>3742</v>
      </c>
      <c r="L445" s="181">
        <v>45454.55</v>
      </c>
      <c r="M445" s="176">
        <v>0</v>
      </c>
      <c r="N445" s="176">
        <v>0</v>
      </c>
      <c r="O445" s="176">
        <v>0</v>
      </c>
      <c r="P445" s="181">
        <v>9545.4500000000007</v>
      </c>
      <c r="Q445" s="180">
        <v>55000</v>
      </c>
    </row>
    <row r="446" spans="1:17" hidden="1">
      <c r="A446" s="175" t="s">
        <v>3777</v>
      </c>
      <c r="B446" s="175" t="s">
        <v>3744</v>
      </c>
      <c r="C446" s="176">
        <v>9</v>
      </c>
      <c r="D446" s="176">
        <v>174</v>
      </c>
      <c r="E446" s="175"/>
      <c r="F446" s="176">
        <v>74448016179679</v>
      </c>
      <c r="G446" s="176">
        <v>99</v>
      </c>
      <c r="H446" s="176">
        <v>0</v>
      </c>
      <c r="I446" s="175"/>
      <c r="J446" s="176">
        <v>1</v>
      </c>
      <c r="K446" s="175" t="s">
        <v>3742</v>
      </c>
      <c r="L446" s="179">
        <v>10743.8</v>
      </c>
      <c r="M446" s="176">
        <v>0</v>
      </c>
      <c r="N446" s="176">
        <v>0</v>
      </c>
      <c r="O446" s="176">
        <v>0</v>
      </c>
      <c r="P446" s="179">
        <v>2256.1999999999998</v>
      </c>
      <c r="Q446" s="180">
        <v>13000</v>
      </c>
    </row>
    <row r="447" spans="1:17" hidden="1">
      <c r="A447" s="175" t="s">
        <v>3777</v>
      </c>
      <c r="B447" s="175" t="s">
        <v>3744</v>
      </c>
      <c r="C447" s="176">
        <v>9</v>
      </c>
      <c r="D447" s="176">
        <v>175</v>
      </c>
      <c r="E447" s="175"/>
      <c r="F447" s="176">
        <v>74448017958556</v>
      </c>
      <c r="G447" s="176">
        <v>99</v>
      </c>
      <c r="H447" s="176">
        <v>0</v>
      </c>
      <c r="I447" s="175"/>
      <c r="J447" s="176">
        <v>1</v>
      </c>
      <c r="K447" s="175" t="s">
        <v>3742</v>
      </c>
      <c r="L447" s="179">
        <v>11487.6</v>
      </c>
      <c r="M447" s="176">
        <v>0</v>
      </c>
      <c r="N447" s="176">
        <v>0</v>
      </c>
      <c r="O447" s="176">
        <v>0</v>
      </c>
      <c r="P447" s="179">
        <v>2412.4</v>
      </c>
      <c r="Q447" s="180">
        <v>13900</v>
      </c>
    </row>
    <row r="448" spans="1:17" hidden="1">
      <c r="A448" s="175" t="s">
        <v>3777</v>
      </c>
      <c r="B448" s="175" t="s">
        <v>3744</v>
      </c>
      <c r="C448" s="176">
        <v>9</v>
      </c>
      <c r="D448" s="176">
        <v>176</v>
      </c>
      <c r="E448" s="175"/>
      <c r="F448" s="176">
        <v>74448022039391</v>
      </c>
      <c r="G448" s="176">
        <v>99</v>
      </c>
      <c r="H448" s="176">
        <v>0</v>
      </c>
      <c r="I448" s="175"/>
      <c r="J448" s="176">
        <v>1</v>
      </c>
      <c r="K448" s="175" t="s">
        <v>3742</v>
      </c>
      <c r="L448" s="181">
        <v>14876.03</v>
      </c>
      <c r="M448" s="176">
        <v>0</v>
      </c>
      <c r="N448" s="176">
        <v>0</v>
      </c>
      <c r="O448" s="176">
        <v>0</v>
      </c>
      <c r="P448" s="181">
        <v>3123.97</v>
      </c>
      <c r="Q448" s="180">
        <v>18000</v>
      </c>
    </row>
    <row r="449" spans="1:17" hidden="1">
      <c r="A449" s="175" t="s">
        <v>3777</v>
      </c>
      <c r="B449" s="175" t="s">
        <v>3744</v>
      </c>
      <c r="C449" s="176">
        <v>9</v>
      </c>
      <c r="D449" s="176">
        <v>177</v>
      </c>
      <c r="E449" s="175"/>
      <c r="F449" s="176">
        <v>74448024876165</v>
      </c>
      <c r="G449" s="176">
        <v>99</v>
      </c>
      <c r="H449" s="176">
        <v>0</v>
      </c>
      <c r="I449" s="175"/>
      <c r="J449" s="176">
        <v>1</v>
      </c>
      <c r="K449" s="175" t="s">
        <v>3742</v>
      </c>
      <c r="L449" s="181">
        <v>14669.42</v>
      </c>
      <c r="M449" s="176">
        <v>0</v>
      </c>
      <c r="N449" s="176">
        <v>0</v>
      </c>
      <c r="O449" s="176">
        <v>0</v>
      </c>
      <c r="P449" s="181">
        <v>3080.58</v>
      </c>
      <c r="Q449" s="180">
        <v>17750</v>
      </c>
    </row>
    <row r="450" spans="1:17" hidden="1">
      <c r="A450" s="175" t="s">
        <v>3777</v>
      </c>
      <c r="B450" s="175" t="s">
        <v>3744</v>
      </c>
      <c r="C450" s="176">
        <v>9</v>
      </c>
      <c r="D450" s="176">
        <v>178</v>
      </c>
      <c r="E450" s="175"/>
      <c r="F450" s="176">
        <v>74448027106040</v>
      </c>
      <c r="G450" s="176">
        <v>99</v>
      </c>
      <c r="H450" s="176">
        <v>0</v>
      </c>
      <c r="I450" s="175"/>
      <c r="J450" s="176">
        <v>1</v>
      </c>
      <c r="K450" s="175" t="s">
        <v>3742</v>
      </c>
      <c r="L450" s="181">
        <v>15702.48</v>
      </c>
      <c r="M450" s="176">
        <v>0</v>
      </c>
      <c r="N450" s="176">
        <v>0</v>
      </c>
      <c r="O450" s="176">
        <v>0</v>
      </c>
      <c r="P450" s="181">
        <v>3297.52</v>
      </c>
      <c r="Q450" s="180">
        <v>19000</v>
      </c>
    </row>
    <row r="451" spans="1:17" hidden="1">
      <c r="A451" s="175" t="s">
        <v>3777</v>
      </c>
      <c r="B451" s="175" t="s">
        <v>3744</v>
      </c>
      <c r="C451" s="176">
        <v>9</v>
      </c>
      <c r="D451" s="176">
        <v>179</v>
      </c>
      <c r="E451" s="175"/>
      <c r="F451" s="176">
        <v>74448028296972</v>
      </c>
      <c r="G451" s="176">
        <v>99</v>
      </c>
      <c r="H451" s="176">
        <v>0</v>
      </c>
      <c r="I451" s="175"/>
      <c r="J451" s="176">
        <v>1</v>
      </c>
      <c r="K451" s="175" t="s">
        <v>3742</v>
      </c>
      <c r="L451" s="181">
        <v>24793.39</v>
      </c>
      <c r="M451" s="176">
        <v>0</v>
      </c>
      <c r="N451" s="176">
        <v>0</v>
      </c>
      <c r="O451" s="176">
        <v>0</v>
      </c>
      <c r="P451" s="181">
        <v>5206.6099999999997</v>
      </c>
      <c r="Q451" s="180">
        <v>30000</v>
      </c>
    </row>
    <row r="452" spans="1:17" hidden="1">
      <c r="A452" s="175" t="s">
        <v>3777</v>
      </c>
      <c r="B452" s="175" t="s">
        <v>3744</v>
      </c>
      <c r="C452" s="176">
        <v>9</v>
      </c>
      <c r="D452" s="176">
        <v>180</v>
      </c>
      <c r="E452" s="175"/>
      <c r="F452" s="176">
        <v>74448035223687</v>
      </c>
      <c r="G452" s="176">
        <v>99</v>
      </c>
      <c r="H452" s="176">
        <v>0</v>
      </c>
      <c r="I452" s="175"/>
      <c r="J452" s="176">
        <v>1</v>
      </c>
      <c r="K452" s="175" t="s">
        <v>3742</v>
      </c>
      <c r="L452" s="181">
        <v>3305.79</v>
      </c>
      <c r="M452" s="176">
        <v>0</v>
      </c>
      <c r="N452" s="176">
        <v>0</v>
      </c>
      <c r="O452" s="176">
        <v>0</v>
      </c>
      <c r="P452" s="181">
        <v>694.21</v>
      </c>
      <c r="Q452" s="180">
        <v>4000</v>
      </c>
    </row>
    <row r="453" spans="1:17" hidden="1">
      <c r="A453" s="175" t="s">
        <v>3777</v>
      </c>
      <c r="B453" s="175" t="s">
        <v>3744</v>
      </c>
      <c r="C453" s="176">
        <v>9</v>
      </c>
      <c r="D453" s="176">
        <v>181</v>
      </c>
      <c r="E453" s="175"/>
      <c r="F453" s="176">
        <v>74448038344469</v>
      </c>
      <c r="G453" s="176">
        <v>99</v>
      </c>
      <c r="H453" s="176">
        <v>0</v>
      </c>
      <c r="I453" s="175"/>
      <c r="J453" s="176">
        <v>1</v>
      </c>
      <c r="K453" s="175" t="s">
        <v>3742</v>
      </c>
      <c r="L453" s="181">
        <v>13966.94</v>
      </c>
      <c r="M453" s="176">
        <v>0</v>
      </c>
      <c r="N453" s="176">
        <v>0</v>
      </c>
      <c r="O453" s="176">
        <v>0</v>
      </c>
      <c r="P453" s="181">
        <v>2933.06</v>
      </c>
      <c r="Q453" s="180">
        <v>16900</v>
      </c>
    </row>
    <row r="454" spans="1:17" hidden="1">
      <c r="A454" s="175" t="s">
        <v>3777</v>
      </c>
      <c r="B454" s="175" t="s">
        <v>3744</v>
      </c>
      <c r="C454" s="176">
        <v>9</v>
      </c>
      <c r="D454" s="176">
        <v>182</v>
      </c>
      <c r="E454" s="175"/>
      <c r="F454" s="176">
        <v>74448038948290</v>
      </c>
      <c r="G454" s="176">
        <v>99</v>
      </c>
      <c r="H454" s="176">
        <v>0</v>
      </c>
      <c r="I454" s="175"/>
      <c r="J454" s="176">
        <v>1</v>
      </c>
      <c r="K454" s="175" t="s">
        <v>3742</v>
      </c>
      <c r="L454" s="181">
        <v>4132.2299999999996</v>
      </c>
      <c r="M454" s="176">
        <v>0</v>
      </c>
      <c r="N454" s="176">
        <v>0</v>
      </c>
      <c r="O454" s="176">
        <v>0</v>
      </c>
      <c r="P454" s="181">
        <v>867.77</v>
      </c>
      <c r="Q454" s="180">
        <v>5000</v>
      </c>
    </row>
    <row r="455" spans="1:17" hidden="1">
      <c r="A455" s="175" t="s">
        <v>3777</v>
      </c>
      <c r="B455" s="175" t="s">
        <v>3744</v>
      </c>
      <c r="C455" s="176">
        <v>9</v>
      </c>
      <c r="D455" s="176">
        <v>183</v>
      </c>
      <c r="E455" s="175"/>
      <c r="F455" s="176">
        <v>74448039187717</v>
      </c>
      <c r="G455" s="176">
        <v>99</v>
      </c>
      <c r="H455" s="176">
        <v>0</v>
      </c>
      <c r="I455" s="175"/>
      <c r="J455" s="176">
        <v>1</v>
      </c>
      <c r="K455" s="175" t="s">
        <v>3742</v>
      </c>
      <c r="L455" s="181">
        <v>17355.37</v>
      </c>
      <c r="M455" s="176">
        <v>0</v>
      </c>
      <c r="N455" s="176">
        <v>0</v>
      </c>
      <c r="O455" s="176">
        <v>0</v>
      </c>
      <c r="P455" s="181">
        <v>3644.63</v>
      </c>
      <c r="Q455" s="180">
        <v>21000</v>
      </c>
    </row>
    <row r="456" spans="1:17" hidden="1">
      <c r="A456" s="175" t="s">
        <v>3777</v>
      </c>
      <c r="B456" s="175" t="s">
        <v>3744</v>
      </c>
      <c r="C456" s="176">
        <v>9</v>
      </c>
      <c r="D456" s="176">
        <v>184</v>
      </c>
      <c r="E456" s="175"/>
      <c r="F456" s="176">
        <v>74448041508544</v>
      </c>
      <c r="G456" s="176">
        <v>99</v>
      </c>
      <c r="H456" s="176">
        <v>0</v>
      </c>
      <c r="I456" s="175"/>
      <c r="J456" s="176">
        <v>1</v>
      </c>
      <c r="K456" s="175" t="s">
        <v>3742</v>
      </c>
      <c r="L456" s="179">
        <v>44628.1</v>
      </c>
      <c r="M456" s="176">
        <v>0</v>
      </c>
      <c r="N456" s="176">
        <v>0</v>
      </c>
      <c r="O456" s="176">
        <v>0</v>
      </c>
      <c r="P456" s="179">
        <v>9371.9</v>
      </c>
      <c r="Q456" s="180">
        <v>54000</v>
      </c>
    </row>
    <row r="457" spans="1:17" hidden="1">
      <c r="A457" s="175" t="s">
        <v>3777</v>
      </c>
      <c r="B457" s="175" t="s">
        <v>3744</v>
      </c>
      <c r="C457" s="176">
        <v>9</v>
      </c>
      <c r="D457" s="176">
        <v>185</v>
      </c>
      <c r="E457" s="175"/>
      <c r="F457" s="176">
        <v>74448055272275</v>
      </c>
      <c r="G457" s="176">
        <v>99</v>
      </c>
      <c r="H457" s="176">
        <v>0</v>
      </c>
      <c r="I457" s="175"/>
      <c r="J457" s="176">
        <v>1</v>
      </c>
      <c r="K457" s="175" t="s">
        <v>3742</v>
      </c>
      <c r="L457" s="181">
        <v>25413.22</v>
      </c>
      <c r="M457" s="176">
        <v>0</v>
      </c>
      <c r="N457" s="176">
        <v>0</v>
      </c>
      <c r="O457" s="176">
        <v>0</v>
      </c>
      <c r="P457" s="181">
        <v>5336.78</v>
      </c>
      <c r="Q457" s="180">
        <v>30750</v>
      </c>
    </row>
    <row r="458" spans="1:17" hidden="1">
      <c r="A458" s="175" t="s">
        <v>3777</v>
      </c>
      <c r="B458" s="175" t="s">
        <v>3744</v>
      </c>
      <c r="C458" s="176">
        <v>9</v>
      </c>
      <c r="D458" s="176">
        <v>186</v>
      </c>
      <c r="E458" s="175"/>
      <c r="F458" s="176">
        <v>74448061766162</v>
      </c>
      <c r="G458" s="176">
        <v>99</v>
      </c>
      <c r="H458" s="176">
        <v>0</v>
      </c>
      <c r="I458" s="175"/>
      <c r="J458" s="176">
        <v>1</v>
      </c>
      <c r="K458" s="175" t="s">
        <v>3742</v>
      </c>
      <c r="L458" s="181">
        <v>14669.42</v>
      </c>
      <c r="M458" s="176">
        <v>0</v>
      </c>
      <c r="N458" s="176">
        <v>0</v>
      </c>
      <c r="O458" s="176">
        <v>0</v>
      </c>
      <c r="P458" s="181">
        <v>3080.58</v>
      </c>
      <c r="Q458" s="180">
        <v>17750</v>
      </c>
    </row>
    <row r="459" spans="1:17" hidden="1">
      <c r="A459" s="175" t="s">
        <v>3777</v>
      </c>
      <c r="B459" s="175" t="s">
        <v>3744</v>
      </c>
      <c r="C459" s="176">
        <v>9</v>
      </c>
      <c r="D459" s="176">
        <v>187</v>
      </c>
      <c r="E459" s="175"/>
      <c r="F459" s="176">
        <v>74448062731672</v>
      </c>
      <c r="G459" s="176">
        <v>99</v>
      </c>
      <c r="H459" s="176">
        <v>0</v>
      </c>
      <c r="I459" s="175"/>
      <c r="J459" s="176">
        <v>1</v>
      </c>
      <c r="K459" s="175" t="s">
        <v>3742</v>
      </c>
      <c r="L459" s="181">
        <v>14669.42</v>
      </c>
      <c r="M459" s="176">
        <v>0</v>
      </c>
      <c r="N459" s="176">
        <v>0</v>
      </c>
      <c r="O459" s="176">
        <v>0</v>
      </c>
      <c r="P459" s="181">
        <v>3080.58</v>
      </c>
      <c r="Q459" s="180">
        <v>17750</v>
      </c>
    </row>
    <row r="460" spans="1:17" hidden="1">
      <c r="A460" s="175" t="s">
        <v>3777</v>
      </c>
      <c r="B460" s="175" t="s">
        <v>3744</v>
      </c>
      <c r="C460" s="176">
        <v>9</v>
      </c>
      <c r="D460" s="176">
        <v>188</v>
      </c>
      <c r="E460" s="175"/>
      <c r="F460" s="176">
        <v>74448065109525</v>
      </c>
      <c r="G460" s="176">
        <v>99</v>
      </c>
      <c r="H460" s="176">
        <v>0</v>
      </c>
      <c r="I460" s="175"/>
      <c r="J460" s="176">
        <v>1</v>
      </c>
      <c r="K460" s="175" t="s">
        <v>3742</v>
      </c>
      <c r="L460" s="179">
        <v>21487.599999999999</v>
      </c>
      <c r="M460" s="176">
        <v>0</v>
      </c>
      <c r="N460" s="176">
        <v>0</v>
      </c>
      <c r="O460" s="176">
        <v>0</v>
      </c>
      <c r="P460" s="179">
        <v>4512.3999999999996</v>
      </c>
      <c r="Q460" s="180">
        <v>26000</v>
      </c>
    </row>
    <row r="461" spans="1:17" hidden="1">
      <c r="A461" s="175" t="s">
        <v>3777</v>
      </c>
      <c r="B461" s="175" t="s">
        <v>3744</v>
      </c>
      <c r="C461" s="176">
        <v>9</v>
      </c>
      <c r="D461" s="176">
        <v>189</v>
      </c>
      <c r="E461" s="175"/>
      <c r="F461" s="176">
        <v>74448067627848</v>
      </c>
      <c r="G461" s="176">
        <v>99</v>
      </c>
      <c r="H461" s="176">
        <v>0</v>
      </c>
      <c r="I461" s="175"/>
      <c r="J461" s="176">
        <v>1</v>
      </c>
      <c r="K461" s="175" t="s">
        <v>3742</v>
      </c>
      <c r="L461" s="181">
        <v>104132.23</v>
      </c>
      <c r="M461" s="176">
        <v>0</v>
      </c>
      <c r="N461" s="176">
        <v>0</v>
      </c>
      <c r="O461" s="176">
        <v>0</v>
      </c>
      <c r="P461" s="181">
        <v>21867.77</v>
      </c>
      <c r="Q461" s="180">
        <v>126000</v>
      </c>
    </row>
    <row r="462" spans="1:17" hidden="1">
      <c r="A462" s="175" t="s">
        <v>3779</v>
      </c>
      <c r="B462" s="175" t="s">
        <v>3744</v>
      </c>
      <c r="C462" s="176">
        <v>9</v>
      </c>
      <c r="D462" s="176">
        <v>190</v>
      </c>
      <c r="E462" s="175"/>
      <c r="F462" s="176">
        <v>74448131108430</v>
      </c>
      <c r="G462" s="176">
        <v>99</v>
      </c>
      <c r="H462" s="176">
        <v>0</v>
      </c>
      <c r="I462" s="175"/>
      <c r="J462" s="176">
        <v>1</v>
      </c>
      <c r="K462" s="175" t="s">
        <v>3742</v>
      </c>
      <c r="L462" s="179">
        <v>10743.8</v>
      </c>
      <c r="M462" s="176">
        <v>0</v>
      </c>
      <c r="N462" s="176">
        <v>0</v>
      </c>
      <c r="O462" s="176">
        <v>0</v>
      </c>
      <c r="P462" s="179">
        <v>2256.1999999999998</v>
      </c>
      <c r="Q462" s="180">
        <v>13000</v>
      </c>
    </row>
    <row r="463" spans="1:17" hidden="1">
      <c r="A463" s="175" t="s">
        <v>3779</v>
      </c>
      <c r="B463" s="175" t="s">
        <v>3744</v>
      </c>
      <c r="C463" s="176">
        <v>9</v>
      </c>
      <c r="D463" s="176">
        <v>191</v>
      </c>
      <c r="E463" s="175"/>
      <c r="F463" s="176">
        <v>74448134000611</v>
      </c>
      <c r="G463" s="176">
        <v>99</v>
      </c>
      <c r="H463" s="176">
        <v>0</v>
      </c>
      <c r="I463" s="175"/>
      <c r="J463" s="176">
        <v>1</v>
      </c>
      <c r="K463" s="175" t="s">
        <v>3742</v>
      </c>
      <c r="L463" s="181">
        <v>12396.69</v>
      </c>
      <c r="M463" s="176">
        <v>0</v>
      </c>
      <c r="N463" s="176">
        <v>0</v>
      </c>
      <c r="O463" s="176">
        <v>0</v>
      </c>
      <c r="P463" s="181">
        <v>2603.31</v>
      </c>
      <c r="Q463" s="180">
        <v>15000</v>
      </c>
    </row>
    <row r="464" spans="1:17" hidden="1">
      <c r="A464" s="175" t="s">
        <v>3779</v>
      </c>
      <c r="B464" s="175" t="s">
        <v>3744</v>
      </c>
      <c r="C464" s="176">
        <v>9</v>
      </c>
      <c r="D464" s="176">
        <v>192</v>
      </c>
      <c r="E464" s="175"/>
      <c r="F464" s="176">
        <v>74448134516018</v>
      </c>
      <c r="G464" s="176">
        <v>99</v>
      </c>
      <c r="H464" s="176">
        <v>0</v>
      </c>
      <c r="I464" s="175"/>
      <c r="J464" s="176">
        <v>1</v>
      </c>
      <c r="K464" s="175" t="s">
        <v>3742</v>
      </c>
      <c r="L464" s="179">
        <v>10743.8</v>
      </c>
      <c r="M464" s="176">
        <v>0</v>
      </c>
      <c r="N464" s="176">
        <v>0</v>
      </c>
      <c r="O464" s="176">
        <v>0</v>
      </c>
      <c r="P464" s="179">
        <v>2256.1999999999998</v>
      </c>
      <c r="Q464" s="180">
        <v>13000</v>
      </c>
    </row>
    <row r="465" spans="1:17" hidden="1">
      <c r="A465" s="175" t="s">
        <v>3779</v>
      </c>
      <c r="B465" s="175" t="s">
        <v>3744</v>
      </c>
      <c r="C465" s="176">
        <v>9</v>
      </c>
      <c r="D465" s="176">
        <v>193</v>
      </c>
      <c r="E465" s="175"/>
      <c r="F465" s="176">
        <v>74448140089584</v>
      </c>
      <c r="G465" s="176">
        <v>99</v>
      </c>
      <c r="H465" s="176">
        <v>0</v>
      </c>
      <c r="I465" s="175"/>
      <c r="J465" s="176">
        <v>1</v>
      </c>
      <c r="K465" s="175" t="s">
        <v>3742</v>
      </c>
      <c r="L465" s="181">
        <v>11570.25</v>
      </c>
      <c r="M465" s="176">
        <v>0</v>
      </c>
      <c r="N465" s="176">
        <v>0</v>
      </c>
      <c r="O465" s="176">
        <v>0</v>
      </c>
      <c r="P465" s="181">
        <v>2429.75</v>
      </c>
      <c r="Q465" s="180">
        <v>14000</v>
      </c>
    </row>
    <row r="466" spans="1:17" hidden="1">
      <c r="A466" s="175" t="s">
        <v>3779</v>
      </c>
      <c r="B466" s="175" t="s">
        <v>3744</v>
      </c>
      <c r="C466" s="176">
        <v>9</v>
      </c>
      <c r="D466" s="176">
        <v>194</v>
      </c>
      <c r="E466" s="175"/>
      <c r="F466" s="176">
        <v>74448145763361</v>
      </c>
      <c r="G466" s="176">
        <v>99</v>
      </c>
      <c r="H466" s="176">
        <v>0</v>
      </c>
      <c r="I466" s="175"/>
      <c r="J466" s="176">
        <v>1</v>
      </c>
      <c r="K466" s="175" t="s">
        <v>3742</v>
      </c>
      <c r="L466" s="181">
        <v>15289.26</v>
      </c>
      <c r="M466" s="176">
        <v>0</v>
      </c>
      <c r="N466" s="176">
        <v>0</v>
      </c>
      <c r="O466" s="176">
        <v>0</v>
      </c>
      <c r="P466" s="181">
        <v>3210.74</v>
      </c>
      <c r="Q466" s="180">
        <v>18500</v>
      </c>
    </row>
    <row r="467" spans="1:17" hidden="1">
      <c r="A467" s="175" t="s">
        <v>3779</v>
      </c>
      <c r="B467" s="175" t="s">
        <v>3744</v>
      </c>
      <c r="C467" s="176">
        <v>9</v>
      </c>
      <c r="D467" s="176">
        <v>195</v>
      </c>
      <c r="E467" s="175"/>
      <c r="F467" s="176">
        <v>74448147534560</v>
      </c>
      <c r="G467" s="176">
        <v>99</v>
      </c>
      <c r="H467" s="176">
        <v>0</v>
      </c>
      <c r="I467" s="175"/>
      <c r="J467" s="176">
        <v>1</v>
      </c>
      <c r="K467" s="175" t="s">
        <v>3742</v>
      </c>
      <c r="L467" s="181">
        <v>9917.36</v>
      </c>
      <c r="M467" s="176">
        <v>0</v>
      </c>
      <c r="N467" s="176">
        <v>0</v>
      </c>
      <c r="O467" s="176">
        <v>0</v>
      </c>
      <c r="P467" s="181">
        <v>2082.64</v>
      </c>
      <c r="Q467" s="180">
        <v>12000</v>
      </c>
    </row>
    <row r="468" spans="1:17" hidden="1">
      <c r="A468" s="175" t="s">
        <v>3779</v>
      </c>
      <c r="B468" s="175" t="s">
        <v>3744</v>
      </c>
      <c r="C468" s="176">
        <v>9</v>
      </c>
      <c r="D468" s="176">
        <v>196</v>
      </c>
      <c r="E468" s="175"/>
      <c r="F468" s="176">
        <v>74448148856418</v>
      </c>
      <c r="G468" s="176">
        <v>99</v>
      </c>
      <c r="H468" s="176">
        <v>0</v>
      </c>
      <c r="I468" s="175"/>
      <c r="J468" s="176">
        <v>1</v>
      </c>
      <c r="K468" s="175" t="s">
        <v>3742</v>
      </c>
      <c r="L468" s="181">
        <v>26033.06</v>
      </c>
      <c r="M468" s="176">
        <v>0</v>
      </c>
      <c r="N468" s="176">
        <v>0</v>
      </c>
      <c r="O468" s="176">
        <v>0</v>
      </c>
      <c r="P468" s="181">
        <v>5466.94</v>
      </c>
      <c r="Q468" s="180">
        <v>31500</v>
      </c>
    </row>
    <row r="469" spans="1:17" hidden="1">
      <c r="A469" s="175" t="s">
        <v>3779</v>
      </c>
      <c r="B469" s="175" t="s">
        <v>3744</v>
      </c>
      <c r="C469" s="176">
        <v>9</v>
      </c>
      <c r="D469" s="176">
        <v>197</v>
      </c>
      <c r="E469" s="175"/>
      <c r="F469" s="176">
        <v>74448151086304</v>
      </c>
      <c r="G469" s="176">
        <v>99</v>
      </c>
      <c r="H469" s="176">
        <v>0</v>
      </c>
      <c r="I469" s="175"/>
      <c r="J469" s="176">
        <v>1</v>
      </c>
      <c r="K469" s="175" t="s">
        <v>3742</v>
      </c>
      <c r="L469" s="181">
        <v>9917.36</v>
      </c>
      <c r="M469" s="176">
        <v>0</v>
      </c>
      <c r="N469" s="176">
        <v>0</v>
      </c>
      <c r="O469" s="176">
        <v>0</v>
      </c>
      <c r="P469" s="181">
        <v>2082.64</v>
      </c>
      <c r="Q469" s="180">
        <v>12000</v>
      </c>
    </row>
    <row r="470" spans="1:17" hidden="1">
      <c r="A470" s="175" t="s">
        <v>3779</v>
      </c>
      <c r="B470" s="175" t="s">
        <v>3744</v>
      </c>
      <c r="C470" s="176">
        <v>9</v>
      </c>
      <c r="D470" s="176">
        <v>198</v>
      </c>
      <c r="E470" s="175"/>
      <c r="F470" s="176">
        <v>74448159009301</v>
      </c>
      <c r="G470" s="176">
        <v>99</v>
      </c>
      <c r="H470" s="176">
        <v>0</v>
      </c>
      <c r="I470" s="175"/>
      <c r="J470" s="176">
        <v>1</v>
      </c>
      <c r="K470" s="175" t="s">
        <v>3742</v>
      </c>
      <c r="L470" s="181">
        <v>5950.41</v>
      </c>
      <c r="M470" s="176">
        <v>0</v>
      </c>
      <c r="N470" s="176">
        <v>0</v>
      </c>
      <c r="O470" s="176">
        <v>0</v>
      </c>
      <c r="P470" s="181">
        <v>1249.5899999999999</v>
      </c>
      <c r="Q470" s="180">
        <v>7200</v>
      </c>
    </row>
    <row r="471" spans="1:17" hidden="1">
      <c r="A471" s="175" t="s">
        <v>3779</v>
      </c>
      <c r="B471" s="175" t="s">
        <v>3744</v>
      </c>
      <c r="C471" s="176">
        <v>9</v>
      </c>
      <c r="D471" s="176">
        <v>199</v>
      </c>
      <c r="E471" s="175"/>
      <c r="F471" s="176">
        <v>74448159170363</v>
      </c>
      <c r="G471" s="176">
        <v>99</v>
      </c>
      <c r="H471" s="176">
        <v>0</v>
      </c>
      <c r="I471" s="175"/>
      <c r="J471" s="176">
        <v>1</v>
      </c>
      <c r="K471" s="175" t="s">
        <v>3742</v>
      </c>
      <c r="L471" s="181">
        <v>8264.4599999999991</v>
      </c>
      <c r="M471" s="176">
        <v>0</v>
      </c>
      <c r="N471" s="176">
        <v>0</v>
      </c>
      <c r="O471" s="176">
        <v>0</v>
      </c>
      <c r="P471" s="181">
        <v>1735.54</v>
      </c>
      <c r="Q471" s="180">
        <v>10000</v>
      </c>
    </row>
    <row r="472" spans="1:17" hidden="1">
      <c r="A472" s="175" t="s">
        <v>3779</v>
      </c>
      <c r="B472" s="175" t="s">
        <v>3744</v>
      </c>
      <c r="C472" s="176">
        <v>9</v>
      </c>
      <c r="D472" s="176">
        <v>200</v>
      </c>
      <c r="E472" s="175"/>
      <c r="F472" s="176">
        <v>74448176960347</v>
      </c>
      <c r="G472" s="176">
        <v>99</v>
      </c>
      <c r="H472" s="176">
        <v>0</v>
      </c>
      <c r="I472" s="175"/>
      <c r="J472" s="176">
        <v>1</v>
      </c>
      <c r="K472" s="175" t="s">
        <v>3742</v>
      </c>
      <c r="L472" s="181">
        <v>30165.29</v>
      </c>
      <c r="M472" s="176">
        <v>0</v>
      </c>
      <c r="N472" s="176">
        <v>0</v>
      </c>
      <c r="O472" s="176">
        <v>0</v>
      </c>
      <c r="P472" s="181">
        <v>6334.71</v>
      </c>
      <c r="Q472" s="180">
        <v>36500</v>
      </c>
    </row>
    <row r="473" spans="1:17" hidden="1">
      <c r="A473" s="175" t="s">
        <v>3779</v>
      </c>
      <c r="B473" s="175" t="s">
        <v>3744</v>
      </c>
      <c r="C473" s="176">
        <v>9</v>
      </c>
      <c r="D473" s="176">
        <v>201</v>
      </c>
      <c r="E473" s="175"/>
      <c r="F473" s="176">
        <v>74448184817086</v>
      </c>
      <c r="G473" s="176">
        <v>99</v>
      </c>
      <c r="H473" s="176">
        <v>0</v>
      </c>
      <c r="I473" s="175"/>
      <c r="J473" s="176">
        <v>1</v>
      </c>
      <c r="K473" s="175" t="s">
        <v>3742</v>
      </c>
      <c r="L473" s="181">
        <v>20661.16</v>
      </c>
      <c r="M473" s="176">
        <v>0</v>
      </c>
      <c r="N473" s="176">
        <v>0</v>
      </c>
      <c r="O473" s="176">
        <v>0</v>
      </c>
      <c r="P473" s="181">
        <v>4338.84</v>
      </c>
      <c r="Q473" s="180">
        <v>25000</v>
      </c>
    </row>
    <row r="474" spans="1:17" hidden="1">
      <c r="A474" s="175" t="s">
        <v>3779</v>
      </c>
      <c r="B474" s="175" t="s">
        <v>3744</v>
      </c>
      <c r="C474" s="176">
        <v>9</v>
      </c>
      <c r="D474" s="176">
        <v>202</v>
      </c>
      <c r="E474" s="175"/>
      <c r="F474" s="176">
        <v>74448190673901</v>
      </c>
      <c r="G474" s="176">
        <v>99</v>
      </c>
      <c r="H474" s="176">
        <v>0</v>
      </c>
      <c r="I474" s="175"/>
      <c r="J474" s="176">
        <v>1</v>
      </c>
      <c r="K474" s="175" t="s">
        <v>3742</v>
      </c>
      <c r="L474" s="179">
        <v>10743.8</v>
      </c>
      <c r="M474" s="176">
        <v>0</v>
      </c>
      <c r="N474" s="176">
        <v>0</v>
      </c>
      <c r="O474" s="176">
        <v>0</v>
      </c>
      <c r="P474" s="179">
        <v>2256.1999999999998</v>
      </c>
      <c r="Q474" s="180">
        <v>13000</v>
      </c>
    </row>
    <row r="475" spans="1:17" hidden="1">
      <c r="A475" s="175" t="s">
        <v>3781</v>
      </c>
      <c r="B475" s="175" t="s">
        <v>3744</v>
      </c>
      <c r="C475" s="176">
        <v>9</v>
      </c>
      <c r="D475" s="176">
        <v>203</v>
      </c>
      <c r="E475" s="175"/>
      <c r="F475" s="176">
        <v>74448254597533</v>
      </c>
      <c r="G475" s="176">
        <v>99</v>
      </c>
      <c r="H475" s="176">
        <v>0</v>
      </c>
      <c r="I475" s="175"/>
      <c r="J475" s="176">
        <v>1</v>
      </c>
      <c r="K475" s="175" t="s">
        <v>3742</v>
      </c>
      <c r="L475" s="179">
        <v>21487.599999999999</v>
      </c>
      <c r="M475" s="176">
        <v>0</v>
      </c>
      <c r="N475" s="176">
        <v>0</v>
      </c>
      <c r="O475" s="176">
        <v>0</v>
      </c>
      <c r="P475" s="179">
        <v>4512.3999999999996</v>
      </c>
      <c r="Q475" s="180">
        <v>26000</v>
      </c>
    </row>
    <row r="476" spans="1:17" hidden="1">
      <c r="A476" s="175" t="s">
        <v>3781</v>
      </c>
      <c r="B476" s="175" t="s">
        <v>3744</v>
      </c>
      <c r="C476" s="176">
        <v>9</v>
      </c>
      <c r="D476" s="176">
        <v>204</v>
      </c>
      <c r="E476" s="175"/>
      <c r="F476" s="176">
        <v>74448257660024</v>
      </c>
      <c r="G476" s="176">
        <v>99</v>
      </c>
      <c r="H476" s="176">
        <v>0</v>
      </c>
      <c r="I476" s="175"/>
      <c r="J476" s="176">
        <v>1</v>
      </c>
      <c r="K476" s="175" t="s">
        <v>3742</v>
      </c>
      <c r="L476" s="181">
        <v>25867.77</v>
      </c>
      <c r="M476" s="176">
        <v>0</v>
      </c>
      <c r="N476" s="176">
        <v>0</v>
      </c>
      <c r="O476" s="176">
        <v>0</v>
      </c>
      <c r="P476" s="181">
        <v>5432.23</v>
      </c>
      <c r="Q476" s="180">
        <v>31300</v>
      </c>
    </row>
    <row r="477" spans="1:17" hidden="1">
      <c r="A477" s="175" t="s">
        <v>3781</v>
      </c>
      <c r="B477" s="175" t="s">
        <v>3744</v>
      </c>
      <c r="C477" s="176">
        <v>9</v>
      </c>
      <c r="D477" s="176">
        <v>205</v>
      </c>
      <c r="E477" s="175"/>
      <c r="F477" s="176">
        <v>74448268099953</v>
      </c>
      <c r="G477" s="176">
        <v>99</v>
      </c>
      <c r="H477" s="176">
        <v>0</v>
      </c>
      <c r="I477" s="175"/>
      <c r="J477" s="176">
        <v>1</v>
      </c>
      <c r="K477" s="175" t="s">
        <v>3742</v>
      </c>
      <c r="L477" s="181">
        <v>3305.79</v>
      </c>
      <c r="M477" s="176">
        <v>0</v>
      </c>
      <c r="N477" s="176">
        <v>0</v>
      </c>
      <c r="O477" s="176">
        <v>0</v>
      </c>
      <c r="P477" s="181">
        <v>694.21</v>
      </c>
      <c r="Q477" s="180">
        <v>4000</v>
      </c>
    </row>
    <row r="478" spans="1:17" hidden="1">
      <c r="A478" s="175" t="s">
        <v>3781</v>
      </c>
      <c r="B478" s="175" t="s">
        <v>3744</v>
      </c>
      <c r="C478" s="176">
        <v>9</v>
      </c>
      <c r="D478" s="176">
        <v>206</v>
      </c>
      <c r="E478" s="175"/>
      <c r="F478" s="176">
        <v>74448268425391</v>
      </c>
      <c r="G478" s="176">
        <v>99</v>
      </c>
      <c r="H478" s="176">
        <v>0</v>
      </c>
      <c r="I478" s="175"/>
      <c r="J478" s="176">
        <v>1</v>
      </c>
      <c r="K478" s="175" t="s">
        <v>3742</v>
      </c>
      <c r="L478" s="181">
        <v>22438.02</v>
      </c>
      <c r="M478" s="176">
        <v>0</v>
      </c>
      <c r="N478" s="176">
        <v>0</v>
      </c>
      <c r="O478" s="176">
        <v>0</v>
      </c>
      <c r="P478" s="181">
        <v>4711.9799999999996</v>
      </c>
      <c r="Q478" s="180">
        <v>27150</v>
      </c>
    </row>
    <row r="479" spans="1:17" hidden="1">
      <c r="A479" s="175" t="s">
        <v>3781</v>
      </c>
      <c r="B479" s="175" t="s">
        <v>3744</v>
      </c>
      <c r="C479" s="176">
        <v>9</v>
      </c>
      <c r="D479" s="176">
        <v>207</v>
      </c>
      <c r="E479" s="175"/>
      <c r="F479" s="176">
        <v>74448269240632</v>
      </c>
      <c r="G479" s="176">
        <v>99</v>
      </c>
      <c r="H479" s="176">
        <v>0</v>
      </c>
      <c r="I479" s="175"/>
      <c r="J479" s="176">
        <v>1</v>
      </c>
      <c r="K479" s="175" t="s">
        <v>3742</v>
      </c>
      <c r="L479" s="181">
        <v>36363.629999999997</v>
      </c>
      <c r="M479" s="176">
        <v>0</v>
      </c>
      <c r="N479" s="176">
        <v>0</v>
      </c>
      <c r="O479" s="176">
        <v>0</v>
      </c>
      <c r="P479" s="181">
        <v>7636.37</v>
      </c>
      <c r="Q479" s="180">
        <v>44000</v>
      </c>
    </row>
    <row r="480" spans="1:17" hidden="1">
      <c r="A480" s="175" t="s">
        <v>3781</v>
      </c>
      <c r="B480" s="175" t="s">
        <v>3744</v>
      </c>
      <c r="C480" s="176">
        <v>9</v>
      </c>
      <c r="D480" s="176">
        <v>208</v>
      </c>
      <c r="E480" s="175"/>
      <c r="F480" s="176">
        <v>74448293273578</v>
      </c>
      <c r="G480" s="176">
        <v>99</v>
      </c>
      <c r="H480" s="176">
        <v>0</v>
      </c>
      <c r="I480" s="175"/>
      <c r="J480" s="176">
        <v>1</v>
      </c>
      <c r="K480" s="175" t="s">
        <v>3742</v>
      </c>
      <c r="L480" s="179">
        <v>21487.599999999999</v>
      </c>
      <c r="M480" s="176">
        <v>0</v>
      </c>
      <c r="N480" s="176">
        <v>0</v>
      </c>
      <c r="O480" s="176">
        <v>0</v>
      </c>
      <c r="P480" s="179">
        <v>4512.3999999999996</v>
      </c>
      <c r="Q480" s="180">
        <v>26000</v>
      </c>
    </row>
    <row r="481" spans="1:17" hidden="1">
      <c r="A481" s="175" t="s">
        <v>3781</v>
      </c>
      <c r="B481" s="175" t="s">
        <v>3744</v>
      </c>
      <c r="C481" s="176">
        <v>9</v>
      </c>
      <c r="D481" s="176">
        <v>209</v>
      </c>
      <c r="E481" s="175"/>
      <c r="F481" s="176">
        <v>74448296363020</v>
      </c>
      <c r="G481" s="176">
        <v>99</v>
      </c>
      <c r="H481" s="176">
        <v>0</v>
      </c>
      <c r="I481" s="175"/>
      <c r="J481" s="176">
        <v>1</v>
      </c>
      <c r="K481" s="175" t="s">
        <v>3742</v>
      </c>
      <c r="L481" s="181">
        <v>11735.54</v>
      </c>
      <c r="M481" s="176">
        <v>0</v>
      </c>
      <c r="N481" s="176">
        <v>0</v>
      </c>
      <c r="O481" s="176">
        <v>0</v>
      </c>
      <c r="P481" s="181">
        <v>2464.46</v>
      </c>
      <c r="Q481" s="180">
        <v>14200</v>
      </c>
    </row>
    <row r="482" spans="1:17" hidden="1">
      <c r="A482" s="175" t="s">
        <v>3781</v>
      </c>
      <c r="B482" s="175" t="s">
        <v>3744</v>
      </c>
      <c r="C482" s="176">
        <v>9</v>
      </c>
      <c r="D482" s="176">
        <v>210</v>
      </c>
      <c r="E482" s="175"/>
      <c r="F482" s="176">
        <v>74448304622512</v>
      </c>
      <c r="G482" s="176">
        <v>99</v>
      </c>
      <c r="H482" s="176">
        <v>0</v>
      </c>
      <c r="I482" s="175"/>
      <c r="J482" s="176">
        <v>1</v>
      </c>
      <c r="K482" s="175" t="s">
        <v>3742</v>
      </c>
      <c r="L482" s="181">
        <v>20661.16</v>
      </c>
      <c r="M482" s="176">
        <v>0</v>
      </c>
      <c r="N482" s="176">
        <v>0</v>
      </c>
      <c r="O482" s="176">
        <v>0</v>
      </c>
      <c r="P482" s="181">
        <v>4338.84</v>
      </c>
      <c r="Q482" s="180">
        <v>25000</v>
      </c>
    </row>
    <row r="483" spans="1:17" hidden="1">
      <c r="A483" s="175" t="s">
        <v>3781</v>
      </c>
      <c r="B483" s="175" t="s">
        <v>3744</v>
      </c>
      <c r="C483" s="176">
        <v>9</v>
      </c>
      <c r="D483" s="176">
        <v>211</v>
      </c>
      <c r="E483" s="175"/>
      <c r="F483" s="176">
        <v>74448305570357</v>
      </c>
      <c r="G483" s="176">
        <v>99</v>
      </c>
      <c r="H483" s="176">
        <v>0</v>
      </c>
      <c r="I483" s="175"/>
      <c r="J483" s="176">
        <v>1</v>
      </c>
      <c r="K483" s="175" t="s">
        <v>3742</v>
      </c>
      <c r="L483" s="181">
        <v>1239.67</v>
      </c>
      <c r="M483" s="176">
        <v>0</v>
      </c>
      <c r="N483" s="176">
        <v>0</v>
      </c>
      <c r="O483" s="176">
        <v>0</v>
      </c>
      <c r="P483" s="181">
        <v>260.33</v>
      </c>
      <c r="Q483" s="180">
        <v>1500</v>
      </c>
    </row>
    <row r="484" spans="1:17" hidden="1">
      <c r="A484" s="175" t="s">
        <v>3781</v>
      </c>
      <c r="B484" s="175" t="s">
        <v>3744</v>
      </c>
      <c r="C484" s="176">
        <v>9</v>
      </c>
      <c r="D484" s="176">
        <v>212</v>
      </c>
      <c r="E484" s="175"/>
      <c r="F484" s="176">
        <v>74448307800841</v>
      </c>
      <c r="G484" s="176">
        <v>99</v>
      </c>
      <c r="H484" s="176">
        <v>0</v>
      </c>
      <c r="I484" s="175"/>
      <c r="J484" s="176">
        <v>1</v>
      </c>
      <c r="K484" s="175" t="s">
        <v>3742</v>
      </c>
      <c r="L484" s="181">
        <v>25619.83</v>
      </c>
      <c r="M484" s="176">
        <v>0</v>
      </c>
      <c r="N484" s="176">
        <v>0</v>
      </c>
      <c r="O484" s="176">
        <v>0</v>
      </c>
      <c r="P484" s="181">
        <v>5380.17</v>
      </c>
      <c r="Q484" s="180">
        <v>31000</v>
      </c>
    </row>
    <row r="485" spans="1:17" hidden="1">
      <c r="A485" s="175" t="s">
        <v>3781</v>
      </c>
      <c r="B485" s="175" t="s">
        <v>3744</v>
      </c>
      <c r="C485" s="176">
        <v>9</v>
      </c>
      <c r="D485" s="176">
        <v>213</v>
      </c>
      <c r="E485" s="175"/>
      <c r="F485" s="176">
        <v>74448311441167</v>
      </c>
      <c r="G485" s="176">
        <v>99</v>
      </c>
      <c r="H485" s="176">
        <v>0</v>
      </c>
      <c r="I485" s="175"/>
      <c r="J485" s="176">
        <v>1</v>
      </c>
      <c r="K485" s="175" t="s">
        <v>3742</v>
      </c>
      <c r="L485" s="179">
        <v>21487.599999999999</v>
      </c>
      <c r="M485" s="176">
        <v>0</v>
      </c>
      <c r="N485" s="176">
        <v>0</v>
      </c>
      <c r="O485" s="176">
        <v>0</v>
      </c>
      <c r="P485" s="179">
        <v>4512.3999999999996</v>
      </c>
      <c r="Q485" s="180">
        <v>26000</v>
      </c>
    </row>
    <row r="486" spans="1:17" hidden="1">
      <c r="A486" s="175" t="s">
        <v>3781</v>
      </c>
      <c r="B486" s="175" t="s">
        <v>3744</v>
      </c>
      <c r="C486" s="176">
        <v>9</v>
      </c>
      <c r="D486" s="176">
        <v>214</v>
      </c>
      <c r="E486" s="175"/>
      <c r="F486" s="176">
        <v>74448312441469</v>
      </c>
      <c r="G486" s="176">
        <v>99</v>
      </c>
      <c r="H486" s="176">
        <v>0</v>
      </c>
      <c r="I486" s="175"/>
      <c r="J486" s="176">
        <v>1</v>
      </c>
      <c r="K486" s="175" t="s">
        <v>3742</v>
      </c>
      <c r="L486" s="179">
        <v>10743.8</v>
      </c>
      <c r="M486" s="176">
        <v>0</v>
      </c>
      <c r="N486" s="176">
        <v>0</v>
      </c>
      <c r="O486" s="176">
        <v>0</v>
      </c>
      <c r="P486" s="179">
        <v>2256.1999999999998</v>
      </c>
      <c r="Q486" s="180">
        <v>13000</v>
      </c>
    </row>
    <row r="487" spans="1:17" hidden="1">
      <c r="A487" s="175" t="s">
        <v>3782</v>
      </c>
      <c r="B487" s="175" t="s">
        <v>3744</v>
      </c>
      <c r="C487" s="176">
        <v>9</v>
      </c>
      <c r="D487" s="176">
        <v>215</v>
      </c>
      <c r="E487" s="175"/>
      <c r="F487" s="176">
        <v>74448396761106</v>
      </c>
      <c r="G487" s="176">
        <v>99</v>
      </c>
      <c r="H487" s="176">
        <v>0</v>
      </c>
      <c r="I487" s="175"/>
      <c r="J487" s="176">
        <v>1</v>
      </c>
      <c r="K487" s="175" t="s">
        <v>3742</v>
      </c>
      <c r="L487" s="181">
        <v>12396.69</v>
      </c>
      <c r="M487" s="176">
        <v>0</v>
      </c>
      <c r="N487" s="176">
        <v>0</v>
      </c>
      <c r="O487" s="176">
        <v>0</v>
      </c>
      <c r="P487" s="181">
        <v>2603.31</v>
      </c>
      <c r="Q487" s="180">
        <v>15000</v>
      </c>
    </row>
    <row r="488" spans="1:17" hidden="1">
      <c r="A488" s="175" t="s">
        <v>3782</v>
      </c>
      <c r="B488" s="175" t="s">
        <v>3744</v>
      </c>
      <c r="C488" s="176">
        <v>9</v>
      </c>
      <c r="D488" s="176">
        <v>216</v>
      </c>
      <c r="E488" s="175"/>
      <c r="F488" s="176">
        <v>74448407784786</v>
      </c>
      <c r="G488" s="176">
        <v>99</v>
      </c>
      <c r="H488" s="176">
        <v>0</v>
      </c>
      <c r="I488" s="175"/>
      <c r="J488" s="176">
        <v>1</v>
      </c>
      <c r="K488" s="175" t="s">
        <v>3742</v>
      </c>
      <c r="L488" s="181">
        <v>10661.16</v>
      </c>
      <c r="M488" s="176">
        <v>0</v>
      </c>
      <c r="N488" s="176">
        <v>0</v>
      </c>
      <c r="O488" s="176">
        <v>0</v>
      </c>
      <c r="P488" s="181">
        <v>2238.84</v>
      </c>
      <c r="Q488" s="180">
        <v>12900</v>
      </c>
    </row>
    <row r="489" spans="1:17" hidden="1">
      <c r="A489" s="175" t="s">
        <v>3782</v>
      </c>
      <c r="B489" s="175" t="s">
        <v>3744</v>
      </c>
      <c r="C489" s="176">
        <v>9</v>
      </c>
      <c r="D489" s="176">
        <v>217</v>
      </c>
      <c r="E489" s="175"/>
      <c r="F489" s="176">
        <v>74448411617756</v>
      </c>
      <c r="G489" s="176">
        <v>99</v>
      </c>
      <c r="H489" s="176">
        <v>0</v>
      </c>
      <c r="I489" s="175"/>
      <c r="J489" s="176">
        <v>1</v>
      </c>
      <c r="K489" s="175" t="s">
        <v>3742</v>
      </c>
      <c r="L489" s="181">
        <v>21404.95</v>
      </c>
      <c r="M489" s="176">
        <v>0</v>
      </c>
      <c r="N489" s="176">
        <v>0</v>
      </c>
      <c r="O489" s="176">
        <v>0</v>
      </c>
      <c r="P489" s="181">
        <v>4495.05</v>
      </c>
      <c r="Q489" s="180">
        <v>25900</v>
      </c>
    </row>
    <row r="490" spans="1:17" hidden="1">
      <c r="A490" s="175" t="s">
        <v>3782</v>
      </c>
      <c r="B490" s="175" t="s">
        <v>3744</v>
      </c>
      <c r="C490" s="176">
        <v>9</v>
      </c>
      <c r="D490" s="176">
        <v>218</v>
      </c>
      <c r="E490" s="175"/>
      <c r="F490" s="176">
        <v>74448412711855</v>
      </c>
      <c r="G490" s="176">
        <v>99</v>
      </c>
      <c r="H490" s="176">
        <v>0</v>
      </c>
      <c r="I490" s="175"/>
      <c r="J490" s="176">
        <v>1</v>
      </c>
      <c r="K490" s="175" t="s">
        <v>3742</v>
      </c>
      <c r="L490" s="181">
        <v>13223.14</v>
      </c>
      <c r="M490" s="176">
        <v>0</v>
      </c>
      <c r="N490" s="176">
        <v>0</v>
      </c>
      <c r="O490" s="176">
        <v>0</v>
      </c>
      <c r="P490" s="181">
        <v>2776.86</v>
      </c>
      <c r="Q490" s="180">
        <v>16000</v>
      </c>
    </row>
    <row r="491" spans="1:17" hidden="1">
      <c r="A491" s="175" t="s">
        <v>3782</v>
      </c>
      <c r="B491" s="175" t="s">
        <v>3744</v>
      </c>
      <c r="C491" s="176">
        <v>9</v>
      </c>
      <c r="D491" s="176">
        <v>219</v>
      </c>
      <c r="E491" s="175"/>
      <c r="F491" s="176">
        <v>74448417964527</v>
      </c>
      <c r="G491" s="176">
        <v>99</v>
      </c>
      <c r="H491" s="176">
        <v>0</v>
      </c>
      <c r="I491" s="175"/>
      <c r="J491" s="176">
        <v>1</v>
      </c>
      <c r="K491" s="175" t="s">
        <v>3742</v>
      </c>
      <c r="L491" s="181">
        <v>14669.42</v>
      </c>
      <c r="M491" s="176">
        <v>0</v>
      </c>
      <c r="N491" s="176">
        <v>0</v>
      </c>
      <c r="O491" s="176">
        <v>0</v>
      </c>
      <c r="P491" s="181">
        <v>3080.58</v>
      </c>
      <c r="Q491" s="180">
        <v>17750</v>
      </c>
    </row>
    <row r="492" spans="1:17" hidden="1">
      <c r="A492" s="175" t="s">
        <v>3782</v>
      </c>
      <c r="B492" s="175" t="s">
        <v>3744</v>
      </c>
      <c r="C492" s="176">
        <v>9</v>
      </c>
      <c r="D492" s="176">
        <v>220</v>
      </c>
      <c r="E492" s="175"/>
      <c r="F492" s="176">
        <v>74448420172253</v>
      </c>
      <c r="G492" s="176">
        <v>99</v>
      </c>
      <c r="H492" s="176">
        <v>0</v>
      </c>
      <c r="I492" s="175"/>
      <c r="J492" s="176">
        <v>1</v>
      </c>
      <c r="K492" s="175" t="s">
        <v>3742</v>
      </c>
      <c r="L492" s="181">
        <v>44214.87</v>
      </c>
      <c r="M492" s="176">
        <v>0</v>
      </c>
      <c r="N492" s="176">
        <v>0</v>
      </c>
      <c r="O492" s="176">
        <v>0</v>
      </c>
      <c r="P492" s="181">
        <v>9285.1299999999992</v>
      </c>
      <c r="Q492" s="180">
        <v>53500</v>
      </c>
    </row>
    <row r="493" spans="1:17" hidden="1">
      <c r="A493" s="175" t="s">
        <v>3782</v>
      </c>
      <c r="B493" s="175" t="s">
        <v>3744</v>
      </c>
      <c r="C493" s="176">
        <v>9</v>
      </c>
      <c r="D493" s="176">
        <v>221</v>
      </c>
      <c r="E493" s="175"/>
      <c r="F493" s="176">
        <v>74448423642396</v>
      </c>
      <c r="G493" s="176">
        <v>99</v>
      </c>
      <c r="H493" s="176">
        <v>0</v>
      </c>
      <c r="I493" s="175"/>
      <c r="J493" s="176">
        <v>1</v>
      </c>
      <c r="K493" s="175" t="s">
        <v>3742</v>
      </c>
      <c r="L493" s="181">
        <v>17355.37</v>
      </c>
      <c r="M493" s="176">
        <v>0</v>
      </c>
      <c r="N493" s="176">
        <v>0</v>
      </c>
      <c r="O493" s="176">
        <v>0</v>
      </c>
      <c r="P493" s="181">
        <v>3644.63</v>
      </c>
      <c r="Q493" s="180">
        <v>21000</v>
      </c>
    </row>
    <row r="494" spans="1:17" hidden="1">
      <c r="A494" s="175" t="s">
        <v>3782</v>
      </c>
      <c r="B494" s="175" t="s">
        <v>3744</v>
      </c>
      <c r="C494" s="176">
        <v>9</v>
      </c>
      <c r="D494" s="176">
        <v>222</v>
      </c>
      <c r="E494" s="175"/>
      <c r="F494" s="176">
        <v>74448432605341</v>
      </c>
      <c r="G494" s="176">
        <v>99</v>
      </c>
      <c r="H494" s="176">
        <v>0</v>
      </c>
      <c r="I494" s="175"/>
      <c r="J494" s="176">
        <v>1</v>
      </c>
      <c r="K494" s="175" t="s">
        <v>3742</v>
      </c>
      <c r="L494" s="179">
        <v>21487.599999999999</v>
      </c>
      <c r="M494" s="176">
        <v>0</v>
      </c>
      <c r="N494" s="176">
        <v>0</v>
      </c>
      <c r="O494" s="176">
        <v>0</v>
      </c>
      <c r="P494" s="179">
        <v>4512.3999999999996</v>
      </c>
      <c r="Q494" s="180">
        <v>26000</v>
      </c>
    </row>
    <row r="495" spans="1:17" hidden="1">
      <c r="A495" s="175" t="s">
        <v>3782</v>
      </c>
      <c r="B495" s="175" t="s">
        <v>3744</v>
      </c>
      <c r="C495" s="176">
        <v>9</v>
      </c>
      <c r="D495" s="176">
        <v>223</v>
      </c>
      <c r="E495" s="175"/>
      <c r="F495" s="176">
        <v>74448434366265</v>
      </c>
      <c r="G495" s="176">
        <v>99</v>
      </c>
      <c r="H495" s="176">
        <v>0</v>
      </c>
      <c r="I495" s="175"/>
      <c r="J495" s="176">
        <v>1</v>
      </c>
      <c r="K495" s="175" t="s">
        <v>3742</v>
      </c>
      <c r="L495" s="181">
        <v>20661.16</v>
      </c>
      <c r="M495" s="176">
        <v>0</v>
      </c>
      <c r="N495" s="176">
        <v>0</v>
      </c>
      <c r="O495" s="176">
        <v>0</v>
      </c>
      <c r="P495" s="181">
        <v>4338.84</v>
      </c>
      <c r="Q495" s="180">
        <v>25000</v>
      </c>
    </row>
    <row r="496" spans="1:17" hidden="1">
      <c r="A496" s="175" t="s">
        <v>3782</v>
      </c>
      <c r="B496" s="175" t="s">
        <v>3744</v>
      </c>
      <c r="C496" s="176">
        <v>9</v>
      </c>
      <c r="D496" s="176">
        <v>224</v>
      </c>
      <c r="E496" s="175"/>
      <c r="F496" s="176">
        <v>74448435595459</v>
      </c>
      <c r="G496" s="176">
        <v>99</v>
      </c>
      <c r="H496" s="176">
        <v>0</v>
      </c>
      <c r="I496" s="175"/>
      <c r="J496" s="176">
        <v>1</v>
      </c>
      <c r="K496" s="175" t="s">
        <v>3742</v>
      </c>
      <c r="L496" s="179">
        <v>21487.599999999999</v>
      </c>
      <c r="M496" s="176">
        <v>0</v>
      </c>
      <c r="N496" s="176">
        <v>0</v>
      </c>
      <c r="O496" s="176">
        <v>0</v>
      </c>
      <c r="P496" s="179">
        <v>4512.3999999999996</v>
      </c>
      <c r="Q496" s="180">
        <v>26000</v>
      </c>
    </row>
    <row r="497" spans="1:17" hidden="1">
      <c r="A497" s="175" t="s">
        <v>3782</v>
      </c>
      <c r="B497" s="175" t="s">
        <v>3744</v>
      </c>
      <c r="C497" s="176">
        <v>9</v>
      </c>
      <c r="D497" s="176">
        <v>225</v>
      </c>
      <c r="E497" s="175"/>
      <c r="F497" s="176">
        <v>74448439964210</v>
      </c>
      <c r="G497" s="176">
        <v>99</v>
      </c>
      <c r="H497" s="176">
        <v>0</v>
      </c>
      <c r="I497" s="175"/>
      <c r="J497" s="176">
        <v>1</v>
      </c>
      <c r="K497" s="175" t="s">
        <v>3742</v>
      </c>
      <c r="L497" s="179">
        <v>33884.300000000003</v>
      </c>
      <c r="M497" s="176">
        <v>0</v>
      </c>
      <c r="N497" s="176">
        <v>0</v>
      </c>
      <c r="O497" s="176">
        <v>0</v>
      </c>
      <c r="P497" s="179">
        <v>7115.7</v>
      </c>
      <c r="Q497" s="180">
        <v>41000</v>
      </c>
    </row>
    <row r="498" spans="1:17" hidden="1">
      <c r="A498" s="175" t="s">
        <v>3782</v>
      </c>
      <c r="B498" s="175" t="s">
        <v>3744</v>
      </c>
      <c r="C498" s="176">
        <v>9</v>
      </c>
      <c r="D498" s="176">
        <v>226</v>
      </c>
      <c r="E498" s="175"/>
      <c r="F498" s="176">
        <v>74448444383747</v>
      </c>
      <c r="G498" s="176">
        <v>99</v>
      </c>
      <c r="H498" s="176">
        <v>0</v>
      </c>
      <c r="I498" s="175"/>
      <c r="J498" s="176">
        <v>1</v>
      </c>
      <c r="K498" s="175" t="s">
        <v>3742</v>
      </c>
      <c r="L498" s="181">
        <v>50578.51</v>
      </c>
      <c r="M498" s="176">
        <v>0</v>
      </c>
      <c r="N498" s="176">
        <v>0</v>
      </c>
      <c r="O498" s="176">
        <v>0</v>
      </c>
      <c r="P498" s="181">
        <v>10621.49</v>
      </c>
      <c r="Q498" s="180">
        <v>61200</v>
      </c>
    </row>
    <row r="499" spans="1:17" hidden="1">
      <c r="A499" s="175" t="s">
        <v>3782</v>
      </c>
      <c r="B499" s="175" t="s">
        <v>3744</v>
      </c>
      <c r="C499" s="176">
        <v>9</v>
      </c>
      <c r="D499" s="176">
        <v>227</v>
      </c>
      <c r="E499" s="175"/>
      <c r="F499" s="176">
        <v>74448446656663</v>
      </c>
      <c r="G499" s="176">
        <v>99</v>
      </c>
      <c r="H499" s="176">
        <v>0</v>
      </c>
      <c r="I499" s="175"/>
      <c r="J499" s="176">
        <v>1</v>
      </c>
      <c r="K499" s="175" t="s">
        <v>3742</v>
      </c>
      <c r="L499" s="179">
        <v>10743.8</v>
      </c>
      <c r="M499" s="176">
        <v>0</v>
      </c>
      <c r="N499" s="176">
        <v>0</v>
      </c>
      <c r="O499" s="176">
        <v>0</v>
      </c>
      <c r="P499" s="179">
        <v>2256.1999999999998</v>
      </c>
      <c r="Q499" s="180">
        <v>13000</v>
      </c>
    </row>
    <row r="500" spans="1:17" hidden="1">
      <c r="A500" s="175" t="s">
        <v>3782</v>
      </c>
      <c r="B500" s="175" t="s">
        <v>3744</v>
      </c>
      <c r="C500" s="176">
        <v>9</v>
      </c>
      <c r="D500" s="176">
        <v>228</v>
      </c>
      <c r="E500" s="175"/>
      <c r="F500" s="176">
        <v>74448448282138</v>
      </c>
      <c r="G500" s="176">
        <v>99</v>
      </c>
      <c r="H500" s="176">
        <v>0</v>
      </c>
      <c r="I500" s="175"/>
      <c r="J500" s="176">
        <v>1</v>
      </c>
      <c r="K500" s="175" t="s">
        <v>3742</v>
      </c>
      <c r="L500" s="181">
        <v>14876.03</v>
      </c>
      <c r="M500" s="176">
        <v>0</v>
      </c>
      <c r="N500" s="176">
        <v>0</v>
      </c>
      <c r="O500" s="176">
        <v>0</v>
      </c>
      <c r="P500" s="181">
        <v>3123.97</v>
      </c>
      <c r="Q500" s="180">
        <v>18000</v>
      </c>
    </row>
    <row r="501" spans="1:17" hidden="1">
      <c r="A501" s="175" t="s">
        <v>3782</v>
      </c>
      <c r="B501" s="175" t="s">
        <v>3744</v>
      </c>
      <c r="C501" s="176">
        <v>9</v>
      </c>
      <c r="D501" s="176">
        <v>229</v>
      </c>
      <c r="E501" s="175"/>
      <c r="F501" s="176">
        <v>74448456144765</v>
      </c>
      <c r="G501" s="176">
        <v>99</v>
      </c>
      <c r="H501" s="176">
        <v>0</v>
      </c>
      <c r="I501" s="175"/>
      <c r="J501" s="176">
        <v>1</v>
      </c>
      <c r="K501" s="175" t="s">
        <v>3742</v>
      </c>
      <c r="L501" s="179">
        <v>33884.300000000003</v>
      </c>
      <c r="M501" s="176">
        <v>0</v>
      </c>
      <c r="N501" s="176">
        <v>0</v>
      </c>
      <c r="O501" s="176">
        <v>0</v>
      </c>
      <c r="P501" s="179">
        <v>7115.7</v>
      </c>
      <c r="Q501" s="180">
        <v>41000</v>
      </c>
    </row>
    <row r="502" spans="1:17" hidden="1">
      <c r="A502" s="175" t="s">
        <v>3782</v>
      </c>
      <c r="B502" s="175" t="s">
        <v>3744</v>
      </c>
      <c r="C502" s="176">
        <v>9</v>
      </c>
      <c r="D502" s="176">
        <v>230</v>
      </c>
      <c r="E502" s="175"/>
      <c r="F502" s="176">
        <v>74448459124314</v>
      </c>
      <c r="G502" s="176">
        <v>99</v>
      </c>
      <c r="H502" s="176">
        <v>0</v>
      </c>
      <c r="I502" s="175"/>
      <c r="J502" s="176">
        <v>1</v>
      </c>
      <c r="K502" s="175" t="s">
        <v>3742</v>
      </c>
      <c r="L502" s="181">
        <v>22314.05</v>
      </c>
      <c r="M502" s="176">
        <v>0</v>
      </c>
      <c r="N502" s="176">
        <v>0</v>
      </c>
      <c r="O502" s="176">
        <v>0</v>
      </c>
      <c r="P502" s="181">
        <v>4685.95</v>
      </c>
      <c r="Q502" s="180">
        <v>27000</v>
      </c>
    </row>
    <row r="503" spans="1:17" hidden="1">
      <c r="A503" s="175" t="s">
        <v>3782</v>
      </c>
      <c r="B503" s="175" t="s">
        <v>3744</v>
      </c>
      <c r="C503" s="176">
        <v>9</v>
      </c>
      <c r="D503" s="176">
        <v>231</v>
      </c>
      <c r="E503" s="175"/>
      <c r="F503" s="176">
        <v>74448461672241</v>
      </c>
      <c r="G503" s="176">
        <v>99</v>
      </c>
      <c r="H503" s="176">
        <v>0</v>
      </c>
      <c r="I503" s="175"/>
      <c r="J503" s="176">
        <v>1</v>
      </c>
      <c r="K503" s="175" t="s">
        <v>3742</v>
      </c>
      <c r="L503" s="181">
        <v>11570.25</v>
      </c>
      <c r="M503" s="176">
        <v>0</v>
      </c>
      <c r="N503" s="176">
        <v>0</v>
      </c>
      <c r="O503" s="176">
        <v>0</v>
      </c>
      <c r="P503" s="181">
        <v>2429.75</v>
      </c>
      <c r="Q503" s="180">
        <v>14000</v>
      </c>
    </row>
    <row r="504" spans="1:17" hidden="1">
      <c r="A504" s="175" t="s">
        <v>3739</v>
      </c>
      <c r="B504" s="178" t="s">
        <v>3749</v>
      </c>
      <c r="C504" s="176">
        <v>7</v>
      </c>
      <c r="D504" s="176">
        <v>160</v>
      </c>
      <c r="E504" s="175"/>
      <c r="F504" s="176">
        <v>74408958958205</v>
      </c>
      <c r="G504" s="176">
        <v>99</v>
      </c>
      <c r="H504" s="176">
        <v>0</v>
      </c>
      <c r="I504" s="175"/>
      <c r="J504" s="176">
        <v>1</v>
      </c>
      <c r="K504" s="175" t="s">
        <v>3742</v>
      </c>
      <c r="L504" s="180">
        <v>-1</v>
      </c>
      <c r="M504" s="176">
        <v>0</v>
      </c>
      <c r="N504" s="176">
        <v>0</v>
      </c>
      <c r="O504" s="176">
        <v>0</v>
      </c>
      <c r="P504" s="180">
        <v>-0.21</v>
      </c>
      <c r="Q504" s="180">
        <v>-1.21</v>
      </c>
    </row>
    <row r="505" spans="1:17">
      <c r="A505" s="175" t="s">
        <v>3770</v>
      </c>
      <c r="B505" s="178" t="s">
        <v>3749</v>
      </c>
      <c r="C505" s="176">
        <v>7</v>
      </c>
      <c r="D505" s="176">
        <v>161</v>
      </c>
      <c r="E505" s="175"/>
      <c r="F505" s="176">
        <v>74438286933070</v>
      </c>
      <c r="G505" s="175" t="s">
        <v>3741</v>
      </c>
      <c r="H505" s="176">
        <v>30590354798</v>
      </c>
      <c r="I505" s="175" t="s">
        <v>3783</v>
      </c>
      <c r="J505" s="176">
        <v>1</v>
      </c>
      <c r="K505" s="175" t="s">
        <v>3742</v>
      </c>
      <c r="L505" s="181">
        <v>-14333.88</v>
      </c>
      <c r="M505" s="176">
        <v>0</v>
      </c>
      <c r="N505" s="176">
        <v>0</v>
      </c>
      <c r="O505" s="176">
        <v>0</v>
      </c>
      <c r="P505" s="180">
        <v>-3010.1147999999998</v>
      </c>
      <c r="Q505" s="180">
        <v>-17343.9948</v>
      </c>
    </row>
    <row r="506" spans="1:17" hidden="1">
      <c r="A506" s="175" t="s">
        <v>3777</v>
      </c>
      <c r="B506" s="178" t="s">
        <v>3749</v>
      </c>
      <c r="C506" s="176">
        <v>7</v>
      </c>
      <c r="D506" s="176">
        <v>163</v>
      </c>
      <c r="E506" s="175"/>
      <c r="F506" s="176">
        <v>74448064355781</v>
      </c>
      <c r="G506" s="175" t="s">
        <v>3785</v>
      </c>
      <c r="H506" s="176">
        <v>1886726</v>
      </c>
      <c r="I506" s="175"/>
      <c r="J506" s="176">
        <v>1</v>
      </c>
      <c r="K506" s="175" t="s">
        <v>3742</v>
      </c>
      <c r="L506" s="181">
        <v>-17355.37</v>
      </c>
      <c r="M506" s="176">
        <v>0</v>
      </c>
      <c r="N506" s="176">
        <v>0</v>
      </c>
      <c r="O506" s="176">
        <v>0</v>
      </c>
      <c r="P506" s="180">
        <v>-3644.6276999999995</v>
      </c>
      <c r="Q506" s="180">
        <v>-20999.9977</v>
      </c>
    </row>
    <row r="507" spans="1:17" ht="15.75" thickBot="1">
      <c r="A507" s="175" t="s">
        <v>3777</v>
      </c>
      <c r="B507" s="178" t="s">
        <v>3749</v>
      </c>
      <c r="C507" s="176">
        <v>7</v>
      </c>
      <c r="D507" s="176">
        <v>162</v>
      </c>
      <c r="E507" s="175"/>
      <c r="F507" s="176">
        <v>74448011020097</v>
      </c>
      <c r="G507" s="175" t="s">
        <v>3807</v>
      </c>
      <c r="H507" s="176">
        <v>27281788766</v>
      </c>
      <c r="I507" s="175" t="s">
        <v>3836</v>
      </c>
      <c r="J507" s="176">
        <v>1</v>
      </c>
      <c r="K507" s="175" t="s">
        <v>3742</v>
      </c>
      <c r="L507" s="181">
        <v>-190082.64</v>
      </c>
      <c r="M507" s="176">
        <v>0</v>
      </c>
      <c r="N507" s="176">
        <v>0</v>
      </c>
      <c r="O507" s="176">
        <v>0</v>
      </c>
      <c r="P507" s="180">
        <v>-39917.354400000004</v>
      </c>
      <c r="Q507" s="180">
        <v>-229999.99440000003</v>
      </c>
    </row>
    <row r="508" spans="1:17" ht="15.75" hidden="1" thickBot="1">
      <c r="A508" s="175" t="s">
        <v>3779</v>
      </c>
      <c r="B508" s="178" t="s">
        <v>3749</v>
      </c>
      <c r="C508" s="176">
        <v>7</v>
      </c>
      <c r="D508" s="176">
        <v>164</v>
      </c>
      <c r="E508" s="175"/>
      <c r="F508" s="176">
        <v>74448171116203</v>
      </c>
      <c r="G508" s="176">
        <v>99</v>
      </c>
      <c r="H508" s="176">
        <v>0</v>
      </c>
      <c r="I508" s="175"/>
      <c r="J508" s="183">
        <v>1</v>
      </c>
      <c r="K508" s="145" t="s">
        <v>3742</v>
      </c>
      <c r="L508" s="184">
        <v>-17355.37</v>
      </c>
      <c r="M508" s="183">
        <v>0</v>
      </c>
      <c r="N508" s="183">
        <v>0</v>
      </c>
      <c r="O508" s="183">
        <v>0</v>
      </c>
      <c r="P508" s="185">
        <v>-3644.6276999999995</v>
      </c>
      <c r="Q508" s="185">
        <v>-20999.9977</v>
      </c>
    </row>
    <row r="509" spans="1:17" ht="15.75" thickBot="1">
      <c r="B509" s="193"/>
      <c r="C509" s="177"/>
      <c r="D509" s="177"/>
      <c r="F509" s="177"/>
      <c r="G509" s="177"/>
      <c r="H509" s="177"/>
      <c r="J509" s="225" t="s">
        <v>3855</v>
      </c>
      <c r="K509" s="227"/>
      <c r="L509" s="194">
        <f>SUM(L101:L508)</f>
        <v>24030350.800000135</v>
      </c>
      <c r="M509" s="195">
        <f t="shared" ref="M509:Q509" si="1">SUM(M101:M508)</f>
        <v>0</v>
      </c>
      <c r="N509" s="195">
        <f t="shared" si="1"/>
        <v>0</v>
      </c>
      <c r="O509" s="195">
        <f t="shared" si="1"/>
        <v>0</v>
      </c>
      <c r="P509" s="195">
        <f t="shared" si="1"/>
        <v>5046373.7954000086</v>
      </c>
      <c r="Q509" s="196">
        <f t="shared" si="1"/>
        <v>29076723.955400001</v>
      </c>
    </row>
    <row r="510" spans="1:17" ht="15.75" thickBot="1">
      <c r="B510" s="193"/>
      <c r="C510" s="177"/>
      <c r="D510" s="177"/>
      <c r="F510" s="177"/>
      <c r="G510" s="177"/>
      <c r="H510" s="177"/>
      <c r="J510" s="177"/>
      <c r="L510" s="197"/>
      <c r="M510" s="198"/>
      <c r="N510" s="198"/>
      <c r="O510" s="198"/>
      <c r="P510" s="199"/>
      <c r="Q510" s="199"/>
    </row>
    <row r="511" spans="1:17" ht="15.75" thickBot="1">
      <c r="J511" s="228" t="s">
        <v>3856</v>
      </c>
      <c r="K511" s="229"/>
      <c r="L511" s="200">
        <f>L509+L99</f>
        <v>57506518.580000125</v>
      </c>
      <c r="M511" s="201"/>
      <c r="N511" s="201"/>
      <c r="O511" s="201"/>
      <c r="P511" s="202">
        <f>P509+P99</f>
        <v>12076369.090500008</v>
      </c>
      <c r="Q511" s="203">
        <f>Q509+Q99</f>
        <v>69582887.110500008</v>
      </c>
    </row>
  </sheetData>
  <autoFilter ref="A100:Q508" xr:uid="{00000000-0001-0000-0A00-000000000000}">
    <filterColumn colId="8">
      <customFilters>
        <customFilter operator="notEqual" val=" "/>
      </customFilters>
    </filterColumn>
  </autoFilter>
  <sortState xmlns:xlrd2="http://schemas.microsoft.com/office/spreadsheetml/2017/richdata2" ref="A6:Q98">
    <sortCondition ref="C6:C98"/>
  </sortState>
  <mergeCells count="3">
    <mergeCell ref="J99:K99"/>
    <mergeCell ref="J509:K509"/>
    <mergeCell ref="J511:K51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32"/>
  <sheetViews>
    <sheetView tabSelected="1" zoomScale="95" zoomScaleNormal="95" workbookViewId="0">
      <selection activeCell="I2" sqref="I2"/>
    </sheetView>
  </sheetViews>
  <sheetFormatPr baseColWidth="10" defaultColWidth="11.5703125" defaultRowHeight="15"/>
  <cols>
    <col min="2" max="2" width="46.7109375" customWidth="1"/>
    <col min="3" max="3" width="4.140625" customWidth="1"/>
    <col min="4" max="4" width="7.85546875" customWidth="1"/>
    <col min="6" max="6" width="15.85546875" hidden="1" customWidth="1"/>
    <col min="7" max="7" width="3.7109375" customWidth="1"/>
    <col min="8" max="8" width="12.85546875" customWidth="1"/>
    <col min="9" max="9" width="40.28515625" customWidth="1"/>
    <col min="10" max="10" width="10.28515625" customWidth="1"/>
    <col min="11" max="11" width="8.5703125" customWidth="1"/>
    <col min="12" max="12" width="15.5703125" customWidth="1"/>
    <col min="13" max="13" width="15.140625" customWidth="1"/>
    <col min="14" max="14" width="13.140625" customWidth="1"/>
    <col min="15" max="15" width="14.5703125" customWidth="1"/>
    <col min="16" max="16" width="14.28515625" customWidth="1"/>
    <col min="17" max="17" width="14.42578125" customWidth="1"/>
  </cols>
  <sheetData>
    <row r="1" spans="1:17" ht="18">
      <c r="A1" s="71" t="s">
        <v>3932</v>
      </c>
    </row>
    <row r="2" spans="1:17" ht="16.5" thickBot="1">
      <c r="A2" s="72" t="s">
        <v>1</v>
      </c>
    </row>
    <row r="3" spans="1:17" ht="15.75" thickBot="1">
      <c r="L3" s="205"/>
    </row>
    <row r="5" spans="1:17">
      <c r="A5" s="230" t="s">
        <v>3857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</row>
    <row r="6" spans="1:17">
      <c r="A6" s="116" t="s">
        <v>2</v>
      </c>
      <c r="B6" s="116" t="s">
        <v>3724</v>
      </c>
      <c r="C6" s="116" t="s">
        <v>3725</v>
      </c>
      <c r="D6" s="116" t="s">
        <v>3726</v>
      </c>
      <c r="E6" s="116" t="s">
        <v>3727</v>
      </c>
      <c r="F6" s="116" t="s">
        <v>3728</v>
      </c>
      <c r="G6" s="116" t="s">
        <v>3729</v>
      </c>
      <c r="H6" s="116" t="s">
        <v>3730</v>
      </c>
      <c r="I6" s="116" t="s">
        <v>3731</v>
      </c>
      <c r="J6" s="116" t="s">
        <v>3732</v>
      </c>
      <c r="K6" s="116" t="s">
        <v>3733</v>
      </c>
      <c r="L6" s="116" t="s">
        <v>3734</v>
      </c>
      <c r="M6" s="116" t="s">
        <v>3735</v>
      </c>
      <c r="N6" s="116" t="s">
        <v>3736</v>
      </c>
      <c r="O6" s="116" t="s">
        <v>3737</v>
      </c>
      <c r="P6" s="116" t="s">
        <v>787</v>
      </c>
      <c r="Q6" s="116" t="s">
        <v>3738</v>
      </c>
    </row>
    <row r="7" spans="1:17">
      <c r="A7" s="175" t="s">
        <v>3858</v>
      </c>
      <c r="B7" s="175" t="s">
        <v>3740</v>
      </c>
      <c r="C7" s="176">
        <v>3</v>
      </c>
      <c r="D7" s="176">
        <v>2136</v>
      </c>
      <c r="E7" s="175"/>
      <c r="F7" s="176">
        <v>74458309139036</v>
      </c>
      <c r="G7" s="175" t="s">
        <v>3741</v>
      </c>
      <c r="H7" s="176">
        <v>30683032227</v>
      </c>
      <c r="I7" s="175" t="s">
        <v>3759</v>
      </c>
      <c r="J7" s="176">
        <v>1</v>
      </c>
      <c r="K7" s="175" t="s">
        <v>3742</v>
      </c>
      <c r="L7" s="204">
        <v>13214.86</v>
      </c>
      <c r="M7" s="176">
        <v>0</v>
      </c>
      <c r="N7" s="176">
        <v>0</v>
      </c>
      <c r="O7" s="176">
        <v>0</v>
      </c>
      <c r="P7" s="204">
        <v>2775.12</v>
      </c>
      <c r="Q7" s="176">
        <v>15990</v>
      </c>
    </row>
    <row r="8" spans="1:17">
      <c r="A8" s="175" t="s">
        <v>3858</v>
      </c>
      <c r="B8" s="175" t="s">
        <v>3740</v>
      </c>
      <c r="C8" s="176">
        <v>3</v>
      </c>
      <c r="D8" s="176">
        <v>2137</v>
      </c>
      <c r="E8" s="175"/>
      <c r="F8" s="176">
        <v>74458327277222</v>
      </c>
      <c r="G8" s="175" t="s">
        <v>3741</v>
      </c>
      <c r="H8" s="176">
        <v>30683032227</v>
      </c>
      <c r="I8" s="175" t="s">
        <v>3759</v>
      </c>
      <c r="J8" s="176">
        <v>1</v>
      </c>
      <c r="K8" s="175" t="s">
        <v>3742</v>
      </c>
      <c r="L8" s="204">
        <v>181818.19</v>
      </c>
      <c r="M8" s="176">
        <v>0</v>
      </c>
      <c r="N8" s="176">
        <v>0</v>
      </c>
      <c r="O8" s="176">
        <v>0</v>
      </c>
      <c r="P8" s="204">
        <v>38181.82</v>
      </c>
      <c r="Q8" s="204">
        <v>220000.01</v>
      </c>
    </row>
    <row r="9" spans="1:17">
      <c r="A9" s="175" t="s">
        <v>3859</v>
      </c>
      <c r="B9" s="175" t="s">
        <v>3740</v>
      </c>
      <c r="C9" s="176">
        <v>3</v>
      </c>
      <c r="D9" s="176">
        <v>2138</v>
      </c>
      <c r="E9" s="175"/>
      <c r="F9" s="176">
        <v>74478742230301</v>
      </c>
      <c r="G9" s="175" t="s">
        <v>3741</v>
      </c>
      <c r="H9" s="176">
        <v>23253939729</v>
      </c>
      <c r="I9" s="175" t="s">
        <v>3860</v>
      </c>
      <c r="J9" s="176">
        <v>1</v>
      </c>
      <c r="K9" s="175" t="s">
        <v>3742</v>
      </c>
      <c r="L9" s="204">
        <v>29338.86</v>
      </c>
      <c r="M9" s="176">
        <v>0</v>
      </c>
      <c r="N9" s="176">
        <v>0</v>
      </c>
      <c r="O9" s="176">
        <v>0</v>
      </c>
      <c r="P9" s="204">
        <v>6161.16</v>
      </c>
      <c r="Q9" s="176">
        <v>35500</v>
      </c>
    </row>
    <row r="10" spans="1:17">
      <c r="A10" s="175" t="s">
        <v>3861</v>
      </c>
      <c r="B10" s="175" t="s">
        <v>3740</v>
      </c>
      <c r="C10" s="176">
        <v>3</v>
      </c>
      <c r="D10" s="176">
        <v>2139</v>
      </c>
      <c r="E10" s="175"/>
      <c r="F10" s="176">
        <v>74488434763924</v>
      </c>
      <c r="G10" s="175" t="s">
        <v>3741</v>
      </c>
      <c r="H10" s="176">
        <v>30559574291</v>
      </c>
      <c r="I10" s="175" t="s">
        <v>3862</v>
      </c>
      <c r="J10" s="176">
        <v>1</v>
      </c>
      <c r="K10" s="175" t="s">
        <v>3742</v>
      </c>
      <c r="L10" s="204">
        <v>32314.05</v>
      </c>
      <c r="M10" s="176">
        <v>0</v>
      </c>
      <c r="N10" s="176">
        <v>0</v>
      </c>
      <c r="O10" s="176">
        <v>0</v>
      </c>
      <c r="P10" s="204">
        <v>6785.95</v>
      </c>
      <c r="Q10" s="176">
        <v>39100</v>
      </c>
    </row>
    <row r="11" spans="1:17">
      <c r="A11" s="175" t="s">
        <v>3858</v>
      </c>
      <c r="B11" s="175" t="s">
        <v>3743</v>
      </c>
      <c r="C11" s="176">
        <v>3</v>
      </c>
      <c r="D11" s="176">
        <v>21</v>
      </c>
      <c r="E11" s="175"/>
      <c r="F11" s="176">
        <v>74458318823336</v>
      </c>
      <c r="G11" s="175" t="s">
        <v>3741</v>
      </c>
      <c r="H11" s="176">
        <v>30522428163</v>
      </c>
      <c r="I11" s="175" t="s">
        <v>2712</v>
      </c>
      <c r="J11" s="176">
        <v>1</v>
      </c>
      <c r="K11" s="175" t="s">
        <v>3742</v>
      </c>
      <c r="L11" s="175">
        <v>2727966.9</v>
      </c>
      <c r="M11" s="176">
        <v>0</v>
      </c>
      <c r="N11" s="176">
        <v>0</v>
      </c>
      <c r="O11" s="176">
        <v>0</v>
      </c>
      <c r="P11" s="204">
        <v>572873.05000000005</v>
      </c>
      <c r="Q11" s="204">
        <v>3300839.99</v>
      </c>
    </row>
    <row r="12" spans="1:17">
      <c r="A12" s="175" t="s">
        <v>3863</v>
      </c>
      <c r="B12" s="175" t="s">
        <v>3864</v>
      </c>
      <c r="C12" s="176">
        <v>3</v>
      </c>
      <c r="D12" s="176">
        <v>23</v>
      </c>
      <c r="E12" s="175"/>
      <c r="F12" s="176">
        <v>74478109722900</v>
      </c>
      <c r="G12" s="175" t="s">
        <v>3741</v>
      </c>
      <c r="H12" s="176">
        <v>30683032227</v>
      </c>
      <c r="I12" s="175" t="s">
        <v>3759</v>
      </c>
      <c r="J12" s="176">
        <v>1</v>
      </c>
      <c r="K12" s="175" t="s">
        <v>3742</v>
      </c>
      <c r="L12" s="204">
        <v>-3293388.43</v>
      </c>
      <c r="M12" s="176"/>
      <c r="N12" s="176">
        <v>-150000</v>
      </c>
      <c r="O12" s="176">
        <v>0</v>
      </c>
      <c r="P12" s="204">
        <v>-691611.57030000002</v>
      </c>
      <c r="Q12" s="176">
        <v>-4135000.0003000004</v>
      </c>
    </row>
    <row r="13" spans="1:17">
      <c r="A13" s="175" t="s">
        <v>3865</v>
      </c>
      <c r="B13" s="175" t="s">
        <v>3763</v>
      </c>
      <c r="C13" s="176">
        <v>3</v>
      </c>
      <c r="D13" s="176">
        <v>182</v>
      </c>
      <c r="E13" s="175"/>
      <c r="F13" s="176">
        <v>74468965641440</v>
      </c>
      <c r="G13" s="175" t="s">
        <v>3741</v>
      </c>
      <c r="H13" s="176">
        <v>30717908232</v>
      </c>
      <c r="I13" s="175" t="s">
        <v>3767</v>
      </c>
      <c r="J13" s="176">
        <v>1</v>
      </c>
      <c r="K13" s="175" t="s">
        <v>3742</v>
      </c>
      <c r="L13" s="204">
        <v>-20661.14</v>
      </c>
      <c r="M13" s="176"/>
      <c r="N13" s="176">
        <v>0</v>
      </c>
      <c r="O13" s="176">
        <v>0</v>
      </c>
      <c r="P13" s="204">
        <v>-4338.8393999999998</v>
      </c>
      <c r="Q13" s="176">
        <v>-24999.9794</v>
      </c>
    </row>
    <row r="14" spans="1:17">
      <c r="A14" s="175" t="s">
        <v>3865</v>
      </c>
      <c r="B14" s="175" t="s">
        <v>3763</v>
      </c>
      <c r="C14" s="176">
        <v>3</v>
      </c>
      <c r="D14" s="176">
        <v>183</v>
      </c>
      <c r="E14" s="175"/>
      <c r="F14" s="176">
        <v>74468965892356</v>
      </c>
      <c r="G14" s="175" t="s">
        <v>3741</v>
      </c>
      <c r="H14" s="176">
        <v>30717908232</v>
      </c>
      <c r="I14" s="175" t="s">
        <v>3767</v>
      </c>
      <c r="J14" s="176">
        <v>1</v>
      </c>
      <c r="K14" s="175" t="s">
        <v>3742</v>
      </c>
      <c r="L14" s="204">
        <v>-26446.29</v>
      </c>
      <c r="M14" s="176"/>
      <c r="N14" s="176">
        <v>0</v>
      </c>
      <c r="O14" s="176">
        <v>0</v>
      </c>
      <c r="P14" s="204">
        <v>-5553.7209000000003</v>
      </c>
      <c r="Q14" s="176">
        <v>-32000.010900000001</v>
      </c>
    </row>
    <row r="15" spans="1:17">
      <c r="A15" s="175" t="s">
        <v>3865</v>
      </c>
      <c r="B15" s="175" t="s">
        <v>3763</v>
      </c>
      <c r="C15" s="176">
        <v>3</v>
      </c>
      <c r="D15" s="176">
        <v>181</v>
      </c>
      <c r="E15" s="175"/>
      <c r="F15" s="176">
        <v>74468961653137</v>
      </c>
      <c r="G15" s="175" t="s">
        <v>3741</v>
      </c>
      <c r="H15" s="176">
        <v>30709645656</v>
      </c>
      <c r="I15" s="175" t="s">
        <v>3837</v>
      </c>
      <c r="J15" s="176">
        <v>1</v>
      </c>
      <c r="K15" s="175" t="s">
        <v>3742</v>
      </c>
      <c r="L15" s="204">
        <v>-27086.76</v>
      </c>
      <c r="M15" s="176"/>
      <c r="N15" s="176">
        <v>0</v>
      </c>
      <c r="O15" s="176">
        <v>0</v>
      </c>
      <c r="P15" s="204">
        <v>-5688.2195999999994</v>
      </c>
      <c r="Q15" s="176">
        <v>-32774.979599999999</v>
      </c>
    </row>
    <row r="16" spans="1:17">
      <c r="A16" s="175" t="s">
        <v>3866</v>
      </c>
      <c r="B16" s="175" t="s">
        <v>3763</v>
      </c>
      <c r="C16" s="176">
        <v>3</v>
      </c>
      <c r="D16" s="176">
        <v>184</v>
      </c>
      <c r="E16" s="175"/>
      <c r="F16" s="176">
        <v>74468036500550</v>
      </c>
      <c r="G16" s="175" t="s">
        <v>3741</v>
      </c>
      <c r="H16" s="176">
        <v>30715803093</v>
      </c>
      <c r="I16" s="175" t="s">
        <v>3780</v>
      </c>
      <c r="J16" s="176">
        <v>1</v>
      </c>
      <c r="K16" s="175" t="s">
        <v>3742</v>
      </c>
      <c r="L16" s="176">
        <v>-26281</v>
      </c>
      <c r="M16" s="176"/>
      <c r="N16" s="176">
        <v>0</v>
      </c>
      <c r="O16" s="176">
        <v>0</v>
      </c>
      <c r="P16" s="204">
        <v>-5519.01</v>
      </c>
      <c r="Q16" s="176">
        <v>-31800.010000000002</v>
      </c>
    </row>
    <row r="17" spans="1:17" ht="15.75" thickBot="1">
      <c r="A17" s="175" t="s">
        <v>3867</v>
      </c>
      <c r="B17" s="175" t="s">
        <v>3763</v>
      </c>
      <c r="C17" s="176">
        <v>3</v>
      </c>
      <c r="D17" s="176">
        <v>185</v>
      </c>
      <c r="E17" s="175"/>
      <c r="F17" s="176">
        <v>74478847140424</v>
      </c>
      <c r="G17" s="175" t="s">
        <v>3741</v>
      </c>
      <c r="H17" s="176">
        <v>30683032227</v>
      </c>
      <c r="I17" s="175" t="s">
        <v>3759</v>
      </c>
      <c r="J17" s="176">
        <v>1</v>
      </c>
      <c r="K17" s="175" t="s">
        <v>3742</v>
      </c>
      <c r="L17" s="204">
        <v>-972429.76</v>
      </c>
      <c r="M17" s="176"/>
      <c r="N17" s="176">
        <v>0</v>
      </c>
      <c r="O17" s="176">
        <v>0</v>
      </c>
      <c r="P17" s="204">
        <v>-204210.24959999998</v>
      </c>
      <c r="Q17" s="176">
        <v>-1176640.0096</v>
      </c>
    </row>
    <row r="18" spans="1:17" ht="15.75" thickBot="1">
      <c r="A18" s="175"/>
      <c r="B18" s="175"/>
      <c r="C18" s="176"/>
      <c r="D18" s="176"/>
      <c r="E18" s="175"/>
      <c r="F18" s="176"/>
      <c r="G18" s="175"/>
      <c r="H18" s="176"/>
      <c r="I18" s="175"/>
      <c r="J18" s="225" t="s">
        <v>461</v>
      </c>
      <c r="K18" s="226"/>
      <c r="L18" s="190">
        <f>SUM(L7:L17)</f>
        <v>-1381640.5200000003</v>
      </c>
      <c r="M18" s="191">
        <f t="shared" ref="M18:Q18" si="0">SUM(M7:M17)</f>
        <v>0</v>
      </c>
      <c r="N18" s="191">
        <f t="shared" si="0"/>
        <v>-150000</v>
      </c>
      <c r="O18" s="191">
        <f t="shared" si="0"/>
        <v>0</v>
      </c>
      <c r="P18" s="191">
        <f>SUM(P7:P17)</f>
        <v>-290144.50979999988</v>
      </c>
      <c r="Q18" s="192">
        <f t="shared" si="0"/>
        <v>-1821784.9898000003</v>
      </c>
    </row>
    <row r="19" spans="1:17">
      <c r="A19" s="175"/>
      <c r="B19" s="175"/>
      <c r="C19" s="176"/>
      <c r="D19" s="176"/>
      <c r="E19" s="175"/>
      <c r="F19" s="176"/>
      <c r="G19" s="175"/>
      <c r="H19" s="176"/>
      <c r="I19" s="175"/>
      <c r="J19" s="176"/>
      <c r="K19" s="175"/>
      <c r="L19" s="204"/>
      <c r="M19" s="176"/>
      <c r="N19" s="176"/>
      <c r="O19" s="176"/>
      <c r="P19" s="204"/>
      <c r="Q19" s="176"/>
    </row>
    <row r="20" spans="1:17">
      <c r="A20" s="175" t="s">
        <v>3868</v>
      </c>
      <c r="B20" s="175" t="s">
        <v>3744</v>
      </c>
      <c r="C20" s="176">
        <v>3</v>
      </c>
      <c r="D20" s="176">
        <v>2862</v>
      </c>
      <c r="E20" s="175"/>
      <c r="F20" s="176">
        <v>74448548497786</v>
      </c>
      <c r="G20" s="175" t="s">
        <v>3807</v>
      </c>
      <c r="H20" s="176">
        <v>20078376105</v>
      </c>
      <c r="I20" s="175" t="s">
        <v>3869</v>
      </c>
      <c r="J20" s="176">
        <v>1</v>
      </c>
      <c r="K20" s="175" t="s">
        <v>3742</v>
      </c>
      <c r="L20" s="204">
        <v>314049.57</v>
      </c>
      <c r="M20" s="176">
        <v>0</v>
      </c>
      <c r="N20" s="176">
        <v>0</v>
      </c>
      <c r="O20" s="176">
        <v>0</v>
      </c>
      <c r="P20" s="204">
        <v>65950.41</v>
      </c>
      <c r="Q20" s="176">
        <v>380000</v>
      </c>
    </row>
    <row r="21" spans="1:17">
      <c r="A21" s="175" t="s">
        <v>3868</v>
      </c>
      <c r="B21" s="175" t="s">
        <v>3744</v>
      </c>
      <c r="C21" s="176">
        <v>3</v>
      </c>
      <c r="D21" s="176">
        <v>2863</v>
      </c>
      <c r="E21" s="175"/>
      <c r="F21" s="176">
        <v>74448603364668</v>
      </c>
      <c r="G21" s="175" t="s">
        <v>3785</v>
      </c>
      <c r="H21" s="176">
        <v>35940091</v>
      </c>
      <c r="I21" s="175" t="s">
        <v>3870</v>
      </c>
      <c r="J21" s="176">
        <v>1</v>
      </c>
      <c r="K21" s="175" t="s">
        <v>3742</v>
      </c>
      <c r="L21" s="204">
        <v>12727.29</v>
      </c>
      <c r="M21" s="176">
        <v>0</v>
      </c>
      <c r="N21" s="176">
        <v>0</v>
      </c>
      <c r="O21" s="176">
        <v>0</v>
      </c>
      <c r="P21" s="204">
        <v>2672.73</v>
      </c>
      <c r="Q21" s="176">
        <v>15400</v>
      </c>
    </row>
    <row r="22" spans="1:17">
      <c r="A22" s="175" t="s">
        <v>3868</v>
      </c>
      <c r="B22" s="175" t="s">
        <v>3744</v>
      </c>
      <c r="C22" s="176">
        <v>3</v>
      </c>
      <c r="D22" s="176">
        <v>2864</v>
      </c>
      <c r="E22" s="175"/>
      <c r="F22" s="176">
        <v>74448610147202</v>
      </c>
      <c r="G22" s="175" t="s">
        <v>3785</v>
      </c>
      <c r="H22" s="176">
        <v>18066137</v>
      </c>
      <c r="I22" s="175" t="s">
        <v>3871</v>
      </c>
      <c r="J22" s="176">
        <v>1</v>
      </c>
      <c r="K22" s="175" t="s">
        <v>3742</v>
      </c>
      <c r="L22" s="204">
        <v>17355.38</v>
      </c>
      <c r="M22" s="176">
        <v>0</v>
      </c>
      <c r="N22" s="176">
        <v>0</v>
      </c>
      <c r="O22" s="176">
        <v>0</v>
      </c>
      <c r="P22" s="204">
        <v>3644.63</v>
      </c>
      <c r="Q22" s="176">
        <v>21000</v>
      </c>
    </row>
    <row r="23" spans="1:17">
      <c r="A23" s="175" t="s">
        <v>3872</v>
      </c>
      <c r="B23" s="175" t="s">
        <v>3744</v>
      </c>
      <c r="C23" s="176">
        <v>3</v>
      </c>
      <c r="D23" s="176">
        <v>2865</v>
      </c>
      <c r="E23" s="175"/>
      <c r="F23" s="176">
        <v>74458902778395</v>
      </c>
      <c r="G23" s="175"/>
      <c r="H23" s="175"/>
      <c r="I23" s="175"/>
      <c r="J23" s="176">
        <v>1</v>
      </c>
      <c r="K23" s="175" t="s">
        <v>3742</v>
      </c>
      <c r="L23" s="204">
        <v>12396.71</v>
      </c>
      <c r="M23" s="176">
        <v>0</v>
      </c>
      <c r="N23" s="176">
        <v>0</v>
      </c>
      <c r="O23" s="176">
        <v>0</v>
      </c>
      <c r="P23" s="204">
        <v>2603.31</v>
      </c>
      <c r="Q23" s="176">
        <v>15000</v>
      </c>
    </row>
    <row r="24" spans="1:17">
      <c r="A24" s="175" t="s">
        <v>3872</v>
      </c>
      <c r="B24" s="175" t="s">
        <v>3744</v>
      </c>
      <c r="C24" s="176">
        <v>3</v>
      </c>
      <c r="D24" s="176">
        <v>2869</v>
      </c>
      <c r="E24" s="175"/>
      <c r="F24" s="176">
        <v>74458939112061</v>
      </c>
      <c r="G24" s="175"/>
      <c r="H24" s="175"/>
      <c r="I24" s="175"/>
      <c r="J24" s="176">
        <v>1</v>
      </c>
      <c r="K24" s="175" t="s">
        <v>3742</v>
      </c>
      <c r="L24" s="204">
        <v>17355.38</v>
      </c>
      <c r="M24" s="176">
        <v>0</v>
      </c>
      <c r="N24" s="176">
        <v>0</v>
      </c>
      <c r="O24" s="176">
        <v>0</v>
      </c>
      <c r="P24" s="204">
        <v>3644.63</v>
      </c>
      <c r="Q24" s="176">
        <v>21000</v>
      </c>
    </row>
    <row r="25" spans="1:17">
      <c r="A25" s="175" t="s">
        <v>3872</v>
      </c>
      <c r="B25" s="175" t="s">
        <v>3744</v>
      </c>
      <c r="C25" s="176">
        <v>3</v>
      </c>
      <c r="D25" s="176">
        <v>2872</v>
      </c>
      <c r="E25" s="175"/>
      <c r="F25" s="176">
        <v>74458942253899</v>
      </c>
      <c r="G25" s="175" t="s">
        <v>3785</v>
      </c>
      <c r="H25" s="176">
        <v>18057302</v>
      </c>
      <c r="I25" s="175" t="s">
        <v>3873</v>
      </c>
      <c r="J25" s="176">
        <v>1</v>
      </c>
      <c r="K25" s="175" t="s">
        <v>3742</v>
      </c>
      <c r="L25" s="204">
        <v>18677.669999999998</v>
      </c>
      <c r="M25" s="176">
        <v>0</v>
      </c>
      <c r="N25" s="176">
        <v>0</v>
      </c>
      <c r="O25" s="176">
        <v>0</v>
      </c>
      <c r="P25" s="204">
        <v>3922.31</v>
      </c>
      <c r="Q25" s="176">
        <v>22600</v>
      </c>
    </row>
    <row r="26" spans="1:17">
      <c r="A26" s="175" t="s">
        <v>3872</v>
      </c>
      <c r="B26" s="175" t="s">
        <v>3744</v>
      </c>
      <c r="C26" s="176">
        <v>3</v>
      </c>
      <c r="D26" s="176">
        <v>2867</v>
      </c>
      <c r="E26" s="175"/>
      <c r="F26" s="176">
        <v>74458937256075</v>
      </c>
      <c r="G26" s="175" t="s">
        <v>3785</v>
      </c>
      <c r="H26" s="176">
        <v>28369491</v>
      </c>
      <c r="I26" s="175" t="s">
        <v>3874</v>
      </c>
      <c r="J26" s="176">
        <v>1</v>
      </c>
      <c r="K26" s="175" t="s">
        <v>3742</v>
      </c>
      <c r="L26" s="204">
        <v>21900.81</v>
      </c>
      <c r="M26" s="176">
        <v>0</v>
      </c>
      <c r="N26" s="176">
        <v>0</v>
      </c>
      <c r="O26" s="176">
        <v>0</v>
      </c>
      <c r="P26" s="204">
        <v>4599.17</v>
      </c>
      <c r="Q26" s="176">
        <v>26500</v>
      </c>
    </row>
    <row r="27" spans="1:17">
      <c r="A27" s="175" t="s">
        <v>3872</v>
      </c>
      <c r="B27" s="175" t="s">
        <v>3744</v>
      </c>
      <c r="C27" s="176">
        <v>3</v>
      </c>
      <c r="D27" s="176">
        <v>2866</v>
      </c>
      <c r="E27" s="175"/>
      <c r="F27" s="176">
        <v>74458912240084</v>
      </c>
      <c r="G27" s="175" t="s">
        <v>3785</v>
      </c>
      <c r="H27" s="176">
        <v>11987513</v>
      </c>
      <c r="I27" s="175" t="s">
        <v>3875</v>
      </c>
      <c r="J27" s="176">
        <v>1</v>
      </c>
      <c r="K27" s="175" t="s">
        <v>3742</v>
      </c>
      <c r="L27" s="204">
        <v>34297.519999999997</v>
      </c>
      <c r="M27" s="176">
        <v>0</v>
      </c>
      <c r="N27" s="176">
        <v>0</v>
      </c>
      <c r="O27" s="176">
        <v>0</v>
      </c>
      <c r="P27" s="204">
        <v>7202.48</v>
      </c>
      <c r="Q27" s="176">
        <v>41500</v>
      </c>
    </row>
    <row r="28" spans="1:17">
      <c r="A28" s="175" t="s">
        <v>3872</v>
      </c>
      <c r="B28" s="175" t="s">
        <v>3744</v>
      </c>
      <c r="C28" s="176">
        <v>3</v>
      </c>
      <c r="D28" s="176">
        <v>2870</v>
      </c>
      <c r="E28" s="175"/>
      <c r="F28" s="176">
        <v>74458940452154</v>
      </c>
      <c r="G28" s="175" t="s">
        <v>3785</v>
      </c>
      <c r="H28" s="176">
        <v>17795042</v>
      </c>
      <c r="I28" s="175" t="s">
        <v>3796</v>
      </c>
      <c r="J28" s="176">
        <v>1</v>
      </c>
      <c r="K28" s="175" t="s">
        <v>3742</v>
      </c>
      <c r="L28" s="204">
        <v>35041.33</v>
      </c>
      <c r="M28" s="176">
        <v>0</v>
      </c>
      <c r="N28" s="176">
        <v>0</v>
      </c>
      <c r="O28" s="176">
        <v>0</v>
      </c>
      <c r="P28" s="204">
        <v>7358.68</v>
      </c>
      <c r="Q28" s="176">
        <v>42400</v>
      </c>
    </row>
    <row r="29" spans="1:17">
      <c r="A29" s="175" t="s">
        <v>3872</v>
      </c>
      <c r="B29" s="175" t="s">
        <v>3744</v>
      </c>
      <c r="C29" s="176">
        <v>3</v>
      </c>
      <c r="D29" s="176">
        <v>2868</v>
      </c>
      <c r="E29" s="175"/>
      <c r="F29" s="176">
        <v>74458937935802</v>
      </c>
      <c r="G29" s="175" t="s">
        <v>3785</v>
      </c>
      <c r="H29" s="176">
        <v>17467464</v>
      </c>
      <c r="I29" s="175" t="s">
        <v>3876</v>
      </c>
      <c r="J29" s="176">
        <v>1</v>
      </c>
      <c r="K29" s="175" t="s">
        <v>3742</v>
      </c>
      <c r="L29" s="204">
        <v>12727.29</v>
      </c>
      <c r="M29" s="176">
        <v>0</v>
      </c>
      <c r="N29" s="176">
        <v>0</v>
      </c>
      <c r="O29" s="176">
        <v>0</v>
      </c>
      <c r="P29" s="204">
        <v>2672.73</v>
      </c>
      <c r="Q29" s="176">
        <v>15400</v>
      </c>
    </row>
    <row r="30" spans="1:17">
      <c r="A30" s="175" t="s">
        <v>3872</v>
      </c>
      <c r="B30" s="175" t="s">
        <v>3744</v>
      </c>
      <c r="C30" s="176">
        <v>3</v>
      </c>
      <c r="D30" s="176">
        <v>2871</v>
      </c>
      <c r="E30" s="175"/>
      <c r="F30" s="176">
        <v>74458941173907</v>
      </c>
      <c r="G30" s="175" t="s">
        <v>3785</v>
      </c>
      <c r="H30" s="176">
        <v>18811819</v>
      </c>
      <c r="I30" s="175" t="s">
        <v>3848</v>
      </c>
      <c r="J30" s="176">
        <v>1</v>
      </c>
      <c r="K30" s="175" t="s">
        <v>3742</v>
      </c>
      <c r="L30" s="204">
        <v>12396.71</v>
      </c>
      <c r="M30" s="176">
        <v>0</v>
      </c>
      <c r="N30" s="176">
        <v>0</v>
      </c>
      <c r="O30" s="176">
        <v>0</v>
      </c>
      <c r="P30" s="204">
        <v>2603.31</v>
      </c>
      <c r="Q30" s="176">
        <v>15000</v>
      </c>
    </row>
    <row r="31" spans="1:17">
      <c r="A31" s="175" t="s">
        <v>3877</v>
      </c>
      <c r="B31" s="175" t="s">
        <v>3744</v>
      </c>
      <c r="C31" s="176">
        <v>3</v>
      </c>
      <c r="D31" s="176">
        <v>2873</v>
      </c>
      <c r="E31" s="175"/>
      <c r="F31" s="176">
        <v>74458217626513</v>
      </c>
      <c r="G31" s="175" t="s">
        <v>3785</v>
      </c>
      <c r="H31" s="176">
        <v>30393335</v>
      </c>
      <c r="I31" s="175" t="s">
        <v>3878</v>
      </c>
      <c r="J31" s="176">
        <v>1</v>
      </c>
      <c r="K31" s="175" t="s">
        <v>3742</v>
      </c>
      <c r="L31" s="204">
        <v>13636.38</v>
      </c>
      <c r="M31" s="176">
        <v>0</v>
      </c>
      <c r="N31" s="176">
        <v>0</v>
      </c>
      <c r="O31" s="176">
        <v>0</v>
      </c>
      <c r="P31" s="204">
        <v>2863.64</v>
      </c>
      <c r="Q31" s="176">
        <v>16500</v>
      </c>
    </row>
    <row r="32" spans="1:17">
      <c r="A32" s="175" t="s">
        <v>3879</v>
      </c>
      <c r="B32" s="175" t="s">
        <v>3744</v>
      </c>
      <c r="C32" s="176">
        <v>3</v>
      </c>
      <c r="D32" s="176">
        <v>2874</v>
      </c>
      <c r="E32" s="175"/>
      <c r="F32" s="176">
        <v>74468786678965</v>
      </c>
      <c r="G32" s="175" t="s">
        <v>3785</v>
      </c>
      <c r="H32" s="176">
        <v>93296932</v>
      </c>
      <c r="I32" s="175" t="s">
        <v>3880</v>
      </c>
      <c r="J32" s="176">
        <v>1</v>
      </c>
      <c r="K32" s="175" t="s">
        <v>3742</v>
      </c>
      <c r="L32" s="204">
        <v>21900.81</v>
      </c>
      <c r="M32" s="176">
        <v>0</v>
      </c>
      <c r="N32" s="176">
        <v>0</v>
      </c>
      <c r="O32" s="176">
        <v>0</v>
      </c>
      <c r="P32" s="204">
        <v>4599.17</v>
      </c>
      <c r="Q32" s="176">
        <v>26500</v>
      </c>
    </row>
    <row r="33" spans="1:17">
      <c r="A33" s="175" t="s">
        <v>3881</v>
      </c>
      <c r="B33" s="175" t="s">
        <v>3744</v>
      </c>
      <c r="C33" s="176">
        <v>3</v>
      </c>
      <c r="D33" s="176">
        <v>2875</v>
      </c>
      <c r="E33" s="175"/>
      <c r="F33" s="176">
        <v>74468230784203</v>
      </c>
      <c r="G33" s="175" t="s">
        <v>3785</v>
      </c>
      <c r="H33" s="176">
        <v>23522282</v>
      </c>
      <c r="I33" s="175" t="s">
        <v>3882</v>
      </c>
      <c r="J33" s="176">
        <v>1</v>
      </c>
      <c r="K33" s="175" t="s">
        <v>3742</v>
      </c>
      <c r="L33" s="204">
        <v>56198.33</v>
      </c>
      <c r="M33" s="176">
        <v>0</v>
      </c>
      <c r="N33" s="176">
        <v>0</v>
      </c>
      <c r="O33" s="176">
        <v>0</v>
      </c>
      <c r="P33" s="204">
        <v>11801.65</v>
      </c>
      <c r="Q33" s="176">
        <v>68000</v>
      </c>
    </row>
    <row r="34" spans="1:17">
      <c r="A34" s="175" t="s">
        <v>3881</v>
      </c>
      <c r="B34" s="175" t="s">
        <v>3744</v>
      </c>
      <c r="C34" s="176">
        <v>3</v>
      </c>
      <c r="D34" s="176">
        <v>2876</v>
      </c>
      <c r="E34" s="175"/>
      <c r="F34" s="176">
        <v>74468245421544</v>
      </c>
      <c r="G34" s="175" t="s">
        <v>3785</v>
      </c>
      <c r="H34" s="176">
        <v>22225858</v>
      </c>
      <c r="I34" s="175" t="s">
        <v>3883</v>
      </c>
      <c r="J34" s="176">
        <v>1</v>
      </c>
      <c r="K34" s="175" t="s">
        <v>3742</v>
      </c>
      <c r="L34" s="204">
        <v>13636.38</v>
      </c>
      <c r="M34" s="176">
        <v>0</v>
      </c>
      <c r="N34" s="176">
        <v>0</v>
      </c>
      <c r="O34" s="176">
        <v>0</v>
      </c>
      <c r="P34" s="204">
        <v>2863.64</v>
      </c>
      <c r="Q34" s="176">
        <v>16500</v>
      </c>
    </row>
    <row r="35" spans="1:17">
      <c r="A35" s="175" t="s">
        <v>3884</v>
      </c>
      <c r="B35" s="175" t="s">
        <v>3744</v>
      </c>
      <c r="C35" s="176">
        <v>3</v>
      </c>
      <c r="D35" s="176">
        <v>2877</v>
      </c>
      <c r="E35" s="175"/>
      <c r="F35" s="176">
        <v>74468368211793</v>
      </c>
      <c r="G35" s="175" t="s">
        <v>3785</v>
      </c>
      <c r="H35" s="176">
        <v>25612840</v>
      </c>
      <c r="I35" s="175" t="s">
        <v>3885</v>
      </c>
      <c r="J35" s="176">
        <v>1</v>
      </c>
      <c r="K35" s="175" t="s">
        <v>3742</v>
      </c>
      <c r="L35" s="204">
        <v>12727.29</v>
      </c>
      <c r="M35" s="176">
        <v>0</v>
      </c>
      <c r="N35" s="176">
        <v>0</v>
      </c>
      <c r="O35" s="176">
        <v>0</v>
      </c>
      <c r="P35" s="204">
        <v>2672.73</v>
      </c>
      <c r="Q35" s="176">
        <v>15400</v>
      </c>
    </row>
    <row r="36" spans="1:17">
      <c r="A36" s="175" t="s">
        <v>3859</v>
      </c>
      <c r="B36" s="175" t="s">
        <v>3744</v>
      </c>
      <c r="C36" s="176">
        <v>3</v>
      </c>
      <c r="D36" s="176">
        <v>2878</v>
      </c>
      <c r="E36" s="175"/>
      <c r="F36" s="176">
        <v>74478713962970</v>
      </c>
      <c r="G36" s="175" t="s">
        <v>3785</v>
      </c>
      <c r="H36" s="176">
        <v>95315324</v>
      </c>
      <c r="I36" s="175" t="s">
        <v>3886</v>
      </c>
      <c r="J36" s="176">
        <v>1</v>
      </c>
      <c r="K36" s="175" t="s">
        <v>3742</v>
      </c>
      <c r="L36" s="204">
        <v>26363.67</v>
      </c>
      <c r="M36" s="176">
        <v>0</v>
      </c>
      <c r="N36" s="176">
        <v>0</v>
      </c>
      <c r="O36" s="176">
        <v>0</v>
      </c>
      <c r="P36" s="204">
        <v>5536.37</v>
      </c>
      <c r="Q36" s="176">
        <v>31900</v>
      </c>
    </row>
    <row r="37" spans="1:17">
      <c r="A37" s="175" t="s">
        <v>3867</v>
      </c>
      <c r="B37" s="175" t="s">
        <v>3744</v>
      </c>
      <c r="C37" s="176">
        <v>3</v>
      </c>
      <c r="D37" s="176">
        <v>2879</v>
      </c>
      <c r="E37" s="175"/>
      <c r="F37" s="176">
        <v>74478862113907</v>
      </c>
      <c r="G37" s="175" t="s">
        <v>3785</v>
      </c>
      <c r="H37" s="176">
        <v>42146794</v>
      </c>
      <c r="I37" s="175" t="s">
        <v>3887</v>
      </c>
      <c r="J37" s="176">
        <v>1</v>
      </c>
      <c r="K37" s="175" t="s">
        <v>3742</v>
      </c>
      <c r="L37" s="204">
        <v>14876.05</v>
      </c>
      <c r="M37" s="176">
        <v>0</v>
      </c>
      <c r="N37" s="176">
        <v>0</v>
      </c>
      <c r="O37" s="176">
        <v>0</v>
      </c>
      <c r="P37" s="204">
        <v>3123.97</v>
      </c>
      <c r="Q37" s="176">
        <v>18000</v>
      </c>
    </row>
    <row r="38" spans="1:17">
      <c r="A38" s="175" t="s">
        <v>3888</v>
      </c>
      <c r="B38" s="175" t="s">
        <v>3744</v>
      </c>
      <c r="C38" s="176">
        <v>3</v>
      </c>
      <c r="D38" s="176">
        <v>2880</v>
      </c>
      <c r="E38" s="175"/>
      <c r="F38" s="176">
        <v>74478987512102</v>
      </c>
      <c r="G38" s="175" t="s">
        <v>3785</v>
      </c>
      <c r="H38" s="176">
        <v>31827199</v>
      </c>
      <c r="I38" s="175" t="s">
        <v>3889</v>
      </c>
      <c r="J38" s="176">
        <v>1</v>
      </c>
      <c r="K38" s="175" t="s">
        <v>3742</v>
      </c>
      <c r="L38" s="204">
        <v>17355.38</v>
      </c>
      <c r="M38" s="176">
        <v>0</v>
      </c>
      <c r="N38" s="176">
        <v>0</v>
      </c>
      <c r="O38" s="176">
        <v>0</v>
      </c>
      <c r="P38" s="204">
        <v>3644.63</v>
      </c>
      <c r="Q38" s="176">
        <v>21000</v>
      </c>
    </row>
    <row r="39" spans="1:17">
      <c r="A39" s="175" t="s">
        <v>3863</v>
      </c>
      <c r="B39" s="175" t="s">
        <v>3744</v>
      </c>
      <c r="C39" s="176">
        <v>3</v>
      </c>
      <c r="D39" s="176">
        <v>2881</v>
      </c>
      <c r="E39" s="175"/>
      <c r="F39" s="176">
        <v>74478086116826</v>
      </c>
      <c r="G39" s="175" t="s">
        <v>3785</v>
      </c>
      <c r="H39" s="176">
        <v>95726311</v>
      </c>
      <c r="I39" s="175" t="s">
        <v>3890</v>
      </c>
      <c r="J39" s="176">
        <v>1</v>
      </c>
      <c r="K39" s="175" t="s">
        <v>3742</v>
      </c>
      <c r="L39" s="204">
        <v>13636.38</v>
      </c>
      <c r="M39" s="176">
        <v>0</v>
      </c>
      <c r="N39" s="176">
        <v>0</v>
      </c>
      <c r="O39" s="176">
        <v>0</v>
      </c>
      <c r="P39" s="204">
        <v>2863.64</v>
      </c>
      <c r="Q39" s="176">
        <v>16500</v>
      </c>
    </row>
    <row r="40" spans="1:17">
      <c r="A40" s="175" t="s">
        <v>3863</v>
      </c>
      <c r="B40" s="175" t="s">
        <v>3744</v>
      </c>
      <c r="C40" s="176">
        <v>3</v>
      </c>
      <c r="D40" s="176">
        <v>2882</v>
      </c>
      <c r="E40" s="175"/>
      <c r="F40" s="176">
        <v>74478139104970</v>
      </c>
      <c r="G40" s="175" t="s">
        <v>3807</v>
      </c>
      <c r="H40" s="176">
        <v>27030798177</v>
      </c>
      <c r="I40" s="175" t="s">
        <v>3891</v>
      </c>
      <c r="J40" s="176">
        <v>1</v>
      </c>
      <c r="K40" s="175" t="s">
        <v>3742</v>
      </c>
      <c r="L40" s="204">
        <v>17355.38</v>
      </c>
      <c r="M40" s="176">
        <v>0</v>
      </c>
      <c r="N40" s="176">
        <v>0</v>
      </c>
      <c r="O40" s="176">
        <v>0</v>
      </c>
      <c r="P40" s="204">
        <v>3644.63</v>
      </c>
      <c r="Q40" s="176">
        <v>21000</v>
      </c>
    </row>
    <row r="41" spans="1:17">
      <c r="A41" s="175" t="s">
        <v>3861</v>
      </c>
      <c r="B41" s="175" t="s">
        <v>3744</v>
      </c>
      <c r="C41" s="176">
        <v>3</v>
      </c>
      <c r="D41" s="176">
        <v>2884</v>
      </c>
      <c r="E41" s="175"/>
      <c r="F41" s="176">
        <v>74488405207735</v>
      </c>
      <c r="G41" s="175"/>
      <c r="H41" s="175"/>
      <c r="I41" s="175"/>
      <c r="J41" s="176">
        <v>1</v>
      </c>
      <c r="K41" s="175" t="s">
        <v>3742</v>
      </c>
      <c r="L41" s="204">
        <v>33884.29</v>
      </c>
      <c r="M41" s="176">
        <v>0</v>
      </c>
      <c r="N41" s="176">
        <v>0</v>
      </c>
      <c r="O41" s="176">
        <v>0</v>
      </c>
      <c r="P41" s="175">
        <v>7115.7</v>
      </c>
      <c r="Q41" s="176">
        <v>41000</v>
      </c>
    </row>
    <row r="42" spans="1:17">
      <c r="A42" s="175" t="s">
        <v>3861</v>
      </c>
      <c r="B42" s="175" t="s">
        <v>3744</v>
      </c>
      <c r="C42" s="176">
        <v>3</v>
      </c>
      <c r="D42" s="176">
        <v>2883</v>
      </c>
      <c r="E42" s="175"/>
      <c r="F42" s="176">
        <v>74488394940378</v>
      </c>
      <c r="G42" s="175" t="s">
        <v>3785</v>
      </c>
      <c r="H42" s="176">
        <v>30467689</v>
      </c>
      <c r="I42" s="175" t="s">
        <v>3892</v>
      </c>
      <c r="J42" s="176">
        <v>1</v>
      </c>
      <c r="K42" s="175" t="s">
        <v>3742</v>
      </c>
      <c r="L42" s="204">
        <v>12396.71</v>
      </c>
      <c r="M42" s="176">
        <v>0</v>
      </c>
      <c r="N42" s="176">
        <v>0</v>
      </c>
      <c r="O42" s="176">
        <v>0</v>
      </c>
      <c r="P42" s="204">
        <v>2603.31</v>
      </c>
      <c r="Q42" s="176">
        <v>15000</v>
      </c>
    </row>
    <row r="43" spans="1:17">
      <c r="A43" s="175" t="s">
        <v>3861</v>
      </c>
      <c r="B43" s="175" t="s">
        <v>3744</v>
      </c>
      <c r="C43" s="176">
        <v>3</v>
      </c>
      <c r="D43" s="176">
        <v>2885</v>
      </c>
      <c r="E43" s="175"/>
      <c r="F43" s="176">
        <v>74488414673543</v>
      </c>
      <c r="G43" s="175" t="s">
        <v>3785</v>
      </c>
      <c r="H43" s="176">
        <v>16582171</v>
      </c>
      <c r="I43" s="175" t="s">
        <v>3893</v>
      </c>
      <c r="J43" s="176">
        <v>1</v>
      </c>
      <c r="K43" s="175" t="s">
        <v>3742</v>
      </c>
      <c r="L43" s="204">
        <v>14876.05</v>
      </c>
      <c r="M43" s="176">
        <v>0</v>
      </c>
      <c r="N43" s="176">
        <v>0</v>
      </c>
      <c r="O43" s="176">
        <v>0</v>
      </c>
      <c r="P43" s="204">
        <v>3123.97</v>
      </c>
      <c r="Q43" s="176">
        <v>18000</v>
      </c>
    </row>
    <row r="44" spans="1:17">
      <c r="A44" s="175" t="s">
        <v>3861</v>
      </c>
      <c r="B44" s="175" t="s">
        <v>3744</v>
      </c>
      <c r="C44" s="176">
        <v>3</v>
      </c>
      <c r="D44" s="176">
        <v>2886</v>
      </c>
      <c r="E44" s="175"/>
      <c r="F44" s="176">
        <v>74488419974621</v>
      </c>
      <c r="G44" s="175" t="s">
        <v>3785</v>
      </c>
      <c r="H44" s="176">
        <v>92141987</v>
      </c>
      <c r="I44" s="175" t="s">
        <v>3894</v>
      </c>
      <c r="J44" s="176">
        <v>1</v>
      </c>
      <c r="K44" s="175" t="s">
        <v>3742</v>
      </c>
      <c r="L44" s="204">
        <v>13636.38</v>
      </c>
      <c r="M44" s="176">
        <v>0</v>
      </c>
      <c r="N44" s="176">
        <v>0</v>
      </c>
      <c r="O44" s="176">
        <v>0</v>
      </c>
      <c r="P44" s="204">
        <v>2863.64</v>
      </c>
      <c r="Q44" s="176">
        <v>16500</v>
      </c>
    </row>
    <row r="45" spans="1:17">
      <c r="A45" s="175" t="s">
        <v>3895</v>
      </c>
      <c r="B45" s="175" t="s">
        <v>3744</v>
      </c>
      <c r="C45" s="176">
        <v>3</v>
      </c>
      <c r="D45" s="176">
        <v>2887</v>
      </c>
      <c r="E45" s="175"/>
      <c r="F45" s="176">
        <v>74488716246933</v>
      </c>
      <c r="G45" s="175" t="s">
        <v>3741</v>
      </c>
      <c r="H45" s="176">
        <v>20940317402</v>
      </c>
      <c r="I45" s="175" t="s">
        <v>3896</v>
      </c>
      <c r="J45" s="176">
        <v>1</v>
      </c>
      <c r="K45" s="175" t="s">
        <v>3742</v>
      </c>
      <c r="L45" s="204">
        <v>12396.71</v>
      </c>
      <c r="M45" s="176">
        <v>0</v>
      </c>
      <c r="N45" s="176">
        <v>0</v>
      </c>
      <c r="O45" s="176">
        <v>0</v>
      </c>
      <c r="P45" s="204">
        <v>2603.31</v>
      </c>
      <c r="Q45" s="176">
        <v>15000</v>
      </c>
    </row>
    <row r="46" spans="1:17">
      <c r="A46" s="175" t="s">
        <v>3897</v>
      </c>
      <c r="B46" s="175" t="s">
        <v>3749</v>
      </c>
      <c r="C46" s="176">
        <v>3</v>
      </c>
      <c r="D46" s="176">
        <v>266</v>
      </c>
      <c r="E46" s="175"/>
      <c r="F46" s="176">
        <v>74458032236942</v>
      </c>
      <c r="G46" s="175" t="s">
        <v>3785</v>
      </c>
      <c r="H46" s="176">
        <v>4404079</v>
      </c>
      <c r="I46" s="175" t="s">
        <v>3791</v>
      </c>
      <c r="J46" s="176">
        <v>1</v>
      </c>
      <c r="K46" s="175" t="s">
        <v>3742</v>
      </c>
      <c r="L46" s="204">
        <v>-26446.29</v>
      </c>
      <c r="M46" s="176"/>
      <c r="N46" s="176">
        <v>0</v>
      </c>
      <c r="O46" s="176">
        <v>0</v>
      </c>
      <c r="P46" s="204">
        <v>-5553.7209000000003</v>
      </c>
      <c r="Q46" s="176">
        <v>-32000.010900000001</v>
      </c>
    </row>
    <row r="47" spans="1:17">
      <c r="A47" s="175" t="s">
        <v>3877</v>
      </c>
      <c r="B47" s="175" t="s">
        <v>3749</v>
      </c>
      <c r="C47" s="176">
        <v>3</v>
      </c>
      <c r="D47" s="176">
        <v>267</v>
      </c>
      <c r="E47" s="175"/>
      <c r="F47" s="176">
        <v>74458169215695</v>
      </c>
      <c r="G47" s="175" t="s">
        <v>3785</v>
      </c>
      <c r="H47" s="176">
        <v>46027091</v>
      </c>
      <c r="I47" s="175" t="s">
        <v>3792</v>
      </c>
      <c r="J47" s="176">
        <v>1</v>
      </c>
      <c r="K47" s="175" t="s">
        <v>3742</v>
      </c>
      <c r="L47" s="204">
        <v>-15619.86</v>
      </c>
      <c r="M47" s="176"/>
      <c r="N47" s="176">
        <v>0</v>
      </c>
      <c r="O47" s="176">
        <v>0</v>
      </c>
      <c r="P47" s="204">
        <v>-3280.1705999999999</v>
      </c>
      <c r="Q47" s="176">
        <v>-18900.030600000002</v>
      </c>
    </row>
    <row r="48" spans="1:17">
      <c r="A48" s="175" t="s">
        <v>3877</v>
      </c>
      <c r="B48" s="175" t="s">
        <v>3749</v>
      </c>
      <c r="C48" s="176">
        <v>3</v>
      </c>
      <c r="D48" s="176">
        <v>268</v>
      </c>
      <c r="E48" s="175"/>
      <c r="F48" s="176">
        <v>74458169791894</v>
      </c>
      <c r="G48" s="175" t="s">
        <v>3785</v>
      </c>
      <c r="H48" s="176">
        <v>46027091</v>
      </c>
      <c r="I48" s="175" t="s">
        <v>3792</v>
      </c>
      <c r="J48" s="176">
        <v>1</v>
      </c>
      <c r="K48" s="175" t="s">
        <v>3742</v>
      </c>
      <c r="L48" s="204">
        <v>-14876.05</v>
      </c>
      <c r="M48" s="176"/>
      <c r="N48" s="176">
        <v>0</v>
      </c>
      <c r="O48" s="176">
        <v>0</v>
      </c>
      <c r="P48" s="204">
        <v>-3123.9704999999999</v>
      </c>
      <c r="Q48" s="176">
        <v>-18000.020499999999</v>
      </c>
    </row>
    <row r="49" spans="1:17">
      <c r="A49" s="175" t="s">
        <v>3877</v>
      </c>
      <c r="B49" s="175" t="s">
        <v>3749</v>
      </c>
      <c r="C49" s="176">
        <v>3</v>
      </c>
      <c r="D49" s="176">
        <v>269</v>
      </c>
      <c r="E49" s="175"/>
      <c r="F49" s="176">
        <v>74458203232654</v>
      </c>
      <c r="G49" s="175" t="s">
        <v>3785</v>
      </c>
      <c r="H49" s="176">
        <v>17795042</v>
      </c>
      <c r="I49" s="175" t="s">
        <v>3796</v>
      </c>
      <c r="J49" s="176">
        <v>1</v>
      </c>
      <c r="K49" s="175" t="s">
        <v>3742</v>
      </c>
      <c r="L49" s="204">
        <v>-35041.33</v>
      </c>
      <c r="M49" s="176"/>
      <c r="N49" s="176">
        <v>0</v>
      </c>
      <c r="O49" s="176">
        <v>0</v>
      </c>
      <c r="P49" s="204">
        <v>-7358.6792999999998</v>
      </c>
      <c r="Q49" s="176">
        <v>-42400.009300000005</v>
      </c>
    </row>
    <row r="50" spans="1:17">
      <c r="A50" s="175" t="s">
        <v>3877</v>
      </c>
      <c r="B50" s="175" t="s">
        <v>3749</v>
      </c>
      <c r="C50" s="176">
        <v>3</v>
      </c>
      <c r="D50" s="176">
        <v>270</v>
      </c>
      <c r="E50" s="175"/>
      <c r="F50" s="176">
        <v>74458203605106</v>
      </c>
      <c r="G50" s="175" t="s">
        <v>3785</v>
      </c>
      <c r="H50" s="176">
        <v>17795042</v>
      </c>
      <c r="I50" s="175" t="s">
        <v>3796</v>
      </c>
      <c r="J50" s="176">
        <v>1</v>
      </c>
      <c r="K50" s="175" t="s">
        <v>3742</v>
      </c>
      <c r="L50" s="204">
        <v>-35041.33</v>
      </c>
      <c r="M50" s="176"/>
      <c r="N50" s="176">
        <v>0</v>
      </c>
      <c r="O50" s="176">
        <v>0</v>
      </c>
      <c r="P50" s="204">
        <v>-7358.6792999999998</v>
      </c>
      <c r="Q50" s="176">
        <v>-42400.009300000005</v>
      </c>
    </row>
    <row r="51" spans="1:17">
      <c r="A51" s="175" t="s">
        <v>3877</v>
      </c>
      <c r="B51" s="175" t="s">
        <v>3749</v>
      </c>
      <c r="C51" s="176">
        <v>3</v>
      </c>
      <c r="D51" s="176">
        <v>271</v>
      </c>
      <c r="E51" s="175"/>
      <c r="F51" s="176">
        <v>74458207747994</v>
      </c>
      <c r="G51" s="175" t="s">
        <v>3741</v>
      </c>
      <c r="H51" s="176">
        <v>27137980008</v>
      </c>
      <c r="I51" s="175" t="s">
        <v>3787</v>
      </c>
      <c r="J51" s="176">
        <v>1</v>
      </c>
      <c r="K51" s="175" t="s">
        <v>3742</v>
      </c>
      <c r="L51" s="204">
        <v>-22314.05</v>
      </c>
      <c r="M51" s="176"/>
      <c r="N51" s="176">
        <v>0</v>
      </c>
      <c r="O51" s="176">
        <v>0</v>
      </c>
      <c r="P51" s="204">
        <v>-4685.9504999999999</v>
      </c>
      <c r="Q51" s="176">
        <v>-27000.000499999998</v>
      </c>
    </row>
    <row r="52" spans="1:17">
      <c r="A52" s="175" t="s">
        <v>3858</v>
      </c>
      <c r="B52" s="175" t="s">
        <v>3749</v>
      </c>
      <c r="C52" s="176">
        <v>3</v>
      </c>
      <c r="D52" s="176">
        <v>272</v>
      </c>
      <c r="E52" s="175"/>
      <c r="F52" s="176">
        <v>74458328323810</v>
      </c>
      <c r="G52" s="175" t="s">
        <v>3785</v>
      </c>
      <c r="H52" s="176">
        <v>93102721</v>
      </c>
      <c r="I52" s="175" t="s">
        <v>3790</v>
      </c>
      <c r="J52" s="176">
        <v>1</v>
      </c>
      <c r="K52" s="175" t="s">
        <v>3742</v>
      </c>
      <c r="L52" s="204">
        <v>-12396.71</v>
      </c>
      <c r="M52" s="176"/>
      <c r="N52" s="176">
        <v>0</v>
      </c>
      <c r="O52" s="176">
        <v>0</v>
      </c>
      <c r="P52" s="204">
        <v>-2603.3090999999999</v>
      </c>
      <c r="Q52" s="176">
        <v>-15000.0191</v>
      </c>
    </row>
    <row r="53" spans="1:17">
      <c r="A53" s="175" t="s">
        <v>3858</v>
      </c>
      <c r="B53" s="175" t="s">
        <v>3749</v>
      </c>
      <c r="C53" s="176">
        <v>3</v>
      </c>
      <c r="D53" s="176">
        <v>273</v>
      </c>
      <c r="E53" s="175"/>
      <c r="F53" s="176">
        <v>74458332962396</v>
      </c>
      <c r="G53" s="175" t="s">
        <v>3785</v>
      </c>
      <c r="H53" s="176">
        <v>30371510</v>
      </c>
      <c r="I53" s="175" t="s">
        <v>3795</v>
      </c>
      <c r="J53" s="176">
        <v>1</v>
      </c>
      <c r="K53" s="175" t="s">
        <v>3742</v>
      </c>
      <c r="L53" s="204">
        <v>-21900.81</v>
      </c>
      <c r="M53" s="176"/>
      <c r="N53" s="176">
        <v>0</v>
      </c>
      <c r="O53" s="176">
        <v>0</v>
      </c>
      <c r="P53" s="204">
        <v>-4599.1701000000003</v>
      </c>
      <c r="Q53" s="176">
        <v>-26499.980100000001</v>
      </c>
    </row>
    <row r="54" spans="1:17">
      <c r="A54" s="175" t="s">
        <v>3858</v>
      </c>
      <c r="B54" s="175" t="s">
        <v>3749</v>
      </c>
      <c r="C54" s="176">
        <v>3</v>
      </c>
      <c r="D54" s="176">
        <v>274</v>
      </c>
      <c r="E54" s="175"/>
      <c r="F54" s="176">
        <v>74458333338465</v>
      </c>
      <c r="G54" s="175" t="s">
        <v>3785</v>
      </c>
      <c r="H54" s="176">
        <v>30371510</v>
      </c>
      <c r="I54" s="175" t="s">
        <v>3795</v>
      </c>
      <c r="J54" s="176">
        <v>1</v>
      </c>
      <c r="K54" s="175" t="s">
        <v>3742</v>
      </c>
      <c r="L54" s="204">
        <v>-21900.81</v>
      </c>
      <c r="M54" s="176"/>
      <c r="N54" s="176">
        <v>0</v>
      </c>
      <c r="O54" s="176">
        <v>0</v>
      </c>
      <c r="P54" s="204">
        <v>-4599.1701000000003</v>
      </c>
      <c r="Q54" s="176">
        <v>-26499.980100000001</v>
      </c>
    </row>
    <row r="55" spans="1:17">
      <c r="A55" s="175" t="s">
        <v>3858</v>
      </c>
      <c r="B55" s="175" t="s">
        <v>3749</v>
      </c>
      <c r="C55" s="176">
        <v>3</v>
      </c>
      <c r="D55" s="176">
        <v>275</v>
      </c>
      <c r="E55" s="175"/>
      <c r="F55" s="176">
        <v>74458335366414</v>
      </c>
      <c r="G55" s="175" t="s">
        <v>3785</v>
      </c>
      <c r="H55" s="176">
        <v>18220005</v>
      </c>
      <c r="I55" s="175" t="s">
        <v>3794</v>
      </c>
      <c r="J55" s="176">
        <v>1</v>
      </c>
      <c r="K55" s="175" t="s">
        <v>3742</v>
      </c>
      <c r="L55" s="204">
        <v>-10330.57</v>
      </c>
      <c r="M55" s="176"/>
      <c r="N55" s="176">
        <v>0</v>
      </c>
      <c r="O55" s="176">
        <v>0</v>
      </c>
      <c r="P55" s="204">
        <v>-2169.4196999999999</v>
      </c>
      <c r="Q55" s="176">
        <v>-12499.9897</v>
      </c>
    </row>
    <row r="56" spans="1:17">
      <c r="A56" s="175" t="s">
        <v>3858</v>
      </c>
      <c r="B56" s="175" t="s">
        <v>3749</v>
      </c>
      <c r="C56" s="176">
        <v>3</v>
      </c>
      <c r="D56" s="176">
        <v>276</v>
      </c>
      <c r="E56" s="175"/>
      <c r="F56" s="176">
        <v>74458335760212</v>
      </c>
      <c r="G56" s="175" t="s">
        <v>3785</v>
      </c>
      <c r="H56" s="176">
        <v>18220005</v>
      </c>
      <c r="I56" s="175" t="s">
        <v>3794</v>
      </c>
      <c r="J56" s="176">
        <v>1</v>
      </c>
      <c r="K56" s="175" t="s">
        <v>3742</v>
      </c>
      <c r="L56" s="204">
        <v>-10330.57</v>
      </c>
      <c r="M56" s="176"/>
      <c r="N56" s="176">
        <v>0</v>
      </c>
      <c r="O56" s="176">
        <v>0</v>
      </c>
      <c r="P56" s="204">
        <v>-2169.4196999999999</v>
      </c>
      <c r="Q56" s="176">
        <v>-12499.9897</v>
      </c>
    </row>
    <row r="57" spans="1:17">
      <c r="A57" s="175" t="s">
        <v>3858</v>
      </c>
      <c r="B57" s="175" t="s">
        <v>3749</v>
      </c>
      <c r="C57" s="176">
        <v>3</v>
      </c>
      <c r="D57" s="176">
        <v>277</v>
      </c>
      <c r="E57" s="175"/>
      <c r="F57" s="176">
        <v>74458368834741</v>
      </c>
      <c r="G57" s="175" t="s">
        <v>3785</v>
      </c>
      <c r="H57" s="176">
        <v>35112162</v>
      </c>
      <c r="I57" s="175" t="s">
        <v>3797</v>
      </c>
      <c r="J57" s="176">
        <v>1</v>
      </c>
      <c r="K57" s="175" t="s">
        <v>3742</v>
      </c>
      <c r="L57" s="204">
        <v>-12396.71</v>
      </c>
      <c r="M57" s="176"/>
      <c r="N57" s="176">
        <v>0</v>
      </c>
      <c r="O57" s="176">
        <v>0</v>
      </c>
      <c r="P57" s="204">
        <v>-2603.3090999999999</v>
      </c>
      <c r="Q57" s="176">
        <v>-15000.0191</v>
      </c>
    </row>
    <row r="58" spans="1:17">
      <c r="A58" s="175" t="s">
        <v>3858</v>
      </c>
      <c r="B58" s="175" t="s">
        <v>3749</v>
      </c>
      <c r="C58" s="176">
        <v>3</v>
      </c>
      <c r="D58" s="176">
        <v>278</v>
      </c>
      <c r="E58" s="175"/>
      <c r="F58" s="176">
        <v>74458370569157</v>
      </c>
      <c r="G58" s="175" t="s">
        <v>3785</v>
      </c>
      <c r="H58" s="176">
        <v>14981797</v>
      </c>
      <c r="I58" s="175" t="s">
        <v>3798</v>
      </c>
      <c r="J58" s="176">
        <v>1</v>
      </c>
      <c r="K58" s="175" t="s">
        <v>3742</v>
      </c>
      <c r="L58" s="204">
        <v>-28512.38</v>
      </c>
      <c r="M58" s="176"/>
      <c r="N58" s="176">
        <v>0</v>
      </c>
      <c r="O58" s="176">
        <v>0</v>
      </c>
      <c r="P58" s="204">
        <v>-5987.5998</v>
      </c>
      <c r="Q58" s="176">
        <v>-34499.979800000001</v>
      </c>
    </row>
    <row r="59" spans="1:17">
      <c r="A59" s="175" t="s">
        <v>3898</v>
      </c>
      <c r="B59" s="175" t="s">
        <v>3749</v>
      </c>
      <c r="C59" s="176">
        <v>3</v>
      </c>
      <c r="D59" s="176">
        <v>279</v>
      </c>
      <c r="E59" s="175"/>
      <c r="F59" s="176">
        <v>74458438316021</v>
      </c>
      <c r="G59" s="175" t="s">
        <v>3785</v>
      </c>
      <c r="H59" s="176">
        <v>22493216</v>
      </c>
      <c r="I59" s="175" t="s">
        <v>3799</v>
      </c>
      <c r="J59" s="176">
        <v>1</v>
      </c>
      <c r="K59" s="175" t="s">
        <v>3742</v>
      </c>
      <c r="L59" s="204">
        <v>-14752.05</v>
      </c>
      <c r="M59" s="176"/>
      <c r="N59" s="176">
        <v>0</v>
      </c>
      <c r="O59" s="176">
        <v>0</v>
      </c>
      <c r="P59" s="204">
        <v>-3097.9304999999999</v>
      </c>
      <c r="Q59" s="176">
        <v>-17849.980499999998</v>
      </c>
    </row>
    <row r="60" spans="1:17">
      <c r="A60" s="175" t="s">
        <v>3898</v>
      </c>
      <c r="B60" s="175" t="s">
        <v>3749</v>
      </c>
      <c r="C60" s="176">
        <v>3</v>
      </c>
      <c r="D60" s="176">
        <v>280</v>
      </c>
      <c r="E60" s="175"/>
      <c r="F60" s="176">
        <v>74458439599764</v>
      </c>
      <c r="G60" s="175" t="s">
        <v>3785</v>
      </c>
      <c r="H60" s="176">
        <v>4160867</v>
      </c>
      <c r="I60" s="175" t="s">
        <v>3800</v>
      </c>
      <c r="J60" s="176">
        <v>1</v>
      </c>
      <c r="K60" s="175" t="s">
        <v>3742</v>
      </c>
      <c r="L60" s="204">
        <v>-14876.05</v>
      </c>
      <c r="M60" s="176"/>
      <c r="N60" s="176">
        <v>0</v>
      </c>
      <c r="O60" s="176">
        <v>0</v>
      </c>
      <c r="P60" s="204">
        <v>-3123.9704999999999</v>
      </c>
      <c r="Q60" s="176">
        <v>-18000.020499999999</v>
      </c>
    </row>
    <row r="61" spans="1:17">
      <c r="A61" s="175" t="s">
        <v>3898</v>
      </c>
      <c r="B61" s="175" t="s">
        <v>3749</v>
      </c>
      <c r="C61" s="176">
        <v>3</v>
      </c>
      <c r="D61" s="176">
        <v>281</v>
      </c>
      <c r="E61" s="175"/>
      <c r="F61" s="176">
        <v>74458439960463</v>
      </c>
      <c r="G61" s="175" t="s">
        <v>3785</v>
      </c>
      <c r="H61" s="176">
        <v>35958893</v>
      </c>
      <c r="I61" s="175" t="s">
        <v>3803</v>
      </c>
      <c r="J61" s="176">
        <v>1</v>
      </c>
      <c r="K61" s="175" t="s">
        <v>3742</v>
      </c>
      <c r="L61" s="204">
        <v>-41322.33</v>
      </c>
      <c r="M61" s="176"/>
      <c r="N61" s="176">
        <v>0</v>
      </c>
      <c r="O61" s="176">
        <v>0</v>
      </c>
      <c r="P61" s="204">
        <v>-8677.6893</v>
      </c>
      <c r="Q61" s="176">
        <v>-50000.0193</v>
      </c>
    </row>
    <row r="62" spans="1:17">
      <c r="A62" s="175" t="s">
        <v>3898</v>
      </c>
      <c r="B62" s="175" t="s">
        <v>3749</v>
      </c>
      <c r="C62" s="176">
        <v>3</v>
      </c>
      <c r="D62" s="176">
        <v>282</v>
      </c>
      <c r="E62" s="175"/>
      <c r="F62" s="176">
        <v>74458446122875</v>
      </c>
      <c r="G62" s="175" t="s">
        <v>3785</v>
      </c>
      <c r="H62" s="176">
        <v>46873125</v>
      </c>
      <c r="I62" s="175" t="s">
        <v>3802</v>
      </c>
      <c r="J62" s="176">
        <v>1</v>
      </c>
      <c r="K62" s="175" t="s">
        <v>3742</v>
      </c>
      <c r="L62" s="204">
        <v>-41322.33</v>
      </c>
      <c r="M62" s="176"/>
      <c r="N62" s="176">
        <v>0</v>
      </c>
      <c r="O62" s="176">
        <v>0</v>
      </c>
      <c r="P62" s="204">
        <v>-8677.6893</v>
      </c>
      <c r="Q62" s="176">
        <v>-50000.0193</v>
      </c>
    </row>
    <row r="63" spans="1:17">
      <c r="A63" s="175" t="s">
        <v>3898</v>
      </c>
      <c r="B63" s="175" t="s">
        <v>3749</v>
      </c>
      <c r="C63" s="176">
        <v>3</v>
      </c>
      <c r="D63" s="176">
        <v>283</v>
      </c>
      <c r="E63" s="175"/>
      <c r="F63" s="176">
        <v>74458446949476</v>
      </c>
      <c r="G63" s="175" t="s">
        <v>3785</v>
      </c>
      <c r="H63" s="176">
        <v>24268487</v>
      </c>
      <c r="I63" s="175" t="s">
        <v>3801</v>
      </c>
      <c r="J63" s="176">
        <v>1</v>
      </c>
      <c r="K63" s="175" t="s">
        <v>3742</v>
      </c>
      <c r="L63" s="204">
        <v>-14876.05</v>
      </c>
      <c r="M63" s="176"/>
      <c r="N63" s="176">
        <v>0</v>
      </c>
      <c r="O63" s="176">
        <v>0</v>
      </c>
      <c r="P63" s="204">
        <v>-3123.9704999999999</v>
      </c>
      <c r="Q63" s="176">
        <v>-18000.020499999999</v>
      </c>
    </row>
    <row r="64" spans="1:17">
      <c r="A64" s="175" t="s">
        <v>3898</v>
      </c>
      <c r="B64" s="175" t="s">
        <v>3749</v>
      </c>
      <c r="C64" s="176">
        <v>3</v>
      </c>
      <c r="D64" s="176">
        <v>284</v>
      </c>
      <c r="E64" s="175"/>
      <c r="F64" s="176">
        <v>74458455719126</v>
      </c>
      <c r="G64" s="175" t="s">
        <v>3785</v>
      </c>
      <c r="H64" s="176">
        <v>95936668</v>
      </c>
      <c r="I64" s="175" t="s">
        <v>3805</v>
      </c>
      <c r="J64" s="176">
        <v>1</v>
      </c>
      <c r="K64" s="175" t="s">
        <v>3742</v>
      </c>
      <c r="L64" s="204">
        <v>-12727.29</v>
      </c>
      <c r="M64" s="176"/>
      <c r="N64" s="176">
        <v>0</v>
      </c>
      <c r="O64" s="176">
        <v>0</v>
      </c>
      <c r="P64" s="204">
        <v>-2672.7309</v>
      </c>
      <c r="Q64" s="176">
        <v>-15400.020900000001</v>
      </c>
    </row>
    <row r="65" spans="1:17">
      <c r="A65" s="175" t="s">
        <v>3898</v>
      </c>
      <c r="B65" s="175" t="s">
        <v>3749</v>
      </c>
      <c r="C65" s="176">
        <v>3</v>
      </c>
      <c r="D65" s="176">
        <v>285</v>
      </c>
      <c r="E65" s="175"/>
      <c r="F65" s="176">
        <v>74458459370430</v>
      </c>
      <c r="G65" s="175" t="s">
        <v>3785</v>
      </c>
      <c r="H65" s="176">
        <v>16473359</v>
      </c>
      <c r="I65" s="175" t="s">
        <v>3806</v>
      </c>
      <c r="J65" s="176">
        <v>1</v>
      </c>
      <c r="K65" s="175" t="s">
        <v>3742</v>
      </c>
      <c r="L65" s="204">
        <v>-22314.05</v>
      </c>
      <c r="M65" s="176"/>
      <c r="N65" s="176">
        <v>0</v>
      </c>
      <c r="O65" s="176">
        <v>0</v>
      </c>
      <c r="P65" s="204">
        <v>-4685.9504999999999</v>
      </c>
      <c r="Q65" s="176">
        <v>-27000.000499999998</v>
      </c>
    </row>
    <row r="66" spans="1:17">
      <c r="A66" s="175" t="s">
        <v>3879</v>
      </c>
      <c r="B66" s="175" t="s">
        <v>3749</v>
      </c>
      <c r="C66" s="176">
        <v>3</v>
      </c>
      <c r="D66" s="176">
        <v>286</v>
      </c>
      <c r="E66" s="175"/>
      <c r="F66" s="176">
        <v>74468781292190</v>
      </c>
      <c r="G66" s="175" t="s">
        <v>3807</v>
      </c>
      <c r="H66" s="176">
        <v>20041399636</v>
      </c>
      <c r="I66" s="175" t="s">
        <v>3808</v>
      </c>
      <c r="J66" s="176">
        <v>1</v>
      </c>
      <c r="K66" s="175" t="s">
        <v>3742</v>
      </c>
      <c r="L66" s="204">
        <v>-44214.86</v>
      </c>
      <c r="M66" s="176"/>
      <c r="N66" s="176">
        <v>0</v>
      </c>
      <c r="O66" s="176">
        <v>0</v>
      </c>
      <c r="P66" s="204">
        <v>-9285.1206000000002</v>
      </c>
      <c r="Q66" s="176">
        <v>-53499.980600000003</v>
      </c>
    </row>
    <row r="67" spans="1:17">
      <c r="A67" s="175" t="s">
        <v>3879</v>
      </c>
      <c r="B67" s="175" t="s">
        <v>3749</v>
      </c>
      <c r="C67" s="176">
        <v>3</v>
      </c>
      <c r="D67" s="176">
        <v>287</v>
      </c>
      <c r="E67" s="175"/>
      <c r="F67" s="176">
        <v>74468783835411</v>
      </c>
      <c r="G67" s="175" t="s">
        <v>3785</v>
      </c>
      <c r="H67" s="176">
        <v>18560116</v>
      </c>
      <c r="I67" s="175" t="s">
        <v>3804</v>
      </c>
      <c r="J67" s="176">
        <v>1</v>
      </c>
      <c r="K67" s="175" t="s">
        <v>3742</v>
      </c>
      <c r="L67" s="204">
        <v>-12727.29</v>
      </c>
      <c r="M67" s="176"/>
      <c r="N67" s="176">
        <v>0</v>
      </c>
      <c r="O67" s="176">
        <v>0</v>
      </c>
      <c r="P67" s="204">
        <v>-2672.7309</v>
      </c>
      <c r="Q67" s="176">
        <v>-15400.020900000001</v>
      </c>
    </row>
    <row r="68" spans="1:17">
      <c r="A68" s="175" t="s">
        <v>3879</v>
      </c>
      <c r="B68" s="175" t="s">
        <v>3749</v>
      </c>
      <c r="C68" s="176">
        <v>3</v>
      </c>
      <c r="D68" s="176">
        <v>288</v>
      </c>
      <c r="E68" s="175"/>
      <c r="F68" s="176">
        <v>74468789618761</v>
      </c>
      <c r="G68" s="175" t="s">
        <v>3785</v>
      </c>
      <c r="H68" s="176">
        <v>29891642</v>
      </c>
      <c r="I68" s="175" t="s">
        <v>3809</v>
      </c>
      <c r="J68" s="176">
        <v>1</v>
      </c>
      <c r="K68" s="175" t="s">
        <v>3742</v>
      </c>
      <c r="L68" s="204">
        <v>-13636.38</v>
      </c>
      <c r="M68" s="176"/>
      <c r="N68" s="176">
        <v>0</v>
      </c>
      <c r="O68" s="176">
        <v>0</v>
      </c>
      <c r="P68" s="204">
        <v>-2863.6397999999999</v>
      </c>
      <c r="Q68" s="176">
        <v>-16500.019799999998</v>
      </c>
    </row>
    <row r="69" spans="1:17">
      <c r="A69" s="175" t="s">
        <v>3879</v>
      </c>
      <c r="B69" s="175" t="s">
        <v>3749</v>
      </c>
      <c r="C69" s="176">
        <v>3</v>
      </c>
      <c r="D69" s="176">
        <v>289</v>
      </c>
      <c r="E69" s="175"/>
      <c r="F69" s="176">
        <v>74468790146447</v>
      </c>
      <c r="G69" s="175" t="s">
        <v>3785</v>
      </c>
      <c r="H69" s="176">
        <v>48508099</v>
      </c>
      <c r="I69" s="175" t="s">
        <v>3814</v>
      </c>
      <c r="J69" s="176">
        <v>1</v>
      </c>
      <c r="K69" s="175" t="s">
        <v>3742</v>
      </c>
      <c r="L69" s="204">
        <v>-12727.29</v>
      </c>
      <c r="M69" s="176"/>
      <c r="N69" s="176">
        <v>0</v>
      </c>
      <c r="O69" s="176">
        <v>0</v>
      </c>
      <c r="P69" s="204">
        <v>-2672.7309</v>
      </c>
      <c r="Q69" s="176">
        <v>-15400.020900000001</v>
      </c>
    </row>
    <row r="70" spans="1:17">
      <c r="A70" s="175" t="s">
        <v>3879</v>
      </c>
      <c r="B70" s="175" t="s">
        <v>3749</v>
      </c>
      <c r="C70" s="176">
        <v>3</v>
      </c>
      <c r="D70" s="176">
        <v>290</v>
      </c>
      <c r="E70" s="175"/>
      <c r="F70" s="176">
        <v>74468790808226</v>
      </c>
      <c r="G70" s="175" t="s">
        <v>3785</v>
      </c>
      <c r="H70" s="176">
        <v>18560116</v>
      </c>
      <c r="I70" s="175" t="s">
        <v>3804</v>
      </c>
      <c r="J70" s="176">
        <v>1</v>
      </c>
      <c r="K70" s="175" t="s">
        <v>3742</v>
      </c>
      <c r="L70" s="204">
        <v>-22314.05</v>
      </c>
      <c r="M70" s="176"/>
      <c r="N70" s="176">
        <v>0</v>
      </c>
      <c r="O70" s="176">
        <v>0</v>
      </c>
      <c r="P70" s="204">
        <v>-4685.9504999999999</v>
      </c>
      <c r="Q70" s="176">
        <v>-27000.000499999998</v>
      </c>
    </row>
    <row r="71" spans="1:17">
      <c r="A71" s="175" t="s">
        <v>3879</v>
      </c>
      <c r="B71" s="175" t="s">
        <v>3749</v>
      </c>
      <c r="C71" s="176">
        <v>3</v>
      </c>
      <c r="D71" s="176">
        <v>291</v>
      </c>
      <c r="E71" s="175"/>
      <c r="F71" s="176">
        <v>74468795111464</v>
      </c>
      <c r="G71" s="175" t="s">
        <v>3785</v>
      </c>
      <c r="H71" s="176">
        <v>14015413</v>
      </c>
      <c r="I71" s="175" t="s">
        <v>3812</v>
      </c>
      <c r="J71" s="176">
        <v>1</v>
      </c>
      <c r="K71" s="175" t="s">
        <v>3742</v>
      </c>
      <c r="L71" s="204">
        <v>-14876.05</v>
      </c>
      <c r="M71" s="176"/>
      <c r="N71" s="176">
        <v>0</v>
      </c>
      <c r="O71" s="176">
        <v>0</v>
      </c>
      <c r="P71" s="204">
        <v>-3123.9704999999999</v>
      </c>
      <c r="Q71" s="176">
        <v>-18000.020499999999</v>
      </c>
    </row>
    <row r="72" spans="1:17">
      <c r="A72" s="175" t="s">
        <v>3879</v>
      </c>
      <c r="B72" s="175" t="s">
        <v>3749</v>
      </c>
      <c r="C72" s="176">
        <v>3</v>
      </c>
      <c r="D72" s="176">
        <v>292</v>
      </c>
      <c r="E72" s="175"/>
      <c r="F72" s="176">
        <v>74468796863856</v>
      </c>
      <c r="G72" s="175" t="s">
        <v>3785</v>
      </c>
      <c r="H72" s="176">
        <v>21565835</v>
      </c>
      <c r="I72" s="175" t="s">
        <v>3813</v>
      </c>
      <c r="J72" s="176">
        <v>1</v>
      </c>
      <c r="K72" s="175" t="s">
        <v>3742</v>
      </c>
      <c r="L72" s="204">
        <v>-13636.38</v>
      </c>
      <c r="M72" s="176"/>
      <c r="N72" s="176">
        <v>0</v>
      </c>
      <c r="O72" s="176">
        <v>0</v>
      </c>
      <c r="P72" s="204">
        <v>-2863.6397999999999</v>
      </c>
      <c r="Q72" s="176">
        <v>-16500.019799999998</v>
      </c>
    </row>
    <row r="73" spans="1:17">
      <c r="A73" s="175" t="s">
        <v>3879</v>
      </c>
      <c r="B73" s="175" t="s">
        <v>3749</v>
      </c>
      <c r="C73" s="176">
        <v>3</v>
      </c>
      <c r="D73" s="176">
        <v>293</v>
      </c>
      <c r="E73" s="175"/>
      <c r="F73" s="176">
        <v>74468798883545</v>
      </c>
      <c r="G73" s="175" t="s">
        <v>3807</v>
      </c>
      <c r="H73" s="176">
        <v>27216457248</v>
      </c>
      <c r="I73" s="175" t="s">
        <v>3818</v>
      </c>
      <c r="J73" s="176">
        <v>1</v>
      </c>
      <c r="K73" s="175" t="s">
        <v>3742</v>
      </c>
      <c r="L73" s="204">
        <v>-28925.62</v>
      </c>
      <c r="M73" s="176"/>
      <c r="N73" s="176">
        <v>0</v>
      </c>
      <c r="O73" s="176">
        <v>0</v>
      </c>
      <c r="P73" s="204">
        <v>-6074.3801999999996</v>
      </c>
      <c r="Q73" s="176">
        <v>-35000.000199999995</v>
      </c>
    </row>
    <row r="74" spans="1:17">
      <c r="A74" s="175" t="s">
        <v>3879</v>
      </c>
      <c r="B74" s="175" t="s">
        <v>3749</v>
      </c>
      <c r="C74" s="176">
        <v>3</v>
      </c>
      <c r="D74" s="176">
        <v>294</v>
      </c>
      <c r="E74" s="175"/>
      <c r="F74" s="176">
        <v>74468799804331</v>
      </c>
      <c r="G74" s="175" t="s">
        <v>3807</v>
      </c>
      <c r="H74" s="176">
        <v>27216457248</v>
      </c>
      <c r="I74" s="175" t="s">
        <v>3818</v>
      </c>
      <c r="J74" s="176">
        <v>1</v>
      </c>
      <c r="K74" s="175" t="s">
        <v>3742</v>
      </c>
      <c r="L74" s="204">
        <v>-27559.040000000001</v>
      </c>
      <c r="M74" s="176"/>
      <c r="N74" s="176">
        <v>0</v>
      </c>
      <c r="O74" s="176">
        <v>0</v>
      </c>
      <c r="P74" s="204">
        <v>-7440.9408000000003</v>
      </c>
      <c r="Q74" s="176">
        <v>-34999.980800000005</v>
      </c>
    </row>
    <row r="75" spans="1:17">
      <c r="A75" s="175" t="s">
        <v>3879</v>
      </c>
      <c r="B75" s="175" t="s">
        <v>3749</v>
      </c>
      <c r="C75" s="176">
        <v>3</v>
      </c>
      <c r="D75" s="176">
        <v>295</v>
      </c>
      <c r="E75" s="175"/>
      <c r="F75" s="176">
        <v>74468802557330</v>
      </c>
      <c r="G75" s="175" t="s">
        <v>3785</v>
      </c>
      <c r="H75" s="176">
        <v>18898122</v>
      </c>
      <c r="I75" s="175" t="s">
        <v>3816</v>
      </c>
      <c r="J75" s="176">
        <v>1</v>
      </c>
      <c r="K75" s="175" t="s">
        <v>3742</v>
      </c>
      <c r="L75" s="204">
        <v>-17355.38</v>
      </c>
      <c r="M75" s="176"/>
      <c r="N75" s="176">
        <v>0</v>
      </c>
      <c r="O75" s="176">
        <v>0</v>
      </c>
      <c r="P75" s="204">
        <v>-3644.6298000000002</v>
      </c>
      <c r="Q75" s="176">
        <v>-21000.0098</v>
      </c>
    </row>
    <row r="76" spans="1:17">
      <c r="A76" s="175" t="s">
        <v>3879</v>
      </c>
      <c r="B76" s="175" t="s">
        <v>3749</v>
      </c>
      <c r="C76" s="176">
        <v>3</v>
      </c>
      <c r="D76" s="176">
        <v>296</v>
      </c>
      <c r="E76" s="175"/>
      <c r="F76" s="176">
        <v>74468803084832</v>
      </c>
      <c r="G76" s="175" t="s">
        <v>3785</v>
      </c>
      <c r="H76" s="176">
        <v>21130283</v>
      </c>
      <c r="I76" s="175" t="s">
        <v>3815</v>
      </c>
      <c r="J76" s="176">
        <v>1</v>
      </c>
      <c r="K76" s="175" t="s">
        <v>3742</v>
      </c>
      <c r="L76" s="204">
        <v>-17355.38</v>
      </c>
      <c r="M76" s="176"/>
      <c r="N76" s="176">
        <v>0</v>
      </c>
      <c r="O76" s="176">
        <v>0</v>
      </c>
      <c r="P76" s="204">
        <v>-3644.6298000000002</v>
      </c>
      <c r="Q76" s="176">
        <v>-21000.0098</v>
      </c>
    </row>
    <row r="77" spans="1:17">
      <c r="A77" s="175" t="s">
        <v>3879</v>
      </c>
      <c r="B77" s="175" t="s">
        <v>3749</v>
      </c>
      <c r="C77" s="176">
        <v>3</v>
      </c>
      <c r="D77" s="176">
        <v>297</v>
      </c>
      <c r="E77" s="175"/>
      <c r="F77" s="176">
        <v>74468813453301</v>
      </c>
      <c r="G77" s="175" t="s">
        <v>3785</v>
      </c>
      <c r="H77" s="176">
        <v>14563128</v>
      </c>
      <c r="I77" s="175" t="s">
        <v>3846</v>
      </c>
      <c r="J77" s="176">
        <v>1</v>
      </c>
      <c r="K77" s="175" t="s">
        <v>3742</v>
      </c>
      <c r="L77" s="204">
        <v>-49586.76</v>
      </c>
      <c r="M77" s="176"/>
      <c r="N77" s="176">
        <v>0</v>
      </c>
      <c r="O77" s="176">
        <v>0</v>
      </c>
      <c r="P77" s="204">
        <v>-10413.2196</v>
      </c>
      <c r="Q77" s="176">
        <v>-59999.979600000006</v>
      </c>
    </row>
    <row r="78" spans="1:17">
      <c r="A78" s="175" t="s">
        <v>3879</v>
      </c>
      <c r="B78" s="175" t="s">
        <v>3749</v>
      </c>
      <c r="C78" s="176">
        <v>3</v>
      </c>
      <c r="D78" s="176">
        <v>298</v>
      </c>
      <c r="E78" s="175"/>
      <c r="F78" s="176">
        <v>74468818309517</v>
      </c>
      <c r="G78" s="175" t="s">
        <v>3785</v>
      </c>
      <c r="H78" s="176">
        <v>20987237</v>
      </c>
      <c r="I78" s="175" t="s">
        <v>3847</v>
      </c>
      <c r="J78" s="176">
        <v>1</v>
      </c>
      <c r="K78" s="175" t="s">
        <v>3742</v>
      </c>
      <c r="L78" s="204">
        <v>-12396.71</v>
      </c>
      <c r="M78" s="176"/>
      <c r="N78" s="176">
        <v>0</v>
      </c>
      <c r="O78" s="176">
        <v>0</v>
      </c>
      <c r="P78" s="204">
        <v>-2603.3090999999999</v>
      </c>
      <c r="Q78" s="176">
        <v>-15000.0191</v>
      </c>
    </row>
    <row r="79" spans="1:17">
      <c r="A79" s="175" t="s">
        <v>3879</v>
      </c>
      <c r="B79" s="175" t="s">
        <v>3749</v>
      </c>
      <c r="C79" s="176">
        <v>3</v>
      </c>
      <c r="D79" s="176">
        <v>299</v>
      </c>
      <c r="E79" s="175"/>
      <c r="F79" s="176">
        <v>74468818620997</v>
      </c>
      <c r="G79" s="175" t="s">
        <v>3785</v>
      </c>
      <c r="H79" s="176">
        <v>4582167</v>
      </c>
      <c r="I79" s="175" t="s">
        <v>3843</v>
      </c>
      <c r="J79" s="176">
        <v>1</v>
      </c>
      <c r="K79" s="175" t="s">
        <v>3742</v>
      </c>
      <c r="L79" s="204">
        <v>-21487.62</v>
      </c>
      <c r="M79" s="176"/>
      <c r="N79" s="176">
        <v>0</v>
      </c>
      <c r="O79" s="176">
        <v>0</v>
      </c>
      <c r="P79" s="204">
        <v>-4512.4002</v>
      </c>
      <c r="Q79" s="176">
        <v>-26000.020199999999</v>
      </c>
    </row>
    <row r="80" spans="1:17">
      <c r="A80" s="175" t="s">
        <v>3879</v>
      </c>
      <c r="B80" s="175" t="s">
        <v>3749</v>
      </c>
      <c r="C80" s="176">
        <v>3</v>
      </c>
      <c r="D80" s="176">
        <v>300</v>
      </c>
      <c r="E80" s="175"/>
      <c r="F80" s="176">
        <v>74468820778680</v>
      </c>
      <c r="G80" s="175" t="s">
        <v>3785</v>
      </c>
      <c r="H80" s="176">
        <v>18811819</v>
      </c>
      <c r="I80" s="175" t="s">
        <v>3848</v>
      </c>
      <c r="J80" s="176">
        <v>1</v>
      </c>
      <c r="K80" s="175" t="s">
        <v>3742</v>
      </c>
      <c r="L80" s="204">
        <v>-12396.71</v>
      </c>
      <c r="M80" s="176"/>
      <c r="N80" s="176">
        <v>0</v>
      </c>
      <c r="O80" s="176">
        <v>0</v>
      </c>
      <c r="P80" s="204">
        <v>-2603.3090999999999</v>
      </c>
      <c r="Q80" s="176">
        <v>-15000.0191</v>
      </c>
    </row>
    <row r="81" spans="1:17">
      <c r="A81" s="175" t="s">
        <v>3879</v>
      </c>
      <c r="B81" s="175" t="s">
        <v>3749</v>
      </c>
      <c r="C81" s="176">
        <v>3</v>
      </c>
      <c r="D81" s="176">
        <v>301</v>
      </c>
      <c r="E81" s="175"/>
      <c r="F81" s="176">
        <v>74468831726472</v>
      </c>
      <c r="G81" s="175" t="s">
        <v>3785</v>
      </c>
      <c r="H81" s="176">
        <v>18041408</v>
      </c>
      <c r="I81" s="175" t="s">
        <v>3829</v>
      </c>
      <c r="J81" s="176">
        <v>1</v>
      </c>
      <c r="K81" s="175" t="s">
        <v>3742</v>
      </c>
      <c r="L81" s="204">
        <v>-17355.38</v>
      </c>
      <c r="M81" s="176"/>
      <c r="N81" s="176">
        <v>0</v>
      </c>
      <c r="O81" s="176">
        <v>0</v>
      </c>
      <c r="P81" s="204">
        <v>-3644.6298000000002</v>
      </c>
      <c r="Q81" s="176">
        <v>-21000.0098</v>
      </c>
    </row>
    <row r="82" spans="1:17">
      <c r="A82" s="175" t="s">
        <v>3879</v>
      </c>
      <c r="B82" s="175" t="s">
        <v>3749</v>
      </c>
      <c r="C82" s="176">
        <v>3</v>
      </c>
      <c r="D82" s="176">
        <v>302</v>
      </c>
      <c r="E82" s="175"/>
      <c r="F82" s="176">
        <v>74468835350667</v>
      </c>
      <c r="G82" s="175" t="s">
        <v>3785</v>
      </c>
      <c r="H82" s="176">
        <v>13669404</v>
      </c>
      <c r="I82" s="175" t="s">
        <v>3827</v>
      </c>
      <c r="J82" s="176">
        <v>1</v>
      </c>
      <c r="K82" s="175" t="s">
        <v>3742</v>
      </c>
      <c r="L82" s="175">
        <v>-12809.9</v>
      </c>
      <c r="M82" s="176"/>
      <c r="N82" s="176">
        <v>0</v>
      </c>
      <c r="O82" s="176">
        <v>0</v>
      </c>
      <c r="P82" s="204">
        <v>-2690.0789999999997</v>
      </c>
      <c r="Q82" s="176">
        <v>-15499.978999999999</v>
      </c>
    </row>
    <row r="83" spans="1:17">
      <c r="A83" s="175" t="s">
        <v>3879</v>
      </c>
      <c r="B83" s="175" t="s">
        <v>3749</v>
      </c>
      <c r="C83" s="176">
        <v>3</v>
      </c>
      <c r="D83" s="176">
        <v>303</v>
      </c>
      <c r="E83" s="175"/>
      <c r="F83" s="176">
        <v>74468836065149</v>
      </c>
      <c r="G83" s="175" t="s">
        <v>3785</v>
      </c>
      <c r="H83" s="176">
        <v>10088080</v>
      </c>
      <c r="I83" s="175" t="s">
        <v>3828</v>
      </c>
      <c r="J83" s="176">
        <v>1</v>
      </c>
      <c r="K83" s="175" t="s">
        <v>3742</v>
      </c>
      <c r="L83" s="204">
        <v>-17768.57</v>
      </c>
      <c r="M83" s="176"/>
      <c r="N83" s="176">
        <v>0</v>
      </c>
      <c r="O83" s="176">
        <v>0</v>
      </c>
      <c r="P83" s="204">
        <v>-3731.3996999999999</v>
      </c>
      <c r="Q83" s="176">
        <v>-21499.969700000001</v>
      </c>
    </row>
    <row r="84" spans="1:17">
      <c r="A84" s="175" t="s">
        <v>3879</v>
      </c>
      <c r="B84" s="175" t="s">
        <v>3749</v>
      </c>
      <c r="C84" s="176">
        <v>3</v>
      </c>
      <c r="D84" s="176">
        <v>304</v>
      </c>
      <c r="E84" s="175"/>
      <c r="F84" s="176">
        <v>74468838788398</v>
      </c>
      <c r="G84" s="175" t="s">
        <v>3785</v>
      </c>
      <c r="H84" s="176">
        <v>3868027</v>
      </c>
      <c r="I84" s="175" t="s">
        <v>3793</v>
      </c>
      <c r="J84" s="176">
        <v>1</v>
      </c>
      <c r="K84" s="175" t="s">
        <v>3742</v>
      </c>
      <c r="L84" s="204">
        <v>-17768.57</v>
      </c>
      <c r="M84" s="176"/>
      <c r="N84" s="176">
        <v>0</v>
      </c>
      <c r="O84" s="176">
        <v>0</v>
      </c>
      <c r="P84" s="204">
        <v>-3731.3996999999999</v>
      </c>
      <c r="Q84" s="176">
        <v>-21499.969700000001</v>
      </c>
    </row>
    <row r="85" spans="1:17">
      <c r="A85" s="175" t="s">
        <v>3879</v>
      </c>
      <c r="B85" s="175" t="s">
        <v>3749</v>
      </c>
      <c r="C85" s="176">
        <v>3</v>
      </c>
      <c r="D85" s="176">
        <v>305</v>
      </c>
      <c r="E85" s="175"/>
      <c r="F85" s="176">
        <v>74468840075337</v>
      </c>
      <c r="G85" s="175" t="s">
        <v>3785</v>
      </c>
      <c r="H85" s="176">
        <v>24882196</v>
      </c>
      <c r="I85" s="175" t="s">
        <v>3845</v>
      </c>
      <c r="J85" s="176">
        <v>1</v>
      </c>
      <c r="K85" s="175" t="s">
        <v>3742</v>
      </c>
      <c r="L85" s="204">
        <v>-17355.38</v>
      </c>
      <c r="M85" s="176"/>
      <c r="N85" s="176">
        <v>0</v>
      </c>
      <c r="O85" s="176">
        <v>0</v>
      </c>
      <c r="P85" s="204">
        <v>-3644.6298000000002</v>
      </c>
      <c r="Q85" s="176">
        <v>-21000.0098</v>
      </c>
    </row>
    <row r="86" spans="1:17">
      <c r="A86" s="175" t="s">
        <v>3879</v>
      </c>
      <c r="B86" s="175" t="s">
        <v>3749</v>
      </c>
      <c r="C86" s="176">
        <v>3</v>
      </c>
      <c r="D86" s="176">
        <v>306</v>
      </c>
      <c r="E86" s="175"/>
      <c r="F86" s="176">
        <v>74468844292252</v>
      </c>
      <c r="G86" s="175" t="s">
        <v>3785</v>
      </c>
      <c r="H86" s="176">
        <v>24268487</v>
      </c>
      <c r="I86" s="175" t="s">
        <v>3801</v>
      </c>
      <c r="J86" s="176">
        <v>1</v>
      </c>
      <c r="K86" s="175" t="s">
        <v>3742</v>
      </c>
      <c r="L86" s="204">
        <v>-14876.05</v>
      </c>
      <c r="M86" s="176"/>
      <c r="N86" s="176">
        <v>0</v>
      </c>
      <c r="O86" s="176">
        <v>0</v>
      </c>
      <c r="P86" s="204">
        <v>-3123.9704999999999</v>
      </c>
      <c r="Q86" s="176">
        <v>-18000.020499999999</v>
      </c>
    </row>
    <row r="87" spans="1:17">
      <c r="A87" s="175" t="s">
        <v>3879</v>
      </c>
      <c r="B87" s="175" t="s">
        <v>3749</v>
      </c>
      <c r="C87" s="176">
        <v>3</v>
      </c>
      <c r="D87" s="176">
        <v>307</v>
      </c>
      <c r="E87" s="175"/>
      <c r="F87" s="176">
        <v>74468851212328</v>
      </c>
      <c r="G87" s="175" t="s">
        <v>3785</v>
      </c>
      <c r="H87" s="176">
        <v>4160867</v>
      </c>
      <c r="I87" s="175" t="s">
        <v>3800</v>
      </c>
      <c r="J87" s="176">
        <v>1</v>
      </c>
      <c r="K87" s="175" t="s">
        <v>3742</v>
      </c>
      <c r="L87" s="204">
        <v>-14876.05</v>
      </c>
      <c r="M87" s="176"/>
      <c r="N87" s="176">
        <v>0</v>
      </c>
      <c r="O87" s="176">
        <v>0</v>
      </c>
      <c r="P87" s="204">
        <v>-3123.9704999999999</v>
      </c>
      <c r="Q87" s="176">
        <v>-18000.020499999999</v>
      </c>
    </row>
    <row r="88" spans="1:17">
      <c r="A88" s="175" t="s">
        <v>3865</v>
      </c>
      <c r="B88" s="175" t="s">
        <v>3749</v>
      </c>
      <c r="C88" s="176">
        <v>3</v>
      </c>
      <c r="D88" s="176">
        <v>308</v>
      </c>
      <c r="E88" s="175"/>
      <c r="F88" s="176">
        <v>74468949131187</v>
      </c>
      <c r="G88" s="175" t="s">
        <v>3785</v>
      </c>
      <c r="H88" s="176">
        <v>3868027</v>
      </c>
      <c r="I88" s="175" t="s">
        <v>3793</v>
      </c>
      <c r="J88" s="176">
        <v>1</v>
      </c>
      <c r="K88" s="175" t="s">
        <v>3742</v>
      </c>
      <c r="L88" s="204">
        <v>-17768.57</v>
      </c>
      <c r="M88" s="176"/>
      <c r="N88" s="176">
        <v>0</v>
      </c>
      <c r="O88" s="176">
        <v>0</v>
      </c>
      <c r="P88" s="204">
        <v>-3731.3996999999999</v>
      </c>
      <c r="Q88" s="176">
        <v>-21499.969700000001</v>
      </c>
    </row>
    <row r="89" spans="1:17">
      <c r="A89" s="175" t="s">
        <v>3865</v>
      </c>
      <c r="B89" s="175" t="s">
        <v>3749</v>
      </c>
      <c r="C89" s="176">
        <v>3</v>
      </c>
      <c r="D89" s="176">
        <v>309</v>
      </c>
      <c r="E89" s="175"/>
      <c r="F89" s="176">
        <v>74468949410550</v>
      </c>
      <c r="G89" s="175" t="s">
        <v>3785</v>
      </c>
      <c r="H89" s="176">
        <v>3868027</v>
      </c>
      <c r="I89" s="175" t="s">
        <v>3793</v>
      </c>
      <c r="J89" s="176">
        <v>1</v>
      </c>
      <c r="K89" s="175" t="s">
        <v>3742</v>
      </c>
      <c r="L89" s="204">
        <v>-17768.57</v>
      </c>
      <c r="M89" s="176"/>
      <c r="N89" s="176">
        <v>0</v>
      </c>
      <c r="O89" s="176">
        <v>0</v>
      </c>
      <c r="P89" s="204">
        <v>-3731.3996999999999</v>
      </c>
      <c r="Q89" s="176">
        <v>-21499.969700000001</v>
      </c>
    </row>
    <row r="90" spans="1:17">
      <c r="A90" s="175" t="s">
        <v>3865</v>
      </c>
      <c r="B90" s="175" t="s">
        <v>3749</v>
      </c>
      <c r="C90" s="176">
        <v>3</v>
      </c>
      <c r="D90" s="176">
        <v>310</v>
      </c>
      <c r="E90" s="175"/>
      <c r="F90" s="176">
        <v>74468951389000</v>
      </c>
      <c r="G90" s="175" t="s">
        <v>3785</v>
      </c>
      <c r="H90" s="176">
        <v>18811819</v>
      </c>
      <c r="I90" s="175" t="s">
        <v>3848</v>
      </c>
      <c r="J90" s="176">
        <v>1</v>
      </c>
      <c r="K90" s="175" t="s">
        <v>3742</v>
      </c>
      <c r="L90" s="204">
        <v>-12396.71</v>
      </c>
      <c r="M90" s="176"/>
      <c r="N90" s="176">
        <v>0</v>
      </c>
      <c r="O90" s="176">
        <v>0</v>
      </c>
      <c r="P90" s="204">
        <v>-2603.3090999999999</v>
      </c>
      <c r="Q90" s="176">
        <v>-15000.0191</v>
      </c>
    </row>
    <row r="91" spans="1:17">
      <c r="A91" s="175" t="s">
        <v>3865</v>
      </c>
      <c r="B91" s="175" t="s">
        <v>3749</v>
      </c>
      <c r="C91" s="176">
        <v>3</v>
      </c>
      <c r="D91" s="176">
        <v>311</v>
      </c>
      <c r="E91" s="175"/>
      <c r="F91" s="176">
        <v>74468952404428</v>
      </c>
      <c r="G91" s="175"/>
      <c r="H91" s="175"/>
      <c r="I91" s="175"/>
      <c r="J91" s="176">
        <v>1</v>
      </c>
      <c r="K91" s="175" t="s">
        <v>3742</v>
      </c>
      <c r="L91" s="204">
        <v>-17355.38</v>
      </c>
      <c r="M91" s="176"/>
      <c r="N91" s="176">
        <v>0</v>
      </c>
      <c r="O91" s="176">
        <v>0</v>
      </c>
      <c r="P91" s="204">
        <v>-3644.6298000000002</v>
      </c>
      <c r="Q91" s="176">
        <v>-21000.0098</v>
      </c>
    </row>
    <row r="92" spans="1:17">
      <c r="A92" s="175" t="s">
        <v>3865</v>
      </c>
      <c r="B92" s="175" t="s">
        <v>3749</v>
      </c>
      <c r="C92" s="176">
        <v>3</v>
      </c>
      <c r="D92" s="176">
        <v>312</v>
      </c>
      <c r="E92" s="175"/>
      <c r="F92" s="176">
        <v>74468955410593</v>
      </c>
      <c r="G92" s="175" t="s">
        <v>3785</v>
      </c>
      <c r="H92" s="176">
        <v>17467464</v>
      </c>
      <c r="I92" s="175" t="s">
        <v>3876</v>
      </c>
      <c r="J92" s="176">
        <v>1</v>
      </c>
      <c r="K92" s="175" t="s">
        <v>3742</v>
      </c>
      <c r="L92" s="204">
        <v>-12727.29</v>
      </c>
      <c r="M92" s="176"/>
      <c r="N92" s="176">
        <v>0</v>
      </c>
      <c r="O92" s="176">
        <v>0</v>
      </c>
      <c r="P92" s="204">
        <v>-2672.7309</v>
      </c>
      <c r="Q92" s="176">
        <v>-15400.020900000001</v>
      </c>
    </row>
    <row r="93" spans="1:17">
      <c r="A93" s="175" t="s">
        <v>3865</v>
      </c>
      <c r="B93" s="175" t="s">
        <v>3749</v>
      </c>
      <c r="C93" s="176">
        <v>3</v>
      </c>
      <c r="D93" s="176">
        <v>313</v>
      </c>
      <c r="E93" s="175"/>
      <c r="F93" s="176">
        <v>74468956501379</v>
      </c>
      <c r="G93" s="175" t="s">
        <v>3785</v>
      </c>
      <c r="H93" s="176">
        <v>28369491</v>
      </c>
      <c r="I93" s="175" t="s">
        <v>3874</v>
      </c>
      <c r="J93" s="176">
        <v>1</v>
      </c>
      <c r="K93" s="175" t="s">
        <v>3742</v>
      </c>
      <c r="L93" s="204">
        <v>-21900.81</v>
      </c>
      <c r="M93" s="176"/>
      <c r="N93" s="176">
        <v>0</v>
      </c>
      <c r="O93" s="176">
        <v>0</v>
      </c>
      <c r="P93" s="204">
        <v>-4599.1701000000003</v>
      </c>
      <c r="Q93" s="176">
        <v>-26499.980100000001</v>
      </c>
    </row>
    <row r="94" spans="1:17">
      <c r="A94" s="175" t="s">
        <v>3865</v>
      </c>
      <c r="B94" s="175" t="s">
        <v>3749</v>
      </c>
      <c r="C94" s="176">
        <v>3</v>
      </c>
      <c r="D94" s="176">
        <v>314</v>
      </c>
      <c r="E94" s="175"/>
      <c r="F94" s="176">
        <v>74468962543803</v>
      </c>
      <c r="G94" s="175" t="s">
        <v>3785</v>
      </c>
      <c r="H94" s="176">
        <v>24882196</v>
      </c>
      <c r="I94" s="175" t="s">
        <v>3845</v>
      </c>
      <c r="J94" s="176">
        <v>1</v>
      </c>
      <c r="K94" s="175" t="s">
        <v>3742</v>
      </c>
      <c r="L94" s="204">
        <v>-17355.38</v>
      </c>
      <c r="M94" s="176"/>
      <c r="N94" s="176">
        <v>0</v>
      </c>
      <c r="O94" s="176">
        <v>0</v>
      </c>
      <c r="P94" s="204">
        <v>-3644.6298000000002</v>
      </c>
      <c r="Q94" s="176">
        <v>-21000.0098</v>
      </c>
    </row>
    <row r="95" spans="1:17">
      <c r="A95" s="175" t="s">
        <v>3865</v>
      </c>
      <c r="B95" s="175" t="s">
        <v>3749</v>
      </c>
      <c r="C95" s="176">
        <v>3</v>
      </c>
      <c r="D95" s="176">
        <v>315</v>
      </c>
      <c r="E95" s="175"/>
      <c r="F95" s="176">
        <v>74468980668192</v>
      </c>
      <c r="G95" s="175" t="s">
        <v>3785</v>
      </c>
      <c r="H95" s="176">
        <v>10088080</v>
      </c>
      <c r="I95" s="175" t="s">
        <v>3828</v>
      </c>
      <c r="J95" s="176">
        <v>1</v>
      </c>
      <c r="K95" s="175" t="s">
        <v>3742</v>
      </c>
      <c r="L95" s="204">
        <v>-17768.57</v>
      </c>
      <c r="M95" s="176"/>
      <c r="N95" s="176">
        <v>0</v>
      </c>
      <c r="O95" s="176">
        <v>0</v>
      </c>
      <c r="P95" s="204">
        <v>-3731.3996999999999</v>
      </c>
      <c r="Q95" s="176">
        <v>-21499.969700000001</v>
      </c>
    </row>
    <row r="96" spans="1:17">
      <c r="A96" s="175" t="s">
        <v>3865</v>
      </c>
      <c r="B96" s="175" t="s">
        <v>3749</v>
      </c>
      <c r="C96" s="176">
        <v>3</v>
      </c>
      <c r="D96" s="176">
        <v>316</v>
      </c>
      <c r="E96" s="175"/>
      <c r="F96" s="176">
        <v>74468982777350</v>
      </c>
      <c r="G96" s="175" t="s">
        <v>3785</v>
      </c>
      <c r="H96" s="176">
        <v>13669404</v>
      </c>
      <c r="I96" s="175" t="s">
        <v>3827</v>
      </c>
      <c r="J96" s="176">
        <v>1</v>
      </c>
      <c r="K96" s="175" t="s">
        <v>3742</v>
      </c>
      <c r="L96" s="175">
        <v>-12809.9</v>
      </c>
      <c r="M96" s="176"/>
      <c r="N96" s="176">
        <v>0</v>
      </c>
      <c r="O96" s="176">
        <v>0</v>
      </c>
      <c r="P96" s="204">
        <v>-2690.0789999999997</v>
      </c>
      <c r="Q96" s="176">
        <v>-15499.978999999999</v>
      </c>
    </row>
    <row r="97" spans="1:17">
      <c r="A97" s="175" t="s">
        <v>3865</v>
      </c>
      <c r="B97" s="175" t="s">
        <v>3749</v>
      </c>
      <c r="C97" s="176">
        <v>3</v>
      </c>
      <c r="D97" s="176">
        <v>317</v>
      </c>
      <c r="E97" s="175"/>
      <c r="F97" s="176">
        <v>74468984105776</v>
      </c>
      <c r="G97" s="175"/>
      <c r="H97" s="175"/>
      <c r="I97" s="175"/>
      <c r="J97" s="176">
        <v>1</v>
      </c>
      <c r="K97" s="175" t="s">
        <v>3742</v>
      </c>
      <c r="L97" s="204">
        <v>-13223.14</v>
      </c>
      <c r="M97" s="176"/>
      <c r="N97" s="176">
        <v>0</v>
      </c>
      <c r="O97" s="176">
        <v>0</v>
      </c>
      <c r="P97" s="204">
        <v>-2776.8593999999998</v>
      </c>
      <c r="Q97" s="176">
        <v>-15999.999399999999</v>
      </c>
    </row>
    <row r="98" spans="1:17">
      <c r="A98" s="175" t="s">
        <v>3866</v>
      </c>
      <c r="B98" s="175" t="s">
        <v>3749</v>
      </c>
      <c r="C98" s="176">
        <v>3</v>
      </c>
      <c r="D98" s="176">
        <v>318</v>
      </c>
      <c r="E98" s="175"/>
      <c r="F98" s="176">
        <v>74468037049947</v>
      </c>
      <c r="G98" s="175" t="s">
        <v>3785</v>
      </c>
      <c r="H98" s="176">
        <v>21130283</v>
      </c>
      <c r="I98" s="175" t="s">
        <v>3815</v>
      </c>
      <c r="J98" s="176">
        <v>1</v>
      </c>
      <c r="K98" s="175" t="s">
        <v>3742</v>
      </c>
      <c r="L98" s="204">
        <v>-17355.38</v>
      </c>
      <c r="M98" s="176"/>
      <c r="N98" s="176">
        <v>0</v>
      </c>
      <c r="O98" s="176">
        <v>0</v>
      </c>
      <c r="P98" s="204">
        <v>-3644.6298000000002</v>
      </c>
      <c r="Q98" s="176">
        <v>-21000.0098</v>
      </c>
    </row>
    <row r="99" spans="1:17">
      <c r="A99" s="175" t="s">
        <v>3866</v>
      </c>
      <c r="B99" s="175" t="s">
        <v>3749</v>
      </c>
      <c r="C99" s="176">
        <v>3</v>
      </c>
      <c r="D99" s="176">
        <v>319</v>
      </c>
      <c r="E99" s="175"/>
      <c r="F99" s="176">
        <v>74468037921022</v>
      </c>
      <c r="G99" s="175" t="s">
        <v>3785</v>
      </c>
      <c r="H99" s="176">
        <v>4404079</v>
      </c>
      <c r="I99" s="175" t="s">
        <v>3791</v>
      </c>
      <c r="J99" s="176">
        <v>1</v>
      </c>
      <c r="K99" s="175" t="s">
        <v>3742</v>
      </c>
      <c r="L99" s="204">
        <v>-26446.29</v>
      </c>
      <c r="M99" s="176"/>
      <c r="N99" s="176">
        <v>0</v>
      </c>
      <c r="O99" s="176">
        <v>0</v>
      </c>
      <c r="P99" s="204">
        <v>-5553.7209000000003</v>
      </c>
      <c r="Q99" s="176">
        <v>-32000.010900000001</v>
      </c>
    </row>
    <row r="100" spans="1:17" ht="15.75" thickBot="1">
      <c r="A100" s="175" t="s">
        <v>3866</v>
      </c>
      <c r="B100" s="175" t="s">
        <v>3749</v>
      </c>
      <c r="C100" s="176">
        <v>3</v>
      </c>
      <c r="D100" s="176">
        <v>320</v>
      </c>
      <c r="E100" s="175"/>
      <c r="F100" s="176">
        <v>74468038578352</v>
      </c>
      <c r="G100" s="175" t="s">
        <v>3785</v>
      </c>
      <c r="H100" s="176">
        <v>16473359</v>
      </c>
      <c r="I100" s="175" t="s">
        <v>3806</v>
      </c>
      <c r="J100" s="176">
        <v>1</v>
      </c>
      <c r="K100" s="175" t="s">
        <v>3742</v>
      </c>
      <c r="L100" s="204">
        <v>-22314.05</v>
      </c>
      <c r="M100" s="176"/>
      <c r="N100" s="176">
        <v>0</v>
      </c>
      <c r="O100" s="176">
        <v>0</v>
      </c>
      <c r="P100" s="204">
        <v>-4685.9504999999999</v>
      </c>
      <c r="Q100" s="176">
        <v>-27000.000499999998</v>
      </c>
    </row>
    <row r="101" spans="1:17" ht="15.75" thickBot="1">
      <c r="A101" s="175"/>
      <c r="B101" s="175"/>
      <c r="C101" s="176"/>
      <c r="D101" s="176"/>
      <c r="E101" s="175"/>
      <c r="F101" s="176"/>
      <c r="G101" s="175"/>
      <c r="H101" s="176"/>
      <c r="I101" s="175"/>
      <c r="J101" s="225" t="s">
        <v>3933</v>
      </c>
      <c r="K101" s="226"/>
      <c r="L101" s="190">
        <f>SUM(L20:L100)</f>
        <v>-286691.22999999963</v>
      </c>
      <c r="M101" s="191">
        <f t="shared" ref="M101:Q101" si="1">SUM(M20:M100)</f>
        <v>0</v>
      </c>
      <c r="N101" s="191">
        <f t="shared" si="1"/>
        <v>0</v>
      </c>
      <c r="O101" s="191">
        <f t="shared" si="1"/>
        <v>0</v>
      </c>
      <c r="P101" s="191">
        <f>SUM(P20:P100)</f>
        <v>-61858.699199999937</v>
      </c>
      <c r="Q101" s="192">
        <f t="shared" si="1"/>
        <v>-348550.16920000029</v>
      </c>
    </row>
    <row r="102" spans="1:17">
      <c r="A102" s="175"/>
      <c r="B102" s="175"/>
      <c r="C102" s="176"/>
      <c r="D102" s="176"/>
      <c r="E102" s="175"/>
      <c r="F102" s="176"/>
      <c r="G102" s="175"/>
      <c r="H102" s="176"/>
      <c r="I102" s="175"/>
      <c r="J102" s="176"/>
      <c r="K102" s="175"/>
      <c r="L102" s="204"/>
      <c r="M102" s="176"/>
      <c r="N102" s="176"/>
      <c r="O102" s="176"/>
      <c r="P102" s="204"/>
      <c r="Q102" s="176"/>
    </row>
    <row r="103" spans="1:17">
      <c r="A103" s="175" t="s">
        <v>3899</v>
      </c>
      <c r="B103" s="175" t="s">
        <v>3744</v>
      </c>
      <c r="C103" s="176">
        <v>5</v>
      </c>
      <c r="D103" s="176">
        <v>11880</v>
      </c>
      <c r="E103" s="175"/>
      <c r="F103" s="176">
        <v>74488537908503</v>
      </c>
      <c r="G103" s="176">
        <v>99</v>
      </c>
      <c r="H103" s="176">
        <v>0</v>
      </c>
      <c r="I103" s="175"/>
      <c r="J103" s="176">
        <v>1</v>
      </c>
      <c r="K103" s="175" t="s">
        <v>3742</v>
      </c>
      <c r="L103" s="204">
        <v>9917.36</v>
      </c>
      <c r="M103" s="176">
        <v>0</v>
      </c>
      <c r="N103" s="176">
        <v>0</v>
      </c>
      <c r="O103" s="176">
        <v>0</v>
      </c>
      <c r="P103" s="204">
        <v>2082.64</v>
      </c>
      <c r="Q103" s="176">
        <v>12000</v>
      </c>
    </row>
    <row r="104" spans="1:17">
      <c r="A104" s="175" t="s">
        <v>3899</v>
      </c>
      <c r="B104" s="175" t="s">
        <v>3744</v>
      </c>
      <c r="C104" s="176">
        <v>5</v>
      </c>
      <c r="D104" s="176">
        <v>11889</v>
      </c>
      <c r="E104" s="175"/>
      <c r="F104" s="176">
        <v>74488571329502</v>
      </c>
      <c r="G104" s="176">
        <v>99</v>
      </c>
      <c r="H104" s="176">
        <v>0</v>
      </c>
      <c r="I104" s="175"/>
      <c r="J104" s="176">
        <v>1</v>
      </c>
      <c r="K104" s="175" t="s">
        <v>3742</v>
      </c>
      <c r="L104" s="204">
        <v>40909.089999999997</v>
      </c>
      <c r="M104" s="176">
        <v>0</v>
      </c>
      <c r="N104" s="176">
        <v>0</v>
      </c>
      <c r="O104" s="176">
        <v>0</v>
      </c>
      <c r="P104" s="204">
        <v>8590.91</v>
      </c>
      <c r="Q104" s="176">
        <v>49500</v>
      </c>
    </row>
    <row r="105" spans="1:17">
      <c r="A105" s="175" t="s">
        <v>3899</v>
      </c>
      <c r="B105" s="175" t="s">
        <v>3744</v>
      </c>
      <c r="C105" s="176">
        <v>5</v>
      </c>
      <c r="D105" s="176">
        <v>11881</v>
      </c>
      <c r="E105" s="175"/>
      <c r="F105" s="176">
        <v>74488545721292</v>
      </c>
      <c r="G105" s="176">
        <v>99</v>
      </c>
      <c r="H105" s="176">
        <v>0</v>
      </c>
      <c r="I105" s="175"/>
      <c r="J105" s="176">
        <v>1</v>
      </c>
      <c r="K105" s="175" t="s">
        <v>3742</v>
      </c>
      <c r="L105" s="204">
        <v>20247.93</v>
      </c>
      <c r="M105" s="176">
        <v>0</v>
      </c>
      <c r="N105" s="176">
        <v>0</v>
      </c>
      <c r="O105" s="176">
        <v>0</v>
      </c>
      <c r="P105" s="204">
        <v>4252.07</v>
      </c>
      <c r="Q105" s="176">
        <v>24500</v>
      </c>
    </row>
    <row r="106" spans="1:17">
      <c r="A106" s="175" t="s">
        <v>3899</v>
      </c>
      <c r="B106" s="175" t="s">
        <v>3744</v>
      </c>
      <c r="C106" s="176">
        <v>5</v>
      </c>
      <c r="D106" s="176">
        <v>11891</v>
      </c>
      <c r="E106" s="175"/>
      <c r="F106" s="176">
        <v>74488585115165</v>
      </c>
      <c r="G106" s="176">
        <v>99</v>
      </c>
      <c r="H106" s="176">
        <v>0</v>
      </c>
      <c r="I106" s="175"/>
      <c r="J106" s="176">
        <v>1</v>
      </c>
      <c r="K106" s="175" t="s">
        <v>3742</v>
      </c>
      <c r="L106" s="204">
        <v>29338.84</v>
      </c>
      <c r="M106" s="176">
        <v>0</v>
      </c>
      <c r="N106" s="176">
        <v>0</v>
      </c>
      <c r="O106" s="176">
        <v>0</v>
      </c>
      <c r="P106" s="204">
        <v>6161.16</v>
      </c>
      <c r="Q106" s="176">
        <v>35500</v>
      </c>
    </row>
    <row r="107" spans="1:17">
      <c r="A107" s="175" t="s">
        <v>3899</v>
      </c>
      <c r="B107" s="175" t="s">
        <v>3744</v>
      </c>
      <c r="C107" s="176">
        <v>5</v>
      </c>
      <c r="D107" s="176">
        <v>11885</v>
      </c>
      <c r="E107" s="175"/>
      <c r="F107" s="176">
        <v>74488553744338</v>
      </c>
      <c r="G107" s="176">
        <v>99</v>
      </c>
      <c r="H107" s="176">
        <v>0</v>
      </c>
      <c r="I107" s="175"/>
      <c r="J107" s="176">
        <v>1</v>
      </c>
      <c r="K107" s="175" t="s">
        <v>3742</v>
      </c>
      <c r="L107" s="204">
        <v>20661.16</v>
      </c>
      <c r="M107" s="176">
        <v>0</v>
      </c>
      <c r="N107" s="176">
        <v>0</v>
      </c>
      <c r="O107" s="176">
        <v>0</v>
      </c>
      <c r="P107" s="204">
        <v>4338.84</v>
      </c>
      <c r="Q107" s="176">
        <v>25000</v>
      </c>
    </row>
    <row r="108" spans="1:17">
      <c r="A108" s="175" t="s">
        <v>3899</v>
      </c>
      <c r="B108" s="175" t="s">
        <v>3744</v>
      </c>
      <c r="C108" s="176">
        <v>5</v>
      </c>
      <c r="D108" s="176">
        <v>11887</v>
      </c>
      <c r="E108" s="175"/>
      <c r="F108" s="176">
        <v>74488559019352</v>
      </c>
      <c r="G108" s="176">
        <v>99</v>
      </c>
      <c r="H108" s="176">
        <v>0</v>
      </c>
      <c r="I108" s="175"/>
      <c r="J108" s="176">
        <v>1</v>
      </c>
      <c r="K108" s="175" t="s">
        <v>3742</v>
      </c>
      <c r="L108" s="204">
        <v>58016.53</v>
      </c>
      <c r="M108" s="176">
        <v>0</v>
      </c>
      <c r="N108" s="176">
        <v>0</v>
      </c>
      <c r="O108" s="176">
        <v>0</v>
      </c>
      <c r="P108" s="204">
        <v>12183.47</v>
      </c>
      <c r="Q108" s="176">
        <v>70200</v>
      </c>
    </row>
    <row r="109" spans="1:17">
      <c r="A109" s="175" t="s">
        <v>3899</v>
      </c>
      <c r="B109" s="175" t="s">
        <v>3744</v>
      </c>
      <c r="C109" s="176">
        <v>5</v>
      </c>
      <c r="D109" s="176">
        <v>11878</v>
      </c>
      <c r="E109" s="175"/>
      <c r="F109" s="176">
        <v>74488533446342</v>
      </c>
      <c r="G109" s="176">
        <v>99</v>
      </c>
      <c r="H109" s="176">
        <v>0</v>
      </c>
      <c r="I109" s="175"/>
      <c r="J109" s="176">
        <v>1</v>
      </c>
      <c r="K109" s="175" t="s">
        <v>3742</v>
      </c>
      <c r="L109" s="175">
        <v>10743.8</v>
      </c>
      <c r="M109" s="176">
        <v>0</v>
      </c>
      <c r="N109" s="176">
        <v>0</v>
      </c>
      <c r="O109" s="176">
        <v>0</v>
      </c>
      <c r="P109" s="175">
        <v>2256.1999999999998</v>
      </c>
      <c r="Q109" s="176">
        <v>13000</v>
      </c>
    </row>
    <row r="110" spans="1:17">
      <c r="A110" s="175" t="s">
        <v>3899</v>
      </c>
      <c r="B110" s="175" t="s">
        <v>3744</v>
      </c>
      <c r="C110" s="176">
        <v>5</v>
      </c>
      <c r="D110" s="176">
        <v>11888</v>
      </c>
      <c r="E110" s="175"/>
      <c r="F110" s="176">
        <v>74488564376353</v>
      </c>
      <c r="G110" s="176">
        <v>99</v>
      </c>
      <c r="H110" s="176">
        <v>0</v>
      </c>
      <c r="I110" s="175"/>
      <c r="J110" s="176">
        <v>1</v>
      </c>
      <c r="K110" s="175" t="s">
        <v>3742</v>
      </c>
      <c r="L110" s="204">
        <v>12809.92</v>
      </c>
      <c r="M110" s="176">
        <v>0</v>
      </c>
      <c r="N110" s="176">
        <v>0</v>
      </c>
      <c r="O110" s="176">
        <v>0</v>
      </c>
      <c r="P110" s="204">
        <v>2690.08</v>
      </c>
      <c r="Q110" s="176">
        <v>15500</v>
      </c>
    </row>
    <row r="111" spans="1:17">
      <c r="A111" s="175" t="s">
        <v>3899</v>
      </c>
      <c r="B111" s="175" t="s">
        <v>3744</v>
      </c>
      <c r="C111" s="176">
        <v>5</v>
      </c>
      <c r="D111" s="176">
        <v>11883</v>
      </c>
      <c r="E111" s="175"/>
      <c r="F111" s="176">
        <v>74488551471878</v>
      </c>
      <c r="G111" s="176">
        <v>99</v>
      </c>
      <c r="H111" s="176">
        <v>0</v>
      </c>
      <c r="I111" s="175"/>
      <c r="J111" s="176">
        <v>1</v>
      </c>
      <c r="K111" s="175" t="s">
        <v>3742</v>
      </c>
      <c r="L111" s="204">
        <v>7438.02</v>
      </c>
      <c r="M111" s="176">
        <v>0</v>
      </c>
      <c r="N111" s="176">
        <v>0</v>
      </c>
      <c r="O111" s="176">
        <v>0</v>
      </c>
      <c r="P111" s="204">
        <v>1561.98</v>
      </c>
      <c r="Q111" s="176">
        <v>9000</v>
      </c>
    </row>
    <row r="112" spans="1:17">
      <c r="A112" s="175" t="s">
        <v>3899</v>
      </c>
      <c r="B112" s="175" t="s">
        <v>3744</v>
      </c>
      <c r="C112" s="176">
        <v>5</v>
      </c>
      <c r="D112" s="176">
        <v>11884</v>
      </c>
      <c r="E112" s="175"/>
      <c r="F112" s="176">
        <v>74488551824044</v>
      </c>
      <c r="G112" s="176">
        <v>99</v>
      </c>
      <c r="H112" s="176">
        <v>0</v>
      </c>
      <c r="I112" s="175"/>
      <c r="J112" s="176">
        <v>1</v>
      </c>
      <c r="K112" s="175" t="s">
        <v>3742</v>
      </c>
      <c r="L112" s="175">
        <v>21487.599999999999</v>
      </c>
      <c r="M112" s="176">
        <v>0</v>
      </c>
      <c r="N112" s="176">
        <v>0</v>
      </c>
      <c r="O112" s="176">
        <v>0</v>
      </c>
      <c r="P112" s="175">
        <v>4512.3999999999996</v>
      </c>
      <c r="Q112" s="176">
        <v>26000</v>
      </c>
    </row>
    <row r="113" spans="1:17">
      <c r="A113" s="175" t="s">
        <v>3899</v>
      </c>
      <c r="B113" s="175" t="s">
        <v>3744</v>
      </c>
      <c r="C113" s="176">
        <v>5</v>
      </c>
      <c r="D113" s="176">
        <v>11886</v>
      </c>
      <c r="E113" s="175"/>
      <c r="F113" s="176">
        <v>74488554652977</v>
      </c>
      <c r="G113" s="176">
        <v>99</v>
      </c>
      <c r="H113" s="176">
        <v>0</v>
      </c>
      <c r="I113" s="175"/>
      <c r="J113" s="176">
        <v>1</v>
      </c>
      <c r="K113" s="175" t="s">
        <v>3742</v>
      </c>
      <c r="L113" s="204">
        <v>20454.55</v>
      </c>
      <c r="M113" s="176">
        <v>0</v>
      </c>
      <c r="N113" s="176">
        <v>0</v>
      </c>
      <c r="O113" s="176">
        <v>0</v>
      </c>
      <c r="P113" s="204">
        <v>4295.45</v>
      </c>
      <c r="Q113" s="176">
        <v>24750</v>
      </c>
    </row>
    <row r="114" spans="1:17">
      <c r="A114" s="175" t="s">
        <v>3899</v>
      </c>
      <c r="B114" s="175" t="s">
        <v>3744</v>
      </c>
      <c r="C114" s="176">
        <v>5</v>
      </c>
      <c r="D114" s="176">
        <v>11879</v>
      </c>
      <c r="E114" s="175"/>
      <c r="F114" s="176">
        <v>74488534233636</v>
      </c>
      <c r="G114" s="176">
        <v>99</v>
      </c>
      <c r="H114" s="176">
        <v>0</v>
      </c>
      <c r="I114" s="175"/>
      <c r="J114" s="176">
        <v>1</v>
      </c>
      <c r="K114" s="175" t="s">
        <v>3742</v>
      </c>
      <c r="L114" s="204">
        <v>11983.47</v>
      </c>
      <c r="M114" s="176">
        <v>0</v>
      </c>
      <c r="N114" s="176">
        <v>0</v>
      </c>
      <c r="O114" s="176">
        <v>0</v>
      </c>
      <c r="P114" s="204">
        <v>2516.5300000000002</v>
      </c>
      <c r="Q114" s="176">
        <v>14500</v>
      </c>
    </row>
    <row r="115" spans="1:17">
      <c r="A115" s="175" t="s">
        <v>3899</v>
      </c>
      <c r="B115" s="175" t="s">
        <v>3744</v>
      </c>
      <c r="C115" s="176">
        <v>5</v>
      </c>
      <c r="D115" s="176">
        <v>11890</v>
      </c>
      <c r="E115" s="175"/>
      <c r="F115" s="176">
        <v>74488578506407</v>
      </c>
      <c r="G115" s="176">
        <v>99</v>
      </c>
      <c r="H115" s="176">
        <v>0</v>
      </c>
      <c r="I115" s="175"/>
      <c r="J115" s="176">
        <v>1</v>
      </c>
      <c r="K115" s="175" t="s">
        <v>3742</v>
      </c>
      <c r="L115" s="204">
        <v>13223.14</v>
      </c>
      <c r="M115" s="176">
        <v>0</v>
      </c>
      <c r="N115" s="176">
        <v>0</v>
      </c>
      <c r="O115" s="176">
        <v>0</v>
      </c>
      <c r="P115" s="204">
        <v>2776.86</v>
      </c>
      <c r="Q115" s="176">
        <v>16000</v>
      </c>
    </row>
    <row r="116" spans="1:17">
      <c r="A116" s="175" t="s">
        <v>3899</v>
      </c>
      <c r="B116" s="175" t="s">
        <v>3744</v>
      </c>
      <c r="C116" s="176">
        <v>5</v>
      </c>
      <c r="D116" s="176">
        <v>11882</v>
      </c>
      <c r="E116" s="175"/>
      <c r="F116" s="176">
        <v>74488547821673</v>
      </c>
      <c r="G116" s="176">
        <v>99</v>
      </c>
      <c r="H116" s="176">
        <v>0</v>
      </c>
      <c r="I116" s="175"/>
      <c r="J116" s="176">
        <v>1</v>
      </c>
      <c r="K116" s="175" t="s">
        <v>3742</v>
      </c>
      <c r="L116" s="204">
        <v>13223.14</v>
      </c>
      <c r="M116" s="176">
        <v>0</v>
      </c>
      <c r="N116" s="176">
        <v>0</v>
      </c>
      <c r="O116" s="176">
        <v>0</v>
      </c>
      <c r="P116" s="204">
        <v>2776.86</v>
      </c>
      <c r="Q116" s="176">
        <v>16000</v>
      </c>
    </row>
    <row r="117" spans="1:17">
      <c r="A117" s="175" t="s">
        <v>3895</v>
      </c>
      <c r="B117" s="175" t="s">
        <v>3744</v>
      </c>
      <c r="C117" s="176">
        <v>5</v>
      </c>
      <c r="D117" s="176">
        <v>11892</v>
      </c>
      <c r="E117" s="175"/>
      <c r="F117" s="176">
        <v>74488665310317</v>
      </c>
      <c r="G117" s="175" t="s">
        <v>3785</v>
      </c>
      <c r="H117" s="176">
        <v>6272960</v>
      </c>
      <c r="I117" s="175"/>
      <c r="J117" s="176">
        <v>1</v>
      </c>
      <c r="K117" s="175" t="s">
        <v>3742</v>
      </c>
      <c r="L117" s="204">
        <v>52066.12</v>
      </c>
      <c r="M117" s="176">
        <v>0</v>
      </c>
      <c r="N117" s="176">
        <v>0</v>
      </c>
      <c r="O117" s="176">
        <v>0</v>
      </c>
      <c r="P117" s="204">
        <v>10933.88</v>
      </c>
      <c r="Q117" s="176">
        <v>63000</v>
      </c>
    </row>
    <row r="118" spans="1:17">
      <c r="A118" s="175" t="s">
        <v>3895</v>
      </c>
      <c r="B118" s="175" t="s">
        <v>3744</v>
      </c>
      <c r="C118" s="176">
        <v>5</v>
      </c>
      <c r="D118" s="176">
        <v>11894</v>
      </c>
      <c r="E118" s="175"/>
      <c r="F118" s="176">
        <v>74488717918156</v>
      </c>
      <c r="G118" s="175" t="s">
        <v>3785</v>
      </c>
      <c r="H118" s="176">
        <v>53568894</v>
      </c>
      <c r="I118" s="175" t="s">
        <v>3900</v>
      </c>
      <c r="J118" s="176">
        <v>1</v>
      </c>
      <c r="K118" s="175" t="s">
        <v>3742</v>
      </c>
      <c r="L118" s="204">
        <v>64462.81</v>
      </c>
      <c r="M118" s="176">
        <v>0</v>
      </c>
      <c r="N118" s="176">
        <v>0</v>
      </c>
      <c r="O118" s="176">
        <v>0</v>
      </c>
      <c r="P118" s="204">
        <v>13537.19</v>
      </c>
      <c r="Q118" s="176">
        <v>78000</v>
      </c>
    </row>
    <row r="119" spans="1:17">
      <c r="A119" s="175" t="s">
        <v>3895</v>
      </c>
      <c r="B119" s="175" t="s">
        <v>3744</v>
      </c>
      <c r="C119" s="176">
        <v>5</v>
      </c>
      <c r="D119" s="176">
        <v>11893</v>
      </c>
      <c r="E119" s="175"/>
      <c r="F119" s="176">
        <v>74488699803565</v>
      </c>
      <c r="G119" s="176">
        <v>99</v>
      </c>
      <c r="H119" s="176">
        <v>0</v>
      </c>
      <c r="I119" s="175"/>
      <c r="J119" s="176">
        <v>1</v>
      </c>
      <c r="K119" s="175" t="s">
        <v>3742</v>
      </c>
      <c r="L119" s="204">
        <v>2347.11</v>
      </c>
      <c r="M119" s="176">
        <v>0</v>
      </c>
      <c r="N119" s="176">
        <v>0</v>
      </c>
      <c r="O119" s="176">
        <v>0</v>
      </c>
      <c r="P119" s="204">
        <v>492.89</v>
      </c>
      <c r="Q119" s="176">
        <v>2840</v>
      </c>
    </row>
    <row r="120" spans="1:17">
      <c r="A120" s="175" t="s">
        <v>3901</v>
      </c>
      <c r="B120" s="175" t="s">
        <v>3744</v>
      </c>
      <c r="C120" s="176">
        <v>5</v>
      </c>
      <c r="D120" s="176">
        <v>11897</v>
      </c>
      <c r="E120" s="175"/>
      <c r="F120" s="176">
        <v>74488806946020</v>
      </c>
      <c r="G120" s="176">
        <v>99</v>
      </c>
      <c r="H120" s="176">
        <v>0</v>
      </c>
      <c r="I120" s="175"/>
      <c r="J120" s="176">
        <v>1</v>
      </c>
      <c r="K120" s="175" t="s">
        <v>3742</v>
      </c>
      <c r="L120" s="204">
        <v>36942.15</v>
      </c>
      <c r="M120" s="176">
        <v>0</v>
      </c>
      <c r="N120" s="176">
        <v>0</v>
      </c>
      <c r="O120" s="176">
        <v>0</v>
      </c>
      <c r="P120" s="204">
        <v>7757.85</v>
      </c>
      <c r="Q120" s="176">
        <v>44700</v>
      </c>
    </row>
    <row r="121" spans="1:17">
      <c r="A121" s="175" t="s">
        <v>3901</v>
      </c>
      <c r="B121" s="175" t="s">
        <v>3744</v>
      </c>
      <c r="C121" s="176">
        <v>5</v>
      </c>
      <c r="D121" s="176">
        <v>11895</v>
      </c>
      <c r="E121" s="175"/>
      <c r="F121" s="176">
        <v>74488782367721</v>
      </c>
      <c r="G121" s="176">
        <v>99</v>
      </c>
      <c r="H121" s="176">
        <v>0</v>
      </c>
      <c r="I121" s="175"/>
      <c r="J121" s="176">
        <v>1</v>
      </c>
      <c r="K121" s="175" t="s">
        <v>3742</v>
      </c>
      <c r="L121" s="204">
        <v>13223.14</v>
      </c>
      <c r="M121" s="176">
        <v>0</v>
      </c>
      <c r="N121" s="176">
        <v>0</v>
      </c>
      <c r="O121" s="176">
        <v>0</v>
      </c>
      <c r="P121" s="204">
        <v>2776.86</v>
      </c>
      <c r="Q121" s="176">
        <v>16000</v>
      </c>
    </row>
    <row r="122" spans="1:17">
      <c r="A122" s="175" t="s">
        <v>3901</v>
      </c>
      <c r="B122" s="175" t="s">
        <v>3744</v>
      </c>
      <c r="C122" s="176">
        <v>5</v>
      </c>
      <c r="D122" s="176">
        <v>11901</v>
      </c>
      <c r="E122" s="175"/>
      <c r="F122" s="176">
        <v>74488829098690</v>
      </c>
      <c r="G122" s="176">
        <v>99</v>
      </c>
      <c r="H122" s="176">
        <v>0</v>
      </c>
      <c r="I122" s="175"/>
      <c r="J122" s="176">
        <v>1</v>
      </c>
      <c r="K122" s="175" t="s">
        <v>3742</v>
      </c>
      <c r="L122" s="204">
        <v>40909.089999999997</v>
      </c>
      <c r="M122" s="176">
        <v>0</v>
      </c>
      <c r="N122" s="176">
        <v>0</v>
      </c>
      <c r="O122" s="176">
        <v>0</v>
      </c>
      <c r="P122" s="204">
        <v>8590.91</v>
      </c>
      <c r="Q122" s="176">
        <v>49500</v>
      </c>
    </row>
    <row r="123" spans="1:17">
      <c r="A123" s="175" t="s">
        <v>3901</v>
      </c>
      <c r="B123" s="175" t="s">
        <v>3744</v>
      </c>
      <c r="C123" s="176">
        <v>5</v>
      </c>
      <c r="D123" s="176">
        <v>11898</v>
      </c>
      <c r="E123" s="175"/>
      <c r="F123" s="176">
        <v>74488807109343</v>
      </c>
      <c r="G123" s="176">
        <v>99</v>
      </c>
      <c r="H123" s="176">
        <v>0</v>
      </c>
      <c r="I123" s="175"/>
      <c r="J123" s="176">
        <v>1</v>
      </c>
      <c r="K123" s="175" t="s">
        <v>3742</v>
      </c>
      <c r="L123" s="204">
        <v>13223.14</v>
      </c>
      <c r="M123" s="176">
        <v>0</v>
      </c>
      <c r="N123" s="176">
        <v>0</v>
      </c>
      <c r="O123" s="176">
        <v>0</v>
      </c>
      <c r="P123" s="204">
        <v>2776.86</v>
      </c>
      <c r="Q123" s="176">
        <v>16000</v>
      </c>
    </row>
    <row r="124" spans="1:17">
      <c r="A124" s="175" t="s">
        <v>3901</v>
      </c>
      <c r="B124" s="175" t="s">
        <v>3744</v>
      </c>
      <c r="C124" s="176">
        <v>5</v>
      </c>
      <c r="D124" s="176">
        <v>11902</v>
      </c>
      <c r="E124" s="175"/>
      <c r="F124" s="176">
        <v>74488837666042</v>
      </c>
      <c r="G124" s="176">
        <v>99</v>
      </c>
      <c r="H124" s="176">
        <v>0</v>
      </c>
      <c r="I124" s="175"/>
      <c r="J124" s="176">
        <v>1</v>
      </c>
      <c r="K124" s="175" t="s">
        <v>3742</v>
      </c>
      <c r="L124" s="204">
        <v>16942.150000000001</v>
      </c>
      <c r="M124" s="176">
        <v>0</v>
      </c>
      <c r="N124" s="176">
        <v>0</v>
      </c>
      <c r="O124" s="176">
        <v>0</v>
      </c>
      <c r="P124" s="204">
        <v>3557.85</v>
      </c>
      <c r="Q124" s="176">
        <v>20500</v>
      </c>
    </row>
    <row r="125" spans="1:17">
      <c r="A125" s="175" t="s">
        <v>3901</v>
      </c>
      <c r="B125" s="175" t="s">
        <v>3744</v>
      </c>
      <c r="C125" s="176">
        <v>5</v>
      </c>
      <c r="D125" s="176">
        <v>11903</v>
      </c>
      <c r="E125" s="175"/>
      <c r="F125" s="176">
        <v>74488837900858</v>
      </c>
      <c r="G125" s="176">
        <v>99</v>
      </c>
      <c r="H125" s="176">
        <v>0</v>
      </c>
      <c r="I125" s="175"/>
      <c r="J125" s="176">
        <v>1</v>
      </c>
      <c r="K125" s="175" t="s">
        <v>3742</v>
      </c>
      <c r="L125" s="204">
        <v>24380.17</v>
      </c>
      <c r="M125" s="176">
        <v>0</v>
      </c>
      <c r="N125" s="176">
        <v>0</v>
      </c>
      <c r="O125" s="176">
        <v>0</v>
      </c>
      <c r="P125" s="204">
        <v>5119.83</v>
      </c>
      <c r="Q125" s="176">
        <v>29500</v>
      </c>
    </row>
    <row r="126" spans="1:17">
      <c r="A126" s="175" t="s">
        <v>3901</v>
      </c>
      <c r="B126" s="175" t="s">
        <v>3744</v>
      </c>
      <c r="C126" s="176">
        <v>5</v>
      </c>
      <c r="D126" s="176">
        <v>11896</v>
      </c>
      <c r="E126" s="175"/>
      <c r="F126" s="176">
        <v>74488793898528</v>
      </c>
      <c r="G126" s="176">
        <v>99</v>
      </c>
      <c r="H126" s="176">
        <v>0</v>
      </c>
      <c r="I126" s="175"/>
      <c r="J126" s="176">
        <v>1</v>
      </c>
      <c r="K126" s="175" t="s">
        <v>3742</v>
      </c>
      <c r="L126" s="175">
        <v>10743.8</v>
      </c>
      <c r="M126" s="176">
        <v>0</v>
      </c>
      <c r="N126" s="176">
        <v>0</v>
      </c>
      <c r="O126" s="176">
        <v>0</v>
      </c>
      <c r="P126" s="175">
        <v>2256.1999999999998</v>
      </c>
      <c r="Q126" s="176">
        <v>13000</v>
      </c>
    </row>
    <row r="127" spans="1:17">
      <c r="A127" s="175" t="s">
        <v>3901</v>
      </c>
      <c r="B127" s="175" t="s">
        <v>3744</v>
      </c>
      <c r="C127" s="176">
        <v>5</v>
      </c>
      <c r="D127" s="176">
        <v>11899</v>
      </c>
      <c r="E127" s="175"/>
      <c r="F127" s="176">
        <v>74488813348438</v>
      </c>
      <c r="G127" s="176">
        <v>99</v>
      </c>
      <c r="H127" s="176">
        <v>0</v>
      </c>
      <c r="I127" s="175"/>
      <c r="J127" s="176">
        <v>1</v>
      </c>
      <c r="K127" s="175" t="s">
        <v>3742</v>
      </c>
      <c r="L127" s="204">
        <v>13223.14</v>
      </c>
      <c r="M127" s="176">
        <v>0</v>
      </c>
      <c r="N127" s="176">
        <v>0</v>
      </c>
      <c r="O127" s="176">
        <v>0</v>
      </c>
      <c r="P127" s="204">
        <v>2776.86</v>
      </c>
      <c r="Q127" s="176">
        <v>16000</v>
      </c>
    </row>
    <row r="128" spans="1:17">
      <c r="A128" s="175" t="s">
        <v>3901</v>
      </c>
      <c r="B128" s="175" t="s">
        <v>3744</v>
      </c>
      <c r="C128" s="176">
        <v>5</v>
      </c>
      <c r="D128" s="176">
        <v>11900</v>
      </c>
      <c r="E128" s="175"/>
      <c r="F128" s="176">
        <v>74488827221071</v>
      </c>
      <c r="G128" s="176">
        <v>99</v>
      </c>
      <c r="H128" s="176">
        <v>0</v>
      </c>
      <c r="I128" s="175"/>
      <c r="J128" s="176">
        <v>1</v>
      </c>
      <c r="K128" s="175" t="s">
        <v>3742</v>
      </c>
      <c r="L128" s="175">
        <v>11487.6</v>
      </c>
      <c r="M128" s="176">
        <v>0</v>
      </c>
      <c r="N128" s="176">
        <v>0</v>
      </c>
      <c r="O128" s="176">
        <v>0</v>
      </c>
      <c r="P128" s="175">
        <v>2412.4</v>
      </c>
      <c r="Q128" s="176">
        <v>13900</v>
      </c>
    </row>
    <row r="129" spans="1:17">
      <c r="A129" s="175" t="s">
        <v>3901</v>
      </c>
      <c r="B129" s="175" t="s">
        <v>3744</v>
      </c>
      <c r="C129" s="176">
        <v>5</v>
      </c>
      <c r="D129" s="176">
        <v>11904</v>
      </c>
      <c r="E129" s="175"/>
      <c r="F129" s="176">
        <v>74488838928183</v>
      </c>
      <c r="G129" s="176">
        <v>99</v>
      </c>
      <c r="H129" s="176">
        <v>0</v>
      </c>
      <c r="I129" s="175"/>
      <c r="J129" s="176">
        <v>1</v>
      </c>
      <c r="K129" s="175" t="s">
        <v>3742</v>
      </c>
      <c r="L129" s="204">
        <v>13223.14</v>
      </c>
      <c r="M129" s="176">
        <v>0</v>
      </c>
      <c r="N129" s="176">
        <v>0</v>
      </c>
      <c r="O129" s="176">
        <v>0</v>
      </c>
      <c r="P129" s="204">
        <v>2776.86</v>
      </c>
      <c r="Q129" s="176">
        <v>16000</v>
      </c>
    </row>
    <row r="130" spans="1:17">
      <c r="A130" s="175" t="s">
        <v>3901</v>
      </c>
      <c r="B130" s="175" t="s">
        <v>3744</v>
      </c>
      <c r="C130" s="176">
        <v>5</v>
      </c>
      <c r="D130" s="176">
        <v>11905</v>
      </c>
      <c r="E130" s="175"/>
      <c r="F130" s="176">
        <v>74488849974591</v>
      </c>
      <c r="G130" s="176">
        <v>99</v>
      </c>
      <c r="H130" s="176">
        <v>0</v>
      </c>
      <c r="I130" s="175"/>
      <c r="J130" s="176">
        <v>1</v>
      </c>
      <c r="K130" s="175" t="s">
        <v>3742</v>
      </c>
      <c r="L130" s="204">
        <v>26446.28</v>
      </c>
      <c r="M130" s="176">
        <v>0</v>
      </c>
      <c r="N130" s="176">
        <v>0</v>
      </c>
      <c r="O130" s="176">
        <v>0</v>
      </c>
      <c r="P130" s="204">
        <v>5553.72</v>
      </c>
      <c r="Q130" s="176">
        <v>32000</v>
      </c>
    </row>
    <row r="131" spans="1:17">
      <c r="A131" s="175" t="s">
        <v>3902</v>
      </c>
      <c r="B131" s="175" t="s">
        <v>3744</v>
      </c>
      <c r="C131" s="176">
        <v>5</v>
      </c>
      <c r="D131" s="176">
        <v>11909</v>
      </c>
      <c r="E131" s="175"/>
      <c r="F131" s="176">
        <v>74488930614673</v>
      </c>
      <c r="G131" s="175" t="s">
        <v>3785</v>
      </c>
      <c r="H131" s="176">
        <v>20324027166</v>
      </c>
      <c r="I131" s="175"/>
      <c r="J131" s="176">
        <v>1</v>
      </c>
      <c r="K131" s="175" t="s">
        <v>3742</v>
      </c>
      <c r="L131" s="204">
        <v>22314.05</v>
      </c>
      <c r="M131" s="176">
        <v>0</v>
      </c>
      <c r="N131" s="176">
        <v>0</v>
      </c>
      <c r="O131" s="176">
        <v>0</v>
      </c>
      <c r="P131" s="204">
        <v>4685.95</v>
      </c>
      <c r="Q131" s="176">
        <v>27000</v>
      </c>
    </row>
    <row r="132" spans="1:17">
      <c r="A132" s="175" t="s">
        <v>3902</v>
      </c>
      <c r="B132" s="175" t="s">
        <v>3744</v>
      </c>
      <c r="C132" s="176">
        <v>5</v>
      </c>
      <c r="D132" s="176">
        <v>11922</v>
      </c>
      <c r="E132" s="175"/>
      <c r="F132" s="176">
        <v>74488986969345</v>
      </c>
      <c r="G132" s="176">
        <v>99</v>
      </c>
      <c r="H132" s="176">
        <v>0</v>
      </c>
      <c r="I132" s="175"/>
      <c r="J132" s="176">
        <v>1</v>
      </c>
      <c r="K132" s="175" t="s">
        <v>3742</v>
      </c>
      <c r="L132" s="204">
        <v>16528.93</v>
      </c>
      <c r="M132" s="176">
        <v>0</v>
      </c>
      <c r="N132" s="176">
        <v>0</v>
      </c>
      <c r="O132" s="176">
        <v>0</v>
      </c>
      <c r="P132" s="204">
        <v>3471.07</v>
      </c>
      <c r="Q132" s="176">
        <v>20000</v>
      </c>
    </row>
    <row r="133" spans="1:17">
      <c r="A133" s="175" t="s">
        <v>3902</v>
      </c>
      <c r="B133" s="175" t="s">
        <v>3744</v>
      </c>
      <c r="C133" s="176">
        <v>5</v>
      </c>
      <c r="D133" s="176">
        <v>11917</v>
      </c>
      <c r="E133" s="175"/>
      <c r="F133" s="176">
        <v>74488970160776</v>
      </c>
      <c r="G133" s="176">
        <v>99</v>
      </c>
      <c r="H133" s="176">
        <v>0</v>
      </c>
      <c r="I133" s="175"/>
      <c r="J133" s="176">
        <v>1</v>
      </c>
      <c r="K133" s="175" t="s">
        <v>3742</v>
      </c>
      <c r="L133" s="204">
        <v>28099.17</v>
      </c>
      <c r="M133" s="176">
        <v>0</v>
      </c>
      <c r="N133" s="176">
        <v>0</v>
      </c>
      <c r="O133" s="176">
        <v>0</v>
      </c>
      <c r="P133" s="204">
        <v>5900.83</v>
      </c>
      <c r="Q133" s="176">
        <v>34000</v>
      </c>
    </row>
    <row r="134" spans="1:17">
      <c r="A134" s="175" t="s">
        <v>3902</v>
      </c>
      <c r="B134" s="175" t="s">
        <v>3744</v>
      </c>
      <c r="C134" s="176">
        <v>5</v>
      </c>
      <c r="D134" s="176">
        <v>11913</v>
      </c>
      <c r="E134" s="175"/>
      <c r="F134" s="176">
        <v>74488946194542</v>
      </c>
      <c r="G134" s="176">
        <v>99</v>
      </c>
      <c r="H134" s="176">
        <v>0</v>
      </c>
      <c r="I134" s="175"/>
      <c r="J134" s="176">
        <v>1</v>
      </c>
      <c r="K134" s="175" t="s">
        <v>3742</v>
      </c>
      <c r="L134" s="175">
        <v>27859.5</v>
      </c>
      <c r="M134" s="176">
        <v>0</v>
      </c>
      <c r="N134" s="176">
        <v>0</v>
      </c>
      <c r="O134" s="176">
        <v>0</v>
      </c>
      <c r="P134" s="175">
        <v>5850.5</v>
      </c>
      <c r="Q134" s="176">
        <v>33710</v>
      </c>
    </row>
    <row r="135" spans="1:17">
      <c r="A135" s="175" t="s">
        <v>3902</v>
      </c>
      <c r="B135" s="175" t="s">
        <v>3744</v>
      </c>
      <c r="C135" s="176">
        <v>5</v>
      </c>
      <c r="D135" s="176">
        <v>11911</v>
      </c>
      <c r="E135" s="175"/>
      <c r="F135" s="176">
        <v>74488937354812</v>
      </c>
      <c r="G135" s="176">
        <v>99</v>
      </c>
      <c r="H135" s="176">
        <v>0</v>
      </c>
      <c r="I135" s="175"/>
      <c r="J135" s="176">
        <v>1</v>
      </c>
      <c r="K135" s="175" t="s">
        <v>3742</v>
      </c>
      <c r="L135" s="204">
        <v>20247.93</v>
      </c>
      <c r="M135" s="176">
        <v>0</v>
      </c>
      <c r="N135" s="176">
        <v>0</v>
      </c>
      <c r="O135" s="176">
        <v>0</v>
      </c>
      <c r="P135" s="204">
        <v>4252.07</v>
      </c>
      <c r="Q135" s="176">
        <v>24500</v>
      </c>
    </row>
    <row r="136" spans="1:17">
      <c r="A136" s="175" t="s">
        <v>3902</v>
      </c>
      <c r="B136" s="175" t="s">
        <v>3744</v>
      </c>
      <c r="C136" s="176">
        <v>5</v>
      </c>
      <c r="D136" s="176">
        <v>11919</v>
      </c>
      <c r="E136" s="175"/>
      <c r="F136" s="176">
        <v>74488984863866</v>
      </c>
      <c r="G136" s="176">
        <v>99</v>
      </c>
      <c r="H136" s="176">
        <v>0</v>
      </c>
      <c r="I136" s="175"/>
      <c r="J136" s="176">
        <v>1</v>
      </c>
      <c r="K136" s="175" t="s">
        <v>3742</v>
      </c>
      <c r="L136" s="204">
        <v>28099.17</v>
      </c>
      <c r="M136" s="176">
        <v>0</v>
      </c>
      <c r="N136" s="176">
        <v>0</v>
      </c>
      <c r="O136" s="176">
        <v>0</v>
      </c>
      <c r="P136" s="204">
        <v>5900.83</v>
      </c>
      <c r="Q136" s="176">
        <v>34000</v>
      </c>
    </row>
    <row r="137" spans="1:17">
      <c r="A137" s="175" t="s">
        <v>3902</v>
      </c>
      <c r="B137" s="175" t="s">
        <v>3744</v>
      </c>
      <c r="C137" s="176">
        <v>5</v>
      </c>
      <c r="D137" s="176">
        <v>11907</v>
      </c>
      <c r="E137" s="175"/>
      <c r="F137" s="176">
        <v>74488922519652</v>
      </c>
      <c r="G137" s="176">
        <v>99</v>
      </c>
      <c r="H137" s="176">
        <v>0</v>
      </c>
      <c r="I137" s="175"/>
      <c r="J137" s="176">
        <v>1</v>
      </c>
      <c r="K137" s="175" t="s">
        <v>3742</v>
      </c>
      <c r="L137" s="204">
        <v>13223.14</v>
      </c>
      <c r="M137" s="176">
        <v>0</v>
      </c>
      <c r="N137" s="176">
        <v>0</v>
      </c>
      <c r="O137" s="176">
        <v>0</v>
      </c>
      <c r="P137" s="204">
        <v>2776.86</v>
      </c>
      <c r="Q137" s="176">
        <v>16000</v>
      </c>
    </row>
    <row r="138" spans="1:17">
      <c r="A138" s="175" t="s">
        <v>3902</v>
      </c>
      <c r="B138" s="175" t="s">
        <v>3744</v>
      </c>
      <c r="C138" s="176">
        <v>5</v>
      </c>
      <c r="D138" s="176">
        <v>11914</v>
      </c>
      <c r="E138" s="175"/>
      <c r="F138" s="176">
        <v>74488955830064</v>
      </c>
      <c r="G138" s="176">
        <v>99</v>
      </c>
      <c r="H138" s="176">
        <v>0</v>
      </c>
      <c r="I138" s="175"/>
      <c r="J138" s="176">
        <v>1</v>
      </c>
      <c r="K138" s="175" t="s">
        <v>3742</v>
      </c>
      <c r="L138" s="204">
        <v>26446.28</v>
      </c>
      <c r="M138" s="176">
        <v>0</v>
      </c>
      <c r="N138" s="176">
        <v>0</v>
      </c>
      <c r="O138" s="176">
        <v>0</v>
      </c>
      <c r="P138" s="204">
        <v>5553.72</v>
      </c>
      <c r="Q138" s="176">
        <v>32000</v>
      </c>
    </row>
    <row r="139" spans="1:17">
      <c r="A139" s="175" t="s">
        <v>3902</v>
      </c>
      <c r="B139" s="175" t="s">
        <v>3744</v>
      </c>
      <c r="C139" s="176">
        <v>5</v>
      </c>
      <c r="D139" s="176">
        <v>11915</v>
      </c>
      <c r="E139" s="175"/>
      <c r="F139" s="176">
        <v>74488961969109</v>
      </c>
      <c r="G139" s="176">
        <v>99</v>
      </c>
      <c r="H139" s="176">
        <v>0</v>
      </c>
      <c r="I139" s="175"/>
      <c r="J139" s="176">
        <v>1</v>
      </c>
      <c r="K139" s="175" t="s">
        <v>3742</v>
      </c>
      <c r="L139" s="204">
        <v>21074.38</v>
      </c>
      <c r="M139" s="176">
        <v>0</v>
      </c>
      <c r="N139" s="176">
        <v>0</v>
      </c>
      <c r="O139" s="176">
        <v>0</v>
      </c>
      <c r="P139" s="204">
        <v>4425.62</v>
      </c>
      <c r="Q139" s="176">
        <v>25500</v>
      </c>
    </row>
    <row r="140" spans="1:17">
      <c r="A140" s="175" t="s">
        <v>3902</v>
      </c>
      <c r="B140" s="175" t="s">
        <v>3744</v>
      </c>
      <c r="C140" s="176">
        <v>5</v>
      </c>
      <c r="D140" s="176">
        <v>11920</v>
      </c>
      <c r="E140" s="175"/>
      <c r="F140" s="176">
        <v>74488985183681</v>
      </c>
      <c r="G140" s="176">
        <v>99</v>
      </c>
      <c r="H140" s="176">
        <v>0</v>
      </c>
      <c r="I140" s="175"/>
      <c r="J140" s="176">
        <v>1</v>
      </c>
      <c r="K140" s="175" t="s">
        <v>3742</v>
      </c>
      <c r="L140" s="204">
        <v>20661.16</v>
      </c>
      <c r="M140" s="176">
        <v>0</v>
      </c>
      <c r="N140" s="176">
        <v>0</v>
      </c>
      <c r="O140" s="176">
        <v>0</v>
      </c>
      <c r="P140" s="204">
        <v>4338.84</v>
      </c>
      <c r="Q140" s="176">
        <v>25000</v>
      </c>
    </row>
    <row r="141" spans="1:17">
      <c r="A141" s="175" t="s">
        <v>3902</v>
      </c>
      <c r="B141" s="175" t="s">
        <v>3744</v>
      </c>
      <c r="C141" s="176">
        <v>5</v>
      </c>
      <c r="D141" s="176">
        <v>11921</v>
      </c>
      <c r="E141" s="175"/>
      <c r="F141" s="176">
        <v>74488985565834</v>
      </c>
      <c r="G141" s="176">
        <v>99</v>
      </c>
      <c r="H141" s="176">
        <v>0</v>
      </c>
      <c r="I141" s="175"/>
      <c r="J141" s="176">
        <v>1</v>
      </c>
      <c r="K141" s="175" t="s">
        <v>3742</v>
      </c>
      <c r="L141" s="204">
        <v>16528.93</v>
      </c>
      <c r="M141" s="176">
        <v>0</v>
      </c>
      <c r="N141" s="176">
        <v>0</v>
      </c>
      <c r="O141" s="176">
        <v>0</v>
      </c>
      <c r="P141" s="204">
        <v>3471.07</v>
      </c>
      <c r="Q141" s="176">
        <v>20000</v>
      </c>
    </row>
    <row r="142" spans="1:17">
      <c r="A142" s="175" t="s">
        <v>3902</v>
      </c>
      <c r="B142" s="175" t="s">
        <v>3744</v>
      </c>
      <c r="C142" s="176">
        <v>5</v>
      </c>
      <c r="D142" s="176">
        <v>11908</v>
      </c>
      <c r="E142" s="175"/>
      <c r="F142" s="176">
        <v>74488929366000</v>
      </c>
      <c r="G142" s="176">
        <v>99</v>
      </c>
      <c r="H142" s="176">
        <v>0</v>
      </c>
      <c r="I142" s="175"/>
      <c r="J142" s="176">
        <v>1</v>
      </c>
      <c r="K142" s="175" t="s">
        <v>3742</v>
      </c>
      <c r="L142" s="175">
        <v>11487.6</v>
      </c>
      <c r="M142" s="176">
        <v>0</v>
      </c>
      <c r="N142" s="176">
        <v>0</v>
      </c>
      <c r="O142" s="176">
        <v>0</v>
      </c>
      <c r="P142" s="175">
        <v>2412.4</v>
      </c>
      <c r="Q142" s="176">
        <v>13900</v>
      </c>
    </row>
    <row r="143" spans="1:17">
      <c r="A143" s="175" t="s">
        <v>3902</v>
      </c>
      <c r="B143" s="175" t="s">
        <v>3744</v>
      </c>
      <c r="C143" s="176">
        <v>5</v>
      </c>
      <c r="D143" s="176">
        <v>11906</v>
      </c>
      <c r="E143" s="175"/>
      <c r="F143" s="176">
        <v>74488917573442</v>
      </c>
      <c r="G143" s="176">
        <v>99</v>
      </c>
      <c r="H143" s="176">
        <v>0</v>
      </c>
      <c r="I143" s="175"/>
      <c r="J143" s="176">
        <v>1</v>
      </c>
      <c r="K143" s="175" t="s">
        <v>3742</v>
      </c>
      <c r="L143" s="204">
        <v>25619.83</v>
      </c>
      <c r="M143" s="176">
        <v>0</v>
      </c>
      <c r="N143" s="176">
        <v>0</v>
      </c>
      <c r="O143" s="176">
        <v>0</v>
      </c>
      <c r="P143" s="204">
        <v>5380.17</v>
      </c>
      <c r="Q143" s="176">
        <v>31000</v>
      </c>
    </row>
    <row r="144" spans="1:17">
      <c r="A144" s="175" t="s">
        <v>3902</v>
      </c>
      <c r="B144" s="175" t="s">
        <v>3744</v>
      </c>
      <c r="C144" s="176">
        <v>5</v>
      </c>
      <c r="D144" s="176">
        <v>11916</v>
      </c>
      <c r="E144" s="175"/>
      <c r="F144" s="176">
        <v>74488969149545</v>
      </c>
      <c r="G144" s="175" t="s">
        <v>3785</v>
      </c>
      <c r="H144" s="176">
        <v>4430076</v>
      </c>
      <c r="I144" s="175"/>
      <c r="J144" s="176">
        <v>1</v>
      </c>
      <c r="K144" s="175" t="s">
        <v>3742</v>
      </c>
      <c r="L144" s="204">
        <v>12892.56</v>
      </c>
      <c r="M144" s="176">
        <v>0</v>
      </c>
      <c r="N144" s="176">
        <v>0</v>
      </c>
      <c r="O144" s="176">
        <v>0</v>
      </c>
      <c r="P144" s="204">
        <v>2707.44</v>
      </c>
      <c r="Q144" s="176">
        <v>15600</v>
      </c>
    </row>
    <row r="145" spans="1:17">
      <c r="A145" s="175" t="s">
        <v>3902</v>
      </c>
      <c r="B145" s="175" t="s">
        <v>3744</v>
      </c>
      <c r="C145" s="176">
        <v>5</v>
      </c>
      <c r="D145" s="176">
        <v>11912</v>
      </c>
      <c r="E145" s="175"/>
      <c r="F145" s="176">
        <v>74488939046579</v>
      </c>
      <c r="G145" s="176">
        <v>99</v>
      </c>
      <c r="H145" s="176">
        <v>0</v>
      </c>
      <c r="I145" s="175"/>
      <c r="J145" s="176">
        <v>1</v>
      </c>
      <c r="K145" s="175" t="s">
        <v>3742</v>
      </c>
      <c r="L145" s="204">
        <v>13223.14</v>
      </c>
      <c r="M145" s="176">
        <v>0</v>
      </c>
      <c r="N145" s="176">
        <v>0</v>
      </c>
      <c r="O145" s="176">
        <v>0</v>
      </c>
      <c r="P145" s="204">
        <v>2776.86</v>
      </c>
      <c r="Q145" s="176">
        <v>16000</v>
      </c>
    </row>
    <row r="146" spans="1:17">
      <c r="A146" s="175" t="s">
        <v>3902</v>
      </c>
      <c r="B146" s="175" t="s">
        <v>3744</v>
      </c>
      <c r="C146" s="176">
        <v>5</v>
      </c>
      <c r="D146" s="176">
        <v>11918</v>
      </c>
      <c r="E146" s="175"/>
      <c r="F146" s="176">
        <v>74488972345564</v>
      </c>
      <c r="G146" s="176">
        <v>99</v>
      </c>
      <c r="H146" s="176">
        <v>0</v>
      </c>
      <c r="I146" s="175"/>
      <c r="J146" s="176">
        <v>1</v>
      </c>
      <c r="K146" s="175" t="s">
        <v>3742</v>
      </c>
      <c r="L146" s="204">
        <v>5206.6099999999997</v>
      </c>
      <c r="M146" s="176">
        <v>0</v>
      </c>
      <c r="N146" s="176">
        <v>0</v>
      </c>
      <c r="O146" s="176">
        <v>0</v>
      </c>
      <c r="P146" s="204">
        <v>1093.3900000000001</v>
      </c>
      <c r="Q146" s="176">
        <v>6300</v>
      </c>
    </row>
    <row r="147" spans="1:17">
      <c r="A147" s="175" t="s">
        <v>3902</v>
      </c>
      <c r="B147" s="175" t="s">
        <v>3744</v>
      </c>
      <c r="C147" s="176">
        <v>5</v>
      </c>
      <c r="D147" s="176">
        <v>11910</v>
      </c>
      <c r="E147" s="175"/>
      <c r="F147" s="176">
        <v>74488936530381</v>
      </c>
      <c r="G147" s="176">
        <v>99</v>
      </c>
      <c r="H147" s="176">
        <v>0</v>
      </c>
      <c r="I147" s="175"/>
      <c r="J147" s="176">
        <v>1</v>
      </c>
      <c r="K147" s="175" t="s">
        <v>3742</v>
      </c>
      <c r="L147" s="204">
        <v>14669.42</v>
      </c>
      <c r="M147" s="176">
        <v>0</v>
      </c>
      <c r="N147" s="176">
        <v>0</v>
      </c>
      <c r="O147" s="176">
        <v>0</v>
      </c>
      <c r="P147" s="204">
        <v>3080.58</v>
      </c>
      <c r="Q147" s="176">
        <v>17750</v>
      </c>
    </row>
    <row r="148" spans="1:17" ht="15.75" thickBot="1">
      <c r="A148" s="206" t="s">
        <v>3902</v>
      </c>
      <c r="B148" s="206" t="s">
        <v>3749</v>
      </c>
      <c r="C148" s="207">
        <v>5</v>
      </c>
      <c r="D148" s="207">
        <v>143</v>
      </c>
      <c r="E148" s="206"/>
      <c r="F148" s="207">
        <v>74488957376747</v>
      </c>
      <c r="G148" s="207">
        <v>99</v>
      </c>
      <c r="H148" s="207">
        <v>0</v>
      </c>
      <c r="I148" s="206"/>
      <c r="J148" s="207">
        <v>1</v>
      </c>
      <c r="K148" s="206" t="s">
        <v>3742</v>
      </c>
      <c r="L148" s="204">
        <v>-13223.14</v>
      </c>
      <c r="M148" s="176"/>
      <c r="N148" s="176">
        <v>0</v>
      </c>
      <c r="O148" s="176">
        <v>0</v>
      </c>
      <c r="P148" s="204">
        <v>-2776.8593999999998</v>
      </c>
      <c r="Q148" s="176">
        <v>-15999.999399999999</v>
      </c>
    </row>
    <row r="149" spans="1:17" ht="15.75" thickBot="1">
      <c r="A149" s="175"/>
      <c r="B149" s="175"/>
      <c r="C149" s="176"/>
      <c r="D149" s="176"/>
      <c r="E149" s="175"/>
      <c r="F149" s="176"/>
      <c r="G149" s="176"/>
      <c r="H149" s="176"/>
      <c r="I149" s="175"/>
      <c r="J149" s="225" t="s">
        <v>462</v>
      </c>
      <c r="K149" s="226"/>
      <c r="L149" s="190">
        <f>SUM(L103:L148)</f>
        <v>941033.05000000051</v>
      </c>
      <c r="M149" s="191">
        <f t="shared" ref="M149:Q149" si="2">SUM(M103:M148)</f>
        <v>0</v>
      </c>
      <c r="N149" s="191">
        <f t="shared" si="2"/>
        <v>0</v>
      </c>
      <c r="O149" s="191">
        <f t="shared" si="2"/>
        <v>0</v>
      </c>
      <c r="P149" s="191">
        <f>SUM(P103:P148)</f>
        <v>197616.95060000001</v>
      </c>
      <c r="Q149" s="192">
        <f t="shared" si="2"/>
        <v>1138650.0005999999</v>
      </c>
    </row>
    <row r="150" spans="1:17">
      <c r="A150" s="175"/>
      <c r="B150" s="175"/>
      <c r="C150" s="176"/>
      <c r="D150" s="176"/>
      <c r="E150" s="175"/>
      <c r="F150" s="176"/>
      <c r="G150" s="176"/>
      <c r="H150" s="176"/>
      <c r="I150" s="175"/>
      <c r="J150" s="176"/>
      <c r="K150" s="175"/>
      <c r="L150" s="204"/>
      <c r="M150" s="176"/>
      <c r="N150" s="176"/>
      <c r="O150" s="176"/>
      <c r="P150" s="204"/>
      <c r="Q150" s="176"/>
    </row>
    <row r="151" spans="1:17">
      <c r="A151" s="175" t="s">
        <v>3897</v>
      </c>
      <c r="B151" s="175" t="s">
        <v>3743</v>
      </c>
      <c r="C151" s="176">
        <v>6</v>
      </c>
      <c r="D151" s="176">
        <v>542</v>
      </c>
      <c r="E151" s="175"/>
      <c r="F151" s="176">
        <v>74458048932317</v>
      </c>
      <c r="G151" s="175" t="s">
        <v>3741</v>
      </c>
      <c r="H151" s="176">
        <v>30522428163</v>
      </c>
      <c r="I151" s="175" t="s">
        <v>2712</v>
      </c>
      <c r="J151" s="176">
        <v>1</v>
      </c>
      <c r="K151" s="175" t="s">
        <v>3742</v>
      </c>
      <c r="L151" s="204">
        <v>1239054.8899999999</v>
      </c>
      <c r="M151" s="176">
        <v>0</v>
      </c>
      <c r="N151" s="176">
        <v>0</v>
      </c>
      <c r="O151" s="176">
        <v>0</v>
      </c>
      <c r="P151" s="204">
        <v>260201.53</v>
      </c>
      <c r="Q151" s="204">
        <v>1499256.42</v>
      </c>
    </row>
    <row r="152" spans="1:17">
      <c r="A152" s="175" t="s">
        <v>3897</v>
      </c>
      <c r="B152" s="175" t="s">
        <v>3743</v>
      </c>
      <c r="C152" s="176">
        <v>6</v>
      </c>
      <c r="D152" s="176">
        <v>544</v>
      </c>
      <c r="E152" s="175"/>
      <c r="F152" s="176">
        <v>74458066762302</v>
      </c>
      <c r="G152" s="175" t="s">
        <v>3741</v>
      </c>
      <c r="H152" s="176">
        <v>30522428163</v>
      </c>
      <c r="I152" s="175" t="s">
        <v>2712</v>
      </c>
      <c r="J152" s="176">
        <v>1</v>
      </c>
      <c r="K152" s="175" t="s">
        <v>3742</v>
      </c>
      <c r="L152" s="204">
        <v>10127515.83</v>
      </c>
      <c r="M152" s="176">
        <v>0</v>
      </c>
      <c r="N152" s="176">
        <v>0</v>
      </c>
      <c r="O152" s="176">
        <v>0</v>
      </c>
      <c r="P152" s="204">
        <v>2126778.3199999998</v>
      </c>
      <c r="Q152" s="204">
        <v>12254294.15</v>
      </c>
    </row>
    <row r="153" spans="1:17">
      <c r="A153" s="175" t="s">
        <v>3897</v>
      </c>
      <c r="B153" s="175" t="s">
        <v>3743</v>
      </c>
      <c r="C153" s="176">
        <v>6</v>
      </c>
      <c r="D153" s="176">
        <v>545</v>
      </c>
      <c r="E153" s="175"/>
      <c r="F153" s="176">
        <v>74458066973245</v>
      </c>
      <c r="G153" s="175" t="s">
        <v>3741</v>
      </c>
      <c r="H153" s="176">
        <v>30522428163</v>
      </c>
      <c r="I153" s="175" t="s">
        <v>2712</v>
      </c>
      <c r="J153" s="176">
        <v>1</v>
      </c>
      <c r="K153" s="175" t="s">
        <v>3742</v>
      </c>
      <c r="L153" s="204">
        <v>1419259.62</v>
      </c>
      <c r="M153" s="176">
        <v>0</v>
      </c>
      <c r="N153" s="176">
        <v>0</v>
      </c>
      <c r="O153" s="176">
        <v>0</v>
      </c>
      <c r="P153" s="204">
        <v>298044.52</v>
      </c>
      <c r="Q153" s="204">
        <v>1717304.14</v>
      </c>
    </row>
    <row r="154" spans="1:17">
      <c r="A154" s="175" t="s">
        <v>3897</v>
      </c>
      <c r="B154" s="175" t="s">
        <v>3743</v>
      </c>
      <c r="C154" s="176">
        <v>6</v>
      </c>
      <c r="D154" s="176">
        <v>543</v>
      </c>
      <c r="E154" s="175"/>
      <c r="F154" s="176">
        <v>74458064657711</v>
      </c>
      <c r="G154" s="175" t="s">
        <v>3741</v>
      </c>
      <c r="H154" s="176">
        <v>30522428163</v>
      </c>
      <c r="I154" s="175" t="s">
        <v>2712</v>
      </c>
      <c r="J154" s="176">
        <v>1</v>
      </c>
      <c r="K154" s="175" t="s">
        <v>3742</v>
      </c>
      <c r="L154" s="204">
        <v>1519236.24</v>
      </c>
      <c r="M154" s="176">
        <v>0</v>
      </c>
      <c r="N154" s="176">
        <v>0</v>
      </c>
      <c r="O154" s="176">
        <v>0</v>
      </c>
      <c r="P154" s="204">
        <v>319039.61</v>
      </c>
      <c r="Q154" s="204">
        <v>1838275.85</v>
      </c>
    </row>
    <row r="155" spans="1:17">
      <c r="A155" s="175" t="s">
        <v>3879</v>
      </c>
      <c r="B155" s="175" t="s">
        <v>3743</v>
      </c>
      <c r="C155" s="176">
        <v>6</v>
      </c>
      <c r="D155" s="176">
        <v>546</v>
      </c>
      <c r="E155" s="175"/>
      <c r="F155" s="176">
        <v>74468840140479</v>
      </c>
      <c r="G155" s="175" t="s">
        <v>3741</v>
      </c>
      <c r="H155" s="176">
        <v>30683032227</v>
      </c>
      <c r="I155" s="175" t="s">
        <v>3759</v>
      </c>
      <c r="J155" s="176">
        <v>1</v>
      </c>
      <c r="K155" s="175" t="s">
        <v>3742</v>
      </c>
      <c r="L155" s="204">
        <v>4003508.84</v>
      </c>
      <c r="M155" s="176">
        <v>0</v>
      </c>
      <c r="N155" s="176">
        <v>0</v>
      </c>
      <c r="O155" s="176">
        <v>0</v>
      </c>
      <c r="P155" s="204">
        <v>840736.86</v>
      </c>
      <c r="Q155" s="175">
        <v>4844245.7</v>
      </c>
    </row>
    <row r="156" spans="1:17">
      <c r="A156" s="175" t="s">
        <v>3866</v>
      </c>
      <c r="B156" s="175" t="s">
        <v>3743</v>
      </c>
      <c r="C156" s="176">
        <v>6</v>
      </c>
      <c r="D156" s="176">
        <v>547</v>
      </c>
      <c r="E156" s="175"/>
      <c r="F156" s="176">
        <v>74468054191139</v>
      </c>
      <c r="G156" s="175" t="s">
        <v>3741</v>
      </c>
      <c r="H156" s="176">
        <v>30522428163</v>
      </c>
      <c r="I156" s="175" t="s">
        <v>2712</v>
      </c>
      <c r="J156" s="176">
        <v>1</v>
      </c>
      <c r="K156" s="175" t="s">
        <v>3742</v>
      </c>
      <c r="L156" s="204">
        <v>7873938.0199999996</v>
      </c>
      <c r="M156" s="176">
        <v>0</v>
      </c>
      <c r="N156" s="176">
        <v>0</v>
      </c>
      <c r="O156" s="176">
        <v>0</v>
      </c>
      <c r="P156" s="204">
        <v>1653526.98</v>
      </c>
      <c r="Q156" s="176">
        <v>9527465</v>
      </c>
    </row>
    <row r="157" spans="1:17">
      <c r="A157" s="175" t="s">
        <v>3867</v>
      </c>
      <c r="B157" s="175" t="s">
        <v>3743</v>
      </c>
      <c r="C157" s="176">
        <v>6</v>
      </c>
      <c r="D157" s="176">
        <v>548</v>
      </c>
      <c r="E157" s="175"/>
      <c r="F157" s="176">
        <v>74478892877301</v>
      </c>
      <c r="G157" s="175" t="s">
        <v>3741</v>
      </c>
      <c r="H157" s="176">
        <v>30683032227</v>
      </c>
      <c r="I157" s="175" t="s">
        <v>3759</v>
      </c>
      <c r="J157" s="176">
        <v>1</v>
      </c>
      <c r="K157" s="175" t="s">
        <v>3742</v>
      </c>
      <c r="L157" s="204">
        <v>3293388.43</v>
      </c>
      <c r="M157" s="176">
        <v>150000</v>
      </c>
      <c r="N157" s="176">
        <v>0</v>
      </c>
      <c r="O157" s="176">
        <v>0</v>
      </c>
      <c r="P157" s="204">
        <v>691611.57</v>
      </c>
      <c r="Q157" s="176">
        <v>4135000</v>
      </c>
    </row>
    <row r="158" spans="1:17">
      <c r="A158" s="175" t="s">
        <v>3867</v>
      </c>
      <c r="B158" s="175" t="s">
        <v>3743</v>
      </c>
      <c r="C158" s="176">
        <v>6</v>
      </c>
      <c r="D158" s="176">
        <v>549</v>
      </c>
      <c r="E158" s="175"/>
      <c r="F158" s="176">
        <v>74478899615074</v>
      </c>
      <c r="G158" s="175" t="s">
        <v>3741</v>
      </c>
      <c r="H158" s="176">
        <v>30522428163</v>
      </c>
      <c r="I158" s="175" t="s">
        <v>2712</v>
      </c>
      <c r="J158" s="176">
        <v>1</v>
      </c>
      <c r="K158" s="175" t="s">
        <v>3742</v>
      </c>
      <c r="L158" s="204">
        <v>5122975.21</v>
      </c>
      <c r="M158" s="176">
        <v>0</v>
      </c>
      <c r="N158" s="176">
        <v>0</v>
      </c>
      <c r="O158" s="176">
        <v>0</v>
      </c>
      <c r="P158" s="204">
        <v>1075824.79</v>
      </c>
      <c r="Q158" s="176">
        <v>6198800</v>
      </c>
    </row>
    <row r="159" spans="1:17">
      <c r="A159" s="175" t="s">
        <v>3867</v>
      </c>
      <c r="B159" s="175" t="s">
        <v>3743</v>
      </c>
      <c r="C159" s="176">
        <v>6</v>
      </c>
      <c r="D159" s="176">
        <v>550</v>
      </c>
      <c r="E159" s="175"/>
      <c r="F159" s="176">
        <v>74478111452031</v>
      </c>
      <c r="G159" s="175" t="s">
        <v>3741</v>
      </c>
      <c r="H159" s="176">
        <v>30683032227</v>
      </c>
      <c r="I159" s="175" t="s">
        <v>3759</v>
      </c>
      <c r="J159" s="176">
        <v>1</v>
      </c>
      <c r="K159" s="175" t="s">
        <v>3742</v>
      </c>
      <c r="L159" s="204">
        <v>3417355.37</v>
      </c>
      <c r="M159" s="176">
        <v>0</v>
      </c>
      <c r="N159" s="176">
        <v>0</v>
      </c>
      <c r="O159" s="176">
        <v>0</v>
      </c>
      <c r="P159" s="204">
        <v>717644.63</v>
      </c>
      <c r="Q159" s="176">
        <v>4135000</v>
      </c>
    </row>
    <row r="160" spans="1:17" ht="15.75" thickBot="1">
      <c r="A160" s="175" t="s">
        <v>3901</v>
      </c>
      <c r="B160" s="175" t="s">
        <v>3743</v>
      </c>
      <c r="C160" s="176">
        <v>6</v>
      </c>
      <c r="D160" s="176">
        <v>551</v>
      </c>
      <c r="E160" s="175"/>
      <c r="F160" s="176">
        <v>74488788987063</v>
      </c>
      <c r="G160" s="175" t="s">
        <v>3741</v>
      </c>
      <c r="H160" s="176">
        <v>30522428163</v>
      </c>
      <c r="I160" s="175" t="s">
        <v>2712</v>
      </c>
      <c r="J160" s="176">
        <v>1</v>
      </c>
      <c r="K160" s="175" t="s">
        <v>3742</v>
      </c>
      <c r="L160" s="204">
        <v>1206280.99</v>
      </c>
      <c r="M160" s="176">
        <v>0</v>
      </c>
      <c r="N160" s="176">
        <v>0</v>
      </c>
      <c r="O160" s="176">
        <v>0</v>
      </c>
      <c r="P160" s="204">
        <v>253319.01</v>
      </c>
      <c r="Q160" s="176">
        <v>1459600</v>
      </c>
    </row>
    <row r="161" spans="1:17" ht="15.75" thickBot="1">
      <c r="A161" s="175"/>
      <c r="B161" s="175"/>
      <c r="C161" s="176"/>
      <c r="D161" s="176"/>
      <c r="E161" s="175"/>
      <c r="F161" s="176"/>
      <c r="G161" s="175"/>
      <c r="H161" s="176"/>
      <c r="I161" s="175"/>
      <c r="J161" s="225" t="s">
        <v>783</v>
      </c>
      <c r="K161" s="226"/>
      <c r="L161" s="190">
        <f>SUM(L151:L160)</f>
        <v>39222513.439999998</v>
      </c>
      <c r="M161" s="191">
        <f t="shared" ref="M161:Q161" si="3">SUM(M151:M160)</f>
        <v>150000</v>
      </c>
      <c r="N161" s="191">
        <f t="shared" si="3"/>
        <v>0</v>
      </c>
      <c r="O161" s="191">
        <f t="shared" si="3"/>
        <v>0</v>
      </c>
      <c r="P161" s="191">
        <f>SUM(P151:P160)</f>
        <v>8236727.8199999994</v>
      </c>
      <c r="Q161" s="192">
        <f t="shared" si="3"/>
        <v>47609241.260000005</v>
      </c>
    </row>
    <row r="162" spans="1:17">
      <c r="A162" s="175"/>
      <c r="B162" s="175"/>
      <c r="C162" s="176"/>
      <c r="D162" s="176"/>
      <c r="E162" s="175"/>
      <c r="F162" s="176"/>
      <c r="G162" s="175"/>
      <c r="H162" s="176"/>
      <c r="I162" s="175"/>
      <c r="J162" s="176"/>
      <c r="K162" s="175"/>
      <c r="L162" s="204"/>
      <c r="M162" s="176"/>
      <c r="N162" s="176"/>
      <c r="O162" s="176"/>
      <c r="P162" s="204"/>
      <c r="Q162" s="176"/>
    </row>
    <row r="163" spans="1:17">
      <c r="A163" s="175" t="s">
        <v>3868</v>
      </c>
      <c r="B163" s="175" t="s">
        <v>3740</v>
      </c>
      <c r="C163" s="176">
        <v>7</v>
      </c>
      <c r="D163" s="176">
        <v>2227</v>
      </c>
      <c r="E163" s="175"/>
      <c r="F163" s="176">
        <v>74448602428030</v>
      </c>
      <c r="G163" s="175" t="s">
        <v>3741</v>
      </c>
      <c r="H163" s="176">
        <v>30546771314</v>
      </c>
      <c r="I163" s="175" t="s">
        <v>3762</v>
      </c>
      <c r="J163" s="176">
        <v>1</v>
      </c>
      <c r="K163" s="175" t="s">
        <v>3742</v>
      </c>
      <c r="L163" s="204">
        <v>104132.23</v>
      </c>
      <c r="M163" s="176">
        <v>0</v>
      </c>
      <c r="N163" s="176">
        <v>0</v>
      </c>
      <c r="O163" s="176">
        <v>0</v>
      </c>
      <c r="P163" s="204">
        <v>21867.77</v>
      </c>
      <c r="Q163" s="176">
        <v>126000</v>
      </c>
    </row>
    <row r="164" spans="1:17">
      <c r="A164" s="175" t="s">
        <v>3868</v>
      </c>
      <c r="B164" s="175" t="s">
        <v>3740</v>
      </c>
      <c r="C164" s="176">
        <v>7</v>
      </c>
      <c r="D164" s="176">
        <v>2226</v>
      </c>
      <c r="E164" s="175"/>
      <c r="F164" s="176">
        <v>74448600824252</v>
      </c>
      <c r="G164" s="175" t="s">
        <v>3741</v>
      </c>
      <c r="H164" s="176">
        <v>30546771314</v>
      </c>
      <c r="I164" s="175" t="s">
        <v>3762</v>
      </c>
      <c r="J164" s="176">
        <v>1</v>
      </c>
      <c r="K164" s="175" t="s">
        <v>3742</v>
      </c>
      <c r="L164" s="175">
        <v>153884.29999999999</v>
      </c>
      <c r="M164" s="176">
        <v>0</v>
      </c>
      <c r="N164" s="176">
        <v>0</v>
      </c>
      <c r="O164" s="176">
        <v>0</v>
      </c>
      <c r="P164" s="175">
        <v>32315.7</v>
      </c>
      <c r="Q164" s="176">
        <v>186200</v>
      </c>
    </row>
    <row r="165" spans="1:17">
      <c r="A165" s="175" t="s">
        <v>3872</v>
      </c>
      <c r="B165" s="175" t="s">
        <v>3740</v>
      </c>
      <c r="C165" s="176">
        <v>7</v>
      </c>
      <c r="D165" s="176">
        <v>2228</v>
      </c>
      <c r="E165" s="175"/>
      <c r="F165" s="176">
        <v>74458947045077</v>
      </c>
      <c r="G165" s="175" t="s">
        <v>3741</v>
      </c>
      <c r="H165" s="176">
        <v>30715186655</v>
      </c>
      <c r="I165" s="175" t="s">
        <v>3754</v>
      </c>
      <c r="J165" s="176">
        <v>1</v>
      </c>
      <c r="K165" s="175" t="s">
        <v>3742</v>
      </c>
      <c r="L165" s="204">
        <v>420498.35</v>
      </c>
      <c r="M165" s="176">
        <v>0</v>
      </c>
      <c r="N165" s="176">
        <v>0</v>
      </c>
      <c r="O165" s="176">
        <v>0</v>
      </c>
      <c r="P165" s="204">
        <v>88304.65</v>
      </c>
      <c r="Q165" s="176">
        <v>508803</v>
      </c>
    </row>
    <row r="166" spans="1:17">
      <c r="A166" s="175" t="s">
        <v>3872</v>
      </c>
      <c r="B166" s="175" t="s">
        <v>3740</v>
      </c>
      <c r="C166" s="176">
        <v>7</v>
      </c>
      <c r="D166" s="176">
        <v>2229</v>
      </c>
      <c r="E166" s="175"/>
      <c r="F166" s="176">
        <v>74458947251680</v>
      </c>
      <c r="G166" s="175" t="s">
        <v>3741</v>
      </c>
      <c r="H166" s="176">
        <v>30715186655</v>
      </c>
      <c r="I166" s="175" t="s">
        <v>3754</v>
      </c>
      <c r="J166" s="176">
        <v>1</v>
      </c>
      <c r="K166" s="175" t="s">
        <v>3742</v>
      </c>
      <c r="L166" s="204">
        <v>56198.35</v>
      </c>
      <c r="M166" s="176">
        <v>0</v>
      </c>
      <c r="N166" s="176">
        <v>0</v>
      </c>
      <c r="O166" s="176">
        <v>0</v>
      </c>
      <c r="P166" s="204">
        <v>11801.65</v>
      </c>
      <c r="Q166" s="176">
        <v>68000</v>
      </c>
    </row>
    <row r="167" spans="1:17">
      <c r="A167" s="175" t="s">
        <v>3872</v>
      </c>
      <c r="B167" s="175" t="s">
        <v>3740</v>
      </c>
      <c r="C167" s="176">
        <v>7</v>
      </c>
      <c r="D167" s="176">
        <v>2231</v>
      </c>
      <c r="E167" s="175"/>
      <c r="F167" s="176">
        <v>74458951113373</v>
      </c>
      <c r="G167" s="175" t="s">
        <v>3741</v>
      </c>
      <c r="H167" s="176">
        <v>30711244383</v>
      </c>
      <c r="I167" s="175" t="s">
        <v>3775</v>
      </c>
      <c r="J167" s="176">
        <v>1</v>
      </c>
      <c r="K167" s="175" t="s">
        <v>3742</v>
      </c>
      <c r="L167" s="204">
        <v>60331.43</v>
      </c>
      <c r="M167" s="176">
        <v>0</v>
      </c>
      <c r="N167" s="176">
        <v>0</v>
      </c>
      <c r="O167" s="176">
        <v>0</v>
      </c>
      <c r="P167" s="175">
        <v>12669.6</v>
      </c>
      <c r="Q167" s="204">
        <v>73001.03</v>
      </c>
    </row>
    <row r="168" spans="1:17">
      <c r="A168" s="175" t="s">
        <v>3872</v>
      </c>
      <c r="B168" s="175" t="s">
        <v>3740</v>
      </c>
      <c r="C168" s="176">
        <v>7</v>
      </c>
      <c r="D168" s="176">
        <v>2230</v>
      </c>
      <c r="E168" s="175"/>
      <c r="F168" s="176">
        <v>74458948601244</v>
      </c>
      <c r="G168" s="175" t="s">
        <v>3741</v>
      </c>
      <c r="H168" s="176">
        <v>30710538014</v>
      </c>
      <c r="I168" s="175" t="s">
        <v>3757</v>
      </c>
      <c r="J168" s="176">
        <v>1</v>
      </c>
      <c r="K168" s="175" t="s">
        <v>3742</v>
      </c>
      <c r="L168" s="204">
        <v>436033.06</v>
      </c>
      <c r="M168" s="176">
        <v>0</v>
      </c>
      <c r="N168" s="176">
        <v>0</v>
      </c>
      <c r="O168" s="176">
        <v>0</v>
      </c>
      <c r="P168" s="204">
        <v>91566.94</v>
      </c>
      <c r="Q168" s="176">
        <v>527600</v>
      </c>
    </row>
    <row r="169" spans="1:17">
      <c r="A169" s="175" t="s">
        <v>3897</v>
      </c>
      <c r="B169" s="175" t="s">
        <v>3740</v>
      </c>
      <c r="C169" s="176">
        <v>7</v>
      </c>
      <c r="D169" s="176">
        <v>2232</v>
      </c>
      <c r="E169" s="175"/>
      <c r="F169" s="176">
        <v>74458049339978</v>
      </c>
      <c r="G169" s="175" t="s">
        <v>3741</v>
      </c>
      <c r="H169" s="176">
        <v>30522428163</v>
      </c>
      <c r="I169" s="175" t="s">
        <v>2712</v>
      </c>
      <c r="J169" s="176">
        <v>1</v>
      </c>
      <c r="K169" s="175" t="s">
        <v>3742</v>
      </c>
      <c r="L169" s="204">
        <v>37190.080000000002</v>
      </c>
      <c r="M169" s="176">
        <v>0</v>
      </c>
      <c r="N169" s="176">
        <v>0</v>
      </c>
      <c r="O169" s="176">
        <v>0</v>
      </c>
      <c r="P169" s="204">
        <v>7809.92</v>
      </c>
      <c r="Q169" s="176">
        <v>45000</v>
      </c>
    </row>
    <row r="170" spans="1:17">
      <c r="A170" s="175" t="s">
        <v>3897</v>
      </c>
      <c r="B170" s="175" t="s">
        <v>3740</v>
      </c>
      <c r="C170" s="176">
        <v>7</v>
      </c>
      <c r="D170" s="176">
        <v>2233</v>
      </c>
      <c r="E170" s="175"/>
      <c r="F170" s="176">
        <v>74458065861742</v>
      </c>
      <c r="G170" s="175" t="s">
        <v>3741</v>
      </c>
      <c r="H170" s="176">
        <v>30522428163</v>
      </c>
      <c r="I170" s="175" t="s">
        <v>2712</v>
      </c>
      <c r="J170" s="176">
        <v>1</v>
      </c>
      <c r="K170" s="175" t="s">
        <v>3742</v>
      </c>
      <c r="L170" s="204">
        <v>280783.17</v>
      </c>
      <c r="M170" s="176">
        <v>0</v>
      </c>
      <c r="N170" s="176">
        <v>0</v>
      </c>
      <c r="O170" s="176">
        <v>0</v>
      </c>
      <c r="P170" s="204">
        <v>58964.47</v>
      </c>
      <c r="Q170" s="204">
        <v>339747.64</v>
      </c>
    </row>
    <row r="171" spans="1:17">
      <c r="A171" s="175" t="s">
        <v>3877</v>
      </c>
      <c r="B171" s="175" t="s">
        <v>3740</v>
      </c>
      <c r="C171" s="176">
        <v>7</v>
      </c>
      <c r="D171" s="176">
        <v>2234</v>
      </c>
      <c r="E171" s="175"/>
      <c r="F171" s="176">
        <v>74458177408760</v>
      </c>
      <c r="G171" s="175" t="s">
        <v>3741</v>
      </c>
      <c r="H171" s="176">
        <v>30709016012</v>
      </c>
      <c r="I171" s="175" t="s">
        <v>3765</v>
      </c>
      <c r="J171" s="176">
        <v>1</v>
      </c>
      <c r="K171" s="175" t="s">
        <v>3742</v>
      </c>
      <c r="L171" s="204">
        <v>253842.98</v>
      </c>
      <c r="M171" s="176">
        <v>0</v>
      </c>
      <c r="N171" s="176">
        <v>0</v>
      </c>
      <c r="O171" s="176">
        <v>0</v>
      </c>
      <c r="P171" s="204">
        <v>53307.02</v>
      </c>
      <c r="Q171" s="176">
        <v>307150</v>
      </c>
    </row>
    <row r="172" spans="1:17">
      <c r="A172" s="175" t="s">
        <v>3858</v>
      </c>
      <c r="B172" s="175" t="s">
        <v>3740</v>
      </c>
      <c r="C172" s="176">
        <v>7</v>
      </c>
      <c r="D172" s="176">
        <v>2235</v>
      </c>
      <c r="E172" s="175"/>
      <c r="F172" s="176">
        <v>74458360436056</v>
      </c>
      <c r="G172" s="175" t="s">
        <v>3741</v>
      </c>
      <c r="H172" s="176">
        <v>30709016012</v>
      </c>
      <c r="I172" s="175" t="s">
        <v>3765</v>
      </c>
      <c r="J172" s="176">
        <v>1</v>
      </c>
      <c r="K172" s="175" t="s">
        <v>3742</v>
      </c>
      <c r="L172" s="204">
        <v>537190.07999999996</v>
      </c>
      <c r="M172" s="176">
        <v>0</v>
      </c>
      <c r="N172" s="176">
        <v>0</v>
      </c>
      <c r="O172" s="176">
        <v>0</v>
      </c>
      <c r="P172" s="204">
        <v>112809.92</v>
      </c>
      <c r="Q172" s="176">
        <v>650000</v>
      </c>
    </row>
    <row r="173" spans="1:17">
      <c r="A173" s="175" t="s">
        <v>3898</v>
      </c>
      <c r="B173" s="175" t="s">
        <v>3740</v>
      </c>
      <c r="C173" s="176">
        <v>7</v>
      </c>
      <c r="D173" s="176">
        <v>2236</v>
      </c>
      <c r="E173" s="175"/>
      <c r="F173" s="176">
        <v>74458450668571</v>
      </c>
      <c r="G173" s="175" t="s">
        <v>3741</v>
      </c>
      <c r="H173" s="176">
        <v>30500053522</v>
      </c>
      <c r="I173" s="175" t="s">
        <v>3756</v>
      </c>
      <c r="J173" s="176">
        <v>1</v>
      </c>
      <c r="K173" s="175" t="s">
        <v>3742</v>
      </c>
      <c r="L173" s="204">
        <v>430578.51</v>
      </c>
      <c r="M173" s="176">
        <v>0</v>
      </c>
      <c r="N173" s="176">
        <v>0</v>
      </c>
      <c r="O173" s="176">
        <v>0</v>
      </c>
      <c r="P173" s="204">
        <v>90421.49</v>
      </c>
      <c r="Q173" s="176">
        <v>521000</v>
      </c>
    </row>
    <row r="174" spans="1:17">
      <c r="A174" s="175" t="s">
        <v>3898</v>
      </c>
      <c r="B174" s="175" t="s">
        <v>3740</v>
      </c>
      <c r="C174" s="176">
        <v>7</v>
      </c>
      <c r="D174" s="176">
        <v>2237</v>
      </c>
      <c r="E174" s="175"/>
      <c r="F174" s="176">
        <v>74458481916160</v>
      </c>
      <c r="G174" s="175" t="s">
        <v>3741</v>
      </c>
      <c r="H174" s="176">
        <v>30590412631</v>
      </c>
      <c r="I174" s="175" t="s">
        <v>3755</v>
      </c>
      <c r="J174" s="176">
        <v>1</v>
      </c>
      <c r="K174" s="175" t="s">
        <v>3742</v>
      </c>
      <c r="L174" s="204">
        <v>229752.06</v>
      </c>
      <c r="M174" s="176">
        <v>0</v>
      </c>
      <c r="N174" s="176">
        <v>0</v>
      </c>
      <c r="O174" s="176">
        <v>0</v>
      </c>
      <c r="P174" s="204">
        <v>48247.93</v>
      </c>
      <c r="Q174" s="204">
        <v>277999.99</v>
      </c>
    </row>
    <row r="175" spans="1:17">
      <c r="A175" s="175" t="s">
        <v>3879</v>
      </c>
      <c r="B175" s="175" t="s">
        <v>3740</v>
      </c>
      <c r="C175" s="176">
        <v>7</v>
      </c>
      <c r="D175" s="176">
        <v>2239</v>
      </c>
      <c r="E175" s="175"/>
      <c r="F175" s="176">
        <v>74468826626438</v>
      </c>
      <c r="G175" s="175" t="s">
        <v>3741</v>
      </c>
      <c r="H175" s="176">
        <v>30606274161</v>
      </c>
      <c r="I175" s="175" t="s">
        <v>3903</v>
      </c>
      <c r="J175" s="176">
        <v>1</v>
      </c>
      <c r="K175" s="175" t="s">
        <v>3742</v>
      </c>
      <c r="L175" s="204">
        <v>289421.49</v>
      </c>
      <c r="M175" s="176">
        <v>0</v>
      </c>
      <c r="N175" s="176">
        <v>0</v>
      </c>
      <c r="O175" s="176">
        <v>0</v>
      </c>
      <c r="P175" s="204">
        <v>60778.51</v>
      </c>
      <c r="Q175" s="176">
        <v>350200</v>
      </c>
    </row>
    <row r="176" spans="1:17">
      <c r="A176" s="175" t="s">
        <v>3879</v>
      </c>
      <c r="B176" s="175" t="s">
        <v>3740</v>
      </c>
      <c r="C176" s="176">
        <v>7</v>
      </c>
      <c r="D176" s="176">
        <v>2240</v>
      </c>
      <c r="E176" s="175"/>
      <c r="F176" s="176">
        <v>74468840993703</v>
      </c>
      <c r="G176" s="175" t="s">
        <v>3741</v>
      </c>
      <c r="H176" s="176">
        <v>30683032227</v>
      </c>
      <c r="I176" s="175" t="s">
        <v>3759</v>
      </c>
      <c r="J176" s="176">
        <v>1</v>
      </c>
      <c r="K176" s="175" t="s">
        <v>3742</v>
      </c>
      <c r="L176" s="204">
        <v>978329.44</v>
      </c>
      <c r="M176" s="176">
        <v>0</v>
      </c>
      <c r="N176" s="176">
        <v>0</v>
      </c>
      <c r="O176" s="176">
        <v>0</v>
      </c>
      <c r="P176" s="204">
        <v>205449.18</v>
      </c>
      <c r="Q176" s="204">
        <v>1183778.6200000001</v>
      </c>
    </row>
    <row r="177" spans="1:17">
      <c r="A177" s="175" t="s">
        <v>3879</v>
      </c>
      <c r="B177" s="175" t="s">
        <v>3740</v>
      </c>
      <c r="C177" s="176">
        <v>7</v>
      </c>
      <c r="D177" s="176">
        <v>2238</v>
      </c>
      <c r="E177" s="175"/>
      <c r="F177" s="176">
        <v>74468825350426</v>
      </c>
      <c r="G177" s="175" t="s">
        <v>3741</v>
      </c>
      <c r="H177" s="176">
        <v>30587842358</v>
      </c>
      <c r="I177" s="175" t="s">
        <v>3904</v>
      </c>
      <c r="J177" s="176">
        <v>1</v>
      </c>
      <c r="K177" s="175" t="s">
        <v>3742</v>
      </c>
      <c r="L177" s="204">
        <v>35811.56</v>
      </c>
      <c r="M177" s="176">
        <v>0</v>
      </c>
      <c r="N177" s="176">
        <v>0</v>
      </c>
      <c r="O177" s="176">
        <v>0</v>
      </c>
      <c r="P177" s="204">
        <v>7520.43</v>
      </c>
      <c r="Q177" s="204">
        <v>43331.99</v>
      </c>
    </row>
    <row r="178" spans="1:17">
      <c r="A178" s="175" t="s">
        <v>3879</v>
      </c>
      <c r="B178" s="175" t="s">
        <v>3740</v>
      </c>
      <c r="C178" s="176">
        <v>7</v>
      </c>
      <c r="D178" s="176">
        <v>2241</v>
      </c>
      <c r="E178" s="175"/>
      <c r="F178" s="176">
        <v>74468983698738</v>
      </c>
      <c r="G178" s="175" t="s">
        <v>3741</v>
      </c>
      <c r="H178" s="176">
        <v>30683032227</v>
      </c>
      <c r="I178" s="175" t="s">
        <v>3759</v>
      </c>
      <c r="J178" s="176">
        <v>1</v>
      </c>
      <c r="K178" s="175" t="s">
        <v>3742</v>
      </c>
      <c r="L178" s="204">
        <v>342975.21</v>
      </c>
      <c r="M178" s="176">
        <v>0</v>
      </c>
      <c r="N178" s="176">
        <v>0</v>
      </c>
      <c r="O178" s="176">
        <v>0</v>
      </c>
      <c r="P178" s="204">
        <v>72024.789999999994</v>
      </c>
      <c r="Q178" s="176">
        <v>415000</v>
      </c>
    </row>
    <row r="179" spans="1:17">
      <c r="A179" s="175" t="s">
        <v>3866</v>
      </c>
      <c r="B179" s="175" t="s">
        <v>3740</v>
      </c>
      <c r="C179" s="176">
        <v>7</v>
      </c>
      <c r="D179" s="176">
        <v>2242</v>
      </c>
      <c r="E179" s="175"/>
      <c r="F179" s="176">
        <v>74468090720512</v>
      </c>
      <c r="G179" s="175" t="s">
        <v>3741</v>
      </c>
      <c r="H179" s="176">
        <v>30709016012</v>
      </c>
      <c r="I179" s="175" t="s">
        <v>3765</v>
      </c>
      <c r="J179" s="176">
        <v>1</v>
      </c>
      <c r="K179" s="175" t="s">
        <v>3742</v>
      </c>
      <c r="L179" s="204">
        <v>487479.32</v>
      </c>
      <c r="M179" s="176">
        <v>0</v>
      </c>
      <c r="N179" s="176">
        <v>0</v>
      </c>
      <c r="O179" s="176">
        <v>0</v>
      </c>
      <c r="P179" s="204">
        <v>102370.66</v>
      </c>
      <c r="Q179" s="204">
        <v>589849.98</v>
      </c>
    </row>
    <row r="180" spans="1:17">
      <c r="A180" s="175" t="s">
        <v>3881</v>
      </c>
      <c r="B180" s="175" t="s">
        <v>3740</v>
      </c>
      <c r="C180" s="176">
        <v>7</v>
      </c>
      <c r="D180" s="176">
        <v>2250</v>
      </c>
      <c r="E180" s="175"/>
      <c r="F180" s="176">
        <v>74468232708129</v>
      </c>
      <c r="G180" s="175" t="s">
        <v>3741</v>
      </c>
      <c r="H180" s="176">
        <v>30608716390</v>
      </c>
      <c r="I180" s="175" t="s">
        <v>3761</v>
      </c>
      <c r="J180" s="176">
        <v>1</v>
      </c>
      <c r="K180" s="175" t="s">
        <v>3742</v>
      </c>
      <c r="L180" s="204">
        <v>15528.93</v>
      </c>
      <c r="M180" s="176">
        <v>0</v>
      </c>
      <c r="N180" s="176">
        <v>0</v>
      </c>
      <c r="O180" s="176">
        <v>0</v>
      </c>
      <c r="P180" s="204">
        <v>3261.08</v>
      </c>
      <c r="Q180" s="204">
        <v>18790.009999999998</v>
      </c>
    </row>
    <row r="181" spans="1:17">
      <c r="A181" s="175" t="s">
        <v>3881</v>
      </c>
      <c r="B181" s="175" t="s">
        <v>3740</v>
      </c>
      <c r="C181" s="176">
        <v>7</v>
      </c>
      <c r="D181" s="176">
        <v>2253</v>
      </c>
      <c r="E181" s="175"/>
      <c r="F181" s="176">
        <v>74468235562418</v>
      </c>
      <c r="G181" s="175" t="s">
        <v>3741</v>
      </c>
      <c r="H181" s="176">
        <v>30608716390</v>
      </c>
      <c r="I181" s="175" t="s">
        <v>3761</v>
      </c>
      <c r="J181" s="176">
        <v>1</v>
      </c>
      <c r="K181" s="175" t="s">
        <v>3742</v>
      </c>
      <c r="L181" s="204">
        <v>22413.22</v>
      </c>
      <c r="M181" s="176">
        <v>0</v>
      </c>
      <c r="N181" s="176">
        <v>0</v>
      </c>
      <c r="O181" s="176">
        <v>0</v>
      </c>
      <c r="P181" s="204">
        <v>4706.78</v>
      </c>
      <c r="Q181" s="176">
        <v>27120</v>
      </c>
    </row>
    <row r="182" spans="1:17">
      <c r="A182" s="175" t="s">
        <v>3881</v>
      </c>
      <c r="B182" s="175" t="s">
        <v>3740</v>
      </c>
      <c r="C182" s="176">
        <v>7</v>
      </c>
      <c r="D182" s="176">
        <v>2247</v>
      </c>
      <c r="E182" s="175"/>
      <c r="F182" s="176">
        <v>74468230361662</v>
      </c>
      <c r="G182" s="175" t="s">
        <v>3741</v>
      </c>
      <c r="H182" s="176">
        <v>30608716390</v>
      </c>
      <c r="I182" s="175" t="s">
        <v>3761</v>
      </c>
      <c r="J182" s="176">
        <v>1</v>
      </c>
      <c r="K182" s="175" t="s">
        <v>3742</v>
      </c>
      <c r="L182" s="204">
        <v>18677.689999999999</v>
      </c>
      <c r="M182" s="176">
        <v>0</v>
      </c>
      <c r="N182" s="176">
        <v>0</v>
      </c>
      <c r="O182" s="176">
        <v>0</v>
      </c>
      <c r="P182" s="204">
        <v>3922.31</v>
      </c>
      <c r="Q182" s="176">
        <v>22600</v>
      </c>
    </row>
    <row r="183" spans="1:17">
      <c r="A183" s="175" t="s">
        <v>3881</v>
      </c>
      <c r="B183" s="175" t="s">
        <v>3740</v>
      </c>
      <c r="C183" s="176">
        <v>7</v>
      </c>
      <c r="D183" s="176">
        <v>2257</v>
      </c>
      <c r="E183" s="175"/>
      <c r="F183" s="176">
        <v>74468238446140</v>
      </c>
      <c r="G183" s="175" t="s">
        <v>3741</v>
      </c>
      <c r="H183" s="176">
        <v>30608716390</v>
      </c>
      <c r="I183" s="175" t="s">
        <v>3761</v>
      </c>
      <c r="J183" s="176">
        <v>1</v>
      </c>
      <c r="K183" s="175" t="s">
        <v>3742</v>
      </c>
      <c r="L183" s="204">
        <v>7764.46</v>
      </c>
      <c r="M183" s="176">
        <v>0</v>
      </c>
      <c r="N183" s="176">
        <v>0</v>
      </c>
      <c r="O183" s="176">
        <v>0</v>
      </c>
      <c r="P183" s="204">
        <v>1630.54</v>
      </c>
      <c r="Q183" s="176">
        <v>9395</v>
      </c>
    </row>
    <row r="184" spans="1:17">
      <c r="A184" s="175" t="s">
        <v>3881</v>
      </c>
      <c r="B184" s="175" t="s">
        <v>3740</v>
      </c>
      <c r="C184" s="176">
        <v>7</v>
      </c>
      <c r="D184" s="176">
        <v>2244</v>
      </c>
      <c r="E184" s="175"/>
      <c r="F184" s="176">
        <v>74468227781121</v>
      </c>
      <c r="G184" s="175" t="s">
        <v>3741</v>
      </c>
      <c r="H184" s="176">
        <v>30608716390</v>
      </c>
      <c r="I184" s="175" t="s">
        <v>3761</v>
      </c>
      <c r="J184" s="176">
        <v>1</v>
      </c>
      <c r="K184" s="175" t="s">
        <v>3742</v>
      </c>
      <c r="L184" s="204">
        <v>22413.22</v>
      </c>
      <c r="M184" s="176">
        <v>0</v>
      </c>
      <c r="N184" s="176">
        <v>0</v>
      </c>
      <c r="O184" s="176">
        <v>0</v>
      </c>
      <c r="P184" s="204">
        <v>4706.78</v>
      </c>
      <c r="Q184" s="176">
        <v>27120</v>
      </c>
    </row>
    <row r="185" spans="1:17">
      <c r="A185" s="175" t="s">
        <v>3881</v>
      </c>
      <c r="B185" s="175" t="s">
        <v>3740</v>
      </c>
      <c r="C185" s="176">
        <v>7</v>
      </c>
      <c r="D185" s="176">
        <v>2251</v>
      </c>
      <c r="E185" s="175"/>
      <c r="F185" s="176">
        <v>74468233568645</v>
      </c>
      <c r="G185" s="175" t="s">
        <v>3741</v>
      </c>
      <c r="H185" s="176">
        <v>30608716390</v>
      </c>
      <c r="I185" s="175" t="s">
        <v>3761</v>
      </c>
      <c r="J185" s="176">
        <v>1</v>
      </c>
      <c r="K185" s="175" t="s">
        <v>3742</v>
      </c>
      <c r="L185" s="204">
        <v>15528.93</v>
      </c>
      <c r="M185" s="176">
        <v>0</v>
      </c>
      <c r="N185" s="176">
        <v>0</v>
      </c>
      <c r="O185" s="176">
        <v>0</v>
      </c>
      <c r="P185" s="204">
        <v>3261.08</v>
      </c>
      <c r="Q185" s="204">
        <v>18790.009999999998</v>
      </c>
    </row>
    <row r="186" spans="1:17">
      <c r="A186" s="175" t="s">
        <v>3881</v>
      </c>
      <c r="B186" s="175" t="s">
        <v>3740</v>
      </c>
      <c r="C186" s="176">
        <v>7</v>
      </c>
      <c r="D186" s="176">
        <v>2248</v>
      </c>
      <c r="E186" s="175"/>
      <c r="F186" s="176">
        <v>74468230862406</v>
      </c>
      <c r="G186" s="175" t="s">
        <v>3741</v>
      </c>
      <c r="H186" s="176">
        <v>30608716390</v>
      </c>
      <c r="I186" s="175" t="s">
        <v>3761</v>
      </c>
      <c r="J186" s="176">
        <v>1</v>
      </c>
      <c r="K186" s="175" t="s">
        <v>3742</v>
      </c>
      <c r="L186" s="204">
        <v>37942.15</v>
      </c>
      <c r="M186" s="176">
        <v>0</v>
      </c>
      <c r="N186" s="176">
        <v>0</v>
      </c>
      <c r="O186" s="176">
        <v>0</v>
      </c>
      <c r="P186" s="204">
        <v>7967.85</v>
      </c>
      <c r="Q186" s="176">
        <v>45910</v>
      </c>
    </row>
    <row r="187" spans="1:17">
      <c r="A187" s="175" t="s">
        <v>3881</v>
      </c>
      <c r="B187" s="175" t="s">
        <v>3740</v>
      </c>
      <c r="C187" s="176">
        <v>7</v>
      </c>
      <c r="D187" s="176">
        <v>2258</v>
      </c>
      <c r="E187" s="175"/>
      <c r="F187" s="176">
        <v>74468238994596</v>
      </c>
      <c r="G187" s="175" t="s">
        <v>3741</v>
      </c>
      <c r="H187" s="176">
        <v>30608716390</v>
      </c>
      <c r="I187" s="175" t="s">
        <v>3761</v>
      </c>
      <c r="J187" s="176">
        <v>1</v>
      </c>
      <c r="K187" s="175" t="s">
        <v>3742</v>
      </c>
      <c r="L187" s="204">
        <v>7764.46</v>
      </c>
      <c r="M187" s="176">
        <v>0</v>
      </c>
      <c r="N187" s="176">
        <v>0</v>
      </c>
      <c r="O187" s="176">
        <v>0</v>
      </c>
      <c r="P187" s="204">
        <v>1630.54</v>
      </c>
      <c r="Q187" s="176">
        <v>9395</v>
      </c>
    </row>
    <row r="188" spans="1:17">
      <c r="A188" s="175" t="s">
        <v>3881</v>
      </c>
      <c r="B188" s="175" t="s">
        <v>3740</v>
      </c>
      <c r="C188" s="176">
        <v>7</v>
      </c>
      <c r="D188" s="176">
        <v>2254</v>
      </c>
      <c r="E188" s="175"/>
      <c r="F188" s="176">
        <v>74468236406939</v>
      </c>
      <c r="G188" s="175" t="s">
        <v>3741</v>
      </c>
      <c r="H188" s="176">
        <v>30608716390</v>
      </c>
      <c r="I188" s="175" t="s">
        <v>3761</v>
      </c>
      <c r="J188" s="176">
        <v>1</v>
      </c>
      <c r="K188" s="175" t="s">
        <v>3742</v>
      </c>
      <c r="L188" s="204">
        <v>15528.93</v>
      </c>
      <c r="M188" s="176">
        <v>0</v>
      </c>
      <c r="N188" s="176">
        <v>0</v>
      </c>
      <c r="O188" s="176">
        <v>0</v>
      </c>
      <c r="P188" s="204">
        <v>3261.08</v>
      </c>
      <c r="Q188" s="204">
        <v>18790.009999999998</v>
      </c>
    </row>
    <row r="189" spans="1:17">
      <c r="A189" s="175" t="s">
        <v>3881</v>
      </c>
      <c r="B189" s="175" t="s">
        <v>3740</v>
      </c>
      <c r="C189" s="176">
        <v>7</v>
      </c>
      <c r="D189" s="176">
        <v>2259</v>
      </c>
      <c r="E189" s="175"/>
      <c r="F189" s="176">
        <v>74468239441785</v>
      </c>
      <c r="G189" s="175" t="s">
        <v>3741</v>
      </c>
      <c r="H189" s="176">
        <v>30608716390</v>
      </c>
      <c r="I189" s="175" t="s">
        <v>3761</v>
      </c>
      <c r="J189" s="176">
        <v>1</v>
      </c>
      <c r="K189" s="175" t="s">
        <v>3742</v>
      </c>
      <c r="L189" s="204">
        <v>6611.57</v>
      </c>
      <c r="M189" s="176">
        <v>0</v>
      </c>
      <c r="N189" s="176">
        <v>0</v>
      </c>
      <c r="O189" s="176">
        <v>0</v>
      </c>
      <c r="P189" s="204">
        <v>1388.43</v>
      </c>
      <c r="Q189" s="176">
        <v>8000</v>
      </c>
    </row>
    <row r="190" spans="1:17">
      <c r="A190" s="175" t="s">
        <v>3881</v>
      </c>
      <c r="B190" s="175" t="s">
        <v>3740</v>
      </c>
      <c r="C190" s="176">
        <v>7</v>
      </c>
      <c r="D190" s="176">
        <v>2255</v>
      </c>
      <c r="E190" s="175"/>
      <c r="F190" s="176">
        <v>74468237053730</v>
      </c>
      <c r="G190" s="175" t="s">
        <v>3741</v>
      </c>
      <c r="H190" s="176">
        <v>30608716390</v>
      </c>
      <c r="I190" s="175" t="s">
        <v>3761</v>
      </c>
      <c r="J190" s="176">
        <v>1</v>
      </c>
      <c r="K190" s="175" t="s">
        <v>3742</v>
      </c>
      <c r="L190" s="204">
        <v>15528.93</v>
      </c>
      <c r="M190" s="176">
        <v>0</v>
      </c>
      <c r="N190" s="176">
        <v>0</v>
      </c>
      <c r="O190" s="176">
        <v>0</v>
      </c>
      <c r="P190" s="204">
        <v>3261.08</v>
      </c>
      <c r="Q190" s="204">
        <v>18790.009999999998</v>
      </c>
    </row>
    <row r="191" spans="1:17">
      <c r="A191" s="175" t="s">
        <v>3881</v>
      </c>
      <c r="B191" s="175" t="s">
        <v>3740</v>
      </c>
      <c r="C191" s="176">
        <v>7</v>
      </c>
      <c r="D191" s="176">
        <v>2245</v>
      </c>
      <c r="E191" s="175"/>
      <c r="F191" s="176">
        <v>74468229040841</v>
      </c>
      <c r="G191" s="175" t="s">
        <v>3741</v>
      </c>
      <c r="H191" s="176">
        <v>30608716390</v>
      </c>
      <c r="I191" s="175" t="s">
        <v>3761</v>
      </c>
      <c r="J191" s="176">
        <v>1</v>
      </c>
      <c r="K191" s="175" t="s">
        <v>3742</v>
      </c>
      <c r="L191" s="204">
        <v>37942.15</v>
      </c>
      <c r="M191" s="176">
        <v>0</v>
      </c>
      <c r="N191" s="176">
        <v>0</v>
      </c>
      <c r="O191" s="176">
        <v>0</v>
      </c>
      <c r="P191" s="204">
        <v>7967.85</v>
      </c>
      <c r="Q191" s="176">
        <v>45910</v>
      </c>
    </row>
    <row r="192" spans="1:17">
      <c r="A192" s="175" t="s">
        <v>3881</v>
      </c>
      <c r="B192" s="175" t="s">
        <v>3740</v>
      </c>
      <c r="C192" s="176">
        <v>7</v>
      </c>
      <c r="D192" s="176">
        <v>2249</v>
      </c>
      <c r="E192" s="175"/>
      <c r="F192" s="176">
        <v>74468231818673</v>
      </c>
      <c r="G192" s="175" t="s">
        <v>3741</v>
      </c>
      <c r="H192" s="176">
        <v>30608716390</v>
      </c>
      <c r="I192" s="175" t="s">
        <v>3761</v>
      </c>
      <c r="J192" s="176">
        <v>1</v>
      </c>
      <c r="K192" s="175" t="s">
        <v>3742</v>
      </c>
      <c r="L192" s="204">
        <v>13223.14</v>
      </c>
      <c r="M192" s="176">
        <v>0</v>
      </c>
      <c r="N192" s="176">
        <v>0</v>
      </c>
      <c r="O192" s="176">
        <v>0</v>
      </c>
      <c r="P192" s="204">
        <v>2776.86</v>
      </c>
      <c r="Q192" s="176">
        <v>16000</v>
      </c>
    </row>
    <row r="193" spans="1:17">
      <c r="A193" s="175" t="s">
        <v>3881</v>
      </c>
      <c r="B193" s="175" t="s">
        <v>3740</v>
      </c>
      <c r="C193" s="176">
        <v>7</v>
      </c>
      <c r="D193" s="176">
        <v>2256</v>
      </c>
      <c r="E193" s="175"/>
      <c r="F193" s="176">
        <v>74468237489474</v>
      </c>
      <c r="G193" s="175" t="s">
        <v>3741</v>
      </c>
      <c r="H193" s="176">
        <v>30608716390</v>
      </c>
      <c r="I193" s="175" t="s">
        <v>3761</v>
      </c>
      <c r="J193" s="176">
        <v>1</v>
      </c>
      <c r="K193" s="175" t="s">
        <v>3742</v>
      </c>
      <c r="L193" s="204">
        <v>15528.93</v>
      </c>
      <c r="M193" s="176">
        <v>0</v>
      </c>
      <c r="N193" s="176">
        <v>0</v>
      </c>
      <c r="O193" s="176">
        <v>0</v>
      </c>
      <c r="P193" s="204">
        <v>3261.08</v>
      </c>
      <c r="Q193" s="204">
        <v>18790.009999999998</v>
      </c>
    </row>
    <row r="194" spans="1:17">
      <c r="A194" s="175" t="s">
        <v>3881</v>
      </c>
      <c r="B194" s="175" t="s">
        <v>3740</v>
      </c>
      <c r="C194" s="176">
        <v>7</v>
      </c>
      <c r="D194" s="176">
        <v>2252</v>
      </c>
      <c r="E194" s="175"/>
      <c r="F194" s="176">
        <v>74468234835174</v>
      </c>
      <c r="G194" s="175" t="s">
        <v>3741</v>
      </c>
      <c r="H194" s="176">
        <v>30608716390</v>
      </c>
      <c r="I194" s="175" t="s">
        <v>3761</v>
      </c>
      <c r="J194" s="176">
        <v>1</v>
      </c>
      <c r="K194" s="175" t="s">
        <v>3742</v>
      </c>
      <c r="L194" s="204">
        <v>15528.93</v>
      </c>
      <c r="M194" s="176">
        <v>0</v>
      </c>
      <c r="N194" s="176">
        <v>0</v>
      </c>
      <c r="O194" s="176">
        <v>0</v>
      </c>
      <c r="P194" s="204">
        <v>3261.08</v>
      </c>
      <c r="Q194" s="204">
        <v>18790.009999999998</v>
      </c>
    </row>
    <row r="195" spans="1:17">
      <c r="A195" s="175" t="s">
        <v>3881</v>
      </c>
      <c r="B195" s="175" t="s">
        <v>3740</v>
      </c>
      <c r="C195" s="176">
        <v>7</v>
      </c>
      <c r="D195" s="176">
        <v>2243</v>
      </c>
      <c r="E195" s="175"/>
      <c r="F195" s="176">
        <v>74468226914697</v>
      </c>
      <c r="G195" s="175" t="s">
        <v>3741</v>
      </c>
      <c r="H195" s="176">
        <v>30608716390</v>
      </c>
      <c r="I195" s="175" t="s">
        <v>3761</v>
      </c>
      <c r="J195" s="176">
        <v>1</v>
      </c>
      <c r="K195" s="175" t="s">
        <v>3742</v>
      </c>
      <c r="L195" s="204">
        <v>15528.93</v>
      </c>
      <c r="M195" s="176">
        <v>0</v>
      </c>
      <c r="N195" s="176">
        <v>0</v>
      </c>
      <c r="O195" s="176">
        <v>0</v>
      </c>
      <c r="P195" s="204">
        <v>3261.08</v>
      </c>
      <c r="Q195" s="204">
        <v>18790.009999999998</v>
      </c>
    </row>
    <row r="196" spans="1:17">
      <c r="A196" s="175" t="s">
        <v>3881</v>
      </c>
      <c r="B196" s="175" t="s">
        <v>3740</v>
      </c>
      <c r="C196" s="176">
        <v>7</v>
      </c>
      <c r="D196" s="176">
        <v>2260</v>
      </c>
      <c r="E196" s="175"/>
      <c r="F196" s="176">
        <v>74468240233566</v>
      </c>
      <c r="G196" s="175" t="s">
        <v>3741</v>
      </c>
      <c r="H196" s="176">
        <v>30608716390</v>
      </c>
      <c r="I196" s="175" t="s">
        <v>3761</v>
      </c>
      <c r="J196" s="176">
        <v>1</v>
      </c>
      <c r="K196" s="175" t="s">
        <v>3742</v>
      </c>
      <c r="L196" s="204">
        <v>7764.46</v>
      </c>
      <c r="M196" s="176">
        <v>0</v>
      </c>
      <c r="N196" s="176">
        <v>0</v>
      </c>
      <c r="O196" s="176">
        <v>0</v>
      </c>
      <c r="P196" s="204">
        <v>1630.54</v>
      </c>
      <c r="Q196" s="176">
        <v>9395</v>
      </c>
    </row>
    <row r="197" spans="1:17">
      <c r="A197" s="175" t="s">
        <v>3881</v>
      </c>
      <c r="B197" s="175" t="s">
        <v>3740</v>
      </c>
      <c r="C197" s="176">
        <v>7</v>
      </c>
      <c r="D197" s="176">
        <v>2246</v>
      </c>
      <c r="E197" s="175"/>
      <c r="F197" s="176">
        <v>74468229523725</v>
      </c>
      <c r="G197" s="175" t="s">
        <v>3741</v>
      </c>
      <c r="H197" s="176">
        <v>30608716390</v>
      </c>
      <c r="I197" s="175" t="s">
        <v>3761</v>
      </c>
      <c r="J197" s="176">
        <v>1</v>
      </c>
      <c r="K197" s="175" t="s">
        <v>3742</v>
      </c>
      <c r="L197" s="204">
        <v>51933.88</v>
      </c>
      <c r="M197" s="176">
        <v>0</v>
      </c>
      <c r="N197" s="176">
        <v>0</v>
      </c>
      <c r="O197" s="176">
        <v>0</v>
      </c>
      <c r="P197" s="204">
        <v>10906.11</v>
      </c>
      <c r="Q197" s="204">
        <v>62839.99</v>
      </c>
    </row>
    <row r="198" spans="1:17">
      <c r="A198" s="175" t="s">
        <v>3884</v>
      </c>
      <c r="B198" s="175" t="s">
        <v>3740</v>
      </c>
      <c r="C198" s="176">
        <v>7</v>
      </c>
      <c r="D198" s="176">
        <v>2262</v>
      </c>
      <c r="E198" s="175"/>
      <c r="F198" s="176">
        <v>74468376773042</v>
      </c>
      <c r="G198" s="175" t="s">
        <v>3741</v>
      </c>
      <c r="H198" s="176">
        <v>30604958640</v>
      </c>
      <c r="I198" s="175" t="s">
        <v>3778</v>
      </c>
      <c r="J198" s="176">
        <v>1</v>
      </c>
      <c r="K198" s="175" t="s">
        <v>3742</v>
      </c>
      <c r="L198" s="204">
        <v>383346.15</v>
      </c>
      <c r="M198" s="176">
        <v>0</v>
      </c>
      <c r="N198" s="176">
        <v>0</v>
      </c>
      <c r="O198" s="176">
        <v>0</v>
      </c>
      <c r="P198" s="204">
        <v>80502.69</v>
      </c>
      <c r="Q198" s="204">
        <v>463848.84</v>
      </c>
    </row>
    <row r="199" spans="1:17">
      <c r="A199" s="175" t="s">
        <v>3884</v>
      </c>
      <c r="B199" s="175" t="s">
        <v>3740</v>
      </c>
      <c r="C199" s="176">
        <v>7</v>
      </c>
      <c r="D199" s="176">
        <v>2261</v>
      </c>
      <c r="E199" s="175"/>
      <c r="F199" s="176">
        <v>74468332598176</v>
      </c>
      <c r="G199" s="175" t="s">
        <v>3741</v>
      </c>
      <c r="H199" s="176">
        <v>27182477368</v>
      </c>
      <c r="I199" s="175" t="s">
        <v>3905</v>
      </c>
      <c r="J199" s="176">
        <v>1</v>
      </c>
      <c r="K199" s="175" t="s">
        <v>3742</v>
      </c>
      <c r="L199" s="204">
        <v>19834.71</v>
      </c>
      <c r="M199" s="176">
        <v>0</v>
      </c>
      <c r="N199" s="176">
        <v>0</v>
      </c>
      <c r="O199" s="176">
        <v>0</v>
      </c>
      <c r="P199" s="204">
        <v>4165.29</v>
      </c>
      <c r="Q199" s="176">
        <v>24000</v>
      </c>
    </row>
    <row r="200" spans="1:17">
      <c r="A200" s="175" t="s">
        <v>3867</v>
      </c>
      <c r="B200" s="175" t="s">
        <v>3740</v>
      </c>
      <c r="C200" s="176">
        <v>7</v>
      </c>
      <c r="D200" s="176">
        <v>2264</v>
      </c>
      <c r="E200" s="175"/>
      <c r="F200" s="176">
        <v>74478888429453</v>
      </c>
      <c r="G200" s="175" t="s">
        <v>3741</v>
      </c>
      <c r="H200" s="176">
        <v>30546771314</v>
      </c>
      <c r="I200" s="175" t="s">
        <v>3762</v>
      </c>
      <c r="J200" s="176">
        <v>1</v>
      </c>
      <c r="K200" s="175" t="s">
        <v>3742</v>
      </c>
      <c r="L200" s="204">
        <v>991735.54</v>
      </c>
      <c r="M200" s="176">
        <v>0</v>
      </c>
      <c r="N200" s="176">
        <v>0</v>
      </c>
      <c r="O200" s="176">
        <v>0</v>
      </c>
      <c r="P200" s="204">
        <v>208264.46</v>
      </c>
      <c r="Q200" s="176">
        <v>1200000</v>
      </c>
    </row>
    <row r="201" spans="1:17">
      <c r="A201" s="175" t="s">
        <v>3867</v>
      </c>
      <c r="B201" s="175" t="s">
        <v>3740</v>
      </c>
      <c r="C201" s="176">
        <v>7</v>
      </c>
      <c r="D201" s="176">
        <v>2265</v>
      </c>
      <c r="E201" s="175"/>
      <c r="F201" s="176">
        <v>74478891206364</v>
      </c>
      <c r="G201" s="175" t="s">
        <v>3741</v>
      </c>
      <c r="H201" s="176">
        <v>30546771314</v>
      </c>
      <c r="I201" s="175" t="s">
        <v>3762</v>
      </c>
      <c r="J201" s="176">
        <v>1</v>
      </c>
      <c r="K201" s="175" t="s">
        <v>3742</v>
      </c>
      <c r="L201" s="204">
        <v>114462.81</v>
      </c>
      <c r="M201" s="176">
        <v>0</v>
      </c>
      <c r="N201" s="176">
        <v>0</v>
      </c>
      <c r="O201" s="176">
        <v>0</v>
      </c>
      <c r="P201" s="204">
        <v>24037.19</v>
      </c>
      <c r="Q201" s="176">
        <v>138500</v>
      </c>
    </row>
    <row r="202" spans="1:17">
      <c r="A202" s="175" t="s">
        <v>3867</v>
      </c>
      <c r="B202" s="175" t="s">
        <v>3740</v>
      </c>
      <c r="C202" s="176">
        <v>7</v>
      </c>
      <c r="D202" s="176">
        <v>2263</v>
      </c>
      <c r="E202" s="175"/>
      <c r="F202" s="176">
        <v>74478883814518</v>
      </c>
      <c r="G202" s="175" t="s">
        <v>3741</v>
      </c>
      <c r="H202" s="176">
        <v>30590412631</v>
      </c>
      <c r="I202" s="175" t="s">
        <v>3755</v>
      </c>
      <c r="J202" s="176">
        <v>1</v>
      </c>
      <c r="K202" s="175" t="s">
        <v>3742</v>
      </c>
      <c r="L202" s="204">
        <v>28925.62</v>
      </c>
      <c r="M202" s="176">
        <v>0</v>
      </c>
      <c r="N202" s="176">
        <v>0</v>
      </c>
      <c r="O202" s="176">
        <v>0</v>
      </c>
      <c r="P202" s="204">
        <v>6074.38</v>
      </c>
      <c r="Q202" s="176">
        <v>35000</v>
      </c>
    </row>
    <row r="203" spans="1:17">
      <c r="A203" s="175" t="s">
        <v>3867</v>
      </c>
      <c r="B203" s="175" t="s">
        <v>3740</v>
      </c>
      <c r="C203" s="176">
        <v>7</v>
      </c>
      <c r="D203" s="176">
        <v>2266</v>
      </c>
      <c r="E203" s="175"/>
      <c r="F203" s="176">
        <v>74478894550778</v>
      </c>
      <c r="G203" s="175" t="s">
        <v>3741</v>
      </c>
      <c r="H203" s="176">
        <v>30546771314</v>
      </c>
      <c r="I203" s="175" t="s">
        <v>3762</v>
      </c>
      <c r="J203" s="176">
        <v>1</v>
      </c>
      <c r="K203" s="175" t="s">
        <v>3742</v>
      </c>
      <c r="L203" s="204">
        <v>462809.92</v>
      </c>
      <c r="M203" s="176">
        <v>0</v>
      </c>
      <c r="N203" s="176">
        <v>0</v>
      </c>
      <c r="O203" s="176">
        <v>0</v>
      </c>
      <c r="P203" s="204">
        <v>97190.080000000002</v>
      </c>
      <c r="Q203" s="176">
        <v>560000</v>
      </c>
    </row>
    <row r="204" spans="1:17">
      <c r="A204" s="175" t="s">
        <v>3867</v>
      </c>
      <c r="B204" s="175" t="s">
        <v>3740</v>
      </c>
      <c r="C204" s="176">
        <v>7</v>
      </c>
      <c r="D204" s="176">
        <v>2267</v>
      </c>
      <c r="E204" s="175"/>
      <c r="F204" s="176">
        <v>74478895061998</v>
      </c>
      <c r="G204" s="175" t="s">
        <v>3741</v>
      </c>
      <c r="H204" s="176">
        <v>30546771314</v>
      </c>
      <c r="I204" s="175" t="s">
        <v>3762</v>
      </c>
      <c r="J204" s="176">
        <v>1</v>
      </c>
      <c r="K204" s="175" t="s">
        <v>3742</v>
      </c>
      <c r="L204" s="204">
        <v>59504.13</v>
      </c>
      <c r="M204" s="176">
        <v>0</v>
      </c>
      <c r="N204" s="176">
        <v>0</v>
      </c>
      <c r="O204" s="176">
        <v>0</v>
      </c>
      <c r="P204" s="204">
        <v>12495.87</v>
      </c>
      <c r="Q204" s="176">
        <v>72000</v>
      </c>
    </row>
    <row r="205" spans="1:17">
      <c r="A205" s="175" t="s">
        <v>3863</v>
      </c>
      <c r="B205" s="175" t="s">
        <v>3740</v>
      </c>
      <c r="C205" s="176">
        <v>7</v>
      </c>
      <c r="D205" s="176">
        <v>2268</v>
      </c>
      <c r="E205" s="175"/>
      <c r="F205" s="176">
        <v>74478151786027</v>
      </c>
      <c r="G205" s="175" t="s">
        <v>3741</v>
      </c>
      <c r="H205" s="176">
        <v>30608716390</v>
      </c>
      <c r="I205" s="175" t="s">
        <v>3761</v>
      </c>
      <c r="J205" s="176">
        <v>1</v>
      </c>
      <c r="K205" s="175" t="s">
        <v>3742</v>
      </c>
      <c r="L205" s="204">
        <v>7764.46</v>
      </c>
      <c r="M205" s="176">
        <v>0</v>
      </c>
      <c r="N205" s="176">
        <v>0</v>
      </c>
      <c r="O205" s="176">
        <v>0</v>
      </c>
      <c r="P205" s="204">
        <v>1630.54</v>
      </c>
      <c r="Q205" s="176">
        <v>9395</v>
      </c>
    </row>
    <row r="206" spans="1:17">
      <c r="A206" s="175" t="s">
        <v>3861</v>
      </c>
      <c r="B206" s="175" t="s">
        <v>3740</v>
      </c>
      <c r="C206" s="176">
        <v>7</v>
      </c>
      <c r="D206" s="176">
        <v>2270</v>
      </c>
      <c r="E206" s="175"/>
      <c r="F206" s="176">
        <v>74488439317548</v>
      </c>
      <c r="G206" s="175" t="s">
        <v>3741</v>
      </c>
      <c r="H206" s="176">
        <v>30608716390</v>
      </c>
      <c r="I206" s="175" t="s">
        <v>3761</v>
      </c>
      <c r="J206" s="176">
        <v>1</v>
      </c>
      <c r="K206" s="175" t="s">
        <v>3742</v>
      </c>
      <c r="L206" s="204">
        <v>15528.93</v>
      </c>
      <c r="M206" s="176">
        <v>0</v>
      </c>
      <c r="N206" s="176">
        <v>0</v>
      </c>
      <c r="O206" s="176">
        <v>0</v>
      </c>
      <c r="P206" s="204">
        <v>3261.07</v>
      </c>
      <c r="Q206" s="176">
        <v>18790</v>
      </c>
    </row>
    <row r="207" spans="1:17">
      <c r="A207" s="175" t="s">
        <v>3861</v>
      </c>
      <c r="B207" s="175" t="s">
        <v>3740</v>
      </c>
      <c r="C207" s="176">
        <v>7</v>
      </c>
      <c r="D207" s="176">
        <v>2269</v>
      </c>
      <c r="E207" s="175"/>
      <c r="F207" s="176">
        <v>74488437367884</v>
      </c>
      <c r="G207" s="175" t="s">
        <v>3741</v>
      </c>
      <c r="H207" s="176">
        <v>30608716390</v>
      </c>
      <c r="I207" s="175" t="s">
        <v>3761</v>
      </c>
      <c r="J207" s="176">
        <v>1</v>
      </c>
      <c r="K207" s="175" t="s">
        <v>3742</v>
      </c>
      <c r="L207" s="204">
        <v>10870.25</v>
      </c>
      <c r="M207" s="176">
        <v>0</v>
      </c>
      <c r="N207" s="176">
        <v>0</v>
      </c>
      <c r="O207" s="176">
        <v>0</v>
      </c>
      <c r="P207" s="204">
        <v>2282.75</v>
      </c>
      <c r="Q207" s="176">
        <v>13153</v>
      </c>
    </row>
    <row r="208" spans="1:17">
      <c r="A208" s="175" t="s">
        <v>3899</v>
      </c>
      <c r="B208" s="175" t="s">
        <v>3740</v>
      </c>
      <c r="C208" s="176">
        <v>7</v>
      </c>
      <c r="D208" s="176">
        <v>2275</v>
      </c>
      <c r="E208" s="175"/>
      <c r="F208" s="176">
        <v>74488587393812</v>
      </c>
      <c r="G208" s="175" t="s">
        <v>3741</v>
      </c>
      <c r="H208" s="176">
        <v>30546771314</v>
      </c>
      <c r="I208" s="175" t="s">
        <v>3762</v>
      </c>
      <c r="J208" s="176">
        <v>1</v>
      </c>
      <c r="K208" s="175" t="s">
        <v>3742</v>
      </c>
      <c r="L208" s="175">
        <v>898884.3</v>
      </c>
      <c r="M208" s="176">
        <v>0</v>
      </c>
      <c r="N208" s="176">
        <v>0</v>
      </c>
      <c r="O208" s="176">
        <v>0</v>
      </c>
      <c r="P208" s="175">
        <v>188765.7</v>
      </c>
      <c r="Q208" s="176">
        <v>1087650</v>
      </c>
    </row>
    <row r="209" spans="1:17">
      <c r="A209" s="175" t="s">
        <v>3899</v>
      </c>
      <c r="B209" s="175" t="s">
        <v>3740</v>
      </c>
      <c r="C209" s="176">
        <v>7</v>
      </c>
      <c r="D209" s="176">
        <v>2272</v>
      </c>
      <c r="E209" s="175"/>
      <c r="F209" s="176">
        <v>74488579474824</v>
      </c>
      <c r="G209" s="175" t="s">
        <v>3741</v>
      </c>
      <c r="H209" s="176">
        <v>30707612971</v>
      </c>
      <c r="I209" s="175" t="s">
        <v>3771</v>
      </c>
      <c r="J209" s="176">
        <v>1</v>
      </c>
      <c r="K209" s="175" t="s">
        <v>3742</v>
      </c>
      <c r="L209" s="204">
        <v>53504.13</v>
      </c>
      <c r="M209" s="176">
        <v>0</v>
      </c>
      <c r="N209" s="176">
        <v>0</v>
      </c>
      <c r="O209" s="176">
        <v>0</v>
      </c>
      <c r="P209" s="204">
        <v>11235.87</v>
      </c>
      <c r="Q209" s="176">
        <v>64740</v>
      </c>
    </row>
    <row r="210" spans="1:17">
      <c r="A210" s="175" t="s">
        <v>3899</v>
      </c>
      <c r="B210" s="175" t="s">
        <v>3740</v>
      </c>
      <c r="C210" s="176">
        <v>7</v>
      </c>
      <c r="D210" s="176">
        <v>2274</v>
      </c>
      <c r="E210" s="175"/>
      <c r="F210" s="176">
        <v>74488585529487</v>
      </c>
      <c r="G210" s="175" t="s">
        <v>3741</v>
      </c>
      <c r="H210" s="176">
        <v>30712529721</v>
      </c>
      <c r="I210" s="175" t="s">
        <v>3906</v>
      </c>
      <c r="J210" s="176">
        <v>1</v>
      </c>
      <c r="K210" s="175" t="s">
        <v>3742</v>
      </c>
      <c r="L210" s="204">
        <v>46148.76</v>
      </c>
      <c r="M210" s="176">
        <v>0</v>
      </c>
      <c r="N210" s="176">
        <v>0</v>
      </c>
      <c r="O210" s="176">
        <v>0</v>
      </c>
      <c r="P210" s="204">
        <v>9691.24</v>
      </c>
      <c r="Q210" s="176">
        <v>55840</v>
      </c>
    </row>
    <row r="211" spans="1:17">
      <c r="A211" s="175" t="s">
        <v>3899</v>
      </c>
      <c r="B211" s="175" t="s">
        <v>3740</v>
      </c>
      <c r="C211" s="176">
        <v>7</v>
      </c>
      <c r="D211" s="176">
        <v>2273</v>
      </c>
      <c r="E211" s="175"/>
      <c r="F211" s="176">
        <v>74488580354199</v>
      </c>
      <c r="G211" s="175" t="s">
        <v>3741</v>
      </c>
      <c r="H211" s="176">
        <v>30606274161</v>
      </c>
      <c r="I211" s="175" t="s">
        <v>3903</v>
      </c>
      <c r="J211" s="176">
        <v>1</v>
      </c>
      <c r="K211" s="175" t="s">
        <v>3742</v>
      </c>
      <c r="L211" s="204">
        <v>301603.31</v>
      </c>
      <c r="M211" s="176">
        <v>0</v>
      </c>
      <c r="N211" s="176">
        <v>0</v>
      </c>
      <c r="O211" s="176">
        <v>0</v>
      </c>
      <c r="P211" s="204">
        <v>63336.69</v>
      </c>
      <c r="Q211" s="176">
        <v>364940</v>
      </c>
    </row>
    <row r="212" spans="1:17">
      <c r="A212" s="175" t="s">
        <v>3899</v>
      </c>
      <c r="B212" s="175" t="s">
        <v>3740</v>
      </c>
      <c r="C212" s="176">
        <v>7</v>
      </c>
      <c r="D212" s="176">
        <v>2271</v>
      </c>
      <c r="E212" s="175"/>
      <c r="F212" s="176">
        <v>74488578182878</v>
      </c>
      <c r="G212" s="175" t="s">
        <v>3741</v>
      </c>
      <c r="H212" s="176">
        <v>30712136754</v>
      </c>
      <c r="I212" s="175" t="s">
        <v>1981</v>
      </c>
      <c r="J212" s="176">
        <v>1</v>
      </c>
      <c r="K212" s="175" t="s">
        <v>3742</v>
      </c>
      <c r="L212" s="204">
        <v>53504.13</v>
      </c>
      <c r="M212" s="176">
        <v>0</v>
      </c>
      <c r="N212" s="176">
        <v>0</v>
      </c>
      <c r="O212" s="176">
        <v>0</v>
      </c>
      <c r="P212" s="204">
        <v>11235.87</v>
      </c>
      <c r="Q212" s="176">
        <v>64740</v>
      </c>
    </row>
    <row r="213" spans="1:17">
      <c r="A213" s="175" t="s">
        <v>3895</v>
      </c>
      <c r="B213" s="175" t="s">
        <v>3740</v>
      </c>
      <c r="C213" s="176">
        <v>7</v>
      </c>
      <c r="D213" s="176">
        <v>2276</v>
      </c>
      <c r="E213" s="175"/>
      <c r="F213" s="176">
        <v>74488725641451</v>
      </c>
      <c r="G213" s="175" t="s">
        <v>3741</v>
      </c>
      <c r="H213" s="176">
        <v>30546771314</v>
      </c>
      <c r="I213" s="175" t="s">
        <v>3762</v>
      </c>
      <c r="J213" s="176">
        <v>1</v>
      </c>
      <c r="K213" s="175" t="s">
        <v>3742</v>
      </c>
      <c r="L213" s="175">
        <v>321487.59999999998</v>
      </c>
      <c r="M213" s="176">
        <v>0</v>
      </c>
      <c r="N213" s="176">
        <v>0</v>
      </c>
      <c r="O213" s="176">
        <v>0</v>
      </c>
      <c r="P213" s="175">
        <v>67512.399999999994</v>
      </c>
      <c r="Q213" s="176">
        <v>389000</v>
      </c>
    </row>
    <row r="214" spans="1:17">
      <c r="A214" s="175" t="s">
        <v>3901</v>
      </c>
      <c r="B214" s="175" t="s">
        <v>3740</v>
      </c>
      <c r="C214" s="176">
        <v>7</v>
      </c>
      <c r="D214" s="176">
        <v>2277</v>
      </c>
      <c r="E214" s="175"/>
      <c r="F214" s="176">
        <v>74488798321708</v>
      </c>
      <c r="G214" s="175" t="s">
        <v>3741</v>
      </c>
      <c r="H214" s="176">
        <v>30590412631</v>
      </c>
      <c r="I214" s="175" t="s">
        <v>3755</v>
      </c>
      <c r="J214" s="176">
        <v>1</v>
      </c>
      <c r="K214" s="175" t="s">
        <v>3742</v>
      </c>
      <c r="L214" s="175">
        <v>244628.1</v>
      </c>
      <c r="M214" s="176">
        <v>0</v>
      </c>
      <c r="N214" s="176">
        <v>0</v>
      </c>
      <c r="O214" s="176">
        <v>0</v>
      </c>
      <c r="P214" s="175">
        <v>51371.9</v>
      </c>
      <c r="Q214" s="176">
        <v>296000</v>
      </c>
    </row>
    <row r="215" spans="1:17">
      <c r="A215" s="175" t="s">
        <v>3901</v>
      </c>
      <c r="B215" s="175" t="s">
        <v>3740</v>
      </c>
      <c r="C215" s="176">
        <v>7</v>
      </c>
      <c r="D215" s="176">
        <v>2279</v>
      </c>
      <c r="E215" s="175"/>
      <c r="F215" s="176">
        <v>74488805194526</v>
      </c>
      <c r="G215" s="175" t="s">
        <v>3741</v>
      </c>
      <c r="H215" s="176">
        <v>30683032227</v>
      </c>
      <c r="I215" s="175" t="s">
        <v>3759</v>
      </c>
      <c r="J215" s="176">
        <v>1</v>
      </c>
      <c r="K215" s="175" t="s">
        <v>3742</v>
      </c>
      <c r="L215" s="204">
        <v>62809.919999999998</v>
      </c>
      <c r="M215" s="176">
        <v>0</v>
      </c>
      <c r="N215" s="176">
        <v>0</v>
      </c>
      <c r="O215" s="176">
        <v>0</v>
      </c>
      <c r="P215" s="204">
        <v>13190.08</v>
      </c>
      <c r="Q215" s="176">
        <v>76000</v>
      </c>
    </row>
    <row r="216" spans="1:17">
      <c r="A216" s="175" t="s">
        <v>3901</v>
      </c>
      <c r="B216" s="175" t="s">
        <v>3740</v>
      </c>
      <c r="C216" s="176">
        <v>7</v>
      </c>
      <c r="D216" s="176">
        <v>2278</v>
      </c>
      <c r="E216" s="175"/>
      <c r="F216" s="176">
        <v>74488802717147</v>
      </c>
      <c r="G216" s="175" t="s">
        <v>3741</v>
      </c>
      <c r="H216" s="176">
        <v>30608716390</v>
      </c>
      <c r="I216" s="175" t="s">
        <v>3761</v>
      </c>
      <c r="J216" s="176">
        <v>1</v>
      </c>
      <c r="K216" s="175" t="s">
        <v>3742</v>
      </c>
      <c r="L216" s="204">
        <v>17503.310000000001</v>
      </c>
      <c r="M216" s="176">
        <v>0</v>
      </c>
      <c r="N216" s="176">
        <v>0</v>
      </c>
      <c r="O216" s="176">
        <v>0</v>
      </c>
      <c r="P216" s="204">
        <v>3675.69</v>
      </c>
      <c r="Q216" s="176">
        <v>21179</v>
      </c>
    </row>
    <row r="217" spans="1:17">
      <c r="A217" s="175" t="s">
        <v>3902</v>
      </c>
      <c r="B217" s="175" t="s">
        <v>3740</v>
      </c>
      <c r="C217" s="176">
        <v>7</v>
      </c>
      <c r="D217" s="176">
        <v>2281</v>
      </c>
      <c r="E217" s="175"/>
      <c r="F217" s="176">
        <v>74488976094951</v>
      </c>
      <c r="G217" s="175" t="s">
        <v>3741</v>
      </c>
      <c r="H217" s="176">
        <v>30522428163</v>
      </c>
      <c r="I217" s="175" t="s">
        <v>2712</v>
      </c>
      <c r="J217" s="176">
        <v>1</v>
      </c>
      <c r="K217" s="175" t="s">
        <v>3742</v>
      </c>
      <c r="L217" s="204">
        <v>103305.79</v>
      </c>
      <c r="M217" s="176">
        <v>0</v>
      </c>
      <c r="N217" s="176">
        <v>0</v>
      </c>
      <c r="O217" s="176">
        <v>0</v>
      </c>
      <c r="P217" s="204">
        <v>21694.21</v>
      </c>
      <c r="Q217" s="176">
        <v>125000</v>
      </c>
    </row>
    <row r="218" spans="1:17">
      <c r="A218" s="175" t="s">
        <v>3902</v>
      </c>
      <c r="B218" s="175" t="s">
        <v>3740</v>
      </c>
      <c r="C218" s="176">
        <v>7</v>
      </c>
      <c r="D218" s="176">
        <v>2280</v>
      </c>
      <c r="E218" s="175"/>
      <c r="F218" s="176">
        <v>74488965594439</v>
      </c>
      <c r="G218" s="175" t="s">
        <v>3741</v>
      </c>
      <c r="H218" s="176">
        <v>30606274161</v>
      </c>
      <c r="I218" s="175" t="s">
        <v>3903</v>
      </c>
      <c r="J218" s="176">
        <v>1</v>
      </c>
      <c r="K218" s="175" t="s">
        <v>3742</v>
      </c>
      <c r="L218" s="204">
        <v>70247.929999999993</v>
      </c>
      <c r="M218" s="176">
        <v>0</v>
      </c>
      <c r="N218" s="176">
        <v>0</v>
      </c>
      <c r="O218" s="176">
        <v>0</v>
      </c>
      <c r="P218" s="204">
        <v>14752.07</v>
      </c>
      <c r="Q218" s="176">
        <v>85000</v>
      </c>
    </row>
    <row r="219" spans="1:17">
      <c r="A219" s="175" t="s">
        <v>3879</v>
      </c>
      <c r="B219" s="175" t="s">
        <v>3743</v>
      </c>
      <c r="C219" s="176">
        <v>7</v>
      </c>
      <c r="D219" s="176">
        <v>3</v>
      </c>
      <c r="E219" s="175"/>
      <c r="F219" s="176">
        <v>74468852714318</v>
      </c>
      <c r="G219" s="175" t="s">
        <v>3741</v>
      </c>
      <c r="H219" s="176">
        <v>30683032227</v>
      </c>
      <c r="I219" s="175" t="s">
        <v>3759</v>
      </c>
      <c r="J219" s="176">
        <v>1</v>
      </c>
      <c r="K219" s="175" t="s">
        <v>3742</v>
      </c>
      <c r="L219" s="176">
        <v>5850000</v>
      </c>
      <c r="M219" s="176">
        <v>0</v>
      </c>
      <c r="N219" s="176">
        <v>0</v>
      </c>
      <c r="O219" s="176">
        <v>0</v>
      </c>
      <c r="P219" s="176">
        <v>1228500</v>
      </c>
      <c r="Q219" s="176">
        <v>7078500</v>
      </c>
    </row>
    <row r="220" spans="1:17">
      <c r="A220" s="175" t="s">
        <v>3867</v>
      </c>
      <c r="B220" s="175" t="s">
        <v>3763</v>
      </c>
      <c r="C220" s="176">
        <v>7</v>
      </c>
      <c r="D220" s="176">
        <v>169</v>
      </c>
      <c r="E220" s="175"/>
      <c r="F220" s="176">
        <v>74478883487271</v>
      </c>
      <c r="G220" s="175" t="s">
        <v>3741</v>
      </c>
      <c r="H220" s="176">
        <v>30590412631</v>
      </c>
      <c r="I220" s="175" t="s">
        <v>3755</v>
      </c>
      <c r="J220" s="176">
        <v>1</v>
      </c>
      <c r="K220" s="175" t="s">
        <v>3742</v>
      </c>
      <c r="L220" s="204">
        <v>-229752.06</v>
      </c>
      <c r="M220" s="176"/>
      <c r="N220" s="176">
        <v>0</v>
      </c>
      <c r="O220" s="176">
        <v>0</v>
      </c>
      <c r="P220" s="204">
        <v>-48247.9326</v>
      </c>
      <c r="Q220" s="176">
        <v>-277999.9926</v>
      </c>
    </row>
    <row r="221" spans="1:17">
      <c r="A221" s="175" t="s">
        <v>3861</v>
      </c>
      <c r="B221" s="175" t="s">
        <v>3763</v>
      </c>
      <c r="C221" s="176">
        <v>7</v>
      </c>
      <c r="D221" s="176">
        <v>170</v>
      </c>
      <c r="E221" s="175"/>
      <c r="F221" s="176">
        <v>74488437560205</v>
      </c>
      <c r="G221" s="175" t="s">
        <v>3741</v>
      </c>
      <c r="H221" s="176">
        <v>30608716390</v>
      </c>
      <c r="I221" s="175" t="s">
        <v>3761</v>
      </c>
      <c r="J221" s="176">
        <v>1</v>
      </c>
      <c r="K221" s="175" t="s">
        <v>3742</v>
      </c>
      <c r="L221" s="204">
        <v>-15528.93</v>
      </c>
      <c r="M221" s="176"/>
      <c r="N221" s="176">
        <v>0</v>
      </c>
      <c r="O221" s="176">
        <v>0</v>
      </c>
      <c r="P221" s="204">
        <v>-3261.0753</v>
      </c>
      <c r="Q221" s="176">
        <v>-18790.005300000001</v>
      </c>
    </row>
    <row r="222" spans="1:17" ht="15.75" thickBot="1">
      <c r="A222" s="175" t="s">
        <v>3861</v>
      </c>
      <c r="B222" s="175" t="s">
        <v>3763</v>
      </c>
      <c r="C222" s="176">
        <v>7</v>
      </c>
      <c r="D222" s="176">
        <v>171</v>
      </c>
      <c r="E222" s="175"/>
      <c r="F222" s="176">
        <v>74488438697416</v>
      </c>
      <c r="G222" s="175" t="s">
        <v>3741</v>
      </c>
      <c r="H222" s="176">
        <v>30608716390</v>
      </c>
      <c r="I222" s="175" t="s">
        <v>3761</v>
      </c>
      <c r="J222" s="176">
        <v>1</v>
      </c>
      <c r="K222" s="175" t="s">
        <v>3742</v>
      </c>
      <c r="L222" s="204">
        <v>-22413.22</v>
      </c>
      <c r="M222" s="176"/>
      <c r="N222" s="176">
        <v>0</v>
      </c>
      <c r="O222" s="176">
        <v>0</v>
      </c>
      <c r="P222" s="204">
        <v>-4706.7762000000002</v>
      </c>
      <c r="Q222" s="176">
        <v>-27119.996200000001</v>
      </c>
    </row>
    <row r="223" spans="1:17" ht="15.75" thickBot="1">
      <c r="A223" s="175"/>
      <c r="B223" s="175"/>
      <c r="C223" s="176"/>
      <c r="D223" s="176"/>
      <c r="E223" s="175"/>
      <c r="F223" s="176"/>
      <c r="G223" s="175"/>
      <c r="H223" s="176"/>
      <c r="I223" s="175"/>
      <c r="J223" s="225" t="s">
        <v>783</v>
      </c>
      <c r="K223" s="226"/>
      <c r="L223" s="190">
        <f>SUM(L163:L222)</f>
        <v>15328300.119999997</v>
      </c>
      <c r="M223" s="191">
        <f t="shared" ref="M223:Q223" si="4">SUM(M163:M222)</f>
        <v>0</v>
      </c>
      <c r="N223" s="191">
        <f t="shared" si="4"/>
        <v>0</v>
      </c>
      <c r="O223" s="191">
        <f t="shared" si="4"/>
        <v>0</v>
      </c>
      <c r="P223" s="191">
        <f>SUM(P163:P222)</f>
        <v>3218943.0359000009</v>
      </c>
      <c r="Q223" s="192">
        <f t="shared" si="4"/>
        <v>18547243.155899998</v>
      </c>
    </row>
    <row r="224" spans="1:17">
      <c r="A224" s="175"/>
      <c r="B224" s="175"/>
      <c r="C224" s="176"/>
      <c r="D224" s="176"/>
      <c r="E224" s="175"/>
      <c r="F224" s="176"/>
      <c r="G224" s="175"/>
      <c r="H224" s="176"/>
      <c r="I224" s="175"/>
      <c r="J224" s="176"/>
      <c r="K224" s="175"/>
      <c r="L224" s="204"/>
      <c r="M224" s="176"/>
      <c r="N224" s="176"/>
      <c r="O224" s="176"/>
      <c r="P224" s="204"/>
      <c r="Q224" s="176"/>
    </row>
    <row r="225" spans="1:17">
      <c r="A225" s="175" t="s">
        <v>3881</v>
      </c>
      <c r="B225" s="175" t="s">
        <v>3749</v>
      </c>
      <c r="C225" s="176">
        <v>7</v>
      </c>
      <c r="D225" s="176">
        <v>165</v>
      </c>
      <c r="E225" s="175"/>
      <c r="F225" s="176">
        <v>74468251847045</v>
      </c>
      <c r="G225" s="175" t="s">
        <v>3785</v>
      </c>
      <c r="H225" s="176">
        <v>26542077</v>
      </c>
      <c r="I225" s="175" t="s">
        <v>3907</v>
      </c>
      <c r="J225" s="176">
        <v>1</v>
      </c>
      <c r="K225" s="175" t="s">
        <v>3742</v>
      </c>
      <c r="L225" s="204">
        <v>-46280.99</v>
      </c>
      <c r="M225" s="176"/>
      <c r="N225" s="176">
        <v>0</v>
      </c>
      <c r="O225" s="176">
        <v>0</v>
      </c>
      <c r="P225" s="204">
        <v>-9719.0078999999987</v>
      </c>
      <c r="Q225" s="176">
        <v>-55999.997899999995</v>
      </c>
    </row>
    <row r="226" spans="1:17">
      <c r="A226" s="175" t="s">
        <v>3884</v>
      </c>
      <c r="B226" s="175" t="s">
        <v>3749</v>
      </c>
      <c r="C226" s="176">
        <v>7</v>
      </c>
      <c r="D226" s="176">
        <v>166</v>
      </c>
      <c r="E226" s="175"/>
      <c r="F226" s="176">
        <v>74468320046923</v>
      </c>
      <c r="G226" s="175" t="s">
        <v>3785</v>
      </c>
      <c r="H226" s="176">
        <v>93332052</v>
      </c>
      <c r="I226" s="175" t="s">
        <v>428</v>
      </c>
      <c r="J226" s="176">
        <v>1</v>
      </c>
      <c r="K226" s="175" t="s">
        <v>3742</v>
      </c>
      <c r="L226" s="204">
        <v>-14694.21</v>
      </c>
      <c r="M226" s="176"/>
      <c r="N226" s="176">
        <v>0</v>
      </c>
      <c r="O226" s="176">
        <v>0</v>
      </c>
      <c r="P226" s="204">
        <v>-3085.7840999999999</v>
      </c>
      <c r="Q226" s="176">
        <v>-17779.9941</v>
      </c>
    </row>
    <row r="227" spans="1:17">
      <c r="A227" s="175" t="s">
        <v>3884</v>
      </c>
      <c r="B227" s="175" t="s">
        <v>3749</v>
      </c>
      <c r="C227" s="176">
        <v>7</v>
      </c>
      <c r="D227" s="176">
        <v>167</v>
      </c>
      <c r="E227" s="175"/>
      <c r="F227" s="176">
        <v>74468323016605</v>
      </c>
      <c r="G227" s="175" t="s">
        <v>3785</v>
      </c>
      <c r="H227" s="176">
        <v>5607654</v>
      </c>
      <c r="I227" s="175" t="s">
        <v>3908</v>
      </c>
      <c r="J227" s="176">
        <v>1</v>
      </c>
      <c r="K227" s="175" t="s">
        <v>3742</v>
      </c>
      <c r="L227" s="204">
        <v>-19834.71</v>
      </c>
      <c r="M227" s="176"/>
      <c r="N227" s="176">
        <v>0</v>
      </c>
      <c r="O227" s="176">
        <v>0</v>
      </c>
      <c r="P227" s="204">
        <v>-4165.2891</v>
      </c>
      <c r="Q227" s="176">
        <v>-23999.999100000001</v>
      </c>
    </row>
    <row r="228" spans="1:17">
      <c r="A228" s="175" t="s">
        <v>3859</v>
      </c>
      <c r="B228" s="175" t="s">
        <v>3749</v>
      </c>
      <c r="C228" s="176">
        <v>7</v>
      </c>
      <c r="D228" s="176">
        <v>168</v>
      </c>
      <c r="E228" s="175"/>
      <c r="F228" s="176">
        <v>74478714119257</v>
      </c>
      <c r="G228" s="176">
        <v>99</v>
      </c>
      <c r="H228" s="176">
        <v>0</v>
      </c>
      <c r="I228" s="175"/>
      <c r="J228" s="176">
        <v>1</v>
      </c>
      <c r="K228" s="175" t="s">
        <v>3742</v>
      </c>
      <c r="L228" s="176">
        <v>-3600</v>
      </c>
      <c r="M228" s="176"/>
      <c r="N228" s="176">
        <v>0</v>
      </c>
      <c r="O228" s="176">
        <v>0</v>
      </c>
      <c r="P228" s="204">
        <v>-756</v>
      </c>
      <c r="Q228" s="176">
        <v>-4356</v>
      </c>
    </row>
    <row r="229" spans="1:17">
      <c r="A229" s="175" t="s">
        <v>3859</v>
      </c>
      <c r="B229" s="175" t="s">
        <v>3749</v>
      </c>
      <c r="C229" s="176">
        <v>7</v>
      </c>
      <c r="D229" s="176">
        <v>169</v>
      </c>
      <c r="E229" s="175"/>
      <c r="F229" s="176">
        <v>74478755759697</v>
      </c>
      <c r="G229" s="175" t="s">
        <v>3785</v>
      </c>
      <c r="H229" s="176">
        <v>29654556</v>
      </c>
      <c r="I229" s="175" t="s">
        <v>3909</v>
      </c>
      <c r="J229" s="176">
        <v>1</v>
      </c>
      <c r="K229" s="175" t="s">
        <v>3742</v>
      </c>
      <c r="L229" s="176">
        <v>0</v>
      </c>
      <c r="M229" s="176">
        <v>-86000</v>
      </c>
      <c r="N229" s="176">
        <v>0</v>
      </c>
      <c r="O229" s="176">
        <v>0</v>
      </c>
      <c r="P229" s="176">
        <v>0</v>
      </c>
      <c r="Q229" s="176">
        <v>-86000</v>
      </c>
    </row>
    <row r="230" spans="1:17">
      <c r="A230" s="175" t="s">
        <v>3859</v>
      </c>
      <c r="B230" s="175" t="s">
        <v>3749</v>
      </c>
      <c r="C230" s="176">
        <v>7</v>
      </c>
      <c r="D230" s="176">
        <v>170</v>
      </c>
      <c r="E230" s="175"/>
      <c r="F230" s="176">
        <v>74478769210718</v>
      </c>
      <c r="G230" s="176">
        <v>99</v>
      </c>
      <c r="H230" s="176">
        <v>0</v>
      </c>
      <c r="I230" s="175"/>
      <c r="J230" s="176">
        <v>1</v>
      </c>
      <c r="K230" s="175" t="s">
        <v>3742</v>
      </c>
      <c r="L230" s="176">
        <v>-10000</v>
      </c>
      <c r="M230" s="176"/>
      <c r="N230" s="176">
        <v>0</v>
      </c>
      <c r="O230" s="176">
        <v>0</v>
      </c>
      <c r="P230" s="204">
        <v>-2100</v>
      </c>
      <c r="Q230" s="176">
        <v>-12100</v>
      </c>
    </row>
    <row r="231" spans="1:17">
      <c r="A231" s="175" t="s">
        <v>3861</v>
      </c>
      <c r="B231" s="175" t="s">
        <v>3749</v>
      </c>
      <c r="C231" s="176">
        <v>7</v>
      </c>
      <c r="D231" s="176">
        <v>171</v>
      </c>
      <c r="E231" s="175"/>
      <c r="F231" s="176">
        <v>74488443234205</v>
      </c>
      <c r="G231" s="176">
        <v>99</v>
      </c>
      <c r="H231" s="176">
        <v>0</v>
      </c>
      <c r="I231" s="175"/>
      <c r="J231" s="176">
        <v>1</v>
      </c>
      <c r="K231" s="175" t="s">
        <v>3742</v>
      </c>
      <c r="L231" s="204">
        <v>-28429.75</v>
      </c>
      <c r="M231" s="176"/>
      <c r="N231" s="176">
        <v>0</v>
      </c>
      <c r="O231" s="176">
        <v>0</v>
      </c>
      <c r="P231" s="204">
        <v>-5970.2474999999995</v>
      </c>
      <c r="Q231" s="176">
        <v>-34399.997499999998</v>
      </c>
    </row>
    <row r="232" spans="1:17">
      <c r="A232" s="175" t="s">
        <v>3861</v>
      </c>
      <c r="B232" s="175" t="s">
        <v>3749</v>
      </c>
      <c r="C232" s="176">
        <v>7</v>
      </c>
      <c r="D232" s="176">
        <v>172</v>
      </c>
      <c r="E232" s="175"/>
      <c r="F232" s="176">
        <v>74488453564925</v>
      </c>
      <c r="G232" s="175" t="s">
        <v>3741</v>
      </c>
      <c r="H232" s="176">
        <v>30590354798</v>
      </c>
      <c r="I232" s="175" t="s">
        <v>3783</v>
      </c>
      <c r="J232" s="176">
        <v>1</v>
      </c>
      <c r="K232" s="175" t="s">
        <v>3742</v>
      </c>
      <c r="L232" s="204">
        <v>-19834.71</v>
      </c>
      <c r="M232" s="176"/>
      <c r="N232" s="176">
        <v>0</v>
      </c>
      <c r="O232" s="176">
        <v>0</v>
      </c>
      <c r="P232" s="204">
        <v>-4165.2891</v>
      </c>
      <c r="Q232" s="176">
        <v>-23999.999100000001</v>
      </c>
    </row>
    <row r="233" spans="1:17">
      <c r="A233" s="175" t="s">
        <v>3895</v>
      </c>
      <c r="B233" s="175" t="s">
        <v>3749</v>
      </c>
      <c r="C233" s="176">
        <v>7</v>
      </c>
      <c r="D233" s="176">
        <v>173</v>
      </c>
      <c r="E233" s="175"/>
      <c r="F233" s="176">
        <v>74488676816393</v>
      </c>
      <c r="G233" s="176">
        <v>99</v>
      </c>
      <c r="H233" s="176">
        <v>0</v>
      </c>
      <c r="I233" s="175"/>
      <c r="J233" s="176">
        <v>1</v>
      </c>
      <c r="K233" s="175" t="s">
        <v>3742</v>
      </c>
      <c r="L233" s="204">
        <v>-70082.64</v>
      </c>
      <c r="M233" s="176"/>
      <c r="N233" s="176">
        <v>0</v>
      </c>
      <c r="O233" s="176">
        <v>0</v>
      </c>
      <c r="P233" s="204">
        <v>-14717.3544</v>
      </c>
      <c r="Q233" s="176">
        <v>-84799.994399999996</v>
      </c>
    </row>
    <row r="234" spans="1:17">
      <c r="A234" s="175" t="s">
        <v>3895</v>
      </c>
      <c r="B234" s="175" t="s">
        <v>3749</v>
      </c>
      <c r="C234" s="176">
        <v>7</v>
      </c>
      <c r="D234" s="176">
        <v>174</v>
      </c>
      <c r="E234" s="175"/>
      <c r="F234" s="176">
        <v>74488682452527</v>
      </c>
      <c r="G234" s="176">
        <v>99</v>
      </c>
      <c r="H234" s="176">
        <v>0</v>
      </c>
      <c r="I234" s="175"/>
      <c r="J234" s="176">
        <v>1</v>
      </c>
      <c r="K234" s="175" t="s">
        <v>3742</v>
      </c>
      <c r="L234" s="204">
        <v>-19834.71</v>
      </c>
      <c r="M234" s="176"/>
      <c r="N234" s="176">
        <v>0</v>
      </c>
      <c r="O234" s="176">
        <v>0</v>
      </c>
      <c r="P234" s="204">
        <v>-4165.2891</v>
      </c>
      <c r="Q234" s="176">
        <v>-23999.999100000001</v>
      </c>
    </row>
    <row r="235" spans="1:17">
      <c r="A235" s="175" t="s">
        <v>3872</v>
      </c>
      <c r="B235" s="175" t="s">
        <v>3744</v>
      </c>
      <c r="C235" s="176">
        <v>7</v>
      </c>
      <c r="D235" s="176">
        <v>5426</v>
      </c>
      <c r="E235" s="175"/>
      <c r="F235" s="176">
        <v>74458912363535</v>
      </c>
      <c r="G235" s="175" t="s">
        <v>3785</v>
      </c>
      <c r="H235" s="176">
        <v>17198648</v>
      </c>
      <c r="I235" s="175" t="s">
        <v>3851</v>
      </c>
      <c r="J235" s="176">
        <v>1</v>
      </c>
      <c r="K235" s="175" t="s">
        <v>3742</v>
      </c>
      <c r="L235" s="204">
        <v>19834.71</v>
      </c>
      <c r="M235" s="176">
        <v>0</v>
      </c>
      <c r="N235" s="176">
        <v>0</v>
      </c>
      <c r="O235" s="176">
        <v>0</v>
      </c>
      <c r="P235" s="204">
        <v>4165.29</v>
      </c>
      <c r="Q235" s="176">
        <v>24000</v>
      </c>
    </row>
    <row r="236" spans="1:17">
      <c r="A236" s="175" t="s">
        <v>3872</v>
      </c>
      <c r="B236" s="175" t="s">
        <v>3744</v>
      </c>
      <c r="C236" s="176">
        <v>7</v>
      </c>
      <c r="D236" s="176">
        <v>5427</v>
      </c>
      <c r="E236" s="175"/>
      <c r="F236" s="176">
        <v>74458952323313</v>
      </c>
      <c r="G236" s="175" t="s">
        <v>3741</v>
      </c>
      <c r="H236" s="176">
        <v>30571766287</v>
      </c>
      <c r="I236" s="175" t="s">
        <v>3853</v>
      </c>
      <c r="J236" s="176">
        <v>1</v>
      </c>
      <c r="K236" s="175" t="s">
        <v>3742</v>
      </c>
      <c r="L236" s="204">
        <v>167570.25</v>
      </c>
      <c r="M236" s="176">
        <v>0</v>
      </c>
      <c r="N236" s="176">
        <v>0</v>
      </c>
      <c r="O236" s="176">
        <v>0</v>
      </c>
      <c r="P236" s="204">
        <v>35189.75</v>
      </c>
      <c r="Q236" s="176">
        <v>202760</v>
      </c>
    </row>
    <row r="237" spans="1:17">
      <c r="A237" s="175" t="s">
        <v>3897</v>
      </c>
      <c r="B237" s="175" t="s">
        <v>3744</v>
      </c>
      <c r="C237" s="176">
        <v>7</v>
      </c>
      <c r="D237" s="176">
        <v>5428</v>
      </c>
      <c r="E237" s="175"/>
      <c r="F237" s="176">
        <v>74458089106333</v>
      </c>
      <c r="G237" s="175" t="s">
        <v>3741</v>
      </c>
      <c r="H237" s="176">
        <v>30590354798</v>
      </c>
      <c r="I237" s="175" t="s">
        <v>3783</v>
      </c>
      <c r="J237" s="176">
        <v>1</v>
      </c>
      <c r="K237" s="175" t="s">
        <v>3742</v>
      </c>
      <c r="L237" s="204">
        <v>2003068.11</v>
      </c>
      <c r="M237" s="176">
        <v>0</v>
      </c>
      <c r="N237" s="176">
        <v>0</v>
      </c>
      <c r="O237" s="176">
        <v>0</v>
      </c>
      <c r="P237" s="175">
        <v>420644.3</v>
      </c>
      <c r="Q237" s="204">
        <v>2423712.41</v>
      </c>
    </row>
    <row r="238" spans="1:17">
      <c r="A238" s="175" t="s">
        <v>3877</v>
      </c>
      <c r="B238" s="175" t="s">
        <v>3744</v>
      </c>
      <c r="C238" s="176">
        <v>7</v>
      </c>
      <c r="D238" s="176">
        <v>5429</v>
      </c>
      <c r="E238" s="175"/>
      <c r="F238" s="176">
        <v>74458169758226</v>
      </c>
      <c r="G238" s="175" t="s">
        <v>3741</v>
      </c>
      <c r="H238" s="176">
        <v>30658137642</v>
      </c>
      <c r="I238" s="175" t="s">
        <v>3850</v>
      </c>
      <c r="J238" s="176">
        <v>1</v>
      </c>
      <c r="K238" s="175" t="s">
        <v>3742</v>
      </c>
      <c r="L238" s="204">
        <v>532818.18000000005</v>
      </c>
      <c r="M238" s="176">
        <v>0</v>
      </c>
      <c r="N238" s="176">
        <v>0</v>
      </c>
      <c r="O238" s="176">
        <v>0</v>
      </c>
      <c r="P238" s="204">
        <v>111891.82</v>
      </c>
      <c r="Q238" s="176">
        <v>644710</v>
      </c>
    </row>
    <row r="239" spans="1:17">
      <c r="A239" s="175" t="s">
        <v>3898</v>
      </c>
      <c r="B239" s="175" t="s">
        <v>3744</v>
      </c>
      <c r="C239" s="176">
        <v>7</v>
      </c>
      <c r="D239" s="176">
        <v>5430</v>
      </c>
      <c r="E239" s="175"/>
      <c r="F239" s="176">
        <v>74458508420061</v>
      </c>
      <c r="G239" s="175" t="s">
        <v>3785</v>
      </c>
      <c r="H239" s="176">
        <v>17814995</v>
      </c>
      <c r="I239" s="175" t="s">
        <v>3910</v>
      </c>
      <c r="J239" s="176">
        <v>1</v>
      </c>
      <c r="K239" s="175" t="s">
        <v>3742</v>
      </c>
      <c r="L239" s="204">
        <v>17355.37</v>
      </c>
      <c r="M239" s="176">
        <v>0</v>
      </c>
      <c r="N239" s="176">
        <v>0</v>
      </c>
      <c r="O239" s="176">
        <v>0</v>
      </c>
      <c r="P239" s="204">
        <v>3644.63</v>
      </c>
      <c r="Q239" s="176">
        <v>21000</v>
      </c>
    </row>
    <row r="240" spans="1:17">
      <c r="A240" s="175" t="s">
        <v>3898</v>
      </c>
      <c r="B240" s="175" t="s">
        <v>3744</v>
      </c>
      <c r="C240" s="176">
        <v>7</v>
      </c>
      <c r="D240" s="176">
        <v>5431</v>
      </c>
      <c r="E240" s="175"/>
      <c r="F240" s="176">
        <v>74458508570351</v>
      </c>
      <c r="G240" s="175" t="s">
        <v>3785</v>
      </c>
      <c r="H240" s="176">
        <v>17814995</v>
      </c>
      <c r="I240" s="175" t="s">
        <v>3910</v>
      </c>
      <c r="J240" s="176">
        <v>1</v>
      </c>
      <c r="K240" s="175" t="s">
        <v>3742</v>
      </c>
      <c r="L240" s="204">
        <v>17355.37</v>
      </c>
      <c r="M240" s="176">
        <v>0</v>
      </c>
      <c r="N240" s="176">
        <v>0</v>
      </c>
      <c r="O240" s="176">
        <v>0</v>
      </c>
      <c r="P240" s="204">
        <v>3644.63</v>
      </c>
      <c r="Q240" s="176">
        <v>21000</v>
      </c>
    </row>
    <row r="241" spans="1:17">
      <c r="A241" s="175" t="s">
        <v>3866</v>
      </c>
      <c r="B241" s="175" t="s">
        <v>3744</v>
      </c>
      <c r="C241" s="176">
        <v>7</v>
      </c>
      <c r="D241" s="176">
        <v>5432</v>
      </c>
      <c r="E241" s="175"/>
      <c r="F241" s="176">
        <v>74468083978180</v>
      </c>
      <c r="G241" s="175" t="s">
        <v>3741</v>
      </c>
      <c r="H241" s="176">
        <v>30590354798</v>
      </c>
      <c r="I241" s="175" t="s">
        <v>3783</v>
      </c>
      <c r="J241" s="176">
        <v>1</v>
      </c>
      <c r="K241" s="175" t="s">
        <v>3742</v>
      </c>
      <c r="L241" s="204">
        <v>25826.44</v>
      </c>
      <c r="M241" s="176">
        <v>0</v>
      </c>
      <c r="N241" s="176">
        <v>0</v>
      </c>
      <c r="O241" s="176">
        <v>0</v>
      </c>
      <c r="P241" s="204">
        <v>5423.55</v>
      </c>
      <c r="Q241" s="204">
        <v>31249.99</v>
      </c>
    </row>
    <row r="242" spans="1:17">
      <c r="A242" s="175" t="s">
        <v>3881</v>
      </c>
      <c r="B242" s="175" t="s">
        <v>3744</v>
      </c>
      <c r="C242" s="176">
        <v>7</v>
      </c>
      <c r="D242" s="176">
        <v>5433</v>
      </c>
      <c r="E242" s="175"/>
      <c r="F242" s="176">
        <v>74468243969903</v>
      </c>
      <c r="G242" s="175" t="s">
        <v>3785</v>
      </c>
      <c r="H242" s="176">
        <v>17855620</v>
      </c>
      <c r="I242" s="175" t="s">
        <v>3911</v>
      </c>
      <c r="J242" s="176">
        <v>1</v>
      </c>
      <c r="K242" s="175" t="s">
        <v>3742</v>
      </c>
      <c r="L242" s="204">
        <v>41322.31</v>
      </c>
      <c r="M242" s="176">
        <v>0</v>
      </c>
      <c r="N242" s="176">
        <v>0</v>
      </c>
      <c r="O242" s="176">
        <v>0</v>
      </c>
      <c r="P242" s="204">
        <v>8677.69</v>
      </c>
      <c r="Q242" s="176">
        <v>50000</v>
      </c>
    </row>
    <row r="243" spans="1:17">
      <c r="A243" s="175" t="s">
        <v>3881</v>
      </c>
      <c r="B243" s="175" t="s">
        <v>3744</v>
      </c>
      <c r="C243" s="176">
        <v>7</v>
      </c>
      <c r="D243" s="176">
        <v>5434</v>
      </c>
      <c r="E243" s="175"/>
      <c r="F243" s="176">
        <v>74468250991655</v>
      </c>
      <c r="G243" s="175" t="s">
        <v>3785</v>
      </c>
      <c r="H243" s="176">
        <v>26542077</v>
      </c>
      <c r="I243" s="175" t="s">
        <v>3907</v>
      </c>
      <c r="J243" s="176">
        <v>1</v>
      </c>
      <c r="K243" s="175" t="s">
        <v>3742</v>
      </c>
      <c r="L243" s="204">
        <v>46280.99</v>
      </c>
      <c r="M243" s="176">
        <v>0</v>
      </c>
      <c r="N243" s="176">
        <v>0</v>
      </c>
      <c r="O243" s="176">
        <v>0</v>
      </c>
      <c r="P243" s="204">
        <v>9719.01</v>
      </c>
      <c r="Q243" s="176">
        <v>56000</v>
      </c>
    </row>
    <row r="244" spans="1:17">
      <c r="A244" s="175" t="s">
        <v>3881</v>
      </c>
      <c r="B244" s="175" t="s">
        <v>3744</v>
      </c>
      <c r="C244" s="176">
        <v>7</v>
      </c>
      <c r="D244" s="176">
        <v>5435</v>
      </c>
      <c r="E244" s="175"/>
      <c r="F244" s="176">
        <v>74468252179357</v>
      </c>
      <c r="G244" s="175" t="s">
        <v>3785</v>
      </c>
      <c r="H244" s="176">
        <v>26542077</v>
      </c>
      <c r="I244" s="175" t="s">
        <v>3907</v>
      </c>
      <c r="J244" s="176">
        <v>1</v>
      </c>
      <c r="K244" s="175" t="s">
        <v>3742</v>
      </c>
      <c r="L244" s="204">
        <v>46280.98</v>
      </c>
      <c r="M244" s="176">
        <v>0</v>
      </c>
      <c r="N244" s="176">
        <v>0</v>
      </c>
      <c r="O244" s="176">
        <v>0</v>
      </c>
      <c r="P244" s="204">
        <v>9719.01</v>
      </c>
      <c r="Q244" s="204">
        <v>55999.99</v>
      </c>
    </row>
    <row r="245" spans="1:17">
      <c r="A245" s="175" t="s">
        <v>3881</v>
      </c>
      <c r="B245" s="175" t="s">
        <v>3744</v>
      </c>
      <c r="C245" s="176">
        <v>7</v>
      </c>
      <c r="D245" s="176">
        <v>5436</v>
      </c>
      <c r="E245" s="175"/>
      <c r="F245" s="176">
        <v>74468253039045</v>
      </c>
      <c r="G245" s="175" t="s">
        <v>3785</v>
      </c>
      <c r="H245" s="176">
        <v>25315045</v>
      </c>
      <c r="I245" s="175" t="s">
        <v>3912</v>
      </c>
      <c r="J245" s="176">
        <v>1</v>
      </c>
      <c r="K245" s="175" t="s">
        <v>3742</v>
      </c>
      <c r="L245" s="204">
        <v>21322.31</v>
      </c>
      <c r="M245" s="176">
        <v>0</v>
      </c>
      <c r="N245" s="176">
        <v>0</v>
      </c>
      <c r="O245" s="176">
        <v>0</v>
      </c>
      <c r="P245" s="204">
        <v>4477.6899999999996</v>
      </c>
      <c r="Q245" s="176">
        <v>25800</v>
      </c>
    </row>
    <row r="246" spans="1:17">
      <c r="A246" s="175" t="s">
        <v>3881</v>
      </c>
      <c r="B246" s="175" t="s">
        <v>3744</v>
      </c>
      <c r="C246" s="176">
        <v>7</v>
      </c>
      <c r="D246" s="176">
        <v>5437</v>
      </c>
      <c r="E246" s="175"/>
      <c r="F246" s="176">
        <v>74468254046415</v>
      </c>
      <c r="G246" s="175" t="s">
        <v>3785</v>
      </c>
      <c r="H246" s="176">
        <v>21645724</v>
      </c>
      <c r="I246" s="175"/>
      <c r="J246" s="176">
        <v>1</v>
      </c>
      <c r="K246" s="175" t="s">
        <v>3742</v>
      </c>
      <c r="L246" s="204">
        <v>28925.61</v>
      </c>
      <c r="M246" s="176">
        <v>0</v>
      </c>
      <c r="N246" s="176">
        <v>0</v>
      </c>
      <c r="O246" s="176">
        <v>0</v>
      </c>
      <c r="P246" s="204">
        <v>6074.38</v>
      </c>
      <c r="Q246" s="204">
        <v>34999.99</v>
      </c>
    </row>
    <row r="247" spans="1:17">
      <c r="A247" s="175" t="s">
        <v>3884</v>
      </c>
      <c r="B247" s="175" t="s">
        <v>3744</v>
      </c>
      <c r="C247" s="176">
        <v>7</v>
      </c>
      <c r="D247" s="176">
        <v>5438</v>
      </c>
      <c r="E247" s="175"/>
      <c r="F247" s="176">
        <v>74468316538541</v>
      </c>
      <c r="G247" s="175" t="s">
        <v>3785</v>
      </c>
      <c r="H247" s="176">
        <v>14547747</v>
      </c>
      <c r="I247" s="175" t="s">
        <v>3913</v>
      </c>
      <c r="J247" s="176">
        <v>1</v>
      </c>
      <c r="K247" s="175" t="s">
        <v>3742</v>
      </c>
      <c r="L247" s="204">
        <v>16528.919999999998</v>
      </c>
      <c r="M247" s="176">
        <v>0</v>
      </c>
      <c r="N247" s="176">
        <v>0</v>
      </c>
      <c r="O247" s="176">
        <v>0</v>
      </c>
      <c r="P247" s="204">
        <v>3471.07</v>
      </c>
      <c r="Q247" s="204">
        <v>19999.990000000002</v>
      </c>
    </row>
    <row r="248" spans="1:17">
      <c r="A248" s="175" t="s">
        <v>3884</v>
      </c>
      <c r="B248" s="175" t="s">
        <v>3744</v>
      </c>
      <c r="C248" s="176">
        <v>7</v>
      </c>
      <c r="D248" s="176">
        <v>5439</v>
      </c>
      <c r="E248" s="175"/>
      <c r="F248" s="176">
        <v>74468319640020</v>
      </c>
      <c r="G248" s="175" t="s">
        <v>3785</v>
      </c>
      <c r="H248" s="176">
        <v>93332052</v>
      </c>
      <c r="I248" s="175" t="s">
        <v>428</v>
      </c>
      <c r="J248" s="176">
        <v>1</v>
      </c>
      <c r="K248" s="175" t="s">
        <v>3742</v>
      </c>
      <c r="L248" s="204">
        <v>14694.21</v>
      </c>
      <c r="M248" s="176">
        <v>0</v>
      </c>
      <c r="N248" s="176">
        <v>0</v>
      </c>
      <c r="O248" s="176">
        <v>0</v>
      </c>
      <c r="P248" s="204">
        <v>3085.78</v>
      </c>
      <c r="Q248" s="204">
        <v>17779.990000000002</v>
      </c>
    </row>
    <row r="249" spans="1:17">
      <c r="A249" s="175" t="s">
        <v>3884</v>
      </c>
      <c r="B249" s="175" t="s">
        <v>3744</v>
      </c>
      <c r="C249" s="176">
        <v>7</v>
      </c>
      <c r="D249" s="176">
        <v>5440</v>
      </c>
      <c r="E249" s="175"/>
      <c r="F249" s="176">
        <v>74468320295031</v>
      </c>
      <c r="G249" s="175" t="s">
        <v>3785</v>
      </c>
      <c r="H249" s="176">
        <v>93332052</v>
      </c>
      <c r="I249" s="175" t="s">
        <v>428</v>
      </c>
      <c r="J249" s="176">
        <v>1</v>
      </c>
      <c r="K249" s="175" t="s">
        <v>3742</v>
      </c>
      <c r="L249" s="204">
        <v>14694.21</v>
      </c>
      <c r="M249" s="176">
        <v>0</v>
      </c>
      <c r="N249" s="176">
        <v>0</v>
      </c>
      <c r="O249" s="176">
        <v>0</v>
      </c>
      <c r="P249" s="204">
        <v>3085.78</v>
      </c>
      <c r="Q249" s="204">
        <v>17779.990000000002</v>
      </c>
    </row>
    <row r="250" spans="1:17">
      <c r="A250" s="175" t="s">
        <v>3884</v>
      </c>
      <c r="B250" s="175" t="s">
        <v>3744</v>
      </c>
      <c r="C250" s="176">
        <v>7</v>
      </c>
      <c r="D250" s="176">
        <v>5441</v>
      </c>
      <c r="E250" s="175"/>
      <c r="F250" s="176">
        <v>74468322255837</v>
      </c>
      <c r="G250" s="175" t="s">
        <v>3785</v>
      </c>
      <c r="H250" s="176">
        <v>5607654</v>
      </c>
      <c r="I250" s="175" t="s">
        <v>3908</v>
      </c>
      <c r="J250" s="176">
        <v>1</v>
      </c>
      <c r="K250" s="175" t="s">
        <v>3742</v>
      </c>
      <c r="L250" s="204">
        <v>19834.71</v>
      </c>
      <c r="M250" s="176">
        <v>0</v>
      </c>
      <c r="N250" s="176">
        <v>0</v>
      </c>
      <c r="O250" s="176">
        <v>0</v>
      </c>
      <c r="P250" s="204">
        <v>4165.29</v>
      </c>
      <c r="Q250" s="176">
        <v>24000</v>
      </c>
    </row>
    <row r="251" spans="1:17">
      <c r="A251" s="175" t="s">
        <v>3884</v>
      </c>
      <c r="B251" s="175" t="s">
        <v>3744</v>
      </c>
      <c r="C251" s="176">
        <v>7</v>
      </c>
      <c r="D251" s="176">
        <v>5442</v>
      </c>
      <c r="E251" s="175"/>
      <c r="F251" s="176">
        <v>74468324043291</v>
      </c>
      <c r="G251" s="175" t="s">
        <v>3785</v>
      </c>
      <c r="H251" s="176">
        <v>5607654</v>
      </c>
      <c r="I251" s="175" t="s">
        <v>3908</v>
      </c>
      <c r="J251" s="176">
        <v>1</v>
      </c>
      <c r="K251" s="175" t="s">
        <v>3742</v>
      </c>
      <c r="L251" s="204">
        <v>19834.71</v>
      </c>
      <c r="M251" s="176">
        <v>0</v>
      </c>
      <c r="N251" s="176">
        <v>0</v>
      </c>
      <c r="O251" s="176">
        <v>0</v>
      </c>
      <c r="P251" s="204">
        <v>4165.29</v>
      </c>
      <c r="Q251" s="176">
        <v>24000</v>
      </c>
    </row>
    <row r="252" spans="1:17">
      <c r="A252" s="175" t="s">
        <v>3884</v>
      </c>
      <c r="B252" s="175" t="s">
        <v>3744</v>
      </c>
      <c r="C252" s="176">
        <v>7</v>
      </c>
      <c r="D252" s="176">
        <v>5443</v>
      </c>
      <c r="E252" s="175"/>
      <c r="F252" s="176">
        <v>74468324718042</v>
      </c>
      <c r="G252" s="175" t="s">
        <v>3785</v>
      </c>
      <c r="H252" s="176">
        <v>24699538</v>
      </c>
      <c r="I252" s="175" t="s">
        <v>3914</v>
      </c>
      <c r="J252" s="176">
        <v>1</v>
      </c>
      <c r="K252" s="175" t="s">
        <v>3742</v>
      </c>
      <c r="L252" s="204">
        <v>19834.71</v>
      </c>
      <c r="M252" s="176">
        <v>0</v>
      </c>
      <c r="N252" s="176">
        <v>0</v>
      </c>
      <c r="O252" s="176">
        <v>0</v>
      </c>
      <c r="P252" s="204">
        <v>4165.29</v>
      </c>
      <c r="Q252" s="176">
        <v>24000</v>
      </c>
    </row>
    <row r="253" spans="1:17">
      <c r="A253" s="175" t="s">
        <v>3884</v>
      </c>
      <c r="B253" s="175" t="s">
        <v>3744</v>
      </c>
      <c r="C253" s="176">
        <v>7</v>
      </c>
      <c r="D253" s="176">
        <v>5444</v>
      </c>
      <c r="E253" s="175"/>
      <c r="F253" s="176">
        <v>74468326395356</v>
      </c>
      <c r="G253" s="175" t="s">
        <v>3785</v>
      </c>
      <c r="H253" s="176">
        <v>20008996</v>
      </c>
      <c r="I253" s="175" t="s">
        <v>3915</v>
      </c>
      <c r="J253" s="176">
        <v>1</v>
      </c>
      <c r="K253" s="175" t="s">
        <v>3742</v>
      </c>
      <c r="L253" s="204">
        <v>39669.42</v>
      </c>
      <c r="M253" s="176">
        <v>0</v>
      </c>
      <c r="N253" s="176">
        <v>0</v>
      </c>
      <c r="O253" s="176">
        <v>0</v>
      </c>
      <c r="P253" s="204">
        <v>8330.58</v>
      </c>
      <c r="Q253" s="176">
        <v>48000</v>
      </c>
    </row>
    <row r="254" spans="1:17">
      <c r="A254" s="175" t="s">
        <v>3884</v>
      </c>
      <c r="B254" s="175" t="s">
        <v>3744</v>
      </c>
      <c r="C254" s="176">
        <v>7</v>
      </c>
      <c r="D254" s="176">
        <v>5445</v>
      </c>
      <c r="E254" s="175"/>
      <c r="F254" s="176">
        <v>74468329105581</v>
      </c>
      <c r="G254" s="175" t="s">
        <v>3785</v>
      </c>
      <c r="H254" s="176">
        <v>29654556</v>
      </c>
      <c r="I254" s="175" t="s">
        <v>3909</v>
      </c>
      <c r="J254" s="176">
        <v>1</v>
      </c>
      <c r="K254" s="175" t="s">
        <v>3742</v>
      </c>
      <c r="L254" s="176">
        <v>0</v>
      </c>
      <c r="M254" s="176">
        <v>86000</v>
      </c>
      <c r="N254" s="176">
        <v>0</v>
      </c>
      <c r="O254" s="176">
        <v>0</v>
      </c>
      <c r="P254" s="176">
        <v>0</v>
      </c>
      <c r="Q254" s="176">
        <v>86000</v>
      </c>
    </row>
    <row r="255" spans="1:17">
      <c r="A255" s="175" t="s">
        <v>3859</v>
      </c>
      <c r="B255" s="175" t="s">
        <v>3744</v>
      </c>
      <c r="C255" s="176">
        <v>7</v>
      </c>
      <c r="D255" s="176">
        <v>5446</v>
      </c>
      <c r="E255" s="175"/>
      <c r="F255" s="176">
        <v>74478704726204</v>
      </c>
      <c r="G255" s="175" t="s">
        <v>3741</v>
      </c>
      <c r="H255" s="176">
        <v>30636196858</v>
      </c>
      <c r="I255" s="175" t="s">
        <v>3916</v>
      </c>
      <c r="J255" s="176">
        <v>1</v>
      </c>
      <c r="K255" s="175" t="s">
        <v>3742</v>
      </c>
      <c r="L255" s="175">
        <v>1289256.2</v>
      </c>
      <c r="M255" s="176">
        <v>0</v>
      </c>
      <c r="N255" s="176">
        <v>0</v>
      </c>
      <c r="O255" s="176">
        <v>0</v>
      </c>
      <c r="P255" s="175">
        <v>270743.8</v>
      </c>
      <c r="Q255" s="176">
        <v>1560000</v>
      </c>
    </row>
    <row r="256" spans="1:17">
      <c r="A256" s="175" t="s">
        <v>3859</v>
      </c>
      <c r="B256" s="175" t="s">
        <v>3744</v>
      </c>
      <c r="C256" s="176">
        <v>7</v>
      </c>
      <c r="D256" s="176">
        <v>5447</v>
      </c>
      <c r="E256" s="175"/>
      <c r="F256" s="176">
        <v>74478714038195</v>
      </c>
      <c r="G256" s="176">
        <v>99</v>
      </c>
      <c r="H256" s="176">
        <v>0</v>
      </c>
      <c r="I256" s="175"/>
      <c r="J256" s="176">
        <v>1</v>
      </c>
      <c r="K256" s="175" t="s">
        <v>3742</v>
      </c>
      <c r="L256" s="176">
        <v>3600</v>
      </c>
      <c r="M256" s="176">
        <v>0</v>
      </c>
      <c r="N256" s="176">
        <v>0</v>
      </c>
      <c r="O256" s="176">
        <v>0</v>
      </c>
      <c r="P256" s="176">
        <v>756</v>
      </c>
      <c r="Q256" s="176">
        <v>4356</v>
      </c>
    </row>
    <row r="257" spans="1:17">
      <c r="A257" s="175" t="s">
        <v>3859</v>
      </c>
      <c r="B257" s="175" t="s">
        <v>3744</v>
      </c>
      <c r="C257" s="176">
        <v>7</v>
      </c>
      <c r="D257" s="176">
        <v>5448</v>
      </c>
      <c r="E257" s="175"/>
      <c r="F257" s="176">
        <v>74478758866579</v>
      </c>
      <c r="G257" s="175" t="s">
        <v>3785</v>
      </c>
      <c r="H257" s="176">
        <v>29654556</v>
      </c>
      <c r="I257" s="175" t="s">
        <v>3909</v>
      </c>
      <c r="J257" s="176">
        <v>1</v>
      </c>
      <c r="K257" s="175" t="s">
        <v>3742</v>
      </c>
      <c r="L257" s="204">
        <v>71074.38</v>
      </c>
      <c r="M257" s="176">
        <v>0</v>
      </c>
      <c r="N257" s="176">
        <v>0</v>
      </c>
      <c r="O257" s="176">
        <v>0</v>
      </c>
      <c r="P257" s="204">
        <v>14925.62</v>
      </c>
      <c r="Q257" s="176">
        <v>86000</v>
      </c>
    </row>
    <row r="258" spans="1:17">
      <c r="A258" s="175" t="s">
        <v>3859</v>
      </c>
      <c r="B258" s="175" t="s">
        <v>3744</v>
      </c>
      <c r="C258" s="176">
        <v>7</v>
      </c>
      <c r="D258" s="176">
        <v>5449</v>
      </c>
      <c r="E258" s="175"/>
      <c r="F258" s="176">
        <v>74478768629759</v>
      </c>
      <c r="G258" s="176">
        <v>99</v>
      </c>
      <c r="H258" s="176">
        <v>0</v>
      </c>
      <c r="I258" s="175"/>
      <c r="J258" s="176">
        <v>1</v>
      </c>
      <c r="K258" s="175" t="s">
        <v>3742</v>
      </c>
      <c r="L258" s="176">
        <v>10000</v>
      </c>
      <c r="M258" s="176">
        <v>0</v>
      </c>
      <c r="N258" s="176">
        <v>0</v>
      </c>
      <c r="O258" s="176">
        <v>0</v>
      </c>
      <c r="P258" s="176">
        <v>2100</v>
      </c>
      <c r="Q258" s="176">
        <v>12100</v>
      </c>
    </row>
    <row r="259" spans="1:17">
      <c r="A259" s="175" t="s">
        <v>3859</v>
      </c>
      <c r="B259" s="175" t="s">
        <v>3744</v>
      </c>
      <c r="C259" s="176">
        <v>7</v>
      </c>
      <c r="D259" s="176">
        <v>5450</v>
      </c>
      <c r="E259" s="175"/>
      <c r="F259" s="176">
        <v>74478772473509</v>
      </c>
      <c r="G259" s="175" t="s">
        <v>3785</v>
      </c>
      <c r="H259" s="176">
        <v>12928506</v>
      </c>
      <c r="I259" s="175" t="s">
        <v>3917</v>
      </c>
      <c r="J259" s="176">
        <v>1</v>
      </c>
      <c r="K259" s="175" t="s">
        <v>3742</v>
      </c>
      <c r="L259" s="204">
        <v>34710.74</v>
      </c>
      <c r="M259" s="176">
        <v>0</v>
      </c>
      <c r="N259" s="176">
        <v>0</v>
      </c>
      <c r="O259" s="176">
        <v>0</v>
      </c>
      <c r="P259" s="204">
        <v>7289.26</v>
      </c>
      <c r="Q259" s="176">
        <v>42000</v>
      </c>
    </row>
    <row r="260" spans="1:17">
      <c r="A260" s="175" t="s">
        <v>3867</v>
      </c>
      <c r="B260" s="175" t="s">
        <v>3744</v>
      </c>
      <c r="C260" s="176">
        <v>7</v>
      </c>
      <c r="D260" s="176">
        <v>5451</v>
      </c>
      <c r="E260" s="175"/>
      <c r="F260" s="176">
        <v>74478828117041</v>
      </c>
      <c r="G260" s="175" t="s">
        <v>3785</v>
      </c>
      <c r="H260" s="176">
        <v>11111111</v>
      </c>
      <c r="I260" s="175" t="s">
        <v>3918</v>
      </c>
      <c r="J260" s="176">
        <v>1</v>
      </c>
      <c r="K260" s="175" t="s">
        <v>3742</v>
      </c>
      <c r="L260" s="204">
        <v>9917.36</v>
      </c>
      <c r="M260" s="176">
        <v>0</v>
      </c>
      <c r="N260" s="176">
        <v>0</v>
      </c>
      <c r="O260" s="176">
        <v>0</v>
      </c>
      <c r="P260" s="204">
        <v>2082.65</v>
      </c>
      <c r="Q260" s="204">
        <v>12000.01</v>
      </c>
    </row>
    <row r="261" spans="1:17">
      <c r="A261" s="175" t="s">
        <v>3867</v>
      </c>
      <c r="B261" s="175" t="s">
        <v>3744</v>
      </c>
      <c r="C261" s="176">
        <v>7</v>
      </c>
      <c r="D261" s="176">
        <v>5452</v>
      </c>
      <c r="E261" s="175"/>
      <c r="F261" s="176">
        <v>74478844063855</v>
      </c>
      <c r="G261" s="175" t="s">
        <v>3785</v>
      </c>
      <c r="H261" s="176">
        <v>11111111</v>
      </c>
      <c r="I261" s="175" t="s">
        <v>3918</v>
      </c>
      <c r="J261" s="176">
        <v>1</v>
      </c>
      <c r="K261" s="175" t="s">
        <v>3742</v>
      </c>
      <c r="L261" s="204">
        <v>13223.14</v>
      </c>
      <c r="M261" s="176">
        <v>0</v>
      </c>
      <c r="N261" s="176">
        <v>0</v>
      </c>
      <c r="O261" s="176">
        <v>0</v>
      </c>
      <c r="P261" s="204">
        <v>2776.86</v>
      </c>
      <c r="Q261" s="176">
        <v>16000</v>
      </c>
    </row>
    <row r="262" spans="1:17">
      <c r="A262" s="175" t="s">
        <v>3867</v>
      </c>
      <c r="B262" s="175" t="s">
        <v>3744</v>
      </c>
      <c r="C262" s="176">
        <v>7</v>
      </c>
      <c r="D262" s="176">
        <v>5453</v>
      </c>
      <c r="E262" s="175"/>
      <c r="F262" s="176">
        <v>74478849505367</v>
      </c>
      <c r="G262" s="175" t="s">
        <v>3785</v>
      </c>
      <c r="H262" s="176">
        <v>11111111</v>
      </c>
      <c r="I262" s="175" t="s">
        <v>3918</v>
      </c>
      <c r="J262" s="176">
        <v>1</v>
      </c>
      <c r="K262" s="175" t="s">
        <v>3742</v>
      </c>
      <c r="L262" s="204">
        <v>34462.81</v>
      </c>
      <c r="M262" s="176">
        <v>0</v>
      </c>
      <c r="N262" s="176">
        <v>0</v>
      </c>
      <c r="O262" s="176">
        <v>0</v>
      </c>
      <c r="P262" s="204">
        <v>7237.19</v>
      </c>
      <c r="Q262" s="176">
        <v>41700</v>
      </c>
    </row>
    <row r="263" spans="1:17">
      <c r="A263" s="175" t="s">
        <v>3867</v>
      </c>
      <c r="B263" s="175" t="s">
        <v>3744</v>
      </c>
      <c r="C263" s="176">
        <v>7</v>
      </c>
      <c r="D263" s="176">
        <v>5454</v>
      </c>
      <c r="E263" s="175"/>
      <c r="F263" s="176">
        <v>74478853447067</v>
      </c>
      <c r="G263" s="175" t="s">
        <v>3785</v>
      </c>
      <c r="H263" s="176">
        <v>11111111</v>
      </c>
      <c r="I263" s="175" t="s">
        <v>3918</v>
      </c>
      <c r="J263" s="176">
        <v>1</v>
      </c>
      <c r="K263" s="175" t="s">
        <v>3742</v>
      </c>
      <c r="L263" s="204">
        <v>21404.959999999999</v>
      </c>
      <c r="M263" s="176">
        <v>0</v>
      </c>
      <c r="N263" s="176">
        <v>0</v>
      </c>
      <c r="O263" s="176">
        <v>0</v>
      </c>
      <c r="P263" s="204">
        <v>4495.04</v>
      </c>
      <c r="Q263" s="176">
        <v>25900</v>
      </c>
    </row>
    <row r="264" spans="1:17">
      <c r="A264" s="175" t="s">
        <v>3867</v>
      </c>
      <c r="B264" s="175" t="s">
        <v>3744</v>
      </c>
      <c r="C264" s="176">
        <v>7</v>
      </c>
      <c r="D264" s="176">
        <v>5455</v>
      </c>
      <c r="E264" s="175"/>
      <c r="F264" s="176">
        <v>74478855906561</v>
      </c>
      <c r="G264" s="175" t="s">
        <v>3785</v>
      </c>
      <c r="H264" s="176">
        <v>11111111</v>
      </c>
      <c r="I264" s="175" t="s">
        <v>3918</v>
      </c>
      <c r="J264" s="176">
        <v>1</v>
      </c>
      <c r="K264" s="175" t="s">
        <v>3742</v>
      </c>
      <c r="L264" s="204">
        <v>10991.74</v>
      </c>
      <c r="M264" s="176">
        <v>0</v>
      </c>
      <c r="N264" s="176">
        <v>0</v>
      </c>
      <c r="O264" s="176">
        <v>0</v>
      </c>
      <c r="P264" s="204">
        <v>2308.27</v>
      </c>
      <c r="Q264" s="204">
        <v>13300.01</v>
      </c>
    </row>
    <row r="265" spans="1:17">
      <c r="A265" s="175" t="s">
        <v>3867</v>
      </c>
      <c r="B265" s="175" t="s">
        <v>3744</v>
      </c>
      <c r="C265" s="176">
        <v>7</v>
      </c>
      <c r="D265" s="176">
        <v>5456</v>
      </c>
      <c r="E265" s="175"/>
      <c r="F265" s="176">
        <v>74478856896562</v>
      </c>
      <c r="G265" s="175" t="s">
        <v>3785</v>
      </c>
      <c r="H265" s="176">
        <v>11111111</v>
      </c>
      <c r="I265" s="175" t="s">
        <v>3918</v>
      </c>
      <c r="J265" s="176">
        <v>1</v>
      </c>
      <c r="K265" s="175" t="s">
        <v>3742</v>
      </c>
      <c r="L265" s="204">
        <v>9917.36</v>
      </c>
      <c r="M265" s="176">
        <v>0</v>
      </c>
      <c r="N265" s="176">
        <v>0</v>
      </c>
      <c r="O265" s="176">
        <v>0</v>
      </c>
      <c r="P265" s="204">
        <v>2082.65</v>
      </c>
      <c r="Q265" s="204">
        <v>12000.01</v>
      </c>
    </row>
    <row r="266" spans="1:17">
      <c r="A266" s="175" t="s">
        <v>3867</v>
      </c>
      <c r="B266" s="175" t="s">
        <v>3744</v>
      </c>
      <c r="C266" s="176">
        <v>7</v>
      </c>
      <c r="D266" s="176">
        <v>5457</v>
      </c>
      <c r="E266" s="175"/>
      <c r="F266" s="176">
        <v>74478858310865</v>
      </c>
      <c r="G266" s="175" t="s">
        <v>3785</v>
      </c>
      <c r="H266" s="176">
        <v>11111111</v>
      </c>
      <c r="I266" s="175" t="s">
        <v>3918</v>
      </c>
      <c r="J266" s="176">
        <v>1</v>
      </c>
      <c r="K266" s="175" t="s">
        <v>3742</v>
      </c>
      <c r="L266" s="204">
        <v>25619.84</v>
      </c>
      <c r="M266" s="176">
        <v>0</v>
      </c>
      <c r="N266" s="176">
        <v>0</v>
      </c>
      <c r="O266" s="176">
        <v>0</v>
      </c>
      <c r="P266" s="204">
        <v>5380.17</v>
      </c>
      <c r="Q266" s="204">
        <v>31000.01</v>
      </c>
    </row>
    <row r="267" spans="1:17">
      <c r="A267" s="175" t="s">
        <v>3867</v>
      </c>
      <c r="B267" s="175" t="s">
        <v>3744</v>
      </c>
      <c r="C267" s="176">
        <v>7</v>
      </c>
      <c r="D267" s="176">
        <v>5458</v>
      </c>
      <c r="E267" s="175"/>
      <c r="F267" s="176">
        <v>74478864862041</v>
      </c>
      <c r="G267" s="175" t="s">
        <v>3785</v>
      </c>
      <c r="H267" s="176">
        <v>17814995</v>
      </c>
      <c r="I267" s="175" t="s">
        <v>3910</v>
      </c>
      <c r="J267" s="176">
        <v>1</v>
      </c>
      <c r="K267" s="175" t="s">
        <v>3742</v>
      </c>
      <c r="L267" s="204">
        <v>17355.37</v>
      </c>
      <c r="M267" s="176">
        <v>0</v>
      </c>
      <c r="N267" s="176">
        <v>0</v>
      </c>
      <c r="O267" s="176">
        <v>0</v>
      </c>
      <c r="P267" s="204">
        <v>3644.63</v>
      </c>
      <c r="Q267" s="176">
        <v>21000</v>
      </c>
    </row>
    <row r="268" spans="1:17">
      <c r="A268" s="175" t="s">
        <v>3867</v>
      </c>
      <c r="B268" s="175" t="s">
        <v>3744</v>
      </c>
      <c r="C268" s="176">
        <v>7</v>
      </c>
      <c r="D268" s="176">
        <v>5459</v>
      </c>
      <c r="E268" s="175"/>
      <c r="F268" s="176">
        <v>74478868026287</v>
      </c>
      <c r="G268" s="175" t="s">
        <v>3785</v>
      </c>
      <c r="H268" s="176">
        <v>28233990</v>
      </c>
      <c r="I268" s="175" t="s">
        <v>3919</v>
      </c>
      <c r="J268" s="176">
        <v>1</v>
      </c>
      <c r="K268" s="175" t="s">
        <v>3742</v>
      </c>
      <c r="L268" s="204">
        <v>19834.71</v>
      </c>
      <c r="M268" s="176">
        <v>0</v>
      </c>
      <c r="N268" s="176">
        <v>0</v>
      </c>
      <c r="O268" s="176">
        <v>0</v>
      </c>
      <c r="P268" s="204">
        <v>4165.29</v>
      </c>
      <c r="Q268" s="176">
        <v>24000</v>
      </c>
    </row>
    <row r="269" spans="1:17">
      <c r="A269" s="175" t="s">
        <v>3867</v>
      </c>
      <c r="B269" s="175" t="s">
        <v>3744</v>
      </c>
      <c r="C269" s="176">
        <v>7</v>
      </c>
      <c r="D269" s="176">
        <v>5460</v>
      </c>
      <c r="E269" s="175"/>
      <c r="F269" s="176">
        <v>74478868997716</v>
      </c>
      <c r="G269" s="175" t="s">
        <v>3785</v>
      </c>
      <c r="H269" s="176">
        <v>28233990</v>
      </c>
      <c r="I269" s="175" t="s">
        <v>3919</v>
      </c>
      <c r="J269" s="176">
        <v>1</v>
      </c>
      <c r="K269" s="175" t="s">
        <v>3742</v>
      </c>
      <c r="L269" s="204">
        <v>19834.71</v>
      </c>
      <c r="M269" s="176">
        <v>0</v>
      </c>
      <c r="N269" s="176">
        <v>0</v>
      </c>
      <c r="O269" s="176">
        <v>0</v>
      </c>
      <c r="P269" s="204">
        <v>4165.29</v>
      </c>
      <c r="Q269" s="176">
        <v>24000</v>
      </c>
    </row>
    <row r="270" spans="1:17">
      <c r="A270" s="175" t="s">
        <v>3867</v>
      </c>
      <c r="B270" s="175" t="s">
        <v>3744</v>
      </c>
      <c r="C270" s="176">
        <v>7</v>
      </c>
      <c r="D270" s="176">
        <v>5461</v>
      </c>
      <c r="E270" s="175"/>
      <c r="F270" s="176">
        <v>74478870654453</v>
      </c>
      <c r="G270" s="175" t="s">
        <v>3785</v>
      </c>
      <c r="H270" s="176">
        <v>902191</v>
      </c>
      <c r="I270" s="175"/>
      <c r="J270" s="176">
        <v>1</v>
      </c>
      <c r="K270" s="175" t="s">
        <v>3742</v>
      </c>
      <c r="L270" s="204">
        <v>15289.26</v>
      </c>
      <c r="M270" s="176">
        <v>0</v>
      </c>
      <c r="N270" s="176">
        <v>0</v>
      </c>
      <c r="O270" s="176">
        <v>0</v>
      </c>
      <c r="P270" s="204">
        <v>3210.74</v>
      </c>
      <c r="Q270" s="176">
        <v>18500</v>
      </c>
    </row>
    <row r="271" spans="1:17">
      <c r="A271" s="175" t="s">
        <v>3867</v>
      </c>
      <c r="B271" s="175" t="s">
        <v>3744</v>
      </c>
      <c r="C271" s="176">
        <v>7</v>
      </c>
      <c r="D271" s="176">
        <v>5462</v>
      </c>
      <c r="E271" s="175"/>
      <c r="F271" s="176">
        <v>74478871868413</v>
      </c>
      <c r="G271" s="175" t="s">
        <v>3785</v>
      </c>
      <c r="H271" s="176">
        <v>17275405</v>
      </c>
      <c r="I271" s="175" t="s">
        <v>3920</v>
      </c>
      <c r="J271" s="176">
        <v>1</v>
      </c>
      <c r="K271" s="175" t="s">
        <v>3742</v>
      </c>
      <c r="L271" s="204">
        <v>64462.81</v>
      </c>
      <c r="M271" s="176">
        <v>0</v>
      </c>
      <c r="N271" s="176">
        <v>0</v>
      </c>
      <c r="O271" s="176">
        <v>0</v>
      </c>
      <c r="P271" s="204">
        <v>13537.19</v>
      </c>
      <c r="Q271" s="176">
        <v>78000</v>
      </c>
    </row>
    <row r="272" spans="1:17">
      <c r="A272" s="175" t="s">
        <v>3867</v>
      </c>
      <c r="B272" s="175" t="s">
        <v>3744</v>
      </c>
      <c r="C272" s="176">
        <v>7</v>
      </c>
      <c r="D272" s="176">
        <v>5463</v>
      </c>
      <c r="E272" s="175"/>
      <c r="F272" s="176">
        <v>74478872819538</v>
      </c>
      <c r="G272" s="176">
        <v>99</v>
      </c>
      <c r="H272" s="176">
        <v>0</v>
      </c>
      <c r="I272" s="175"/>
      <c r="J272" s="176">
        <v>1</v>
      </c>
      <c r="K272" s="175" t="s">
        <v>3742</v>
      </c>
      <c r="L272" s="204">
        <v>34710.74</v>
      </c>
      <c r="M272" s="176">
        <v>0</v>
      </c>
      <c r="N272" s="176">
        <v>0</v>
      </c>
      <c r="O272" s="176">
        <v>0</v>
      </c>
      <c r="P272" s="204">
        <v>7289.26</v>
      </c>
      <c r="Q272" s="176">
        <v>42000</v>
      </c>
    </row>
    <row r="273" spans="1:17">
      <c r="A273" s="175" t="s">
        <v>3867</v>
      </c>
      <c r="B273" s="175" t="s">
        <v>3744</v>
      </c>
      <c r="C273" s="176">
        <v>7</v>
      </c>
      <c r="D273" s="176">
        <v>5464</v>
      </c>
      <c r="E273" s="175"/>
      <c r="F273" s="176">
        <v>74478875221741</v>
      </c>
      <c r="G273" s="175" t="s">
        <v>3785</v>
      </c>
      <c r="H273" s="176">
        <v>5804480</v>
      </c>
      <c r="I273" s="175" t="s">
        <v>3921</v>
      </c>
      <c r="J273" s="176">
        <v>1</v>
      </c>
      <c r="K273" s="175" t="s">
        <v>3742</v>
      </c>
      <c r="L273" s="204">
        <v>33057.85</v>
      </c>
      <c r="M273" s="176">
        <v>0</v>
      </c>
      <c r="N273" s="176">
        <v>0</v>
      </c>
      <c r="O273" s="176">
        <v>0</v>
      </c>
      <c r="P273" s="204">
        <v>6942.15</v>
      </c>
      <c r="Q273" s="176">
        <v>40000</v>
      </c>
    </row>
    <row r="274" spans="1:17">
      <c r="A274" s="175" t="s">
        <v>3867</v>
      </c>
      <c r="B274" s="175" t="s">
        <v>3744</v>
      </c>
      <c r="C274" s="176">
        <v>7</v>
      </c>
      <c r="D274" s="176">
        <v>5465</v>
      </c>
      <c r="E274" s="175"/>
      <c r="F274" s="176">
        <v>74478876362776</v>
      </c>
      <c r="G274" s="175" t="s">
        <v>3785</v>
      </c>
      <c r="H274" s="176">
        <v>10138957</v>
      </c>
      <c r="I274" s="175" t="s">
        <v>3922</v>
      </c>
      <c r="J274" s="176">
        <v>1</v>
      </c>
      <c r="K274" s="175" t="s">
        <v>3742</v>
      </c>
      <c r="L274" s="204">
        <v>15289.26</v>
      </c>
      <c r="M274" s="176">
        <v>0</v>
      </c>
      <c r="N274" s="176">
        <v>0</v>
      </c>
      <c r="O274" s="176">
        <v>0</v>
      </c>
      <c r="P274" s="204">
        <v>3210.74</v>
      </c>
      <c r="Q274" s="176">
        <v>18500</v>
      </c>
    </row>
    <row r="275" spans="1:17">
      <c r="A275" s="175" t="s">
        <v>3867</v>
      </c>
      <c r="B275" s="175" t="s">
        <v>3744</v>
      </c>
      <c r="C275" s="176">
        <v>7</v>
      </c>
      <c r="D275" s="176">
        <v>5466</v>
      </c>
      <c r="E275" s="175"/>
      <c r="F275" s="176">
        <v>74478877027465</v>
      </c>
      <c r="G275" s="175" t="s">
        <v>3785</v>
      </c>
      <c r="H275" s="176">
        <v>54380084</v>
      </c>
      <c r="I275" s="175" t="s">
        <v>3923</v>
      </c>
      <c r="J275" s="176">
        <v>1</v>
      </c>
      <c r="K275" s="175" t="s">
        <v>3742</v>
      </c>
      <c r="L275" s="204">
        <v>29338.84</v>
      </c>
      <c r="M275" s="176">
        <v>0</v>
      </c>
      <c r="N275" s="176">
        <v>0</v>
      </c>
      <c r="O275" s="176">
        <v>0</v>
      </c>
      <c r="P275" s="204">
        <v>6161.16</v>
      </c>
      <c r="Q275" s="176">
        <v>35500</v>
      </c>
    </row>
    <row r="276" spans="1:17">
      <c r="A276" s="175" t="s">
        <v>3867</v>
      </c>
      <c r="B276" s="175" t="s">
        <v>3744</v>
      </c>
      <c r="C276" s="176">
        <v>7</v>
      </c>
      <c r="D276" s="176">
        <v>5467</v>
      </c>
      <c r="E276" s="175"/>
      <c r="F276" s="176">
        <v>74478877474957</v>
      </c>
      <c r="G276" s="175" t="s">
        <v>3785</v>
      </c>
      <c r="H276" s="176">
        <v>2719694</v>
      </c>
      <c r="I276" s="175" t="s">
        <v>408</v>
      </c>
      <c r="J276" s="176">
        <v>1</v>
      </c>
      <c r="K276" s="175" t="s">
        <v>3742</v>
      </c>
      <c r="L276" s="204">
        <v>7194.21</v>
      </c>
      <c r="M276" s="176">
        <v>0</v>
      </c>
      <c r="N276" s="176">
        <v>0</v>
      </c>
      <c r="O276" s="176">
        <v>0</v>
      </c>
      <c r="P276" s="204">
        <v>1510.79</v>
      </c>
      <c r="Q276" s="176">
        <v>8705</v>
      </c>
    </row>
    <row r="277" spans="1:17">
      <c r="A277" s="175" t="s">
        <v>3867</v>
      </c>
      <c r="B277" s="175" t="s">
        <v>3744</v>
      </c>
      <c r="C277" s="176">
        <v>7</v>
      </c>
      <c r="D277" s="176">
        <v>5468</v>
      </c>
      <c r="E277" s="175"/>
      <c r="F277" s="176">
        <v>74478879190887</v>
      </c>
      <c r="G277" s="175" t="s">
        <v>3785</v>
      </c>
      <c r="H277" s="176">
        <v>11111111</v>
      </c>
      <c r="I277" s="175" t="s">
        <v>3918</v>
      </c>
      <c r="J277" s="176">
        <v>1</v>
      </c>
      <c r="K277" s="175" t="s">
        <v>3742</v>
      </c>
      <c r="L277" s="204">
        <v>28429.75</v>
      </c>
      <c r="M277" s="176">
        <v>0</v>
      </c>
      <c r="N277" s="176">
        <v>0</v>
      </c>
      <c r="O277" s="176">
        <v>0</v>
      </c>
      <c r="P277" s="204">
        <v>5970.25</v>
      </c>
      <c r="Q277" s="176">
        <v>34400</v>
      </c>
    </row>
    <row r="278" spans="1:17">
      <c r="A278" s="175" t="s">
        <v>3867</v>
      </c>
      <c r="B278" s="175" t="s">
        <v>3744</v>
      </c>
      <c r="C278" s="176">
        <v>7</v>
      </c>
      <c r="D278" s="176">
        <v>5469</v>
      </c>
      <c r="E278" s="175"/>
      <c r="F278" s="176">
        <v>74478889716019</v>
      </c>
      <c r="G278" s="175" t="s">
        <v>3741</v>
      </c>
      <c r="H278" s="176">
        <v>30685228501</v>
      </c>
      <c r="I278" s="175" t="s">
        <v>3852</v>
      </c>
      <c r="J278" s="176">
        <v>1</v>
      </c>
      <c r="K278" s="175" t="s">
        <v>3742</v>
      </c>
      <c r="L278" s="204">
        <v>33057.85</v>
      </c>
      <c r="M278" s="176">
        <v>0</v>
      </c>
      <c r="N278" s="176">
        <v>0</v>
      </c>
      <c r="O278" s="176">
        <v>0</v>
      </c>
      <c r="P278" s="204">
        <v>6942.15</v>
      </c>
      <c r="Q278" s="176">
        <v>40000</v>
      </c>
    </row>
    <row r="279" spans="1:17">
      <c r="A279" s="175" t="s">
        <v>3867</v>
      </c>
      <c r="B279" s="175" t="s">
        <v>3744</v>
      </c>
      <c r="C279" s="176">
        <v>7</v>
      </c>
      <c r="D279" s="176">
        <v>5470</v>
      </c>
      <c r="E279" s="175"/>
      <c r="F279" s="176">
        <v>74478893691298</v>
      </c>
      <c r="G279" s="175" t="s">
        <v>3741</v>
      </c>
      <c r="H279" s="176">
        <v>30590354798</v>
      </c>
      <c r="I279" s="175" t="s">
        <v>3783</v>
      </c>
      <c r="J279" s="176">
        <v>1</v>
      </c>
      <c r="K279" s="175" t="s">
        <v>3742</v>
      </c>
      <c r="L279" s="204">
        <v>204958.68</v>
      </c>
      <c r="M279" s="176">
        <v>0</v>
      </c>
      <c r="N279" s="176">
        <v>0</v>
      </c>
      <c r="O279" s="176">
        <v>0</v>
      </c>
      <c r="P279" s="204">
        <v>43041.32</v>
      </c>
      <c r="Q279" s="176">
        <v>248000</v>
      </c>
    </row>
    <row r="280" spans="1:17">
      <c r="A280" s="175" t="s">
        <v>3888</v>
      </c>
      <c r="B280" s="175" t="s">
        <v>3744</v>
      </c>
      <c r="C280" s="176">
        <v>7</v>
      </c>
      <c r="D280" s="176">
        <v>5471</v>
      </c>
      <c r="E280" s="175"/>
      <c r="F280" s="176">
        <v>74478968527818</v>
      </c>
      <c r="G280" s="175" t="s">
        <v>3785</v>
      </c>
      <c r="H280" s="176">
        <v>11111111</v>
      </c>
      <c r="I280" s="175" t="s">
        <v>3918</v>
      </c>
      <c r="J280" s="176">
        <v>1</v>
      </c>
      <c r="K280" s="175" t="s">
        <v>3742</v>
      </c>
      <c r="L280" s="176">
        <v>14900</v>
      </c>
      <c r="M280" s="176">
        <v>0</v>
      </c>
      <c r="N280" s="176">
        <v>0</v>
      </c>
      <c r="O280" s="176">
        <v>0</v>
      </c>
      <c r="P280" s="176">
        <v>3129</v>
      </c>
      <c r="Q280" s="176">
        <v>18029</v>
      </c>
    </row>
    <row r="281" spans="1:17">
      <c r="A281" s="175" t="s">
        <v>3888</v>
      </c>
      <c r="B281" s="175" t="s">
        <v>3744</v>
      </c>
      <c r="C281" s="176">
        <v>7</v>
      </c>
      <c r="D281" s="176">
        <v>5472</v>
      </c>
      <c r="E281" s="175"/>
      <c r="F281" s="176">
        <v>74478968621877</v>
      </c>
      <c r="G281" s="175" t="s">
        <v>3785</v>
      </c>
      <c r="H281" s="176">
        <v>11111111</v>
      </c>
      <c r="I281" s="175" t="s">
        <v>3918</v>
      </c>
      <c r="J281" s="176">
        <v>1</v>
      </c>
      <c r="K281" s="175" t="s">
        <v>3742</v>
      </c>
      <c r="L281" s="176">
        <v>14900</v>
      </c>
      <c r="M281" s="176">
        <v>0</v>
      </c>
      <c r="N281" s="176">
        <v>0</v>
      </c>
      <c r="O281" s="176">
        <v>0</v>
      </c>
      <c r="P281" s="176">
        <v>3129</v>
      </c>
      <c r="Q281" s="176">
        <v>18029</v>
      </c>
    </row>
    <row r="282" spans="1:17">
      <c r="A282" s="175" t="s">
        <v>3888</v>
      </c>
      <c r="B282" s="175" t="s">
        <v>3744</v>
      </c>
      <c r="C282" s="176">
        <v>7</v>
      </c>
      <c r="D282" s="176">
        <v>5473</v>
      </c>
      <c r="E282" s="175"/>
      <c r="F282" s="176">
        <v>74478970423385</v>
      </c>
      <c r="G282" s="175" t="s">
        <v>3785</v>
      </c>
      <c r="H282" s="176">
        <v>11111111</v>
      </c>
      <c r="I282" s="175" t="s">
        <v>3918</v>
      </c>
      <c r="J282" s="176">
        <v>1</v>
      </c>
      <c r="K282" s="175" t="s">
        <v>3742</v>
      </c>
      <c r="L282" s="204">
        <v>13223.14</v>
      </c>
      <c r="M282" s="176">
        <v>0</v>
      </c>
      <c r="N282" s="176">
        <v>0</v>
      </c>
      <c r="O282" s="176">
        <v>0</v>
      </c>
      <c r="P282" s="204">
        <v>2776.86</v>
      </c>
      <c r="Q282" s="176">
        <v>16000</v>
      </c>
    </row>
    <row r="283" spans="1:17">
      <c r="A283" s="175" t="s">
        <v>3888</v>
      </c>
      <c r="B283" s="175" t="s">
        <v>3744</v>
      </c>
      <c r="C283" s="176">
        <v>7</v>
      </c>
      <c r="D283" s="176">
        <v>5474</v>
      </c>
      <c r="E283" s="175"/>
      <c r="F283" s="176">
        <v>74478975590254</v>
      </c>
      <c r="G283" s="175" t="s">
        <v>3785</v>
      </c>
      <c r="H283" s="176">
        <v>11111111</v>
      </c>
      <c r="I283" s="175" t="s">
        <v>3918</v>
      </c>
      <c r="J283" s="176">
        <v>1</v>
      </c>
      <c r="K283" s="175" t="s">
        <v>3742</v>
      </c>
      <c r="L283" s="204">
        <v>41735.54</v>
      </c>
      <c r="M283" s="176">
        <v>0</v>
      </c>
      <c r="N283" s="176">
        <v>0</v>
      </c>
      <c r="O283" s="176">
        <v>0</v>
      </c>
      <c r="P283" s="204">
        <v>8764.4599999999991</v>
      </c>
      <c r="Q283" s="176">
        <v>50500</v>
      </c>
    </row>
    <row r="284" spans="1:17">
      <c r="A284" s="175" t="s">
        <v>3888</v>
      </c>
      <c r="B284" s="175" t="s">
        <v>3744</v>
      </c>
      <c r="C284" s="176">
        <v>7</v>
      </c>
      <c r="D284" s="176">
        <v>5475</v>
      </c>
      <c r="E284" s="175"/>
      <c r="F284" s="176">
        <v>74478976048004</v>
      </c>
      <c r="G284" s="175" t="s">
        <v>3785</v>
      </c>
      <c r="H284" s="176">
        <v>11111111</v>
      </c>
      <c r="I284" s="175" t="s">
        <v>3918</v>
      </c>
      <c r="J284" s="176">
        <v>1</v>
      </c>
      <c r="K284" s="175" t="s">
        <v>3742</v>
      </c>
      <c r="L284" s="204">
        <v>13223.14</v>
      </c>
      <c r="M284" s="176">
        <v>0</v>
      </c>
      <c r="N284" s="176">
        <v>0</v>
      </c>
      <c r="O284" s="176">
        <v>0</v>
      </c>
      <c r="P284" s="204">
        <v>2776.86</v>
      </c>
      <c r="Q284" s="176">
        <v>16000</v>
      </c>
    </row>
    <row r="285" spans="1:17">
      <c r="A285" s="175" t="s">
        <v>3888</v>
      </c>
      <c r="B285" s="175" t="s">
        <v>3744</v>
      </c>
      <c r="C285" s="176">
        <v>7</v>
      </c>
      <c r="D285" s="176">
        <v>5476</v>
      </c>
      <c r="E285" s="175"/>
      <c r="F285" s="176">
        <v>74478979984032</v>
      </c>
      <c r="G285" s="175" t="s">
        <v>3785</v>
      </c>
      <c r="H285" s="176">
        <v>11111111</v>
      </c>
      <c r="I285" s="175" t="s">
        <v>3918</v>
      </c>
      <c r="J285" s="176">
        <v>1</v>
      </c>
      <c r="K285" s="175" t="s">
        <v>3742</v>
      </c>
      <c r="L285" s="204">
        <v>30578.51</v>
      </c>
      <c r="M285" s="176">
        <v>0</v>
      </c>
      <c r="N285" s="176">
        <v>0</v>
      </c>
      <c r="O285" s="176">
        <v>0</v>
      </c>
      <c r="P285" s="204">
        <v>6421.49</v>
      </c>
      <c r="Q285" s="176">
        <v>37000</v>
      </c>
    </row>
    <row r="286" spans="1:17">
      <c r="A286" s="175" t="s">
        <v>3888</v>
      </c>
      <c r="B286" s="175" t="s">
        <v>3744</v>
      </c>
      <c r="C286" s="176">
        <v>7</v>
      </c>
      <c r="D286" s="176">
        <v>5477</v>
      </c>
      <c r="E286" s="175"/>
      <c r="F286" s="176">
        <v>74478980823299</v>
      </c>
      <c r="G286" s="175" t="s">
        <v>3785</v>
      </c>
      <c r="H286" s="176">
        <v>11111111</v>
      </c>
      <c r="I286" s="175" t="s">
        <v>3918</v>
      </c>
      <c r="J286" s="176">
        <v>1</v>
      </c>
      <c r="K286" s="175" t="s">
        <v>3742</v>
      </c>
      <c r="L286" s="175">
        <v>16115.7</v>
      </c>
      <c r="M286" s="176">
        <v>0</v>
      </c>
      <c r="N286" s="176">
        <v>0</v>
      </c>
      <c r="O286" s="176">
        <v>0</v>
      </c>
      <c r="P286" s="175">
        <v>3384.3</v>
      </c>
      <c r="Q286" s="176">
        <v>19500</v>
      </c>
    </row>
    <row r="287" spans="1:17">
      <c r="A287" s="175" t="s">
        <v>3888</v>
      </c>
      <c r="B287" s="175" t="s">
        <v>3744</v>
      </c>
      <c r="C287" s="176">
        <v>7</v>
      </c>
      <c r="D287" s="176">
        <v>5478</v>
      </c>
      <c r="E287" s="175"/>
      <c r="F287" s="176">
        <v>74478985275095</v>
      </c>
      <c r="G287" s="175" t="s">
        <v>3785</v>
      </c>
      <c r="H287" s="176">
        <v>11111111</v>
      </c>
      <c r="I287" s="175" t="s">
        <v>3918</v>
      </c>
      <c r="J287" s="176">
        <v>1</v>
      </c>
      <c r="K287" s="175" t="s">
        <v>3742</v>
      </c>
      <c r="L287" s="204">
        <v>13223.14</v>
      </c>
      <c r="M287" s="176">
        <v>0</v>
      </c>
      <c r="N287" s="176">
        <v>0</v>
      </c>
      <c r="O287" s="176">
        <v>0</v>
      </c>
      <c r="P287" s="204">
        <v>2776.86</v>
      </c>
      <c r="Q287" s="176">
        <v>16000</v>
      </c>
    </row>
    <row r="288" spans="1:17">
      <c r="A288" s="175" t="s">
        <v>3888</v>
      </c>
      <c r="B288" s="175" t="s">
        <v>3744</v>
      </c>
      <c r="C288" s="176">
        <v>7</v>
      </c>
      <c r="D288" s="176">
        <v>5479</v>
      </c>
      <c r="E288" s="175"/>
      <c r="F288" s="176">
        <v>74478993296320</v>
      </c>
      <c r="G288" s="175" t="s">
        <v>3785</v>
      </c>
      <c r="H288" s="176">
        <v>11111111</v>
      </c>
      <c r="I288" s="175" t="s">
        <v>3918</v>
      </c>
      <c r="J288" s="176">
        <v>1</v>
      </c>
      <c r="K288" s="175" t="s">
        <v>3742</v>
      </c>
      <c r="L288" s="204">
        <v>40909.089999999997</v>
      </c>
      <c r="M288" s="176">
        <v>0</v>
      </c>
      <c r="N288" s="176">
        <v>0</v>
      </c>
      <c r="O288" s="176">
        <v>0</v>
      </c>
      <c r="P288" s="204">
        <v>8590.91</v>
      </c>
      <c r="Q288" s="176">
        <v>49500</v>
      </c>
    </row>
    <row r="289" spans="1:17">
      <c r="A289" s="175" t="s">
        <v>3888</v>
      </c>
      <c r="B289" s="175" t="s">
        <v>3744</v>
      </c>
      <c r="C289" s="176">
        <v>7</v>
      </c>
      <c r="D289" s="176">
        <v>5480</v>
      </c>
      <c r="E289" s="175"/>
      <c r="F289" s="176">
        <v>74478996946490</v>
      </c>
      <c r="G289" s="175" t="s">
        <v>3785</v>
      </c>
      <c r="H289" s="176">
        <v>11111111</v>
      </c>
      <c r="I289" s="175" t="s">
        <v>3918</v>
      </c>
      <c r="J289" s="176">
        <v>1</v>
      </c>
      <c r="K289" s="175" t="s">
        <v>3742</v>
      </c>
      <c r="L289" s="204">
        <v>26446.28</v>
      </c>
      <c r="M289" s="176">
        <v>0</v>
      </c>
      <c r="N289" s="176">
        <v>0</v>
      </c>
      <c r="O289" s="176">
        <v>0</v>
      </c>
      <c r="P289" s="204">
        <v>5553.72</v>
      </c>
      <c r="Q289" s="176">
        <v>32000</v>
      </c>
    </row>
    <row r="290" spans="1:17">
      <c r="A290" s="175" t="s">
        <v>3888</v>
      </c>
      <c r="B290" s="175" t="s">
        <v>3744</v>
      </c>
      <c r="C290" s="176">
        <v>7</v>
      </c>
      <c r="D290" s="176">
        <v>5481</v>
      </c>
      <c r="E290" s="175"/>
      <c r="F290" s="176">
        <v>74478000419764</v>
      </c>
      <c r="G290" s="175" t="s">
        <v>3785</v>
      </c>
      <c r="H290" s="176">
        <v>11111111</v>
      </c>
      <c r="I290" s="175" t="s">
        <v>3918</v>
      </c>
      <c r="J290" s="176">
        <v>1</v>
      </c>
      <c r="K290" s="175" t="s">
        <v>3742</v>
      </c>
      <c r="L290" s="204">
        <v>30495.87</v>
      </c>
      <c r="M290" s="176">
        <v>0</v>
      </c>
      <c r="N290" s="176">
        <v>0</v>
      </c>
      <c r="O290" s="176">
        <v>0</v>
      </c>
      <c r="P290" s="204">
        <v>6404.13</v>
      </c>
      <c r="Q290" s="176">
        <v>36900</v>
      </c>
    </row>
    <row r="291" spans="1:17">
      <c r="A291" s="175" t="s">
        <v>3888</v>
      </c>
      <c r="B291" s="175" t="s">
        <v>3744</v>
      </c>
      <c r="C291" s="176">
        <v>7</v>
      </c>
      <c r="D291" s="176">
        <v>5482</v>
      </c>
      <c r="E291" s="175"/>
      <c r="F291" s="176">
        <v>74478001593443</v>
      </c>
      <c r="G291" s="175" t="s">
        <v>3785</v>
      </c>
      <c r="H291" s="176">
        <v>11111111</v>
      </c>
      <c r="I291" s="175" t="s">
        <v>3918</v>
      </c>
      <c r="J291" s="176">
        <v>1</v>
      </c>
      <c r="K291" s="175" t="s">
        <v>3742</v>
      </c>
      <c r="L291" s="204">
        <v>13223.14</v>
      </c>
      <c r="M291" s="176">
        <v>0</v>
      </c>
      <c r="N291" s="176">
        <v>0</v>
      </c>
      <c r="O291" s="176">
        <v>0</v>
      </c>
      <c r="P291" s="204">
        <v>2776.86</v>
      </c>
      <c r="Q291" s="176">
        <v>16000</v>
      </c>
    </row>
    <row r="292" spans="1:17">
      <c r="A292" s="175" t="s">
        <v>3888</v>
      </c>
      <c r="B292" s="175" t="s">
        <v>3744</v>
      </c>
      <c r="C292" s="176">
        <v>7</v>
      </c>
      <c r="D292" s="176">
        <v>5483</v>
      </c>
      <c r="E292" s="175"/>
      <c r="F292" s="176">
        <v>74478004845813</v>
      </c>
      <c r="G292" s="175" t="s">
        <v>3785</v>
      </c>
      <c r="H292" s="176">
        <v>11111111</v>
      </c>
      <c r="I292" s="175" t="s">
        <v>3918</v>
      </c>
      <c r="J292" s="176">
        <v>1</v>
      </c>
      <c r="K292" s="175" t="s">
        <v>3742</v>
      </c>
      <c r="L292" s="204">
        <v>12809.92</v>
      </c>
      <c r="M292" s="176">
        <v>0</v>
      </c>
      <c r="N292" s="176">
        <v>0</v>
      </c>
      <c r="O292" s="176">
        <v>0</v>
      </c>
      <c r="P292" s="204">
        <v>2690.08</v>
      </c>
      <c r="Q292" s="176">
        <v>15500</v>
      </c>
    </row>
    <row r="293" spans="1:17">
      <c r="A293" s="175" t="s">
        <v>3888</v>
      </c>
      <c r="B293" s="175" t="s">
        <v>3744</v>
      </c>
      <c r="C293" s="176">
        <v>7</v>
      </c>
      <c r="D293" s="176">
        <v>5484</v>
      </c>
      <c r="E293" s="175"/>
      <c r="F293" s="176">
        <v>74478008292210</v>
      </c>
      <c r="G293" s="175" t="s">
        <v>3785</v>
      </c>
      <c r="H293" s="176">
        <v>11111111</v>
      </c>
      <c r="I293" s="175" t="s">
        <v>3918</v>
      </c>
      <c r="J293" s="176">
        <v>1</v>
      </c>
      <c r="K293" s="175" t="s">
        <v>3742</v>
      </c>
      <c r="L293" s="204">
        <v>14876.03</v>
      </c>
      <c r="M293" s="176">
        <v>0</v>
      </c>
      <c r="N293" s="176">
        <v>0</v>
      </c>
      <c r="O293" s="176">
        <v>0</v>
      </c>
      <c r="P293" s="204">
        <v>3123.97</v>
      </c>
      <c r="Q293" s="176">
        <v>18000</v>
      </c>
    </row>
    <row r="294" spans="1:17">
      <c r="A294" s="175" t="s">
        <v>3888</v>
      </c>
      <c r="B294" s="175" t="s">
        <v>3744</v>
      </c>
      <c r="C294" s="176">
        <v>7</v>
      </c>
      <c r="D294" s="176">
        <v>5485</v>
      </c>
      <c r="E294" s="175"/>
      <c r="F294" s="176">
        <v>74478014609007</v>
      </c>
      <c r="G294" s="175" t="s">
        <v>3785</v>
      </c>
      <c r="H294" s="176">
        <v>11111111</v>
      </c>
      <c r="I294" s="175" t="s">
        <v>3918</v>
      </c>
      <c r="J294" s="176">
        <v>1</v>
      </c>
      <c r="K294" s="175" t="s">
        <v>3742</v>
      </c>
      <c r="L294" s="204">
        <v>12809.92</v>
      </c>
      <c r="M294" s="176">
        <v>0</v>
      </c>
      <c r="N294" s="176">
        <v>0</v>
      </c>
      <c r="O294" s="176">
        <v>0</v>
      </c>
      <c r="P294" s="204">
        <v>2690.08</v>
      </c>
      <c r="Q294" s="176">
        <v>15500</v>
      </c>
    </row>
    <row r="295" spans="1:17">
      <c r="A295" s="175" t="s">
        <v>3888</v>
      </c>
      <c r="B295" s="175" t="s">
        <v>3744</v>
      </c>
      <c r="C295" s="176">
        <v>7</v>
      </c>
      <c r="D295" s="176">
        <v>5486</v>
      </c>
      <c r="E295" s="175"/>
      <c r="F295" s="176">
        <v>74478015298226</v>
      </c>
      <c r="G295" s="175" t="s">
        <v>3785</v>
      </c>
      <c r="H295" s="176">
        <v>11111111</v>
      </c>
      <c r="I295" s="175" t="s">
        <v>3918</v>
      </c>
      <c r="J295" s="176">
        <v>1</v>
      </c>
      <c r="K295" s="175" t="s">
        <v>3742</v>
      </c>
      <c r="L295" s="204">
        <v>7438.02</v>
      </c>
      <c r="M295" s="176">
        <v>0</v>
      </c>
      <c r="N295" s="176">
        <v>0</v>
      </c>
      <c r="O295" s="176">
        <v>0</v>
      </c>
      <c r="P295" s="204">
        <v>1561.98</v>
      </c>
      <c r="Q295" s="176">
        <v>9000</v>
      </c>
    </row>
    <row r="296" spans="1:17">
      <c r="A296" s="175" t="s">
        <v>3888</v>
      </c>
      <c r="B296" s="175" t="s">
        <v>3744</v>
      </c>
      <c r="C296" s="176">
        <v>7</v>
      </c>
      <c r="D296" s="176">
        <v>5487</v>
      </c>
      <c r="E296" s="175"/>
      <c r="F296" s="176">
        <v>74478018778134</v>
      </c>
      <c r="G296" s="175" t="s">
        <v>3785</v>
      </c>
      <c r="H296" s="176">
        <v>11111111</v>
      </c>
      <c r="I296" s="175" t="s">
        <v>3918</v>
      </c>
      <c r="J296" s="176">
        <v>1</v>
      </c>
      <c r="K296" s="175" t="s">
        <v>3742</v>
      </c>
      <c r="L296" s="204">
        <v>40909.089999999997</v>
      </c>
      <c r="M296" s="176">
        <v>0</v>
      </c>
      <c r="N296" s="176">
        <v>0</v>
      </c>
      <c r="O296" s="176">
        <v>0</v>
      </c>
      <c r="P296" s="204">
        <v>8590.91</v>
      </c>
      <c r="Q296" s="176">
        <v>49500</v>
      </c>
    </row>
    <row r="297" spans="1:17">
      <c r="A297" s="175" t="s">
        <v>3863</v>
      </c>
      <c r="B297" s="175" t="s">
        <v>3744</v>
      </c>
      <c r="C297" s="176">
        <v>7</v>
      </c>
      <c r="D297" s="176">
        <v>5488</v>
      </c>
      <c r="E297" s="175"/>
      <c r="F297" s="176">
        <v>74478086709718</v>
      </c>
      <c r="G297" s="175" t="s">
        <v>3785</v>
      </c>
      <c r="H297" s="176">
        <v>11111111</v>
      </c>
      <c r="I297" s="175" t="s">
        <v>3918</v>
      </c>
      <c r="J297" s="176">
        <v>1</v>
      </c>
      <c r="K297" s="175" t="s">
        <v>3742</v>
      </c>
      <c r="L297" s="204">
        <v>20661.16</v>
      </c>
      <c r="M297" s="176">
        <v>0</v>
      </c>
      <c r="N297" s="176">
        <v>0</v>
      </c>
      <c r="O297" s="176">
        <v>0</v>
      </c>
      <c r="P297" s="204">
        <v>4338.84</v>
      </c>
      <c r="Q297" s="176">
        <v>25000</v>
      </c>
    </row>
    <row r="298" spans="1:17">
      <c r="A298" s="175" t="s">
        <v>3863</v>
      </c>
      <c r="B298" s="175" t="s">
        <v>3744</v>
      </c>
      <c r="C298" s="176">
        <v>7</v>
      </c>
      <c r="D298" s="176">
        <v>5489</v>
      </c>
      <c r="E298" s="175"/>
      <c r="F298" s="176">
        <v>74478087757767</v>
      </c>
      <c r="G298" s="175" t="s">
        <v>3785</v>
      </c>
      <c r="H298" s="176">
        <v>11111111</v>
      </c>
      <c r="I298" s="175" t="s">
        <v>3918</v>
      </c>
      <c r="J298" s="176">
        <v>1</v>
      </c>
      <c r="K298" s="175" t="s">
        <v>3742</v>
      </c>
      <c r="L298" s="204">
        <v>20867.77</v>
      </c>
      <c r="M298" s="176">
        <v>0</v>
      </c>
      <c r="N298" s="176">
        <v>0</v>
      </c>
      <c r="O298" s="176">
        <v>0</v>
      </c>
      <c r="P298" s="204">
        <v>4382.2299999999996</v>
      </c>
      <c r="Q298" s="176">
        <v>25250</v>
      </c>
    </row>
    <row r="299" spans="1:17">
      <c r="A299" s="175" t="s">
        <v>3863</v>
      </c>
      <c r="B299" s="175" t="s">
        <v>3744</v>
      </c>
      <c r="C299" s="176">
        <v>7</v>
      </c>
      <c r="D299" s="176">
        <v>5490</v>
      </c>
      <c r="E299" s="175"/>
      <c r="F299" s="176">
        <v>74478090362710</v>
      </c>
      <c r="G299" s="175" t="s">
        <v>3785</v>
      </c>
      <c r="H299" s="176">
        <v>11111111</v>
      </c>
      <c r="I299" s="175" t="s">
        <v>3918</v>
      </c>
      <c r="J299" s="176">
        <v>1</v>
      </c>
      <c r="K299" s="175" t="s">
        <v>3742</v>
      </c>
      <c r="L299" s="204">
        <v>26446.28</v>
      </c>
      <c r="M299" s="176">
        <v>0</v>
      </c>
      <c r="N299" s="176">
        <v>0</v>
      </c>
      <c r="O299" s="176">
        <v>0</v>
      </c>
      <c r="P299" s="204">
        <v>5553.72</v>
      </c>
      <c r="Q299" s="176">
        <v>32000</v>
      </c>
    </row>
    <row r="300" spans="1:17">
      <c r="A300" s="175" t="s">
        <v>3863</v>
      </c>
      <c r="B300" s="175" t="s">
        <v>3744</v>
      </c>
      <c r="C300" s="176">
        <v>7</v>
      </c>
      <c r="D300" s="176">
        <v>5491</v>
      </c>
      <c r="E300" s="175"/>
      <c r="F300" s="176">
        <v>74478090945073</v>
      </c>
      <c r="G300" s="175" t="s">
        <v>3785</v>
      </c>
      <c r="H300" s="176">
        <v>11111111</v>
      </c>
      <c r="I300" s="175" t="s">
        <v>3918</v>
      </c>
      <c r="J300" s="176">
        <v>1</v>
      </c>
      <c r="K300" s="175" t="s">
        <v>3742</v>
      </c>
      <c r="L300" s="204">
        <v>15289.26</v>
      </c>
      <c r="M300" s="176">
        <v>0</v>
      </c>
      <c r="N300" s="176">
        <v>0</v>
      </c>
      <c r="O300" s="176">
        <v>0</v>
      </c>
      <c r="P300" s="204">
        <v>3210.74</v>
      </c>
      <c r="Q300" s="176">
        <v>18500</v>
      </c>
    </row>
    <row r="301" spans="1:17">
      <c r="A301" s="175" t="s">
        <v>3863</v>
      </c>
      <c r="B301" s="175" t="s">
        <v>3744</v>
      </c>
      <c r="C301" s="176">
        <v>7</v>
      </c>
      <c r="D301" s="176">
        <v>5492</v>
      </c>
      <c r="E301" s="175"/>
      <c r="F301" s="176">
        <v>74478095190747</v>
      </c>
      <c r="G301" s="175" t="s">
        <v>3785</v>
      </c>
      <c r="H301" s="176">
        <v>11111111</v>
      </c>
      <c r="I301" s="175" t="s">
        <v>3918</v>
      </c>
      <c r="J301" s="176">
        <v>1</v>
      </c>
      <c r="K301" s="175" t="s">
        <v>3742</v>
      </c>
      <c r="L301" s="204">
        <v>14669.42</v>
      </c>
      <c r="M301" s="176">
        <v>0</v>
      </c>
      <c r="N301" s="176">
        <v>0</v>
      </c>
      <c r="O301" s="176">
        <v>0</v>
      </c>
      <c r="P301" s="204">
        <v>3080.58</v>
      </c>
      <c r="Q301" s="176">
        <v>17750</v>
      </c>
    </row>
    <row r="302" spans="1:17">
      <c r="A302" s="175" t="s">
        <v>3863</v>
      </c>
      <c r="B302" s="175" t="s">
        <v>3744</v>
      </c>
      <c r="C302" s="176">
        <v>7</v>
      </c>
      <c r="D302" s="176">
        <v>5493</v>
      </c>
      <c r="E302" s="175"/>
      <c r="F302" s="176">
        <v>74478109045120</v>
      </c>
      <c r="G302" s="175" t="s">
        <v>3785</v>
      </c>
      <c r="H302" s="176">
        <v>11111111</v>
      </c>
      <c r="I302" s="175" t="s">
        <v>3918</v>
      </c>
      <c r="J302" s="176">
        <v>1</v>
      </c>
      <c r="K302" s="175" t="s">
        <v>3742</v>
      </c>
      <c r="L302" s="204">
        <v>26446.28</v>
      </c>
      <c r="M302" s="176">
        <v>0</v>
      </c>
      <c r="N302" s="176">
        <v>0</v>
      </c>
      <c r="O302" s="176">
        <v>0</v>
      </c>
      <c r="P302" s="204">
        <v>5553.72</v>
      </c>
      <c r="Q302" s="176">
        <v>32000</v>
      </c>
    </row>
    <row r="303" spans="1:17">
      <c r="A303" s="175" t="s">
        <v>3863</v>
      </c>
      <c r="B303" s="175" t="s">
        <v>3744</v>
      </c>
      <c r="C303" s="176">
        <v>7</v>
      </c>
      <c r="D303" s="176">
        <v>5494</v>
      </c>
      <c r="E303" s="175"/>
      <c r="F303" s="176">
        <v>74478117774230</v>
      </c>
      <c r="G303" s="175" t="s">
        <v>3785</v>
      </c>
      <c r="H303" s="176">
        <v>11111111</v>
      </c>
      <c r="I303" s="175" t="s">
        <v>3918</v>
      </c>
      <c r="J303" s="176">
        <v>1</v>
      </c>
      <c r="K303" s="175" t="s">
        <v>3742</v>
      </c>
      <c r="L303" s="204">
        <v>25619.83</v>
      </c>
      <c r="M303" s="176">
        <v>0</v>
      </c>
      <c r="N303" s="176">
        <v>0</v>
      </c>
      <c r="O303" s="176">
        <v>0</v>
      </c>
      <c r="P303" s="204">
        <v>5380.17</v>
      </c>
      <c r="Q303" s="176">
        <v>31000</v>
      </c>
    </row>
    <row r="304" spans="1:17">
      <c r="A304" s="175" t="s">
        <v>3863</v>
      </c>
      <c r="B304" s="175" t="s">
        <v>3744</v>
      </c>
      <c r="C304" s="176">
        <v>7</v>
      </c>
      <c r="D304" s="176">
        <v>5495</v>
      </c>
      <c r="E304" s="175"/>
      <c r="F304" s="176">
        <v>74478121714906</v>
      </c>
      <c r="G304" s="175" t="s">
        <v>3785</v>
      </c>
      <c r="H304" s="176">
        <v>11111111</v>
      </c>
      <c r="I304" s="175" t="s">
        <v>3918</v>
      </c>
      <c r="J304" s="176">
        <v>1</v>
      </c>
      <c r="K304" s="175" t="s">
        <v>3742</v>
      </c>
      <c r="L304" s="175">
        <v>11487.6</v>
      </c>
      <c r="M304" s="176">
        <v>0</v>
      </c>
      <c r="N304" s="176">
        <v>0</v>
      </c>
      <c r="O304" s="176">
        <v>0</v>
      </c>
      <c r="P304" s="175">
        <v>2412.4</v>
      </c>
      <c r="Q304" s="176">
        <v>13900</v>
      </c>
    </row>
    <row r="305" spans="1:17">
      <c r="A305" s="175" t="s">
        <v>3863</v>
      </c>
      <c r="B305" s="175" t="s">
        <v>3744</v>
      </c>
      <c r="C305" s="176">
        <v>7</v>
      </c>
      <c r="D305" s="176">
        <v>5496</v>
      </c>
      <c r="E305" s="175"/>
      <c r="F305" s="176">
        <v>74478132700510</v>
      </c>
      <c r="G305" s="175" t="s">
        <v>3785</v>
      </c>
      <c r="H305" s="176">
        <v>11111111</v>
      </c>
      <c r="I305" s="175" t="s">
        <v>3918</v>
      </c>
      <c r="J305" s="176">
        <v>1</v>
      </c>
      <c r="K305" s="175" t="s">
        <v>3742</v>
      </c>
      <c r="L305" s="204">
        <v>26446.28</v>
      </c>
      <c r="M305" s="176">
        <v>0</v>
      </c>
      <c r="N305" s="176">
        <v>0</v>
      </c>
      <c r="O305" s="176">
        <v>0</v>
      </c>
      <c r="P305" s="204">
        <v>5553.72</v>
      </c>
      <c r="Q305" s="176">
        <v>32000</v>
      </c>
    </row>
    <row r="306" spans="1:17">
      <c r="A306" s="175" t="s">
        <v>3863</v>
      </c>
      <c r="B306" s="175" t="s">
        <v>3744</v>
      </c>
      <c r="C306" s="176">
        <v>7</v>
      </c>
      <c r="D306" s="176">
        <v>5497</v>
      </c>
      <c r="E306" s="175"/>
      <c r="F306" s="176">
        <v>74478133641981</v>
      </c>
      <c r="G306" s="175" t="s">
        <v>3785</v>
      </c>
      <c r="H306" s="176">
        <v>11111111</v>
      </c>
      <c r="I306" s="175" t="s">
        <v>3918</v>
      </c>
      <c r="J306" s="176">
        <v>1</v>
      </c>
      <c r="K306" s="175" t="s">
        <v>3742</v>
      </c>
      <c r="L306" s="175">
        <v>11487.6</v>
      </c>
      <c r="M306" s="176">
        <v>0</v>
      </c>
      <c r="N306" s="176">
        <v>0</v>
      </c>
      <c r="O306" s="176">
        <v>0</v>
      </c>
      <c r="P306" s="175">
        <v>2412.4</v>
      </c>
      <c r="Q306" s="176">
        <v>13900</v>
      </c>
    </row>
    <row r="307" spans="1:17">
      <c r="A307" s="175" t="s">
        <v>3863</v>
      </c>
      <c r="B307" s="175" t="s">
        <v>3744</v>
      </c>
      <c r="C307" s="176">
        <v>7</v>
      </c>
      <c r="D307" s="176">
        <v>5498</v>
      </c>
      <c r="E307" s="175"/>
      <c r="F307" s="176">
        <v>74478136557033</v>
      </c>
      <c r="G307" s="175" t="s">
        <v>3785</v>
      </c>
      <c r="H307" s="176">
        <v>11111111</v>
      </c>
      <c r="I307" s="175" t="s">
        <v>3918</v>
      </c>
      <c r="J307" s="176">
        <v>1</v>
      </c>
      <c r="K307" s="175" t="s">
        <v>3742</v>
      </c>
      <c r="L307" s="204">
        <v>13223.14</v>
      </c>
      <c r="M307" s="176">
        <v>0</v>
      </c>
      <c r="N307" s="176">
        <v>0</v>
      </c>
      <c r="O307" s="176">
        <v>0</v>
      </c>
      <c r="P307" s="204">
        <v>2776.86</v>
      </c>
      <c r="Q307" s="176">
        <v>16000</v>
      </c>
    </row>
    <row r="308" spans="1:17">
      <c r="A308" s="175" t="s">
        <v>3863</v>
      </c>
      <c r="B308" s="175" t="s">
        <v>3744</v>
      </c>
      <c r="C308" s="176">
        <v>7</v>
      </c>
      <c r="D308" s="176">
        <v>5499</v>
      </c>
      <c r="E308" s="175"/>
      <c r="F308" s="176">
        <v>74478139666679</v>
      </c>
      <c r="G308" s="175" t="s">
        <v>3785</v>
      </c>
      <c r="H308" s="176">
        <v>11111111</v>
      </c>
      <c r="I308" s="175" t="s">
        <v>3918</v>
      </c>
      <c r="J308" s="176">
        <v>1</v>
      </c>
      <c r="K308" s="175" t="s">
        <v>3742</v>
      </c>
      <c r="L308" s="204">
        <v>30578.51</v>
      </c>
      <c r="M308" s="176">
        <v>0</v>
      </c>
      <c r="N308" s="176">
        <v>0</v>
      </c>
      <c r="O308" s="176">
        <v>0</v>
      </c>
      <c r="P308" s="204">
        <v>6421.49</v>
      </c>
      <c r="Q308" s="176">
        <v>37000</v>
      </c>
    </row>
    <row r="309" spans="1:17">
      <c r="A309" s="175" t="s">
        <v>3863</v>
      </c>
      <c r="B309" s="175" t="s">
        <v>3744</v>
      </c>
      <c r="C309" s="176">
        <v>7</v>
      </c>
      <c r="D309" s="176">
        <v>5500</v>
      </c>
      <c r="E309" s="175"/>
      <c r="F309" s="176">
        <v>74478140441264</v>
      </c>
      <c r="G309" s="175" t="s">
        <v>3785</v>
      </c>
      <c r="H309" s="176">
        <v>11111111</v>
      </c>
      <c r="I309" s="175" t="s">
        <v>3918</v>
      </c>
      <c r="J309" s="176">
        <v>1</v>
      </c>
      <c r="K309" s="175" t="s">
        <v>3742</v>
      </c>
      <c r="L309" s="175">
        <v>29628.1</v>
      </c>
      <c r="M309" s="176">
        <v>0</v>
      </c>
      <c r="N309" s="176">
        <v>0</v>
      </c>
      <c r="O309" s="176">
        <v>0</v>
      </c>
      <c r="P309" s="175">
        <v>6221.9</v>
      </c>
      <c r="Q309" s="176">
        <v>35850</v>
      </c>
    </row>
    <row r="310" spans="1:17">
      <c r="A310" s="175" t="s">
        <v>3863</v>
      </c>
      <c r="B310" s="175" t="s">
        <v>3744</v>
      </c>
      <c r="C310" s="176">
        <v>7</v>
      </c>
      <c r="D310" s="176">
        <v>5501</v>
      </c>
      <c r="E310" s="175"/>
      <c r="F310" s="176">
        <v>74478141024947</v>
      </c>
      <c r="G310" s="175" t="s">
        <v>3785</v>
      </c>
      <c r="H310" s="176">
        <v>11111111</v>
      </c>
      <c r="I310" s="175" t="s">
        <v>3918</v>
      </c>
      <c r="J310" s="176">
        <v>1</v>
      </c>
      <c r="K310" s="175" t="s">
        <v>3742</v>
      </c>
      <c r="L310" s="204">
        <v>31198.35</v>
      </c>
      <c r="M310" s="176">
        <v>0</v>
      </c>
      <c r="N310" s="176">
        <v>0</v>
      </c>
      <c r="O310" s="176">
        <v>0</v>
      </c>
      <c r="P310" s="204">
        <v>6551.65</v>
      </c>
      <c r="Q310" s="176">
        <v>37750</v>
      </c>
    </row>
    <row r="311" spans="1:17">
      <c r="A311" s="175" t="s">
        <v>3863</v>
      </c>
      <c r="B311" s="175" t="s">
        <v>3744</v>
      </c>
      <c r="C311" s="176">
        <v>7</v>
      </c>
      <c r="D311" s="176">
        <v>5502</v>
      </c>
      <c r="E311" s="175"/>
      <c r="F311" s="176">
        <v>74478142502759</v>
      </c>
      <c r="G311" s="175" t="s">
        <v>3741</v>
      </c>
      <c r="H311" s="176">
        <v>30685228501</v>
      </c>
      <c r="I311" s="175" t="s">
        <v>3852</v>
      </c>
      <c r="J311" s="176">
        <v>1</v>
      </c>
      <c r="K311" s="175" t="s">
        <v>3742</v>
      </c>
      <c r="L311" s="204">
        <v>1057695.8700000001</v>
      </c>
      <c r="M311" s="176">
        <v>0</v>
      </c>
      <c r="N311" s="176">
        <v>0</v>
      </c>
      <c r="O311" s="176">
        <v>0</v>
      </c>
      <c r="P311" s="204">
        <v>222116.13</v>
      </c>
      <c r="Q311" s="176">
        <v>1279812</v>
      </c>
    </row>
    <row r="312" spans="1:17">
      <c r="A312" s="175" t="s">
        <v>3863</v>
      </c>
      <c r="B312" s="175" t="s">
        <v>3744</v>
      </c>
      <c r="C312" s="176">
        <v>7</v>
      </c>
      <c r="D312" s="176">
        <v>5503</v>
      </c>
      <c r="E312" s="175"/>
      <c r="F312" s="176">
        <v>74478146104642</v>
      </c>
      <c r="G312" s="175" t="s">
        <v>3785</v>
      </c>
      <c r="H312" s="176">
        <v>11111111</v>
      </c>
      <c r="I312" s="175" t="s">
        <v>3918</v>
      </c>
      <c r="J312" s="176">
        <v>1</v>
      </c>
      <c r="K312" s="175" t="s">
        <v>3742</v>
      </c>
      <c r="L312" s="204">
        <v>8264.4599999999991</v>
      </c>
      <c r="M312" s="176">
        <v>0</v>
      </c>
      <c r="N312" s="176">
        <v>0</v>
      </c>
      <c r="O312" s="176">
        <v>0</v>
      </c>
      <c r="P312" s="204">
        <v>1735.54</v>
      </c>
      <c r="Q312" s="176">
        <v>10000</v>
      </c>
    </row>
    <row r="313" spans="1:17">
      <c r="A313" s="175" t="s">
        <v>3924</v>
      </c>
      <c r="B313" s="175" t="s">
        <v>3744</v>
      </c>
      <c r="C313" s="176">
        <v>7</v>
      </c>
      <c r="D313" s="176">
        <v>5504</v>
      </c>
      <c r="E313" s="175"/>
      <c r="F313" s="176">
        <v>74478334723844</v>
      </c>
      <c r="G313" s="175" t="s">
        <v>3785</v>
      </c>
      <c r="H313" s="176">
        <v>11111111</v>
      </c>
      <c r="I313" s="175" t="s">
        <v>3918</v>
      </c>
      <c r="J313" s="176">
        <v>1</v>
      </c>
      <c r="K313" s="175" t="s">
        <v>3742</v>
      </c>
      <c r="L313" s="204">
        <v>3.72</v>
      </c>
      <c r="M313" s="176">
        <v>0</v>
      </c>
      <c r="N313" s="176">
        <v>0</v>
      </c>
      <c r="O313" s="176">
        <v>0</v>
      </c>
      <c r="P313" s="204">
        <v>0.78</v>
      </c>
      <c r="Q313" s="175">
        <v>4.5</v>
      </c>
    </row>
    <row r="314" spans="1:17">
      <c r="A314" s="175" t="s">
        <v>3861</v>
      </c>
      <c r="B314" s="175" t="s">
        <v>3744</v>
      </c>
      <c r="C314" s="176">
        <v>7</v>
      </c>
      <c r="D314" s="176">
        <v>5505</v>
      </c>
      <c r="E314" s="175"/>
      <c r="F314" s="176">
        <v>74488410590574</v>
      </c>
      <c r="G314" s="176">
        <v>99</v>
      </c>
      <c r="H314" s="176">
        <v>0</v>
      </c>
      <c r="I314" s="175"/>
      <c r="J314" s="176">
        <v>1</v>
      </c>
      <c r="K314" s="175" t="s">
        <v>3742</v>
      </c>
      <c r="L314" s="204">
        <v>12892.56</v>
      </c>
      <c r="M314" s="176">
        <v>0</v>
      </c>
      <c r="N314" s="176">
        <v>0</v>
      </c>
      <c r="O314" s="176">
        <v>0</v>
      </c>
      <c r="P314" s="204">
        <v>2707.44</v>
      </c>
      <c r="Q314" s="176">
        <v>15600</v>
      </c>
    </row>
    <row r="315" spans="1:17">
      <c r="A315" s="175" t="s">
        <v>3861</v>
      </c>
      <c r="B315" s="175" t="s">
        <v>3744</v>
      </c>
      <c r="C315" s="176">
        <v>7</v>
      </c>
      <c r="D315" s="176">
        <v>5506</v>
      </c>
      <c r="E315" s="175"/>
      <c r="F315" s="176">
        <v>74488423878949</v>
      </c>
      <c r="G315" s="176">
        <v>99</v>
      </c>
      <c r="H315" s="176">
        <v>0</v>
      </c>
      <c r="I315" s="175"/>
      <c r="J315" s="176">
        <v>1</v>
      </c>
      <c r="K315" s="175" t="s">
        <v>3742</v>
      </c>
      <c r="L315" s="204">
        <v>5206.6099999999997</v>
      </c>
      <c r="M315" s="176">
        <v>0</v>
      </c>
      <c r="N315" s="176">
        <v>0</v>
      </c>
      <c r="O315" s="176">
        <v>0</v>
      </c>
      <c r="P315" s="204">
        <v>1093.3900000000001</v>
      </c>
      <c r="Q315" s="176">
        <v>6300</v>
      </c>
    </row>
    <row r="316" spans="1:17">
      <c r="A316" s="175" t="s">
        <v>3861</v>
      </c>
      <c r="B316" s="175" t="s">
        <v>3744</v>
      </c>
      <c r="C316" s="176">
        <v>7</v>
      </c>
      <c r="D316" s="176">
        <v>5507</v>
      </c>
      <c r="E316" s="175"/>
      <c r="F316" s="176">
        <v>74488426524073</v>
      </c>
      <c r="G316" s="176">
        <v>99</v>
      </c>
      <c r="H316" s="176">
        <v>0</v>
      </c>
      <c r="I316" s="175"/>
      <c r="J316" s="176">
        <v>1</v>
      </c>
      <c r="K316" s="175" t="s">
        <v>3742</v>
      </c>
      <c r="L316" s="204">
        <v>20454.55</v>
      </c>
      <c r="M316" s="176">
        <v>0</v>
      </c>
      <c r="N316" s="176">
        <v>0</v>
      </c>
      <c r="O316" s="176">
        <v>0</v>
      </c>
      <c r="P316" s="204">
        <v>4295.45</v>
      </c>
      <c r="Q316" s="176">
        <v>24750</v>
      </c>
    </row>
    <row r="317" spans="1:17">
      <c r="A317" s="175" t="s">
        <v>3861</v>
      </c>
      <c r="B317" s="175" t="s">
        <v>3744</v>
      </c>
      <c r="C317" s="176">
        <v>7</v>
      </c>
      <c r="D317" s="176">
        <v>5508</v>
      </c>
      <c r="E317" s="175"/>
      <c r="F317" s="176">
        <v>74488436073190</v>
      </c>
      <c r="G317" s="176">
        <v>99</v>
      </c>
      <c r="H317" s="176">
        <v>0</v>
      </c>
      <c r="I317" s="175"/>
      <c r="J317" s="176">
        <v>1</v>
      </c>
      <c r="K317" s="175" t="s">
        <v>3742</v>
      </c>
      <c r="L317" s="204">
        <v>12396.69</v>
      </c>
      <c r="M317" s="176">
        <v>0</v>
      </c>
      <c r="N317" s="176">
        <v>0</v>
      </c>
      <c r="O317" s="176">
        <v>0</v>
      </c>
      <c r="P317" s="204">
        <v>2603.31</v>
      </c>
      <c r="Q317" s="176">
        <v>15000</v>
      </c>
    </row>
    <row r="318" spans="1:17">
      <c r="A318" s="175" t="s">
        <v>3861</v>
      </c>
      <c r="B318" s="175" t="s">
        <v>3744</v>
      </c>
      <c r="C318" s="176">
        <v>7</v>
      </c>
      <c r="D318" s="176">
        <v>5509</v>
      </c>
      <c r="E318" s="175"/>
      <c r="F318" s="176">
        <v>74488441728966</v>
      </c>
      <c r="G318" s="176">
        <v>99</v>
      </c>
      <c r="H318" s="176">
        <v>0</v>
      </c>
      <c r="I318" s="175"/>
      <c r="J318" s="176">
        <v>1</v>
      </c>
      <c r="K318" s="175" t="s">
        <v>3742</v>
      </c>
      <c r="L318" s="204">
        <v>28429.75</v>
      </c>
      <c r="M318" s="176">
        <v>0</v>
      </c>
      <c r="N318" s="176">
        <v>0</v>
      </c>
      <c r="O318" s="176">
        <v>0</v>
      </c>
      <c r="P318" s="204">
        <v>5970.25</v>
      </c>
      <c r="Q318" s="176">
        <v>34400</v>
      </c>
    </row>
    <row r="319" spans="1:17">
      <c r="A319" s="175" t="s">
        <v>3861</v>
      </c>
      <c r="B319" s="175" t="s">
        <v>3744</v>
      </c>
      <c r="C319" s="176">
        <v>7</v>
      </c>
      <c r="D319" s="176">
        <v>5510</v>
      </c>
      <c r="E319" s="175"/>
      <c r="F319" s="176">
        <v>74488442762515</v>
      </c>
      <c r="G319" s="175" t="s">
        <v>3785</v>
      </c>
      <c r="H319" s="176">
        <v>36174950</v>
      </c>
      <c r="I319" s="175" t="s">
        <v>3925</v>
      </c>
      <c r="J319" s="176">
        <v>1</v>
      </c>
      <c r="K319" s="175" t="s">
        <v>3742</v>
      </c>
      <c r="L319" s="204">
        <v>28429.75</v>
      </c>
      <c r="M319" s="176">
        <v>0</v>
      </c>
      <c r="N319" s="176">
        <v>0</v>
      </c>
      <c r="O319" s="176">
        <v>0</v>
      </c>
      <c r="P319" s="204">
        <v>5970.25</v>
      </c>
      <c r="Q319" s="176">
        <v>34400</v>
      </c>
    </row>
    <row r="320" spans="1:17">
      <c r="A320" s="175" t="s">
        <v>3861</v>
      </c>
      <c r="B320" s="175" t="s">
        <v>3744</v>
      </c>
      <c r="C320" s="176">
        <v>7</v>
      </c>
      <c r="D320" s="176">
        <v>5511</v>
      </c>
      <c r="E320" s="175"/>
      <c r="F320" s="176">
        <v>74488446800692</v>
      </c>
      <c r="G320" s="176">
        <v>99</v>
      </c>
      <c r="H320" s="176">
        <v>0</v>
      </c>
      <c r="I320" s="175"/>
      <c r="J320" s="176">
        <v>1</v>
      </c>
      <c r="K320" s="175" t="s">
        <v>3742</v>
      </c>
      <c r="L320" s="204">
        <v>13223.14</v>
      </c>
      <c r="M320" s="176">
        <v>0</v>
      </c>
      <c r="N320" s="176">
        <v>0</v>
      </c>
      <c r="O320" s="176">
        <v>0</v>
      </c>
      <c r="P320" s="204">
        <v>2776.86</v>
      </c>
      <c r="Q320" s="176">
        <v>16000</v>
      </c>
    </row>
    <row r="321" spans="1:17">
      <c r="A321" s="175" t="s">
        <v>3861</v>
      </c>
      <c r="B321" s="175" t="s">
        <v>3744</v>
      </c>
      <c r="C321" s="176">
        <v>7</v>
      </c>
      <c r="D321" s="176">
        <v>5512</v>
      </c>
      <c r="E321" s="175"/>
      <c r="F321" s="176">
        <v>74488449743290</v>
      </c>
      <c r="G321" s="176">
        <v>99</v>
      </c>
      <c r="H321" s="176">
        <v>0</v>
      </c>
      <c r="I321" s="175"/>
      <c r="J321" s="176">
        <v>1</v>
      </c>
      <c r="K321" s="175" t="s">
        <v>3742</v>
      </c>
      <c r="L321" s="204">
        <v>8677.69</v>
      </c>
      <c r="M321" s="176">
        <v>0</v>
      </c>
      <c r="N321" s="176">
        <v>0</v>
      </c>
      <c r="O321" s="176">
        <v>0</v>
      </c>
      <c r="P321" s="204">
        <v>1822.31</v>
      </c>
      <c r="Q321" s="176">
        <v>10500</v>
      </c>
    </row>
    <row r="322" spans="1:17">
      <c r="A322" s="175" t="s">
        <v>3861</v>
      </c>
      <c r="B322" s="175" t="s">
        <v>3744</v>
      </c>
      <c r="C322" s="176">
        <v>7</v>
      </c>
      <c r="D322" s="176">
        <v>5513</v>
      </c>
      <c r="E322" s="175"/>
      <c r="F322" s="176">
        <v>74488456360116</v>
      </c>
      <c r="G322" s="176">
        <v>99</v>
      </c>
      <c r="H322" s="176">
        <v>0</v>
      </c>
      <c r="I322" s="175"/>
      <c r="J322" s="176">
        <v>1</v>
      </c>
      <c r="K322" s="175" t="s">
        <v>3742</v>
      </c>
      <c r="L322" s="204">
        <v>20454.55</v>
      </c>
      <c r="M322" s="176">
        <v>0</v>
      </c>
      <c r="N322" s="176">
        <v>0</v>
      </c>
      <c r="O322" s="176">
        <v>0</v>
      </c>
      <c r="P322" s="204">
        <v>4295.45</v>
      </c>
      <c r="Q322" s="176">
        <v>24750</v>
      </c>
    </row>
    <row r="323" spans="1:17">
      <c r="A323" s="175" t="s">
        <v>3861</v>
      </c>
      <c r="B323" s="175" t="s">
        <v>3744</v>
      </c>
      <c r="C323" s="176">
        <v>7</v>
      </c>
      <c r="D323" s="176">
        <v>5514</v>
      </c>
      <c r="E323" s="175"/>
      <c r="F323" s="176">
        <v>74488470039169</v>
      </c>
      <c r="G323" s="176">
        <v>99</v>
      </c>
      <c r="H323" s="176">
        <v>0</v>
      </c>
      <c r="I323" s="175"/>
      <c r="J323" s="176">
        <v>1</v>
      </c>
      <c r="K323" s="175" t="s">
        <v>3742</v>
      </c>
      <c r="L323" s="204">
        <v>8.26</v>
      </c>
      <c r="M323" s="176">
        <v>0</v>
      </c>
      <c r="N323" s="176">
        <v>0</v>
      </c>
      <c r="O323" s="176">
        <v>0</v>
      </c>
      <c r="P323" s="204">
        <v>1.74</v>
      </c>
      <c r="Q323" s="176">
        <v>10</v>
      </c>
    </row>
    <row r="324" spans="1:17">
      <c r="A324" s="175" t="s">
        <v>3895</v>
      </c>
      <c r="B324" s="175" t="s">
        <v>3744</v>
      </c>
      <c r="C324" s="176">
        <v>7</v>
      </c>
      <c r="D324" s="176">
        <v>5515</v>
      </c>
      <c r="E324" s="175"/>
      <c r="F324" s="176">
        <v>74488662718991</v>
      </c>
      <c r="G324" s="175" t="s">
        <v>3785</v>
      </c>
      <c r="H324" s="176">
        <v>4648296</v>
      </c>
      <c r="I324" s="175"/>
      <c r="J324" s="176">
        <v>1</v>
      </c>
      <c r="K324" s="175" t="s">
        <v>3742</v>
      </c>
      <c r="L324" s="204">
        <v>20661.16</v>
      </c>
      <c r="M324" s="176">
        <v>0</v>
      </c>
      <c r="N324" s="176">
        <v>0</v>
      </c>
      <c r="O324" s="176">
        <v>0</v>
      </c>
      <c r="P324" s="204">
        <v>4338.84</v>
      </c>
      <c r="Q324" s="176">
        <v>25000</v>
      </c>
    </row>
    <row r="325" spans="1:17">
      <c r="A325" s="175" t="s">
        <v>3895</v>
      </c>
      <c r="B325" s="175" t="s">
        <v>3744</v>
      </c>
      <c r="C325" s="176">
        <v>7</v>
      </c>
      <c r="D325" s="176">
        <v>5516</v>
      </c>
      <c r="E325" s="175"/>
      <c r="F325" s="176">
        <v>74488663848930</v>
      </c>
      <c r="G325" s="175" t="s">
        <v>3785</v>
      </c>
      <c r="H325" s="176">
        <v>705467</v>
      </c>
      <c r="I325" s="175" t="s">
        <v>3926</v>
      </c>
      <c r="J325" s="176">
        <v>1</v>
      </c>
      <c r="K325" s="175" t="s">
        <v>3742</v>
      </c>
      <c r="L325" s="204">
        <v>15289.26</v>
      </c>
      <c r="M325" s="176">
        <v>0</v>
      </c>
      <c r="N325" s="176">
        <v>0</v>
      </c>
      <c r="O325" s="176">
        <v>0</v>
      </c>
      <c r="P325" s="204">
        <v>3210.74</v>
      </c>
      <c r="Q325" s="176">
        <v>18500</v>
      </c>
    </row>
    <row r="326" spans="1:17">
      <c r="A326" s="175" t="s">
        <v>3895</v>
      </c>
      <c r="B326" s="175" t="s">
        <v>3744</v>
      </c>
      <c r="C326" s="176">
        <v>7</v>
      </c>
      <c r="D326" s="176">
        <v>5517</v>
      </c>
      <c r="E326" s="175"/>
      <c r="F326" s="176">
        <v>74488665506911</v>
      </c>
      <c r="G326" s="175" t="s">
        <v>3785</v>
      </c>
      <c r="H326" s="176">
        <v>705467</v>
      </c>
      <c r="I326" s="175" t="s">
        <v>3926</v>
      </c>
      <c r="J326" s="176">
        <v>1</v>
      </c>
      <c r="K326" s="175" t="s">
        <v>3742</v>
      </c>
      <c r="L326" s="204">
        <v>15289.26</v>
      </c>
      <c r="M326" s="176">
        <v>0</v>
      </c>
      <c r="N326" s="176">
        <v>0</v>
      </c>
      <c r="O326" s="176">
        <v>0</v>
      </c>
      <c r="P326" s="204">
        <v>3210.74</v>
      </c>
      <c r="Q326" s="176">
        <v>18500</v>
      </c>
    </row>
    <row r="327" spans="1:17">
      <c r="A327" s="175" t="s">
        <v>3895</v>
      </c>
      <c r="B327" s="175" t="s">
        <v>3744</v>
      </c>
      <c r="C327" s="176">
        <v>7</v>
      </c>
      <c r="D327" s="176">
        <v>5518</v>
      </c>
      <c r="E327" s="175"/>
      <c r="F327" s="176">
        <v>74488668364877</v>
      </c>
      <c r="G327" s="175" t="s">
        <v>3785</v>
      </c>
      <c r="H327" s="176">
        <v>25864351</v>
      </c>
      <c r="I327" s="175" t="s">
        <v>3927</v>
      </c>
      <c r="J327" s="176">
        <v>1</v>
      </c>
      <c r="K327" s="175" t="s">
        <v>3742</v>
      </c>
      <c r="L327" s="204">
        <v>19834.71</v>
      </c>
      <c r="M327" s="176">
        <v>0</v>
      </c>
      <c r="N327" s="176">
        <v>0</v>
      </c>
      <c r="O327" s="176">
        <v>0</v>
      </c>
      <c r="P327" s="204">
        <v>4165.29</v>
      </c>
      <c r="Q327" s="176">
        <v>24000</v>
      </c>
    </row>
    <row r="328" spans="1:17">
      <c r="A328" s="175" t="s">
        <v>3895</v>
      </c>
      <c r="B328" s="175" t="s">
        <v>3744</v>
      </c>
      <c r="C328" s="176">
        <v>7</v>
      </c>
      <c r="D328" s="176">
        <v>5519</v>
      </c>
      <c r="E328" s="175"/>
      <c r="F328" s="176">
        <v>74488670382072</v>
      </c>
      <c r="G328" s="175" t="s">
        <v>3785</v>
      </c>
      <c r="H328" s="176">
        <v>239511</v>
      </c>
      <c r="I328" s="175" t="s">
        <v>3928</v>
      </c>
      <c r="J328" s="176">
        <v>1</v>
      </c>
      <c r="K328" s="175" t="s">
        <v>3742</v>
      </c>
      <c r="L328" s="204">
        <v>6611.57</v>
      </c>
      <c r="M328" s="176">
        <v>0</v>
      </c>
      <c r="N328" s="176">
        <v>0</v>
      </c>
      <c r="O328" s="176">
        <v>0</v>
      </c>
      <c r="P328" s="204">
        <v>1388.43</v>
      </c>
      <c r="Q328" s="176">
        <v>8000</v>
      </c>
    </row>
    <row r="329" spans="1:17">
      <c r="A329" s="175" t="s">
        <v>3895</v>
      </c>
      <c r="B329" s="175" t="s">
        <v>3744</v>
      </c>
      <c r="C329" s="176">
        <v>7</v>
      </c>
      <c r="D329" s="176">
        <v>5520</v>
      </c>
      <c r="E329" s="175"/>
      <c r="F329" s="176">
        <v>74488671290077</v>
      </c>
      <c r="G329" s="175" t="s">
        <v>3785</v>
      </c>
      <c r="H329" s="176">
        <v>24448662</v>
      </c>
      <c r="I329" s="175" t="s">
        <v>3929</v>
      </c>
      <c r="J329" s="176">
        <v>1</v>
      </c>
      <c r="K329" s="175" t="s">
        <v>3742</v>
      </c>
      <c r="L329" s="204">
        <v>31404.959999999999</v>
      </c>
      <c r="M329" s="176">
        <v>0</v>
      </c>
      <c r="N329" s="176">
        <v>0</v>
      </c>
      <c r="O329" s="176">
        <v>0</v>
      </c>
      <c r="P329" s="204">
        <v>6595.04</v>
      </c>
      <c r="Q329" s="176">
        <v>38000</v>
      </c>
    </row>
    <row r="330" spans="1:17">
      <c r="A330" s="175" t="s">
        <v>3895</v>
      </c>
      <c r="B330" s="175" t="s">
        <v>3744</v>
      </c>
      <c r="C330" s="176">
        <v>7</v>
      </c>
      <c r="D330" s="176">
        <v>5521</v>
      </c>
      <c r="E330" s="175"/>
      <c r="F330" s="176">
        <v>74488672448813</v>
      </c>
      <c r="G330" s="176">
        <v>99</v>
      </c>
      <c r="H330" s="176">
        <v>0</v>
      </c>
      <c r="I330" s="175"/>
      <c r="J330" s="176">
        <v>1</v>
      </c>
      <c r="K330" s="175" t="s">
        <v>3742</v>
      </c>
      <c r="L330" s="204">
        <v>20661.16</v>
      </c>
      <c r="M330" s="176">
        <v>0</v>
      </c>
      <c r="N330" s="176">
        <v>0</v>
      </c>
      <c r="O330" s="176">
        <v>0</v>
      </c>
      <c r="P330" s="204">
        <v>4338.84</v>
      </c>
      <c r="Q330" s="176">
        <v>25000</v>
      </c>
    </row>
    <row r="331" spans="1:17">
      <c r="A331" s="175" t="s">
        <v>3895</v>
      </c>
      <c r="B331" s="175" t="s">
        <v>3744</v>
      </c>
      <c r="C331" s="176">
        <v>7</v>
      </c>
      <c r="D331" s="176">
        <v>5522</v>
      </c>
      <c r="E331" s="175"/>
      <c r="F331" s="176">
        <v>74488675247167</v>
      </c>
      <c r="G331" s="176">
        <v>99</v>
      </c>
      <c r="H331" s="176">
        <v>0</v>
      </c>
      <c r="I331" s="175"/>
      <c r="J331" s="176">
        <v>1</v>
      </c>
      <c r="K331" s="175" t="s">
        <v>3742</v>
      </c>
      <c r="L331" s="204">
        <v>70082.64</v>
      </c>
      <c r="M331" s="176">
        <v>0</v>
      </c>
      <c r="N331" s="176">
        <v>0</v>
      </c>
      <c r="O331" s="176">
        <v>0</v>
      </c>
      <c r="P331" s="204">
        <v>14717.36</v>
      </c>
      <c r="Q331" s="176">
        <v>84800</v>
      </c>
    </row>
    <row r="332" spans="1:17">
      <c r="A332" s="175" t="s">
        <v>3895</v>
      </c>
      <c r="B332" s="175" t="s">
        <v>3744</v>
      </c>
      <c r="C332" s="176">
        <v>7</v>
      </c>
      <c r="D332" s="176">
        <v>5523</v>
      </c>
      <c r="E332" s="175"/>
      <c r="F332" s="176">
        <v>74488675675170</v>
      </c>
      <c r="G332" s="176">
        <v>99</v>
      </c>
      <c r="H332" s="176">
        <v>0</v>
      </c>
      <c r="I332" s="175"/>
      <c r="J332" s="176">
        <v>1</v>
      </c>
      <c r="K332" s="175" t="s">
        <v>3742</v>
      </c>
      <c r="L332" s="204">
        <v>70082.64</v>
      </c>
      <c r="M332" s="176">
        <v>0</v>
      </c>
      <c r="N332" s="176">
        <v>0</v>
      </c>
      <c r="O332" s="176">
        <v>0</v>
      </c>
      <c r="P332" s="204">
        <v>14717.36</v>
      </c>
      <c r="Q332" s="176">
        <v>84800</v>
      </c>
    </row>
    <row r="333" spans="1:17">
      <c r="A333" s="175" t="s">
        <v>3895</v>
      </c>
      <c r="B333" s="175" t="s">
        <v>3744</v>
      </c>
      <c r="C333" s="176">
        <v>7</v>
      </c>
      <c r="D333" s="176">
        <v>5524</v>
      </c>
      <c r="E333" s="175"/>
      <c r="F333" s="176">
        <v>74488678577097</v>
      </c>
      <c r="G333" s="176">
        <v>99</v>
      </c>
      <c r="H333" s="176">
        <v>0</v>
      </c>
      <c r="I333" s="175"/>
      <c r="J333" s="176">
        <v>1</v>
      </c>
      <c r="K333" s="175" t="s">
        <v>3742</v>
      </c>
      <c r="L333" s="204">
        <v>12508.26</v>
      </c>
      <c r="M333" s="176">
        <v>0</v>
      </c>
      <c r="N333" s="176">
        <v>0</v>
      </c>
      <c r="O333" s="176">
        <v>0</v>
      </c>
      <c r="P333" s="204">
        <v>2626.74</v>
      </c>
      <c r="Q333" s="176">
        <v>15135</v>
      </c>
    </row>
    <row r="334" spans="1:17">
      <c r="A334" s="175" t="s">
        <v>3895</v>
      </c>
      <c r="B334" s="175" t="s">
        <v>3744</v>
      </c>
      <c r="C334" s="176">
        <v>7</v>
      </c>
      <c r="D334" s="176">
        <v>5525</v>
      </c>
      <c r="E334" s="175"/>
      <c r="F334" s="176">
        <v>74488679770469</v>
      </c>
      <c r="G334" s="176">
        <v>99</v>
      </c>
      <c r="H334" s="176">
        <v>0</v>
      </c>
      <c r="I334" s="175"/>
      <c r="J334" s="176">
        <v>1</v>
      </c>
      <c r="K334" s="175" t="s">
        <v>3742</v>
      </c>
      <c r="L334" s="204">
        <v>20661.16</v>
      </c>
      <c r="M334" s="176">
        <v>0</v>
      </c>
      <c r="N334" s="176">
        <v>0</v>
      </c>
      <c r="O334" s="176">
        <v>0</v>
      </c>
      <c r="P334" s="204">
        <v>4338.84</v>
      </c>
      <c r="Q334" s="176">
        <v>25000</v>
      </c>
    </row>
    <row r="335" spans="1:17">
      <c r="A335" s="175" t="s">
        <v>3895</v>
      </c>
      <c r="B335" s="175" t="s">
        <v>3744</v>
      </c>
      <c r="C335" s="176">
        <v>7</v>
      </c>
      <c r="D335" s="176">
        <v>5526</v>
      </c>
      <c r="E335" s="175"/>
      <c r="F335" s="176">
        <v>74488682060630</v>
      </c>
      <c r="G335" s="176">
        <v>99</v>
      </c>
      <c r="H335" s="176">
        <v>0</v>
      </c>
      <c r="I335" s="175"/>
      <c r="J335" s="176">
        <v>1</v>
      </c>
      <c r="K335" s="175" t="s">
        <v>3742</v>
      </c>
      <c r="L335" s="204">
        <v>19834.71</v>
      </c>
      <c r="M335" s="176">
        <v>0</v>
      </c>
      <c r="N335" s="176">
        <v>0</v>
      </c>
      <c r="O335" s="176">
        <v>0</v>
      </c>
      <c r="P335" s="204">
        <v>4165.29</v>
      </c>
      <c r="Q335" s="176">
        <v>24000</v>
      </c>
    </row>
    <row r="336" spans="1:17">
      <c r="A336" s="175" t="s">
        <v>3895</v>
      </c>
      <c r="B336" s="175" t="s">
        <v>3744</v>
      </c>
      <c r="C336" s="176">
        <v>7</v>
      </c>
      <c r="D336" s="176">
        <v>5527</v>
      </c>
      <c r="E336" s="175"/>
      <c r="F336" s="176">
        <v>74488682578835</v>
      </c>
      <c r="G336" s="176">
        <v>99</v>
      </c>
      <c r="H336" s="176">
        <v>0</v>
      </c>
      <c r="I336" s="175"/>
      <c r="J336" s="176">
        <v>1</v>
      </c>
      <c r="K336" s="175" t="s">
        <v>3742</v>
      </c>
      <c r="L336" s="204">
        <v>19834.71</v>
      </c>
      <c r="M336" s="176">
        <v>0</v>
      </c>
      <c r="N336" s="176">
        <v>0</v>
      </c>
      <c r="O336" s="176">
        <v>0</v>
      </c>
      <c r="P336" s="204">
        <v>4165.29</v>
      </c>
      <c r="Q336" s="176">
        <v>24000</v>
      </c>
    </row>
    <row r="337" spans="1:17">
      <c r="A337" s="175" t="s">
        <v>3895</v>
      </c>
      <c r="B337" s="175" t="s">
        <v>3744</v>
      </c>
      <c r="C337" s="176">
        <v>7</v>
      </c>
      <c r="D337" s="176">
        <v>5528</v>
      </c>
      <c r="E337" s="175"/>
      <c r="F337" s="176">
        <v>74488689460465</v>
      </c>
      <c r="G337" s="176">
        <v>99</v>
      </c>
      <c r="H337" s="176">
        <v>0</v>
      </c>
      <c r="I337" s="175"/>
      <c r="J337" s="176">
        <v>1</v>
      </c>
      <c r="K337" s="175" t="s">
        <v>3742</v>
      </c>
      <c r="L337" s="204">
        <v>19834.71</v>
      </c>
      <c r="M337" s="176">
        <v>0</v>
      </c>
      <c r="N337" s="176">
        <v>0</v>
      </c>
      <c r="O337" s="176">
        <v>0</v>
      </c>
      <c r="P337" s="204">
        <v>4165.29</v>
      </c>
      <c r="Q337" s="176">
        <v>24000</v>
      </c>
    </row>
    <row r="338" spans="1:17">
      <c r="A338" s="175" t="s">
        <v>3895</v>
      </c>
      <c r="B338" s="175" t="s">
        <v>3744</v>
      </c>
      <c r="C338" s="176">
        <v>7</v>
      </c>
      <c r="D338" s="176">
        <v>5529</v>
      </c>
      <c r="E338" s="175"/>
      <c r="F338" s="176">
        <v>74488690427754</v>
      </c>
      <c r="G338" s="176">
        <v>99</v>
      </c>
      <c r="H338" s="176">
        <v>0</v>
      </c>
      <c r="I338" s="175"/>
      <c r="J338" s="176">
        <v>1</v>
      </c>
      <c r="K338" s="175" t="s">
        <v>3742</v>
      </c>
      <c r="L338" s="204">
        <v>19834.71</v>
      </c>
      <c r="M338" s="176">
        <v>0</v>
      </c>
      <c r="N338" s="176">
        <v>0</v>
      </c>
      <c r="O338" s="176">
        <v>0</v>
      </c>
      <c r="P338" s="204">
        <v>4165.29</v>
      </c>
      <c r="Q338" s="176">
        <v>24000</v>
      </c>
    </row>
    <row r="339" spans="1:17">
      <c r="A339" s="175" t="s">
        <v>3895</v>
      </c>
      <c r="B339" s="175" t="s">
        <v>3744</v>
      </c>
      <c r="C339" s="176">
        <v>7</v>
      </c>
      <c r="D339" s="176">
        <v>5530</v>
      </c>
      <c r="E339" s="175"/>
      <c r="F339" s="176">
        <v>74488690797191</v>
      </c>
      <c r="G339" s="176">
        <v>99</v>
      </c>
      <c r="H339" s="176">
        <v>0</v>
      </c>
      <c r="I339" s="175"/>
      <c r="J339" s="176">
        <v>1</v>
      </c>
      <c r="K339" s="175" t="s">
        <v>3742</v>
      </c>
      <c r="L339" s="204">
        <v>19834.71</v>
      </c>
      <c r="M339" s="176">
        <v>0</v>
      </c>
      <c r="N339" s="176">
        <v>0</v>
      </c>
      <c r="O339" s="176">
        <v>0</v>
      </c>
      <c r="P339" s="204">
        <v>4165.29</v>
      </c>
      <c r="Q339" s="176">
        <v>24000</v>
      </c>
    </row>
    <row r="340" spans="1:17">
      <c r="A340" s="175" t="s">
        <v>3895</v>
      </c>
      <c r="B340" s="175" t="s">
        <v>3744</v>
      </c>
      <c r="C340" s="176">
        <v>7</v>
      </c>
      <c r="D340" s="176">
        <v>5531</v>
      </c>
      <c r="E340" s="175"/>
      <c r="F340" s="176">
        <v>74488691601443</v>
      </c>
      <c r="G340" s="176">
        <v>99</v>
      </c>
      <c r="H340" s="176">
        <v>0</v>
      </c>
      <c r="I340" s="175"/>
      <c r="J340" s="176">
        <v>1</v>
      </c>
      <c r="K340" s="175" t="s">
        <v>3742</v>
      </c>
      <c r="L340" s="176">
        <v>7500</v>
      </c>
      <c r="M340" s="176">
        <v>0</v>
      </c>
      <c r="N340" s="176">
        <v>0</v>
      </c>
      <c r="O340" s="176">
        <v>0</v>
      </c>
      <c r="P340" s="176">
        <v>1575</v>
      </c>
      <c r="Q340" s="176">
        <v>9075</v>
      </c>
    </row>
    <row r="341" spans="1:17">
      <c r="A341" s="175" t="s">
        <v>3901</v>
      </c>
      <c r="B341" s="175" t="s">
        <v>3744</v>
      </c>
      <c r="C341" s="176">
        <v>7</v>
      </c>
      <c r="D341" s="176">
        <v>5532</v>
      </c>
      <c r="E341" s="175"/>
      <c r="F341" s="176">
        <v>74488817180296</v>
      </c>
      <c r="G341" s="175" t="s">
        <v>3785</v>
      </c>
      <c r="H341" s="176">
        <v>902191</v>
      </c>
      <c r="I341" s="175"/>
      <c r="J341" s="176">
        <v>1</v>
      </c>
      <c r="K341" s="175" t="s">
        <v>3742</v>
      </c>
      <c r="L341" s="204">
        <v>15289.26</v>
      </c>
      <c r="M341" s="176">
        <v>0</v>
      </c>
      <c r="N341" s="176">
        <v>0</v>
      </c>
      <c r="O341" s="176">
        <v>0</v>
      </c>
      <c r="P341" s="204">
        <v>3210.74</v>
      </c>
      <c r="Q341" s="176">
        <v>18500</v>
      </c>
    </row>
    <row r="342" spans="1:17">
      <c r="A342" s="175" t="s">
        <v>3901</v>
      </c>
      <c r="B342" s="175" t="s">
        <v>3744</v>
      </c>
      <c r="C342" s="176">
        <v>7</v>
      </c>
      <c r="D342" s="176">
        <v>5533</v>
      </c>
      <c r="E342" s="175"/>
      <c r="F342" s="176">
        <v>74488822373601</v>
      </c>
      <c r="G342" s="176">
        <v>99</v>
      </c>
      <c r="H342" s="176">
        <v>0</v>
      </c>
      <c r="I342" s="175"/>
      <c r="J342" s="176">
        <v>1</v>
      </c>
      <c r="K342" s="175" t="s">
        <v>3742</v>
      </c>
      <c r="L342" s="176">
        <v>7500</v>
      </c>
      <c r="M342" s="176">
        <v>0</v>
      </c>
      <c r="N342" s="176">
        <v>0</v>
      </c>
      <c r="O342" s="176">
        <v>0</v>
      </c>
      <c r="P342" s="176">
        <v>1575</v>
      </c>
      <c r="Q342" s="176">
        <v>9075</v>
      </c>
    </row>
    <row r="343" spans="1:17">
      <c r="A343" s="175" t="s">
        <v>3901</v>
      </c>
      <c r="B343" s="175" t="s">
        <v>3744</v>
      </c>
      <c r="C343" s="176">
        <v>7</v>
      </c>
      <c r="D343" s="176">
        <v>5534</v>
      </c>
      <c r="E343" s="175"/>
      <c r="F343" s="176">
        <v>74488828490372</v>
      </c>
      <c r="G343" s="176">
        <v>99</v>
      </c>
      <c r="H343" s="176">
        <v>0</v>
      </c>
      <c r="I343" s="175"/>
      <c r="J343" s="176">
        <v>1</v>
      </c>
      <c r="K343" s="175" t="s">
        <v>3742</v>
      </c>
      <c r="L343" s="204">
        <v>19834.71</v>
      </c>
      <c r="M343" s="176">
        <v>0</v>
      </c>
      <c r="N343" s="176">
        <v>0</v>
      </c>
      <c r="O343" s="176">
        <v>0</v>
      </c>
      <c r="P343" s="204">
        <v>4165.29</v>
      </c>
      <c r="Q343" s="176">
        <v>24000</v>
      </c>
    </row>
    <row r="344" spans="1:17">
      <c r="A344" s="175" t="s">
        <v>3901</v>
      </c>
      <c r="B344" s="175" t="s">
        <v>3744</v>
      </c>
      <c r="C344" s="176">
        <v>7</v>
      </c>
      <c r="D344" s="176">
        <v>5535</v>
      </c>
      <c r="E344" s="175"/>
      <c r="F344" s="176">
        <v>74488834197777</v>
      </c>
      <c r="G344" s="176">
        <v>99</v>
      </c>
      <c r="H344" s="176">
        <v>0</v>
      </c>
      <c r="I344" s="175"/>
      <c r="J344" s="176">
        <v>1</v>
      </c>
      <c r="K344" s="175" t="s">
        <v>3742</v>
      </c>
      <c r="L344" s="204">
        <v>19834.71</v>
      </c>
      <c r="M344" s="176">
        <v>0</v>
      </c>
      <c r="N344" s="176">
        <v>0</v>
      </c>
      <c r="O344" s="176">
        <v>0</v>
      </c>
      <c r="P344" s="204">
        <v>4165.29</v>
      </c>
      <c r="Q344" s="176">
        <v>24000</v>
      </c>
    </row>
    <row r="345" spans="1:17">
      <c r="A345" s="175" t="s">
        <v>3901</v>
      </c>
      <c r="B345" s="175" t="s">
        <v>3744</v>
      </c>
      <c r="C345" s="176">
        <v>7</v>
      </c>
      <c r="D345" s="176">
        <v>5536</v>
      </c>
      <c r="E345" s="175"/>
      <c r="F345" s="176">
        <v>74488841353756</v>
      </c>
      <c r="G345" s="175" t="s">
        <v>3741</v>
      </c>
      <c r="H345" s="176">
        <v>23255817949</v>
      </c>
      <c r="I345" s="175" t="s">
        <v>3930</v>
      </c>
      <c r="J345" s="176">
        <v>1</v>
      </c>
      <c r="K345" s="175" t="s">
        <v>3742</v>
      </c>
      <c r="L345" s="204">
        <v>12396.69</v>
      </c>
      <c r="M345" s="176">
        <v>0</v>
      </c>
      <c r="N345" s="176">
        <v>0</v>
      </c>
      <c r="O345" s="176">
        <v>0</v>
      </c>
      <c r="P345" s="204">
        <v>2603.31</v>
      </c>
      <c r="Q345" s="176">
        <v>15000</v>
      </c>
    </row>
    <row r="346" spans="1:17">
      <c r="A346" s="175" t="s">
        <v>3901</v>
      </c>
      <c r="B346" s="175" t="s">
        <v>3744</v>
      </c>
      <c r="C346" s="176">
        <v>7</v>
      </c>
      <c r="D346" s="176">
        <v>5537</v>
      </c>
      <c r="E346" s="175"/>
      <c r="F346" s="176">
        <v>74488843254278</v>
      </c>
      <c r="G346" s="175" t="s">
        <v>3741</v>
      </c>
      <c r="H346" s="176">
        <v>30590354798</v>
      </c>
      <c r="I346" s="175" t="s">
        <v>3783</v>
      </c>
      <c r="J346" s="176">
        <v>1</v>
      </c>
      <c r="K346" s="175" t="s">
        <v>3742</v>
      </c>
      <c r="L346" s="204">
        <v>112396.69</v>
      </c>
      <c r="M346" s="176">
        <v>0</v>
      </c>
      <c r="N346" s="176">
        <v>0</v>
      </c>
      <c r="O346" s="176">
        <v>0</v>
      </c>
      <c r="P346" s="204">
        <v>23603.31</v>
      </c>
      <c r="Q346" s="176">
        <v>136000</v>
      </c>
    </row>
    <row r="347" spans="1:17">
      <c r="A347" s="175" t="s">
        <v>3902</v>
      </c>
      <c r="B347" s="175" t="s">
        <v>3744</v>
      </c>
      <c r="C347" s="176">
        <v>7</v>
      </c>
      <c r="D347" s="176">
        <v>5538</v>
      </c>
      <c r="E347" s="175"/>
      <c r="F347" s="176">
        <v>74488915930778</v>
      </c>
      <c r="G347" s="175" t="s">
        <v>3785</v>
      </c>
      <c r="H347" s="176">
        <v>25864351</v>
      </c>
      <c r="I347" s="175" t="s">
        <v>3927</v>
      </c>
      <c r="J347" s="176">
        <v>1</v>
      </c>
      <c r="K347" s="175" t="s">
        <v>3742</v>
      </c>
      <c r="L347" s="204">
        <v>19834.71</v>
      </c>
      <c r="M347" s="176">
        <v>0</v>
      </c>
      <c r="N347" s="176">
        <v>0</v>
      </c>
      <c r="O347" s="176">
        <v>0</v>
      </c>
      <c r="P347" s="204">
        <v>4165.29</v>
      </c>
      <c r="Q347" s="176">
        <v>24000</v>
      </c>
    </row>
    <row r="348" spans="1:17">
      <c r="A348" s="175" t="s">
        <v>3902</v>
      </c>
      <c r="B348" s="175" t="s">
        <v>3744</v>
      </c>
      <c r="C348" s="176">
        <v>7</v>
      </c>
      <c r="D348" s="176">
        <v>5539</v>
      </c>
      <c r="E348" s="175"/>
      <c r="F348" s="176">
        <v>74488921281404</v>
      </c>
      <c r="G348" s="175" t="s">
        <v>3785</v>
      </c>
      <c r="H348" s="176">
        <v>27932667059</v>
      </c>
      <c r="I348" s="175"/>
      <c r="J348" s="176">
        <v>1</v>
      </c>
      <c r="K348" s="175" t="s">
        <v>3742</v>
      </c>
      <c r="L348" s="204">
        <v>17355.37</v>
      </c>
      <c r="M348" s="176">
        <v>0</v>
      </c>
      <c r="N348" s="176">
        <v>0</v>
      </c>
      <c r="O348" s="176">
        <v>0</v>
      </c>
      <c r="P348" s="204">
        <v>3644.63</v>
      </c>
      <c r="Q348" s="176">
        <v>21000</v>
      </c>
    </row>
    <row r="349" spans="1:17">
      <c r="A349" s="175" t="s">
        <v>3902</v>
      </c>
      <c r="B349" s="175" t="s">
        <v>3744</v>
      </c>
      <c r="C349" s="176">
        <v>7</v>
      </c>
      <c r="D349" s="176">
        <v>5540</v>
      </c>
      <c r="E349" s="175"/>
      <c r="F349" s="176">
        <v>74488948707296</v>
      </c>
      <c r="G349" s="175" t="s">
        <v>3785</v>
      </c>
      <c r="H349" s="176">
        <v>5607654</v>
      </c>
      <c r="I349" s="175" t="s">
        <v>3908</v>
      </c>
      <c r="J349" s="176">
        <v>1</v>
      </c>
      <c r="K349" s="175" t="s">
        <v>3742</v>
      </c>
      <c r="L349" s="204">
        <v>19834.71</v>
      </c>
      <c r="M349" s="176">
        <v>0</v>
      </c>
      <c r="N349" s="176">
        <v>0</v>
      </c>
      <c r="O349" s="176">
        <v>0</v>
      </c>
      <c r="P349" s="204">
        <v>4165.29</v>
      </c>
      <c r="Q349" s="176">
        <v>24000</v>
      </c>
    </row>
    <row r="350" spans="1:17">
      <c r="A350" s="175" t="s">
        <v>3902</v>
      </c>
      <c r="B350" s="175" t="s">
        <v>3744</v>
      </c>
      <c r="C350" s="176">
        <v>7</v>
      </c>
      <c r="D350" s="176">
        <v>5541</v>
      </c>
      <c r="E350" s="175"/>
      <c r="F350" s="176">
        <v>74488954653783</v>
      </c>
      <c r="G350" s="175" t="s">
        <v>3785</v>
      </c>
      <c r="H350" s="176">
        <v>2719694</v>
      </c>
      <c r="I350" s="175" t="s">
        <v>408</v>
      </c>
      <c r="J350" s="176">
        <v>1</v>
      </c>
      <c r="K350" s="175" t="s">
        <v>3742</v>
      </c>
      <c r="L350" s="204">
        <v>7764.46</v>
      </c>
      <c r="M350" s="176">
        <v>0</v>
      </c>
      <c r="N350" s="176">
        <v>0</v>
      </c>
      <c r="O350" s="176">
        <v>0</v>
      </c>
      <c r="P350" s="204">
        <v>1630.54</v>
      </c>
      <c r="Q350" s="176">
        <v>9395</v>
      </c>
    </row>
    <row r="351" spans="1:17">
      <c r="A351" s="175" t="s">
        <v>3902</v>
      </c>
      <c r="B351" s="175" t="s">
        <v>3744</v>
      </c>
      <c r="C351" s="176">
        <v>7</v>
      </c>
      <c r="D351" s="176">
        <v>5542</v>
      </c>
      <c r="E351" s="175"/>
      <c r="F351" s="176">
        <v>74488965803482</v>
      </c>
      <c r="G351" s="175" t="s">
        <v>3785</v>
      </c>
      <c r="H351" s="176">
        <v>92310363</v>
      </c>
      <c r="I351" s="175" t="s">
        <v>3931</v>
      </c>
      <c r="J351" s="176">
        <v>1</v>
      </c>
      <c r="K351" s="175" t="s">
        <v>3742</v>
      </c>
      <c r="L351" s="204">
        <v>17355.37</v>
      </c>
      <c r="M351" s="176">
        <v>0</v>
      </c>
      <c r="N351" s="176">
        <v>0</v>
      </c>
      <c r="O351" s="176">
        <v>0</v>
      </c>
      <c r="P351" s="204">
        <v>3644.63</v>
      </c>
      <c r="Q351" s="176">
        <v>21000</v>
      </c>
    </row>
    <row r="352" spans="1:17" ht="15.75" thickBot="1">
      <c r="A352" s="175" t="s">
        <v>3902</v>
      </c>
      <c r="B352" s="175" t="s">
        <v>3744</v>
      </c>
      <c r="C352" s="176">
        <v>7</v>
      </c>
      <c r="D352" s="176">
        <v>5543</v>
      </c>
      <c r="E352" s="175"/>
      <c r="F352" s="176">
        <v>74488967699975</v>
      </c>
      <c r="G352" s="175" t="s">
        <v>3785</v>
      </c>
      <c r="H352" s="176">
        <v>27960566373</v>
      </c>
      <c r="I352" s="175"/>
      <c r="J352" s="176">
        <v>1</v>
      </c>
      <c r="K352" s="175" t="s">
        <v>3742</v>
      </c>
      <c r="L352" s="204">
        <v>26363.64</v>
      </c>
      <c r="M352" s="176">
        <v>0</v>
      </c>
      <c r="N352" s="176">
        <v>0</v>
      </c>
      <c r="O352" s="176">
        <v>0</v>
      </c>
      <c r="P352" s="204">
        <v>5536.36</v>
      </c>
      <c r="Q352" s="176">
        <v>31900</v>
      </c>
    </row>
    <row r="353" spans="1:17" ht="15.75" thickBot="1">
      <c r="A353" s="175"/>
      <c r="B353" s="175"/>
      <c r="C353" s="176"/>
      <c r="D353" s="176"/>
      <c r="E353" s="175"/>
      <c r="F353" s="176"/>
      <c r="G353" s="175"/>
      <c r="H353" s="176"/>
      <c r="I353" s="175"/>
      <c r="J353" s="225" t="s">
        <v>3934</v>
      </c>
      <c r="K353" s="226"/>
      <c r="L353" s="190">
        <f>SUM(L225:L352)</f>
        <v>7520976.7299999939</v>
      </c>
      <c r="M353" s="191">
        <f t="shared" ref="M353:Q353" si="5">SUM(M225:M352)</f>
        <v>0</v>
      </c>
      <c r="N353" s="191">
        <f t="shared" si="5"/>
        <v>0</v>
      </c>
      <c r="O353" s="191">
        <f t="shared" si="5"/>
        <v>0</v>
      </c>
      <c r="P353" s="191">
        <f>SUM(P225:P352)</f>
        <v>1579405.178800001</v>
      </c>
      <c r="Q353" s="192">
        <f t="shared" si="5"/>
        <v>9100381.9088000003</v>
      </c>
    </row>
    <row r="354" spans="1:17">
      <c r="A354" s="175"/>
      <c r="B354" s="175"/>
      <c r="C354" s="176"/>
      <c r="D354" s="176"/>
      <c r="E354" s="175"/>
      <c r="F354" s="176"/>
      <c r="G354" s="175"/>
      <c r="H354" s="176"/>
      <c r="I354" s="175"/>
      <c r="J354" s="176"/>
      <c r="K354" s="175"/>
      <c r="L354" s="204"/>
      <c r="M354" s="176"/>
      <c r="N354" s="176"/>
      <c r="O354" s="176"/>
      <c r="P354" s="204"/>
      <c r="Q354" s="176"/>
    </row>
    <row r="355" spans="1:17">
      <c r="A355" s="175" t="s">
        <v>3868</v>
      </c>
      <c r="B355" s="175" t="s">
        <v>3744</v>
      </c>
      <c r="C355" s="176">
        <v>9</v>
      </c>
      <c r="D355" s="176">
        <v>234</v>
      </c>
      <c r="E355" s="175"/>
      <c r="F355" s="176">
        <v>74448561909174</v>
      </c>
      <c r="G355" s="176">
        <v>99</v>
      </c>
      <c r="H355" s="176">
        <v>0</v>
      </c>
      <c r="I355" s="175"/>
      <c r="J355" s="176">
        <v>1</v>
      </c>
      <c r="K355" s="175" t="s">
        <v>3742</v>
      </c>
      <c r="L355" s="175">
        <v>11487.6</v>
      </c>
      <c r="M355" s="176">
        <v>0</v>
      </c>
      <c r="N355" s="176">
        <v>0</v>
      </c>
      <c r="O355" s="176">
        <v>0</v>
      </c>
      <c r="P355" s="175">
        <v>2412.4</v>
      </c>
      <c r="Q355" s="176">
        <v>13900</v>
      </c>
    </row>
    <row r="356" spans="1:17">
      <c r="A356" s="175" t="s">
        <v>3868</v>
      </c>
      <c r="B356" s="175" t="s">
        <v>3744</v>
      </c>
      <c r="C356" s="176">
        <v>9</v>
      </c>
      <c r="D356" s="176">
        <v>240</v>
      </c>
      <c r="E356" s="175"/>
      <c r="F356" s="176">
        <v>74448598039318</v>
      </c>
      <c r="G356" s="176">
        <v>99</v>
      </c>
      <c r="H356" s="176">
        <v>0</v>
      </c>
      <c r="I356" s="175"/>
      <c r="J356" s="176">
        <v>1</v>
      </c>
      <c r="K356" s="175" t="s">
        <v>3742</v>
      </c>
      <c r="L356" s="204">
        <v>20661.16</v>
      </c>
      <c r="M356" s="176">
        <v>0</v>
      </c>
      <c r="N356" s="176">
        <v>0</v>
      </c>
      <c r="O356" s="176">
        <v>0</v>
      </c>
      <c r="P356" s="204">
        <v>4338.84</v>
      </c>
      <c r="Q356" s="176">
        <v>25000</v>
      </c>
    </row>
    <row r="357" spans="1:17">
      <c r="A357" s="175" t="s">
        <v>3868</v>
      </c>
      <c r="B357" s="175" t="s">
        <v>3744</v>
      </c>
      <c r="C357" s="176">
        <v>9</v>
      </c>
      <c r="D357" s="176">
        <v>237</v>
      </c>
      <c r="E357" s="175"/>
      <c r="F357" s="176">
        <v>74448569238896</v>
      </c>
      <c r="G357" s="176">
        <v>99</v>
      </c>
      <c r="H357" s="176">
        <v>0</v>
      </c>
      <c r="I357" s="175"/>
      <c r="J357" s="176">
        <v>1</v>
      </c>
      <c r="K357" s="175" t="s">
        <v>3742</v>
      </c>
      <c r="L357" s="204">
        <v>23471.07</v>
      </c>
      <c r="M357" s="176">
        <v>0</v>
      </c>
      <c r="N357" s="176">
        <v>0</v>
      </c>
      <c r="O357" s="176">
        <v>0</v>
      </c>
      <c r="P357" s="204">
        <v>4928.93</v>
      </c>
      <c r="Q357" s="176">
        <v>28400</v>
      </c>
    </row>
    <row r="358" spans="1:17">
      <c r="A358" s="175" t="s">
        <v>3868</v>
      </c>
      <c r="B358" s="175" t="s">
        <v>3744</v>
      </c>
      <c r="C358" s="176">
        <v>9</v>
      </c>
      <c r="D358" s="176">
        <v>241</v>
      </c>
      <c r="E358" s="175"/>
      <c r="F358" s="176">
        <v>74448601705798</v>
      </c>
      <c r="G358" s="176">
        <v>99</v>
      </c>
      <c r="H358" s="176">
        <v>0</v>
      </c>
      <c r="I358" s="175"/>
      <c r="J358" s="176">
        <v>1</v>
      </c>
      <c r="K358" s="175" t="s">
        <v>3742</v>
      </c>
      <c r="L358" s="204">
        <v>16528.93</v>
      </c>
      <c r="M358" s="176">
        <v>0</v>
      </c>
      <c r="N358" s="176">
        <v>0</v>
      </c>
      <c r="O358" s="176">
        <v>0</v>
      </c>
      <c r="P358" s="204">
        <v>3471.07</v>
      </c>
      <c r="Q358" s="176">
        <v>20000</v>
      </c>
    </row>
    <row r="359" spans="1:17">
      <c r="A359" s="175" t="s">
        <v>3868</v>
      </c>
      <c r="B359" s="175" t="s">
        <v>3744</v>
      </c>
      <c r="C359" s="176">
        <v>9</v>
      </c>
      <c r="D359" s="176">
        <v>239</v>
      </c>
      <c r="E359" s="175"/>
      <c r="F359" s="176">
        <v>74448589059048</v>
      </c>
      <c r="G359" s="176">
        <v>99</v>
      </c>
      <c r="H359" s="176">
        <v>0</v>
      </c>
      <c r="I359" s="175"/>
      <c r="J359" s="176">
        <v>1</v>
      </c>
      <c r="K359" s="175" t="s">
        <v>3742</v>
      </c>
      <c r="L359" s="204">
        <v>9256.19</v>
      </c>
      <c r="M359" s="176">
        <v>0</v>
      </c>
      <c r="N359" s="176">
        <v>0</v>
      </c>
      <c r="O359" s="176">
        <v>0</v>
      </c>
      <c r="P359" s="204">
        <v>1943.81</v>
      </c>
      <c r="Q359" s="176">
        <v>11200</v>
      </c>
    </row>
    <row r="360" spans="1:17">
      <c r="A360" s="175" t="s">
        <v>3868</v>
      </c>
      <c r="B360" s="175" t="s">
        <v>3744</v>
      </c>
      <c r="C360" s="176">
        <v>9</v>
      </c>
      <c r="D360" s="176">
        <v>232</v>
      </c>
      <c r="E360" s="175"/>
      <c r="F360" s="176">
        <v>74448544837619</v>
      </c>
      <c r="G360" s="176">
        <v>99</v>
      </c>
      <c r="H360" s="176">
        <v>0</v>
      </c>
      <c r="I360" s="175"/>
      <c r="J360" s="176">
        <v>1</v>
      </c>
      <c r="K360" s="175" t="s">
        <v>3742</v>
      </c>
      <c r="L360" s="204">
        <v>14669.42</v>
      </c>
      <c r="M360" s="176">
        <v>0</v>
      </c>
      <c r="N360" s="176">
        <v>0</v>
      </c>
      <c r="O360" s="176">
        <v>0</v>
      </c>
      <c r="P360" s="204">
        <v>3080.58</v>
      </c>
      <c r="Q360" s="176">
        <v>17750</v>
      </c>
    </row>
    <row r="361" spans="1:17">
      <c r="A361" s="175" t="s">
        <v>3868</v>
      </c>
      <c r="B361" s="175" t="s">
        <v>3744</v>
      </c>
      <c r="C361" s="176">
        <v>9</v>
      </c>
      <c r="D361" s="176">
        <v>236</v>
      </c>
      <c r="E361" s="175"/>
      <c r="F361" s="176">
        <v>74448567380131</v>
      </c>
      <c r="G361" s="176">
        <v>99</v>
      </c>
      <c r="H361" s="176">
        <v>0</v>
      </c>
      <c r="I361" s="175"/>
      <c r="J361" s="176">
        <v>1</v>
      </c>
      <c r="K361" s="175" t="s">
        <v>3742</v>
      </c>
      <c r="L361" s="175">
        <v>11487.6</v>
      </c>
      <c r="M361" s="176">
        <v>0</v>
      </c>
      <c r="N361" s="176">
        <v>0</v>
      </c>
      <c r="O361" s="176">
        <v>0</v>
      </c>
      <c r="P361" s="175">
        <v>2412.4</v>
      </c>
      <c r="Q361" s="176">
        <v>13900</v>
      </c>
    </row>
    <row r="362" spans="1:17">
      <c r="A362" s="175" t="s">
        <v>3868</v>
      </c>
      <c r="B362" s="175" t="s">
        <v>3744</v>
      </c>
      <c r="C362" s="176">
        <v>9</v>
      </c>
      <c r="D362" s="176">
        <v>235</v>
      </c>
      <c r="E362" s="175"/>
      <c r="F362" s="176">
        <v>74448564292856</v>
      </c>
      <c r="G362" s="176">
        <v>99</v>
      </c>
      <c r="H362" s="176">
        <v>0</v>
      </c>
      <c r="I362" s="175"/>
      <c r="J362" s="176">
        <v>1</v>
      </c>
      <c r="K362" s="175" t="s">
        <v>3742</v>
      </c>
      <c r="L362" s="204">
        <v>85537.18</v>
      </c>
      <c r="M362" s="176">
        <v>0</v>
      </c>
      <c r="N362" s="176">
        <v>0</v>
      </c>
      <c r="O362" s="176">
        <v>0</v>
      </c>
      <c r="P362" s="204">
        <v>17962.82</v>
      </c>
      <c r="Q362" s="176">
        <v>103500</v>
      </c>
    </row>
    <row r="363" spans="1:17">
      <c r="A363" s="175" t="s">
        <v>3868</v>
      </c>
      <c r="B363" s="175" t="s">
        <v>3744</v>
      </c>
      <c r="C363" s="176">
        <v>9</v>
      </c>
      <c r="D363" s="176">
        <v>233</v>
      </c>
      <c r="E363" s="175"/>
      <c r="F363" s="176">
        <v>74448555084195</v>
      </c>
      <c r="G363" s="176">
        <v>99</v>
      </c>
      <c r="H363" s="176">
        <v>0</v>
      </c>
      <c r="I363" s="175"/>
      <c r="J363" s="176">
        <v>1</v>
      </c>
      <c r="K363" s="175" t="s">
        <v>3742</v>
      </c>
      <c r="L363" s="204">
        <v>30495.87</v>
      </c>
      <c r="M363" s="176">
        <v>0</v>
      </c>
      <c r="N363" s="176">
        <v>0</v>
      </c>
      <c r="O363" s="176">
        <v>0</v>
      </c>
      <c r="P363" s="204">
        <v>6404.13</v>
      </c>
      <c r="Q363" s="176">
        <v>36900</v>
      </c>
    </row>
    <row r="364" spans="1:17">
      <c r="A364" s="175" t="s">
        <v>3868</v>
      </c>
      <c r="B364" s="175" t="s">
        <v>3744</v>
      </c>
      <c r="C364" s="176">
        <v>9</v>
      </c>
      <c r="D364" s="176">
        <v>242</v>
      </c>
      <c r="E364" s="175"/>
      <c r="F364" s="176">
        <v>74448616564521</v>
      </c>
      <c r="G364" s="176">
        <v>99</v>
      </c>
      <c r="H364" s="176">
        <v>0</v>
      </c>
      <c r="I364" s="175"/>
      <c r="J364" s="176">
        <v>1</v>
      </c>
      <c r="K364" s="175" t="s">
        <v>3742</v>
      </c>
      <c r="L364" s="204">
        <v>14669.42</v>
      </c>
      <c r="M364" s="176">
        <v>0</v>
      </c>
      <c r="N364" s="176">
        <v>0</v>
      </c>
      <c r="O364" s="176">
        <v>0</v>
      </c>
      <c r="P364" s="204">
        <v>3080.58</v>
      </c>
      <c r="Q364" s="176">
        <v>17750</v>
      </c>
    </row>
    <row r="365" spans="1:17">
      <c r="A365" s="175" t="s">
        <v>3868</v>
      </c>
      <c r="B365" s="175" t="s">
        <v>3744</v>
      </c>
      <c r="C365" s="176">
        <v>9</v>
      </c>
      <c r="D365" s="176">
        <v>238</v>
      </c>
      <c r="E365" s="175"/>
      <c r="F365" s="176">
        <v>74448577672628</v>
      </c>
      <c r="G365" s="176">
        <v>99</v>
      </c>
      <c r="H365" s="176">
        <v>0</v>
      </c>
      <c r="I365" s="175"/>
      <c r="J365" s="176">
        <v>1</v>
      </c>
      <c r="K365" s="175" t="s">
        <v>3742</v>
      </c>
      <c r="L365" s="204">
        <v>14669.42</v>
      </c>
      <c r="M365" s="176">
        <v>0</v>
      </c>
      <c r="N365" s="176">
        <v>0</v>
      </c>
      <c r="O365" s="176">
        <v>0</v>
      </c>
      <c r="P365" s="204">
        <v>3080.58</v>
      </c>
      <c r="Q365" s="176">
        <v>17750</v>
      </c>
    </row>
    <row r="366" spans="1:17">
      <c r="A366" s="175" t="s">
        <v>3872</v>
      </c>
      <c r="B366" s="175" t="s">
        <v>3744</v>
      </c>
      <c r="C366" s="176">
        <v>9</v>
      </c>
      <c r="D366" s="176">
        <v>243</v>
      </c>
      <c r="E366" s="175"/>
      <c r="F366" s="176">
        <v>74458877910909</v>
      </c>
      <c r="G366" s="176">
        <v>99</v>
      </c>
      <c r="H366" s="176">
        <v>0</v>
      </c>
      <c r="I366" s="175"/>
      <c r="J366" s="176">
        <v>1</v>
      </c>
      <c r="K366" s="175" t="s">
        <v>3742</v>
      </c>
      <c r="L366" s="204">
        <v>16942.150000000001</v>
      </c>
      <c r="M366" s="176">
        <v>0</v>
      </c>
      <c r="N366" s="176">
        <v>0</v>
      </c>
      <c r="O366" s="176">
        <v>0</v>
      </c>
      <c r="P366" s="204">
        <v>3557.85</v>
      </c>
      <c r="Q366" s="176">
        <v>20500</v>
      </c>
    </row>
    <row r="367" spans="1:17">
      <c r="A367" s="175" t="s">
        <v>3872</v>
      </c>
      <c r="B367" s="175" t="s">
        <v>3744</v>
      </c>
      <c r="C367" s="176">
        <v>9</v>
      </c>
      <c r="D367" s="176">
        <v>247</v>
      </c>
      <c r="E367" s="175"/>
      <c r="F367" s="176">
        <v>74458927986748</v>
      </c>
      <c r="G367" s="176">
        <v>99</v>
      </c>
      <c r="H367" s="176">
        <v>0</v>
      </c>
      <c r="I367" s="175"/>
      <c r="J367" s="176">
        <v>1</v>
      </c>
      <c r="K367" s="175" t="s">
        <v>3742</v>
      </c>
      <c r="L367" s="204">
        <v>29338.84</v>
      </c>
      <c r="M367" s="176">
        <v>0</v>
      </c>
      <c r="N367" s="176">
        <v>0</v>
      </c>
      <c r="O367" s="176">
        <v>0</v>
      </c>
      <c r="P367" s="204">
        <v>6161.16</v>
      </c>
      <c r="Q367" s="176">
        <v>35500</v>
      </c>
    </row>
    <row r="368" spans="1:17">
      <c r="A368" s="175" t="s">
        <v>3872</v>
      </c>
      <c r="B368" s="175" t="s">
        <v>3744</v>
      </c>
      <c r="C368" s="176">
        <v>9</v>
      </c>
      <c r="D368" s="176">
        <v>245</v>
      </c>
      <c r="E368" s="175"/>
      <c r="F368" s="176">
        <v>74458922661220</v>
      </c>
      <c r="G368" s="176">
        <v>99</v>
      </c>
      <c r="H368" s="176">
        <v>0</v>
      </c>
      <c r="I368" s="175"/>
      <c r="J368" s="176">
        <v>1</v>
      </c>
      <c r="K368" s="175" t="s">
        <v>3742</v>
      </c>
      <c r="L368" s="175">
        <v>10743.8</v>
      </c>
      <c r="M368" s="176">
        <v>0</v>
      </c>
      <c r="N368" s="176">
        <v>0</v>
      </c>
      <c r="O368" s="176">
        <v>0</v>
      </c>
      <c r="P368" s="175">
        <v>2256.1999999999998</v>
      </c>
      <c r="Q368" s="176">
        <v>13000</v>
      </c>
    </row>
    <row r="369" spans="1:17">
      <c r="A369" s="175" t="s">
        <v>3872</v>
      </c>
      <c r="B369" s="175" t="s">
        <v>3744</v>
      </c>
      <c r="C369" s="176">
        <v>9</v>
      </c>
      <c r="D369" s="176">
        <v>244</v>
      </c>
      <c r="E369" s="175"/>
      <c r="F369" s="176">
        <v>74458879179224</v>
      </c>
      <c r="G369" s="176">
        <v>99</v>
      </c>
      <c r="H369" s="176">
        <v>0</v>
      </c>
      <c r="I369" s="175"/>
      <c r="J369" s="176">
        <v>1</v>
      </c>
      <c r="K369" s="175" t="s">
        <v>3742</v>
      </c>
      <c r="L369" s="204">
        <v>4132.2299999999996</v>
      </c>
      <c r="M369" s="176">
        <v>0</v>
      </c>
      <c r="N369" s="176">
        <v>0</v>
      </c>
      <c r="O369" s="176">
        <v>0</v>
      </c>
      <c r="P369" s="204">
        <v>867.77</v>
      </c>
      <c r="Q369" s="176">
        <v>5000</v>
      </c>
    </row>
    <row r="370" spans="1:17">
      <c r="A370" s="175" t="s">
        <v>3872</v>
      </c>
      <c r="B370" s="175" t="s">
        <v>3744</v>
      </c>
      <c r="C370" s="176">
        <v>9</v>
      </c>
      <c r="D370" s="176">
        <v>246</v>
      </c>
      <c r="E370" s="175"/>
      <c r="F370" s="176">
        <v>74458924110077</v>
      </c>
      <c r="G370" s="176">
        <v>99</v>
      </c>
      <c r="H370" s="176">
        <v>0</v>
      </c>
      <c r="I370" s="175"/>
      <c r="J370" s="176">
        <v>1</v>
      </c>
      <c r="K370" s="175" t="s">
        <v>3742</v>
      </c>
      <c r="L370" s="204">
        <v>8264.4599999999991</v>
      </c>
      <c r="M370" s="176">
        <v>0</v>
      </c>
      <c r="N370" s="176">
        <v>0</v>
      </c>
      <c r="O370" s="176">
        <v>0</v>
      </c>
      <c r="P370" s="204">
        <v>1735.54</v>
      </c>
      <c r="Q370" s="176">
        <v>10000</v>
      </c>
    </row>
    <row r="371" spans="1:17">
      <c r="A371" s="175" t="s">
        <v>3897</v>
      </c>
      <c r="B371" s="175" t="s">
        <v>3744</v>
      </c>
      <c r="C371" s="176">
        <v>9</v>
      </c>
      <c r="D371" s="176">
        <v>249</v>
      </c>
      <c r="E371" s="175"/>
      <c r="F371" s="176">
        <v>74458021990793</v>
      </c>
      <c r="G371" s="176">
        <v>99</v>
      </c>
      <c r="H371" s="176">
        <v>0</v>
      </c>
      <c r="I371" s="175"/>
      <c r="J371" s="176">
        <v>1</v>
      </c>
      <c r="K371" s="175" t="s">
        <v>3742</v>
      </c>
      <c r="L371" s="204">
        <v>13966.94</v>
      </c>
      <c r="M371" s="176">
        <v>0</v>
      </c>
      <c r="N371" s="176">
        <v>0</v>
      </c>
      <c r="O371" s="176">
        <v>0</v>
      </c>
      <c r="P371" s="204">
        <v>2933.06</v>
      </c>
      <c r="Q371" s="176">
        <v>16900</v>
      </c>
    </row>
    <row r="372" spans="1:17">
      <c r="A372" s="175" t="s">
        <v>3897</v>
      </c>
      <c r="B372" s="175" t="s">
        <v>3744</v>
      </c>
      <c r="C372" s="176">
        <v>9</v>
      </c>
      <c r="D372" s="176">
        <v>260</v>
      </c>
      <c r="E372" s="175"/>
      <c r="F372" s="176">
        <v>74458078501717</v>
      </c>
      <c r="G372" s="176">
        <v>99</v>
      </c>
      <c r="H372" s="176">
        <v>0</v>
      </c>
      <c r="I372" s="175"/>
      <c r="J372" s="176">
        <v>1</v>
      </c>
      <c r="K372" s="175" t="s">
        <v>3742</v>
      </c>
      <c r="L372" s="204">
        <v>37438.019999999997</v>
      </c>
      <c r="M372" s="176">
        <v>0</v>
      </c>
      <c r="N372" s="176">
        <v>0</v>
      </c>
      <c r="O372" s="176">
        <v>0</v>
      </c>
      <c r="P372" s="204">
        <v>7861.98</v>
      </c>
      <c r="Q372" s="176">
        <v>45300</v>
      </c>
    </row>
    <row r="373" spans="1:17">
      <c r="A373" s="175" t="s">
        <v>3897</v>
      </c>
      <c r="B373" s="175" t="s">
        <v>3744</v>
      </c>
      <c r="C373" s="176">
        <v>9</v>
      </c>
      <c r="D373" s="176">
        <v>255</v>
      </c>
      <c r="E373" s="175"/>
      <c r="F373" s="176">
        <v>74458057145426</v>
      </c>
      <c r="G373" s="176">
        <v>99</v>
      </c>
      <c r="H373" s="176">
        <v>0</v>
      </c>
      <c r="I373" s="175"/>
      <c r="J373" s="176">
        <v>1</v>
      </c>
      <c r="K373" s="175" t="s">
        <v>3742</v>
      </c>
      <c r="L373" s="204">
        <v>61983.47</v>
      </c>
      <c r="M373" s="176">
        <v>0</v>
      </c>
      <c r="N373" s="176">
        <v>0</v>
      </c>
      <c r="O373" s="176">
        <v>0</v>
      </c>
      <c r="P373" s="204">
        <v>13016.53</v>
      </c>
      <c r="Q373" s="176">
        <v>75000</v>
      </c>
    </row>
    <row r="374" spans="1:17">
      <c r="A374" s="175" t="s">
        <v>3897</v>
      </c>
      <c r="B374" s="175" t="s">
        <v>3744</v>
      </c>
      <c r="C374" s="176">
        <v>9</v>
      </c>
      <c r="D374" s="176">
        <v>252</v>
      </c>
      <c r="E374" s="175"/>
      <c r="F374" s="176">
        <v>74458049013700</v>
      </c>
      <c r="G374" s="176">
        <v>99</v>
      </c>
      <c r="H374" s="176">
        <v>0</v>
      </c>
      <c r="I374" s="175"/>
      <c r="J374" s="176">
        <v>1</v>
      </c>
      <c r="K374" s="175" t="s">
        <v>3742</v>
      </c>
      <c r="L374" s="204">
        <v>22314.05</v>
      </c>
      <c r="M374" s="176">
        <v>0</v>
      </c>
      <c r="N374" s="176">
        <v>0</v>
      </c>
      <c r="O374" s="176">
        <v>0</v>
      </c>
      <c r="P374" s="204">
        <v>4685.95</v>
      </c>
      <c r="Q374" s="176">
        <v>27000</v>
      </c>
    </row>
    <row r="375" spans="1:17">
      <c r="A375" s="175" t="s">
        <v>3897</v>
      </c>
      <c r="B375" s="175" t="s">
        <v>3744</v>
      </c>
      <c r="C375" s="176">
        <v>9</v>
      </c>
      <c r="D375" s="176">
        <v>259</v>
      </c>
      <c r="E375" s="175"/>
      <c r="F375" s="176">
        <v>74458073691041</v>
      </c>
      <c r="G375" s="176">
        <v>99</v>
      </c>
      <c r="H375" s="176">
        <v>0</v>
      </c>
      <c r="I375" s="175"/>
      <c r="J375" s="176">
        <v>1</v>
      </c>
      <c r="K375" s="175" t="s">
        <v>3742</v>
      </c>
      <c r="L375" s="204">
        <v>29338.84</v>
      </c>
      <c r="M375" s="176">
        <v>0</v>
      </c>
      <c r="N375" s="176">
        <v>0</v>
      </c>
      <c r="O375" s="176">
        <v>0</v>
      </c>
      <c r="P375" s="204">
        <v>6161.16</v>
      </c>
      <c r="Q375" s="176">
        <v>35500</v>
      </c>
    </row>
    <row r="376" spans="1:17">
      <c r="A376" s="175" t="s">
        <v>3897</v>
      </c>
      <c r="B376" s="175" t="s">
        <v>3744</v>
      </c>
      <c r="C376" s="176">
        <v>9</v>
      </c>
      <c r="D376" s="176">
        <v>248</v>
      </c>
      <c r="E376" s="175"/>
      <c r="F376" s="176">
        <v>74458009671300</v>
      </c>
      <c r="G376" s="176">
        <v>99</v>
      </c>
      <c r="H376" s="176">
        <v>0</v>
      </c>
      <c r="I376" s="175"/>
      <c r="J376" s="176">
        <v>1</v>
      </c>
      <c r="K376" s="175" t="s">
        <v>3742</v>
      </c>
      <c r="L376" s="175">
        <v>10743.8</v>
      </c>
      <c r="M376" s="176">
        <v>0</v>
      </c>
      <c r="N376" s="176">
        <v>0</v>
      </c>
      <c r="O376" s="176">
        <v>0</v>
      </c>
      <c r="P376" s="175">
        <v>2256.1999999999998</v>
      </c>
      <c r="Q376" s="176">
        <v>13000</v>
      </c>
    </row>
    <row r="377" spans="1:17">
      <c r="A377" s="175" t="s">
        <v>3897</v>
      </c>
      <c r="B377" s="175" t="s">
        <v>3744</v>
      </c>
      <c r="C377" s="176">
        <v>9</v>
      </c>
      <c r="D377" s="176">
        <v>253</v>
      </c>
      <c r="E377" s="175"/>
      <c r="F377" s="176">
        <v>74458052352378</v>
      </c>
      <c r="G377" s="176">
        <v>99</v>
      </c>
      <c r="H377" s="176">
        <v>0</v>
      </c>
      <c r="I377" s="175"/>
      <c r="J377" s="176">
        <v>1</v>
      </c>
      <c r="K377" s="175" t="s">
        <v>3742</v>
      </c>
      <c r="L377" s="204">
        <v>4958.68</v>
      </c>
      <c r="M377" s="176">
        <v>0</v>
      </c>
      <c r="N377" s="176">
        <v>0</v>
      </c>
      <c r="O377" s="176">
        <v>0</v>
      </c>
      <c r="P377" s="204">
        <v>1041.32</v>
      </c>
      <c r="Q377" s="176">
        <v>6000</v>
      </c>
    </row>
    <row r="378" spans="1:17">
      <c r="A378" s="175" t="s">
        <v>3897</v>
      </c>
      <c r="B378" s="175" t="s">
        <v>3744</v>
      </c>
      <c r="C378" s="176">
        <v>9</v>
      </c>
      <c r="D378" s="176">
        <v>257</v>
      </c>
      <c r="E378" s="175"/>
      <c r="F378" s="176">
        <v>74458066060110</v>
      </c>
      <c r="G378" s="176">
        <v>99</v>
      </c>
      <c r="H378" s="176">
        <v>0</v>
      </c>
      <c r="I378" s="175"/>
      <c r="J378" s="176">
        <v>1</v>
      </c>
      <c r="K378" s="175" t="s">
        <v>3742</v>
      </c>
      <c r="L378" s="175">
        <v>10743.8</v>
      </c>
      <c r="M378" s="176">
        <v>0</v>
      </c>
      <c r="N378" s="176">
        <v>0</v>
      </c>
      <c r="O378" s="176">
        <v>0</v>
      </c>
      <c r="P378" s="175">
        <v>2256.1999999999998</v>
      </c>
      <c r="Q378" s="176">
        <v>13000</v>
      </c>
    </row>
    <row r="379" spans="1:17">
      <c r="A379" s="175" t="s">
        <v>3897</v>
      </c>
      <c r="B379" s="175" t="s">
        <v>3744</v>
      </c>
      <c r="C379" s="176">
        <v>9</v>
      </c>
      <c r="D379" s="176">
        <v>251</v>
      </c>
      <c r="E379" s="175"/>
      <c r="F379" s="176">
        <v>74458044962040</v>
      </c>
      <c r="G379" s="176">
        <v>99</v>
      </c>
      <c r="H379" s="176">
        <v>0</v>
      </c>
      <c r="I379" s="175"/>
      <c r="J379" s="176">
        <v>1</v>
      </c>
      <c r="K379" s="175" t="s">
        <v>3742</v>
      </c>
      <c r="L379" s="175">
        <v>33884.300000000003</v>
      </c>
      <c r="M379" s="176">
        <v>0</v>
      </c>
      <c r="N379" s="176">
        <v>0</v>
      </c>
      <c r="O379" s="176">
        <v>0</v>
      </c>
      <c r="P379" s="175">
        <v>7115.7</v>
      </c>
      <c r="Q379" s="176">
        <v>41000</v>
      </c>
    </row>
    <row r="380" spans="1:17">
      <c r="A380" s="175" t="s">
        <v>3897</v>
      </c>
      <c r="B380" s="175" t="s">
        <v>3744</v>
      </c>
      <c r="C380" s="176">
        <v>9</v>
      </c>
      <c r="D380" s="176">
        <v>258</v>
      </c>
      <c r="E380" s="175"/>
      <c r="F380" s="176">
        <v>74458072253898</v>
      </c>
      <c r="G380" s="176">
        <v>99</v>
      </c>
      <c r="H380" s="176">
        <v>0</v>
      </c>
      <c r="I380" s="175"/>
      <c r="J380" s="176">
        <v>1</v>
      </c>
      <c r="K380" s="175" t="s">
        <v>3742</v>
      </c>
      <c r="L380" s="204">
        <v>29338.84</v>
      </c>
      <c r="M380" s="176">
        <v>0</v>
      </c>
      <c r="N380" s="176">
        <v>0</v>
      </c>
      <c r="O380" s="176">
        <v>0</v>
      </c>
      <c r="P380" s="204">
        <v>6161.16</v>
      </c>
      <c r="Q380" s="176">
        <v>35500</v>
      </c>
    </row>
    <row r="381" spans="1:17">
      <c r="A381" s="175" t="s">
        <v>3897</v>
      </c>
      <c r="B381" s="175" t="s">
        <v>3744</v>
      </c>
      <c r="C381" s="176">
        <v>9</v>
      </c>
      <c r="D381" s="176">
        <v>254</v>
      </c>
      <c r="E381" s="175"/>
      <c r="F381" s="176">
        <v>74458053608148</v>
      </c>
      <c r="G381" s="176">
        <v>99</v>
      </c>
      <c r="H381" s="176">
        <v>0</v>
      </c>
      <c r="I381" s="175"/>
      <c r="J381" s="176">
        <v>1</v>
      </c>
      <c r="K381" s="175" t="s">
        <v>3742</v>
      </c>
      <c r="L381" s="204">
        <v>14669.42</v>
      </c>
      <c r="M381" s="176">
        <v>0</v>
      </c>
      <c r="N381" s="176">
        <v>0</v>
      </c>
      <c r="O381" s="176">
        <v>0</v>
      </c>
      <c r="P381" s="204">
        <v>3080.58</v>
      </c>
      <c r="Q381" s="176">
        <v>17750</v>
      </c>
    </row>
    <row r="382" spans="1:17">
      <c r="A382" s="175" t="s">
        <v>3897</v>
      </c>
      <c r="B382" s="175" t="s">
        <v>3744</v>
      </c>
      <c r="C382" s="176">
        <v>9</v>
      </c>
      <c r="D382" s="176">
        <v>250</v>
      </c>
      <c r="E382" s="175"/>
      <c r="F382" s="176">
        <v>74458037788114</v>
      </c>
      <c r="G382" s="176">
        <v>99</v>
      </c>
      <c r="H382" s="176">
        <v>0</v>
      </c>
      <c r="I382" s="175"/>
      <c r="J382" s="176">
        <v>1</v>
      </c>
      <c r="K382" s="175" t="s">
        <v>3742</v>
      </c>
      <c r="L382" s="204">
        <v>7851.24</v>
      </c>
      <c r="M382" s="176">
        <v>0</v>
      </c>
      <c r="N382" s="176">
        <v>0</v>
      </c>
      <c r="O382" s="176">
        <v>0</v>
      </c>
      <c r="P382" s="204">
        <v>1648.76</v>
      </c>
      <c r="Q382" s="176">
        <v>9500</v>
      </c>
    </row>
    <row r="383" spans="1:17">
      <c r="A383" s="175" t="s">
        <v>3897</v>
      </c>
      <c r="B383" s="175" t="s">
        <v>3744</v>
      </c>
      <c r="C383" s="176">
        <v>9</v>
      </c>
      <c r="D383" s="176">
        <v>256</v>
      </c>
      <c r="E383" s="175"/>
      <c r="F383" s="176">
        <v>74458062063724</v>
      </c>
      <c r="G383" s="176">
        <v>99</v>
      </c>
      <c r="H383" s="176">
        <v>0</v>
      </c>
      <c r="I383" s="175"/>
      <c r="J383" s="176">
        <v>1</v>
      </c>
      <c r="K383" s="175" t="s">
        <v>3742</v>
      </c>
      <c r="L383" s="204">
        <v>12396.69</v>
      </c>
      <c r="M383" s="176">
        <v>0</v>
      </c>
      <c r="N383" s="176">
        <v>0</v>
      </c>
      <c r="O383" s="176">
        <v>0</v>
      </c>
      <c r="P383" s="204">
        <v>2603.31</v>
      </c>
      <c r="Q383" s="176">
        <v>15000</v>
      </c>
    </row>
    <row r="384" spans="1:17">
      <c r="A384" s="175" t="s">
        <v>3877</v>
      </c>
      <c r="B384" s="175" t="s">
        <v>3744</v>
      </c>
      <c r="C384" s="176">
        <v>9</v>
      </c>
      <c r="D384" s="176">
        <v>262</v>
      </c>
      <c r="E384" s="175"/>
      <c r="F384" s="176">
        <v>74458160699668</v>
      </c>
      <c r="G384" s="176">
        <v>99</v>
      </c>
      <c r="H384" s="176">
        <v>0</v>
      </c>
      <c r="I384" s="175"/>
      <c r="J384" s="176">
        <v>1</v>
      </c>
      <c r="K384" s="175" t="s">
        <v>3742</v>
      </c>
      <c r="L384" s="204">
        <v>29338.84</v>
      </c>
      <c r="M384" s="176">
        <v>0</v>
      </c>
      <c r="N384" s="176">
        <v>0</v>
      </c>
      <c r="O384" s="176">
        <v>0</v>
      </c>
      <c r="P384" s="204">
        <v>6161.16</v>
      </c>
      <c r="Q384" s="176">
        <v>35500</v>
      </c>
    </row>
    <row r="385" spans="1:17">
      <c r="A385" s="175" t="s">
        <v>3877</v>
      </c>
      <c r="B385" s="175" t="s">
        <v>3744</v>
      </c>
      <c r="C385" s="176">
        <v>9</v>
      </c>
      <c r="D385" s="176">
        <v>272</v>
      </c>
      <c r="E385" s="175"/>
      <c r="F385" s="176">
        <v>74458223807937</v>
      </c>
      <c r="G385" s="176">
        <v>99</v>
      </c>
      <c r="H385" s="176">
        <v>0</v>
      </c>
      <c r="I385" s="175"/>
      <c r="J385" s="176">
        <v>1</v>
      </c>
      <c r="K385" s="175" t="s">
        <v>3742</v>
      </c>
      <c r="L385" s="204">
        <v>13223.14</v>
      </c>
      <c r="M385" s="176">
        <v>0</v>
      </c>
      <c r="N385" s="176">
        <v>0</v>
      </c>
      <c r="O385" s="176">
        <v>0</v>
      </c>
      <c r="P385" s="204">
        <v>2776.86</v>
      </c>
      <c r="Q385" s="176">
        <v>16000</v>
      </c>
    </row>
    <row r="386" spans="1:17">
      <c r="A386" s="175" t="s">
        <v>3877</v>
      </c>
      <c r="B386" s="175" t="s">
        <v>3744</v>
      </c>
      <c r="C386" s="176">
        <v>9</v>
      </c>
      <c r="D386" s="176">
        <v>273</v>
      </c>
      <c r="E386" s="175"/>
      <c r="F386" s="176">
        <v>74458224058292</v>
      </c>
      <c r="G386" s="176">
        <v>99</v>
      </c>
      <c r="H386" s="176">
        <v>0</v>
      </c>
      <c r="I386" s="175"/>
      <c r="J386" s="176">
        <v>1</v>
      </c>
      <c r="K386" s="175" t="s">
        <v>3742</v>
      </c>
      <c r="L386" s="204">
        <v>14462.81</v>
      </c>
      <c r="M386" s="176">
        <v>0</v>
      </c>
      <c r="N386" s="176">
        <v>0</v>
      </c>
      <c r="O386" s="176">
        <v>0</v>
      </c>
      <c r="P386" s="204">
        <v>3037.19</v>
      </c>
      <c r="Q386" s="176">
        <v>17500</v>
      </c>
    </row>
    <row r="387" spans="1:17">
      <c r="A387" s="175" t="s">
        <v>3877</v>
      </c>
      <c r="B387" s="175" t="s">
        <v>3744</v>
      </c>
      <c r="C387" s="176">
        <v>9</v>
      </c>
      <c r="D387" s="176">
        <v>261</v>
      </c>
      <c r="E387" s="175"/>
      <c r="F387" s="176">
        <v>74458152362723</v>
      </c>
      <c r="G387" s="176">
        <v>99</v>
      </c>
      <c r="H387" s="176">
        <v>0</v>
      </c>
      <c r="I387" s="175"/>
      <c r="J387" s="176">
        <v>1</v>
      </c>
      <c r="K387" s="175" t="s">
        <v>3742</v>
      </c>
      <c r="L387" s="204">
        <v>15702.48</v>
      </c>
      <c r="M387" s="176">
        <v>0</v>
      </c>
      <c r="N387" s="176">
        <v>0</v>
      </c>
      <c r="O387" s="176">
        <v>0</v>
      </c>
      <c r="P387" s="204">
        <v>3297.52</v>
      </c>
      <c r="Q387" s="176">
        <v>19000</v>
      </c>
    </row>
    <row r="388" spans="1:17">
      <c r="A388" s="175" t="s">
        <v>3877</v>
      </c>
      <c r="B388" s="175" t="s">
        <v>3744</v>
      </c>
      <c r="C388" s="176">
        <v>9</v>
      </c>
      <c r="D388" s="176">
        <v>274</v>
      </c>
      <c r="E388" s="175"/>
      <c r="F388" s="176">
        <v>74458224530780</v>
      </c>
      <c r="G388" s="176">
        <v>99</v>
      </c>
      <c r="H388" s="176">
        <v>0</v>
      </c>
      <c r="I388" s="175"/>
      <c r="J388" s="176">
        <v>1</v>
      </c>
      <c r="K388" s="175" t="s">
        <v>3742</v>
      </c>
      <c r="L388" s="204">
        <v>29338.84</v>
      </c>
      <c r="M388" s="176">
        <v>0</v>
      </c>
      <c r="N388" s="176">
        <v>0</v>
      </c>
      <c r="O388" s="176">
        <v>0</v>
      </c>
      <c r="P388" s="204">
        <v>6161.16</v>
      </c>
      <c r="Q388" s="176">
        <v>35500</v>
      </c>
    </row>
    <row r="389" spans="1:17">
      <c r="A389" s="175" t="s">
        <v>3877</v>
      </c>
      <c r="B389" s="175" t="s">
        <v>3744</v>
      </c>
      <c r="C389" s="176">
        <v>9</v>
      </c>
      <c r="D389" s="176">
        <v>265</v>
      </c>
      <c r="E389" s="175"/>
      <c r="F389" s="176">
        <v>74458184377809</v>
      </c>
      <c r="G389" s="176">
        <v>99</v>
      </c>
      <c r="H389" s="176">
        <v>0</v>
      </c>
      <c r="I389" s="175"/>
      <c r="J389" s="176">
        <v>1</v>
      </c>
      <c r="K389" s="175" t="s">
        <v>3742</v>
      </c>
      <c r="L389" s="204">
        <v>10495.87</v>
      </c>
      <c r="M389" s="176">
        <v>0</v>
      </c>
      <c r="N389" s="176">
        <v>0</v>
      </c>
      <c r="O389" s="176">
        <v>0</v>
      </c>
      <c r="P389" s="204">
        <v>2204.13</v>
      </c>
      <c r="Q389" s="176">
        <v>12700</v>
      </c>
    </row>
    <row r="390" spans="1:17">
      <c r="A390" s="175" t="s">
        <v>3877</v>
      </c>
      <c r="B390" s="175" t="s">
        <v>3744</v>
      </c>
      <c r="C390" s="176">
        <v>9</v>
      </c>
      <c r="D390" s="176">
        <v>267</v>
      </c>
      <c r="E390" s="175"/>
      <c r="F390" s="176">
        <v>74458193937264</v>
      </c>
      <c r="G390" s="176">
        <v>99</v>
      </c>
      <c r="H390" s="176">
        <v>0</v>
      </c>
      <c r="I390" s="175"/>
      <c r="J390" s="176">
        <v>1</v>
      </c>
      <c r="K390" s="175" t="s">
        <v>3742</v>
      </c>
      <c r="L390" s="175">
        <v>21487.599999999999</v>
      </c>
      <c r="M390" s="176">
        <v>0</v>
      </c>
      <c r="N390" s="176">
        <v>0</v>
      </c>
      <c r="O390" s="176">
        <v>0</v>
      </c>
      <c r="P390" s="175">
        <v>4512.3999999999996</v>
      </c>
      <c r="Q390" s="176">
        <v>26000</v>
      </c>
    </row>
    <row r="391" spans="1:17">
      <c r="A391" s="175" t="s">
        <v>3877</v>
      </c>
      <c r="B391" s="175" t="s">
        <v>3744</v>
      </c>
      <c r="C391" s="176">
        <v>9</v>
      </c>
      <c r="D391" s="176">
        <v>266</v>
      </c>
      <c r="E391" s="175"/>
      <c r="F391" s="176">
        <v>74458187651513</v>
      </c>
      <c r="G391" s="176">
        <v>99</v>
      </c>
      <c r="H391" s="176">
        <v>0</v>
      </c>
      <c r="I391" s="175"/>
      <c r="J391" s="176">
        <v>1</v>
      </c>
      <c r="K391" s="175" t="s">
        <v>3742</v>
      </c>
      <c r="L391" s="204">
        <v>7438.02</v>
      </c>
      <c r="M391" s="176">
        <v>0</v>
      </c>
      <c r="N391" s="176">
        <v>0</v>
      </c>
      <c r="O391" s="176">
        <v>0</v>
      </c>
      <c r="P391" s="204">
        <v>1561.98</v>
      </c>
      <c r="Q391" s="176">
        <v>9000</v>
      </c>
    </row>
    <row r="392" spans="1:17">
      <c r="A392" s="175" t="s">
        <v>3877</v>
      </c>
      <c r="B392" s="175" t="s">
        <v>3744</v>
      </c>
      <c r="C392" s="176">
        <v>9</v>
      </c>
      <c r="D392" s="176">
        <v>271</v>
      </c>
      <c r="E392" s="175"/>
      <c r="F392" s="176">
        <v>74458206637184</v>
      </c>
      <c r="G392" s="176">
        <v>99</v>
      </c>
      <c r="H392" s="176">
        <v>0</v>
      </c>
      <c r="I392" s="175"/>
      <c r="J392" s="176">
        <v>1</v>
      </c>
      <c r="K392" s="175" t="s">
        <v>3742</v>
      </c>
      <c r="L392" s="204">
        <v>42975.21</v>
      </c>
      <c r="M392" s="176">
        <v>0</v>
      </c>
      <c r="N392" s="176">
        <v>0</v>
      </c>
      <c r="O392" s="176">
        <v>0</v>
      </c>
      <c r="P392" s="204">
        <v>9024.7900000000009</v>
      </c>
      <c r="Q392" s="176">
        <v>52000</v>
      </c>
    </row>
    <row r="393" spans="1:17">
      <c r="A393" s="175" t="s">
        <v>3877</v>
      </c>
      <c r="B393" s="175" t="s">
        <v>3744</v>
      </c>
      <c r="C393" s="176">
        <v>9</v>
      </c>
      <c r="D393" s="176">
        <v>268</v>
      </c>
      <c r="E393" s="175"/>
      <c r="F393" s="176">
        <v>74458197244219</v>
      </c>
      <c r="G393" s="176">
        <v>99</v>
      </c>
      <c r="H393" s="176">
        <v>0</v>
      </c>
      <c r="I393" s="175"/>
      <c r="J393" s="176">
        <v>1</v>
      </c>
      <c r="K393" s="175" t="s">
        <v>3742</v>
      </c>
      <c r="L393" s="204">
        <v>14669.42</v>
      </c>
      <c r="M393" s="176">
        <v>0</v>
      </c>
      <c r="N393" s="176">
        <v>0</v>
      </c>
      <c r="O393" s="176">
        <v>0</v>
      </c>
      <c r="P393" s="204">
        <v>3080.58</v>
      </c>
      <c r="Q393" s="176">
        <v>17750</v>
      </c>
    </row>
    <row r="394" spans="1:17">
      <c r="A394" s="175" t="s">
        <v>3877</v>
      </c>
      <c r="B394" s="175" t="s">
        <v>3744</v>
      </c>
      <c r="C394" s="176">
        <v>9</v>
      </c>
      <c r="D394" s="176">
        <v>276</v>
      </c>
      <c r="E394" s="175"/>
      <c r="F394" s="176">
        <v>74458228857628</v>
      </c>
      <c r="G394" s="176">
        <v>99</v>
      </c>
      <c r="H394" s="176">
        <v>0</v>
      </c>
      <c r="I394" s="175"/>
      <c r="J394" s="176">
        <v>1</v>
      </c>
      <c r="K394" s="175" t="s">
        <v>3742</v>
      </c>
      <c r="L394" s="204">
        <v>25619.83</v>
      </c>
      <c r="M394" s="176">
        <v>0</v>
      </c>
      <c r="N394" s="176">
        <v>0</v>
      </c>
      <c r="O394" s="176">
        <v>0</v>
      </c>
      <c r="P394" s="204">
        <v>5380.17</v>
      </c>
      <c r="Q394" s="176">
        <v>31000</v>
      </c>
    </row>
    <row r="395" spans="1:17">
      <c r="A395" s="175" t="s">
        <v>3877</v>
      </c>
      <c r="B395" s="175" t="s">
        <v>3744</v>
      </c>
      <c r="C395" s="176">
        <v>9</v>
      </c>
      <c r="D395" s="176">
        <v>263</v>
      </c>
      <c r="E395" s="175"/>
      <c r="F395" s="176">
        <v>74458163424747</v>
      </c>
      <c r="G395" s="176">
        <v>99</v>
      </c>
      <c r="H395" s="176">
        <v>0</v>
      </c>
      <c r="I395" s="175"/>
      <c r="J395" s="176">
        <v>1</v>
      </c>
      <c r="K395" s="175" t="s">
        <v>3742</v>
      </c>
      <c r="L395" s="204">
        <v>34462.81</v>
      </c>
      <c r="M395" s="176">
        <v>0</v>
      </c>
      <c r="N395" s="176">
        <v>0</v>
      </c>
      <c r="O395" s="176">
        <v>0</v>
      </c>
      <c r="P395" s="204">
        <v>7237.19</v>
      </c>
      <c r="Q395" s="176">
        <v>41700</v>
      </c>
    </row>
    <row r="396" spans="1:17">
      <c r="A396" s="175" t="s">
        <v>3877</v>
      </c>
      <c r="B396" s="175" t="s">
        <v>3744</v>
      </c>
      <c r="C396" s="176">
        <v>9</v>
      </c>
      <c r="D396" s="176">
        <v>264</v>
      </c>
      <c r="E396" s="175"/>
      <c r="F396" s="176">
        <v>74458169757607</v>
      </c>
      <c r="G396" s="176">
        <v>99</v>
      </c>
      <c r="H396" s="176">
        <v>0</v>
      </c>
      <c r="I396" s="175"/>
      <c r="J396" s="176">
        <v>1</v>
      </c>
      <c r="K396" s="175" t="s">
        <v>3742</v>
      </c>
      <c r="L396" s="204">
        <v>95950.41</v>
      </c>
      <c r="M396" s="176">
        <v>0</v>
      </c>
      <c r="N396" s="176">
        <v>0</v>
      </c>
      <c r="O396" s="176">
        <v>0</v>
      </c>
      <c r="P396" s="204">
        <v>20149.59</v>
      </c>
      <c r="Q396" s="176">
        <v>116100</v>
      </c>
    </row>
    <row r="397" spans="1:17">
      <c r="A397" s="175" t="s">
        <v>3877</v>
      </c>
      <c r="B397" s="175" t="s">
        <v>3744</v>
      </c>
      <c r="C397" s="176">
        <v>9</v>
      </c>
      <c r="D397" s="176">
        <v>270</v>
      </c>
      <c r="E397" s="175"/>
      <c r="F397" s="176">
        <v>74458201269551</v>
      </c>
      <c r="G397" s="176">
        <v>99</v>
      </c>
      <c r="H397" s="176">
        <v>0</v>
      </c>
      <c r="I397" s="175"/>
      <c r="J397" s="176">
        <v>1</v>
      </c>
      <c r="K397" s="175" t="s">
        <v>3742</v>
      </c>
      <c r="L397" s="204">
        <v>254545.45</v>
      </c>
      <c r="M397" s="176">
        <v>0</v>
      </c>
      <c r="N397" s="176">
        <v>0</v>
      </c>
      <c r="O397" s="176">
        <v>0</v>
      </c>
      <c r="P397" s="204">
        <v>53454.55</v>
      </c>
      <c r="Q397" s="176">
        <v>308000</v>
      </c>
    </row>
    <row r="398" spans="1:17">
      <c r="A398" s="175" t="s">
        <v>3877</v>
      </c>
      <c r="B398" s="175" t="s">
        <v>3744</v>
      </c>
      <c r="C398" s="176">
        <v>9</v>
      </c>
      <c r="D398" s="176">
        <v>275</v>
      </c>
      <c r="E398" s="175"/>
      <c r="F398" s="176">
        <v>74458226365245</v>
      </c>
      <c r="G398" s="176">
        <v>99</v>
      </c>
      <c r="H398" s="176">
        <v>0</v>
      </c>
      <c r="I398" s="175"/>
      <c r="J398" s="176">
        <v>1</v>
      </c>
      <c r="K398" s="175" t="s">
        <v>3742</v>
      </c>
      <c r="L398" s="204">
        <v>19834.71</v>
      </c>
      <c r="M398" s="176">
        <v>0</v>
      </c>
      <c r="N398" s="176">
        <v>0</v>
      </c>
      <c r="O398" s="176">
        <v>0</v>
      </c>
      <c r="P398" s="204">
        <v>4165.29</v>
      </c>
      <c r="Q398" s="176">
        <v>24000</v>
      </c>
    </row>
    <row r="399" spans="1:17">
      <c r="A399" s="175" t="s">
        <v>3877</v>
      </c>
      <c r="B399" s="175" t="s">
        <v>3744</v>
      </c>
      <c r="C399" s="176">
        <v>9</v>
      </c>
      <c r="D399" s="176">
        <v>269</v>
      </c>
      <c r="E399" s="175"/>
      <c r="F399" s="176">
        <v>74458198132145</v>
      </c>
      <c r="G399" s="176">
        <v>99</v>
      </c>
      <c r="H399" s="176">
        <v>0</v>
      </c>
      <c r="I399" s="175"/>
      <c r="J399" s="176">
        <v>1</v>
      </c>
      <c r="K399" s="175" t="s">
        <v>3742</v>
      </c>
      <c r="L399" s="204">
        <v>12809.92</v>
      </c>
      <c r="M399" s="176">
        <v>0</v>
      </c>
      <c r="N399" s="176">
        <v>0</v>
      </c>
      <c r="O399" s="176">
        <v>0</v>
      </c>
      <c r="P399" s="204">
        <v>2690.08</v>
      </c>
      <c r="Q399" s="176">
        <v>15500</v>
      </c>
    </row>
    <row r="400" spans="1:17">
      <c r="A400" s="175" t="s">
        <v>3858</v>
      </c>
      <c r="B400" s="175" t="s">
        <v>3744</v>
      </c>
      <c r="C400" s="176">
        <v>9</v>
      </c>
      <c r="D400" s="176">
        <v>279</v>
      </c>
      <c r="E400" s="175"/>
      <c r="F400" s="176">
        <v>74458310207389</v>
      </c>
      <c r="G400" s="176">
        <v>99</v>
      </c>
      <c r="H400" s="176">
        <v>0</v>
      </c>
      <c r="I400" s="175"/>
      <c r="J400" s="176">
        <v>1</v>
      </c>
      <c r="K400" s="175" t="s">
        <v>3742</v>
      </c>
      <c r="L400" s="175">
        <v>10743.8</v>
      </c>
      <c r="M400" s="176">
        <v>0</v>
      </c>
      <c r="N400" s="176">
        <v>0</v>
      </c>
      <c r="O400" s="176">
        <v>0</v>
      </c>
      <c r="P400" s="175">
        <v>2256.1999999999998</v>
      </c>
      <c r="Q400" s="176">
        <v>13000</v>
      </c>
    </row>
    <row r="401" spans="1:17">
      <c r="A401" s="175" t="s">
        <v>3858</v>
      </c>
      <c r="B401" s="175" t="s">
        <v>3744</v>
      </c>
      <c r="C401" s="176">
        <v>9</v>
      </c>
      <c r="D401" s="176">
        <v>277</v>
      </c>
      <c r="E401" s="175"/>
      <c r="F401" s="176">
        <v>74458298683530</v>
      </c>
      <c r="G401" s="176">
        <v>99</v>
      </c>
      <c r="H401" s="176">
        <v>0</v>
      </c>
      <c r="I401" s="175"/>
      <c r="J401" s="176">
        <v>1</v>
      </c>
      <c r="K401" s="175" t="s">
        <v>3742</v>
      </c>
      <c r="L401" s="204">
        <v>14669.42</v>
      </c>
      <c r="M401" s="176">
        <v>0</v>
      </c>
      <c r="N401" s="176">
        <v>0</v>
      </c>
      <c r="O401" s="176">
        <v>0</v>
      </c>
      <c r="P401" s="204">
        <v>3080.58</v>
      </c>
      <c r="Q401" s="176">
        <v>17750</v>
      </c>
    </row>
    <row r="402" spans="1:17">
      <c r="A402" s="175" t="s">
        <v>3858</v>
      </c>
      <c r="B402" s="175" t="s">
        <v>3744</v>
      </c>
      <c r="C402" s="176">
        <v>9</v>
      </c>
      <c r="D402" s="176">
        <v>285</v>
      </c>
      <c r="E402" s="175"/>
      <c r="F402" s="176">
        <v>74458342848941</v>
      </c>
      <c r="G402" s="176">
        <v>99</v>
      </c>
      <c r="H402" s="176">
        <v>0</v>
      </c>
      <c r="I402" s="175"/>
      <c r="J402" s="176">
        <v>1</v>
      </c>
      <c r="K402" s="175" t="s">
        <v>3742</v>
      </c>
      <c r="L402" s="204">
        <v>29338.84</v>
      </c>
      <c r="M402" s="176">
        <v>0</v>
      </c>
      <c r="N402" s="176">
        <v>0</v>
      </c>
      <c r="O402" s="176">
        <v>0</v>
      </c>
      <c r="P402" s="204">
        <v>6161.16</v>
      </c>
      <c r="Q402" s="176">
        <v>35500</v>
      </c>
    </row>
    <row r="403" spans="1:17">
      <c r="A403" s="175" t="s">
        <v>3858</v>
      </c>
      <c r="B403" s="175" t="s">
        <v>3744</v>
      </c>
      <c r="C403" s="176">
        <v>9</v>
      </c>
      <c r="D403" s="176">
        <v>278</v>
      </c>
      <c r="E403" s="175"/>
      <c r="F403" s="176">
        <v>74458308088456</v>
      </c>
      <c r="G403" s="176">
        <v>99</v>
      </c>
      <c r="H403" s="176">
        <v>0</v>
      </c>
      <c r="I403" s="175"/>
      <c r="J403" s="176">
        <v>1</v>
      </c>
      <c r="K403" s="175" t="s">
        <v>3742</v>
      </c>
      <c r="L403" s="175">
        <v>10743.8</v>
      </c>
      <c r="M403" s="176">
        <v>0</v>
      </c>
      <c r="N403" s="176">
        <v>0</v>
      </c>
      <c r="O403" s="176">
        <v>0</v>
      </c>
      <c r="P403" s="175">
        <v>2256.1999999999998</v>
      </c>
      <c r="Q403" s="176">
        <v>13000</v>
      </c>
    </row>
    <row r="404" spans="1:17">
      <c r="A404" s="175" t="s">
        <v>3858</v>
      </c>
      <c r="B404" s="175" t="s">
        <v>3744</v>
      </c>
      <c r="C404" s="176">
        <v>9</v>
      </c>
      <c r="D404" s="176">
        <v>281</v>
      </c>
      <c r="E404" s="175"/>
      <c r="F404" s="176">
        <v>74458331578370</v>
      </c>
      <c r="G404" s="176">
        <v>99</v>
      </c>
      <c r="H404" s="176">
        <v>0</v>
      </c>
      <c r="I404" s="175"/>
      <c r="J404" s="176">
        <v>1</v>
      </c>
      <c r="K404" s="175" t="s">
        <v>3742</v>
      </c>
      <c r="L404" s="204">
        <v>14876.03</v>
      </c>
      <c r="M404" s="176">
        <v>0</v>
      </c>
      <c r="N404" s="176">
        <v>0</v>
      </c>
      <c r="O404" s="176">
        <v>0</v>
      </c>
      <c r="P404" s="204">
        <v>3123.97</v>
      </c>
      <c r="Q404" s="176">
        <v>18000</v>
      </c>
    </row>
    <row r="405" spans="1:17">
      <c r="A405" s="175" t="s">
        <v>3858</v>
      </c>
      <c r="B405" s="175" t="s">
        <v>3744</v>
      </c>
      <c r="C405" s="176">
        <v>9</v>
      </c>
      <c r="D405" s="176">
        <v>283</v>
      </c>
      <c r="E405" s="175"/>
      <c r="F405" s="176">
        <v>74458337532336</v>
      </c>
      <c r="G405" s="176">
        <v>99</v>
      </c>
      <c r="H405" s="176">
        <v>0</v>
      </c>
      <c r="I405" s="175"/>
      <c r="J405" s="176">
        <v>1</v>
      </c>
      <c r="K405" s="175" t="s">
        <v>3742</v>
      </c>
      <c r="L405" s="175">
        <v>11487.6</v>
      </c>
      <c r="M405" s="176">
        <v>0</v>
      </c>
      <c r="N405" s="176">
        <v>0</v>
      </c>
      <c r="O405" s="176">
        <v>0</v>
      </c>
      <c r="P405" s="175">
        <v>2412.4</v>
      </c>
      <c r="Q405" s="176">
        <v>13900</v>
      </c>
    </row>
    <row r="406" spans="1:17">
      <c r="A406" s="175" t="s">
        <v>3858</v>
      </c>
      <c r="B406" s="175" t="s">
        <v>3744</v>
      </c>
      <c r="C406" s="176">
        <v>9</v>
      </c>
      <c r="D406" s="176">
        <v>282</v>
      </c>
      <c r="E406" s="175"/>
      <c r="F406" s="176">
        <v>74458332050822</v>
      </c>
      <c r="G406" s="176">
        <v>99</v>
      </c>
      <c r="H406" s="176">
        <v>0</v>
      </c>
      <c r="I406" s="175"/>
      <c r="J406" s="176">
        <v>1</v>
      </c>
      <c r="K406" s="175" t="s">
        <v>3742</v>
      </c>
      <c r="L406" s="204">
        <v>16528.93</v>
      </c>
      <c r="M406" s="176">
        <v>0</v>
      </c>
      <c r="N406" s="176">
        <v>0</v>
      </c>
      <c r="O406" s="176">
        <v>0</v>
      </c>
      <c r="P406" s="204">
        <v>3471.07</v>
      </c>
      <c r="Q406" s="176">
        <v>20000</v>
      </c>
    </row>
    <row r="407" spans="1:17">
      <c r="A407" s="175" t="s">
        <v>3858</v>
      </c>
      <c r="B407" s="175" t="s">
        <v>3744</v>
      </c>
      <c r="C407" s="176">
        <v>9</v>
      </c>
      <c r="D407" s="176">
        <v>280</v>
      </c>
      <c r="E407" s="175"/>
      <c r="F407" s="176">
        <v>74458320355614</v>
      </c>
      <c r="G407" s="176">
        <v>99</v>
      </c>
      <c r="H407" s="176">
        <v>0</v>
      </c>
      <c r="I407" s="175"/>
      <c r="J407" s="176">
        <v>1</v>
      </c>
      <c r="K407" s="175" t="s">
        <v>3742</v>
      </c>
      <c r="L407" s="175">
        <v>10743.8</v>
      </c>
      <c r="M407" s="176">
        <v>0</v>
      </c>
      <c r="N407" s="176">
        <v>0</v>
      </c>
      <c r="O407" s="176">
        <v>0</v>
      </c>
      <c r="P407" s="175">
        <v>2256.1999999999998</v>
      </c>
      <c r="Q407" s="176">
        <v>13000</v>
      </c>
    </row>
    <row r="408" spans="1:17">
      <c r="A408" s="175" t="s">
        <v>3858</v>
      </c>
      <c r="B408" s="175" t="s">
        <v>3744</v>
      </c>
      <c r="C408" s="176">
        <v>9</v>
      </c>
      <c r="D408" s="176">
        <v>287</v>
      </c>
      <c r="E408" s="175"/>
      <c r="F408" s="176">
        <v>74458364741672</v>
      </c>
      <c r="G408" s="176">
        <v>99</v>
      </c>
      <c r="H408" s="176">
        <v>0</v>
      </c>
      <c r="I408" s="175"/>
      <c r="J408" s="176">
        <v>1</v>
      </c>
      <c r="K408" s="175" t="s">
        <v>3742</v>
      </c>
      <c r="L408" s="204">
        <v>9504.1299999999992</v>
      </c>
      <c r="M408" s="176">
        <v>0</v>
      </c>
      <c r="N408" s="176">
        <v>0</v>
      </c>
      <c r="O408" s="176">
        <v>0</v>
      </c>
      <c r="P408" s="204">
        <v>1995.87</v>
      </c>
      <c r="Q408" s="176">
        <v>11500</v>
      </c>
    </row>
    <row r="409" spans="1:17">
      <c r="A409" s="175" t="s">
        <v>3858</v>
      </c>
      <c r="B409" s="175" t="s">
        <v>3744</v>
      </c>
      <c r="C409" s="176">
        <v>9</v>
      </c>
      <c r="D409" s="176">
        <v>284</v>
      </c>
      <c r="E409" s="175"/>
      <c r="F409" s="176">
        <v>74458338430375</v>
      </c>
      <c r="G409" s="176">
        <v>99</v>
      </c>
      <c r="H409" s="176">
        <v>0</v>
      </c>
      <c r="I409" s="175"/>
      <c r="J409" s="176">
        <v>1</v>
      </c>
      <c r="K409" s="175" t="s">
        <v>3742</v>
      </c>
      <c r="L409" s="175">
        <v>13884.3</v>
      </c>
      <c r="M409" s="176">
        <v>0</v>
      </c>
      <c r="N409" s="176">
        <v>0</v>
      </c>
      <c r="O409" s="176">
        <v>0</v>
      </c>
      <c r="P409" s="175">
        <v>2915.7</v>
      </c>
      <c r="Q409" s="176">
        <v>16800</v>
      </c>
    </row>
    <row r="410" spans="1:17">
      <c r="A410" s="175" t="s">
        <v>3858</v>
      </c>
      <c r="B410" s="175" t="s">
        <v>3744</v>
      </c>
      <c r="C410" s="176">
        <v>9</v>
      </c>
      <c r="D410" s="176">
        <v>286</v>
      </c>
      <c r="E410" s="175"/>
      <c r="F410" s="176">
        <v>74458347852414</v>
      </c>
      <c r="G410" s="176">
        <v>99</v>
      </c>
      <c r="H410" s="176">
        <v>0</v>
      </c>
      <c r="I410" s="175"/>
      <c r="J410" s="176">
        <v>1</v>
      </c>
      <c r="K410" s="175" t="s">
        <v>3742</v>
      </c>
      <c r="L410" s="204">
        <v>14669.42</v>
      </c>
      <c r="M410" s="176">
        <v>0</v>
      </c>
      <c r="N410" s="176">
        <v>0</v>
      </c>
      <c r="O410" s="176">
        <v>0</v>
      </c>
      <c r="P410" s="204">
        <v>3080.58</v>
      </c>
      <c r="Q410" s="176">
        <v>17750</v>
      </c>
    </row>
    <row r="411" spans="1:17">
      <c r="A411" s="175" t="s">
        <v>3858</v>
      </c>
      <c r="B411" s="175" t="s">
        <v>3744</v>
      </c>
      <c r="C411" s="176">
        <v>9</v>
      </c>
      <c r="D411" s="176">
        <v>288</v>
      </c>
      <c r="E411" s="175"/>
      <c r="F411" s="176">
        <v>74458365563203</v>
      </c>
      <c r="G411" s="176">
        <v>99</v>
      </c>
      <c r="H411" s="176">
        <v>0</v>
      </c>
      <c r="I411" s="175"/>
      <c r="J411" s="176">
        <v>1</v>
      </c>
      <c r="K411" s="175" t="s">
        <v>3742</v>
      </c>
      <c r="L411" s="175">
        <v>10743.8</v>
      </c>
      <c r="M411" s="176">
        <v>0</v>
      </c>
      <c r="N411" s="176">
        <v>0</v>
      </c>
      <c r="O411" s="176">
        <v>0</v>
      </c>
      <c r="P411" s="175">
        <v>2256.1999999999998</v>
      </c>
      <c r="Q411" s="176">
        <v>13000</v>
      </c>
    </row>
    <row r="412" spans="1:17">
      <c r="A412" s="175" t="s">
        <v>3898</v>
      </c>
      <c r="B412" s="175" t="s">
        <v>3744</v>
      </c>
      <c r="C412" s="176">
        <v>9</v>
      </c>
      <c r="D412" s="176">
        <v>289</v>
      </c>
      <c r="E412" s="175"/>
      <c r="F412" s="176">
        <v>74458443222905</v>
      </c>
      <c r="G412" s="176">
        <v>99</v>
      </c>
      <c r="H412" s="176">
        <v>0</v>
      </c>
      <c r="I412" s="175"/>
      <c r="J412" s="176">
        <v>1</v>
      </c>
      <c r="K412" s="175" t="s">
        <v>3742</v>
      </c>
      <c r="L412" s="204">
        <v>14669.42</v>
      </c>
      <c r="M412" s="176">
        <v>0</v>
      </c>
      <c r="N412" s="176">
        <v>0</v>
      </c>
      <c r="O412" s="176">
        <v>0</v>
      </c>
      <c r="P412" s="204">
        <v>3080.58</v>
      </c>
      <c r="Q412" s="176">
        <v>17750</v>
      </c>
    </row>
    <row r="413" spans="1:17">
      <c r="A413" s="175" t="s">
        <v>3898</v>
      </c>
      <c r="B413" s="175" t="s">
        <v>3744</v>
      </c>
      <c r="C413" s="176">
        <v>9</v>
      </c>
      <c r="D413" s="176">
        <v>290</v>
      </c>
      <c r="E413" s="175"/>
      <c r="F413" s="176">
        <v>74458449255411</v>
      </c>
      <c r="G413" s="176">
        <v>99</v>
      </c>
      <c r="H413" s="176">
        <v>0</v>
      </c>
      <c r="I413" s="175"/>
      <c r="J413" s="176">
        <v>1</v>
      </c>
      <c r="K413" s="175" t="s">
        <v>3742</v>
      </c>
      <c r="L413" s="204">
        <v>9669.42</v>
      </c>
      <c r="M413" s="176">
        <v>0</v>
      </c>
      <c r="N413" s="176">
        <v>0</v>
      </c>
      <c r="O413" s="176">
        <v>0</v>
      </c>
      <c r="P413" s="204">
        <v>2030.58</v>
      </c>
      <c r="Q413" s="176">
        <v>11700</v>
      </c>
    </row>
    <row r="414" spans="1:17">
      <c r="A414" s="175" t="s">
        <v>3898</v>
      </c>
      <c r="B414" s="175" t="s">
        <v>3744</v>
      </c>
      <c r="C414" s="176">
        <v>9</v>
      </c>
      <c r="D414" s="176">
        <v>295</v>
      </c>
      <c r="E414" s="175"/>
      <c r="F414" s="176">
        <v>74458470237081</v>
      </c>
      <c r="G414" s="176">
        <v>99</v>
      </c>
      <c r="H414" s="176">
        <v>0</v>
      </c>
      <c r="I414" s="175"/>
      <c r="J414" s="176">
        <v>1</v>
      </c>
      <c r="K414" s="175" t="s">
        <v>3742</v>
      </c>
      <c r="L414" s="204">
        <v>20661.16</v>
      </c>
      <c r="M414" s="176">
        <v>0</v>
      </c>
      <c r="N414" s="176">
        <v>0</v>
      </c>
      <c r="O414" s="176">
        <v>0</v>
      </c>
      <c r="P414" s="204">
        <v>4338.84</v>
      </c>
      <c r="Q414" s="176">
        <v>25000</v>
      </c>
    </row>
    <row r="415" spans="1:17">
      <c r="A415" s="175" t="s">
        <v>3898</v>
      </c>
      <c r="B415" s="175" t="s">
        <v>3744</v>
      </c>
      <c r="C415" s="176">
        <v>9</v>
      </c>
      <c r="D415" s="176">
        <v>304</v>
      </c>
      <c r="E415" s="175"/>
      <c r="F415" s="176">
        <v>74458506707825</v>
      </c>
      <c r="G415" s="176">
        <v>99</v>
      </c>
      <c r="H415" s="176">
        <v>0</v>
      </c>
      <c r="I415" s="175"/>
      <c r="J415" s="176">
        <v>1</v>
      </c>
      <c r="K415" s="175" t="s">
        <v>3742</v>
      </c>
      <c r="L415" s="204">
        <v>11735.54</v>
      </c>
      <c r="M415" s="176">
        <v>0</v>
      </c>
      <c r="N415" s="176">
        <v>0</v>
      </c>
      <c r="O415" s="176">
        <v>0</v>
      </c>
      <c r="P415" s="204">
        <v>2464.46</v>
      </c>
      <c r="Q415" s="176">
        <v>14200</v>
      </c>
    </row>
    <row r="416" spans="1:17">
      <c r="A416" s="175" t="s">
        <v>3898</v>
      </c>
      <c r="B416" s="175" t="s">
        <v>3744</v>
      </c>
      <c r="C416" s="176">
        <v>9</v>
      </c>
      <c r="D416" s="176">
        <v>291</v>
      </c>
      <c r="E416" s="175"/>
      <c r="F416" s="176">
        <v>74458452571713</v>
      </c>
      <c r="G416" s="176">
        <v>99</v>
      </c>
      <c r="H416" s="176">
        <v>0</v>
      </c>
      <c r="I416" s="175"/>
      <c r="J416" s="176">
        <v>1</v>
      </c>
      <c r="K416" s="175" t="s">
        <v>3742</v>
      </c>
      <c r="L416" s="204">
        <v>42148.76</v>
      </c>
      <c r="M416" s="176">
        <v>0</v>
      </c>
      <c r="N416" s="176">
        <v>0</v>
      </c>
      <c r="O416" s="176">
        <v>0</v>
      </c>
      <c r="P416" s="204">
        <v>8851.24</v>
      </c>
      <c r="Q416" s="176">
        <v>51000</v>
      </c>
    </row>
    <row r="417" spans="1:17">
      <c r="A417" s="175" t="s">
        <v>3898</v>
      </c>
      <c r="B417" s="175" t="s">
        <v>3744</v>
      </c>
      <c r="C417" s="176">
        <v>9</v>
      </c>
      <c r="D417" s="176">
        <v>301</v>
      </c>
      <c r="E417" s="175"/>
      <c r="F417" s="176">
        <v>74458485576711</v>
      </c>
      <c r="G417" s="176">
        <v>99</v>
      </c>
      <c r="H417" s="176">
        <v>0</v>
      </c>
      <c r="I417" s="175"/>
      <c r="J417" s="176">
        <v>1</v>
      </c>
      <c r="K417" s="175" t="s">
        <v>3742</v>
      </c>
      <c r="L417" s="204">
        <v>9917.36</v>
      </c>
      <c r="M417" s="176">
        <v>0</v>
      </c>
      <c r="N417" s="176">
        <v>0</v>
      </c>
      <c r="O417" s="176">
        <v>0</v>
      </c>
      <c r="P417" s="204">
        <v>2082.64</v>
      </c>
      <c r="Q417" s="176">
        <v>12000</v>
      </c>
    </row>
    <row r="418" spans="1:17">
      <c r="A418" s="175" t="s">
        <v>3898</v>
      </c>
      <c r="B418" s="175" t="s">
        <v>3744</v>
      </c>
      <c r="C418" s="176">
        <v>9</v>
      </c>
      <c r="D418" s="176">
        <v>305</v>
      </c>
      <c r="E418" s="175"/>
      <c r="F418" s="176">
        <v>74458506826301</v>
      </c>
      <c r="G418" s="176">
        <v>99</v>
      </c>
      <c r="H418" s="176">
        <v>0</v>
      </c>
      <c r="I418" s="175"/>
      <c r="J418" s="176">
        <v>1</v>
      </c>
      <c r="K418" s="175" t="s">
        <v>3742</v>
      </c>
      <c r="L418" s="175">
        <v>33884.300000000003</v>
      </c>
      <c r="M418" s="176">
        <v>0</v>
      </c>
      <c r="N418" s="176">
        <v>0</v>
      </c>
      <c r="O418" s="176">
        <v>0</v>
      </c>
      <c r="P418" s="175">
        <v>7115.7</v>
      </c>
      <c r="Q418" s="176">
        <v>41000</v>
      </c>
    </row>
    <row r="419" spans="1:17">
      <c r="A419" s="175" t="s">
        <v>3898</v>
      </c>
      <c r="B419" s="175" t="s">
        <v>3744</v>
      </c>
      <c r="C419" s="176">
        <v>9</v>
      </c>
      <c r="D419" s="176">
        <v>300</v>
      </c>
      <c r="E419" s="175"/>
      <c r="F419" s="176">
        <v>74458482889906</v>
      </c>
      <c r="G419" s="176">
        <v>99</v>
      </c>
      <c r="H419" s="176">
        <v>0</v>
      </c>
      <c r="I419" s="175"/>
      <c r="J419" s="176">
        <v>1</v>
      </c>
      <c r="K419" s="175" t="s">
        <v>3742</v>
      </c>
      <c r="L419" s="204">
        <v>4132.2299999999996</v>
      </c>
      <c r="M419" s="176">
        <v>0</v>
      </c>
      <c r="N419" s="176">
        <v>0</v>
      </c>
      <c r="O419" s="176">
        <v>0</v>
      </c>
      <c r="P419" s="204">
        <v>867.77</v>
      </c>
      <c r="Q419" s="176">
        <v>5000</v>
      </c>
    </row>
    <row r="420" spans="1:17">
      <c r="A420" s="175" t="s">
        <v>3898</v>
      </c>
      <c r="B420" s="175" t="s">
        <v>3744</v>
      </c>
      <c r="C420" s="176">
        <v>9</v>
      </c>
      <c r="D420" s="176">
        <v>292</v>
      </c>
      <c r="E420" s="175"/>
      <c r="F420" s="176">
        <v>74458462022332</v>
      </c>
      <c r="G420" s="176">
        <v>99</v>
      </c>
      <c r="H420" s="176">
        <v>0</v>
      </c>
      <c r="I420" s="175"/>
      <c r="J420" s="176">
        <v>1</v>
      </c>
      <c r="K420" s="175" t="s">
        <v>3742</v>
      </c>
      <c r="L420" s="204">
        <v>41735.54</v>
      </c>
      <c r="M420" s="176">
        <v>0</v>
      </c>
      <c r="N420" s="176">
        <v>0</v>
      </c>
      <c r="O420" s="176">
        <v>0</v>
      </c>
      <c r="P420" s="204">
        <v>8764.4599999999991</v>
      </c>
      <c r="Q420" s="176">
        <v>50500</v>
      </c>
    </row>
    <row r="421" spans="1:17">
      <c r="A421" s="175" t="s">
        <v>3898</v>
      </c>
      <c r="B421" s="175" t="s">
        <v>3744</v>
      </c>
      <c r="C421" s="176">
        <v>9</v>
      </c>
      <c r="D421" s="176">
        <v>294</v>
      </c>
      <c r="E421" s="175"/>
      <c r="F421" s="176">
        <v>74458465352657</v>
      </c>
      <c r="G421" s="176">
        <v>99</v>
      </c>
      <c r="H421" s="176">
        <v>0</v>
      </c>
      <c r="I421" s="175"/>
      <c r="J421" s="176">
        <v>1</v>
      </c>
      <c r="K421" s="175" t="s">
        <v>3742</v>
      </c>
      <c r="L421" s="204">
        <v>27892.560000000001</v>
      </c>
      <c r="M421" s="176">
        <v>0</v>
      </c>
      <c r="N421" s="176">
        <v>0</v>
      </c>
      <c r="O421" s="176">
        <v>0</v>
      </c>
      <c r="P421" s="204">
        <v>5857.44</v>
      </c>
      <c r="Q421" s="176">
        <v>33750</v>
      </c>
    </row>
    <row r="422" spans="1:17">
      <c r="A422" s="175" t="s">
        <v>3898</v>
      </c>
      <c r="B422" s="175" t="s">
        <v>3744</v>
      </c>
      <c r="C422" s="176">
        <v>9</v>
      </c>
      <c r="D422" s="176">
        <v>293</v>
      </c>
      <c r="E422" s="175"/>
      <c r="F422" s="176">
        <v>74458462265700</v>
      </c>
      <c r="G422" s="176">
        <v>99</v>
      </c>
      <c r="H422" s="176">
        <v>0</v>
      </c>
      <c r="I422" s="175"/>
      <c r="J422" s="176">
        <v>1</v>
      </c>
      <c r="K422" s="175" t="s">
        <v>3742</v>
      </c>
      <c r="L422" s="204">
        <v>29917.360000000001</v>
      </c>
      <c r="M422" s="176">
        <v>0</v>
      </c>
      <c r="N422" s="176">
        <v>0</v>
      </c>
      <c r="O422" s="176">
        <v>0</v>
      </c>
      <c r="P422" s="204">
        <v>6282.64</v>
      </c>
      <c r="Q422" s="176">
        <v>36200</v>
      </c>
    </row>
    <row r="423" spans="1:17">
      <c r="A423" s="175" t="s">
        <v>3898</v>
      </c>
      <c r="B423" s="175" t="s">
        <v>3744</v>
      </c>
      <c r="C423" s="176">
        <v>9</v>
      </c>
      <c r="D423" s="176">
        <v>297</v>
      </c>
      <c r="E423" s="175"/>
      <c r="F423" s="176">
        <v>74458477709662</v>
      </c>
      <c r="G423" s="176">
        <v>99</v>
      </c>
      <c r="H423" s="176">
        <v>0</v>
      </c>
      <c r="I423" s="175"/>
      <c r="J423" s="176">
        <v>1</v>
      </c>
      <c r="K423" s="175" t="s">
        <v>3742</v>
      </c>
      <c r="L423" s="204">
        <v>45950.41</v>
      </c>
      <c r="M423" s="176">
        <v>0</v>
      </c>
      <c r="N423" s="176">
        <v>0</v>
      </c>
      <c r="O423" s="176">
        <v>0</v>
      </c>
      <c r="P423" s="204">
        <v>9649.59</v>
      </c>
      <c r="Q423" s="176">
        <v>55600</v>
      </c>
    </row>
    <row r="424" spans="1:17">
      <c r="A424" s="175" t="s">
        <v>3898</v>
      </c>
      <c r="B424" s="175" t="s">
        <v>3744</v>
      </c>
      <c r="C424" s="176">
        <v>9</v>
      </c>
      <c r="D424" s="176">
        <v>303</v>
      </c>
      <c r="E424" s="175"/>
      <c r="F424" s="176">
        <v>74458505125392</v>
      </c>
      <c r="G424" s="176">
        <v>99</v>
      </c>
      <c r="H424" s="176">
        <v>0</v>
      </c>
      <c r="I424" s="175"/>
      <c r="J424" s="176">
        <v>1</v>
      </c>
      <c r="K424" s="175" t="s">
        <v>3742</v>
      </c>
      <c r="L424" s="204">
        <v>14669.42</v>
      </c>
      <c r="M424" s="176">
        <v>0</v>
      </c>
      <c r="N424" s="176">
        <v>0</v>
      </c>
      <c r="O424" s="176">
        <v>0</v>
      </c>
      <c r="P424" s="204">
        <v>3080.58</v>
      </c>
      <c r="Q424" s="176">
        <v>17750</v>
      </c>
    </row>
    <row r="425" spans="1:17">
      <c r="A425" s="175" t="s">
        <v>3898</v>
      </c>
      <c r="B425" s="175" t="s">
        <v>3744</v>
      </c>
      <c r="C425" s="176">
        <v>9</v>
      </c>
      <c r="D425" s="176">
        <v>296</v>
      </c>
      <c r="E425" s="175"/>
      <c r="F425" s="176">
        <v>74458471949044</v>
      </c>
      <c r="G425" s="176">
        <v>99</v>
      </c>
      <c r="H425" s="176">
        <v>0</v>
      </c>
      <c r="I425" s="175"/>
      <c r="J425" s="176">
        <v>1</v>
      </c>
      <c r="K425" s="175" t="s">
        <v>3742</v>
      </c>
      <c r="L425" s="204">
        <v>20661.16</v>
      </c>
      <c r="M425" s="176">
        <v>0</v>
      </c>
      <c r="N425" s="176">
        <v>0</v>
      </c>
      <c r="O425" s="176">
        <v>0</v>
      </c>
      <c r="P425" s="204">
        <v>4338.84</v>
      </c>
      <c r="Q425" s="176">
        <v>25000</v>
      </c>
    </row>
    <row r="426" spans="1:17">
      <c r="A426" s="175" t="s">
        <v>3898</v>
      </c>
      <c r="B426" s="175" t="s">
        <v>3744</v>
      </c>
      <c r="C426" s="176">
        <v>9</v>
      </c>
      <c r="D426" s="176">
        <v>298</v>
      </c>
      <c r="E426" s="175"/>
      <c r="F426" s="176">
        <v>74458481224230</v>
      </c>
      <c r="G426" s="176">
        <v>99</v>
      </c>
      <c r="H426" s="176">
        <v>0</v>
      </c>
      <c r="I426" s="175"/>
      <c r="J426" s="176">
        <v>1</v>
      </c>
      <c r="K426" s="175" t="s">
        <v>3742</v>
      </c>
      <c r="L426" s="204">
        <v>20661.16</v>
      </c>
      <c r="M426" s="176">
        <v>0</v>
      </c>
      <c r="N426" s="176">
        <v>0</v>
      </c>
      <c r="O426" s="176">
        <v>0</v>
      </c>
      <c r="P426" s="204">
        <v>4338.84</v>
      </c>
      <c r="Q426" s="176">
        <v>25000</v>
      </c>
    </row>
    <row r="427" spans="1:17">
      <c r="A427" s="175" t="s">
        <v>3898</v>
      </c>
      <c r="B427" s="175" t="s">
        <v>3744</v>
      </c>
      <c r="C427" s="176">
        <v>9</v>
      </c>
      <c r="D427" s="176">
        <v>306</v>
      </c>
      <c r="E427" s="175"/>
      <c r="F427" s="176">
        <v>74458508542244</v>
      </c>
      <c r="G427" s="176">
        <v>99</v>
      </c>
      <c r="H427" s="176">
        <v>0</v>
      </c>
      <c r="I427" s="175"/>
      <c r="J427" s="176">
        <v>1</v>
      </c>
      <c r="K427" s="175" t="s">
        <v>3742</v>
      </c>
      <c r="L427" s="175">
        <v>10743.8</v>
      </c>
      <c r="M427" s="176">
        <v>0</v>
      </c>
      <c r="N427" s="176">
        <v>0</v>
      </c>
      <c r="O427" s="176">
        <v>0</v>
      </c>
      <c r="P427" s="175">
        <v>2256.1999999999998</v>
      </c>
      <c r="Q427" s="176">
        <v>13000</v>
      </c>
    </row>
    <row r="428" spans="1:17">
      <c r="A428" s="175" t="s">
        <v>3898</v>
      </c>
      <c r="B428" s="175" t="s">
        <v>3744</v>
      </c>
      <c r="C428" s="176">
        <v>9</v>
      </c>
      <c r="D428" s="176">
        <v>302</v>
      </c>
      <c r="E428" s="175"/>
      <c r="F428" s="176">
        <v>74458496694695</v>
      </c>
      <c r="G428" s="176">
        <v>99</v>
      </c>
      <c r="H428" s="176">
        <v>0</v>
      </c>
      <c r="I428" s="175"/>
      <c r="J428" s="176">
        <v>1</v>
      </c>
      <c r="K428" s="175" t="s">
        <v>3742</v>
      </c>
      <c r="L428" s="204">
        <v>40909.089999999997</v>
      </c>
      <c r="M428" s="176">
        <v>0</v>
      </c>
      <c r="N428" s="176">
        <v>0</v>
      </c>
      <c r="O428" s="176">
        <v>0</v>
      </c>
      <c r="P428" s="204">
        <v>8590.91</v>
      </c>
      <c r="Q428" s="176">
        <v>49500</v>
      </c>
    </row>
    <row r="429" spans="1:17">
      <c r="A429" s="175" t="s">
        <v>3898</v>
      </c>
      <c r="B429" s="175" t="s">
        <v>3744</v>
      </c>
      <c r="C429" s="176">
        <v>9</v>
      </c>
      <c r="D429" s="176">
        <v>307</v>
      </c>
      <c r="E429" s="175"/>
      <c r="F429" s="176">
        <v>74458520961498</v>
      </c>
      <c r="G429" s="176">
        <v>99</v>
      </c>
      <c r="H429" s="176">
        <v>0</v>
      </c>
      <c r="I429" s="175"/>
      <c r="J429" s="176">
        <v>1</v>
      </c>
      <c r="K429" s="175" t="s">
        <v>3742</v>
      </c>
      <c r="L429" s="204">
        <v>15289.26</v>
      </c>
      <c r="M429" s="176">
        <v>0</v>
      </c>
      <c r="N429" s="176">
        <v>0</v>
      </c>
      <c r="O429" s="176">
        <v>0</v>
      </c>
      <c r="P429" s="204">
        <v>3210.74</v>
      </c>
      <c r="Q429" s="176">
        <v>18500</v>
      </c>
    </row>
    <row r="430" spans="1:17">
      <c r="A430" s="175" t="s">
        <v>3898</v>
      </c>
      <c r="B430" s="175" t="s">
        <v>3744</v>
      </c>
      <c r="C430" s="176">
        <v>9</v>
      </c>
      <c r="D430" s="176">
        <v>299</v>
      </c>
      <c r="E430" s="175"/>
      <c r="F430" s="176">
        <v>74458482034549</v>
      </c>
      <c r="G430" s="176">
        <v>99</v>
      </c>
      <c r="H430" s="176">
        <v>0</v>
      </c>
      <c r="I430" s="175"/>
      <c r="J430" s="176">
        <v>1</v>
      </c>
      <c r="K430" s="175" t="s">
        <v>3742</v>
      </c>
      <c r="L430" s="204">
        <v>4132.2299999999996</v>
      </c>
      <c r="M430" s="176">
        <v>0</v>
      </c>
      <c r="N430" s="176">
        <v>0</v>
      </c>
      <c r="O430" s="176">
        <v>0</v>
      </c>
      <c r="P430" s="204">
        <v>867.77</v>
      </c>
      <c r="Q430" s="176">
        <v>5000</v>
      </c>
    </row>
    <row r="431" spans="1:17">
      <c r="A431" s="175" t="s">
        <v>3879</v>
      </c>
      <c r="B431" s="175" t="s">
        <v>3744</v>
      </c>
      <c r="C431" s="176">
        <v>9</v>
      </c>
      <c r="D431" s="176">
        <v>309</v>
      </c>
      <c r="E431" s="175"/>
      <c r="F431" s="176">
        <v>74468791952901</v>
      </c>
      <c r="G431" s="176">
        <v>99</v>
      </c>
      <c r="H431" s="176">
        <v>0</v>
      </c>
      <c r="I431" s="175"/>
      <c r="J431" s="176">
        <v>1</v>
      </c>
      <c r="K431" s="175" t="s">
        <v>3742</v>
      </c>
      <c r="L431" s="204">
        <v>20454.55</v>
      </c>
      <c r="M431" s="176">
        <v>0</v>
      </c>
      <c r="N431" s="176">
        <v>0</v>
      </c>
      <c r="O431" s="176">
        <v>0</v>
      </c>
      <c r="P431" s="204">
        <v>4295.45</v>
      </c>
      <c r="Q431" s="176">
        <v>24750</v>
      </c>
    </row>
    <row r="432" spans="1:17">
      <c r="A432" s="175" t="s">
        <v>3879</v>
      </c>
      <c r="B432" s="175" t="s">
        <v>3744</v>
      </c>
      <c r="C432" s="176">
        <v>9</v>
      </c>
      <c r="D432" s="176">
        <v>318</v>
      </c>
      <c r="E432" s="175"/>
      <c r="F432" s="176">
        <v>74468821389789</v>
      </c>
      <c r="G432" s="176">
        <v>99</v>
      </c>
      <c r="H432" s="176">
        <v>0</v>
      </c>
      <c r="I432" s="175"/>
      <c r="J432" s="176">
        <v>1</v>
      </c>
      <c r="K432" s="175" t="s">
        <v>3742</v>
      </c>
      <c r="L432" s="204">
        <v>4793.3900000000003</v>
      </c>
      <c r="M432" s="176">
        <v>0</v>
      </c>
      <c r="N432" s="176">
        <v>0</v>
      </c>
      <c r="O432" s="176">
        <v>0</v>
      </c>
      <c r="P432" s="204">
        <v>1006.61</v>
      </c>
      <c r="Q432" s="176">
        <v>5800</v>
      </c>
    </row>
    <row r="433" spans="1:17">
      <c r="A433" s="175" t="s">
        <v>3879</v>
      </c>
      <c r="B433" s="175" t="s">
        <v>3744</v>
      </c>
      <c r="C433" s="176">
        <v>9</v>
      </c>
      <c r="D433" s="176">
        <v>323</v>
      </c>
      <c r="E433" s="175"/>
      <c r="F433" s="176">
        <v>74468842642698</v>
      </c>
      <c r="G433" s="176">
        <v>99</v>
      </c>
      <c r="H433" s="176">
        <v>0</v>
      </c>
      <c r="I433" s="175"/>
      <c r="J433" s="176">
        <v>1</v>
      </c>
      <c r="K433" s="175" t="s">
        <v>3742</v>
      </c>
      <c r="L433" s="204">
        <v>20454.55</v>
      </c>
      <c r="M433" s="176">
        <v>0</v>
      </c>
      <c r="N433" s="176">
        <v>0</v>
      </c>
      <c r="O433" s="176">
        <v>0</v>
      </c>
      <c r="P433" s="204">
        <v>4295.45</v>
      </c>
      <c r="Q433" s="176">
        <v>24750</v>
      </c>
    </row>
    <row r="434" spans="1:17">
      <c r="A434" s="175" t="s">
        <v>3879</v>
      </c>
      <c r="B434" s="175" t="s">
        <v>3744</v>
      </c>
      <c r="C434" s="176">
        <v>9</v>
      </c>
      <c r="D434" s="176">
        <v>321</v>
      </c>
      <c r="E434" s="175"/>
      <c r="F434" s="176">
        <v>74468837346947</v>
      </c>
      <c r="G434" s="176">
        <v>99</v>
      </c>
      <c r="H434" s="176">
        <v>0</v>
      </c>
      <c r="I434" s="175"/>
      <c r="J434" s="176">
        <v>1</v>
      </c>
      <c r="K434" s="175" t="s">
        <v>3742</v>
      </c>
      <c r="L434" s="204">
        <v>13966.94</v>
      </c>
      <c r="M434" s="176">
        <v>0</v>
      </c>
      <c r="N434" s="176">
        <v>0</v>
      </c>
      <c r="O434" s="176">
        <v>0</v>
      </c>
      <c r="P434" s="204">
        <v>2933.06</v>
      </c>
      <c r="Q434" s="176">
        <v>16900</v>
      </c>
    </row>
    <row r="435" spans="1:17">
      <c r="A435" s="175" t="s">
        <v>3879</v>
      </c>
      <c r="B435" s="175" t="s">
        <v>3744</v>
      </c>
      <c r="C435" s="176">
        <v>9</v>
      </c>
      <c r="D435" s="176">
        <v>326</v>
      </c>
      <c r="E435" s="175"/>
      <c r="F435" s="176">
        <v>74468848067384</v>
      </c>
      <c r="G435" s="176">
        <v>99</v>
      </c>
      <c r="H435" s="176">
        <v>0</v>
      </c>
      <c r="I435" s="175"/>
      <c r="J435" s="176">
        <v>1</v>
      </c>
      <c r="K435" s="175" t="s">
        <v>3742</v>
      </c>
      <c r="L435" s="175">
        <v>10743.8</v>
      </c>
      <c r="M435" s="176">
        <v>0</v>
      </c>
      <c r="N435" s="176">
        <v>0</v>
      </c>
      <c r="O435" s="176">
        <v>0</v>
      </c>
      <c r="P435" s="175">
        <v>2256.1999999999998</v>
      </c>
      <c r="Q435" s="176">
        <v>13000</v>
      </c>
    </row>
    <row r="436" spans="1:17">
      <c r="A436" s="175" t="s">
        <v>3879</v>
      </c>
      <c r="B436" s="175" t="s">
        <v>3744</v>
      </c>
      <c r="C436" s="176">
        <v>9</v>
      </c>
      <c r="D436" s="176">
        <v>312</v>
      </c>
      <c r="E436" s="175"/>
      <c r="F436" s="176">
        <v>74468797565751</v>
      </c>
      <c r="G436" s="176">
        <v>99</v>
      </c>
      <c r="H436" s="176">
        <v>0</v>
      </c>
      <c r="I436" s="175"/>
      <c r="J436" s="176">
        <v>1</v>
      </c>
      <c r="K436" s="175" t="s">
        <v>3742</v>
      </c>
      <c r="L436" s="204">
        <v>3471.07</v>
      </c>
      <c r="M436" s="176">
        <v>0</v>
      </c>
      <c r="N436" s="176">
        <v>0</v>
      </c>
      <c r="O436" s="176">
        <v>0</v>
      </c>
      <c r="P436" s="204">
        <v>728.93</v>
      </c>
      <c r="Q436" s="176">
        <v>4200</v>
      </c>
    </row>
    <row r="437" spans="1:17">
      <c r="A437" s="175" t="s">
        <v>3879</v>
      </c>
      <c r="B437" s="175" t="s">
        <v>3744</v>
      </c>
      <c r="C437" s="176">
        <v>9</v>
      </c>
      <c r="D437" s="176">
        <v>320</v>
      </c>
      <c r="E437" s="175"/>
      <c r="F437" s="176">
        <v>74468826703350</v>
      </c>
      <c r="G437" s="176">
        <v>99</v>
      </c>
      <c r="H437" s="176">
        <v>0</v>
      </c>
      <c r="I437" s="175"/>
      <c r="J437" s="176">
        <v>1</v>
      </c>
      <c r="K437" s="175" t="s">
        <v>3742</v>
      </c>
      <c r="L437" s="204">
        <v>16611.57</v>
      </c>
      <c r="M437" s="176">
        <v>0</v>
      </c>
      <c r="N437" s="176">
        <v>0</v>
      </c>
      <c r="O437" s="176">
        <v>0</v>
      </c>
      <c r="P437" s="204">
        <v>3488.43</v>
      </c>
      <c r="Q437" s="176">
        <v>20100</v>
      </c>
    </row>
    <row r="438" spans="1:17">
      <c r="A438" s="175" t="s">
        <v>3879</v>
      </c>
      <c r="B438" s="175" t="s">
        <v>3744</v>
      </c>
      <c r="C438" s="176">
        <v>9</v>
      </c>
      <c r="D438" s="176">
        <v>319</v>
      </c>
      <c r="E438" s="175"/>
      <c r="F438" s="176">
        <v>74468824233064</v>
      </c>
      <c r="G438" s="176">
        <v>99</v>
      </c>
      <c r="H438" s="176">
        <v>0</v>
      </c>
      <c r="I438" s="175"/>
      <c r="J438" s="176">
        <v>1</v>
      </c>
      <c r="K438" s="175" t="s">
        <v>3742</v>
      </c>
      <c r="L438" s="204">
        <v>20454.55</v>
      </c>
      <c r="M438" s="176">
        <v>0</v>
      </c>
      <c r="N438" s="176">
        <v>0</v>
      </c>
      <c r="O438" s="176">
        <v>0</v>
      </c>
      <c r="P438" s="204">
        <v>4295.45</v>
      </c>
      <c r="Q438" s="176">
        <v>24750</v>
      </c>
    </row>
    <row r="439" spans="1:17">
      <c r="A439" s="175" t="s">
        <v>3879</v>
      </c>
      <c r="B439" s="175" t="s">
        <v>3744</v>
      </c>
      <c r="C439" s="176">
        <v>9</v>
      </c>
      <c r="D439" s="176">
        <v>313</v>
      </c>
      <c r="E439" s="175"/>
      <c r="F439" s="176">
        <v>74468798074775</v>
      </c>
      <c r="G439" s="176">
        <v>99</v>
      </c>
      <c r="H439" s="176">
        <v>0</v>
      </c>
      <c r="I439" s="175"/>
      <c r="J439" s="176">
        <v>1</v>
      </c>
      <c r="K439" s="175" t="s">
        <v>3742</v>
      </c>
      <c r="L439" s="204">
        <v>13223.14</v>
      </c>
      <c r="M439" s="176">
        <v>0</v>
      </c>
      <c r="N439" s="176">
        <v>0</v>
      </c>
      <c r="O439" s="176">
        <v>0</v>
      </c>
      <c r="P439" s="204">
        <v>2776.86</v>
      </c>
      <c r="Q439" s="176">
        <v>16000</v>
      </c>
    </row>
    <row r="440" spans="1:17">
      <c r="A440" s="175" t="s">
        <v>3879</v>
      </c>
      <c r="B440" s="175" t="s">
        <v>3744</v>
      </c>
      <c r="C440" s="176">
        <v>9</v>
      </c>
      <c r="D440" s="176">
        <v>324</v>
      </c>
      <c r="E440" s="175"/>
      <c r="F440" s="176">
        <v>74468846050387</v>
      </c>
      <c r="G440" s="176">
        <v>99</v>
      </c>
      <c r="H440" s="176">
        <v>0</v>
      </c>
      <c r="I440" s="175"/>
      <c r="J440" s="176">
        <v>1</v>
      </c>
      <c r="K440" s="175" t="s">
        <v>3742</v>
      </c>
      <c r="L440" s="204">
        <v>21404.959999999999</v>
      </c>
      <c r="M440" s="176">
        <v>0</v>
      </c>
      <c r="N440" s="176">
        <v>0</v>
      </c>
      <c r="O440" s="176">
        <v>0</v>
      </c>
      <c r="P440" s="204">
        <v>4495.04</v>
      </c>
      <c r="Q440" s="176">
        <v>25900</v>
      </c>
    </row>
    <row r="441" spans="1:17">
      <c r="A441" s="175" t="s">
        <v>3879</v>
      </c>
      <c r="B441" s="175" t="s">
        <v>3744</v>
      </c>
      <c r="C441" s="176">
        <v>9</v>
      </c>
      <c r="D441" s="176">
        <v>308</v>
      </c>
      <c r="E441" s="175"/>
      <c r="F441" s="176">
        <v>74468787663900</v>
      </c>
      <c r="G441" s="176">
        <v>99</v>
      </c>
      <c r="H441" s="176">
        <v>0</v>
      </c>
      <c r="I441" s="175"/>
      <c r="J441" s="176">
        <v>1</v>
      </c>
      <c r="K441" s="175" t="s">
        <v>3742</v>
      </c>
      <c r="L441" s="175">
        <v>10743.8</v>
      </c>
      <c r="M441" s="176">
        <v>0</v>
      </c>
      <c r="N441" s="176">
        <v>0</v>
      </c>
      <c r="O441" s="176">
        <v>0</v>
      </c>
      <c r="P441" s="175">
        <v>2256.1999999999998</v>
      </c>
      <c r="Q441" s="176">
        <v>13000</v>
      </c>
    </row>
    <row r="442" spans="1:17">
      <c r="A442" s="175" t="s">
        <v>3879</v>
      </c>
      <c r="B442" s="175" t="s">
        <v>3744</v>
      </c>
      <c r="C442" s="176">
        <v>9</v>
      </c>
      <c r="D442" s="176">
        <v>314</v>
      </c>
      <c r="E442" s="175"/>
      <c r="F442" s="176">
        <v>74468801125958</v>
      </c>
      <c r="G442" s="176">
        <v>99</v>
      </c>
      <c r="H442" s="176">
        <v>0</v>
      </c>
      <c r="I442" s="175"/>
      <c r="J442" s="176">
        <v>1</v>
      </c>
      <c r="K442" s="175" t="s">
        <v>3742</v>
      </c>
      <c r="L442" s="204">
        <v>28099.17</v>
      </c>
      <c r="M442" s="176">
        <v>0</v>
      </c>
      <c r="N442" s="176">
        <v>0</v>
      </c>
      <c r="O442" s="176">
        <v>0</v>
      </c>
      <c r="P442" s="204">
        <v>5900.83</v>
      </c>
      <c r="Q442" s="176">
        <v>34000</v>
      </c>
    </row>
    <row r="443" spans="1:17">
      <c r="A443" s="175" t="s">
        <v>3879</v>
      </c>
      <c r="B443" s="175" t="s">
        <v>3744</v>
      </c>
      <c r="C443" s="176">
        <v>9</v>
      </c>
      <c r="D443" s="176">
        <v>310</v>
      </c>
      <c r="E443" s="175"/>
      <c r="F443" s="176">
        <v>74468793332890</v>
      </c>
      <c r="G443" s="176">
        <v>99</v>
      </c>
      <c r="H443" s="176">
        <v>0</v>
      </c>
      <c r="I443" s="175"/>
      <c r="J443" s="176">
        <v>1</v>
      </c>
      <c r="K443" s="175" t="s">
        <v>3742</v>
      </c>
      <c r="L443" s="204">
        <v>20454.55</v>
      </c>
      <c r="M443" s="176">
        <v>0</v>
      </c>
      <c r="N443" s="176">
        <v>0</v>
      </c>
      <c r="O443" s="176">
        <v>0</v>
      </c>
      <c r="P443" s="204">
        <v>4295.45</v>
      </c>
      <c r="Q443" s="176">
        <v>24750</v>
      </c>
    </row>
    <row r="444" spans="1:17">
      <c r="A444" s="175" t="s">
        <v>3879</v>
      </c>
      <c r="B444" s="175" t="s">
        <v>3744</v>
      </c>
      <c r="C444" s="176">
        <v>9</v>
      </c>
      <c r="D444" s="176">
        <v>315</v>
      </c>
      <c r="E444" s="175"/>
      <c r="F444" s="176">
        <v>74468801310080</v>
      </c>
      <c r="G444" s="176">
        <v>99</v>
      </c>
      <c r="H444" s="176">
        <v>0</v>
      </c>
      <c r="I444" s="175"/>
      <c r="J444" s="176">
        <v>1</v>
      </c>
      <c r="K444" s="175" t="s">
        <v>3742</v>
      </c>
      <c r="L444" s="204">
        <v>15165.29</v>
      </c>
      <c r="M444" s="176">
        <v>0</v>
      </c>
      <c r="N444" s="176">
        <v>0</v>
      </c>
      <c r="O444" s="176">
        <v>0</v>
      </c>
      <c r="P444" s="204">
        <v>3184.71</v>
      </c>
      <c r="Q444" s="176">
        <v>18350</v>
      </c>
    </row>
    <row r="445" spans="1:17">
      <c r="A445" s="175" t="s">
        <v>3879</v>
      </c>
      <c r="B445" s="175" t="s">
        <v>3744</v>
      </c>
      <c r="C445" s="176">
        <v>9</v>
      </c>
      <c r="D445" s="176">
        <v>311</v>
      </c>
      <c r="E445" s="175"/>
      <c r="F445" s="176">
        <v>74468796575871</v>
      </c>
      <c r="G445" s="176">
        <v>99</v>
      </c>
      <c r="H445" s="176">
        <v>0</v>
      </c>
      <c r="I445" s="175"/>
      <c r="J445" s="176">
        <v>1</v>
      </c>
      <c r="K445" s="175" t="s">
        <v>3742</v>
      </c>
      <c r="L445" s="204">
        <v>37685.949999999997</v>
      </c>
      <c r="M445" s="176">
        <v>0</v>
      </c>
      <c r="N445" s="176">
        <v>0</v>
      </c>
      <c r="O445" s="176">
        <v>0</v>
      </c>
      <c r="P445" s="204">
        <v>7914.05</v>
      </c>
      <c r="Q445" s="176">
        <v>45600</v>
      </c>
    </row>
    <row r="446" spans="1:17">
      <c r="A446" s="175" t="s">
        <v>3879</v>
      </c>
      <c r="B446" s="175" t="s">
        <v>3744</v>
      </c>
      <c r="C446" s="176">
        <v>9</v>
      </c>
      <c r="D446" s="176">
        <v>322</v>
      </c>
      <c r="E446" s="175"/>
      <c r="F446" s="176">
        <v>74468842072145</v>
      </c>
      <c r="G446" s="176">
        <v>99</v>
      </c>
      <c r="H446" s="176">
        <v>0</v>
      </c>
      <c r="I446" s="175"/>
      <c r="J446" s="176">
        <v>1</v>
      </c>
      <c r="K446" s="175" t="s">
        <v>3742</v>
      </c>
      <c r="L446" s="204">
        <v>20661.16</v>
      </c>
      <c r="M446" s="176">
        <v>0</v>
      </c>
      <c r="N446" s="176">
        <v>0</v>
      </c>
      <c r="O446" s="176">
        <v>0</v>
      </c>
      <c r="P446" s="204">
        <v>4338.84</v>
      </c>
      <c r="Q446" s="176">
        <v>25000</v>
      </c>
    </row>
    <row r="447" spans="1:17">
      <c r="A447" s="175" t="s">
        <v>3879</v>
      </c>
      <c r="B447" s="175" t="s">
        <v>3744</v>
      </c>
      <c r="C447" s="176">
        <v>9</v>
      </c>
      <c r="D447" s="176">
        <v>317</v>
      </c>
      <c r="E447" s="175"/>
      <c r="F447" s="176">
        <v>74468810106703</v>
      </c>
      <c r="G447" s="176">
        <v>99</v>
      </c>
      <c r="H447" s="176">
        <v>0</v>
      </c>
      <c r="I447" s="175"/>
      <c r="J447" s="176">
        <v>1</v>
      </c>
      <c r="K447" s="175" t="s">
        <v>3742</v>
      </c>
      <c r="L447" s="204">
        <v>13223.14</v>
      </c>
      <c r="M447" s="176">
        <v>0</v>
      </c>
      <c r="N447" s="176">
        <v>0</v>
      </c>
      <c r="O447" s="176">
        <v>0</v>
      </c>
      <c r="P447" s="204">
        <v>2776.86</v>
      </c>
      <c r="Q447" s="176">
        <v>16000</v>
      </c>
    </row>
    <row r="448" spans="1:17">
      <c r="A448" s="175" t="s">
        <v>3879</v>
      </c>
      <c r="B448" s="175" t="s">
        <v>3744</v>
      </c>
      <c r="C448" s="176">
        <v>9</v>
      </c>
      <c r="D448" s="176">
        <v>316</v>
      </c>
      <c r="E448" s="175"/>
      <c r="F448" s="176">
        <v>74468807851775</v>
      </c>
      <c r="G448" s="176">
        <v>99</v>
      </c>
      <c r="H448" s="176">
        <v>0</v>
      </c>
      <c r="I448" s="175"/>
      <c r="J448" s="176">
        <v>1</v>
      </c>
      <c r="K448" s="175" t="s">
        <v>3742</v>
      </c>
      <c r="L448" s="175">
        <v>18512.400000000001</v>
      </c>
      <c r="M448" s="176">
        <v>0</v>
      </c>
      <c r="N448" s="176">
        <v>0</v>
      </c>
      <c r="O448" s="176">
        <v>0</v>
      </c>
      <c r="P448" s="175">
        <v>3887.6</v>
      </c>
      <c r="Q448" s="176">
        <v>22400</v>
      </c>
    </row>
    <row r="449" spans="1:17">
      <c r="A449" s="175" t="s">
        <v>3879</v>
      </c>
      <c r="B449" s="175" t="s">
        <v>3744</v>
      </c>
      <c r="C449" s="176">
        <v>9</v>
      </c>
      <c r="D449" s="176">
        <v>325</v>
      </c>
      <c r="E449" s="175"/>
      <c r="F449" s="176">
        <v>74468847861477</v>
      </c>
      <c r="G449" s="176">
        <v>99</v>
      </c>
      <c r="H449" s="176">
        <v>0</v>
      </c>
      <c r="I449" s="175"/>
      <c r="J449" s="176">
        <v>1</v>
      </c>
      <c r="K449" s="175" t="s">
        <v>3742</v>
      </c>
      <c r="L449" s="204">
        <v>25619.83</v>
      </c>
      <c r="M449" s="176">
        <v>0</v>
      </c>
      <c r="N449" s="176">
        <v>0</v>
      </c>
      <c r="O449" s="176">
        <v>0</v>
      </c>
      <c r="P449" s="204">
        <v>5380.17</v>
      </c>
      <c r="Q449" s="176">
        <v>31000</v>
      </c>
    </row>
    <row r="450" spans="1:17">
      <c r="A450" s="175" t="s">
        <v>3865</v>
      </c>
      <c r="B450" s="175" t="s">
        <v>3744</v>
      </c>
      <c r="C450" s="176">
        <v>9</v>
      </c>
      <c r="D450" s="176">
        <v>330</v>
      </c>
      <c r="E450" s="175"/>
      <c r="F450" s="176">
        <v>74468941196019</v>
      </c>
      <c r="G450" s="176">
        <v>99</v>
      </c>
      <c r="H450" s="176">
        <v>0</v>
      </c>
      <c r="I450" s="175"/>
      <c r="J450" s="176">
        <v>1</v>
      </c>
      <c r="K450" s="175" t="s">
        <v>3742</v>
      </c>
      <c r="L450" s="204">
        <v>13223.14</v>
      </c>
      <c r="M450" s="176">
        <v>0</v>
      </c>
      <c r="N450" s="176">
        <v>0</v>
      </c>
      <c r="O450" s="176">
        <v>0</v>
      </c>
      <c r="P450" s="204">
        <v>2776.86</v>
      </c>
      <c r="Q450" s="176">
        <v>16000</v>
      </c>
    </row>
    <row r="451" spans="1:17">
      <c r="A451" s="175" t="s">
        <v>3865</v>
      </c>
      <c r="B451" s="175" t="s">
        <v>3744</v>
      </c>
      <c r="C451" s="176">
        <v>9</v>
      </c>
      <c r="D451" s="176">
        <v>340</v>
      </c>
      <c r="E451" s="175"/>
      <c r="F451" s="176">
        <v>74468975354398</v>
      </c>
      <c r="G451" s="176">
        <v>99</v>
      </c>
      <c r="H451" s="176">
        <v>0</v>
      </c>
      <c r="I451" s="175"/>
      <c r="J451" s="176">
        <v>1</v>
      </c>
      <c r="K451" s="175" t="s">
        <v>3742</v>
      </c>
      <c r="L451" s="204">
        <v>13223.14</v>
      </c>
      <c r="M451" s="176">
        <v>0</v>
      </c>
      <c r="N451" s="176">
        <v>0</v>
      </c>
      <c r="O451" s="176">
        <v>0</v>
      </c>
      <c r="P451" s="204">
        <v>2776.86</v>
      </c>
      <c r="Q451" s="176">
        <v>16000</v>
      </c>
    </row>
    <row r="452" spans="1:17">
      <c r="A452" s="175" t="s">
        <v>3865</v>
      </c>
      <c r="B452" s="175" t="s">
        <v>3744</v>
      </c>
      <c r="C452" s="176">
        <v>9</v>
      </c>
      <c r="D452" s="176">
        <v>336</v>
      </c>
      <c r="E452" s="175"/>
      <c r="F452" s="176">
        <v>74468967946095</v>
      </c>
      <c r="G452" s="176">
        <v>99</v>
      </c>
      <c r="H452" s="176">
        <v>0</v>
      </c>
      <c r="I452" s="175"/>
      <c r="J452" s="176">
        <v>1</v>
      </c>
      <c r="K452" s="175" t="s">
        <v>3742</v>
      </c>
      <c r="L452" s="204">
        <v>14876.03</v>
      </c>
      <c r="M452" s="176">
        <v>0</v>
      </c>
      <c r="N452" s="176">
        <v>0</v>
      </c>
      <c r="O452" s="176">
        <v>0</v>
      </c>
      <c r="P452" s="204">
        <v>3123.97</v>
      </c>
      <c r="Q452" s="176">
        <v>18000</v>
      </c>
    </row>
    <row r="453" spans="1:17">
      <c r="A453" s="175" t="s">
        <v>3865</v>
      </c>
      <c r="B453" s="175" t="s">
        <v>3744</v>
      </c>
      <c r="C453" s="176">
        <v>9</v>
      </c>
      <c r="D453" s="176">
        <v>338</v>
      </c>
      <c r="E453" s="175"/>
      <c r="F453" s="176">
        <v>74468973268600</v>
      </c>
      <c r="G453" s="176">
        <v>99</v>
      </c>
      <c r="H453" s="176">
        <v>0</v>
      </c>
      <c r="I453" s="175"/>
      <c r="J453" s="176">
        <v>1</v>
      </c>
      <c r="K453" s="175" t="s">
        <v>3742</v>
      </c>
      <c r="L453" s="175">
        <v>10743.8</v>
      </c>
      <c r="M453" s="176">
        <v>0</v>
      </c>
      <c r="N453" s="176">
        <v>0</v>
      </c>
      <c r="O453" s="176">
        <v>0</v>
      </c>
      <c r="P453" s="175">
        <v>2256.1999999999998</v>
      </c>
      <c r="Q453" s="176">
        <v>13000</v>
      </c>
    </row>
    <row r="454" spans="1:17">
      <c r="A454" s="175" t="s">
        <v>3865</v>
      </c>
      <c r="B454" s="175" t="s">
        <v>3744</v>
      </c>
      <c r="C454" s="176">
        <v>9</v>
      </c>
      <c r="D454" s="176">
        <v>334</v>
      </c>
      <c r="E454" s="175"/>
      <c r="F454" s="176">
        <v>74468957583180</v>
      </c>
      <c r="G454" s="176">
        <v>99</v>
      </c>
      <c r="H454" s="176">
        <v>0</v>
      </c>
      <c r="I454" s="175"/>
      <c r="J454" s="176">
        <v>1</v>
      </c>
      <c r="K454" s="175" t="s">
        <v>3742</v>
      </c>
      <c r="L454" s="204">
        <v>20661.16</v>
      </c>
      <c r="M454" s="176">
        <v>0</v>
      </c>
      <c r="N454" s="176">
        <v>0</v>
      </c>
      <c r="O454" s="176">
        <v>0</v>
      </c>
      <c r="P454" s="204">
        <v>4338.84</v>
      </c>
      <c r="Q454" s="176">
        <v>25000</v>
      </c>
    </row>
    <row r="455" spans="1:17">
      <c r="A455" s="175" t="s">
        <v>3865</v>
      </c>
      <c r="B455" s="175" t="s">
        <v>3744</v>
      </c>
      <c r="C455" s="176">
        <v>9</v>
      </c>
      <c r="D455" s="176">
        <v>328</v>
      </c>
      <c r="E455" s="175"/>
      <c r="F455" s="176">
        <v>74468939503162</v>
      </c>
      <c r="G455" s="176">
        <v>99</v>
      </c>
      <c r="H455" s="176">
        <v>0</v>
      </c>
      <c r="I455" s="175"/>
      <c r="J455" s="176">
        <v>1</v>
      </c>
      <c r="K455" s="175" t="s">
        <v>3742</v>
      </c>
      <c r="L455" s="175">
        <v>10743.8</v>
      </c>
      <c r="M455" s="176">
        <v>0</v>
      </c>
      <c r="N455" s="176">
        <v>0</v>
      </c>
      <c r="O455" s="176">
        <v>0</v>
      </c>
      <c r="P455" s="175">
        <v>2256.1999999999998</v>
      </c>
      <c r="Q455" s="176">
        <v>13000</v>
      </c>
    </row>
    <row r="456" spans="1:17">
      <c r="A456" s="175" t="s">
        <v>3865</v>
      </c>
      <c r="B456" s="175" t="s">
        <v>3744</v>
      </c>
      <c r="C456" s="176">
        <v>9</v>
      </c>
      <c r="D456" s="176">
        <v>332</v>
      </c>
      <c r="E456" s="175"/>
      <c r="F456" s="176">
        <v>74468952654079</v>
      </c>
      <c r="G456" s="176">
        <v>99</v>
      </c>
      <c r="H456" s="176">
        <v>0</v>
      </c>
      <c r="I456" s="175"/>
      <c r="J456" s="176">
        <v>1</v>
      </c>
      <c r="K456" s="175" t="s">
        <v>3742</v>
      </c>
      <c r="L456" s="204">
        <v>27272.73</v>
      </c>
      <c r="M456" s="176">
        <v>0</v>
      </c>
      <c r="N456" s="176">
        <v>0</v>
      </c>
      <c r="O456" s="176">
        <v>0</v>
      </c>
      <c r="P456" s="204">
        <v>5727.27</v>
      </c>
      <c r="Q456" s="176">
        <v>33000</v>
      </c>
    </row>
    <row r="457" spans="1:17">
      <c r="A457" s="175" t="s">
        <v>3865</v>
      </c>
      <c r="B457" s="175" t="s">
        <v>3744</v>
      </c>
      <c r="C457" s="176">
        <v>9</v>
      </c>
      <c r="D457" s="176">
        <v>333</v>
      </c>
      <c r="E457" s="175"/>
      <c r="F457" s="176">
        <v>74468953137886</v>
      </c>
      <c r="G457" s="176">
        <v>99</v>
      </c>
      <c r="H457" s="176">
        <v>0</v>
      </c>
      <c r="I457" s="175"/>
      <c r="J457" s="176">
        <v>1</v>
      </c>
      <c r="K457" s="175" t="s">
        <v>3742</v>
      </c>
      <c r="L457" s="204">
        <v>5950.41</v>
      </c>
      <c r="M457" s="176">
        <v>0</v>
      </c>
      <c r="N457" s="176">
        <v>0</v>
      </c>
      <c r="O457" s="176">
        <v>0</v>
      </c>
      <c r="P457" s="204">
        <v>1249.5899999999999</v>
      </c>
      <c r="Q457" s="176">
        <v>7200</v>
      </c>
    </row>
    <row r="458" spans="1:17">
      <c r="A458" s="175" t="s">
        <v>3865</v>
      </c>
      <c r="B458" s="175" t="s">
        <v>3744</v>
      </c>
      <c r="C458" s="176">
        <v>9</v>
      </c>
      <c r="D458" s="176">
        <v>341</v>
      </c>
      <c r="E458" s="175"/>
      <c r="F458" s="176">
        <v>74468979609018</v>
      </c>
      <c r="G458" s="176">
        <v>99</v>
      </c>
      <c r="H458" s="176">
        <v>0</v>
      </c>
      <c r="I458" s="175"/>
      <c r="J458" s="176">
        <v>1</v>
      </c>
      <c r="K458" s="175" t="s">
        <v>3742</v>
      </c>
      <c r="L458" s="204">
        <v>8677.69</v>
      </c>
      <c r="M458" s="176">
        <v>0</v>
      </c>
      <c r="N458" s="176">
        <v>0</v>
      </c>
      <c r="O458" s="176">
        <v>0</v>
      </c>
      <c r="P458" s="204">
        <v>1822.31</v>
      </c>
      <c r="Q458" s="176">
        <v>10500</v>
      </c>
    </row>
    <row r="459" spans="1:17">
      <c r="A459" s="175" t="s">
        <v>3865</v>
      </c>
      <c r="B459" s="175" t="s">
        <v>3744</v>
      </c>
      <c r="C459" s="176">
        <v>9</v>
      </c>
      <c r="D459" s="176">
        <v>335</v>
      </c>
      <c r="E459" s="175"/>
      <c r="F459" s="176">
        <v>74468966613004</v>
      </c>
      <c r="G459" s="176">
        <v>99</v>
      </c>
      <c r="H459" s="176">
        <v>0</v>
      </c>
      <c r="I459" s="175"/>
      <c r="J459" s="176">
        <v>1</v>
      </c>
      <c r="K459" s="175" t="s">
        <v>3742</v>
      </c>
      <c r="L459" s="175">
        <v>10743.8</v>
      </c>
      <c r="M459" s="176">
        <v>0</v>
      </c>
      <c r="N459" s="176">
        <v>0</v>
      </c>
      <c r="O459" s="176">
        <v>0</v>
      </c>
      <c r="P459" s="175">
        <v>2256.1999999999998</v>
      </c>
      <c r="Q459" s="176">
        <v>13000</v>
      </c>
    </row>
    <row r="460" spans="1:17">
      <c r="A460" s="175" t="s">
        <v>3865</v>
      </c>
      <c r="B460" s="175" t="s">
        <v>3744</v>
      </c>
      <c r="C460" s="176">
        <v>9</v>
      </c>
      <c r="D460" s="176">
        <v>339</v>
      </c>
      <c r="E460" s="175"/>
      <c r="F460" s="176">
        <v>74468974502718</v>
      </c>
      <c r="G460" s="176">
        <v>99</v>
      </c>
      <c r="H460" s="176">
        <v>0</v>
      </c>
      <c r="I460" s="175"/>
      <c r="J460" s="176">
        <v>1</v>
      </c>
      <c r="K460" s="175" t="s">
        <v>3742</v>
      </c>
      <c r="L460" s="204">
        <v>25619.83</v>
      </c>
      <c r="M460" s="176">
        <v>0</v>
      </c>
      <c r="N460" s="176">
        <v>0</v>
      </c>
      <c r="O460" s="176">
        <v>0</v>
      </c>
      <c r="P460" s="204">
        <v>5380.17</v>
      </c>
      <c r="Q460" s="176">
        <v>31000</v>
      </c>
    </row>
    <row r="461" spans="1:17">
      <c r="A461" s="175" t="s">
        <v>3865</v>
      </c>
      <c r="B461" s="175" t="s">
        <v>3744</v>
      </c>
      <c r="C461" s="176">
        <v>9</v>
      </c>
      <c r="D461" s="176">
        <v>331</v>
      </c>
      <c r="E461" s="175"/>
      <c r="F461" s="176">
        <v>74468950885330</v>
      </c>
      <c r="G461" s="176">
        <v>99</v>
      </c>
      <c r="H461" s="176">
        <v>0</v>
      </c>
      <c r="I461" s="175"/>
      <c r="J461" s="176">
        <v>1</v>
      </c>
      <c r="K461" s="175" t="s">
        <v>3742</v>
      </c>
      <c r="L461" s="204">
        <v>11735.54</v>
      </c>
      <c r="M461" s="176">
        <v>0</v>
      </c>
      <c r="N461" s="176">
        <v>0</v>
      </c>
      <c r="O461" s="176">
        <v>0</v>
      </c>
      <c r="P461" s="204">
        <v>2464.46</v>
      </c>
      <c r="Q461" s="176">
        <v>14200</v>
      </c>
    </row>
    <row r="462" spans="1:17">
      <c r="A462" s="175" t="s">
        <v>3865</v>
      </c>
      <c r="B462" s="175" t="s">
        <v>3744</v>
      </c>
      <c r="C462" s="176">
        <v>9</v>
      </c>
      <c r="D462" s="176">
        <v>337</v>
      </c>
      <c r="E462" s="175"/>
      <c r="F462" s="176">
        <v>74468969311436</v>
      </c>
      <c r="G462" s="176">
        <v>99</v>
      </c>
      <c r="H462" s="176">
        <v>0</v>
      </c>
      <c r="I462" s="175"/>
      <c r="J462" s="176">
        <v>1</v>
      </c>
      <c r="K462" s="175" t="s">
        <v>3742</v>
      </c>
      <c r="L462" s="204">
        <v>24793.39</v>
      </c>
      <c r="M462" s="176">
        <v>0</v>
      </c>
      <c r="N462" s="176">
        <v>0</v>
      </c>
      <c r="O462" s="176">
        <v>0</v>
      </c>
      <c r="P462" s="204">
        <v>5206.6099999999997</v>
      </c>
      <c r="Q462" s="176">
        <v>30000</v>
      </c>
    </row>
    <row r="463" spans="1:17">
      <c r="A463" s="175" t="s">
        <v>3865</v>
      </c>
      <c r="B463" s="175" t="s">
        <v>3744</v>
      </c>
      <c r="C463" s="176">
        <v>9</v>
      </c>
      <c r="D463" s="176">
        <v>327</v>
      </c>
      <c r="E463" s="175"/>
      <c r="F463" s="176">
        <v>74468938095429</v>
      </c>
      <c r="G463" s="176">
        <v>99</v>
      </c>
      <c r="H463" s="176">
        <v>0</v>
      </c>
      <c r="I463" s="175"/>
      <c r="J463" s="176">
        <v>1</v>
      </c>
      <c r="K463" s="175" t="s">
        <v>3742</v>
      </c>
      <c r="L463" s="175">
        <v>33884.300000000003</v>
      </c>
      <c r="M463" s="176">
        <v>0</v>
      </c>
      <c r="N463" s="176">
        <v>0</v>
      </c>
      <c r="O463" s="176">
        <v>0</v>
      </c>
      <c r="P463" s="175">
        <v>7115.7</v>
      </c>
      <c r="Q463" s="176">
        <v>41000</v>
      </c>
    </row>
    <row r="464" spans="1:17">
      <c r="A464" s="175" t="s">
        <v>3865</v>
      </c>
      <c r="B464" s="175" t="s">
        <v>3744</v>
      </c>
      <c r="C464" s="176">
        <v>9</v>
      </c>
      <c r="D464" s="176">
        <v>329</v>
      </c>
      <c r="E464" s="175"/>
      <c r="F464" s="176">
        <v>74468940857244</v>
      </c>
      <c r="G464" s="176">
        <v>99</v>
      </c>
      <c r="H464" s="176">
        <v>0</v>
      </c>
      <c r="I464" s="175"/>
      <c r="J464" s="176">
        <v>1</v>
      </c>
      <c r="K464" s="175" t="s">
        <v>3742</v>
      </c>
      <c r="L464" s="204">
        <v>15702.48</v>
      </c>
      <c r="M464" s="176">
        <v>0</v>
      </c>
      <c r="N464" s="176">
        <v>0</v>
      </c>
      <c r="O464" s="176">
        <v>0</v>
      </c>
      <c r="P464" s="204">
        <v>3297.52</v>
      </c>
      <c r="Q464" s="176">
        <v>19000</v>
      </c>
    </row>
    <row r="465" spans="1:17">
      <c r="A465" s="175" t="s">
        <v>3865</v>
      </c>
      <c r="B465" s="175" t="s">
        <v>3744</v>
      </c>
      <c r="C465" s="176">
        <v>9</v>
      </c>
      <c r="D465" s="176">
        <v>342</v>
      </c>
      <c r="E465" s="175"/>
      <c r="F465" s="176">
        <v>74468980337141</v>
      </c>
      <c r="G465" s="176">
        <v>99</v>
      </c>
      <c r="H465" s="176">
        <v>0</v>
      </c>
      <c r="I465" s="175"/>
      <c r="J465" s="176">
        <v>1</v>
      </c>
      <c r="K465" s="175" t="s">
        <v>3742</v>
      </c>
      <c r="L465" s="204">
        <v>90082.64</v>
      </c>
      <c r="M465" s="176">
        <v>0</v>
      </c>
      <c r="N465" s="176">
        <v>0</v>
      </c>
      <c r="O465" s="176">
        <v>0</v>
      </c>
      <c r="P465" s="204">
        <v>18917.36</v>
      </c>
      <c r="Q465" s="176">
        <v>109000</v>
      </c>
    </row>
    <row r="466" spans="1:17">
      <c r="A466" s="175" t="s">
        <v>3866</v>
      </c>
      <c r="B466" s="175" t="s">
        <v>3744</v>
      </c>
      <c r="C466" s="176">
        <v>9</v>
      </c>
      <c r="D466" s="176">
        <v>359</v>
      </c>
      <c r="E466" s="175"/>
      <c r="F466" s="176">
        <v>74468107485573</v>
      </c>
      <c r="G466" s="176">
        <v>99</v>
      </c>
      <c r="H466" s="176">
        <v>0</v>
      </c>
      <c r="I466" s="175"/>
      <c r="J466" s="176">
        <v>1</v>
      </c>
      <c r="K466" s="175" t="s">
        <v>3742</v>
      </c>
      <c r="L466" s="204">
        <v>8264.4599999999991</v>
      </c>
      <c r="M466" s="176">
        <v>0</v>
      </c>
      <c r="N466" s="176">
        <v>0</v>
      </c>
      <c r="O466" s="176">
        <v>0</v>
      </c>
      <c r="P466" s="204">
        <v>1735.54</v>
      </c>
      <c r="Q466" s="176">
        <v>10000</v>
      </c>
    </row>
    <row r="467" spans="1:17">
      <c r="A467" s="175" t="s">
        <v>3866</v>
      </c>
      <c r="B467" s="175" t="s">
        <v>3744</v>
      </c>
      <c r="C467" s="176">
        <v>9</v>
      </c>
      <c r="D467" s="176">
        <v>352</v>
      </c>
      <c r="E467" s="175"/>
      <c r="F467" s="176">
        <v>74468091768330</v>
      </c>
      <c r="G467" s="176">
        <v>99</v>
      </c>
      <c r="H467" s="176">
        <v>0</v>
      </c>
      <c r="I467" s="175"/>
      <c r="J467" s="176">
        <v>1</v>
      </c>
      <c r="K467" s="175" t="s">
        <v>3742</v>
      </c>
      <c r="L467" s="204">
        <v>4958.68</v>
      </c>
      <c r="M467" s="176">
        <v>0</v>
      </c>
      <c r="N467" s="176">
        <v>0</v>
      </c>
      <c r="O467" s="176">
        <v>0</v>
      </c>
      <c r="P467" s="204">
        <v>1041.32</v>
      </c>
      <c r="Q467" s="176">
        <v>6000</v>
      </c>
    </row>
    <row r="468" spans="1:17">
      <c r="A468" s="175" t="s">
        <v>3866</v>
      </c>
      <c r="B468" s="175" t="s">
        <v>3744</v>
      </c>
      <c r="C468" s="176">
        <v>9</v>
      </c>
      <c r="D468" s="176">
        <v>347</v>
      </c>
      <c r="E468" s="175"/>
      <c r="F468" s="176">
        <v>74468071036259</v>
      </c>
      <c r="G468" s="176">
        <v>99</v>
      </c>
      <c r="H468" s="176">
        <v>0</v>
      </c>
      <c r="I468" s="175"/>
      <c r="J468" s="176">
        <v>1</v>
      </c>
      <c r="K468" s="175" t="s">
        <v>3742</v>
      </c>
      <c r="L468" s="204">
        <v>25867.77</v>
      </c>
      <c r="M468" s="176">
        <v>0</v>
      </c>
      <c r="N468" s="176">
        <v>0</v>
      </c>
      <c r="O468" s="176">
        <v>0</v>
      </c>
      <c r="P468" s="204">
        <v>5432.23</v>
      </c>
      <c r="Q468" s="176">
        <v>31300</v>
      </c>
    </row>
    <row r="469" spans="1:17">
      <c r="A469" s="175" t="s">
        <v>3866</v>
      </c>
      <c r="B469" s="175" t="s">
        <v>3744</v>
      </c>
      <c r="C469" s="176">
        <v>9</v>
      </c>
      <c r="D469" s="176">
        <v>356</v>
      </c>
      <c r="E469" s="175"/>
      <c r="F469" s="176">
        <v>74468100056274</v>
      </c>
      <c r="G469" s="176">
        <v>99</v>
      </c>
      <c r="H469" s="176">
        <v>0</v>
      </c>
      <c r="I469" s="175"/>
      <c r="J469" s="176">
        <v>1</v>
      </c>
      <c r="K469" s="175" t="s">
        <v>3742</v>
      </c>
      <c r="L469" s="204">
        <v>20661.16</v>
      </c>
      <c r="M469" s="176">
        <v>0</v>
      </c>
      <c r="N469" s="176">
        <v>0</v>
      </c>
      <c r="O469" s="176">
        <v>0</v>
      </c>
      <c r="P469" s="204">
        <v>4338.84</v>
      </c>
      <c r="Q469" s="176">
        <v>25000</v>
      </c>
    </row>
    <row r="470" spans="1:17">
      <c r="A470" s="175" t="s">
        <v>3866</v>
      </c>
      <c r="B470" s="175" t="s">
        <v>3744</v>
      </c>
      <c r="C470" s="176">
        <v>9</v>
      </c>
      <c r="D470" s="176">
        <v>345</v>
      </c>
      <c r="E470" s="175"/>
      <c r="F470" s="176">
        <v>74468052929046</v>
      </c>
      <c r="G470" s="176">
        <v>99</v>
      </c>
      <c r="H470" s="176">
        <v>0</v>
      </c>
      <c r="I470" s="175"/>
      <c r="J470" s="176">
        <v>1</v>
      </c>
      <c r="K470" s="175" t="s">
        <v>3742</v>
      </c>
      <c r="L470" s="204">
        <v>47933.88</v>
      </c>
      <c r="M470" s="176">
        <v>0</v>
      </c>
      <c r="N470" s="176">
        <v>0</v>
      </c>
      <c r="O470" s="176">
        <v>0</v>
      </c>
      <c r="P470" s="204">
        <v>10066.120000000001</v>
      </c>
      <c r="Q470" s="176">
        <v>58000</v>
      </c>
    </row>
    <row r="471" spans="1:17">
      <c r="A471" s="175" t="s">
        <v>3866</v>
      </c>
      <c r="B471" s="175" t="s">
        <v>3744</v>
      </c>
      <c r="C471" s="176">
        <v>9</v>
      </c>
      <c r="D471" s="176">
        <v>350</v>
      </c>
      <c r="E471" s="175"/>
      <c r="F471" s="176">
        <v>74468089755816</v>
      </c>
      <c r="G471" s="176">
        <v>99</v>
      </c>
      <c r="H471" s="176">
        <v>0</v>
      </c>
      <c r="I471" s="175"/>
      <c r="J471" s="176">
        <v>1</v>
      </c>
      <c r="K471" s="175" t="s">
        <v>3742</v>
      </c>
      <c r="L471" s="204">
        <v>57851.24</v>
      </c>
      <c r="M471" s="176">
        <v>0</v>
      </c>
      <c r="N471" s="176">
        <v>0</v>
      </c>
      <c r="O471" s="176">
        <v>0</v>
      </c>
      <c r="P471" s="204">
        <v>12148.76</v>
      </c>
      <c r="Q471" s="176">
        <v>70000</v>
      </c>
    </row>
    <row r="472" spans="1:17">
      <c r="A472" s="175" t="s">
        <v>3866</v>
      </c>
      <c r="B472" s="175" t="s">
        <v>3744</v>
      </c>
      <c r="C472" s="176">
        <v>9</v>
      </c>
      <c r="D472" s="176">
        <v>346</v>
      </c>
      <c r="E472" s="175"/>
      <c r="F472" s="176">
        <v>74468058323353</v>
      </c>
      <c r="G472" s="176">
        <v>99</v>
      </c>
      <c r="H472" s="176">
        <v>0</v>
      </c>
      <c r="I472" s="175"/>
      <c r="J472" s="176">
        <v>1</v>
      </c>
      <c r="K472" s="175" t="s">
        <v>3742</v>
      </c>
      <c r="L472" s="204">
        <v>44917.36</v>
      </c>
      <c r="M472" s="176">
        <v>0</v>
      </c>
      <c r="N472" s="176">
        <v>0</v>
      </c>
      <c r="O472" s="176">
        <v>0</v>
      </c>
      <c r="P472" s="204">
        <v>9432.64</v>
      </c>
      <c r="Q472" s="176">
        <v>54350</v>
      </c>
    </row>
    <row r="473" spans="1:17">
      <c r="A473" s="175" t="s">
        <v>3866</v>
      </c>
      <c r="B473" s="175" t="s">
        <v>3744</v>
      </c>
      <c r="C473" s="176">
        <v>9</v>
      </c>
      <c r="D473" s="176">
        <v>343</v>
      </c>
      <c r="E473" s="175"/>
      <c r="F473" s="176">
        <v>74468048025919</v>
      </c>
      <c r="G473" s="176">
        <v>99</v>
      </c>
      <c r="H473" s="176">
        <v>0</v>
      </c>
      <c r="I473" s="175"/>
      <c r="J473" s="176">
        <v>1</v>
      </c>
      <c r="K473" s="175" t="s">
        <v>3742</v>
      </c>
      <c r="L473" s="204">
        <v>13223.14</v>
      </c>
      <c r="M473" s="176">
        <v>0</v>
      </c>
      <c r="N473" s="176">
        <v>0</v>
      </c>
      <c r="O473" s="176">
        <v>0</v>
      </c>
      <c r="P473" s="204">
        <v>2776.86</v>
      </c>
      <c r="Q473" s="176">
        <v>16000</v>
      </c>
    </row>
    <row r="474" spans="1:17">
      <c r="A474" s="175" t="s">
        <v>3866</v>
      </c>
      <c r="B474" s="175" t="s">
        <v>3744</v>
      </c>
      <c r="C474" s="176">
        <v>9</v>
      </c>
      <c r="D474" s="176">
        <v>351</v>
      </c>
      <c r="E474" s="175"/>
      <c r="F474" s="176">
        <v>74468090108630</v>
      </c>
      <c r="G474" s="176">
        <v>99</v>
      </c>
      <c r="H474" s="176">
        <v>0</v>
      </c>
      <c r="I474" s="175"/>
      <c r="J474" s="176">
        <v>1</v>
      </c>
      <c r="K474" s="175" t="s">
        <v>3742</v>
      </c>
      <c r="L474" s="204">
        <v>20661.16</v>
      </c>
      <c r="M474" s="176">
        <v>0</v>
      </c>
      <c r="N474" s="176">
        <v>0</v>
      </c>
      <c r="O474" s="176">
        <v>0</v>
      </c>
      <c r="P474" s="204">
        <v>4338.84</v>
      </c>
      <c r="Q474" s="176">
        <v>25000</v>
      </c>
    </row>
    <row r="475" spans="1:17">
      <c r="A475" s="175" t="s">
        <v>3866</v>
      </c>
      <c r="B475" s="175" t="s">
        <v>3744</v>
      </c>
      <c r="C475" s="176">
        <v>9</v>
      </c>
      <c r="D475" s="176">
        <v>349</v>
      </c>
      <c r="E475" s="175"/>
      <c r="F475" s="176">
        <v>74468079643194</v>
      </c>
      <c r="G475" s="176">
        <v>99</v>
      </c>
      <c r="H475" s="176">
        <v>0</v>
      </c>
      <c r="I475" s="175"/>
      <c r="J475" s="176">
        <v>1</v>
      </c>
      <c r="K475" s="175" t="s">
        <v>3742</v>
      </c>
      <c r="L475" s="204">
        <v>26446.28</v>
      </c>
      <c r="M475" s="176">
        <v>0</v>
      </c>
      <c r="N475" s="176">
        <v>0</v>
      </c>
      <c r="O475" s="176">
        <v>0</v>
      </c>
      <c r="P475" s="204">
        <v>5553.72</v>
      </c>
      <c r="Q475" s="176">
        <v>32000</v>
      </c>
    </row>
    <row r="476" spans="1:17">
      <c r="A476" s="175" t="s">
        <v>3866</v>
      </c>
      <c r="B476" s="175" t="s">
        <v>3744</v>
      </c>
      <c r="C476" s="176">
        <v>9</v>
      </c>
      <c r="D476" s="176">
        <v>344</v>
      </c>
      <c r="E476" s="175"/>
      <c r="F476" s="176">
        <v>74468051333799</v>
      </c>
      <c r="G476" s="176">
        <v>99</v>
      </c>
      <c r="H476" s="176">
        <v>0</v>
      </c>
      <c r="I476" s="175"/>
      <c r="J476" s="176">
        <v>1</v>
      </c>
      <c r="K476" s="175" t="s">
        <v>3742</v>
      </c>
      <c r="L476" s="204">
        <v>26446.28</v>
      </c>
      <c r="M476" s="176">
        <v>0</v>
      </c>
      <c r="N476" s="176">
        <v>0</v>
      </c>
      <c r="O476" s="176">
        <v>0</v>
      </c>
      <c r="P476" s="204">
        <v>5553.72</v>
      </c>
      <c r="Q476" s="176">
        <v>32000</v>
      </c>
    </row>
    <row r="477" spans="1:17">
      <c r="A477" s="175" t="s">
        <v>3866</v>
      </c>
      <c r="B477" s="175" t="s">
        <v>3744</v>
      </c>
      <c r="C477" s="176">
        <v>9</v>
      </c>
      <c r="D477" s="176">
        <v>353</v>
      </c>
      <c r="E477" s="175"/>
      <c r="F477" s="176">
        <v>74468095982252</v>
      </c>
      <c r="G477" s="176">
        <v>99</v>
      </c>
      <c r="H477" s="176">
        <v>0</v>
      </c>
      <c r="I477" s="175"/>
      <c r="J477" s="176">
        <v>1</v>
      </c>
      <c r="K477" s="175" t="s">
        <v>3742</v>
      </c>
      <c r="L477" s="204">
        <v>14876.03</v>
      </c>
      <c r="M477" s="176">
        <v>0</v>
      </c>
      <c r="N477" s="176">
        <v>0</v>
      </c>
      <c r="O477" s="176">
        <v>0</v>
      </c>
      <c r="P477" s="204">
        <v>3123.97</v>
      </c>
      <c r="Q477" s="176">
        <v>18000</v>
      </c>
    </row>
    <row r="478" spans="1:17">
      <c r="A478" s="175" t="s">
        <v>3866</v>
      </c>
      <c r="B478" s="175" t="s">
        <v>3744</v>
      </c>
      <c r="C478" s="176">
        <v>9</v>
      </c>
      <c r="D478" s="176">
        <v>358</v>
      </c>
      <c r="E478" s="175"/>
      <c r="F478" s="176">
        <v>74468106541269</v>
      </c>
      <c r="G478" s="176">
        <v>99</v>
      </c>
      <c r="H478" s="176">
        <v>0</v>
      </c>
      <c r="I478" s="175"/>
      <c r="J478" s="176">
        <v>1</v>
      </c>
      <c r="K478" s="175" t="s">
        <v>3742</v>
      </c>
      <c r="L478" s="204">
        <v>40909.089999999997</v>
      </c>
      <c r="M478" s="176">
        <v>0</v>
      </c>
      <c r="N478" s="176">
        <v>0</v>
      </c>
      <c r="O478" s="176">
        <v>0</v>
      </c>
      <c r="P478" s="204">
        <v>8590.91</v>
      </c>
      <c r="Q478" s="176">
        <v>49500</v>
      </c>
    </row>
    <row r="479" spans="1:17">
      <c r="A479" s="175" t="s">
        <v>3866</v>
      </c>
      <c r="B479" s="175" t="s">
        <v>3744</v>
      </c>
      <c r="C479" s="176">
        <v>9</v>
      </c>
      <c r="D479" s="176">
        <v>357</v>
      </c>
      <c r="E479" s="175"/>
      <c r="F479" s="176">
        <v>74468101345036</v>
      </c>
      <c r="G479" s="176">
        <v>99</v>
      </c>
      <c r="H479" s="176">
        <v>0</v>
      </c>
      <c r="I479" s="175"/>
      <c r="J479" s="176">
        <v>1</v>
      </c>
      <c r="K479" s="175" t="s">
        <v>3742</v>
      </c>
      <c r="L479" s="175">
        <v>10743.8</v>
      </c>
      <c r="M479" s="176">
        <v>0</v>
      </c>
      <c r="N479" s="176">
        <v>0</v>
      </c>
      <c r="O479" s="176">
        <v>0</v>
      </c>
      <c r="P479" s="175">
        <v>2256.1999999999998</v>
      </c>
      <c r="Q479" s="176">
        <v>13000</v>
      </c>
    </row>
    <row r="480" spans="1:17">
      <c r="A480" s="175" t="s">
        <v>3866</v>
      </c>
      <c r="B480" s="175" t="s">
        <v>3744</v>
      </c>
      <c r="C480" s="176">
        <v>9</v>
      </c>
      <c r="D480" s="176">
        <v>354</v>
      </c>
      <c r="E480" s="175"/>
      <c r="F480" s="176">
        <v>74468098829765</v>
      </c>
      <c r="G480" s="176">
        <v>99</v>
      </c>
      <c r="H480" s="176">
        <v>0</v>
      </c>
      <c r="I480" s="175"/>
      <c r="J480" s="176">
        <v>1</v>
      </c>
      <c r="K480" s="175" t="s">
        <v>3742</v>
      </c>
      <c r="L480" s="204">
        <v>25619.83</v>
      </c>
      <c r="M480" s="176">
        <v>0</v>
      </c>
      <c r="N480" s="176">
        <v>0</v>
      </c>
      <c r="O480" s="176">
        <v>0</v>
      </c>
      <c r="P480" s="204">
        <v>5380.17</v>
      </c>
      <c r="Q480" s="176">
        <v>31000</v>
      </c>
    </row>
    <row r="481" spans="1:17">
      <c r="A481" s="175" t="s">
        <v>3866</v>
      </c>
      <c r="B481" s="175" t="s">
        <v>3744</v>
      </c>
      <c r="C481" s="176">
        <v>9</v>
      </c>
      <c r="D481" s="176">
        <v>348</v>
      </c>
      <c r="E481" s="175"/>
      <c r="F481" s="176">
        <v>74468077746558</v>
      </c>
      <c r="G481" s="176">
        <v>99</v>
      </c>
      <c r="H481" s="176">
        <v>0</v>
      </c>
      <c r="I481" s="175"/>
      <c r="J481" s="176">
        <v>1</v>
      </c>
      <c r="K481" s="175" t="s">
        <v>3742</v>
      </c>
      <c r="L481" s="175">
        <v>16115.7</v>
      </c>
      <c r="M481" s="176">
        <v>0</v>
      </c>
      <c r="N481" s="176">
        <v>0</v>
      </c>
      <c r="O481" s="176">
        <v>0</v>
      </c>
      <c r="P481" s="175">
        <v>3384.3</v>
      </c>
      <c r="Q481" s="176">
        <v>19500</v>
      </c>
    </row>
    <row r="482" spans="1:17">
      <c r="A482" s="175" t="s">
        <v>3866</v>
      </c>
      <c r="B482" s="175" t="s">
        <v>3744</v>
      </c>
      <c r="C482" s="176">
        <v>9</v>
      </c>
      <c r="D482" s="176">
        <v>355</v>
      </c>
      <c r="E482" s="175"/>
      <c r="F482" s="176">
        <v>74468099055045</v>
      </c>
      <c r="G482" s="176">
        <v>99</v>
      </c>
      <c r="H482" s="176">
        <v>0</v>
      </c>
      <c r="I482" s="175"/>
      <c r="J482" s="176">
        <v>1</v>
      </c>
      <c r="K482" s="175" t="s">
        <v>3742</v>
      </c>
      <c r="L482" s="204">
        <v>16528.93</v>
      </c>
      <c r="M482" s="176">
        <v>0</v>
      </c>
      <c r="N482" s="176">
        <v>0</v>
      </c>
      <c r="O482" s="176">
        <v>0</v>
      </c>
      <c r="P482" s="204">
        <v>3471.07</v>
      </c>
      <c r="Q482" s="176">
        <v>20000</v>
      </c>
    </row>
    <row r="483" spans="1:17">
      <c r="A483" s="175" t="s">
        <v>3881</v>
      </c>
      <c r="B483" s="175" t="s">
        <v>3744</v>
      </c>
      <c r="C483" s="176">
        <v>9</v>
      </c>
      <c r="D483" s="176">
        <v>374</v>
      </c>
      <c r="E483" s="175"/>
      <c r="F483" s="176">
        <v>74468240792644</v>
      </c>
      <c r="G483" s="176">
        <v>99</v>
      </c>
      <c r="H483" s="176">
        <v>0</v>
      </c>
      <c r="I483" s="175"/>
      <c r="J483" s="176">
        <v>1</v>
      </c>
      <c r="K483" s="175" t="s">
        <v>3742</v>
      </c>
      <c r="L483" s="204">
        <v>21074.38</v>
      </c>
      <c r="M483" s="176">
        <v>0</v>
      </c>
      <c r="N483" s="176">
        <v>0</v>
      </c>
      <c r="O483" s="176">
        <v>0</v>
      </c>
      <c r="P483" s="204">
        <v>4425.62</v>
      </c>
      <c r="Q483" s="176">
        <v>25500</v>
      </c>
    </row>
    <row r="484" spans="1:17">
      <c r="A484" s="175" t="s">
        <v>3881</v>
      </c>
      <c r="B484" s="175" t="s">
        <v>3744</v>
      </c>
      <c r="C484" s="176">
        <v>9</v>
      </c>
      <c r="D484" s="176">
        <v>370</v>
      </c>
      <c r="E484" s="175"/>
      <c r="F484" s="176">
        <v>74468211360905</v>
      </c>
      <c r="G484" s="176">
        <v>99</v>
      </c>
      <c r="H484" s="176">
        <v>0</v>
      </c>
      <c r="I484" s="175"/>
      <c r="J484" s="176">
        <v>1</v>
      </c>
      <c r="K484" s="175" t="s">
        <v>3742</v>
      </c>
      <c r="L484" s="204">
        <v>33057.85</v>
      </c>
      <c r="M484" s="176">
        <v>0</v>
      </c>
      <c r="N484" s="176">
        <v>0</v>
      </c>
      <c r="O484" s="176">
        <v>0</v>
      </c>
      <c r="P484" s="204">
        <v>6942.15</v>
      </c>
      <c r="Q484" s="176">
        <v>40000</v>
      </c>
    </row>
    <row r="485" spans="1:17">
      <c r="A485" s="175" t="s">
        <v>3881</v>
      </c>
      <c r="B485" s="175" t="s">
        <v>3744</v>
      </c>
      <c r="C485" s="176">
        <v>9</v>
      </c>
      <c r="D485" s="176">
        <v>363</v>
      </c>
      <c r="E485" s="175"/>
      <c r="F485" s="176">
        <v>74468189985805</v>
      </c>
      <c r="G485" s="176">
        <v>99</v>
      </c>
      <c r="H485" s="176">
        <v>0</v>
      </c>
      <c r="I485" s="175"/>
      <c r="J485" s="176">
        <v>1</v>
      </c>
      <c r="K485" s="175" t="s">
        <v>3742</v>
      </c>
      <c r="L485" s="204">
        <v>20661.16</v>
      </c>
      <c r="M485" s="176">
        <v>0</v>
      </c>
      <c r="N485" s="176">
        <v>0</v>
      </c>
      <c r="O485" s="176">
        <v>0</v>
      </c>
      <c r="P485" s="204">
        <v>4338.84</v>
      </c>
      <c r="Q485" s="176">
        <v>25000</v>
      </c>
    </row>
    <row r="486" spans="1:17">
      <c r="A486" s="175" t="s">
        <v>3881</v>
      </c>
      <c r="B486" s="175" t="s">
        <v>3744</v>
      </c>
      <c r="C486" s="176">
        <v>9</v>
      </c>
      <c r="D486" s="176">
        <v>369</v>
      </c>
      <c r="E486" s="175"/>
      <c r="F486" s="176">
        <v>74468208789463</v>
      </c>
      <c r="G486" s="176">
        <v>99</v>
      </c>
      <c r="H486" s="176">
        <v>0</v>
      </c>
      <c r="I486" s="175"/>
      <c r="J486" s="176">
        <v>1</v>
      </c>
      <c r="K486" s="175" t="s">
        <v>3742</v>
      </c>
      <c r="L486" s="204">
        <v>5537.19</v>
      </c>
      <c r="M486" s="176">
        <v>0</v>
      </c>
      <c r="N486" s="176">
        <v>0</v>
      </c>
      <c r="O486" s="176">
        <v>0</v>
      </c>
      <c r="P486" s="204">
        <v>1162.81</v>
      </c>
      <c r="Q486" s="176">
        <v>6700</v>
      </c>
    </row>
    <row r="487" spans="1:17">
      <c r="A487" s="175" t="s">
        <v>3881</v>
      </c>
      <c r="B487" s="175" t="s">
        <v>3744</v>
      </c>
      <c r="C487" s="176">
        <v>9</v>
      </c>
      <c r="D487" s="176">
        <v>364</v>
      </c>
      <c r="E487" s="175"/>
      <c r="F487" s="176">
        <v>74468195415716</v>
      </c>
      <c r="G487" s="176">
        <v>99</v>
      </c>
      <c r="H487" s="176">
        <v>0</v>
      </c>
      <c r="I487" s="175"/>
      <c r="J487" s="176">
        <v>1</v>
      </c>
      <c r="K487" s="175" t="s">
        <v>3742</v>
      </c>
      <c r="L487" s="204">
        <v>13966.94</v>
      </c>
      <c r="M487" s="176">
        <v>0</v>
      </c>
      <c r="N487" s="176">
        <v>0</v>
      </c>
      <c r="O487" s="176">
        <v>0</v>
      </c>
      <c r="P487" s="204">
        <v>2933.06</v>
      </c>
      <c r="Q487" s="176">
        <v>16900</v>
      </c>
    </row>
    <row r="488" spans="1:17">
      <c r="A488" s="175" t="s">
        <v>3881</v>
      </c>
      <c r="B488" s="175" t="s">
        <v>3744</v>
      </c>
      <c r="C488" s="176">
        <v>9</v>
      </c>
      <c r="D488" s="176">
        <v>362</v>
      </c>
      <c r="E488" s="175"/>
      <c r="F488" s="176">
        <v>74468187825395</v>
      </c>
      <c r="G488" s="176">
        <v>99</v>
      </c>
      <c r="H488" s="176">
        <v>0</v>
      </c>
      <c r="I488" s="175"/>
      <c r="J488" s="176">
        <v>1</v>
      </c>
      <c r="K488" s="175" t="s">
        <v>3742</v>
      </c>
      <c r="L488" s="204">
        <v>5619.83</v>
      </c>
      <c r="M488" s="176">
        <v>0</v>
      </c>
      <c r="N488" s="176">
        <v>0</v>
      </c>
      <c r="O488" s="176">
        <v>0</v>
      </c>
      <c r="P488" s="204">
        <v>1180.17</v>
      </c>
      <c r="Q488" s="176">
        <v>6800</v>
      </c>
    </row>
    <row r="489" spans="1:17">
      <c r="A489" s="175" t="s">
        <v>3881</v>
      </c>
      <c r="B489" s="175" t="s">
        <v>3744</v>
      </c>
      <c r="C489" s="176">
        <v>9</v>
      </c>
      <c r="D489" s="176">
        <v>367</v>
      </c>
      <c r="E489" s="175"/>
      <c r="F489" s="176">
        <v>74468203965763</v>
      </c>
      <c r="G489" s="176">
        <v>99</v>
      </c>
      <c r="H489" s="176">
        <v>0</v>
      </c>
      <c r="I489" s="175"/>
      <c r="J489" s="176">
        <v>1</v>
      </c>
      <c r="K489" s="175" t="s">
        <v>3742</v>
      </c>
      <c r="L489" s="204">
        <v>19834.71</v>
      </c>
      <c r="M489" s="176">
        <v>0</v>
      </c>
      <c r="N489" s="176">
        <v>0</v>
      </c>
      <c r="O489" s="176">
        <v>0</v>
      </c>
      <c r="P489" s="204">
        <v>4165.29</v>
      </c>
      <c r="Q489" s="176">
        <v>24000</v>
      </c>
    </row>
    <row r="490" spans="1:17">
      <c r="A490" s="175" t="s">
        <v>3881</v>
      </c>
      <c r="B490" s="175" t="s">
        <v>3744</v>
      </c>
      <c r="C490" s="176">
        <v>9</v>
      </c>
      <c r="D490" s="176">
        <v>375</v>
      </c>
      <c r="E490" s="175"/>
      <c r="F490" s="176">
        <v>74468241681775</v>
      </c>
      <c r="G490" s="176">
        <v>99</v>
      </c>
      <c r="H490" s="176">
        <v>0</v>
      </c>
      <c r="I490" s="175"/>
      <c r="J490" s="176">
        <v>1</v>
      </c>
      <c r="K490" s="175" t="s">
        <v>3742</v>
      </c>
      <c r="L490" s="204">
        <v>23966.94</v>
      </c>
      <c r="M490" s="176">
        <v>0</v>
      </c>
      <c r="N490" s="176">
        <v>0</v>
      </c>
      <c r="O490" s="176">
        <v>0</v>
      </c>
      <c r="P490" s="204">
        <v>5033.0600000000004</v>
      </c>
      <c r="Q490" s="176">
        <v>29000</v>
      </c>
    </row>
    <row r="491" spans="1:17">
      <c r="A491" s="175" t="s">
        <v>3881</v>
      </c>
      <c r="B491" s="175" t="s">
        <v>3744</v>
      </c>
      <c r="C491" s="176">
        <v>9</v>
      </c>
      <c r="D491" s="176">
        <v>368</v>
      </c>
      <c r="E491" s="175"/>
      <c r="F491" s="176">
        <v>74468204129427</v>
      </c>
      <c r="G491" s="176">
        <v>99</v>
      </c>
      <c r="H491" s="176">
        <v>0</v>
      </c>
      <c r="I491" s="175"/>
      <c r="J491" s="176">
        <v>1</v>
      </c>
      <c r="K491" s="175" t="s">
        <v>3742</v>
      </c>
      <c r="L491" s="204">
        <v>16528.93</v>
      </c>
      <c r="M491" s="176">
        <v>0</v>
      </c>
      <c r="N491" s="176">
        <v>0</v>
      </c>
      <c r="O491" s="176">
        <v>0</v>
      </c>
      <c r="P491" s="204">
        <v>3471.07</v>
      </c>
      <c r="Q491" s="176">
        <v>20000</v>
      </c>
    </row>
    <row r="492" spans="1:17">
      <c r="A492" s="175" t="s">
        <v>3881</v>
      </c>
      <c r="B492" s="175" t="s">
        <v>3744</v>
      </c>
      <c r="C492" s="176">
        <v>9</v>
      </c>
      <c r="D492" s="176">
        <v>371</v>
      </c>
      <c r="E492" s="175"/>
      <c r="F492" s="176">
        <v>74468228479422</v>
      </c>
      <c r="G492" s="176">
        <v>99</v>
      </c>
      <c r="H492" s="176">
        <v>0</v>
      </c>
      <c r="I492" s="175"/>
      <c r="J492" s="176">
        <v>1</v>
      </c>
      <c r="K492" s="175" t="s">
        <v>3742</v>
      </c>
      <c r="L492" s="204">
        <v>12396.69</v>
      </c>
      <c r="M492" s="176">
        <v>0</v>
      </c>
      <c r="N492" s="176">
        <v>0</v>
      </c>
      <c r="O492" s="176">
        <v>0</v>
      </c>
      <c r="P492" s="204">
        <v>2603.31</v>
      </c>
      <c r="Q492" s="176">
        <v>15000</v>
      </c>
    </row>
    <row r="493" spans="1:17">
      <c r="A493" s="175" t="s">
        <v>3881</v>
      </c>
      <c r="B493" s="175" t="s">
        <v>3744</v>
      </c>
      <c r="C493" s="176">
        <v>9</v>
      </c>
      <c r="D493" s="176">
        <v>361</v>
      </c>
      <c r="E493" s="175"/>
      <c r="F493" s="176">
        <v>74468183386793</v>
      </c>
      <c r="G493" s="176">
        <v>99</v>
      </c>
      <c r="H493" s="176">
        <v>0</v>
      </c>
      <c r="I493" s="175"/>
      <c r="J493" s="176">
        <v>1</v>
      </c>
      <c r="K493" s="175" t="s">
        <v>3742</v>
      </c>
      <c r="L493" s="204">
        <v>29752.06</v>
      </c>
      <c r="M493" s="176">
        <v>0</v>
      </c>
      <c r="N493" s="176">
        <v>0</v>
      </c>
      <c r="O493" s="176">
        <v>0</v>
      </c>
      <c r="P493" s="204">
        <v>6247.94</v>
      </c>
      <c r="Q493" s="176">
        <v>36000</v>
      </c>
    </row>
    <row r="494" spans="1:17">
      <c r="A494" s="175" t="s">
        <v>3881</v>
      </c>
      <c r="B494" s="175" t="s">
        <v>3744</v>
      </c>
      <c r="C494" s="176">
        <v>9</v>
      </c>
      <c r="D494" s="176">
        <v>372</v>
      </c>
      <c r="E494" s="175"/>
      <c r="F494" s="176">
        <v>74468228743041</v>
      </c>
      <c r="G494" s="176">
        <v>99</v>
      </c>
      <c r="H494" s="176">
        <v>0</v>
      </c>
      <c r="I494" s="175"/>
      <c r="J494" s="176">
        <v>1</v>
      </c>
      <c r="K494" s="175" t="s">
        <v>3742</v>
      </c>
      <c r="L494" s="204">
        <v>15702.48</v>
      </c>
      <c r="M494" s="176">
        <v>0</v>
      </c>
      <c r="N494" s="176">
        <v>0</v>
      </c>
      <c r="O494" s="176">
        <v>0</v>
      </c>
      <c r="P494" s="204">
        <v>3297.52</v>
      </c>
      <c r="Q494" s="176">
        <v>19000</v>
      </c>
    </row>
    <row r="495" spans="1:17">
      <c r="A495" s="175" t="s">
        <v>3881</v>
      </c>
      <c r="B495" s="175" t="s">
        <v>3744</v>
      </c>
      <c r="C495" s="176">
        <v>9</v>
      </c>
      <c r="D495" s="176">
        <v>373</v>
      </c>
      <c r="E495" s="175"/>
      <c r="F495" s="176">
        <v>74468236839141</v>
      </c>
      <c r="G495" s="176">
        <v>99</v>
      </c>
      <c r="H495" s="176">
        <v>0</v>
      </c>
      <c r="I495" s="175"/>
      <c r="J495" s="176">
        <v>1</v>
      </c>
      <c r="K495" s="175" t="s">
        <v>3742</v>
      </c>
      <c r="L495" s="204">
        <v>16528.93</v>
      </c>
      <c r="M495" s="176">
        <v>0</v>
      </c>
      <c r="N495" s="176">
        <v>0</v>
      </c>
      <c r="O495" s="176">
        <v>0</v>
      </c>
      <c r="P495" s="204">
        <v>3471.07</v>
      </c>
      <c r="Q495" s="176">
        <v>20000</v>
      </c>
    </row>
    <row r="496" spans="1:17">
      <c r="A496" s="175" t="s">
        <v>3881</v>
      </c>
      <c r="B496" s="175" t="s">
        <v>3744</v>
      </c>
      <c r="C496" s="176">
        <v>9</v>
      </c>
      <c r="D496" s="176">
        <v>366</v>
      </c>
      <c r="E496" s="175"/>
      <c r="F496" s="176">
        <v>74468202479468</v>
      </c>
      <c r="G496" s="176">
        <v>99</v>
      </c>
      <c r="H496" s="176">
        <v>0</v>
      </c>
      <c r="I496" s="175"/>
      <c r="J496" s="176">
        <v>1</v>
      </c>
      <c r="K496" s="175" t="s">
        <v>3742</v>
      </c>
      <c r="L496" s="175">
        <v>10743.8</v>
      </c>
      <c r="M496" s="176">
        <v>0</v>
      </c>
      <c r="N496" s="176">
        <v>0</v>
      </c>
      <c r="O496" s="176">
        <v>0</v>
      </c>
      <c r="P496" s="175">
        <v>2256.1999999999998</v>
      </c>
      <c r="Q496" s="176">
        <v>13000</v>
      </c>
    </row>
    <row r="497" spans="1:17">
      <c r="A497" s="175" t="s">
        <v>3881</v>
      </c>
      <c r="B497" s="175" t="s">
        <v>3744</v>
      </c>
      <c r="C497" s="176">
        <v>9</v>
      </c>
      <c r="D497" s="176">
        <v>365</v>
      </c>
      <c r="E497" s="175"/>
      <c r="F497" s="176">
        <v>74468199783011</v>
      </c>
      <c r="G497" s="176">
        <v>99</v>
      </c>
      <c r="H497" s="176">
        <v>0</v>
      </c>
      <c r="I497" s="175"/>
      <c r="J497" s="176">
        <v>1</v>
      </c>
      <c r="K497" s="175" t="s">
        <v>3742</v>
      </c>
      <c r="L497" s="204">
        <v>109917.36</v>
      </c>
      <c r="M497" s="176">
        <v>0</v>
      </c>
      <c r="N497" s="176">
        <v>0</v>
      </c>
      <c r="O497" s="176">
        <v>0</v>
      </c>
      <c r="P497" s="204">
        <v>23082.639999999999</v>
      </c>
      <c r="Q497" s="176">
        <v>133000</v>
      </c>
    </row>
    <row r="498" spans="1:17">
      <c r="A498" s="175" t="s">
        <v>3881</v>
      </c>
      <c r="B498" s="175" t="s">
        <v>3744</v>
      </c>
      <c r="C498" s="176">
        <v>9</v>
      </c>
      <c r="D498" s="176">
        <v>360</v>
      </c>
      <c r="E498" s="175"/>
      <c r="F498" s="176">
        <v>74468181787156</v>
      </c>
      <c r="G498" s="176">
        <v>99</v>
      </c>
      <c r="H498" s="176">
        <v>0</v>
      </c>
      <c r="I498" s="175"/>
      <c r="J498" s="176">
        <v>1</v>
      </c>
      <c r="K498" s="175" t="s">
        <v>3742</v>
      </c>
      <c r="L498" s="204">
        <v>14876.03</v>
      </c>
      <c r="M498" s="176">
        <v>0</v>
      </c>
      <c r="N498" s="176">
        <v>0</v>
      </c>
      <c r="O498" s="176">
        <v>0</v>
      </c>
      <c r="P498" s="204">
        <v>3123.97</v>
      </c>
      <c r="Q498" s="176">
        <v>18000</v>
      </c>
    </row>
    <row r="499" spans="1:17">
      <c r="A499" s="175" t="s">
        <v>3884</v>
      </c>
      <c r="B499" s="175" t="s">
        <v>3744</v>
      </c>
      <c r="C499" s="176">
        <v>9</v>
      </c>
      <c r="D499" s="176">
        <v>384</v>
      </c>
      <c r="E499" s="175"/>
      <c r="F499" s="176">
        <v>74468339591139</v>
      </c>
      <c r="G499" s="176">
        <v>99</v>
      </c>
      <c r="H499" s="176">
        <v>0</v>
      </c>
      <c r="I499" s="175"/>
      <c r="J499" s="176">
        <v>1</v>
      </c>
      <c r="K499" s="175" t="s">
        <v>3742</v>
      </c>
      <c r="L499" s="204">
        <v>29752.07</v>
      </c>
      <c r="M499" s="176">
        <v>0</v>
      </c>
      <c r="N499" s="176">
        <v>0</v>
      </c>
      <c r="O499" s="176">
        <v>0</v>
      </c>
      <c r="P499" s="204">
        <v>6247.93</v>
      </c>
      <c r="Q499" s="176">
        <v>36000</v>
      </c>
    </row>
    <row r="500" spans="1:17">
      <c r="A500" s="175" t="s">
        <v>3884</v>
      </c>
      <c r="B500" s="175" t="s">
        <v>3744</v>
      </c>
      <c r="C500" s="176">
        <v>9</v>
      </c>
      <c r="D500" s="176">
        <v>383</v>
      </c>
      <c r="E500" s="175"/>
      <c r="F500" s="176">
        <v>74468336887907</v>
      </c>
      <c r="G500" s="176">
        <v>99</v>
      </c>
      <c r="H500" s="176">
        <v>0</v>
      </c>
      <c r="I500" s="175"/>
      <c r="J500" s="176">
        <v>1</v>
      </c>
      <c r="K500" s="175" t="s">
        <v>3742</v>
      </c>
      <c r="L500" s="204">
        <v>16942.150000000001</v>
      </c>
      <c r="M500" s="176">
        <v>0</v>
      </c>
      <c r="N500" s="176">
        <v>0</v>
      </c>
      <c r="O500" s="176">
        <v>0</v>
      </c>
      <c r="P500" s="204">
        <v>3557.85</v>
      </c>
      <c r="Q500" s="176">
        <v>20500</v>
      </c>
    </row>
    <row r="501" spans="1:17">
      <c r="A501" s="175" t="s">
        <v>3884</v>
      </c>
      <c r="B501" s="175" t="s">
        <v>3744</v>
      </c>
      <c r="C501" s="176">
        <v>9</v>
      </c>
      <c r="D501" s="176">
        <v>382</v>
      </c>
      <c r="E501" s="175"/>
      <c r="F501" s="176">
        <v>74468331624059</v>
      </c>
      <c r="G501" s="176">
        <v>99</v>
      </c>
      <c r="H501" s="176">
        <v>0</v>
      </c>
      <c r="I501" s="175"/>
      <c r="J501" s="176">
        <v>1</v>
      </c>
      <c r="K501" s="175" t="s">
        <v>3742</v>
      </c>
      <c r="L501" s="204">
        <v>13966.94</v>
      </c>
      <c r="M501" s="176">
        <v>0</v>
      </c>
      <c r="N501" s="176">
        <v>0</v>
      </c>
      <c r="O501" s="176">
        <v>0</v>
      </c>
      <c r="P501" s="204">
        <v>2933.06</v>
      </c>
      <c r="Q501" s="176">
        <v>16900</v>
      </c>
    </row>
    <row r="502" spans="1:17">
      <c r="A502" s="175" t="s">
        <v>3884</v>
      </c>
      <c r="B502" s="175" t="s">
        <v>3744</v>
      </c>
      <c r="C502" s="176">
        <v>9</v>
      </c>
      <c r="D502" s="176">
        <v>387</v>
      </c>
      <c r="E502" s="175"/>
      <c r="F502" s="176">
        <v>74468364794466</v>
      </c>
      <c r="G502" s="176">
        <v>99</v>
      </c>
      <c r="H502" s="176">
        <v>0</v>
      </c>
      <c r="I502" s="175"/>
      <c r="J502" s="176">
        <v>1</v>
      </c>
      <c r="K502" s="175" t="s">
        <v>3742</v>
      </c>
      <c r="L502" s="204">
        <v>14876.03</v>
      </c>
      <c r="M502" s="176">
        <v>0</v>
      </c>
      <c r="N502" s="176">
        <v>0</v>
      </c>
      <c r="O502" s="176">
        <v>0</v>
      </c>
      <c r="P502" s="204">
        <v>3123.97</v>
      </c>
      <c r="Q502" s="176">
        <v>18000</v>
      </c>
    </row>
    <row r="503" spans="1:17">
      <c r="A503" s="175" t="s">
        <v>3884</v>
      </c>
      <c r="B503" s="175" t="s">
        <v>3744</v>
      </c>
      <c r="C503" s="176">
        <v>9</v>
      </c>
      <c r="D503" s="176">
        <v>379</v>
      </c>
      <c r="E503" s="175"/>
      <c r="F503" s="176">
        <v>74468312322832</v>
      </c>
      <c r="G503" s="176">
        <v>99</v>
      </c>
      <c r="H503" s="176">
        <v>0</v>
      </c>
      <c r="I503" s="175"/>
      <c r="J503" s="176">
        <v>1</v>
      </c>
      <c r="K503" s="175" t="s">
        <v>3742</v>
      </c>
      <c r="L503" s="204">
        <v>20454.55</v>
      </c>
      <c r="M503" s="176">
        <v>0</v>
      </c>
      <c r="N503" s="176">
        <v>0</v>
      </c>
      <c r="O503" s="176">
        <v>0</v>
      </c>
      <c r="P503" s="204">
        <v>4295.45</v>
      </c>
      <c r="Q503" s="176">
        <v>24750</v>
      </c>
    </row>
    <row r="504" spans="1:17">
      <c r="A504" s="175" t="s">
        <v>3884</v>
      </c>
      <c r="B504" s="175" t="s">
        <v>3744</v>
      </c>
      <c r="C504" s="176">
        <v>9</v>
      </c>
      <c r="D504" s="176">
        <v>390</v>
      </c>
      <c r="E504" s="175"/>
      <c r="F504" s="176">
        <v>74468378819049</v>
      </c>
      <c r="G504" s="176">
        <v>99</v>
      </c>
      <c r="H504" s="176">
        <v>0</v>
      </c>
      <c r="I504" s="175"/>
      <c r="J504" s="176">
        <v>1</v>
      </c>
      <c r="K504" s="175" t="s">
        <v>3742</v>
      </c>
      <c r="L504" s="204">
        <v>9917.36</v>
      </c>
      <c r="M504" s="176">
        <v>0</v>
      </c>
      <c r="N504" s="176">
        <v>0</v>
      </c>
      <c r="O504" s="176">
        <v>0</v>
      </c>
      <c r="P504" s="204">
        <v>2082.64</v>
      </c>
      <c r="Q504" s="176">
        <v>12000</v>
      </c>
    </row>
    <row r="505" spans="1:17">
      <c r="A505" s="175" t="s">
        <v>3884</v>
      </c>
      <c r="B505" s="175" t="s">
        <v>3744</v>
      </c>
      <c r="C505" s="176">
        <v>9</v>
      </c>
      <c r="D505" s="176">
        <v>381</v>
      </c>
      <c r="E505" s="175"/>
      <c r="F505" s="176">
        <v>74468329210612</v>
      </c>
      <c r="G505" s="176">
        <v>99</v>
      </c>
      <c r="H505" s="176">
        <v>0</v>
      </c>
      <c r="I505" s="175"/>
      <c r="J505" s="176">
        <v>1</v>
      </c>
      <c r="K505" s="175" t="s">
        <v>3742</v>
      </c>
      <c r="L505" s="175">
        <v>18512.400000000001</v>
      </c>
      <c r="M505" s="176">
        <v>0</v>
      </c>
      <c r="N505" s="176">
        <v>0</v>
      </c>
      <c r="O505" s="176">
        <v>0</v>
      </c>
      <c r="P505" s="175">
        <v>3887.6</v>
      </c>
      <c r="Q505" s="176">
        <v>22400</v>
      </c>
    </row>
    <row r="506" spans="1:17">
      <c r="A506" s="175" t="s">
        <v>3884</v>
      </c>
      <c r="B506" s="175" t="s">
        <v>3744</v>
      </c>
      <c r="C506" s="176">
        <v>9</v>
      </c>
      <c r="D506" s="176">
        <v>376</v>
      </c>
      <c r="E506" s="175"/>
      <c r="F506" s="176">
        <v>74468309828283</v>
      </c>
      <c r="G506" s="176">
        <v>99</v>
      </c>
      <c r="H506" s="176">
        <v>0</v>
      </c>
      <c r="I506" s="175"/>
      <c r="J506" s="176">
        <v>1</v>
      </c>
      <c r="K506" s="175" t="s">
        <v>3742</v>
      </c>
      <c r="L506" s="204">
        <v>22975.21</v>
      </c>
      <c r="M506" s="176">
        <v>0</v>
      </c>
      <c r="N506" s="176">
        <v>0</v>
      </c>
      <c r="O506" s="176">
        <v>0</v>
      </c>
      <c r="P506" s="204">
        <v>4824.79</v>
      </c>
      <c r="Q506" s="176">
        <v>27800</v>
      </c>
    </row>
    <row r="507" spans="1:17">
      <c r="A507" s="175" t="s">
        <v>3884</v>
      </c>
      <c r="B507" s="175" t="s">
        <v>3744</v>
      </c>
      <c r="C507" s="176">
        <v>9</v>
      </c>
      <c r="D507" s="176">
        <v>385</v>
      </c>
      <c r="E507" s="175"/>
      <c r="F507" s="176">
        <v>74468343324026</v>
      </c>
      <c r="G507" s="176">
        <v>99</v>
      </c>
      <c r="H507" s="176">
        <v>0</v>
      </c>
      <c r="I507" s="175"/>
      <c r="J507" s="176">
        <v>1</v>
      </c>
      <c r="K507" s="175" t="s">
        <v>3742</v>
      </c>
      <c r="L507" s="204">
        <v>12396.69</v>
      </c>
      <c r="M507" s="176">
        <v>0</v>
      </c>
      <c r="N507" s="176">
        <v>0</v>
      </c>
      <c r="O507" s="176">
        <v>0</v>
      </c>
      <c r="P507" s="204">
        <v>2603.31</v>
      </c>
      <c r="Q507" s="176">
        <v>15000</v>
      </c>
    </row>
    <row r="508" spans="1:17">
      <c r="A508" s="175" t="s">
        <v>3884</v>
      </c>
      <c r="B508" s="175" t="s">
        <v>3744</v>
      </c>
      <c r="C508" s="176">
        <v>9</v>
      </c>
      <c r="D508" s="176">
        <v>388</v>
      </c>
      <c r="E508" s="175"/>
      <c r="F508" s="176">
        <v>74468368464083</v>
      </c>
      <c r="G508" s="176">
        <v>99</v>
      </c>
      <c r="H508" s="176">
        <v>0</v>
      </c>
      <c r="I508" s="175"/>
      <c r="J508" s="176">
        <v>1</v>
      </c>
      <c r="K508" s="175" t="s">
        <v>3742</v>
      </c>
      <c r="L508" s="204">
        <v>5206.6099999999997</v>
      </c>
      <c r="M508" s="176">
        <v>0</v>
      </c>
      <c r="N508" s="176">
        <v>0</v>
      </c>
      <c r="O508" s="176">
        <v>0</v>
      </c>
      <c r="P508" s="204">
        <v>1093.3900000000001</v>
      </c>
      <c r="Q508" s="176">
        <v>6300</v>
      </c>
    </row>
    <row r="509" spans="1:17">
      <c r="A509" s="175" t="s">
        <v>3884</v>
      </c>
      <c r="B509" s="175" t="s">
        <v>3744</v>
      </c>
      <c r="C509" s="176">
        <v>9</v>
      </c>
      <c r="D509" s="176">
        <v>380</v>
      </c>
      <c r="E509" s="175"/>
      <c r="F509" s="176">
        <v>74468316333628</v>
      </c>
      <c r="G509" s="176">
        <v>99</v>
      </c>
      <c r="H509" s="176">
        <v>0</v>
      </c>
      <c r="I509" s="175"/>
      <c r="J509" s="176">
        <v>1</v>
      </c>
      <c r="K509" s="175" t="s">
        <v>3742</v>
      </c>
      <c r="L509" s="204">
        <v>28429.75</v>
      </c>
      <c r="M509" s="176">
        <v>0</v>
      </c>
      <c r="N509" s="176">
        <v>0</v>
      </c>
      <c r="O509" s="176">
        <v>0</v>
      </c>
      <c r="P509" s="204">
        <v>5970.25</v>
      </c>
      <c r="Q509" s="176">
        <v>34400</v>
      </c>
    </row>
    <row r="510" spans="1:17">
      <c r="A510" s="175" t="s">
        <v>3884</v>
      </c>
      <c r="B510" s="175" t="s">
        <v>3744</v>
      </c>
      <c r="C510" s="176">
        <v>9</v>
      </c>
      <c r="D510" s="176">
        <v>389</v>
      </c>
      <c r="E510" s="175"/>
      <c r="F510" s="176">
        <v>74468369166048</v>
      </c>
      <c r="G510" s="176">
        <v>99</v>
      </c>
      <c r="H510" s="176">
        <v>0</v>
      </c>
      <c r="I510" s="175"/>
      <c r="J510" s="176">
        <v>1</v>
      </c>
      <c r="K510" s="175" t="s">
        <v>3742</v>
      </c>
      <c r="L510" s="175">
        <v>21487.599999999999</v>
      </c>
      <c r="M510" s="176">
        <v>0</v>
      </c>
      <c r="N510" s="176">
        <v>0</v>
      </c>
      <c r="O510" s="176">
        <v>0</v>
      </c>
      <c r="P510" s="175">
        <v>4512.3999999999996</v>
      </c>
      <c r="Q510" s="176">
        <v>26000</v>
      </c>
    </row>
    <row r="511" spans="1:17">
      <c r="A511" s="175" t="s">
        <v>3884</v>
      </c>
      <c r="B511" s="175" t="s">
        <v>3744</v>
      </c>
      <c r="C511" s="176">
        <v>9</v>
      </c>
      <c r="D511" s="176">
        <v>386</v>
      </c>
      <c r="E511" s="175"/>
      <c r="F511" s="176">
        <v>74468363705176</v>
      </c>
      <c r="G511" s="176">
        <v>99</v>
      </c>
      <c r="H511" s="176">
        <v>0</v>
      </c>
      <c r="I511" s="175"/>
      <c r="J511" s="176">
        <v>1</v>
      </c>
      <c r="K511" s="175" t="s">
        <v>3742</v>
      </c>
      <c r="L511" s="204">
        <v>8595.0400000000009</v>
      </c>
      <c r="M511" s="176">
        <v>0</v>
      </c>
      <c r="N511" s="176">
        <v>0</v>
      </c>
      <c r="O511" s="176">
        <v>0</v>
      </c>
      <c r="P511" s="204">
        <v>1804.96</v>
      </c>
      <c r="Q511" s="176">
        <v>10400</v>
      </c>
    </row>
    <row r="512" spans="1:17">
      <c r="A512" s="175" t="s">
        <v>3884</v>
      </c>
      <c r="B512" s="175" t="s">
        <v>3744</v>
      </c>
      <c r="C512" s="176">
        <v>9</v>
      </c>
      <c r="D512" s="176">
        <v>377</v>
      </c>
      <c r="E512" s="175"/>
      <c r="F512" s="176">
        <v>74468311064499</v>
      </c>
      <c r="G512" s="176">
        <v>99</v>
      </c>
      <c r="H512" s="176">
        <v>0</v>
      </c>
      <c r="I512" s="175"/>
      <c r="J512" s="176">
        <v>1</v>
      </c>
      <c r="K512" s="175" t="s">
        <v>3742</v>
      </c>
      <c r="L512" s="204">
        <v>45454.55</v>
      </c>
      <c r="M512" s="176">
        <v>0</v>
      </c>
      <c r="N512" s="176">
        <v>0</v>
      </c>
      <c r="O512" s="176">
        <v>0</v>
      </c>
      <c r="P512" s="204">
        <v>9545.4500000000007</v>
      </c>
      <c r="Q512" s="176">
        <v>55000</v>
      </c>
    </row>
    <row r="513" spans="1:17">
      <c r="A513" s="175" t="s">
        <v>3884</v>
      </c>
      <c r="B513" s="175" t="s">
        <v>3744</v>
      </c>
      <c r="C513" s="176">
        <v>9</v>
      </c>
      <c r="D513" s="176">
        <v>378</v>
      </c>
      <c r="E513" s="175"/>
      <c r="F513" s="176">
        <v>74468311191633</v>
      </c>
      <c r="G513" s="176">
        <v>99</v>
      </c>
      <c r="H513" s="176">
        <v>0</v>
      </c>
      <c r="I513" s="175"/>
      <c r="J513" s="176">
        <v>1</v>
      </c>
      <c r="K513" s="175" t="s">
        <v>3742</v>
      </c>
      <c r="L513" s="204">
        <v>8264.4599999999991</v>
      </c>
      <c r="M513" s="176">
        <v>0</v>
      </c>
      <c r="N513" s="176">
        <v>0</v>
      </c>
      <c r="O513" s="176">
        <v>0</v>
      </c>
      <c r="P513" s="204">
        <v>1735.54</v>
      </c>
      <c r="Q513" s="176">
        <v>10000</v>
      </c>
    </row>
    <row r="514" spans="1:17">
      <c r="A514" s="175" t="s">
        <v>3859</v>
      </c>
      <c r="B514" s="175" t="s">
        <v>3744</v>
      </c>
      <c r="C514" s="176">
        <v>9</v>
      </c>
      <c r="D514" s="176">
        <v>401</v>
      </c>
      <c r="E514" s="175"/>
      <c r="F514" s="176">
        <v>74478765412176</v>
      </c>
      <c r="G514" s="176">
        <v>99</v>
      </c>
      <c r="H514" s="176">
        <v>0</v>
      </c>
      <c r="I514" s="175"/>
      <c r="J514" s="176">
        <v>1</v>
      </c>
      <c r="K514" s="175" t="s">
        <v>3742</v>
      </c>
      <c r="L514" s="204">
        <v>72975.210000000006</v>
      </c>
      <c r="M514" s="177">
        <v>0</v>
      </c>
      <c r="N514" s="177">
        <v>0</v>
      </c>
      <c r="O514" s="177">
        <v>0</v>
      </c>
      <c r="P514" s="208">
        <v>15324.79</v>
      </c>
      <c r="Q514" s="177">
        <v>88300</v>
      </c>
    </row>
    <row r="515" spans="1:17">
      <c r="A515" s="175" t="s">
        <v>3859</v>
      </c>
      <c r="B515" s="175" t="s">
        <v>3744</v>
      </c>
      <c r="C515" s="176">
        <v>9</v>
      </c>
      <c r="D515" s="176">
        <v>395</v>
      </c>
      <c r="E515" s="175"/>
      <c r="F515" s="176">
        <v>74478744765454</v>
      </c>
      <c r="G515" s="176">
        <v>99</v>
      </c>
      <c r="H515" s="176">
        <v>0</v>
      </c>
      <c r="I515" s="175"/>
      <c r="J515" s="176">
        <v>1</v>
      </c>
      <c r="K515" s="175" t="s">
        <v>3742</v>
      </c>
      <c r="L515" s="204">
        <v>40909.089999999997</v>
      </c>
      <c r="M515" s="176">
        <v>0</v>
      </c>
      <c r="N515" s="176">
        <v>0</v>
      </c>
      <c r="O515" s="176">
        <v>0</v>
      </c>
      <c r="P515" s="204">
        <v>8590.91</v>
      </c>
      <c r="Q515" s="176">
        <v>49500</v>
      </c>
    </row>
    <row r="516" spans="1:17">
      <c r="A516" s="175" t="s">
        <v>3859</v>
      </c>
      <c r="B516" s="175" t="s">
        <v>3744</v>
      </c>
      <c r="C516" s="176">
        <v>9</v>
      </c>
      <c r="D516" s="176">
        <v>398</v>
      </c>
      <c r="E516" s="175"/>
      <c r="F516" s="176">
        <v>74478755812022</v>
      </c>
      <c r="G516" s="176">
        <v>99</v>
      </c>
      <c r="H516" s="176">
        <v>0</v>
      </c>
      <c r="I516" s="175"/>
      <c r="J516" s="176">
        <v>1</v>
      </c>
      <c r="K516" s="175" t="s">
        <v>3742</v>
      </c>
      <c r="L516" s="204">
        <v>13223.14</v>
      </c>
      <c r="M516" s="176">
        <v>0</v>
      </c>
      <c r="N516" s="176">
        <v>0</v>
      </c>
      <c r="O516" s="176">
        <v>0</v>
      </c>
      <c r="P516" s="204">
        <v>2776.86</v>
      </c>
      <c r="Q516" s="176">
        <v>16000</v>
      </c>
    </row>
    <row r="517" spans="1:17">
      <c r="A517" s="175" t="s">
        <v>3859</v>
      </c>
      <c r="B517" s="175" t="s">
        <v>3744</v>
      </c>
      <c r="C517" s="176">
        <v>9</v>
      </c>
      <c r="D517" s="176">
        <v>400</v>
      </c>
      <c r="E517" s="175"/>
      <c r="F517" s="176">
        <v>74478761032769</v>
      </c>
      <c r="G517" s="176">
        <v>99</v>
      </c>
      <c r="H517" s="176">
        <v>0</v>
      </c>
      <c r="I517" s="175"/>
      <c r="J517" s="176">
        <v>1</v>
      </c>
      <c r="K517" s="175" t="s">
        <v>3742</v>
      </c>
      <c r="L517" s="204">
        <v>12975.21</v>
      </c>
      <c r="M517" s="176">
        <v>0</v>
      </c>
      <c r="N517" s="176">
        <v>0</v>
      </c>
      <c r="O517" s="176">
        <v>0</v>
      </c>
      <c r="P517" s="204">
        <v>2724.79</v>
      </c>
      <c r="Q517" s="176">
        <v>15700</v>
      </c>
    </row>
    <row r="518" spans="1:17">
      <c r="A518" s="175" t="s">
        <v>3859</v>
      </c>
      <c r="B518" s="175" t="s">
        <v>3744</v>
      </c>
      <c r="C518" s="176">
        <v>9</v>
      </c>
      <c r="D518" s="176">
        <v>394</v>
      </c>
      <c r="E518" s="175"/>
      <c r="F518" s="176">
        <v>74478730789308</v>
      </c>
      <c r="G518" s="176">
        <v>99</v>
      </c>
      <c r="H518" s="176">
        <v>0</v>
      </c>
      <c r="I518" s="175"/>
      <c r="J518" s="176">
        <v>1</v>
      </c>
      <c r="K518" s="175" t="s">
        <v>3742</v>
      </c>
      <c r="L518" s="204">
        <v>26446.28</v>
      </c>
      <c r="M518" s="176">
        <v>0</v>
      </c>
      <c r="N518" s="176">
        <v>0</v>
      </c>
      <c r="O518" s="176">
        <v>0</v>
      </c>
      <c r="P518" s="204">
        <v>5553.72</v>
      </c>
      <c r="Q518" s="176">
        <v>32000</v>
      </c>
    </row>
    <row r="519" spans="1:17">
      <c r="A519" s="175" t="s">
        <v>3859</v>
      </c>
      <c r="B519" s="175" t="s">
        <v>3744</v>
      </c>
      <c r="C519" s="176">
        <v>9</v>
      </c>
      <c r="D519" s="176">
        <v>391</v>
      </c>
      <c r="E519" s="175"/>
      <c r="F519" s="176">
        <v>74478700460530</v>
      </c>
      <c r="G519" s="176">
        <v>99</v>
      </c>
      <c r="H519" s="176">
        <v>0</v>
      </c>
      <c r="I519" s="175"/>
      <c r="J519" s="176">
        <v>1</v>
      </c>
      <c r="K519" s="175" t="s">
        <v>3742</v>
      </c>
      <c r="L519" s="204">
        <v>18181.82</v>
      </c>
      <c r="M519" s="176">
        <v>0</v>
      </c>
      <c r="N519" s="176">
        <v>0</v>
      </c>
      <c r="O519" s="176">
        <v>0</v>
      </c>
      <c r="P519" s="204">
        <v>3818.18</v>
      </c>
      <c r="Q519" s="176">
        <v>22000</v>
      </c>
    </row>
    <row r="520" spans="1:17">
      <c r="A520" s="175" t="s">
        <v>3859</v>
      </c>
      <c r="B520" s="175" t="s">
        <v>3744</v>
      </c>
      <c r="C520" s="176">
        <v>9</v>
      </c>
      <c r="D520" s="176">
        <v>396</v>
      </c>
      <c r="E520" s="175"/>
      <c r="F520" s="176">
        <v>74478748995354</v>
      </c>
      <c r="G520" s="176">
        <v>99</v>
      </c>
      <c r="H520" s="176">
        <v>0</v>
      </c>
      <c r="I520" s="175"/>
      <c r="J520" s="176">
        <v>1</v>
      </c>
      <c r="K520" s="175" t="s">
        <v>3742</v>
      </c>
      <c r="L520" s="204">
        <v>56198.35</v>
      </c>
      <c r="M520" s="176">
        <v>0</v>
      </c>
      <c r="N520" s="176">
        <v>0</v>
      </c>
      <c r="O520" s="176">
        <v>0</v>
      </c>
      <c r="P520" s="204">
        <v>11801.65</v>
      </c>
      <c r="Q520" s="176">
        <v>68000</v>
      </c>
    </row>
    <row r="521" spans="1:17">
      <c r="A521" s="175" t="s">
        <v>3859</v>
      </c>
      <c r="B521" s="175" t="s">
        <v>3744</v>
      </c>
      <c r="C521" s="176">
        <v>9</v>
      </c>
      <c r="D521" s="176">
        <v>392</v>
      </c>
      <c r="E521" s="175"/>
      <c r="F521" s="176">
        <v>74478700858389</v>
      </c>
      <c r="G521" s="176">
        <v>99</v>
      </c>
      <c r="H521" s="176">
        <v>0</v>
      </c>
      <c r="I521" s="175"/>
      <c r="J521" s="176">
        <v>1</v>
      </c>
      <c r="K521" s="175" t="s">
        <v>3742</v>
      </c>
      <c r="L521" s="175">
        <v>26859.5</v>
      </c>
      <c r="M521" s="176">
        <v>0</v>
      </c>
      <c r="N521" s="176">
        <v>0</v>
      </c>
      <c r="O521" s="176">
        <v>0</v>
      </c>
      <c r="P521" s="175">
        <v>5640.5</v>
      </c>
      <c r="Q521" s="176">
        <v>32500</v>
      </c>
    </row>
    <row r="522" spans="1:17">
      <c r="A522" s="175" t="s">
        <v>3859</v>
      </c>
      <c r="B522" s="175" t="s">
        <v>3744</v>
      </c>
      <c r="C522" s="176">
        <v>9</v>
      </c>
      <c r="D522" s="176">
        <v>397</v>
      </c>
      <c r="E522" s="175"/>
      <c r="F522" s="176">
        <v>74478754677583</v>
      </c>
      <c r="G522" s="176">
        <v>99</v>
      </c>
      <c r="H522" s="176">
        <v>0</v>
      </c>
      <c r="I522" s="175"/>
      <c r="J522" s="176">
        <v>1</v>
      </c>
      <c r="K522" s="175" t="s">
        <v>3742</v>
      </c>
      <c r="L522" s="175">
        <v>10743.8</v>
      </c>
      <c r="M522" s="176">
        <v>0</v>
      </c>
      <c r="N522" s="176">
        <v>0</v>
      </c>
      <c r="O522" s="176">
        <v>0</v>
      </c>
      <c r="P522" s="175">
        <v>2256.1999999999998</v>
      </c>
      <c r="Q522" s="176">
        <v>13000</v>
      </c>
    </row>
    <row r="523" spans="1:17">
      <c r="A523" s="175" t="s">
        <v>3859</v>
      </c>
      <c r="B523" s="175" t="s">
        <v>3744</v>
      </c>
      <c r="C523" s="176">
        <v>9</v>
      </c>
      <c r="D523" s="176">
        <v>393</v>
      </c>
      <c r="E523" s="175"/>
      <c r="F523" s="176">
        <v>74478713925900</v>
      </c>
      <c r="G523" s="176">
        <v>99</v>
      </c>
      <c r="H523" s="176">
        <v>0</v>
      </c>
      <c r="I523" s="175"/>
      <c r="J523" s="176">
        <v>1</v>
      </c>
      <c r="K523" s="175" t="s">
        <v>3742</v>
      </c>
      <c r="L523" s="204">
        <v>33636.36</v>
      </c>
      <c r="M523" s="176">
        <v>0</v>
      </c>
      <c r="N523" s="176">
        <v>0</v>
      </c>
      <c r="O523" s="176">
        <v>0</v>
      </c>
      <c r="P523" s="204">
        <v>7063.64</v>
      </c>
      <c r="Q523" s="176">
        <v>40700</v>
      </c>
    </row>
    <row r="524" spans="1:17" ht="15.75" thickBot="1">
      <c r="A524" s="175" t="s">
        <v>3859</v>
      </c>
      <c r="B524" s="175" t="s">
        <v>3744</v>
      </c>
      <c r="C524" s="176">
        <v>9</v>
      </c>
      <c r="D524" s="176">
        <v>399</v>
      </c>
      <c r="E524" s="175"/>
      <c r="F524" s="176">
        <v>74478757532045</v>
      </c>
      <c r="G524" s="176">
        <v>99</v>
      </c>
      <c r="H524" s="176">
        <v>0</v>
      </c>
      <c r="I524" s="175"/>
      <c r="J524" s="176">
        <v>1</v>
      </c>
      <c r="K524" s="175" t="s">
        <v>3742</v>
      </c>
      <c r="L524" s="204">
        <v>14669.42</v>
      </c>
      <c r="M524" s="176">
        <v>0</v>
      </c>
      <c r="N524" s="176">
        <v>0</v>
      </c>
      <c r="O524" s="176">
        <v>0</v>
      </c>
      <c r="P524" s="204">
        <v>3080.58</v>
      </c>
      <c r="Q524" s="176">
        <v>17750</v>
      </c>
    </row>
    <row r="525" spans="1:17" ht="15.75" thickBot="1">
      <c r="A525" s="175"/>
      <c r="B525" s="175"/>
      <c r="C525" s="176"/>
      <c r="D525" s="176"/>
      <c r="E525" s="175"/>
      <c r="F525" s="176"/>
      <c r="G525" s="176"/>
      <c r="H525" s="176"/>
      <c r="I525" s="175"/>
      <c r="J525" s="225" t="s">
        <v>3933</v>
      </c>
      <c r="K525" s="226"/>
      <c r="L525" s="190">
        <f>SUM(L355:L524)</f>
        <v>3911570.1899999981</v>
      </c>
      <c r="M525" s="191">
        <f t="shared" ref="M525:Q525" si="6">SUM(M355:M524)</f>
        <v>0</v>
      </c>
      <c r="N525" s="191">
        <f t="shared" si="6"/>
        <v>0</v>
      </c>
      <c r="O525" s="191">
        <f t="shared" si="6"/>
        <v>0</v>
      </c>
      <c r="P525" s="191">
        <f>SUM(P355:P524)</f>
        <v>821429.81000000041</v>
      </c>
      <c r="Q525" s="192">
        <f t="shared" si="6"/>
        <v>4733000</v>
      </c>
    </row>
    <row r="528" spans="1:17" ht="15.75" thickBot="1"/>
    <row r="529" spans="12:16" ht="15.75" thickBot="1">
      <c r="L529" s="214" t="s">
        <v>1864</v>
      </c>
      <c r="M529" s="159" t="s">
        <v>460</v>
      </c>
      <c r="N529" s="160" t="s">
        <v>3241</v>
      </c>
      <c r="O529" s="160" t="s">
        <v>787</v>
      </c>
      <c r="P529" s="162" t="s">
        <v>459</v>
      </c>
    </row>
    <row r="530" spans="12:16">
      <c r="L530" s="215" t="s">
        <v>783</v>
      </c>
      <c r="M530" s="147">
        <f>L18+L161+L223</f>
        <v>53169173.039999992</v>
      </c>
      <c r="N530" s="144"/>
      <c r="O530" s="149">
        <f>M530*21/100</f>
        <v>11165526.338399999</v>
      </c>
      <c r="P530" s="150">
        <f>M530+O530</f>
        <v>64334699.37839999</v>
      </c>
    </row>
    <row r="531" spans="12:16" ht="15.75" thickBot="1">
      <c r="L531" s="216" t="s">
        <v>462</v>
      </c>
      <c r="M531" s="148">
        <f>L525+L353+L149+L101</f>
        <v>12086888.739999993</v>
      </c>
      <c r="N531" s="145"/>
      <c r="O531" s="152">
        <f>P525+P353+P149+P101</f>
        <v>2536593.2402000013</v>
      </c>
      <c r="P531" s="151">
        <f>M531+O531</f>
        <v>14623481.980199995</v>
      </c>
    </row>
    <row r="532" spans="12:16" ht="15.75" thickBot="1">
      <c r="L532" s="209" t="s">
        <v>459</v>
      </c>
      <c r="M532" s="210">
        <f>M531+M530</f>
        <v>65256061.779999986</v>
      </c>
      <c r="N532" s="211">
        <f>N531+N530</f>
        <v>0</v>
      </c>
      <c r="O532" s="212">
        <f>O531+O530</f>
        <v>13702119.578600001</v>
      </c>
      <c r="P532" s="213">
        <f>P531+P530</f>
        <v>78958181.358599991</v>
      </c>
    </row>
  </sheetData>
  <mergeCells count="8">
    <mergeCell ref="J161:K161"/>
    <mergeCell ref="J223:K223"/>
    <mergeCell ref="J353:K353"/>
    <mergeCell ref="J525:K525"/>
    <mergeCell ref="A5:Q5"/>
    <mergeCell ref="J18:K18"/>
    <mergeCell ref="J101:K101"/>
    <mergeCell ref="J149:K14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W451"/>
  <sheetViews>
    <sheetView zoomScale="90" zoomScaleNormal="90" workbookViewId="0">
      <selection activeCell="N443" sqref="N443"/>
    </sheetView>
  </sheetViews>
  <sheetFormatPr baseColWidth="10" defaultRowHeight="15"/>
  <cols>
    <col min="2" max="2" width="47.85546875" customWidth="1"/>
    <col min="3" max="3" width="14.7109375" bestFit="1" customWidth="1"/>
    <col min="5" max="5" width="15.42578125" bestFit="1" customWidth="1"/>
    <col min="6" max="6" width="17" customWidth="1"/>
    <col min="7" max="7" width="19.28515625" bestFit="1" customWidth="1"/>
    <col min="8" max="8" width="20.85546875" bestFit="1" customWidth="1"/>
    <col min="11" max="11" width="14.85546875" bestFit="1" customWidth="1"/>
    <col min="13" max="13" width="20.85546875" bestFit="1" customWidth="1"/>
    <col min="14" max="14" width="15.85546875" bestFit="1" customWidth="1"/>
    <col min="15" max="15" width="14.85546875" bestFit="1" customWidth="1"/>
  </cols>
  <sheetData>
    <row r="1" spans="1:15">
      <c r="A1" s="217" t="s">
        <v>2</v>
      </c>
      <c r="B1" s="217" t="s">
        <v>3935</v>
      </c>
      <c r="C1" s="217" t="s">
        <v>3936</v>
      </c>
      <c r="D1" s="217" t="s">
        <v>3937</v>
      </c>
      <c r="E1" s="217" t="s">
        <v>3938</v>
      </c>
      <c r="F1" s="217" t="s">
        <v>3939</v>
      </c>
      <c r="G1" s="217" t="s">
        <v>3940</v>
      </c>
      <c r="H1" s="217" t="s">
        <v>3941</v>
      </c>
      <c r="I1" s="217" t="s">
        <v>3942</v>
      </c>
      <c r="J1" s="217" t="s">
        <v>3943</v>
      </c>
      <c r="K1" s="217" t="s">
        <v>3944</v>
      </c>
      <c r="L1" s="217" t="s">
        <v>3945</v>
      </c>
      <c r="M1" s="217" t="s">
        <v>3946</v>
      </c>
      <c r="N1" s="217" t="s">
        <v>3947</v>
      </c>
      <c r="O1" s="217" t="s">
        <v>3948</v>
      </c>
    </row>
    <row r="2" spans="1:15">
      <c r="A2" s="175" t="s">
        <v>3949</v>
      </c>
      <c r="B2" s="175" t="s">
        <v>3759</v>
      </c>
      <c r="C2" s="175" t="s">
        <v>3967</v>
      </c>
      <c r="D2" s="175" t="s">
        <v>3968</v>
      </c>
      <c r="E2" s="175" t="s">
        <v>3953</v>
      </c>
      <c r="F2" s="175" t="s">
        <v>3969</v>
      </c>
      <c r="G2" s="175" t="s">
        <v>3970</v>
      </c>
      <c r="H2" s="175">
        <v>4239622.08</v>
      </c>
      <c r="I2" s="175">
        <v>0</v>
      </c>
      <c r="J2" s="175">
        <v>0</v>
      </c>
      <c r="K2" s="175">
        <v>0</v>
      </c>
      <c r="L2" s="175">
        <v>0</v>
      </c>
      <c r="M2" s="175">
        <v>890320.64</v>
      </c>
      <c r="N2" s="175">
        <v>890320.64</v>
      </c>
      <c r="O2" s="175">
        <v>5129942.72</v>
      </c>
    </row>
    <row r="3" spans="1:15">
      <c r="A3" s="175" t="s">
        <v>3949</v>
      </c>
      <c r="B3" s="175" t="s">
        <v>3759</v>
      </c>
      <c r="C3" s="175" t="s">
        <v>3967</v>
      </c>
      <c r="D3" s="175" t="s">
        <v>3968</v>
      </c>
      <c r="E3" s="175" t="s">
        <v>3953</v>
      </c>
      <c r="F3" s="175" t="s">
        <v>3969</v>
      </c>
      <c r="G3" s="175" t="s">
        <v>3971</v>
      </c>
      <c r="H3" s="175">
        <v>1376399.85</v>
      </c>
      <c r="I3" s="175">
        <v>0</v>
      </c>
      <c r="J3" s="175">
        <v>0</v>
      </c>
      <c r="K3" s="175">
        <v>0</v>
      </c>
      <c r="L3" s="175">
        <v>0</v>
      </c>
      <c r="M3" s="175">
        <v>289043.96999999997</v>
      </c>
      <c r="N3" s="175">
        <v>289043.96999999997</v>
      </c>
      <c r="O3" s="175">
        <v>1665443.82</v>
      </c>
    </row>
    <row r="4" spans="1:15">
      <c r="A4" s="175" t="s">
        <v>3949</v>
      </c>
      <c r="B4" s="175" t="s">
        <v>3762</v>
      </c>
      <c r="C4" s="175" t="s">
        <v>3994</v>
      </c>
      <c r="D4" s="175" t="s">
        <v>3968</v>
      </c>
      <c r="E4" s="175" t="s">
        <v>3953</v>
      </c>
      <c r="F4" s="175" t="s">
        <v>3969</v>
      </c>
      <c r="G4" s="175" t="s">
        <v>3995</v>
      </c>
      <c r="H4" s="175">
        <v>1231404.96</v>
      </c>
      <c r="I4" s="175">
        <v>0</v>
      </c>
      <c r="J4" s="175">
        <v>0</v>
      </c>
      <c r="K4" s="175">
        <v>0</v>
      </c>
      <c r="L4" s="175">
        <v>0</v>
      </c>
      <c r="M4" s="175">
        <v>258595.04</v>
      </c>
      <c r="N4" s="175">
        <v>258595.04</v>
      </c>
      <c r="O4" s="175">
        <v>1490000</v>
      </c>
    </row>
    <row r="5" spans="1:15">
      <c r="A5" s="175" t="s">
        <v>3949</v>
      </c>
      <c r="B5" s="175" t="s">
        <v>3999</v>
      </c>
      <c r="C5" s="175" t="s">
        <v>4000</v>
      </c>
      <c r="D5" s="175" t="s">
        <v>3968</v>
      </c>
      <c r="E5" s="175" t="s">
        <v>3953</v>
      </c>
      <c r="F5" s="175" t="s">
        <v>3969</v>
      </c>
      <c r="G5" s="175" t="s">
        <v>4005</v>
      </c>
      <c r="H5" s="175">
        <v>2253727.19</v>
      </c>
      <c r="I5" s="175">
        <v>0</v>
      </c>
      <c r="J5" s="175">
        <v>0</v>
      </c>
      <c r="K5" s="175">
        <v>0</v>
      </c>
      <c r="L5" s="175">
        <v>0</v>
      </c>
      <c r="M5" s="175">
        <v>473282.71</v>
      </c>
      <c r="N5" s="175">
        <v>473282.71</v>
      </c>
      <c r="O5" s="175">
        <v>2727009.9</v>
      </c>
    </row>
    <row r="6" spans="1:15">
      <c r="A6" s="175" t="s">
        <v>3949</v>
      </c>
      <c r="B6" s="175" t="s">
        <v>3999</v>
      </c>
      <c r="C6" s="175" t="s">
        <v>4000</v>
      </c>
      <c r="D6" s="175" t="s">
        <v>3968</v>
      </c>
      <c r="E6" s="175" t="s">
        <v>3953</v>
      </c>
      <c r="F6" s="175" t="s">
        <v>3969</v>
      </c>
      <c r="G6" s="175" t="s">
        <v>4006</v>
      </c>
      <c r="H6" s="175">
        <v>15804240.67</v>
      </c>
      <c r="I6" s="175">
        <v>0</v>
      </c>
      <c r="J6" s="175">
        <v>0</v>
      </c>
      <c r="K6" s="175">
        <v>0</v>
      </c>
      <c r="L6" s="175">
        <v>0</v>
      </c>
      <c r="M6" s="175">
        <v>3318890.54</v>
      </c>
      <c r="N6" s="175">
        <v>3318890.54</v>
      </c>
      <c r="O6" s="175">
        <v>19123131.210000001</v>
      </c>
    </row>
    <row r="7" spans="1:15">
      <c r="A7" s="175" t="s">
        <v>3949</v>
      </c>
      <c r="B7" s="175" t="s">
        <v>3999</v>
      </c>
      <c r="C7" s="175" t="s">
        <v>4000</v>
      </c>
      <c r="D7" s="175" t="s">
        <v>3968</v>
      </c>
      <c r="E7" s="175" t="s">
        <v>3953</v>
      </c>
      <c r="F7" s="175" t="s">
        <v>3969</v>
      </c>
      <c r="G7" s="175" t="s">
        <v>4007</v>
      </c>
      <c r="H7" s="175">
        <v>1485014.73</v>
      </c>
      <c r="I7" s="175">
        <v>0</v>
      </c>
      <c r="J7" s="175">
        <v>0</v>
      </c>
      <c r="K7" s="175">
        <v>0</v>
      </c>
      <c r="L7" s="175">
        <v>0</v>
      </c>
      <c r="M7" s="175">
        <v>311853.09000000003</v>
      </c>
      <c r="N7" s="175">
        <v>311853.09000000003</v>
      </c>
      <c r="O7" s="175">
        <v>1796867.82</v>
      </c>
    </row>
    <row r="8" spans="1:15">
      <c r="A8" s="175" t="s">
        <v>3949</v>
      </c>
      <c r="B8" s="175" t="s">
        <v>3999</v>
      </c>
      <c r="C8" s="175" t="s">
        <v>4000</v>
      </c>
      <c r="D8" s="175" t="s">
        <v>3968</v>
      </c>
      <c r="E8" s="175" t="s">
        <v>3953</v>
      </c>
      <c r="F8" s="175" t="s">
        <v>3969</v>
      </c>
      <c r="G8" s="175" t="s">
        <v>4010</v>
      </c>
      <c r="H8" s="175">
        <v>1276859.5</v>
      </c>
      <c r="I8" s="175">
        <v>0</v>
      </c>
      <c r="J8" s="175">
        <v>0</v>
      </c>
      <c r="K8" s="175">
        <v>0</v>
      </c>
      <c r="L8" s="175">
        <v>0</v>
      </c>
      <c r="M8" s="175">
        <v>268140.5</v>
      </c>
      <c r="N8" s="175">
        <v>268140.5</v>
      </c>
      <c r="O8" s="175">
        <v>1545000</v>
      </c>
    </row>
    <row r="9" spans="1:15">
      <c r="A9" s="175" t="s">
        <v>3949</v>
      </c>
      <c r="B9" s="175" t="s">
        <v>3759</v>
      </c>
      <c r="C9" s="175" t="s">
        <v>3967</v>
      </c>
      <c r="D9" s="175" t="s">
        <v>3968</v>
      </c>
      <c r="E9" s="175" t="s">
        <v>3953</v>
      </c>
      <c r="F9" s="175" t="s">
        <v>3969</v>
      </c>
      <c r="G9" s="175" t="s">
        <v>4200</v>
      </c>
      <c r="H9" s="175">
        <v>1148760.33</v>
      </c>
      <c r="I9" s="175">
        <v>0</v>
      </c>
      <c r="J9" s="175">
        <v>0</v>
      </c>
      <c r="K9" s="175">
        <v>0</v>
      </c>
      <c r="L9" s="175">
        <v>0</v>
      </c>
      <c r="M9" s="175">
        <v>241239.67</v>
      </c>
      <c r="N9" s="175">
        <v>241239.67</v>
      </c>
      <c r="O9" s="175">
        <v>1390000</v>
      </c>
    </row>
    <row r="10" spans="1:15">
      <c r="A10" s="175" t="s">
        <v>3949</v>
      </c>
      <c r="B10" s="175" t="s">
        <v>3759</v>
      </c>
      <c r="C10" s="175" t="s">
        <v>3967</v>
      </c>
      <c r="D10" s="175" t="s">
        <v>3968</v>
      </c>
      <c r="E10" s="175" t="s">
        <v>3953</v>
      </c>
      <c r="F10" s="175" t="s">
        <v>3969</v>
      </c>
      <c r="G10" s="175" t="s">
        <v>4201</v>
      </c>
      <c r="H10" s="175">
        <v>3189495.87</v>
      </c>
      <c r="I10" s="175">
        <v>0</v>
      </c>
      <c r="J10" s="175">
        <v>0</v>
      </c>
      <c r="K10" s="175">
        <v>0</v>
      </c>
      <c r="L10" s="175">
        <v>0</v>
      </c>
      <c r="M10" s="175">
        <v>669794.13</v>
      </c>
      <c r="N10" s="175">
        <v>669794.13</v>
      </c>
      <c r="O10" s="175">
        <v>3859290</v>
      </c>
    </row>
    <row r="11" spans="1:15">
      <c r="A11" s="175" t="s">
        <v>3949</v>
      </c>
      <c r="B11" s="175" t="s">
        <v>3999</v>
      </c>
      <c r="C11" s="175" t="s">
        <v>4000</v>
      </c>
      <c r="D11" s="175" t="s">
        <v>3968</v>
      </c>
      <c r="E11" s="175" t="s">
        <v>3953</v>
      </c>
      <c r="F11" s="175" t="s">
        <v>3969</v>
      </c>
      <c r="G11" s="175" t="s">
        <v>4209</v>
      </c>
      <c r="H11" s="175">
        <v>2469669.42</v>
      </c>
      <c r="I11" s="175">
        <v>0</v>
      </c>
      <c r="J11" s="175">
        <v>0</v>
      </c>
      <c r="K11" s="175">
        <v>0</v>
      </c>
      <c r="L11" s="175">
        <v>0</v>
      </c>
      <c r="M11" s="175">
        <v>518630.58</v>
      </c>
      <c r="N11" s="175">
        <v>518630.58</v>
      </c>
      <c r="O11" s="175">
        <v>2988300</v>
      </c>
    </row>
    <row r="12" spans="1:15">
      <c r="A12" s="175" t="s">
        <v>3949</v>
      </c>
      <c r="B12" s="175" t="s">
        <v>3999</v>
      </c>
      <c r="C12" s="175" t="s">
        <v>4000</v>
      </c>
      <c r="D12" s="175" t="s">
        <v>3968</v>
      </c>
      <c r="E12" s="175" t="s">
        <v>3953</v>
      </c>
      <c r="F12" s="175" t="s">
        <v>3969</v>
      </c>
      <c r="G12" s="175" t="s">
        <v>4362</v>
      </c>
      <c r="H12" s="175">
        <v>7691239.6699999999</v>
      </c>
      <c r="I12" s="175">
        <v>0</v>
      </c>
      <c r="J12" s="175">
        <v>0</v>
      </c>
      <c r="K12" s="175">
        <v>0</v>
      </c>
      <c r="L12" s="175">
        <v>0</v>
      </c>
      <c r="M12" s="175">
        <v>1615160.33</v>
      </c>
      <c r="N12" s="175">
        <v>1615160.33</v>
      </c>
      <c r="O12" s="175">
        <v>9306400</v>
      </c>
    </row>
    <row r="13" spans="1:15">
      <c r="A13" s="175" t="s">
        <v>3949</v>
      </c>
      <c r="B13" s="175" t="s">
        <v>3759</v>
      </c>
      <c r="C13" s="175" t="s">
        <v>3967</v>
      </c>
      <c r="D13" s="175" t="s">
        <v>3968</v>
      </c>
      <c r="E13" s="175" t="s">
        <v>3953</v>
      </c>
      <c r="F13" s="175" t="s">
        <v>3969</v>
      </c>
      <c r="G13" s="175" t="s">
        <v>4422</v>
      </c>
      <c r="H13" s="175">
        <v>2024793.39</v>
      </c>
      <c r="I13" s="175">
        <v>0</v>
      </c>
      <c r="J13" s="175">
        <v>0</v>
      </c>
      <c r="K13" s="175">
        <v>0</v>
      </c>
      <c r="L13" s="175">
        <v>0</v>
      </c>
      <c r="M13" s="175">
        <v>425206.61</v>
      </c>
      <c r="N13" s="175">
        <v>425206.61</v>
      </c>
      <c r="O13" s="175">
        <v>2450000</v>
      </c>
    </row>
    <row r="14" spans="1:15">
      <c r="A14" s="175" t="s">
        <v>3949</v>
      </c>
      <c r="B14" s="175" t="s">
        <v>3999</v>
      </c>
      <c r="C14" s="175" t="s">
        <v>4000</v>
      </c>
      <c r="D14" s="175" t="s">
        <v>3968</v>
      </c>
      <c r="E14" s="175" t="s">
        <v>3953</v>
      </c>
      <c r="F14" s="175" t="s">
        <v>3969</v>
      </c>
      <c r="G14" s="175" t="s">
        <v>4423</v>
      </c>
      <c r="H14" s="175">
        <v>1942148.76</v>
      </c>
      <c r="I14" s="175">
        <v>0</v>
      </c>
      <c r="J14" s="175">
        <v>0</v>
      </c>
      <c r="K14" s="175">
        <v>0</v>
      </c>
      <c r="L14" s="175">
        <v>0</v>
      </c>
      <c r="M14" s="175">
        <v>407851.24</v>
      </c>
      <c r="N14" s="175">
        <v>407851.24</v>
      </c>
      <c r="O14" s="175">
        <v>2350000</v>
      </c>
    </row>
    <row r="15" spans="1:15">
      <c r="A15" s="175" t="s">
        <v>3949</v>
      </c>
      <c r="B15" s="175" t="s">
        <v>3759</v>
      </c>
      <c r="C15" s="175" t="s">
        <v>3967</v>
      </c>
      <c r="D15" s="175" t="s">
        <v>3968</v>
      </c>
      <c r="E15" s="175" t="s">
        <v>3953</v>
      </c>
      <c r="F15" s="175" t="s">
        <v>3969</v>
      </c>
      <c r="G15" s="175" t="s">
        <v>4512</v>
      </c>
      <c r="H15" s="175">
        <v>1400000</v>
      </c>
      <c r="I15" s="175">
        <v>0</v>
      </c>
      <c r="J15" s="175">
        <v>0</v>
      </c>
      <c r="K15" s="175">
        <v>0</v>
      </c>
      <c r="L15" s="175">
        <v>0</v>
      </c>
      <c r="M15" s="175">
        <v>294000</v>
      </c>
      <c r="N15" s="175">
        <v>294000</v>
      </c>
      <c r="O15" s="175">
        <v>1694000</v>
      </c>
    </row>
    <row r="16" spans="1:15">
      <c r="A16" s="175" t="s">
        <v>3949</v>
      </c>
      <c r="B16" s="175" t="s">
        <v>3999</v>
      </c>
      <c r="C16" s="175" t="s">
        <v>4000</v>
      </c>
      <c r="D16" s="175" t="s">
        <v>3968</v>
      </c>
      <c r="E16" s="175" t="s">
        <v>3953</v>
      </c>
      <c r="F16" s="175" t="s">
        <v>3969</v>
      </c>
      <c r="G16" s="175" t="s">
        <v>4541</v>
      </c>
      <c r="H16" s="175">
        <v>1963471.07</v>
      </c>
      <c r="I16" s="175">
        <v>0</v>
      </c>
      <c r="J16" s="175">
        <v>0</v>
      </c>
      <c r="K16" s="175">
        <v>0</v>
      </c>
      <c r="L16" s="175">
        <v>0</v>
      </c>
      <c r="M16" s="175">
        <v>412328.93</v>
      </c>
      <c r="N16" s="175">
        <v>412328.93</v>
      </c>
      <c r="O16" s="175">
        <v>2375800</v>
      </c>
    </row>
    <row r="17" spans="1:15">
      <c r="A17" s="145" t="s">
        <v>3949</v>
      </c>
      <c r="B17" s="175" t="s">
        <v>3759</v>
      </c>
      <c r="C17" s="175" t="s">
        <v>3967</v>
      </c>
      <c r="D17" s="175" t="s">
        <v>3968</v>
      </c>
      <c r="E17" s="175" t="s">
        <v>3953</v>
      </c>
      <c r="F17" s="175" t="s">
        <v>3969</v>
      </c>
      <c r="G17" s="175" t="s">
        <v>4575</v>
      </c>
      <c r="H17" s="145">
        <v>1417355.37</v>
      </c>
      <c r="I17" s="145">
        <v>0</v>
      </c>
      <c r="J17" s="145">
        <v>0</v>
      </c>
      <c r="K17" s="145">
        <v>0</v>
      </c>
      <c r="L17" s="145">
        <v>0</v>
      </c>
      <c r="M17" s="145">
        <v>297644.63</v>
      </c>
      <c r="N17" s="145">
        <v>297644.63</v>
      </c>
      <c r="O17" s="145">
        <v>1715000</v>
      </c>
    </row>
    <row r="18" spans="1:15">
      <c r="A18" s="187" t="s">
        <v>3981</v>
      </c>
      <c r="B18" s="175" t="s">
        <v>3999</v>
      </c>
      <c r="C18" s="175" t="s">
        <v>4000</v>
      </c>
      <c r="D18" s="175" t="s">
        <v>3987</v>
      </c>
      <c r="E18" s="175" t="s">
        <v>3953</v>
      </c>
      <c r="F18" s="175" t="s">
        <v>3969</v>
      </c>
      <c r="G18" s="175" t="s">
        <v>4008</v>
      </c>
      <c r="H18" s="175">
        <v>1290209.98</v>
      </c>
      <c r="I18" s="175">
        <v>0</v>
      </c>
      <c r="J18" s="175">
        <v>0</v>
      </c>
      <c r="K18" s="175">
        <v>0</v>
      </c>
      <c r="L18" s="175">
        <v>0</v>
      </c>
      <c r="M18" s="175">
        <v>270944.09999999998</v>
      </c>
      <c r="N18" s="175">
        <v>270944.09999999998</v>
      </c>
      <c r="O18" s="175">
        <v>1561154.08</v>
      </c>
    </row>
    <row r="19" spans="1:15">
      <c r="A19" s="175" t="s">
        <v>3981</v>
      </c>
      <c r="B19" s="175" t="s">
        <v>3759</v>
      </c>
      <c r="C19" s="175" t="s">
        <v>3967</v>
      </c>
      <c r="D19" s="175" t="s">
        <v>3987</v>
      </c>
      <c r="E19" s="175" t="s">
        <v>3953</v>
      </c>
      <c r="F19" s="175" t="s">
        <v>3969</v>
      </c>
      <c r="G19" s="175" t="s">
        <v>3988</v>
      </c>
      <c r="H19" s="175">
        <v>123950.41</v>
      </c>
      <c r="I19" s="175">
        <v>0</v>
      </c>
      <c r="J19" s="175">
        <v>0</v>
      </c>
      <c r="K19" s="175">
        <v>0</v>
      </c>
      <c r="L19" s="175">
        <v>0</v>
      </c>
      <c r="M19" s="175">
        <v>26029.59</v>
      </c>
      <c r="N19" s="175">
        <v>26029.59</v>
      </c>
      <c r="O19" s="175">
        <v>149980</v>
      </c>
    </row>
    <row r="20" spans="1:15">
      <c r="A20" s="175" t="s">
        <v>3981</v>
      </c>
      <c r="B20" s="175" t="s">
        <v>3999</v>
      </c>
      <c r="C20" s="175" t="s">
        <v>4000</v>
      </c>
      <c r="D20" s="175" t="s">
        <v>3987</v>
      </c>
      <c r="E20" s="175" t="s">
        <v>3953</v>
      </c>
      <c r="F20" s="175" t="s">
        <v>3969</v>
      </c>
      <c r="G20" s="175" t="s">
        <v>4001</v>
      </c>
      <c r="H20" s="175">
        <v>133165.42000000001</v>
      </c>
      <c r="I20" s="175">
        <v>0</v>
      </c>
      <c r="J20" s="175">
        <v>0</v>
      </c>
      <c r="K20" s="175">
        <v>0</v>
      </c>
      <c r="L20" s="175">
        <v>0</v>
      </c>
      <c r="M20" s="175">
        <v>27964.74</v>
      </c>
      <c r="N20" s="175">
        <v>27964.74</v>
      </c>
      <c r="O20" s="175">
        <v>161130.16</v>
      </c>
    </row>
    <row r="21" spans="1:15">
      <c r="A21" s="175" t="s">
        <v>3981</v>
      </c>
      <c r="B21" s="175" t="s">
        <v>3762</v>
      </c>
      <c r="C21" s="175" t="s">
        <v>3994</v>
      </c>
      <c r="D21" s="175" t="s">
        <v>3987</v>
      </c>
      <c r="E21" s="175" t="s">
        <v>3953</v>
      </c>
      <c r="F21" s="175" t="s">
        <v>3969</v>
      </c>
      <c r="G21" s="175" t="s">
        <v>4009</v>
      </c>
      <c r="H21" s="175">
        <v>321487.59999999998</v>
      </c>
      <c r="I21" s="175">
        <v>0</v>
      </c>
      <c r="J21" s="175">
        <v>0</v>
      </c>
      <c r="K21" s="175">
        <v>0</v>
      </c>
      <c r="L21" s="175">
        <v>0</v>
      </c>
      <c r="M21" s="175">
        <v>67512.399999999994</v>
      </c>
      <c r="N21" s="175">
        <v>67512.399999999994</v>
      </c>
      <c r="O21" s="175">
        <v>389000</v>
      </c>
    </row>
    <row r="22" spans="1:15">
      <c r="A22" s="175" t="s">
        <v>3981</v>
      </c>
      <c r="B22" s="175" t="s">
        <v>3765</v>
      </c>
      <c r="C22" s="175" t="s">
        <v>4014</v>
      </c>
      <c r="D22" s="175" t="s">
        <v>3987</v>
      </c>
      <c r="E22" s="175" t="s">
        <v>3953</v>
      </c>
      <c r="F22" s="175" t="s">
        <v>3969</v>
      </c>
      <c r="G22" s="175" t="s">
        <v>4015</v>
      </c>
      <c r="H22" s="175">
        <v>247355.37</v>
      </c>
      <c r="I22" s="175">
        <v>0</v>
      </c>
      <c r="J22" s="175">
        <v>0</v>
      </c>
      <c r="K22" s="175">
        <v>0</v>
      </c>
      <c r="L22" s="175">
        <v>0</v>
      </c>
      <c r="M22" s="175">
        <v>51944.63</v>
      </c>
      <c r="N22" s="175">
        <v>51944.63</v>
      </c>
      <c r="O22" s="175">
        <v>299300</v>
      </c>
    </row>
    <row r="23" spans="1:15">
      <c r="A23" s="175" t="s">
        <v>3981</v>
      </c>
      <c r="B23" s="175" t="s">
        <v>3765</v>
      </c>
      <c r="C23" s="175" t="s">
        <v>4014</v>
      </c>
      <c r="D23" s="175" t="s">
        <v>3987</v>
      </c>
      <c r="E23" s="175" t="s">
        <v>3953</v>
      </c>
      <c r="F23" s="175" t="s">
        <v>3969</v>
      </c>
      <c r="G23" s="175" t="s">
        <v>4019</v>
      </c>
      <c r="H23" s="175">
        <v>265000</v>
      </c>
      <c r="I23" s="175">
        <v>0</v>
      </c>
      <c r="J23" s="175">
        <v>0</v>
      </c>
      <c r="K23" s="175">
        <v>0</v>
      </c>
      <c r="L23" s="175">
        <v>0</v>
      </c>
      <c r="M23" s="175">
        <v>55650</v>
      </c>
      <c r="N23" s="175">
        <v>55650</v>
      </c>
      <c r="O23" s="175">
        <v>320650</v>
      </c>
    </row>
    <row r="24" spans="1:15">
      <c r="A24" s="175" t="s">
        <v>3981</v>
      </c>
      <c r="B24" s="175" t="s">
        <v>3761</v>
      </c>
      <c r="C24" s="175" t="s">
        <v>4038</v>
      </c>
      <c r="D24" s="175" t="s">
        <v>3987</v>
      </c>
      <c r="E24" s="175" t="s">
        <v>3953</v>
      </c>
      <c r="F24" s="175" t="s">
        <v>3969</v>
      </c>
      <c r="G24" s="175" t="s">
        <v>4039</v>
      </c>
      <c r="H24" s="175">
        <v>7975.21</v>
      </c>
      <c r="I24" s="175">
        <v>0</v>
      </c>
      <c r="J24" s="175">
        <v>0</v>
      </c>
      <c r="K24" s="175">
        <v>0</v>
      </c>
      <c r="L24" s="175">
        <v>0</v>
      </c>
      <c r="M24" s="175">
        <v>1674.79</v>
      </c>
      <c r="N24" s="175">
        <v>1674.79</v>
      </c>
      <c r="O24" s="175">
        <v>9650</v>
      </c>
    </row>
    <row r="25" spans="1:15">
      <c r="A25" s="175" t="s">
        <v>3981</v>
      </c>
      <c r="B25" s="175" t="s">
        <v>3761</v>
      </c>
      <c r="C25" s="175" t="s">
        <v>4038</v>
      </c>
      <c r="D25" s="175" t="s">
        <v>3987</v>
      </c>
      <c r="E25" s="175" t="s">
        <v>3953</v>
      </c>
      <c r="F25" s="175" t="s">
        <v>3969</v>
      </c>
      <c r="G25" s="175" t="s">
        <v>4040</v>
      </c>
      <c r="H25" s="175">
        <v>6911.84</v>
      </c>
      <c r="I25" s="175">
        <v>0</v>
      </c>
      <c r="J25" s="175">
        <v>0</v>
      </c>
      <c r="K25" s="175">
        <v>0</v>
      </c>
      <c r="L25" s="175">
        <v>0</v>
      </c>
      <c r="M25" s="175">
        <v>1451.49</v>
      </c>
      <c r="N25" s="175">
        <v>1451.49</v>
      </c>
      <c r="O25" s="175">
        <v>8363.33</v>
      </c>
    </row>
    <row r="26" spans="1:15">
      <c r="A26" s="175" t="s">
        <v>3981</v>
      </c>
      <c r="B26" s="175" t="s">
        <v>3757</v>
      </c>
      <c r="C26" s="175" t="s">
        <v>4043</v>
      </c>
      <c r="D26" s="175" t="s">
        <v>3987</v>
      </c>
      <c r="E26" s="175" t="s">
        <v>4044</v>
      </c>
      <c r="F26" s="175" t="s">
        <v>3969</v>
      </c>
      <c r="G26" s="175" t="s">
        <v>4045</v>
      </c>
      <c r="H26" s="175">
        <v>436933.88</v>
      </c>
      <c r="I26" s="175">
        <v>0</v>
      </c>
      <c r="J26" s="175">
        <v>0</v>
      </c>
      <c r="K26" s="175">
        <v>0</v>
      </c>
      <c r="L26" s="175">
        <v>0</v>
      </c>
      <c r="M26" s="175">
        <v>91756.12</v>
      </c>
      <c r="N26" s="175">
        <v>91756.12</v>
      </c>
      <c r="O26" s="175">
        <v>528690</v>
      </c>
    </row>
    <row r="27" spans="1:15">
      <c r="A27" s="175" t="s">
        <v>3992</v>
      </c>
      <c r="B27" s="175" t="s">
        <v>3762</v>
      </c>
      <c r="C27" s="175" t="s">
        <v>3994</v>
      </c>
      <c r="D27" s="175" t="s">
        <v>3987</v>
      </c>
      <c r="E27" s="175" t="s">
        <v>3953</v>
      </c>
      <c r="F27" s="175" t="s">
        <v>3969</v>
      </c>
      <c r="G27" s="175" t="s">
        <v>4057</v>
      </c>
      <c r="H27" s="175">
        <v>136363.64000000001</v>
      </c>
      <c r="I27" s="175">
        <v>0</v>
      </c>
      <c r="J27" s="175">
        <v>0</v>
      </c>
      <c r="K27" s="175">
        <v>0</v>
      </c>
      <c r="L27" s="175">
        <v>0</v>
      </c>
      <c r="M27" s="175">
        <v>28636.36</v>
      </c>
      <c r="N27" s="175">
        <v>28636.36</v>
      </c>
      <c r="O27" s="175">
        <v>165000</v>
      </c>
    </row>
    <row r="28" spans="1:15">
      <c r="A28" s="175" t="s">
        <v>3992</v>
      </c>
      <c r="B28" s="175" t="s">
        <v>3762</v>
      </c>
      <c r="C28" s="175" t="s">
        <v>3994</v>
      </c>
      <c r="D28" s="175" t="s">
        <v>3987</v>
      </c>
      <c r="E28" s="175" t="s">
        <v>3953</v>
      </c>
      <c r="F28" s="175" t="s">
        <v>3969</v>
      </c>
      <c r="G28" s="175" t="s">
        <v>4103</v>
      </c>
      <c r="H28" s="175">
        <v>578512.4</v>
      </c>
      <c r="I28" s="175">
        <v>0</v>
      </c>
      <c r="J28" s="175">
        <v>0</v>
      </c>
      <c r="K28" s="175">
        <v>0</v>
      </c>
      <c r="L28" s="175">
        <v>0</v>
      </c>
      <c r="M28" s="175">
        <v>121487.6</v>
      </c>
      <c r="N28" s="175">
        <v>121487.6</v>
      </c>
      <c r="O28" s="175">
        <v>700000</v>
      </c>
    </row>
    <row r="29" spans="1:15">
      <c r="A29" s="175" t="s">
        <v>3992</v>
      </c>
      <c r="B29" s="175" t="s">
        <v>3761</v>
      </c>
      <c r="C29" s="175" t="s">
        <v>4038</v>
      </c>
      <c r="D29" s="175" t="s">
        <v>3987</v>
      </c>
      <c r="E29" s="175" t="s">
        <v>3953</v>
      </c>
      <c r="F29" s="175" t="s">
        <v>3969</v>
      </c>
      <c r="G29" s="175" t="s">
        <v>4109</v>
      </c>
      <c r="H29" s="175">
        <v>18830.580000000002</v>
      </c>
      <c r="I29" s="175">
        <v>0</v>
      </c>
      <c r="J29" s="175">
        <v>0</v>
      </c>
      <c r="K29" s="175">
        <v>0</v>
      </c>
      <c r="L29" s="175">
        <v>0</v>
      </c>
      <c r="M29" s="175">
        <v>3954.42</v>
      </c>
      <c r="N29" s="175">
        <v>3954.42</v>
      </c>
      <c r="O29" s="175">
        <v>22785</v>
      </c>
    </row>
    <row r="30" spans="1:15">
      <c r="A30" s="175" t="s">
        <v>3992</v>
      </c>
      <c r="B30" s="175" t="s">
        <v>3761</v>
      </c>
      <c r="C30" s="175" t="s">
        <v>4038</v>
      </c>
      <c r="D30" s="175" t="s">
        <v>3987</v>
      </c>
      <c r="E30" s="175" t="s">
        <v>3953</v>
      </c>
      <c r="F30" s="175" t="s">
        <v>3969</v>
      </c>
      <c r="G30" s="175" t="s">
        <v>4111</v>
      </c>
      <c r="H30" s="175">
        <v>9415.2900000000009</v>
      </c>
      <c r="I30" s="175">
        <v>0</v>
      </c>
      <c r="J30" s="175">
        <v>0</v>
      </c>
      <c r="K30" s="175">
        <v>0</v>
      </c>
      <c r="L30" s="175">
        <v>0</v>
      </c>
      <c r="M30" s="175">
        <v>1977.21</v>
      </c>
      <c r="N30" s="175">
        <v>1977.21</v>
      </c>
      <c r="O30" s="175">
        <v>11392.5</v>
      </c>
    </row>
    <row r="31" spans="1:15">
      <c r="A31" s="175" t="s">
        <v>3992</v>
      </c>
      <c r="B31" s="175" t="s">
        <v>3761</v>
      </c>
      <c r="C31" s="175" t="s">
        <v>4038</v>
      </c>
      <c r="D31" s="175" t="s">
        <v>3987</v>
      </c>
      <c r="E31" s="175" t="s">
        <v>3953</v>
      </c>
      <c r="F31" s="175" t="s">
        <v>3969</v>
      </c>
      <c r="G31" s="175" t="s">
        <v>4112</v>
      </c>
      <c r="H31" s="175">
        <v>15950.41</v>
      </c>
      <c r="I31" s="175">
        <v>0</v>
      </c>
      <c r="J31" s="175">
        <v>0</v>
      </c>
      <c r="K31" s="175">
        <v>0</v>
      </c>
      <c r="L31" s="175">
        <v>0</v>
      </c>
      <c r="M31" s="175">
        <v>3349.59</v>
      </c>
      <c r="N31" s="175">
        <v>3349.59</v>
      </c>
      <c r="O31" s="175">
        <v>19300</v>
      </c>
    </row>
    <row r="32" spans="1:15">
      <c r="A32" s="175" t="s">
        <v>3992</v>
      </c>
      <c r="B32" s="175" t="s">
        <v>3761</v>
      </c>
      <c r="C32" s="175" t="s">
        <v>4038</v>
      </c>
      <c r="D32" s="175" t="s">
        <v>3987</v>
      </c>
      <c r="E32" s="175" t="s">
        <v>3953</v>
      </c>
      <c r="F32" s="175" t="s">
        <v>3969</v>
      </c>
      <c r="G32" s="175" t="s">
        <v>4113</v>
      </c>
      <c r="H32" s="175">
        <v>15950.41</v>
      </c>
      <c r="I32" s="175">
        <v>0</v>
      </c>
      <c r="J32" s="175">
        <v>0</v>
      </c>
      <c r="K32" s="175">
        <v>0</v>
      </c>
      <c r="L32" s="175">
        <v>0</v>
      </c>
      <c r="M32" s="175">
        <v>3349.59</v>
      </c>
      <c r="N32" s="175">
        <v>3349.59</v>
      </c>
      <c r="O32" s="175">
        <v>19300</v>
      </c>
    </row>
    <row r="33" spans="1:15">
      <c r="A33" s="175" t="s">
        <v>3992</v>
      </c>
      <c r="B33" s="175" t="s">
        <v>3761</v>
      </c>
      <c r="C33" s="175" t="s">
        <v>4038</v>
      </c>
      <c r="D33" s="175" t="s">
        <v>3987</v>
      </c>
      <c r="E33" s="175" t="s">
        <v>3953</v>
      </c>
      <c r="F33" s="175" t="s">
        <v>3969</v>
      </c>
      <c r="G33" s="175" t="s">
        <v>4115</v>
      </c>
      <c r="H33" s="175">
        <v>38975.21</v>
      </c>
      <c r="I33" s="175">
        <v>0</v>
      </c>
      <c r="J33" s="175">
        <v>0</v>
      </c>
      <c r="K33" s="175">
        <v>0</v>
      </c>
      <c r="L33" s="175">
        <v>0</v>
      </c>
      <c r="M33" s="175">
        <v>8184.79</v>
      </c>
      <c r="N33" s="175">
        <v>8184.79</v>
      </c>
      <c r="O33" s="175">
        <v>47160</v>
      </c>
    </row>
    <row r="34" spans="1:15">
      <c r="A34" s="175" t="s">
        <v>3992</v>
      </c>
      <c r="B34" s="175" t="s">
        <v>3761</v>
      </c>
      <c r="C34" s="175" t="s">
        <v>4038</v>
      </c>
      <c r="D34" s="175" t="s">
        <v>3987</v>
      </c>
      <c r="E34" s="175" t="s">
        <v>3953</v>
      </c>
      <c r="F34" s="175" t="s">
        <v>3969</v>
      </c>
      <c r="G34" s="175" t="s">
        <v>4116</v>
      </c>
      <c r="H34" s="175">
        <v>53338.84</v>
      </c>
      <c r="I34" s="175">
        <v>0</v>
      </c>
      <c r="J34" s="175">
        <v>0</v>
      </c>
      <c r="K34" s="175">
        <v>0</v>
      </c>
      <c r="L34" s="175">
        <v>0</v>
      </c>
      <c r="M34" s="175">
        <v>11201.16</v>
      </c>
      <c r="N34" s="175">
        <v>11201.16</v>
      </c>
      <c r="O34" s="175">
        <v>64540</v>
      </c>
    </row>
    <row r="35" spans="1:15">
      <c r="A35" s="175" t="s">
        <v>3992</v>
      </c>
      <c r="B35" s="175" t="s">
        <v>3761</v>
      </c>
      <c r="C35" s="175" t="s">
        <v>4038</v>
      </c>
      <c r="D35" s="175" t="s">
        <v>3987</v>
      </c>
      <c r="E35" s="175" t="s">
        <v>3953</v>
      </c>
      <c r="F35" s="175" t="s">
        <v>3969</v>
      </c>
      <c r="G35" s="175" t="s">
        <v>4117</v>
      </c>
      <c r="H35" s="175">
        <v>19190.080000000002</v>
      </c>
      <c r="I35" s="175">
        <v>0</v>
      </c>
      <c r="J35" s="175">
        <v>0</v>
      </c>
      <c r="K35" s="175">
        <v>0</v>
      </c>
      <c r="L35" s="175">
        <v>0</v>
      </c>
      <c r="M35" s="175">
        <v>4029.92</v>
      </c>
      <c r="N35" s="175">
        <v>4029.92</v>
      </c>
      <c r="O35" s="175">
        <v>23220</v>
      </c>
    </row>
    <row r="36" spans="1:15">
      <c r="A36" s="175" t="s">
        <v>3992</v>
      </c>
      <c r="B36" s="175" t="s">
        <v>3761</v>
      </c>
      <c r="C36" s="175" t="s">
        <v>4038</v>
      </c>
      <c r="D36" s="175" t="s">
        <v>3987</v>
      </c>
      <c r="E36" s="175" t="s">
        <v>3953</v>
      </c>
      <c r="F36" s="175" t="s">
        <v>3969</v>
      </c>
      <c r="G36" s="175" t="s">
        <v>4118</v>
      </c>
      <c r="H36" s="175">
        <v>38975.21</v>
      </c>
      <c r="I36" s="175">
        <v>0</v>
      </c>
      <c r="J36" s="175">
        <v>0</v>
      </c>
      <c r="K36" s="175">
        <v>0</v>
      </c>
      <c r="L36" s="175">
        <v>0</v>
      </c>
      <c r="M36" s="175">
        <v>8184.79</v>
      </c>
      <c r="N36" s="175">
        <v>8184.79</v>
      </c>
      <c r="O36" s="175">
        <v>47160</v>
      </c>
    </row>
    <row r="37" spans="1:15">
      <c r="A37" s="175" t="s">
        <v>3992</v>
      </c>
      <c r="B37" s="175" t="s">
        <v>3761</v>
      </c>
      <c r="C37" s="175" t="s">
        <v>4038</v>
      </c>
      <c r="D37" s="175" t="s">
        <v>3987</v>
      </c>
      <c r="E37" s="175" t="s">
        <v>3953</v>
      </c>
      <c r="F37" s="175" t="s">
        <v>3969</v>
      </c>
      <c r="G37" s="175" t="s">
        <v>4119</v>
      </c>
      <c r="H37" s="175">
        <v>13586.78</v>
      </c>
      <c r="I37" s="175">
        <v>0</v>
      </c>
      <c r="J37" s="175">
        <v>0</v>
      </c>
      <c r="K37" s="175">
        <v>0</v>
      </c>
      <c r="L37" s="175">
        <v>0</v>
      </c>
      <c r="M37" s="175">
        <v>2853.22</v>
      </c>
      <c r="N37" s="175">
        <v>2853.22</v>
      </c>
      <c r="O37" s="175">
        <v>16440</v>
      </c>
    </row>
    <row r="38" spans="1:15">
      <c r="A38" s="175" t="s">
        <v>3992</v>
      </c>
      <c r="B38" s="175" t="s">
        <v>3761</v>
      </c>
      <c r="C38" s="175" t="s">
        <v>4038</v>
      </c>
      <c r="D38" s="175" t="s">
        <v>3987</v>
      </c>
      <c r="E38" s="175" t="s">
        <v>3953</v>
      </c>
      <c r="F38" s="175" t="s">
        <v>3969</v>
      </c>
      <c r="G38" s="175" t="s">
        <v>4120</v>
      </c>
      <c r="H38" s="175">
        <v>15950.41</v>
      </c>
      <c r="I38" s="175">
        <v>0</v>
      </c>
      <c r="J38" s="175">
        <v>0</v>
      </c>
      <c r="K38" s="175">
        <v>0</v>
      </c>
      <c r="L38" s="175">
        <v>0</v>
      </c>
      <c r="M38" s="175">
        <v>3349.59</v>
      </c>
      <c r="N38" s="175">
        <v>3349.59</v>
      </c>
      <c r="O38" s="175">
        <v>19300</v>
      </c>
    </row>
    <row r="39" spans="1:15">
      <c r="A39" s="175" t="s">
        <v>3992</v>
      </c>
      <c r="B39" s="175" t="s">
        <v>3761</v>
      </c>
      <c r="C39" s="175" t="s">
        <v>4038</v>
      </c>
      <c r="D39" s="175" t="s">
        <v>3987</v>
      </c>
      <c r="E39" s="175" t="s">
        <v>3953</v>
      </c>
      <c r="F39" s="175" t="s">
        <v>3969</v>
      </c>
      <c r="G39" s="175" t="s">
        <v>4121</v>
      </c>
      <c r="H39" s="175">
        <v>15950.41</v>
      </c>
      <c r="I39" s="175">
        <v>0</v>
      </c>
      <c r="J39" s="175">
        <v>0</v>
      </c>
      <c r="K39" s="175">
        <v>0</v>
      </c>
      <c r="L39" s="175">
        <v>0</v>
      </c>
      <c r="M39" s="175">
        <v>3349.59</v>
      </c>
      <c r="N39" s="175">
        <v>3349.59</v>
      </c>
      <c r="O39" s="175">
        <v>19300</v>
      </c>
    </row>
    <row r="40" spans="1:15">
      <c r="A40" s="175" t="s">
        <v>3992</v>
      </c>
      <c r="B40" s="175" t="s">
        <v>3761</v>
      </c>
      <c r="C40" s="175" t="s">
        <v>4038</v>
      </c>
      <c r="D40" s="175" t="s">
        <v>3987</v>
      </c>
      <c r="E40" s="175" t="s">
        <v>3953</v>
      </c>
      <c r="F40" s="175" t="s">
        <v>3969</v>
      </c>
      <c r="G40" s="175" t="s">
        <v>4122</v>
      </c>
      <c r="H40" s="175">
        <v>15950.41</v>
      </c>
      <c r="I40" s="175">
        <v>0</v>
      </c>
      <c r="J40" s="175">
        <v>0</v>
      </c>
      <c r="K40" s="175">
        <v>0</v>
      </c>
      <c r="L40" s="175">
        <v>0</v>
      </c>
      <c r="M40" s="175">
        <v>3349.59</v>
      </c>
      <c r="N40" s="175">
        <v>3349.59</v>
      </c>
      <c r="O40" s="175">
        <v>19300</v>
      </c>
    </row>
    <row r="41" spans="1:15">
      <c r="A41" s="175" t="s">
        <v>3992</v>
      </c>
      <c r="B41" s="175" t="s">
        <v>3761</v>
      </c>
      <c r="C41" s="175" t="s">
        <v>4038</v>
      </c>
      <c r="D41" s="175" t="s">
        <v>3987</v>
      </c>
      <c r="E41" s="175" t="s">
        <v>3953</v>
      </c>
      <c r="F41" s="175" t="s">
        <v>3969</v>
      </c>
      <c r="G41" s="175" t="s">
        <v>4126</v>
      </c>
      <c r="H41" s="175">
        <v>23024.79</v>
      </c>
      <c r="I41" s="175">
        <v>0</v>
      </c>
      <c r="J41" s="175">
        <v>0</v>
      </c>
      <c r="K41" s="175">
        <v>0</v>
      </c>
      <c r="L41" s="175">
        <v>0</v>
      </c>
      <c r="M41" s="175">
        <v>4835.21</v>
      </c>
      <c r="N41" s="175">
        <v>4835.21</v>
      </c>
      <c r="O41" s="175">
        <v>27860</v>
      </c>
    </row>
    <row r="42" spans="1:15">
      <c r="A42" s="175" t="s">
        <v>4020</v>
      </c>
      <c r="B42" s="175" t="s">
        <v>3761</v>
      </c>
      <c r="C42" s="175" t="s">
        <v>4038</v>
      </c>
      <c r="D42" s="175" t="s">
        <v>3987</v>
      </c>
      <c r="E42" s="175" t="s">
        <v>3953</v>
      </c>
      <c r="F42" s="175" t="s">
        <v>3969</v>
      </c>
      <c r="G42" s="175" t="s">
        <v>4128</v>
      </c>
      <c r="H42" s="175">
        <v>15950.41</v>
      </c>
      <c r="I42" s="175">
        <v>0</v>
      </c>
      <c r="J42" s="175">
        <v>0</v>
      </c>
      <c r="K42" s="175">
        <v>0</v>
      </c>
      <c r="L42" s="175">
        <v>0</v>
      </c>
      <c r="M42" s="175">
        <v>3349.59</v>
      </c>
      <c r="N42" s="175">
        <v>3349.59</v>
      </c>
      <c r="O42" s="175">
        <v>19300</v>
      </c>
    </row>
    <row r="43" spans="1:15">
      <c r="A43" s="175" t="s">
        <v>4020</v>
      </c>
      <c r="B43" s="175" t="s">
        <v>3761</v>
      </c>
      <c r="C43" s="175" t="s">
        <v>4038</v>
      </c>
      <c r="D43" s="175" t="s">
        <v>3987</v>
      </c>
      <c r="E43" s="175" t="s">
        <v>3953</v>
      </c>
      <c r="F43" s="175" t="s">
        <v>3969</v>
      </c>
      <c r="G43" s="175" t="s">
        <v>4129</v>
      </c>
      <c r="H43" s="175">
        <v>15950.41</v>
      </c>
      <c r="I43" s="175">
        <v>0</v>
      </c>
      <c r="J43" s="175">
        <v>0</v>
      </c>
      <c r="K43" s="175">
        <v>0</v>
      </c>
      <c r="L43" s="175">
        <v>0</v>
      </c>
      <c r="M43" s="175">
        <v>3349.59</v>
      </c>
      <c r="N43" s="175">
        <v>3349.59</v>
      </c>
      <c r="O43" s="175">
        <v>19300</v>
      </c>
    </row>
    <row r="44" spans="1:15">
      <c r="A44" s="175" t="s">
        <v>4020</v>
      </c>
      <c r="B44" s="175" t="s">
        <v>3761</v>
      </c>
      <c r="C44" s="175" t="s">
        <v>4038</v>
      </c>
      <c r="D44" s="175" t="s">
        <v>3987</v>
      </c>
      <c r="E44" s="175" t="s">
        <v>3953</v>
      </c>
      <c r="F44" s="175" t="s">
        <v>3969</v>
      </c>
      <c r="G44" s="175" t="s">
        <v>4130</v>
      </c>
      <c r="H44" s="175">
        <v>15950.41</v>
      </c>
      <c r="I44" s="175">
        <v>0</v>
      </c>
      <c r="J44" s="175">
        <v>0</v>
      </c>
      <c r="K44" s="175">
        <v>0</v>
      </c>
      <c r="L44" s="175">
        <v>0</v>
      </c>
      <c r="M44" s="175">
        <v>3349.59</v>
      </c>
      <c r="N44" s="175">
        <v>3349.59</v>
      </c>
      <c r="O44" s="175">
        <v>19300</v>
      </c>
    </row>
    <row r="45" spans="1:15">
      <c r="A45" s="175" t="s">
        <v>4020</v>
      </c>
      <c r="B45" s="175" t="s">
        <v>3761</v>
      </c>
      <c r="C45" s="175" t="s">
        <v>4038</v>
      </c>
      <c r="D45" s="175" t="s">
        <v>3987</v>
      </c>
      <c r="E45" s="175" t="s">
        <v>3953</v>
      </c>
      <c r="F45" s="175" t="s">
        <v>3969</v>
      </c>
      <c r="G45" s="175" t="s">
        <v>4131</v>
      </c>
      <c r="H45" s="175">
        <v>7975.21</v>
      </c>
      <c r="I45" s="175">
        <v>0</v>
      </c>
      <c r="J45" s="175">
        <v>0</v>
      </c>
      <c r="K45" s="175">
        <v>0</v>
      </c>
      <c r="L45" s="175">
        <v>0</v>
      </c>
      <c r="M45" s="175">
        <v>1674.79</v>
      </c>
      <c r="N45" s="175">
        <v>1674.79</v>
      </c>
      <c r="O45" s="175">
        <v>9650</v>
      </c>
    </row>
    <row r="46" spans="1:15">
      <c r="A46" s="175" t="s">
        <v>4020</v>
      </c>
      <c r="B46" s="175" t="s">
        <v>3761</v>
      </c>
      <c r="C46" s="175" t="s">
        <v>4038</v>
      </c>
      <c r="D46" s="175" t="s">
        <v>3987</v>
      </c>
      <c r="E46" s="175" t="s">
        <v>3953</v>
      </c>
      <c r="F46" s="175" t="s">
        <v>3969</v>
      </c>
      <c r="G46" s="175" t="s">
        <v>4133</v>
      </c>
      <c r="H46" s="175">
        <v>11833.88</v>
      </c>
      <c r="I46" s="175">
        <v>0</v>
      </c>
      <c r="J46" s="175">
        <v>0</v>
      </c>
      <c r="K46" s="175">
        <v>0</v>
      </c>
      <c r="L46" s="175">
        <v>0</v>
      </c>
      <c r="M46" s="175">
        <v>2485.12</v>
      </c>
      <c r="N46" s="175">
        <v>2485.12</v>
      </c>
      <c r="O46" s="175">
        <v>14319</v>
      </c>
    </row>
    <row r="47" spans="1:15">
      <c r="A47" s="175" t="s">
        <v>4020</v>
      </c>
      <c r="B47" s="175" t="s">
        <v>3761</v>
      </c>
      <c r="C47" s="175" t="s">
        <v>4038</v>
      </c>
      <c r="D47" s="175" t="s">
        <v>3987</v>
      </c>
      <c r="E47" s="175" t="s">
        <v>3953</v>
      </c>
      <c r="F47" s="175" t="s">
        <v>3969</v>
      </c>
      <c r="G47" s="175" t="s">
        <v>4134</v>
      </c>
      <c r="H47" s="175">
        <v>7975.21</v>
      </c>
      <c r="I47" s="175">
        <v>0</v>
      </c>
      <c r="J47" s="175">
        <v>0</v>
      </c>
      <c r="K47" s="175">
        <v>0</v>
      </c>
      <c r="L47" s="175">
        <v>0</v>
      </c>
      <c r="M47" s="175">
        <v>1674.79</v>
      </c>
      <c r="N47" s="175">
        <v>1674.79</v>
      </c>
      <c r="O47" s="175">
        <v>9650</v>
      </c>
    </row>
    <row r="48" spans="1:15">
      <c r="A48" s="175" t="s">
        <v>4020</v>
      </c>
      <c r="B48" s="175" t="s">
        <v>3761</v>
      </c>
      <c r="C48" s="175" t="s">
        <v>4038</v>
      </c>
      <c r="D48" s="175" t="s">
        <v>3987</v>
      </c>
      <c r="E48" s="175" t="s">
        <v>3953</v>
      </c>
      <c r="F48" s="175" t="s">
        <v>3969</v>
      </c>
      <c r="G48" s="175" t="s">
        <v>4135</v>
      </c>
      <c r="H48" s="175">
        <v>7975.21</v>
      </c>
      <c r="I48" s="175">
        <v>0</v>
      </c>
      <c r="J48" s="175">
        <v>0</v>
      </c>
      <c r="K48" s="175">
        <v>0</v>
      </c>
      <c r="L48" s="175">
        <v>0</v>
      </c>
      <c r="M48" s="175">
        <v>1674.79</v>
      </c>
      <c r="N48" s="175">
        <v>1674.79</v>
      </c>
      <c r="O48" s="175">
        <v>9650</v>
      </c>
    </row>
    <row r="49" spans="1:15">
      <c r="A49" s="175" t="s">
        <v>4020</v>
      </c>
      <c r="B49" s="175" t="s">
        <v>3761</v>
      </c>
      <c r="C49" s="175" t="s">
        <v>4038</v>
      </c>
      <c r="D49" s="175" t="s">
        <v>3987</v>
      </c>
      <c r="E49" s="175" t="s">
        <v>3953</v>
      </c>
      <c r="F49" s="175" t="s">
        <v>3969</v>
      </c>
      <c r="G49" s="175" t="s">
        <v>4137</v>
      </c>
      <c r="H49" s="175">
        <v>7975.21</v>
      </c>
      <c r="I49" s="175">
        <v>0</v>
      </c>
      <c r="J49" s="175">
        <v>0</v>
      </c>
      <c r="K49" s="175">
        <v>0</v>
      </c>
      <c r="L49" s="175">
        <v>0</v>
      </c>
      <c r="M49" s="175">
        <v>1674.79</v>
      </c>
      <c r="N49" s="175">
        <v>1674.79</v>
      </c>
      <c r="O49" s="175">
        <v>9650</v>
      </c>
    </row>
    <row r="50" spans="1:15">
      <c r="A50" s="175" t="s">
        <v>4020</v>
      </c>
      <c r="B50" s="175" t="s">
        <v>1981</v>
      </c>
      <c r="C50" s="175" t="s">
        <v>4138</v>
      </c>
      <c r="D50" s="175" t="s">
        <v>3987</v>
      </c>
      <c r="E50" s="175" t="s">
        <v>3953</v>
      </c>
      <c r="F50" s="175" t="s">
        <v>3969</v>
      </c>
      <c r="G50" s="175" t="s">
        <v>4139</v>
      </c>
      <c r="H50" s="175">
        <v>52231.4</v>
      </c>
      <c r="I50" s="175">
        <v>0</v>
      </c>
      <c r="J50" s="175">
        <v>0</v>
      </c>
      <c r="K50" s="175">
        <v>0</v>
      </c>
      <c r="L50" s="175">
        <v>0</v>
      </c>
      <c r="M50" s="175">
        <v>10968.6</v>
      </c>
      <c r="N50" s="175">
        <v>10968.6</v>
      </c>
      <c r="O50" s="175">
        <v>63200</v>
      </c>
    </row>
    <row r="51" spans="1:15">
      <c r="A51" s="175" t="s">
        <v>4020</v>
      </c>
      <c r="B51" s="175" t="s">
        <v>3906</v>
      </c>
      <c r="C51" s="175" t="s">
        <v>4142</v>
      </c>
      <c r="D51" s="175" t="s">
        <v>3987</v>
      </c>
      <c r="E51" s="175" t="s">
        <v>4143</v>
      </c>
      <c r="F51" s="175" t="s">
        <v>3969</v>
      </c>
      <c r="G51" s="175" t="s">
        <v>4144</v>
      </c>
      <c r="H51" s="175">
        <v>48090.91</v>
      </c>
      <c r="I51" s="175">
        <v>0</v>
      </c>
      <c r="J51" s="175">
        <v>0</v>
      </c>
      <c r="K51" s="175">
        <v>0</v>
      </c>
      <c r="L51" s="175">
        <v>0</v>
      </c>
      <c r="M51" s="175">
        <v>10099.09</v>
      </c>
      <c r="N51" s="175">
        <v>10099.09</v>
      </c>
      <c r="O51" s="175">
        <v>58190</v>
      </c>
    </row>
    <row r="52" spans="1:15">
      <c r="A52" s="175" t="s">
        <v>4049</v>
      </c>
      <c r="B52" s="175" t="s">
        <v>3775</v>
      </c>
      <c r="C52" s="175" t="s">
        <v>4150</v>
      </c>
      <c r="D52" s="175" t="s">
        <v>3987</v>
      </c>
      <c r="E52" s="175" t="s">
        <v>3953</v>
      </c>
      <c r="F52" s="175" t="s">
        <v>3969</v>
      </c>
      <c r="G52" s="175" t="s">
        <v>4151</v>
      </c>
      <c r="H52" s="175">
        <v>61966.94</v>
      </c>
      <c r="I52" s="175">
        <v>0</v>
      </c>
      <c r="J52" s="175">
        <v>0</v>
      </c>
      <c r="K52" s="175">
        <v>0</v>
      </c>
      <c r="L52" s="175">
        <v>0</v>
      </c>
      <c r="M52" s="175">
        <v>13013.06</v>
      </c>
      <c r="N52" s="175">
        <v>13013.06</v>
      </c>
      <c r="O52" s="175">
        <v>74980</v>
      </c>
    </row>
    <row r="53" spans="1:15">
      <c r="A53" s="175" t="s">
        <v>4049</v>
      </c>
      <c r="B53" s="175" t="s">
        <v>4155</v>
      </c>
      <c r="C53" s="175" t="s">
        <v>4156</v>
      </c>
      <c r="D53" s="175" t="s">
        <v>3987</v>
      </c>
      <c r="E53" s="175" t="s">
        <v>3953</v>
      </c>
      <c r="F53" s="175" t="s">
        <v>3969</v>
      </c>
      <c r="G53" s="175" t="s">
        <v>4157</v>
      </c>
      <c r="H53" s="175">
        <v>29752.07</v>
      </c>
      <c r="I53" s="175">
        <v>0</v>
      </c>
      <c r="J53" s="175">
        <v>0</v>
      </c>
      <c r="K53" s="175">
        <v>0</v>
      </c>
      <c r="L53" s="175">
        <v>0</v>
      </c>
      <c r="M53" s="175">
        <v>6247.93</v>
      </c>
      <c r="N53" s="175">
        <v>6247.93</v>
      </c>
      <c r="O53" s="175">
        <v>36000</v>
      </c>
    </row>
    <row r="54" spans="1:15">
      <c r="A54" s="175" t="s">
        <v>4049</v>
      </c>
      <c r="B54" s="175" t="s">
        <v>4155</v>
      </c>
      <c r="C54" s="175" t="s">
        <v>4156</v>
      </c>
      <c r="D54" s="175" t="s">
        <v>3987</v>
      </c>
      <c r="E54" s="175" t="s">
        <v>3953</v>
      </c>
      <c r="F54" s="175" t="s">
        <v>3969</v>
      </c>
      <c r="G54" s="175" t="s">
        <v>4159</v>
      </c>
      <c r="H54" s="175">
        <v>66198.350000000006</v>
      </c>
      <c r="I54" s="175">
        <v>0</v>
      </c>
      <c r="J54" s="175">
        <v>0</v>
      </c>
      <c r="K54" s="175">
        <v>0</v>
      </c>
      <c r="L54" s="175">
        <v>0</v>
      </c>
      <c r="M54" s="175">
        <v>13901.65</v>
      </c>
      <c r="N54" s="175">
        <v>13901.65</v>
      </c>
      <c r="O54" s="175">
        <v>80100</v>
      </c>
    </row>
    <row r="55" spans="1:15">
      <c r="A55" s="175" t="s">
        <v>4049</v>
      </c>
      <c r="B55" s="175" t="s">
        <v>4155</v>
      </c>
      <c r="C55" s="175" t="s">
        <v>4156</v>
      </c>
      <c r="D55" s="175" t="s">
        <v>3987</v>
      </c>
      <c r="E55" s="175" t="s">
        <v>3953</v>
      </c>
      <c r="F55" s="175" t="s">
        <v>3969</v>
      </c>
      <c r="G55" s="175" t="s">
        <v>4160</v>
      </c>
      <c r="H55" s="175">
        <v>41322.31</v>
      </c>
      <c r="I55" s="175">
        <v>0</v>
      </c>
      <c r="J55" s="175">
        <v>0</v>
      </c>
      <c r="K55" s="175">
        <v>0</v>
      </c>
      <c r="L55" s="175">
        <v>0</v>
      </c>
      <c r="M55" s="175">
        <v>8677.69</v>
      </c>
      <c r="N55" s="175">
        <v>8677.69</v>
      </c>
      <c r="O55" s="175">
        <v>50000</v>
      </c>
    </row>
    <row r="56" spans="1:15">
      <c r="A56" s="175" t="s">
        <v>4049</v>
      </c>
      <c r="B56" s="175" t="s">
        <v>3754</v>
      </c>
      <c r="C56" s="175" t="s">
        <v>4168</v>
      </c>
      <c r="D56" s="175" t="s">
        <v>3987</v>
      </c>
      <c r="E56" s="175" t="s">
        <v>3953</v>
      </c>
      <c r="F56" s="175" t="s">
        <v>3969</v>
      </c>
      <c r="G56" s="175" t="s">
        <v>4169</v>
      </c>
      <c r="H56" s="175">
        <v>410198.35</v>
      </c>
      <c r="I56" s="175">
        <v>0</v>
      </c>
      <c r="J56" s="175">
        <v>0</v>
      </c>
      <c r="K56" s="175">
        <v>0</v>
      </c>
      <c r="L56" s="175">
        <v>0</v>
      </c>
      <c r="M56" s="175">
        <v>86141.65</v>
      </c>
      <c r="N56" s="175">
        <v>86141.65</v>
      </c>
      <c r="O56" s="175">
        <v>496340</v>
      </c>
    </row>
    <row r="57" spans="1:15">
      <c r="A57" s="175" t="s">
        <v>4049</v>
      </c>
      <c r="B57" s="175" t="s">
        <v>3754</v>
      </c>
      <c r="C57" s="175" t="s">
        <v>4168</v>
      </c>
      <c r="D57" s="175" t="s">
        <v>3987</v>
      </c>
      <c r="E57" s="175" t="s">
        <v>3953</v>
      </c>
      <c r="F57" s="175" t="s">
        <v>3969</v>
      </c>
      <c r="G57" s="175" t="s">
        <v>4171</v>
      </c>
      <c r="H57" s="175">
        <v>28925.62</v>
      </c>
      <c r="I57" s="175">
        <v>0</v>
      </c>
      <c r="J57" s="175">
        <v>0</v>
      </c>
      <c r="K57" s="175">
        <v>0</v>
      </c>
      <c r="L57" s="175">
        <v>0</v>
      </c>
      <c r="M57" s="175">
        <v>6074.38</v>
      </c>
      <c r="N57" s="175">
        <v>6074.38</v>
      </c>
      <c r="O57" s="175">
        <v>35000</v>
      </c>
    </row>
    <row r="58" spans="1:15">
      <c r="A58" s="175" t="s">
        <v>4049</v>
      </c>
      <c r="B58" s="175" t="s">
        <v>3759</v>
      </c>
      <c r="C58" s="175" t="s">
        <v>3967</v>
      </c>
      <c r="D58" s="175" t="s">
        <v>3987</v>
      </c>
      <c r="E58" s="175" t="s">
        <v>3953</v>
      </c>
      <c r="F58" s="175" t="s">
        <v>3969</v>
      </c>
      <c r="G58" s="175" t="s">
        <v>4202</v>
      </c>
      <c r="H58" s="175">
        <v>321487.59999999998</v>
      </c>
      <c r="I58" s="175">
        <v>0</v>
      </c>
      <c r="J58" s="175">
        <v>0</v>
      </c>
      <c r="K58" s="175">
        <v>0</v>
      </c>
      <c r="L58" s="175">
        <v>0</v>
      </c>
      <c r="M58" s="175">
        <v>67512.399999999994</v>
      </c>
      <c r="N58" s="175">
        <v>67512.399999999994</v>
      </c>
      <c r="O58" s="175">
        <v>389000</v>
      </c>
    </row>
    <row r="59" spans="1:15">
      <c r="A59" s="175" t="s">
        <v>4049</v>
      </c>
      <c r="B59" s="175" t="s">
        <v>3759</v>
      </c>
      <c r="C59" s="175" t="s">
        <v>3967</v>
      </c>
      <c r="D59" s="175" t="s">
        <v>3987</v>
      </c>
      <c r="E59" s="175" t="s">
        <v>3953</v>
      </c>
      <c r="F59" s="175" t="s">
        <v>3969</v>
      </c>
      <c r="G59" s="175" t="s">
        <v>4203</v>
      </c>
      <c r="H59" s="175">
        <v>17569.009999999998</v>
      </c>
      <c r="I59" s="175">
        <v>0</v>
      </c>
      <c r="J59" s="175">
        <v>0</v>
      </c>
      <c r="K59" s="175">
        <v>0</v>
      </c>
      <c r="L59" s="175">
        <v>0</v>
      </c>
      <c r="M59" s="175">
        <v>3689.49</v>
      </c>
      <c r="N59" s="175">
        <v>3689.49</v>
      </c>
      <c r="O59" s="175">
        <v>21258.5</v>
      </c>
    </row>
    <row r="60" spans="1:15">
      <c r="A60" s="175" t="s">
        <v>4049</v>
      </c>
      <c r="B60" s="175" t="s">
        <v>4206</v>
      </c>
      <c r="C60" s="175" t="s">
        <v>4207</v>
      </c>
      <c r="D60" s="175" t="s">
        <v>3987</v>
      </c>
      <c r="E60" s="175" t="s">
        <v>3953</v>
      </c>
      <c r="F60" s="175" t="s">
        <v>3969</v>
      </c>
      <c r="G60" s="175" t="s">
        <v>4251</v>
      </c>
      <c r="H60" s="175">
        <v>3577473.55</v>
      </c>
      <c r="I60" s="175">
        <v>0</v>
      </c>
      <c r="J60" s="175">
        <v>0</v>
      </c>
      <c r="K60" s="175">
        <v>0</v>
      </c>
      <c r="L60" s="175">
        <v>0</v>
      </c>
      <c r="M60" s="175">
        <v>751269.45</v>
      </c>
      <c r="N60" s="175">
        <v>751269.45</v>
      </c>
      <c r="O60" s="175">
        <v>4328743</v>
      </c>
    </row>
    <row r="61" spans="1:15">
      <c r="A61" s="175" t="s">
        <v>4049</v>
      </c>
      <c r="B61" s="175" t="s">
        <v>3778</v>
      </c>
      <c r="C61" s="175" t="s">
        <v>4266</v>
      </c>
      <c r="D61" s="175" t="s">
        <v>3987</v>
      </c>
      <c r="E61" s="175" t="s">
        <v>3953</v>
      </c>
      <c r="F61" s="175" t="s">
        <v>3969</v>
      </c>
      <c r="G61" s="175" t="s">
        <v>4267</v>
      </c>
      <c r="H61" s="175">
        <v>393699</v>
      </c>
      <c r="I61" s="175">
        <v>0</v>
      </c>
      <c r="J61" s="175">
        <v>0</v>
      </c>
      <c r="K61" s="175">
        <v>0</v>
      </c>
      <c r="L61" s="175">
        <v>0</v>
      </c>
      <c r="M61" s="175">
        <v>82676.789999999994</v>
      </c>
      <c r="N61" s="175">
        <v>82676.789999999994</v>
      </c>
      <c r="O61" s="175">
        <v>476375.79</v>
      </c>
    </row>
    <row r="62" spans="1:15">
      <c r="A62" s="175" t="s">
        <v>4049</v>
      </c>
      <c r="B62" s="175" t="s">
        <v>3759</v>
      </c>
      <c r="C62" s="175" t="s">
        <v>3967</v>
      </c>
      <c r="D62" s="175" t="s">
        <v>3987</v>
      </c>
      <c r="E62" s="175" t="s">
        <v>3953</v>
      </c>
      <c r="F62" s="175" t="s">
        <v>3969</v>
      </c>
      <c r="G62" s="175" t="s">
        <v>4350</v>
      </c>
      <c r="H62" s="175">
        <v>938842.98</v>
      </c>
      <c r="I62" s="175">
        <v>0</v>
      </c>
      <c r="J62" s="175">
        <v>0</v>
      </c>
      <c r="K62" s="175">
        <v>0</v>
      </c>
      <c r="L62" s="175">
        <v>0</v>
      </c>
      <c r="M62" s="175">
        <v>197157.02</v>
      </c>
      <c r="N62" s="175">
        <v>197157.02</v>
      </c>
      <c r="O62" s="175">
        <v>1136000</v>
      </c>
    </row>
    <row r="63" spans="1:15">
      <c r="A63" s="175" t="s">
        <v>4049</v>
      </c>
      <c r="B63" s="175" t="s">
        <v>3759</v>
      </c>
      <c r="C63" s="175" t="s">
        <v>3967</v>
      </c>
      <c r="D63" s="175" t="s">
        <v>3987</v>
      </c>
      <c r="E63" s="175" t="s">
        <v>3953</v>
      </c>
      <c r="F63" s="175" t="s">
        <v>3969</v>
      </c>
      <c r="G63" s="175" t="s">
        <v>4352</v>
      </c>
      <c r="H63" s="175">
        <v>677685.95</v>
      </c>
      <c r="I63" s="175">
        <v>0</v>
      </c>
      <c r="J63" s="175">
        <v>0</v>
      </c>
      <c r="K63" s="175">
        <v>0</v>
      </c>
      <c r="L63" s="175">
        <v>0</v>
      </c>
      <c r="M63" s="175">
        <v>142314.04999999999</v>
      </c>
      <c r="N63" s="175">
        <v>142314.04999999999</v>
      </c>
      <c r="O63" s="175">
        <v>820000</v>
      </c>
    </row>
    <row r="64" spans="1:15">
      <c r="A64" s="175" t="s">
        <v>4049</v>
      </c>
      <c r="B64" s="175" t="s">
        <v>3761</v>
      </c>
      <c r="C64" s="175" t="s">
        <v>4038</v>
      </c>
      <c r="D64" s="175" t="s">
        <v>3987</v>
      </c>
      <c r="E64" s="175" t="s">
        <v>3953</v>
      </c>
      <c r="F64" s="175" t="s">
        <v>3969</v>
      </c>
      <c r="G64" s="175" t="s">
        <v>4358</v>
      </c>
      <c r="H64" s="175">
        <v>578512.4</v>
      </c>
      <c r="I64" s="175">
        <v>0</v>
      </c>
      <c r="J64" s="175">
        <v>0</v>
      </c>
      <c r="K64" s="175">
        <v>0</v>
      </c>
      <c r="L64" s="175">
        <v>0</v>
      </c>
      <c r="M64" s="175">
        <v>121487.6</v>
      </c>
      <c r="N64" s="175">
        <v>121487.6</v>
      </c>
      <c r="O64" s="175">
        <v>700000</v>
      </c>
    </row>
    <row r="65" spans="1:15">
      <c r="A65" s="175" t="s">
        <v>4049</v>
      </c>
      <c r="B65" s="175" t="s">
        <v>3759</v>
      </c>
      <c r="C65" s="175" t="s">
        <v>3967</v>
      </c>
      <c r="D65" s="175" t="s">
        <v>3987</v>
      </c>
      <c r="E65" s="175" t="s">
        <v>3953</v>
      </c>
      <c r="F65" s="175" t="s">
        <v>3969</v>
      </c>
      <c r="G65" s="175" t="s">
        <v>4367</v>
      </c>
      <c r="H65" s="175">
        <v>58677.69</v>
      </c>
      <c r="I65" s="175">
        <v>0</v>
      </c>
      <c r="J65" s="175">
        <v>0</v>
      </c>
      <c r="K65" s="175">
        <v>0</v>
      </c>
      <c r="L65" s="175">
        <v>0</v>
      </c>
      <c r="M65" s="175">
        <v>12322.31</v>
      </c>
      <c r="N65" s="175">
        <v>12322.31</v>
      </c>
      <c r="O65" s="175">
        <v>71000</v>
      </c>
    </row>
    <row r="66" spans="1:15">
      <c r="A66" s="175" t="s">
        <v>4049</v>
      </c>
      <c r="B66" s="175" t="s">
        <v>3999</v>
      </c>
      <c r="C66" s="175" t="s">
        <v>4000</v>
      </c>
      <c r="D66" s="175" t="s">
        <v>3987</v>
      </c>
      <c r="E66" s="175" t="s">
        <v>3953</v>
      </c>
      <c r="F66" s="175" t="s">
        <v>3969</v>
      </c>
      <c r="G66" s="175" t="s">
        <v>4375</v>
      </c>
      <c r="H66" s="175">
        <v>396694.21</v>
      </c>
      <c r="I66" s="175">
        <v>0</v>
      </c>
      <c r="J66" s="175">
        <v>0</v>
      </c>
      <c r="K66" s="175">
        <v>0</v>
      </c>
      <c r="L66" s="175">
        <v>0</v>
      </c>
      <c r="M66" s="175">
        <v>83305.789999999994</v>
      </c>
      <c r="N66" s="175">
        <v>83305.789999999994</v>
      </c>
      <c r="O66" s="175">
        <v>480000</v>
      </c>
    </row>
    <row r="67" spans="1:15">
      <c r="A67" s="175" t="s">
        <v>4049</v>
      </c>
      <c r="B67" s="175" t="s">
        <v>3761</v>
      </c>
      <c r="C67" s="175" t="s">
        <v>4038</v>
      </c>
      <c r="D67" s="175" t="s">
        <v>3987</v>
      </c>
      <c r="E67" s="175" t="s">
        <v>3953</v>
      </c>
      <c r="F67" s="175" t="s">
        <v>3969</v>
      </c>
      <c r="G67" s="175" t="s">
        <v>4378</v>
      </c>
      <c r="H67" s="175">
        <v>11692.56</v>
      </c>
      <c r="I67" s="175">
        <v>0</v>
      </c>
      <c r="J67" s="175">
        <v>0</v>
      </c>
      <c r="K67" s="175">
        <v>0</v>
      </c>
      <c r="L67" s="175">
        <v>0</v>
      </c>
      <c r="M67" s="175">
        <v>2455.44</v>
      </c>
      <c r="N67" s="175">
        <v>2455.44</v>
      </c>
      <c r="O67" s="175">
        <v>14148</v>
      </c>
    </row>
    <row r="68" spans="1:15">
      <c r="A68" s="175" t="s">
        <v>4049</v>
      </c>
      <c r="B68" s="175" t="s">
        <v>3755</v>
      </c>
      <c r="C68" s="175" t="s">
        <v>4380</v>
      </c>
      <c r="D68" s="175" t="s">
        <v>3987</v>
      </c>
      <c r="E68" s="175" t="s">
        <v>3953</v>
      </c>
      <c r="F68" s="175" t="s">
        <v>3969</v>
      </c>
      <c r="G68" s="175" t="s">
        <v>4381</v>
      </c>
      <c r="H68" s="175">
        <v>1018513.08</v>
      </c>
      <c r="I68" s="175">
        <v>0</v>
      </c>
      <c r="J68" s="175">
        <v>0</v>
      </c>
      <c r="K68" s="175">
        <v>0</v>
      </c>
      <c r="L68" s="175">
        <v>0</v>
      </c>
      <c r="M68" s="175">
        <v>213887.75</v>
      </c>
      <c r="N68" s="175">
        <v>213887.75</v>
      </c>
      <c r="O68" s="175">
        <v>1232400.83</v>
      </c>
    </row>
    <row r="69" spans="1:15">
      <c r="A69" s="175" t="s">
        <v>4049</v>
      </c>
      <c r="B69" s="175" t="s">
        <v>3755</v>
      </c>
      <c r="C69" s="175" t="s">
        <v>4380</v>
      </c>
      <c r="D69" s="175" t="s">
        <v>3987</v>
      </c>
      <c r="E69" s="175" t="s">
        <v>3953</v>
      </c>
      <c r="F69" s="175" t="s">
        <v>3969</v>
      </c>
      <c r="G69" s="175" t="s">
        <v>4383</v>
      </c>
      <c r="H69" s="175">
        <v>1232400.83</v>
      </c>
      <c r="I69" s="175">
        <v>0</v>
      </c>
      <c r="J69" s="175">
        <v>0</v>
      </c>
      <c r="K69" s="175">
        <v>0</v>
      </c>
      <c r="L69" s="175">
        <v>0</v>
      </c>
      <c r="M69" s="175">
        <v>258804.17</v>
      </c>
      <c r="N69" s="175">
        <v>258804.17</v>
      </c>
      <c r="O69" s="175">
        <v>1491205</v>
      </c>
    </row>
    <row r="70" spans="1:15">
      <c r="A70" s="175" t="s">
        <v>4049</v>
      </c>
      <c r="B70" s="175" t="s">
        <v>3999</v>
      </c>
      <c r="C70" s="175" t="s">
        <v>4000</v>
      </c>
      <c r="D70" s="175" t="s">
        <v>3987</v>
      </c>
      <c r="E70" s="175" t="s">
        <v>3953</v>
      </c>
      <c r="F70" s="175" t="s">
        <v>3969</v>
      </c>
      <c r="G70" s="175" t="s">
        <v>4384</v>
      </c>
      <c r="H70" s="175">
        <v>429752.07</v>
      </c>
      <c r="I70" s="175">
        <v>0</v>
      </c>
      <c r="J70" s="175">
        <v>0</v>
      </c>
      <c r="K70" s="175">
        <v>0</v>
      </c>
      <c r="L70" s="175">
        <v>0</v>
      </c>
      <c r="M70" s="175">
        <v>90247.93</v>
      </c>
      <c r="N70" s="175">
        <v>90247.93</v>
      </c>
      <c r="O70" s="175">
        <v>520000</v>
      </c>
    </row>
    <row r="71" spans="1:15">
      <c r="A71" s="175" t="s">
        <v>4049</v>
      </c>
      <c r="B71" s="175" t="s">
        <v>1981</v>
      </c>
      <c r="C71" s="175" t="s">
        <v>4138</v>
      </c>
      <c r="D71" s="175" t="s">
        <v>3987</v>
      </c>
      <c r="E71" s="175" t="s">
        <v>3953</v>
      </c>
      <c r="F71" s="175" t="s">
        <v>3969</v>
      </c>
      <c r="G71" s="175" t="s">
        <v>4408</v>
      </c>
      <c r="H71" s="175">
        <v>55380.17</v>
      </c>
      <c r="I71" s="175">
        <v>0</v>
      </c>
      <c r="J71" s="175">
        <v>0</v>
      </c>
      <c r="K71" s="175">
        <v>0</v>
      </c>
      <c r="L71" s="175">
        <v>0</v>
      </c>
      <c r="M71" s="175">
        <v>11629.83</v>
      </c>
      <c r="N71" s="175">
        <v>11629.83</v>
      </c>
      <c r="O71" s="175">
        <v>67010</v>
      </c>
    </row>
    <row r="72" spans="1:15">
      <c r="A72" s="175" t="s">
        <v>4049</v>
      </c>
      <c r="B72" s="175" t="s">
        <v>3771</v>
      </c>
      <c r="C72" s="175" t="s">
        <v>4409</v>
      </c>
      <c r="D72" s="175" t="s">
        <v>3987</v>
      </c>
      <c r="E72" s="175" t="s">
        <v>3953</v>
      </c>
      <c r="F72" s="175" t="s">
        <v>3969</v>
      </c>
      <c r="G72" s="175" t="s">
        <v>4410</v>
      </c>
      <c r="H72" s="175">
        <v>55380.17</v>
      </c>
      <c r="I72" s="175">
        <v>0</v>
      </c>
      <c r="J72" s="175">
        <v>0</v>
      </c>
      <c r="K72" s="175">
        <v>0</v>
      </c>
      <c r="L72" s="175">
        <v>0</v>
      </c>
      <c r="M72" s="175">
        <v>11629.83</v>
      </c>
      <c r="N72" s="175">
        <v>11629.83</v>
      </c>
      <c r="O72" s="175">
        <v>67010</v>
      </c>
    </row>
    <row r="73" spans="1:15">
      <c r="A73" s="175" t="s">
        <v>4049</v>
      </c>
      <c r="B73" s="175" t="s">
        <v>1981</v>
      </c>
      <c r="C73" s="175" t="s">
        <v>4138</v>
      </c>
      <c r="D73" s="175" t="s">
        <v>3987</v>
      </c>
      <c r="E73" s="175" t="s">
        <v>3953</v>
      </c>
      <c r="F73" s="175" t="s">
        <v>3969</v>
      </c>
      <c r="G73" s="175" t="s">
        <v>4414</v>
      </c>
      <c r="H73" s="175">
        <v>54082.64</v>
      </c>
      <c r="I73" s="175">
        <v>0</v>
      </c>
      <c r="J73" s="175">
        <v>0</v>
      </c>
      <c r="K73" s="175">
        <v>0</v>
      </c>
      <c r="L73" s="175">
        <v>0</v>
      </c>
      <c r="M73" s="175">
        <v>11357.36</v>
      </c>
      <c r="N73" s="175">
        <v>11357.36</v>
      </c>
      <c r="O73" s="175">
        <v>65440</v>
      </c>
    </row>
    <row r="74" spans="1:15">
      <c r="A74" s="175" t="s">
        <v>4049</v>
      </c>
      <c r="B74" s="175" t="s">
        <v>3904</v>
      </c>
      <c r="C74" s="175" t="s">
        <v>4415</v>
      </c>
      <c r="D74" s="175" t="s">
        <v>3987</v>
      </c>
      <c r="E74" s="175" t="s">
        <v>3953</v>
      </c>
      <c r="F74" s="175" t="s">
        <v>3969</v>
      </c>
      <c r="G74" s="175" t="s">
        <v>4416</v>
      </c>
      <c r="H74" s="175">
        <v>48363.64</v>
      </c>
      <c r="I74" s="175">
        <v>0</v>
      </c>
      <c r="J74" s="175">
        <v>0</v>
      </c>
      <c r="K74" s="175">
        <v>0</v>
      </c>
      <c r="L74" s="175">
        <v>0</v>
      </c>
      <c r="M74" s="175">
        <v>10156.36</v>
      </c>
      <c r="N74" s="175">
        <v>10156.36</v>
      </c>
      <c r="O74" s="175">
        <v>58520</v>
      </c>
    </row>
    <row r="75" spans="1:15">
      <c r="A75" s="175" t="s">
        <v>4049</v>
      </c>
      <c r="B75" s="175" t="s">
        <v>3771</v>
      </c>
      <c r="C75" s="175" t="s">
        <v>4409</v>
      </c>
      <c r="D75" s="175" t="s">
        <v>3987</v>
      </c>
      <c r="E75" s="175" t="s">
        <v>3953</v>
      </c>
      <c r="F75" s="175" t="s">
        <v>3969</v>
      </c>
      <c r="G75" s="175" t="s">
        <v>4417</v>
      </c>
      <c r="H75" s="175">
        <v>12376.86</v>
      </c>
      <c r="I75" s="175">
        <v>0</v>
      </c>
      <c r="J75" s="175">
        <v>0</v>
      </c>
      <c r="K75" s="175">
        <v>0</v>
      </c>
      <c r="L75" s="175">
        <v>0</v>
      </c>
      <c r="M75" s="175">
        <v>2599.14</v>
      </c>
      <c r="N75" s="175">
        <v>2599.14</v>
      </c>
      <c r="O75" s="175">
        <v>14976</v>
      </c>
    </row>
    <row r="76" spans="1:15">
      <c r="A76" s="175" t="s">
        <v>4049</v>
      </c>
      <c r="B76" s="175" t="s">
        <v>3906</v>
      </c>
      <c r="C76" s="175" t="s">
        <v>4142</v>
      </c>
      <c r="D76" s="175" t="s">
        <v>3987</v>
      </c>
      <c r="E76" s="175" t="s">
        <v>4143</v>
      </c>
      <c r="F76" s="175" t="s">
        <v>3969</v>
      </c>
      <c r="G76" s="175" t="s">
        <v>4418</v>
      </c>
      <c r="H76" s="175">
        <v>49793.39</v>
      </c>
      <c r="I76" s="175">
        <v>0</v>
      </c>
      <c r="J76" s="175">
        <v>0</v>
      </c>
      <c r="K76" s="175">
        <v>0</v>
      </c>
      <c r="L76" s="175">
        <v>0</v>
      </c>
      <c r="M76" s="175">
        <v>10456.61</v>
      </c>
      <c r="N76" s="175">
        <v>10456.61</v>
      </c>
      <c r="O76" s="175">
        <v>60250</v>
      </c>
    </row>
    <row r="77" spans="1:15">
      <c r="A77" s="175" t="s">
        <v>4049</v>
      </c>
      <c r="B77" s="175" t="s">
        <v>3759</v>
      </c>
      <c r="C77" s="175" t="s">
        <v>3967</v>
      </c>
      <c r="D77" s="175" t="s">
        <v>3987</v>
      </c>
      <c r="E77" s="175" t="s">
        <v>3953</v>
      </c>
      <c r="F77" s="175" t="s">
        <v>3969</v>
      </c>
      <c r="G77" s="175" t="s">
        <v>4419</v>
      </c>
      <c r="H77" s="175">
        <v>70247.929999999993</v>
      </c>
      <c r="I77" s="175">
        <v>0</v>
      </c>
      <c r="J77" s="175">
        <v>0</v>
      </c>
      <c r="K77" s="175">
        <v>0</v>
      </c>
      <c r="L77" s="175">
        <v>0</v>
      </c>
      <c r="M77" s="175">
        <v>14752.07</v>
      </c>
      <c r="N77" s="175">
        <v>14752.07</v>
      </c>
      <c r="O77" s="175">
        <v>85000</v>
      </c>
    </row>
    <row r="78" spans="1:15">
      <c r="A78" s="175" t="s">
        <v>4049</v>
      </c>
      <c r="B78" s="175" t="s">
        <v>3903</v>
      </c>
      <c r="C78" s="175" t="s">
        <v>4427</v>
      </c>
      <c r="D78" s="175" t="s">
        <v>3987</v>
      </c>
      <c r="E78" s="175" t="s">
        <v>3953</v>
      </c>
      <c r="F78" s="175" t="s">
        <v>3969</v>
      </c>
      <c r="G78" s="175" t="s">
        <v>4428</v>
      </c>
      <c r="H78" s="175">
        <v>312280.99</v>
      </c>
      <c r="I78" s="175">
        <v>0</v>
      </c>
      <c r="J78" s="175">
        <v>0</v>
      </c>
      <c r="K78" s="175">
        <v>0</v>
      </c>
      <c r="L78" s="175">
        <v>0</v>
      </c>
      <c r="M78" s="175">
        <v>65579.009999999995</v>
      </c>
      <c r="N78" s="175">
        <v>65579.009999999995</v>
      </c>
      <c r="O78" s="175">
        <v>377860</v>
      </c>
    </row>
    <row r="79" spans="1:15">
      <c r="A79" s="175" t="s">
        <v>4049</v>
      </c>
      <c r="B79" s="175" t="s">
        <v>3762</v>
      </c>
      <c r="C79" s="175" t="s">
        <v>3994</v>
      </c>
      <c r="D79" s="175" t="s">
        <v>3987</v>
      </c>
      <c r="E79" s="175" t="s">
        <v>3953</v>
      </c>
      <c r="F79" s="175" t="s">
        <v>3969</v>
      </c>
      <c r="G79" s="175" t="s">
        <v>4535</v>
      </c>
      <c r="H79" s="175">
        <v>294214.88</v>
      </c>
      <c r="I79" s="175">
        <v>0</v>
      </c>
      <c r="J79" s="175">
        <v>0</v>
      </c>
      <c r="K79" s="175">
        <v>0</v>
      </c>
      <c r="L79" s="175">
        <v>0</v>
      </c>
      <c r="M79" s="175">
        <v>61785.120000000003</v>
      </c>
      <c r="N79" s="175">
        <v>61785.120000000003</v>
      </c>
      <c r="O79" s="175">
        <v>356000</v>
      </c>
    </row>
    <row r="80" spans="1:15">
      <c r="A80" s="175" t="s">
        <v>4049</v>
      </c>
      <c r="B80" s="175" t="s">
        <v>3759</v>
      </c>
      <c r="C80" s="175" t="s">
        <v>3967</v>
      </c>
      <c r="D80" s="175" t="s">
        <v>3987</v>
      </c>
      <c r="E80" s="175" t="s">
        <v>3953</v>
      </c>
      <c r="F80" s="175" t="s">
        <v>3969</v>
      </c>
      <c r="G80" s="175" t="s">
        <v>4537</v>
      </c>
      <c r="H80" s="175">
        <v>214049.59</v>
      </c>
      <c r="I80" s="175">
        <v>0</v>
      </c>
      <c r="J80" s="175">
        <v>0</v>
      </c>
      <c r="K80" s="175">
        <v>0</v>
      </c>
      <c r="L80" s="175">
        <v>0</v>
      </c>
      <c r="M80" s="175">
        <v>44950.41</v>
      </c>
      <c r="N80" s="175">
        <v>44950.41</v>
      </c>
      <c r="O80" s="175">
        <v>259000</v>
      </c>
    </row>
    <row r="81" spans="1:49">
      <c r="A81" s="175" t="s">
        <v>4049</v>
      </c>
      <c r="B81" s="175" t="s">
        <v>3761</v>
      </c>
      <c r="C81" s="175" t="s">
        <v>4038</v>
      </c>
      <c r="D81" s="175" t="s">
        <v>3987</v>
      </c>
      <c r="E81" s="175" t="s">
        <v>3953</v>
      </c>
      <c r="F81" s="175" t="s">
        <v>3969</v>
      </c>
      <c r="G81" s="175" t="s">
        <v>4538</v>
      </c>
      <c r="H81" s="175">
        <v>7975.21</v>
      </c>
      <c r="I81" s="175">
        <v>0</v>
      </c>
      <c r="J81" s="175">
        <v>0</v>
      </c>
      <c r="K81" s="175">
        <v>0</v>
      </c>
      <c r="L81" s="175">
        <v>0</v>
      </c>
      <c r="M81" s="175">
        <v>1674.79</v>
      </c>
      <c r="N81" s="175">
        <v>1674.79</v>
      </c>
      <c r="O81" s="175">
        <v>9650</v>
      </c>
    </row>
    <row r="82" spans="1:49">
      <c r="A82" s="175" t="s">
        <v>4049</v>
      </c>
      <c r="B82" s="175" t="s">
        <v>3761</v>
      </c>
      <c r="C82" s="175" t="s">
        <v>4038</v>
      </c>
      <c r="D82" s="175" t="s">
        <v>3987</v>
      </c>
      <c r="E82" s="175" t="s">
        <v>3953</v>
      </c>
      <c r="F82" s="175" t="s">
        <v>3969</v>
      </c>
      <c r="G82" s="175" t="s">
        <v>4539</v>
      </c>
      <c r="H82" s="175">
        <v>40495.870000000003</v>
      </c>
      <c r="I82" s="175">
        <v>0</v>
      </c>
      <c r="J82" s="175">
        <v>0</v>
      </c>
      <c r="K82" s="175">
        <v>0</v>
      </c>
      <c r="L82" s="175">
        <v>0</v>
      </c>
      <c r="M82" s="175">
        <v>8504.1299999999992</v>
      </c>
      <c r="N82" s="175">
        <v>8504.1299999999992</v>
      </c>
      <c r="O82" s="175">
        <v>49000</v>
      </c>
    </row>
    <row r="83" spans="1:49">
      <c r="A83" s="175" t="s">
        <v>4049</v>
      </c>
      <c r="B83" s="175" t="s">
        <v>3999</v>
      </c>
      <c r="C83" s="175" t="s">
        <v>4000</v>
      </c>
      <c r="D83" s="175" t="s">
        <v>3987</v>
      </c>
      <c r="E83" s="175" t="s">
        <v>3953</v>
      </c>
      <c r="F83" s="175" t="s">
        <v>3969</v>
      </c>
      <c r="G83" s="175" t="s">
        <v>4572</v>
      </c>
      <c r="H83" s="175">
        <v>117768.6</v>
      </c>
      <c r="I83" s="175">
        <v>0</v>
      </c>
      <c r="J83" s="175">
        <v>0</v>
      </c>
      <c r="K83" s="175">
        <v>0</v>
      </c>
      <c r="L83" s="175">
        <v>0</v>
      </c>
      <c r="M83" s="175">
        <v>24731.4</v>
      </c>
      <c r="N83" s="175">
        <v>24731.4</v>
      </c>
      <c r="O83" s="175">
        <v>142500</v>
      </c>
    </row>
    <row r="84" spans="1:49">
      <c r="A84" s="175" t="s">
        <v>4049</v>
      </c>
      <c r="B84" s="175" t="s">
        <v>3759</v>
      </c>
      <c r="C84" s="175" t="s">
        <v>3967</v>
      </c>
      <c r="D84" s="175" t="s">
        <v>3987</v>
      </c>
      <c r="E84" s="175" t="s">
        <v>3953</v>
      </c>
      <c r="F84" s="175" t="s">
        <v>3969</v>
      </c>
      <c r="G84" s="175" t="s">
        <v>4574</v>
      </c>
      <c r="H84" s="175">
        <v>428429.75</v>
      </c>
      <c r="I84" s="175">
        <v>0</v>
      </c>
      <c r="J84" s="175">
        <v>0</v>
      </c>
      <c r="K84" s="175">
        <v>0</v>
      </c>
      <c r="L84" s="175">
        <v>0</v>
      </c>
      <c r="M84" s="175">
        <v>89970.25</v>
      </c>
      <c r="N84" s="175">
        <v>89970.25</v>
      </c>
      <c r="O84" s="175">
        <v>518400</v>
      </c>
    </row>
    <row r="85" spans="1:49" s="219" customFormat="1">
      <c r="A85" s="175" t="s">
        <v>4049</v>
      </c>
      <c r="B85" s="175" t="s">
        <v>3759</v>
      </c>
      <c r="C85" s="175" t="s">
        <v>3967</v>
      </c>
      <c r="D85" s="175" t="s">
        <v>3987</v>
      </c>
      <c r="E85" s="175" t="s">
        <v>3953</v>
      </c>
      <c r="F85" s="175" t="s">
        <v>3969</v>
      </c>
      <c r="G85" s="175" t="s">
        <v>4581</v>
      </c>
      <c r="H85" s="175">
        <v>615702.48</v>
      </c>
      <c r="I85" s="175">
        <v>0</v>
      </c>
      <c r="J85" s="175">
        <v>0</v>
      </c>
      <c r="K85" s="175">
        <v>0</v>
      </c>
      <c r="L85" s="175">
        <v>0</v>
      </c>
      <c r="M85" s="175">
        <v>129297.52</v>
      </c>
      <c r="N85" s="175">
        <v>129297.52</v>
      </c>
      <c r="O85" s="175">
        <v>745000</v>
      </c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</row>
    <row r="86" spans="1:49">
      <c r="A86" s="175" t="s">
        <v>4544</v>
      </c>
      <c r="B86" s="175" t="s">
        <v>2712</v>
      </c>
      <c r="C86" s="176">
        <v>30522428163</v>
      </c>
      <c r="D86" s="175" t="s">
        <v>4041</v>
      </c>
      <c r="E86" s="175"/>
      <c r="F86" s="176" t="s">
        <v>3969</v>
      </c>
      <c r="G86" s="175" t="s">
        <v>4592</v>
      </c>
      <c r="H86" s="204">
        <v>-105785.14</v>
      </c>
      <c r="I86" s="175"/>
      <c r="J86" s="176">
        <v>1</v>
      </c>
      <c r="K86" s="175" t="s">
        <v>3742</v>
      </c>
      <c r="L86" s="175"/>
      <c r="M86" s="204">
        <v>-22214.879399999998</v>
      </c>
      <c r="N86" s="176">
        <v>0</v>
      </c>
      <c r="O86" s="204">
        <v>-128000.01939999999</v>
      </c>
    </row>
    <row r="87" spans="1:49">
      <c r="A87" s="175" t="s">
        <v>4544</v>
      </c>
      <c r="B87" s="175" t="s">
        <v>2712</v>
      </c>
      <c r="C87" s="176">
        <v>30522428163</v>
      </c>
      <c r="D87" s="175" t="s">
        <v>4041</v>
      </c>
      <c r="E87" s="175"/>
      <c r="F87" s="176" t="s">
        <v>3969</v>
      </c>
      <c r="G87" s="175" t="s">
        <v>4591</v>
      </c>
      <c r="H87" s="204">
        <v>-396694.19</v>
      </c>
      <c r="I87" s="175"/>
      <c r="J87" s="176">
        <v>1</v>
      </c>
      <c r="K87" s="175" t="s">
        <v>3742</v>
      </c>
      <c r="L87" s="175"/>
      <c r="M87" s="204">
        <v>-83305.779899999994</v>
      </c>
      <c r="N87" s="176">
        <v>0</v>
      </c>
      <c r="O87" s="204">
        <v>-479999.96990000003</v>
      </c>
    </row>
    <row r="88" spans="1:49">
      <c r="A88" s="175" t="s">
        <v>4544</v>
      </c>
      <c r="B88" s="175" t="s">
        <v>2712</v>
      </c>
      <c r="C88" s="176">
        <v>30522428163</v>
      </c>
      <c r="D88" s="175" t="s">
        <v>4041</v>
      </c>
      <c r="E88" s="175"/>
      <c r="F88" s="176" t="s">
        <v>3969</v>
      </c>
      <c r="G88" s="175" t="s">
        <v>4586</v>
      </c>
      <c r="H88" s="204">
        <v>-35535.379999999997</v>
      </c>
      <c r="I88" s="175"/>
      <c r="J88" s="176">
        <v>1</v>
      </c>
      <c r="K88" s="175" t="s">
        <v>3742</v>
      </c>
      <c r="L88" s="175"/>
      <c r="M88" s="204">
        <v>-7462.429799999999</v>
      </c>
      <c r="N88" s="176">
        <v>0</v>
      </c>
      <c r="O88" s="204">
        <v>-42997.809799999995</v>
      </c>
    </row>
    <row r="89" spans="1:49">
      <c r="A89" s="175" t="s">
        <v>4544</v>
      </c>
      <c r="B89" s="175" t="s">
        <v>2712</v>
      </c>
      <c r="C89" s="176">
        <v>30522428163</v>
      </c>
      <c r="D89" s="175" t="s">
        <v>4041</v>
      </c>
      <c r="E89" s="175"/>
      <c r="F89" s="176" t="s">
        <v>3969</v>
      </c>
      <c r="G89" s="175" t="s">
        <v>4587</v>
      </c>
      <c r="H89" s="204">
        <v>-89442.57</v>
      </c>
      <c r="I89" s="175"/>
      <c r="J89" s="176">
        <v>1</v>
      </c>
      <c r="K89" s="175" t="s">
        <v>3742</v>
      </c>
      <c r="L89" s="175"/>
      <c r="M89" s="204">
        <v>-18782.939699999999</v>
      </c>
      <c r="N89" s="176">
        <v>0</v>
      </c>
      <c r="O89" s="204">
        <v>-108225.50970000001</v>
      </c>
    </row>
    <row r="90" spans="1:49">
      <c r="A90" s="175" t="s">
        <v>4544</v>
      </c>
      <c r="B90" s="175" t="s">
        <v>2712</v>
      </c>
      <c r="C90" s="176">
        <v>30522428163</v>
      </c>
      <c r="D90" s="175" t="s">
        <v>4041</v>
      </c>
      <c r="E90" s="175"/>
      <c r="F90" s="176" t="s">
        <v>3969</v>
      </c>
      <c r="G90" s="175" t="s">
        <v>4588</v>
      </c>
      <c r="H90" s="204">
        <v>-577.80999999999995</v>
      </c>
      <c r="I90" s="175"/>
      <c r="J90" s="176">
        <v>1</v>
      </c>
      <c r="K90" s="175" t="s">
        <v>3742</v>
      </c>
      <c r="L90" s="175"/>
      <c r="M90" s="204">
        <v>-121.34009999999998</v>
      </c>
      <c r="N90" s="176">
        <v>0</v>
      </c>
      <c r="O90" s="204">
        <v>-699.15009999999995</v>
      </c>
    </row>
    <row r="91" spans="1:49">
      <c r="A91" s="175" t="s">
        <v>4544</v>
      </c>
      <c r="B91" s="175" t="s">
        <v>2712</v>
      </c>
      <c r="C91" s="176">
        <v>30522428163</v>
      </c>
      <c r="D91" s="175" t="s">
        <v>4041</v>
      </c>
      <c r="E91" s="175"/>
      <c r="F91" s="176" t="s">
        <v>3969</v>
      </c>
      <c r="G91" s="175" t="s">
        <v>4589</v>
      </c>
      <c r="H91" s="204">
        <v>-201720.57</v>
      </c>
      <c r="I91" s="175"/>
      <c r="J91" s="176">
        <v>1</v>
      </c>
      <c r="K91" s="175" t="s">
        <v>3742</v>
      </c>
      <c r="L91" s="175"/>
      <c r="M91" s="204">
        <v>-42361.3197</v>
      </c>
      <c r="N91" s="176">
        <v>0</v>
      </c>
      <c r="O91" s="204">
        <v>-244081.8897</v>
      </c>
    </row>
    <row r="92" spans="1:49">
      <c r="A92" s="175" t="s">
        <v>4544</v>
      </c>
      <c r="B92" s="175" t="s">
        <v>2712</v>
      </c>
      <c r="C92" s="176">
        <v>30522428163</v>
      </c>
      <c r="D92" s="175" t="s">
        <v>4041</v>
      </c>
      <c r="E92" s="175"/>
      <c r="F92" s="176" t="s">
        <v>3969</v>
      </c>
      <c r="G92" s="175" t="s">
        <v>4590</v>
      </c>
      <c r="H92" s="204">
        <v>-6332.14</v>
      </c>
      <c r="I92" s="175"/>
      <c r="J92" s="176">
        <v>1</v>
      </c>
      <c r="K92" s="175" t="s">
        <v>3742</v>
      </c>
      <c r="L92" s="175"/>
      <c r="M92" s="204">
        <v>-1329.7493999999999</v>
      </c>
      <c r="N92" s="176">
        <v>0</v>
      </c>
      <c r="O92" s="204">
        <v>-7661.8894</v>
      </c>
    </row>
    <row r="93" spans="1:49">
      <c r="A93" s="175" t="s">
        <v>4544</v>
      </c>
      <c r="B93" s="175" t="s">
        <v>2712</v>
      </c>
      <c r="C93" s="176">
        <v>30522428163</v>
      </c>
      <c r="D93" s="175" t="s">
        <v>4041</v>
      </c>
      <c r="E93" s="175"/>
      <c r="F93" s="176" t="s">
        <v>3969</v>
      </c>
      <c r="G93" s="175" t="s">
        <v>4593</v>
      </c>
      <c r="H93" s="204">
        <v>-82793.48</v>
      </c>
      <c r="I93" s="175"/>
      <c r="J93" s="176">
        <v>1</v>
      </c>
      <c r="K93" s="175" t="s">
        <v>3742</v>
      </c>
      <c r="L93" s="175"/>
      <c r="M93" s="204">
        <v>-17386.630799999999</v>
      </c>
      <c r="N93" s="176">
        <v>0</v>
      </c>
      <c r="O93" s="204">
        <v>-100180.11079999999</v>
      </c>
    </row>
    <row r="94" spans="1:49">
      <c r="A94" s="175" t="s">
        <v>4544</v>
      </c>
      <c r="B94" s="175" t="s">
        <v>3761</v>
      </c>
      <c r="C94" s="175" t="s">
        <v>4038</v>
      </c>
      <c r="D94" s="175" t="s">
        <v>4041</v>
      </c>
      <c r="E94" s="175" t="s">
        <v>3953</v>
      </c>
      <c r="F94" s="175" t="s">
        <v>3969</v>
      </c>
      <c r="G94" s="175" t="s">
        <v>4042</v>
      </c>
      <c r="H94" s="175">
        <v>-7975.21</v>
      </c>
      <c r="I94" s="175">
        <v>0</v>
      </c>
      <c r="J94" s="175">
        <v>0</v>
      </c>
      <c r="K94" s="175">
        <v>0</v>
      </c>
      <c r="L94" s="175">
        <v>0</v>
      </c>
      <c r="M94" s="175">
        <v>-1674.79</v>
      </c>
      <c r="N94" s="175">
        <v>-1674.79</v>
      </c>
      <c r="O94" s="175">
        <v>-9650</v>
      </c>
    </row>
    <row r="95" spans="1:49">
      <c r="A95" s="175" t="s">
        <v>4544</v>
      </c>
      <c r="B95" s="175" t="s">
        <v>3761</v>
      </c>
      <c r="C95" s="175" t="s">
        <v>4038</v>
      </c>
      <c r="D95" s="175" t="s">
        <v>4041</v>
      </c>
      <c r="E95" s="175" t="s">
        <v>3953</v>
      </c>
      <c r="F95" s="175" t="s">
        <v>3969</v>
      </c>
      <c r="G95" s="175" t="s">
        <v>4110</v>
      </c>
      <c r="H95" s="175">
        <v>-18830.580000000002</v>
      </c>
      <c r="I95" s="175">
        <v>0</v>
      </c>
      <c r="J95" s="175">
        <v>0</v>
      </c>
      <c r="K95" s="175">
        <v>0</v>
      </c>
      <c r="L95" s="175">
        <v>0</v>
      </c>
      <c r="M95" s="175">
        <v>-3954.42</v>
      </c>
      <c r="N95" s="175">
        <v>-3954.42</v>
      </c>
      <c r="O95" s="175">
        <v>-22785</v>
      </c>
    </row>
    <row r="96" spans="1:49">
      <c r="A96" s="175" t="s">
        <v>4544</v>
      </c>
      <c r="B96" s="175" t="s">
        <v>3759</v>
      </c>
      <c r="C96" s="175" t="s">
        <v>3967</v>
      </c>
      <c r="D96" s="175" t="s">
        <v>4041</v>
      </c>
      <c r="E96" s="175" t="s">
        <v>3953</v>
      </c>
      <c r="F96" s="175" t="s">
        <v>3969</v>
      </c>
      <c r="G96" s="175" t="s">
        <v>4351</v>
      </c>
      <c r="H96" s="175">
        <v>-938842.98</v>
      </c>
      <c r="I96" s="175">
        <v>0</v>
      </c>
      <c r="J96" s="175">
        <v>0</v>
      </c>
      <c r="K96" s="175">
        <v>0</v>
      </c>
      <c r="L96" s="175">
        <v>0</v>
      </c>
      <c r="M96" s="175">
        <v>-197157.02</v>
      </c>
      <c r="N96" s="175">
        <v>-197157.02</v>
      </c>
      <c r="O96" s="175">
        <v>-1136000</v>
      </c>
    </row>
    <row r="97" spans="1:49">
      <c r="A97" s="175" t="s">
        <v>4544</v>
      </c>
      <c r="B97" s="175" t="s">
        <v>3755</v>
      </c>
      <c r="C97" s="175" t="s">
        <v>4380</v>
      </c>
      <c r="D97" s="175" t="s">
        <v>4041</v>
      </c>
      <c r="E97" s="175" t="s">
        <v>3953</v>
      </c>
      <c r="F97" s="175" t="s">
        <v>3969</v>
      </c>
      <c r="G97" s="175" t="s">
        <v>4382</v>
      </c>
      <c r="H97" s="175">
        <v>-1018513.08</v>
      </c>
      <c r="I97" s="175">
        <v>0</v>
      </c>
      <c r="J97" s="175">
        <v>0</v>
      </c>
      <c r="K97" s="175">
        <v>0</v>
      </c>
      <c r="L97" s="175">
        <v>0</v>
      </c>
      <c r="M97" s="175">
        <v>-213887.75</v>
      </c>
      <c r="N97" s="175">
        <v>-213887.75</v>
      </c>
      <c r="O97" s="175">
        <v>-1232400.83</v>
      </c>
    </row>
    <row r="98" spans="1:49" ht="15.75" thickBot="1">
      <c r="A98" s="175" t="s">
        <v>4544</v>
      </c>
      <c r="B98" s="175" t="s">
        <v>3761</v>
      </c>
      <c r="C98" s="175" t="s">
        <v>4038</v>
      </c>
      <c r="D98" s="175" t="s">
        <v>4041</v>
      </c>
      <c r="E98" s="175" t="s">
        <v>3953</v>
      </c>
      <c r="F98" s="175" t="s">
        <v>3969</v>
      </c>
      <c r="G98" s="175" t="s">
        <v>4413</v>
      </c>
      <c r="H98" s="145">
        <v>-7443.52</v>
      </c>
      <c r="I98" s="145">
        <v>0</v>
      </c>
      <c r="J98" s="145">
        <v>0</v>
      </c>
      <c r="K98" s="145">
        <v>0</v>
      </c>
      <c r="L98" s="145">
        <v>0</v>
      </c>
      <c r="M98" s="145">
        <v>-1563.14</v>
      </c>
      <c r="N98" s="145">
        <v>-1563.14</v>
      </c>
      <c r="O98" s="145">
        <v>-9006.66</v>
      </c>
    </row>
    <row r="99" spans="1:49" ht="15.75" thickBot="1">
      <c r="H99" s="130">
        <f>SUM(H2:H98)</f>
        <v>64706485.789999984</v>
      </c>
      <c r="I99" s="129">
        <f t="shared" ref="I99:O99" si="0">SUM(I2:I98)</f>
        <v>0</v>
      </c>
      <c r="J99" s="129">
        <f t="shared" si="0"/>
        <v>8</v>
      </c>
      <c r="K99" s="129">
        <f t="shared" si="0"/>
        <v>0</v>
      </c>
      <c r="L99" s="129">
        <f t="shared" si="0"/>
        <v>0</v>
      </c>
      <c r="M99" s="129">
        <f t="shared" si="0"/>
        <v>13588362.031199992</v>
      </c>
      <c r="N99" s="129">
        <f t="shared" si="0"/>
        <v>13781327.09999999</v>
      </c>
      <c r="O99" s="128">
        <f t="shared" si="0"/>
        <v>78294847.821200013</v>
      </c>
    </row>
    <row r="101" spans="1:49" s="218" customFormat="1">
      <c r="A101" s="175" t="s">
        <v>4049</v>
      </c>
      <c r="B101" s="175" t="s">
        <v>4585</v>
      </c>
      <c r="C101" s="176">
        <v>94674484</v>
      </c>
      <c r="D101" s="175" t="s">
        <v>3952</v>
      </c>
      <c r="E101" s="175"/>
      <c r="F101" s="176" t="s">
        <v>3954</v>
      </c>
      <c r="G101" s="175" t="s">
        <v>4594</v>
      </c>
      <c r="H101" s="204">
        <v>17355.38</v>
      </c>
      <c r="I101" s="175"/>
      <c r="J101" s="176">
        <v>1</v>
      </c>
      <c r="K101" s="175" t="s">
        <v>3742</v>
      </c>
      <c r="L101" s="175"/>
      <c r="M101" s="204">
        <v>3644.6298000000002</v>
      </c>
      <c r="N101" s="176">
        <v>0</v>
      </c>
      <c r="O101" s="204">
        <v>21000.0098</v>
      </c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</row>
    <row r="102" spans="1:49">
      <c r="A102" s="175" t="s">
        <v>4049</v>
      </c>
      <c r="B102" s="175" t="s">
        <v>3950</v>
      </c>
      <c r="C102" s="175" t="s">
        <v>3951</v>
      </c>
      <c r="D102" s="175" t="s">
        <v>3952</v>
      </c>
      <c r="E102" s="175" t="s">
        <v>3953</v>
      </c>
      <c r="F102" s="175" t="s">
        <v>3954</v>
      </c>
      <c r="G102" s="175" t="s">
        <v>3955</v>
      </c>
      <c r="H102" s="175">
        <v>61983.47</v>
      </c>
      <c r="I102" s="175">
        <v>0</v>
      </c>
      <c r="J102" s="175">
        <v>0</v>
      </c>
      <c r="K102" s="175">
        <v>0</v>
      </c>
      <c r="L102" s="175">
        <v>0</v>
      </c>
      <c r="M102" s="175">
        <v>13016.53</v>
      </c>
      <c r="N102" s="175">
        <v>13016.53</v>
      </c>
      <c r="O102" s="175">
        <v>75000</v>
      </c>
    </row>
    <row r="103" spans="1:49">
      <c r="A103" s="175" t="s">
        <v>4049</v>
      </c>
      <c r="B103" s="175" t="s">
        <v>3950</v>
      </c>
      <c r="C103" s="175" t="s">
        <v>3951</v>
      </c>
      <c r="D103" s="175" t="s">
        <v>3952</v>
      </c>
      <c r="E103" s="175" t="s">
        <v>3953</v>
      </c>
      <c r="F103" s="175" t="s">
        <v>3954</v>
      </c>
      <c r="G103" s="175" t="s">
        <v>3956</v>
      </c>
      <c r="H103" s="175">
        <v>15289.26</v>
      </c>
      <c r="I103" s="175">
        <v>0</v>
      </c>
      <c r="J103" s="175">
        <v>0</v>
      </c>
      <c r="K103" s="175">
        <v>0</v>
      </c>
      <c r="L103" s="175">
        <v>0</v>
      </c>
      <c r="M103" s="175">
        <v>3210.74</v>
      </c>
      <c r="N103" s="175">
        <v>3210.74</v>
      </c>
      <c r="O103" s="175">
        <v>18500</v>
      </c>
    </row>
    <row r="104" spans="1:49">
      <c r="A104" s="175" t="s">
        <v>4095</v>
      </c>
      <c r="B104" s="175" t="s">
        <v>3950</v>
      </c>
      <c r="C104" s="175" t="s">
        <v>3951</v>
      </c>
      <c r="D104" s="175" t="s">
        <v>3952</v>
      </c>
      <c r="E104" s="175" t="s">
        <v>3953</v>
      </c>
      <c r="F104" s="175" t="s">
        <v>3954</v>
      </c>
      <c r="G104" s="175" t="s">
        <v>3957</v>
      </c>
      <c r="H104" s="175">
        <v>10743.8</v>
      </c>
      <c r="I104" s="175">
        <v>0</v>
      </c>
      <c r="J104" s="175">
        <v>0</v>
      </c>
      <c r="K104" s="175">
        <v>0</v>
      </c>
      <c r="L104" s="175">
        <v>0</v>
      </c>
      <c r="M104" s="175">
        <v>2256.1999999999998</v>
      </c>
      <c r="N104" s="175">
        <v>2256.1999999999998</v>
      </c>
      <c r="O104" s="175">
        <v>13000</v>
      </c>
    </row>
    <row r="105" spans="1:49">
      <c r="A105" s="175" t="s">
        <v>4095</v>
      </c>
      <c r="B105" s="175" t="s">
        <v>3950</v>
      </c>
      <c r="C105" s="175" t="s">
        <v>3951</v>
      </c>
      <c r="D105" s="175" t="s">
        <v>3952</v>
      </c>
      <c r="E105" s="175" t="s">
        <v>3953</v>
      </c>
      <c r="F105" s="175" t="s">
        <v>3954</v>
      </c>
      <c r="G105" s="175" t="s">
        <v>3958</v>
      </c>
      <c r="H105" s="175">
        <v>23140.5</v>
      </c>
      <c r="I105" s="175">
        <v>0</v>
      </c>
      <c r="J105" s="175">
        <v>0</v>
      </c>
      <c r="K105" s="175">
        <v>0</v>
      </c>
      <c r="L105" s="175">
        <v>0</v>
      </c>
      <c r="M105" s="175">
        <v>4859.5</v>
      </c>
      <c r="N105" s="175">
        <v>4859.5</v>
      </c>
      <c r="O105" s="175">
        <v>28000</v>
      </c>
    </row>
    <row r="106" spans="1:49">
      <c r="A106" s="175" t="s">
        <v>4095</v>
      </c>
      <c r="B106" s="175" t="s">
        <v>3950</v>
      </c>
      <c r="C106" s="175" t="s">
        <v>3951</v>
      </c>
      <c r="D106" s="175" t="s">
        <v>3952</v>
      </c>
      <c r="E106" s="175" t="s">
        <v>3953</v>
      </c>
      <c r="F106" s="175" t="s">
        <v>3954</v>
      </c>
      <c r="G106" s="175" t="s">
        <v>3964</v>
      </c>
      <c r="H106" s="175">
        <v>26446.28</v>
      </c>
      <c r="I106" s="175">
        <v>0</v>
      </c>
      <c r="J106" s="175">
        <v>0</v>
      </c>
      <c r="K106" s="175">
        <v>0</v>
      </c>
      <c r="L106" s="175">
        <v>0</v>
      </c>
      <c r="M106" s="175">
        <v>5553.72</v>
      </c>
      <c r="N106" s="175">
        <v>5553.72</v>
      </c>
      <c r="O106" s="175">
        <v>32000</v>
      </c>
    </row>
    <row r="107" spans="1:49">
      <c r="A107" s="175" t="s">
        <v>4095</v>
      </c>
      <c r="B107" s="175" t="s">
        <v>3950</v>
      </c>
      <c r="C107" s="175" t="s">
        <v>3951</v>
      </c>
      <c r="D107" s="175" t="s">
        <v>3952</v>
      </c>
      <c r="E107" s="175" t="s">
        <v>3953</v>
      </c>
      <c r="F107" s="175" t="s">
        <v>3954</v>
      </c>
      <c r="G107" s="175" t="s">
        <v>3965</v>
      </c>
      <c r="H107" s="175">
        <v>13966.94</v>
      </c>
      <c r="I107" s="175">
        <v>0</v>
      </c>
      <c r="J107" s="175">
        <v>0</v>
      </c>
      <c r="K107" s="175">
        <v>0</v>
      </c>
      <c r="L107" s="175">
        <v>0</v>
      </c>
      <c r="M107" s="175">
        <v>2933.06</v>
      </c>
      <c r="N107" s="175">
        <v>2933.06</v>
      </c>
      <c r="O107" s="175">
        <v>16900</v>
      </c>
    </row>
    <row r="108" spans="1:49">
      <c r="A108" s="175" t="s">
        <v>4095</v>
      </c>
      <c r="B108" s="175" t="s">
        <v>3950</v>
      </c>
      <c r="C108" s="175" t="s">
        <v>3951</v>
      </c>
      <c r="D108" s="175" t="s">
        <v>3952</v>
      </c>
      <c r="E108" s="175" t="s">
        <v>3953</v>
      </c>
      <c r="F108" s="175" t="s">
        <v>3954</v>
      </c>
      <c r="G108" s="175" t="s">
        <v>3966</v>
      </c>
      <c r="H108" s="175">
        <v>76859.5</v>
      </c>
      <c r="I108" s="175">
        <v>0</v>
      </c>
      <c r="J108" s="175">
        <v>0</v>
      </c>
      <c r="K108" s="175">
        <v>0</v>
      </c>
      <c r="L108" s="175">
        <v>0</v>
      </c>
      <c r="M108" s="175">
        <v>16140.5</v>
      </c>
      <c r="N108" s="175">
        <v>16140.5</v>
      </c>
      <c r="O108" s="175">
        <v>93000</v>
      </c>
    </row>
    <row r="109" spans="1:49">
      <c r="A109" s="175" t="s">
        <v>4095</v>
      </c>
      <c r="B109" s="175" t="s">
        <v>3950</v>
      </c>
      <c r="C109" s="175" t="s">
        <v>3951</v>
      </c>
      <c r="D109" s="175" t="s">
        <v>3952</v>
      </c>
      <c r="E109" s="175" t="s">
        <v>3953</v>
      </c>
      <c r="F109" s="175" t="s">
        <v>3954</v>
      </c>
      <c r="G109" s="175" t="s">
        <v>3972</v>
      </c>
      <c r="H109" s="175">
        <v>20247.93</v>
      </c>
      <c r="I109" s="175">
        <v>0</v>
      </c>
      <c r="J109" s="175">
        <v>0</v>
      </c>
      <c r="K109" s="175">
        <v>0</v>
      </c>
      <c r="L109" s="175">
        <v>0</v>
      </c>
      <c r="M109" s="175">
        <v>4252.07</v>
      </c>
      <c r="N109" s="175">
        <v>4252.07</v>
      </c>
      <c r="O109" s="175">
        <v>24500</v>
      </c>
    </row>
    <row r="110" spans="1:49">
      <c r="A110" s="175" t="s">
        <v>4095</v>
      </c>
      <c r="B110" s="175" t="s">
        <v>3950</v>
      </c>
      <c r="C110" s="175" t="s">
        <v>3951</v>
      </c>
      <c r="D110" s="175" t="s">
        <v>3952</v>
      </c>
      <c r="E110" s="175" t="s">
        <v>3953</v>
      </c>
      <c r="F110" s="175" t="s">
        <v>3954</v>
      </c>
      <c r="G110" s="175" t="s">
        <v>3973</v>
      </c>
      <c r="H110" s="175">
        <v>23553.72</v>
      </c>
      <c r="I110" s="175">
        <v>0</v>
      </c>
      <c r="J110" s="175">
        <v>0</v>
      </c>
      <c r="K110" s="175">
        <v>0</v>
      </c>
      <c r="L110" s="175">
        <v>0</v>
      </c>
      <c r="M110" s="175">
        <v>4946.28</v>
      </c>
      <c r="N110" s="175">
        <v>4946.28</v>
      </c>
      <c r="O110" s="175">
        <v>28500</v>
      </c>
    </row>
    <row r="111" spans="1:49">
      <c r="A111" s="175" t="s">
        <v>4095</v>
      </c>
      <c r="B111" s="175" t="s">
        <v>3974</v>
      </c>
      <c r="C111" s="175" t="s">
        <v>3975</v>
      </c>
      <c r="D111" s="175" t="s">
        <v>3952</v>
      </c>
      <c r="E111" s="175" t="s">
        <v>3976</v>
      </c>
      <c r="F111" s="175" t="s">
        <v>3977</v>
      </c>
      <c r="G111" s="175" t="s">
        <v>3978</v>
      </c>
      <c r="H111" s="175">
        <v>40909.089999999997</v>
      </c>
      <c r="I111" s="175">
        <v>0</v>
      </c>
      <c r="J111" s="175">
        <v>0</v>
      </c>
      <c r="K111" s="175">
        <v>0</v>
      </c>
      <c r="L111" s="175">
        <v>0</v>
      </c>
      <c r="M111" s="175">
        <v>8590.91</v>
      </c>
      <c r="N111" s="175">
        <v>8590.91</v>
      </c>
      <c r="O111" s="175">
        <v>49500</v>
      </c>
    </row>
    <row r="112" spans="1:49">
      <c r="A112" s="175" t="s">
        <v>4095</v>
      </c>
      <c r="B112" s="175" t="s">
        <v>3950</v>
      </c>
      <c r="C112" s="175" t="s">
        <v>3951</v>
      </c>
      <c r="D112" s="175" t="s">
        <v>3952</v>
      </c>
      <c r="E112" s="175" t="s">
        <v>3953</v>
      </c>
      <c r="F112" s="175" t="s">
        <v>3954</v>
      </c>
      <c r="G112" s="175" t="s">
        <v>3979</v>
      </c>
      <c r="H112" s="175">
        <v>25619.83</v>
      </c>
      <c r="I112" s="175">
        <v>0</v>
      </c>
      <c r="J112" s="175">
        <v>0</v>
      </c>
      <c r="K112" s="175">
        <v>0</v>
      </c>
      <c r="L112" s="175">
        <v>0</v>
      </c>
      <c r="M112" s="175">
        <v>5380.17</v>
      </c>
      <c r="N112" s="175">
        <v>5380.17</v>
      </c>
      <c r="O112" s="175">
        <v>31000</v>
      </c>
    </row>
    <row r="113" spans="1:15">
      <c r="A113" s="175" t="s">
        <v>4095</v>
      </c>
      <c r="B113" s="175" t="s">
        <v>3950</v>
      </c>
      <c r="C113" s="175" t="s">
        <v>3951</v>
      </c>
      <c r="D113" s="175" t="s">
        <v>3952</v>
      </c>
      <c r="E113" s="175" t="s">
        <v>3953</v>
      </c>
      <c r="F113" s="175" t="s">
        <v>3954</v>
      </c>
      <c r="G113" s="175" t="s">
        <v>3980</v>
      </c>
      <c r="H113" s="175">
        <v>22314.05</v>
      </c>
      <c r="I113" s="175">
        <v>0</v>
      </c>
      <c r="J113" s="175">
        <v>0</v>
      </c>
      <c r="K113" s="175">
        <v>0</v>
      </c>
      <c r="L113" s="175">
        <v>0</v>
      </c>
      <c r="M113" s="175">
        <v>4685.95</v>
      </c>
      <c r="N113" s="175">
        <v>4685.95</v>
      </c>
      <c r="O113" s="175">
        <v>27000</v>
      </c>
    </row>
    <row r="114" spans="1:15">
      <c r="A114" s="175" t="s">
        <v>4095</v>
      </c>
      <c r="B114" s="175" t="s">
        <v>3950</v>
      </c>
      <c r="C114" s="175" t="s">
        <v>3951</v>
      </c>
      <c r="D114" s="175" t="s">
        <v>3952</v>
      </c>
      <c r="E114" s="175" t="s">
        <v>3953</v>
      </c>
      <c r="F114" s="175" t="s">
        <v>3954</v>
      </c>
      <c r="G114" s="175" t="s">
        <v>3982</v>
      </c>
      <c r="H114" s="175">
        <v>41735.54</v>
      </c>
      <c r="I114" s="175">
        <v>0</v>
      </c>
      <c r="J114" s="175">
        <v>0</v>
      </c>
      <c r="K114" s="175">
        <v>0</v>
      </c>
      <c r="L114" s="175">
        <v>0</v>
      </c>
      <c r="M114" s="175">
        <v>8764.4599999999991</v>
      </c>
      <c r="N114" s="175">
        <v>8764.4599999999991</v>
      </c>
      <c r="O114" s="175">
        <v>50500</v>
      </c>
    </row>
    <row r="115" spans="1:15">
      <c r="A115" s="175" t="s">
        <v>4095</v>
      </c>
      <c r="B115" s="175" t="s">
        <v>3950</v>
      </c>
      <c r="C115" s="175" t="s">
        <v>3951</v>
      </c>
      <c r="D115" s="175" t="s">
        <v>3952</v>
      </c>
      <c r="E115" s="175" t="s">
        <v>3953</v>
      </c>
      <c r="F115" s="175" t="s">
        <v>3954</v>
      </c>
      <c r="G115" s="175" t="s">
        <v>3983</v>
      </c>
      <c r="H115" s="175">
        <v>13223.14</v>
      </c>
      <c r="I115" s="175">
        <v>0</v>
      </c>
      <c r="J115" s="175">
        <v>0</v>
      </c>
      <c r="K115" s="175">
        <v>0</v>
      </c>
      <c r="L115" s="175">
        <v>0</v>
      </c>
      <c r="M115" s="175">
        <v>2776.86</v>
      </c>
      <c r="N115" s="175">
        <v>2776.86</v>
      </c>
      <c r="O115" s="175">
        <v>16000</v>
      </c>
    </row>
    <row r="116" spans="1:15">
      <c r="A116" s="175" t="s">
        <v>4095</v>
      </c>
      <c r="B116" s="175" t="s">
        <v>3950</v>
      </c>
      <c r="C116" s="175" t="s">
        <v>3951</v>
      </c>
      <c r="D116" s="175" t="s">
        <v>3952</v>
      </c>
      <c r="E116" s="175" t="s">
        <v>3953</v>
      </c>
      <c r="F116" s="175" t="s">
        <v>3954</v>
      </c>
      <c r="G116" s="175" t="s">
        <v>3984</v>
      </c>
      <c r="H116" s="175">
        <v>13223.14</v>
      </c>
      <c r="I116" s="175">
        <v>0</v>
      </c>
      <c r="J116" s="175">
        <v>0</v>
      </c>
      <c r="K116" s="175">
        <v>0</v>
      </c>
      <c r="L116" s="175">
        <v>0</v>
      </c>
      <c r="M116" s="175">
        <v>2776.86</v>
      </c>
      <c r="N116" s="175">
        <v>2776.86</v>
      </c>
      <c r="O116" s="175">
        <v>16000</v>
      </c>
    </row>
    <row r="117" spans="1:15">
      <c r="A117" s="175" t="s">
        <v>4095</v>
      </c>
      <c r="B117" s="175" t="s">
        <v>3950</v>
      </c>
      <c r="C117" s="175" t="s">
        <v>3951</v>
      </c>
      <c r="D117" s="175" t="s">
        <v>3952</v>
      </c>
      <c r="E117" s="175" t="s">
        <v>3953</v>
      </c>
      <c r="F117" s="175" t="s">
        <v>3954</v>
      </c>
      <c r="G117" s="175" t="s">
        <v>3985</v>
      </c>
      <c r="H117" s="175">
        <v>41735.54</v>
      </c>
      <c r="I117" s="175">
        <v>0</v>
      </c>
      <c r="J117" s="175">
        <v>0</v>
      </c>
      <c r="K117" s="175">
        <v>0</v>
      </c>
      <c r="L117" s="175">
        <v>0</v>
      </c>
      <c r="M117" s="175">
        <v>8764.4599999999991</v>
      </c>
      <c r="N117" s="175">
        <v>8764.4599999999991</v>
      </c>
      <c r="O117" s="175">
        <v>50500</v>
      </c>
    </row>
    <row r="118" spans="1:15">
      <c r="A118" s="175" t="s">
        <v>4095</v>
      </c>
      <c r="B118" s="175" t="s">
        <v>3950</v>
      </c>
      <c r="C118" s="175" t="s">
        <v>3951</v>
      </c>
      <c r="D118" s="175" t="s">
        <v>3952</v>
      </c>
      <c r="E118" s="175" t="s">
        <v>3953</v>
      </c>
      <c r="F118" s="175" t="s">
        <v>3954</v>
      </c>
      <c r="G118" s="175" t="s">
        <v>3986</v>
      </c>
      <c r="H118" s="175">
        <v>13223.14</v>
      </c>
      <c r="I118" s="175">
        <v>0</v>
      </c>
      <c r="J118" s="175">
        <v>0</v>
      </c>
      <c r="K118" s="175">
        <v>0</v>
      </c>
      <c r="L118" s="175">
        <v>0</v>
      </c>
      <c r="M118" s="175">
        <v>2776.86</v>
      </c>
      <c r="N118" s="175">
        <v>2776.86</v>
      </c>
      <c r="O118" s="175">
        <v>16000</v>
      </c>
    </row>
    <row r="119" spans="1:15">
      <c r="A119" s="175" t="s">
        <v>4095</v>
      </c>
      <c r="B119" s="175" t="s">
        <v>3950</v>
      </c>
      <c r="C119" s="175" t="s">
        <v>3951</v>
      </c>
      <c r="D119" s="175" t="s">
        <v>3952</v>
      </c>
      <c r="E119" s="175" t="s">
        <v>3953</v>
      </c>
      <c r="F119" s="175" t="s">
        <v>3954</v>
      </c>
      <c r="G119" s="175" t="s">
        <v>3989</v>
      </c>
      <c r="H119" s="175">
        <v>27892.560000000001</v>
      </c>
      <c r="I119" s="175">
        <v>0</v>
      </c>
      <c r="J119" s="175">
        <v>0</v>
      </c>
      <c r="K119" s="175">
        <v>0</v>
      </c>
      <c r="L119" s="175">
        <v>0</v>
      </c>
      <c r="M119" s="175">
        <v>5857.44</v>
      </c>
      <c r="N119" s="175">
        <v>5857.44</v>
      </c>
      <c r="O119" s="175">
        <v>33750</v>
      </c>
    </row>
    <row r="120" spans="1:15">
      <c r="A120" s="175" t="s">
        <v>4114</v>
      </c>
      <c r="B120" s="175" t="s">
        <v>3950</v>
      </c>
      <c r="C120" s="175" t="s">
        <v>3951</v>
      </c>
      <c r="D120" s="175" t="s">
        <v>3952</v>
      </c>
      <c r="E120" s="175" t="s">
        <v>3953</v>
      </c>
      <c r="F120" s="175" t="s">
        <v>3954</v>
      </c>
      <c r="G120" s="175" t="s">
        <v>3990</v>
      </c>
      <c r="H120" s="175">
        <v>26446.28</v>
      </c>
      <c r="I120" s="175">
        <v>0</v>
      </c>
      <c r="J120" s="175">
        <v>0</v>
      </c>
      <c r="K120" s="175">
        <v>0</v>
      </c>
      <c r="L120" s="175">
        <v>0</v>
      </c>
      <c r="M120" s="175">
        <v>5553.72</v>
      </c>
      <c r="N120" s="175">
        <v>5553.72</v>
      </c>
      <c r="O120" s="175">
        <v>32000</v>
      </c>
    </row>
    <row r="121" spans="1:15">
      <c r="A121" s="175" t="s">
        <v>4114</v>
      </c>
      <c r="B121" s="175" t="s">
        <v>3950</v>
      </c>
      <c r="C121" s="175" t="s">
        <v>3951</v>
      </c>
      <c r="D121" s="175" t="s">
        <v>3952</v>
      </c>
      <c r="E121" s="175" t="s">
        <v>3953</v>
      </c>
      <c r="F121" s="175" t="s">
        <v>3954</v>
      </c>
      <c r="G121" s="175" t="s">
        <v>3991</v>
      </c>
      <c r="H121" s="175">
        <v>56611.57</v>
      </c>
      <c r="I121" s="175">
        <v>0</v>
      </c>
      <c r="J121" s="175">
        <v>0</v>
      </c>
      <c r="K121" s="175">
        <v>0</v>
      </c>
      <c r="L121" s="175">
        <v>0</v>
      </c>
      <c r="M121" s="175">
        <v>11888.43</v>
      </c>
      <c r="N121" s="175">
        <v>11888.43</v>
      </c>
      <c r="O121" s="175">
        <v>68500</v>
      </c>
    </row>
    <row r="122" spans="1:15">
      <c r="A122" s="175" t="s">
        <v>4114</v>
      </c>
      <c r="B122" s="175" t="s">
        <v>4029</v>
      </c>
      <c r="C122" s="175" t="s">
        <v>4030</v>
      </c>
      <c r="D122" s="175" t="s">
        <v>3952</v>
      </c>
      <c r="E122" s="175" t="s">
        <v>3953</v>
      </c>
      <c r="F122" s="175" t="s">
        <v>3954</v>
      </c>
      <c r="G122" s="175" t="s">
        <v>4031</v>
      </c>
      <c r="H122" s="175">
        <v>24462.81</v>
      </c>
      <c r="I122" s="175">
        <v>0</v>
      </c>
      <c r="J122" s="175">
        <v>0</v>
      </c>
      <c r="K122" s="175">
        <v>0</v>
      </c>
      <c r="L122" s="175">
        <v>0</v>
      </c>
      <c r="M122" s="175">
        <v>5137.1899999999996</v>
      </c>
      <c r="N122" s="175">
        <v>5137.1899999999996</v>
      </c>
      <c r="O122" s="175">
        <v>29600</v>
      </c>
    </row>
    <row r="123" spans="1:15">
      <c r="A123" s="175" t="s">
        <v>4114</v>
      </c>
      <c r="B123" s="175" t="s">
        <v>4050</v>
      </c>
      <c r="C123" s="175" t="s">
        <v>4051</v>
      </c>
      <c r="D123" s="175" t="s">
        <v>3952</v>
      </c>
      <c r="E123" s="175" t="s">
        <v>3953</v>
      </c>
      <c r="F123" s="175" t="s">
        <v>3954</v>
      </c>
      <c r="G123" s="175" t="s">
        <v>4052</v>
      </c>
      <c r="H123" s="175">
        <v>24793.39</v>
      </c>
      <c r="I123" s="175">
        <v>0</v>
      </c>
      <c r="J123" s="175">
        <v>0</v>
      </c>
      <c r="K123" s="175">
        <v>0</v>
      </c>
      <c r="L123" s="175">
        <v>0</v>
      </c>
      <c r="M123" s="175">
        <v>5206.6099999999997</v>
      </c>
      <c r="N123" s="175">
        <v>5206.6099999999997</v>
      </c>
      <c r="O123" s="175">
        <v>30000</v>
      </c>
    </row>
    <row r="124" spans="1:15">
      <c r="A124" s="175" t="s">
        <v>4114</v>
      </c>
      <c r="B124" s="175" t="s">
        <v>3032</v>
      </c>
      <c r="C124" s="175"/>
      <c r="D124" s="175" t="s">
        <v>3952</v>
      </c>
      <c r="E124" s="175" t="s">
        <v>3953</v>
      </c>
      <c r="F124" s="175" t="s">
        <v>3954</v>
      </c>
      <c r="G124" s="175" t="s">
        <v>4053</v>
      </c>
      <c r="H124" s="175">
        <v>8595.0400000000009</v>
      </c>
      <c r="I124" s="175">
        <v>0</v>
      </c>
      <c r="J124" s="175">
        <v>0</v>
      </c>
      <c r="K124" s="175">
        <v>0</v>
      </c>
      <c r="L124" s="175">
        <v>0</v>
      </c>
      <c r="M124" s="175">
        <v>1804.96</v>
      </c>
      <c r="N124" s="175">
        <v>1804.96</v>
      </c>
      <c r="O124" s="175">
        <v>10400</v>
      </c>
    </row>
    <row r="125" spans="1:15">
      <c r="A125" s="175" t="s">
        <v>4114</v>
      </c>
      <c r="B125" s="175" t="s">
        <v>3950</v>
      </c>
      <c r="C125" s="175" t="s">
        <v>3951</v>
      </c>
      <c r="D125" s="175" t="s">
        <v>3952</v>
      </c>
      <c r="E125" s="175" t="s">
        <v>3953</v>
      </c>
      <c r="F125" s="175" t="s">
        <v>3954</v>
      </c>
      <c r="G125" s="175" t="s">
        <v>4061</v>
      </c>
      <c r="H125" s="175">
        <v>4958.68</v>
      </c>
      <c r="I125" s="175">
        <v>0</v>
      </c>
      <c r="J125" s="175">
        <v>0</v>
      </c>
      <c r="K125" s="175">
        <v>0</v>
      </c>
      <c r="L125" s="175">
        <v>0</v>
      </c>
      <c r="M125" s="175">
        <v>1041.32</v>
      </c>
      <c r="N125" s="175">
        <v>1041.32</v>
      </c>
      <c r="O125" s="175">
        <v>6000</v>
      </c>
    </row>
    <row r="126" spans="1:15">
      <c r="A126" s="175" t="s">
        <v>4114</v>
      </c>
      <c r="B126" s="175" t="s">
        <v>3950</v>
      </c>
      <c r="C126" s="175" t="s">
        <v>3951</v>
      </c>
      <c r="D126" s="175" t="s">
        <v>3952</v>
      </c>
      <c r="E126" s="175" t="s">
        <v>3953</v>
      </c>
      <c r="F126" s="175" t="s">
        <v>3954</v>
      </c>
      <c r="G126" s="175" t="s">
        <v>4062</v>
      </c>
      <c r="H126" s="175">
        <v>42809.919999999998</v>
      </c>
      <c r="I126" s="175">
        <v>0</v>
      </c>
      <c r="J126" s="175">
        <v>0</v>
      </c>
      <c r="K126" s="175">
        <v>0</v>
      </c>
      <c r="L126" s="175">
        <v>0</v>
      </c>
      <c r="M126" s="175">
        <v>8990.08</v>
      </c>
      <c r="N126" s="175">
        <v>8990.08</v>
      </c>
      <c r="O126" s="175">
        <v>51800</v>
      </c>
    </row>
    <row r="127" spans="1:15">
      <c r="A127" s="175" t="s">
        <v>4114</v>
      </c>
      <c r="B127" s="175" t="s">
        <v>3950</v>
      </c>
      <c r="C127" s="175" t="s">
        <v>3951</v>
      </c>
      <c r="D127" s="175" t="s">
        <v>3952</v>
      </c>
      <c r="E127" s="175" t="s">
        <v>3953</v>
      </c>
      <c r="F127" s="175" t="s">
        <v>3954</v>
      </c>
      <c r="G127" s="175" t="s">
        <v>4063</v>
      </c>
      <c r="H127" s="175">
        <v>13223.14</v>
      </c>
      <c r="I127" s="175">
        <v>0</v>
      </c>
      <c r="J127" s="175">
        <v>0</v>
      </c>
      <c r="K127" s="175">
        <v>0</v>
      </c>
      <c r="L127" s="175">
        <v>0</v>
      </c>
      <c r="M127" s="175">
        <v>2776.86</v>
      </c>
      <c r="N127" s="175">
        <v>2776.86</v>
      </c>
      <c r="O127" s="175">
        <v>16000</v>
      </c>
    </row>
    <row r="128" spans="1:15">
      <c r="A128" s="175" t="s">
        <v>4114</v>
      </c>
      <c r="B128" s="175" t="s">
        <v>3950</v>
      </c>
      <c r="C128" s="175" t="s">
        <v>3951</v>
      </c>
      <c r="D128" s="175" t="s">
        <v>3952</v>
      </c>
      <c r="E128" s="175" t="s">
        <v>3953</v>
      </c>
      <c r="F128" s="175" t="s">
        <v>3954</v>
      </c>
      <c r="G128" s="175" t="s">
        <v>4064</v>
      </c>
      <c r="H128" s="175">
        <v>21074.38</v>
      </c>
      <c r="I128" s="175">
        <v>0</v>
      </c>
      <c r="J128" s="175">
        <v>0</v>
      </c>
      <c r="K128" s="175">
        <v>0</v>
      </c>
      <c r="L128" s="175">
        <v>0</v>
      </c>
      <c r="M128" s="175">
        <v>4425.62</v>
      </c>
      <c r="N128" s="175">
        <v>4425.62</v>
      </c>
      <c r="O128" s="175">
        <v>25500</v>
      </c>
    </row>
    <row r="129" spans="1:15">
      <c r="A129" s="175" t="s">
        <v>4114</v>
      </c>
      <c r="B129" s="175" t="s">
        <v>3950</v>
      </c>
      <c r="C129" s="175" t="s">
        <v>3951</v>
      </c>
      <c r="D129" s="175" t="s">
        <v>3952</v>
      </c>
      <c r="E129" s="175" t="s">
        <v>3953</v>
      </c>
      <c r="F129" s="175" t="s">
        <v>3954</v>
      </c>
      <c r="G129" s="175" t="s">
        <v>4065</v>
      </c>
      <c r="H129" s="175">
        <v>15702.48</v>
      </c>
      <c r="I129" s="175">
        <v>0</v>
      </c>
      <c r="J129" s="175">
        <v>0</v>
      </c>
      <c r="K129" s="175">
        <v>0</v>
      </c>
      <c r="L129" s="175">
        <v>0</v>
      </c>
      <c r="M129" s="175">
        <v>3297.52</v>
      </c>
      <c r="N129" s="175">
        <v>3297.52</v>
      </c>
      <c r="O129" s="175">
        <v>19000</v>
      </c>
    </row>
    <row r="130" spans="1:15">
      <c r="A130" s="175" t="s">
        <v>4114</v>
      </c>
      <c r="B130" s="175" t="s">
        <v>3950</v>
      </c>
      <c r="C130" s="175" t="s">
        <v>3951</v>
      </c>
      <c r="D130" s="175" t="s">
        <v>3952</v>
      </c>
      <c r="E130" s="175" t="s">
        <v>3953</v>
      </c>
      <c r="F130" s="175" t="s">
        <v>3954</v>
      </c>
      <c r="G130" s="175" t="s">
        <v>4066</v>
      </c>
      <c r="H130" s="175">
        <v>41735.54</v>
      </c>
      <c r="I130" s="175">
        <v>0</v>
      </c>
      <c r="J130" s="175">
        <v>0</v>
      </c>
      <c r="K130" s="175">
        <v>0</v>
      </c>
      <c r="L130" s="175">
        <v>0</v>
      </c>
      <c r="M130" s="175">
        <v>8764.4599999999991</v>
      </c>
      <c r="N130" s="175">
        <v>8764.4599999999991</v>
      </c>
      <c r="O130" s="175">
        <v>50500</v>
      </c>
    </row>
    <row r="131" spans="1:15">
      <c r="A131" s="175" t="s">
        <v>4114</v>
      </c>
      <c r="B131" s="175" t="s">
        <v>3950</v>
      </c>
      <c r="C131" s="175" t="s">
        <v>3951</v>
      </c>
      <c r="D131" s="175" t="s">
        <v>3952</v>
      </c>
      <c r="E131" s="175" t="s">
        <v>3953</v>
      </c>
      <c r="F131" s="175" t="s">
        <v>3954</v>
      </c>
      <c r="G131" s="175" t="s">
        <v>4067</v>
      </c>
      <c r="H131" s="175">
        <v>60247.93</v>
      </c>
      <c r="I131" s="175">
        <v>0</v>
      </c>
      <c r="J131" s="175">
        <v>0</v>
      </c>
      <c r="K131" s="175">
        <v>0</v>
      </c>
      <c r="L131" s="175">
        <v>0</v>
      </c>
      <c r="M131" s="175">
        <v>12652.07</v>
      </c>
      <c r="N131" s="175">
        <v>12652.07</v>
      </c>
      <c r="O131" s="175">
        <v>72900</v>
      </c>
    </row>
    <row r="132" spans="1:15">
      <c r="A132" s="175" t="s">
        <v>4114</v>
      </c>
      <c r="B132" s="175" t="s">
        <v>3950</v>
      </c>
      <c r="C132" s="175" t="s">
        <v>3951</v>
      </c>
      <c r="D132" s="175" t="s">
        <v>3952</v>
      </c>
      <c r="E132" s="175" t="s">
        <v>3953</v>
      </c>
      <c r="F132" s="175" t="s">
        <v>3954</v>
      </c>
      <c r="G132" s="175" t="s">
        <v>4068</v>
      </c>
      <c r="H132" s="175">
        <v>26446.28</v>
      </c>
      <c r="I132" s="175">
        <v>0</v>
      </c>
      <c r="J132" s="175">
        <v>0</v>
      </c>
      <c r="K132" s="175">
        <v>0</v>
      </c>
      <c r="L132" s="175">
        <v>0</v>
      </c>
      <c r="M132" s="175">
        <v>5553.72</v>
      </c>
      <c r="N132" s="175">
        <v>5553.72</v>
      </c>
      <c r="O132" s="175">
        <v>32000</v>
      </c>
    </row>
    <row r="133" spans="1:15">
      <c r="A133" s="175" t="s">
        <v>4114</v>
      </c>
      <c r="B133" s="175" t="s">
        <v>3950</v>
      </c>
      <c r="C133" s="175" t="s">
        <v>3951</v>
      </c>
      <c r="D133" s="175" t="s">
        <v>3952</v>
      </c>
      <c r="E133" s="175" t="s">
        <v>3953</v>
      </c>
      <c r="F133" s="175" t="s">
        <v>3954</v>
      </c>
      <c r="G133" s="175" t="s">
        <v>4069</v>
      </c>
      <c r="H133" s="175">
        <v>33057.85</v>
      </c>
      <c r="I133" s="175">
        <v>0</v>
      </c>
      <c r="J133" s="175">
        <v>0</v>
      </c>
      <c r="K133" s="175">
        <v>0</v>
      </c>
      <c r="L133" s="175">
        <v>0</v>
      </c>
      <c r="M133" s="175">
        <v>6942.15</v>
      </c>
      <c r="N133" s="175">
        <v>6942.15</v>
      </c>
      <c r="O133" s="175">
        <v>40000</v>
      </c>
    </row>
    <row r="134" spans="1:15">
      <c r="A134" s="175" t="s">
        <v>4114</v>
      </c>
      <c r="B134" s="175" t="s">
        <v>3950</v>
      </c>
      <c r="C134" s="175" t="s">
        <v>3951</v>
      </c>
      <c r="D134" s="175" t="s">
        <v>3952</v>
      </c>
      <c r="E134" s="175" t="s">
        <v>3953</v>
      </c>
      <c r="F134" s="175" t="s">
        <v>3954</v>
      </c>
      <c r="G134" s="175" t="s">
        <v>4070</v>
      </c>
      <c r="H134" s="175">
        <v>26446.28</v>
      </c>
      <c r="I134" s="175">
        <v>0</v>
      </c>
      <c r="J134" s="175">
        <v>0</v>
      </c>
      <c r="K134" s="175">
        <v>0</v>
      </c>
      <c r="L134" s="175">
        <v>0</v>
      </c>
      <c r="M134" s="175">
        <v>5553.72</v>
      </c>
      <c r="N134" s="175">
        <v>5553.72</v>
      </c>
      <c r="O134" s="175">
        <v>32000</v>
      </c>
    </row>
    <row r="135" spans="1:15">
      <c r="A135" s="175" t="s">
        <v>4114</v>
      </c>
      <c r="B135" s="175" t="s">
        <v>3950</v>
      </c>
      <c r="C135" s="175" t="s">
        <v>3951</v>
      </c>
      <c r="D135" s="175" t="s">
        <v>3952</v>
      </c>
      <c r="E135" s="175" t="s">
        <v>3953</v>
      </c>
      <c r="F135" s="175" t="s">
        <v>3954</v>
      </c>
      <c r="G135" s="175" t="s">
        <v>4071</v>
      </c>
      <c r="H135" s="175">
        <v>26446.28</v>
      </c>
      <c r="I135" s="175">
        <v>0</v>
      </c>
      <c r="J135" s="175">
        <v>0</v>
      </c>
      <c r="K135" s="175">
        <v>0</v>
      </c>
      <c r="L135" s="175">
        <v>0</v>
      </c>
      <c r="M135" s="175">
        <v>5553.72</v>
      </c>
      <c r="N135" s="175">
        <v>5553.72</v>
      </c>
      <c r="O135" s="175">
        <v>32000</v>
      </c>
    </row>
    <row r="136" spans="1:15">
      <c r="A136" s="175" t="s">
        <v>4114</v>
      </c>
      <c r="B136" s="175" t="s">
        <v>3950</v>
      </c>
      <c r="C136" s="175" t="s">
        <v>3951</v>
      </c>
      <c r="D136" s="175" t="s">
        <v>3952</v>
      </c>
      <c r="E136" s="175" t="s">
        <v>3953</v>
      </c>
      <c r="F136" s="175" t="s">
        <v>3954</v>
      </c>
      <c r="G136" s="175" t="s">
        <v>4072</v>
      </c>
      <c r="H136" s="175">
        <v>10743.8</v>
      </c>
      <c r="I136" s="175">
        <v>0</v>
      </c>
      <c r="J136" s="175">
        <v>0</v>
      </c>
      <c r="K136" s="175">
        <v>0</v>
      </c>
      <c r="L136" s="175">
        <v>0</v>
      </c>
      <c r="M136" s="175">
        <v>2256.1999999999998</v>
      </c>
      <c r="N136" s="175">
        <v>2256.1999999999998</v>
      </c>
      <c r="O136" s="175">
        <v>13000</v>
      </c>
    </row>
    <row r="137" spans="1:15">
      <c r="A137" s="175" t="s">
        <v>4114</v>
      </c>
      <c r="B137" s="175" t="s">
        <v>3950</v>
      </c>
      <c r="C137" s="175" t="s">
        <v>3951</v>
      </c>
      <c r="D137" s="175" t="s">
        <v>3952</v>
      </c>
      <c r="E137" s="175" t="s">
        <v>3953</v>
      </c>
      <c r="F137" s="175" t="s">
        <v>3954</v>
      </c>
      <c r="G137" s="175" t="s">
        <v>4073</v>
      </c>
      <c r="H137" s="175">
        <v>14049.59</v>
      </c>
      <c r="I137" s="175">
        <v>0</v>
      </c>
      <c r="J137" s="175">
        <v>0</v>
      </c>
      <c r="K137" s="175">
        <v>0</v>
      </c>
      <c r="L137" s="175">
        <v>0</v>
      </c>
      <c r="M137" s="175">
        <v>2950.41</v>
      </c>
      <c r="N137" s="175">
        <v>2950.41</v>
      </c>
      <c r="O137" s="175">
        <v>17000</v>
      </c>
    </row>
    <row r="138" spans="1:15">
      <c r="A138" s="175" t="s">
        <v>4114</v>
      </c>
      <c r="B138" s="175" t="s">
        <v>3950</v>
      </c>
      <c r="C138" s="175" t="s">
        <v>3951</v>
      </c>
      <c r="D138" s="175" t="s">
        <v>3952</v>
      </c>
      <c r="E138" s="175" t="s">
        <v>3953</v>
      </c>
      <c r="F138" s="175" t="s">
        <v>3954</v>
      </c>
      <c r="G138" s="175" t="s">
        <v>4074</v>
      </c>
      <c r="H138" s="175">
        <v>14049.59</v>
      </c>
      <c r="I138" s="175">
        <v>0</v>
      </c>
      <c r="J138" s="175">
        <v>0</v>
      </c>
      <c r="K138" s="175">
        <v>0</v>
      </c>
      <c r="L138" s="175">
        <v>0</v>
      </c>
      <c r="M138" s="175">
        <v>2950.41</v>
      </c>
      <c r="N138" s="175">
        <v>2950.41</v>
      </c>
      <c r="O138" s="175">
        <v>17000</v>
      </c>
    </row>
    <row r="139" spans="1:15">
      <c r="A139" s="175" t="s">
        <v>4114</v>
      </c>
      <c r="B139" s="175" t="s">
        <v>3950</v>
      </c>
      <c r="C139" s="175" t="s">
        <v>3951</v>
      </c>
      <c r="D139" s="175" t="s">
        <v>3952</v>
      </c>
      <c r="E139" s="175" t="s">
        <v>3953</v>
      </c>
      <c r="F139" s="175" t="s">
        <v>3954</v>
      </c>
      <c r="G139" s="175" t="s">
        <v>4075</v>
      </c>
      <c r="H139" s="175">
        <v>25619.83</v>
      </c>
      <c r="I139" s="175">
        <v>0</v>
      </c>
      <c r="J139" s="175">
        <v>0</v>
      </c>
      <c r="K139" s="175">
        <v>0</v>
      </c>
      <c r="L139" s="175">
        <v>0</v>
      </c>
      <c r="M139" s="175">
        <v>5380.17</v>
      </c>
      <c r="N139" s="175">
        <v>5380.17</v>
      </c>
      <c r="O139" s="175">
        <v>31000</v>
      </c>
    </row>
    <row r="140" spans="1:15">
      <c r="A140" s="175" t="s">
        <v>4114</v>
      </c>
      <c r="B140" s="175" t="s">
        <v>3950</v>
      </c>
      <c r="C140" s="175" t="s">
        <v>3951</v>
      </c>
      <c r="D140" s="175" t="s">
        <v>3952</v>
      </c>
      <c r="E140" s="175" t="s">
        <v>3953</v>
      </c>
      <c r="F140" s="175" t="s">
        <v>3954</v>
      </c>
      <c r="G140" s="175" t="s">
        <v>4076</v>
      </c>
      <c r="H140" s="175">
        <v>20661.16</v>
      </c>
      <c r="I140" s="175">
        <v>0</v>
      </c>
      <c r="J140" s="175">
        <v>0</v>
      </c>
      <c r="K140" s="175">
        <v>0</v>
      </c>
      <c r="L140" s="175">
        <v>0</v>
      </c>
      <c r="M140" s="175">
        <v>4338.84</v>
      </c>
      <c r="N140" s="175">
        <v>4338.84</v>
      </c>
      <c r="O140" s="175">
        <v>25000</v>
      </c>
    </row>
    <row r="141" spans="1:15">
      <c r="A141" s="175" t="s">
        <v>4114</v>
      </c>
      <c r="B141" s="175" t="s">
        <v>3950</v>
      </c>
      <c r="C141" s="175" t="s">
        <v>3951</v>
      </c>
      <c r="D141" s="175" t="s">
        <v>3952</v>
      </c>
      <c r="E141" s="175" t="s">
        <v>3953</v>
      </c>
      <c r="F141" s="175" t="s">
        <v>3954</v>
      </c>
      <c r="G141" s="175" t="s">
        <v>4077</v>
      </c>
      <c r="H141" s="175">
        <v>13223.14</v>
      </c>
      <c r="I141" s="175">
        <v>0</v>
      </c>
      <c r="J141" s="175">
        <v>0</v>
      </c>
      <c r="K141" s="175">
        <v>0</v>
      </c>
      <c r="L141" s="175">
        <v>0</v>
      </c>
      <c r="M141" s="175">
        <v>2776.86</v>
      </c>
      <c r="N141" s="175">
        <v>2776.86</v>
      </c>
      <c r="O141" s="175">
        <v>16000</v>
      </c>
    </row>
    <row r="142" spans="1:15">
      <c r="A142" s="175" t="s">
        <v>4114</v>
      </c>
      <c r="B142" s="175" t="s">
        <v>3950</v>
      </c>
      <c r="C142" s="175" t="s">
        <v>3951</v>
      </c>
      <c r="D142" s="175" t="s">
        <v>3952</v>
      </c>
      <c r="E142" s="175" t="s">
        <v>3953</v>
      </c>
      <c r="F142" s="175" t="s">
        <v>3954</v>
      </c>
      <c r="G142" s="175" t="s">
        <v>4078</v>
      </c>
      <c r="H142" s="175">
        <v>11487.6</v>
      </c>
      <c r="I142" s="175">
        <v>0</v>
      </c>
      <c r="J142" s="175">
        <v>0</v>
      </c>
      <c r="K142" s="175">
        <v>0</v>
      </c>
      <c r="L142" s="175">
        <v>0</v>
      </c>
      <c r="M142" s="175">
        <v>2412.4</v>
      </c>
      <c r="N142" s="175">
        <v>2412.4</v>
      </c>
      <c r="O142" s="175">
        <v>13900</v>
      </c>
    </row>
    <row r="143" spans="1:15">
      <c r="A143" s="175" t="s">
        <v>4114</v>
      </c>
      <c r="B143" s="175" t="s">
        <v>3950</v>
      </c>
      <c r="C143" s="175" t="s">
        <v>3951</v>
      </c>
      <c r="D143" s="175" t="s">
        <v>3952</v>
      </c>
      <c r="E143" s="175" t="s">
        <v>3953</v>
      </c>
      <c r="F143" s="175" t="s">
        <v>3954</v>
      </c>
      <c r="G143" s="175" t="s">
        <v>4079</v>
      </c>
      <c r="H143" s="175">
        <v>34710.74</v>
      </c>
      <c r="I143" s="175">
        <v>0</v>
      </c>
      <c r="J143" s="175">
        <v>0</v>
      </c>
      <c r="K143" s="175">
        <v>0</v>
      </c>
      <c r="L143" s="175">
        <v>0</v>
      </c>
      <c r="M143" s="175">
        <v>7289.26</v>
      </c>
      <c r="N143" s="175">
        <v>7289.26</v>
      </c>
      <c r="O143" s="175">
        <v>42000</v>
      </c>
    </row>
    <row r="144" spans="1:15">
      <c r="A144" s="175" t="s">
        <v>4114</v>
      </c>
      <c r="B144" s="175" t="s">
        <v>3950</v>
      </c>
      <c r="C144" s="175" t="s">
        <v>3951</v>
      </c>
      <c r="D144" s="175" t="s">
        <v>3952</v>
      </c>
      <c r="E144" s="175" t="s">
        <v>3953</v>
      </c>
      <c r="F144" s="175" t="s">
        <v>3954</v>
      </c>
      <c r="G144" s="175" t="s">
        <v>4080</v>
      </c>
      <c r="H144" s="175">
        <v>14628.1</v>
      </c>
      <c r="I144" s="175">
        <v>0</v>
      </c>
      <c r="J144" s="175">
        <v>0</v>
      </c>
      <c r="K144" s="175">
        <v>0</v>
      </c>
      <c r="L144" s="175">
        <v>0</v>
      </c>
      <c r="M144" s="175">
        <v>3071.9</v>
      </c>
      <c r="N144" s="175">
        <v>3071.9</v>
      </c>
      <c r="O144" s="175">
        <v>17700</v>
      </c>
    </row>
    <row r="145" spans="1:15">
      <c r="A145" s="175" t="s">
        <v>4114</v>
      </c>
      <c r="B145" s="175" t="s">
        <v>3950</v>
      </c>
      <c r="C145" s="175" t="s">
        <v>3951</v>
      </c>
      <c r="D145" s="175" t="s">
        <v>3952</v>
      </c>
      <c r="E145" s="175" t="s">
        <v>3953</v>
      </c>
      <c r="F145" s="175" t="s">
        <v>3954</v>
      </c>
      <c r="G145" s="175" t="s">
        <v>4081</v>
      </c>
      <c r="H145" s="175">
        <v>41322.31</v>
      </c>
      <c r="I145" s="175">
        <v>0</v>
      </c>
      <c r="J145" s="175">
        <v>0</v>
      </c>
      <c r="K145" s="175">
        <v>0</v>
      </c>
      <c r="L145" s="175">
        <v>0</v>
      </c>
      <c r="M145" s="175">
        <v>8677.69</v>
      </c>
      <c r="N145" s="175">
        <v>8677.69</v>
      </c>
      <c r="O145" s="175">
        <v>50000</v>
      </c>
    </row>
    <row r="146" spans="1:15">
      <c r="A146" s="175" t="s">
        <v>4114</v>
      </c>
      <c r="B146" s="175" t="s">
        <v>3950</v>
      </c>
      <c r="C146" s="175" t="s">
        <v>3951</v>
      </c>
      <c r="D146" s="175" t="s">
        <v>3952</v>
      </c>
      <c r="E146" s="175" t="s">
        <v>3953</v>
      </c>
      <c r="F146" s="175" t="s">
        <v>3954</v>
      </c>
      <c r="G146" s="175" t="s">
        <v>4082</v>
      </c>
      <c r="H146" s="175">
        <v>13223.14</v>
      </c>
      <c r="I146" s="175">
        <v>0</v>
      </c>
      <c r="J146" s="175">
        <v>0</v>
      </c>
      <c r="K146" s="175">
        <v>0</v>
      </c>
      <c r="L146" s="175">
        <v>0</v>
      </c>
      <c r="M146" s="175">
        <v>2776.86</v>
      </c>
      <c r="N146" s="175">
        <v>2776.86</v>
      </c>
      <c r="O146" s="175">
        <v>16000</v>
      </c>
    </row>
    <row r="147" spans="1:15">
      <c r="A147" s="175" t="s">
        <v>4114</v>
      </c>
      <c r="B147" s="175" t="s">
        <v>3950</v>
      </c>
      <c r="C147" s="175" t="s">
        <v>3951</v>
      </c>
      <c r="D147" s="175" t="s">
        <v>3952</v>
      </c>
      <c r="E147" s="175" t="s">
        <v>3953</v>
      </c>
      <c r="F147" s="175" t="s">
        <v>3954</v>
      </c>
      <c r="G147" s="175" t="s">
        <v>4083</v>
      </c>
      <c r="H147" s="175">
        <v>15289.26</v>
      </c>
      <c r="I147" s="175">
        <v>0</v>
      </c>
      <c r="J147" s="175">
        <v>0</v>
      </c>
      <c r="K147" s="175">
        <v>0</v>
      </c>
      <c r="L147" s="175">
        <v>0</v>
      </c>
      <c r="M147" s="175">
        <v>3210.74</v>
      </c>
      <c r="N147" s="175">
        <v>3210.74</v>
      </c>
      <c r="O147" s="175">
        <v>18500</v>
      </c>
    </row>
    <row r="148" spans="1:15">
      <c r="A148" s="175" t="s">
        <v>4114</v>
      </c>
      <c r="B148" s="175" t="s">
        <v>3950</v>
      </c>
      <c r="C148" s="175" t="s">
        <v>3951</v>
      </c>
      <c r="D148" s="175" t="s">
        <v>3952</v>
      </c>
      <c r="E148" s="175" t="s">
        <v>3953</v>
      </c>
      <c r="F148" s="175" t="s">
        <v>3954</v>
      </c>
      <c r="G148" s="175" t="s">
        <v>4084</v>
      </c>
      <c r="H148" s="175">
        <v>60330.58</v>
      </c>
      <c r="I148" s="175">
        <v>0</v>
      </c>
      <c r="J148" s="175">
        <v>0</v>
      </c>
      <c r="K148" s="175">
        <v>0</v>
      </c>
      <c r="L148" s="175">
        <v>0</v>
      </c>
      <c r="M148" s="175">
        <v>12669.42</v>
      </c>
      <c r="N148" s="175">
        <v>12669.42</v>
      </c>
      <c r="O148" s="175">
        <v>73000</v>
      </c>
    </row>
    <row r="149" spans="1:15">
      <c r="A149" s="175" t="s">
        <v>4114</v>
      </c>
      <c r="B149" s="175" t="s">
        <v>3950</v>
      </c>
      <c r="C149" s="175" t="s">
        <v>3951</v>
      </c>
      <c r="D149" s="175" t="s">
        <v>3952</v>
      </c>
      <c r="E149" s="175" t="s">
        <v>3953</v>
      </c>
      <c r="F149" s="175" t="s">
        <v>3954</v>
      </c>
      <c r="G149" s="175" t="s">
        <v>4085</v>
      </c>
      <c r="H149" s="175">
        <v>20867.77</v>
      </c>
      <c r="I149" s="175">
        <v>0</v>
      </c>
      <c r="J149" s="175">
        <v>0</v>
      </c>
      <c r="K149" s="175">
        <v>0</v>
      </c>
      <c r="L149" s="175">
        <v>0</v>
      </c>
      <c r="M149" s="175">
        <v>4382.2299999999996</v>
      </c>
      <c r="N149" s="175">
        <v>4382.2299999999996</v>
      </c>
      <c r="O149" s="175">
        <v>25250</v>
      </c>
    </row>
    <row r="150" spans="1:15">
      <c r="A150" s="175" t="s">
        <v>4114</v>
      </c>
      <c r="B150" s="175" t="s">
        <v>3950</v>
      </c>
      <c r="C150" s="175" t="s">
        <v>3951</v>
      </c>
      <c r="D150" s="175" t="s">
        <v>3952</v>
      </c>
      <c r="E150" s="175" t="s">
        <v>3953</v>
      </c>
      <c r="F150" s="175" t="s">
        <v>3954</v>
      </c>
      <c r="G150" s="175" t="s">
        <v>4086</v>
      </c>
      <c r="H150" s="175">
        <v>25206.61</v>
      </c>
      <c r="I150" s="175">
        <v>0</v>
      </c>
      <c r="J150" s="175">
        <v>0</v>
      </c>
      <c r="K150" s="175">
        <v>0</v>
      </c>
      <c r="L150" s="175">
        <v>0</v>
      </c>
      <c r="M150" s="175">
        <v>5293.39</v>
      </c>
      <c r="N150" s="175">
        <v>5293.39</v>
      </c>
      <c r="O150" s="175">
        <v>30500</v>
      </c>
    </row>
    <row r="151" spans="1:15">
      <c r="A151" s="175" t="s">
        <v>4114</v>
      </c>
      <c r="B151" s="175" t="s">
        <v>3950</v>
      </c>
      <c r="C151" s="175" t="s">
        <v>3951</v>
      </c>
      <c r="D151" s="175" t="s">
        <v>3952</v>
      </c>
      <c r="E151" s="175" t="s">
        <v>3953</v>
      </c>
      <c r="F151" s="175" t="s">
        <v>3954</v>
      </c>
      <c r="G151" s="175" t="s">
        <v>4087</v>
      </c>
      <c r="H151" s="175">
        <v>24793.39</v>
      </c>
      <c r="I151" s="175">
        <v>0</v>
      </c>
      <c r="J151" s="175">
        <v>0</v>
      </c>
      <c r="K151" s="175">
        <v>0</v>
      </c>
      <c r="L151" s="175">
        <v>0</v>
      </c>
      <c r="M151" s="175">
        <v>5206.6099999999997</v>
      </c>
      <c r="N151" s="175">
        <v>5206.6099999999997</v>
      </c>
      <c r="O151" s="175">
        <v>30000</v>
      </c>
    </row>
    <row r="152" spans="1:15">
      <c r="A152" s="175" t="s">
        <v>4114</v>
      </c>
      <c r="B152" s="175" t="s">
        <v>3950</v>
      </c>
      <c r="C152" s="175" t="s">
        <v>3951</v>
      </c>
      <c r="D152" s="175" t="s">
        <v>3952</v>
      </c>
      <c r="E152" s="175" t="s">
        <v>3953</v>
      </c>
      <c r="F152" s="175" t="s">
        <v>3954</v>
      </c>
      <c r="G152" s="175" t="s">
        <v>4088</v>
      </c>
      <c r="H152" s="175">
        <v>16528.93</v>
      </c>
      <c r="I152" s="175">
        <v>0</v>
      </c>
      <c r="J152" s="175">
        <v>0</v>
      </c>
      <c r="K152" s="175">
        <v>0</v>
      </c>
      <c r="L152" s="175">
        <v>0</v>
      </c>
      <c r="M152" s="175">
        <v>3471.07</v>
      </c>
      <c r="N152" s="175">
        <v>3471.07</v>
      </c>
      <c r="O152" s="175">
        <v>20000</v>
      </c>
    </row>
    <row r="153" spans="1:15">
      <c r="A153" s="175" t="s">
        <v>4114</v>
      </c>
      <c r="B153" s="175" t="s">
        <v>4089</v>
      </c>
      <c r="C153" s="175" t="s">
        <v>4090</v>
      </c>
      <c r="D153" s="175" t="s">
        <v>3952</v>
      </c>
      <c r="E153" s="175" t="s">
        <v>3953</v>
      </c>
      <c r="F153" s="175" t="s">
        <v>3954</v>
      </c>
      <c r="G153" s="175" t="s">
        <v>4091</v>
      </c>
      <c r="H153" s="175">
        <v>14669.42</v>
      </c>
      <c r="I153" s="175">
        <v>0</v>
      </c>
      <c r="J153" s="175">
        <v>0</v>
      </c>
      <c r="K153" s="175">
        <v>0</v>
      </c>
      <c r="L153" s="175">
        <v>0</v>
      </c>
      <c r="M153" s="175">
        <v>3080.58</v>
      </c>
      <c r="N153" s="175">
        <v>3080.58</v>
      </c>
      <c r="O153" s="175">
        <v>17750</v>
      </c>
    </row>
    <row r="154" spans="1:15">
      <c r="A154" s="175" t="s">
        <v>4114</v>
      </c>
      <c r="B154" s="175" t="s">
        <v>3950</v>
      </c>
      <c r="C154" s="175" t="s">
        <v>3951</v>
      </c>
      <c r="D154" s="175" t="s">
        <v>3952</v>
      </c>
      <c r="E154" s="175" t="s">
        <v>3953</v>
      </c>
      <c r="F154" s="175" t="s">
        <v>3954</v>
      </c>
      <c r="G154" s="175" t="s">
        <v>4092</v>
      </c>
      <c r="H154" s="175">
        <v>16528.93</v>
      </c>
      <c r="I154" s="175">
        <v>0</v>
      </c>
      <c r="J154" s="175">
        <v>0</v>
      </c>
      <c r="K154" s="175">
        <v>0</v>
      </c>
      <c r="L154" s="175">
        <v>0</v>
      </c>
      <c r="M154" s="175">
        <v>3471.07</v>
      </c>
      <c r="N154" s="175">
        <v>3471.07</v>
      </c>
      <c r="O154" s="175">
        <v>20000</v>
      </c>
    </row>
    <row r="155" spans="1:15">
      <c r="A155" s="175" t="s">
        <v>4114</v>
      </c>
      <c r="B155" s="175" t="s">
        <v>3950</v>
      </c>
      <c r="C155" s="175" t="s">
        <v>3951</v>
      </c>
      <c r="D155" s="175" t="s">
        <v>3952</v>
      </c>
      <c r="E155" s="175" t="s">
        <v>3953</v>
      </c>
      <c r="F155" s="175" t="s">
        <v>3954</v>
      </c>
      <c r="G155" s="175" t="s">
        <v>4094</v>
      </c>
      <c r="H155" s="175">
        <v>10743.8</v>
      </c>
      <c r="I155" s="175">
        <v>0</v>
      </c>
      <c r="J155" s="175">
        <v>0</v>
      </c>
      <c r="K155" s="175">
        <v>0</v>
      </c>
      <c r="L155" s="175">
        <v>0</v>
      </c>
      <c r="M155" s="175">
        <v>2256.1999999999998</v>
      </c>
      <c r="N155" s="175">
        <v>2256.1999999999998</v>
      </c>
      <c r="O155" s="175">
        <v>13000</v>
      </c>
    </row>
    <row r="156" spans="1:15">
      <c r="A156" s="175" t="s">
        <v>4114</v>
      </c>
      <c r="B156" s="175" t="s">
        <v>3950</v>
      </c>
      <c r="C156" s="175" t="s">
        <v>3951</v>
      </c>
      <c r="D156" s="175" t="s">
        <v>3952</v>
      </c>
      <c r="E156" s="175" t="s">
        <v>3953</v>
      </c>
      <c r="F156" s="175" t="s">
        <v>3954</v>
      </c>
      <c r="G156" s="175" t="s">
        <v>4096</v>
      </c>
      <c r="H156" s="175">
        <v>14876.03</v>
      </c>
      <c r="I156" s="175">
        <v>0</v>
      </c>
      <c r="J156" s="175">
        <v>0</v>
      </c>
      <c r="K156" s="175">
        <v>0</v>
      </c>
      <c r="L156" s="175">
        <v>0</v>
      </c>
      <c r="M156" s="175">
        <v>3123.97</v>
      </c>
      <c r="N156" s="175">
        <v>3123.97</v>
      </c>
      <c r="O156" s="175">
        <v>18000</v>
      </c>
    </row>
    <row r="157" spans="1:15">
      <c r="A157" s="175" t="s">
        <v>4114</v>
      </c>
      <c r="B157" s="175" t="s">
        <v>3950</v>
      </c>
      <c r="C157" s="175" t="s">
        <v>3951</v>
      </c>
      <c r="D157" s="175" t="s">
        <v>3952</v>
      </c>
      <c r="E157" s="175" t="s">
        <v>3953</v>
      </c>
      <c r="F157" s="175" t="s">
        <v>3954</v>
      </c>
      <c r="G157" s="175" t="s">
        <v>4097</v>
      </c>
      <c r="H157" s="175">
        <v>16528.93</v>
      </c>
      <c r="I157" s="175">
        <v>0</v>
      </c>
      <c r="J157" s="175">
        <v>0</v>
      </c>
      <c r="K157" s="175">
        <v>0</v>
      </c>
      <c r="L157" s="175">
        <v>0</v>
      </c>
      <c r="M157" s="175">
        <v>3471.07</v>
      </c>
      <c r="N157" s="175">
        <v>3471.07</v>
      </c>
      <c r="O157" s="175">
        <v>20000</v>
      </c>
    </row>
    <row r="158" spans="1:15">
      <c r="A158" s="175" t="s">
        <v>4114</v>
      </c>
      <c r="B158" s="175" t="s">
        <v>3950</v>
      </c>
      <c r="C158" s="175" t="s">
        <v>3951</v>
      </c>
      <c r="D158" s="175" t="s">
        <v>3952</v>
      </c>
      <c r="E158" s="175" t="s">
        <v>3953</v>
      </c>
      <c r="F158" s="175" t="s">
        <v>3954</v>
      </c>
      <c r="G158" s="175" t="s">
        <v>4098</v>
      </c>
      <c r="H158" s="175">
        <v>98347.11</v>
      </c>
      <c r="I158" s="175">
        <v>0</v>
      </c>
      <c r="J158" s="175">
        <v>0</v>
      </c>
      <c r="K158" s="175">
        <v>0</v>
      </c>
      <c r="L158" s="175">
        <v>0</v>
      </c>
      <c r="M158" s="175">
        <v>20652.89</v>
      </c>
      <c r="N158" s="175">
        <v>20652.89</v>
      </c>
      <c r="O158" s="175">
        <v>119000</v>
      </c>
    </row>
    <row r="159" spans="1:15">
      <c r="A159" s="175" t="s">
        <v>4114</v>
      </c>
      <c r="B159" s="175" t="s">
        <v>3950</v>
      </c>
      <c r="C159" s="175" t="s">
        <v>3951</v>
      </c>
      <c r="D159" s="175" t="s">
        <v>3952</v>
      </c>
      <c r="E159" s="175" t="s">
        <v>3953</v>
      </c>
      <c r="F159" s="175" t="s">
        <v>3954</v>
      </c>
      <c r="G159" s="175" t="s">
        <v>4099</v>
      </c>
      <c r="H159" s="175">
        <v>98347.11</v>
      </c>
      <c r="I159" s="175">
        <v>0</v>
      </c>
      <c r="J159" s="175">
        <v>0</v>
      </c>
      <c r="K159" s="175">
        <v>0</v>
      </c>
      <c r="L159" s="175">
        <v>0</v>
      </c>
      <c r="M159" s="175">
        <v>20652.89</v>
      </c>
      <c r="N159" s="175">
        <v>20652.89</v>
      </c>
      <c r="O159" s="175">
        <v>119000</v>
      </c>
    </row>
    <row r="160" spans="1:15">
      <c r="A160" s="175" t="s">
        <v>4114</v>
      </c>
      <c r="B160" s="175" t="s">
        <v>3950</v>
      </c>
      <c r="C160" s="175" t="s">
        <v>3951</v>
      </c>
      <c r="D160" s="175" t="s">
        <v>3952</v>
      </c>
      <c r="E160" s="175" t="s">
        <v>3953</v>
      </c>
      <c r="F160" s="175" t="s">
        <v>3954</v>
      </c>
      <c r="G160" s="175" t="s">
        <v>4100</v>
      </c>
      <c r="H160" s="175">
        <v>23553.72</v>
      </c>
      <c r="I160" s="175">
        <v>0</v>
      </c>
      <c r="J160" s="175">
        <v>0</v>
      </c>
      <c r="K160" s="175">
        <v>0</v>
      </c>
      <c r="L160" s="175">
        <v>0</v>
      </c>
      <c r="M160" s="175">
        <v>4946.28</v>
      </c>
      <c r="N160" s="175">
        <v>4946.28</v>
      </c>
      <c r="O160" s="175">
        <v>28500</v>
      </c>
    </row>
    <row r="161" spans="1:15">
      <c r="A161" s="175" t="s">
        <v>4114</v>
      </c>
      <c r="B161" s="175" t="s">
        <v>3950</v>
      </c>
      <c r="C161" s="175" t="s">
        <v>3951</v>
      </c>
      <c r="D161" s="175" t="s">
        <v>3952</v>
      </c>
      <c r="E161" s="175" t="s">
        <v>3953</v>
      </c>
      <c r="F161" s="175" t="s">
        <v>3954</v>
      </c>
      <c r="G161" s="175" t="s">
        <v>4101</v>
      </c>
      <c r="H161" s="175">
        <v>13636.36</v>
      </c>
      <c r="I161" s="175">
        <v>0</v>
      </c>
      <c r="J161" s="175">
        <v>0</v>
      </c>
      <c r="K161" s="175">
        <v>0</v>
      </c>
      <c r="L161" s="175">
        <v>0</v>
      </c>
      <c r="M161" s="175">
        <v>2863.64</v>
      </c>
      <c r="N161" s="175">
        <v>2863.64</v>
      </c>
      <c r="O161" s="175">
        <v>16500</v>
      </c>
    </row>
    <row r="162" spans="1:15">
      <c r="A162" s="175" t="s">
        <v>4114</v>
      </c>
      <c r="B162" s="175" t="s">
        <v>3950</v>
      </c>
      <c r="C162" s="175" t="s">
        <v>3951</v>
      </c>
      <c r="D162" s="175" t="s">
        <v>3952</v>
      </c>
      <c r="E162" s="175" t="s">
        <v>3953</v>
      </c>
      <c r="F162" s="175" t="s">
        <v>3954</v>
      </c>
      <c r="G162" s="175" t="s">
        <v>4102</v>
      </c>
      <c r="H162" s="175">
        <v>33884.300000000003</v>
      </c>
      <c r="I162" s="175">
        <v>0</v>
      </c>
      <c r="J162" s="175">
        <v>0</v>
      </c>
      <c r="K162" s="175">
        <v>0</v>
      </c>
      <c r="L162" s="175">
        <v>0</v>
      </c>
      <c r="M162" s="175">
        <v>7115.7</v>
      </c>
      <c r="N162" s="175">
        <v>7115.7</v>
      </c>
      <c r="O162" s="175">
        <v>41000</v>
      </c>
    </row>
    <row r="163" spans="1:15">
      <c r="A163" s="175" t="s">
        <v>4114</v>
      </c>
      <c r="B163" s="175" t="s">
        <v>3950</v>
      </c>
      <c r="C163" s="175" t="s">
        <v>3951</v>
      </c>
      <c r="D163" s="175" t="s">
        <v>3952</v>
      </c>
      <c r="E163" s="175" t="s">
        <v>3953</v>
      </c>
      <c r="F163" s="175" t="s">
        <v>3954</v>
      </c>
      <c r="G163" s="175" t="s">
        <v>4104</v>
      </c>
      <c r="H163" s="175">
        <v>20661.16</v>
      </c>
      <c r="I163" s="175">
        <v>0</v>
      </c>
      <c r="J163" s="175">
        <v>0</v>
      </c>
      <c r="K163" s="175">
        <v>0</v>
      </c>
      <c r="L163" s="175">
        <v>0</v>
      </c>
      <c r="M163" s="175">
        <v>4338.84</v>
      </c>
      <c r="N163" s="175">
        <v>4338.84</v>
      </c>
      <c r="O163" s="175">
        <v>25000</v>
      </c>
    </row>
    <row r="164" spans="1:15">
      <c r="A164" s="175" t="s">
        <v>4172</v>
      </c>
      <c r="B164" s="175" t="s">
        <v>4105</v>
      </c>
      <c r="C164" s="175" t="s">
        <v>4106</v>
      </c>
      <c r="D164" s="175" t="s">
        <v>3952</v>
      </c>
      <c r="E164" s="175" t="s">
        <v>3953</v>
      </c>
      <c r="F164" s="175" t="s">
        <v>3954</v>
      </c>
      <c r="G164" s="175" t="s">
        <v>4107</v>
      </c>
      <c r="H164" s="175">
        <v>40909.089999999997</v>
      </c>
      <c r="I164" s="175">
        <v>0</v>
      </c>
      <c r="J164" s="175">
        <v>0</v>
      </c>
      <c r="K164" s="175">
        <v>0</v>
      </c>
      <c r="L164" s="175">
        <v>0</v>
      </c>
      <c r="M164" s="175">
        <v>8590.91</v>
      </c>
      <c r="N164" s="175">
        <v>8590.91</v>
      </c>
      <c r="O164" s="175">
        <v>49500</v>
      </c>
    </row>
    <row r="165" spans="1:15">
      <c r="A165" s="175" t="s">
        <v>4172</v>
      </c>
      <c r="B165" s="175" t="s">
        <v>3950</v>
      </c>
      <c r="C165" s="175" t="s">
        <v>3951</v>
      </c>
      <c r="D165" s="175" t="s">
        <v>3952</v>
      </c>
      <c r="E165" s="175" t="s">
        <v>3953</v>
      </c>
      <c r="F165" s="175" t="s">
        <v>3954</v>
      </c>
      <c r="G165" s="175" t="s">
        <v>4108</v>
      </c>
      <c r="H165" s="175">
        <v>28099.17</v>
      </c>
      <c r="I165" s="175">
        <v>0</v>
      </c>
      <c r="J165" s="175">
        <v>0</v>
      </c>
      <c r="K165" s="175">
        <v>0</v>
      </c>
      <c r="L165" s="175">
        <v>0</v>
      </c>
      <c r="M165" s="175">
        <v>5900.83</v>
      </c>
      <c r="N165" s="175">
        <v>5900.83</v>
      </c>
      <c r="O165" s="175">
        <v>34000</v>
      </c>
    </row>
    <row r="166" spans="1:15">
      <c r="A166" s="175" t="s">
        <v>4172</v>
      </c>
      <c r="B166" s="175" t="s">
        <v>4123</v>
      </c>
      <c r="C166" s="175" t="s">
        <v>4124</v>
      </c>
      <c r="D166" s="175" t="s">
        <v>3952</v>
      </c>
      <c r="E166" s="175" t="s">
        <v>3953</v>
      </c>
      <c r="F166" s="175" t="s">
        <v>3954</v>
      </c>
      <c r="G166" s="175" t="s">
        <v>4125</v>
      </c>
      <c r="H166" s="175">
        <v>13636.36</v>
      </c>
      <c r="I166" s="175">
        <v>0</v>
      </c>
      <c r="J166" s="175">
        <v>0</v>
      </c>
      <c r="K166" s="175">
        <v>0</v>
      </c>
      <c r="L166" s="175">
        <v>0</v>
      </c>
      <c r="M166" s="175">
        <v>2863.64</v>
      </c>
      <c r="N166" s="175">
        <v>2863.64</v>
      </c>
      <c r="O166" s="175">
        <v>16500</v>
      </c>
    </row>
    <row r="167" spans="1:15">
      <c r="A167" s="175" t="s">
        <v>4172</v>
      </c>
      <c r="B167" s="175" t="s">
        <v>3950</v>
      </c>
      <c r="C167" s="175" t="s">
        <v>3951</v>
      </c>
      <c r="D167" s="175" t="s">
        <v>3952</v>
      </c>
      <c r="E167" s="175" t="s">
        <v>3953</v>
      </c>
      <c r="F167" s="175" t="s">
        <v>3954</v>
      </c>
      <c r="G167" s="175" t="s">
        <v>4127</v>
      </c>
      <c r="H167" s="175">
        <v>13223.14</v>
      </c>
      <c r="I167" s="175">
        <v>0</v>
      </c>
      <c r="J167" s="175">
        <v>0</v>
      </c>
      <c r="K167" s="175">
        <v>0</v>
      </c>
      <c r="L167" s="175">
        <v>0</v>
      </c>
      <c r="M167" s="175">
        <v>2776.86</v>
      </c>
      <c r="N167" s="175">
        <v>2776.86</v>
      </c>
      <c r="O167" s="175">
        <v>16000</v>
      </c>
    </row>
    <row r="168" spans="1:15">
      <c r="A168" s="175" t="s">
        <v>4172</v>
      </c>
      <c r="B168" s="175" t="s">
        <v>3950</v>
      </c>
      <c r="C168" s="175" t="s">
        <v>3951</v>
      </c>
      <c r="D168" s="175" t="s">
        <v>3952</v>
      </c>
      <c r="E168" s="175" t="s">
        <v>3953</v>
      </c>
      <c r="F168" s="175" t="s">
        <v>3954</v>
      </c>
      <c r="G168" s="175" t="s">
        <v>4132</v>
      </c>
      <c r="H168" s="175">
        <v>10413.219999999999</v>
      </c>
      <c r="I168" s="175">
        <v>0</v>
      </c>
      <c r="J168" s="175">
        <v>0</v>
      </c>
      <c r="K168" s="175">
        <v>0</v>
      </c>
      <c r="L168" s="175">
        <v>0</v>
      </c>
      <c r="M168" s="175">
        <v>2186.7800000000002</v>
      </c>
      <c r="N168" s="175">
        <v>2186.7800000000002</v>
      </c>
      <c r="O168" s="175">
        <v>12600</v>
      </c>
    </row>
    <row r="169" spans="1:15">
      <c r="A169" s="175" t="s">
        <v>4172</v>
      </c>
      <c r="B169" s="175" t="s">
        <v>3950</v>
      </c>
      <c r="C169" s="175" t="s">
        <v>3951</v>
      </c>
      <c r="D169" s="175" t="s">
        <v>3952</v>
      </c>
      <c r="E169" s="175" t="s">
        <v>3953</v>
      </c>
      <c r="F169" s="175" t="s">
        <v>3954</v>
      </c>
      <c r="G169" s="175" t="s">
        <v>4136</v>
      </c>
      <c r="H169" s="175">
        <v>16528.93</v>
      </c>
      <c r="I169" s="175">
        <v>0</v>
      </c>
      <c r="J169" s="175">
        <v>0</v>
      </c>
      <c r="K169" s="175">
        <v>0</v>
      </c>
      <c r="L169" s="175">
        <v>0</v>
      </c>
      <c r="M169" s="175">
        <v>3471.07</v>
      </c>
      <c r="N169" s="175">
        <v>3471.07</v>
      </c>
      <c r="O169" s="175">
        <v>20000</v>
      </c>
    </row>
    <row r="170" spans="1:15">
      <c r="A170" s="175" t="s">
        <v>4172</v>
      </c>
      <c r="B170" s="175" t="s">
        <v>3950</v>
      </c>
      <c r="C170" s="175" t="s">
        <v>3951</v>
      </c>
      <c r="D170" s="175" t="s">
        <v>3952</v>
      </c>
      <c r="E170" s="175" t="s">
        <v>3953</v>
      </c>
      <c r="F170" s="175" t="s">
        <v>3954</v>
      </c>
      <c r="G170" s="175" t="s">
        <v>4140</v>
      </c>
      <c r="H170" s="175">
        <v>20454.55</v>
      </c>
      <c r="I170" s="175">
        <v>0</v>
      </c>
      <c r="J170" s="175">
        <v>0</v>
      </c>
      <c r="K170" s="175">
        <v>0</v>
      </c>
      <c r="L170" s="175">
        <v>0</v>
      </c>
      <c r="M170" s="175">
        <v>4295.45</v>
      </c>
      <c r="N170" s="175">
        <v>4295.45</v>
      </c>
      <c r="O170" s="175">
        <v>24750</v>
      </c>
    </row>
    <row r="171" spans="1:15">
      <c r="A171" s="175" t="s">
        <v>4172</v>
      </c>
      <c r="B171" s="175" t="s">
        <v>3950</v>
      </c>
      <c r="C171" s="175" t="s">
        <v>3951</v>
      </c>
      <c r="D171" s="175" t="s">
        <v>3952</v>
      </c>
      <c r="E171" s="175" t="s">
        <v>3953</v>
      </c>
      <c r="F171" s="175" t="s">
        <v>3954</v>
      </c>
      <c r="G171" s="175" t="s">
        <v>4141</v>
      </c>
      <c r="H171" s="175">
        <v>13223.14</v>
      </c>
      <c r="I171" s="175">
        <v>0</v>
      </c>
      <c r="J171" s="175">
        <v>0</v>
      </c>
      <c r="K171" s="175">
        <v>0</v>
      </c>
      <c r="L171" s="175">
        <v>0</v>
      </c>
      <c r="M171" s="175">
        <v>2776.86</v>
      </c>
      <c r="N171" s="175">
        <v>2776.86</v>
      </c>
      <c r="O171" s="175">
        <v>16000</v>
      </c>
    </row>
    <row r="172" spans="1:15">
      <c r="A172" s="175" t="s">
        <v>4172</v>
      </c>
      <c r="B172" s="175" t="s">
        <v>3950</v>
      </c>
      <c r="C172" s="175" t="s">
        <v>3951</v>
      </c>
      <c r="D172" s="175" t="s">
        <v>3952</v>
      </c>
      <c r="E172" s="175" t="s">
        <v>3953</v>
      </c>
      <c r="F172" s="175" t="s">
        <v>3954</v>
      </c>
      <c r="G172" s="175" t="s">
        <v>4145</v>
      </c>
      <c r="H172" s="175">
        <v>15289.26</v>
      </c>
      <c r="I172" s="175">
        <v>0</v>
      </c>
      <c r="J172" s="175">
        <v>0</v>
      </c>
      <c r="K172" s="175">
        <v>0</v>
      </c>
      <c r="L172" s="175">
        <v>0</v>
      </c>
      <c r="M172" s="175">
        <v>3210.74</v>
      </c>
      <c r="N172" s="175">
        <v>3210.74</v>
      </c>
      <c r="O172" s="175">
        <v>18500</v>
      </c>
    </row>
    <row r="173" spans="1:15">
      <c r="A173" s="175" t="s">
        <v>4172</v>
      </c>
      <c r="B173" s="175" t="s">
        <v>3950</v>
      </c>
      <c r="C173" s="175" t="s">
        <v>3951</v>
      </c>
      <c r="D173" s="175" t="s">
        <v>3952</v>
      </c>
      <c r="E173" s="175" t="s">
        <v>3953</v>
      </c>
      <c r="F173" s="175" t="s">
        <v>3954</v>
      </c>
      <c r="G173" s="175" t="s">
        <v>4146</v>
      </c>
      <c r="H173" s="175">
        <v>15702.48</v>
      </c>
      <c r="I173" s="175">
        <v>0</v>
      </c>
      <c r="J173" s="175">
        <v>0</v>
      </c>
      <c r="K173" s="175">
        <v>0</v>
      </c>
      <c r="L173" s="175">
        <v>0</v>
      </c>
      <c r="M173" s="175">
        <v>3297.52</v>
      </c>
      <c r="N173" s="175">
        <v>3297.52</v>
      </c>
      <c r="O173" s="175">
        <v>19000</v>
      </c>
    </row>
    <row r="174" spans="1:15">
      <c r="A174" s="175" t="s">
        <v>4172</v>
      </c>
      <c r="B174" s="175" t="s">
        <v>3950</v>
      </c>
      <c r="C174" s="175" t="s">
        <v>3951</v>
      </c>
      <c r="D174" s="175" t="s">
        <v>3952</v>
      </c>
      <c r="E174" s="175" t="s">
        <v>3953</v>
      </c>
      <c r="F174" s="175" t="s">
        <v>3954</v>
      </c>
      <c r="G174" s="175" t="s">
        <v>4147</v>
      </c>
      <c r="H174" s="175">
        <v>14049.59</v>
      </c>
      <c r="I174" s="175">
        <v>0</v>
      </c>
      <c r="J174" s="175">
        <v>0</v>
      </c>
      <c r="K174" s="175">
        <v>0</v>
      </c>
      <c r="L174" s="175">
        <v>0</v>
      </c>
      <c r="M174" s="175">
        <v>2950.41</v>
      </c>
      <c r="N174" s="175">
        <v>2950.41</v>
      </c>
      <c r="O174" s="175">
        <v>17000</v>
      </c>
    </row>
    <row r="175" spans="1:15">
      <c r="A175" s="175" t="s">
        <v>4172</v>
      </c>
      <c r="B175" s="175" t="s">
        <v>3950</v>
      </c>
      <c r="C175" s="175" t="s">
        <v>3951</v>
      </c>
      <c r="D175" s="175" t="s">
        <v>3952</v>
      </c>
      <c r="E175" s="175" t="s">
        <v>3953</v>
      </c>
      <c r="F175" s="175" t="s">
        <v>3954</v>
      </c>
      <c r="G175" s="175" t="s">
        <v>4148</v>
      </c>
      <c r="H175" s="175">
        <v>20454.55</v>
      </c>
      <c r="I175" s="175">
        <v>0</v>
      </c>
      <c r="J175" s="175">
        <v>0</v>
      </c>
      <c r="K175" s="175">
        <v>0</v>
      </c>
      <c r="L175" s="175">
        <v>0</v>
      </c>
      <c r="M175" s="175">
        <v>4295.45</v>
      </c>
      <c r="N175" s="175">
        <v>4295.45</v>
      </c>
      <c r="O175" s="175">
        <v>24750</v>
      </c>
    </row>
    <row r="176" spans="1:15">
      <c r="A176" s="175" t="s">
        <v>4172</v>
      </c>
      <c r="B176" s="175" t="s">
        <v>3950</v>
      </c>
      <c r="C176" s="175" t="s">
        <v>3951</v>
      </c>
      <c r="D176" s="175" t="s">
        <v>3952</v>
      </c>
      <c r="E176" s="175" t="s">
        <v>3953</v>
      </c>
      <c r="F176" s="175" t="s">
        <v>3954</v>
      </c>
      <c r="G176" s="175" t="s">
        <v>4149</v>
      </c>
      <c r="H176" s="175">
        <v>28925.62</v>
      </c>
      <c r="I176" s="175">
        <v>0</v>
      </c>
      <c r="J176" s="175">
        <v>0</v>
      </c>
      <c r="K176" s="175">
        <v>0</v>
      </c>
      <c r="L176" s="175">
        <v>0</v>
      </c>
      <c r="M176" s="175">
        <v>6074.38</v>
      </c>
      <c r="N176" s="175">
        <v>6074.38</v>
      </c>
      <c r="O176" s="175">
        <v>35000</v>
      </c>
    </row>
    <row r="177" spans="1:15">
      <c r="A177" s="175" t="s">
        <v>4172</v>
      </c>
      <c r="B177" s="175" t="s">
        <v>4152</v>
      </c>
      <c r="C177" s="175" t="s">
        <v>4153</v>
      </c>
      <c r="D177" s="175" t="s">
        <v>3952</v>
      </c>
      <c r="E177" s="175" t="s">
        <v>3953</v>
      </c>
      <c r="F177" s="175" t="s">
        <v>3954</v>
      </c>
      <c r="G177" s="175" t="s">
        <v>4154</v>
      </c>
      <c r="H177" s="175">
        <v>12727.27</v>
      </c>
      <c r="I177" s="175">
        <v>0</v>
      </c>
      <c r="J177" s="175">
        <v>0</v>
      </c>
      <c r="K177" s="175">
        <v>0</v>
      </c>
      <c r="L177" s="175">
        <v>0</v>
      </c>
      <c r="M177" s="175">
        <v>2672.73</v>
      </c>
      <c r="N177" s="175">
        <v>2672.73</v>
      </c>
      <c r="O177" s="175">
        <v>15400</v>
      </c>
    </row>
    <row r="178" spans="1:15">
      <c r="A178" s="175" t="s">
        <v>4172</v>
      </c>
      <c r="B178" s="175" t="s">
        <v>3950</v>
      </c>
      <c r="C178" s="175" t="s">
        <v>3951</v>
      </c>
      <c r="D178" s="175" t="s">
        <v>3952</v>
      </c>
      <c r="E178" s="175" t="s">
        <v>3953</v>
      </c>
      <c r="F178" s="175" t="s">
        <v>3954</v>
      </c>
      <c r="G178" s="175" t="s">
        <v>4158</v>
      </c>
      <c r="H178" s="175">
        <v>3305.79</v>
      </c>
      <c r="I178" s="175">
        <v>0</v>
      </c>
      <c r="J178" s="175">
        <v>0</v>
      </c>
      <c r="K178" s="175">
        <v>0</v>
      </c>
      <c r="L178" s="175">
        <v>0</v>
      </c>
      <c r="M178" s="175">
        <v>694.21</v>
      </c>
      <c r="N178" s="175">
        <v>694.21</v>
      </c>
      <c r="O178" s="175">
        <v>4000</v>
      </c>
    </row>
    <row r="179" spans="1:15">
      <c r="A179" s="175" t="s">
        <v>4172</v>
      </c>
      <c r="B179" s="175" t="s">
        <v>3950</v>
      </c>
      <c r="C179" s="175" t="s">
        <v>3951</v>
      </c>
      <c r="D179" s="175" t="s">
        <v>3952</v>
      </c>
      <c r="E179" s="175" t="s">
        <v>3953</v>
      </c>
      <c r="F179" s="175" t="s">
        <v>3954</v>
      </c>
      <c r="G179" s="175" t="s">
        <v>4161</v>
      </c>
      <c r="H179" s="175">
        <v>17355.37</v>
      </c>
      <c r="I179" s="175">
        <v>0</v>
      </c>
      <c r="J179" s="175">
        <v>0</v>
      </c>
      <c r="K179" s="175">
        <v>0</v>
      </c>
      <c r="L179" s="175">
        <v>0</v>
      </c>
      <c r="M179" s="175">
        <v>3644.63</v>
      </c>
      <c r="N179" s="175">
        <v>3644.63</v>
      </c>
      <c r="O179" s="175">
        <v>21000</v>
      </c>
    </row>
    <row r="180" spans="1:15">
      <c r="A180" s="175" t="s">
        <v>4172</v>
      </c>
      <c r="B180" s="175" t="s">
        <v>3950</v>
      </c>
      <c r="C180" s="175" t="s">
        <v>3951</v>
      </c>
      <c r="D180" s="175" t="s">
        <v>3952</v>
      </c>
      <c r="E180" s="175" t="s">
        <v>3953</v>
      </c>
      <c r="F180" s="175" t="s">
        <v>3954</v>
      </c>
      <c r="G180" s="175" t="s">
        <v>4162</v>
      </c>
      <c r="H180" s="175">
        <v>26446.28</v>
      </c>
      <c r="I180" s="175">
        <v>0</v>
      </c>
      <c r="J180" s="175">
        <v>0</v>
      </c>
      <c r="K180" s="175">
        <v>0</v>
      </c>
      <c r="L180" s="175">
        <v>0</v>
      </c>
      <c r="M180" s="175">
        <v>5553.72</v>
      </c>
      <c r="N180" s="175">
        <v>5553.72</v>
      </c>
      <c r="O180" s="175">
        <v>32000</v>
      </c>
    </row>
    <row r="181" spans="1:15">
      <c r="A181" s="175" t="s">
        <v>4172</v>
      </c>
      <c r="B181" s="175" t="s">
        <v>3950</v>
      </c>
      <c r="C181" s="175" t="s">
        <v>3951</v>
      </c>
      <c r="D181" s="175" t="s">
        <v>3952</v>
      </c>
      <c r="E181" s="175" t="s">
        <v>3953</v>
      </c>
      <c r="F181" s="175" t="s">
        <v>3954</v>
      </c>
      <c r="G181" s="175" t="s">
        <v>4167</v>
      </c>
      <c r="H181" s="175">
        <v>14793.39</v>
      </c>
      <c r="I181" s="175">
        <v>0</v>
      </c>
      <c r="J181" s="175">
        <v>0</v>
      </c>
      <c r="K181" s="175">
        <v>0</v>
      </c>
      <c r="L181" s="175">
        <v>0</v>
      </c>
      <c r="M181" s="175">
        <v>3106.61</v>
      </c>
      <c r="N181" s="175">
        <v>3106.61</v>
      </c>
      <c r="O181" s="175">
        <v>17900</v>
      </c>
    </row>
    <row r="182" spans="1:15">
      <c r="A182" s="175" t="s">
        <v>4172</v>
      </c>
      <c r="B182" s="175" t="s">
        <v>3950</v>
      </c>
      <c r="C182" s="175" t="s">
        <v>3951</v>
      </c>
      <c r="D182" s="175" t="s">
        <v>3952</v>
      </c>
      <c r="E182" s="175" t="s">
        <v>3953</v>
      </c>
      <c r="F182" s="175" t="s">
        <v>3954</v>
      </c>
      <c r="G182" s="175" t="s">
        <v>4170</v>
      </c>
      <c r="H182" s="175">
        <v>22314.05</v>
      </c>
      <c r="I182" s="175">
        <v>0</v>
      </c>
      <c r="J182" s="175">
        <v>0</v>
      </c>
      <c r="K182" s="175">
        <v>0</v>
      </c>
      <c r="L182" s="175">
        <v>0</v>
      </c>
      <c r="M182" s="175">
        <v>4685.95</v>
      </c>
      <c r="N182" s="175">
        <v>4685.95</v>
      </c>
      <c r="O182" s="175">
        <v>27000</v>
      </c>
    </row>
    <row r="183" spans="1:15">
      <c r="A183" s="175" t="s">
        <v>4172</v>
      </c>
      <c r="B183" s="175" t="s">
        <v>3950</v>
      </c>
      <c r="C183" s="175" t="s">
        <v>3951</v>
      </c>
      <c r="D183" s="175" t="s">
        <v>3952</v>
      </c>
      <c r="E183" s="175" t="s">
        <v>3953</v>
      </c>
      <c r="F183" s="175" t="s">
        <v>3954</v>
      </c>
      <c r="G183" s="175" t="s">
        <v>4173</v>
      </c>
      <c r="H183" s="175">
        <v>22314.05</v>
      </c>
      <c r="I183" s="175">
        <v>0</v>
      </c>
      <c r="J183" s="175">
        <v>0</v>
      </c>
      <c r="K183" s="175">
        <v>0</v>
      </c>
      <c r="L183" s="175">
        <v>0</v>
      </c>
      <c r="M183" s="175">
        <v>4685.95</v>
      </c>
      <c r="N183" s="175">
        <v>4685.95</v>
      </c>
      <c r="O183" s="175">
        <v>27000</v>
      </c>
    </row>
    <row r="184" spans="1:15">
      <c r="A184" s="175" t="s">
        <v>4172</v>
      </c>
      <c r="B184" s="175" t="s">
        <v>3950</v>
      </c>
      <c r="C184" s="175" t="s">
        <v>3951</v>
      </c>
      <c r="D184" s="175" t="s">
        <v>3952</v>
      </c>
      <c r="E184" s="175" t="s">
        <v>3953</v>
      </c>
      <c r="F184" s="175" t="s">
        <v>3954</v>
      </c>
      <c r="G184" s="175" t="s">
        <v>4174</v>
      </c>
      <c r="H184" s="175">
        <v>4132.2299999999996</v>
      </c>
      <c r="I184" s="175">
        <v>0</v>
      </c>
      <c r="J184" s="175">
        <v>0</v>
      </c>
      <c r="K184" s="175">
        <v>0</v>
      </c>
      <c r="L184" s="175">
        <v>0</v>
      </c>
      <c r="M184" s="175">
        <v>867.77</v>
      </c>
      <c r="N184" s="175">
        <v>867.77</v>
      </c>
      <c r="O184" s="175">
        <v>5000</v>
      </c>
    </row>
    <row r="185" spans="1:15">
      <c r="A185" s="175" t="s">
        <v>4172</v>
      </c>
      <c r="B185" s="175" t="s">
        <v>3950</v>
      </c>
      <c r="C185" s="175" t="s">
        <v>3951</v>
      </c>
      <c r="D185" s="175" t="s">
        <v>3952</v>
      </c>
      <c r="E185" s="175" t="s">
        <v>3953</v>
      </c>
      <c r="F185" s="175" t="s">
        <v>3954</v>
      </c>
      <c r="G185" s="175" t="s">
        <v>4175</v>
      </c>
      <c r="H185" s="175">
        <v>28595.040000000001</v>
      </c>
      <c r="I185" s="175">
        <v>0</v>
      </c>
      <c r="J185" s="175">
        <v>0</v>
      </c>
      <c r="K185" s="175">
        <v>0</v>
      </c>
      <c r="L185" s="175">
        <v>0</v>
      </c>
      <c r="M185" s="175">
        <v>6004.96</v>
      </c>
      <c r="N185" s="175">
        <v>6004.96</v>
      </c>
      <c r="O185" s="175">
        <v>34600</v>
      </c>
    </row>
    <row r="186" spans="1:15">
      <c r="A186" s="175" t="s">
        <v>4172</v>
      </c>
      <c r="B186" s="175" t="s">
        <v>3950</v>
      </c>
      <c r="C186" s="175" t="s">
        <v>3951</v>
      </c>
      <c r="D186" s="175" t="s">
        <v>3952</v>
      </c>
      <c r="E186" s="175" t="s">
        <v>3953</v>
      </c>
      <c r="F186" s="175" t="s">
        <v>3954</v>
      </c>
      <c r="G186" s="175" t="s">
        <v>4176</v>
      </c>
      <c r="H186" s="175">
        <v>13223.14</v>
      </c>
      <c r="I186" s="175">
        <v>0</v>
      </c>
      <c r="J186" s="175">
        <v>0</v>
      </c>
      <c r="K186" s="175">
        <v>0</v>
      </c>
      <c r="L186" s="175">
        <v>0</v>
      </c>
      <c r="M186" s="175">
        <v>2776.86</v>
      </c>
      <c r="N186" s="175">
        <v>2776.86</v>
      </c>
      <c r="O186" s="175">
        <v>16000</v>
      </c>
    </row>
    <row r="187" spans="1:15">
      <c r="A187" s="175" t="s">
        <v>4172</v>
      </c>
      <c r="B187" s="175" t="s">
        <v>3950</v>
      </c>
      <c r="C187" s="175" t="s">
        <v>3951</v>
      </c>
      <c r="D187" s="175" t="s">
        <v>3952</v>
      </c>
      <c r="E187" s="175" t="s">
        <v>3953</v>
      </c>
      <c r="F187" s="175" t="s">
        <v>3954</v>
      </c>
      <c r="G187" s="175" t="s">
        <v>4177</v>
      </c>
      <c r="H187" s="175">
        <v>13223.14</v>
      </c>
      <c r="I187" s="175">
        <v>0</v>
      </c>
      <c r="J187" s="175">
        <v>0</v>
      </c>
      <c r="K187" s="175">
        <v>0</v>
      </c>
      <c r="L187" s="175">
        <v>0</v>
      </c>
      <c r="M187" s="175">
        <v>2776.86</v>
      </c>
      <c r="N187" s="175">
        <v>2776.86</v>
      </c>
      <c r="O187" s="175">
        <v>16000</v>
      </c>
    </row>
    <row r="188" spans="1:15">
      <c r="A188" s="175" t="s">
        <v>4204</v>
      </c>
      <c r="B188" s="175" t="s">
        <v>3950</v>
      </c>
      <c r="C188" s="175" t="s">
        <v>3951</v>
      </c>
      <c r="D188" s="175" t="s">
        <v>3952</v>
      </c>
      <c r="E188" s="175" t="s">
        <v>3953</v>
      </c>
      <c r="F188" s="175" t="s">
        <v>3954</v>
      </c>
      <c r="G188" s="175" t="s">
        <v>4178</v>
      </c>
      <c r="H188" s="175">
        <v>31818.18</v>
      </c>
      <c r="I188" s="175">
        <v>0</v>
      </c>
      <c r="J188" s="175">
        <v>0</v>
      </c>
      <c r="K188" s="175">
        <v>0</v>
      </c>
      <c r="L188" s="175">
        <v>0</v>
      </c>
      <c r="M188" s="175">
        <v>6681.82</v>
      </c>
      <c r="N188" s="175">
        <v>6681.82</v>
      </c>
      <c r="O188" s="175">
        <v>38500</v>
      </c>
    </row>
    <row r="189" spans="1:15">
      <c r="A189" s="175" t="s">
        <v>4204</v>
      </c>
      <c r="B189" s="175" t="s">
        <v>3950</v>
      </c>
      <c r="C189" s="175" t="s">
        <v>3951</v>
      </c>
      <c r="D189" s="175" t="s">
        <v>3952</v>
      </c>
      <c r="E189" s="175" t="s">
        <v>3953</v>
      </c>
      <c r="F189" s="175" t="s">
        <v>3954</v>
      </c>
      <c r="G189" s="175" t="s">
        <v>4179</v>
      </c>
      <c r="H189" s="175">
        <v>10743.8</v>
      </c>
      <c r="I189" s="175">
        <v>0</v>
      </c>
      <c r="J189" s="175">
        <v>0</v>
      </c>
      <c r="K189" s="175">
        <v>0</v>
      </c>
      <c r="L189" s="175">
        <v>0</v>
      </c>
      <c r="M189" s="175">
        <v>2256.1999999999998</v>
      </c>
      <c r="N189" s="175">
        <v>2256.1999999999998</v>
      </c>
      <c r="O189" s="175">
        <v>13000</v>
      </c>
    </row>
    <row r="190" spans="1:15">
      <c r="A190" s="175" t="s">
        <v>4204</v>
      </c>
      <c r="B190" s="175" t="s">
        <v>3950</v>
      </c>
      <c r="C190" s="175" t="s">
        <v>3951</v>
      </c>
      <c r="D190" s="175" t="s">
        <v>3952</v>
      </c>
      <c r="E190" s="175" t="s">
        <v>3953</v>
      </c>
      <c r="F190" s="175" t="s">
        <v>3954</v>
      </c>
      <c r="G190" s="175" t="s">
        <v>4180</v>
      </c>
      <c r="H190" s="175">
        <v>16942.150000000001</v>
      </c>
      <c r="I190" s="175">
        <v>0</v>
      </c>
      <c r="J190" s="175">
        <v>0</v>
      </c>
      <c r="K190" s="175">
        <v>0</v>
      </c>
      <c r="L190" s="175">
        <v>0</v>
      </c>
      <c r="M190" s="175">
        <v>3557.85</v>
      </c>
      <c r="N190" s="175">
        <v>3557.85</v>
      </c>
      <c r="O190" s="175">
        <v>20500</v>
      </c>
    </row>
    <row r="191" spans="1:15">
      <c r="A191" s="175" t="s">
        <v>4204</v>
      </c>
      <c r="B191" s="175" t="s">
        <v>3950</v>
      </c>
      <c r="C191" s="175" t="s">
        <v>3951</v>
      </c>
      <c r="D191" s="175" t="s">
        <v>3952</v>
      </c>
      <c r="E191" s="175" t="s">
        <v>3953</v>
      </c>
      <c r="F191" s="175" t="s">
        <v>3954</v>
      </c>
      <c r="G191" s="175" t="s">
        <v>4181</v>
      </c>
      <c r="H191" s="175">
        <v>26446.28</v>
      </c>
      <c r="I191" s="175">
        <v>0</v>
      </c>
      <c r="J191" s="175">
        <v>0</v>
      </c>
      <c r="K191" s="175">
        <v>0</v>
      </c>
      <c r="L191" s="175">
        <v>0</v>
      </c>
      <c r="M191" s="175">
        <v>5553.72</v>
      </c>
      <c r="N191" s="175">
        <v>5553.72</v>
      </c>
      <c r="O191" s="175">
        <v>32000</v>
      </c>
    </row>
    <row r="192" spans="1:15">
      <c r="A192" s="175" t="s">
        <v>4204</v>
      </c>
      <c r="B192" s="175" t="s">
        <v>3950</v>
      </c>
      <c r="C192" s="175" t="s">
        <v>3951</v>
      </c>
      <c r="D192" s="175" t="s">
        <v>3952</v>
      </c>
      <c r="E192" s="175" t="s">
        <v>3953</v>
      </c>
      <c r="F192" s="175" t="s">
        <v>3954</v>
      </c>
      <c r="G192" s="175" t="s">
        <v>4182</v>
      </c>
      <c r="H192" s="175">
        <v>20454.55</v>
      </c>
      <c r="I192" s="175">
        <v>0</v>
      </c>
      <c r="J192" s="175">
        <v>0</v>
      </c>
      <c r="K192" s="175">
        <v>0</v>
      </c>
      <c r="L192" s="175">
        <v>0</v>
      </c>
      <c r="M192" s="175">
        <v>4295.45</v>
      </c>
      <c r="N192" s="175">
        <v>4295.45</v>
      </c>
      <c r="O192" s="175">
        <v>24750</v>
      </c>
    </row>
    <row r="193" spans="1:15">
      <c r="A193" s="175" t="s">
        <v>4204</v>
      </c>
      <c r="B193" s="175" t="s">
        <v>3950</v>
      </c>
      <c r="C193" s="175" t="s">
        <v>3951</v>
      </c>
      <c r="D193" s="175" t="s">
        <v>3952</v>
      </c>
      <c r="E193" s="175" t="s">
        <v>3953</v>
      </c>
      <c r="F193" s="175" t="s">
        <v>3954</v>
      </c>
      <c r="G193" s="175" t="s">
        <v>4183</v>
      </c>
      <c r="H193" s="175">
        <v>37190.080000000002</v>
      </c>
      <c r="I193" s="175">
        <v>0</v>
      </c>
      <c r="J193" s="175">
        <v>0</v>
      </c>
      <c r="K193" s="175">
        <v>0</v>
      </c>
      <c r="L193" s="175">
        <v>0</v>
      </c>
      <c r="M193" s="175">
        <v>7809.92</v>
      </c>
      <c r="N193" s="175">
        <v>7809.92</v>
      </c>
      <c r="O193" s="175">
        <v>45000</v>
      </c>
    </row>
    <row r="194" spans="1:15">
      <c r="A194" s="175" t="s">
        <v>4204</v>
      </c>
      <c r="B194" s="175" t="s">
        <v>3950</v>
      </c>
      <c r="C194" s="175" t="s">
        <v>3951</v>
      </c>
      <c r="D194" s="175" t="s">
        <v>3952</v>
      </c>
      <c r="E194" s="175" t="s">
        <v>3953</v>
      </c>
      <c r="F194" s="175" t="s">
        <v>3954</v>
      </c>
      <c r="G194" s="175" t="s">
        <v>4184</v>
      </c>
      <c r="H194" s="175">
        <v>53719.01</v>
      </c>
      <c r="I194" s="175">
        <v>0</v>
      </c>
      <c r="J194" s="175">
        <v>0</v>
      </c>
      <c r="K194" s="175">
        <v>0</v>
      </c>
      <c r="L194" s="175">
        <v>0</v>
      </c>
      <c r="M194" s="175">
        <v>11280.99</v>
      </c>
      <c r="N194" s="175">
        <v>11280.99</v>
      </c>
      <c r="O194" s="175">
        <v>65000</v>
      </c>
    </row>
    <row r="195" spans="1:15">
      <c r="A195" s="175" t="s">
        <v>4204</v>
      </c>
      <c r="B195" s="175" t="s">
        <v>3950</v>
      </c>
      <c r="C195" s="175" t="s">
        <v>3951</v>
      </c>
      <c r="D195" s="175" t="s">
        <v>3952</v>
      </c>
      <c r="E195" s="175" t="s">
        <v>3953</v>
      </c>
      <c r="F195" s="175" t="s">
        <v>3954</v>
      </c>
      <c r="G195" s="175" t="s">
        <v>4185</v>
      </c>
      <c r="H195" s="175">
        <v>10743.8</v>
      </c>
      <c r="I195" s="175">
        <v>0</v>
      </c>
      <c r="J195" s="175">
        <v>0</v>
      </c>
      <c r="K195" s="175">
        <v>0</v>
      </c>
      <c r="L195" s="175">
        <v>0</v>
      </c>
      <c r="M195" s="175">
        <v>2256.1999999999998</v>
      </c>
      <c r="N195" s="175">
        <v>2256.1999999999998</v>
      </c>
      <c r="O195" s="175">
        <v>13000</v>
      </c>
    </row>
    <row r="196" spans="1:15">
      <c r="A196" s="175" t="s">
        <v>4204</v>
      </c>
      <c r="B196" s="175" t="s">
        <v>3950</v>
      </c>
      <c r="C196" s="175" t="s">
        <v>3951</v>
      </c>
      <c r="D196" s="175" t="s">
        <v>3952</v>
      </c>
      <c r="E196" s="175" t="s">
        <v>3953</v>
      </c>
      <c r="F196" s="175" t="s">
        <v>3954</v>
      </c>
      <c r="G196" s="175" t="s">
        <v>4186</v>
      </c>
      <c r="H196" s="175">
        <v>28925.62</v>
      </c>
      <c r="I196" s="175">
        <v>0</v>
      </c>
      <c r="J196" s="175">
        <v>0</v>
      </c>
      <c r="K196" s="175">
        <v>0</v>
      </c>
      <c r="L196" s="175">
        <v>0</v>
      </c>
      <c r="M196" s="175">
        <v>6074.38</v>
      </c>
      <c r="N196" s="175">
        <v>6074.38</v>
      </c>
      <c r="O196" s="175">
        <v>35000</v>
      </c>
    </row>
    <row r="197" spans="1:15">
      <c r="A197" s="175" t="s">
        <v>4204</v>
      </c>
      <c r="B197" s="175" t="s">
        <v>4189</v>
      </c>
      <c r="C197" s="175" t="s">
        <v>4190</v>
      </c>
      <c r="D197" s="175" t="s">
        <v>3952</v>
      </c>
      <c r="E197" s="175" t="s">
        <v>3953</v>
      </c>
      <c r="F197" s="175" t="s">
        <v>3954</v>
      </c>
      <c r="G197" s="175" t="s">
        <v>4191</v>
      </c>
      <c r="H197" s="175">
        <v>239256.2</v>
      </c>
      <c r="I197" s="175">
        <v>0</v>
      </c>
      <c r="J197" s="175">
        <v>0</v>
      </c>
      <c r="K197" s="175">
        <v>0</v>
      </c>
      <c r="L197" s="175">
        <v>0</v>
      </c>
      <c r="M197" s="175">
        <v>50243.8</v>
      </c>
      <c r="N197" s="175">
        <v>50243.8</v>
      </c>
      <c r="O197" s="175">
        <v>289500</v>
      </c>
    </row>
    <row r="198" spans="1:15">
      <c r="A198" s="175" t="s">
        <v>4204</v>
      </c>
      <c r="B198" s="175" t="s">
        <v>4192</v>
      </c>
      <c r="C198" s="175" t="s">
        <v>4193</v>
      </c>
      <c r="D198" s="175" t="s">
        <v>3952</v>
      </c>
      <c r="E198" s="175" t="s">
        <v>3953</v>
      </c>
      <c r="F198" s="175" t="s">
        <v>3954</v>
      </c>
      <c r="G198" s="175" t="s">
        <v>4194</v>
      </c>
      <c r="H198" s="175">
        <v>40909.089999999997</v>
      </c>
      <c r="I198" s="175">
        <v>0</v>
      </c>
      <c r="J198" s="175">
        <v>0</v>
      </c>
      <c r="K198" s="175">
        <v>0</v>
      </c>
      <c r="L198" s="175">
        <v>0</v>
      </c>
      <c r="M198" s="175">
        <v>8590.91</v>
      </c>
      <c r="N198" s="175">
        <v>8590.91</v>
      </c>
      <c r="O198" s="175">
        <v>49500</v>
      </c>
    </row>
    <row r="199" spans="1:15">
      <c r="A199" s="175" t="s">
        <v>4204</v>
      </c>
      <c r="B199" s="175" t="s">
        <v>3950</v>
      </c>
      <c r="C199" s="175" t="s">
        <v>3951</v>
      </c>
      <c r="D199" s="175" t="s">
        <v>3952</v>
      </c>
      <c r="E199" s="175" t="s">
        <v>3953</v>
      </c>
      <c r="F199" s="175" t="s">
        <v>3954</v>
      </c>
      <c r="G199" s="175" t="s">
        <v>4195</v>
      </c>
      <c r="H199" s="175">
        <v>13388.43</v>
      </c>
      <c r="I199" s="175">
        <v>0</v>
      </c>
      <c r="J199" s="175">
        <v>0</v>
      </c>
      <c r="K199" s="175">
        <v>0</v>
      </c>
      <c r="L199" s="175">
        <v>0</v>
      </c>
      <c r="M199" s="175">
        <v>2811.57</v>
      </c>
      <c r="N199" s="175">
        <v>2811.57</v>
      </c>
      <c r="O199" s="175">
        <v>16200</v>
      </c>
    </row>
    <row r="200" spans="1:15">
      <c r="A200" s="175" t="s">
        <v>4204</v>
      </c>
      <c r="B200" s="175" t="s">
        <v>3950</v>
      </c>
      <c r="C200" s="175" t="s">
        <v>3951</v>
      </c>
      <c r="D200" s="175" t="s">
        <v>3952</v>
      </c>
      <c r="E200" s="175" t="s">
        <v>3953</v>
      </c>
      <c r="F200" s="175" t="s">
        <v>3954</v>
      </c>
      <c r="G200" s="175" t="s">
        <v>4205</v>
      </c>
      <c r="H200" s="175">
        <v>25619.83</v>
      </c>
      <c r="I200" s="175">
        <v>0</v>
      </c>
      <c r="J200" s="175">
        <v>0</v>
      </c>
      <c r="K200" s="175">
        <v>0</v>
      </c>
      <c r="L200" s="175">
        <v>0</v>
      </c>
      <c r="M200" s="175">
        <v>5380.17</v>
      </c>
      <c r="N200" s="175">
        <v>5380.17</v>
      </c>
      <c r="O200" s="175">
        <v>31000</v>
      </c>
    </row>
    <row r="201" spans="1:15">
      <c r="A201" s="175" t="s">
        <v>4204</v>
      </c>
      <c r="B201" s="175" t="s">
        <v>4210</v>
      </c>
      <c r="C201" s="175" t="s">
        <v>4211</v>
      </c>
      <c r="D201" s="175" t="s">
        <v>3952</v>
      </c>
      <c r="E201" s="175" t="s">
        <v>3953</v>
      </c>
      <c r="F201" s="175" t="s">
        <v>3969</v>
      </c>
      <c r="G201" s="175" t="s">
        <v>4212</v>
      </c>
      <c r="H201" s="175">
        <v>17355.37</v>
      </c>
      <c r="I201" s="175">
        <v>0</v>
      </c>
      <c r="J201" s="175">
        <v>0</v>
      </c>
      <c r="K201" s="175">
        <v>0</v>
      </c>
      <c r="L201" s="175">
        <v>0</v>
      </c>
      <c r="M201" s="175">
        <v>3644.63</v>
      </c>
      <c r="N201" s="175">
        <v>3644.63</v>
      </c>
      <c r="O201" s="175">
        <v>21000</v>
      </c>
    </row>
    <row r="202" spans="1:15">
      <c r="A202" s="175" t="s">
        <v>4204</v>
      </c>
      <c r="B202" s="175" t="s">
        <v>3950</v>
      </c>
      <c r="C202" s="175" t="s">
        <v>3951</v>
      </c>
      <c r="D202" s="175" t="s">
        <v>3952</v>
      </c>
      <c r="E202" s="175" t="s">
        <v>3953</v>
      </c>
      <c r="F202" s="175" t="s">
        <v>3954</v>
      </c>
      <c r="G202" s="175" t="s">
        <v>4213</v>
      </c>
      <c r="H202" s="175">
        <v>14669.42</v>
      </c>
      <c r="I202" s="175">
        <v>0</v>
      </c>
      <c r="J202" s="175">
        <v>0</v>
      </c>
      <c r="K202" s="175">
        <v>0</v>
      </c>
      <c r="L202" s="175">
        <v>0</v>
      </c>
      <c r="M202" s="175">
        <v>3080.58</v>
      </c>
      <c r="N202" s="175">
        <v>3080.58</v>
      </c>
      <c r="O202" s="175">
        <v>17750</v>
      </c>
    </row>
    <row r="203" spans="1:15">
      <c r="A203" s="175" t="s">
        <v>4204</v>
      </c>
      <c r="B203" s="175" t="s">
        <v>3950</v>
      </c>
      <c r="C203" s="175" t="s">
        <v>3951</v>
      </c>
      <c r="D203" s="175" t="s">
        <v>3952</v>
      </c>
      <c r="E203" s="175" t="s">
        <v>3953</v>
      </c>
      <c r="F203" s="175" t="s">
        <v>3954</v>
      </c>
      <c r="G203" s="175" t="s">
        <v>4214</v>
      </c>
      <c r="H203" s="175">
        <v>13223.14</v>
      </c>
      <c r="I203" s="175">
        <v>0</v>
      </c>
      <c r="J203" s="175">
        <v>0</v>
      </c>
      <c r="K203" s="175">
        <v>0</v>
      </c>
      <c r="L203" s="175">
        <v>0</v>
      </c>
      <c r="M203" s="175">
        <v>2776.86</v>
      </c>
      <c r="N203" s="175">
        <v>2776.86</v>
      </c>
      <c r="O203" s="175">
        <v>16000</v>
      </c>
    </row>
    <row r="204" spans="1:15">
      <c r="A204" s="175" t="s">
        <v>4204</v>
      </c>
      <c r="B204" s="175" t="s">
        <v>4215</v>
      </c>
      <c r="C204" s="175" t="s">
        <v>4216</v>
      </c>
      <c r="D204" s="175" t="s">
        <v>3952</v>
      </c>
      <c r="E204" s="175" t="s">
        <v>4217</v>
      </c>
      <c r="F204" s="175" t="s">
        <v>3977</v>
      </c>
      <c r="G204" s="175" t="s">
        <v>4218</v>
      </c>
      <c r="H204" s="175">
        <v>40909.089999999997</v>
      </c>
      <c r="I204" s="175">
        <v>0</v>
      </c>
      <c r="J204" s="175">
        <v>0</v>
      </c>
      <c r="K204" s="175">
        <v>0</v>
      </c>
      <c r="L204" s="175">
        <v>0</v>
      </c>
      <c r="M204" s="175">
        <v>8590.91</v>
      </c>
      <c r="N204" s="175">
        <v>8590.91</v>
      </c>
      <c r="O204" s="175">
        <v>49500</v>
      </c>
    </row>
    <row r="205" spans="1:15">
      <c r="A205" s="175" t="s">
        <v>4204</v>
      </c>
      <c r="B205" s="175" t="s">
        <v>3950</v>
      </c>
      <c r="C205" s="175" t="s">
        <v>3951</v>
      </c>
      <c r="D205" s="175" t="s">
        <v>3952</v>
      </c>
      <c r="E205" s="175" t="s">
        <v>3953</v>
      </c>
      <c r="F205" s="175" t="s">
        <v>3954</v>
      </c>
      <c r="G205" s="175" t="s">
        <v>4219</v>
      </c>
      <c r="H205" s="175">
        <v>13223.14</v>
      </c>
      <c r="I205" s="175">
        <v>0</v>
      </c>
      <c r="J205" s="175">
        <v>0</v>
      </c>
      <c r="K205" s="175">
        <v>0</v>
      </c>
      <c r="L205" s="175">
        <v>0</v>
      </c>
      <c r="M205" s="175">
        <v>2776.86</v>
      </c>
      <c r="N205" s="175">
        <v>2776.86</v>
      </c>
      <c r="O205" s="175">
        <v>16000</v>
      </c>
    </row>
    <row r="206" spans="1:15">
      <c r="A206" s="175" t="s">
        <v>4204</v>
      </c>
      <c r="B206" s="175" t="s">
        <v>4220</v>
      </c>
      <c r="C206" s="175" t="s">
        <v>4221</v>
      </c>
      <c r="D206" s="175" t="s">
        <v>3952</v>
      </c>
      <c r="E206" s="175" t="s">
        <v>3953</v>
      </c>
      <c r="F206" s="175" t="s">
        <v>3977</v>
      </c>
      <c r="G206" s="175" t="s">
        <v>4222</v>
      </c>
      <c r="H206" s="175">
        <v>17355.37</v>
      </c>
      <c r="I206" s="175">
        <v>0</v>
      </c>
      <c r="J206" s="175">
        <v>0</v>
      </c>
      <c r="K206" s="175">
        <v>0</v>
      </c>
      <c r="L206" s="175">
        <v>0</v>
      </c>
      <c r="M206" s="175">
        <v>3644.63</v>
      </c>
      <c r="N206" s="175">
        <v>3644.63</v>
      </c>
      <c r="O206" s="175">
        <v>21000</v>
      </c>
    </row>
    <row r="207" spans="1:15">
      <c r="A207" s="175" t="s">
        <v>4235</v>
      </c>
      <c r="B207" s="175" t="s">
        <v>3950</v>
      </c>
      <c r="C207" s="175" t="s">
        <v>3951</v>
      </c>
      <c r="D207" s="175" t="s">
        <v>3952</v>
      </c>
      <c r="E207" s="175" t="s">
        <v>3953</v>
      </c>
      <c r="F207" s="175" t="s">
        <v>3954</v>
      </c>
      <c r="G207" s="175" t="s">
        <v>4223</v>
      </c>
      <c r="H207" s="175">
        <v>16446.28</v>
      </c>
      <c r="I207" s="175">
        <v>0</v>
      </c>
      <c r="J207" s="175">
        <v>0</v>
      </c>
      <c r="K207" s="175">
        <v>0</v>
      </c>
      <c r="L207" s="175">
        <v>0</v>
      </c>
      <c r="M207" s="175">
        <v>3453.72</v>
      </c>
      <c r="N207" s="175">
        <v>3453.72</v>
      </c>
      <c r="O207" s="175">
        <v>19900</v>
      </c>
    </row>
    <row r="208" spans="1:15">
      <c r="A208" s="175" t="s">
        <v>4235</v>
      </c>
      <c r="B208" s="175" t="s">
        <v>3950</v>
      </c>
      <c r="C208" s="175" t="s">
        <v>3951</v>
      </c>
      <c r="D208" s="175" t="s">
        <v>3952</v>
      </c>
      <c r="E208" s="175" t="s">
        <v>3953</v>
      </c>
      <c r="F208" s="175" t="s">
        <v>3954</v>
      </c>
      <c r="G208" s="175" t="s">
        <v>4225</v>
      </c>
      <c r="H208" s="175">
        <v>14669.42</v>
      </c>
      <c r="I208" s="175">
        <v>0</v>
      </c>
      <c r="J208" s="175">
        <v>0</v>
      </c>
      <c r="K208" s="175">
        <v>0</v>
      </c>
      <c r="L208" s="175">
        <v>0</v>
      </c>
      <c r="M208" s="175">
        <v>3080.58</v>
      </c>
      <c r="N208" s="175">
        <v>3080.58</v>
      </c>
      <c r="O208" s="175">
        <v>17750</v>
      </c>
    </row>
    <row r="209" spans="1:15">
      <c r="A209" s="175" t="s">
        <v>4235</v>
      </c>
      <c r="B209" s="175" t="s">
        <v>3950</v>
      </c>
      <c r="C209" s="175" t="s">
        <v>3951</v>
      </c>
      <c r="D209" s="175" t="s">
        <v>3952</v>
      </c>
      <c r="E209" s="175" t="s">
        <v>3953</v>
      </c>
      <c r="F209" s="175" t="s">
        <v>3954</v>
      </c>
      <c r="G209" s="175" t="s">
        <v>4226</v>
      </c>
      <c r="H209" s="175">
        <v>20661.16</v>
      </c>
      <c r="I209" s="175">
        <v>0</v>
      </c>
      <c r="J209" s="175">
        <v>0</v>
      </c>
      <c r="K209" s="175">
        <v>0</v>
      </c>
      <c r="L209" s="175">
        <v>0</v>
      </c>
      <c r="M209" s="175">
        <v>4338.84</v>
      </c>
      <c r="N209" s="175">
        <v>4338.84</v>
      </c>
      <c r="O209" s="175">
        <v>25000</v>
      </c>
    </row>
    <row r="210" spans="1:15">
      <c r="A210" s="175" t="s">
        <v>4235</v>
      </c>
      <c r="B210" s="175" t="s">
        <v>3950</v>
      </c>
      <c r="C210" s="175" t="s">
        <v>3951</v>
      </c>
      <c r="D210" s="175" t="s">
        <v>3952</v>
      </c>
      <c r="E210" s="175" t="s">
        <v>3953</v>
      </c>
      <c r="F210" s="175" t="s">
        <v>3954</v>
      </c>
      <c r="G210" s="175" t="s">
        <v>4227</v>
      </c>
      <c r="H210" s="175">
        <v>14049.59</v>
      </c>
      <c r="I210" s="175">
        <v>0</v>
      </c>
      <c r="J210" s="175">
        <v>0</v>
      </c>
      <c r="K210" s="175">
        <v>0</v>
      </c>
      <c r="L210" s="175">
        <v>0</v>
      </c>
      <c r="M210" s="175">
        <v>2950.41</v>
      </c>
      <c r="N210" s="175">
        <v>2950.41</v>
      </c>
      <c r="O210" s="175">
        <v>17000</v>
      </c>
    </row>
    <row r="211" spans="1:15">
      <c r="A211" s="175" t="s">
        <v>4235</v>
      </c>
      <c r="B211" s="175" t="s">
        <v>3950</v>
      </c>
      <c r="C211" s="175" t="s">
        <v>3951</v>
      </c>
      <c r="D211" s="175" t="s">
        <v>3952</v>
      </c>
      <c r="E211" s="175" t="s">
        <v>3953</v>
      </c>
      <c r="F211" s="175" t="s">
        <v>3954</v>
      </c>
      <c r="G211" s="175" t="s">
        <v>4228</v>
      </c>
      <c r="H211" s="175">
        <v>23553.72</v>
      </c>
      <c r="I211" s="175">
        <v>0</v>
      </c>
      <c r="J211" s="175">
        <v>0</v>
      </c>
      <c r="K211" s="175">
        <v>0</v>
      </c>
      <c r="L211" s="175">
        <v>0</v>
      </c>
      <c r="M211" s="175">
        <v>4946.28</v>
      </c>
      <c r="N211" s="175">
        <v>4946.28</v>
      </c>
      <c r="O211" s="175">
        <v>28500</v>
      </c>
    </row>
    <row r="212" spans="1:15">
      <c r="A212" s="175" t="s">
        <v>4235</v>
      </c>
      <c r="B212" s="175" t="s">
        <v>3950</v>
      </c>
      <c r="C212" s="175" t="s">
        <v>3951</v>
      </c>
      <c r="D212" s="175" t="s">
        <v>3952</v>
      </c>
      <c r="E212" s="175" t="s">
        <v>3953</v>
      </c>
      <c r="F212" s="175" t="s">
        <v>3954</v>
      </c>
      <c r="G212" s="175" t="s">
        <v>4252</v>
      </c>
      <c r="H212" s="175">
        <v>17768.599999999999</v>
      </c>
      <c r="I212" s="175">
        <v>0</v>
      </c>
      <c r="J212" s="175">
        <v>0</v>
      </c>
      <c r="K212" s="175">
        <v>0</v>
      </c>
      <c r="L212" s="175">
        <v>0</v>
      </c>
      <c r="M212" s="175">
        <v>3731.4</v>
      </c>
      <c r="N212" s="175">
        <v>3731.4</v>
      </c>
      <c r="O212" s="175">
        <v>21500</v>
      </c>
    </row>
    <row r="213" spans="1:15">
      <c r="A213" s="175" t="s">
        <v>4235</v>
      </c>
      <c r="B213" s="175" t="s">
        <v>3950</v>
      </c>
      <c r="C213" s="175" t="s">
        <v>3951</v>
      </c>
      <c r="D213" s="175" t="s">
        <v>3952</v>
      </c>
      <c r="E213" s="175" t="s">
        <v>3953</v>
      </c>
      <c r="F213" s="175" t="s">
        <v>3954</v>
      </c>
      <c r="G213" s="175" t="s">
        <v>4253</v>
      </c>
      <c r="H213" s="175">
        <v>40909.089999999997</v>
      </c>
      <c r="I213" s="175">
        <v>0</v>
      </c>
      <c r="J213" s="175">
        <v>0</v>
      </c>
      <c r="K213" s="175">
        <v>0</v>
      </c>
      <c r="L213" s="175">
        <v>0</v>
      </c>
      <c r="M213" s="175">
        <v>8590.91</v>
      </c>
      <c r="N213" s="175">
        <v>8590.91</v>
      </c>
      <c r="O213" s="175">
        <v>49500</v>
      </c>
    </row>
    <row r="214" spans="1:15">
      <c r="A214" s="175" t="s">
        <v>4235</v>
      </c>
      <c r="B214" s="175" t="s">
        <v>3950</v>
      </c>
      <c r="C214" s="175" t="s">
        <v>3951</v>
      </c>
      <c r="D214" s="175" t="s">
        <v>3952</v>
      </c>
      <c r="E214" s="175" t="s">
        <v>3953</v>
      </c>
      <c r="F214" s="175" t="s">
        <v>3954</v>
      </c>
      <c r="G214" s="175" t="s">
        <v>4254</v>
      </c>
      <c r="H214" s="175">
        <v>22231.4</v>
      </c>
      <c r="I214" s="175">
        <v>0</v>
      </c>
      <c r="J214" s="175">
        <v>0</v>
      </c>
      <c r="K214" s="175">
        <v>0</v>
      </c>
      <c r="L214" s="175">
        <v>0</v>
      </c>
      <c r="M214" s="175">
        <v>4668.6000000000004</v>
      </c>
      <c r="N214" s="175">
        <v>4668.6000000000004</v>
      </c>
      <c r="O214" s="175">
        <v>26900</v>
      </c>
    </row>
    <row r="215" spans="1:15">
      <c r="A215" s="175" t="s">
        <v>4235</v>
      </c>
      <c r="B215" s="175" t="s">
        <v>4152</v>
      </c>
      <c r="C215" s="175" t="s">
        <v>4153</v>
      </c>
      <c r="D215" s="175" t="s">
        <v>3952</v>
      </c>
      <c r="E215" s="175" t="s">
        <v>3953</v>
      </c>
      <c r="F215" s="175" t="s">
        <v>3954</v>
      </c>
      <c r="G215" s="175" t="s">
        <v>4255</v>
      </c>
      <c r="H215" s="175">
        <v>13636.36</v>
      </c>
      <c r="I215" s="175">
        <v>0</v>
      </c>
      <c r="J215" s="175">
        <v>0</v>
      </c>
      <c r="K215" s="175">
        <v>0</v>
      </c>
      <c r="L215" s="175">
        <v>0</v>
      </c>
      <c r="M215" s="175">
        <v>2863.64</v>
      </c>
      <c r="N215" s="175">
        <v>2863.64</v>
      </c>
      <c r="O215" s="175">
        <v>16500</v>
      </c>
    </row>
    <row r="216" spans="1:15">
      <c r="A216" s="175" t="s">
        <v>4235</v>
      </c>
      <c r="B216" s="175" t="s">
        <v>3950</v>
      </c>
      <c r="C216" s="175" t="s">
        <v>3951</v>
      </c>
      <c r="D216" s="175" t="s">
        <v>3952</v>
      </c>
      <c r="E216" s="175" t="s">
        <v>3953</v>
      </c>
      <c r="F216" s="175" t="s">
        <v>3954</v>
      </c>
      <c r="G216" s="175" t="s">
        <v>4256</v>
      </c>
      <c r="H216" s="175">
        <v>14669.42</v>
      </c>
      <c r="I216" s="175">
        <v>0</v>
      </c>
      <c r="J216" s="175">
        <v>0</v>
      </c>
      <c r="K216" s="175">
        <v>0</v>
      </c>
      <c r="L216" s="175">
        <v>0</v>
      </c>
      <c r="M216" s="175">
        <v>3080.58</v>
      </c>
      <c r="N216" s="175">
        <v>3080.58</v>
      </c>
      <c r="O216" s="175">
        <v>17750</v>
      </c>
    </row>
    <row r="217" spans="1:15">
      <c r="A217" s="175" t="s">
        <v>4235</v>
      </c>
      <c r="B217" s="175" t="s">
        <v>3950</v>
      </c>
      <c r="C217" s="175" t="s">
        <v>3951</v>
      </c>
      <c r="D217" s="175" t="s">
        <v>3952</v>
      </c>
      <c r="E217" s="175" t="s">
        <v>3953</v>
      </c>
      <c r="F217" s="175" t="s">
        <v>3954</v>
      </c>
      <c r="G217" s="175" t="s">
        <v>4257</v>
      </c>
      <c r="H217" s="175">
        <v>13223.14</v>
      </c>
      <c r="I217" s="175">
        <v>0</v>
      </c>
      <c r="J217" s="175">
        <v>0</v>
      </c>
      <c r="K217" s="175">
        <v>0</v>
      </c>
      <c r="L217" s="175">
        <v>0</v>
      </c>
      <c r="M217" s="175">
        <v>2776.86</v>
      </c>
      <c r="N217" s="175">
        <v>2776.86</v>
      </c>
      <c r="O217" s="175">
        <v>16000</v>
      </c>
    </row>
    <row r="218" spans="1:15">
      <c r="A218" s="175" t="s">
        <v>4235</v>
      </c>
      <c r="B218" s="175" t="s">
        <v>3950</v>
      </c>
      <c r="C218" s="175" t="s">
        <v>3951</v>
      </c>
      <c r="D218" s="175" t="s">
        <v>3952</v>
      </c>
      <c r="E218" s="175" t="s">
        <v>3953</v>
      </c>
      <c r="F218" s="175" t="s">
        <v>3954</v>
      </c>
      <c r="G218" s="175" t="s">
        <v>4261</v>
      </c>
      <c r="H218" s="175">
        <v>13223.14</v>
      </c>
      <c r="I218" s="175">
        <v>0</v>
      </c>
      <c r="J218" s="175">
        <v>0</v>
      </c>
      <c r="K218" s="175">
        <v>0</v>
      </c>
      <c r="L218" s="175">
        <v>0</v>
      </c>
      <c r="M218" s="175">
        <v>2776.86</v>
      </c>
      <c r="N218" s="175">
        <v>2776.86</v>
      </c>
      <c r="O218" s="175">
        <v>16000</v>
      </c>
    </row>
    <row r="219" spans="1:15">
      <c r="A219" s="175" t="s">
        <v>4235</v>
      </c>
      <c r="B219" s="175" t="s">
        <v>3950</v>
      </c>
      <c r="C219" s="175" t="s">
        <v>3951</v>
      </c>
      <c r="D219" s="175" t="s">
        <v>3952</v>
      </c>
      <c r="E219" s="175" t="s">
        <v>3953</v>
      </c>
      <c r="F219" s="175" t="s">
        <v>3954</v>
      </c>
      <c r="G219" s="175" t="s">
        <v>4262</v>
      </c>
      <c r="H219" s="175">
        <v>8595.0400000000009</v>
      </c>
      <c r="I219" s="175">
        <v>0</v>
      </c>
      <c r="J219" s="175">
        <v>0</v>
      </c>
      <c r="K219" s="175">
        <v>0</v>
      </c>
      <c r="L219" s="175">
        <v>0</v>
      </c>
      <c r="M219" s="175">
        <v>1804.96</v>
      </c>
      <c r="N219" s="175">
        <v>1804.96</v>
      </c>
      <c r="O219" s="175">
        <v>10400</v>
      </c>
    </row>
    <row r="220" spans="1:15">
      <c r="A220" s="175" t="s">
        <v>4235</v>
      </c>
      <c r="B220" s="175" t="s">
        <v>3950</v>
      </c>
      <c r="C220" s="175" t="s">
        <v>3951</v>
      </c>
      <c r="D220" s="175" t="s">
        <v>3952</v>
      </c>
      <c r="E220" s="175" t="s">
        <v>3953</v>
      </c>
      <c r="F220" s="175" t="s">
        <v>3954</v>
      </c>
      <c r="G220" s="175" t="s">
        <v>4263</v>
      </c>
      <c r="H220" s="175">
        <v>37190.080000000002</v>
      </c>
      <c r="I220" s="175">
        <v>0</v>
      </c>
      <c r="J220" s="175">
        <v>0</v>
      </c>
      <c r="K220" s="175">
        <v>0</v>
      </c>
      <c r="L220" s="175">
        <v>0</v>
      </c>
      <c r="M220" s="175">
        <v>7809.92</v>
      </c>
      <c r="N220" s="175">
        <v>7809.92</v>
      </c>
      <c r="O220" s="175">
        <v>45000</v>
      </c>
    </row>
    <row r="221" spans="1:15">
      <c r="A221" s="175" t="s">
        <v>4235</v>
      </c>
      <c r="B221" s="175" t="s">
        <v>3950</v>
      </c>
      <c r="C221" s="175" t="s">
        <v>3951</v>
      </c>
      <c r="D221" s="175" t="s">
        <v>3952</v>
      </c>
      <c r="E221" s="175" t="s">
        <v>3953</v>
      </c>
      <c r="F221" s="175" t="s">
        <v>3954</v>
      </c>
      <c r="G221" s="175" t="s">
        <v>4264</v>
      </c>
      <c r="H221" s="175">
        <v>16528.93</v>
      </c>
      <c r="I221" s="175">
        <v>0</v>
      </c>
      <c r="J221" s="175">
        <v>0</v>
      </c>
      <c r="K221" s="175">
        <v>0</v>
      </c>
      <c r="L221" s="175">
        <v>0</v>
      </c>
      <c r="M221" s="175">
        <v>3471.07</v>
      </c>
      <c r="N221" s="175">
        <v>3471.07</v>
      </c>
      <c r="O221" s="175">
        <v>20000</v>
      </c>
    </row>
    <row r="222" spans="1:15">
      <c r="A222" s="175" t="s">
        <v>4235</v>
      </c>
      <c r="B222" s="175" t="s">
        <v>3950</v>
      </c>
      <c r="C222" s="175" t="s">
        <v>3951</v>
      </c>
      <c r="D222" s="175" t="s">
        <v>3952</v>
      </c>
      <c r="E222" s="175" t="s">
        <v>3953</v>
      </c>
      <c r="F222" s="175" t="s">
        <v>3954</v>
      </c>
      <c r="G222" s="175" t="s">
        <v>4265</v>
      </c>
      <c r="H222" s="175">
        <v>16942.150000000001</v>
      </c>
      <c r="I222" s="175">
        <v>0</v>
      </c>
      <c r="J222" s="175">
        <v>0</v>
      </c>
      <c r="K222" s="175">
        <v>0</v>
      </c>
      <c r="L222" s="175">
        <v>0</v>
      </c>
      <c r="M222" s="175">
        <v>3557.85</v>
      </c>
      <c r="N222" s="175">
        <v>3557.85</v>
      </c>
      <c r="O222" s="175">
        <v>20500</v>
      </c>
    </row>
    <row r="223" spans="1:15">
      <c r="A223" s="175" t="s">
        <v>4235</v>
      </c>
      <c r="B223" s="175" t="s">
        <v>3950</v>
      </c>
      <c r="C223" s="175" t="s">
        <v>3951</v>
      </c>
      <c r="D223" s="175" t="s">
        <v>3952</v>
      </c>
      <c r="E223" s="175" t="s">
        <v>3953</v>
      </c>
      <c r="F223" s="175" t="s">
        <v>3954</v>
      </c>
      <c r="G223" s="175" t="s">
        <v>4269</v>
      </c>
      <c r="H223" s="175">
        <v>28429.75</v>
      </c>
      <c r="I223" s="175">
        <v>0</v>
      </c>
      <c r="J223" s="175">
        <v>0</v>
      </c>
      <c r="K223" s="175">
        <v>0</v>
      </c>
      <c r="L223" s="175">
        <v>0</v>
      </c>
      <c r="M223" s="175">
        <v>5970.25</v>
      </c>
      <c r="N223" s="175">
        <v>5970.25</v>
      </c>
      <c r="O223" s="175">
        <v>34400</v>
      </c>
    </row>
    <row r="224" spans="1:15">
      <c r="A224" s="175" t="s">
        <v>4235</v>
      </c>
      <c r="B224" s="175" t="s">
        <v>3950</v>
      </c>
      <c r="C224" s="175" t="s">
        <v>3951</v>
      </c>
      <c r="D224" s="175" t="s">
        <v>3952</v>
      </c>
      <c r="E224" s="175" t="s">
        <v>3953</v>
      </c>
      <c r="F224" s="175" t="s">
        <v>3954</v>
      </c>
      <c r="G224" s="175" t="s">
        <v>4272</v>
      </c>
      <c r="H224" s="175">
        <v>26446.28</v>
      </c>
      <c r="I224" s="175">
        <v>0</v>
      </c>
      <c r="J224" s="175">
        <v>0</v>
      </c>
      <c r="K224" s="175">
        <v>0</v>
      </c>
      <c r="L224" s="175">
        <v>0</v>
      </c>
      <c r="M224" s="175">
        <v>5553.72</v>
      </c>
      <c r="N224" s="175">
        <v>5553.72</v>
      </c>
      <c r="O224" s="175">
        <v>32000</v>
      </c>
    </row>
    <row r="225" spans="1:15">
      <c r="A225" s="175" t="s">
        <v>4235</v>
      </c>
      <c r="B225" s="175" t="s">
        <v>3950</v>
      </c>
      <c r="C225" s="175" t="s">
        <v>3951</v>
      </c>
      <c r="D225" s="175" t="s">
        <v>3952</v>
      </c>
      <c r="E225" s="175" t="s">
        <v>3953</v>
      </c>
      <c r="F225" s="175" t="s">
        <v>3954</v>
      </c>
      <c r="G225" s="175" t="s">
        <v>4278</v>
      </c>
      <c r="H225" s="175">
        <v>2066.12</v>
      </c>
      <c r="I225" s="175">
        <v>0</v>
      </c>
      <c r="J225" s="175">
        <v>0</v>
      </c>
      <c r="K225" s="175">
        <v>0</v>
      </c>
      <c r="L225" s="175">
        <v>0</v>
      </c>
      <c r="M225" s="175">
        <v>433.88</v>
      </c>
      <c r="N225" s="175">
        <v>433.88</v>
      </c>
      <c r="O225" s="175">
        <v>2500</v>
      </c>
    </row>
    <row r="226" spans="1:15">
      <c r="A226" s="175" t="s">
        <v>4235</v>
      </c>
      <c r="B226" s="175" t="s">
        <v>3950</v>
      </c>
      <c r="C226" s="175" t="s">
        <v>3951</v>
      </c>
      <c r="D226" s="175" t="s">
        <v>3952</v>
      </c>
      <c r="E226" s="175" t="s">
        <v>3953</v>
      </c>
      <c r="F226" s="175" t="s">
        <v>3954</v>
      </c>
      <c r="G226" s="175" t="s">
        <v>4279</v>
      </c>
      <c r="H226" s="175">
        <v>23553.72</v>
      </c>
      <c r="I226" s="175">
        <v>0</v>
      </c>
      <c r="J226" s="175">
        <v>0</v>
      </c>
      <c r="K226" s="175">
        <v>0</v>
      </c>
      <c r="L226" s="175">
        <v>0</v>
      </c>
      <c r="M226" s="175">
        <v>4946.28</v>
      </c>
      <c r="N226" s="175">
        <v>4946.28</v>
      </c>
      <c r="O226" s="175">
        <v>28500</v>
      </c>
    </row>
    <row r="227" spans="1:15">
      <c r="A227" s="175" t="s">
        <v>4268</v>
      </c>
      <c r="B227" s="175" t="s">
        <v>4280</v>
      </c>
      <c r="C227" s="175" t="s">
        <v>4281</v>
      </c>
      <c r="D227" s="175" t="s">
        <v>3952</v>
      </c>
      <c r="E227" s="175" t="s">
        <v>4282</v>
      </c>
      <c r="F227" s="175" t="s">
        <v>3977</v>
      </c>
      <c r="G227" s="175" t="s">
        <v>4283</v>
      </c>
      <c r="H227" s="175">
        <v>17355.37</v>
      </c>
      <c r="I227" s="175">
        <v>0</v>
      </c>
      <c r="J227" s="175">
        <v>0</v>
      </c>
      <c r="K227" s="175">
        <v>0</v>
      </c>
      <c r="L227" s="175">
        <v>0</v>
      </c>
      <c r="M227" s="175">
        <v>3644.63</v>
      </c>
      <c r="N227" s="175">
        <v>3644.63</v>
      </c>
      <c r="O227" s="175">
        <v>21000</v>
      </c>
    </row>
    <row r="228" spans="1:15">
      <c r="A228" s="175" t="s">
        <v>4268</v>
      </c>
      <c r="B228" s="175" t="s">
        <v>3950</v>
      </c>
      <c r="C228" s="175" t="s">
        <v>3951</v>
      </c>
      <c r="D228" s="175" t="s">
        <v>3952</v>
      </c>
      <c r="E228" s="175" t="s">
        <v>3953</v>
      </c>
      <c r="F228" s="175" t="s">
        <v>3954</v>
      </c>
      <c r="G228" s="175" t="s">
        <v>4284</v>
      </c>
      <c r="H228" s="175">
        <v>21487.599999999999</v>
      </c>
      <c r="I228" s="175">
        <v>0</v>
      </c>
      <c r="J228" s="175">
        <v>0</v>
      </c>
      <c r="K228" s="175">
        <v>0</v>
      </c>
      <c r="L228" s="175">
        <v>0</v>
      </c>
      <c r="M228" s="175">
        <v>4512.3999999999996</v>
      </c>
      <c r="N228" s="175">
        <v>4512.3999999999996</v>
      </c>
      <c r="O228" s="175">
        <v>26000</v>
      </c>
    </row>
    <row r="229" spans="1:15">
      <c r="A229" s="175" t="s">
        <v>4268</v>
      </c>
      <c r="B229" s="175" t="s">
        <v>3950</v>
      </c>
      <c r="C229" s="175" t="s">
        <v>3951</v>
      </c>
      <c r="D229" s="175" t="s">
        <v>3952</v>
      </c>
      <c r="E229" s="175" t="s">
        <v>3953</v>
      </c>
      <c r="F229" s="175" t="s">
        <v>3954</v>
      </c>
      <c r="G229" s="175" t="s">
        <v>4287</v>
      </c>
      <c r="H229" s="175">
        <v>4958.68</v>
      </c>
      <c r="I229" s="175">
        <v>0</v>
      </c>
      <c r="J229" s="175">
        <v>0</v>
      </c>
      <c r="K229" s="175">
        <v>0</v>
      </c>
      <c r="L229" s="175">
        <v>0</v>
      </c>
      <c r="M229" s="175">
        <v>1041.32</v>
      </c>
      <c r="N229" s="175">
        <v>1041.32</v>
      </c>
      <c r="O229" s="175">
        <v>6000</v>
      </c>
    </row>
    <row r="230" spans="1:15">
      <c r="A230" s="175" t="s">
        <v>4268</v>
      </c>
      <c r="B230" s="175" t="s">
        <v>3950</v>
      </c>
      <c r="C230" s="175" t="s">
        <v>3951</v>
      </c>
      <c r="D230" s="175" t="s">
        <v>3952</v>
      </c>
      <c r="E230" s="175" t="s">
        <v>3953</v>
      </c>
      <c r="F230" s="175" t="s">
        <v>3954</v>
      </c>
      <c r="G230" s="175" t="s">
        <v>4288</v>
      </c>
      <c r="H230" s="175">
        <v>2479.34</v>
      </c>
      <c r="I230" s="175">
        <v>0</v>
      </c>
      <c r="J230" s="175">
        <v>0</v>
      </c>
      <c r="K230" s="175">
        <v>0</v>
      </c>
      <c r="L230" s="175">
        <v>0</v>
      </c>
      <c r="M230" s="175">
        <v>520.66</v>
      </c>
      <c r="N230" s="175">
        <v>520.66</v>
      </c>
      <c r="O230" s="175">
        <v>3000</v>
      </c>
    </row>
    <row r="231" spans="1:15">
      <c r="A231" s="175" t="s">
        <v>4268</v>
      </c>
      <c r="B231" s="175" t="s">
        <v>3950</v>
      </c>
      <c r="C231" s="175" t="s">
        <v>3951</v>
      </c>
      <c r="D231" s="175" t="s">
        <v>3952</v>
      </c>
      <c r="E231" s="175" t="s">
        <v>3953</v>
      </c>
      <c r="F231" s="175" t="s">
        <v>3954</v>
      </c>
      <c r="G231" s="175" t="s">
        <v>4289</v>
      </c>
      <c r="H231" s="175">
        <v>16528.93</v>
      </c>
      <c r="I231" s="175">
        <v>0</v>
      </c>
      <c r="J231" s="175">
        <v>0</v>
      </c>
      <c r="K231" s="175">
        <v>0</v>
      </c>
      <c r="L231" s="175">
        <v>0</v>
      </c>
      <c r="M231" s="175">
        <v>3471.07</v>
      </c>
      <c r="N231" s="175">
        <v>3471.07</v>
      </c>
      <c r="O231" s="175">
        <v>20000</v>
      </c>
    </row>
    <row r="232" spans="1:15">
      <c r="A232" s="175" t="s">
        <v>4268</v>
      </c>
      <c r="B232" s="175" t="s">
        <v>4292</v>
      </c>
      <c r="C232" s="175" t="s">
        <v>4293</v>
      </c>
      <c r="D232" s="175" t="s">
        <v>3952</v>
      </c>
      <c r="E232" s="175" t="s">
        <v>3953</v>
      </c>
      <c r="F232" s="175" t="s">
        <v>3977</v>
      </c>
      <c r="G232" s="175" t="s">
        <v>4294</v>
      </c>
      <c r="H232" s="175">
        <v>12727.27</v>
      </c>
      <c r="I232" s="175">
        <v>0</v>
      </c>
      <c r="J232" s="175">
        <v>0</v>
      </c>
      <c r="K232" s="175">
        <v>0</v>
      </c>
      <c r="L232" s="175">
        <v>0</v>
      </c>
      <c r="M232" s="175">
        <v>2672.73</v>
      </c>
      <c r="N232" s="175">
        <v>2672.73</v>
      </c>
      <c r="O232" s="175">
        <v>15400</v>
      </c>
    </row>
    <row r="233" spans="1:15">
      <c r="A233" s="175" t="s">
        <v>4268</v>
      </c>
      <c r="B233" s="175" t="s">
        <v>3950</v>
      </c>
      <c r="C233" s="175" t="s">
        <v>3951</v>
      </c>
      <c r="D233" s="175" t="s">
        <v>3952</v>
      </c>
      <c r="E233" s="175" t="s">
        <v>3953</v>
      </c>
      <c r="F233" s="175" t="s">
        <v>3954</v>
      </c>
      <c r="G233" s="175" t="s">
        <v>4301</v>
      </c>
      <c r="H233" s="175">
        <v>13966.94</v>
      </c>
      <c r="I233" s="175">
        <v>0</v>
      </c>
      <c r="J233" s="175">
        <v>0</v>
      </c>
      <c r="K233" s="175">
        <v>0</v>
      </c>
      <c r="L233" s="175">
        <v>0</v>
      </c>
      <c r="M233" s="175">
        <v>2933.06</v>
      </c>
      <c r="N233" s="175">
        <v>2933.06</v>
      </c>
      <c r="O233" s="175">
        <v>16900</v>
      </c>
    </row>
    <row r="234" spans="1:15">
      <c r="A234" s="175" t="s">
        <v>4268</v>
      </c>
      <c r="B234" s="175" t="s">
        <v>4306</v>
      </c>
      <c r="C234" s="175" t="s">
        <v>4307</v>
      </c>
      <c r="D234" s="175" t="s">
        <v>3952</v>
      </c>
      <c r="E234" s="175" t="s">
        <v>3953</v>
      </c>
      <c r="F234" s="175" t="s">
        <v>3954</v>
      </c>
      <c r="G234" s="175" t="s">
        <v>4308</v>
      </c>
      <c r="H234" s="175">
        <v>26363.64</v>
      </c>
      <c r="I234" s="175">
        <v>0</v>
      </c>
      <c r="J234" s="175">
        <v>0</v>
      </c>
      <c r="K234" s="175">
        <v>0</v>
      </c>
      <c r="L234" s="175">
        <v>0</v>
      </c>
      <c r="M234" s="175">
        <v>5536.36</v>
      </c>
      <c r="N234" s="175">
        <v>5536.36</v>
      </c>
      <c r="O234" s="175">
        <v>31900</v>
      </c>
    </row>
    <row r="235" spans="1:15">
      <c r="A235" s="175" t="s">
        <v>4268</v>
      </c>
      <c r="B235" s="175" t="s">
        <v>3950</v>
      </c>
      <c r="C235" s="175" t="s">
        <v>3951</v>
      </c>
      <c r="D235" s="175" t="s">
        <v>3952</v>
      </c>
      <c r="E235" s="175" t="s">
        <v>3953</v>
      </c>
      <c r="F235" s="175" t="s">
        <v>3954</v>
      </c>
      <c r="G235" s="175" t="s">
        <v>4312</v>
      </c>
      <c r="H235" s="175">
        <v>16115.7</v>
      </c>
      <c r="I235" s="175">
        <v>0</v>
      </c>
      <c r="J235" s="175">
        <v>0</v>
      </c>
      <c r="K235" s="175">
        <v>0</v>
      </c>
      <c r="L235" s="175">
        <v>0</v>
      </c>
      <c r="M235" s="175">
        <v>3384.3</v>
      </c>
      <c r="N235" s="175">
        <v>3384.3</v>
      </c>
      <c r="O235" s="175">
        <v>19500</v>
      </c>
    </row>
    <row r="236" spans="1:15">
      <c r="A236" s="175" t="s">
        <v>4268</v>
      </c>
      <c r="B236" s="175" t="s">
        <v>3950</v>
      </c>
      <c r="C236" s="175" t="s">
        <v>3951</v>
      </c>
      <c r="D236" s="175" t="s">
        <v>3952</v>
      </c>
      <c r="E236" s="175" t="s">
        <v>3953</v>
      </c>
      <c r="F236" s="175" t="s">
        <v>3954</v>
      </c>
      <c r="G236" s="175" t="s">
        <v>4315</v>
      </c>
      <c r="H236" s="175">
        <v>23057.85</v>
      </c>
      <c r="I236" s="175">
        <v>0</v>
      </c>
      <c r="J236" s="175">
        <v>0</v>
      </c>
      <c r="K236" s="175">
        <v>0</v>
      </c>
      <c r="L236" s="175">
        <v>0</v>
      </c>
      <c r="M236" s="175">
        <v>4842.1499999999996</v>
      </c>
      <c r="N236" s="175">
        <v>4842.1499999999996</v>
      </c>
      <c r="O236" s="175">
        <v>27900</v>
      </c>
    </row>
    <row r="237" spans="1:15">
      <c r="A237" s="175" t="s">
        <v>4268</v>
      </c>
      <c r="B237" s="175" t="s">
        <v>3950</v>
      </c>
      <c r="C237" s="175" t="s">
        <v>3951</v>
      </c>
      <c r="D237" s="175" t="s">
        <v>3952</v>
      </c>
      <c r="E237" s="175" t="s">
        <v>3953</v>
      </c>
      <c r="F237" s="175" t="s">
        <v>3954</v>
      </c>
      <c r="G237" s="175" t="s">
        <v>4317</v>
      </c>
      <c r="H237" s="175">
        <v>41735.54</v>
      </c>
      <c r="I237" s="175">
        <v>0</v>
      </c>
      <c r="J237" s="175">
        <v>0</v>
      </c>
      <c r="K237" s="175">
        <v>0</v>
      </c>
      <c r="L237" s="175">
        <v>0</v>
      </c>
      <c r="M237" s="175">
        <v>8764.4599999999991</v>
      </c>
      <c r="N237" s="175">
        <v>8764.4599999999991</v>
      </c>
      <c r="O237" s="175">
        <v>50500</v>
      </c>
    </row>
    <row r="238" spans="1:15">
      <c r="A238" s="175" t="s">
        <v>4268</v>
      </c>
      <c r="B238" s="175" t="s">
        <v>3950</v>
      </c>
      <c r="C238" s="175" t="s">
        <v>3951</v>
      </c>
      <c r="D238" s="175" t="s">
        <v>3952</v>
      </c>
      <c r="E238" s="175" t="s">
        <v>3953</v>
      </c>
      <c r="F238" s="175" t="s">
        <v>3954</v>
      </c>
      <c r="G238" s="175" t="s">
        <v>4318</v>
      </c>
      <c r="H238" s="175">
        <v>26446.28</v>
      </c>
      <c r="I238" s="175">
        <v>0</v>
      </c>
      <c r="J238" s="175">
        <v>0</v>
      </c>
      <c r="K238" s="175">
        <v>0</v>
      </c>
      <c r="L238" s="175">
        <v>0</v>
      </c>
      <c r="M238" s="175">
        <v>5553.72</v>
      </c>
      <c r="N238" s="175">
        <v>5553.72</v>
      </c>
      <c r="O238" s="175">
        <v>32000</v>
      </c>
    </row>
    <row r="239" spans="1:15">
      <c r="A239" s="175" t="s">
        <v>4268</v>
      </c>
      <c r="B239" s="175" t="s">
        <v>3950</v>
      </c>
      <c r="C239" s="175" t="s">
        <v>3951</v>
      </c>
      <c r="D239" s="175" t="s">
        <v>3952</v>
      </c>
      <c r="E239" s="175" t="s">
        <v>3953</v>
      </c>
      <c r="F239" s="175" t="s">
        <v>3954</v>
      </c>
      <c r="G239" s="175" t="s">
        <v>4319</v>
      </c>
      <c r="H239" s="175">
        <v>29586.78</v>
      </c>
      <c r="I239" s="175">
        <v>0</v>
      </c>
      <c r="J239" s="175">
        <v>0</v>
      </c>
      <c r="K239" s="175">
        <v>0</v>
      </c>
      <c r="L239" s="175">
        <v>0</v>
      </c>
      <c r="M239" s="175">
        <v>6213.22</v>
      </c>
      <c r="N239" s="175">
        <v>6213.22</v>
      </c>
      <c r="O239" s="175">
        <v>35800</v>
      </c>
    </row>
    <row r="240" spans="1:15">
      <c r="A240" s="175" t="s">
        <v>4268</v>
      </c>
      <c r="B240" s="175" t="s">
        <v>3950</v>
      </c>
      <c r="C240" s="175" t="s">
        <v>3951</v>
      </c>
      <c r="D240" s="175" t="s">
        <v>3952</v>
      </c>
      <c r="E240" s="175" t="s">
        <v>3953</v>
      </c>
      <c r="F240" s="175" t="s">
        <v>3954</v>
      </c>
      <c r="G240" s="175" t="s">
        <v>4322</v>
      </c>
      <c r="H240" s="175">
        <v>13223.14</v>
      </c>
      <c r="I240" s="175">
        <v>0</v>
      </c>
      <c r="J240" s="175">
        <v>0</v>
      </c>
      <c r="K240" s="175">
        <v>0</v>
      </c>
      <c r="L240" s="175">
        <v>0</v>
      </c>
      <c r="M240" s="175">
        <v>2776.86</v>
      </c>
      <c r="N240" s="175">
        <v>2776.86</v>
      </c>
      <c r="O240" s="175">
        <v>16000</v>
      </c>
    </row>
    <row r="241" spans="1:15">
      <c r="A241" s="175" t="s">
        <v>4268</v>
      </c>
      <c r="B241" s="175" t="s">
        <v>3950</v>
      </c>
      <c r="C241" s="175" t="s">
        <v>3951</v>
      </c>
      <c r="D241" s="175" t="s">
        <v>3952</v>
      </c>
      <c r="E241" s="175" t="s">
        <v>3953</v>
      </c>
      <c r="F241" s="175" t="s">
        <v>3954</v>
      </c>
      <c r="G241" s="175" t="s">
        <v>4323</v>
      </c>
      <c r="H241" s="175">
        <v>17768.599999999999</v>
      </c>
      <c r="I241" s="175">
        <v>0</v>
      </c>
      <c r="J241" s="175">
        <v>0</v>
      </c>
      <c r="K241" s="175">
        <v>0</v>
      </c>
      <c r="L241" s="175">
        <v>0</v>
      </c>
      <c r="M241" s="175">
        <v>3731.4</v>
      </c>
      <c r="N241" s="175">
        <v>3731.4</v>
      </c>
      <c r="O241" s="175">
        <v>21500</v>
      </c>
    </row>
    <row r="242" spans="1:15">
      <c r="A242" s="175" t="s">
        <v>4268</v>
      </c>
      <c r="B242" s="175" t="s">
        <v>3950</v>
      </c>
      <c r="C242" s="175" t="s">
        <v>3951</v>
      </c>
      <c r="D242" s="175" t="s">
        <v>3952</v>
      </c>
      <c r="E242" s="175" t="s">
        <v>3953</v>
      </c>
      <c r="F242" s="175" t="s">
        <v>3954</v>
      </c>
      <c r="G242" s="175" t="s">
        <v>4327</v>
      </c>
      <c r="H242" s="175">
        <v>26446.28</v>
      </c>
      <c r="I242" s="175">
        <v>0</v>
      </c>
      <c r="J242" s="175">
        <v>0</v>
      </c>
      <c r="K242" s="175">
        <v>0</v>
      </c>
      <c r="L242" s="175">
        <v>0</v>
      </c>
      <c r="M242" s="175">
        <v>5553.72</v>
      </c>
      <c r="N242" s="175">
        <v>5553.72</v>
      </c>
      <c r="O242" s="175">
        <v>32000</v>
      </c>
    </row>
    <row r="243" spans="1:15">
      <c r="A243" s="175" t="s">
        <v>4268</v>
      </c>
      <c r="B243" s="175" t="s">
        <v>3950</v>
      </c>
      <c r="C243" s="175" t="s">
        <v>3951</v>
      </c>
      <c r="D243" s="175" t="s">
        <v>3952</v>
      </c>
      <c r="E243" s="175" t="s">
        <v>3953</v>
      </c>
      <c r="F243" s="175" t="s">
        <v>3954</v>
      </c>
      <c r="G243" s="175" t="s">
        <v>4334</v>
      </c>
      <c r="H243" s="175">
        <v>13223.14</v>
      </c>
      <c r="I243" s="175">
        <v>0</v>
      </c>
      <c r="J243" s="175">
        <v>0</v>
      </c>
      <c r="K243" s="175">
        <v>0</v>
      </c>
      <c r="L243" s="175">
        <v>0</v>
      </c>
      <c r="M243" s="175">
        <v>2776.86</v>
      </c>
      <c r="N243" s="175">
        <v>2776.86</v>
      </c>
      <c r="O243" s="175">
        <v>16000</v>
      </c>
    </row>
    <row r="244" spans="1:15">
      <c r="A244" s="175" t="s">
        <v>4268</v>
      </c>
      <c r="B244" s="175" t="s">
        <v>3950</v>
      </c>
      <c r="C244" s="175" t="s">
        <v>3951</v>
      </c>
      <c r="D244" s="175" t="s">
        <v>3952</v>
      </c>
      <c r="E244" s="175" t="s">
        <v>3953</v>
      </c>
      <c r="F244" s="175" t="s">
        <v>3954</v>
      </c>
      <c r="G244" s="175" t="s">
        <v>4341</v>
      </c>
      <c r="H244" s="175">
        <v>26446.28</v>
      </c>
      <c r="I244" s="175">
        <v>0</v>
      </c>
      <c r="J244" s="175">
        <v>0</v>
      </c>
      <c r="K244" s="175">
        <v>0</v>
      </c>
      <c r="L244" s="175">
        <v>0</v>
      </c>
      <c r="M244" s="175">
        <v>5553.72</v>
      </c>
      <c r="N244" s="175">
        <v>5553.72</v>
      </c>
      <c r="O244" s="175">
        <v>32000</v>
      </c>
    </row>
    <row r="245" spans="1:15">
      <c r="A245" s="175" t="s">
        <v>4268</v>
      </c>
      <c r="B245" s="175" t="s">
        <v>3950</v>
      </c>
      <c r="C245" s="175" t="s">
        <v>3951</v>
      </c>
      <c r="D245" s="175" t="s">
        <v>3952</v>
      </c>
      <c r="E245" s="175" t="s">
        <v>3953</v>
      </c>
      <c r="F245" s="175" t="s">
        <v>3954</v>
      </c>
      <c r="G245" s="175" t="s">
        <v>4342</v>
      </c>
      <c r="H245" s="175">
        <v>28099.17</v>
      </c>
      <c r="I245" s="175">
        <v>0</v>
      </c>
      <c r="J245" s="175">
        <v>0</v>
      </c>
      <c r="K245" s="175">
        <v>0</v>
      </c>
      <c r="L245" s="175">
        <v>0</v>
      </c>
      <c r="M245" s="175">
        <v>5900.83</v>
      </c>
      <c r="N245" s="175">
        <v>5900.83</v>
      </c>
      <c r="O245" s="175">
        <v>34000</v>
      </c>
    </row>
    <row r="246" spans="1:15">
      <c r="A246" s="175" t="s">
        <v>4268</v>
      </c>
      <c r="B246" s="175" t="s">
        <v>3950</v>
      </c>
      <c r="C246" s="175" t="s">
        <v>3951</v>
      </c>
      <c r="D246" s="175" t="s">
        <v>3952</v>
      </c>
      <c r="E246" s="175" t="s">
        <v>3953</v>
      </c>
      <c r="F246" s="175" t="s">
        <v>3954</v>
      </c>
      <c r="G246" s="175" t="s">
        <v>4343</v>
      </c>
      <c r="H246" s="175">
        <v>13223.14</v>
      </c>
      <c r="I246" s="175">
        <v>0</v>
      </c>
      <c r="J246" s="175">
        <v>0</v>
      </c>
      <c r="K246" s="175">
        <v>0</v>
      </c>
      <c r="L246" s="175">
        <v>0</v>
      </c>
      <c r="M246" s="175">
        <v>2776.86</v>
      </c>
      <c r="N246" s="175">
        <v>2776.86</v>
      </c>
      <c r="O246" s="175">
        <v>16000</v>
      </c>
    </row>
    <row r="247" spans="1:15">
      <c r="A247" s="175" t="s">
        <v>4268</v>
      </c>
      <c r="B247" s="175" t="s">
        <v>3950</v>
      </c>
      <c r="C247" s="175" t="s">
        <v>3951</v>
      </c>
      <c r="D247" s="175" t="s">
        <v>3952</v>
      </c>
      <c r="E247" s="175" t="s">
        <v>3953</v>
      </c>
      <c r="F247" s="175" t="s">
        <v>3954</v>
      </c>
      <c r="G247" s="175" t="s">
        <v>4344</v>
      </c>
      <c r="H247" s="175">
        <v>18181.82</v>
      </c>
      <c r="I247" s="175">
        <v>0</v>
      </c>
      <c r="J247" s="175">
        <v>0</v>
      </c>
      <c r="K247" s="175">
        <v>0</v>
      </c>
      <c r="L247" s="175">
        <v>0</v>
      </c>
      <c r="M247" s="175">
        <v>3818.18</v>
      </c>
      <c r="N247" s="175">
        <v>3818.18</v>
      </c>
      <c r="O247" s="175">
        <v>22000</v>
      </c>
    </row>
    <row r="248" spans="1:15">
      <c r="A248" s="175" t="s">
        <v>4268</v>
      </c>
      <c r="B248" s="175" t="s">
        <v>3950</v>
      </c>
      <c r="C248" s="175" t="s">
        <v>3951</v>
      </c>
      <c r="D248" s="175" t="s">
        <v>3952</v>
      </c>
      <c r="E248" s="175" t="s">
        <v>3953</v>
      </c>
      <c r="F248" s="175" t="s">
        <v>3954</v>
      </c>
      <c r="G248" s="175" t="s">
        <v>4345</v>
      </c>
      <c r="H248" s="175">
        <v>13223.14</v>
      </c>
      <c r="I248" s="175">
        <v>0</v>
      </c>
      <c r="J248" s="175">
        <v>0</v>
      </c>
      <c r="K248" s="175">
        <v>0</v>
      </c>
      <c r="L248" s="175">
        <v>0</v>
      </c>
      <c r="M248" s="175">
        <v>2776.86</v>
      </c>
      <c r="N248" s="175">
        <v>2776.86</v>
      </c>
      <c r="O248" s="175">
        <v>16000</v>
      </c>
    </row>
    <row r="249" spans="1:15">
      <c r="A249" s="175" t="s">
        <v>4268</v>
      </c>
      <c r="B249" s="175" t="s">
        <v>3950</v>
      </c>
      <c r="C249" s="175" t="s">
        <v>3951</v>
      </c>
      <c r="D249" s="175" t="s">
        <v>3952</v>
      </c>
      <c r="E249" s="175" t="s">
        <v>3953</v>
      </c>
      <c r="F249" s="175" t="s">
        <v>3954</v>
      </c>
      <c r="G249" s="175" t="s">
        <v>4346</v>
      </c>
      <c r="H249" s="175">
        <v>20454.55</v>
      </c>
      <c r="I249" s="175">
        <v>0</v>
      </c>
      <c r="J249" s="175">
        <v>0</v>
      </c>
      <c r="K249" s="175">
        <v>0</v>
      </c>
      <c r="L249" s="175">
        <v>0</v>
      </c>
      <c r="M249" s="175">
        <v>4295.45</v>
      </c>
      <c r="N249" s="175">
        <v>4295.45</v>
      </c>
      <c r="O249" s="175">
        <v>24750</v>
      </c>
    </row>
    <row r="250" spans="1:15">
      <c r="A250" s="175" t="s">
        <v>4268</v>
      </c>
      <c r="B250" s="175" t="s">
        <v>4347</v>
      </c>
      <c r="C250" s="175" t="s">
        <v>4348</v>
      </c>
      <c r="D250" s="175" t="s">
        <v>3952</v>
      </c>
      <c r="E250" s="175" t="s">
        <v>3953</v>
      </c>
      <c r="F250" s="175" t="s">
        <v>3977</v>
      </c>
      <c r="G250" s="175" t="s">
        <v>4349</v>
      </c>
      <c r="H250" s="175">
        <v>13636.36</v>
      </c>
      <c r="I250" s="175">
        <v>0</v>
      </c>
      <c r="J250" s="175">
        <v>0</v>
      </c>
      <c r="K250" s="175">
        <v>0</v>
      </c>
      <c r="L250" s="175">
        <v>0</v>
      </c>
      <c r="M250" s="175">
        <v>2863.64</v>
      </c>
      <c r="N250" s="175">
        <v>2863.64</v>
      </c>
      <c r="O250" s="175">
        <v>16500</v>
      </c>
    </row>
    <row r="251" spans="1:15">
      <c r="A251" s="175" t="s">
        <v>4268</v>
      </c>
      <c r="B251" s="175" t="s">
        <v>4353</v>
      </c>
      <c r="C251" s="175" t="s">
        <v>4354</v>
      </c>
      <c r="D251" s="175" t="s">
        <v>3952</v>
      </c>
      <c r="E251" s="175" t="s">
        <v>3953</v>
      </c>
      <c r="F251" s="175" t="s">
        <v>3954</v>
      </c>
      <c r="G251" s="175" t="s">
        <v>4355</v>
      </c>
      <c r="H251" s="175">
        <v>44628.1</v>
      </c>
      <c r="I251" s="175">
        <v>0</v>
      </c>
      <c r="J251" s="175">
        <v>0</v>
      </c>
      <c r="K251" s="175">
        <v>0</v>
      </c>
      <c r="L251" s="175">
        <v>0</v>
      </c>
      <c r="M251" s="175">
        <v>9371.9</v>
      </c>
      <c r="N251" s="175">
        <v>9371.9</v>
      </c>
      <c r="O251" s="175">
        <v>54000</v>
      </c>
    </row>
    <row r="252" spans="1:15">
      <c r="A252" s="175" t="s">
        <v>4268</v>
      </c>
      <c r="B252" s="175" t="s">
        <v>4356</v>
      </c>
      <c r="C252" s="175"/>
      <c r="D252" s="175" t="s">
        <v>3952</v>
      </c>
      <c r="E252" s="175" t="s">
        <v>3953</v>
      </c>
      <c r="F252" s="175" t="s">
        <v>3954</v>
      </c>
      <c r="G252" s="175" t="s">
        <v>4357</v>
      </c>
      <c r="H252" s="175">
        <v>11239.67</v>
      </c>
      <c r="I252" s="175">
        <v>0</v>
      </c>
      <c r="J252" s="175">
        <v>0</v>
      </c>
      <c r="K252" s="175">
        <v>0</v>
      </c>
      <c r="L252" s="175">
        <v>0</v>
      </c>
      <c r="M252" s="175">
        <v>2360.33</v>
      </c>
      <c r="N252" s="175">
        <v>2360.33</v>
      </c>
      <c r="O252" s="175">
        <v>13600</v>
      </c>
    </row>
    <row r="253" spans="1:15">
      <c r="A253" s="175" t="s">
        <v>4268</v>
      </c>
      <c r="B253" s="175" t="s">
        <v>3950</v>
      </c>
      <c r="C253" s="175" t="s">
        <v>3951</v>
      </c>
      <c r="D253" s="175" t="s">
        <v>3952</v>
      </c>
      <c r="E253" s="175" t="s">
        <v>3953</v>
      </c>
      <c r="F253" s="175" t="s">
        <v>3954</v>
      </c>
      <c r="G253" s="175" t="s">
        <v>4359</v>
      </c>
      <c r="H253" s="175">
        <v>30495.87</v>
      </c>
      <c r="I253" s="175">
        <v>0</v>
      </c>
      <c r="J253" s="175">
        <v>0</v>
      </c>
      <c r="K253" s="175">
        <v>0</v>
      </c>
      <c r="L253" s="175">
        <v>0</v>
      </c>
      <c r="M253" s="175">
        <v>6404.13</v>
      </c>
      <c r="N253" s="175">
        <v>6404.13</v>
      </c>
      <c r="O253" s="175">
        <v>36900</v>
      </c>
    </row>
    <row r="254" spans="1:15">
      <c r="A254" s="175" t="s">
        <v>4268</v>
      </c>
      <c r="B254" s="175" t="s">
        <v>3950</v>
      </c>
      <c r="C254" s="175" t="s">
        <v>3951</v>
      </c>
      <c r="D254" s="175" t="s">
        <v>3952</v>
      </c>
      <c r="E254" s="175" t="s">
        <v>3953</v>
      </c>
      <c r="F254" s="175" t="s">
        <v>3954</v>
      </c>
      <c r="G254" s="175" t="s">
        <v>4360</v>
      </c>
      <c r="H254" s="175">
        <v>28925.62</v>
      </c>
      <c r="I254" s="175">
        <v>0</v>
      </c>
      <c r="J254" s="175">
        <v>0</v>
      </c>
      <c r="K254" s="175">
        <v>0</v>
      </c>
      <c r="L254" s="175">
        <v>0</v>
      </c>
      <c r="M254" s="175">
        <v>6074.38</v>
      </c>
      <c r="N254" s="175">
        <v>6074.38</v>
      </c>
      <c r="O254" s="175">
        <v>35000</v>
      </c>
    </row>
    <row r="255" spans="1:15">
      <c r="A255" s="175" t="s">
        <v>4268</v>
      </c>
      <c r="B255" s="175" t="s">
        <v>3950</v>
      </c>
      <c r="C255" s="175" t="s">
        <v>3951</v>
      </c>
      <c r="D255" s="175" t="s">
        <v>3952</v>
      </c>
      <c r="E255" s="175" t="s">
        <v>3953</v>
      </c>
      <c r="F255" s="175" t="s">
        <v>3954</v>
      </c>
      <c r="G255" s="175" t="s">
        <v>4361</v>
      </c>
      <c r="H255" s="175">
        <v>22479.34</v>
      </c>
      <c r="I255" s="175">
        <v>0</v>
      </c>
      <c r="J255" s="175">
        <v>0</v>
      </c>
      <c r="K255" s="175">
        <v>0</v>
      </c>
      <c r="L255" s="175">
        <v>0</v>
      </c>
      <c r="M255" s="175">
        <v>4720.66</v>
      </c>
      <c r="N255" s="175">
        <v>4720.66</v>
      </c>
      <c r="O255" s="175">
        <v>27200</v>
      </c>
    </row>
    <row r="256" spans="1:15">
      <c r="A256" s="175" t="s">
        <v>4268</v>
      </c>
      <c r="B256" s="175" t="s">
        <v>4363</v>
      </c>
      <c r="C256" s="175" t="s">
        <v>4364</v>
      </c>
      <c r="D256" s="175" t="s">
        <v>3952</v>
      </c>
      <c r="E256" s="175" t="s">
        <v>3953</v>
      </c>
      <c r="F256" s="175" t="s">
        <v>3954</v>
      </c>
      <c r="G256" s="175" t="s">
        <v>4365</v>
      </c>
      <c r="H256" s="175">
        <v>17355.37</v>
      </c>
      <c r="I256" s="175">
        <v>0</v>
      </c>
      <c r="J256" s="175">
        <v>0</v>
      </c>
      <c r="K256" s="175">
        <v>0</v>
      </c>
      <c r="L256" s="175">
        <v>0</v>
      </c>
      <c r="M256" s="175">
        <v>3644.63</v>
      </c>
      <c r="N256" s="175">
        <v>3644.63</v>
      </c>
      <c r="O256" s="175">
        <v>21000</v>
      </c>
    </row>
    <row r="257" spans="1:15">
      <c r="A257" s="175" t="s">
        <v>4268</v>
      </c>
      <c r="B257" s="175" t="s">
        <v>3950</v>
      </c>
      <c r="C257" s="175" t="s">
        <v>3951</v>
      </c>
      <c r="D257" s="175" t="s">
        <v>3952</v>
      </c>
      <c r="E257" s="175" t="s">
        <v>3953</v>
      </c>
      <c r="F257" s="175" t="s">
        <v>3954</v>
      </c>
      <c r="G257" s="175" t="s">
        <v>4366</v>
      </c>
      <c r="H257" s="175">
        <v>40909.089999999997</v>
      </c>
      <c r="I257" s="175">
        <v>0</v>
      </c>
      <c r="J257" s="175">
        <v>0</v>
      </c>
      <c r="K257" s="175">
        <v>0</v>
      </c>
      <c r="L257" s="175">
        <v>0</v>
      </c>
      <c r="M257" s="175">
        <v>8590.91</v>
      </c>
      <c r="N257" s="175">
        <v>8590.91</v>
      </c>
      <c r="O257" s="175">
        <v>49500</v>
      </c>
    </row>
    <row r="258" spans="1:15">
      <c r="A258" s="175" t="s">
        <v>4268</v>
      </c>
      <c r="B258" s="175" t="s">
        <v>3950</v>
      </c>
      <c r="C258" s="175" t="s">
        <v>3951</v>
      </c>
      <c r="D258" s="175" t="s">
        <v>3952</v>
      </c>
      <c r="E258" s="175" t="s">
        <v>3953</v>
      </c>
      <c r="F258" s="175" t="s">
        <v>3954</v>
      </c>
      <c r="G258" s="175" t="s">
        <v>4340</v>
      </c>
      <c r="H258" s="175">
        <v>23057.85</v>
      </c>
      <c r="I258" s="175">
        <v>0</v>
      </c>
      <c r="J258" s="175">
        <v>0</v>
      </c>
      <c r="K258" s="175">
        <v>0</v>
      </c>
      <c r="L258" s="175">
        <v>0</v>
      </c>
      <c r="M258" s="175">
        <v>4842.1499999999996</v>
      </c>
      <c r="N258" s="175">
        <v>4842.1499999999996</v>
      </c>
      <c r="O258" s="175">
        <v>27900</v>
      </c>
    </row>
    <row r="259" spans="1:15">
      <c r="A259" s="175" t="s">
        <v>4268</v>
      </c>
      <c r="B259" s="175" t="s">
        <v>3950</v>
      </c>
      <c r="C259" s="175" t="s">
        <v>3951</v>
      </c>
      <c r="D259" s="175" t="s">
        <v>3952</v>
      </c>
      <c r="E259" s="175" t="s">
        <v>3953</v>
      </c>
      <c r="F259" s="175" t="s">
        <v>3954</v>
      </c>
      <c r="G259" s="175" t="s">
        <v>4369</v>
      </c>
      <c r="H259" s="175">
        <v>18181.82</v>
      </c>
      <c r="I259" s="175">
        <v>0</v>
      </c>
      <c r="J259" s="175">
        <v>0</v>
      </c>
      <c r="K259" s="175">
        <v>0</v>
      </c>
      <c r="L259" s="175">
        <v>0</v>
      </c>
      <c r="M259" s="175">
        <v>3818.18</v>
      </c>
      <c r="N259" s="175">
        <v>3818.18</v>
      </c>
      <c r="O259" s="175">
        <v>22000</v>
      </c>
    </row>
    <row r="260" spans="1:15">
      <c r="A260" s="175" t="s">
        <v>4268</v>
      </c>
      <c r="B260" s="175" t="s">
        <v>3950</v>
      </c>
      <c r="C260" s="175" t="s">
        <v>3951</v>
      </c>
      <c r="D260" s="175" t="s">
        <v>3952</v>
      </c>
      <c r="E260" s="175" t="s">
        <v>3953</v>
      </c>
      <c r="F260" s="175" t="s">
        <v>3954</v>
      </c>
      <c r="G260" s="175" t="s">
        <v>4370</v>
      </c>
      <c r="H260" s="175">
        <v>14049.59</v>
      </c>
      <c r="I260" s="175">
        <v>0</v>
      </c>
      <c r="J260" s="175">
        <v>0</v>
      </c>
      <c r="K260" s="175">
        <v>0</v>
      </c>
      <c r="L260" s="175">
        <v>0</v>
      </c>
      <c r="M260" s="175">
        <v>2950.41</v>
      </c>
      <c r="N260" s="175">
        <v>2950.41</v>
      </c>
      <c r="O260" s="175">
        <v>17000</v>
      </c>
    </row>
    <row r="261" spans="1:15">
      <c r="A261" s="175" t="s">
        <v>4268</v>
      </c>
      <c r="B261" s="175" t="s">
        <v>3950</v>
      </c>
      <c r="C261" s="175" t="s">
        <v>3951</v>
      </c>
      <c r="D261" s="175" t="s">
        <v>3952</v>
      </c>
      <c r="E261" s="175" t="s">
        <v>3953</v>
      </c>
      <c r="F261" s="175" t="s">
        <v>3954</v>
      </c>
      <c r="G261" s="175" t="s">
        <v>4371</v>
      </c>
      <c r="H261" s="175">
        <v>33057.85</v>
      </c>
      <c r="I261" s="175">
        <v>0</v>
      </c>
      <c r="J261" s="175">
        <v>0</v>
      </c>
      <c r="K261" s="175">
        <v>0</v>
      </c>
      <c r="L261" s="175">
        <v>0</v>
      </c>
      <c r="M261" s="175">
        <v>6942.15</v>
      </c>
      <c r="N261" s="175">
        <v>6942.15</v>
      </c>
      <c r="O261" s="175">
        <v>40000</v>
      </c>
    </row>
    <row r="262" spans="1:15">
      <c r="A262" s="175" t="s">
        <v>4268</v>
      </c>
      <c r="B262" s="175" t="s">
        <v>4292</v>
      </c>
      <c r="C262" s="175" t="s">
        <v>4293</v>
      </c>
      <c r="D262" s="175" t="s">
        <v>3952</v>
      </c>
      <c r="E262" s="175" t="s">
        <v>3953</v>
      </c>
      <c r="F262" s="175" t="s">
        <v>3977</v>
      </c>
      <c r="G262" s="175" t="s">
        <v>4372</v>
      </c>
      <c r="H262" s="175">
        <v>17355.37</v>
      </c>
      <c r="I262" s="175">
        <v>0</v>
      </c>
      <c r="J262" s="175">
        <v>0</v>
      </c>
      <c r="K262" s="175">
        <v>0</v>
      </c>
      <c r="L262" s="175">
        <v>0</v>
      </c>
      <c r="M262" s="175">
        <v>3644.63</v>
      </c>
      <c r="N262" s="175">
        <v>3644.63</v>
      </c>
      <c r="O262" s="175">
        <v>21000</v>
      </c>
    </row>
    <row r="263" spans="1:15">
      <c r="A263" s="175" t="s">
        <v>4268</v>
      </c>
      <c r="B263" s="175" t="s">
        <v>3950</v>
      </c>
      <c r="C263" s="175" t="s">
        <v>3951</v>
      </c>
      <c r="D263" s="175" t="s">
        <v>3952</v>
      </c>
      <c r="E263" s="175" t="s">
        <v>3953</v>
      </c>
      <c r="F263" s="175" t="s">
        <v>3954</v>
      </c>
      <c r="G263" s="175" t="s">
        <v>4373</v>
      </c>
      <c r="H263" s="175">
        <v>33884.300000000003</v>
      </c>
      <c r="I263" s="175">
        <v>0</v>
      </c>
      <c r="J263" s="175">
        <v>0</v>
      </c>
      <c r="K263" s="175">
        <v>0</v>
      </c>
      <c r="L263" s="175">
        <v>0</v>
      </c>
      <c r="M263" s="175">
        <v>7115.7</v>
      </c>
      <c r="N263" s="175">
        <v>7115.7</v>
      </c>
      <c r="O263" s="175">
        <v>41000</v>
      </c>
    </row>
    <row r="264" spans="1:15">
      <c r="A264" s="175" t="s">
        <v>4268</v>
      </c>
      <c r="B264" s="175" t="s">
        <v>3950</v>
      </c>
      <c r="C264" s="175" t="s">
        <v>3951</v>
      </c>
      <c r="D264" s="175" t="s">
        <v>3952</v>
      </c>
      <c r="E264" s="175" t="s">
        <v>3953</v>
      </c>
      <c r="F264" s="175" t="s">
        <v>3954</v>
      </c>
      <c r="G264" s="175" t="s">
        <v>4374</v>
      </c>
      <c r="H264" s="175">
        <v>4132.2299999999996</v>
      </c>
      <c r="I264" s="175">
        <v>0</v>
      </c>
      <c r="J264" s="175">
        <v>0</v>
      </c>
      <c r="K264" s="175">
        <v>0</v>
      </c>
      <c r="L264" s="175">
        <v>0</v>
      </c>
      <c r="M264" s="175">
        <v>867.77</v>
      </c>
      <c r="N264" s="175">
        <v>867.77</v>
      </c>
      <c r="O264" s="175">
        <v>5000</v>
      </c>
    </row>
    <row r="265" spans="1:15">
      <c r="A265" s="175" t="s">
        <v>4333</v>
      </c>
      <c r="B265" s="175" t="s">
        <v>3950</v>
      </c>
      <c r="C265" s="175" t="s">
        <v>3951</v>
      </c>
      <c r="D265" s="175" t="s">
        <v>3952</v>
      </c>
      <c r="E265" s="175" t="s">
        <v>3953</v>
      </c>
      <c r="F265" s="175" t="s">
        <v>3954</v>
      </c>
      <c r="G265" s="175" t="s">
        <v>4376</v>
      </c>
      <c r="H265" s="175">
        <v>14876.03</v>
      </c>
      <c r="I265" s="175">
        <v>0</v>
      </c>
      <c r="J265" s="175">
        <v>0</v>
      </c>
      <c r="K265" s="175">
        <v>0</v>
      </c>
      <c r="L265" s="175">
        <v>0</v>
      </c>
      <c r="M265" s="175">
        <v>3123.97</v>
      </c>
      <c r="N265" s="175">
        <v>3123.97</v>
      </c>
      <c r="O265" s="175">
        <v>18000</v>
      </c>
    </row>
    <row r="266" spans="1:15">
      <c r="A266" s="175" t="s">
        <v>4333</v>
      </c>
      <c r="B266" s="175" t="s">
        <v>3950</v>
      </c>
      <c r="C266" s="175" t="s">
        <v>3951</v>
      </c>
      <c r="D266" s="175" t="s">
        <v>3952</v>
      </c>
      <c r="E266" s="175" t="s">
        <v>3953</v>
      </c>
      <c r="F266" s="175" t="s">
        <v>3954</v>
      </c>
      <c r="G266" s="175" t="s">
        <v>4377</v>
      </c>
      <c r="H266" s="175">
        <v>33057.85</v>
      </c>
      <c r="I266" s="175">
        <v>0</v>
      </c>
      <c r="J266" s="175">
        <v>0</v>
      </c>
      <c r="K266" s="175">
        <v>0</v>
      </c>
      <c r="L266" s="175">
        <v>0</v>
      </c>
      <c r="M266" s="175">
        <v>6942.15</v>
      </c>
      <c r="N266" s="175">
        <v>6942.15</v>
      </c>
      <c r="O266" s="175">
        <v>40000</v>
      </c>
    </row>
    <row r="267" spans="1:15">
      <c r="A267" s="175" t="s">
        <v>4333</v>
      </c>
      <c r="B267" s="175" t="s">
        <v>3950</v>
      </c>
      <c r="C267" s="175" t="s">
        <v>3951</v>
      </c>
      <c r="D267" s="175" t="s">
        <v>3952</v>
      </c>
      <c r="E267" s="175" t="s">
        <v>3953</v>
      </c>
      <c r="F267" s="175" t="s">
        <v>3954</v>
      </c>
      <c r="G267" s="175" t="s">
        <v>4379</v>
      </c>
      <c r="H267" s="175">
        <v>13223.14</v>
      </c>
      <c r="I267" s="175">
        <v>0</v>
      </c>
      <c r="J267" s="175">
        <v>0</v>
      </c>
      <c r="K267" s="175">
        <v>0</v>
      </c>
      <c r="L267" s="175">
        <v>0</v>
      </c>
      <c r="M267" s="175">
        <v>2776.86</v>
      </c>
      <c r="N267" s="175">
        <v>2776.86</v>
      </c>
      <c r="O267" s="175">
        <v>16000</v>
      </c>
    </row>
    <row r="268" spans="1:15">
      <c r="A268" s="175" t="s">
        <v>4333</v>
      </c>
      <c r="B268" s="175" t="s">
        <v>3950</v>
      </c>
      <c r="C268" s="175" t="s">
        <v>3951</v>
      </c>
      <c r="D268" s="175" t="s">
        <v>3952</v>
      </c>
      <c r="E268" s="175" t="s">
        <v>3953</v>
      </c>
      <c r="F268" s="175" t="s">
        <v>3954</v>
      </c>
      <c r="G268" s="175" t="s">
        <v>4386</v>
      </c>
      <c r="H268" s="175">
        <v>33884.300000000003</v>
      </c>
      <c r="I268" s="175">
        <v>0</v>
      </c>
      <c r="J268" s="175">
        <v>0</v>
      </c>
      <c r="K268" s="175">
        <v>0</v>
      </c>
      <c r="L268" s="175">
        <v>0</v>
      </c>
      <c r="M268" s="175">
        <v>7115.7</v>
      </c>
      <c r="N268" s="175">
        <v>7115.7</v>
      </c>
      <c r="O268" s="175">
        <v>41000</v>
      </c>
    </row>
    <row r="269" spans="1:15">
      <c r="A269" s="175" t="s">
        <v>4333</v>
      </c>
      <c r="B269" s="175" t="s">
        <v>3950</v>
      </c>
      <c r="C269" s="175" t="s">
        <v>3951</v>
      </c>
      <c r="D269" s="175" t="s">
        <v>3952</v>
      </c>
      <c r="E269" s="175" t="s">
        <v>3953</v>
      </c>
      <c r="F269" s="175" t="s">
        <v>3954</v>
      </c>
      <c r="G269" s="175" t="s">
        <v>4387</v>
      </c>
      <c r="H269" s="175">
        <v>5785.12</v>
      </c>
      <c r="I269" s="175">
        <v>0</v>
      </c>
      <c r="J269" s="175">
        <v>0</v>
      </c>
      <c r="K269" s="175">
        <v>0</v>
      </c>
      <c r="L269" s="175">
        <v>0</v>
      </c>
      <c r="M269" s="175">
        <v>1214.8800000000001</v>
      </c>
      <c r="N269" s="175">
        <v>1214.8800000000001</v>
      </c>
      <c r="O269" s="175">
        <v>7000</v>
      </c>
    </row>
    <row r="270" spans="1:15">
      <c r="A270" s="175" t="s">
        <v>4333</v>
      </c>
      <c r="B270" s="175" t="s">
        <v>4388</v>
      </c>
      <c r="C270" s="175" t="s">
        <v>4389</v>
      </c>
      <c r="D270" s="175" t="s">
        <v>3952</v>
      </c>
      <c r="E270" s="175" t="s">
        <v>4390</v>
      </c>
      <c r="F270" s="175" t="s">
        <v>3954</v>
      </c>
      <c r="G270" s="175" t="s">
        <v>4391</v>
      </c>
      <c r="H270" s="175">
        <v>59008.26</v>
      </c>
      <c r="I270" s="175">
        <v>0</v>
      </c>
      <c r="J270" s="175">
        <v>0</v>
      </c>
      <c r="K270" s="175">
        <v>0</v>
      </c>
      <c r="L270" s="175">
        <v>0</v>
      </c>
      <c r="M270" s="175">
        <v>12391.74</v>
      </c>
      <c r="N270" s="175">
        <v>12391.74</v>
      </c>
      <c r="O270" s="175">
        <v>71400</v>
      </c>
    </row>
    <row r="271" spans="1:15">
      <c r="A271" s="175" t="s">
        <v>4333</v>
      </c>
      <c r="B271" s="175" t="s">
        <v>3950</v>
      </c>
      <c r="C271" s="175" t="s">
        <v>3951</v>
      </c>
      <c r="D271" s="175" t="s">
        <v>3952</v>
      </c>
      <c r="E271" s="175" t="s">
        <v>3953</v>
      </c>
      <c r="F271" s="175" t="s">
        <v>3954</v>
      </c>
      <c r="G271" s="175" t="s">
        <v>4392</v>
      </c>
      <c r="H271" s="175">
        <v>15867.77</v>
      </c>
      <c r="I271" s="175">
        <v>0</v>
      </c>
      <c r="J271" s="175">
        <v>0</v>
      </c>
      <c r="K271" s="175">
        <v>0</v>
      </c>
      <c r="L271" s="175">
        <v>0</v>
      </c>
      <c r="M271" s="175">
        <v>3332.23</v>
      </c>
      <c r="N271" s="175">
        <v>3332.23</v>
      </c>
      <c r="O271" s="175">
        <v>19200</v>
      </c>
    </row>
    <row r="272" spans="1:15">
      <c r="A272" s="175" t="s">
        <v>4333</v>
      </c>
      <c r="B272" s="175" t="s">
        <v>3950</v>
      </c>
      <c r="C272" s="175" t="s">
        <v>3951</v>
      </c>
      <c r="D272" s="175" t="s">
        <v>3952</v>
      </c>
      <c r="E272" s="175" t="s">
        <v>3953</v>
      </c>
      <c r="F272" s="175" t="s">
        <v>3954</v>
      </c>
      <c r="G272" s="175" t="s">
        <v>4393</v>
      </c>
      <c r="H272" s="175">
        <v>26446.28</v>
      </c>
      <c r="I272" s="175">
        <v>0</v>
      </c>
      <c r="J272" s="175">
        <v>0</v>
      </c>
      <c r="K272" s="175">
        <v>0</v>
      </c>
      <c r="L272" s="175">
        <v>0</v>
      </c>
      <c r="M272" s="175">
        <v>5553.72</v>
      </c>
      <c r="N272" s="175">
        <v>5553.72</v>
      </c>
      <c r="O272" s="175">
        <v>32000</v>
      </c>
    </row>
    <row r="273" spans="1:15">
      <c r="A273" s="175" t="s">
        <v>4333</v>
      </c>
      <c r="B273" s="175" t="s">
        <v>3950</v>
      </c>
      <c r="C273" s="175" t="s">
        <v>3951</v>
      </c>
      <c r="D273" s="175" t="s">
        <v>3952</v>
      </c>
      <c r="E273" s="175" t="s">
        <v>3953</v>
      </c>
      <c r="F273" s="175" t="s">
        <v>3954</v>
      </c>
      <c r="G273" s="175" t="s">
        <v>4394</v>
      </c>
      <c r="H273" s="175">
        <v>13223.14</v>
      </c>
      <c r="I273" s="175">
        <v>0</v>
      </c>
      <c r="J273" s="175">
        <v>0</v>
      </c>
      <c r="K273" s="175">
        <v>0</v>
      </c>
      <c r="L273" s="175">
        <v>0</v>
      </c>
      <c r="M273" s="175">
        <v>2776.86</v>
      </c>
      <c r="N273" s="175">
        <v>2776.86</v>
      </c>
      <c r="O273" s="175">
        <v>16000</v>
      </c>
    </row>
    <row r="274" spans="1:15">
      <c r="A274" s="175" t="s">
        <v>4333</v>
      </c>
      <c r="B274" s="175" t="s">
        <v>3950</v>
      </c>
      <c r="C274" s="175" t="s">
        <v>3951</v>
      </c>
      <c r="D274" s="175" t="s">
        <v>3952</v>
      </c>
      <c r="E274" s="175" t="s">
        <v>3953</v>
      </c>
      <c r="F274" s="175" t="s">
        <v>3954</v>
      </c>
      <c r="G274" s="175" t="s">
        <v>4395</v>
      </c>
      <c r="H274" s="175">
        <v>17603.310000000001</v>
      </c>
      <c r="I274" s="175">
        <v>0</v>
      </c>
      <c r="J274" s="175">
        <v>0</v>
      </c>
      <c r="K274" s="175">
        <v>0</v>
      </c>
      <c r="L274" s="175">
        <v>0</v>
      </c>
      <c r="M274" s="175">
        <v>3696.69</v>
      </c>
      <c r="N274" s="175">
        <v>3696.69</v>
      </c>
      <c r="O274" s="175">
        <v>21300</v>
      </c>
    </row>
    <row r="275" spans="1:15">
      <c r="A275" s="175" t="s">
        <v>4333</v>
      </c>
      <c r="B275" s="175" t="s">
        <v>3950</v>
      </c>
      <c r="C275" s="175" t="s">
        <v>3951</v>
      </c>
      <c r="D275" s="175" t="s">
        <v>3952</v>
      </c>
      <c r="E275" s="175" t="s">
        <v>3953</v>
      </c>
      <c r="F275" s="175" t="s">
        <v>3954</v>
      </c>
      <c r="G275" s="175" t="s">
        <v>4396</v>
      </c>
      <c r="H275" s="175">
        <v>9090.91</v>
      </c>
      <c r="I275" s="175">
        <v>0</v>
      </c>
      <c r="J275" s="175">
        <v>0</v>
      </c>
      <c r="K275" s="175">
        <v>0</v>
      </c>
      <c r="L275" s="175">
        <v>0</v>
      </c>
      <c r="M275" s="175">
        <v>1909.09</v>
      </c>
      <c r="N275" s="175">
        <v>1909.09</v>
      </c>
      <c r="O275" s="175">
        <v>11000</v>
      </c>
    </row>
    <row r="276" spans="1:15">
      <c r="A276" s="175" t="s">
        <v>4333</v>
      </c>
      <c r="B276" s="175" t="s">
        <v>3950</v>
      </c>
      <c r="C276" s="175" t="s">
        <v>3951</v>
      </c>
      <c r="D276" s="175" t="s">
        <v>3952</v>
      </c>
      <c r="E276" s="175" t="s">
        <v>3953</v>
      </c>
      <c r="F276" s="175" t="s">
        <v>3954</v>
      </c>
      <c r="G276" s="175" t="s">
        <v>4397</v>
      </c>
      <c r="H276" s="175">
        <v>24793.39</v>
      </c>
      <c r="I276" s="175">
        <v>0</v>
      </c>
      <c r="J276" s="175">
        <v>0</v>
      </c>
      <c r="K276" s="175">
        <v>0</v>
      </c>
      <c r="L276" s="175">
        <v>0</v>
      </c>
      <c r="M276" s="175">
        <v>5206.6099999999997</v>
      </c>
      <c r="N276" s="175">
        <v>5206.6099999999997</v>
      </c>
      <c r="O276" s="175">
        <v>30000</v>
      </c>
    </row>
    <row r="277" spans="1:15">
      <c r="A277" s="175" t="s">
        <v>4333</v>
      </c>
      <c r="B277" s="175" t="s">
        <v>3950</v>
      </c>
      <c r="C277" s="175" t="s">
        <v>3951</v>
      </c>
      <c r="D277" s="175" t="s">
        <v>3952</v>
      </c>
      <c r="E277" s="175" t="s">
        <v>3953</v>
      </c>
      <c r="F277" s="175" t="s">
        <v>3954</v>
      </c>
      <c r="G277" s="175" t="s">
        <v>4398</v>
      </c>
      <c r="H277" s="175">
        <v>14049.59</v>
      </c>
      <c r="I277" s="175">
        <v>0</v>
      </c>
      <c r="J277" s="175">
        <v>0</v>
      </c>
      <c r="K277" s="175">
        <v>0</v>
      </c>
      <c r="L277" s="175">
        <v>0</v>
      </c>
      <c r="M277" s="175">
        <v>2950.41</v>
      </c>
      <c r="N277" s="175">
        <v>2950.41</v>
      </c>
      <c r="O277" s="175">
        <v>17000</v>
      </c>
    </row>
    <row r="278" spans="1:15">
      <c r="A278" s="175" t="s">
        <v>4333</v>
      </c>
      <c r="B278" s="175" t="s">
        <v>3950</v>
      </c>
      <c r="C278" s="175" t="s">
        <v>3951</v>
      </c>
      <c r="D278" s="175" t="s">
        <v>3952</v>
      </c>
      <c r="E278" s="175" t="s">
        <v>3953</v>
      </c>
      <c r="F278" s="175" t="s">
        <v>3954</v>
      </c>
      <c r="G278" s="175" t="s">
        <v>4401</v>
      </c>
      <c r="H278" s="175">
        <v>16528.93</v>
      </c>
      <c r="I278" s="175">
        <v>0</v>
      </c>
      <c r="J278" s="175">
        <v>0</v>
      </c>
      <c r="K278" s="175">
        <v>0</v>
      </c>
      <c r="L278" s="175">
        <v>0</v>
      </c>
      <c r="M278" s="175">
        <v>3471.07</v>
      </c>
      <c r="N278" s="175">
        <v>3471.07</v>
      </c>
      <c r="O278" s="175">
        <v>20000</v>
      </c>
    </row>
    <row r="279" spans="1:15">
      <c r="A279" s="175" t="s">
        <v>4333</v>
      </c>
      <c r="B279" s="175" t="s">
        <v>3950</v>
      </c>
      <c r="C279" s="175" t="s">
        <v>3951</v>
      </c>
      <c r="D279" s="175" t="s">
        <v>3952</v>
      </c>
      <c r="E279" s="175" t="s">
        <v>3953</v>
      </c>
      <c r="F279" s="175" t="s">
        <v>3954</v>
      </c>
      <c r="G279" s="175" t="s">
        <v>4403</v>
      </c>
      <c r="H279" s="175">
        <v>11570.25</v>
      </c>
      <c r="I279" s="175">
        <v>0</v>
      </c>
      <c r="J279" s="175">
        <v>0</v>
      </c>
      <c r="K279" s="175">
        <v>0</v>
      </c>
      <c r="L279" s="175">
        <v>0</v>
      </c>
      <c r="M279" s="175">
        <v>2429.75</v>
      </c>
      <c r="N279" s="175">
        <v>2429.75</v>
      </c>
      <c r="O279" s="175">
        <v>14000</v>
      </c>
    </row>
    <row r="280" spans="1:15">
      <c r="A280" s="175" t="s">
        <v>4333</v>
      </c>
      <c r="B280" s="175" t="s">
        <v>3950</v>
      </c>
      <c r="C280" s="175" t="s">
        <v>3951</v>
      </c>
      <c r="D280" s="175" t="s">
        <v>3952</v>
      </c>
      <c r="E280" s="175" t="s">
        <v>3953</v>
      </c>
      <c r="F280" s="175" t="s">
        <v>3954</v>
      </c>
      <c r="G280" s="175" t="s">
        <v>4404</v>
      </c>
      <c r="H280" s="175">
        <v>18181.82</v>
      </c>
      <c r="I280" s="175">
        <v>0</v>
      </c>
      <c r="J280" s="175">
        <v>0</v>
      </c>
      <c r="K280" s="175">
        <v>0</v>
      </c>
      <c r="L280" s="175">
        <v>0</v>
      </c>
      <c r="M280" s="175">
        <v>3818.18</v>
      </c>
      <c r="N280" s="175">
        <v>3818.18</v>
      </c>
      <c r="O280" s="175">
        <v>22000</v>
      </c>
    </row>
    <row r="281" spans="1:15">
      <c r="A281" s="175" t="s">
        <v>4333</v>
      </c>
      <c r="B281" s="175" t="s">
        <v>3950</v>
      </c>
      <c r="C281" s="175" t="s">
        <v>3951</v>
      </c>
      <c r="D281" s="175" t="s">
        <v>3952</v>
      </c>
      <c r="E281" s="175" t="s">
        <v>3953</v>
      </c>
      <c r="F281" s="175" t="s">
        <v>3954</v>
      </c>
      <c r="G281" s="175" t="s">
        <v>4405</v>
      </c>
      <c r="H281" s="175">
        <v>12727.27</v>
      </c>
      <c r="I281" s="175">
        <v>0</v>
      </c>
      <c r="J281" s="175">
        <v>0</v>
      </c>
      <c r="K281" s="175">
        <v>0</v>
      </c>
      <c r="L281" s="175">
        <v>0</v>
      </c>
      <c r="M281" s="175">
        <v>2672.73</v>
      </c>
      <c r="N281" s="175">
        <v>2672.73</v>
      </c>
      <c r="O281" s="175">
        <v>15400</v>
      </c>
    </row>
    <row r="282" spans="1:15">
      <c r="A282" s="175" t="s">
        <v>4333</v>
      </c>
      <c r="B282" s="175" t="s">
        <v>3950</v>
      </c>
      <c r="C282" s="175" t="s">
        <v>3951</v>
      </c>
      <c r="D282" s="175" t="s">
        <v>3952</v>
      </c>
      <c r="E282" s="175" t="s">
        <v>3953</v>
      </c>
      <c r="F282" s="175" t="s">
        <v>3954</v>
      </c>
      <c r="G282" s="175" t="s">
        <v>4406</v>
      </c>
      <c r="H282" s="175">
        <v>24380.17</v>
      </c>
      <c r="I282" s="175">
        <v>0</v>
      </c>
      <c r="J282" s="175">
        <v>0</v>
      </c>
      <c r="K282" s="175">
        <v>0</v>
      </c>
      <c r="L282" s="175">
        <v>0</v>
      </c>
      <c r="M282" s="175">
        <v>5119.83</v>
      </c>
      <c r="N282" s="175">
        <v>5119.83</v>
      </c>
      <c r="O282" s="175">
        <v>29500</v>
      </c>
    </row>
    <row r="283" spans="1:15">
      <c r="A283" s="175" t="s">
        <v>4333</v>
      </c>
      <c r="B283" s="175" t="s">
        <v>3950</v>
      </c>
      <c r="C283" s="175" t="s">
        <v>3951</v>
      </c>
      <c r="D283" s="175" t="s">
        <v>3952</v>
      </c>
      <c r="E283" s="175" t="s">
        <v>3953</v>
      </c>
      <c r="F283" s="175" t="s">
        <v>3954</v>
      </c>
      <c r="G283" s="175" t="s">
        <v>4407</v>
      </c>
      <c r="H283" s="175">
        <v>70247.929999999993</v>
      </c>
      <c r="I283" s="175">
        <v>0</v>
      </c>
      <c r="J283" s="175">
        <v>0</v>
      </c>
      <c r="K283" s="175">
        <v>0</v>
      </c>
      <c r="L283" s="175">
        <v>0</v>
      </c>
      <c r="M283" s="175">
        <v>14752.07</v>
      </c>
      <c r="N283" s="175">
        <v>14752.07</v>
      </c>
      <c r="O283" s="175">
        <v>85000</v>
      </c>
    </row>
    <row r="284" spans="1:15">
      <c r="A284" s="175" t="s">
        <v>4333</v>
      </c>
      <c r="B284" s="175" t="s">
        <v>3950</v>
      </c>
      <c r="C284" s="175" t="s">
        <v>3951</v>
      </c>
      <c r="D284" s="175" t="s">
        <v>3952</v>
      </c>
      <c r="E284" s="175" t="s">
        <v>3953</v>
      </c>
      <c r="F284" s="175" t="s">
        <v>3954</v>
      </c>
      <c r="G284" s="175" t="s">
        <v>4411</v>
      </c>
      <c r="H284" s="175">
        <v>26446.28</v>
      </c>
      <c r="I284" s="175">
        <v>0</v>
      </c>
      <c r="J284" s="175">
        <v>0</v>
      </c>
      <c r="K284" s="175">
        <v>0</v>
      </c>
      <c r="L284" s="175">
        <v>0</v>
      </c>
      <c r="M284" s="175">
        <v>5553.72</v>
      </c>
      <c r="N284" s="175">
        <v>5553.72</v>
      </c>
      <c r="O284" s="175">
        <v>32000</v>
      </c>
    </row>
    <row r="285" spans="1:15">
      <c r="A285" s="175" t="s">
        <v>4333</v>
      </c>
      <c r="B285" s="175" t="s">
        <v>3950</v>
      </c>
      <c r="C285" s="175" t="s">
        <v>3951</v>
      </c>
      <c r="D285" s="175" t="s">
        <v>3952</v>
      </c>
      <c r="E285" s="175" t="s">
        <v>3953</v>
      </c>
      <c r="F285" s="175" t="s">
        <v>3954</v>
      </c>
      <c r="G285" s="175" t="s">
        <v>4412</v>
      </c>
      <c r="H285" s="175">
        <v>22479.34</v>
      </c>
      <c r="I285" s="175">
        <v>0</v>
      </c>
      <c r="J285" s="175">
        <v>0</v>
      </c>
      <c r="K285" s="175">
        <v>0</v>
      </c>
      <c r="L285" s="175">
        <v>0</v>
      </c>
      <c r="M285" s="175">
        <v>4720.66</v>
      </c>
      <c r="N285" s="175">
        <v>4720.66</v>
      </c>
      <c r="O285" s="175">
        <v>27200</v>
      </c>
    </row>
    <row r="286" spans="1:15">
      <c r="A286" s="175" t="s">
        <v>4333</v>
      </c>
      <c r="B286" s="175" t="s">
        <v>3950</v>
      </c>
      <c r="C286" s="175" t="s">
        <v>3951</v>
      </c>
      <c r="D286" s="175" t="s">
        <v>3952</v>
      </c>
      <c r="E286" s="175" t="s">
        <v>3953</v>
      </c>
      <c r="F286" s="175" t="s">
        <v>3954</v>
      </c>
      <c r="G286" s="175" t="s">
        <v>4420</v>
      </c>
      <c r="H286" s="175">
        <v>15702.48</v>
      </c>
      <c r="I286" s="175">
        <v>0</v>
      </c>
      <c r="J286" s="175">
        <v>0</v>
      </c>
      <c r="K286" s="175">
        <v>0</v>
      </c>
      <c r="L286" s="175">
        <v>0</v>
      </c>
      <c r="M286" s="175">
        <v>3297.52</v>
      </c>
      <c r="N286" s="175">
        <v>3297.52</v>
      </c>
      <c r="O286" s="175">
        <v>19000</v>
      </c>
    </row>
    <row r="287" spans="1:15">
      <c r="A287" s="175" t="s">
        <v>4333</v>
      </c>
      <c r="B287" s="175" t="s">
        <v>3950</v>
      </c>
      <c r="C287" s="175" t="s">
        <v>3951</v>
      </c>
      <c r="D287" s="175" t="s">
        <v>3952</v>
      </c>
      <c r="E287" s="175" t="s">
        <v>3953</v>
      </c>
      <c r="F287" s="175" t="s">
        <v>3954</v>
      </c>
      <c r="G287" s="175" t="s">
        <v>4421</v>
      </c>
      <c r="H287" s="175">
        <v>14049.59</v>
      </c>
      <c r="I287" s="175">
        <v>0</v>
      </c>
      <c r="J287" s="175">
        <v>0</v>
      </c>
      <c r="K287" s="175">
        <v>0</v>
      </c>
      <c r="L287" s="175">
        <v>0</v>
      </c>
      <c r="M287" s="175">
        <v>2950.41</v>
      </c>
      <c r="N287" s="175">
        <v>2950.41</v>
      </c>
      <c r="O287" s="175">
        <v>17000</v>
      </c>
    </row>
    <row r="288" spans="1:15">
      <c r="A288" s="175" t="s">
        <v>4333</v>
      </c>
      <c r="B288" s="175" t="s">
        <v>4424</v>
      </c>
      <c r="C288" s="175" t="s">
        <v>4425</v>
      </c>
      <c r="D288" s="175" t="s">
        <v>3952</v>
      </c>
      <c r="E288" s="175" t="s">
        <v>3953</v>
      </c>
      <c r="F288" s="175" t="s">
        <v>3954</v>
      </c>
      <c r="G288" s="175" t="s">
        <v>4426</v>
      </c>
      <c r="H288" s="175">
        <v>89256.2</v>
      </c>
      <c r="I288" s="175">
        <v>0</v>
      </c>
      <c r="J288" s="175">
        <v>0</v>
      </c>
      <c r="K288" s="175">
        <v>0</v>
      </c>
      <c r="L288" s="175">
        <v>0</v>
      </c>
      <c r="M288" s="175">
        <v>18743.8</v>
      </c>
      <c r="N288" s="175">
        <v>18743.8</v>
      </c>
      <c r="O288" s="175">
        <v>108000</v>
      </c>
    </row>
    <row r="289" spans="1:15">
      <c r="A289" s="175" t="s">
        <v>4333</v>
      </c>
      <c r="B289" s="175" t="s">
        <v>3950</v>
      </c>
      <c r="C289" s="175" t="s">
        <v>3951</v>
      </c>
      <c r="D289" s="175" t="s">
        <v>3952</v>
      </c>
      <c r="E289" s="175" t="s">
        <v>3953</v>
      </c>
      <c r="F289" s="175" t="s">
        <v>3954</v>
      </c>
      <c r="G289" s="175" t="s">
        <v>4429</v>
      </c>
      <c r="H289" s="175">
        <v>14049.59</v>
      </c>
      <c r="I289" s="175">
        <v>0</v>
      </c>
      <c r="J289" s="175">
        <v>0</v>
      </c>
      <c r="K289" s="175">
        <v>0</v>
      </c>
      <c r="L289" s="175">
        <v>0</v>
      </c>
      <c r="M289" s="175">
        <v>2950.41</v>
      </c>
      <c r="N289" s="175">
        <v>2950.41</v>
      </c>
      <c r="O289" s="175">
        <v>17000</v>
      </c>
    </row>
    <row r="290" spans="1:15">
      <c r="A290" s="175" t="s">
        <v>4368</v>
      </c>
      <c r="B290" s="175" t="s">
        <v>3950</v>
      </c>
      <c r="C290" s="175" t="s">
        <v>3951</v>
      </c>
      <c r="D290" s="175" t="s">
        <v>3952</v>
      </c>
      <c r="E290" s="175" t="s">
        <v>3953</v>
      </c>
      <c r="F290" s="175" t="s">
        <v>3954</v>
      </c>
      <c r="G290" s="175" t="s">
        <v>4432</v>
      </c>
      <c r="H290" s="175">
        <v>13223.14</v>
      </c>
      <c r="I290" s="175">
        <v>0</v>
      </c>
      <c r="J290" s="175">
        <v>0</v>
      </c>
      <c r="K290" s="175">
        <v>0</v>
      </c>
      <c r="L290" s="175">
        <v>0</v>
      </c>
      <c r="M290" s="175">
        <v>2776.86</v>
      </c>
      <c r="N290" s="175">
        <v>2776.86</v>
      </c>
      <c r="O290" s="175">
        <v>16000</v>
      </c>
    </row>
    <row r="291" spans="1:15">
      <c r="A291" s="175" t="s">
        <v>4368</v>
      </c>
      <c r="B291" s="175" t="s">
        <v>3950</v>
      </c>
      <c r="C291" s="175" t="s">
        <v>3951</v>
      </c>
      <c r="D291" s="175" t="s">
        <v>3952</v>
      </c>
      <c r="E291" s="175" t="s">
        <v>3953</v>
      </c>
      <c r="F291" s="175" t="s">
        <v>3954</v>
      </c>
      <c r="G291" s="175" t="s">
        <v>4433</v>
      </c>
      <c r="H291" s="175">
        <v>75123.97</v>
      </c>
      <c r="I291" s="175">
        <v>0</v>
      </c>
      <c r="J291" s="175">
        <v>0</v>
      </c>
      <c r="K291" s="175">
        <v>0</v>
      </c>
      <c r="L291" s="175">
        <v>0</v>
      </c>
      <c r="M291" s="175">
        <v>15776.03</v>
      </c>
      <c r="N291" s="175">
        <v>15776.03</v>
      </c>
      <c r="O291" s="175">
        <v>90900</v>
      </c>
    </row>
    <row r="292" spans="1:15">
      <c r="A292" s="175" t="s">
        <v>4368</v>
      </c>
      <c r="B292" s="175" t="s">
        <v>3950</v>
      </c>
      <c r="C292" s="175" t="s">
        <v>3951</v>
      </c>
      <c r="D292" s="175" t="s">
        <v>3952</v>
      </c>
      <c r="E292" s="175" t="s">
        <v>3953</v>
      </c>
      <c r="F292" s="175" t="s">
        <v>3954</v>
      </c>
      <c r="G292" s="175" t="s">
        <v>4435</v>
      </c>
      <c r="H292" s="175">
        <v>26446.28</v>
      </c>
      <c r="I292" s="175">
        <v>0</v>
      </c>
      <c r="J292" s="175">
        <v>0</v>
      </c>
      <c r="K292" s="175">
        <v>0</v>
      </c>
      <c r="L292" s="175">
        <v>0</v>
      </c>
      <c r="M292" s="175">
        <v>5553.72</v>
      </c>
      <c r="N292" s="175">
        <v>5553.72</v>
      </c>
      <c r="O292" s="175">
        <v>32000</v>
      </c>
    </row>
    <row r="293" spans="1:15">
      <c r="A293" s="175" t="s">
        <v>4368</v>
      </c>
      <c r="B293" s="175" t="s">
        <v>3950</v>
      </c>
      <c r="C293" s="175" t="s">
        <v>3951</v>
      </c>
      <c r="D293" s="175" t="s">
        <v>3952</v>
      </c>
      <c r="E293" s="175" t="s">
        <v>3953</v>
      </c>
      <c r="F293" s="175" t="s">
        <v>3954</v>
      </c>
      <c r="G293" s="175" t="s">
        <v>4436</v>
      </c>
      <c r="H293" s="175">
        <v>43801.65</v>
      </c>
      <c r="I293" s="175">
        <v>0</v>
      </c>
      <c r="J293" s="175">
        <v>0</v>
      </c>
      <c r="K293" s="175">
        <v>0</v>
      </c>
      <c r="L293" s="175">
        <v>0</v>
      </c>
      <c r="M293" s="175">
        <v>9198.35</v>
      </c>
      <c r="N293" s="175">
        <v>9198.35</v>
      </c>
      <c r="O293" s="175">
        <v>53000</v>
      </c>
    </row>
    <row r="294" spans="1:15">
      <c r="A294" s="175" t="s">
        <v>4368</v>
      </c>
      <c r="B294" s="175" t="s">
        <v>3950</v>
      </c>
      <c r="C294" s="175" t="s">
        <v>3951</v>
      </c>
      <c r="D294" s="175" t="s">
        <v>3952</v>
      </c>
      <c r="E294" s="175" t="s">
        <v>3953</v>
      </c>
      <c r="F294" s="175" t="s">
        <v>3954</v>
      </c>
      <c r="G294" s="175" t="s">
        <v>4438</v>
      </c>
      <c r="H294" s="175">
        <v>42975.21</v>
      </c>
      <c r="I294" s="175">
        <v>0</v>
      </c>
      <c r="J294" s="175">
        <v>0</v>
      </c>
      <c r="K294" s="175">
        <v>0</v>
      </c>
      <c r="L294" s="175">
        <v>0</v>
      </c>
      <c r="M294" s="175">
        <v>9024.7900000000009</v>
      </c>
      <c r="N294" s="175">
        <v>9024.7900000000009</v>
      </c>
      <c r="O294" s="175">
        <v>52000</v>
      </c>
    </row>
    <row r="295" spans="1:15">
      <c r="A295" s="175" t="s">
        <v>4368</v>
      </c>
      <c r="B295" s="175" t="s">
        <v>4448</v>
      </c>
      <c r="C295" s="175" t="s">
        <v>4449</v>
      </c>
      <c r="D295" s="175" t="s">
        <v>3952</v>
      </c>
      <c r="E295" s="175" t="s">
        <v>3953</v>
      </c>
      <c r="F295" s="175" t="s">
        <v>3977</v>
      </c>
      <c r="G295" s="175" t="s">
        <v>4450</v>
      </c>
      <c r="H295" s="175">
        <v>52066.12</v>
      </c>
      <c r="I295" s="175">
        <v>0</v>
      </c>
      <c r="J295" s="175">
        <v>0</v>
      </c>
      <c r="K295" s="175">
        <v>0</v>
      </c>
      <c r="L295" s="175">
        <v>0</v>
      </c>
      <c r="M295" s="175">
        <v>10933.88</v>
      </c>
      <c r="N295" s="175">
        <v>10933.88</v>
      </c>
      <c r="O295" s="175">
        <v>63000</v>
      </c>
    </row>
    <row r="296" spans="1:15">
      <c r="A296" s="175" t="s">
        <v>4368</v>
      </c>
      <c r="B296" s="175" t="s">
        <v>3950</v>
      </c>
      <c r="C296" s="175" t="s">
        <v>3951</v>
      </c>
      <c r="D296" s="175" t="s">
        <v>3952</v>
      </c>
      <c r="E296" s="175" t="s">
        <v>3953</v>
      </c>
      <c r="F296" s="175" t="s">
        <v>3954</v>
      </c>
      <c r="G296" s="175" t="s">
        <v>4470</v>
      </c>
      <c r="H296" s="175">
        <v>20454.55</v>
      </c>
      <c r="I296" s="175">
        <v>0</v>
      </c>
      <c r="J296" s="175">
        <v>0</v>
      </c>
      <c r="K296" s="175">
        <v>0</v>
      </c>
      <c r="L296" s="175">
        <v>0</v>
      </c>
      <c r="M296" s="175">
        <v>4295.45</v>
      </c>
      <c r="N296" s="175">
        <v>4295.45</v>
      </c>
      <c r="O296" s="175">
        <v>24750</v>
      </c>
    </row>
    <row r="297" spans="1:15">
      <c r="A297" s="175" t="s">
        <v>4368</v>
      </c>
      <c r="B297" s="175" t="s">
        <v>3950</v>
      </c>
      <c r="C297" s="175" t="s">
        <v>3951</v>
      </c>
      <c r="D297" s="175" t="s">
        <v>3952</v>
      </c>
      <c r="E297" s="175" t="s">
        <v>3953</v>
      </c>
      <c r="F297" s="175" t="s">
        <v>3954</v>
      </c>
      <c r="G297" s="175" t="s">
        <v>4471</v>
      </c>
      <c r="H297" s="175">
        <v>28099.17</v>
      </c>
      <c r="I297" s="175">
        <v>0</v>
      </c>
      <c r="J297" s="175">
        <v>0</v>
      </c>
      <c r="K297" s="175">
        <v>0</v>
      </c>
      <c r="L297" s="175">
        <v>0</v>
      </c>
      <c r="M297" s="175">
        <v>5900.83</v>
      </c>
      <c r="N297" s="175">
        <v>5900.83</v>
      </c>
      <c r="O297" s="175">
        <v>34000</v>
      </c>
    </row>
    <row r="298" spans="1:15">
      <c r="A298" s="175" t="s">
        <v>4368</v>
      </c>
      <c r="B298" s="175" t="s">
        <v>3950</v>
      </c>
      <c r="C298" s="175" t="s">
        <v>3951</v>
      </c>
      <c r="D298" s="175" t="s">
        <v>3952</v>
      </c>
      <c r="E298" s="175" t="s">
        <v>3953</v>
      </c>
      <c r="F298" s="175" t="s">
        <v>3954</v>
      </c>
      <c r="G298" s="175" t="s">
        <v>4479</v>
      </c>
      <c r="H298" s="175">
        <v>13223.14</v>
      </c>
      <c r="I298" s="175">
        <v>0</v>
      </c>
      <c r="J298" s="175">
        <v>0</v>
      </c>
      <c r="K298" s="175">
        <v>0</v>
      </c>
      <c r="L298" s="175">
        <v>0</v>
      </c>
      <c r="M298" s="175">
        <v>2776.86</v>
      </c>
      <c r="N298" s="175">
        <v>2776.86</v>
      </c>
      <c r="O298" s="175">
        <v>16000</v>
      </c>
    </row>
    <row r="299" spans="1:15">
      <c r="A299" s="175" t="s">
        <v>4368</v>
      </c>
      <c r="B299" s="175" t="s">
        <v>3950</v>
      </c>
      <c r="C299" s="175" t="s">
        <v>3951</v>
      </c>
      <c r="D299" s="175" t="s">
        <v>3952</v>
      </c>
      <c r="E299" s="175" t="s">
        <v>3953</v>
      </c>
      <c r="F299" s="175" t="s">
        <v>3954</v>
      </c>
      <c r="G299" s="175" t="s">
        <v>4482</v>
      </c>
      <c r="H299" s="175">
        <v>21223.14</v>
      </c>
      <c r="I299" s="175">
        <v>0</v>
      </c>
      <c r="J299" s="175">
        <v>0</v>
      </c>
      <c r="K299" s="175">
        <v>0</v>
      </c>
      <c r="L299" s="175">
        <v>0</v>
      </c>
      <c r="M299" s="175">
        <v>4456.8599999999997</v>
      </c>
      <c r="N299" s="175">
        <v>4456.8599999999997</v>
      </c>
      <c r="O299" s="175">
        <v>25680</v>
      </c>
    </row>
    <row r="300" spans="1:15">
      <c r="A300" s="175" t="s">
        <v>4368</v>
      </c>
      <c r="B300" s="175" t="s">
        <v>4483</v>
      </c>
      <c r="C300" s="175" t="s">
        <v>4484</v>
      </c>
      <c r="D300" s="175" t="s">
        <v>3952</v>
      </c>
      <c r="E300" s="175" t="s">
        <v>3953</v>
      </c>
      <c r="F300" s="175" t="s">
        <v>3954</v>
      </c>
      <c r="G300" s="175" t="s">
        <v>4485</v>
      </c>
      <c r="H300" s="175">
        <v>382644.63</v>
      </c>
      <c r="I300" s="175">
        <v>0</v>
      </c>
      <c r="J300" s="175">
        <v>0</v>
      </c>
      <c r="K300" s="175">
        <v>0</v>
      </c>
      <c r="L300" s="175">
        <v>0</v>
      </c>
      <c r="M300" s="175">
        <v>80355.37</v>
      </c>
      <c r="N300" s="175">
        <v>80355.37</v>
      </c>
      <c r="O300" s="175">
        <v>463000</v>
      </c>
    </row>
    <row r="301" spans="1:15">
      <c r="A301" s="175" t="s">
        <v>4368</v>
      </c>
      <c r="B301" s="175" t="s">
        <v>3950</v>
      </c>
      <c r="C301" s="175" t="s">
        <v>3951</v>
      </c>
      <c r="D301" s="175" t="s">
        <v>3952</v>
      </c>
      <c r="E301" s="175" t="s">
        <v>3953</v>
      </c>
      <c r="F301" s="175" t="s">
        <v>3954</v>
      </c>
      <c r="G301" s="175" t="s">
        <v>4486</v>
      </c>
      <c r="H301" s="175">
        <v>13223.14</v>
      </c>
      <c r="I301" s="175">
        <v>0</v>
      </c>
      <c r="J301" s="175">
        <v>0</v>
      </c>
      <c r="K301" s="175">
        <v>0</v>
      </c>
      <c r="L301" s="175">
        <v>0</v>
      </c>
      <c r="M301" s="175">
        <v>2776.86</v>
      </c>
      <c r="N301" s="175">
        <v>2776.86</v>
      </c>
      <c r="O301" s="175">
        <v>16000</v>
      </c>
    </row>
    <row r="302" spans="1:15">
      <c r="A302" s="175" t="s">
        <v>4368</v>
      </c>
      <c r="B302" s="175" t="s">
        <v>3950</v>
      </c>
      <c r="C302" s="175" t="s">
        <v>3951</v>
      </c>
      <c r="D302" s="175" t="s">
        <v>3952</v>
      </c>
      <c r="E302" s="175" t="s">
        <v>3953</v>
      </c>
      <c r="F302" s="175" t="s">
        <v>3954</v>
      </c>
      <c r="G302" s="175" t="s">
        <v>4487</v>
      </c>
      <c r="H302" s="175">
        <v>20454.55</v>
      </c>
      <c r="I302" s="175">
        <v>0</v>
      </c>
      <c r="J302" s="175">
        <v>0</v>
      </c>
      <c r="K302" s="175">
        <v>0</v>
      </c>
      <c r="L302" s="175">
        <v>0</v>
      </c>
      <c r="M302" s="175">
        <v>4295.45</v>
      </c>
      <c r="N302" s="175">
        <v>4295.45</v>
      </c>
      <c r="O302" s="175">
        <v>24750</v>
      </c>
    </row>
    <row r="303" spans="1:15">
      <c r="A303" s="175" t="s">
        <v>4368</v>
      </c>
      <c r="B303" s="175" t="s">
        <v>3950</v>
      </c>
      <c r="C303" s="175" t="s">
        <v>3951</v>
      </c>
      <c r="D303" s="175" t="s">
        <v>3952</v>
      </c>
      <c r="E303" s="175" t="s">
        <v>3953</v>
      </c>
      <c r="F303" s="175" t="s">
        <v>3954</v>
      </c>
      <c r="G303" s="175" t="s">
        <v>4488</v>
      </c>
      <c r="H303" s="175">
        <v>20661.16</v>
      </c>
      <c r="I303" s="175">
        <v>0</v>
      </c>
      <c r="J303" s="175">
        <v>0</v>
      </c>
      <c r="K303" s="175">
        <v>0</v>
      </c>
      <c r="L303" s="175">
        <v>0</v>
      </c>
      <c r="M303" s="175">
        <v>4338.84</v>
      </c>
      <c r="N303" s="175">
        <v>4338.84</v>
      </c>
      <c r="O303" s="175">
        <v>25000</v>
      </c>
    </row>
    <row r="304" spans="1:15">
      <c r="A304" s="175" t="s">
        <v>4368</v>
      </c>
      <c r="B304" s="175" t="s">
        <v>3950</v>
      </c>
      <c r="C304" s="175" t="s">
        <v>3951</v>
      </c>
      <c r="D304" s="175" t="s">
        <v>3952</v>
      </c>
      <c r="E304" s="175" t="s">
        <v>3953</v>
      </c>
      <c r="F304" s="175" t="s">
        <v>3954</v>
      </c>
      <c r="G304" s="175" t="s">
        <v>4489</v>
      </c>
      <c r="H304" s="175">
        <v>17768.599999999999</v>
      </c>
      <c r="I304" s="175">
        <v>0</v>
      </c>
      <c r="J304" s="175">
        <v>0</v>
      </c>
      <c r="K304" s="175">
        <v>0</v>
      </c>
      <c r="L304" s="175">
        <v>0</v>
      </c>
      <c r="M304" s="175">
        <v>3731.4</v>
      </c>
      <c r="N304" s="175">
        <v>3731.4</v>
      </c>
      <c r="O304" s="175">
        <v>21500</v>
      </c>
    </row>
    <row r="305" spans="1:15">
      <c r="A305" s="175" t="s">
        <v>4385</v>
      </c>
      <c r="B305" s="175" t="s">
        <v>4491</v>
      </c>
      <c r="C305" s="175" t="s">
        <v>4492</v>
      </c>
      <c r="D305" s="175" t="s">
        <v>3952</v>
      </c>
      <c r="E305" s="175" t="s">
        <v>3953</v>
      </c>
      <c r="F305" s="175" t="s">
        <v>3954</v>
      </c>
      <c r="G305" s="175" t="s">
        <v>4493</v>
      </c>
      <c r="H305" s="175">
        <v>56198.35</v>
      </c>
      <c r="I305" s="175">
        <v>0</v>
      </c>
      <c r="J305" s="175">
        <v>0</v>
      </c>
      <c r="K305" s="175">
        <v>0</v>
      </c>
      <c r="L305" s="175">
        <v>0</v>
      </c>
      <c r="M305" s="175">
        <v>11801.65</v>
      </c>
      <c r="N305" s="175">
        <v>11801.65</v>
      </c>
      <c r="O305" s="175">
        <v>68000</v>
      </c>
    </row>
    <row r="306" spans="1:15">
      <c r="A306" s="175" t="s">
        <v>4385</v>
      </c>
      <c r="B306" s="175" t="s">
        <v>3950</v>
      </c>
      <c r="C306" s="175" t="s">
        <v>3951</v>
      </c>
      <c r="D306" s="175" t="s">
        <v>3952</v>
      </c>
      <c r="E306" s="175" t="s">
        <v>3953</v>
      </c>
      <c r="F306" s="175" t="s">
        <v>3954</v>
      </c>
      <c r="G306" s="175" t="s">
        <v>4494</v>
      </c>
      <c r="H306" s="175">
        <v>18181.82</v>
      </c>
      <c r="I306" s="175">
        <v>0</v>
      </c>
      <c r="J306" s="175">
        <v>0</v>
      </c>
      <c r="K306" s="175">
        <v>0</v>
      </c>
      <c r="L306" s="175">
        <v>0</v>
      </c>
      <c r="M306" s="175">
        <v>3818.18</v>
      </c>
      <c r="N306" s="175">
        <v>3818.18</v>
      </c>
      <c r="O306" s="175">
        <v>22000</v>
      </c>
    </row>
    <row r="307" spans="1:15">
      <c r="A307" s="175" t="s">
        <v>4385</v>
      </c>
      <c r="B307" s="175" t="s">
        <v>3950</v>
      </c>
      <c r="C307" s="175" t="s">
        <v>3951</v>
      </c>
      <c r="D307" s="175" t="s">
        <v>3952</v>
      </c>
      <c r="E307" s="175" t="s">
        <v>3953</v>
      </c>
      <c r="F307" s="175" t="s">
        <v>3954</v>
      </c>
      <c r="G307" s="175" t="s">
        <v>4495</v>
      </c>
      <c r="H307" s="175">
        <v>14876.03</v>
      </c>
      <c r="I307" s="175">
        <v>0</v>
      </c>
      <c r="J307" s="175">
        <v>0</v>
      </c>
      <c r="K307" s="175">
        <v>0</v>
      </c>
      <c r="L307" s="175">
        <v>0</v>
      </c>
      <c r="M307" s="175">
        <v>3123.97</v>
      </c>
      <c r="N307" s="175">
        <v>3123.97</v>
      </c>
      <c r="O307" s="175">
        <v>18000</v>
      </c>
    </row>
    <row r="308" spans="1:15">
      <c r="A308" s="175" t="s">
        <v>4385</v>
      </c>
      <c r="B308" s="175" t="s">
        <v>3950</v>
      </c>
      <c r="C308" s="175" t="s">
        <v>3951</v>
      </c>
      <c r="D308" s="175" t="s">
        <v>3952</v>
      </c>
      <c r="E308" s="175" t="s">
        <v>3953</v>
      </c>
      <c r="F308" s="175" t="s">
        <v>3954</v>
      </c>
      <c r="G308" s="175" t="s">
        <v>4496</v>
      </c>
      <c r="H308" s="175">
        <v>26446.28</v>
      </c>
      <c r="I308" s="175">
        <v>0</v>
      </c>
      <c r="J308" s="175">
        <v>0</v>
      </c>
      <c r="K308" s="175">
        <v>0</v>
      </c>
      <c r="L308" s="175">
        <v>0</v>
      </c>
      <c r="M308" s="175">
        <v>5553.72</v>
      </c>
      <c r="N308" s="175">
        <v>5553.72</v>
      </c>
      <c r="O308" s="175">
        <v>32000</v>
      </c>
    </row>
    <row r="309" spans="1:15">
      <c r="A309" s="175" t="s">
        <v>4385</v>
      </c>
      <c r="B309" s="175" t="s">
        <v>3950</v>
      </c>
      <c r="C309" s="175" t="s">
        <v>3951</v>
      </c>
      <c r="D309" s="175" t="s">
        <v>3952</v>
      </c>
      <c r="E309" s="175" t="s">
        <v>3953</v>
      </c>
      <c r="F309" s="175" t="s">
        <v>3954</v>
      </c>
      <c r="G309" s="175" t="s">
        <v>4497</v>
      </c>
      <c r="H309" s="175">
        <v>5785.12</v>
      </c>
      <c r="I309" s="175">
        <v>0</v>
      </c>
      <c r="J309" s="175">
        <v>0</v>
      </c>
      <c r="K309" s="175">
        <v>0</v>
      </c>
      <c r="L309" s="175">
        <v>0</v>
      </c>
      <c r="M309" s="175">
        <v>1214.8800000000001</v>
      </c>
      <c r="N309" s="175">
        <v>1214.8800000000001</v>
      </c>
      <c r="O309" s="175">
        <v>7000</v>
      </c>
    </row>
    <row r="310" spans="1:15">
      <c r="A310" s="175" t="s">
        <v>4385</v>
      </c>
      <c r="B310" s="175" t="s">
        <v>4498</v>
      </c>
      <c r="C310" s="175" t="s">
        <v>4499</v>
      </c>
      <c r="D310" s="175" t="s">
        <v>3952</v>
      </c>
      <c r="E310" s="175" t="s">
        <v>3953</v>
      </c>
      <c r="F310" s="175" t="s">
        <v>3954</v>
      </c>
      <c r="G310" s="175" t="s">
        <v>4500</v>
      </c>
      <c r="H310" s="175">
        <v>56198.35</v>
      </c>
      <c r="I310" s="175">
        <v>0</v>
      </c>
      <c r="J310" s="175">
        <v>0</v>
      </c>
      <c r="K310" s="175">
        <v>0</v>
      </c>
      <c r="L310" s="175">
        <v>0</v>
      </c>
      <c r="M310" s="175">
        <v>11801.65</v>
      </c>
      <c r="N310" s="175">
        <v>11801.65</v>
      </c>
      <c r="O310" s="175">
        <v>68000</v>
      </c>
    </row>
    <row r="311" spans="1:15">
      <c r="A311" s="175" t="s">
        <v>4385</v>
      </c>
      <c r="B311" s="175" t="s">
        <v>3950</v>
      </c>
      <c r="C311" s="175" t="s">
        <v>3951</v>
      </c>
      <c r="D311" s="175" t="s">
        <v>3952</v>
      </c>
      <c r="E311" s="175" t="s">
        <v>3953</v>
      </c>
      <c r="F311" s="175" t="s">
        <v>3954</v>
      </c>
      <c r="G311" s="175" t="s">
        <v>4501</v>
      </c>
      <c r="H311" s="175">
        <v>17355.37</v>
      </c>
      <c r="I311" s="175">
        <v>0</v>
      </c>
      <c r="J311" s="175">
        <v>0</v>
      </c>
      <c r="K311" s="175">
        <v>0</v>
      </c>
      <c r="L311" s="175">
        <v>0</v>
      </c>
      <c r="M311" s="175">
        <v>3644.63</v>
      </c>
      <c r="N311" s="175">
        <v>3644.63</v>
      </c>
      <c r="O311" s="175">
        <v>21000</v>
      </c>
    </row>
    <row r="312" spans="1:15">
      <c r="A312" s="175" t="s">
        <v>4385</v>
      </c>
      <c r="B312" s="175" t="s">
        <v>3950</v>
      </c>
      <c r="C312" s="175" t="s">
        <v>3951</v>
      </c>
      <c r="D312" s="175" t="s">
        <v>3952</v>
      </c>
      <c r="E312" s="175" t="s">
        <v>3953</v>
      </c>
      <c r="F312" s="175" t="s">
        <v>3954</v>
      </c>
      <c r="G312" s="175" t="s">
        <v>4502</v>
      </c>
      <c r="H312" s="175">
        <v>26446.28</v>
      </c>
      <c r="I312" s="175">
        <v>0</v>
      </c>
      <c r="J312" s="175">
        <v>0</v>
      </c>
      <c r="K312" s="175">
        <v>0</v>
      </c>
      <c r="L312" s="175">
        <v>0</v>
      </c>
      <c r="M312" s="175">
        <v>5553.72</v>
      </c>
      <c r="N312" s="175">
        <v>5553.72</v>
      </c>
      <c r="O312" s="175">
        <v>32000</v>
      </c>
    </row>
    <row r="313" spans="1:15">
      <c r="A313" s="175" t="s">
        <v>4385</v>
      </c>
      <c r="B313" s="175" t="s">
        <v>3950</v>
      </c>
      <c r="C313" s="175" t="s">
        <v>3951</v>
      </c>
      <c r="D313" s="175" t="s">
        <v>3952</v>
      </c>
      <c r="E313" s="175" t="s">
        <v>3953</v>
      </c>
      <c r="F313" s="175" t="s">
        <v>3954</v>
      </c>
      <c r="G313" s="175" t="s">
        <v>4503</v>
      </c>
      <c r="H313" s="175">
        <v>23966.94</v>
      </c>
      <c r="I313" s="175">
        <v>0</v>
      </c>
      <c r="J313" s="175">
        <v>0</v>
      </c>
      <c r="K313" s="175">
        <v>0</v>
      </c>
      <c r="L313" s="175">
        <v>0</v>
      </c>
      <c r="M313" s="175">
        <v>5033.0600000000004</v>
      </c>
      <c r="N313" s="175">
        <v>5033.0600000000004</v>
      </c>
      <c r="O313" s="175">
        <v>29000</v>
      </c>
    </row>
    <row r="314" spans="1:15">
      <c r="A314" s="175" t="s">
        <v>4385</v>
      </c>
      <c r="B314" s="175" t="s">
        <v>3950</v>
      </c>
      <c r="C314" s="175" t="s">
        <v>3951</v>
      </c>
      <c r="D314" s="175" t="s">
        <v>3952</v>
      </c>
      <c r="E314" s="175" t="s">
        <v>3953</v>
      </c>
      <c r="F314" s="175" t="s">
        <v>3954</v>
      </c>
      <c r="G314" s="175" t="s">
        <v>4504</v>
      </c>
      <c r="H314" s="175">
        <v>52892.56</v>
      </c>
      <c r="I314" s="175">
        <v>0</v>
      </c>
      <c r="J314" s="175">
        <v>0</v>
      </c>
      <c r="K314" s="175">
        <v>0</v>
      </c>
      <c r="L314" s="175">
        <v>0</v>
      </c>
      <c r="M314" s="175">
        <v>11107.44</v>
      </c>
      <c r="N314" s="175">
        <v>11107.44</v>
      </c>
      <c r="O314" s="175">
        <v>64000</v>
      </c>
    </row>
    <row r="315" spans="1:15">
      <c r="A315" s="175" t="s">
        <v>4385</v>
      </c>
      <c r="B315" s="175" t="s">
        <v>3950</v>
      </c>
      <c r="C315" s="175" t="s">
        <v>3951</v>
      </c>
      <c r="D315" s="175" t="s">
        <v>3952</v>
      </c>
      <c r="E315" s="175" t="s">
        <v>3953</v>
      </c>
      <c r="F315" s="175" t="s">
        <v>3954</v>
      </c>
      <c r="G315" s="175" t="s">
        <v>4505</v>
      </c>
      <c r="H315" s="175">
        <v>42148.76</v>
      </c>
      <c r="I315" s="175">
        <v>0</v>
      </c>
      <c r="J315" s="175">
        <v>0</v>
      </c>
      <c r="K315" s="175">
        <v>0</v>
      </c>
      <c r="L315" s="175">
        <v>0</v>
      </c>
      <c r="M315" s="175">
        <v>8851.24</v>
      </c>
      <c r="N315" s="175">
        <v>8851.24</v>
      </c>
      <c r="O315" s="175">
        <v>51000</v>
      </c>
    </row>
    <row r="316" spans="1:15">
      <c r="A316" s="175" t="s">
        <v>4385</v>
      </c>
      <c r="B316" s="175" t="s">
        <v>4506</v>
      </c>
      <c r="C316" s="175" t="s">
        <v>4507</v>
      </c>
      <c r="D316" s="175" t="s">
        <v>3952</v>
      </c>
      <c r="E316" s="175" t="s">
        <v>3953</v>
      </c>
      <c r="F316" s="175" t="s">
        <v>3954</v>
      </c>
      <c r="G316" s="175" t="s">
        <v>4508</v>
      </c>
      <c r="H316" s="175">
        <v>40909.089999999997</v>
      </c>
      <c r="I316" s="175">
        <v>0</v>
      </c>
      <c r="J316" s="175">
        <v>0</v>
      </c>
      <c r="K316" s="175">
        <v>0</v>
      </c>
      <c r="L316" s="175">
        <v>0</v>
      </c>
      <c r="M316" s="175">
        <v>8590.91</v>
      </c>
      <c r="N316" s="175">
        <v>8590.91</v>
      </c>
      <c r="O316" s="175">
        <v>49500</v>
      </c>
    </row>
    <row r="317" spans="1:15">
      <c r="A317" s="175" t="s">
        <v>4385</v>
      </c>
      <c r="B317" s="175" t="s">
        <v>3950</v>
      </c>
      <c r="C317" s="175" t="s">
        <v>3951</v>
      </c>
      <c r="D317" s="175" t="s">
        <v>3952</v>
      </c>
      <c r="E317" s="175" t="s">
        <v>3953</v>
      </c>
      <c r="F317" s="175" t="s">
        <v>3954</v>
      </c>
      <c r="G317" s="175" t="s">
        <v>4509</v>
      </c>
      <c r="H317" s="175">
        <v>18181.82</v>
      </c>
      <c r="I317" s="175">
        <v>0</v>
      </c>
      <c r="J317" s="175">
        <v>0</v>
      </c>
      <c r="K317" s="175">
        <v>0</v>
      </c>
      <c r="L317" s="175">
        <v>0</v>
      </c>
      <c r="M317" s="175">
        <v>3818.18</v>
      </c>
      <c r="N317" s="175">
        <v>3818.18</v>
      </c>
      <c r="O317" s="175">
        <v>22000</v>
      </c>
    </row>
    <row r="318" spans="1:15">
      <c r="A318" s="175" t="s">
        <v>4402</v>
      </c>
      <c r="B318" s="175" t="s">
        <v>3950</v>
      </c>
      <c r="C318" s="175" t="s">
        <v>3951</v>
      </c>
      <c r="D318" s="175" t="s">
        <v>3952</v>
      </c>
      <c r="E318" s="175" t="s">
        <v>3953</v>
      </c>
      <c r="F318" s="175" t="s">
        <v>3954</v>
      </c>
      <c r="G318" s="175" t="s">
        <v>4510</v>
      </c>
      <c r="H318" s="175">
        <v>14876.03</v>
      </c>
      <c r="I318" s="175">
        <v>0</v>
      </c>
      <c r="J318" s="175">
        <v>0</v>
      </c>
      <c r="K318" s="175">
        <v>0</v>
      </c>
      <c r="L318" s="175">
        <v>0</v>
      </c>
      <c r="M318" s="175">
        <v>3123.97</v>
      </c>
      <c r="N318" s="175">
        <v>3123.97</v>
      </c>
      <c r="O318" s="175">
        <v>18000</v>
      </c>
    </row>
    <row r="319" spans="1:15">
      <c r="A319" s="175" t="s">
        <v>4402</v>
      </c>
      <c r="B319" s="175" t="s">
        <v>3950</v>
      </c>
      <c r="C319" s="175" t="s">
        <v>3951</v>
      </c>
      <c r="D319" s="175" t="s">
        <v>3952</v>
      </c>
      <c r="E319" s="175" t="s">
        <v>3953</v>
      </c>
      <c r="F319" s="175" t="s">
        <v>3954</v>
      </c>
      <c r="G319" s="175" t="s">
        <v>4514</v>
      </c>
      <c r="H319" s="175">
        <v>13223.14</v>
      </c>
      <c r="I319" s="175">
        <v>0</v>
      </c>
      <c r="J319" s="175">
        <v>0</v>
      </c>
      <c r="K319" s="175">
        <v>0</v>
      </c>
      <c r="L319" s="175">
        <v>0</v>
      </c>
      <c r="M319" s="175">
        <v>2776.86</v>
      </c>
      <c r="N319" s="175">
        <v>2776.86</v>
      </c>
      <c r="O319" s="175">
        <v>16000</v>
      </c>
    </row>
    <row r="320" spans="1:15">
      <c r="A320" s="175" t="s">
        <v>4402</v>
      </c>
      <c r="B320" s="175" t="s">
        <v>3950</v>
      </c>
      <c r="C320" s="175" t="s">
        <v>3951</v>
      </c>
      <c r="D320" s="175" t="s">
        <v>3952</v>
      </c>
      <c r="E320" s="175" t="s">
        <v>3953</v>
      </c>
      <c r="F320" s="175" t="s">
        <v>3954</v>
      </c>
      <c r="G320" s="175" t="s">
        <v>4515</v>
      </c>
      <c r="H320" s="175">
        <v>35537.19</v>
      </c>
      <c r="I320" s="175">
        <v>0</v>
      </c>
      <c r="J320" s="175">
        <v>0</v>
      </c>
      <c r="K320" s="175">
        <v>0</v>
      </c>
      <c r="L320" s="175">
        <v>0</v>
      </c>
      <c r="M320" s="175">
        <v>7462.81</v>
      </c>
      <c r="N320" s="175">
        <v>7462.81</v>
      </c>
      <c r="O320" s="175">
        <v>43000</v>
      </c>
    </row>
    <row r="321" spans="1:15">
      <c r="A321" s="175" t="s">
        <v>4402</v>
      </c>
      <c r="B321" s="175" t="s">
        <v>3950</v>
      </c>
      <c r="C321" s="175" t="s">
        <v>3951</v>
      </c>
      <c r="D321" s="175" t="s">
        <v>3952</v>
      </c>
      <c r="E321" s="175" t="s">
        <v>3953</v>
      </c>
      <c r="F321" s="175" t="s">
        <v>3954</v>
      </c>
      <c r="G321" s="175" t="s">
        <v>4516</v>
      </c>
      <c r="H321" s="175">
        <v>12561.98</v>
      </c>
      <c r="I321" s="175">
        <v>0</v>
      </c>
      <c r="J321" s="175">
        <v>0</v>
      </c>
      <c r="K321" s="175">
        <v>0</v>
      </c>
      <c r="L321" s="175">
        <v>0</v>
      </c>
      <c r="M321" s="175">
        <v>2638.02</v>
      </c>
      <c r="N321" s="175">
        <v>2638.02</v>
      </c>
      <c r="O321" s="175">
        <v>15200</v>
      </c>
    </row>
    <row r="322" spans="1:15">
      <c r="A322" s="175" t="s">
        <v>4402</v>
      </c>
      <c r="B322" s="175" t="s">
        <v>3950</v>
      </c>
      <c r="C322" s="175" t="s">
        <v>3951</v>
      </c>
      <c r="D322" s="175" t="s">
        <v>3952</v>
      </c>
      <c r="E322" s="175" t="s">
        <v>3953</v>
      </c>
      <c r="F322" s="175" t="s">
        <v>3954</v>
      </c>
      <c r="G322" s="175" t="s">
        <v>4517</v>
      </c>
      <c r="H322" s="175">
        <v>13223.14</v>
      </c>
      <c r="I322" s="175">
        <v>0</v>
      </c>
      <c r="J322" s="175">
        <v>0</v>
      </c>
      <c r="K322" s="175">
        <v>0</v>
      </c>
      <c r="L322" s="175">
        <v>0</v>
      </c>
      <c r="M322" s="175">
        <v>2776.86</v>
      </c>
      <c r="N322" s="175">
        <v>2776.86</v>
      </c>
      <c r="O322" s="175">
        <v>16000</v>
      </c>
    </row>
    <row r="323" spans="1:15">
      <c r="A323" s="175" t="s">
        <v>4402</v>
      </c>
      <c r="B323" s="175" t="s">
        <v>3950</v>
      </c>
      <c r="C323" s="175" t="s">
        <v>3951</v>
      </c>
      <c r="D323" s="175" t="s">
        <v>3952</v>
      </c>
      <c r="E323" s="175" t="s">
        <v>3953</v>
      </c>
      <c r="F323" s="175" t="s">
        <v>3954</v>
      </c>
      <c r="G323" s="175" t="s">
        <v>4518</v>
      </c>
      <c r="H323" s="175">
        <v>13223.14</v>
      </c>
      <c r="I323" s="175">
        <v>0</v>
      </c>
      <c r="J323" s="175">
        <v>0</v>
      </c>
      <c r="K323" s="175">
        <v>0</v>
      </c>
      <c r="L323" s="175">
        <v>0</v>
      </c>
      <c r="M323" s="175">
        <v>2776.86</v>
      </c>
      <c r="N323" s="175">
        <v>2776.86</v>
      </c>
      <c r="O323" s="175">
        <v>16000</v>
      </c>
    </row>
    <row r="324" spans="1:15">
      <c r="A324" s="175" t="s">
        <v>4402</v>
      </c>
      <c r="B324" s="175" t="s">
        <v>3950</v>
      </c>
      <c r="C324" s="175" t="s">
        <v>3951</v>
      </c>
      <c r="D324" s="175" t="s">
        <v>3952</v>
      </c>
      <c r="E324" s="175" t="s">
        <v>3953</v>
      </c>
      <c r="F324" s="175" t="s">
        <v>3954</v>
      </c>
      <c r="G324" s="175" t="s">
        <v>4519</v>
      </c>
      <c r="H324" s="175">
        <v>16528.93</v>
      </c>
      <c r="I324" s="175">
        <v>0</v>
      </c>
      <c r="J324" s="175">
        <v>0</v>
      </c>
      <c r="K324" s="175">
        <v>0</v>
      </c>
      <c r="L324" s="175">
        <v>0</v>
      </c>
      <c r="M324" s="175">
        <v>3471.07</v>
      </c>
      <c r="N324" s="175">
        <v>3471.07</v>
      </c>
      <c r="O324" s="175">
        <v>20000</v>
      </c>
    </row>
    <row r="325" spans="1:15">
      <c r="A325" s="175" t="s">
        <v>4402</v>
      </c>
      <c r="B325" s="175" t="s">
        <v>4520</v>
      </c>
      <c r="C325" s="175" t="s">
        <v>4521</v>
      </c>
      <c r="D325" s="175" t="s">
        <v>3952</v>
      </c>
      <c r="E325" s="175" t="s">
        <v>3953</v>
      </c>
      <c r="F325" s="175" t="s">
        <v>3954</v>
      </c>
      <c r="G325" s="175" t="s">
        <v>4522</v>
      </c>
      <c r="H325" s="175">
        <v>42975.21</v>
      </c>
      <c r="I325" s="175">
        <v>0</v>
      </c>
      <c r="J325" s="175">
        <v>0</v>
      </c>
      <c r="K325" s="175">
        <v>0</v>
      </c>
      <c r="L325" s="175">
        <v>0</v>
      </c>
      <c r="M325" s="175">
        <v>9024.7900000000009</v>
      </c>
      <c r="N325" s="175">
        <v>9024.7900000000009</v>
      </c>
      <c r="O325" s="175">
        <v>52000</v>
      </c>
    </row>
    <row r="326" spans="1:15">
      <c r="A326" s="175" t="s">
        <v>4402</v>
      </c>
      <c r="B326" s="175" t="s">
        <v>3950</v>
      </c>
      <c r="C326" s="175" t="s">
        <v>3951</v>
      </c>
      <c r="D326" s="175" t="s">
        <v>3952</v>
      </c>
      <c r="E326" s="175" t="s">
        <v>3953</v>
      </c>
      <c r="F326" s="175" t="s">
        <v>3954</v>
      </c>
      <c r="G326" s="175" t="s">
        <v>4523</v>
      </c>
      <c r="H326" s="175">
        <v>13223.14</v>
      </c>
      <c r="I326" s="175">
        <v>0</v>
      </c>
      <c r="J326" s="175">
        <v>0</v>
      </c>
      <c r="K326" s="175">
        <v>0</v>
      </c>
      <c r="L326" s="175">
        <v>0</v>
      </c>
      <c r="M326" s="175">
        <v>2776.86</v>
      </c>
      <c r="N326" s="175">
        <v>2776.86</v>
      </c>
      <c r="O326" s="175">
        <v>16000</v>
      </c>
    </row>
    <row r="327" spans="1:15">
      <c r="A327" s="175" t="s">
        <v>4402</v>
      </c>
      <c r="B327" s="175" t="s">
        <v>3950</v>
      </c>
      <c r="C327" s="175" t="s">
        <v>3951</v>
      </c>
      <c r="D327" s="175" t="s">
        <v>3952</v>
      </c>
      <c r="E327" s="175" t="s">
        <v>3953</v>
      </c>
      <c r="F327" s="175" t="s">
        <v>3954</v>
      </c>
      <c r="G327" s="175" t="s">
        <v>4524</v>
      </c>
      <c r="H327" s="175">
        <v>11570.25</v>
      </c>
      <c r="I327" s="175">
        <v>0</v>
      </c>
      <c r="J327" s="175">
        <v>0</v>
      </c>
      <c r="K327" s="175">
        <v>0</v>
      </c>
      <c r="L327" s="175">
        <v>0</v>
      </c>
      <c r="M327" s="175">
        <v>2429.75</v>
      </c>
      <c r="N327" s="175">
        <v>2429.75</v>
      </c>
      <c r="O327" s="175">
        <v>14000</v>
      </c>
    </row>
    <row r="328" spans="1:15">
      <c r="A328" s="175" t="s">
        <v>4402</v>
      </c>
      <c r="B328" s="175" t="s">
        <v>3950</v>
      </c>
      <c r="C328" s="175" t="s">
        <v>3951</v>
      </c>
      <c r="D328" s="175" t="s">
        <v>3952</v>
      </c>
      <c r="E328" s="175" t="s">
        <v>3953</v>
      </c>
      <c r="F328" s="175" t="s">
        <v>3954</v>
      </c>
      <c r="G328" s="175" t="s">
        <v>4525</v>
      </c>
      <c r="H328" s="175">
        <v>31404.959999999999</v>
      </c>
      <c r="I328" s="175">
        <v>0</v>
      </c>
      <c r="J328" s="175">
        <v>0</v>
      </c>
      <c r="K328" s="175">
        <v>0</v>
      </c>
      <c r="L328" s="175">
        <v>0</v>
      </c>
      <c r="M328" s="175">
        <v>6595.04</v>
      </c>
      <c r="N328" s="175">
        <v>6595.04</v>
      </c>
      <c r="O328" s="175">
        <v>38000</v>
      </c>
    </row>
    <row r="329" spans="1:15">
      <c r="A329" s="175" t="s">
        <v>4402</v>
      </c>
      <c r="B329" s="175" t="s">
        <v>3950</v>
      </c>
      <c r="C329" s="175" t="s">
        <v>3951</v>
      </c>
      <c r="D329" s="175" t="s">
        <v>3952</v>
      </c>
      <c r="E329" s="175" t="s">
        <v>3953</v>
      </c>
      <c r="F329" s="175" t="s">
        <v>3954</v>
      </c>
      <c r="G329" s="175" t="s">
        <v>4526</v>
      </c>
      <c r="H329" s="175">
        <v>47933.88</v>
      </c>
      <c r="I329" s="175">
        <v>0</v>
      </c>
      <c r="J329" s="175">
        <v>0</v>
      </c>
      <c r="K329" s="175">
        <v>0</v>
      </c>
      <c r="L329" s="175">
        <v>0</v>
      </c>
      <c r="M329" s="175">
        <v>10066.120000000001</v>
      </c>
      <c r="N329" s="175">
        <v>10066.120000000001</v>
      </c>
      <c r="O329" s="175">
        <v>58000</v>
      </c>
    </row>
    <row r="330" spans="1:15">
      <c r="A330" s="175" t="s">
        <v>4402</v>
      </c>
      <c r="B330" s="175" t="s">
        <v>4527</v>
      </c>
      <c r="C330" s="175" t="s">
        <v>4528</v>
      </c>
      <c r="D330" s="175" t="s">
        <v>3952</v>
      </c>
      <c r="E330" s="175" t="s">
        <v>3953</v>
      </c>
      <c r="F330" s="175" t="s">
        <v>3954</v>
      </c>
      <c r="G330" s="175" t="s">
        <v>4529</v>
      </c>
      <c r="H330" s="175">
        <v>40909.089999999997</v>
      </c>
      <c r="I330" s="175">
        <v>0</v>
      </c>
      <c r="J330" s="175">
        <v>0</v>
      </c>
      <c r="K330" s="175">
        <v>0</v>
      </c>
      <c r="L330" s="175">
        <v>0</v>
      </c>
      <c r="M330" s="175">
        <v>8590.91</v>
      </c>
      <c r="N330" s="175">
        <v>8590.91</v>
      </c>
      <c r="O330" s="175">
        <v>49500</v>
      </c>
    </row>
    <row r="331" spans="1:15">
      <c r="A331" s="175" t="s">
        <v>4402</v>
      </c>
      <c r="B331" s="175" t="s">
        <v>4530</v>
      </c>
      <c r="C331" s="175" t="s">
        <v>4531</v>
      </c>
      <c r="D331" s="175" t="s">
        <v>3952</v>
      </c>
      <c r="E331" s="175" t="s">
        <v>3953</v>
      </c>
      <c r="F331" s="175" t="s">
        <v>3954</v>
      </c>
      <c r="G331" s="175" t="s">
        <v>4532</v>
      </c>
      <c r="H331" s="175">
        <v>40909.089999999997</v>
      </c>
      <c r="I331" s="175">
        <v>0</v>
      </c>
      <c r="J331" s="175">
        <v>0</v>
      </c>
      <c r="K331" s="175">
        <v>0</v>
      </c>
      <c r="L331" s="175">
        <v>0</v>
      </c>
      <c r="M331" s="175">
        <v>8590.91</v>
      </c>
      <c r="N331" s="175">
        <v>8590.91</v>
      </c>
      <c r="O331" s="175">
        <v>49500</v>
      </c>
    </row>
    <row r="332" spans="1:15">
      <c r="A332" s="175" t="s">
        <v>4402</v>
      </c>
      <c r="B332" s="175" t="s">
        <v>3950</v>
      </c>
      <c r="C332" s="175" t="s">
        <v>3951</v>
      </c>
      <c r="D332" s="175" t="s">
        <v>3952</v>
      </c>
      <c r="E332" s="175" t="s">
        <v>3953</v>
      </c>
      <c r="F332" s="175" t="s">
        <v>3954</v>
      </c>
      <c r="G332" s="175" t="s">
        <v>4533</v>
      </c>
      <c r="H332" s="175">
        <v>13636.36</v>
      </c>
      <c r="I332" s="175">
        <v>0</v>
      </c>
      <c r="J332" s="175">
        <v>0</v>
      </c>
      <c r="K332" s="175">
        <v>0</v>
      </c>
      <c r="L332" s="175">
        <v>0</v>
      </c>
      <c r="M332" s="175">
        <v>2863.64</v>
      </c>
      <c r="N332" s="175">
        <v>2863.64</v>
      </c>
      <c r="O332" s="175">
        <v>16500</v>
      </c>
    </row>
    <row r="333" spans="1:15">
      <c r="A333" s="175" t="s">
        <v>4402</v>
      </c>
      <c r="B333" s="175" t="s">
        <v>3950</v>
      </c>
      <c r="C333" s="175" t="s">
        <v>3951</v>
      </c>
      <c r="D333" s="175" t="s">
        <v>3952</v>
      </c>
      <c r="E333" s="175" t="s">
        <v>3953</v>
      </c>
      <c r="F333" s="175" t="s">
        <v>3954</v>
      </c>
      <c r="G333" s="175" t="s">
        <v>4534</v>
      </c>
      <c r="H333" s="175">
        <v>17768.599999999999</v>
      </c>
      <c r="I333" s="175">
        <v>0</v>
      </c>
      <c r="J333" s="175">
        <v>0</v>
      </c>
      <c r="K333" s="175">
        <v>0</v>
      </c>
      <c r="L333" s="175">
        <v>0</v>
      </c>
      <c r="M333" s="175">
        <v>3731.4</v>
      </c>
      <c r="N333" s="175">
        <v>3731.4</v>
      </c>
      <c r="O333" s="175">
        <v>21500</v>
      </c>
    </row>
    <row r="334" spans="1:15">
      <c r="A334" s="175" t="s">
        <v>4402</v>
      </c>
      <c r="B334" s="175" t="s">
        <v>3950</v>
      </c>
      <c r="C334" s="175" t="s">
        <v>3951</v>
      </c>
      <c r="D334" s="175" t="s">
        <v>3952</v>
      </c>
      <c r="E334" s="175" t="s">
        <v>3953</v>
      </c>
      <c r="F334" s="175" t="s">
        <v>3954</v>
      </c>
      <c r="G334" s="175" t="s">
        <v>4536</v>
      </c>
      <c r="H334" s="175">
        <v>13223.14</v>
      </c>
      <c r="I334" s="175">
        <v>0</v>
      </c>
      <c r="J334" s="175">
        <v>0</v>
      </c>
      <c r="K334" s="175">
        <v>0</v>
      </c>
      <c r="L334" s="175">
        <v>0</v>
      </c>
      <c r="M334" s="175">
        <v>2776.86</v>
      </c>
      <c r="N334" s="175">
        <v>2776.86</v>
      </c>
      <c r="O334" s="175">
        <v>16000</v>
      </c>
    </row>
    <row r="335" spans="1:15">
      <c r="A335" s="175" t="s">
        <v>4402</v>
      </c>
      <c r="B335" s="175" t="s">
        <v>3950</v>
      </c>
      <c r="C335" s="175" t="s">
        <v>3951</v>
      </c>
      <c r="D335" s="175" t="s">
        <v>3952</v>
      </c>
      <c r="E335" s="175" t="s">
        <v>3953</v>
      </c>
      <c r="F335" s="175" t="s">
        <v>3954</v>
      </c>
      <c r="G335" s="175" t="s">
        <v>4540</v>
      </c>
      <c r="H335" s="175">
        <v>26446.28</v>
      </c>
      <c r="I335" s="175">
        <v>0</v>
      </c>
      <c r="J335" s="175">
        <v>0</v>
      </c>
      <c r="K335" s="175">
        <v>0</v>
      </c>
      <c r="L335" s="175">
        <v>0</v>
      </c>
      <c r="M335" s="175">
        <v>5553.72</v>
      </c>
      <c r="N335" s="175">
        <v>5553.72</v>
      </c>
      <c r="O335" s="175">
        <v>32000</v>
      </c>
    </row>
    <row r="336" spans="1:15">
      <c r="A336" s="175" t="s">
        <v>4402</v>
      </c>
      <c r="B336" s="175" t="s">
        <v>3950</v>
      </c>
      <c r="C336" s="175" t="s">
        <v>3951</v>
      </c>
      <c r="D336" s="175" t="s">
        <v>3952</v>
      </c>
      <c r="E336" s="175" t="s">
        <v>3953</v>
      </c>
      <c r="F336" s="175" t="s">
        <v>3954</v>
      </c>
      <c r="G336" s="175" t="s">
        <v>4542</v>
      </c>
      <c r="H336" s="175">
        <v>26446.28</v>
      </c>
      <c r="I336" s="175">
        <v>0</v>
      </c>
      <c r="J336" s="175">
        <v>0</v>
      </c>
      <c r="K336" s="175">
        <v>0</v>
      </c>
      <c r="L336" s="175">
        <v>0</v>
      </c>
      <c r="M336" s="175">
        <v>5553.72</v>
      </c>
      <c r="N336" s="175">
        <v>5553.72</v>
      </c>
      <c r="O336" s="175">
        <v>32000</v>
      </c>
    </row>
    <row r="337" spans="1:15">
      <c r="A337" s="175" t="s">
        <v>4402</v>
      </c>
      <c r="B337" s="175" t="s">
        <v>3950</v>
      </c>
      <c r="C337" s="175" t="s">
        <v>3951</v>
      </c>
      <c r="D337" s="175" t="s">
        <v>3952</v>
      </c>
      <c r="E337" s="175" t="s">
        <v>3953</v>
      </c>
      <c r="F337" s="175" t="s">
        <v>3954</v>
      </c>
      <c r="G337" s="175" t="s">
        <v>4543</v>
      </c>
      <c r="H337" s="175">
        <v>33884.300000000003</v>
      </c>
      <c r="I337" s="175">
        <v>0</v>
      </c>
      <c r="J337" s="175">
        <v>0</v>
      </c>
      <c r="K337" s="175">
        <v>0</v>
      </c>
      <c r="L337" s="175">
        <v>0</v>
      </c>
      <c r="M337" s="175">
        <v>7115.7</v>
      </c>
      <c r="N337" s="175">
        <v>7115.7</v>
      </c>
      <c r="O337" s="175">
        <v>41000</v>
      </c>
    </row>
    <row r="338" spans="1:15">
      <c r="A338" s="175" t="s">
        <v>4402</v>
      </c>
      <c r="B338" s="175" t="s">
        <v>3950</v>
      </c>
      <c r="C338" s="175" t="s">
        <v>3951</v>
      </c>
      <c r="D338" s="175" t="s">
        <v>3952</v>
      </c>
      <c r="E338" s="175" t="s">
        <v>3953</v>
      </c>
      <c r="F338" s="175" t="s">
        <v>3954</v>
      </c>
      <c r="G338" s="175" t="s">
        <v>4545</v>
      </c>
      <c r="H338" s="175">
        <v>18595.04</v>
      </c>
      <c r="I338" s="175">
        <v>0</v>
      </c>
      <c r="J338" s="175">
        <v>0</v>
      </c>
      <c r="K338" s="175">
        <v>0</v>
      </c>
      <c r="L338" s="175">
        <v>0</v>
      </c>
      <c r="M338" s="175">
        <v>3904.96</v>
      </c>
      <c r="N338" s="175">
        <v>3904.96</v>
      </c>
      <c r="O338" s="175">
        <v>22500</v>
      </c>
    </row>
    <row r="339" spans="1:15">
      <c r="A339" s="175" t="s">
        <v>4402</v>
      </c>
      <c r="B339" s="175" t="s">
        <v>3950</v>
      </c>
      <c r="C339" s="175" t="s">
        <v>3951</v>
      </c>
      <c r="D339" s="175" t="s">
        <v>3952</v>
      </c>
      <c r="E339" s="175" t="s">
        <v>3953</v>
      </c>
      <c r="F339" s="175" t="s">
        <v>3954</v>
      </c>
      <c r="G339" s="175" t="s">
        <v>4546</v>
      </c>
      <c r="H339" s="175">
        <v>12066.12</v>
      </c>
      <c r="I339" s="175">
        <v>0</v>
      </c>
      <c r="J339" s="175">
        <v>0</v>
      </c>
      <c r="K339" s="175">
        <v>0</v>
      </c>
      <c r="L339" s="175">
        <v>0</v>
      </c>
      <c r="M339" s="175">
        <v>2533.88</v>
      </c>
      <c r="N339" s="175">
        <v>2533.88</v>
      </c>
      <c r="O339" s="175">
        <v>14600</v>
      </c>
    </row>
    <row r="340" spans="1:15">
      <c r="A340" s="175" t="s">
        <v>4402</v>
      </c>
      <c r="B340" s="175" t="s">
        <v>3950</v>
      </c>
      <c r="C340" s="175" t="s">
        <v>3951</v>
      </c>
      <c r="D340" s="175" t="s">
        <v>3952</v>
      </c>
      <c r="E340" s="175" t="s">
        <v>3953</v>
      </c>
      <c r="F340" s="175" t="s">
        <v>3954</v>
      </c>
      <c r="G340" s="175" t="s">
        <v>4547</v>
      </c>
      <c r="H340" s="175">
        <v>57024.79</v>
      </c>
      <c r="I340" s="175">
        <v>0</v>
      </c>
      <c r="J340" s="175">
        <v>0</v>
      </c>
      <c r="K340" s="175">
        <v>0</v>
      </c>
      <c r="L340" s="175">
        <v>0</v>
      </c>
      <c r="M340" s="175">
        <v>11975.21</v>
      </c>
      <c r="N340" s="175">
        <v>11975.21</v>
      </c>
      <c r="O340" s="175">
        <v>69000</v>
      </c>
    </row>
    <row r="341" spans="1:15">
      <c r="A341" s="175" t="s">
        <v>4402</v>
      </c>
      <c r="B341" s="175" t="s">
        <v>3950</v>
      </c>
      <c r="C341" s="175" t="s">
        <v>3951</v>
      </c>
      <c r="D341" s="175" t="s">
        <v>3952</v>
      </c>
      <c r="E341" s="175" t="s">
        <v>3953</v>
      </c>
      <c r="F341" s="175" t="s">
        <v>3954</v>
      </c>
      <c r="G341" s="175" t="s">
        <v>4548</v>
      </c>
      <c r="H341" s="175">
        <v>14628.1</v>
      </c>
      <c r="I341" s="175">
        <v>0</v>
      </c>
      <c r="J341" s="175">
        <v>0</v>
      </c>
      <c r="K341" s="175">
        <v>0</v>
      </c>
      <c r="L341" s="175">
        <v>0</v>
      </c>
      <c r="M341" s="175">
        <v>3071.9</v>
      </c>
      <c r="N341" s="175">
        <v>3071.9</v>
      </c>
      <c r="O341" s="175">
        <v>17700</v>
      </c>
    </row>
    <row r="342" spans="1:15">
      <c r="A342" s="175" t="s">
        <v>4402</v>
      </c>
      <c r="B342" s="175" t="s">
        <v>3950</v>
      </c>
      <c r="C342" s="175" t="s">
        <v>3951</v>
      </c>
      <c r="D342" s="175" t="s">
        <v>3952</v>
      </c>
      <c r="E342" s="175" t="s">
        <v>3953</v>
      </c>
      <c r="F342" s="175" t="s">
        <v>3954</v>
      </c>
      <c r="G342" s="175" t="s">
        <v>4549</v>
      </c>
      <c r="H342" s="175">
        <v>20454.55</v>
      </c>
      <c r="I342" s="175">
        <v>0</v>
      </c>
      <c r="J342" s="175">
        <v>0</v>
      </c>
      <c r="K342" s="175">
        <v>0</v>
      </c>
      <c r="L342" s="175">
        <v>0</v>
      </c>
      <c r="M342" s="175">
        <v>4295.45</v>
      </c>
      <c r="N342" s="175">
        <v>4295.45</v>
      </c>
      <c r="O342" s="175">
        <v>24750</v>
      </c>
    </row>
    <row r="343" spans="1:15">
      <c r="A343" s="175" t="s">
        <v>4402</v>
      </c>
      <c r="B343" s="175" t="s">
        <v>3950</v>
      </c>
      <c r="C343" s="175" t="s">
        <v>3951</v>
      </c>
      <c r="D343" s="175" t="s">
        <v>3952</v>
      </c>
      <c r="E343" s="175" t="s">
        <v>3953</v>
      </c>
      <c r="F343" s="175" t="s">
        <v>3954</v>
      </c>
      <c r="G343" s="175" t="s">
        <v>4550</v>
      </c>
      <c r="H343" s="175">
        <v>24380.17</v>
      </c>
      <c r="I343" s="175">
        <v>0</v>
      </c>
      <c r="J343" s="175">
        <v>0</v>
      </c>
      <c r="K343" s="175">
        <v>0</v>
      </c>
      <c r="L343" s="175">
        <v>0</v>
      </c>
      <c r="M343" s="175">
        <v>5119.83</v>
      </c>
      <c r="N343" s="175">
        <v>5119.83</v>
      </c>
      <c r="O343" s="175">
        <v>29500</v>
      </c>
    </row>
    <row r="344" spans="1:15">
      <c r="A344" s="175" t="s">
        <v>4402</v>
      </c>
      <c r="B344" s="175" t="s">
        <v>4551</v>
      </c>
      <c r="C344" s="175" t="s">
        <v>4552</v>
      </c>
      <c r="D344" s="175" t="s">
        <v>3952</v>
      </c>
      <c r="E344" s="175" t="s">
        <v>3953</v>
      </c>
      <c r="F344" s="175" t="s">
        <v>3954</v>
      </c>
      <c r="G344" s="175" t="s">
        <v>4553</v>
      </c>
      <c r="H344" s="175">
        <v>21900.83</v>
      </c>
      <c r="I344" s="175">
        <v>0</v>
      </c>
      <c r="J344" s="175">
        <v>0</v>
      </c>
      <c r="K344" s="175">
        <v>0</v>
      </c>
      <c r="L344" s="175">
        <v>0</v>
      </c>
      <c r="M344" s="175">
        <v>4599.17</v>
      </c>
      <c r="N344" s="175">
        <v>4599.17</v>
      </c>
      <c r="O344" s="175">
        <v>26500</v>
      </c>
    </row>
    <row r="345" spans="1:15">
      <c r="A345" s="175" t="s">
        <v>4402</v>
      </c>
      <c r="B345" s="175" t="s">
        <v>3950</v>
      </c>
      <c r="C345" s="175" t="s">
        <v>3951</v>
      </c>
      <c r="D345" s="175" t="s">
        <v>3952</v>
      </c>
      <c r="E345" s="175" t="s">
        <v>3953</v>
      </c>
      <c r="F345" s="175" t="s">
        <v>3954</v>
      </c>
      <c r="G345" s="175" t="s">
        <v>4554</v>
      </c>
      <c r="H345" s="175">
        <v>13223.14</v>
      </c>
      <c r="I345" s="175">
        <v>0</v>
      </c>
      <c r="J345" s="175">
        <v>0</v>
      </c>
      <c r="K345" s="175">
        <v>0</v>
      </c>
      <c r="L345" s="175">
        <v>0</v>
      </c>
      <c r="M345" s="175">
        <v>2776.86</v>
      </c>
      <c r="N345" s="175">
        <v>2776.86</v>
      </c>
      <c r="O345" s="175">
        <v>16000</v>
      </c>
    </row>
    <row r="346" spans="1:15">
      <c r="A346" s="175" t="s">
        <v>4437</v>
      </c>
      <c r="B346" s="175" t="s">
        <v>3950</v>
      </c>
      <c r="C346" s="175" t="s">
        <v>3951</v>
      </c>
      <c r="D346" s="175" t="s">
        <v>3952</v>
      </c>
      <c r="E346" s="175" t="s">
        <v>3953</v>
      </c>
      <c r="F346" s="175" t="s">
        <v>3954</v>
      </c>
      <c r="G346" s="175" t="s">
        <v>4558</v>
      </c>
      <c r="H346" s="175">
        <v>10495.87</v>
      </c>
      <c r="I346" s="175">
        <v>0</v>
      </c>
      <c r="J346" s="175">
        <v>0</v>
      </c>
      <c r="K346" s="175">
        <v>0</v>
      </c>
      <c r="L346" s="175">
        <v>0</v>
      </c>
      <c r="M346" s="175">
        <v>2204.13</v>
      </c>
      <c r="N346" s="175">
        <v>2204.13</v>
      </c>
      <c r="O346" s="175">
        <v>12700</v>
      </c>
    </row>
    <row r="347" spans="1:15">
      <c r="A347" s="175" t="s">
        <v>4437</v>
      </c>
      <c r="B347" s="175" t="s">
        <v>4563</v>
      </c>
      <c r="C347" s="175" t="s">
        <v>4564</v>
      </c>
      <c r="D347" s="175" t="s">
        <v>3952</v>
      </c>
      <c r="E347" s="175" t="s">
        <v>3953</v>
      </c>
      <c r="F347" s="175" t="s">
        <v>3954</v>
      </c>
      <c r="G347" s="175" t="s">
        <v>4565</v>
      </c>
      <c r="H347" s="175">
        <v>26446.28</v>
      </c>
      <c r="I347" s="175">
        <v>0</v>
      </c>
      <c r="J347" s="175">
        <v>0</v>
      </c>
      <c r="K347" s="175">
        <v>0</v>
      </c>
      <c r="L347" s="175">
        <v>0</v>
      </c>
      <c r="M347" s="175">
        <v>5553.72</v>
      </c>
      <c r="N347" s="175">
        <v>5553.72</v>
      </c>
      <c r="O347" s="175">
        <v>32000</v>
      </c>
    </row>
    <row r="348" spans="1:15">
      <c r="A348" s="175" t="s">
        <v>4437</v>
      </c>
      <c r="B348" s="175" t="s">
        <v>3950</v>
      </c>
      <c r="C348" s="175" t="s">
        <v>3951</v>
      </c>
      <c r="D348" s="175" t="s">
        <v>3952</v>
      </c>
      <c r="E348" s="175" t="s">
        <v>3953</v>
      </c>
      <c r="F348" s="175" t="s">
        <v>3954</v>
      </c>
      <c r="G348" s="175" t="s">
        <v>4566</v>
      </c>
      <c r="H348" s="175">
        <v>34710.74</v>
      </c>
      <c r="I348" s="175">
        <v>0</v>
      </c>
      <c r="J348" s="175">
        <v>0</v>
      </c>
      <c r="K348" s="175">
        <v>0</v>
      </c>
      <c r="L348" s="175">
        <v>0</v>
      </c>
      <c r="M348" s="175">
        <v>7289.26</v>
      </c>
      <c r="N348" s="175">
        <v>7289.26</v>
      </c>
      <c r="O348" s="175">
        <v>42000</v>
      </c>
    </row>
    <row r="349" spans="1:15">
      <c r="A349" s="175" t="s">
        <v>4437</v>
      </c>
      <c r="B349" s="175" t="s">
        <v>3950</v>
      </c>
      <c r="C349" s="175" t="s">
        <v>3951</v>
      </c>
      <c r="D349" s="175" t="s">
        <v>3952</v>
      </c>
      <c r="E349" s="175" t="s">
        <v>3953</v>
      </c>
      <c r="F349" s="175" t="s">
        <v>3954</v>
      </c>
      <c r="G349" s="175" t="s">
        <v>4568</v>
      </c>
      <c r="H349" s="175">
        <v>17355.37</v>
      </c>
      <c r="I349" s="175">
        <v>0</v>
      </c>
      <c r="J349" s="175">
        <v>0</v>
      </c>
      <c r="K349" s="175">
        <v>0</v>
      </c>
      <c r="L349" s="175">
        <v>0</v>
      </c>
      <c r="M349" s="175">
        <v>3644.63</v>
      </c>
      <c r="N349" s="175">
        <v>3644.63</v>
      </c>
      <c r="O349" s="175">
        <v>21000</v>
      </c>
    </row>
    <row r="350" spans="1:15">
      <c r="A350" s="175" t="s">
        <v>4437</v>
      </c>
      <c r="B350" s="175" t="s">
        <v>3950</v>
      </c>
      <c r="C350" s="175" t="s">
        <v>3951</v>
      </c>
      <c r="D350" s="175" t="s">
        <v>3952</v>
      </c>
      <c r="E350" s="175" t="s">
        <v>3953</v>
      </c>
      <c r="F350" s="175" t="s">
        <v>3954</v>
      </c>
      <c r="G350" s="175" t="s">
        <v>4569</v>
      </c>
      <c r="H350" s="175">
        <v>11239.67</v>
      </c>
      <c r="I350" s="175">
        <v>0</v>
      </c>
      <c r="J350" s="175">
        <v>0</v>
      </c>
      <c r="K350" s="175">
        <v>0</v>
      </c>
      <c r="L350" s="175">
        <v>0</v>
      </c>
      <c r="M350" s="175">
        <v>2360.33</v>
      </c>
      <c r="N350" s="175">
        <v>2360.33</v>
      </c>
      <c r="O350" s="175">
        <v>13600</v>
      </c>
    </row>
    <row r="351" spans="1:15">
      <c r="A351" s="175" t="s">
        <v>4437</v>
      </c>
      <c r="B351" s="175" t="s">
        <v>3950</v>
      </c>
      <c r="C351" s="175" t="s">
        <v>3951</v>
      </c>
      <c r="D351" s="175" t="s">
        <v>3952</v>
      </c>
      <c r="E351" s="175" t="s">
        <v>3953</v>
      </c>
      <c r="F351" s="175" t="s">
        <v>3954</v>
      </c>
      <c r="G351" s="175" t="s">
        <v>4570</v>
      </c>
      <c r="H351" s="175">
        <v>30785.119999999999</v>
      </c>
      <c r="I351" s="175">
        <v>0</v>
      </c>
      <c r="J351" s="175">
        <v>0</v>
      </c>
      <c r="K351" s="175">
        <v>0</v>
      </c>
      <c r="L351" s="175">
        <v>0</v>
      </c>
      <c r="M351" s="175">
        <v>6464.88</v>
      </c>
      <c r="N351" s="175">
        <v>6464.88</v>
      </c>
      <c r="O351" s="175">
        <v>37250</v>
      </c>
    </row>
    <row r="352" spans="1:15">
      <c r="A352" s="175" t="s">
        <v>4437</v>
      </c>
      <c r="B352" s="175" t="s">
        <v>3950</v>
      </c>
      <c r="C352" s="175" t="s">
        <v>3951</v>
      </c>
      <c r="D352" s="175" t="s">
        <v>3952</v>
      </c>
      <c r="E352" s="175" t="s">
        <v>3953</v>
      </c>
      <c r="F352" s="175" t="s">
        <v>3954</v>
      </c>
      <c r="G352" s="175" t="s">
        <v>4571</v>
      </c>
      <c r="H352" s="175">
        <v>12396.69</v>
      </c>
      <c r="I352" s="175">
        <v>0</v>
      </c>
      <c r="J352" s="175">
        <v>0</v>
      </c>
      <c r="K352" s="175">
        <v>0</v>
      </c>
      <c r="L352" s="175">
        <v>0</v>
      </c>
      <c r="M352" s="175">
        <v>2603.31</v>
      </c>
      <c r="N352" s="175">
        <v>2603.31</v>
      </c>
      <c r="O352" s="175">
        <v>15000</v>
      </c>
    </row>
    <row r="353" spans="1:15">
      <c r="A353" s="175" t="s">
        <v>4437</v>
      </c>
      <c r="B353" s="175" t="s">
        <v>3950</v>
      </c>
      <c r="C353" s="175" t="s">
        <v>3951</v>
      </c>
      <c r="D353" s="175" t="s">
        <v>3952</v>
      </c>
      <c r="E353" s="175" t="s">
        <v>3953</v>
      </c>
      <c r="F353" s="175" t="s">
        <v>3954</v>
      </c>
      <c r="G353" s="175" t="s">
        <v>4573</v>
      </c>
      <c r="H353" s="175">
        <v>4958.68</v>
      </c>
      <c r="I353" s="175">
        <v>0</v>
      </c>
      <c r="J353" s="175">
        <v>0</v>
      </c>
      <c r="K353" s="175">
        <v>0</v>
      </c>
      <c r="L353" s="175">
        <v>0</v>
      </c>
      <c r="M353" s="175">
        <v>1041.32</v>
      </c>
      <c r="N353" s="175">
        <v>1041.32</v>
      </c>
      <c r="O353" s="175">
        <v>6000</v>
      </c>
    </row>
    <row r="354" spans="1:15">
      <c r="A354" s="175" t="s">
        <v>4437</v>
      </c>
      <c r="B354" s="175" t="s">
        <v>4576</v>
      </c>
      <c r="C354" s="175" t="s">
        <v>4577</v>
      </c>
      <c r="D354" s="175" t="s">
        <v>3952</v>
      </c>
      <c r="E354" s="175" t="s">
        <v>3953</v>
      </c>
      <c r="F354" s="175" t="s">
        <v>3954</v>
      </c>
      <c r="G354" s="175" t="s">
        <v>4578</v>
      </c>
      <c r="H354" s="175">
        <v>17355.37</v>
      </c>
      <c r="I354" s="175">
        <v>0</v>
      </c>
      <c r="J354" s="175">
        <v>0</v>
      </c>
      <c r="K354" s="175">
        <v>0</v>
      </c>
      <c r="L354" s="175">
        <v>0</v>
      </c>
      <c r="M354" s="175">
        <v>3644.63</v>
      </c>
      <c r="N354" s="175">
        <v>3644.63</v>
      </c>
      <c r="O354" s="175">
        <v>21000</v>
      </c>
    </row>
    <row r="355" spans="1:15">
      <c r="A355" s="175" t="s">
        <v>4437</v>
      </c>
      <c r="B355" s="175" t="s">
        <v>3950</v>
      </c>
      <c r="C355" s="175" t="s">
        <v>3951</v>
      </c>
      <c r="D355" s="175" t="s">
        <v>3952</v>
      </c>
      <c r="E355" s="175" t="s">
        <v>3953</v>
      </c>
      <c r="F355" s="175" t="s">
        <v>3954</v>
      </c>
      <c r="G355" s="175" t="s">
        <v>4579</v>
      </c>
      <c r="H355" s="175">
        <v>24380.17</v>
      </c>
      <c r="I355" s="175">
        <v>0</v>
      </c>
      <c r="J355" s="175">
        <v>0</v>
      </c>
      <c r="K355" s="175">
        <v>0</v>
      </c>
      <c r="L355" s="175">
        <v>0</v>
      </c>
      <c r="M355" s="175">
        <v>5119.83</v>
      </c>
      <c r="N355" s="175">
        <v>5119.83</v>
      </c>
      <c r="O355" s="175">
        <v>29500</v>
      </c>
    </row>
    <row r="356" spans="1:15">
      <c r="A356" s="175" t="s">
        <v>4437</v>
      </c>
      <c r="B356" s="175" t="s">
        <v>3950</v>
      </c>
      <c r="C356" s="175" t="s">
        <v>3951</v>
      </c>
      <c r="D356" s="175" t="s">
        <v>3952</v>
      </c>
      <c r="E356" s="175" t="s">
        <v>3953</v>
      </c>
      <c r="F356" s="175" t="s">
        <v>3954</v>
      </c>
      <c r="G356" s="175" t="s">
        <v>4580</v>
      </c>
      <c r="H356" s="175">
        <v>2314.0500000000002</v>
      </c>
      <c r="I356" s="175">
        <v>0</v>
      </c>
      <c r="J356" s="175">
        <v>0</v>
      </c>
      <c r="K356" s="175">
        <v>0</v>
      </c>
      <c r="L356" s="175">
        <v>0</v>
      </c>
      <c r="M356" s="175">
        <v>485.95</v>
      </c>
      <c r="N356" s="175">
        <v>485.95</v>
      </c>
      <c r="O356" s="175">
        <v>2800</v>
      </c>
    </row>
    <row r="357" spans="1:15">
      <c r="A357" s="175" t="s">
        <v>4437</v>
      </c>
      <c r="B357" s="175" t="s">
        <v>3961</v>
      </c>
      <c r="C357" s="175" t="s">
        <v>3962</v>
      </c>
      <c r="D357" s="175" t="s">
        <v>3952</v>
      </c>
      <c r="E357" s="175" t="s">
        <v>3953</v>
      </c>
      <c r="F357" s="175" t="s">
        <v>3954</v>
      </c>
      <c r="G357" s="175" t="s">
        <v>3963</v>
      </c>
      <c r="H357" s="175">
        <v>56611.57</v>
      </c>
      <c r="I357" s="175">
        <v>0</v>
      </c>
      <c r="J357" s="175">
        <v>0</v>
      </c>
      <c r="K357" s="175">
        <v>0</v>
      </c>
      <c r="L357" s="175">
        <v>0</v>
      </c>
      <c r="M357" s="175">
        <v>11888.43</v>
      </c>
      <c r="N357" s="175">
        <v>11888.43</v>
      </c>
      <c r="O357" s="175">
        <v>68500</v>
      </c>
    </row>
    <row r="358" spans="1:15">
      <c r="A358" s="175" t="s">
        <v>4437</v>
      </c>
      <c r="B358" s="175" t="s">
        <v>498</v>
      </c>
      <c r="C358" s="175"/>
      <c r="D358" s="175" t="s">
        <v>3952</v>
      </c>
      <c r="E358" s="175" t="s">
        <v>3953</v>
      </c>
      <c r="F358" s="175" t="s">
        <v>3954</v>
      </c>
      <c r="G358" s="175" t="s">
        <v>3993</v>
      </c>
      <c r="H358" s="175">
        <v>19834.71</v>
      </c>
      <c r="I358" s="175">
        <v>0</v>
      </c>
      <c r="J358" s="175">
        <v>0</v>
      </c>
      <c r="K358" s="175">
        <v>0</v>
      </c>
      <c r="L358" s="175">
        <v>0</v>
      </c>
      <c r="M358" s="175">
        <v>4165.29</v>
      </c>
      <c r="N358" s="175">
        <v>4165.29</v>
      </c>
      <c r="O358" s="175">
        <v>24000</v>
      </c>
    </row>
    <row r="359" spans="1:15">
      <c r="A359" s="175" t="s">
        <v>4437</v>
      </c>
      <c r="B359" s="175" t="s">
        <v>3996</v>
      </c>
      <c r="C359" s="175" t="s">
        <v>3997</v>
      </c>
      <c r="D359" s="175" t="s">
        <v>3952</v>
      </c>
      <c r="E359" s="175" t="s">
        <v>3953</v>
      </c>
      <c r="F359" s="175" t="s">
        <v>3954</v>
      </c>
      <c r="G359" s="175" t="s">
        <v>3998</v>
      </c>
      <c r="H359" s="175">
        <v>12727.27</v>
      </c>
      <c r="I359" s="175">
        <v>0</v>
      </c>
      <c r="J359" s="175">
        <v>0</v>
      </c>
      <c r="K359" s="175">
        <v>0</v>
      </c>
      <c r="L359" s="175">
        <v>0</v>
      </c>
      <c r="M359" s="175">
        <v>2672.73</v>
      </c>
      <c r="N359" s="175">
        <v>2672.73</v>
      </c>
      <c r="O359" s="175">
        <v>15400</v>
      </c>
    </row>
    <row r="360" spans="1:15">
      <c r="A360" s="175" t="s">
        <v>4437</v>
      </c>
      <c r="B360" s="175" t="s">
        <v>4002</v>
      </c>
      <c r="C360" s="175" t="s">
        <v>4003</v>
      </c>
      <c r="D360" s="175" t="s">
        <v>3952</v>
      </c>
      <c r="E360" s="175" t="s">
        <v>3953</v>
      </c>
      <c r="F360" s="175" t="s">
        <v>3954</v>
      </c>
      <c r="G360" s="175" t="s">
        <v>4004</v>
      </c>
      <c r="H360" s="175">
        <v>13636.36</v>
      </c>
      <c r="I360" s="175">
        <v>0</v>
      </c>
      <c r="J360" s="175">
        <v>0</v>
      </c>
      <c r="K360" s="175">
        <v>0</v>
      </c>
      <c r="L360" s="175">
        <v>0</v>
      </c>
      <c r="M360" s="175">
        <v>2863.64</v>
      </c>
      <c r="N360" s="175">
        <v>2863.64</v>
      </c>
      <c r="O360" s="175">
        <v>16500</v>
      </c>
    </row>
    <row r="361" spans="1:15">
      <c r="A361" s="175" t="s">
        <v>4437</v>
      </c>
      <c r="B361" s="175" t="s">
        <v>4011</v>
      </c>
      <c r="C361" s="175" t="s">
        <v>4012</v>
      </c>
      <c r="D361" s="175" t="s">
        <v>3952</v>
      </c>
      <c r="E361" s="175" t="s">
        <v>3953</v>
      </c>
      <c r="F361" s="175" t="s">
        <v>3977</v>
      </c>
      <c r="G361" s="175" t="s">
        <v>4013</v>
      </c>
      <c r="H361" s="175">
        <v>22314.05</v>
      </c>
      <c r="I361" s="175">
        <v>0</v>
      </c>
      <c r="J361" s="175">
        <v>0</v>
      </c>
      <c r="K361" s="175">
        <v>0</v>
      </c>
      <c r="L361" s="175">
        <v>0</v>
      </c>
      <c r="M361" s="175">
        <v>4685.95</v>
      </c>
      <c r="N361" s="175">
        <v>4685.95</v>
      </c>
      <c r="O361" s="175">
        <v>27000</v>
      </c>
    </row>
    <row r="362" spans="1:15">
      <c r="A362" s="175" t="s">
        <v>4437</v>
      </c>
      <c r="B362" s="175" t="s">
        <v>4016</v>
      </c>
      <c r="C362" s="175" t="s">
        <v>4017</v>
      </c>
      <c r="D362" s="175" t="s">
        <v>3952</v>
      </c>
      <c r="E362" s="175" t="s">
        <v>3953</v>
      </c>
      <c r="F362" s="175" t="s">
        <v>3954</v>
      </c>
      <c r="G362" s="175" t="s">
        <v>4018</v>
      </c>
      <c r="H362" s="175">
        <v>14876.03</v>
      </c>
      <c r="I362" s="175">
        <v>0</v>
      </c>
      <c r="J362" s="175">
        <v>0</v>
      </c>
      <c r="K362" s="175">
        <v>0</v>
      </c>
      <c r="L362" s="175">
        <v>0</v>
      </c>
      <c r="M362" s="175">
        <v>3123.97</v>
      </c>
      <c r="N362" s="175">
        <v>3123.97</v>
      </c>
      <c r="O362" s="175">
        <v>18000</v>
      </c>
    </row>
    <row r="363" spans="1:15">
      <c r="A363" s="175" t="s">
        <v>4437</v>
      </c>
      <c r="B363" s="175" t="s">
        <v>3783</v>
      </c>
      <c r="C363" s="175" t="s">
        <v>4021</v>
      </c>
      <c r="D363" s="175" t="s">
        <v>3952</v>
      </c>
      <c r="E363" s="175" t="s">
        <v>4022</v>
      </c>
      <c r="F363" s="175" t="s">
        <v>4023</v>
      </c>
      <c r="G363" s="175" t="s">
        <v>4024</v>
      </c>
      <c r="H363" s="175">
        <v>2268155.35</v>
      </c>
      <c r="I363" s="175">
        <v>0</v>
      </c>
      <c r="J363" s="175">
        <v>0</v>
      </c>
      <c r="K363" s="175">
        <v>0</v>
      </c>
      <c r="L363" s="175">
        <v>0</v>
      </c>
      <c r="M363" s="175">
        <v>476312.62</v>
      </c>
      <c r="N363" s="175">
        <v>476312.62</v>
      </c>
      <c r="O363" s="175">
        <v>2744467.97</v>
      </c>
    </row>
    <row r="364" spans="1:15">
      <c r="A364" s="175" t="s">
        <v>4437</v>
      </c>
      <c r="B364" s="175" t="s">
        <v>4025</v>
      </c>
      <c r="C364" s="175" t="s">
        <v>4026</v>
      </c>
      <c r="D364" s="175" t="s">
        <v>3952</v>
      </c>
      <c r="E364" s="175" t="s">
        <v>4027</v>
      </c>
      <c r="F364" s="175" t="s">
        <v>3954</v>
      </c>
      <c r="G364" s="175" t="s">
        <v>4028</v>
      </c>
      <c r="H364" s="175">
        <v>19834.71</v>
      </c>
      <c r="I364" s="175">
        <v>0</v>
      </c>
      <c r="J364" s="175">
        <v>0</v>
      </c>
      <c r="K364" s="175">
        <v>0</v>
      </c>
      <c r="L364" s="175">
        <v>0</v>
      </c>
      <c r="M364" s="175">
        <v>4165.29</v>
      </c>
      <c r="N364" s="175">
        <v>4165.29</v>
      </c>
      <c r="O364" s="175">
        <v>24000</v>
      </c>
    </row>
    <row r="365" spans="1:15">
      <c r="A365" s="175" t="s">
        <v>4437</v>
      </c>
      <c r="B365" s="175" t="s">
        <v>3201</v>
      </c>
      <c r="C365" s="175" t="s">
        <v>4032</v>
      </c>
      <c r="D365" s="175" t="s">
        <v>3952</v>
      </c>
      <c r="E365" s="175" t="s">
        <v>4033</v>
      </c>
      <c r="F365" s="175" t="s">
        <v>3954</v>
      </c>
      <c r="G365" s="175" t="s">
        <v>4034</v>
      </c>
      <c r="H365" s="175">
        <v>10661.16</v>
      </c>
      <c r="I365" s="175">
        <v>0</v>
      </c>
      <c r="J365" s="175">
        <v>0</v>
      </c>
      <c r="K365" s="175">
        <v>0</v>
      </c>
      <c r="L365" s="175">
        <v>0</v>
      </c>
      <c r="M365" s="175">
        <v>2238.84</v>
      </c>
      <c r="N365" s="175">
        <v>2238.84</v>
      </c>
      <c r="O365" s="175">
        <v>12900</v>
      </c>
    </row>
    <row r="366" spans="1:15">
      <c r="A366" s="175" t="s">
        <v>4437</v>
      </c>
      <c r="B366" s="175" t="s">
        <v>4035</v>
      </c>
      <c r="C366" s="175" t="s">
        <v>4036</v>
      </c>
      <c r="D366" s="175" t="s">
        <v>3952</v>
      </c>
      <c r="E366" s="175" t="s">
        <v>3953</v>
      </c>
      <c r="F366" s="175" t="s">
        <v>3954</v>
      </c>
      <c r="G366" s="175" t="s">
        <v>4037</v>
      </c>
      <c r="H366" s="175">
        <v>12727.27</v>
      </c>
      <c r="I366" s="175">
        <v>0</v>
      </c>
      <c r="J366" s="175">
        <v>0</v>
      </c>
      <c r="K366" s="175">
        <v>0</v>
      </c>
      <c r="L366" s="175">
        <v>0</v>
      </c>
      <c r="M366" s="175">
        <v>2672.73</v>
      </c>
      <c r="N366" s="175">
        <v>2672.73</v>
      </c>
      <c r="O366" s="175">
        <v>15400</v>
      </c>
    </row>
    <row r="367" spans="1:15">
      <c r="A367" s="175" t="s">
        <v>4437</v>
      </c>
      <c r="B367" s="175" t="s">
        <v>4046</v>
      </c>
      <c r="C367" s="175" t="s">
        <v>4047</v>
      </c>
      <c r="D367" s="175" t="s">
        <v>3952</v>
      </c>
      <c r="E367" s="175" t="s">
        <v>3953</v>
      </c>
      <c r="F367" s="175" t="s">
        <v>3954</v>
      </c>
      <c r="G367" s="175" t="s">
        <v>4048</v>
      </c>
      <c r="H367" s="175">
        <v>22314.05</v>
      </c>
      <c r="I367" s="175">
        <v>0</v>
      </c>
      <c r="J367" s="175">
        <v>0</v>
      </c>
      <c r="K367" s="175">
        <v>0</v>
      </c>
      <c r="L367" s="175">
        <v>0</v>
      </c>
      <c r="M367" s="175">
        <v>4685.95</v>
      </c>
      <c r="N367" s="175">
        <v>4685.95</v>
      </c>
      <c r="O367" s="175">
        <v>27000</v>
      </c>
    </row>
    <row r="368" spans="1:15">
      <c r="A368" s="175" t="s">
        <v>4437</v>
      </c>
      <c r="B368" s="175" t="s">
        <v>4054</v>
      </c>
      <c r="C368" s="175" t="s">
        <v>4055</v>
      </c>
      <c r="D368" s="175" t="s">
        <v>3952</v>
      </c>
      <c r="E368" s="175" t="s">
        <v>3953</v>
      </c>
      <c r="F368" s="175" t="s">
        <v>3954</v>
      </c>
      <c r="G368" s="175" t="s">
        <v>4056</v>
      </c>
      <c r="H368" s="175">
        <v>13636.36</v>
      </c>
      <c r="I368" s="175">
        <v>0</v>
      </c>
      <c r="J368" s="175">
        <v>0</v>
      </c>
      <c r="K368" s="175">
        <v>0</v>
      </c>
      <c r="L368" s="175">
        <v>0</v>
      </c>
      <c r="M368" s="175">
        <v>2863.64</v>
      </c>
      <c r="N368" s="175">
        <v>2863.64</v>
      </c>
      <c r="O368" s="175">
        <v>16500</v>
      </c>
    </row>
    <row r="369" spans="1:15">
      <c r="A369" s="175" t="s">
        <v>4437</v>
      </c>
      <c r="B369" s="175" t="s">
        <v>4058</v>
      </c>
      <c r="C369" s="175" t="s">
        <v>4059</v>
      </c>
      <c r="D369" s="175" t="s">
        <v>3952</v>
      </c>
      <c r="E369" s="175" t="s">
        <v>3953</v>
      </c>
      <c r="F369" s="175" t="s">
        <v>3954</v>
      </c>
      <c r="G369" s="175" t="s">
        <v>4060</v>
      </c>
      <c r="H369" s="175">
        <v>13636.36</v>
      </c>
      <c r="I369" s="175">
        <v>0</v>
      </c>
      <c r="J369" s="175">
        <v>0</v>
      </c>
      <c r="K369" s="175">
        <v>0</v>
      </c>
      <c r="L369" s="175">
        <v>0</v>
      </c>
      <c r="M369" s="175">
        <v>2863.64</v>
      </c>
      <c r="N369" s="175">
        <v>2863.64</v>
      </c>
      <c r="O369" s="175">
        <v>16500</v>
      </c>
    </row>
    <row r="370" spans="1:15">
      <c r="A370" s="175" t="s">
        <v>4437</v>
      </c>
      <c r="B370" s="175" t="s">
        <v>3950</v>
      </c>
      <c r="C370" s="175" t="s">
        <v>3951</v>
      </c>
      <c r="D370" s="175" t="s">
        <v>3952</v>
      </c>
      <c r="E370" s="175" t="s">
        <v>3953</v>
      </c>
      <c r="F370" s="175" t="s">
        <v>3954</v>
      </c>
      <c r="G370" s="175" t="s">
        <v>4093</v>
      </c>
      <c r="H370" s="175">
        <v>16528.93</v>
      </c>
      <c r="I370" s="175">
        <v>0</v>
      </c>
      <c r="J370" s="175">
        <v>0</v>
      </c>
      <c r="K370" s="175">
        <v>0</v>
      </c>
      <c r="L370" s="175">
        <v>0</v>
      </c>
      <c r="M370" s="175">
        <v>3471.07</v>
      </c>
      <c r="N370" s="175">
        <v>3471.07</v>
      </c>
      <c r="O370" s="175">
        <v>20000</v>
      </c>
    </row>
    <row r="371" spans="1:15">
      <c r="A371" s="175" t="s">
        <v>4437</v>
      </c>
      <c r="B371" s="175" t="s">
        <v>3850</v>
      </c>
      <c r="C371" s="175" t="s">
        <v>4163</v>
      </c>
      <c r="D371" s="175" t="s">
        <v>3952</v>
      </c>
      <c r="E371" s="175" t="s">
        <v>3953</v>
      </c>
      <c r="F371" s="175" t="s">
        <v>4023</v>
      </c>
      <c r="G371" s="175" t="s">
        <v>4164</v>
      </c>
      <c r="H371" s="175">
        <v>503694.21</v>
      </c>
      <c r="I371" s="175">
        <v>0</v>
      </c>
      <c r="J371" s="175">
        <v>0</v>
      </c>
      <c r="K371" s="175">
        <v>0</v>
      </c>
      <c r="L371" s="175">
        <v>0</v>
      </c>
      <c r="M371" s="175">
        <v>105775.79</v>
      </c>
      <c r="N371" s="175">
        <v>105775.79</v>
      </c>
      <c r="O371" s="175">
        <v>609470</v>
      </c>
    </row>
    <row r="372" spans="1:15">
      <c r="A372" s="175" t="s">
        <v>4437</v>
      </c>
      <c r="B372" s="175" t="s">
        <v>347</v>
      </c>
      <c r="C372" s="175" t="s">
        <v>4165</v>
      </c>
      <c r="D372" s="175" t="s">
        <v>3952</v>
      </c>
      <c r="E372" s="175" t="s">
        <v>3953</v>
      </c>
      <c r="F372" s="175" t="s">
        <v>4023</v>
      </c>
      <c r="G372" s="175" t="s">
        <v>4166</v>
      </c>
      <c r="H372" s="175">
        <v>170388.43</v>
      </c>
      <c r="I372" s="175">
        <v>0</v>
      </c>
      <c r="J372" s="175">
        <v>0</v>
      </c>
      <c r="K372" s="175">
        <v>0</v>
      </c>
      <c r="L372" s="175">
        <v>0</v>
      </c>
      <c r="M372" s="175">
        <v>35781.57</v>
      </c>
      <c r="N372" s="175">
        <v>35781.57</v>
      </c>
      <c r="O372" s="175">
        <v>206170</v>
      </c>
    </row>
    <row r="373" spans="1:15">
      <c r="A373" s="175" t="s">
        <v>4437</v>
      </c>
      <c r="B373" s="175" t="s">
        <v>1497</v>
      </c>
      <c r="C373" s="175" t="s">
        <v>4187</v>
      </c>
      <c r="D373" s="175" t="s">
        <v>3952</v>
      </c>
      <c r="E373" s="175" t="s">
        <v>3953</v>
      </c>
      <c r="F373" s="175" t="s">
        <v>4023</v>
      </c>
      <c r="G373" s="175" t="s">
        <v>4188</v>
      </c>
      <c r="H373" s="175">
        <v>679256.2</v>
      </c>
      <c r="I373" s="175">
        <v>0</v>
      </c>
      <c r="J373" s="175">
        <v>0</v>
      </c>
      <c r="K373" s="175">
        <v>0</v>
      </c>
      <c r="L373" s="175">
        <v>0</v>
      </c>
      <c r="M373" s="175">
        <v>142643.79999999999</v>
      </c>
      <c r="N373" s="175">
        <v>142643.79999999999</v>
      </c>
      <c r="O373" s="175">
        <v>821900</v>
      </c>
    </row>
    <row r="374" spans="1:15">
      <c r="A374" s="175" t="s">
        <v>4437</v>
      </c>
      <c r="B374" s="175" t="s">
        <v>4196</v>
      </c>
      <c r="C374" s="175" t="s">
        <v>4197</v>
      </c>
      <c r="D374" s="175" t="s">
        <v>3952</v>
      </c>
      <c r="E374" s="175" t="s">
        <v>3953</v>
      </c>
      <c r="F374" s="175" t="s">
        <v>4023</v>
      </c>
      <c r="G374" s="175" t="s">
        <v>4198</v>
      </c>
      <c r="H374" s="175">
        <v>575795.04</v>
      </c>
      <c r="I374" s="175">
        <v>0</v>
      </c>
      <c r="J374" s="175">
        <v>0</v>
      </c>
      <c r="K374" s="175">
        <v>0</v>
      </c>
      <c r="L374" s="175">
        <v>0</v>
      </c>
      <c r="M374" s="175">
        <v>120916.96</v>
      </c>
      <c r="N374" s="175">
        <v>120916.96</v>
      </c>
      <c r="O374" s="175">
        <v>696712</v>
      </c>
    </row>
    <row r="375" spans="1:15">
      <c r="A375" s="175" t="s">
        <v>4437</v>
      </c>
      <c r="B375" s="175" t="s">
        <v>3783</v>
      </c>
      <c r="C375" s="175" t="s">
        <v>4021</v>
      </c>
      <c r="D375" s="175" t="s">
        <v>3952</v>
      </c>
      <c r="E375" s="175" t="s">
        <v>4022</v>
      </c>
      <c r="F375" s="175" t="s">
        <v>4023</v>
      </c>
      <c r="G375" s="175" t="s">
        <v>4199</v>
      </c>
      <c r="H375" s="175">
        <v>159090.91</v>
      </c>
      <c r="I375" s="175">
        <v>0</v>
      </c>
      <c r="J375" s="175">
        <v>0</v>
      </c>
      <c r="K375" s="175">
        <v>0</v>
      </c>
      <c r="L375" s="175">
        <v>0</v>
      </c>
      <c r="M375" s="175">
        <v>33409.089999999997</v>
      </c>
      <c r="N375" s="175">
        <v>33409.089999999997</v>
      </c>
      <c r="O375" s="175">
        <v>192500</v>
      </c>
    </row>
    <row r="376" spans="1:15">
      <c r="A376" s="175" t="s">
        <v>4437</v>
      </c>
      <c r="B376" s="175" t="s">
        <v>4206</v>
      </c>
      <c r="C376" s="175" t="s">
        <v>4207</v>
      </c>
      <c r="D376" s="175" t="s">
        <v>3952</v>
      </c>
      <c r="E376" s="175" t="s">
        <v>3953</v>
      </c>
      <c r="F376" s="175" t="s">
        <v>3969</v>
      </c>
      <c r="G376" s="175" t="s">
        <v>4208</v>
      </c>
      <c r="H376" s="175">
        <v>3577473.55</v>
      </c>
      <c r="I376" s="175">
        <v>0</v>
      </c>
      <c r="J376" s="175">
        <v>0</v>
      </c>
      <c r="K376" s="175">
        <v>0</v>
      </c>
      <c r="L376" s="175">
        <v>0</v>
      </c>
      <c r="M376" s="175">
        <v>751269.45</v>
      </c>
      <c r="N376" s="175">
        <v>751269.45</v>
      </c>
      <c r="O376" s="175">
        <v>4328743</v>
      </c>
    </row>
    <row r="377" spans="1:15">
      <c r="A377" s="175" t="s">
        <v>4437</v>
      </c>
      <c r="B377" s="175" t="s">
        <v>381</v>
      </c>
      <c r="C377" s="175"/>
      <c r="D377" s="175" t="s">
        <v>3952</v>
      </c>
      <c r="E377" s="175" t="s">
        <v>3953</v>
      </c>
      <c r="F377" s="175" t="s">
        <v>3954</v>
      </c>
      <c r="G377" s="175" t="s">
        <v>4224</v>
      </c>
      <c r="H377" s="175">
        <v>39669.42</v>
      </c>
      <c r="I377" s="175">
        <v>0</v>
      </c>
      <c r="J377" s="175">
        <v>0</v>
      </c>
      <c r="K377" s="175">
        <v>0</v>
      </c>
      <c r="L377" s="175">
        <v>0</v>
      </c>
      <c r="M377" s="175">
        <v>8330.58</v>
      </c>
      <c r="N377" s="175">
        <v>8330.58</v>
      </c>
      <c r="O377" s="175">
        <v>48000</v>
      </c>
    </row>
    <row r="378" spans="1:15">
      <c r="A378" s="175" t="s">
        <v>4490</v>
      </c>
      <c r="B378" s="175" t="s">
        <v>4229</v>
      </c>
      <c r="C378" s="175"/>
      <c r="D378" s="175" t="s">
        <v>3952</v>
      </c>
      <c r="E378" s="175" t="s">
        <v>3953</v>
      </c>
      <c r="F378" s="175" t="s">
        <v>3954</v>
      </c>
      <c r="G378" s="175" t="s">
        <v>4230</v>
      </c>
      <c r="H378" s="175">
        <v>7500</v>
      </c>
      <c r="I378" s="175">
        <v>0</v>
      </c>
      <c r="J378" s="175">
        <v>0</v>
      </c>
      <c r="K378" s="175">
        <v>0</v>
      </c>
      <c r="L378" s="175">
        <v>0</v>
      </c>
      <c r="M378" s="175">
        <v>1575</v>
      </c>
      <c r="N378" s="175">
        <v>1575</v>
      </c>
      <c r="O378" s="175">
        <v>9075</v>
      </c>
    </row>
    <row r="379" spans="1:15">
      <c r="A379" s="175" t="s">
        <v>4490</v>
      </c>
      <c r="B379" s="175" t="s">
        <v>362</v>
      </c>
      <c r="C379" s="175"/>
      <c r="D379" s="175" t="s">
        <v>3952</v>
      </c>
      <c r="E379" s="175" t="s">
        <v>3953</v>
      </c>
      <c r="F379" s="175" t="s">
        <v>3954</v>
      </c>
      <c r="G379" s="175" t="s">
        <v>4231</v>
      </c>
      <c r="H379" s="175">
        <v>20661.16</v>
      </c>
      <c r="I379" s="175">
        <v>0</v>
      </c>
      <c r="J379" s="175">
        <v>0</v>
      </c>
      <c r="K379" s="175">
        <v>0</v>
      </c>
      <c r="L379" s="175">
        <v>0</v>
      </c>
      <c r="M379" s="175">
        <v>4338.84</v>
      </c>
      <c r="N379" s="175">
        <v>4338.84</v>
      </c>
      <c r="O379" s="175">
        <v>25000</v>
      </c>
    </row>
    <row r="380" spans="1:15">
      <c r="A380" s="175" t="s">
        <v>4490</v>
      </c>
      <c r="B380" s="175" t="s">
        <v>362</v>
      </c>
      <c r="C380" s="175"/>
      <c r="D380" s="175" t="s">
        <v>3952</v>
      </c>
      <c r="E380" s="175" t="s">
        <v>3953</v>
      </c>
      <c r="F380" s="175" t="s">
        <v>3954</v>
      </c>
      <c r="G380" s="175" t="s">
        <v>4232</v>
      </c>
      <c r="H380" s="175">
        <v>20661.16</v>
      </c>
      <c r="I380" s="175">
        <v>0</v>
      </c>
      <c r="J380" s="175">
        <v>0</v>
      </c>
      <c r="K380" s="175">
        <v>0</v>
      </c>
      <c r="L380" s="175">
        <v>0</v>
      </c>
      <c r="M380" s="175">
        <v>4338.84</v>
      </c>
      <c r="N380" s="175">
        <v>4338.84</v>
      </c>
      <c r="O380" s="175">
        <v>25000</v>
      </c>
    </row>
    <row r="381" spans="1:15">
      <c r="A381" s="175" t="s">
        <v>4490</v>
      </c>
      <c r="B381" s="175" t="s">
        <v>396</v>
      </c>
      <c r="C381" s="175" t="s">
        <v>4233</v>
      </c>
      <c r="D381" s="175" t="s">
        <v>3952</v>
      </c>
      <c r="E381" s="175" t="s">
        <v>3953</v>
      </c>
      <c r="F381" s="175" t="s">
        <v>3954</v>
      </c>
      <c r="G381" s="175" t="s">
        <v>4234</v>
      </c>
      <c r="H381" s="175">
        <v>35537.19</v>
      </c>
      <c r="I381" s="175">
        <v>0</v>
      </c>
      <c r="J381" s="175">
        <v>0</v>
      </c>
      <c r="K381" s="175">
        <v>0</v>
      </c>
      <c r="L381" s="175">
        <v>0</v>
      </c>
      <c r="M381" s="175">
        <v>7462.81</v>
      </c>
      <c r="N381" s="175">
        <v>7462.81</v>
      </c>
      <c r="O381" s="175">
        <v>43000</v>
      </c>
    </row>
    <row r="382" spans="1:15">
      <c r="A382" s="175" t="s">
        <v>4490</v>
      </c>
      <c r="B382" s="175" t="s">
        <v>451</v>
      </c>
      <c r="C382" s="175" t="s">
        <v>4236</v>
      </c>
      <c r="D382" s="175" t="s">
        <v>3952</v>
      </c>
      <c r="E382" s="175" t="s">
        <v>3953</v>
      </c>
      <c r="F382" s="175" t="s">
        <v>3954</v>
      </c>
      <c r="G382" s="175" t="s">
        <v>4237</v>
      </c>
      <c r="H382" s="175">
        <v>46280.98</v>
      </c>
      <c r="I382" s="175">
        <v>0</v>
      </c>
      <c r="J382" s="175">
        <v>0</v>
      </c>
      <c r="K382" s="175">
        <v>0</v>
      </c>
      <c r="L382" s="175">
        <v>0</v>
      </c>
      <c r="M382" s="175">
        <v>9719.01</v>
      </c>
      <c r="N382" s="175">
        <v>9719.01</v>
      </c>
      <c r="O382" s="175">
        <v>55999.99</v>
      </c>
    </row>
    <row r="383" spans="1:15">
      <c r="A383" s="175" t="s">
        <v>4490</v>
      </c>
      <c r="B383" s="175" t="s">
        <v>4238</v>
      </c>
      <c r="C383" s="175" t="s">
        <v>4239</v>
      </c>
      <c r="D383" s="175" t="s">
        <v>3952</v>
      </c>
      <c r="E383" s="175" t="s">
        <v>4027</v>
      </c>
      <c r="F383" s="175" t="s">
        <v>3954</v>
      </c>
      <c r="G383" s="175" t="s">
        <v>4240</v>
      </c>
      <c r="H383" s="175">
        <v>13636.36</v>
      </c>
      <c r="I383" s="175">
        <v>0</v>
      </c>
      <c r="J383" s="175">
        <v>0</v>
      </c>
      <c r="K383" s="175">
        <v>0</v>
      </c>
      <c r="L383" s="175">
        <v>0</v>
      </c>
      <c r="M383" s="175">
        <v>2863.64</v>
      </c>
      <c r="N383" s="175">
        <v>2863.64</v>
      </c>
      <c r="O383" s="175">
        <v>16500</v>
      </c>
    </row>
    <row r="384" spans="1:15">
      <c r="A384" s="175" t="s">
        <v>4490</v>
      </c>
      <c r="B384" s="175" t="s">
        <v>3929</v>
      </c>
      <c r="C384" s="175" t="s">
        <v>4241</v>
      </c>
      <c r="D384" s="175" t="s">
        <v>3952</v>
      </c>
      <c r="E384" s="175" t="s">
        <v>4242</v>
      </c>
      <c r="F384" s="175" t="s">
        <v>3954</v>
      </c>
      <c r="G384" s="175" t="s">
        <v>4243</v>
      </c>
      <c r="H384" s="175">
        <v>15702.48</v>
      </c>
      <c r="I384" s="175">
        <v>0</v>
      </c>
      <c r="J384" s="175">
        <v>0</v>
      </c>
      <c r="K384" s="175">
        <v>0</v>
      </c>
      <c r="L384" s="175">
        <v>0</v>
      </c>
      <c r="M384" s="175">
        <v>3297.52</v>
      </c>
      <c r="N384" s="175">
        <v>3297.52</v>
      </c>
      <c r="O384" s="175">
        <v>19000</v>
      </c>
    </row>
    <row r="385" spans="1:15">
      <c r="A385" s="175" t="s">
        <v>4490</v>
      </c>
      <c r="B385" s="175" t="s">
        <v>426</v>
      </c>
      <c r="C385" s="175" t="s">
        <v>4244</v>
      </c>
      <c r="D385" s="175" t="s">
        <v>3952</v>
      </c>
      <c r="E385" s="175" t="s">
        <v>4245</v>
      </c>
      <c r="F385" s="175" t="s">
        <v>3954</v>
      </c>
      <c r="G385" s="175" t="s">
        <v>4246</v>
      </c>
      <c r="H385" s="175">
        <v>19834.71</v>
      </c>
      <c r="I385" s="175">
        <v>0</v>
      </c>
      <c r="J385" s="175">
        <v>0</v>
      </c>
      <c r="K385" s="175">
        <v>0</v>
      </c>
      <c r="L385" s="175">
        <v>0</v>
      </c>
      <c r="M385" s="175">
        <v>4165.29</v>
      </c>
      <c r="N385" s="175">
        <v>4165.29</v>
      </c>
      <c r="O385" s="175">
        <v>24000</v>
      </c>
    </row>
    <row r="386" spans="1:15">
      <c r="A386" s="175" t="s">
        <v>4490</v>
      </c>
      <c r="B386" s="175" t="s">
        <v>4247</v>
      </c>
      <c r="C386" s="175"/>
      <c r="D386" s="175" t="s">
        <v>3952</v>
      </c>
      <c r="E386" s="175" t="s">
        <v>3953</v>
      </c>
      <c r="F386" s="175" t="s">
        <v>3954</v>
      </c>
      <c r="G386" s="175" t="s">
        <v>4248</v>
      </c>
      <c r="H386" s="175">
        <v>21900.83</v>
      </c>
      <c r="I386" s="175">
        <v>0</v>
      </c>
      <c r="J386" s="175">
        <v>0</v>
      </c>
      <c r="K386" s="175">
        <v>0</v>
      </c>
      <c r="L386" s="175">
        <v>0</v>
      </c>
      <c r="M386" s="175">
        <v>4599.17</v>
      </c>
      <c r="N386" s="175">
        <v>4599.17</v>
      </c>
      <c r="O386" s="175">
        <v>26500</v>
      </c>
    </row>
    <row r="387" spans="1:15">
      <c r="A387" s="175" t="s">
        <v>4490</v>
      </c>
      <c r="B387" s="175" t="s">
        <v>4258</v>
      </c>
      <c r="C387" s="175" t="s">
        <v>4259</v>
      </c>
      <c r="D387" s="175" t="s">
        <v>3952</v>
      </c>
      <c r="E387" s="175" t="s">
        <v>3953</v>
      </c>
      <c r="F387" s="175" t="s">
        <v>3954</v>
      </c>
      <c r="G387" s="175" t="s">
        <v>4260</v>
      </c>
      <c r="H387" s="175">
        <v>30578.51</v>
      </c>
      <c r="I387" s="175">
        <v>0</v>
      </c>
      <c r="J387" s="175">
        <v>0</v>
      </c>
      <c r="K387" s="175">
        <v>0</v>
      </c>
      <c r="L387" s="175">
        <v>0</v>
      </c>
      <c r="M387" s="175">
        <v>6421.49</v>
      </c>
      <c r="N387" s="175">
        <v>6421.49</v>
      </c>
      <c r="O387" s="175">
        <v>37000</v>
      </c>
    </row>
    <row r="388" spans="1:15">
      <c r="A388" s="175" t="s">
        <v>4490</v>
      </c>
      <c r="B388" s="175" t="s">
        <v>354</v>
      </c>
      <c r="C388" s="175" t="s">
        <v>4270</v>
      </c>
      <c r="D388" s="175" t="s">
        <v>3952</v>
      </c>
      <c r="E388" s="175" t="s">
        <v>3953</v>
      </c>
      <c r="F388" s="175" t="s">
        <v>3954</v>
      </c>
      <c r="G388" s="175" t="s">
        <v>4271</v>
      </c>
      <c r="H388" s="175">
        <v>42975.21</v>
      </c>
      <c r="I388" s="175">
        <v>0</v>
      </c>
      <c r="J388" s="175">
        <v>0</v>
      </c>
      <c r="K388" s="175">
        <v>0</v>
      </c>
      <c r="L388" s="175">
        <v>0</v>
      </c>
      <c r="M388" s="175">
        <v>9024.7900000000009</v>
      </c>
      <c r="N388" s="175">
        <v>9024.7900000000009</v>
      </c>
      <c r="O388" s="175">
        <v>52000</v>
      </c>
    </row>
    <row r="389" spans="1:15">
      <c r="A389" s="175" t="s">
        <v>4490</v>
      </c>
      <c r="B389" s="175" t="s">
        <v>3909</v>
      </c>
      <c r="C389" s="175" t="s">
        <v>4273</v>
      </c>
      <c r="D389" s="175" t="s">
        <v>3952</v>
      </c>
      <c r="E389" s="175" t="s">
        <v>3953</v>
      </c>
      <c r="F389" s="175" t="s">
        <v>3954</v>
      </c>
      <c r="G389" s="175" t="s">
        <v>4274</v>
      </c>
      <c r="H389" s="175">
        <v>35537.19</v>
      </c>
      <c r="I389" s="175">
        <v>0</v>
      </c>
      <c r="J389" s="175">
        <v>0</v>
      </c>
      <c r="K389" s="175">
        <v>0</v>
      </c>
      <c r="L389" s="175">
        <v>0</v>
      </c>
      <c r="M389" s="175">
        <v>7462.81</v>
      </c>
      <c r="N389" s="175">
        <v>7462.81</v>
      </c>
      <c r="O389" s="175">
        <v>43000</v>
      </c>
    </row>
    <row r="390" spans="1:15">
      <c r="A390" s="175" t="s">
        <v>4490</v>
      </c>
      <c r="B390" s="175" t="s">
        <v>4275</v>
      </c>
      <c r="C390" s="175" t="s">
        <v>4276</v>
      </c>
      <c r="D390" s="175" t="s">
        <v>3952</v>
      </c>
      <c r="E390" s="175" t="s">
        <v>3953</v>
      </c>
      <c r="F390" s="175" t="s">
        <v>3954</v>
      </c>
      <c r="G390" s="175" t="s">
        <v>4277</v>
      </c>
      <c r="H390" s="175">
        <v>33057.85</v>
      </c>
      <c r="I390" s="175">
        <v>0</v>
      </c>
      <c r="J390" s="175">
        <v>0</v>
      </c>
      <c r="K390" s="175">
        <v>0</v>
      </c>
      <c r="L390" s="175">
        <v>0</v>
      </c>
      <c r="M390" s="175">
        <v>6942.15</v>
      </c>
      <c r="N390" s="175">
        <v>6942.15</v>
      </c>
      <c r="O390" s="175">
        <v>40000</v>
      </c>
    </row>
    <row r="391" spans="1:15">
      <c r="A391" s="175" t="s">
        <v>4490</v>
      </c>
      <c r="B391" s="175" t="s">
        <v>453</v>
      </c>
      <c r="C391" s="175" t="s">
        <v>4285</v>
      </c>
      <c r="D391" s="175" t="s">
        <v>3952</v>
      </c>
      <c r="E391" s="175" t="s">
        <v>3953</v>
      </c>
      <c r="F391" s="175" t="s">
        <v>3954</v>
      </c>
      <c r="G391" s="175" t="s">
        <v>4286</v>
      </c>
      <c r="H391" s="175">
        <v>16528.93</v>
      </c>
      <c r="I391" s="175">
        <v>0</v>
      </c>
      <c r="J391" s="175">
        <v>0</v>
      </c>
      <c r="K391" s="175">
        <v>0</v>
      </c>
      <c r="L391" s="175">
        <v>0</v>
      </c>
      <c r="M391" s="175">
        <v>3471.07</v>
      </c>
      <c r="N391" s="175">
        <v>3471.07</v>
      </c>
      <c r="O391" s="175">
        <v>20000</v>
      </c>
    </row>
    <row r="392" spans="1:15">
      <c r="A392" s="175" t="s">
        <v>4490</v>
      </c>
      <c r="B392" s="175" t="s">
        <v>4290</v>
      </c>
      <c r="C392" s="175"/>
      <c r="D392" s="175" t="s">
        <v>3952</v>
      </c>
      <c r="E392" s="175" t="s">
        <v>3953</v>
      </c>
      <c r="F392" s="175" t="s">
        <v>3954</v>
      </c>
      <c r="G392" s="175" t="s">
        <v>4291</v>
      </c>
      <c r="H392" s="175">
        <v>42148.76</v>
      </c>
      <c r="I392" s="175">
        <v>0</v>
      </c>
      <c r="J392" s="175">
        <v>0</v>
      </c>
      <c r="K392" s="175">
        <v>0</v>
      </c>
      <c r="L392" s="175">
        <v>0</v>
      </c>
      <c r="M392" s="175">
        <v>8851.24</v>
      </c>
      <c r="N392" s="175">
        <v>8851.24</v>
      </c>
      <c r="O392" s="175">
        <v>51000</v>
      </c>
    </row>
    <row r="393" spans="1:15">
      <c r="A393" s="175" t="s">
        <v>4490</v>
      </c>
      <c r="B393" s="175" t="s">
        <v>4123</v>
      </c>
      <c r="C393" s="175" t="s">
        <v>4124</v>
      </c>
      <c r="D393" s="175" t="s">
        <v>3952</v>
      </c>
      <c r="E393" s="175" t="s">
        <v>3953</v>
      </c>
      <c r="F393" s="175" t="s">
        <v>3954</v>
      </c>
      <c r="G393" s="175" t="s">
        <v>4295</v>
      </c>
      <c r="H393" s="175">
        <v>13636.36</v>
      </c>
      <c r="I393" s="175">
        <v>0</v>
      </c>
      <c r="J393" s="175">
        <v>0</v>
      </c>
      <c r="K393" s="175">
        <v>0</v>
      </c>
      <c r="L393" s="175">
        <v>0</v>
      </c>
      <c r="M393" s="175">
        <v>2863.64</v>
      </c>
      <c r="N393" s="175">
        <v>2863.64</v>
      </c>
      <c r="O393" s="175">
        <v>16500</v>
      </c>
    </row>
    <row r="394" spans="1:15">
      <c r="A394" s="175" t="s">
        <v>4513</v>
      </c>
      <c r="B394" s="175" t="s">
        <v>4296</v>
      </c>
      <c r="C394" s="175" t="s">
        <v>4297</v>
      </c>
      <c r="D394" s="175" t="s">
        <v>3952</v>
      </c>
      <c r="E394" s="175" t="s">
        <v>4298</v>
      </c>
      <c r="F394" s="175" t="s">
        <v>3954</v>
      </c>
      <c r="G394" s="175" t="s">
        <v>4299</v>
      </c>
      <c r="H394" s="175">
        <v>9020.66</v>
      </c>
      <c r="I394" s="175">
        <v>0</v>
      </c>
      <c r="J394" s="175">
        <v>0</v>
      </c>
      <c r="K394" s="175">
        <v>0</v>
      </c>
      <c r="L394" s="175">
        <v>0</v>
      </c>
      <c r="M394" s="175">
        <v>1894.34</v>
      </c>
      <c r="N394" s="175">
        <v>1894.34</v>
      </c>
      <c r="O394" s="175">
        <v>10915</v>
      </c>
    </row>
    <row r="395" spans="1:15">
      <c r="A395" s="175" t="s">
        <v>4513</v>
      </c>
      <c r="B395" s="175" t="s">
        <v>3816</v>
      </c>
      <c r="C395" s="175"/>
      <c r="D395" s="175" t="s">
        <v>3952</v>
      </c>
      <c r="E395" s="175" t="s">
        <v>3953</v>
      </c>
      <c r="F395" s="175" t="s">
        <v>3954</v>
      </c>
      <c r="G395" s="175" t="s">
        <v>4300</v>
      </c>
      <c r="H395" s="175">
        <v>17355.37</v>
      </c>
      <c r="I395" s="175">
        <v>0</v>
      </c>
      <c r="J395" s="175">
        <v>0</v>
      </c>
      <c r="K395" s="175">
        <v>0</v>
      </c>
      <c r="L395" s="175">
        <v>0</v>
      </c>
      <c r="M395" s="175">
        <v>3644.63</v>
      </c>
      <c r="N395" s="175">
        <v>3644.63</v>
      </c>
      <c r="O395" s="175">
        <v>21000</v>
      </c>
    </row>
    <row r="396" spans="1:15">
      <c r="A396" s="175" t="s">
        <v>4513</v>
      </c>
      <c r="B396" s="175" t="s">
        <v>4302</v>
      </c>
      <c r="C396" s="175" t="s">
        <v>4303</v>
      </c>
      <c r="D396" s="175" t="s">
        <v>3952</v>
      </c>
      <c r="E396" s="175" t="s">
        <v>4304</v>
      </c>
      <c r="F396" s="175" t="s">
        <v>3954</v>
      </c>
      <c r="G396" s="175" t="s">
        <v>4305</v>
      </c>
      <c r="H396" s="175">
        <v>17355.37</v>
      </c>
      <c r="I396" s="175">
        <v>0</v>
      </c>
      <c r="J396" s="175">
        <v>0</v>
      </c>
      <c r="K396" s="175">
        <v>0</v>
      </c>
      <c r="L396" s="175">
        <v>0</v>
      </c>
      <c r="M396" s="175">
        <v>3644.63</v>
      </c>
      <c r="N396" s="175">
        <v>3644.63</v>
      </c>
      <c r="O396" s="175">
        <v>21000</v>
      </c>
    </row>
    <row r="397" spans="1:15">
      <c r="A397" s="175" t="s">
        <v>4513</v>
      </c>
      <c r="B397" s="175" t="s">
        <v>4309</v>
      </c>
      <c r="C397" s="175" t="s">
        <v>4310</v>
      </c>
      <c r="D397" s="175" t="s">
        <v>3952</v>
      </c>
      <c r="E397" s="175" t="s">
        <v>4027</v>
      </c>
      <c r="F397" s="175" t="s">
        <v>3954</v>
      </c>
      <c r="G397" s="175" t="s">
        <v>4311</v>
      </c>
      <c r="H397" s="175">
        <v>13636.36</v>
      </c>
      <c r="I397" s="175">
        <v>0</v>
      </c>
      <c r="J397" s="175">
        <v>0</v>
      </c>
      <c r="K397" s="175">
        <v>0</v>
      </c>
      <c r="L397" s="175">
        <v>0</v>
      </c>
      <c r="M397" s="175">
        <v>2863.64</v>
      </c>
      <c r="N397" s="175">
        <v>2863.64</v>
      </c>
      <c r="O397" s="175">
        <v>16500</v>
      </c>
    </row>
    <row r="398" spans="1:15">
      <c r="A398" s="175" t="s">
        <v>4513</v>
      </c>
      <c r="B398" s="175" t="s">
        <v>4313</v>
      </c>
      <c r="C398" s="175"/>
      <c r="D398" s="175" t="s">
        <v>3952</v>
      </c>
      <c r="E398" s="175" t="s">
        <v>3953</v>
      </c>
      <c r="F398" s="175" t="s">
        <v>3954</v>
      </c>
      <c r="G398" s="175" t="s">
        <v>4314</v>
      </c>
      <c r="H398" s="175">
        <v>12727.27</v>
      </c>
      <c r="I398" s="175">
        <v>0</v>
      </c>
      <c r="J398" s="175">
        <v>0</v>
      </c>
      <c r="K398" s="175">
        <v>0</v>
      </c>
      <c r="L398" s="175">
        <v>0</v>
      </c>
      <c r="M398" s="175">
        <v>2672.73</v>
      </c>
      <c r="N398" s="175">
        <v>2672.73</v>
      </c>
      <c r="O398" s="175">
        <v>15400</v>
      </c>
    </row>
    <row r="399" spans="1:15">
      <c r="A399" s="175" t="s">
        <v>4513</v>
      </c>
      <c r="B399" s="175" t="s">
        <v>3252</v>
      </c>
      <c r="C399" s="175"/>
      <c r="D399" s="175" t="s">
        <v>3952</v>
      </c>
      <c r="E399" s="175" t="s">
        <v>3953</v>
      </c>
      <c r="F399" s="175" t="s">
        <v>3954</v>
      </c>
      <c r="G399" s="175" t="s">
        <v>4316</v>
      </c>
      <c r="H399" s="175">
        <v>12396.69</v>
      </c>
      <c r="I399" s="175">
        <v>0</v>
      </c>
      <c r="J399" s="175">
        <v>0</v>
      </c>
      <c r="K399" s="175">
        <v>0</v>
      </c>
      <c r="L399" s="175">
        <v>0</v>
      </c>
      <c r="M399" s="175">
        <v>2603.31</v>
      </c>
      <c r="N399" s="175">
        <v>2603.31</v>
      </c>
      <c r="O399" s="175">
        <v>15000</v>
      </c>
    </row>
    <row r="400" spans="1:15">
      <c r="A400" s="175" t="s">
        <v>4513</v>
      </c>
      <c r="B400" s="175" t="s">
        <v>4309</v>
      </c>
      <c r="C400" s="175" t="s">
        <v>4310</v>
      </c>
      <c r="D400" s="175" t="s">
        <v>3952</v>
      </c>
      <c r="E400" s="175" t="s">
        <v>4027</v>
      </c>
      <c r="F400" s="175" t="s">
        <v>3954</v>
      </c>
      <c r="G400" s="175" t="s">
        <v>4321</v>
      </c>
      <c r="H400" s="175">
        <v>13636.36</v>
      </c>
      <c r="I400" s="175">
        <v>0</v>
      </c>
      <c r="J400" s="175">
        <v>0</v>
      </c>
      <c r="K400" s="175">
        <v>0</v>
      </c>
      <c r="L400" s="175">
        <v>0</v>
      </c>
      <c r="M400" s="175">
        <v>2863.64</v>
      </c>
      <c r="N400" s="175">
        <v>2863.64</v>
      </c>
      <c r="O400" s="175">
        <v>16500</v>
      </c>
    </row>
    <row r="401" spans="1:15">
      <c r="A401" s="175" t="s">
        <v>4513</v>
      </c>
      <c r="B401" s="175" t="s">
        <v>3849</v>
      </c>
      <c r="C401" s="175"/>
      <c r="D401" s="175" t="s">
        <v>3952</v>
      </c>
      <c r="E401" s="175" t="s">
        <v>3953</v>
      </c>
      <c r="F401" s="175" t="s">
        <v>3954</v>
      </c>
      <c r="G401" s="175" t="s">
        <v>4324</v>
      </c>
      <c r="H401" s="175">
        <v>12396.69</v>
      </c>
      <c r="I401" s="175">
        <v>0</v>
      </c>
      <c r="J401" s="175">
        <v>0</v>
      </c>
      <c r="K401" s="175">
        <v>0</v>
      </c>
      <c r="L401" s="175">
        <v>0</v>
      </c>
      <c r="M401" s="175">
        <v>2603.31</v>
      </c>
      <c r="N401" s="175">
        <v>2603.31</v>
      </c>
      <c r="O401" s="175">
        <v>15000</v>
      </c>
    </row>
    <row r="402" spans="1:15">
      <c r="A402" s="175" t="s">
        <v>4513</v>
      </c>
      <c r="B402" s="175" t="s">
        <v>386</v>
      </c>
      <c r="C402" s="175" t="s">
        <v>4325</v>
      </c>
      <c r="D402" s="175" t="s">
        <v>3952</v>
      </c>
      <c r="E402" s="175" t="s">
        <v>3953</v>
      </c>
      <c r="F402" s="175" t="s">
        <v>4023</v>
      </c>
      <c r="G402" s="175" t="s">
        <v>4326</v>
      </c>
      <c r="H402" s="175">
        <v>202479.34</v>
      </c>
      <c r="I402" s="175">
        <v>0</v>
      </c>
      <c r="J402" s="175">
        <v>0</v>
      </c>
      <c r="K402" s="175">
        <v>0</v>
      </c>
      <c r="L402" s="175">
        <v>0</v>
      </c>
      <c r="M402" s="175">
        <v>42520.66</v>
      </c>
      <c r="N402" s="175">
        <v>42520.66</v>
      </c>
      <c r="O402" s="175">
        <v>245000</v>
      </c>
    </row>
    <row r="403" spans="1:15">
      <c r="A403" s="175" t="s">
        <v>4513</v>
      </c>
      <c r="B403" s="175" t="s">
        <v>356</v>
      </c>
      <c r="C403" s="175" t="s">
        <v>4328</v>
      </c>
      <c r="D403" s="175" t="s">
        <v>3952</v>
      </c>
      <c r="E403" s="175" t="s">
        <v>4143</v>
      </c>
      <c r="F403" s="175" t="s">
        <v>3954</v>
      </c>
      <c r="G403" s="175" t="s">
        <v>4329</v>
      </c>
      <c r="H403" s="175">
        <v>28925.62</v>
      </c>
      <c r="I403" s="175">
        <v>0</v>
      </c>
      <c r="J403" s="175">
        <v>0</v>
      </c>
      <c r="K403" s="175">
        <v>0</v>
      </c>
      <c r="L403" s="175">
        <v>0</v>
      </c>
      <c r="M403" s="175">
        <v>6074.38</v>
      </c>
      <c r="N403" s="175">
        <v>6074.38</v>
      </c>
      <c r="O403" s="175">
        <v>35000</v>
      </c>
    </row>
    <row r="404" spans="1:15">
      <c r="A404" s="175" t="s">
        <v>4513</v>
      </c>
      <c r="B404" s="175" t="s">
        <v>4330</v>
      </c>
      <c r="C404" s="175" t="s">
        <v>4331</v>
      </c>
      <c r="D404" s="175" t="s">
        <v>3952</v>
      </c>
      <c r="E404" s="175" t="s">
        <v>3953</v>
      </c>
      <c r="F404" s="175" t="s">
        <v>3954</v>
      </c>
      <c r="G404" s="175" t="s">
        <v>4332</v>
      </c>
      <c r="H404" s="175">
        <v>13636.36</v>
      </c>
      <c r="I404" s="175">
        <v>0</v>
      </c>
      <c r="J404" s="175">
        <v>0</v>
      </c>
      <c r="K404" s="175">
        <v>0</v>
      </c>
      <c r="L404" s="175">
        <v>0</v>
      </c>
      <c r="M404" s="175">
        <v>2863.64</v>
      </c>
      <c r="N404" s="175">
        <v>2863.64</v>
      </c>
      <c r="O404" s="175">
        <v>16500</v>
      </c>
    </row>
    <row r="405" spans="1:15">
      <c r="A405" s="175" t="s">
        <v>4513</v>
      </c>
      <c r="B405" s="175" t="s">
        <v>371</v>
      </c>
      <c r="C405" s="175" t="s">
        <v>4335</v>
      </c>
      <c r="D405" s="175" t="s">
        <v>3952</v>
      </c>
      <c r="E405" s="175" t="s">
        <v>3953</v>
      </c>
      <c r="F405" s="175" t="s">
        <v>3954</v>
      </c>
      <c r="G405" s="175" t="s">
        <v>4336</v>
      </c>
      <c r="H405" s="175">
        <v>15289.26</v>
      </c>
      <c r="I405" s="175">
        <v>0</v>
      </c>
      <c r="J405" s="175">
        <v>0</v>
      </c>
      <c r="K405" s="175">
        <v>0</v>
      </c>
      <c r="L405" s="175">
        <v>0</v>
      </c>
      <c r="M405" s="175">
        <v>3210.74</v>
      </c>
      <c r="N405" s="175">
        <v>3210.74</v>
      </c>
      <c r="O405" s="175">
        <v>18500</v>
      </c>
    </row>
    <row r="406" spans="1:15">
      <c r="A406" s="175" t="s">
        <v>4513</v>
      </c>
      <c r="B406" s="175" t="s">
        <v>3910</v>
      </c>
      <c r="C406" s="175" t="s">
        <v>4337</v>
      </c>
      <c r="D406" s="175" t="s">
        <v>3952</v>
      </c>
      <c r="E406" s="175" t="s">
        <v>3953</v>
      </c>
      <c r="F406" s="175" t="s">
        <v>3954</v>
      </c>
      <c r="G406" s="175" t="s">
        <v>4339</v>
      </c>
      <c r="H406" s="175">
        <v>17355.37</v>
      </c>
      <c r="I406" s="175">
        <v>0</v>
      </c>
      <c r="J406" s="175">
        <v>0</v>
      </c>
      <c r="K406" s="175">
        <v>0</v>
      </c>
      <c r="L406" s="175">
        <v>0</v>
      </c>
      <c r="M406" s="175">
        <v>3644.63</v>
      </c>
      <c r="N406" s="175">
        <v>3644.63</v>
      </c>
      <c r="O406" s="175">
        <v>21000</v>
      </c>
    </row>
    <row r="407" spans="1:15">
      <c r="A407" s="175" t="s">
        <v>4513</v>
      </c>
      <c r="B407" s="175" t="s">
        <v>384</v>
      </c>
      <c r="C407" s="175"/>
      <c r="D407" s="175" t="s">
        <v>3952</v>
      </c>
      <c r="E407" s="175" t="s">
        <v>3953</v>
      </c>
      <c r="F407" s="175" t="s">
        <v>3954</v>
      </c>
      <c r="G407" s="175" t="s">
        <v>4399</v>
      </c>
      <c r="H407" s="175">
        <v>15702.48</v>
      </c>
      <c r="I407" s="175">
        <v>0</v>
      </c>
      <c r="J407" s="175">
        <v>0</v>
      </c>
      <c r="K407" s="175">
        <v>0</v>
      </c>
      <c r="L407" s="175">
        <v>0</v>
      </c>
      <c r="M407" s="175">
        <v>3297.52</v>
      </c>
      <c r="N407" s="175">
        <v>3297.52</v>
      </c>
      <c r="O407" s="175">
        <v>19000</v>
      </c>
    </row>
    <row r="408" spans="1:15">
      <c r="A408" s="175" t="s">
        <v>4513</v>
      </c>
      <c r="B408" s="175" t="s">
        <v>384</v>
      </c>
      <c r="C408" s="175"/>
      <c r="D408" s="175" t="s">
        <v>3952</v>
      </c>
      <c r="E408" s="175" t="s">
        <v>3953</v>
      </c>
      <c r="F408" s="175" t="s">
        <v>3954</v>
      </c>
      <c r="G408" s="175" t="s">
        <v>4400</v>
      </c>
      <c r="H408" s="175">
        <v>15702.48</v>
      </c>
      <c r="I408" s="175">
        <v>0</v>
      </c>
      <c r="J408" s="175">
        <v>0</v>
      </c>
      <c r="K408" s="175">
        <v>0</v>
      </c>
      <c r="L408" s="175">
        <v>0</v>
      </c>
      <c r="M408" s="175">
        <v>3297.52</v>
      </c>
      <c r="N408" s="175">
        <v>3297.52</v>
      </c>
      <c r="O408" s="175">
        <v>19000</v>
      </c>
    </row>
    <row r="409" spans="1:15">
      <c r="A409" s="175" t="s">
        <v>4513</v>
      </c>
      <c r="B409" s="175" t="s">
        <v>432</v>
      </c>
      <c r="C409" s="175" t="s">
        <v>4430</v>
      </c>
      <c r="D409" s="175" t="s">
        <v>3952</v>
      </c>
      <c r="E409" s="175" t="s">
        <v>3953</v>
      </c>
      <c r="F409" s="175" t="s">
        <v>3954</v>
      </c>
      <c r="G409" s="175" t="s">
        <v>4431</v>
      </c>
      <c r="H409" s="175">
        <v>20661.16</v>
      </c>
      <c r="I409" s="175">
        <v>0</v>
      </c>
      <c r="J409" s="175">
        <v>0</v>
      </c>
      <c r="K409" s="175">
        <v>0</v>
      </c>
      <c r="L409" s="175">
        <v>0</v>
      </c>
      <c r="M409" s="175">
        <v>4338.84</v>
      </c>
      <c r="N409" s="175">
        <v>4338.84</v>
      </c>
      <c r="O409" s="175">
        <v>25000</v>
      </c>
    </row>
    <row r="410" spans="1:15">
      <c r="A410" s="175" t="s">
        <v>4513</v>
      </c>
      <c r="B410" s="175" t="s">
        <v>4258</v>
      </c>
      <c r="C410" s="175" t="s">
        <v>4259</v>
      </c>
      <c r="D410" s="175" t="s">
        <v>3952</v>
      </c>
      <c r="E410" s="175" t="s">
        <v>3953</v>
      </c>
      <c r="F410" s="175" t="s">
        <v>3954</v>
      </c>
      <c r="G410" s="175" t="s">
        <v>4434</v>
      </c>
      <c r="H410" s="175">
        <v>15289.26</v>
      </c>
      <c r="I410" s="175">
        <v>0</v>
      </c>
      <c r="J410" s="175">
        <v>0</v>
      </c>
      <c r="K410" s="175">
        <v>0</v>
      </c>
      <c r="L410" s="175">
        <v>0</v>
      </c>
      <c r="M410" s="175">
        <v>3210.74</v>
      </c>
      <c r="N410" s="175">
        <v>3210.74</v>
      </c>
      <c r="O410" s="175">
        <v>18500</v>
      </c>
    </row>
    <row r="411" spans="1:15">
      <c r="A411" s="175" t="s">
        <v>4513</v>
      </c>
      <c r="B411" s="175" t="s">
        <v>4439</v>
      </c>
      <c r="C411" s="175" t="s">
        <v>4440</v>
      </c>
      <c r="D411" s="175" t="s">
        <v>3952</v>
      </c>
      <c r="E411" s="175" t="s">
        <v>3953</v>
      </c>
      <c r="F411" s="175" t="s">
        <v>3954</v>
      </c>
      <c r="G411" s="175" t="s">
        <v>4441</v>
      </c>
      <c r="H411" s="175">
        <v>37190.080000000002</v>
      </c>
      <c r="I411" s="175">
        <v>0</v>
      </c>
      <c r="J411" s="175">
        <v>0</v>
      </c>
      <c r="K411" s="175">
        <v>0</v>
      </c>
      <c r="L411" s="175">
        <v>0</v>
      </c>
      <c r="M411" s="175">
        <v>7809.92</v>
      </c>
      <c r="N411" s="175">
        <v>7809.92</v>
      </c>
      <c r="O411" s="175">
        <v>45000</v>
      </c>
    </row>
    <row r="412" spans="1:15">
      <c r="A412" s="175" t="s">
        <v>4513</v>
      </c>
      <c r="B412" s="175" t="s">
        <v>4442</v>
      </c>
      <c r="C412" s="175"/>
      <c r="D412" s="175" t="s">
        <v>3952</v>
      </c>
      <c r="E412" s="175" t="s">
        <v>3953</v>
      </c>
      <c r="F412" s="175" t="s">
        <v>3954</v>
      </c>
      <c r="G412" s="175" t="s">
        <v>4443</v>
      </c>
      <c r="H412" s="175">
        <v>14876.03</v>
      </c>
      <c r="I412" s="175">
        <v>0</v>
      </c>
      <c r="J412" s="175">
        <v>0</v>
      </c>
      <c r="K412" s="175">
        <v>0</v>
      </c>
      <c r="L412" s="175">
        <v>0</v>
      </c>
      <c r="M412" s="175">
        <v>3123.97</v>
      </c>
      <c r="N412" s="175">
        <v>3123.97</v>
      </c>
      <c r="O412" s="175">
        <v>18000</v>
      </c>
    </row>
    <row r="413" spans="1:15">
      <c r="A413" s="175" t="s">
        <v>4513</v>
      </c>
      <c r="B413" s="175" t="s">
        <v>4444</v>
      </c>
      <c r="C413" s="175"/>
      <c r="D413" s="175" t="s">
        <v>3952</v>
      </c>
      <c r="E413" s="175" t="s">
        <v>3953</v>
      </c>
      <c r="F413" s="175" t="s">
        <v>3954</v>
      </c>
      <c r="G413" s="175" t="s">
        <v>4445</v>
      </c>
      <c r="H413" s="175">
        <v>13636.36</v>
      </c>
      <c r="I413" s="175">
        <v>0</v>
      </c>
      <c r="J413" s="175">
        <v>0</v>
      </c>
      <c r="K413" s="175">
        <v>0</v>
      </c>
      <c r="L413" s="175">
        <v>0</v>
      </c>
      <c r="M413" s="175">
        <v>2863.64</v>
      </c>
      <c r="N413" s="175">
        <v>2863.64</v>
      </c>
      <c r="O413" s="175">
        <v>16500</v>
      </c>
    </row>
    <row r="414" spans="1:15">
      <c r="A414" s="175" t="s">
        <v>4513</v>
      </c>
      <c r="B414" s="175" t="s">
        <v>4446</v>
      </c>
      <c r="C414" s="175"/>
      <c r="D414" s="175" t="s">
        <v>3952</v>
      </c>
      <c r="E414" s="175" t="s">
        <v>3953</v>
      </c>
      <c r="F414" s="175" t="s">
        <v>3954</v>
      </c>
      <c r="G414" s="175" t="s">
        <v>4447</v>
      </c>
      <c r="H414" s="175">
        <v>13636.36</v>
      </c>
      <c r="I414" s="175">
        <v>0</v>
      </c>
      <c r="J414" s="175">
        <v>0</v>
      </c>
      <c r="K414" s="175">
        <v>0</v>
      </c>
      <c r="L414" s="175">
        <v>0</v>
      </c>
      <c r="M414" s="175">
        <v>2863.64</v>
      </c>
      <c r="N414" s="175">
        <v>2863.64</v>
      </c>
      <c r="O414" s="175">
        <v>16500</v>
      </c>
    </row>
    <row r="415" spans="1:15">
      <c r="A415" s="175" t="s">
        <v>4513</v>
      </c>
      <c r="B415" s="175" t="s">
        <v>3820</v>
      </c>
      <c r="C415" s="175"/>
      <c r="D415" s="175" t="s">
        <v>3952</v>
      </c>
      <c r="E415" s="175" t="s">
        <v>3953</v>
      </c>
      <c r="F415" s="175" t="s">
        <v>3954</v>
      </c>
      <c r="G415" s="175" t="s">
        <v>4451</v>
      </c>
      <c r="H415" s="175">
        <v>13636.36</v>
      </c>
      <c r="I415" s="175">
        <v>0</v>
      </c>
      <c r="J415" s="175">
        <v>0</v>
      </c>
      <c r="K415" s="175">
        <v>0</v>
      </c>
      <c r="L415" s="175">
        <v>0</v>
      </c>
      <c r="M415" s="175">
        <v>2863.64</v>
      </c>
      <c r="N415" s="175">
        <v>2863.64</v>
      </c>
      <c r="O415" s="175">
        <v>16500</v>
      </c>
    </row>
    <row r="416" spans="1:15">
      <c r="A416" s="175" t="s">
        <v>4513</v>
      </c>
      <c r="B416" s="175" t="s">
        <v>4452</v>
      </c>
      <c r="C416" s="175"/>
      <c r="D416" s="175" t="s">
        <v>3952</v>
      </c>
      <c r="E416" s="175" t="s">
        <v>3953</v>
      </c>
      <c r="F416" s="175" t="s">
        <v>3954</v>
      </c>
      <c r="G416" s="175" t="s">
        <v>4453</v>
      </c>
      <c r="H416" s="175">
        <v>17355.37</v>
      </c>
      <c r="I416" s="175">
        <v>0</v>
      </c>
      <c r="J416" s="175">
        <v>0</v>
      </c>
      <c r="K416" s="175">
        <v>0</v>
      </c>
      <c r="L416" s="175">
        <v>0</v>
      </c>
      <c r="M416" s="175">
        <v>3644.63</v>
      </c>
      <c r="N416" s="175">
        <v>3644.63</v>
      </c>
      <c r="O416" s="175">
        <v>21000</v>
      </c>
    </row>
    <row r="417" spans="1:15">
      <c r="A417" s="175" t="s">
        <v>4513</v>
      </c>
      <c r="B417" s="175" t="s">
        <v>4454</v>
      </c>
      <c r="C417" s="175"/>
      <c r="D417" s="175" t="s">
        <v>3952</v>
      </c>
      <c r="E417" s="175" t="s">
        <v>4455</v>
      </c>
      <c r="F417" s="175" t="s">
        <v>3954</v>
      </c>
      <c r="G417" s="175" t="s">
        <v>4456</v>
      </c>
      <c r="H417" s="175">
        <v>12727.27</v>
      </c>
      <c r="I417" s="175">
        <v>0</v>
      </c>
      <c r="J417" s="175">
        <v>0</v>
      </c>
      <c r="K417" s="175">
        <v>0</v>
      </c>
      <c r="L417" s="175">
        <v>0</v>
      </c>
      <c r="M417" s="175">
        <v>2672.73</v>
      </c>
      <c r="N417" s="175">
        <v>2672.73</v>
      </c>
      <c r="O417" s="175">
        <v>15400</v>
      </c>
    </row>
    <row r="418" spans="1:15">
      <c r="A418" s="175" t="s">
        <v>4544</v>
      </c>
      <c r="B418" s="175" t="s">
        <v>3813</v>
      </c>
      <c r="C418" s="175"/>
      <c r="D418" s="175" t="s">
        <v>3952</v>
      </c>
      <c r="E418" s="175" t="s">
        <v>3953</v>
      </c>
      <c r="F418" s="175" t="s">
        <v>3954</v>
      </c>
      <c r="G418" s="175" t="s">
        <v>4457</v>
      </c>
      <c r="H418" s="175">
        <v>13636.36</v>
      </c>
      <c r="I418" s="175">
        <v>0</v>
      </c>
      <c r="J418" s="175">
        <v>0</v>
      </c>
      <c r="K418" s="175">
        <v>0</v>
      </c>
      <c r="L418" s="175">
        <v>0</v>
      </c>
      <c r="M418" s="175">
        <v>2863.64</v>
      </c>
      <c r="N418" s="175">
        <v>2863.64</v>
      </c>
      <c r="O418" s="175">
        <v>16500</v>
      </c>
    </row>
    <row r="419" spans="1:15">
      <c r="A419" s="175" t="s">
        <v>4544</v>
      </c>
      <c r="B419" s="175" t="s">
        <v>3805</v>
      </c>
      <c r="C419" s="175"/>
      <c r="D419" s="175" t="s">
        <v>3952</v>
      </c>
      <c r="E419" s="175" t="s">
        <v>3953</v>
      </c>
      <c r="F419" s="175" t="s">
        <v>3954</v>
      </c>
      <c r="G419" s="175" t="s">
        <v>4458</v>
      </c>
      <c r="H419" s="175">
        <v>12727.27</v>
      </c>
      <c r="I419" s="175">
        <v>0</v>
      </c>
      <c r="J419" s="175">
        <v>0</v>
      </c>
      <c r="K419" s="175">
        <v>0</v>
      </c>
      <c r="L419" s="175">
        <v>0</v>
      </c>
      <c r="M419" s="175">
        <v>2672.73</v>
      </c>
      <c r="N419" s="175">
        <v>2672.73</v>
      </c>
      <c r="O419" s="175">
        <v>15400</v>
      </c>
    </row>
    <row r="420" spans="1:15">
      <c r="A420" s="175" t="s">
        <v>4544</v>
      </c>
      <c r="B420" s="175" t="s">
        <v>4459</v>
      </c>
      <c r="C420" s="175"/>
      <c r="D420" s="175" t="s">
        <v>3952</v>
      </c>
      <c r="E420" s="175" t="s">
        <v>3953</v>
      </c>
      <c r="F420" s="175" t="s">
        <v>3954</v>
      </c>
      <c r="G420" s="175" t="s">
        <v>4460</v>
      </c>
      <c r="H420" s="175">
        <v>12727.27</v>
      </c>
      <c r="I420" s="175">
        <v>0</v>
      </c>
      <c r="J420" s="175">
        <v>0</v>
      </c>
      <c r="K420" s="175">
        <v>0</v>
      </c>
      <c r="L420" s="175">
        <v>0</v>
      </c>
      <c r="M420" s="175">
        <v>2672.73</v>
      </c>
      <c r="N420" s="175">
        <v>2672.73</v>
      </c>
      <c r="O420" s="175">
        <v>15400</v>
      </c>
    </row>
    <row r="421" spans="1:15">
      <c r="A421" s="175" t="s">
        <v>4544</v>
      </c>
      <c r="B421" s="175" t="s">
        <v>4466</v>
      </c>
      <c r="C421" s="175"/>
      <c r="D421" s="175" t="s">
        <v>3952</v>
      </c>
      <c r="E421" s="175" t="s">
        <v>3953</v>
      </c>
      <c r="F421" s="175" t="s">
        <v>3954</v>
      </c>
      <c r="G421" s="175" t="s">
        <v>4467</v>
      </c>
      <c r="H421" s="175">
        <v>24793.39</v>
      </c>
      <c r="I421" s="175">
        <v>0</v>
      </c>
      <c r="J421" s="175">
        <v>0</v>
      </c>
      <c r="K421" s="175">
        <v>0</v>
      </c>
      <c r="L421" s="175">
        <v>0</v>
      </c>
      <c r="M421" s="175">
        <v>5206.6099999999997</v>
      </c>
      <c r="N421" s="175">
        <v>5206.6099999999997</v>
      </c>
      <c r="O421" s="175">
        <v>30000</v>
      </c>
    </row>
    <row r="422" spans="1:15">
      <c r="A422" s="175" t="s">
        <v>4544</v>
      </c>
      <c r="B422" s="175" t="s">
        <v>4468</v>
      </c>
      <c r="C422" s="175"/>
      <c r="D422" s="175" t="s">
        <v>3952</v>
      </c>
      <c r="E422" s="175" t="s">
        <v>3953</v>
      </c>
      <c r="F422" s="175" t="s">
        <v>3954</v>
      </c>
      <c r="G422" s="175" t="s">
        <v>4469</v>
      </c>
      <c r="H422" s="175">
        <v>13636.36</v>
      </c>
      <c r="I422" s="175">
        <v>0</v>
      </c>
      <c r="J422" s="175">
        <v>0</v>
      </c>
      <c r="K422" s="175">
        <v>0</v>
      </c>
      <c r="L422" s="175">
        <v>0</v>
      </c>
      <c r="M422" s="175">
        <v>2863.64</v>
      </c>
      <c r="N422" s="175">
        <v>2863.64</v>
      </c>
      <c r="O422" s="175">
        <v>16500</v>
      </c>
    </row>
    <row r="423" spans="1:15">
      <c r="A423" s="175" t="s">
        <v>4544</v>
      </c>
      <c r="B423" s="175" t="s">
        <v>4472</v>
      </c>
      <c r="C423" s="175"/>
      <c r="D423" s="175" t="s">
        <v>3952</v>
      </c>
      <c r="E423" s="175" t="s">
        <v>3953</v>
      </c>
      <c r="F423" s="175" t="s">
        <v>3954</v>
      </c>
      <c r="G423" s="175" t="s">
        <v>4473</v>
      </c>
      <c r="H423" s="175">
        <v>34710.74</v>
      </c>
      <c r="I423" s="175">
        <v>0</v>
      </c>
      <c r="J423" s="175">
        <v>0</v>
      </c>
      <c r="K423" s="175">
        <v>0</v>
      </c>
      <c r="L423" s="175">
        <v>0</v>
      </c>
      <c r="M423" s="175">
        <v>7289.26</v>
      </c>
      <c r="N423" s="175">
        <v>7289.26</v>
      </c>
      <c r="O423" s="175">
        <v>42000</v>
      </c>
    </row>
    <row r="424" spans="1:15">
      <c r="A424" s="175" t="s">
        <v>4544</v>
      </c>
      <c r="B424" s="175" t="s">
        <v>4474</v>
      </c>
      <c r="C424" s="175"/>
      <c r="D424" s="175" t="s">
        <v>3952</v>
      </c>
      <c r="E424" s="175" t="s">
        <v>3953</v>
      </c>
      <c r="F424" s="175" t="s">
        <v>3954</v>
      </c>
      <c r="G424" s="175" t="s">
        <v>4475</v>
      </c>
      <c r="H424" s="175">
        <v>17355.37</v>
      </c>
      <c r="I424" s="175">
        <v>0</v>
      </c>
      <c r="J424" s="175">
        <v>0</v>
      </c>
      <c r="K424" s="175">
        <v>0</v>
      </c>
      <c r="L424" s="175">
        <v>0</v>
      </c>
      <c r="M424" s="175">
        <v>3644.63</v>
      </c>
      <c r="N424" s="175">
        <v>3644.63</v>
      </c>
      <c r="O424" s="175">
        <v>21000</v>
      </c>
    </row>
    <row r="425" spans="1:15">
      <c r="A425" s="175" t="s">
        <v>4544</v>
      </c>
      <c r="B425" s="175" t="s">
        <v>4476</v>
      </c>
      <c r="C425" s="175" t="s">
        <v>4477</v>
      </c>
      <c r="D425" s="175" t="s">
        <v>3952</v>
      </c>
      <c r="E425" s="175" t="s">
        <v>3953</v>
      </c>
      <c r="F425" s="175" t="s">
        <v>3954</v>
      </c>
      <c r="G425" s="175" t="s">
        <v>4478</v>
      </c>
      <c r="H425" s="175">
        <v>26363.64</v>
      </c>
      <c r="I425" s="175">
        <v>0</v>
      </c>
      <c r="J425" s="175">
        <v>0</v>
      </c>
      <c r="K425" s="175">
        <v>0</v>
      </c>
      <c r="L425" s="175">
        <v>0</v>
      </c>
      <c r="M425" s="175">
        <v>5536.36</v>
      </c>
      <c r="N425" s="175">
        <v>5536.36</v>
      </c>
      <c r="O425" s="175">
        <v>31900</v>
      </c>
    </row>
    <row r="426" spans="1:15">
      <c r="A426" s="175" t="s">
        <v>4544</v>
      </c>
      <c r="B426" s="175" t="s">
        <v>4480</v>
      </c>
      <c r="C426" s="175"/>
      <c r="D426" s="175" t="s">
        <v>3952</v>
      </c>
      <c r="E426" s="175" t="s">
        <v>3953</v>
      </c>
      <c r="F426" s="175" t="s">
        <v>3954</v>
      </c>
      <c r="G426" s="175" t="s">
        <v>4481</v>
      </c>
      <c r="H426" s="175">
        <v>47768.6</v>
      </c>
      <c r="I426" s="175">
        <v>0</v>
      </c>
      <c r="J426" s="175">
        <v>0</v>
      </c>
      <c r="K426" s="175">
        <v>0</v>
      </c>
      <c r="L426" s="175">
        <v>0</v>
      </c>
      <c r="M426" s="175">
        <v>10031.4</v>
      </c>
      <c r="N426" s="175">
        <v>10031.4</v>
      </c>
      <c r="O426" s="175">
        <v>57800</v>
      </c>
    </row>
    <row r="427" spans="1:15">
      <c r="A427" s="175" t="s">
        <v>4544</v>
      </c>
      <c r="B427" s="175" t="s">
        <v>386</v>
      </c>
      <c r="C427" s="175" t="s">
        <v>4325</v>
      </c>
      <c r="D427" s="175" t="s">
        <v>3952</v>
      </c>
      <c r="E427" s="175" t="s">
        <v>3953</v>
      </c>
      <c r="F427" s="175" t="s">
        <v>4023</v>
      </c>
      <c r="G427" s="175" t="s">
        <v>4511</v>
      </c>
      <c r="H427" s="175">
        <v>882851.24</v>
      </c>
      <c r="I427" s="175">
        <v>0</v>
      </c>
      <c r="J427" s="175">
        <v>0</v>
      </c>
      <c r="K427" s="175">
        <v>0</v>
      </c>
      <c r="L427" s="175">
        <v>0</v>
      </c>
      <c r="M427" s="175">
        <v>185398.76</v>
      </c>
      <c r="N427" s="175">
        <v>185398.76</v>
      </c>
      <c r="O427" s="175">
        <v>1068250</v>
      </c>
    </row>
    <row r="428" spans="1:15">
      <c r="A428" s="175" t="s">
        <v>4544</v>
      </c>
      <c r="B428" s="175" t="s">
        <v>4555</v>
      </c>
      <c r="C428" s="175" t="s">
        <v>4556</v>
      </c>
      <c r="D428" s="175" t="s">
        <v>3952</v>
      </c>
      <c r="E428" s="175" t="s">
        <v>4027</v>
      </c>
      <c r="F428" s="175" t="s">
        <v>3954</v>
      </c>
      <c r="G428" s="175" t="s">
        <v>4557</v>
      </c>
      <c r="H428" s="175">
        <v>14876.03</v>
      </c>
      <c r="I428" s="175">
        <v>0</v>
      </c>
      <c r="J428" s="175">
        <v>0</v>
      </c>
      <c r="K428" s="175">
        <v>0</v>
      </c>
      <c r="L428" s="175">
        <v>0</v>
      </c>
      <c r="M428" s="175">
        <v>3123.97</v>
      </c>
      <c r="N428" s="175">
        <v>3123.97</v>
      </c>
      <c r="O428" s="175">
        <v>18000</v>
      </c>
    </row>
    <row r="429" spans="1:15">
      <c r="A429" s="175" t="s">
        <v>4544</v>
      </c>
      <c r="B429" s="175" t="s">
        <v>3878</v>
      </c>
      <c r="C429" s="175"/>
      <c r="D429" s="175" t="s">
        <v>3952</v>
      </c>
      <c r="E429" s="175" t="s">
        <v>3953</v>
      </c>
      <c r="F429" s="175" t="s">
        <v>3954</v>
      </c>
      <c r="G429" s="175" t="s">
        <v>4559</v>
      </c>
      <c r="H429" s="175">
        <v>13636.36</v>
      </c>
      <c r="I429" s="175">
        <v>0</v>
      </c>
      <c r="J429" s="175">
        <v>0</v>
      </c>
      <c r="K429" s="175">
        <v>0</v>
      </c>
      <c r="L429" s="175">
        <v>0</v>
      </c>
      <c r="M429" s="175">
        <v>2863.64</v>
      </c>
      <c r="N429" s="175">
        <v>2863.64</v>
      </c>
      <c r="O429" s="175">
        <v>16500</v>
      </c>
    </row>
    <row r="430" spans="1:15">
      <c r="A430" s="175" t="s">
        <v>4544</v>
      </c>
      <c r="B430" s="175" t="s">
        <v>3870</v>
      </c>
      <c r="C430" s="175" t="s">
        <v>4560</v>
      </c>
      <c r="D430" s="175" t="s">
        <v>3952</v>
      </c>
      <c r="E430" s="175" t="s">
        <v>4561</v>
      </c>
      <c r="F430" s="175" t="s">
        <v>3954</v>
      </c>
      <c r="G430" s="175" t="s">
        <v>4562</v>
      </c>
      <c r="H430" s="175">
        <v>12727.27</v>
      </c>
      <c r="I430" s="175">
        <v>0</v>
      </c>
      <c r="J430" s="175">
        <v>0</v>
      </c>
      <c r="K430" s="175">
        <v>0</v>
      </c>
      <c r="L430" s="175">
        <v>0</v>
      </c>
      <c r="M430" s="175">
        <v>2672.73</v>
      </c>
      <c r="N430" s="175">
        <v>2672.73</v>
      </c>
      <c r="O430" s="175">
        <v>15400</v>
      </c>
    </row>
    <row r="431" spans="1:15">
      <c r="A431" s="175" t="s">
        <v>4544</v>
      </c>
      <c r="B431" s="175" t="s">
        <v>4582</v>
      </c>
      <c r="C431" s="175" t="s">
        <v>4583</v>
      </c>
      <c r="D431" s="175" t="s">
        <v>3952</v>
      </c>
      <c r="E431" s="175" t="s">
        <v>3953</v>
      </c>
      <c r="F431" s="175" t="s">
        <v>3954</v>
      </c>
      <c r="G431" s="175" t="s">
        <v>4584</v>
      </c>
      <c r="H431" s="175">
        <v>17355.37</v>
      </c>
      <c r="I431" s="175">
        <v>0</v>
      </c>
      <c r="J431" s="175">
        <v>0</v>
      </c>
      <c r="K431" s="175">
        <v>0</v>
      </c>
      <c r="L431" s="175">
        <v>0</v>
      </c>
      <c r="M431" s="175">
        <v>3644.63</v>
      </c>
      <c r="N431" s="175">
        <v>3644.63</v>
      </c>
      <c r="O431" s="175">
        <v>21000</v>
      </c>
    </row>
    <row r="432" spans="1:15">
      <c r="A432" s="175" t="s">
        <v>4544</v>
      </c>
      <c r="B432" s="175" t="s">
        <v>3818</v>
      </c>
      <c r="C432" s="176">
        <v>27216457248</v>
      </c>
      <c r="D432" s="175" t="s">
        <v>4249</v>
      </c>
      <c r="E432" s="175"/>
      <c r="F432" s="176" t="s">
        <v>3954</v>
      </c>
      <c r="G432" s="175" t="s">
        <v>4595</v>
      </c>
      <c r="H432" s="204">
        <v>-28925.62</v>
      </c>
      <c r="I432" s="175"/>
      <c r="J432" s="176">
        <v>1</v>
      </c>
      <c r="K432" s="175" t="s">
        <v>3742</v>
      </c>
      <c r="L432" s="175"/>
      <c r="M432" s="204">
        <v>-6074.3801999999996</v>
      </c>
      <c r="N432" s="176">
        <v>0</v>
      </c>
      <c r="O432" s="204">
        <v>-35000.000199999995</v>
      </c>
    </row>
    <row r="433" spans="1:15">
      <c r="A433" s="175" t="s">
        <v>4020</v>
      </c>
      <c r="B433" s="175" t="s">
        <v>4206</v>
      </c>
      <c r="C433" s="175" t="s">
        <v>4207</v>
      </c>
      <c r="D433" s="175" t="s">
        <v>4249</v>
      </c>
      <c r="E433" s="175" t="s">
        <v>3953</v>
      </c>
      <c r="F433" s="175" t="s">
        <v>3969</v>
      </c>
      <c r="G433" s="175" t="s">
        <v>4250</v>
      </c>
      <c r="H433" s="175">
        <v>-3577473.55</v>
      </c>
      <c r="I433" s="175">
        <v>0</v>
      </c>
      <c r="J433" s="175">
        <v>0</v>
      </c>
      <c r="K433" s="175">
        <v>0</v>
      </c>
      <c r="L433" s="175">
        <v>0</v>
      </c>
      <c r="M433" s="175">
        <v>-751269.45</v>
      </c>
      <c r="N433" s="175">
        <v>-751269.45</v>
      </c>
      <c r="O433" s="175">
        <v>-4328743</v>
      </c>
    </row>
    <row r="434" spans="1:15">
      <c r="A434" s="175" t="s">
        <v>4020</v>
      </c>
      <c r="B434" s="175" t="s">
        <v>4309</v>
      </c>
      <c r="C434" s="175" t="s">
        <v>4310</v>
      </c>
      <c r="D434" s="175" t="s">
        <v>4249</v>
      </c>
      <c r="E434" s="175" t="s">
        <v>4027</v>
      </c>
      <c r="F434" s="175" t="s">
        <v>3954</v>
      </c>
      <c r="G434" s="175" t="s">
        <v>4320</v>
      </c>
      <c r="H434" s="175">
        <v>-13636.36</v>
      </c>
      <c r="I434" s="175">
        <v>0</v>
      </c>
      <c r="J434" s="175">
        <v>0</v>
      </c>
      <c r="K434" s="175">
        <v>0</v>
      </c>
      <c r="L434" s="175">
        <v>0</v>
      </c>
      <c r="M434" s="175">
        <v>-2863.64</v>
      </c>
      <c r="N434" s="175">
        <v>-2863.64</v>
      </c>
      <c r="O434" s="175">
        <v>-16500</v>
      </c>
    </row>
    <row r="435" spans="1:15">
      <c r="A435" s="175" t="s">
        <v>4020</v>
      </c>
      <c r="B435" s="175" t="s">
        <v>3910</v>
      </c>
      <c r="C435" s="175" t="s">
        <v>4337</v>
      </c>
      <c r="D435" s="175" t="s">
        <v>4249</v>
      </c>
      <c r="E435" s="175" t="s">
        <v>3953</v>
      </c>
      <c r="F435" s="175" t="s">
        <v>3954</v>
      </c>
      <c r="G435" s="175" t="s">
        <v>4338</v>
      </c>
      <c r="H435" s="175">
        <v>-17355.37</v>
      </c>
      <c r="I435" s="175">
        <v>0</v>
      </c>
      <c r="J435" s="175">
        <v>0</v>
      </c>
      <c r="K435" s="175">
        <v>0</v>
      </c>
      <c r="L435" s="175">
        <v>0</v>
      </c>
      <c r="M435" s="175">
        <v>-3644.63</v>
      </c>
      <c r="N435" s="175">
        <v>-3644.63</v>
      </c>
      <c r="O435" s="175">
        <v>-21000</v>
      </c>
    </row>
    <row r="436" spans="1:15">
      <c r="A436" s="175" t="s">
        <v>4020</v>
      </c>
      <c r="B436" s="175" t="s">
        <v>3805</v>
      </c>
      <c r="C436" s="175"/>
      <c r="D436" s="175" t="s">
        <v>4249</v>
      </c>
      <c r="E436" s="175" t="s">
        <v>3953</v>
      </c>
      <c r="F436" s="175" t="s">
        <v>3954</v>
      </c>
      <c r="G436" s="175" t="s">
        <v>4461</v>
      </c>
      <c r="H436" s="175">
        <v>-12727.27</v>
      </c>
      <c r="I436" s="175">
        <v>0</v>
      </c>
      <c r="J436" s="175">
        <v>0</v>
      </c>
      <c r="K436" s="175">
        <v>0</v>
      </c>
      <c r="L436" s="175">
        <v>0</v>
      </c>
      <c r="M436" s="175">
        <v>-2672.73</v>
      </c>
      <c r="N436" s="175">
        <v>-2672.73</v>
      </c>
      <c r="O436" s="175">
        <v>-15400</v>
      </c>
    </row>
    <row r="437" spans="1:15">
      <c r="A437" s="175" t="s">
        <v>4020</v>
      </c>
      <c r="B437" s="175" t="s">
        <v>4444</v>
      </c>
      <c r="C437" s="175"/>
      <c r="D437" s="175" t="s">
        <v>4249</v>
      </c>
      <c r="E437" s="175" t="s">
        <v>3953</v>
      </c>
      <c r="F437" s="175" t="s">
        <v>3954</v>
      </c>
      <c r="G437" s="175" t="s">
        <v>4462</v>
      </c>
      <c r="H437" s="175">
        <v>-13636.36</v>
      </c>
      <c r="I437" s="175">
        <v>0</v>
      </c>
      <c r="J437" s="175">
        <v>0</v>
      </c>
      <c r="K437" s="175">
        <v>0</v>
      </c>
      <c r="L437" s="175">
        <v>0</v>
      </c>
      <c r="M437" s="175">
        <v>-2863.64</v>
      </c>
      <c r="N437" s="175">
        <v>-2863.64</v>
      </c>
      <c r="O437" s="175">
        <v>-16500</v>
      </c>
    </row>
    <row r="438" spans="1:15">
      <c r="A438" s="175" t="s">
        <v>4020</v>
      </c>
      <c r="B438" s="175" t="s">
        <v>3820</v>
      </c>
      <c r="C438" s="175"/>
      <c r="D438" s="175" t="s">
        <v>4249</v>
      </c>
      <c r="E438" s="175" t="s">
        <v>3953</v>
      </c>
      <c r="F438" s="175" t="s">
        <v>3954</v>
      </c>
      <c r="G438" s="175" t="s">
        <v>4463</v>
      </c>
      <c r="H438" s="175">
        <v>-13636.36</v>
      </c>
      <c r="I438" s="175">
        <v>0</v>
      </c>
      <c r="J438" s="175">
        <v>0</v>
      </c>
      <c r="K438" s="175">
        <v>0</v>
      </c>
      <c r="L438" s="175">
        <v>0</v>
      </c>
      <c r="M438" s="175">
        <v>-2863.64</v>
      </c>
      <c r="N438" s="175">
        <v>-2863.64</v>
      </c>
      <c r="O438" s="175">
        <v>-16500</v>
      </c>
    </row>
    <row r="439" spans="1:15">
      <c r="A439" s="175" t="s">
        <v>4172</v>
      </c>
      <c r="B439" s="175" t="s">
        <v>4452</v>
      </c>
      <c r="C439" s="175"/>
      <c r="D439" s="175" t="s">
        <v>4249</v>
      </c>
      <c r="E439" s="175" t="s">
        <v>3953</v>
      </c>
      <c r="F439" s="175" t="s">
        <v>3954</v>
      </c>
      <c r="G439" s="175" t="s">
        <v>4464</v>
      </c>
      <c r="H439" s="175">
        <v>-17355.37</v>
      </c>
      <c r="I439" s="175">
        <v>0</v>
      </c>
      <c r="J439" s="175">
        <v>0</v>
      </c>
      <c r="K439" s="175">
        <v>0</v>
      </c>
      <c r="L439" s="175">
        <v>0</v>
      </c>
      <c r="M439" s="175">
        <v>-3644.63</v>
      </c>
      <c r="N439" s="175">
        <v>-3644.63</v>
      </c>
      <c r="O439" s="175">
        <v>-21000</v>
      </c>
    </row>
    <row r="440" spans="1:15">
      <c r="A440" s="175" t="s">
        <v>4020</v>
      </c>
      <c r="B440" s="175" t="s">
        <v>4454</v>
      </c>
      <c r="C440" s="175"/>
      <c r="D440" s="175" t="s">
        <v>4249</v>
      </c>
      <c r="E440" s="175" t="s">
        <v>4455</v>
      </c>
      <c r="F440" s="175" t="s">
        <v>3954</v>
      </c>
      <c r="G440" s="175" t="s">
        <v>4465</v>
      </c>
      <c r="H440" s="175">
        <v>-12727.27</v>
      </c>
      <c r="I440" s="175">
        <v>0</v>
      </c>
      <c r="J440" s="175">
        <v>0</v>
      </c>
      <c r="K440" s="175">
        <v>0</v>
      </c>
      <c r="L440" s="175">
        <v>0</v>
      </c>
      <c r="M440" s="175">
        <v>-2672.73</v>
      </c>
      <c r="N440" s="175">
        <v>-2672.73</v>
      </c>
      <c r="O440" s="175">
        <v>-15400</v>
      </c>
    </row>
    <row r="441" spans="1:15">
      <c r="A441" s="175" t="s">
        <v>4172</v>
      </c>
      <c r="B441" s="175" t="s">
        <v>4123</v>
      </c>
      <c r="C441" s="175" t="s">
        <v>4124</v>
      </c>
      <c r="D441" s="175" t="s">
        <v>4249</v>
      </c>
      <c r="E441" s="175" t="s">
        <v>3953</v>
      </c>
      <c r="F441" s="175" t="s">
        <v>3954</v>
      </c>
      <c r="G441" s="175" t="s">
        <v>4567</v>
      </c>
      <c r="H441" s="175">
        <v>-13636.36</v>
      </c>
      <c r="I441" s="175">
        <v>0</v>
      </c>
      <c r="J441" s="175">
        <v>0</v>
      </c>
      <c r="K441" s="175">
        <v>0</v>
      </c>
      <c r="L441" s="175">
        <v>0</v>
      </c>
      <c r="M441" s="175">
        <v>-2863.64</v>
      </c>
      <c r="N441" s="175">
        <v>-2863.64</v>
      </c>
      <c r="O441" s="175">
        <v>-16500</v>
      </c>
    </row>
    <row r="442" spans="1:15" ht="15.75" thickBot="1">
      <c r="A442" s="175" t="s">
        <v>4544</v>
      </c>
      <c r="B442" s="175" t="s">
        <v>3950</v>
      </c>
      <c r="C442" s="175" t="s">
        <v>3951</v>
      </c>
      <c r="D442" s="175" t="s">
        <v>3959</v>
      </c>
      <c r="E442" s="175" t="s">
        <v>3953</v>
      </c>
      <c r="F442" s="175" t="s">
        <v>3954</v>
      </c>
      <c r="G442" s="175" t="s">
        <v>3960</v>
      </c>
      <c r="H442" s="145">
        <v>16190.08</v>
      </c>
      <c r="I442" s="145">
        <v>0</v>
      </c>
      <c r="J442" s="145">
        <v>0</v>
      </c>
      <c r="K442" s="145">
        <v>0</v>
      </c>
      <c r="L442" s="145">
        <v>0</v>
      </c>
      <c r="M442" s="145">
        <v>3399.92</v>
      </c>
      <c r="N442" s="145">
        <v>3399.92</v>
      </c>
      <c r="O442" s="145">
        <v>19590</v>
      </c>
    </row>
    <row r="443" spans="1:15" ht="18" thickBot="1">
      <c r="H443" s="220">
        <f>SUM(H101:H442)</f>
        <v>13322173.51999999</v>
      </c>
      <c r="I443" s="223">
        <f t="shared" ref="I443:O443" si="1">SUM(I101:I442)</f>
        <v>0</v>
      </c>
      <c r="J443" s="221">
        <f t="shared" si="1"/>
        <v>2</v>
      </c>
      <c r="K443" s="221">
        <f t="shared" si="1"/>
        <v>0</v>
      </c>
      <c r="L443" s="221">
        <f t="shared" si="1"/>
        <v>0</v>
      </c>
      <c r="M443" s="221">
        <f t="shared" si="1"/>
        <v>2797656.4495999981</v>
      </c>
      <c r="N443" s="221">
        <f t="shared" si="1"/>
        <v>2800086.1999999993</v>
      </c>
      <c r="O443" s="222">
        <f t="shared" si="1"/>
        <v>16119829.969599999</v>
      </c>
    </row>
    <row r="447" spans="1:15" ht="15.75" thickBot="1"/>
    <row r="448" spans="1:15" ht="15.75" thickBot="1">
      <c r="J448" s="214" t="s">
        <v>1864</v>
      </c>
      <c r="K448" s="159" t="s">
        <v>460</v>
      </c>
      <c r="L448" s="160" t="s">
        <v>3241</v>
      </c>
      <c r="M448" s="160" t="s">
        <v>787</v>
      </c>
      <c r="N448" s="162" t="s">
        <v>459</v>
      </c>
    </row>
    <row r="449" spans="10:14">
      <c r="J449" s="215" t="s">
        <v>783</v>
      </c>
      <c r="K449" s="147">
        <f>H99</f>
        <v>64706485.789999984</v>
      </c>
      <c r="L449" s="144"/>
      <c r="M449" s="149">
        <f>K449*21/100</f>
        <v>13588362.015899997</v>
      </c>
      <c r="N449" s="150">
        <f>K449+M449</f>
        <v>78294847.805899978</v>
      </c>
    </row>
    <row r="450" spans="10:14" ht="15.75" thickBot="1">
      <c r="J450" s="216" t="s">
        <v>462</v>
      </c>
      <c r="K450" s="148">
        <f>H443</f>
        <v>13322173.51999999</v>
      </c>
      <c r="L450" s="145"/>
      <c r="M450" s="152">
        <f>K450*21/100</f>
        <v>2797656.4391999976</v>
      </c>
      <c r="N450" s="151">
        <f>K450+M450</f>
        <v>16119829.959199987</v>
      </c>
    </row>
    <row r="451" spans="10:14" ht="15.75" thickBot="1">
      <c r="J451" s="209" t="s">
        <v>459</v>
      </c>
      <c r="K451" s="210">
        <f>K450+K449</f>
        <v>78028659.309999973</v>
      </c>
      <c r="L451" s="211">
        <f>L450+L449</f>
        <v>0</v>
      </c>
      <c r="M451" s="212">
        <f>M450+M449</f>
        <v>16386018.455099994</v>
      </c>
      <c r="N451" s="213">
        <f>N450+N449</f>
        <v>94414677.765099972</v>
      </c>
    </row>
  </sheetData>
  <sortState xmlns:xlrd2="http://schemas.microsoft.com/office/spreadsheetml/2017/richdata2" ref="B2:O440">
    <sortCondition ref="G2:G44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01-2024</vt:lpstr>
      <vt:lpstr>02-2024</vt:lpstr>
      <vt:lpstr>03-2024</vt:lpstr>
      <vt:lpstr>04-2024</vt:lpstr>
      <vt:lpstr>05-2024</vt:lpstr>
      <vt:lpstr>06-2024</vt:lpstr>
      <vt:lpstr>07-2024</vt:lpstr>
      <vt:lpstr>08-2024</vt:lpstr>
      <vt:lpstr>09-2024</vt:lpstr>
      <vt:lpstr>09-2024 (2)</vt:lpstr>
      <vt:lpstr>10-2024</vt:lpstr>
      <vt:lpstr>11-2024</vt:lpstr>
      <vt:lpstr>12-2024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Gaspar Gullo</cp:lastModifiedBy>
  <dcterms:created xsi:type="dcterms:W3CDTF">2024-02-19T15:29:29Z</dcterms:created>
  <dcterms:modified xsi:type="dcterms:W3CDTF">2025-06-19T19:49:36Z</dcterms:modified>
</cp:coreProperties>
</file>